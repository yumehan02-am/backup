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15D36876-C0AA-4A2B-A149-1BE33BF1958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ふんどし_ノーマル" sheetId="1" r:id="rId1"/>
    <sheet name="ふんどし_ガーゼ" sheetId="5" r:id="rId2"/>
    <sheet name="トランクス_ノーマル" sheetId="6" r:id="rId3"/>
    <sheet name="トランクス_ガーゼ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2" i="1" l="1"/>
  <c r="I232" i="1"/>
  <c r="M232" i="1"/>
  <c r="N232" i="1"/>
  <c r="T221" i="1"/>
  <c r="X221" i="1"/>
  <c r="AB221" i="1"/>
  <c r="AC221" i="1"/>
  <c r="T222" i="1"/>
  <c r="X222" i="1"/>
  <c r="AB222" i="1"/>
  <c r="AC222" i="1"/>
  <c r="T223" i="1"/>
  <c r="X223" i="1"/>
  <c r="AB223" i="1"/>
  <c r="AC223" i="1"/>
  <c r="T224" i="1"/>
  <c r="X224" i="1"/>
  <c r="AB224" i="1"/>
  <c r="AC224" i="1"/>
  <c r="AA255" i="1"/>
  <c r="Z255" i="1"/>
  <c r="Y255" i="1"/>
  <c r="W255" i="1"/>
  <c r="V255" i="1"/>
  <c r="U255" i="1"/>
  <c r="S255" i="1"/>
  <c r="R255" i="1"/>
  <c r="Q255" i="1"/>
  <c r="L255" i="1"/>
  <c r="K255" i="1"/>
  <c r="J255" i="1"/>
  <c r="H255" i="1"/>
  <c r="G255" i="1"/>
  <c r="F255" i="1"/>
  <c r="D255" i="1"/>
  <c r="C255" i="1"/>
  <c r="B255" i="1"/>
  <c r="AB254" i="1"/>
  <c r="AC254" i="1" s="1"/>
  <c r="X254" i="1"/>
  <c r="T254" i="1"/>
  <c r="M254" i="1"/>
  <c r="I254" i="1"/>
  <c r="E254" i="1"/>
  <c r="N254" i="1" s="1"/>
  <c r="AB253" i="1"/>
  <c r="AC253" i="1" s="1"/>
  <c r="X253" i="1"/>
  <c r="T253" i="1"/>
  <c r="M253" i="1"/>
  <c r="I253" i="1"/>
  <c r="E253" i="1"/>
  <c r="N253" i="1" s="1"/>
  <c r="AB252" i="1"/>
  <c r="AC252" i="1" s="1"/>
  <c r="X252" i="1"/>
  <c r="T252" i="1"/>
  <c r="M252" i="1"/>
  <c r="I252" i="1"/>
  <c r="E252" i="1"/>
  <c r="N252" i="1" s="1"/>
  <c r="AB251" i="1"/>
  <c r="AC251" i="1" s="1"/>
  <c r="X251" i="1"/>
  <c r="T251" i="1"/>
  <c r="M251" i="1"/>
  <c r="I251" i="1"/>
  <c r="E251" i="1"/>
  <c r="N251" i="1" s="1"/>
  <c r="AB250" i="1"/>
  <c r="AC250" i="1" s="1"/>
  <c r="X250" i="1"/>
  <c r="T250" i="1"/>
  <c r="M250" i="1"/>
  <c r="I250" i="1"/>
  <c r="E250" i="1"/>
  <c r="N250" i="1" s="1"/>
  <c r="AB249" i="1"/>
  <c r="AC249" i="1" s="1"/>
  <c r="X249" i="1"/>
  <c r="T249" i="1"/>
  <c r="M249" i="1"/>
  <c r="I249" i="1"/>
  <c r="E249" i="1"/>
  <c r="N249" i="1" s="1"/>
  <c r="AB248" i="1"/>
  <c r="AC248" i="1" s="1"/>
  <c r="X248" i="1"/>
  <c r="T248" i="1"/>
  <c r="M248" i="1"/>
  <c r="I248" i="1"/>
  <c r="E248" i="1"/>
  <c r="N248" i="1" s="1"/>
  <c r="AB247" i="1"/>
  <c r="AC247" i="1" s="1"/>
  <c r="X247" i="1"/>
  <c r="T247" i="1"/>
  <c r="M247" i="1"/>
  <c r="I247" i="1"/>
  <c r="E247" i="1"/>
  <c r="N247" i="1" s="1"/>
  <c r="AB246" i="1"/>
  <c r="AC246" i="1" s="1"/>
  <c r="X246" i="1"/>
  <c r="T246" i="1"/>
  <c r="M246" i="1"/>
  <c r="I246" i="1"/>
  <c r="E246" i="1"/>
  <c r="N246" i="1" s="1"/>
  <c r="AB245" i="1"/>
  <c r="AC245" i="1" s="1"/>
  <c r="X245" i="1"/>
  <c r="T245" i="1"/>
  <c r="M245" i="1"/>
  <c r="I245" i="1"/>
  <c r="E245" i="1"/>
  <c r="N245" i="1" s="1"/>
  <c r="AB244" i="1"/>
  <c r="AC244" i="1" s="1"/>
  <c r="X244" i="1"/>
  <c r="T244" i="1"/>
  <c r="M244" i="1"/>
  <c r="I244" i="1"/>
  <c r="E244" i="1"/>
  <c r="N244" i="1" s="1"/>
  <c r="AB243" i="1"/>
  <c r="AC243" i="1" s="1"/>
  <c r="X243" i="1"/>
  <c r="T243" i="1"/>
  <c r="M243" i="1"/>
  <c r="I243" i="1"/>
  <c r="E243" i="1"/>
  <c r="N243" i="1" s="1"/>
  <c r="AB242" i="1"/>
  <c r="X242" i="1"/>
  <c r="T242" i="1"/>
  <c r="M242" i="1"/>
  <c r="I242" i="1"/>
  <c r="E242" i="1"/>
  <c r="N242" i="1" s="1"/>
  <c r="AB241" i="1"/>
  <c r="X241" i="1"/>
  <c r="T241" i="1"/>
  <c r="M241" i="1"/>
  <c r="I241" i="1"/>
  <c r="E241" i="1"/>
  <c r="N241" i="1" s="1"/>
  <c r="AB240" i="1"/>
  <c r="X240" i="1"/>
  <c r="T240" i="1"/>
  <c r="M240" i="1"/>
  <c r="I240" i="1"/>
  <c r="E240" i="1"/>
  <c r="N240" i="1" s="1"/>
  <c r="AB239" i="1"/>
  <c r="X239" i="1"/>
  <c r="T239" i="1"/>
  <c r="M239" i="1"/>
  <c r="I239" i="1"/>
  <c r="E239" i="1"/>
  <c r="N239" i="1" s="1"/>
  <c r="AB238" i="1"/>
  <c r="X238" i="1"/>
  <c r="T238" i="1"/>
  <c r="M238" i="1"/>
  <c r="I238" i="1"/>
  <c r="E238" i="1"/>
  <c r="N238" i="1" s="1"/>
  <c r="AB237" i="1"/>
  <c r="X237" i="1"/>
  <c r="T237" i="1"/>
  <c r="M237" i="1"/>
  <c r="I237" i="1"/>
  <c r="E237" i="1"/>
  <c r="N237" i="1" s="1"/>
  <c r="AB236" i="1"/>
  <c r="X236" i="1"/>
  <c r="T236" i="1"/>
  <c r="M236" i="1"/>
  <c r="I236" i="1"/>
  <c r="E236" i="1"/>
  <c r="N236" i="1" s="1"/>
  <c r="AB235" i="1"/>
  <c r="X235" i="1"/>
  <c r="T235" i="1"/>
  <c r="M235" i="1"/>
  <c r="I235" i="1"/>
  <c r="E235" i="1"/>
  <c r="N235" i="1" s="1"/>
  <c r="AB234" i="1"/>
  <c r="X234" i="1"/>
  <c r="T234" i="1"/>
  <c r="M234" i="1"/>
  <c r="I234" i="1"/>
  <c r="E234" i="1"/>
  <c r="N234" i="1" s="1"/>
  <c r="AB233" i="1"/>
  <c r="X233" i="1"/>
  <c r="T233" i="1"/>
  <c r="M233" i="1"/>
  <c r="I233" i="1"/>
  <c r="E233" i="1"/>
  <c r="N233" i="1" s="1"/>
  <c r="AB232" i="1"/>
  <c r="X232" i="1"/>
  <c r="T232" i="1"/>
  <c r="I255" i="1"/>
  <c r="AB231" i="1"/>
  <c r="X231" i="1"/>
  <c r="X255" i="1" s="1"/>
  <c r="T231" i="1"/>
  <c r="T255" i="1" s="1"/>
  <c r="M231" i="1"/>
  <c r="I231" i="1"/>
  <c r="E231" i="1"/>
  <c r="E255" i="1" s="1"/>
  <c r="AB229" i="1"/>
  <c r="AC229" i="1" s="1"/>
  <c r="X229" i="1"/>
  <c r="T229" i="1"/>
  <c r="M229" i="1"/>
  <c r="I229" i="1"/>
  <c r="E229" i="1"/>
  <c r="N229" i="1" s="1"/>
  <c r="AB228" i="1"/>
  <c r="AC228" i="1" s="1"/>
  <c r="X228" i="1"/>
  <c r="T228" i="1"/>
  <c r="M228" i="1"/>
  <c r="I228" i="1"/>
  <c r="E228" i="1"/>
  <c r="N228" i="1" s="1"/>
  <c r="AB227" i="1"/>
  <c r="AC227" i="1" s="1"/>
  <c r="X227" i="1"/>
  <c r="T227" i="1"/>
  <c r="M227" i="1"/>
  <c r="I227" i="1"/>
  <c r="E227" i="1"/>
  <c r="N227" i="1" s="1"/>
  <c r="AB226" i="1"/>
  <c r="X226" i="1"/>
  <c r="AC226" i="1" s="1"/>
  <c r="T226" i="1"/>
  <c r="M226" i="1"/>
  <c r="I226" i="1"/>
  <c r="E226" i="1"/>
  <c r="N226" i="1" s="1"/>
  <c r="AB225" i="1"/>
  <c r="X225" i="1"/>
  <c r="AC225" i="1" s="1"/>
  <c r="T225" i="1"/>
  <c r="M225" i="1"/>
  <c r="I225" i="1"/>
  <c r="E225" i="1"/>
  <c r="N225" i="1" s="1"/>
  <c r="M224" i="1"/>
  <c r="I224" i="1"/>
  <c r="E224" i="1"/>
  <c r="N224" i="1" s="1"/>
  <c r="M223" i="1"/>
  <c r="I223" i="1"/>
  <c r="E223" i="1"/>
  <c r="N223" i="1" s="1"/>
  <c r="M222" i="1"/>
  <c r="I222" i="1"/>
  <c r="E222" i="1"/>
  <c r="N222" i="1" s="1"/>
  <c r="M221" i="1"/>
  <c r="I221" i="1"/>
  <c r="E221" i="1"/>
  <c r="N221" i="1" s="1"/>
  <c r="AB220" i="1"/>
  <c r="X220" i="1"/>
  <c r="AC220" i="1" s="1"/>
  <c r="T220" i="1"/>
  <c r="M220" i="1"/>
  <c r="I220" i="1"/>
  <c r="E220" i="1"/>
  <c r="N220" i="1" s="1"/>
  <c r="AA219" i="1"/>
  <c r="AA230" i="1" s="1"/>
  <c r="AA256" i="1" s="1"/>
  <c r="Z219" i="1"/>
  <c r="Z230" i="1" s="1"/>
  <c r="W219" i="1"/>
  <c r="W230" i="1" s="1"/>
  <c r="W256" i="1" s="1"/>
  <c r="T219" i="1"/>
  <c r="S219" i="1"/>
  <c r="S230" i="1" s="1"/>
  <c r="R219" i="1"/>
  <c r="R230" i="1" s="1"/>
  <c r="R256" i="1" s="1"/>
  <c r="Q219" i="1"/>
  <c r="Q230" i="1" s="1"/>
  <c r="N219" i="1"/>
  <c r="M219" i="1"/>
  <c r="L219" i="1"/>
  <c r="L230" i="1" s="1"/>
  <c r="L256" i="1" s="1"/>
  <c r="K219" i="1"/>
  <c r="K230" i="1" s="1"/>
  <c r="J219" i="1"/>
  <c r="J230" i="1" s="1"/>
  <c r="I219" i="1"/>
  <c r="H219" i="1"/>
  <c r="H230" i="1" s="1"/>
  <c r="H256" i="1" s="1"/>
  <c r="G219" i="1"/>
  <c r="G230" i="1" s="1"/>
  <c r="F219" i="1"/>
  <c r="F230" i="1" s="1"/>
  <c r="E219" i="1"/>
  <c r="D219" i="1"/>
  <c r="D230" i="1" s="1"/>
  <c r="D256" i="1" s="1"/>
  <c r="C219" i="1"/>
  <c r="C230" i="1" s="1"/>
  <c r="C256" i="1" s="1"/>
  <c r="B219" i="1"/>
  <c r="B230" i="1" s="1"/>
  <c r="C127" i="6"/>
  <c r="L126" i="6"/>
  <c r="K126" i="6"/>
  <c r="J126" i="6"/>
  <c r="I126" i="6"/>
  <c r="H126" i="6"/>
  <c r="G126" i="6"/>
  <c r="G127" i="6" s="1"/>
  <c r="F126" i="6"/>
  <c r="D126" i="6"/>
  <c r="D127" i="6" s="1"/>
  <c r="C126" i="6"/>
  <c r="B126" i="6"/>
  <c r="M125" i="6"/>
  <c r="N125" i="6" s="1"/>
  <c r="I125" i="6"/>
  <c r="E125" i="6"/>
  <c r="M124" i="6"/>
  <c r="N124" i="6" s="1"/>
  <c r="I124" i="6"/>
  <c r="E124" i="6"/>
  <c r="M123" i="6"/>
  <c r="N123" i="6" s="1"/>
  <c r="I123" i="6"/>
  <c r="E123" i="6"/>
  <c r="M122" i="6"/>
  <c r="N122" i="6" s="1"/>
  <c r="I122" i="6"/>
  <c r="E122" i="6"/>
  <c r="M121" i="6"/>
  <c r="N121" i="6" s="1"/>
  <c r="I121" i="6"/>
  <c r="E121" i="6"/>
  <c r="M120" i="6"/>
  <c r="N120" i="6" s="1"/>
  <c r="I120" i="6"/>
  <c r="E120" i="6"/>
  <c r="M119" i="6"/>
  <c r="N119" i="6" s="1"/>
  <c r="I119" i="6"/>
  <c r="E119" i="6"/>
  <c r="M118" i="6"/>
  <c r="N118" i="6" s="1"/>
  <c r="I118" i="6"/>
  <c r="E118" i="6"/>
  <c r="M117" i="6"/>
  <c r="N117" i="6" s="1"/>
  <c r="I117" i="6"/>
  <c r="E117" i="6"/>
  <c r="M116" i="6"/>
  <c r="N116" i="6" s="1"/>
  <c r="I116" i="6"/>
  <c r="E116" i="6"/>
  <c r="M115" i="6"/>
  <c r="N115" i="6" s="1"/>
  <c r="I115" i="6"/>
  <c r="E115" i="6"/>
  <c r="M114" i="6"/>
  <c r="N114" i="6" s="1"/>
  <c r="I114" i="6"/>
  <c r="E114" i="6"/>
  <c r="M113" i="6"/>
  <c r="N113" i="6" s="1"/>
  <c r="I113" i="6"/>
  <c r="E113" i="6"/>
  <c r="M112" i="6"/>
  <c r="N112" i="6" s="1"/>
  <c r="I112" i="6"/>
  <c r="E112" i="6"/>
  <c r="M111" i="6"/>
  <c r="N111" i="6" s="1"/>
  <c r="I111" i="6"/>
  <c r="E111" i="6"/>
  <c r="M110" i="6"/>
  <c r="N110" i="6" s="1"/>
  <c r="I110" i="6"/>
  <c r="E110" i="6"/>
  <c r="M109" i="6"/>
  <c r="I109" i="6"/>
  <c r="E109" i="6"/>
  <c r="M108" i="6"/>
  <c r="I108" i="6"/>
  <c r="E108" i="6"/>
  <c r="M107" i="6"/>
  <c r="I107" i="6"/>
  <c r="E107" i="6"/>
  <c r="M106" i="6"/>
  <c r="N106" i="6" s="1"/>
  <c r="I106" i="6"/>
  <c r="E106" i="6"/>
  <c r="M105" i="6"/>
  <c r="N105" i="6" s="1"/>
  <c r="I105" i="6"/>
  <c r="E105" i="6"/>
  <c r="M104" i="6"/>
  <c r="I104" i="6"/>
  <c r="E104" i="6"/>
  <c r="M103" i="6"/>
  <c r="N103" i="6" s="1"/>
  <c r="I103" i="6"/>
  <c r="E103" i="6"/>
  <c r="M102" i="6"/>
  <c r="M126" i="6" s="1"/>
  <c r="I102" i="6"/>
  <c r="E102" i="6"/>
  <c r="L101" i="6"/>
  <c r="K101" i="6"/>
  <c r="K127" i="6" s="1"/>
  <c r="J101" i="6"/>
  <c r="J127" i="6" s="1"/>
  <c r="H101" i="6"/>
  <c r="H127" i="6" s="1"/>
  <c r="G101" i="6"/>
  <c r="F101" i="6"/>
  <c r="E101" i="6"/>
  <c r="D101" i="6"/>
  <c r="C101" i="6"/>
  <c r="B101" i="6"/>
  <c r="N100" i="6"/>
  <c r="M100" i="6"/>
  <c r="I100" i="6"/>
  <c r="E100" i="6"/>
  <c r="N99" i="6"/>
  <c r="M99" i="6"/>
  <c r="I99" i="6"/>
  <c r="E99" i="6"/>
  <c r="N98" i="6"/>
  <c r="M98" i="6"/>
  <c r="I98" i="6"/>
  <c r="E98" i="6"/>
  <c r="N97" i="6"/>
  <c r="M97" i="6"/>
  <c r="I97" i="6"/>
  <c r="E97" i="6"/>
  <c r="N96" i="6"/>
  <c r="M96" i="6"/>
  <c r="I96" i="6"/>
  <c r="E96" i="6"/>
  <c r="N95" i="6"/>
  <c r="M95" i="6"/>
  <c r="I95" i="6"/>
  <c r="E95" i="6"/>
  <c r="N94" i="6"/>
  <c r="M94" i="6"/>
  <c r="I94" i="6"/>
  <c r="E94" i="6"/>
  <c r="N93" i="6"/>
  <c r="M93" i="6"/>
  <c r="I93" i="6"/>
  <c r="E93" i="6"/>
  <c r="N92" i="6"/>
  <c r="M92" i="6"/>
  <c r="I92" i="6"/>
  <c r="E92" i="6"/>
  <c r="N91" i="6"/>
  <c r="M91" i="6"/>
  <c r="I91" i="6"/>
  <c r="E91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A427" i="5"/>
  <c r="Z427" i="5"/>
  <c r="Y427" i="5"/>
  <c r="W427" i="5"/>
  <c r="V427" i="5"/>
  <c r="U427" i="5"/>
  <c r="S427" i="5"/>
  <c r="R427" i="5"/>
  <c r="Q427" i="5"/>
  <c r="L427" i="5"/>
  <c r="K427" i="5"/>
  <c r="J427" i="5"/>
  <c r="H427" i="5"/>
  <c r="G427" i="5"/>
  <c r="F427" i="5"/>
  <c r="D427" i="5"/>
  <c r="C427" i="5"/>
  <c r="B427" i="5"/>
  <c r="AB426" i="5"/>
  <c r="X426" i="5"/>
  <c r="T426" i="5"/>
  <c r="AC426" i="5" s="1"/>
  <c r="M426" i="5"/>
  <c r="I426" i="5"/>
  <c r="E426" i="5"/>
  <c r="N426" i="5" s="1"/>
  <c r="AB425" i="5"/>
  <c r="X425" i="5"/>
  <c r="T425" i="5"/>
  <c r="AC425" i="5" s="1"/>
  <c r="M425" i="5"/>
  <c r="I425" i="5"/>
  <c r="E425" i="5"/>
  <c r="AB424" i="5"/>
  <c r="X424" i="5"/>
  <c r="T424" i="5"/>
  <c r="AC424" i="5" s="1"/>
  <c r="M424" i="5"/>
  <c r="I424" i="5"/>
  <c r="E424" i="5"/>
  <c r="AB423" i="5"/>
  <c r="X423" i="5"/>
  <c r="T423" i="5"/>
  <c r="AC423" i="5" s="1"/>
  <c r="M423" i="5"/>
  <c r="I423" i="5"/>
  <c r="E423" i="5"/>
  <c r="AB422" i="5"/>
  <c r="X422" i="5"/>
  <c r="T422" i="5"/>
  <c r="AC422" i="5" s="1"/>
  <c r="M422" i="5"/>
  <c r="I422" i="5"/>
  <c r="E422" i="5"/>
  <c r="AB421" i="5"/>
  <c r="X421" i="5"/>
  <c r="T421" i="5"/>
  <c r="AC421" i="5" s="1"/>
  <c r="M421" i="5"/>
  <c r="I421" i="5"/>
  <c r="E421" i="5"/>
  <c r="AB420" i="5"/>
  <c r="X420" i="5"/>
  <c r="T420" i="5"/>
  <c r="M420" i="5"/>
  <c r="I420" i="5"/>
  <c r="E420" i="5"/>
  <c r="AB419" i="5"/>
  <c r="X419" i="5"/>
  <c r="T419" i="5"/>
  <c r="AC419" i="5" s="1"/>
  <c r="M419" i="5"/>
  <c r="I419" i="5"/>
  <c r="E419" i="5"/>
  <c r="AB418" i="5"/>
  <c r="X418" i="5"/>
  <c r="T418" i="5"/>
  <c r="M418" i="5"/>
  <c r="I418" i="5"/>
  <c r="E418" i="5"/>
  <c r="AB417" i="5"/>
  <c r="X417" i="5"/>
  <c r="T417" i="5"/>
  <c r="AC417" i="5" s="1"/>
  <c r="M417" i="5"/>
  <c r="I417" i="5"/>
  <c r="E417" i="5"/>
  <c r="AB416" i="5"/>
  <c r="X416" i="5"/>
  <c r="T416" i="5"/>
  <c r="AC416" i="5" s="1"/>
  <c r="M416" i="5"/>
  <c r="I416" i="5"/>
  <c r="E416" i="5"/>
  <c r="AB415" i="5"/>
  <c r="X415" i="5"/>
  <c r="T415" i="5"/>
  <c r="AC415" i="5" s="1"/>
  <c r="M415" i="5"/>
  <c r="I415" i="5"/>
  <c r="E415" i="5"/>
  <c r="AB414" i="5"/>
  <c r="X414" i="5"/>
  <c r="T414" i="5"/>
  <c r="M414" i="5"/>
  <c r="I414" i="5"/>
  <c r="E414" i="5"/>
  <c r="AB413" i="5"/>
  <c r="X413" i="5"/>
  <c r="T413" i="5"/>
  <c r="AC413" i="5" s="1"/>
  <c r="M413" i="5"/>
  <c r="I413" i="5"/>
  <c r="E413" i="5"/>
  <c r="AB412" i="5"/>
  <c r="X412" i="5"/>
  <c r="T412" i="5"/>
  <c r="AC412" i="5" s="1"/>
  <c r="M412" i="5"/>
  <c r="I412" i="5"/>
  <c r="E412" i="5"/>
  <c r="AB411" i="5"/>
  <c r="X411" i="5"/>
  <c r="T411" i="5"/>
  <c r="AC411" i="5" s="1"/>
  <c r="M411" i="5"/>
  <c r="I411" i="5"/>
  <c r="E411" i="5"/>
  <c r="AB410" i="5"/>
  <c r="X410" i="5"/>
  <c r="T410" i="5"/>
  <c r="AC410" i="5" s="1"/>
  <c r="M410" i="5"/>
  <c r="I410" i="5"/>
  <c r="E410" i="5"/>
  <c r="AB409" i="5"/>
  <c r="X409" i="5"/>
  <c r="T409" i="5"/>
  <c r="AC409" i="5" s="1"/>
  <c r="M409" i="5"/>
  <c r="I409" i="5"/>
  <c r="E409" i="5"/>
  <c r="AB408" i="5"/>
  <c r="X408" i="5"/>
  <c r="T408" i="5"/>
  <c r="AC408" i="5" s="1"/>
  <c r="M408" i="5"/>
  <c r="I408" i="5"/>
  <c r="E408" i="5"/>
  <c r="AB407" i="5"/>
  <c r="X407" i="5"/>
  <c r="T407" i="5"/>
  <c r="AC407" i="5" s="1"/>
  <c r="M407" i="5"/>
  <c r="I407" i="5"/>
  <c r="E407" i="5"/>
  <c r="AB406" i="5"/>
  <c r="X406" i="5"/>
  <c r="T406" i="5"/>
  <c r="AC406" i="5" s="1"/>
  <c r="M406" i="5"/>
  <c r="I406" i="5"/>
  <c r="E406" i="5"/>
  <c r="AB405" i="5"/>
  <c r="X405" i="5"/>
  <c r="T405" i="5"/>
  <c r="AC405" i="5" s="1"/>
  <c r="M405" i="5"/>
  <c r="I405" i="5"/>
  <c r="E405" i="5"/>
  <c r="AB404" i="5"/>
  <c r="X404" i="5"/>
  <c r="T404" i="5"/>
  <c r="AC404" i="5" s="1"/>
  <c r="M404" i="5"/>
  <c r="I404" i="5"/>
  <c r="E404" i="5"/>
  <c r="AB403" i="5"/>
  <c r="X403" i="5"/>
  <c r="T403" i="5"/>
  <c r="AC403" i="5" s="1"/>
  <c r="M403" i="5"/>
  <c r="I403" i="5"/>
  <c r="I427" i="5" s="1"/>
  <c r="E403" i="5"/>
  <c r="J402" i="5"/>
  <c r="F402" i="5"/>
  <c r="B402" i="5"/>
  <c r="AB401" i="5"/>
  <c r="X401" i="5"/>
  <c r="T401" i="5"/>
  <c r="AC401" i="5" s="1"/>
  <c r="M401" i="5"/>
  <c r="I401" i="5"/>
  <c r="E401" i="5"/>
  <c r="N401" i="5" s="1"/>
  <c r="AB400" i="5"/>
  <c r="X400" i="5"/>
  <c r="T400" i="5"/>
  <c r="AC400" i="5" s="1"/>
  <c r="M400" i="5"/>
  <c r="I400" i="5"/>
  <c r="E400" i="5"/>
  <c r="N400" i="5" s="1"/>
  <c r="AB399" i="5"/>
  <c r="X399" i="5"/>
  <c r="T399" i="5"/>
  <c r="AC399" i="5" s="1"/>
  <c r="M399" i="5"/>
  <c r="I399" i="5"/>
  <c r="E399" i="5"/>
  <c r="N399" i="5" s="1"/>
  <c r="AB398" i="5"/>
  <c r="X398" i="5"/>
  <c r="T398" i="5"/>
  <c r="M398" i="5"/>
  <c r="I398" i="5"/>
  <c r="E398" i="5"/>
  <c r="AB397" i="5"/>
  <c r="X397" i="5"/>
  <c r="AC397" i="5" s="1"/>
  <c r="T397" i="5"/>
  <c r="M397" i="5"/>
  <c r="I397" i="5"/>
  <c r="E397" i="5"/>
  <c r="AB396" i="5"/>
  <c r="X396" i="5"/>
  <c r="AC396" i="5" s="1"/>
  <c r="T396" i="5"/>
  <c r="M396" i="5"/>
  <c r="I396" i="5"/>
  <c r="E396" i="5"/>
  <c r="AB395" i="5"/>
  <c r="X395" i="5"/>
  <c r="AC395" i="5" s="1"/>
  <c r="T395" i="5"/>
  <c r="M395" i="5"/>
  <c r="I395" i="5"/>
  <c r="E395" i="5"/>
  <c r="AB394" i="5"/>
  <c r="X394" i="5"/>
  <c r="AC394" i="5" s="1"/>
  <c r="T394" i="5"/>
  <c r="M394" i="5"/>
  <c r="I394" i="5"/>
  <c r="E394" i="5"/>
  <c r="AB393" i="5"/>
  <c r="X393" i="5"/>
  <c r="AC393" i="5" s="1"/>
  <c r="T393" i="5"/>
  <c r="M393" i="5"/>
  <c r="I393" i="5"/>
  <c r="E393" i="5"/>
  <c r="AB392" i="5"/>
  <c r="X392" i="5"/>
  <c r="AC392" i="5" s="1"/>
  <c r="T392" i="5"/>
  <c r="M392" i="5"/>
  <c r="I392" i="5"/>
  <c r="E392" i="5"/>
  <c r="Z391" i="5"/>
  <c r="Z402" i="5" s="1"/>
  <c r="Y391" i="5"/>
  <c r="Y402" i="5" s="1"/>
  <c r="Y428" i="5" s="1"/>
  <c r="X391" i="5"/>
  <c r="W391" i="5"/>
  <c r="W402" i="5" s="1"/>
  <c r="W428" i="5" s="1"/>
  <c r="V391" i="5"/>
  <c r="V402" i="5" s="1"/>
  <c r="V428" i="5" s="1"/>
  <c r="U391" i="5"/>
  <c r="U402" i="5" s="1"/>
  <c r="U428" i="5" s="1"/>
  <c r="T391" i="5"/>
  <c r="S391" i="5"/>
  <c r="S402" i="5" s="1"/>
  <c r="R391" i="5"/>
  <c r="R402" i="5" s="1"/>
  <c r="Q391" i="5"/>
  <c r="Q402" i="5" s="1"/>
  <c r="M391" i="5"/>
  <c r="L391" i="5"/>
  <c r="L402" i="5" s="1"/>
  <c r="L428" i="5" s="1"/>
  <c r="K391" i="5"/>
  <c r="K402" i="5" s="1"/>
  <c r="J391" i="5"/>
  <c r="H391" i="5"/>
  <c r="H402" i="5" s="1"/>
  <c r="H428" i="5" s="1"/>
  <c r="F391" i="5"/>
  <c r="E391" i="5"/>
  <c r="D391" i="5"/>
  <c r="D402" i="5" s="1"/>
  <c r="D428" i="5" s="1"/>
  <c r="C391" i="5"/>
  <c r="C402" i="5" s="1"/>
  <c r="B391" i="5"/>
  <c r="AA212" i="1"/>
  <c r="Z212" i="1"/>
  <c r="Y212" i="1"/>
  <c r="W212" i="1"/>
  <c r="V212" i="1"/>
  <c r="U212" i="1"/>
  <c r="S212" i="1"/>
  <c r="R212" i="1"/>
  <c r="Q212" i="1"/>
  <c r="L212" i="1"/>
  <c r="K212" i="1"/>
  <c r="J212" i="1"/>
  <c r="H212" i="1"/>
  <c r="G212" i="1"/>
  <c r="F212" i="1"/>
  <c r="D212" i="1"/>
  <c r="C212" i="1"/>
  <c r="B212" i="1"/>
  <c r="AB211" i="1"/>
  <c r="X211" i="1"/>
  <c r="T211" i="1"/>
  <c r="M211" i="1"/>
  <c r="I211" i="1"/>
  <c r="E211" i="1"/>
  <c r="AB210" i="1"/>
  <c r="X210" i="1"/>
  <c r="T210" i="1"/>
  <c r="M210" i="1"/>
  <c r="I210" i="1"/>
  <c r="E210" i="1"/>
  <c r="AB209" i="1"/>
  <c r="X209" i="1"/>
  <c r="T209" i="1"/>
  <c r="M209" i="1"/>
  <c r="I209" i="1"/>
  <c r="E209" i="1"/>
  <c r="AB208" i="1"/>
  <c r="X208" i="1"/>
  <c r="T208" i="1"/>
  <c r="M208" i="1"/>
  <c r="I208" i="1"/>
  <c r="E208" i="1"/>
  <c r="AB207" i="1"/>
  <c r="X207" i="1"/>
  <c r="AC207" i="1" s="1"/>
  <c r="T207" i="1"/>
  <c r="M207" i="1"/>
  <c r="I207" i="1"/>
  <c r="E207" i="1"/>
  <c r="AB206" i="1"/>
  <c r="X206" i="1"/>
  <c r="AC206" i="1" s="1"/>
  <c r="T206" i="1"/>
  <c r="M206" i="1"/>
  <c r="I206" i="1"/>
  <c r="E206" i="1"/>
  <c r="AB205" i="1"/>
  <c r="X205" i="1"/>
  <c r="AC205" i="1" s="1"/>
  <c r="T205" i="1"/>
  <c r="M205" i="1"/>
  <c r="I205" i="1"/>
  <c r="E205" i="1"/>
  <c r="AB204" i="1"/>
  <c r="X204" i="1"/>
  <c r="T204" i="1"/>
  <c r="M204" i="1"/>
  <c r="I204" i="1"/>
  <c r="E204" i="1"/>
  <c r="AB203" i="1"/>
  <c r="X203" i="1"/>
  <c r="T203" i="1"/>
  <c r="M203" i="1"/>
  <c r="I203" i="1"/>
  <c r="E203" i="1"/>
  <c r="AB202" i="1"/>
  <c r="X202" i="1"/>
  <c r="T202" i="1"/>
  <c r="M202" i="1"/>
  <c r="I202" i="1"/>
  <c r="E202" i="1"/>
  <c r="AB201" i="1"/>
  <c r="X201" i="1"/>
  <c r="T201" i="1"/>
  <c r="M201" i="1"/>
  <c r="I201" i="1"/>
  <c r="E201" i="1"/>
  <c r="AB200" i="1"/>
  <c r="X200" i="1"/>
  <c r="T200" i="1"/>
  <c r="M200" i="1"/>
  <c r="I200" i="1"/>
  <c r="E200" i="1"/>
  <c r="AB199" i="1"/>
  <c r="X199" i="1"/>
  <c r="T199" i="1"/>
  <c r="M199" i="1"/>
  <c r="I199" i="1"/>
  <c r="E199" i="1"/>
  <c r="AB198" i="1"/>
  <c r="X198" i="1"/>
  <c r="T198" i="1"/>
  <c r="M198" i="1"/>
  <c r="I198" i="1"/>
  <c r="E198" i="1"/>
  <c r="AB197" i="1"/>
  <c r="X197" i="1"/>
  <c r="T197" i="1"/>
  <c r="M197" i="1"/>
  <c r="I197" i="1"/>
  <c r="E197" i="1"/>
  <c r="AB196" i="1"/>
  <c r="X196" i="1"/>
  <c r="T196" i="1"/>
  <c r="M196" i="1"/>
  <c r="I196" i="1"/>
  <c r="E196" i="1"/>
  <c r="AB195" i="1"/>
  <c r="X195" i="1"/>
  <c r="T195" i="1"/>
  <c r="M195" i="1"/>
  <c r="I195" i="1"/>
  <c r="E195" i="1"/>
  <c r="AB194" i="1"/>
  <c r="X194" i="1"/>
  <c r="T194" i="1"/>
  <c r="M194" i="1"/>
  <c r="I194" i="1"/>
  <c r="E194" i="1"/>
  <c r="AB193" i="1"/>
  <c r="X193" i="1"/>
  <c r="X212" i="1" s="1"/>
  <c r="T193" i="1"/>
  <c r="M193" i="1"/>
  <c r="I193" i="1"/>
  <c r="E193" i="1"/>
  <c r="AB192" i="1"/>
  <c r="X192" i="1"/>
  <c r="T192" i="1"/>
  <c r="M192" i="1"/>
  <c r="I192" i="1"/>
  <c r="E192" i="1"/>
  <c r="AB191" i="1"/>
  <c r="X191" i="1"/>
  <c r="T191" i="1"/>
  <c r="M191" i="1"/>
  <c r="I191" i="1"/>
  <c r="E191" i="1"/>
  <c r="AB190" i="1"/>
  <c r="X190" i="1"/>
  <c r="T190" i="1"/>
  <c r="M190" i="1"/>
  <c r="I190" i="1"/>
  <c r="E190" i="1"/>
  <c r="AB189" i="1"/>
  <c r="X189" i="1"/>
  <c r="T189" i="1"/>
  <c r="M189" i="1"/>
  <c r="I189" i="1"/>
  <c r="E189" i="1"/>
  <c r="AB188" i="1"/>
  <c r="X188" i="1"/>
  <c r="T188" i="1"/>
  <c r="M188" i="1"/>
  <c r="I188" i="1"/>
  <c r="E188" i="1"/>
  <c r="AB186" i="1"/>
  <c r="X186" i="1"/>
  <c r="T186" i="1"/>
  <c r="M186" i="1"/>
  <c r="I186" i="1"/>
  <c r="E186" i="1"/>
  <c r="N186" i="1" s="1"/>
  <c r="AB185" i="1"/>
  <c r="X185" i="1"/>
  <c r="T185" i="1"/>
  <c r="M185" i="1"/>
  <c r="I185" i="1"/>
  <c r="E185" i="1"/>
  <c r="N185" i="1" s="1"/>
  <c r="AB184" i="1"/>
  <c r="X184" i="1"/>
  <c r="T184" i="1"/>
  <c r="M184" i="1"/>
  <c r="I184" i="1"/>
  <c r="E184" i="1"/>
  <c r="N184" i="1" s="1"/>
  <c r="AB183" i="1"/>
  <c r="X183" i="1"/>
  <c r="T183" i="1"/>
  <c r="M183" i="1"/>
  <c r="I183" i="1"/>
  <c r="E183" i="1"/>
  <c r="N183" i="1" s="1"/>
  <c r="AB182" i="1"/>
  <c r="X182" i="1"/>
  <c r="AC182" i="1" s="1"/>
  <c r="T182" i="1"/>
  <c r="M182" i="1"/>
  <c r="I182" i="1"/>
  <c r="E182" i="1"/>
  <c r="AB181" i="1"/>
  <c r="X181" i="1"/>
  <c r="T181" i="1"/>
  <c r="M181" i="1"/>
  <c r="I181" i="1"/>
  <c r="E181" i="1"/>
  <c r="AB180" i="1"/>
  <c r="X180" i="1"/>
  <c r="T180" i="1"/>
  <c r="M180" i="1"/>
  <c r="I180" i="1"/>
  <c r="E180" i="1"/>
  <c r="AB179" i="1"/>
  <c r="X179" i="1"/>
  <c r="T179" i="1"/>
  <c r="M179" i="1"/>
  <c r="I179" i="1"/>
  <c r="E179" i="1"/>
  <c r="AB178" i="1"/>
  <c r="X178" i="1"/>
  <c r="T178" i="1"/>
  <c r="M178" i="1"/>
  <c r="I178" i="1"/>
  <c r="E178" i="1"/>
  <c r="AB177" i="1"/>
  <c r="X177" i="1"/>
  <c r="T177" i="1"/>
  <c r="M177" i="1"/>
  <c r="I177" i="1"/>
  <c r="E177" i="1"/>
  <c r="AC176" i="1"/>
  <c r="AB176" i="1"/>
  <c r="AA176" i="1"/>
  <c r="AA187" i="1" s="1"/>
  <c r="AA213" i="1" s="1"/>
  <c r="Z176" i="1"/>
  <c r="Z187" i="1" s="1"/>
  <c r="Y176" i="1"/>
  <c r="Y187" i="1" s="1"/>
  <c r="Y213" i="1" s="1"/>
  <c r="Y219" i="1" s="1"/>
  <c r="Y230" i="1" s="1"/>
  <c r="X176" i="1"/>
  <c r="W176" i="1"/>
  <c r="W187" i="1" s="1"/>
  <c r="W213" i="1" s="1"/>
  <c r="V176" i="1"/>
  <c r="V187" i="1" s="1"/>
  <c r="U176" i="1"/>
  <c r="U187" i="1" s="1"/>
  <c r="T176" i="1"/>
  <c r="S176" i="1"/>
  <c r="S187" i="1" s="1"/>
  <c r="S213" i="1" s="1"/>
  <c r="R176" i="1"/>
  <c r="R187" i="1" s="1"/>
  <c r="R213" i="1" s="1"/>
  <c r="Q176" i="1"/>
  <c r="Q187" i="1" s="1"/>
  <c r="L176" i="1"/>
  <c r="L187" i="1" s="1"/>
  <c r="K176" i="1"/>
  <c r="K187" i="1" s="1"/>
  <c r="K213" i="1" s="1"/>
  <c r="J176" i="1"/>
  <c r="J187" i="1" s="1"/>
  <c r="H176" i="1"/>
  <c r="H187" i="1" s="1"/>
  <c r="F176" i="1"/>
  <c r="F187" i="1" s="1"/>
  <c r="D176" i="1"/>
  <c r="D187" i="1" s="1"/>
  <c r="D213" i="1" s="1"/>
  <c r="B176" i="1"/>
  <c r="B187" i="1" s="1"/>
  <c r="E48" i="7"/>
  <c r="I48" i="7"/>
  <c r="M48" i="7"/>
  <c r="E352" i="5"/>
  <c r="I352" i="5"/>
  <c r="M352" i="5"/>
  <c r="E30" i="6"/>
  <c r="I30" i="6"/>
  <c r="M30" i="6"/>
  <c r="N30" i="6"/>
  <c r="M29" i="6"/>
  <c r="I29" i="6"/>
  <c r="E29" i="6"/>
  <c r="N29" i="6" s="1"/>
  <c r="E366" i="5"/>
  <c r="I366" i="5"/>
  <c r="M366" i="5"/>
  <c r="N366" i="5" s="1"/>
  <c r="L384" i="5"/>
  <c r="K384" i="5"/>
  <c r="J384" i="5"/>
  <c r="H384" i="5"/>
  <c r="G384" i="5"/>
  <c r="F384" i="5"/>
  <c r="D384" i="5"/>
  <c r="C384" i="5"/>
  <c r="B384" i="5"/>
  <c r="M383" i="5"/>
  <c r="I383" i="5"/>
  <c r="E383" i="5"/>
  <c r="N383" i="5" s="1"/>
  <c r="M382" i="5"/>
  <c r="I382" i="5"/>
  <c r="E382" i="5"/>
  <c r="M381" i="5"/>
  <c r="I381" i="5"/>
  <c r="E381" i="5"/>
  <c r="M380" i="5"/>
  <c r="I380" i="5"/>
  <c r="E380" i="5"/>
  <c r="N380" i="5" s="1"/>
  <c r="M379" i="5"/>
  <c r="I379" i="5"/>
  <c r="E379" i="5"/>
  <c r="N379" i="5" s="1"/>
  <c r="N378" i="5"/>
  <c r="M378" i="5"/>
  <c r="I378" i="5"/>
  <c r="E378" i="5"/>
  <c r="M377" i="5"/>
  <c r="I377" i="5"/>
  <c r="E377" i="5"/>
  <c r="M376" i="5"/>
  <c r="I376" i="5"/>
  <c r="E376" i="5"/>
  <c r="N375" i="5"/>
  <c r="M375" i="5"/>
  <c r="I375" i="5"/>
  <c r="E375" i="5"/>
  <c r="M374" i="5"/>
  <c r="I374" i="5"/>
  <c r="E374" i="5"/>
  <c r="N374" i="5" s="1"/>
  <c r="M373" i="5"/>
  <c r="I373" i="5"/>
  <c r="E373" i="5"/>
  <c r="N373" i="5" s="1"/>
  <c r="M372" i="5"/>
  <c r="N372" i="5" s="1"/>
  <c r="I372" i="5"/>
  <c r="E372" i="5"/>
  <c r="M371" i="5"/>
  <c r="I371" i="5"/>
  <c r="E371" i="5"/>
  <c r="M370" i="5"/>
  <c r="I370" i="5"/>
  <c r="E370" i="5"/>
  <c r="M369" i="5"/>
  <c r="N369" i="5" s="1"/>
  <c r="I369" i="5"/>
  <c r="E369" i="5"/>
  <c r="M368" i="5"/>
  <c r="I368" i="5"/>
  <c r="E368" i="5"/>
  <c r="M367" i="5"/>
  <c r="I367" i="5"/>
  <c r="E367" i="5"/>
  <c r="N367" i="5" s="1"/>
  <c r="M365" i="5"/>
  <c r="I365" i="5"/>
  <c r="E365" i="5"/>
  <c r="N365" i="5" s="1"/>
  <c r="M364" i="5"/>
  <c r="I364" i="5"/>
  <c r="E364" i="5"/>
  <c r="N364" i="5" s="1"/>
  <c r="M363" i="5"/>
  <c r="I363" i="5"/>
  <c r="E363" i="5"/>
  <c r="M362" i="5"/>
  <c r="I362" i="5"/>
  <c r="E362" i="5"/>
  <c r="N362" i="5" s="1"/>
  <c r="M361" i="5"/>
  <c r="I361" i="5"/>
  <c r="E361" i="5"/>
  <c r="M360" i="5"/>
  <c r="I360" i="5"/>
  <c r="E360" i="5"/>
  <c r="M358" i="5"/>
  <c r="I358" i="5"/>
  <c r="N358" i="5" s="1"/>
  <c r="E358" i="5"/>
  <c r="M357" i="5"/>
  <c r="I357" i="5"/>
  <c r="E357" i="5"/>
  <c r="N357" i="5" s="1"/>
  <c r="N356" i="5"/>
  <c r="M356" i="5"/>
  <c r="I356" i="5"/>
  <c r="E356" i="5"/>
  <c r="M355" i="5"/>
  <c r="I355" i="5"/>
  <c r="N355" i="5" s="1"/>
  <c r="E355" i="5"/>
  <c r="M354" i="5"/>
  <c r="I354" i="5"/>
  <c r="E354" i="5"/>
  <c r="N354" i="5" s="1"/>
  <c r="N353" i="5"/>
  <c r="M353" i="5"/>
  <c r="I353" i="5"/>
  <c r="E353" i="5"/>
  <c r="M351" i="5"/>
  <c r="I351" i="5"/>
  <c r="E351" i="5"/>
  <c r="N351" i="5" s="1"/>
  <c r="M350" i="5"/>
  <c r="I350" i="5"/>
  <c r="E350" i="5"/>
  <c r="M349" i="5"/>
  <c r="I349" i="5"/>
  <c r="N349" i="5" s="1"/>
  <c r="E349" i="5"/>
  <c r="L341" i="5"/>
  <c r="K341" i="5"/>
  <c r="J341" i="5"/>
  <c r="H341" i="5"/>
  <c r="G341" i="5"/>
  <c r="F341" i="5"/>
  <c r="D341" i="5"/>
  <c r="C341" i="5"/>
  <c r="B341" i="5"/>
  <c r="N340" i="5"/>
  <c r="M340" i="5"/>
  <c r="I340" i="5"/>
  <c r="E340" i="5"/>
  <c r="M339" i="5"/>
  <c r="I339" i="5"/>
  <c r="E339" i="5"/>
  <c r="N339" i="5" s="1"/>
  <c r="M338" i="5"/>
  <c r="I338" i="5"/>
  <c r="E338" i="5"/>
  <c r="N338" i="5" s="1"/>
  <c r="M337" i="5"/>
  <c r="N337" i="5" s="1"/>
  <c r="I337" i="5"/>
  <c r="E337" i="5"/>
  <c r="M336" i="5"/>
  <c r="I336" i="5"/>
  <c r="E336" i="5"/>
  <c r="N336" i="5" s="1"/>
  <c r="M335" i="5"/>
  <c r="I335" i="5"/>
  <c r="E335" i="5"/>
  <c r="N335" i="5" s="1"/>
  <c r="M334" i="5"/>
  <c r="N334" i="5" s="1"/>
  <c r="I334" i="5"/>
  <c r="E334" i="5"/>
  <c r="M333" i="5"/>
  <c r="I333" i="5"/>
  <c r="E333" i="5"/>
  <c r="N333" i="5" s="1"/>
  <c r="M332" i="5"/>
  <c r="I332" i="5"/>
  <c r="E332" i="5"/>
  <c r="N332" i="5" s="1"/>
  <c r="N331" i="5"/>
  <c r="M331" i="5"/>
  <c r="I331" i="5"/>
  <c r="E331" i="5"/>
  <c r="M330" i="5"/>
  <c r="I330" i="5"/>
  <c r="E330" i="5"/>
  <c r="N330" i="5" s="1"/>
  <c r="M329" i="5"/>
  <c r="I329" i="5"/>
  <c r="E329" i="5"/>
  <c r="N329" i="5" s="1"/>
  <c r="M328" i="5"/>
  <c r="N328" i="5" s="1"/>
  <c r="I328" i="5"/>
  <c r="E328" i="5"/>
  <c r="M327" i="5"/>
  <c r="I327" i="5"/>
  <c r="E327" i="5"/>
  <c r="N327" i="5" s="1"/>
  <c r="M326" i="5"/>
  <c r="I326" i="5"/>
  <c r="E326" i="5"/>
  <c r="N326" i="5" s="1"/>
  <c r="M325" i="5"/>
  <c r="N325" i="5" s="1"/>
  <c r="I325" i="5"/>
  <c r="E325" i="5"/>
  <c r="M324" i="5"/>
  <c r="I324" i="5"/>
  <c r="E324" i="5"/>
  <c r="N324" i="5" s="1"/>
  <c r="M323" i="5"/>
  <c r="I323" i="5"/>
  <c r="E323" i="5"/>
  <c r="N323" i="5" s="1"/>
  <c r="N322" i="5"/>
  <c r="M322" i="5"/>
  <c r="I322" i="5"/>
  <c r="E322" i="5"/>
  <c r="M321" i="5"/>
  <c r="I321" i="5"/>
  <c r="E321" i="5"/>
  <c r="M320" i="5"/>
  <c r="I320" i="5"/>
  <c r="E320" i="5"/>
  <c r="M319" i="5"/>
  <c r="I319" i="5"/>
  <c r="E319" i="5"/>
  <c r="M318" i="5"/>
  <c r="I318" i="5"/>
  <c r="E318" i="5"/>
  <c r="N318" i="5" s="1"/>
  <c r="M317" i="5"/>
  <c r="I317" i="5"/>
  <c r="E317" i="5"/>
  <c r="N315" i="5"/>
  <c r="M315" i="5"/>
  <c r="I315" i="5"/>
  <c r="E315" i="5"/>
  <c r="M314" i="5"/>
  <c r="I314" i="5"/>
  <c r="N314" i="5" s="1"/>
  <c r="E314" i="5"/>
  <c r="M313" i="5"/>
  <c r="I313" i="5"/>
  <c r="E313" i="5"/>
  <c r="N313" i="5" s="1"/>
  <c r="N312" i="5"/>
  <c r="M312" i="5"/>
  <c r="I312" i="5"/>
  <c r="E312" i="5"/>
  <c r="M311" i="5"/>
  <c r="I311" i="5"/>
  <c r="N311" i="5" s="1"/>
  <c r="E311" i="5"/>
  <c r="M310" i="5"/>
  <c r="I310" i="5"/>
  <c r="E310" i="5"/>
  <c r="N310" i="5" s="1"/>
  <c r="N309" i="5"/>
  <c r="M309" i="5"/>
  <c r="I309" i="5"/>
  <c r="E309" i="5"/>
  <c r="M308" i="5"/>
  <c r="I308" i="5"/>
  <c r="N308" i="5" s="1"/>
  <c r="E308" i="5"/>
  <c r="M307" i="5"/>
  <c r="I307" i="5"/>
  <c r="E307" i="5"/>
  <c r="N307" i="5" s="1"/>
  <c r="N306" i="5"/>
  <c r="M306" i="5"/>
  <c r="I306" i="5"/>
  <c r="E306" i="5"/>
  <c r="L298" i="5"/>
  <c r="K298" i="5"/>
  <c r="J298" i="5"/>
  <c r="I298" i="5"/>
  <c r="H298" i="5"/>
  <c r="G298" i="5"/>
  <c r="F298" i="5"/>
  <c r="D298" i="5"/>
  <c r="C298" i="5"/>
  <c r="B298" i="5"/>
  <c r="M297" i="5"/>
  <c r="I297" i="5"/>
  <c r="E297" i="5"/>
  <c r="N297" i="5" s="1"/>
  <c r="M296" i="5"/>
  <c r="N296" i="5" s="1"/>
  <c r="I296" i="5"/>
  <c r="E296" i="5"/>
  <c r="M295" i="5"/>
  <c r="I295" i="5"/>
  <c r="E295" i="5"/>
  <c r="N295" i="5" s="1"/>
  <c r="M294" i="5"/>
  <c r="I294" i="5"/>
  <c r="E294" i="5"/>
  <c r="N294" i="5" s="1"/>
  <c r="M293" i="5"/>
  <c r="N293" i="5" s="1"/>
  <c r="I293" i="5"/>
  <c r="E293" i="5"/>
  <c r="M292" i="5"/>
  <c r="I292" i="5"/>
  <c r="E292" i="5"/>
  <c r="M291" i="5"/>
  <c r="I291" i="5"/>
  <c r="E291" i="5"/>
  <c r="N291" i="5" s="1"/>
  <c r="N290" i="5"/>
  <c r="M290" i="5"/>
  <c r="I290" i="5"/>
  <c r="E290" i="5"/>
  <c r="M289" i="5"/>
  <c r="I289" i="5"/>
  <c r="E289" i="5"/>
  <c r="M288" i="5"/>
  <c r="I288" i="5"/>
  <c r="E288" i="5"/>
  <c r="N288" i="5" s="1"/>
  <c r="M287" i="5"/>
  <c r="N287" i="5" s="1"/>
  <c r="I287" i="5"/>
  <c r="E287" i="5"/>
  <c r="M286" i="5"/>
  <c r="I286" i="5"/>
  <c r="E286" i="5"/>
  <c r="N286" i="5" s="1"/>
  <c r="M285" i="5"/>
  <c r="I285" i="5"/>
  <c r="E285" i="5"/>
  <c r="N285" i="5" s="1"/>
  <c r="M284" i="5"/>
  <c r="N284" i="5" s="1"/>
  <c r="I284" i="5"/>
  <c r="E284" i="5"/>
  <c r="M283" i="5"/>
  <c r="I283" i="5"/>
  <c r="E283" i="5"/>
  <c r="M282" i="5"/>
  <c r="I282" i="5"/>
  <c r="E282" i="5"/>
  <c r="N282" i="5" s="1"/>
  <c r="N281" i="5"/>
  <c r="M281" i="5"/>
  <c r="I281" i="5"/>
  <c r="E281" i="5"/>
  <c r="M280" i="5"/>
  <c r="I280" i="5"/>
  <c r="E280" i="5"/>
  <c r="N280" i="5" s="1"/>
  <c r="M279" i="5"/>
  <c r="I279" i="5"/>
  <c r="E279" i="5"/>
  <c r="N279" i="5" s="1"/>
  <c r="M278" i="5"/>
  <c r="N278" i="5" s="1"/>
  <c r="I278" i="5"/>
  <c r="E278" i="5"/>
  <c r="M277" i="5"/>
  <c r="I277" i="5"/>
  <c r="E277" i="5"/>
  <c r="N277" i="5" s="1"/>
  <c r="M276" i="5"/>
  <c r="I276" i="5"/>
  <c r="E276" i="5"/>
  <c r="N276" i="5" s="1"/>
  <c r="M275" i="5"/>
  <c r="N275" i="5" s="1"/>
  <c r="I275" i="5"/>
  <c r="E275" i="5"/>
  <c r="M274" i="5"/>
  <c r="M298" i="5" s="1"/>
  <c r="I274" i="5"/>
  <c r="E274" i="5"/>
  <c r="M272" i="5"/>
  <c r="I272" i="5"/>
  <c r="E272" i="5"/>
  <c r="N272" i="5" s="1"/>
  <c r="N271" i="5"/>
  <c r="M271" i="5"/>
  <c r="I271" i="5"/>
  <c r="E271" i="5"/>
  <c r="M270" i="5"/>
  <c r="I270" i="5"/>
  <c r="N270" i="5" s="1"/>
  <c r="E270" i="5"/>
  <c r="M269" i="5"/>
  <c r="I269" i="5"/>
  <c r="E269" i="5"/>
  <c r="N269" i="5" s="1"/>
  <c r="N268" i="5"/>
  <c r="M268" i="5"/>
  <c r="I268" i="5"/>
  <c r="E268" i="5"/>
  <c r="M267" i="5"/>
  <c r="I267" i="5"/>
  <c r="E267" i="5"/>
  <c r="M266" i="5"/>
  <c r="I266" i="5"/>
  <c r="E266" i="5"/>
  <c r="N266" i="5" s="1"/>
  <c r="N265" i="5"/>
  <c r="M265" i="5"/>
  <c r="I265" i="5"/>
  <c r="E265" i="5"/>
  <c r="M264" i="5"/>
  <c r="I264" i="5"/>
  <c r="N264" i="5" s="1"/>
  <c r="E264" i="5"/>
  <c r="M263" i="5"/>
  <c r="I263" i="5"/>
  <c r="E263" i="5"/>
  <c r="N263" i="5" s="1"/>
  <c r="L255" i="5"/>
  <c r="J255" i="5"/>
  <c r="H255" i="5"/>
  <c r="G255" i="5"/>
  <c r="F255" i="5"/>
  <c r="D255" i="5"/>
  <c r="C255" i="5"/>
  <c r="B255" i="5"/>
  <c r="M254" i="5"/>
  <c r="I254" i="5"/>
  <c r="E254" i="5"/>
  <c r="M253" i="5"/>
  <c r="I253" i="5"/>
  <c r="E253" i="5"/>
  <c r="N253" i="5" s="1"/>
  <c r="M252" i="5"/>
  <c r="N252" i="5" s="1"/>
  <c r="I252" i="5"/>
  <c r="E252" i="5"/>
  <c r="M251" i="5"/>
  <c r="I251" i="5"/>
  <c r="E251" i="5"/>
  <c r="N251" i="5" s="1"/>
  <c r="M250" i="5"/>
  <c r="I250" i="5"/>
  <c r="E250" i="5"/>
  <c r="N250" i="5" s="1"/>
  <c r="M249" i="5"/>
  <c r="N249" i="5" s="1"/>
  <c r="I249" i="5"/>
  <c r="E249" i="5"/>
  <c r="M248" i="5"/>
  <c r="I248" i="5"/>
  <c r="E248" i="5"/>
  <c r="M247" i="5"/>
  <c r="I247" i="5"/>
  <c r="E247" i="5"/>
  <c r="N247" i="5" s="1"/>
  <c r="M246" i="5"/>
  <c r="N246" i="5" s="1"/>
  <c r="I246" i="5"/>
  <c r="E246" i="5"/>
  <c r="M245" i="5"/>
  <c r="I245" i="5"/>
  <c r="E245" i="5"/>
  <c r="M244" i="5"/>
  <c r="I244" i="5"/>
  <c r="E244" i="5"/>
  <c r="N244" i="5" s="1"/>
  <c r="N243" i="5"/>
  <c r="M243" i="5"/>
  <c r="I243" i="5"/>
  <c r="E243" i="5"/>
  <c r="K242" i="5"/>
  <c r="M242" i="5" s="1"/>
  <c r="I242" i="5"/>
  <c r="E242" i="5"/>
  <c r="N242" i="5" s="1"/>
  <c r="M241" i="5"/>
  <c r="I241" i="5"/>
  <c r="E241" i="5"/>
  <c r="N241" i="5" s="1"/>
  <c r="N240" i="5"/>
  <c r="M240" i="5"/>
  <c r="I240" i="5"/>
  <c r="E240" i="5"/>
  <c r="M239" i="5"/>
  <c r="I239" i="5"/>
  <c r="N239" i="5" s="1"/>
  <c r="E239" i="5"/>
  <c r="M238" i="5"/>
  <c r="I238" i="5"/>
  <c r="E238" i="5"/>
  <c r="N238" i="5" s="1"/>
  <c r="N237" i="5"/>
  <c r="M237" i="5"/>
  <c r="I237" i="5"/>
  <c r="E237" i="5"/>
  <c r="M236" i="5"/>
  <c r="I236" i="5"/>
  <c r="E236" i="5"/>
  <c r="M235" i="5"/>
  <c r="I235" i="5"/>
  <c r="E235" i="5"/>
  <c r="N235" i="5" s="1"/>
  <c r="N234" i="5"/>
  <c r="M234" i="5"/>
  <c r="I234" i="5"/>
  <c r="E234" i="5"/>
  <c r="M233" i="5"/>
  <c r="I233" i="5"/>
  <c r="D233" i="5"/>
  <c r="E233" i="5" s="1"/>
  <c r="N233" i="5" s="1"/>
  <c r="M232" i="5"/>
  <c r="I232" i="5"/>
  <c r="E232" i="5"/>
  <c r="N232" i="5" s="1"/>
  <c r="M231" i="5"/>
  <c r="I231" i="5"/>
  <c r="E231" i="5"/>
  <c r="N231" i="5" s="1"/>
  <c r="N229" i="5"/>
  <c r="M229" i="5"/>
  <c r="I229" i="5"/>
  <c r="E229" i="5"/>
  <c r="M228" i="5"/>
  <c r="I228" i="5"/>
  <c r="N228" i="5" s="1"/>
  <c r="E228" i="5"/>
  <c r="M227" i="5"/>
  <c r="I227" i="5"/>
  <c r="E227" i="5"/>
  <c r="N227" i="5" s="1"/>
  <c r="N226" i="5"/>
  <c r="M226" i="5"/>
  <c r="I226" i="5"/>
  <c r="E226" i="5"/>
  <c r="M225" i="5"/>
  <c r="I225" i="5"/>
  <c r="N225" i="5" s="1"/>
  <c r="E225" i="5"/>
  <c r="M224" i="5"/>
  <c r="I224" i="5"/>
  <c r="E224" i="5"/>
  <c r="N224" i="5" s="1"/>
  <c r="N223" i="5"/>
  <c r="M223" i="5"/>
  <c r="I223" i="5"/>
  <c r="E223" i="5"/>
  <c r="M222" i="5"/>
  <c r="I222" i="5"/>
  <c r="N222" i="5" s="1"/>
  <c r="E222" i="5"/>
  <c r="M221" i="5"/>
  <c r="I221" i="5"/>
  <c r="E221" i="5"/>
  <c r="N221" i="5" s="1"/>
  <c r="N220" i="5"/>
  <c r="M220" i="5"/>
  <c r="I220" i="5"/>
  <c r="E220" i="5"/>
  <c r="L212" i="5"/>
  <c r="J212" i="5"/>
  <c r="H212" i="5"/>
  <c r="G212" i="5"/>
  <c r="F212" i="5"/>
  <c r="D212" i="5"/>
  <c r="C212" i="5"/>
  <c r="B212" i="5"/>
  <c r="M211" i="5"/>
  <c r="K211" i="5"/>
  <c r="K212" i="5" s="1"/>
  <c r="I211" i="5"/>
  <c r="E211" i="5"/>
  <c r="N211" i="5" s="1"/>
  <c r="N210" i="5"/>
  <c r="M210" i="5"/>
  <c r="I210" i="5"/>
  <c r="E210" i="5"/>
  <c r="M209" i="5"/>
  <c r="I209" i="5"/>
  <c r="E209" i="5"/>
  <c r="M208" i="5"/>
  <c r="I208" i="5"/>
  <c r="E208" i="5"/>
  <c r="N208" i="5" s="1"/>
  <c r="N207" i="5"/>
  <c r="M207" i="5"/>
  <c r="I207" i="5"/>
  <c r="E207" i="5"/>
  <c r="M206" i="5"/>
  <c r="I206" i="5"/>
  <c r="N206" i="5" s="1"/>
  <c r="E206" i="5"/>
  <c r="M205" i="5"/>
  <c r="I205" i="5"/>
  <c r="E205" i="5"/>
  <c r="N205" i="5" s="1"/>
  <c r="N204" i="5"/>
  <c r="M204" i="5"/>
  <c r="I204" i="5"/>
  <c r="E204" i="5"/>
  <c r="M203" i="5"/>
  <c r="I203" i="5"/>
  <c r="E203" i="5"/>
  <c r="M202" i="5"/>
  <c r="I202" i="5"/>
  <c r="E202" i="5"/>
  <c r="N202" i="5" s="1"/>
  <c r="N201" i="5"/>
  <c r="M201" i="5"/>
  <c r="I201" i="5"/>
  <c r="E201" i="5"/>
  <c r="M200" i="5"/>
  <c r="I200" i="5"/>
  <c r="E200" i="5"/>
  <c r="M199" i="5"/>
  <c r="I199" i="5"/>
  <c r="E199" i="5"/>
  <c r="N199" i="5" s="1"/>
  <c r="N198" i="5"/>
  <c r="M198" i="5"/>
  <c r="I198" i="5"/>
  <c r="E198" i="5"/>
  <c r="M197" i="5"/>
  <c r="I197" i="5"/>
  <c r="E197" i="5"/>
  <c r="M196" i="5"/>
  <c r="I196" i="5"/>
  <c r="E196" i="5"/>
  <c r="N196" i="5" s="1"/>
  <c r="N195" i="5"/>
  <c r="M195" i="5"/>
  <c r="I195" i="5"/>
  <c r="E195" i="5"/>
  <c r="M194" i="5"/>
  <c r="I194" i="5"/>
  <c r="N194" i="5" s="1"/>
  <c r="E194" i="5"/>
  <c r="M193" i="5"/>
  <c r="I193" i="5"/>
  <c r="E193" i="5"/>
  <c r="N193" i="5" s="1"/>
  <c r="N192" i="5"/>
  <c r="M192" i="5"/>
  <c r="I192" i="5"/>
  <c r="E192" i="5"/>
  <c r="M191" i="5"/>
  <c r="I191" i="5"/>
  <c r="E191" i="5"/>
  <c r="M190" i="5"/>
  <c r="I190" i="5"/>
  <c r="E190" i="5"/>
  <c r="N190" i="5" s="1"/>
  <c r="N189" i="5"/>
  <c r="M189" i="5"/>
  <c r="I189" i="5"/>
  <c r="E189" i="5"/>
  <c r="M188" i="5"/>
  <c r="M212" i="5" s="1"/>
  <c r="I188" i="5"/>
  <c r="E188" i="5"/>
  <c r="E212" i="5" s="1"/>
  <c r="M186" i="5"/>
  <c r="I186" i="5"/>
  <c r="E186" i="5"/>
  <c r="M185" i="5"/>
  <c r="I185" i="5"/>
  <c r="E185" i="5"/>
  <c r="N185" i="5" s="1"/>
  <c r="M184" i="5"/>
  <c r="N184" i="5" s="1"/>
  <c r="I184" i="5"/>
  <c r="E184" i="5"/>
  <c r="M183" i="5"/>
  <c r="I183" i="5"/>
  <c r="E183" i="5"/>
  <c r="M182" i="5"/>
  <c r="I182" i="5"/>
  <c r="E182" i="5"/>
  <c r="N182" i="5" s="1"/>
  <c r="M181" i="5"/>
  <c r="N181" i="5" s="1"/>
  <c r="I181" i="5"/>
  <c r="E181" i="5"/>
  <c r="M180" i="5"/>
  <c r="I180" i="5"/>
  <c r="E180" i="5"/>
  <c r="N180" i="5" s="1"/>
  <c r="M179" i="5"/>
  <c r="I179" i="5"/>
  <c r="E179" i="5"/>
  <c r="N179" i="5" s="1"/>
  <c r="M178" i="5"/>
  <c r="N178" i="5" s="1"/>
  <c r="I178" i="5"/>
  <c r="E178" i="5"/>
  <c r="M177" i="5"/>
  <c r="I177" i="5"/>
  <c r="E177" i="5"/>
  <c r="L169" i="5"/>
  <c r="K169" i="5"/>
  <c r="J169" i="5"/>
  <c r="H169" i="5"/>
  <c r="G169" i="5"/>
  <c r="D169" i="5"/>
  <c r="C169" i="5"/>
  <c r="N168" i="5"/>
  <c r="M168" i="5"/>
  <c r="I168" i="5"/>
  <c r="E168" i="5"/>
  <c r="M167" i="5"/>
  <c r="I167" i="5"/>
  <c r="E167" i="5"/>
  <c r="N167" i="5" s="1"/>
  <c r="N166" i="5"/>
  <c r="M166" i="5"/>
  <c r="I166" i="5"/>
  <c r="E166" i="5"/>
  <c r="M165" i="5"/>
  <c r="N165" i="5" s="1"/>
  <c r="I165" i="5"/>
  <c r="E165" i="5"/>
  <c r="M164" i="5"/>
  <c r="I164" i="5"/>
  <c r="E164" i="5"/>
  <c r="N164" i="5" s="1"/>
  <c r="N163" i="5"/>
  <c r="M163" i="5"/>
  <c r="I163" i="5"/>
  <c r="E163" i="5"/>
  <c r="M162" i="5"/>
  <c r="I162" i="5"/>
  <c r="N162" i="5" s="1"/>
  <c r="E162" i="5"/>
  <c r="M161" i="5"/>
  <c r="I161" i="5"/>
  <c r="E161" i="5"/>
  <c r="N161" i="5" s="1"/>
  <c r="N160" i="5"/>
  <c r="M160" i="5"/>
  <c r="I160" i="5"/>
  <c r="E160" i="5"/>
  <c r="M159" i="5"/>
  <c r="I159" i="5"/>
  <c r="E159" i="5"/>
  <c r="M158" i="5"/>
  <c r="I158" i="5"/>
  <c r="E158" i="5"/>
  <c r="N158" i="5" s="1"/>
  <c r="N157" i="5"/>
  <c r="M157" i="5"/>
  <c r="I157" i="5"/>
  <c r="E157" i="5"/>
  <c r="M156" i="5"/>
  <c r="I156" i="5"/>
  <c r="N156" i="5" s="1"/>
  <c r="E156" i="5"/>
  <c r="M155" i="5"/>
  <c r="I155" i="5"/>
  <c r="F155" i="5"/>
  <c r="F169" i="5" s="1"/>
  <c r="E155" i="5"/>
  <c r="N155" i="5" s="1"/>
  <c r="B155" i="5"/>
  <c r="B169" i="5" s="1"/>
  <c r="M154" i="5"/>
  <c r="I154" i="5"/>
  <c r="E154" i="5"/>
  <c r="N153" i="5"/>
  <c r="M153" i="5"/>
  <c r="I153" i="5"/>
  <c r="E153" i="5"/>
  <c r="N152" i="5"/>
  <c r="M152" i="5"/>
  <c r="I152" i="5"/>
  <c r="E152" i="5"/>
  <c r="M151" i="5"/>
  <c r="I151" i="5"/>
  <c r="E151" i="5"/>
  <c r="N150" i="5"/>
  <c r="M150" i="5"/>
  <c r="I150" i="5"/>
  <c r="E150" i="5"/>
  <c r="N149" i="5"/>
  <c r="M149" i="5"/>
  <c r="I149" i="5"/>
  <c r="E149" i="5"/>
  <c r="M148" i="5"/>
  <c r="I148" i="5"/>
  <c r="E148" i="5"/>
  <c r="N148" i="5" s="1"/>
  <c r="N147" i="5"/>
  <c r="M147" i="5"/>
  <c r="I147" i="5"/>
  <c r="E147" i="5"/>
  <c r="M146" i="5"/>
  <c r="N146" i="5" s="1"/>
  <c r="I146" i="5"/>
  <c r="E146" i="5"/>
  <c r="M145" i="5"/>
  <c r="I145" i="5"/>
  <c r="E145" i="5"/>
  <c r="M143" i="5"/>
  <c r="I143" i="5"/>
  <c r="E143" i="5"/>
  <c r="N143" i="5" s="1"/>
  <c r="M142" i="5"/>
  <c r="N142" i="5" s="1"/>
  <c r="I142" i="5"/>
  <c r="E142" i="5"/>
  <c r="M141" i="5"/>
  <c r="I141" i="5"/>
  <c r="E141" i="5"/>
  <c r="M140" i="5"/>
  <c r="I140" i="5"/>
  <c r="E140" i="5"/>
  <c r="N140" i="5" s="1"/>
  <c r="M139" i="5"/>
  <c r="N139" i="5" s="1"/>
  <c r="I139" i="5"/>
  <c r="E139" i="5"/>
  <c r="M138" i="5"/>
  <c r="I138" i="5"/>
  <c r="E138" i="5"/>
  <c r="M137" i="5"/>
  <c r="I137" i="5"/>
  <c r="E137" i="5"/>
  <c r="N137" i="5" s="1"/>
  <c r="M136" i="5"/>
  <c r="N136" i="5" s="1"/>
  <c r="I136" i="5"/>
  <c r="E136" i="5"/>
  <c r="M135" i="5"/>
  <c r="I135" i="5"/>
  <c r="E135" i="5"/>
  <c r="M134" i="5"/>
  <c r="I134" i="5"/>
  <c r="E134" i="5"/>
  <c r="N134" i="5" s="1"/>
  <c r="L126" i="5"/>
  <c r="K126" i="5"/>
  <c r="J126" i="5"/>
  <c r="H126" i="5"/>
  <c r="G126" i="5"/>
  <c r="F126" i="5"/>
  <c r="D126" i="5"/>
  <c r="C126" i="5"/>
  <c r="B126" i="5"/>
  <c r="M125" i="5"/>
  <c r="N125" i="5" s="1"/>
  <c r="I125" i="5"/>
  <c r="E125" i="5"/>
  <c r="M124" i="5"/>
  <c r="I124" i="5"/>
  <c r="E124" i="5"/>
  <c r="M123" i="5"/>
  <c r="I123" i="5"/>
  <c r="E123" i="5"/>
  <c r="N123" i="5" s="1"/>
  <c r="M122" i="5"/>
  <c r="N122" i="5" s="1"/>
  <c r="I122" i="5"/>
  <c r="E122" i="5"/>
  <c r="M121" i="5"/>
  <c r="I121" i="5"/>
  <c r="E121" i="5"/>
  <c r="N121" i="5" s="1"/>
  <c r="M120" i="5"/>
  <c r="I120" i="5"/>
  <c r="E120" i="5"/>
  <c r="N120" i="5" s="1"/>
  <c r="N119" i="5"/>
  <c r="M119" i="5"/>
  <c r="I119" i="5"/>
  <c r="E119" i="5"/>
  <c r="M118" i="5"/>
  <c r="I118" i="5"/>
  <c r="E118" i="5"/>
  <c r="N118" i="5" s="1"/>
  <c r="M117" i="5"/>
  <c r="I117" i="5"/>
  <c r="E117" i="5"/>
  <c r="N117" i="5" s="1"/>
  <c r="M116" i="5"/>
  <c r="N116" i="5" s="1"/>
  <c r="I116" i="5"/>
  <c r="E116" i="5"/>
  <c r="M115" i="5"/>
  <c r="I115" i="5"/>
  <c r="E115" i="5"/>
  <c r="M114" i="5"/>
  <c r="I114" i="5"/>
  <c r="E114" i="5"/>
  <c r="N114" i="5" s="1"/>
  <c r="M113" i="5"/>
  <c r="N113" i="5" s="1"/>
  <c r="I113" i="5"/>
  <c r="E113" i="5"/>
  <c r="M112" i="5"/>
  <c r="I112" i="5"/>
  <c r="E112" i="5"/>
  <c r="N112" i="5" s="1"/>
  <c r="M111" i="5"/>
  <c r="I111" i="5"/>
  <c r="E111" i="5"/>
  <c r="N111" i="5" s="1"/>
  <c r="N110" i="5"/>
  <c r="M110" i="5"/>
  <c r="I110" i="5"/>
  <c r="E110" i="5"/>
  <c r="M109" i="5"/>
  <c r="I109" i="5"/>
  <c r="E109" i="5"/>
  <c r="N109" i="5" s="1"/>
  <c r="M108" i="5"/>
  <c r="I108" i="5"/>
  <c r="E108" i="5"/>
  <c r="N108" i="5" s="1"/>
  <c r="M107" i="5"/>
  <c r="N107" i="5" s="1"/>
  <c r="I107" i="5"/>
  <c r="E107" i="5"/>
  <c r="M106" i="5"/>
  <c r="I106" i="5"/>
  <c r="E106" i="5"/>
  <c r="M105" i="5"/>
  <c r="I105" i="5"/>
  <c r="E105" i="5"/>
  <c r="N105" i="5" s="1"/>
  <c r="M104" i="5"/>
  <c r="N104" i="5" s="1"/>
  <c r="I104" i="5"/>
  <c r="E104" i="5"/>
  <c r="M103" i="5"/>
  <c r="I103" i="5"/>
  <c r="E103" i="5"/>
  <c r="N103" i="5" s="1"/>
  <c r="M102" i="5"/>
  <c r="I102" i="5"/>
  <c r="E102" i="5"/>
  <c r="N100" i="5"/>
  <c r="M100" i="5"/>
  <c r="I100" i="5"/>
  <c r="E100" i="5"/>
  <c r="M99" i="5"/>
  <c r="N99" i="5" s="1"/>
  <c r="I99" i="5"/>
  <c r="E99" i="5"/>
  <c r="M98" i="5"/>
  <c r="I98" i="5"/>
  <c r="E98" i="5"/>
  <c r="N98" i="5" s="1"/>
  <c r="N97" i="5"/>
  <c r="M97" i="5"/>
  <c r="I97" i="5"/>
  <c r="E97" i="5"/>
  <c r="M96" i="5"/>
  <c r="I96" i="5"/>
  <c r="N96" i="5" s="1"/>
  <c r="E96" i="5"/>
  <c r="M95" i="5"/>
  <c r="I95" i="5"/>
  <c r="E95" i="5"/>
  <c r="N94" i="5"/>
  <c r="M94" i="5"/>
  <c r="I94" i="5"/>
  <c r="E94" i="5"/>
  <c r="N93" i="5"/>
  <c r="M93" i="5"/>
  <c r="I93" i="5"/>
  <c r="E93" i="5"/>
  <c r="M92" i="5"/>
  <c r="I92" i="5"/>
  <c r="E92" i="5"/>
  <c r="N92" i="5" s="1"/>
  <c r="N91" i="5"/>
  <c r="M91" i="5"/>
  <c r="I91" i="5"/>
  <c r="E91" i="5"/>
  <c r="L83" i="5"/>
  <c r="K83" i="5"/>
  <c r="H83" i="5"/>
  <c r="G83" i="5"/>
  <c r="D83" i="5"/>
  <c r="C83" i="5"/>
  <c r="B83" i="5"/>
  <c r="M82" i="5"/>
  <c r="I82" i="5"/>
  <c r="C82" i="5"/>
  <c r="E82" i="5" s="1"/>
  <c r="N82" i="5" s="1"/>
  <c r="N81" i="5"/>
  <c r="M81" i="5"/>
  <c r="I81" i="5"/>
  <c r="E81" i="5"/>
  <c r="M80" i="5"/>
  <c r="I80" i="5"/>
  <c r="N80" i="5" s="1"/>
  <c r="E80" i="5"/>
  <c r="M79" i="5"/>
  <c r="I79" i="5"/>
  <c r="E79" i="5"/>
  <c r="N78" i="5"/>
  <c r="M78" i="5"/>
  <c r="I78" i="5"/>
  <c r="E78" i="5"/>
  <c r="N77" i="5"/>
  <c r="M77" i="5"/>
  <c r="I77" i="5"/>
  <c r="E77" i="5"/>
  <c r="M76" i="5"/>
  <c r="I76" i="5"/>
  <c r="E76" i="5"/>
  <c r="N76" i="5" s="1"/>
  <c r="N75" i="5"/>
  <c r="M75" i="5"/>
  <c r="I75" i="5"/>
  <c r="E75" i="5"/>
  <c r="M74" i="5"/>
  <c r="N74" i="5" s="1"/>
  <c r="I74" i="5"/>
  <c r="E74" i="5"/>
  <c r="M73" i="5"/>
  <c r="I73" i="5"/>
  <c r="E73" i="5"/>
  <c r="N73" i="5" s="1"/>
  <c r="N72" i="5"/>
  <c r="M72" i="5"/>
  <c r="I72" i="5"/>
  <c r="E72" i="5"/>
  <c r="M71" i="5"/>
  <c r="I71" i="5"/>
  <c r="N71" i="5" s="1"/>
  <c r="E71" i="5"/>
  <c r="M70" i="5"/>
  <c r="I70" i="5"/>
  <c r="E70" i="5"/>
  <c r="N69" i="5"/>
  <c r="M69" i="5"/>
  <c r="I69" i="5"/>
  <c r="C69" i="5"/>
  <c r="E69" i="5" s="1"/>
  <c r="N68" i="5"/>
  <c r="M68" i="5"/>
  <c r="I68" i="5"/>
  <c r="E68" i="5"/>
  <c r="M67" i="5"/>
  <c r="I67" i="5"/>
  <c r="E67" i="5"/>
  <c r="N67" i="5" s="1"/>
  <c r="M66" i="5"/>
  <c r="I66" i="5"/>
  <c r="E66" i="5"/>
  <c r="N66" i="5" s="1"/>
  <c r="B66" i="5"/>
  <c r="N65" i="5"/>
  <c r="M65" i="5"/>
  <c r="I65" i="5"/>
  <c r="E65" i="5"/>
  <c r="J64" i="5"/>
  <c r="M64" i="5" s="1"/>
  <c r="N64" i="5" s="1"/>
  <c r="I64" i="5"/>
  <c r="B64" i="5"/>
  <c r="E64" i="5" s="1"/>
  <c r="M63" i="5"/>
  <c r="N63" i="5" s="1"/>
  <c r="I63" i="5"/>
  <c r="E63" i="5"/>
  <c r="M62" i="5"/>
  <c r="I62" i="5"/>
  <c r="E62" i="5"/>
  <c r="N62" i="5" s="1"/>
  <c r="N61" i="5"/>
  <c r="M61" i="5"/>
  <c r="I61" i="5"/>
  <c r="E61" i="5"/>
  <c r="M60" i="5"/>
  <c r="I60" i="5"/>
  <c r="N60" i="5" s="1"/>
  <c r="E60" i="5"/>
  <c r="M59" i="5"/>
  <c r="I59" i="5"/>
  <c r="F59" i="5"/>
  <c r="F83" i="5" s="1"/>
  <c r="E59" i="5"/>
  <c r="M57" i="5"/>
  <c r="I57" i="5"/>
  <c r="E57" i="5"/>
  <c r="N57" i="5" s="1"/>
  <c r="N56" i="5"/>
  <c r="M56" i="5"/>
  <c r="I56" i="5"/>
  <c r="E56" i="5"/>
  <c r="M55" i="5"/>
  <c r="I55" i="5"/>
  <c r="N55" i="5" s="1"/>
  <c r="E55" i="5"/>
  <c r="M54" i="5"/>
  <c r="I54" i="5"/>
  <c r="E54" i="5"/>
  <c r="N53" i="5"/>
  <c r="M53" i="5"/>
  <c r="I53" i="5"/>
  <c r="E53" i="5"/>
  <c r="N52" i="5"/>
  <c r="M52" i="5"/>
  <c r="I52" i="5"/>
  <c r="E52" i="5"/>
  <c r="M51" i="5"/>
  <c r="I51" i="5"/>
  <c r="E51" i="5"/>
  <c r="N51" i="5" s="1"/>
  <c r="N50" i="5"/>
  <c r="M50" i="5"/>
  <c r="I50" i="5"/>
  <c r="E50" i="5"/>
  <c r="M49" i="5"/>
  <c r="N49" i="5" s="1"/>
  <c r="I49" i="5"/>
  <c r="E49" i="5"/>
  <c r="M48" i="5"/>
  <c r="I48" i="5"/>
  <c r="E48" i="5"/>
  <c r="N48" i="5" s="1"/>
  <c r="D41" i="5"/>
  <c r="D47" i="5" s="1"/>
  <c r="D58" i="5" s="1"/>
  <c r="D84" i="5" s="1"/>
  <c r="D90" i="5" s="1"/>
  <c r="D101" i="5" s="1"/>
  <c r="D127" i="5" s="1"/>
  <c r="D133" i="5" s="1"/>
  <c r="D144" i="5" s="1"/>
  <c r="D170" i="5" s="1"/>
  <c r="D176" i="5" s="1"/>
  <c r="D187" i="5" s="1"/>
  <c r="D213" i="5" s="1"/>
  <c r="D219" i="5" s="1"/>
  <c r="D230" i="5" s="1"/>
  <c r="D256" i="5" s="1"/>
  <c r="D262" i="5" s="1"/>
  <c r="D273" i="5" s="1"/>
  <c r="D299" i="5" s="1"/>
  <c r="D305" i="5" s="1"/>
  <c r="D316" i="5" s="1"/>
  <c r="D342" i="5" s="1"/>
  <c r="D348" i="5" s="1"/>
  <c r="D359" i="5" s="1"/>
  <c r="D385" i="5" s="1"/>
  <c r="C41" i="5"/>
  <c r="C47" i="5" s="1"/>
  <c r="C58" i="5" s="1"/>
  <c r="C84" i="5" s="1"/>
  <c r="C90" i="5" s="1"/>
  <c r="C101" i="5" s="1"/>
  <c r="C127" i="5" s="1"/>
  <c r="C133" i="5" s="1"/>
  <c r="C144" i="5" s="1"/>
  <c r="C170" i="5" s="1"/>
  <c r="C176" i="5" s="1"/>
  <c r="C187" i="5" s="1"/>
  <c r="C213" i="5" s="1"/>
  <c r="C219" i="5" s="1"/>
  <c r="C230" i="5" s="1"/>
  <c r="C256" i="5" s="1"/>
  <c r="C262" i="5" s="1"/>
  <c r="C273" i="5" s="1"/>
  <c r="C299" i="5" s="1"/>
  <c r="C305" i="5" s="1"/>
  <c r="C316" i="5" s="1"/>
  <c r="C342" i="5" s="1"/>
  <c r="C348" i="5" s="1"/>
  <c r="C359" i="5" s="1"/>
  <c r="L40" i="5"/>
  <c r="K40" i="5"/>
  <c r="K41" i="5" s="1"/>
  <c r="K47" i="5" s="1"/>
  <c r="K58" i="5" s="1"/>
  <c r="K84" i="5" s="1"/>
  <c r="K90" i="5" s="1"/>
  <c r="K101" i="5" s="1"/>
  <c r="K127" i="5" s="1"/>
  <c r="K133" i="5" s="1"/>
  <c r="K144" i="5" s="1"/>
  <c r="K170" i="5" s="1"/>
  <c r="K176" i="5" s="1"/>
  <c r="K187" i="5" s="1"/>
  <c r="K213" i="5" s="1"/>
  <c r="K219" i="5" s="1"/>
  <c r="K230" i="5" s="1"/>
  <c r="J40" i="5"/>
  <c r="J41" i="5" s="1"/>
  <c r="J47" i="5" s="1"/>
  <c r="J58" i="5" s="1"/>
  <c r="H40" i="5"/>
  <c r="F40" i="5"/>
  <c r="D40" i="5"/>
  <c r="C40" i="5"/>
  <c r="B40" i="5"/>
  <c r="M39" i="5"/>
  <c r="I39" i="5"/>
  <c r="E39" i="5"/>
  <c r="N39" i="5" s="1"/>
  <c r="M38" i="5"/>
  <c r="I38" i="5"/>
  <c r="E38" i="5"/>
  <c r="N38" i="5" s="1"/>
  <c r="M37" i="5"/>
  <c r="N37" i="5" s="1"/>
  <c r="I37" i="5"/>
  <c r="E37" i="5"/>
  <c r="M36" i="5"/>
  <c r="I36" i="5"/>
  <c r="E36" i="5"/>
  <c r="M35" i="5"/>
  <c r="I35" i="5"/>
  <c r="E35" i="5"/>
  <c r="N35" i="5" s="1"/>
  <c r="M34" i="5"/>
  <c r="N34" i="5" s="1"/>
  <c r="I34" i="5"/>
  <c r="E34" i="5"/>
  <c r="M33" i="5"/>
  <c r="I33" i="5"/>
  <c r="E33" i="5"/>
  <c r="M32" i="5"/>
  <c r="I32" i="5"/>
  <c r="E32" i="5"/>
  <c r="N32" i="5" s="1"/>
  <c r="N31" i="5"/>
  <c r="M31" i="5"/>
  <c r="I31" i="5"/>
  <c r="E31" i="5"/>
  <c r="M30" i="5"/>
  <c r="I30" i="5"/>
  <c r="E30" i="5"/>
  <c r="N30" i="5" s="1"/>
  <c r="M29" i="5"/>
  <c r="I29" i="5"/>
  <c r="E29" i="5"/>
  <c r="N29" i="5" s="1"/>
  <c r="M28" i="5"/>
  <c r="N28" i="5" s="1"/>
  <c r="I28" i="5"/>
  <c r="E28" i="5"/>
  <c r="M27" i="5"/>
  <c r="I27" i="5"/>
  <c r="E27" i="5"/>
  <c r="M26" i="5"/>
  <c r="I26" i="5"/>
  <c r="E26" i="5"/>
  <c r="N26" i="5" s="1"/>
  <c r="M25" i="5"/>
  <c r="N25" i="5" s="1"/>
  <c r="I25" i="5"/>
  <c r="E25" i="5"/>
  <c r="M24" i="5"/>
  <c r="I24" i="5"/>
  <c r="E24" i="5"/>
  <c r="M23" i="5"/>
  <c r="I23" i="5"/>
  <c r="E23" i="5"/>
  <c r="N23" i="5" s="1"/>
  <c r="N22" i="5"/>
  <c r="M22" i="5"/>
  <c r="I22" i="5"/>
  <c r="E22" i="5"/>
  <c r="M21" i="5"/>
  <c r="I21" i="5"/>
  <c r="E21" i="5"/>
  <c r="N21" i="5" s="1"/>
  <c r="M20" i="5"/>
  <c r="I20" i="5"/>
  <c r="E20" i="5"/>
  <c r="N20" i="5" s="1"/>
  <c r="M19" i="5"/>
  <c r="N19" i="5" s="1"/>
  <c r="I19" i="5"/>
  <c r="E19" i="5"/>
  <c r="M18" i="5"/>
  <c r="I18" i="5"/>
  <c r="E18" i="5"/>
  <c r="M17" i="5"/>
  <c r="G17" i="5"/>
  <c r="E17" i="5"/>
  <c r="N16" i="5"/>
  <c r="M16" i="5"/>
  <c r="I16" i="5"/>
  <c r="E16" i="5"/>
  <c r="L15" i="5"/>
  <c r="L41" i="5" s="1"/>
  <c r="L47" i="5" s="1"/>
  <c r="L58" i="5" s="1"/>
  <c r="L84" i="5" s="1"/>
  <c r="L90" i="5" s="1"/>
  <c r="L101" i="5" s="1"/>
  <c r="L127" i="5" s="1"/>
  <c r="L133" i="5" s="1"/>
  <c r="L144" i="5" s="1"/>
  <c r="L170" i="5" s="1"/>
  <c r="L176" i="5" s="1"/>
  <c r="L187" i="5" s="1"/>
  <c r="L213" i="5" s="1"/>
  <c r="L219" i="5" s="1"/>
  <c r="L230" i="5" s="1"/>
  <c r="L256" i="5" s="1"/>
  <c r="L262" i="5" s="1"/>
  <c r="L273" i="5" s="1"/>
  <c r="L299" i="5" s="1"/>
  <c r="L305" i="5" s="1"/>
  <c r="L316" i="5" s="1"/>
  <c r="L342" i="5" s="1"/>
  <c r="L348" i="5" s="1"/>
  <c r="L359" i="5" s="1"/>
  <c r="K15" i="5"/>
  <c r="J15" i="5"/>
  <c r="H15" i="5"/>
  <c r="H41" i="5" s="1"/>
  <c r="H47" i="5" s="1"/>
  <c r="H58" i="5" s="1"/>
  <c r="H84" i="5" s="1"/>
  <c r="H90" i="5" s="1"/>
  <c r="H101" i="5" s="1"/>
  <c r="H127" i="5" s="1"/>
  <c r="H133" i="5" s="1"/>
  <c r="H144" i="5" s="1"/>
  <c r="H170" i="5" s="1"/>
  <c r="H176" i="5" s="1"/>
  <c r="H187" i="5" s="1"/>
  <c r="H213" i="5" s="1"/>
  <c r="H219" i="5" s="1"/>
  <c r="H230" i="5" s="1"/>
  <c r="H256" i="5" s="1"/>
  <c r="H262" i="5" s="1"/>
  <c r="H273" i="5" s="1"/>
  <c r="H299" i="5" s="1"/>
  <c r="H305" i="5" s="1"/>
  <c r="H316" i="5" s="1"/>
  <c r="H342" i="5" s="1"/>
  <c r="H348" i="5" s="1"/>
  <c r="H359" i="5" s="1"/>
  <c r="G15" i="5"/>
  <c r="F15" i="5"/>
  <c r="D15" i="5"/>
  <c r="C15" i="5"/>
  <c r="B15" i="5"/>
  <c r="M14" i="5"/>
  <c r="N14" i="5" s="1"/>
  <c r="I14" i="5"/>
  <c r="E14" i="5"/>
  <c r="M13" i="5"/>
  <c r="I13" i="5"/>
  <c r="E13" i="5"/>
  <c r="N13" i="5" s="1"/>
  <c r="M12" i="5"/>
  <c r="I12" i="5"/>
  <c r="E12" i="5"/>
  <c r="N12" i="5" s="1"/>
  <c r="N11" i="5"/>
  <c r="M11" i="5"/>
  <c r="I11" i="5"/>
  <c r="E11" i="5"/>
  <c r="M10" i="5"/>
  <c r="I10" i="5"/>
  <c r="E10" i="5"/>
  <c r="N10" i="5" s="1"/>
  <c r="M9" i="5"/>
  <c r="I9" i="5"/>
  <c r="E9" i="5"/>
  <c r="N9" i="5" s="1"/>
  <c r="M8" i="5"/>
  <c r="N8" i="5" s="1"/>
  <c r="I8" i="5"/>
  <c r="E8" i="5"/>
  <c r="M7" i="5"/>
  <c r="I7" i="5"/>
  <c r="E7" i="5"/>
  <c r="M6" i="5"/>
  <c r="I6" i="5"/>
  <c r="E6" i="5"/>
  <c r="N6" i="5" s="1"/>
  <c r="M5" i="5"/>
  <c r="N5" i="5" s="1"/>
  <c r="I5" i="5"/>
  <c r="E5" i="5"/>
  <c r="M4" i="5"/>
  <c r="I4" i="5"/>
  <c r="E4" i="5"/>
  <c r="N4" i="5" s="1"/>
  <c r="T360" i="5"/>
  <c r="X360" i="5"/>
  <c r="AB360" i="5"/>
  <c r="T361" i="5"/>
  <c r="X361" i="5"/>
  <c r="AB361" i="5"/>
  <c r="T362" i="5"/>
  <c r="X362" i="5"/>
  <c r="AC362" i="5" s="1"/>
  <c r="AB362" i="5"/>
  <c r="T363" i="5"/>
  <c r="X363" i="5"/>
  <c r="AB363" i="5"/>
  <c r="T364" i="5"/>
  <c r="X364" i="5"/>
  <c r="AB364" i="5"/>
  <c r="T365" i="5"/>
  <c r="X365" i="5"/>
  <c r="AB365" i="5"/>
  <c r="T366" i="5"/>
  <c r="X366" i="5"/>
  <c r="AB366" i="5"/>
  <c r="AA384" i="5"/>
  <c r="Z384" i="5"/>
  <c r="Y384" i="5"/>
  <c r="W384" i="5"/>
  <c r="V384" i="5"/>
  <c r="U384" i="5"/>
  <c r="S384" i="5"/>
  <c r="R384" i="5"/>
  <c r="Q384" i="5"/>
  <c r="AB383" i="5"/>
  <c r="X383" i="5"/>
  <c r="T383" i="5"/>
  <c r="AB382" i="5"/>
  <c r="X382" i="5"/>
  <c r="T382" i="5"/>
  <c r="AC382" i="5" s="1"/>
  <c r="AB381" i="5"/>
  <c r="X381" i="5"/>
  <c r="T381" i="5"/>
  <c r="AB380" i="5"/>
  <c r="X380" i="5"/>
  <c r="T380" i="5"/>
  <c r="AC380" i="5" s="1"/>
  <c r="AB379" i="5"/>
  <c r="X379" i="5"/>
  <c r="T379" i="5"/>
  <c r="AB378" i="5"/>
  <c r="X378" i="5"/>
  <c r="T378" i="5"/>
  <c r="AC378" i="5" s="1"/>
  <c r="AB377" i="5"/>
  <c r="X377" i="5"/>
  <c r="T377" i="5"/>
  <c r="AB376" i="5"/>
  <c r="X376" i="5"/>
  <c r="T376" i="5"/>
  <c r="AC376" i="5" s="1"/>
  <c r="AB375" i="5"/>
  <c r="X375" i="5"/>
  <c r="T375" i="5"/>
  <c r="AB374" i="5"/>
  <c r="X374" i="5"/>
  <c r="T374" i="5"/>
  <c r="AC374" i="5" s="1"/>
  <c r="AB373" i="5"/>
  <c r="X373" i="5"/>
  <c r="T373" i="5"/>
  <c r="AB372" i="5"/>
  <c r="X372" i="5"/>
  <c r="T372" i="5"/>
  <c r="AC372" i="5" s="1"/>
  <c r="AB371" i="5"/>
  <c r="X371" i="5"/>
  <c r="T371" i="5"/>
  <c r="AB370" i="5"/>
  <c r="X370" i="5"/>
  <c r="T370" i="5"/>
  <c r="AC370" i="5" s="1"/>
  <c r="AB369" i="5"/>
  <c r="X369" i="5"/>
  <c r="T369" i="5"/>
  <c r="AB368" i="5"/>
  <c r="X368" i="5"/>
  <c r="T368" i="5"/>
  <c r="AC368" i="5" s="1"/>
  <c r="AB367" i="5"/>
  <c r="X367" i="5"/>
  <c r="T367" i="5"/>
  <c r="AB358" i="5"/>
  <c r="X358" i="5"/>
  <c r="T358" i="5"/>
  <c r="AB357" i="5"/>
  <c r="X357" i="5"/>
  <c r="T357" i="5"/>
  <c r="AC357" i="5" s="1"/>
  <c r="AB356" i="5"/>
  <c r="X356" i="5"/>
  <c r="T356" i="5"/>
  <c r="AB355" i="5"/>
  <c r="X355" i="5"/>
  <c r="T355" i="5"/>
  <c r="AB354" i="5"/>
  <c r="X354" i="5"/>
  <c r="T354" i="5"/>
  <c r="AC354" i="5" s="1"/>
  <c r="AB353" i="5"/>
  <c r="X353" i="5"/>
  <c r="T353" i="5"/>
  <c r="AB352" i="5"/>
  <c r="X352" i="5"/>
  <c r="T352" i="5"/>
  <c r="AB351" i="5"/>
  <c r="X351" i="5"/>
  <c r="T351" i="5"/>
  <c r="AB350" i="5"/>
  <c r="X350" i="5"/>
  <c r="T350" i="5"/>
  <c r="AB349" i="5"/>
  <c r="X349" i="5"/>
  <c r="T349" i="5"/>
  <c r="E145" i="1"/>
  <c r="I145" i="1"/>
  <c r="M145" i="1"/>
  <c r="E146" i="1"/>
  <c r="I146" i="1"/>
  <c r="M146" i="1"/>
  <c r="E147" i="1"/>
  <c r="I147" i="1"/>
  <c r="M147" i="1"/>
  <c r="N147" i="1"/>
  <c r="E148" i="1"/>
  <c r="N148" i="1" s="1"/>
  <c r="I148" i="1"/>
  <c r="M148" i="1"/>
  <c r="E149" i="1"/>
  <c r="N149" i="1" s="1"/>
  <c r="I149" i="1"/>
  <c r="M149" i="1"/>
  <c r="E150" i="1"/>
  <c r="I150" i="1"/>
  <c r="M150" i="1"/>
  <c r="E151" i="1"/>
  <c r="I151" i="1"/>
  <c r="M151" i="1"/>
  <c r="E152" i="1"/>
  <c r="N152" i="1" s="1"/>
  <c r="I152" i="1"/>
  <c r="M152" i="1"/>
  <c r="E153" i="1"/>
  <c r="I153" i="1"/>
  <c r="M153" i="1"/>
  <c r="N153" i="1"/>
  <c r="E154" i="1"/>
  <c r="N154" i="1" s="1"/>
  <c r="I154" i="1"/>
  <c r="M154" i="1"/>
  <c r="E155" i="1"/>
  <c r="I155" i="1"/>
  <c r="M155" i="1"/>
  <c r="E156" i="1"/>
  <c r="N156" i="1" s="1"/>
  <c r="I156" i="1"/>
  <c r="M156" i="1"/>
  <c r="E157" i="1"/>
  <c r="I157" i="1"/>
  <c r="M157" i="1"/>
  <c r="E158" i="1"/>
  <c r="N158" i="1" s="1"/>
  <c r="I158" i="1"/>
  <c r="M158" i="1"/>
  <c r="E159" i="1"/>
  <c r="I159" i="1"/>
  <c r="M159" i="1"/>
  <c r="E134" i="1"/>
  <c r="I134" i="1"/>
  <c r="M134" i="1"/>
  <c r="E135" i="1"/>
  <c r="I135" i="1"/>
  <c r="M135" i="1"/>
  <c r="N135" i="1" s="1"/>
  <c r="E136" i="1"/>
  <c r="I136" i="1"/>
  <c r="M136" i="1"/>
  <c r="E137" i="1"/>
  <c r="I137" i="1"/>
  <c r="M137" i="1"/>
  <c r="E138" i="1"/>
  <c r="I138" i="1"/>
  <c r="M138" i="1"/>
  <c r="E139" i="1"/>
  <c r="I139" i="1"/>
  <c r="M139" i="1"/>
  <c r="N139" i="1"/>
  <c r="E140" i="1"/>
  <c r="I140" i="1"/>
  <c r="M140" i="1"/>
  <c r="N140" i="1" s="1"/>
  <c r="E141" i="1"/>
  <c r="I141" i="1"/>
  <c r="N141" i="1" s="1"/>
  <c r="M141" i="1"/>
  <c r="L169" i="1"/>
  <c r="K169" i="1"/>
  <c r="J169" i="1"/>
  <c r="H169" i="1"/>
  <c r="G169" i="1"/>
  <c r="F169" i="1"/>
  <c r="D169" i="1"/>
  <c r="C169" i="1"/>
  <c r="C170" i="1" s="1"/>
  <c r="C176" i="1" s="1"/>
  <c r="C187" i="1" s="1"/>
  <c r="B169" i="1"/>
  <c r="M168" i="1"/>
  <c r="I168" i="1"/>
  <c r="E168" i="1"/>
  <c r="M167" i="1"/>
  <c r="I167" i="1"/>
  <c r="E167" i="1"/>
  <c r="N167" i="1" s="1"/>
  <c r="M166" i="1"/>
  <c r="I166" i="1"/>
  <c r="E166" i="1"/>
  <c r="M165" i="1"/>
  <c r="I165" i="1"/>
  <c r="E165" i="1"/>
  <c r="M164" i="1"/>
  <c r="I164" i="1"/>
  <c r="E164" i="1"/>
  <c r="N164" i="1" s="1"/>
  <c r="M163" i="1"/>
  <c r="I163" i="1"/>
  <c r="E163" i="1"/>
  <c r="M162" i="1"/>
  <c r="I162" i="1"/>
  <c r="E162" i="1"/>
  <c r="M161" i="1"/>
  <c r="I161" i="1"/>
  <c r="E161" i="1"/>
  <c r="M160" i="1"/>
  <c r="I160" i="1"/>
  <c r="E160" i="1"/>
  <c r="L144" i="1"/>
  <c r="K144" i="1"/>
  <c r="K170" i="1" s="1"/>
  <c r="G144" i="1"/>
  <c r="F144" i="1"/>
  <c r="C144" i="1"/>
  <c r="M143" i="1"/>
  <c r="N143" i="1" s="1"/>
  <c r="I143" i="1"/>
  <c r="E143" i="1"/>
  <c r="M142" i="1"/>
  <c r="I142" i="1"/>
  <c r="E142" i="1"/>
  <c r="N142" i="1" s="1"/>
  <c r="M133" i="1"/>
  <c r="L133" i="1"/>
  <c r="K133" i="1"/>
  <c r="J133" i="1"/>
  <c r="J144" i="1" s="1"/>
  <c r="I133" i="1"/>
  <c r="H133" i="1"/>
  <c r="H144" i="1" s="1"/>
  <c r="G133" i="1"/>
  <c r="F133" i="1"/>
  <c r="E133" i="1"/>
  <c r="N133" i="1" s="1"/>
  <c r="D133" i="1"/>
  <c r="D144" i="1" s="1"/>
  <c r="C133" i="1"/>
  <c r="B133" i="1"/>
  <c r="B144" i="1" s="1"/>
  <c r="AA341" i="5"/>
  <c r="Z341" i="5"/>
  <c r="Y341" i="5"/>
  <c r="W341" i="5"/>
  <c r="V341" i="5"/>
  <c r="U341" i="5"/>
  <c r="S341" i="5"/>
  <c r="R341" i="5"/>
  <c r="Q341" i="5"/>
  <c r="AB340" i="5"/>
  <c r="X340" i="5"/>
  <c r="T340" i="5"/>
  <c r="AB339" i="5"/>
  <c r="X339" i="5"/>
  <c r="T339" i="5"/>
  <c r="AB338" i="5"/>
  <c r="X338" i="5"/>
  <c r="T338" i="5"/>
  <c r="AB337" i="5"/>
  <c r="X337" i="5"/>
  <c r="T337" i="5"/>
  <c r="AB336" i="5"/>
  <c r="X336" i="5"/>
  <c r="T336" i="5"/>
  <c r="AB335" i="5"/>
  <c r="X335" i="5"/>
  <c r="T335" i="5"/>
  <c r="AB334" i="5"/>
  <c r="X334" i="5"/>
  <c r="T334" i="5"/>
  <c r="AB333" i="5"/>
  <c r="X333" i="5"/>
  <c r="T333" i="5"/>
  <c r="AB332" i="5"/>
  <c r="X332" i="5"/>
  <c r="T332" i="5"/>
  <c r="AB331" i="5"/>
  <c r="X331" i="5"/>
  <c r="T331" i="5"/>
  <c r="AB330" i="5"/>
  <c r="X330" i="5"/>
  <c r="T330" i="5"/>
  <c r="AB329" i="5"/>
  <c r="X329" i="5"/>
  <c r="T329" i="5"/>
  <c r="AB328" i="5"/>
  <c r="X328" i="5"/>
  <c r="T328" i="5"/>
  <c r="AC328" i="5" s="1"/>
  <c r="AB327" i="5"/>
  <c r="X327" i="5"/>
  <c r="T327" i="5"/>
  <c r="AB326" i="5"/>
  <c r="X326" i="5"/>
  <c r="T326" i="5"/>
  <c r="AC326" i="5" s="1"/>
  <c r="AB325" i="5"/>
  <c r="X325" i="5"/>
  <c r="T325" i="5"/>
  <c r="AB324" i="5"/>
  <c r="X324" i="5"/>
  <c r="T324" i="5"/>
  <c r="AC324" i="5" s="1"/>
  <c r="AB323" i="5"/>
  <c r="X323" i="5"/>
  <c r="T323" i="5"/>
  <c r="AB322" i="5"/>
  <c r="X322" i="5"/>
  <c r="T322" i="5"/>
  <c r="AB321" i="5"/>
  <c r="X321" i="5"/>
  <c r="T321" i="5"/>
  <c r="AB320" i="5"/>
  <c r="X320" i="5"/>
  <c r="T320" i="5"/>
  <c r="AB319" i="5"/>
  <c r="X319" i="5"/>
  <c r="T319" i="5"/>
  <c r="AB318" i="5"/>
  <c r="X318" i="5"/>
  <c r="T318" i="5"/>
  <c r="AB317" i="5"/>
  <c r="X317" i="5"/>
  <c r="T317" i="5"/>
  <c r="AA316" i="5"/>
  <c r="Z316" i="5"/>
  <c r="Y316" i="5"/>
  <c r="Y342" i="5" s="1"/>
  <c r="Y348" i="5" s="1"/>
  <c r="Y359" i="5" s="1"/>
  <c r="W316" i="5"/>
  <c r="V316" i="5"/>
  <c r="U316" i="5"/>
  <c r="S316" i="5"/>
  <c r="R316" i="5"/>
  <c r="Q316" i="5"/>
  <c r="T316" i="5" s="1"/>
  <c r="AB315" i="5"/>
  <c r="X315" i="5"/>
  <c r="T315" i="5"/>
  <c r="AB314" i="5"/>
  <c r="X314" i="5"/>
  <c r="T314" i="5"/>
  <c r="AB313" i="5"/>
  <c r="X313" i="5"/>
  <c r="T313" i="5"/>
  <c r="AB312" i="5"/>
  <c r="X312" i="5"/>
  <c r="T312" i="5"/>
  <c r="AB311" i="5"/>
  <c r="X311" i="5"/>
  <c r="T311" i="5"/>
  <c r="AB310" i="5"/>
  <c r="X310" i="5"/>
  <c r="T310" i="5"/>
  <c r="AB309" i="5"/>
  <c r="X309" i="5"/>
  <c r="T309" i="5"/>
  <c r="AB308" i="5"/>
  <c r="X308" i="5"/>
  <c r="T308" i="5"/>
  <c r="AB307" i="5"/>
  <c r="X307" i="5"/>
  <c r="T307" i="5"/>
  <c r="AB306" i="5"/>
  <c r="X306" i="5"/>
  <c r="T306" i="5"/>
  <c r="AB305" i="5"/>
  <c r="X305" i="5"/>
  <c r="T305" i="5"/>
  <c r="AA169" i="1"/>
  <c r="Z169" i="1"/>
  <c r="Y169" i="1"/>
  <c r="W169" i="1"/>
  <c r="V169" i="1"/>
  <c r="U169" i="1"/>
  <c r="S169" i="1"/>
  <c r="R169" i="1"/>
  <c r="Q169" i="1"/>
  <c r="AB168" i="1"/>
  <c r="AC168" i="1" s="1"/>
  <c r="X168" i="1"/>
  <c r="T168" i="1"/>
  <c r="AB167" i="1"/>
  <c r="X167" i="1"/>
  <c r="AC167" i="1" s="1"/>
  <c r="T167" i="1"/>
  <c r="AB166" i="1"/>
  <c r="X166" i="1"/>
  <c r="AC166" i="1" s="1"/>
  <c r="T166" i="1"/>
  <c r="AB165" i="1"/>
  <c r="AC165" i="1" s="1"/>
  <c r="X165" i="1"/>
  <c r="T165" i="1"/>
  <c r="AB164" i="1"/>
  <c r="X164" i="1"/>
  <c r="AC164" i="1" s="1"/>
  <c r="T164" i="1"/>
  <c r="AB163" i="1"/>
  <c r="X163" i="1"/>
  <c r="AC163" i="1" s="1"/>
  <c r="T163" i="1"/>
  <c r="AB162" i="1"/>
  <c r="AC162" i="1" s="1"/>
  <c r="X162" i="1"/>
  <c r="T162" i="1"/>
  <c r="AB161" i="1"/>
  <c r="X161" i="1"/>
  <c r="AC161" i="1" s="1"/>
  <c r="T161" i="1"/>
  <c r="AB160" i="1"/>
  <c r="X160" i="1"/>
  <c r="AC160" i="1" s="1"/>
  <c r="T160" i="1"/>
  <c r="AB159" i="1"/>
  <c r="AC159" i="1" s="1"/>
  <c r="X159" i="1"/>
  <c r="T159" i="1"/>
  <c r="AB158" i="1"/>
  <c r="X158" i="1"/>
  <c r="AC158" i="1" s="1"/>
  <c r="T158" i="1"/>
  <c r="AB157" i="1"/>
  <c r="X157" i="1"/>
  <c r="AC157" i="1" s="1"/>
  <c r="T157" i="1"/>
  <c r="AB156" i="1"/>
  <c r="AC156" i="1" s="1"/>
  <c r="X156" i="1"/>
  <c r="T156" i="1"/>
  <c r="AB155" i="1"/>
  <c r="X155" i="1"/>
  <c r="AC155" i="1" s="1"/>
  <c r="T155" i="1"/>
  <c r="AB154" i="1"/>
  <c r="X154" i="1"/>
  <c r="T154" i="1"/>
  <c r="AB153" i="1"/>
  <c r="X153" i="1"/>
  <c r="T153" i="1"/>
  <c r="AB152" i="1"/>
  <c r="X152" i="1"/>
  <c r="AC152" i="1" s="1"/>
  <c r="T152" i="1"/>
  <c r="AB151" i="1"/>
  <c r="X151" i="1"/>
  <c r="AC151" i="1" s="1"/>
  <c r="T151" i="1"/>
  <c r="AB150" i="1"/>
  <c r="X150" i="1"/>
  <c r="T150" i="1"/>
  <c r="AB149" i="1"/>
  <c r="X149" i="1"/>
  <c r="T149" i="1"/>
  <c r="AB148" i="1"/>
  <c r="X148" i="1"/>
  <c r="AC148" i="1" s="1"/>
  <c r="T148" i="1"/>
  <c r="AB147" i="1"/>
  <c r="X147" i="1"/>
  <c r="T147" i="1"/>
  <c r="AB146" i="1"/>
  <c r="X146" i="1"/>
  <c r="AC146" i="1" s="1"/>
  <c r="T146" i="1"/>
  <c r="AB145" i="1"/>
  <c r="X145" i="1"/>
  <c r="T145" i="1"/>
  <c r="AB143" i="1"/>
  <c r="X143" i="1"/>
  <c r="AC143" i="1" s="1"/>
  <c r="T143" i="1"/>
  <c r="AB142" i="1"/>
  <c r="X142" i="1"/>
  <c r="AC142" i="1" s="1"/>
  <c r="T142" i="1"/>
  <c r="AC141" i="1"/>
  <c r="AB141" i="1"/>
  <c r="X141" i="1"/>
  <c r="T141" i="1"/>
  <c r="AB140" i="1"/>
  <c r="X140" i="1"/>
  <c r="AC140" i="1" s="1"/>
  <c r="T140" i="1"/>
  <c r="AB139" i="1"/>
  <c r="X139" i="1"/>
  <c r="AC139" i="1" s="1"/>
  <c r="T139" i="1"/>
  <c r="AC138" i="1"/>
  <c r="AB138" i="1"/>
  <c r="X138" i="1"/>
  <c r="T138" i="1"/>
  <c r="AB137" i="1"/>
  <c r="X137" i="1"/>
  <c r="AC137" i="1" s="1"/>
  <c r="T137" i="1"/>
  <c r="AB136" i="1"/>
  <c r="X136" i="1"/>
  <c r="AC136" i="1" s="1"/>
  <c r="T136" i="1"/>
  <c r="AB135" i="1"/>
  <c r="X135" i="1"/>
  <c r="T135" i="1"/>
  <c r="AB134" i="1"/>
  <c r="X134" i="1"/>
  <c r="T134" i="1"/>
  <c r="AA126" i="1"/>
  <c r="Z126" i="1"/>
  <c r="Y126" i="1"/>
  <c r="W126" i="1"/>
  <c r="V126" i="1"/>
  <c r="U126" i="1"/>
  <c r="S126" i="1"/>
  <c r="R126" i="1"/>
  <c r="Q126" i="1"/>
  <c r="AB125" i="1"/>
  <c r="X125" i="1"/>
  <c r="AC125" i="1" s="1"/>
  <c r="T125" i="1"/>
  <c r="AB124" i="1"/>
  <c r="AC124" i="1" s="1"/>
  <c r="X124" i="1"/>
  <c r="T124" i="1"/>
  <c r="AB123" i="1"/>
  <c r="X123" i="1"/>
  <c r="AC123" i="1" s="1"/>
  <c r="T123" i="1"/>
  <c r="AB122" i="1"/>
  <c r="X122" i="1"/>
  <c r="AC122" i="1" s="1"/>
  <c r="T122" i="1"/>
  <c r="AB121" i="1"/>
  <c r="AC121" i="1" s="1"/>
  <c r="X121" i="1"/>
  <c r="T121" i="1"/>
  <c r="AB120" i="1"/>
  <c r="X120" i="1"/>
  <c r="AC120" i="1" s="1"/>
  <c r="T120" i="1"/>
  <c r="AB119" i="1"/>
  <c r="X119" i="1"/>
  <c r="AC119" i="1" s="1"/>
  <c r="T119" i="1"/>
  <c r="AB118" i="1"/>
  <c r="AC118" i="1" s="1"/>
  <c r="X118" i="1"/>
  <c r="T118" i="1"/>
  <c r="AB117" i="1"/>
  <c r="X117" i="1"/>
  <c r="AC117" i="1" s="1"/>
  <c r="T117" i="1"/>
  <c r="AB116" i="1"/>
  <c r="X116" i="1"/>
  <c r="AC116" i="1" s="1"/>
  <c r="T116" i="1"/>
  <c r="AB115" i="1"/>
  <c r="AC115" i="1" s="1"/>
  <c r="X115" i="1"/>
  <c r="T115" i="1"/>
  <c r="AB114" i="1"/>
  <c r="X114" i="1"/>
  <c r="AC114" i="1" s="1"/>
  <c r="T114" i="1"/>
  <c r="AB113" i="1"/>
  <c r="X113" i="1"/>
  <c r="AC113" i="1" s="1"/>
  <c r="T113" i="1"/>
  <c r="AB112" i="1"/>
  <c r="AC112" i="1" s="1"/>
  <c r="X112" i="1"/>
  <c r="T112" i="1"/>
  <c r="AB111" i="1"/>
  <c r="X111" i="1"/>
  <c r="AC111" i="1" s="1"/>
  <c r="T111" i="1"/>
  <c r="AB110" i="1"/>
  <c r="X110" i="1"/>
  <c r="AC110" i="1" s="1"/>
  <c r="T110" i="1"/>
  <c r="AB109" i="1"/>
  <c r="AC109" i="1" s="1"/>
  <c r="X109" i="1"/>
  <c r="T109" i="1"/>
  <c r="AB108" i="1"/>
  <c r="X108" i="1"/>
  <c r="AC108" i="1" s="1"/>
  <c r="T108" i="1"/>
  <c r="AB107" i="1"/>
  <c r="X107" i="1"/>
  <c r="AC107" i="1" s="1"/>
  <c r="T107" i="1"/>
  <c r="AB106" i="1"/>
  <c r="AC106" i="1" s="1"/>
  <c r="X106" i="1"/>
  <c r="T106" i="1"/>
  <c r="AB105" i="1"/>
  <c r="X105" i="1"/>
  <c r="AC105" i="1" s="1"/>
  <c r="T105" i="1"/>
  <c r="AB104" i="1"/>
  <c r="X104" i="1"/>
  <c r="AC104" i="1" s="1"/>
  <c r="T104" i="1"/>
  <c r="AB103" i="1"/>
  <c r="AC103" i="1" s="1"/>
  <c r="X103" i="1"/>
  <c r="T103" i="1"/>
  <c r="AB102" i="1"/>
  <c r="AB126" i="1" s="1"/>
  <c r="X102" i="1"/>
  <c r="AC102" i="1" s="1"/>
  <c r="T102" i="1"/>
  <c r="T126" i="1" s="1"/>
  <c r="AC100" i="1"/>
  <c r="AB100" i="1"/>
  <c r="X100" i="1"/>
  <c r="T100" i="1"/>
  <c r="AB99" i="1"/>
  <c r="X99" i="1"/>
  <c r="AC99" i="1" s="1"/>
  <c r="T99" i="1"/>
  <c r="AC98" i="1"/>
  <c r="AB98" i="1"/>
  <c r="X98" i="1"/>
  <c r="T98" i="1"/>
  <c r="AC97" i="1"/>
  <c r="AB97" i="1"/>
  <c r="X97" i="1"/>
  <c r="T97" i="1"/>
  <c r="AB96" i="1"/>
  <c r="X96" i="1"/>
  <c r="AC96" i="1" s="1"/>
  <c r="T96" i="1"/>
  <c r="AC95" i="1"/>
  <c r="AB95" i="1"/>
  <c r="X95" i="1"/>
  <c r="T95" i="1"/>
  <c r="AC94" i="1"/>
  <c r="AB94" i="1"/>
  <c r="X94" i="1"/>
  <c r="T94" i="1"/>
  <c r="AB93" i="1"/>
  <c r="X93" i="1"/>
  <c r="AC93" i="1" s="1"/>
  <c r="T93" i="1"/>
  <c r="AC92" i="1"/>
  <c r="AB92" i="1"/>
  <c r="X92" i="1"/>
  <c r="T92" i="1"/>
  <c r="AC91" i="1"/>
  <c r="AB91" i="1"/>
  <c r="X91" i="1"/>
  <c r="T91" i="1"/>
  <c r="AA83" i="1"/>
  <c r="Z83" i="1"/>
  <c r="Y83" i="1"/>
  <c r="W83" i="1"/>
  <c r="V83" i="1"/>
  <c r="U83" i="1"/>
  <c r="S83" i="1"/>
  <c r="R83" i="1"/>
  <c r="Q83" i="1"/>
  <c r="AB82" i="1"/>
  <c r="X82" i="1"/>
  <c r="AC82" i="1" s="1"/>
  <c r="T82" i="1"/>
  <c r="AB81" i="1"/>
  <c r="X81" i="1"/>
  <c r="AC81" i="1" s="1"/>
  <c r="T81" i="1"/>
  <c r="AB80" i="1"/>
  <c r="AC80" i="1" s="1"/>
  <c r="X80" i="1"/>
  <c r="T80" i="1"/>
  <c r="AB79" i="1"/>
  <c r="X79" i="1"/>
  <c r="AC79" i="1" s="1"/>
  <c r="T79" i="1"/>
  <c r="AB78" i="1"/>
  <c r="X78" i="1"/>
  <c r="AC78" i="1" s="1"/>
  <c r="T78" i="1"/>
  <c r="AB77" i="1"/>
  <c r="AC77" i="1" s="1"/>
  <c r="X77" i="1"/>
  <c r="T77" i="1"/>
  <c r="AB76" i="1"/>
  <c r="X76" i="1"/>
  <c r="AC76" i="1" s="1"/>
  <c r="T76" i="1"/>
  <c r="AB75" i="1"/>
  <c r="X75" i="1"/>
  <c r="AC75" i="1" s="1"/>
  <c r="T75" i="1"/>
  <c r="AB74" i="1"/>
  <c r="AC74" i="1" s="1"/>
  <c r="X74" i="1"/>
  <c r="T74" i="1"/>
  <c r="AB73" i="1"/>
  <c r="X73" i="1"/>
  <c r="AC73" i="1" s="1"/>
  <c r="T73" i="1"/>
  <c r="AB72" i="1"/>
  <c r="X72" i="1"/>
  <c r="AC72" i="1" s="1"/>
  <c r="T72" i="1"/>
  <c r="AB71" i="1"/>
  <c r="AC71" i="1" s="1"/>
  <c r="X71" i="1"/>
  <c r="T71" i="1"/>
  <c r="AB70" i="1"/>
  <c r="X70" i="1"/>
  <c r="AC70" i="1" s="1"/>
  <c r="T70" i="1"/>
  <c r="AB69" i="1"/>
  <c r="X69" i="1"/>
  <c r="AC69" i="1" s="1"/>
  <c r="T69" i="1"/>
  <c r="AB68" i="1"/>
  <c r="AC68" i="1" s="1"/>
  <c r="X68" i="1"/>
  <c r="T68" i="1"/>
  <c r="AB67" i="1"/>
  <c r="X67" i="1"/>
  <c r="AC67" i="1" s="1"/>
  <c r="T67" i="1"/>
  <c r="AB66" i="1"/>
  <c r="X66" i="1"/>
  <c r="AC66" i="1" s="1"/>
  <c r="T66" i="1"/>
  <c r="AB65" i="1"/>
  <c r="AC65" i="1" s="1"/>
  <c r="X65" i="1"/>
  <c r="T65" i="1"/>
  <c r="AB64" i="1"/>
  <c r="X64" i="1"/>
  <c r="AC64" i="1" s="1"/>
  <c r="T64" i="1"/>
  <c r="AB63" i="1"/>
  <c r="X63" i="1"/>
  <c r="AC63" i="1" s="1"/>
  <c r="T63" i="1"/>
  <c r="AB62" i="1"/>
  <c r="AC62" i="1" s="1"/>
  <c r="X62" i="1"/>
  <c r="T62" i="1"/>
  <c r="AB61" i="1"/>
  <c r="X61" i="1"/>
  <c r="AC61" i="1" s="1"/>
  <c r="T61" i="1"/>
  <c r="AB60" i="1"/>
  <c r="X60" i="1"/>
  <c r="AC60" i="1" s="1"/>
  <c r="T60" i="1"/>
  <c r="AB59" i="1"/>
  <c r="AB83" i="1" s="1"/>
  <c r="X59" i="1"/>
  <c r="X83" i="1" s="1"/>
  <c r="T59" i="1"/>
  <c r="T83" i="1" s="1"/>
  <c r="AC57" i="1"/>
  <c r="AB57" i="1"/>
  <c r="X57" i="1"/>
  <c r="T57" i="1"/>
  <c r="AC56" i="1"/>
  <c r="AB56" i="1"/>
  <c r="X56" i="1"/>
  <c r="T56" i="1"/>
  <c r="AB55" i="1"/>
  <c r="X55" i="1"/>
  <c r="AC55" i="1" s="1"/>
  <c r="T55" i="1"/>
  <c r="AC54" i="1"/>
  <c r="AB54" i="1"/>
  <c r="X54" i="1"/>
  <c r="T54" i="1"/>
  <c r="AC53" i="1"/>
  <c r="AB53" i="1"/>
  <c r="X53" i="1"/>
  <c r="T53" i="1"/>
  <c r="AB52" i="1"/>
  <c r="X52" i="1"/>
  <c r="AC52" i="1" s="1"/>
  <c r="T52" i="1"/>
  <c r="AC51" i="1"/>
  <c r="AB51" i="1"/>
  <c r="X51" i="1"/>
  <c r="T51" i="1"/>
  <c r="AC50" i="1"/>
  <c r="AB50" i="1"/>
  <c r="X50" i="1"/>
  <c r="T50" i="1"/>
  <c r="AB49" i="1"/>
  <c r="X49" i="1"/>
  <c r="AC49" i="1" s="1"/>
  <c r="T49" i="1"/>
  <c r="AC48" i="1"/>
  <c r="AB48" i="1"/>
  <c r="X48" i="1"/>
  <c r="T48" i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AA40" i="1"/>
  <c r="AA41" i="1" s="1"/>
  <c r="AA47" i="1" s="1"/>
  <c r="AA58" i="1" s="1"/>
  <c r="AA84" i="1" s="1"/>
  <c r="AA90" i="1" s="1"/>
  <c r="AA101" i="1" s="1"/>
  <c r="AA127" i="1" s="1"/>
  <c r="AA133" i="1" s="1"/>
  <c r="AA144" i="1" s="1"/>
  <c r="Z40" i="1"/>
  <c r="Y40" i="1"/>
  <c r="W40" i="1"/>
  <c r="V40" i="1"/>
  <c r="U40" i="1"/>
  <c r="U41" i="1" s="1"/>
  <c r="U47" i="1" s="1"/>
  <c r="U58" i="1" s="1"/>
  <c r="S40" i="1"/>
  <c r="R40" i="1"/>
  <c r="Q40" i="1"/>
  <c r="AB39" i="1"/>
  <c r="AC39" i="1" s="1"/>
  <c r="X39" i="1"/>
  <c r="T39" i="1"/>
  <c r="AB38" i="1"/>
  <c r="X38" i="1"/>
  <c r="AC38" i="1" s="1"/>
  <c r="T38" i="1"/>
  <c r="AB37" i="1"/>
  <c r="X37" i="1"/>
  <c r="AC37" i="1" s="1"/>
  <c r="T37" i="1"/>
  <c r="AB36" i="1"/>
  <c r="AC36" i="1" s="1"/>
  <c r="X36" i="1"/>
  <c r="T36" i="1"/>
  <c r="AB35" i="1"/>
  <c r="X35" i="1"/>
  <c r="AC35" i="1" s="1"/>
  <c r="T35" i="1"/>
  <c r="AB34" i="1"/>
  <c r="X34" i="1"/>
  <c r="AC34" i="1" s="1"/>
  <c r="T34" i="1"/>
  <c r="AB33" i="1"/>
  <c r="AC33" i="1" s="1"/>
  <c r="X33" i="1"/>
  <c r="T33" i="1"/>
  <c r="AB32" i="1"/>
  <c r="X32" i="1"/>
  <c r="AC32" i="1" s="1"/>
  <c r="T32" i="1"/>
  <c r="AB31" i="1"/>
  <c r="X31" i="1"/>
  <c r="AC31" i="1" s="1"/>
  <c r="T31" i="1"/>
  <c r="AB30" i="1"/>
  <c r="AC30" i="1" s="1"/>
  <c r="X30" i="1"/>
  <c r="T30" i="1"/>
  <c r="AB29" i="1"/>
  <c r="X29" i="1"/>
  <c r="AC29" i="1" s="1"/>
  <c r="T29" i="1"/>
  <c r="AB28" i="1"/>
  <c r="X28" i="1"/>
  <c r="AC28" i="1" s="1"/>
  <c r="T28" i="1"/>
  <c r="AB27" i="1"/>
  <c r="AC27" i="1" s="1"/>
  <c r="X27" i="1"/>
  <c r="T27" i="1"/>
  <c r="AB26" i="1"/>
  <c r="X26" i="1"/>
  <c r="AC26" i="1" s="1"/>
  <c r="T26" i="1"/>
  <c r="AB25" i="1"/>
  <c r="X25" i="1"/>
  <c r="AC25" i="1" s="1"/>
  <c r="T25" i="1"/>
  <c r="AB24" i="1"/>
  <c r="AC24" i="1" s="1"/>
  <c r="X24" i="1"/>
  <c r="T24" i="1"/>
  <c r="AB23" i="1"/>
  <c r="X23" i="1"/>
  <c r="AC23" i="1" s="1"/>
  <c r="T23" i="1"/>
  <c r="AB22" i="1"/>
  <c r="X22" i="1"/>
  <c r="AC22" i="1" s="1"/>
  <c r="T22" i="1"/>
  <c r="AB21" i="1"/>
  <c r="AC21" i="1" s="1"/>
  <c r="X21" i="1"/>
  <c r="T21" i="1"/>
  <c r="AB20" i="1"/>
  <c r="X20" i="1"/>
  <c r="AC20" i="1" s="1"/>
  <c r="T20" i="1"/>
  <c r="AB19" i="1"/>
  <c r="X19" i="1"/>
  <c r="AC19" i="1" s="1"/>
  <c r="T19" i="1"/>
  <c r="AB18" i="1"/>
  <c r="AC18" i="1" s="1"/>
  <c r="X18" i="1"/>
  <c r="T18" i="1"/>
  <c r="AB17" i="1"/>
  <c r="X17" i="1"/>
  <c r="AC17" i="1" s="1"/>
  <c r="T17" i="1"/>
  <c r="AB16" i="1"/>
  <c r="AB40" i="1" s="1"/>
  <c r="X16" i="1"/>
  <c r="X40" i="1" s="1"/>
  <c r="T16" i="1"/>
  <c r="T40" i="1" s="1"/>
  <c r="AA15" i="1"/>
  <c r="Z15" i="1"/>
  <c r="Z41" i="1" s="1"/>
  <c r="Z47" i="1" s="1"/>
  <c r="Z58" i="1" s="1"/>
  <c r="Z84" i="1" s="1"/>
  <c r="Z90" i="1" s="1"/>
  <c r="Z101" i="1" s="1"/>
  <c r="Z127" i="1" s="1"/>
  <c r="Z133" i="1" s="1"/>
  <c r="Z144" i="1" s="1"/>
  <c r="Y15" i="1"/>
  <c r="Y41" i="1" s="1"/>
  <c r="Y47" i="1" s="1"/>
  <c r="Y58" i="1" s="1"/>
  <c r="X15" i="1"/>
  <c r="W15" i="1"/>
  <c r="W41" i="1" s="1"/>
  <c r="W47" i="1" s="1"/>
  <c r="W58" i="1" s="1"/>
  <c r="W84" i="1" s="1"/>
  <c r="W90" i="1" s="1"/>
  <c r="W101" i="1" s="1"/>
  <c r="W127" i="1" s="1"/>
  <c r="W133" i="1" s="1"/>
  <c r="W144" i="1" s="1"/>
  <c r="W170" i="1" s="1"/>
  <c r="V15" i="1"/>
  <c r="V41" i="1" s="1"/>
  <c r="V47" i="1" s="1"/>
  <c r="V58" i="1" s="1"/>
  <c r="V84" i="1" s="1"/>
  <c r="V90" i="1" s="1"/>
  <c r="V101" i="1" s="1"/>
  <c r="V127" i="1" s="1"/>
  <c r="V133" i="1" s="1"/>
  <c r="V144" i="1" s="1"/>
  <c r="U15" i="1"/>
  <c r="T15" i="1"/>
  <c r="T41" i="1" s="1"/>
  <c r="T47" i="1" s="1"/>
  <c r="S15" i="1"/>
  <c r="S41" i="1" s="1"/>
  <c r="S47" i="1" s="1"/>
  <c r="S58" i="1" s="1"/>
  <c r="S84" i="1" s="1"/>
  <c r="S90" i="1" s="1"/>
  <c r="S101" i="1" s="1"/>
  <c r="S127" i="1" s="1"/>
  <c r="S133" i="1" s="1"/>
  <c r="S144" i="1" s="1"/>
  <c r="S170" i="1" s="1"/>
  <c r="R15" i="1"/>
  <c r="Q15" i="1"/>
  <c r="Q41" i="1" s="1"/>
  <c r="Q47" i="1" s="1"/>
  <c r="Q58" i="1" s="1"/>
  <c r="AB14" i="1"/>
  <c r="X14" i="1"/>
  <c r="AC14" i="1" s="1"/>
  <c r="T14" i="1"/>
  <c r="AC13" i="1"/>
  <c r="AB13" i="1"/>
  <c r="X13" i="1"/>
  <c r="T13" i="1"/>
  <c r="AC12" i="1"/>
  <c r="AB12" i="1"/>
  <c r="X12" i="1"/>
  <c r="T12" i="1"/>
  <c r="AB11" i="1"/>
  <c r="X11" i="1"/>
  <c r="AC11" i="1" s="1"/>
  <c r="T11" i="1"/>
  <c r="AC10" i="1"/>
  <c r="AB10" i="1"/>
  <c r="X10" i="1"/>
  <c r="T10" i="1"/>
  <c r="AC9" i="1"/>
  <c r="AB9" i="1"/>
  <c r="X9" i="1"/>
  <c r="T9" i="1"/>
  <c r="AB8" i="1"/>
  <c r="X8" i="1"/>
  <c r="AC8" i="1" s="1"/>
  <c r="T8" i="1"/>
  <c r="AC7" i="1"/>
  <c r="AB7" i="1"/>
  <c r="X7" i="1"/>
  <c r="T7" i="1"/>
  <c r="AC6" i="1"/>
  <c r="AB6" i="1"/>
  <c r="X6" i="1"/>
  <c r="T6" i="1"/>
  <c r="AB5" i="1"/>
  <c r="X5" i="1"/>
  <c r="AC5" i="1" s="1"/>
  <c r="T5" i="1"/>
  <c r="AC4" i="1"/>
  <c r="AB4" i="1"/>
  <c r="X4" i="1"/>
  <c r="T4" i="1"/>
  <c r="L83" i="7"/>
  <c r="K83" i="7"/>
  <c r="J83" i="7"/>
  <c r="H83" i="7"/>
  <c r="G83" i="7"/>
  <c r="F83" i="7"/>
  <c r="D83" i="7"/>
  <c r="C83" i="7"/>
  <c r="B83" i="7"/>
  <c r="M82" i="7"/>
  <c r="I82" i="7"/>
  <c r="E82" i="7"/>
  <c r="N82" i="7" s="1"/>
  <c r="M81" i="7"/>
  <c r="I81" i="7"/>
  <c r="E81" i="7"/>
  <c r="N81" i="7" s="1"/>
  <c r="M80" i="7"/>
  <c r="I80" i="7"/>
  <c r="E80" i="7"/>
  <c r="N80" i="7" s="1"/>
  <c r="M79" i="7"/>
  <c r="I79" i="7"/>
  <c r="E79" i="7"/>
  <c r="N79" i="7" s="1"/>
  <c r="M78" i="7"/>
  <c r="I78" i="7"/>
  <c r="E78" i="7"/>
  <c r="N78" i="7" s="1"/>
  <c r="M77" i="7"/>
  <c r="I77" i="7"/>
  <c r="E77" i="7"/>
  <c r="N77" i="7" s="1"/>
  <c r="M76" i="7"/>
  <c r="I76" i="7"/>
  <c r="E76" i="7"/>
  <c r="N76" i="7" s="1"/>
  <c r="M75" i="7"/>
  <c r="I75" i="7"/>
  <c r="E75" i="7"/>
  <c r="N75" i="7" s="1"/>
  <c r="M74" i="7"/>
  <c r="I74" i="7"/>
  <c r="E74" i="7"/>
  <c r="N74" i="7" s="1"/>
  <c r="M73" i="7"/>
  <c r="I73" i="7"/>
  <c r="E73" i="7"/>
  <c r="N73" i="7" s="1"/>
  <c r="M72" i="7"/>
  <c r="I72" i="7"/>
  <c r="E72" i="7"/>
  <c r="N72" i="7" s="1"/>
  <c r="M71" i="7"/>
  <c r="I71" i="7"/>
  <c r="E71" i="7"/>
  <c r="N71" i="7" s="1"/>
  <c r="M70" i="7"/>
  <c r="I70" i="7"/>
  <c r="E70" i="7"/>
  <c r="N70" i="7" s="1"/>
  <c r="M69" i="7"/>
  <c r="I69" i="7"/>
  <c r="E69" i="7"/>
  <c r="N69" i="7" s="1"/>
  <c r="M68" i="7"/>
  <c r="I68" i="7"/>
  <c r="E68" i="7"/>
  <c r="N68" i="7" s="1"/>
  <c r="M67" i="7"/>
  <c r="I67" i="7"/>
  <c r="E67" i="7"/>
  <c r="N67" i="7" s="1"/>
  <c r="M66" i="7"/>
  <c r="I66" i="7"/>
  <c r="E66" i="7"/>
  <c r="N66" i="7" s="1"/>
  <c r="M65" i="7"/>
  <c r="I65" i="7"/>
  <c r="E65" i="7"/>
  <c r="N65" i="7" s="1"/>
  <c r="M64" i="7"/>
  <c r="I64" i="7"/>
  <c r="E64" i="7"/>
  <c r="N64" i="7" s="1"/>
  <c r="M63" i="7"/>
  <c r="I63" i="7"/>
  <c r="E63" i="7"/>
  <c r="N63" i="7" s="1"/>
  <c r="M62" i="7"/>
  <c r="I62" i="7"/>
  <c r="E62" i="7"/>
  <c r="N62" i="7" s="1"/>
  <c r="M61" i="7"/>
  <c r="I61" i="7"/>
  <c r="E61" i="7"/>
  <c r="M60" i="7"/>
  <c r="I60" i="7"/>
  <c r="E60" i="7"/>
  <c r="N60" i="7" s="1"/>
  <c r="M59" i="7"/>
  <c r="I59" i="7"/>
  <c r="E59" i="7"/>
  <c r="M57" i="7"/>
  <c r="I57" i="7"/>
  <c r="N57" i="7" s="1"/>
  <c r="E57" i="7"/>
  <c r="M56" i="7"/>
  <c r="I56" i="7"/>
  <c r="N56" i="7" s="1"/>
  <c r="E56" i="7"/>
  <c r="M55" i="7"/>
  <c r="I55" i="7"/>
  <c r="N55" i="7" s="1"/>
  <c r="E55" i="7"/>
  <c r="M54" i="7"/>
  <c r="I54" i="7"/>
  <c r="N54" i="7" s="1"/>
  <c r="E54" i="7"/>
  <c r="M53" i="7"/>
  <c r="I53" i="7"/>
  <c r="N53" i="7" s="1"/>
  <c r="E53" i="7"/>
  <c r="M52" i="7"/>
  <c r="I52" i="7"/>
  <c r="N52" i="7" s="1"/>
  <c r="E52" i="7"/>
  <c r="M51" i="7"/>
  <c r="I51" i="7"/>
  <c r="N51" i="7" s="1"/>
  <c r="E51" i="7"/>
  <c r="M50" i="7"/>
  <c r="I50" i="7"/>
  <c r="N50" i="7" s="1"/>
  <c r="E50" i="7"/>
  <c r="M49" i="7"/>
  <c r="I49" i="7"/>
  <c r="N49" i="7" s="1"/>
  <c r="E49" i="7"/>
  <c r="L40" i="7"/>
  <c r="K40" i="7"/>
  <c r="K41" i="7" s="1"/>
  <c r="K47" i="7" s="1"/>
  <c r="K58" i="7" s="1"/>
  <c r="J40" i="7"/>
  <c r="H40" i="7"/>
  <c r="G40" i="7"/>
  <c r="F40" i="7"/>
  <c r="D40" i="7"/>
  <c r="C40" i="7"/>
  <c r="C41" i="7" s="1"/>
  <c r="C47" i="7" s="1"/>
  <c r="C58" i="7" s="1"/>
  <c r="B40" i="7"/>
  <c r="M39" i="7"/>
  <c r="I39" i="7"/>
  <c r="E39" i="7"/>
  <c r="N39" i="7" s="1"/>
  <c r="M38" i="7"/>
  <c r="I38" i="7"/>
  <c r="E38" i="7"/>
  <c r="M37" i="7"/>
  <c r="I37" i="7"/>
  <c r="E37" i="7"/>
  <c r="M36" i="7"/>
  <c r="I36" i="7"/>
  <c r="E36" i="7"/>
  <c r="N36" i="7" s="1"/>
  <c r="M35" i="7"/>
  <c r="I35" i="7"/>
  <c r="E35" i="7"/>
  <c r="M34" i="7"/>
  <c r="I34" i="7"/>
  <c r="E34" i="7"/>
  <c r="N34" i="7" s="1"/>
  <c r="M33" i="7"/>
  <c r="I33" i="7"/>
  <c r="E33" i="7"/>
  <c r="N33" i="7" s="1"/>
  <c r="M32" i="7"/>
  <c r="I32" i="7"/>
  <c r="E32" i="7"/>
  <c r="N32" i="7" s="1"/>
  <c r="M31" i="7"/>
  <c r="I31" i="7"/>
  <c r="E31" i="7"/>
  <c r="M30" i="7"/>
  <c r="I30" i="7"/>
  <c r="E30" i="7"/>
  <c r="N30" i="7" s="1"/>
  <c r="M29" i="7"/>
  <c r="I29" i="7"/>
  <c r="E29" i="7"/>
  <c r="N29" i="7" s="1"/>
  <c r="M28" i="7"/>
  <c r="I28" i="7"/>
  <c r="E28" i="7"/>
  <c r="N28" i="7" s="1"/>
  <c r="M27" i="7"/>
  <c r="I27" i="7"/>
  <c r="E27" i="7"/>
  <c r="M26" i="7"/>
  <c r="I26" i="7"/>
  <c r="E26" i="7"/>
  <c r="N26" i="7" s="1"/>
  <c r="M25" i="7"/>
  <c r="I25" i="7"/>
  <c r="E25" i="7"/>
  <c r="N25" i="7" s="1"/>
  <c r="M24" i="7"/>
  <c r="I24" i="7"/>
  <c r="E24" i="7"/>
  <c r="M23" i="7"/>
  <c r="I23" i="7"/>
  <c r="E23" i="7"/>
  <c r="N23" i="7" s="1"/>
  <c r="M22" i="7"/>
  <c r="I22" i="7"/>
  <c r="E22" i="7"/>
  <c r="N22" i="7" s="1"/>
  <c r="M21" i="7"/>
  <c r="I21" i="7"/>
  <c r="E21" i="7"/>
  <c r="M20" i="7"/>
  <c r="I20" i="7"/>
  <c r="E20" i="7"/>
  <c r="N20" i="7" s="1"/>
  <c r="M19" i="7"/>
  <c r="I19" i="7"/>
  <c r="E19" i="7"/>
  <c r="M18" i="7"/>
  <c r="I18" i="7"/>
  <c r="E18" i="7"/>
  <c r="M17" i="7"/>
  <c r="I17" i="7"/>
  <c r="E17" i="7"/>
  <c r="M16" i="7"/>
  <c r="I16" i="7"/>
  <c r="E16" i="7"/>
  <c r="L15" i="7"/>
  <c r="K15" i="7"/>
  <c r="J15" i="7"/>
  <c r="J41" i="7" s="1"/>
  <c r="J47" i="7" s="1"/>
  <c r="J58" i="7" s="1"/>
  <c r="H15" i="7"/>
  <c r="G15" i="7"/>
  <c r="F15" i="7"/>
  <c r="F41" i="7" s="1"/>
  <c r="F47" i="7" s="1"/>
  <c r="F58" i="7" s="1"/>
  <c r="D15" i="7"/>
  <c r="C15" i="7"/>
  <c r="B15" i="7"/>
  <c r="B41" i="7" s="1"/>
  <c r="B47" i="7" s="1"/>
  <c r="B58" i="7" s="1"/>
  <c r="M14" i="7"/>
  <c r="I14" i="7"/>
  <c r="N14" i="7" s="1"/>
  <c r="E14" i="7"/>
  <c r="M13" i="7"/>
  <c r="I13" i="7"/>
  <c r="N13" i="7" s="1"/>
  <c r="E13" i="7"/>
  <c r="M12" i="7"/>
  <c r="I12" i="7"/>
  <c r="N12" i="7" s="1"/>
  <c r="E12" i="7"/>
  <c r="M11" i="7"/>
  <c r="I11" i="7"/>
  <c r="E11" i="7"/>
  <c r="M10" i="7"/>
  <c r="I10" i="7"/>
  <c r="N10" i="7" s="1"/>
  <c r="E10" i="7"/>
  <c r="M9" i="7"/>
  <c r="I9" i="7"/>
  <c r="N9" i="7" s="1"/>
  <c r="E9" i="7"/>
  <c r="M8" i="7"/>
  <c r="I8" i="7"/>
  <c r="N8" i="7" s="1"/>
  <c r="E8" i="7"/>
  <c r="M7" i="7"/>
  <c r="I7" i="7"/>
  <c r="E7" i="7"/>
  <c r="M6" i="7"/>
  <c r="I6" i="7"/>
  <c r="N6" i="7" s="1"/>
  <c r="E6" i="7"/>
  <c r="M5" i="7"/>
  <c r="I5" i="7"/>
  <c r="E5" i="7"/>
  <c r="M4" i="7"/>
  <c r="I4" i="7"/>
  <c r="N4" i="7" s="1"/>
  <c r="E4" i="7"/>
  <c r="L83" i="6"/>
  <c r="K83" i="6"/>
  <c r="H83" i="6"/>
  <c r="G83" i="6"/>
  <c r="D83" i="6"/>
  <c r="M82" i="6"/>
  <c r="I82" i="6"/>
  <c r="E82" i="6"/>
  <c r="N82" i="6" s="1"/>
  <c r="M81" i="6"/>
  <c r="I81" i="6"/>
  <c r="E81" i="6"/>
  <c r="M80" i="6"/>
  <c r="I80" i="6"/>
  <c r="E80" i="6"/>
  <c r="N80" i="6" s="1"/>
  <c r="M79" i="6"/>
  <c r="I79" i="6"/>
  <c r="E79" i="6"/>
  <c r="M78" i="6"/>
  <c r="I78" i="6"/>
  <c r="E78" i="6"/>
  <c r="N78" i="6" s="1"/>
  <c r="M77" i="6"/>
  <c r="I77" i="6"/>
  <c r="E77" i="6"/>
  <c r="M76" i="6"/>
  <c r="I76" i="6"/>
  <c r="E76" i="6"/>
  <c r="N76" i="6" s="1"/>
  <c r="M75" i="6"/>
  <c r="I75" i="6"/>
  <c r="E75" i="6"/>
  <c r="M74" i="6"/>
  <c r="I74" i="6"/>
  <c r="E74" i="6"/>
  <c r="N74" i="6" s="1"/>
  <c r="M73" i="6"/>
  <c r="I73" i="6"/>
  <c r="E73" i="6"/>
  <c r="M72" i="6"/>
  <c r="I72" i="6"/>
  <c r="E72" i="6"/>
  <c r="N72" i="6" s="1"/>
  <c r="M71" i="6"/>
  <c r="I71" i="6"/>
  <c r="E71" i="6"/>
  <c r="M70" i="6"/>
  <c r="I70" i="6"/>
  <c r="E70" i="6"/>
  <c r="N70" i="6" s="1"/>
  <c r="M69" i="6"/>
  <c r="I69" i="6"/>
  <c r="C83" i="6"/>
  <c r="M68" i="6"/>
  <c r="I68" i="6"/>
  <c r="E68" i="6"/>
  <c r="M67" i="6"/>
  <c r="I67" i="6"/>
  <c r="E67" i="6"/>
  <c r="M66" i="6"/>
  <c r="I66" i="6"/>
  <c r="E66" i="6"/>
  <c r="M65" i="6"/>
  <c r="I65" i="6"/>
  <c r="E65" i="6"/>
  <c r="J83" i="6"/>
  <c r="I64" i="6"/>
  <c r="B83" i="6"/>
  <c r="M63" i="6"/>
  <c r="I63" i="6"/>
  <c r="E63" i="6"/>
  <c r="M62" i="6"/>
  <c r="I62" i="6"/>
  <c r="E62" i="6"/>
  <c r="N62" i="6" s="1"/>
  <c r="M61" i="6"/>
  <c r="I61" i="6"/>
  <c r="E61" i="6"/>
  <c r="M60" i="6"/>
  <c r="I60" i="6"/>
  <c r="E60" i="6"/>
  <c r="N60" i="6" s="1"/>
  <c r="M59" i="6"/>
  <c r="F83" i="6"/>
  <c r="E59" i="6"/>
  <c r="M57" i="6"/>
  <c r="I57" i="6"/>
  <c r="E57" i="6"/>
  <c r="N57" i="6" s="1"/>
  <c r="M56" i="6"/>
  <c r="I56" i="6"/>
  <c r="E56" i="6"/>
  <c r="M55" i="6"/>
  <c r="I55" i="6"/>
  <c r="E55" i="6"/>
  <c r="N55" i="6" s="1"/>
  <c r="M54" i="6"/>
  <c r="I54" i="6"/>
  <c r="E54" i="6"/>
  <c r="M53" i="6"/>
  <c r="I53" i="6"/>
  <c r="E53" i="6"/>
  <c r="N53" i="6" s="1"/>
  <c r="M52" i="6"/>
  <c r="I52" i="6"/>
  <c r="E52" i="6"/>
  <c r="M51" i="6"/>
  <c r="I51" i="6"/>
  <c r="E51" i="6"/>
  <c r="M50" i="6"/>
  <c r="I50" i="6"/>
  <c r="E50" i="6"/>
  <c r="M49" i="6"/>
  <c r="I49" i="6"/>
  <c r="E49" i="6"/>
  <c r="N49" i="6" s="1"/>
  <c r="M48" i="6"/>
  <c r="I48" i="6"/>
  <c r="E48" i="6"/>
  <c r="L40" i="6"/>
  <c r="K40" i="6"/>
  <c r="J40" i="6"/>
  <c r="H40" i="6"/>
  <c r="F40" i="6"/>
  <c r="D40" i="6"/>
  <c r="C40" i="6"/>
  <c r="B40" i="6"/>
  <c r="M39" i="6"/>
  <c r="I39" i="6"/>
  <c r="E39" i="6"/>
  <c r="M38" i="6"/>
  <c r="I38" i="6"/>
  <c r="N38" i="6" s="1"/>
  <c r="E38" i="6"/>
  <c r="M37" i="6"/>
  <c r="I37" i="6"/>
  <c r="E37" i="6"/>
  <c r="M36" i="6"/>
  <c r="I36" i="6"/>
  <c r="N36" i="6" s="1"/>
  <c r="E36" i="6"/>
  <c r="M35" i="6"/>
  <c r="I35" i="6"/>
  <c r="E35" i="6"/>
  <c r="M34" i="6"/>
  <c r="I34" i="6"/>
  <c r="E34" i="6"/>
  <c r="M33" i="6"/>
  <c r="I33" i="6"/>
  <c r="E33" i="6"/>
  <c r="M32" i="6"/>
  <c r="I32" i="6"/>
  <c r="E32" i="6"/>
  <c r="M31" i="6"/>
  <c r="I31" i="6"/>
  <c r="E31" i="6"/>
  <c r="M28" i="6"/>
  <c r="I28" i="6"/>
  <c r="E28" i="6"/>
  <c r="M27" i="6"/>
  <c r="I27" i="6"/>
  <c r="E27" i="6"/>
  <c r="M26" i="6"/>
  <c r="I26" i="6"/>
  <c r="N26" i="6" s="1"/>
  <c r="E26" i="6"/>
  <c r="M25" i="6"/>
  <c r="I25" i="6"/>
  <c r="E25" i="6"/>
  <c r="M24" i="6"/>
  <c r="I24" i="6"/>
  <c r="N24" i="6" s="1"/>
  <c r="E24" i="6"/>
  <c r="M23" i="6"/>
  <c r="I23" i="6"/>
  <c r="E23" i="6"/>
  <c r="M22" i="6"/>
  <c r="I22" i="6"/>
  <c r="E22" i="6"/>
  <c r="M21" i="6"/>
  <c r="I21" i="6"/>
  <c r="E21" i="6"/>
  <c r="M20" i="6"/>
  <c r="I20" i="6"/>
  <c r="N20" i="6" s="1"/>
  <c r="E20" i="6"/>
  <c r="M19" i="6"/>
  <c r="I19" i="6"/>
  <c r="E19" i="6"/>
  <c r="M18" i="6"/>
  <c r="I18" i="6"/>
  <c r="E18" i="6"/>
  <c r="M17" i="6"/>
  <c r="G40" i="6"/>
  <c r="E17" i="6"/>
  <c r="M16" i="6"/>
  <c r="I16" i="6"/>
  <c r="E16" i="6"/>
  <c r="L15" i="6"/>
  <c r="K15" i="6"/>
  <c r="J15" i="6"/>
  <c r="H15" i="6"/>
  <c r="G15" i="6"/>
  <c r="F15" i="6"/>
  <c r="D15" i="6"/>
  <c r="C15" i="6"/>
  <c r="B15" i="6"/>
  <c r="M14" i="6"/>
  <c r="I14" i="6"/>
  <c r="E14" i="6"/>
  <c r="N14" i="6" s="1"/>
  <c r="M13" i="6"/>
  <c r="I13" i="6"/>
  <c r="E13" i="6"/>
  <c r="M12" i="6"/>
  <c r="I12" i="6"/>
  <c r="E12" i="6"/>
  <c r="M11" i="6"/>
  <c r="I11" i="6"/>
  <c r="E11" i="6"/>
  <c r="M10" i="6"/>
  <c r="I10" i="6"/>
  <c r="E10" i="6"/>
  <c r="M9" i="6"/>
  <c r="I9" i="6"/>
  <c r="E9" i="6"/>
  <c r="M8" i="6"/>
  <c r="I8" i="6"/>
  <c r="E8" i="6"/>
  <c r="M7" i="6"/>
  <c r="I7" i="6"/>
  <c r="E7" i="6"/>
  <c r="M6" i="6"/>
  <c r="I6" i="6"/>
  <c r="E6" i="6"/>
  <c r="M5" i="6"/>
  <c r="I5" i="6"/>
  <c r="E5" i="6"/>
  <c r="M4" i="6"/>
  <c r="I4" i="6"/>
  <c r="E4" i="6"/>
  <c r="E100" i="1"/>
  <c r="I100" i="1"/>
  <c r="M100" i="1"/>
  <c r="N100" i="1"/>
  <c r="N125" i="1"/>
  <c r="N124" i="1"/>
  <c r="N123" i="1"/>
  <c r="N122" i="1"/>
  <c r="N121" i="1"/>
  <c r="N120" i="1"/>
  <c r="N119" i="1"/>
  <c r="N118" i="1"/>
  <c r="N117" i="1"/>
  <c r="N116" i="1"/>
  <c r="N108" i="1"/>
  <c r="N107" i="1"/>
  <c r="N106" i="1"/>
  <c r="N105" i="1"/>
  <c r="N104" i="1"/>
  <c r="N103" i="1"/>
  <c r="N102" i="1"/>
  <c r="N99" i="1"/>
  <c r="N93" i="1"/>
  <c r="N92" i="1"/>
  <c r="N91" i="1"/>
  <c r="N90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" i="1"/>
  <c r="N109" i="6" l="1"/>
  <c r="E126" i="6"/>
  <c r="N108" i="6"/>
  <c r="AB212" i="1"/>
  <c r="N107" i="6"/>
  <c r="X427" i="5"/>
  <c r="M427" i="5"/>
  <c r="AC420" i="5"/>
  <c r="M255" i="1"/>
  <c r="N255" i="1" s="1"/>
  <c r="N104" i="6"/>
  <c r="Z256" i="1"/>
  <c r="S256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K256" i="1"/>
  <c r="G256" i="1"/>
  <c r="E230" i="1"/>
  <c r="B256" i="1"/>
  <c r="I230" i="1"/>
  <c r="I256" i="1" s="1"/>
  <c r="F256" i="1"/>
  <c r="M230" i="1"/>
  <c r="M256" i="1" s="1"/>
  <c r="J256" i="1"/>
  <c r="AC255" i="1"/>
  <c r="Q256" i="1"/>
  <c r="T230" i="1"/>
  <c r="T256" i="1" s="1"/>
  <c r="Y256" i="1"/>
  <c r="AB230" i="1"/>
  <c r="AB256" i="1" s="1"/>
  <c r="AB255" i="1"/>
  <c r="N231" i="1"/>
  <c r="N211" i="1"/>
  <c r="N102" i="6"/>
  <c r="L127" i="6"/>
  <c r="F127" i="6"/>
  <c r="N126" i="6"/>
  <c r="B127" i="6"/>
  <c r="M101" i="6"/>
  <c r="M127" i="6" s="1"/>
  <c r="I101" i="6"/>
  <c r="I127" i="6" s="1"/>
  <c r="E127" i="6"/>
  <c r="Q213" i="1"/>
  <c r="T212" i="1"/>
  <c r="AC418" i="5"/>
  <c r="L213" i="1"/>
  <c r="M212" i="1"/>
  <c r="I212" i="1"/>
  <c r="N48" i="7"/>
  <c r="N51" i="6"/>
  <c r="C213" i="1"/>
  <c r="U213" i="1"/>
  <c r="U219" i="1" s="1"/>
  <c r="U230" i="1" s="1"/>
  <c r="X230" i="1" s="1"/>
  <c r="Z428" i="5"/>
  <c r="AB427" i="5"/>
  <c r="AC414" i="5"/>
  <c r="S428" i="5"/>
  <c r="R428" i="5"/>
  <c r="Q428" i="5"/>
  <c r="N168" i="1"/>
  <c r="K428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C428" i="5"/>
  <c r="N397" i="5"/>
  <c r="N398" i="5"/>
  <c r="N392" i="5"/>
  <c r="N393" i="5"/>
  <c r="N394" i="5"/>
  <c r="N395" i="5"/>
  <c r="N396" i="5"/>
  <c r="E402" i="5"/>
  <c r="M402" i="5"/>
  <c r="M428" i="5" s="1"/>
  <c r="T402" i="5"/>
  <c r="X402" i="5"/>
  <c r="X428" i="5" s="1"/>
  <c r="T427" i="5"/>
  <c r="AC398" i="5"/>
  <c r="E427" i="5"/>
  <c r="N427" i="5" s="1"/>
  <c r="N403" i="5"/>
  <c r="B428" i="5"/>
  <c r="F428" i="5"/>
  <c r="J428" i="5"/>
  <c r="N382" i="5"/>
  <c r="AC177" i="1"/>
  <c r="AC178" i="1"/>
  <c r="AC179" i="1"/>
  <c r="AC180" i="1"/>
  <c r="AC181" i="1"/>
  <c r="Z213" i="1"/>
  <c r="V213" i="1"/>
  <c r="V219" i="1" s="1"/>
  <c r="V230" i="1" s="1"/>
  <c r="V256" i="1" s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N177" i="1"/>
  <c r="N178" i="1"/>
  <c r="N179" i="1"/>
  <c r="N180" i="1"/>
  <c r="N181" i="1"/>
  <c r="N182" i="1"/>
  <c r="H213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E187" i="1"/>
  <c r="B213" i="1"/>
  <c r="F213" i="1"/>
  <c r="M187" i="1"/>
  <c r="M213" i="1" s="1"/>
  <c r="J213" i="1"/>
  <c r="AC183" i="1"/>
  <c r="AC184" i="1"/>
  <c r="AC185" i="1"/>
  <c r="AC186" i="1"/>
  <c r="T187" i="1"/>
  <c r="T213" i="1" s="1"/>
  <c r="X187" i="1"/>
  <c r="AB187" i="1"/>
  <c r="AB213" i="1" s="1"/>
  <c r="AB219" i="1" s="1"/>
  <c r="AC212" i="1"/>
  <c r="E212" i="1"/>
  <c r="N188" i="1"/>
  <c r="AC208" i="1"/>
  <c r="AC209" i="1"/>
  <c r="AC210" i="1"/>
  <c r="AC211" i="1"/>
  <c r="N166" i="1"/>
  <c r="I83" i="7"/>
  <c r="N61" i="7"/>
  <c r="K84" i="7"/>
  <c r="N165" i="1"/>
  <c r="Z170" i="1"/>
  <c r="AB169" i="1"/>
  <c r="AC154" i="1"/>
  <c r="N381" i="5"/>
  <c r="L385" i="5"/>
  <c r="AC153" i="1"/>
  <c r="N163" i="1"/>
  <c r="N162" i="1"/>
  <c r="N161" i="1"/>
  <c r="N138" i="1"/>
  <c r="C84" i="7"/>
  <c r="N160" i="1"/>
  <c r="N159" i="1"/>
  <c r="N34" i="6"/>
  <c r="N137" i="1"/>
  <c r="N157" i="1"/>
  <c r="N32" i="6"/>
  <c r="N155" i="1"/>
  <c r="N11" i="7"/>
  <c r="N136" i="1"/>
  <c r="AC150" i="1"/>
  <c r="T169" i="1"/>
  <c r="N38" i="7"/>
  <c r="G170" i="1"/>
  <c r="G176" i="1" s="1"/>
  <c r="G187" i="1" s="1"/>
  <c r="G213" i="1" s="1"/>
  <c r="C385" i="5"/>
  <c r="N37" i="7"/>
  <c r="M169" i="1"/>
  <c r="L170" i="1"/>
  <c r="N151" i="1"/>
  <c r="AA170" i="1"/>
  <c r="AC149" i="1"/>
  <c r="N150" i="1"/>
  <c r="I169" i="1"/>
  <c r="N35" i="7"/>
  <c r="N352" i="5"/>
  <c r="N376" i="5"/>
  <c r="N370" i="5"/>
  <c r="I15" i="7"/>
  <c r="AC351" i="5"/>
  <c r="Y385" i="5"/>
  <c r="H41" i="7"/>
  <c r="H47" i="7" s="1"/>
  <c r="H58" i="7" s="1"/>
  <c r="H84" i="7" s="1"/>
  <c r="N31" i="7"/>
  <c r="D170" i="1"/>
  <c r="AC350" i="5"/>
  <c r="AC135" i="1"/>
  <c r="N134" i="1"/>
  <c r="N146" i="1"/>
  <c r="L41" i="7"/>
  <c r="L47" i="7" s="1"/>
  <c r="L58" i="7" s="1"/>
  <c r="L84" i="7" s="1"/>
  <c r="K41" i="6"/>
  <c r="K47" i="6" s="1"/>
  <c r="K58" i="6" s="1"/>
  <c r="K84" i="6" s="1"/>
  <c r="N27" i="7"/>
  <c r="N28" i="6"/>
  <c r="N24" i="7"/>
  <c r="N320" i="5"/>
  <c r="AC134" i="1"/>
  <c r="N350" i="5"/>
  <c r="AC147" i="1"/>
  <c r="V170" i="1"/>
  <c r="N145" i="1"/>
  <c r="N363" i="5"/>
  <c r="N7" i="7"/>
  <c r="E15" i="7"/>
  <c r="B41" i="6"/>
  <c r="B47" i="6" s="1"/>
  <c r="B58" i="6" s="1"/>
  <c r="B84" i="6" s="1"/>
  <c r="D41" i="7"/>
  <c r="D47" i="7" s="1"/>
  <c r="D58" i="7" s="1"/>
  <c r="D84" i="7" s="1"/>
  <c r="H385" i="5"/>
  <c r="N361" i="5"/>
  <c r="I40" i="7"/>
  <c r="I41" i="7" s="1"/>
  <c r="I47" i="7" s="1"/>
  <c r="N21" i="7"/>
  <c r="X169" i="1"/>
  <c r="M58" i="5"/>
  <c r="E40" i="5"/>
  <c r="N59" i="5"/>
  <c r="E83" i="5"/>
  <c r="N83" i="5" s="1"/>
  <c r="I83" i="5"/>
  <c r="AC349" i="5"/>
  <c r="AC353" i="5"/>
  <c r="B41" i="5"/>
  <c r="B47" i="5" s="1"/>
  <c r="B58" i="5" s="1"/>
  <c r="E15" i="5"/>
  <c r="N18" i="5"/>
  <c r="N27" i="5"/>
  <c r="N36" i="5"/>
  <c r="N70" i="5"/>
  <c r="J83" i="5"/>
  <c r="J84" i="5" s="1"/>
  <c r="J90" i="5" s="1"/>
  <c r="J101" i="5" s="1"/>
  <c r="N135" i="5"/>
  <c r="N151" i="5"/>
  <c r="N159" i="5"/>
  <c r="N183" i="5"/>
  <c r="N289" i="5"/>
  <c r="N321" i="5"/>
  <c r="N24" i="5"/>
  <c r="N33" i="5"/>
  <c r="M83" i="5"/>
  <c r="E126" i="5"/>
  <c r="N102" i="5"/>
  <c r="N145" i="5"/>
  <c r="E169" i="5"/>
  <c r="M341" i="5"/>
  <c r="N319" i="5"/>
  <c r="G40" i="5"/>
  <c r="G41" i="5" s="1"/>
  <c r="G47" i="5" s="1"/>
  <c r="G58" i="5" s="1"/>
  <c r="G84" i="5" s="1"/>
  <c r="G90" i="5" s="1"/>
  <c r="G101" i="5" s="1"/>
  <c r="G127" i="5" s="1"/>
  <c r="G133" i="5" s="1"/>
  <c r="G144" i="5" s="1"/>
  <c r="G170" i="5" s="1"/>
  <c r="G176" i="5" s="1"/>
  <c r="G187" i="5" s="1"/>
  <c r="G213" i="5" s="1"/>
  <c r="G219" i="5" s="1"/>
  <c r="G230" i="5" s="1"/>
  <c r="G256" i="5" s="1"/>
  <c r="G262" i="5" s="1"/>
  <c r="G273" i="5" s="1"/>
  <c r="G299" i="5" s="1"/>
  <c r="G305" i="5" s="1"/>
  <c r="G316" i="5" s="1"/>
  <c r="G342" i="5" s="1"/>
  <c r="G348" i="5" s="1"/>
  <c r="G359" i="5" s="1"/>
  <c r="G385" i="5" s="1"/>
  <c r="G391" i="5" s="1"/>
  <c r="G402" i="5" s="1"/>
  <c r="G428" i="5" s="1"/>
  <c r="I17" i="5"/>
  <c r="N17" i="5" s="1"/>
  <c r="AC366" i="5"/>
  <c r="M40" i="5"/>
  <c r="M169" i="5"/>
  <c r="I341" i="5"/>
  <c r="N7" i="5"/>
  <c r="F41" i="5"/>
  <c r="F47" i="5" s="1"/>
  <c r="F58" i="5" s="1"/>
  <c r="I15" i="5"/>
  <c r="M15" i="5"/>
  <c r="M41" i="5" s="1"/>
  <c r="M47" i="5" s="1"/>
  <c r="N54" i="5"/>
  <c r="N79" i="5"/>
  <c r="N95" i="5"/>
  <c r="I126" i="5"/>
  <c r="N106" i="5"/>
  <c r="N115" i="5"/>
  <c r="N124" i="5"/>
  <c r="N188" i="5"/>
  <c r="I212" i="5"/>
  <c r="N212" i="5" s="1"/>
  <c r="N197" i="5"/>
  <c r="N236" i="5"/>
  <c r="E384" i="5"/>
  <c r="Z342" i="5"/>
  <c r="Z348" i="5" s="1"/>
  <c r="Z359" i="5" s="1"/>
  <c r="Z385" i="5" s="1"/>
  <c r="AC360" i="5"/>
  <c r="N141" i="5"/>
  <c r="I169" i="5"/>
  <c r="N203" i="5"/>
  <c r="M255" i="5"/>
  <c r="N248" i="5"/>
  <c r="I384" i="5"/>
  <c r="N371" i="5"/>
  <c r="I255" i="5"/>
  <c r="AB384" i="5"/>
  <c r="M126" i="5"/>
  <c r="K255" i="5"/>
  <c r="K256" i="5" s="1"/>
  <c r="K262" i="5" s="1"/>
  <c r="K273" i="5" s="1"/>
  <c r="K299" i="5" s="1"/>
  <c r="K305" i="5" s="1"/>
  <c r="K316" i="5" s="1"/>
  <c r="K342" i="5" s="1"/>
  <c r="K348" i="5" s="1"/>
  <c r="K359" i="5" s="1"/>
  <c r="K385" i="5" s="1"/>
  <c r="E298" i="5"/>
  <c r="N298" i="5" s="1"/>
  <c r="N274" i="5"/>
  <c r="N283" i="5"/>
  <c r="N292" i="5"/>
  <c r="M384" i="5"/>
  <c r="AC309" i="5"/>
  <c r="AC311" i="5"/>
  <c r="AC315" i="5"/>
  <c r="AC333" i="5"/>
  <c r="AC335" i="5"/>
  <c r="AC337" i="5"/>
  <c r="AC356" i="5"/>
  <c r="AC365" i="5"/>
  <c r="AC363" i="5"/>
  <c r="N138" i="5"/>
  <c r="N154" i="5"/>
  <c r="N177" i="5"/>
  <c r="N186" i="5"/>
  <c r="N191" i="5"/>
  <c r="N200" i="5"/>
  <c r="N209" i="5"/>
  <c r="N245" i="5"/>
  <c r="N254" i="5"/>
  <c r="E255" i="5"/>
  <c r="N267" i="5"/>
  <c r="E341" i="5"/>
  <c r="N341" i="5" s="1"/>
  <c r="N360" i="5"/>
  <c r="N368" i="5"/>
  <c r="N377" i="5"/>
  <c r="N317" i="5"/>
  <c r="AC358" i="5"/>
  <c r="AC355" i="5"/>
  <c r="AC319" i="5"/>
  <c r="AC352" i="5"/>
  <c r="AC364" i="5"/>
  <c r="X384" i="5"/>
  <c r="AC361" i="5"/>
  <c r="AC367" i="5"/>
  <c r="AC369" i="5"/>
  <c r="AC371" i="5"/>
  <c r="AC373" i="5"/>
  <c r="AC375" i="5"/>
  <c r="AC377" i="5"/>
  <c r="AC379" i="5"/>
  <c r="AC381" i="5"/>
  <c r="AC383" i="5"/>
  <c r="T384" i="5"/>
  <c r="H170" i="1"/>
  <c r="E169" i="1"/>
  <c r="I144" i="1"/>
  <c r="B170" i="1"/>
  <c r="E144" i="1"/>
  <c r="J170" i="1"/>
  <c r="M144" i="1"/>
  <c r="F170" i="1"/>
  <c r="AC310" i="5"/>
  <c r="S342" i="5"/>
  <c r="S348" i="5" s="1"/>
  <c r="S359" i="5" s="1"/>
  <c r="S385" i="5" s="1"/>
  <c r="AA342" i="5"/>
  <c r="AA348" i="5" s="1"/>
  <c r="AA359" i="5" s="1"/>
  <c r="AC312" i="5"/>
  <c r="AC320" i="5"/>
  <c r="AC307" i="5"/>
  <c r="AC313" i="5"/>
  <c r="T341" i="5"/>
  <c r="T342" i="5" s="1"/>
  <c r="T348" i="5" s="1"/>
  <c r="AC332" i="5"/>
  <c r="AC306" i="5"/>
  <c r="V342" i="5"/>
  <c r="V348" i="5" s="1"/>
  <c r="V359" i="5" s="1"/>
  <c r="V385" i="5" s="1"/>
  <c r="AC323" i="5"/>
  <c r="AC338" i="5"/>
  <c r="AC314" i="5"/>
  <c r="AC329" i="5"/>
  <c r="W342" i="5"/>
  <c r="W348" i="5" s="1"/>
  <c r="W359" i="5" s="1"/>
  <c r="W385" i="5" s="1"/>
  <c r="AC308" i="5"/>
  <c r="R342" i="5"/>
  <c r="R348" i="5" s="1"/>
  <c r="R359" i="5" s="1"/>
  <c r="R385" i="5" s="1"/>
  <c r="AB341" i="5"/>
  <c r="AC321" i="5"/>
  <c r="AC330" i="5"/>
  <c r="AC339" i="5"/>
  <c r="Q342" i="5"/>
  <c r="Q348" i="5" s="1"/>
  <c r="Q359" i="5" s="1"/>
  <c r="Q385" i="5" s="1"/>
  <c r="X341" i="5"/>
  <c r="AC305" i="5"/>
  <c r="AC317" i="5"/>
  <c r="AC325" i="5"/>
  <c r="AC334" i="5"/>
  <c r="AC318" i="5"/>
  <c r="AC327" i="5"/>
  <c r="AC336" i="5"/>
  <c r="X316" i="5"/>
  <c r="AB316" i="5"/>
  <c r="AB342" i="5" s="1"/>
  <c r="AB348" i="5" s="1"/>
  <c r="AC322" i="5"/>
  <c r="AC331" i="5"/>
  <c r="AC340" i="5"/>
  <c r="U342" i="5"/>
  <c r="U348" i="5" s="1"/>
  <c r="U359" i="5" s="1"/>
  <c r="AC83" i="1"/>
  <c r="T58" i="1"/>
  <c r="T84" i="1" s="1"/>
  <c r="T90" i="1" s="1"/>
  <c r="Q84" i="1"/>
  <c r="Q90" i="1" s="1"/>
  <c r="Q101" i="1" s="1"/>
  <c r="AC40" i="1"/>
  <c r="X41" i="1"/>
  <c r="AB58" i="1"/>
  <c r="AB84" i="1" s="1"/>
  <c r="AB90" i="1" s="1"/>
  <c r="Y84" i="1"/>
  <c r="Y90" i="1" s="1"/>
  <c r="Y101" i="1" s="1"/>
  <c r="U84" i="1"/>
  <c r="U90" i="1" s="1"/>
  <c r="U101" i="1" s="1"/>
  <c r="X58" i="1"/>
  <c r="AC16" i="1"/>
  <c r="AC145" i="1"/>
  <c r="AB15" i="1"/>
  <c r="AB41" i="1" s="1"/>
  <c r="AB47" i="1" s="1"/>
  <c r="AC59" i="1"/>
  <c r="X126" i="1"/>
  <c r="AC126" i="1" s="1"/>
  <c r="N22" i="6"/>
  <c r="M40" i="7"/>
  <c r="N19" i="7"/>
  <c r="N18" i="7"/>
  <c r="D41" i="6"/>
  <c r="D47" i="6" s="1"/>
  <c r="D58" i="6" s="1"/>
  <c r="D84" i="6" s="1"/>
  <c r="H41" i="6"/>
  <c r="H47" i="6" s="1"/>
  <c r="H58" i="6" s="1"/>
  <c r="H84" i="6" s="1"/>
  <c r="N19" i="6"/>
  <c r="N5" i="7"/>
  <c r="M15" i="7"/>
  <c r="G41" i="7"/>
  <c r="G47" i="7" s="1"/>
  <c r="G58" i="7" s="1"/>
  <c r="G84" i="7" s="1"/>
  <c r="N17" i="7"/>
  <c r="B84" i="7"/>
  <c r="J84" i="7"/>
  <c r="M58" i="7"/>
  <c r="F84" i="7"/>
  <c r="E40" i="7"/>
  <c r="N16" i="7"/>
  <c r="E83" i="7"/>
  <c r="N59" i="7"/>
  <c r="M83" i="7"/>
  <c r="M40" i="6"/>
  <c r="F41" i="6"/>
  <c r="F47" i="6" s="1"/>
  <c r="F58" i="6" s="1"/>
  <c r="F84" i="6" s="1"/>
  <c r="N16" i="6"/>
  <c r="C41" i="6"/>
  <c r="C47" i="6" s="1"/>
  <c r="C58" i="6" s="1"/>
  <c r="C84" i="6" s="1"/>
  <c r="N4" i="6"/>
  <c r="N6" i="6"/>
  <c r="N8" i="6"/>
  <c r="N10" i="6"/>
  <c r="N12" i="6"/>
  <c r="N65" i="6"/>
  <c r="N68" i="6"/>
  <c r="N5" i="6"/>
  <c r="N7" i="6"/>
  <c r="N9" i="6"/>
  <c r="N11" i="6"/>
  <c r="N13" i="6"/>
  <c r="G41" i="6"/>
  <c r="G47" i="6" s="1"/>
  <c r="G58" i="6" s="1"/>
  <c r="G84" i="6" s="1"/>
  <c r="J41" i="6"/>
  <c r="J47" i="6" s="1"/>
  <c r="J58" i="6" s="1"/>
  <c r="J84" i="6" s="1"/>
  <c r="L41" i="6"/>
  <c r="L47" i="6" s="1"/>
  <c r="L58" i="6" s="1"/>
  <c r="L84" i="6" s="1"/>
  <c r="I17" i="6"/>
  <c r="I40" i="6" s="1"/>
  <c r="N18" i="6"/>
  <c r="N21" i="6"/>
  <c r="N23" i="6"/>
  <c r="N25" i="6"/>
  <c r="N27" i="6"/>
  <c r="N31" i="6"/>
  <c r="N33" i="6"/>
  <c r="N35" i="6"/>
  <c r="N37" i="6"/>
  <c r="N39" i="6"/>
  <c r="N48" i="6"/>
  <c r="N50" i="6"/>
  <c r="N52" i="6"/>
  <c r="N54" i="6"/>
  <c r="N56" i="6"/>
  <c r="N61" i="6"/>
  <c r="N63" i="6"/>
  <c r="M64" i="6"/>
  <c r="M83" i="6" s="1"/>
  <c r="N66" i="6"/>
  <c r="N67" i="6"/>
  <c r="E69" i="6"/>
  <c r="N69" i="6" s="1"/>
  <c r="N71" i="6"/>
  <c r="N73" i="6"/>
  <c r="N75" i="6"/>
  <c r="N77" i="6"/>
  <c r="N79" i="6"/>
  <c r="N81" i="6"/>
  <c r="E15" i="6"/>
  <c r="I15" i="6"/>
  <c r="M15" i="6"/>
  <c r="E40" i="6"/>
  <c r="I59" i="6"/>
  <c r="I83" i="6" s="1"/>
  <c r="E64" i="6"/>
  <c r="E96" i="1"/>
  <c r="I96" i="1"/>
  <c r="N96" i="1" s="1"/>
  <c r="M96" i="1"/>
  <c r="E97" i="1"/>
  <c r="I97" i="1"/>
  <c r="M97" i="1"/>
  <c r="E98" i="1"/>
  <c r="I98" i="1"/>
  <c r="M98" i="1"/>
  <c r="E99" i="1"/>
  <c r="I99" i="1"/>
  <c r="M99" i="1"/>
  <c r="E91" i="1"/>
  <c r="I91" i="1"/>
  <c r="M91" i="1"/>
  <c r="E92" i="1"/>
  <c r="I92" i="1"/>
  <c r="M92" i="1"/>
  <c r="E93" i="1"/>
  <c r="I93" i="1"/>
  <c r="M93" i="1"/>
  <c r="E94" i="1"/>
  <c r="N94" i="1" s="1"/>
  <c r="I94" i="1"/>
  <c r="M94" i="1"/>
  <c r="E95" i="1"/>
  <c r="I95" i="1"/>
  <c r="M95" i="1"/>
  <c r="E102" i="1"/>
  <c r="I102" i="1"/>
  <c r="M102" i="1"/>
  <c r="E103" i="1"/>
  <c r="I103" i="1"/>
  <c r="M103" i="1"/>
  <c r="E104" i="1"/>
  <c r="I104" i="1"/>
  <c r="M104" i="1"/>
  <c r="E105" i="1"/>
  <c r="I105" i="1"/>
  <c r="M105" i="1"/>
  <c r="E106" i="1"/>
  <c r="I106" i="1"/>
  <c r="M106" i="1"/>
  <c r="E107" i="1"/>
  <c r="I107" i="1"/>
  <c r="M107" i="1"/>
  <c r="E108" i="1"/>
  <c r="I108" i="1"/>
  <c r="M108" i="1"/>
  <c r="E109" i="1"/>
  <c r="I109" i="1"/>
  <c r="M109" i="1"/>
  <c r="E110" i="1"/>
  <c r="I110" i="1"/>
  <c r="M110" i="1"/>
  <c r="N110" i="1" s="1"/>
  <c r="E111" i="1"/>
  <c r="I111" i="1"/>
  <c r="M111" i="1"/>
  <c r="E112" i="1"/>
  <c r="I112" i="1"/>
  <c r="M112" i="1"/>
  <c r="E113" i="1"/>
  <c r="I113" i="1"/>
  <c r="M113" i="1"/>
  <c r="E114" i="1"/>
  <c r="I114" i="1"/>
  <c r="M114" i="1"/>
  <c r="E115" i="1"/>
  <c r="I115" i="1"/>
  <c r="M115" i="1"/>
  <c r="E116" i="1"/>
  <c r="I116" i="1"/>
  <c r="M116" i="1"/>
  <c r="E117" i="1"/>
  <c r="I117" i="1"/>
  <c r="M117" i="1"/>
  <c r="E118" i="1"/>
  <c r="I118" i="1"/>
  <c r="M118" i="1"/>
  <c r="E119" i="1"/>
  <c r="I119" i="1"/>
  <c r="M119" i="1"/>
  <c r="E120" i="1"/>
  <c r="I120" i="1"/>
  <c r="M120" i="1"/>
  <c r="E121" i="1"/>
  <c r="I121" i="1"/>
  <c r="M121" i="1"/>
  <c r="E122" i="1"/>
  <c r="I122" i="1"/>
  <c r="M122" i="1"/>
  <c r="E123" i="1"/>
  <c r="I123" i="1"/>
  <c r="M123" i="1"/>
  <c r="L126" i="1"/>
  <c r="K126" i="1"/>
  <c r="J126" i="1"/>
  <c r="H126" i="1"/>
  <c r="G126" i="1"/>
  <c r="F126" i="1"/>
  <c r="D126" i="1"/>
  <c r="C126" i="1"/>
  <c r="B126" i="1"/>
  <c r="M125" i="1"/>
  <c r="I125" i="1"/>
  <c r="E125" i="1"/>
  <c r="M124" i="1"/>
  <c r="I124" i="1"/>
  <c r="E124" i="1"/>
  <c r="U256" i="1" l="1"/>
  <c r="N127" i="6"/>
  <c r="AC230" i="1"/>
  <c r="X256" i="1"/>
  <c r="AC256" i="1" s="1"/>
  <c r="E256" i="1"/>
  <c r="N256" i="1" s="1"/>
  <c r="N230" i="1"/>
  <c r="N101" i="6"/>
  <c r="N212" i="1"/>
  <c r="AC427" i="5"/>
  <c r="I402" i="5"/>
  <c r="I428" i="5" s="1"/>
  <c r="I187" i="1"/>
  <c r="I213" i="1" s="1"/>
  <c r="T428" i="5"/>
  <c r="E428" i="5"/>
  <c r="N402" i="5"/>
  <c r="AC187" i="1"/>
  <c r="X213" i="1"/>
  <c r="E213" i="1"/>
  <c r="M84" i="7"/>
  <c r="AC169" i="1"/>
  <c r="M170" i="1"/>
  <c r="M176" i="1" s="1"/>
  <c r="N169" i="1"/>
  <c r="I170" i="1"/>
  <c r="I176" i="1" s="1"/>
  <c r="E58" i="7"/>
  <c r="E84" i="7" s="1"/>
  <c r="N15" i="7"/>
  <c r="I58" i="7"/>
  <c r="I84" i="7" s="1"/>
  <c r="N40" i="7"/>
  <c r="AC384" i="5"/>
  <c r="J127" i="5"/>
  <c r="J133" i="5" s="1"/>
  <c r="J144" i="5" s="1"/>
  <c r="M101" i="5"/>
  <c r="M127" i="5" s="1"/>
  <c r="M133" i="5" s="1"/>
  <c r="I40" i="5"/>
  <c r="N40" i="5"/>
  <c r="N384" i="5"/>
  <c r="N126" i="5"/>
  <c r="E41" i="5"/>
  <c r="N15" i="5"/>
  <c r="E58" i="5"/>
  <c r="B84" i="5"/>
  <c r="B90" i="5" s="1"/>
  <c r="B101" i="5" s="1"/>
  <c r="X359" i="5"/>
  <c r="X385" i="5" s="1"/>
  <c r="AB359" i="5"/>
  <c r="AB385" i="5" s="1"/>
  <c r="AB391" i="5" s="1"/>
  <c r="AA385" i="5"/>
  <c r="AA391" i="5" s="1"/>
  <c r="AA402" i="5" s="1"/>
  <c r="I41" i="5"/>
  <c r="I47" i="5" s="1"/>
  <c r="N255" i="5"/>
  <c r="F84" i="5"/>
  <c r="F90" i="5" s="1"/>
  <c r="F101" i="5" s="1"/>
  <c r="I58" i="5"/>
  <c r="I84" i="5" s="1"/>
  <c r="I90" i="5" s="1"/>
  <c r="N169" i="5"/>
  <c r="M84" i="5"/>
  <c r="M90" i="5" s="1"/>
  <c r="AC316" i="5"/>
  <c r="T359" i="5"/>
  <c r="U385" i="5"/>
  <c r="E170" i="1"/>
  <c r="E176" i="1" s="1"/>
  <c r="N176" i="1" s="1"/>
  <c r="N144" i="1"/>
  <c r="AC341" i="5"/>
  <c r="X342" i="5"/>
  <c r="AC58" i="1"/>
  <c r="X84" i="1"/>
  <c r="X101" i="1"/>
  <c r="U127" i="1"/>
  <c r="U133" i="1" s="1"/>
  <c r="U144" i="1" s="1"/>
  <c r="T101" i="1"/>
  <c r="T127" i="1" s="1"/>
  <c r="T133" i="1" s="1"/>
  <c r="Q127" i="1"/>
  <c r="Q133" i="1" s="1"/>
  <c r="Q144" i="1" s="1"/>
  <c r="Y127" i="1"/>
  <c r="Y133" i="1" s="1"/>
  <c r="Y144" i="1" s="1"/>
  <c r="AB101" i="1"/>
  <c r="AB127" i="1" s="1"/>
  <c r="AB133" i="1" s="1"/>
  <c r="AC15" i="1"/>
  <c r="AC41" i="1"/>
  <c r="AC47" i="1" s="1"/>
  <c r="X47" i="1"/>
  <c r="E41" i="7"/>
  <c r="E47" i="7" s="1"/>
  <c r="E58" i="6"/>
  <c r="N98" i="1"/>
  <c r="N115" i="1"/>
  <c r="M41" i="7"/>
  <c r="M47" i="7" s="1"/>
  <c r="N114" i="1"/>
  <c r="N113" i="1"/>
  <c r="N97" i="1"/>
  <c r="N112" i="1"/>
  <c r="N83" i="7"/>
  <c r="M41" i="6"/>
  <c r="M47" i="6" s="1"/>
  <c r="N17" i="6"/>
  <c r="N64" i="6"/>
  <c r="N40" i="6"/>
  <c r="I41" i="6"/>
  <c r="I47" i="6" s="1"/>
  <c r="I58" i="6"/>
  <c r="I84" i="6" s="1"/>
  <c r="M58" i="6"/>
  <c r="M84" i="6" s="1"/>
  <c r="E83" i="6"/>
  <c r="N83" i="6" s="1"/>
  <c r="E41" i="6"/>
  <c r="N15" i="6"/>
  <c r="N59" i="6"/>
  <c r="N111" i="1"/>
  <c r="N95" i="1"/>
  <c r="N109" i="1"/>
  <c r="E126" i="1"/>
  <c r="M126" i="1"/>
  <c r="I126" i="1"/>
  <c r="AC213" i="1" l="1"/>
  <c r="AC219" i="1" s="1"/>
  <c r="X219" i="1"/>
  <c r="N213" i="1"/>
  <c r="N428" i="5"/>
  <c r="N187" i="1"/>
  <c r="AA428" i="5"/>
  <c r="AB402" i="5"/>
  <c r="N170" i="1"/>
  <c r="N84" i="7"/>
  <c r="N58" i="7"/>
  <c r="N41" i="7"/>
  <c r="N47" i="7" s="1"/>
  <c r="E101" i="5"/>
  <c r="B127" i="5"/>
  <c r="B133" i="5" s="1"/>
  <c r="B144" i="5" s="1"/>
  <c r="N58" i="5"/>
  <c r="E84" i="5"/>
  <c r="F127" i="5"/>
  <c r="F133" i="5" s="1"/>
  <c r="F144" i="5" s="1"/>
  <c r="I101" i="5"/>
  <c r="I127" i="5" s="1"/>
  <c r="I133" i="5" s="1"/>
  <c r="N41" i="5"/>
  <c r="N47" i="5" s="1"/>
  <c r="E47" i="5"/>
  <c r="M144" i="5"/>
  <c r="M170" i="5" s="1"/>
  <c r="M176" i="5" s="1"/>
  <c r="J170" i="5"/>
  <c r="J176" i="5" s="1"/>
  <c r="J187" i="5" s="1"/>
  <c r="AC342" i="5"/>
  <c r="AC348" i="5" s="1"/>
  <c r="X348" i="5"/>
  <c r="AC359" i="5"/>
  <c r="T385" i="5"/>
  <c r="AC385" i="5" s="1"/>
  <c r="AC391" i="5" s="1"/>
  <c r="X127" i="1"/>
  <c r="AC101" i="1"/>
  <c r="X90" i="1"/>
  <c r="AC84" i="1"/>
  <c r="AC90" i="1" s="1"/>
  <c r="AB144" i="1"/>
  <c r="AB170" i="1" s="1"/>
  <c r="Y170" i="1"/>
  <c r="Q170" i="1"/>
  <c r="T144" i="1"/>
  <c r="T170" i="1" s="1"/>
  <c r="X144" i="1"/>
  <c r="U170" i="1"/>
  <c r="E84" i="6"/>
  <c r="N84" i="6" s="1"/>
  <c r="N58" i="6"/>
  <c r="E47" i="6"/>
  <c r="N41" i="6"/>
  <c r="N47" i="6" s="1"/>
  <c r="N126" i="1"/>
  <c r="AB428" i="5" l="1"/>
  <c r="AC428" i="5" s="1"/>
  <c r="AC402" i="5"/>
  <c r="I144" i="5"/>
  <c r="I170" i="5" s="1"/>
  <c r="I176" i="5" s="1"/>
  <c r="F170" i="5"/>
  <c r="F176" i="5" s="1"/>
  <c r="F187" i="5" s="1"/>
  <c r="J213" i="5"/>
  <c r="J219" i="5" s="1"/>
  <c r="J230" i="5" s="1"/>
  <c r="M187" i="5"/>
  <c r="M213" i="5" s="1"/>
  <c r="M219" i="5" s="1"/>
  <c r="E90" i="5"/>
  <c r="N84" i="5"/>
  <c r="N90" i="5" s="1"/>
  <c r="B170" i="5"/>
  <c r="B176" i="5" s="1"/>
  <c r="B187" i="5" s="1"/>
  <c r="E144" i="5"/>
  <c r="E127" i="5"/>
  <c r="N101" i="5"/>
  <c r="AC144" i="1"/>
  <c r="X170" i="1"/>
  <c r="AC170" i="1" s="1"/>
  <c r="X133" i="1"/>
  <c r="AC127" i="1"/>
  <c r="AC133" i="1" s="1"/>
  <c r="M49" i="1"/>
  <c r="I49" i="1"/>
  <c r="E49" i="1"/>
  <c r="E133" i="5" l="1"/>
  <c r="N127" i="5"/>
  <c r="N133" i="5" s="1"/>
  <c r="M230" i="5"/>
  <c r="M256" i="5" s="1"/>
  <c r="M262" i="5" s="1"/>
  <c r="J256" i="5"/>
  <c r="J262" i="5" s="1"/>
  <c r="J273" i="5" s="1"/>
  <c r="N144" i="5"/>
  <c r="E170" i="5"/>
  <c r="F213" i="5"/>
  <c r="F219" i="5" s="1"/>
  <c r="F230" i="5" s="1"/>
  <c r="I187" i="5"/>
  <c r="I213" i="5" s="1"/>
  <c r="I219" i="5" s="1"/>
  <c r="E187" i="5"/>
  <c r="B213" i="5"/>
  <c r="B219" i="5" s="1"/>
  <c r="B230" i="5" s="1"/>
  <c r="M30" i="1"/>
  <c r="M31" i="1"/>
  <c r="M32" i="1"/>
  <c r="J29" i="1"/>
  <c r="M29" i="1" s="1"/>
  <c r="F29" i="1"/>
  <c r="I29" i="1" s="1"/>
  <c r="B29" i="1"/>
  <c r="E29" i="1" s="1"/>
  <c r="E4" i="1"/>
  <c r="L83" i="1"/>
  <c r="K83" i="1"/>
  <c r="J83" i="1"/>
  <c r="H83" i="1"/>
  <c r="G83" i="1"/>
  <c r="F83" i="1"/>
  <c r="D83" i="1"/>
  <c r="C83" i="1"/>
  <c r="B83" i="1"/>
  <c r="M82" i="1"/>
  <c r="I82" i="1"/>
  <c r="E82" i="1"/>
  <c r="M81" i="1"/>
  <c r="I81" i="1"/>
  <c r="E81" i="1"/>
  <c r="M80" i="1"/>
  <c r="I80" i="1"/>
  <c r="E80" i="1"/>
  <c r="M79" i="1"/>
  <c r="I79" i="1"/>
  <c r="E79" i="1"/>
  <c r="M78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9" i="1"/>
  <c r="I59" i="1"/>
  <c r="E59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1" i="1"/>
  <c r="I51" i="1"/>
  <c r="E51" i="1"/>
  <c r="M50" i="1"/>
  <c r="I50" i="1"/>
  <c r="E50" i="1"/>
  <c r="M48" i="1"/>
  <c r="I48" i="1"/>
  <c r="E48" i="1"/>
  <c r="L40" i="1"/>
  <c r="K40" i="1"/>
  <c r="M39" i="1"/>
  <c r="M38" i="1"/>
  <c r="M37" i="1"/>
  <c r="M36" i="1"/>
  <c r="M35" i="1"/>
  <c r="M34" i="1"/>
  <c r="M33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L15" i="1"/>
  <c r="K15" i="1"/>
  <c r="J15" i="1"/>
  <c r="M14" i="1"/>
  <c r="M13" i="1"/>
  <c r="M12" i="1"/>
  <c r="M11" i="1"/>
  <c r="M10" i="1"/>
  <c r="M9" i="1"/>
  <c r="M8" i="1"/>
  <c r="M7" i="1"/>
  <c r="M6" i="1"/>
  <c r="M5" i="1"/>
  <c r="M4" i="1"/>
  <c r="H40" i="1"/>
  <c r="G40" i="1"/>
  <c r="I39" i="1"/>
  <c r="I38" i="1"/>
  <c r="I37" i="1"/>
  <c r="I36" i="1"/>
  <c r="I35" i="1"/>
  <c r="I34" i="1"/>
  <c r="I33" i="1"/>
  <c r="I32" i="1"/>
  <c r="I31" i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3" i="1"/>
  <c r="I12" i="1"/>
  <c r="I11" i="1"/>
  <c r="I10" i="1"/>
  <c r="I9" i="1"/>
  <c r="I8" i="1"/>
  <c r="I7" i="1"/>
  <c r="I6" i="1"/>
  <c r="I5" i="1"/>
  <c r="I4" i="1"/>
  <c r="D40" i="1"/>
  <c r="C40" i="1"/>
  <c r="E39" i="1"/>
  <c r="E38" i="1"/>
  <c r="E37" i="1"/>
  <c r="E36" i="1"/>
  <c r="E35" i="1"/>
  <c r="E34" i="1"/>
  <c r="E33" i="1"/>
  <c r="E32" i="1"/>
  <c r="E31" i="1"/>
  <c r="E30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D15" i="1"/>
  <c r="C15" i="1"/>
  <c r="B15" i="1"/>
  <c r="E14" i="1"/>
  <c r="E13" i="1"/>
  <c r="E12" i="1"/>
  <c r="E11" i="1"/>
  <c r="E10" i="1"/>
  <c r="E9" i="1"/>
  <c r="E8" i="1"/>
  <c r="E7" i="1"/>
  <c r="E6" i="1"/>
  <c r="E5" i="1"/>
  <c r="N170" i="5" l="1"/>
  <c r="N176" i="5" s="1"/>
  <c r="E176" i="5"/>
  <c r="B256" i="5"/>
  <c r="B262" i="5" s="1"/>
  <c r="B273" i="5" s="1"/>
  <c r="E230" i="5"/>
  <c r="M273" i="5"/>
  <c r="M299" i="5" s="1"/>
  <c r="M305" i="5" s="1"/>
  <c r="J299" i="5"/>
  <c r="J305" i="5" s="1"/>
  <c r="J316" i="5" s="1"/>
  <c r="E213" i="5"/>
  <c r="N187" i="5"/>
  <c r="F256" i="5"/>
  <c r="F262" i="5" s="1"/>
  <c r="F273" i="5" s="1"/>
  <c r="I230" i="5"/>
  <c r="I256" i="5" s="1"/>
  <c r="I262" i="5" s="1"/>
  <c r="J40" i="1"/>
  <c r="J41" i="1" s="1"/>
  <c r="J47" i="1" s="1"/>
  <c r="J58" i="1" s="1"/>
  <c r="J84" i="1" s="1"/>
  <c r="J90" i="1" s="1"/>
  <c r="J101" i="1" s="1"/>
  <c r="F40" i="1"/>
  <c r="F41" i="1" s="1"/>
  <c r="F47" i="1" s="1"/>
  <c r="F58" i="1" s="1"/>
  <c r="B40" i="1"/>
  <c r="B41" i="1" s="1"/>
  <c r="B47" i="1" s="1"/>
  <c r="B58" i="1" s="1"/>
  <c r="H41" i="1"/>
  <c r="H47" i="1" s="1"/>
  <c r="H58" i="1" s="1"/>
  <c r="H84" i="1" s="1"/>
  <c r="H90" i="1" s="1"/>
  <c r="H101" i="1" s="1"/>
  <c r="H127" i="1" s="1"/>
  <c r="E15" i="1"/>
  <c r="C41" i="1"/>
  <c r="C47" i="1" s="1"/>
  <c r="C58" i="1" s="1"/>
  <c r="C84" i="1" s="1"/>
  <c r="C90" i="1" s="1"/>
  <c r="C101" i="1" s="1"/>
  <c r="C127" i="1" s="1"/>
  <c r="G41" i="1"/>
  <c r="G47" i="1" s="1"/>
  <c r="G58" i="1" s="1"/>
  <c r="G84" i="1" s="1"/>
  <c r="G90" i="1" s="1"/>
  <c r="G101" i="1" s="1"/>
  <c r="G127" i="1" s="1"/>
  <c r="M40" i="1"/>
  <c r="M83" i="1"/>
  <c r="E83" i="1"/>
  <c r="D41" i="1"/>
  <c r="D47" i="1" s="1"/>
  <c r="D58" i="1" s="1"/>
  <c r="D84" i="1" s="1"/>
  <c r="D90" i="1" s="1"/>
  <c r="D101" i="1" s="1"/>
  <c r="D127" i="1" s="1"/>
  <c r="L41" i="1"/>
  <c r="L47" i="1" s="1"/>
  <c r="L58" i="1" s="1"/>
  <c r="L84" i="1" s="1"/>
  <c r="L90" i="1" s="1"/>
  <c r="L101" i="1" s="1"/>
  <c r="L127" i="1" s="1"/>
  <c r="I83" i="1"/>
  <c r="M15" i="1"/>
  <c r="K41" i="1"/>
  <c r="K47" i="1" s="1"/>
  <c r="K58" i="1" s="1"/>
  <c r="K84" i="1" s="1"/>
  <c r="K90" i="1" s="1"/>
  <c r="K101" i="1" s="1"/>
  <c r="K127" i="1" s="1"/>
  <c r="I15" i="1"/>
  <c r="I40" i="1"/>
  <c r="E40" i="1"/>
  <c r="J342" i="5" l="1"/>
  <c r="J348" i="5" s="1"/>
  <c r="J359" i="5" s="1"/>
  <c r="M316" i="5"/>
  <c r="M342" i="5" s="1"/>
  <c r="M348" i="5" s="1"/>
  <c r="F299" i="5"/>
  <c r="F305" i="5" s="1"/>
  <c r="F316" i="5" s="1"/>
  <c r="I273" i="5"/>
  <c r="I299" i="5" s="1"/>
  <c r="I305" i="5" s="1"/>
  <c r="E256" i="5"/>
  <c r="N230" i="5"/>
  <c r="E273" i="5"/>
  <c r="B299" i="5"/>
  <c r="B305" i="5" s="1"/>
  <c r="B316" i="5" s="1"/>
  <c r="E219" i="5"/>
  <c r="N213" i="5"/>
  <c r="N219" i="5" s="1"/>
  <c r="M101" i="1"/>
  <c r="M127" i="1" s="1"/>
  <c r="J127" i="1"/>
  <c r="M41" i="1"/>
  <c r="M47" i="1" s="1"/>
  <c r="I58" i="1"/>
  <c r="I84" i="1" s="1"/>
  <c r="I90" i="1" s="1"/>
  <c r="F84" i="1"/>
  <c r="F90" i="1" s="1"/>
  <c r="F101" i="1" s="1"/>
  <c r="M58" i="1"/>
  <c r="M84" i="1" s="1"/>
  <c r="M90" i="1" s="1"/>
  <c r="E58" i="1"/>
  <c r="B84" i="1"/>
  <c r="B90" i="1" s="1"/>
  <c r="B101" i="1" s="1"/>
  <c r="I41" i="1"/>
  <c r="I47" i="1" s="1"/>
  <c r="E41" i="1"/>
  <c r="N256" i="5" l="1"/>
  <c r="N262" i="5" s="1"/>
  <c r="E262" i="5"/>
  <c r="E316" i="5"/>
  <c r="B342" i="5"/>
  <c r="B348" i="5" s="1"/>
  <c r="B359" i="5" s="1"/>
  <c r="I316" i="5"/>
  <c r="I342" i="5" s="1"/>
  <c r="I348" i="5" s="1"/>
  <c r="F342" i="5"/>
  <c r="F348" i="5" s="1"/>
  <c r="F359" i="5" s="1"/>
  <c r="N273" i="5"/>
  <c r="E299" i="5"/>
  <c r="M359" i="5"/>
  <c r="M385" i="5" s="1"/>
  <c r="J385" i="5"/>
  <c r="I101" i="1"/>
  <c r="I127" i="1" s="1"/>
  <c r="F127" i="1"/>
  <c r="B127" i="1"/>
  <c r="E101" i="1"/>
  <c r="E47" i="1"/>
  <c r="E84" i="1"/>
  <c r="B385" i="5" l="1"/>
  <c r="E359" i="5"/>
  <c r="E342" i="5"/>
  <c r="N316" i="5"/>
  <c r="I359" i="5"/>
  <c r="I385" i="5" s="1"/>
  <c r="I391" i="5" s="1"/>
  <c r="F385" i="5"/>
  <c r="E305" i="5"/>
  <c r="N299" i="5"/>
  <c r="N305" i="5" s="1"/>
  <c r="N101" i="1"/>
  <c r="E90" i="1"/>
  <c r="E127" i="1"/>
  <c r="N127" i="1" s="1"/>
  <c r="N342" i="5" l="1"/>
  <c r="N348" i="5" s="1"/>
  <c r="E348" i="5"/>
  <c r="N359" i="5"/>
  <c r="E385" i="5"/>
  <c r="N385" i="5" s="1"/>
  <c r="N391" i="5" s="1"/>
</calcChain>
</file>

<file path=xl/sharedStrings.xml><?xml version="1.0" encoding="utf-8"?>
<sst xmlns="http://schemas.openxmlformats.org/spreadsheetml/2006/main" count="1560" uniqueCount="58">
  <si>
    <t>カラー</t>
  </si>
  <si>
    <t>サイズ</t>
  </si>
  <si>
    <t>M</t>
  </si>
  <si>
    <t>L</t>
  </si>
  <si>
    <t>LL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</si>
  <si>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</si>
  <si>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</si>
  <si>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</si>
  <si>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</si>
  <si>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</si>
  <si>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</si>
  <si>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No.U41004C～U4108C</t>
    <phoneticPr fontId="1"/>
  </si>
  <si>
    <t>＜ゆる寝ちゃんふんどしショーツ＞</t>
    <rPh sb="3" eb="4">
      <t>ネ</t>
    </rPh>
    <phoneticPr fontId="4"/>
  </si>
  <si>
    <t>グレー</t>
    <phoneticPr fontId="1"/>
  </si>
  <si>
    <t>合計</t>
    <rPh sb="0" eb="2">
      <t>ゴウケイ</t>
    </rPh>
    <phoneticPr fontId="1"/>
  </si>
  <si>
    <t>ピンク</t>
    <phoneticPr fontId="1"/>
  </si>
  <si>
    <t>ミント</t>
    <phoneticPr fontId="1"/>
  </si>
  <si>
    <t>ラベンダー</t>
    <phoneticPr fontId="1"/>
  </si>
  <si>
    <t>＜ゆるねるふんどしショーツ＞</t>
    <phoneticPr fontId="4"/>
  </si>
  <si>
    <t>No.U4140C</t>
    <phoneticPr fontId="1"/>
  </si>
  <si>
    <t>ブラック</t>
    <phoneticPr fontId="1"/>
  </si>
  <si>
    <t>ネイビー</t>
    <phoneticPr fontId="1"/>
  </si>
  <si>
    <t>グレーボーダー</t>
    <phoneticPr fontId="1"/>
  </si>
  <si>
    <t>サックスボーダー</t>
    <phoneticPr fontId="1"/>
  </si>
  <si>
    <t>ピンクボーダー</t>
    <phoneticPr fontId="1"/>
  </si>
  <si>
    <t>＜さら寝ちゃんふんどしショーツ＞</t>
    <rPh sb="3" eb="4">
      <t>ネ</t>
    </rPh>
    <phoneticPr fontId="4"/>
  </si>
  <si>
    <t>No.U41110C</t>
    <phoneticPr fontId="1"/>
  </si>
  <si>
    <t>田中さん</t>
    <rPh sb="0" eb="2">
      <t>タナカ</t>
    </rPh>
    <phoneticPr fontId="1"/>
  </si>
  <si>
    <t>ネット</t>
    <phoneticPr fontId="1"/>
  </si>
  <si>
    <t>ネット</t>
    <phoneticPr fontId="1"/>
  </si>
  <si>
    <t>玉野社長</t>
    <rPh sb="0" eb="2">
      <t>タマノ</t>
    </rPh>
    <rPh sb="2" eb="4">
      <t>シャチョウ</t>
    </rPh>
    <phoneticPr fontId="1"/>
  </si>
  <si>
    <t>棚卸</t>
    <rPh sb="0" eb="2">
      <t>タナオロシ</t>
    </rPh>
    <phoneticPr fontId="4"/>
  </si>
  <si>
    <t>在庫調整</t>
    <rPh sb="0" eb="4">
      <t>ザイコチョウセイ</t>
    </rPh>
    <phoneticPr fontId="4"/>
  </si>
  <si>
    <t>入り繰り</t>
    <rPh sb="0" eb="1">
      <t>イ</t>
    </rPh>
    <rPh sb="2" eb="3">
      <t>グ</t>
    </rPh>
    <phoneticPr fontId="1"/>
  </si>
  <si>
    <t>汚れ</t>
    <rPh sb="0" eb="1">
      <t>ヨゴ</t>
    </rPh>
    <phoneticPr fontId="1"/>
  </si>
  <si>
    <t>追加</t>
    <rPh sb="0" eb="2">
      <t>ツイカ</t>
    </rPh>
    <phoneticPr fontId="1"/>
  </si>
  <si>
    <t>調整</t>
    <rPh sb="0" eb="2">
      <t>チョウセイ</t>
    </rPh>
    <phoneticPr fontId="1"/>
  </si>
  <si>
    <t>在庫確認</t>
    <rPh sb="0" eb="4">
      <t>ザイコカクニン</t>
    </rPh>
    <phoneticPr fontId="4"/>
  </si>
  <si>
    <t>入荷未定</t>
    <rPh sb="0" eb="4">
      <t>ニュウカミテイ</t>
    </rPh>
    <phoneticPr fontId="1"/>
  </si>
  <si>
    <t>欠品</t>
    <rPh sb="0" eb="2">
      <t>ケッピン</t>
    </rPh>
    <phoneticPr fontId="1"/>
  </si>
  <si>
    <t>No.U420-C</t>
    <phoneticPr fontId="1"/>
  </si>
  <si>
    <t>くすみピンク</t>
    <phoneticPr fontId="1"/>
  </si>
  <si>
    <t>No.U4270C</t>
    <phoneticPr fontId="1"/>
  </si>
  <si>
    <t>アイスブルー</t>
    <phoneticPr fontId="1"/>
  </si>
  <si>
    <t>No.U4150C</t>
    <phoneticPr fontId="1"/>
  </si>
  <si>
    <t>アイスミント</t>
    <phoneticPr fontId="1"/>
  </si>
  <si>
    <t>＜ゆる寝ちゃんトランクスショーツ＞</t>
    <rPh sb="3" eb="4">
      <t>ネ</t>
    </rPh>
    <phoneticPr fontId="4"/>
  </si>
  <si>
    <t>＜ゆるねるガーゼトランクス＞</t>
    <phoneticPr fontId="4"/>
  </si>
  <si>
    <t>ネット</t>
    <phoneticPr fontId="1"/>
  </si>
  <si>
    <t>No.U4140C～U4140C</t>
    <phoneticPr fontId="1"/>
  </si>
  <si>
    <t>No.U4110C</t>
    <phoneticPr fontId="1"/>
  </si>
  <si>
    <t>No.U4105C、U4106C、U4107C</t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</si>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</sst>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7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56" fontId="9" fillId="0" borderId="0" xfId="0" applyNumberFormat="1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2" fillId="3" borderId="13" xfId="1" applyFill="1" applyBorder="1"/>
    <xf numFmtId="0" fontId="9" fillId="2" borderId="13" xfId="0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9" xfId="1" applyBorder="1" applyAlignment="1">
      <alignment horizontal="center" vertical="center"/>
    </xf>
    <xf numFmtId="0" fontId="2" fillId="0" borderId="14" xfId="1" applyBorder="1"/>
    <xf numFmtId="0" fontId="2" fillId="0" borderId="8" xfId="1" applyBorder="1"/>
    <xf numFmtId="0" fontId="7" fillId="0" borderId="15" xfId="1" applyFont="1" applyBorder="1"/>
    <xf numFmtId="0" fontId="2" fillId="0" borderId="15" xfId="1" applyBorder="1"/>
    <xf numFmtId="56" fontId="0" fillId="0" borderId="0" xfId="0" applyNumberFormat="1">
      <alignment vertical="center"/>
    </xf>
    <xf numFmtId="0" fontId="7" fillId="4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0" fontId="3" fillId="5" borderId="0" xfId="1" applyFont="1" applyFill="1"/>
    <xf numFmtId="0" fontId="2" fillId="5" borderId="0" xfId="1" applyFill="1"/>
    <xf numFmtId="0" fontId="11" fillId="0" borderId="7" xfId="1" applyFont="1" applyBorder="1" applyAlignment="1">
      <alignment horizontal="center" vertical="center"/>
    </xf>
    <xf numFmtId="0" fontId="10" fillId="5" borderId="0" xfId="1" applyFont="1" applyFill="1" applyAlignment="1">
      <alignment horizontal="center"/>
    </xf>
    <xf numFmtId="0" fontId="3" fillId="0" borderId="0" xfId="1" applyFont="1"/>
    <xf numFmtId="0" fontId="2" fillId="4" borderId="9" xfId="1" applyFill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6" xfId="1" applyFont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18" xfId="1" applyBorder="1"/>
    <xf numFmtId="0" fontId="2" fillId="0" borderId="19" xfId="1" applyBorder="1"/>
    <xf numFmtId="0" fontId="7" fillId="0" borderId="16" xfId="1" applyFont="1" applyBorder="1"/>
    <xf numFmtId="0" fontId="2" fillId="0" borderId="17" xfId="1" applyBorder="1"/>
    <xf numFmtId="0" fontId="7" fillId="3" borderId="16" xfId="1" applyFont="1" applyFill="1" applyBorder="1"/>
    <xf numFmtId="0" fontId="7" fillId="0" borderId="17" xfId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13" fillId="0" borderId="0" xfId="0" applyFont="1">
      <alignment vertical="center"/>
    </xf>
    <xf numFmtId="0" fontId="2" fillId="12" borderId="18" xfId="1" applyFill="1" applyBorder="1" applyAlignment="1">
      <alignment horizontal="center" vertical="center"/>
    </xf>
    <xf numFmtId="0" fontId="2" fillId="12" borderId="18" xfId="1" applyFill="1" applyBorder="1"/>
    <xf numFmtId="0" fontId="2" fillId="12" borderId="19" xfId="1" applyFill="1" applyBorder="1"/>
    <xf numFmtId="0" fontId="2" fillId="13" borderId="10" xfId="1" applyFill="1" applyBorder="1" applyAlignment="1">
      <alignment horizontal="center" vertical="center"/>
    </xf>
    <xf numFmtId="0" fontId="2" fillId="13" borderId="10" xfId="1" applyFill="1" applyBorder="1"/>
    <xf numFmtId="0" fontId="2" fillId="13" borderId="12" xfId="1" applyFill="1" applyBorder="1"/>
    <xf numFmtId="0" fontId="2" fillId="12" borderId="10" xfId="1" applyFill="1" applyBorder="1" applyAlignment="1">
      <alignment horizontal="center" vertical="center"/>
    </xf>
    <xf numFmtId="0" fontId="2" fillId="12" borderId="10" xfId="1" applyFill="1" applyBorder="1"/>
    <xf numFmtId="0" fontId="2" fillId="12" borderId="12" xfId="1" applyFill="1" applyBorder="1"/>
    <xf numFmtId="56" fontId="8" fillId="0" borderId="0" xfId="0" applyNumberFormat="1" applyFont="1">
      <alignment vertical="center"/>
    </xf>
    <xf numFmtId="0" fontId="7" fillId="0" borderId="10" xfId="1" applyFont="1" applyBorder="1"/>
    <xf numFmtId="0" fontId="7" fillId="0" borderId="18" xfId="1" applyFont="1" applyBorder="1"/>
    <xf numFmtId="0" fontId="2" fillId="13" borderId="18" xfId="1" applyFill="1" applyBorder="1"/>
    <xf numFmtId="0" fontId="2" fillId="13" borderId="19" xfId="1" applyFill="1" applyBorder="1"/>
    <xf numFmtId="0" fontId="2" fillId="9" borderId="10" xfId="1" applyFill="1" applyBorder="1" applyAlignment="1">
      <alignment horizontal="center" vertical="center"/>
    </xf>
    <xf numFmtId="0" fontId="2" fillId="9" borderId="10" xfId="1" applyFill="1" applyBorder="1"/>
    <xf numFmtId="0" fontId="2" fillId="9" borderId="12" xfId="1" applyFill="1" applyBorder="1"/>
    <xf numFmtId="0" fontId="7" fillId="0" borderId="10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3" borderId="9" xfId="1" applyFont="1" applyFill="1" applyBorder="1"/>
    <xf numFmtId="0" fontId="14" fillId="2" borderId="9" xfId="0" applyFont="1" applyFill="1" applyBorder="1">
      <alignment vertical="center"/>
    </xf>
    <xf numFmtId="56" fontId="14" fillId="0" borderId="0" xfId="0" applyNumberFormat="1" applyFont="1">
      <alignment vertical="center"/>
    </xf>
    <xf numFmtId="0" fontId="6" fillId="13" borderId="10" xfId="1" applyFont="1" applyFill="1" applyBorder="1" applyAlignment="1">
      <alignment horizontal="center" vertical="center"/>
    </xf>
    <xf numFmtId="0" fontId="6" fillId="12" borderId="18" xfId="1" applyFont="1" applyFill="1" applyBorder="1" applyAlignment="1">
      <alignment horizontal="center" vertical="center"/>
    </xf>
    <xf numFmtId="0" fontId="6" fillId="12" borderId="10" xfId="1" applyFont="1" applyFill="1" applyBorder="1" applyAlignment="1">
      <alignment horizontal="center" vertical="center"/>
    </xf>
    <xf numFmtId="0" fontId="2" fillId="14" borderId="10" xfId="1" applyFill="1" applyBorder="1" applyAlignment="1">
      <alignment horizontal="center" vertical="center"/>
    </xf>
    <xf numFmtId="0" fontId="2" fillId="14" borderId="10" xfId="1" applyFill="1" applyBorder="1"/>
    <xf numFmtId="0" fontId="2" fillId="14" borderId="12" xfId="1" applyFill="1" applyBorder="1"/>
    <xf numFmtId="0" fontId="2" fillId="14" borderId="18" xfId="1" applyFill="1" applyBorder="1" applyAlignment="1">
      <alignment horizontal="center" vertical="center"/>
    </xf>
    <xf numFmtId="0" fontId="2" fillId="14" borderId="18" xfId="1" applyFill="1" applyBorder="1"/>
    <xf numFmtId="0" fontId="2" fillId="14" borderId="19" xfId="1" applyFill="1" applyBorder="1"/>
    <xf numFmtId="0" fontId="7" fillId="9" borderId="10" xfId="1" applyFont="1" applyFill="1" applyBorder="1" applyAlignment="1">
      <alignment horizontal="center" vertical="center"/>
    </xf>
    <xf numFmtId="0" fontId="7" fillId="14" borderId="10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2" fillId="9" borderId="18" xfId="1" applyFill="1" applyBorder="1" applyAlignment="1">
      <alignment horizontal="center" vertical="center"/>
    </xf>
    <xf numFmtId="0" fontId="2" fillId="9" borderId="18" xfId="1" applyFill="1" applyBorder="1"/>
    <xf numFmtId="0" fontId="2" fillId="9" borderId="19" xfId="1" applyFill="1" applyBorder="1"/>
    <xf numFmtId="0" fontId="7" fillId="0" borderId="9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14" borderId="5" xfId="1" applyFont="1" applyFill="1" applyBorder="1"/>
    <xf numFmtId="0" fontId="7" fillId="14" borderId="3" xfId="1" applyFont="1" applyFill="1" applyBorder="1"/>
    <xf numFmtId="0" fontId="7" fillId="14" borderId="2" xfId="1" applyFont="1" applyFill="1" applyBorder="1"/>
    <xf numFmtId="0" fontId="15" fillId="0" borderId="9" xfId="1" applyFont="1" applyBorder="1" applyAlignment="1">
      <alignment horizontal="center" vertical="center"/>
    </xf>
    <xf numFmtId="0" fontId="15" fillId="0" borderId="15" xfId="1" applyFont="1" applyBorder="1"/>
    <xf numFmtId="0" fontId="15" fillId="0" borderId="18" xfId="1" applyFont="1" applyBorder="1"/>
    <xf numFmtId="0" fontId="15" fillId="0" borderId="10" xfId="1" applyFont="1" applyBorder="1"/>
    <xf numFmtId="0" fontId="15" fillId="3" borderId="9" xfId="1" applyFont="1" applyFill="1" applyBorder="1"/>
    <xf numFmtId="0" fontId="16" fillId="2" borderId="9" xfId="0" applyFont="1" applyFill="1" applyBorder="1">
      <alignment vertical="center"/>
    </xf>
    <xf numFmtId="56" fontId="16" fillId="0" borderId="0" xfId="0" applyNumberFormat="1" applyFo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12" fillId="11" borderId="2" xfId="1" applyFont="1" applyFill="1" applyBorder="1" applyAlignment="1">
      <alignment horizontal="center"/>
    </xf>
    <xf numFmtId="0" fontId="12" fillId="11" borderId="3" xfId="1" applyFont="1" applyFill="1" applyBorder="1" applyAlignment="1">
      <alignment horizontal="center"/>
    </xf>
    <xf numFmtId="0" fontId="5" fillId="10" borderId="2" xfId="1" applyFont="1" applyFill="1" applyBorder="1" applyAlignment="1">
      <alignment horizontal="center"/>
    </xf>
    <xf numFmtId="0" fontId="5" fillId="10" borderId="3" xfId="1" applyFont="1" applyFill="1" applyBorder="1" applyAlignment="1">
      <alignment horizontal="center"/>
    </xf>
    <xf numFmtId="0" fontId="5" fillId="15" borderId="2" xfId="1" applyFont="1" applyFill="1" applyBorder="1" applyAlignment="1">
      <alignment horizontal="center"/>
    </xf>
    <xf numFmtId="0" fontId="5" fillId="15" borderId="3" xfId="1" applyFont="1" applyFill="1" applyBorder="1" applyAlignment="1">
      <alignment horizontal="center"/>
    </xf>
    <xf numFmtId="0" fontId="5" fillId="16" borderId="2" xfId="1" applyFont="1" applyFill="1" applyBorder="1" applyAlignment="1">
      <alignment horizontal="center"/>
    </xf>
    <xf numFmtId="0" fontId="5" fillId="16" borderId="3" xfId="1" applyFont="1" applyFill="1" applyBorder="1" applyAlignment="1">
      <alignment horizontal="center"/>
    </xf>
    <xf numFmtId="0" fontId="5" fillId="14" borderId="2" xfId="1" applyFont="1" applyFill="1" applyBorder="1" applyAlignment="1">
      <alignment horizontal="center"/>
    </xf>
    <xf numFmtId="0" fontId="5" fillId="14" borderId="3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CCCC"/>
      <color rgb="FFFFCCFF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CC"/>
  </sheetPr>
  <dimension ref="A1:AG256"/>
  <sheetViews>
    <sheetView topLeftCell="A178" zoomScale="90" zoomScaleNormal="90" workbookViewId="0">
      <selection activeCell="AD201" sqref="AD201"/>
    </sheetView>
  </sheetViews>
  <sheetFormatPr defaultRowHeight="13.5" x14ac:dyDescent="0.15"/>
  <cols>
    <col min="1" max="1" width="22.125" customWidth="1"/>
    <col min="2" max="14" width="6.125" customWidth="1"/>
    <col min="15" max="15" width="9.25" bestFit="1" customWidth="1"/>
    <col min="16" max="16" width="22.125" customWidth="1"/>
    <col min="17" max="29" width="6.125" customWidth="1"/>
    <col min="30" max="30" width="9.25" bestFit="1" customWidth="1"/>
  </cols>
  <sheetData>
    <row r="1" spans="1:30" ht="21.75" thickBot="1" x14ac:dyDescent="0.25">
      <c r="A1" s="34" t="s">
        <v>12</v>
      </c>
      <c r="B1" s="35"/>
      <c r="C1" s="35"/>
      <c r="D1" s="38" t="s">
        <v>11</v>
      </c>
      <c r="E1" s="1"/>
      <c r="F1" s="1"/>
      <c r="G1" s="1"/>
      <c r="H1" s="1"/>
      <c r="I1" s="1"/>
      <c r="J1" s="1"/>
      <c r="K1" s="1"/>
      <c r="L1" s="1"/>
      <c r="M1" s="1"/>
      <c r="O1">
        <v>630</v>
      </c>
      <c r="P1" s="34" t="s">
        <v>18</v>
      </c>
      <c r="Q1" s="35"/>
      <c r="R1" s="35"/>
      <c r="S1" s="35"/>
      <c r="T1" s="37"/>
      <c r="U1" s="35"/>
      <c r="V1" s="35"/>
      <c r="W1" s="35"/>
      <c r="X1" s="37"/>
      <c r="Y1" s="35"/>
      <c r="Z1" s="35"/>
      <c r="AA1" s="38" t="s">
        <v>19</v>
      </c>
      <c r="AB1" s="1"/>
      <c r="AD1">
        <v>630</v>
      </c>
    </row>
    <row r="2" spans="1:30" ht="14.25" thickBot="1" x14ac:dyDescent="0.2">
      <c r="A2" s="2" t="s">
        <v>0</v>
      </c>
      <c r="B2" s="109" t="s">
        <v>15</v>
      </c>
      <c r="C2" s="109"/>
      <c r="D2" s="109"/>
      <c r="E2" s="110"/>
      <c r="F2" s="113" t="s">
        <v>16</v>
      </c>
      <c r="G2" s="113"/>
      <c r="H2" s="113"/>
      <c r="I2" s="114"/>
      <c r="J2" s="111" t="s">
        <v>17</v>
      </c>
      <c r="K2" s="111"/>
      <c r="L2" s="111"/>
      <c r="M2" s="112"/>
      <c r="N2" s="107" t="s">
        <v>14</v>
      </c>
      <c r="P2" s="2" t="s">
        <v>0</v>
      </c>
      <c r="Q2" s="115" t="s">
        <v>13</v>
      </c>
      <c r="R2" s="115"/>
      <c r="S2" s="115"/>
      <c r="T2" s="116"/>
      <c r="U2" s="117" t="s">
        <v>20</v>
      </c>
      <c r="V2" s="117"/>
      <c r="W2" s="117"/>
      <c r="X2" s="118"/>
      <c r="Y2" s="119" t="s">
        <v>21</v>
      </c>
      <c r="Z2" s="119"/>
      <c r="AA2" s="119"/>
      <c r="AB2" s="120"/>
      <c r="AC2" s="107" t="s">
        <v>14</v>
      </c>
    </row>
    <row r="3" spans="1:30" ht="14.25" thickBot="1" x14ac:dyDescent="0.2">
      <c r="A3" s="2" t="s">
        <v>1</v>
      </c>
      <c r="B3" s="3" t="s">
        <v>2</v>
      </c>
      <c r="C3" s="43" t="s">
        <v>3</v>
      </c>
      <c r="D3" s="4" t="s">
        <v>4</v>
      </c>
      <c r="E3" s="2" t="s">
        <v>5</v>
      </c>
      <c r="F3" s="3" t="s">
        <v>2</v>
      </c>
      <c r="G3" s="43" t="s">
        <v>3</v>
      </c>
      <c r="H3" s="4" t="s">
        <v>4</v>
      </c>
      <c r="I3" s="2" t="s">
        <v>5</v>
      </c>
      <c r="J3" s="3" t="s">
        <v>2</v>
      </c>
      <c r="K3" s="43" t="s">
        <v>3</v>
      </c>
      <c r="L3" s="4" t="s">
        <v>4</v>
      </c>
      <c r="M3" s="2" t="s">
        <v>5</v>
      </c>
      <c r="N3" s="108"/>
      <c r="P3" s="2" t="s">
        <v>1</v>
      </c>
      <c r="Q3" s="3" t="s">
        <v>2</v>
      </c>
      <c r="R3" s="43" t="s">
        <v>3</v>
      </c>
      <c r="S3" s="4" t="s">
        <v>4</v>
      </c>
      <c r="T3" s="2" t="s">
        <v>5</v>
      </c>
      <c r="U3" s="3" t="s">
        <v>2</v>
      </c>
      <c r="V3" s="43" t="s">
        <v>3</v>
      </c>
      <c r="W3" s="4" t="s">
        <v>4</v>
      </c>
      <c r="X3" s="2" t="s">
        <v>5</v>
      </c>
      <c r="Y3" s="3" t="s">
        <v>2</v>
      </c>
      <c r="Z3" s="43" t="s">
        <v>3</v>
      </c>
      <c r="AA3" s="4" t="s">
        <v>4</v>
      </c>
      <c r="AB3" s="2" t="s">
        <v>5</v>
      </c>
      <c r="AC3" s="108"/>
    </row>
    <row r="4" spans="1:30" x14ac:dyDescent="0.15">
      <c r="A4" s="9" t="s">
        <v>6</v>
      </c>
      <c r="B4" s="51">
        <v>5</v>
      </c>
      <c r="C4" s="52">
        <v>5</v>
      </c>
      <c r="D4" s="51">
        <v>3</v>
      </c>
      <c r="E4" s="12">
        <f>SUM(B4:D4)</f>
        <v>13</v>
      </c>
      <c r="F4" s="51">
        <v>5</v>
      </c>
      <c r="G4" s="52">
        <v>5</v>
      </c>
      <c r="H4" s="51">
        <v>3</v>
      </c>
      <c r="I4" s="12">
        <f>SUM(F4:H4)</f>
        <v>13</v>
      </c>
      <c r="J4" s="51">
        <v>5</v>
      </c>
      <c r="K4" s="52">
        <v>5</v>
      </c>
      <c r="L4" s="51">
        <v>3</v>
      </c>
      <c r="M4" s="12">
        <f>SUM(J4:L4)</f>
        <v>13</v>
      </c>
      <c r="N4" s="13">
        <f>E4+M4+I4</f>
        <v>39</v>
      </c>
      <c r="O4" s="15">
        <v>44595</v>
      </c>
      <c r="P4" s="9" t="s">
        <v>6</v>
      </c>
      <c r="Q4" s="51">
        <v>5</v>
      </c>
      <c r="R4" s="52">
        <v>5</v>
      </c>
      <c r="S4" s="51">
        <v>3</v>
      </c>
      <c r="T4" s="12">
        <f t="shared" ref="T4:T39" si="0">SUM(Q4:S4)</f>
        <v>13</v>
      </c>
      <c r="U4" s="51">
        <v>5</v>
      </c>
      <c r="V4" s="52">
        <v>5</v>
      </c>
      <c r="W4" s="51">
        <v>3</v>
      </c>
      <c r="X4" s="12">
        <f>SUM(U4:W4)</f>
        <v>13</v>
      </c>
      <c r="Y4" s="51">
        <v>5</v>
      </c>
      <c r="Z4" s="52">
        <v>5</v>
      </c>
      <c r="AA4" s="51">
        <v>3</v>
      </c>
      <c r="AB4" s="12">
        <f>SUM(Y4:AA4)</f>
        <v>13</v>
      </c>
      <c r="AC4" s="13">
        <f>X4+AB4+T4</f>
        <v>39</v>
      </c>
      <c r="AD4" s="15">
        <v>44595</v>
      </c>
    </row>
    <row r="5" spans="1:30" x14ac:dyDescent="0.15">
      <c r="A5" s="9" t="s">
        <v>7</v>
      </c>
      <c r="B5" s="10"/>
      <c r="C5" s="44"/>
      <c r="D5" s="10">
        <v>2</v>
      </c>
      <c r="E5" s="12">
        <f t="shared" ref="E5:E39" si="1">SUM(B5:D5)</f>
        <v>2</v>
      </c>
      <c r="F5" s="10"/>
      <c r="G5" s="44"/>
      <c r="H5" s="10"/>
      <c r="I5" s="12">
        <f t="shared" ref="I5:I39" si="2">SUM(F5:H5)</f>
        <v>0</v>
      </c>
      <c r="J5" s="10"/>
      <c r="K5" s="44"/>
      <c r="L5" s="10">
        <v>2</v>
      </c>
      <c r="M5" s="12">
        <f t="shared" ref="M5:M39" si="3">SUM(J5:L5)</f>
        <v>2</v>
      </c>
      <c r="N5" s="13">
        <f t="shared" ref="N5:N41" si="4">E5+M5+I5</f>
        <v>4</v>
      </c>
      <c r="O5" s="15">
        <v>44630</v>
      </c>
      <c r="P5" s="9" t="s">
        <v>7</v>
      </c>
      <c r="Q5" s="10"/>
      <c r="R5" s="44"/>
      <c r="S5" s="10"/>
      <c r="T5" s="12">
        <f t="shared" si="0"/>
        <v>0</v>
      </c>
      <c r="U5" s="10"/>
      <c r="V5" s="44">
        <v>3</v>
      </c>
      <c r="W5" s="10"/>
      <c r="X5" s="12">
        <f t="shared" ref="X5:X39" si="5">SUM(U5:W5)</f>
        <v>3</v>
      </c>
      <c r="Y5" s="10"/>
      <c r="Z5" s="44"/>
      <c r="AA5" s="10"/>
      <c r="AB5" s="12">
        <f t="shared" ref="AB5:AB39" si="6">SUM(Y5:AA5)</f>
        <v>0</v>
      </c>
      <c r="AC5" s="13">
        <f t="shared" ref="AC5:AC41" si="7">X5+AB5+T5</f>
        <v>3</v>
      </c>
      <c r="AD5" s="15">
        <v>44608</v>
      </c>
    </row>
    <row r="6" spans="1:30" x14ac:dyDescent="0.15">
      <c r="A6" s="9" t="s">
        <v>7</v>
      </c>
      <c r="B6" s="10"/>
      <c r="C6" s="44">
        <v>2</v>
      </c>
      <c r="D6" s="10">
        <v>2</v>
      </c>
      <c r="E6" s="12">
        <f t="shared" si="1"/>
        <v>4</v>
      </c>
      <c r="F6" s="10">
        <v>2</v>
      </c>
      <c r="G6" s="44"/>
      <c r="H6" s="10">
        <v>2</v>
      </c>
      <c r="I6" s="12">
        <f t="shared" si="2"/>
        <v>4</v>
      </c>
      <c r="J6" s="10">
        <v>3</v>
      </c>
      <c r="K6" s="44"/>
      <c r="L6" s="10"/>
      <c r="M6" s="12">
        <f t="shared" si="3"/>
        <v>3</v>
      </c>
      <c r="N6" s="13">
        <f t="shared" si="4"/>
        <v>11</v>
      </c>
      <c r="O6" s="15">
        <v>44653</v>
      </c>
      <c r="P6" s="9" t="s">
        <v>7</v>
      </c>
      <c r="Q6" s="10"/>
      <c r="R6" s="44"/>
      <c r="S6" s="10"/>
      <c r="T6" s="12">
        <f t="shared" si="0"/>
        <v>0</v>
      </c>
      <c r="U6" s="10">
        <v>3</v>
      </c>
      <c r="V6" s="44"/>
      <c r="W6" s="10"/>
      <c r="X6" s="12">
        <f t="shared" si="5"/>
        <v>3</v>
      </c>
      <c r="Y6" s="10"/>
      <c r="Z6" s="44"/>
      <c r="AA6" s="10"/>
      <c r="AB6" s="12">
        <f t="shared" si="6"/>
        <v>0</v>
      </c>
      <c r="AC6" s="13">
        <f t="shared" si="7"/>
        <v>3</v>
      </c>
      <c r="AD6" s="15">
        <v>44628</v>
      </c>
    </row>
    <row r="7" spans="1:30" x14ac:dyDescent="0.15">
      <c r="A7" s="9" t="s">
        <v>7</v>
      </c>
      <c r="B7" s="10"/>
      <c r="C7" s="44"/>
      <c r="D7" s="10"/>
      <c r="E7" s="12">
        <f t="shared" si="1"/>
        <v>0</v>
      </c>
      <c r="F7" s="10"/>
      <c r="G7" s="44"/>
      <c r="H7" s="10"/>
      <c r="I7" s="12">
        <f t="shared" si="2"/>
        <v>0</v>
      </c>
      <c r="J7" s="10"/>
      <c r="K7" s="44">
        <v>3</v>
      </c>
      <c r="L7" s="10"/>
      <c r="M7" s="12">
        <f t="shared" si="3"/>
        <v>3</v>
      </c>
      <c r="N7" s="13">
        <f t="shared" si="4"/>
        <v>3</v>
      </c>
      <c r="O7" s="15">
        <v>44691</v>
      </c>
      <c r="P7" s="9" t="s">
        <v>7</v>
      </c>
      <c r="Q7" s="10"/>
      <c r="R7" s="44"/>
      <c r="S7" s="10"/>
      <c r="T7" s="12">
        <f t="shared" si="0"/>
        <v>0</v>
      </c>
      <c r="U7" s="10">
        <v>3</v>
      </c>
      <c r="V7" s="44"/>
      <c r="W7" s="10"/>
      <c r="X7" s="12">
        <f t="shared" si="5"/>
        <v>3</v>
      </c>
      <c r="Y7" s="10">
        <v>2</v>
      </c>
      <c r="Z7" s="44"/>
      <c r="AA7" s="10"/>
      <c r="AB7" s="12">
        <f t="shared" si="6"/>
        <v>2</v>
      </c>
      <c r="AC7" s="13">
        <f t="shared" si="7"/>
        <v>5</v>
      </c>
      <c r="AD7" s="15">
        <v>44653</v>
      </c>
    </row>
    <row r="8" spans="1:30" x14ac:dyDescent="0.15">
      <c r="A8" s="9" t="s">
        <v>7</v>
      </c>
      <c r="B8" s="10"/>
      <c r="C8" s="44">
        <v>3</v>
      </c>
      <c r="D8" s="10"/>
      <c r="E8" s="12">
        <f t="shared" si="1"/>
        <v>3</v>
      </c>
      <c r="F8" s="10"/>
      <c r="G8" s="44">
        <v>3</v>
      </c>
      <c r="H8" s="10"/>
      <c r="I8" s="12">
        <f t="shared" si="2"/>
        <v>3</v>
      </c>
      <c r="J8" s="10"/>
      <c r="K8" s="44"/>
      <c r="L8" s="10"/>
      <c r="M8" s="12">
        <f t="shared" si="3"/>
        <v>0</v>
      </c>
      <c r="N8" s="13">
        <f t="shared" si="4"/>
        <v>6</v>
      </c>
      <c r="O8" s="15">
        <v>44722</v>
      </c>
      <c r="P8" s="9" t="s">
        <v>7</v>
      </c>
      <c r="Q8" s="10">
        <v>3</v>
      </c>
      <c r="R8" s="44"/>
      <c r="S8" s="10"/>
      <c r="T8" s="12">
        <f t="shared" si="0"/>
        <v>3</v>
      </c>
      <c r="U8" s="10"/>
      <c r="V8" s="44"/>
      <c r="W8" s="10">
        <v>3</v>
      </c>
      <c r="X8" s="12">
        <f t="shared" si="5"/>
        <v>3</v>
      </c>
      <c r="Y8" s="10"/>
      <c r="Z8" s="44"/>
      <c r="AA8" s="10"/>
      <c r="AB8" s="12">
        <f t="shared" si="6"/>
        <v>0</v>
      </c>
      <c r="AC8" s="13">
        <f t="shared" si="7"/>
        <v>6</v>
      </c>
      <c r="AD8" s="15">
        <v>44691</v>
      </c>
    </row>
    <row r="9" spans="1:30" x14ac:dyDescent="0.15">
      <c r="A9" s="9" t="s">
        <v>7</v>
      </c>
      <c r="B9" s="10">
        <v>3</v>
      </c>
      <c r="C9" s="44"/>
      <c r="D9" s="10"/>
      <c r="E9" s="12">
        <f t="shared" si="1"/>
        <v>3</v>
      </c>
      <c r="F9" s="10">
        <v>3</v>
      </c>
      <c r="G9" s="44"/>
      <c r="H9" s="10">
        <v>3</v>
      </c>
      <c r="I9" s="12">
        <f t="shared" si="2"/>
        <v>6</v>
      </c>
      <c r="J9" s="10"/>
      <c r="K9" s="44"/>
      <c r="L9" s="10">
        <v>3</v>
      </c>
      <c r="M9" s="12">
        <f t="shared" si="3"/>
        <v>3</v>
      </c>
      <c r="N9" s="13">
        <f t="shared" si="4"/>
        <v>12</v>
      </c>
      <c r="O9" s="15">
        <v>44727</v>
      </c>
      <c r="P9" s="9" t="s">
        <v>7</v>
      </c>
      <c r="Q9" s="10"/>
      <c r="R9" s="44">
        <v>3</v>
      </c>
      <c r="S9" s="10"/>
      <c r="T9" s="12">
        <f t="shared" si="0"/>
        <v>3</v>
      </c>
      <c r="U9" s="10"/>
      <c r="V9" s="44"/>
      <c r="W9" s="10"/>
      <c r="X9" s="12">
        <f t="shared" si="5"/>
        <v>0</v>
      </c>
      <c r="Y9" s="10"/>
      <c r="Z9" s="44"/>
      <c r="AA9" s="10"/>
      <c r="AB9" s="12">
        <f t="shared" si="6"/>
        <v>0</v>
      </c>
      <c r="AC9" s="13">
        <f t="shared" si="7"/>
        <v>3</v>
      </c>
      <c r="AD9" s="15">
        <v>44722</v>
      </c>
    </row>
    <row r="10" spans="1:30" x14ac:dyDescent="0.15">
      <c r="A10" s="9" t="s">
        <v>7</v>
      </c>
      <c r="B10" s="10"/>
      <c r="C10" s="44">
        <v>3</v>
      </c>
      <c r="D10" s="10"/>
      <c r="E10" s="12">
        <f t="shared" si="1"/>
        <v>3</v>
      </c>
      <c r="F10" s="10"/>
      <c r="G10" s="44">
        <v>3</v>
      </c>
      <c r="H10" s="10"/>
      <c r="I10" s="12">
        <f t="shared" si="2"/>
        <v>3</v>
      </c>
      <c r="J10" s="10"/>
      <c r="K10" s="44">
        <v>3</v>
      </c>
      <c r="L10" s="10"/>
      <c r="M10" s="12">
        <f t="shared" si="3"/>
        <v>3</v>
      </c>
      <c r="N10" s="13">
        <f t="shared" si="4"/>
        <v>9</v>
      </c>
      <c r="O10" s="15">
        <v>44733</v>
      </c>
      <c r="P10" s="9" t="s">
        <v>7</v>
      </c>
      <c r="Q10" s="10"/>
      <c r="R10" s="44"/>
      <c r="S10" s="10">
        <v>3</v>
      </c>
      <c r="T10" s="12">
        <f t="shared" si="0"/>
        <v>3</v>
      </c>
      <c r="U10" s="10">
        <v>3</v>
      </c>
      <c r="V10" s="44"/>
      <c r="W10" s="10"/>
      <c r="X10" s="12">
        <f t="shared" si="5"/>
        <v>3</v>
      </c>
      <c r="Y10" s="10">
        <v>3</v>
      </c>
      <c r="Z10" s="44"/>
      <c r="AA10" s="10"/>
      <c r="AB10" s="12">
        <f t="shared" si="6"/>
        <v>3</v>
      </c>
      <c r="AC10" s="13">
        <f t="shared" si="7"/>
        <v>9</v>
      </c>
      <c r="AD10" s="15">
        <v>44727</v>
      </c>
    </row>
    <row r="11" spans="1:30" x14ac:dyDescent="0.15">
      <c r="A11" s="5" t="s">
        <v>7</v>
      </c>
      <c r="B11" s="64">
        <v>3</v>
      </c>
      <c r="C11" s="65">
        <v>3</v>
      </c>
      <c r="D11" s="64"/>
      <c r="E11" s="7">
        <f t="shared" si="1"/>
        <v>6</v>
      </c>
      <c r="F11" s="64"/>
      <c r="G11" s="65"/>
      <c r="H11" s="64"/>
      <c r="I11" s="7">
        <f t="shared" si="2"/>
        <v>0</v>
      </c>
      <c r="J11" s="64">
        <v>3</v>
      </c>
      <c r="K11" s="65"/>
      <c r="L11" s="64"/>
      <c r="M11" s="7">
        <f t="shared" si="3"/>
        <v>3</v>
      </c>
      <c r="N11" s="8">
        <f t="shared" si="4"/>
        <v>9</v>
      </c>
      <c r="O11" s="63">
        <v>44767</v>
      </c>
      <c r="P11" s="5" t="s">
        <v>7</v>
      </c>
      <c r="Q11" s="64"/>
      <c r="R11" s="65"/>
      <c r="S11" s="64"/>
      <c r="T11" s="7">
        <f t="shared" si="0"/>
        <v>0</v>
      </c>
      <c r="U11" s="64"/>
      <c r="V11" s="65">
        <v>3</v>
      </c>
      <c r="W11" s="64"/>
      <c r="X11" s="7">
        <f t="shared" si="5"/>
        <v>3</v>
      </c>
      <c r="Y11" s="64"/>
      <c r="Z11" s="65"/>
      <c r="AA11" s="64"/>
      <c r="AB11" s="7">
        <f t="shared" si="6"/>
        <v>0</v>
      </c>
      <c r="AC11" s="8">
        <f t="shared" si="7"/>
        <v>3</v>
      </c>
      <c r="AD11" s="63">
        <v>44741</v>
      </c>
    </row>
    <row r="12" spans="1:30" x14ac:dyDescent="0.15">
      <c r="A12" s="9" t="s">
        <v>7</v>
      </c>
      <c r="B12" s="16"/>
      <c r="C12" s="45"/>
      <c r="D12" s="16"/>
      <c r="E12" s="12">
        <f t="shared" si="1"/>
        <v>0</v>
      </c>
      <c r="F12" s="16"/>
      <c r="G12" s="45"/>
      <c r="H12" s="16"/>
      <c r="I12" s="12">
        <f t="shared" si="2"/>
        <v>0</v>
      </c>
      <c r="J12" s="16"/>
      <c r="K12" s="45"/>
      <c r="L12" s="16"/>
      <c r="M12" s="12">
        <f t="shared" si="3"/>
        <v>0</v>
      </c>
      <c r="N12" s="13">
        <f t="shared" si="4"/>
        <v>0</v>
      </c>
      <c r="O12" s="14"/>
      <c r="P12" s="9" t="s">
        <v>7</v>
      </c>
      <c r="Q12" s="16"/>
      <c r="R12" s="45"/>
      <c r="S12" s="16"/>
      <c r="T12" s="12">
        <f t="shared" si="0"/>
        <v>0</v>
      </c>
      <c r="U12" s="16"/>
      <c r="V12" s="45"/>
      <c r="W12" s="16"/>
      <c r="X12" s="12">
        <f t="shared" si="5"/>
        <v>0</v>
      </c>
      <c r="Y12" s="16"/>
      <c r="Z12" s="45"/>
      <c r="AA12" s="16"/>
      <c r="AB12" s="12">
        <f t="shared" si="6"/>
        <v>0</v>
      </c>
      <c r="AC12" s="13">
        <f t="shared" si="7"/>
        <v>0</v>
      </c>
      <c r="AD12" s="14"/>
    </row>
    <row r="13" spans="1:30" x14ac:dyDescent="0.15">
      <c r="A13" s="9" t="s">
        <v>7</v>
      </c>
      <c r="B13" s="16"/>
      <c r="C13" s="45"/>
      <c r="D13" s="16"/>
      <c r="E13" s="12">
        <f t="shared" si="1"/>
        <v>0</v>
      </c>
      <c r="F13" s="16"/>
      <c r="G13" s="45"/>
      <c r="H13" s="16"/>
      <c r="I13" s="12">
        <f t="shared" si="2"/>
        <v>0</v>
      </c>
      <c r="J13" s="16"/>
      <c r="K13" s="45"/>
      <c r="L13" s="16"/>
      <c r="M13" s="12">
        <f t="shared" si="3"/>
        <v>0</v>
      </c>
      <c r="N13" s="13">
        <f t="shared" si="4"/>
        <v>0</v>
      </c>
      <c r="O13" s="14"/>
      <c r="P13" s="9" t="s">
        <v>7</v>
      </c>
      <c r="Q13" s="16"/>
      <c r="R13" s="45"/>
      <c r="S13" s="16"/>
      <c r="T13" s="12">
        <f t="shared" si="0"/>
        <v>0</v>
      </c>
      <c r="U13" s="16"/>
      <c r="V13" s="45"/>
      <c r="W13" s="16"/>
      <c r="X13" s="12">
        <f t="shared" si="5"/>
        <v>0</v>
      </c>
      <c r="Y13" s="16"/>
      <c r="Z13" s="45"/>
      <c r="AA13" s="16"/>
      <c r="AB13" s="12">
        <f t="shared" si="6"/>
        <v>0</v>
      </c>
      <c r="AC13" s="13">
        <f t="shared" si="7"/>
        <v>0</v>
      </c>
      <c r="AD13" s="14"/>
    </row>
    <row r="14" spans="1:30" ht="14.25" thickBot="1" x14ac:dyDescent="0.2">
      <c r="A14" s="17" t="s">
        <v>7</v>
      </c>
      <c r="B14" s="18"/>
      <c r="C14" s="46"/>
      <c r="D14" s="18"/>
      <c r="E14" s="19">
        <f t="shared" si="1"/>
        <v>0</v>
      </c>
      <c r="F14" s="18"/>
      <c r="G14" s="46"/>
      <c r="H14" s="18"/>
      <c r="I14" s="19">
        <f t="shared" si="2"/>
        <v>0</v>
      </c>
      <c r="J14" s="18"/>
      <c r="K14" s="46"/>
      <c r="L14" s="18"/>
      <c r="M14" s="19">
        <f t="shared" si="3"/>
        <v>0</v>
      </c>
      <c r="N14" s="20">
        <f t="shared" si="4"/>
        <v>0</v>
      </c>
      <c r="O14" s="14"/>
      <c r="P14" s="17" t="s">
        <v>7</v>
      </c>
      <c r="Q14" s="18"/>
      <c r="R14" s="46"/>
      <c r="S14" s="18"/>
      <c r="T14" s="19">
        <f t="shared" si="0"/>
        <v>0</v>
      </c>
      <c r="U14" s="18"/>
      <c r="V14" s="46"/>
      <c r="W14" s="18"/>
      <c r="X14" s="19">
        <f t="shared" si="5"/>
        <v>0</v>
      </c>
      <c r="Y14" s="18"/>
      <c r="Z14" s="46"/>
      <c r="AA14" s="18"/>
      <c r="AB14" s="19">
        <f t="shared" si="6"/>
        <v>0</v>
      </c>
      <c r="AC14" s="20">
        <f t="shared" si="7"/>
        <v>0</v>
      </c>
      <c r="AD14" s="14"/>
    </row>
    <row r="15" spans="1:30" ht="14.25" thickBot="1" x14ac:dyDescent="0.2">
      <c r="A15" s="21" t="s">
        <v>8</v>
      </c>
      <c r="B15" s="22">
        <f>SUM(B4:B14)</f>
        <v>11</v>
      </c>
      <c r="C15" s="47">
        <f>SUM(C4:C14)</f>
        <v>16</v>
      </c>
      <c r="D15" s="40">
        <f>SUM(D4:D14)</f>
        <v>7</v>
      </c>
      <c r="E15" s="23">
        <f t="shared" si="1"/>
        <v>34</v>
      </c>
      <c r="F15" s="22">
        <f>SUM(F4:F14)</f>
        <v>10</v>
      </c>
      <c r="G15" s="47">
        <f>SUM(G4:G14)</f>
        <v>11</v>
      </c>
      <c r="H15" s="40">
        <f>SUM(H4:H14)</f>
        <v>8</v>
      </c>
      <c r="I15" s="23">
        <f t="shared" si="2"/>
        <v>29</v>
      </c>
      <c r="J15" s="22">
        <f>SUM(J4:J14)</f>
        <v>11</v>
      </c>
      <c r="K15" s="47">
        <f>SUM(K4:K14)</f>
        <v>11</v>
      </c>
      <c r="L15" s="40">
        <f>SUM(L4:L14)</f>
        <v>8</v>
      </c>
      <c r="M15" s="23">
        <f t="shared" si="3"/>
        <v>30</v>
      </c>
      <c r="N15" s="24">
        <f t="shared" si="4"/>
        <v>93</v>
      </c>
      <c r="P15" s="21" t="s">
        <v>8</v>
      </c>
      <c r="Q15" s="22">
        <f>SUM(Q4:Q14)</f>
        <v>8</v>
      </c>
      <c r="R15" s="47">
        <f>SUM(R4:R14)</f>
        <v>8</v>
      </c>
      <c r="S15" s="40">
        <f>SUM(S4:S14)</f>
        <v>6</v>
      </c>
      <c r="T15" s="23">
        <f t="shared" si="0"/>
        <v>22</v>
      </c>
      <c r="U15" s="22">
        <f>SUM(U4:U14)</f>
        <v>14</v>
      </c>
      <c r="V15" s="47">
        <f>SUM(V4:V14)</f>
        <v>11</v>
      </c>
      <c r="W15" s="40">
        <f>SUM(W4:W14)</f>
        <v>6</v>
      </c>
      <c r="X15" s="23">
        <f t="shared" si="5"/>
        <v>31</v>
      </c>
      <c r="Y15" s="22">
        <f>SUM(Y4:Y14)</f>
        <v>10</v>
      </c>
      <c r="Z15" s="47">
        <f>SUM(Z4:Z14)</f>
        <v>5</v>
      </c>
      <c r="AA15" s="40">
        <f>SUM(AA4:AA14)</f>
        <v>3</v>
      </c>
      <c r="AB15" s="23">
        <f t="shared" si="6"/>
        <v>18</v>
      </c>
      <c r="AC15" s="24">
        <f t="shared" si="7"/>
        <v>71</v>
      </c>
    </row>
    <row r="16" spans="1:30" x14ac:dyDescent="0.15">
      <c r="A16" s="25" t="s">
        <v>29</v>
      </c>
      <c r="B16" s="26"/>
      <c r="C16" s="48">
        <v>1</v>
      </c>
      <c r="D16" s="27"/>
      <c r="E16" s="12">
        <f t="shared" si="1"/>
        <v>1</v>
      </c>
      <c r="F16" s="26"/>
      <c r="G16" s="48"/>
      <c r="H16" s="27"/>
      <c r="I16" s="12">
        <f t="shared" si="2"/>
        <v>0</v>
      </c>
      <c r="J16" s="26"/>
      <c r="K16" s="48"/>
      <c r="L16" s="27"/>
      <c r="M16" s="12">
        <f t="shared" si="3"/>
        <v>0</v>
      </c>
      <c r="N16" s="13">
        <f t="shared" si="4"/>
        <v>1</v>
      </c>
      <c r="O16" s="15">
        <v>44620</v>
      </c>
      <c r="P16" s="25" t="s">
        <v>27</v>
      </c>
      <c r="Q16" s="26"/>
      <c r="R16" s="48"/>
      <c r="S16" s="27"/>
      <c r="T16" s="12">
        <f t="shared" si="0"/>
        <v>0</v>
      </c>
      <c r="U16" s="26"/>
      <c r="V16" s="48">
        <v>2</v>
      </c>
      <c r="W16" s="27"/>
      <c r="X16" s="12">
        <f t="shared" si="5"/>
        <v>2</v>
      </c>
      <c r="Y16" s="26"/>
      <c r="Z16" s="48"/>
      <c r="AA16" s="27"/>
      <c r="AB16" s="12">
        <f t="shared" si="6"/>
        <v>0</v>
      </c>
      <c r="AC16" s="13">
        <f t="shared" si="7"/>
        <v>2</v>
      </c>
      <c r="AD16" s="15">
        <v>44596</v>
      </c>
    </row>
    <row r="17" spans="1:30" x14ac:dyDescent="0.15">
      <c r="A17" s="25" t="s">
        <v>28</v>
      </c>
      <c r="B17" s="29"/>
      <c r="C17" s="45"/>
      <c r="D17" s="16">
        <v>1</v>
      </c>
      <c r="E17" s="12">
        <f t="shared" si="1"/>
        <v>1</v>
      </c>
      <c r="F17" s="29"/>
      <c r="G17" s="45"/>
      <c r="H17" s="16"/>
      <c r="I17" s="12">
        <f t="shared" si="2"/>
        <v>0</v>
      </c>
      <c r="J17" s="29"/>
      <c r="K17" s="45"/>
      <c r="L17" s="16"/>
      <c r="M17" s="12">
        <f t="shared" si="3"/>
        <v>0</v>
      </c>
      <c r="N17" s="13">
        <f t="shared" si="4"/>
        <v>1</v>
      </c>
      <c r="O17" s="15">
        <v>44624</v>
      </c>
      <c r="P17" s="36" t="s">
        <v>28</v>
      </c>
      <c r="Q17" s="29">
        <v>1</v>
      </c>
      <c r="R17" s="45"/>
      <c r="S17" s="16"/>
      <c r="T17" s="12">
        <f t="shared" si="0"/>
        <v>1</v>
      </c>
      <c r="U17" s="29">
        <v>1</v>
      </c>
      <c r="V17" s="45">
        <v>1</v>
      </c>
      <c r="W17" s="16"/>
      <c r="X17" s="12">
        <f t="shared" si="5"/>
        <v>2</v>
      </c>
      <c r="Y17" s="29">
        <v>1</v>
      </c>
      <c r="Z17" s="45"/>
      <c r="AA17" s="16"/>
      <c r="AB17" s="12">
        <f t="shared" si="6"/>
        <v>1</v>
      </c>
      <c r="AC17" s="13">
        <f t="shared" si="7"/>
        <v>4</v>
      </c>
      <c r="AD17" s="15">
        <v>44606</v>
      </c>
    </row>
    <row r="18" spans="1:30" x14ac:dyDescent="0.15">
      <c r="A18" s="25" t="s">
        <v>28</v>
      </c>
      <c r="B18" s="29"/>
      <c r="C18" s="45"/>
      <c r="D18" s="16"/>
      <c r="E18" s="12">
        <f t="shared" si="1"/>
        <v>0</v>
      </c>
      <c r="F18" s="29"/>
      <c r="G18" s="45"/>
      <c r="H18" s="16"/>
      <c r="I18" s="12">
        <f t="shared" si="2"/>
        <v>0</v>
      </c>
      <c r="J18" s="29"/>
      <c r="K18" s="45"/>
      <c r="L18" s="16">
        <v>1</v>
      </c>
      <c r="M18" s="12">
        <f t="shared" si="3"/>
        <v>1</v>
      </c>
      <c r="N18" s="13">
        <f t="shared" si="4"/>
        <v>1</v>
      </c>
      <c r="O18" s="15">
        <v>44625</v>
      </c>
      <c r="P18" s="36" t="s">
        <v>28</v>
      </c>
      <c r="Q18" s="29"/>
      <c r="R18" s="45"/>
      <c r="S18" s="16"/>
      <c r="T18" s="12">
        <f t="shared" si="0"/>
        <v>0</v>
      </c>
      <c r="U18" s="29">
        <v>1</v>
      </c>
      <c r="V18" s="45"/>
      <c r="W18" s="16"/>
      <c r="X18" s="12">
        <f t="shared" si="5"/>
        <v>1</v>
      </c>
      <c r="Y18" s="29"/>
      <c r="Z18" s="45"/>
      <c r="AA18" s="16"/>
      <c r="AB18" s="12">
        <f t="shared" si="6"/>
        <v>0</v>
      </c>
      <c r="AC18" s="13">
        <f t="shared" si="7"/>
        <v>1</v>
      </c>
      <c r="AD18" s="15">
        <v>44616</v>
      </c>
    </row>
    <row r="19" spans="1:30" x14ac:dyDescent="0.15">
      <c r="A19" s="25" t="s">
        <v>28</v>
      </c>
      <c r="B19" s="29">
        <v>1</v>
      </c>
      <c r="C19" s="45"/>
      <c r="D19" s="16">
        <v>1</v>
      </c>
      <c r="E19" s="12">
        <f t="shared" si="1"/>
        <v>2</v>
      </c>
      <c r="F19" s="29">
        <v>1</v>
      </c>
      <c r="G19" s="45"/>
      <c r="H19" s="16"/>
      <c r="I19" s="12">
        <f t="shared" si="2"/>
        <v>1</v>
      </c>
      <c r="J19" s="29">
        <v>1</v>
      </c>
      <c r="K19" s="45"/>
      <c r="L19" s="16"/>
      <c r="M19" s="12">
        <f t="shared" si="3"/>
        <v>1</v>
      </c>
      <c r="N19" s="13">
        <f t="shared" si="4"/>
        <v>4</v>
      </c>
      <c r="O19" s="15">
        <v>44627</v>
      </c>
      <c r="P19" s="36" t="s">
        <v>28</v>
      </c>
      <c r="Q19" s="29"/>
      <c r="R19" s="45">
        <v>1</v>
      </c>
      <c r="S19" s="16"/>
      <c r="T19" s="12">
        <f t="shared" si="0"/>
        <v>1</v>
      </c>
      <c r="U19" s="29"/>
      <c r="V19" s="45"/>
      <c r="W19" s="16"/>
      <c r="X19" s="12">
        <f t="shared" si="5"/>
        <v>0</v>
      </c>
      <c r="Y19" s="29"/>
      <c r="Z19" s="45"/>
      <c r="AA19" s="16"/>
      <c r="AB19" s="12">
        <f t="shared" si="6"/>
        <v>0</v>
      </c>
      <c r="AC19" s="13">
        <f t="shared" si="7"/>
        <v>1</v>
      </c>
      <c r="AD19" s="15">
        <v>44620</v>
      </c>
    </row>
    <row r="20" spans="1:30" x14ac:dyDescent="0.15">
      <c r="A20" s="25" t="s">
        <v>28</v>
      </c>
      <c r="B20" s="29"/>
      <c r="C20" s="45"/>
      <c r="D20" s="16">
        <v>1</v>
      </c>
      <c r="E20" s="12">
        <f t="shared" si="1"/>
        <v>1</v>
      </c>
      <c r="F20" s="29"/>
      <c r="G20" s="45"/>
      <c r="H20" s="16"/>
      <c r="I20" s="12">
        <f t="shared" si="2"/>
        <v>0</v>
      </c>
      <c r="J20" s="29"/>
      <c r="K20" s="45"/>
      <c r="L20" s="16"/>
      <c r="M20" s="12">
        <f t="shared" si="3"/>
        <v>0</v>
      </c>
      <c r="N20" s="13">
        <f t="shared" si="4"/>
        <v>1</v>
      </c>
      <c r="O20" s="15">
        <v>44628</v>
      </c>
      <c r="P20" s="36" t="s">
        <v>28</v>
      </c>
      <c r="Q20" s="29"/>
      <c r="R20" s="45"/>
      <c r="S20" s="16"/>
      <c r="T20" s="12">
        <f t="shared" si="0"/>
        <v>0</v>
      </c>
      <c r="U20" s="29">
        <v>2</v>
      </c>
      <c r="V20" s="45"/>
      <c r="W20" s="16"/>
      <c r="X20" s="12">
        <f t="shared" si="5"/>
        <v>2</v>
      </c>
      <c r="Y20" s="29"/>
      <c r="Z20" s="45"/>
      <c r="AA20" s="16"/>
      <c r="AB20" s="12">
        <f t="shared" si="6"/>
        <v>0</v>
      </c>
      <c r="AC20" s="13">
        <f t="shared" si="7"/>
        <v>2</v>
      </c>
      <c r="AD20" s="15">
        <v>44624</v>
      </c>
    </row>
    <row r="21" spans="1:30" x14ac:dyDescent="0.15">
      <c r="A21" s="25" t="s">
        <v>28</v>
      </c>
      <c r="B21" s="29"/>
      <c r="C21" s="45"/>
      <c r="D21" s="16"/>
      <c r="E21" s="12">
        <f t="shared" si="1"/>
        <v>0</v>
      </c>
      <c r="F21" s="29"/>
      <c r="G21" s="45"/>
      <c r="H21" s="16">
        <v>1</v>
      </c>
      <c r="I21" s="12">
        <f t="shared" si="2"/>
        <v>1</v>
      </c>
      <c r="J21" s="29"/>
      <c r="K21" s="45"/>
      <c r="L21" s="16">
        <v>1</v>
      </c>
      <c r="M21" s="12">
        <f t="shared" si="3"/>
        <v>1</v>
      </c>
      <c r="N21" s="13">
        <f t="shared" si="4"/>
        <v>2</v>
      </c>
      <c r="O21" s="15">
        <v>44631</v>
      </c>
      <c r="P21" s="36" t="s">
        <v>28</v>
      </c>
      <c r="Q21" s="29"/>
      <c r="R21" s="45"/>
      <c r="S21" s="16"/>
      <c r="T21" s="12">
        <f t="shared" si="0"/>
        <v>0</v>
      </c>
      <c r="U21" s="29"/>
      <c r="V21" s="45"/>
      <c r="W21" s="16">
        <v>1</v>
      </c>
      <c r="X21" s="12">
        <f t="shared" si="5"/>
        <v>1</v>
      </c>
      <c r="Y21" s="29"/>
      <c r="Z21" s="45"/>
      <c r="AA21" s="16"/>
      <c r="AB21" s="12">
        <f t="shared" si="6"/>
        <v>0</v>
      </c>
      <c r="AC21" s="13">
        <f t="shared" si="7"/>
        <v>1</v>
      </c>
      <c r="AD21" s="15">
        <v>44630</v>
      </c>
    </row>
    <row r="22" spans="1:30" x14ac:dyDescent="0.15">
      <c r="A22" s="25" t="s">
        <v>28</v>
      </c>
      <c r="B22" s="29"/>
      <c r="C22" s="45"/>
      <c r="D22" s="16"/>
      <c r="E22" s="12">
        <f t="shared" si="1"/>
        <v>0</v>
      </c>
      <c r="F22" s="29">
        <v>1</v>
      </c>
      <c r="G22" s="45"/>
      <c r="H22" s="16"/>
      <c r="I22" s="12">
        <f t="shared" si="2"/>
        <v>1</v>
      </c>
      <c r="J22" s="29">
        <v>1</v>
      </c>
      <c r="K22" s="45"/>
      <c r="L22" s="16"/>
      <c r="M22" s="12">
        <f t="shared" si="3"/>
        <v>1</v>
      </c>
      <c r="N22" s="13">
        <f t="shared" si="4"/>
        <v>2</v>
      </c>
      <c r="O22" s="15">
        <v>44634</v>
      </c>
      <c r="P22" s="36" t="s">
        <v>28</v>
      </c>
      <c r="Q22" s="29"/>
      <c r="R22" s="45"/>
      <c r="S22" s="16">
        <v>1</v>
      </c>
      <c r="T22" s="12">
        <f t="shared" si="0"/>
        <v>1</v>
      </c>
      <c r="U22" s="29"/>
      <c r="V22" s="45"/>
      <c r="W22" s="16"/>
      <c r="X22" s="12">
        <f t="shared" si="5"/>
        <v>0</v>
      </c>
      <c r="Y22" s="29"/>
      <c r="Z22" s="45"/>
      <c r="AA22" s="16"/>
      <c r="AB22" s="12">
        <f t="shared" si="6"/>
        <v>0</v>
      </c>
      <c r="AC22" s="13">
        <f t="shared" si="7"/>
        <v>1</v>
      </c>
      <c r="AD22" s="15">
        <v>44634</v>
      </c>
    </row>
    <row r="23" spans="1:30" x14ac:dyDescent="0.15">
      <c r="A23" s="25" t="s">
        <v>28</v>
      </c>
      <c r="B23" s="29"/>
      <c r="C23" s="45"/>
      <c r="D23" s="16"/>
      <c r="E23" s="12">
        <f t="shared" si="1"/>
        <v>0</v>
      </c>
      <c r="F23" s="29"/>
      <c r="G23" s="45"/>
      <c r="H23" s="16"/>
      <c r="I23" s="12">
        <f t="shared" si="2"/>
        <v>0</v>
      </c>
      <c r="J23" s="29">
        <v>1</v>
      </c>
      <c r="K23" s="45"/>
      <c r="L23" s="16"/>
      <c r="M23" s="12">
        <f t="shared" si="3"/>
        <v>1</v>
      </c>
      <c r="N23" s="13">
        <f t="shared" si="4"/>
        <v>1</v>
      </c>
      <c r="O23" s="15">
        <v>44636</v>
      </c>
      <c r="P23" s="36" t="s">
        <v>28</v>
      </c>
      <c r="Q23" s="29"/>
      <c r="R23" s="45"/>
      <c r="S23" s="16"/>
      <c r="T23" s="12">
        <f t="shared" si="0"/>
        <v>0</v>
      </c>
      <c r="U23" s="29">
        <v>1</v>
      </c>
      <c r="V23" s="45"/>
      <c r="W23" s="16"/>
      <c r="X23" s="12">
        <f t="shared" si="5"/>
        <v>1</v>
      </c>
      <c r="Y23" s="29"/>
      <c r="Z23" s="45"/>
      <c r="AA23" s="16"/>
      <c r="AB23" s="12">
        <f t="shared" si="6"/>
        <v>0</v>
      </c>
      <c r="AC23" s="13">
        <f t="shared" si="7"/>
        <v>1</v>
      </c>
      <c r="AD23" s="15">
        <v>44636</v>
      </c>
    </row>
    <row r="24" spans="1:30" x14ac:dyDescent="0.15">
      <c r="A24" s="25" t="s">
        <v>28</v>
      </c>
      <c r="B24" s="29"/>
      <c r="C24" s="45"/>
      <c r="D24" s="16"/>
      <c r="E24" s="12">
        <f t="shared" si="1"/>
        <v>0</v>
      </c>
      <c r="F24" s="29"/>
      <c r="G24" s="45">
        <v>1</v>
      </c>
      <c r="H24" s="16"/>
      <c r="I24" s="12">
        <f t="shared" si="2"/>
        <v>1</v>
      </c>
      <c r="J24" s="29"/>
      <c r="K24" s="45"/>
      <c r="L24" s="16"/>
      <c r="M24" s="12">
        <f t="shared" si="3"/>
        <v>0</v>
      </c>
      <c r="N24" s="13">
        <f t="shared" si="4"/>
        <v>1</v>
      </c>
      <c r="O24" s="15">
        <v>44642</v>
      </c>
      <c r="P24" s="36" t="s">
        <v>28</v>
      </c>
      <c r="Q24" s="29"/>
      <c r="R24" s="45"/>
      <c r="S24" s="16"/>
      <c r="T24" s="12">
        <f t="shared" si="0"/>
        <v>0</v>
      </c>
      <c r="U24" s="29"/>
      <c r="V24" s="45"/>
      <c r="W24" s="16"/>
      <c r="X24" s="12">
        <f t="shared" si="5"/>
        <v>0</v>
      </c>
      <c r="Y24" s="29">
        <v>1</v>
      </c>
      <c r="Z24" s="45"/>
      <c r="AA24" s="16"/>
      <c r="AB24" s="12">
        <f t="shared" si="6"/>
        <v>1</v>
      </c>
      <c r="AC24" s="13">
        <f t="shared" si="7"/>
        <v>1</v>
      </c>
      <c r="AD24" s="15">
        <v>44642</v>
      </c>
    </row>
    <row r="25" spans="1:30" x14ac:dyDescent="0.15">
      <c r="A25" s="25" t="s">
        <v>28</v>
      </c>
      <c r="B25" s="29"/>
      <c r="C25" s="45">
        <v>1</v>
      </c>
      <c r="D25" s="16"/>
      <c r="E25" s="12">
        <f t="shared" si="1"/>
        <v>1</v>
      </c>
      <c r="F25" s="29"/>
      <c r="G25" s="45"/>
      <c r="H25" s="16"/>
      <c r="I25" s="12">
        <f t="shared" si="2"/>
        <v>0</v>
      </c>
      <c r="J25" s="29"/>
      <c r="K25" s="45"/>
      <c r="L25" s="16"/>
      <c r="M25" s="12">
        <f t="shared" si="3"/>
        <v>0</v>
      </c>
      <c r="N25" s="13">
        <f t="shared" si="4"/>
        <v>1</v>
      </c>
      <c r="O25" s="15">
        <v>44648</v>
      </c>
      <c r="P25" s="25" t="s">
        <v>30</v>
      </c>
      <c r="Q25" s="29"/>
      <c r="R25" s="45"/>
      <c r="S25" s="16"/>
      <c r="T25" s="12">
        <f t="shared" si="0"/>
        <v>0</v>
      </c>
      <c r="U25" s="29"/>
      <c r="V25" s="45"/>
      <c r="W25" s="16"/>
      <c r="X25" s="12">
        <f t="shared" si="5"/>
        <v>0</v>
      </c>
      <c r="Y25" s="29"/>
      <c r="Z25" s="45">
        <v>1</v>
      </c>
      <c r="AA25" s="16"/>
      <c r="AB25" s="12">
        <f t="shared" si="6"/>
        <v>1</v>
      </c>
      <c r="AC25" s="13">
        <f t="shared" si="7"/>
        <v>1</v>
      </c>
      <c r="AD25" s="15">
        <v>44649</v>
      </c>
    </row>
    <row r="26" spans="1:30" x14ac:dyDescent="0.15">
      <c r="A26" s="25" t="s">
        <v>28</v>
      </c>
      <c r="B26" s="29"/>
      <c r="C26" s="45"/>
      <c r="D26" s="16"/>
      <c r="E26" s="12">
        <f t="shared" si="1"/>
        <v>0</v>
      </c>
      <c r="F26" s="29"/>
      <c r="G26" s="45"/>
      <c r="H26" s="16"/>
      <c r="I26" s="12">
        <f t="shared" si="2"/>
        <v>0</v>
      </c>
      <c r="J26" s="29"/>
      <c r="K26" s="45">
        <v>2</v>
      </c>
      <c r="L26" s="16"/>
      <c r="M26" s="12">
        <f t="shared" si="3"/>
        <v>2</v>
      </c>
      <c r="N26" s="13">
        <f t="shared" si="4"/>
        <v>2</v>
      </c>
      <c r="O26" s="15">
        <v>44665</v>
      </c>
      <c r="P26" s="36" t="s">
        <v>28</v>
      </c>
      <c r="Q26" s="29"/>
      <c r="R26" s="45">
        <v>1</v>
      </c>
      <c r="S26" s="16"/>
      <c r="T26" s="12">
        <f t="shared" si="0"/>
        <v>1</v>
      </c>
      <c r="U26" s="29"/>
      <c r="V26" s="45"/>
      <c r="W26" s="16"/>
      <c r="X26" s="12">
        <f t="shared" si="5"/>
        <v>0</v>
      </c>
      <c r="Y26" s="29"/>
      <c r="Z26" s="45"/>
      <c r="AA26" s="16"/>
      <c r="AB26" s="12">
        <f t="shared" si="6"/>
        <v>0</v>
      </c>
      <c r="AC26" s="13">
        <f t="shared" si="7"/>
        <v>1</v>
      </c>
      <c r="AD26" s="15">
        <v>44657</v>
      </c>
    </row>
    <row r="27" spans="1:30" x14ac:dyDescent="0.15">
      <c r="A27" s="25" t="s">
        <v>28</v>
      </c>
      <c r="B27" s="29"/>
      <c r="C27" s="45">
        <v>1</v>
      </c>
      <c r="D27" s="16"/>
      <c r="E27" s="39">
        <f t="shared" si="1"/>
        <v>1</v>
      </c>
      <c r="F27" s="29"/>
      <c r="G27" s="45">
        <v>1</v>
      </c>
      <c r="H27" s="16"/>
      <c r="I27" s="39">
        <f t="shared" si="2"/>
        <v>1</v>
      </c>
      <c r="J27" s="29"/>
      <c r="K27" s="45">
        <v>1</v>
      </c>
      <c r="L27" s="16"/>
      <c r="M27" s="39">
        <f t="shared" si="3"/>
        <v>1</v>
      </c>
      <c r="N27" s="13">
        <f t="shared" si="4"/>
        <v>3</v>
      </c>
      <c r="O27" s="15">
        <v>44676</v>
      </c>
      <c r="P27" s="36" t="s">
        <v>28</v>
      </c>
      <c r="Q27" s="29"/>
      <c r="R27" s="45"/>
      <c r="S27" s="16"/>
      <c r="T27" s="39">
        <f t="shared" si="0"/>
        <v>0</v>
      </c>
      <c r="U27" s="29"/>
      <c r="V27" s="45">
        <v>1</v>
      </c>
      <c r="W27" s="16">
        <v>1</v>
      </c>
      <c r="X27" s="39">
        <f t="shared" si="5"/>
        <v>2</v>
      </c>
      <c r="Y27" s="29"/>
      <c r="Z27" s="45"/>
      <c r="AA27" s="16"/>
      <c r="AB27" s="39">
        <f t="shared" si="6"/>
        <v>0</v>
      </c>
      <c r="AC27" s="13">
        <f t="shared" si="7"/>
        <v>2</v>
      </c>
      <c r="AD27" s="15">
        <v>44662</v>
      </c>
    </row>
    <row r="28" spans="1:30" x14ac:dyDescent="0.15">
      <c r="A28" s="25" t="s">
        <v>28</v>
      </c>
      <c r="B28" s="29"/>
      <c r="C28" s="45">
        <v>1</v>
      </c>
      <c r="D28" s="16"/>
      <c r="E28" s="12">
        <f t="shared" si="1"/>
        <v>1</v>
      </c>
      <c r="F28" s="29">
        <v>1</v>
      </c>
      <c r="G28" s="45">
        <v>1</v>
      </c>
      <c r="H28" s="16"/>
      <c r="I28" s="12">
        <f t="shared" si="2"/>
        <v>2</v>
      </c>
      <c r="J28" s="29"/>
      <c r="K28" s="45">
        <v>1</v>
      </c>
      <c r="L28" s="16"/>
      <c r="M28" s="12">
        <f t="shared" si="3"/>
        <v>1</v>
      </c>
      <c r="N28" s="13">
        <f t="shared" si="4"/>
        <v>4</v>
      </c>
      <c r="O28" s="30">
        <v>44687</v>
      </c>
      <c r="P28" s="36" t="s">
        <v>28</v>
      </c>
      <c r="Q28" s="29">
        <v>1</v>
      </c>
      <c r="R28" s="45"/>
      <c r="S28" s="16"/>
      <c r="T28" s="12">
        <f t="shared" si="0"/>
        <v>1</v>
      </c>
      <c r="U28" s="29">
        <v>1</v>
      </c>
      <c r="V28" s="45"/>
      <c r="W28" s="16"/>
      <c r="X28" s="12">
        <f t="shared" si="5"/>
        <v>1</v>
      </c>
      <c r="Y28" s="29">
        <v>1</v>
      </c>
      <c r="Z28" s="45"/>
      <c r="AA28" s="16"/>
      <c r="AB28" s="12">
        <f t="shared" si="6"/>
        <v>1</v>
      </c>
      <c r="AC28" s="13">
        <f t="shared" si="7"/>
        <v>3</v>
      </c>
      <c r="AD28" s="30">
        <v>44667</v>
      </c>
    </row>
    <row r="29" spans="1:30" x14ac:dyDescent="0.15">
      <c r="A29" s="25" t="s">
        <v>28</v>
      </c>
      <c r="B29" s="29">
        <f>1+1</f>
        <v>2</v>
      </c>
      <c r="C29" s="45"/>
      <c r="D29" s="16"/>
      <c r="E29" s="12">
        <f t="shared" si="1"/>
        <v>2</v>
      </c>
      <c r="F29" s="29">
        <f>1+1</f>
        <v>2</v>
      </c>
      <c r="G29" s="45"/>
      <c r="H29" s="16"/>
      <c r="I29" s="12">
        <f t="shared" si="2"/>
        <v>2</v>
      </c>
      <c r="J29" s="29">
        <f>1+1</f>
        <v>2</v>
      </c>
      <c r="K29" s="45"/>
      <c r="L29" s="16"/>
      <c r="M29" s="12">
        <f t="shared" si="3"/>
        <v>2</v>
      </c>
      <c r="N29" s="13">
        <f t="shared" si="4"/>
        <v>6</v>
      </c>
      <c r="O29" s="15">
        <v>44704</v>
      </c>
      <c r="P29" s="36" t="s">
        <v>28</v>
      </c>
      <c r="Q29" s="29">
        <v>1</v>
      </c>
      <c r="R29" s="45"/>
      <c r="S29" s="16"/>
      <c r="T29" s="12">
        <f t="shared" si="0"/>
        <v>1</v>
      </c>
      <c r="U29" s="29"/>
      <c r="V29" s="45"/>
      <c r="W29" s="16"/>
      <c r="X29" s="12">
        <f t="shared" si="5"/>
        <v>0</v>
      </c>
      <c r="Y29" s="29"/>
      <c r="Z29" s="45"/>
      <c r="AA29" s="16"/>
      <c r="AB29" s="12">
        <f t="shared" si="6"/>
        <v>0</v>
      </c>
      <c r="AC29" s="13">
        <f t="shared" si="7"/>
        <v>1</v>
      </c>
      <c r="AD29" s="15">
        <v>44683</v>
      </c>
    </row>
    <row r="30" spans="1:30" x14ac:dyDescent="0.15">
      <c r="A30" s="25" t="s">
        <v>28</v>
      </c>
      <c r="B30" s="28"/>
      <c r="C30" s="45">
        <v>1</v>
      </c>
      <c r="D30" s="16"/>
      <c r="E30" s="12">
        <f t="shared" si="1"/>
        <v>1</v>
      </c>
      <c r="F30" s="28"/>
      <c r="G30" s="45">
        <v>1</v>
      </c>
      <c r="H30" s="16">
        <v>1</v>
      </c>
      <c r="I30" s="12">
        <f t="shared" si="2"/>
        <v>2</v>
      </c>
      <c r="J30" s="28"/>
      <c r="K30" s="45">
        <v>1</v>
      </c>
      <c r="L30" s="16">
        <v>1</v>
      </c>
      <c r="M30" s="12">
        <f t="shared" si="3"/>
        <v>2</v>
      </c>
      <c r="N30" s="13">
        <f t="shared" si="4"/>
        <v>5</v>
      </c>
      <c r="O30" s="15">
        <v>44718</v>
      </c>
      <c r="P30" s="36" t="s">
        <v>28</v>
      </c>
      <c r="Q30" s="28"/>
      <c r="R30" s="45"/>
      <c r="S30" s="16"/>
      <c r="T30" s="12">
        <f t="shared" si="0"/>
        <v>0</v>
      </c>
      <c r="U30" s="28"/>
      <c r="V30" s="45"/>
      <c r="W30" s="16"/>
      <c r="X30" s="12">
        <f t="shared" si="5"/>
        <v>0</v>
      </c>
      <c r="Y30" s="29">
        <v>1</v>
      </c>
      <c r="Z30" s="45"/>
      <c r="AA30" s="16"/>
      <c r="AB30" s="12">
        <f t="shared" si="6"/>
        <v>1</v>
      </c>
      <c r="AC30" s="13">
        <f t="shared" si="7"/>
        <v>1</v>
      </c>
      <c r="AD30" s="15">
        <v>44697</v>
      </c>
    </row>
    <row r="31" spans="1:30" x14ac:dyDescent="0.15">
      <c r="A31" s="25" t="s">
        <v>28</v>
      </c>
      <c r="B31" s="28"/>
      <c r="C31" s="45">
        <v>1</v>
      </c>
      <c r="D31" s="16"/>
      <c r="E31" s="12">
        <f t="shared" si="1"/>
        <v>1</v>
      </c>
      <c r="F31" s="28"/>
      <c r="G31" s="45"/>
      <c r="H31" s="16"/>
      <c r="I31" s="12">
        <f t="shared" si="2"/>
        <v>0</v>
      </c>
      <c r="J31" s="28"/>
      <c r="K31" s="45"/>
      <c r="L31" s="16"/>
      <c r="M31" s="12">
        <f t="shared" si="3"/>
        <v>0</v>
      </c>
      <c r="N31" s="13">
        <f t="shared" si="4"/>
        <v>1</v>
      </c>
      <c r="O31" s="15">
        <v>44719</v>
      </c>
      <c r="P31" s="36" t="s">
        <v>28</v>
      </c>
      <c r="Q31" s="29"/>
      <c r="R31" s="45"/>
      <c r="S31" s="16"/>
      <c r="T31" s="12">
        <f t="shared" si="0"/>
        <v>0</v>
      </c>
      <c r="U31" s="29">
        <v>1</v>
      </c>
      <c r="V31" s="45"/>
      <c r="W31" s="16"/>
      <c r="X31" s="12">
        <f t="shared" si="5"/>
        <v>1</v>
      </c>
      <c r="Y31" s="29"/>
      <c r="Z31" s="45"/>
      <c r="AA31" s="16"/>
      <c r="AB31" s="12">
        <f t="shared" si="6"/>
        <v>0</v>
      </c>
      <c r="AC31" s="13">
        <f t="shared" si="7"/>
        <v>1</v>
      </c>
      <c r="AD31" s="15">
        <v>44699</v>
      </c>
    </row>
    <row r="32" spans="1:30" x14ac:dyDescent="0.15">
      <c r="A32" s="25" t="s">
        <v>28</v>
      </c>
      <c r="B32" s="29"/>
      <c r="C32" s="45"/>
      <c r="D32" s="16">
        <v>1</v>
      </c>
      <c r="E32" s="12">
        <f t="shared" si="1"/>
        <v>1</v>
      </c>
      <c r="F32" s="29">
        <v>1</v>
      </c>
      <c r="G32" s="45"/>
      <c r="H32" s="16">
        <v>1</v>
      </c>
      <c r="I32" s="12">
        <f t="shared" si="2"/>
        <v>2</v>
      </c>
      <c r="J32" s="29"/>
      <c r="K32" s="45"/>
      <c r="L32" s="16">
        <v>1</v>
      </c>
      <c r="M32" s="12">
        <f t="shared" si="3"/>
        <v>1</v>
      </c>
      <c r="N32" s="13">
        <f t="shared" si="4"/>
        <v>4</v>
      </c>
      <c r="O32" s="15">
        <v>44725</v>
      </c>
      <c r="P32" s="36" t="s">
        <v>28</v>
      </c>
      <c r="Q32" s="29"/>
      <c r="R32" s="45"/>
      <c r="S32" s="16"/>
      <c r="T32" s="12">
        <f t="shared" si="0"/>
        <v>0</v>
      </c>
      <c r="U32" s="29">
        <v>1</v>
      </c>
      <c r="V32" s="45"/>
      <c r="W32" s="16"/>
      <c r="X32" s="12">
        <f t="shared" si="5"/>
        <v>1</v>
      </c>
      <c r="Y32" s="29"/>
      <c r="Z32" s="45"/>
      <c r="AA32" s="16"/>
      <c r="AB32" s="12">
        <f t="shared" si="6"/>
        <v>0</v>
      </c>
      <c r="AC32" s="13">
        <f t="shared" si="7"/>
        <v>1</v>
      </c>
      <c r="AD32" s="15">
        <v>44702</v>
      </c>
    </row>
    <row r="33" spans="1:30" x14ac:dyDescent="0.15">
      <c r="A33" s="25" t="s">
        <v>28</v>
      </c>
      <c r="B33" s="29"/>
      <c r="C33" s="45">
        <v>1</v>
      </c>
      <c r="D33" s="16"/>
      <c r="E33" s="12">
        <f t="shared" si="1"/>
        <v>1</v>
      </c>
      <c r="F33" s="29"/>
      <c r="G33" s="45"/>
      <c r="H33" s="16"/>
      <c r="I33" s="12">
        <f t="shared" si="2"/>
        <v>0</v>
      </c>
      <c r="J33" s="29"/>
      <c r="K33" s="45"/>
      <c r="L33" s="16"/>
      <c r="M33" s="12">
        <f t="shared" si="3"/>
        <v>0</v>
      </c>
      <c r="N33" s="13">
        <f t="shared" si="4"/>
        <v>1</v>
      </c>
      <c r="O33" s="15">
        <v>44726</v>
      </c>
      <c r="P33" s="36" t="s">
        <v>28</v>
      </c>
      <c r="Q33" s="29"/>
      <c r="R33" s="45">
        <v>1</v>
      </c>
      <c r="S33" s="16"/>
      <c r="T33" s="12">
        <f t="shared" si="0"/>
        <v>1</v>
      </c>
      <c r="U33" s="29"/>
      <c r="V33" s="45"/>
      <c r="W33" s="16"/>
      <c r="X33" s="12">
        <f t="shared" si="5"/>
        <v>0</v>
      </c>
      <c r="Y33" s="29"/>
      <c r="Z33" s="45"/>
      <c r="AA33" s="16"/>
      <c r="AB33" s="12">
        <f t="shared" si="6"/>
        <v>0</v>
      </c>
      <c r="AC33" s="13">
        <f t="shared" si="7"/>
        <v>1</v>
      </c>
      <c r="AD33" s="15">
        <v>44712</v>
      </c>
    </row>
    <row r="34" spans="1:30" x14ac:dyDescent="0.15">
      <c r="A34" s="25" t="s">
        <v>28</v>
      </c>
      <c r="B34" s="29"/>
      <c r="C34" s="45">
        <v>1</v>
      </c>
      <c r="D34" s="16"/>
      <c r="E34" s="12">
        <f t="shared" si="1"/>
        <v>1</v>
      </c>
      <c r="F34" s="29"/>
      <c r="G34" s="45">
        <v>1</v>
      </c>
      <c r="H34" s="16"/>
      <c r="I34" s="12">
        <f t="shared" si="2"/>
        <v>1</v>
      </c>
      <c r="J34" s="29"/>
      <c r="K34" s="45">
        <v>1</v>
      </c>
      <c r="L34" s="16"/>
      <c r="M34" s="12">
        <f t="shared" si="3"/>
        <v>1</v>
      </c>
      <c r="N34" s="13">
        <f t="shared" si="4"/>
        <v>3</v>
      </c>
      <c r="O34" s="15">
        <v>44728</v>
      </c>
      <c r="P34" s="36" t="s">
        <v>28</v>
      </c>
      <c r="Q34" s="29"/>
      <c r="R34" s="45">
        <v>1</v>
      </c>
      <c r="S34" s="16"/>
      <c r="T34" s="12">
        <f t="shared" si="0"/>
        <v>1</v>
      </c>
      <c r="U34" s="29"/>
      <c r="V34" s="45"/>
      <c r="W34" s="16"/>
      <c r="X34" s="12">
        <f t="shared" si="5"/>
        <v>0</v>
      </c>
      <c r="Y34" s="29"/>
      <c r="Z34" s="45">
        <v>1</v>
      </c>
      <c r="AA34" s="16"/>
      <c r="AB34" s="12">
        <f t="shared" si="6"/>
        <v>1</v>
      </c>
      <c r="AC34" s="13">
        <f t="shared" si="7"/>
        <v>2</v>
      </c>
      <c r="AD34" s="15">
        <v>44718</v>
      </c>
    </row>
    <row r="35" spans="1:30" x14ac:dyDescent="0.15">
      <c r="A35" s="25" t="s">
        <v>28</v>
      </c>
      <c r="B35" s="28"/>
      <c r="C35" s="45">
        <v>1</v>
      </c>
      <c r="D35" s="16"/>
      <c r="E35" s="12">
        <f t="shared" si="1"/>
        <v>1</v>
      </c>
      <c r="F35" s="28"/>
      <c r="G35" s="45"/>
      <c r="H35" s="16"/>
      <c r="I35" s="12">
        <f t="shared" si="2"/>
        <v>0</v>
      </c>
      <c r="J35" s="28"/>
      <c r="K35" s="45"/>
      <c r="L35" s="16"/>
      <c r="M35" s="12">
        <f t="shared" si="3"/>
        <v>0</v>
      </c>
      <c r="N35" s="13">
        <f t="shared" si="4"/>
        <v>1</v>
      </c>
      <c r="O35" s="15">
        <v>44736</v>
      </c>
      <c r="P35" s="36" t="s">
        <v>28</v>
      </c>
      <c r="Q35" s="28"/>
      <c r="R35" s="45"/>
      <c r="S35" s="16"/>
      <c r="T35" s="12">
        <f t="shared" si="0"/>
        <v>0</v>
      </c>
      <c r="U35" s="28"/>
      <c r="V35" s="45"/>
      <c r="W35" s="16">
        <v>1</v>
      </c>
      <c r="X35" s="12">
        <f t="shared" si="5"/>
        <v>1</v>
      </c>
      <c r="Y35" s="28"/>
      <c r="Z35" s="45"/>
      <c r="AA35" s="16"/>
      <c r="AB35" s="12">
        <f t="shared" si="6"/>
        <v>0</v>
      </c>
      <c r="AC35" s="13">
        <f t="shared" si="7"/>
        <v>1</v>
      </c>
      <c r="AD35" s="15">
        <v>44722</v>
      </c>
    </row>
    <row r="36" spans="1:30" x14ac:dyDescent="0.15">
      <c r="A36" s="25" t="s">
        <v>28</v>
      </c>
      <c r="B36" s="29">
        <v>1</v>
      </c>
      <c r="C36" s="45"/>
      <c r="D36" s="16"/>
      <c r="E36" s="12">
        <f t="shared" si="1"/>
        <v>1</v>
      </c>
      <c r="F36" s="29"/>
      <c r="G36" s="45"/>
      <c r="H36" s="16"/>
      <c r="I36" s="12">
        <f t="shared" si="2"/>
        <v>0</v>
      </c>
      <c r="J36" s="29"/>
      <c r="K36" s="45"/>
      <c r="L36" s="16"/>
      <c r="M36" s="12">
        <f t="shared" si="3"/>
        <v>0</v>
      </c>
      <c r="N36" s="13">
        <f t="shared" si="4"/>
        <v>1</v>
      </c>
      <c r="O36" s="15">
        <v>44750</v>
      </c>
      <c r="P36" s="36" t="s">
        <v>28</v>
      </c>
      <c r="Q36" s="29">
        <v>1</v>
      </c>
      <c r="R36" s="45"/>
      <c r="S36" s="16"/>
      <c r="T36" s="12">
        <f t="shared" si="0"/>
        <v>1</v>
      </c>
      <c r="U36" s="29">
        <v>1</v>
      </c>
      <c r="V36" s="45"/>
      <c r="W36" s="16"/>
      <c r="X36" s="12">
        <f t="shared" si="5"/>
        <v>1</v>
      </c>
      <c r="Y36" s="29">
        <v>1</v>
      </c>
      <c r="Z36" s="45"/>
      <c r="AA36" s="16"/>
      <c r="AB36" s="12">
        <f t="shared" si="6"/>
        <v>1</v>
      </c>
      <c r="AC36" s="13">
        <f t="shared" si="7"/>
        <v>3</v>
      </c>
      <c r="AD36" s="15">
        <v>44725</v>
      </c>
    </row>
    <row r="37" spans="1:30" x14ac:dyDescent="0.15">
      <c r="A37" s="25" t="s">
        <v>28</v>
      </c>
      <c r="B37" s="29">
        <v>1</v>
      </c>
      <c r="C37" s="45"/>
      <c r="D37" s="16"/>
      <c r="E37" s="12">
        <f t="shared" si="1"/>
        <v>1</v>
      </c>
      <c r="F37" s="29"/>
      <c r="G37" s="45"/>
      <c r="H37" s="16"/>
      <c r="I37" s="12">
        <f t="shared" si="2"/>
        <v>0</v>
      </c>
      <c r="J37" s="29">
        <v>1</v>
      </c>
      <c r="K37" s="45"/>
      <c r="L37" s="16"/>
      <c r="M37" s="12">
        <f t="shared" si="3"/>
        <v>1</v>
      </c>
      <c r="N37" s="13">
        <f t="shared" si="4"/>
        <v>2</v>
      </c>
      <c r="O37" s="15">
        <v>44755</v>
      </c>
      <c r="P37" s="36" t="s">
        <v>28</v>
      </c>
      <c r="Q37" s="29">
        <v>1</v>
      </c>
      <c r="R37" s="45"/>
      <c r="S37" s="16"/>
      <c r="T37" s="12">
        <f t="shared" si="0"/>
        <v>1</v>
      </c>
      <c r="U37" s="29">
        <v>1</v>
      </c>
      <c r="V37" s="45"/>
      <c r="W37" s="16"/>
      <c r="X37" s="12">
        <f t="shared" si="5"/>
        <v>1</v>
      </c>
      <c r="Y37" s="29">
        <v>1</v>
      </c>
      <c r="Z37" s="45"/>
      <c r="AA37" s="16"/>
      <c r="AB37" s="12">
        <f t="shared" si="6"/>
        <v>1</v>
      </c>
      <c r="AC37" s="13">
        <f t="shared" si="7"/>
        <v>3</v>
      </c>
      <c r="AD37" s="15">
        <v>44729</v>
      </c>
    </row>
    <row r="38" spans="1:30" x14ac:dyDescent="0.15">
      <c r="A38" s="25" t="s">
        <v>28</v>
      </c>
      <c r="B38" s="29"/>
      <c r="C38" s="45">
        <v>1</v>
      </c>
      <c r="D38" s="16">
        <v>1</v>
      </c>
      <c r="E38" s="12">
        <f t="shared" si="1"/>
        <v>2</v>
      </c>
      <c r="F38" s="29"/>
      <c r="G38" s="45">
        <v>1</v>
      </c>
      <c r="H38" s="16">
        <v>1</v>
      </c>
      <c r="I38" s="12">
        <f t="shared" si="2"/>
        <v>2</v>
      </c>
      <c r="J38" s="29"/>
      <c r="K38" s="45">
        <v>1</v>
      </c>
      <c r="L38" s="16">
        <v>1</v>
      </c>
      <c r="M38" s="12">
        <f t="shared" si="3"/>
        <v>2</v>
      </c>
      <c r="N38" s="13">
        <f t="shared" si="4"/>
        <v>6</v>
      </c>
      <c r="O38" s="15">
        <v>44761</v>
      </c>
      <c r="P38" s="36" t="s">
        <v>28</v>
      </c>
      <c r="Q38" s="29"/>
      <c r="R38" s="45"/>
      <c r="S38" s="16"/>
      <c r="T38" s="12">
        <f t="shared" si="0"/>
        <v>0</v>
      </c>
      <c r="U38" s="29"/>
      <c r="V38" s="45"/>
      <c r="W38" s="16"/>
      <c r="X38" s="12">
        <f t="shared" si="5"/>
        <v>0</v>
      </c>
      <c r="Y38" s="29"/>
      <c r="Z38" s="45"/>
      <c r="AA38" s="16">
        <v>1</v>
      </c>
      <c r="AB38" s="12">
        <f t="shared" si="6"/>
        <v>1</v>
      </c>
      <c r="AC38" s="13">
        <f t="shared" si="7"/>
        <v>1</v>
      </c>
      <c r="AD38" s="15">
        <v>44736</v>
      </c>
    </row>
    <row r="39" spans="1:30" ht="14.25" thickBot="1" x14ac:dyDescent="0.2">
      <c r="A39" s="25" t="s">
        <v>28</v>
      </c>
      <c r="B39" s="29">
        <v>1</v>
      </c>
      <c r="C39" s="45"/>
      <c r="D39" s="16"/>
      <c r="E39" s="12">
        <f t="shared" si="1"/>
        <v>1</v>
      </c>
      <c r="F39" s="29"/>
      <c r="G39" s="45"/>
      <c r="H39" s="16"/>
      <c r="I39" s="12">
        <f t="shared" si="2"/>
        <v>0</v>
      </c>
      <c r="J39" s="29"/>
      <c r="K39" s="45"/>
      <c r="L39" s="16"/>
      <c r="M39" s="12">
        <f t="shared" si="3"/>
        <v>0</v>
      </c>
      <c r="N39" s="20">
        <f t="shared" si="4"/>
        <v>1</v>
      </c>
      <c r="O39" s="15">
        <v>44767</v>
      </c>
      <c r="P39" s="36" t="s">
        <v>28</v>
      </c>
      <c r="Q39" s="29"/>
      <c r="R39" s="45"/>
      <c r="S39" s="16"/>
      <c r="T39" s="12">
        <f t="shared" si="0"/>
        <v>0</v>
      </c>
      <c r="U39" s="29"/>
      <c r="V39" s="45">
        <v>2</v>
      </c>
      <c r="W39" s="16"/>
      <c r="X39" s="12">
        <f t="shared" si="5"/>
        <v>2</v>
      </c>
      <c r="Y39" s="29"/>
      <c r="Z39" s="45"/>
      <c r="AA39" s="16"/>
      <c r="AB39" s="12">
        <f t="shared" si="6"/>
        <v>0</v>
      </c>
      <c r="AC39" s="20">
        <f t="shared" si="7"/>
        <v>2</v>
      </c>
      <c r="AD39" s="15">
        <v>44739</v>
      </c>
    </row>
    <row r="40" spans="1:30" ht="14.25" thickBot="1" x14ac:dyDescent="0.2">
      <c r="A40" s="3" t="s">
        <v>9</v>
      </c>
      <c r="B40" s="22">
        <f>SUM(B16:B39)</f>
        <v>6</v>
      </c>
      <c r="C40" s="47">
        <f t="shared" ref="C40:E40" si="8">SUM(C16:C39)</f>
        <v>10</v>
      </c>
      <c r="D40" s="41">
        <f t="shared" si="8"/>
        <v>5</v>
      </c>
      <c r="E40" s="31">
        <f t="shared" si="8"/>
        <v>21</v>
      </c>
      <c r="F40" s="22">
        <f>SUM(F16:F39)</f>
        <v>6</v>
      </c>
      <c r="G40" s="47">
        <f t="shared" ref="G40:I40" si="9">SUM(G16:G39)</f>
        <v>6</v>
      </c>
      <c r="H40" s="41">
        <f t="shared" si="9"/>
        <v>4</v>
      </c>
      <c r="I40" s="31">
        <f t="shared" si="9"/>
        <v>16</v>
      </c>
      <c r="J40" s="22">
        <f>SUM(J16:J39)</f>
        <v>6</v>
      </c>
      <c r="K40" s="47">
        <f t="shared" ref="K40:M40" si="10">SUM(K16:K39)</f>
        <v>7</v>
      </c>
      <c r="L40" s="41">
        <f t="shared" si="10"/>
        <v>5</v>
      </c>
      <c r="M40" s="31">
        <f t="shared" si="10"/>
        <v>18</v>
      </c>
      <c r="N40" s="24">
        <f t="shared" si="4"/>
        <v>55</v>
      </c>
      <c r="P40" s="3" t="s">
        <v>9</v>
      </c>
      <c r="Q40" s="22">
        <f>SUM(Q16:Q39)</f>
        <v>5</v>
      </c>
      <c r="R40" s="47">
        <f>SUM(R16:R39)</f>
        <v>4</v>
      </c>
      <c r="S40" s="41">
        <f>SUM(S16:S39)</f>
        <v>1</v>
      </c>
      <c r="T40" s="31">
        <f>SUM(T16:T39)</f>
        <v>10</v>
      </c>
      <c r="U40" s="22">
        <f>SUM(U16:U39)</f>
        <v>10</v>
      </c>
      <c r="V40" s="47">
        <f t="shared" ref="V40:X40" si="11">SUM(V16:V39)</f>
        <v>6</v>
      </c>
      <c r="W40" s="41">
        <f t="shared" si="11"/>
        <v>3</v>
      </c>
      <c r="X40" s="31">
        <f t="shared" si="11"/>
        <v>19</v>
      </c>
      <c r="Y40" s="22">
        <f>SUM(Y16:Y39)</f>
        <v>6</v>
      </c>
      <c r="Z40" s="47">
        <f t="shared" ref="Z40:AB40" si="12">SUM(Z16:Z39)</f>
        <v>2</v>
      </c>
      <c r="AA40" s="41">
        <f t="shared" si="12"/>
        <v>1</v>
      </c>
      <c r="AB40" s="31">
        <f t="shared" si="12"/>
        <v>9</v>
      </c>
      <c r="AC40" s="24">
        <f t="shared" si="7"/>
        <v>38</v>
      </c>
    </row>
    <row r="41" spans="1:30" ht="14.25" thickBot="1" x14ac:dyDescent="0.2">
      <c r="A41" s="32" t="s">
        <v>10</v>
      </c>
      <c r="B41" s="33">
        <f>B15-B40</f>
        <v>5</v>
      </c>
      <c r="C41" s="49">
        <f t="shared" ref="C41:E41" si="13">C15-C40</f>
        <v>6</v>
      </c>
      <c r="D41" s="42">
        <f t="shared" si="13"/>
        <v>2</v>
      </c>
      <c r="E41" s="33">
        <f t="shared" si="13"/>
        <v>13</v>
      </c>
      <c r="F41" s="33">
        <f>F15-F40</f>
        <v>4</v>
      </c>
      <c r="G41" s="49">
        <f t="shared" ref="G41:I41" si="14">G15-G40</f>
        <v>5</v>
      </c>
      <c r="H41" s="42">
        <f t="shared" si="14"/>
        <v>4</v>
      </c>
      <c r="I41" s="33">
        <f t="shared" si="14"/>
        <v>13</v>
      </c>
      <c r="J41" s="33">
        <f>J15-J40</f>
        <v>5</v>
      </c>
      <c r="K41" s="49">
        <f t="shared" ref="K41:M41" si="15">K15-K40</f>
        <v>4</v>
      </c>
      <c r="L41" s="42">
        <f t="shared" si="15"/>
        <v>3</v>
      </c>
      <c r="M41" s="33">
        <f t="shared" si="15"/>
        <v>12</v>
      </c>
      <c r="N41" s="24">
        <f t="shared" si="4"/>
        <v>38</v>
      </c>
      <c r="P41" s="32" t="s">
        <v>10</v>
      </c>
      <c r="Q41" s="33">
        <f>Q15-Q40</f>
        <v>3</v>
      </c>
      <c r="R41" s="49">
        <f>R15-R40</f>
        <v>4</v>
      </c>
      <c r="S41" s="42">
        <f>S15-S40</f>
        <v>5</v>
      </c>
      <c r="T41" s="33">
        <f>T15-T40</f>
        <v>12</v>
      </c>
      <c r="U41" s="33">
        <f>U15-U40</f>
        <v>4</v>
      </c>
      <c r="V41" s="49">
        <f t="shared" ref="V41:X41" si="16">V15-V40</f>
        <v>5</v>
      </c>
      <c r="W41" s="42">
        <f t="shared" si="16"/>
        <v>3</v>
      </c>
      <c r="X41" s="33">
        <f t="shared" si="16"/>
        <v>12</v>
      </c>
      <c r="Y41" s="33">
        <f>Y15-Y40</f>
        <v>4</v>
      </c>
      <c r="Z41" s="49">
        <f t="shared" ref="Z41:AB41" si="17">Z15-Z40</f>
        <v>3</v>
      </c>
      <c r="AA41" s="42">
        <f t="shared" si="17"/>
        <v>2</v>
      </c>
      <c r="AB41" s="33">
        <f t="shared" si="17"/>
        <v>9</v>
      </c>
      <c r="AC41" s="24">
        <f t="shared" si="7"/>
        <v>33</v>
      </c>
    </row>
    <row r="43" spans="1:30" x14ac:dyDescent="0.15">
      <c r="AD43">
        <v>630</v>
      </c>
    </row>
    <row r="44" spans="1:30" ht="21.75" thickBot="1" x14ac:dyDescent="0.25">
      <c r="A44" s="34" t="s">
        <v>12</v>
      </c>
      <c r="B44" s="35"/>
      <c r="C44" s="35"/>
      <c r="D44" s="38" t="s">
        <v>11</v>
      </c>
      <c r="E44" s="1"/>
      <c r="F44" s="1"/>
      <c r="G44" s="1"/>
      <c r="H44" s="1"/>
      <c r="I44" s="1"/>
      <c r="J44" s="1"/>
      <c r="K44" s="1"/>
      <c r="L44" s="1"/>
      <c r="M44" s="1"/>
      <c r="O44">
        <v>630</v>
      </c>
      <c r="P44" s="34" t="s">
        <v>12</v>
      </c>
      <c r="Q44" s="35"/>
      <c r="R44" s="35"/>
      <c r="S44" s="35"/>
      <c r="T44" s="37"/>
      <c r="U44" s="35"/>
      <c r="V44" s="35"/>
      <c r="W44" s="35"/>
      <c r="X44" s="37"/>
      <c r="Y44" s="35"/>
      <c r="Z44" s="35"/>
      <c r="AA44" s="38" t="s">
        <v>11</v>
      </c>
      <c r="AB44" s="1"/>
    </row>
    <row r="45" spans="1:30" ht="14.25" thickBot="1" x14ac:dyDescent="0.2">
      <c r="A45" s="2" t="s">
        <v>0</v>
      </c>
      <c r="B45" s="109" t="s">
        <v>15</v>
      </c>
      <c r="C45" s="109"/>
      <c r="D45" s="109"/>
      <c r="E45" s="110"/>
      <c r="F45" s="113" t="s">
        <v>16</v>
      </c>
      <c r="G45" s="113"/>
      <c r="H45" s="113"/>
      <c r="I45" s="114"/>
      <c r="J45" s="111" t="s">
        <v>17</v>
      </c>
      <c r="K45" s="111"/>
      <c r="L45" s="111"/>
      <c r="M45" s="112"/>
      <c r="N45" s="107" t="s">
        <v>14</v>
      </c>
      <c r="P45" s="2" t="s">
        <v>0</v>
      </c>
      <c r="Q45" s="115" t="s">
        <v>13</v>
      </c>
      <c r="R45" s="115"/>
      <c r="S45" s="115"/>
      <c r="T45" s="116"/>
      <c r="U45" s="117" t="s">
        <v>20</v>
      </c>
      <c r="V45" s="117"/>
      <c r="W45" s="117"/>
      <c r="X45" s="118"/>
      <c r="Y45" s="119" t="s">
        <v>21</v>
      </c>
      <c r="Z45" s="119"/>
      <c r="AA45" s="119"/>
      <c r="AB45" s="120"/>
      <c r="AC45" s="107" t="s">
        <v>14</v>
      </c>
    </row>
    <row r="46" spans="1:30" ht="14.25" thickBot="1" x14ac:dyDescent="0.2">
      <c r="A46" s="2" t="s">
        <v>1</v>
      </c>
      <c r="B46" s="3" t="s">
        <v>2</v>
      </c>
      <c r="C46" s="43" t="s">
        <v>3</v>
      </c>
      <c r="D46" s="4" t="s">
        <v>4</v>
      </c>
      <c r="E46" s="2" t="s">
        <v>5</v>
      </c>
      <c r="F46" s="3" t="s">
        <v>2</v>
      </c>
      <c r="G46" s="43" t="s">
        <v>3</v>
      </c>
      <c r="H46" s="4" t="s">
        <v>4</v>
      </c>
      <c r="I46" s="2" t="s">
        <v>5</v>
      </c>
      <c r="J46" s="3" t="s">
        <v>2</v>
      </c>
      <c r="K46" s="43" t="s">
        <v>3</v>
      </c>
      <c r="L46" s="4" t="s">
        <v>4</v>
      </c>
      <c r="M46" s="2" t="s">
        <v>5</v>
      </c>
      <c r="N46" s="108"/>
      <c r="P46" s="2" t="s">
        <v>1</v>
      </c>
      <c r="Q46" s="3" t="s">
        <v>2</v>
      </c>
      <c r="R46" s="43" t="s">
        <v>3</v>
      </c>
      <c r="S46" s="4" t="s">
        <v>4</v>
      </c>
      <c r="T46" s="2" t="s">
        <v>5</v>
      </c>
      <c r="U46" s="3" t="s">
        <v>2</v>
      </c>
      <c r="V46" s="43" t="s">
        <v>3</v>
      </c>
      <c r="W46" s="4" t="s">
        <v>4</v>
      </c>
      <c r="X46" s="2" t="s">
        <v>5</v>
      </c>
      <c r="Y46" s="3" t="s">
        <v>2</v>
      </c>
      <c r="Z46" s="43" t="s">
        <v>3</v>
      </c>
      <c r="AA46" s="4" t="s">
        <v>4</v>
      </c>
      <c r="AB46" s="2" t="s">
        <v>5</v>
      </c>
      <c r="AC46" s="108"/>
    </row>
    <row r="47" spans="1:30" x14ac:dyDescent="0.15">
      <c r="A47" s="5" t="s">
        <v>10</v>
      </c>
      <c r="B47" s="6">
        <f t="shared" ref="B47:M47" si="18">B41</f>
        <v>5</v>
      </c>
      <c r="C47" s="50">
        <f t="shared" si="18"/>
        <v>6</v>
      </c>
      <c r="D47" s="6">
        <f t="shared" si="18"/>
        <v>2</v>
      </c>
      <c r="E47" s="7">
        <f t="shared" si="18"/>
        <v>13</v>
      </c>
      <c r="F47" s="6">
        <f t="shared" si="18"/>
        <v>4</v>
      </c>
      <c r="G47" s="50">
        <f t="shared" si="18"/>
        <v>5</v>
      </c>
      <c r="H47" s="6">
        <f t="shared" si="18"/>
        <v>4</v>
      </c>
      <c r="I47" s="7">
        <f t="shared" si="18"/>
        <v>13</v>
      </c>
      <c r="J47" s="6">
        <f t="shared" si="18"/>
        <v>5</v>
      </c>
      <c r="K47" s="50">
        <f t="shared" si="18"/>
        <v>4</v>
      </c>
      <c r="L47" s="6">
        <f t="shared" si="18"/>
        <v>3</v>
      </c>
      <c r="M47" s="7">
        <f t="shared" si="18"/>
        <v>12</v>
      </c>
      <c r="N47" s="13">
        <f>E47+M47+I47</f>
        <v>38</v>
      </c>
      <c r="P47" s="5" t="s">
        <v>10</v>
      </c>
      <c r="Q47" s="6">
        <f>Q41</f>
        <v>3</v>
      </c>
      <c r="R47" s="50">
        <f>R41</f>
        <v>4</v>
      </c>
      <c r="S47" s="6">
        <f>S41</f>
        <v>5</v>
      </c>
      <c r="T47" s="7">
        <f>T41</f>
        <v>12</v>
      </c>
      <c r="U47" s="6">
        <f>U41</f>
        <v>4</v>
      </c>
      <c r="V47" s="50">
        <f t="shared" ref="V47:AB47" si="19">V41</f>
        <v>5</v>
      </c>
      <c r="W47" s="6">
        <f t="shared" si="19"/>
        <v>3</v>
      </c>
      <c r="X47" s="7">
        <f t="shared" si="19"/>
        <v>12</v>
      </c>
      <c r="Y47" s="6">
        <f t="shared" si="19"/>
        <v>4</v>
      </c>
      <c r="Z47" s="50">
        <f t="shared" si="19"/>
        <v>3</v>
      </c>
      <c r="AA47" s="6">
        <f t="shared" si="19"/>
        <v>2</v>
      </c>
      <c r="AB47" s="7">
        <f t="shared" si="19"/>
        <v>9</v>
      </c>
      <c r="AC47" s="8">
        <f>AC41</f>
        <v>33</v>
      </c>
    </row>
    <row r="48" spans="1:30" x14ac:dyDescent="0.15">
      <c r="A48" s="5" t="s">
        <v>31</v>
      </c>
      <c r="B48" s="73"/>
      <c r="C48" s="74">
        <v>1</v>
      </c>
      <c r="D48" s="73"/>
      <c r="E48" s="75">
        <f t="shared" ref="E48:E82" si="20">SUM(B48:D48)</f>
        <v>1</v>
      </c>
      <c r="F48" s="73"/>
      <c r="G48" s="74"/>
      <c r="H48" s="73">
        <v>-1</v>
      </c>
      <c r="I48" s="75">
        <f t="shared" ref="I48:I82" si="21">SUM(F48:H48)</f>
        <v>-1</v>
      </c>
      <c r="J48" s="73"/>
      <c r="K48" s="74"/>
      <c r="L48" s="73"/>
      <c r="M48" s="75">
        <f t="shared" ref="M48:M82" si="22">SUM(J48:L48)</f>
        <v>0</v>
      </c>
      <c r="N48" s="76">
        <f t="shared" ref="N48:N84" si="23">E48+M48+I48</f>
        <v>0</v>
      </c>
      <c r="O48" s="77">
        <v>44796</v>
      </c>
      <c r="P48" s="9" t="s">
        <v>7</v>
      </c>
      <c r="Q48" s="10">
        <v>5</v>
      </c>
      <c r="R48" s="44"/>
      <c r="S48" s="10"/>
      <c r="T48" s="12">
        <f t="shared" ref="T48:T82" si="24">SUM(Q48:S48)</f>
        <v>5</v>
      </c>
      <c r="U48" s="10">
        <v>4</v>
      </c>
      <c r="V48" s="44"/>
      <c r="W48" s="10"/>
      <c r="X48" s="12">
        <f t="shared" ref="X48:X82" si="25">SUM(U48:W48)</f>
        <v>4</v>
      </c>
      <c r="Y48" s="10"/>
      <c r="Z48" s="44"/>
      <c r="AA48" s="10"/>
      <c r="AB48" s="12">
        <f t="shared" ref="AB48:AB82" si="26">SUM(Y48:AA48)</f>
        <v>0</v>
      </c>
      <c r="AC48" s="13">
        <f>X48+AB48+T48</f>
        <v>9</v>
      </c>
      <c r="AD48" s="15">
        <v>44750</v>
      </c>
    </row>
    <row r="49" spans="1:30" x14ac:dyDescent="0.15">
      <c r="A49" s="9" t="s">
        <v>7</v>
      </c>
      <c r="B49" s="10"/>
      <c r="C49" s="44"/>
      <c r="D49" s="10">
        <v>2</v>
      </c>
      <c r="E49" s="12">
        <f t="shared" ref="E49" si="27">SUM(B49:D49)</f>
        <v>2</v>
      </c>
      <c r="F49" s="10"/>
      <c r="G49" s="44"/>
      <c r="H49" s="10"/>
      <c r="I49" s="12">
        <f t="shared" ref="I49" si="28">SUM(F49:H49)</f>
        <v>0</v>
      </c>
      <c r="J49" s="10"/>
      <c r="K49" s="44"/>
      <c r="L49" s="10"/>
      <c r="M49" s="12">
        <f t="shared" ref="M49" si="29">SUM(J49:L49)</f>
        <v>0</v>
      </c>
      <c r="N49" s="13">
        <f t="shared" si="23"/>
        <v>2</v>
      </c>
      <c r="O49" s="15">
        <v>44798</v>
      </c>
      <c r="P49" s="9" t="s">
        <v>7</v>
      </c>
      <c r="Q49" s="10"/>
      <c r="R49" s="44"/>
      <c r="S49" s="10"/>
      <c r="T49" s="12">
        <f t="shared" si="24"/>
        <v>0</v>
      </c>
      <c r="U49" s="10"/>
      <c r="V49" s="44"/>
      <c r="W49" s="10"/>
      <c r="X49" s="12">
        <f t="shared" si="25"/>
        <v>0</v>
      </c>
      <c r="Y49" s="10">
        <v>3</v>
      </c>
      <c r="Z49" s="44">
        <v>2</v>
      </c>
      <c r="AA49" s="10"/>
      <c r="AB49" s="12">
        <f t="shared" si="26"/>
        <v>5</v>
      </c>
      <c r="AC49" s="13">
        <f t="shared" ref="AC49:AC84" si="30">X49+AB49+T49</f>
        <v>5</v>
      </c>
      <c r="AD49" s="15">
        <v>44767</v>
      </c>
    </row>
    <row r="50" spans="1:30" x14ac:dyDescent="0.15">
      <c r="A50" s="9" t="s">
        <v>7</v>
      </c>
      <c r="B50" s="10"/>
      <c r="C50" s="44"/>
      <c r="D50" s="81"/>
      <c r="E50" s="12">
        <f t="shared" si="20"/>
        <v>0</v>
      </c>
      <c r="F50" s="10">
        <v>3</v>
      </c>
      <c r="G50" s="44"/>
      <c r="H50" s="10">
        <v>3</v>
      </c>
      <c r="I50" s="12">
        <f t="shared" si="21"/>
        <v>6</v>
      </c>
      <c r="J50" s="10"/>
      <c r="K50" s="44"/>
      <c r="L50" s="81"/>
      <c r="M50" s="12">
        <f t="shared" si="22"/>
        <v>0</v>
      </c>
      <c r="N50" s="13">
        <f t="shared" si="23"/>
        <v>6</v>
      </c>
      <c r="O50" s="15">
        <v>44816</v>
      </c>
      <c r="P50" s="5" t="s">
        <v>31</v>
      </c>
      <c r="Q50" s="71"/>
      <c r="R50" s="72"/>
      <c r="S50" s="71"/>
      <c r="T50" s="7">
        <f t="shared" si="24"/>
        <v>0</v>
      </c>
      <c r="U50" s="71"/>
      <c r="V50" s="72">
        <v>-1</v>
      </c>
      <c r="W50" s="71">
        <v>1</v>
      </c>
      <c r="X50" s="7">
        <f t="shared" si="25"/>
        <v>0</v>
      </c>
      <c r="Y50" s="71"/>
      <c r="Z50" s="72"/>
      <c r="AA50" s="71"/>
      <c r="AB50" s="7">
        <f t="shared" si="26"/>
        <v>0</v>
      </c>
      <c r="AC50" s="8">
        <f t="shared" si="30"/>
        <v>0</v>
      </c>
      <c r="AD50" s="63">
        <v>44796</v>
      </c>
    </row>
    <row r="51" spans="1:30" x14ac:dyDescent="0.15">
      <c r="A51" s="9" t="s">
        <v>7</v>
      </c>
      <c r="B51" s="10"/>
      <c r="C51" s="44"/>
      <c r="D51" s="81"/>
      <c r="E51" s="12">
        <f t="shared" si="20"/>
        <v>0</v>
      </c>
      <c r="F51" s="10"/>
      <c r="G51" s="44">
        <v>1</v>
      </c>
      <c r="H51" s="10"/>
      <c r="I51" s="12">
        <f t="shared" si="21"/>
        <v>1</v>
      </c>
      <c r="J51" s="10"/>
      <c r="K51" s="44"/>
      <c r="L51" s="81"/>
      <c r="M51" s="12">
        <f t="shared" si="22"/>
        <v>0</v>
      </c>
      <c r="N51" s="13">
        <f t="shared" si="23"/>
        <v>1</v>
      </c>
      <c r="O51" s="15">
        <v>44820</v>
      </c>
      <c r="P51" s="9" t="s">
        <v>7</v>
      </c>
      <c r="Q51" s="10"/>
      <c r="R51" s="44"/>
      <c r="S51" s="10"/>
      <c r="T51" s="12">
        <f t="shared" si="24"/>
        <v>0</v>
      </c>
      <c r="U51" s="10"/>
      <c r="V51" s="44"/>
      <c r="W51" s="10"/>
      <c r="X51" s="12">
        <f t="shared" si="25"/>
        <v>0</v>
      </c>
      <c r="Y51" s="10"/>
      <c r="Z51" s="44"/>
      <c r="AA51" s="10">
        <v>3</v>
      </c>
      <c r="AB51" s="12">
        <f t="shared" si="26"/>
        <v>3</v>
      </c>
      <c r="AC51" s="13">
        <f t="shared" si="30"/>
        <v>3</v>
      </c>
      <c r="AD51" s="15">
        <v>44798</v>
      </c>
    </row>
    <row r="52" spans="1:30" x14ac:dyDescent="0.15">
      <c r="A52" s="9" t="s">
        <v>7</v>
      </c>
      <c r="B52" s="10">
        <v>3</v>
      </c>
      <c r="C52" s="44"/>
      <c r="D52" s="81"/>
      <c r="E52" s="12">
        <f t="shared" si="20"/>
        <v>3</v>
      </c>
      <c r="F52" s="81"/>
      <c r="G52" s="84"/>
      <c r="H52" s="10"/>
      <c r="I52" s="12">
        <f t="shared" si="21"/>
        <v>0</v>
      </c>
      <c r="J52" s="10"/>
      <c r="K52" s="44"/>
      <c r="L52" s="81"/>
      <c r="M52" s="12">
        <f t="shared" si="22"/>
        <v>0</v>
      </c>
      <c r="N52" s="13">
        <f t="shared" si="23"/>
        <v>3</v>
      </c>
      <c r="O52" s="15">
        <v>44858</v>
      </c>
      <c r="P52" s="5" t="s">
        <v>7</v>
      </c>
      <c r="Q52" s="71">
        <v>3</v>
      </c>
      <c r="R52" s="72"/>
      <c r="S52" s="71"/>
      <c r="T52" s="7">
        <f t="shared" si="24"/>
        <v>3</v>
      </c>
      <c r="U52" s="87"/>
      <c r="V52" s="89"/>
      <c r="W52" s="87"/>
      <c r="X52" s="7">
        <f t="shared" si="25"/>
        <v>0</v>
      </c>
      <c r="Y52" s="88"/>
      <c r="Z52" s="72"/>
      <c r="AA52" s="88"/>
      <c r="AB52" s="7">
        <f t="shared" si="26"/>
        <v>0</v>
      </c>
      <c r="AC52" s="8">
        <f t="shared" si="30"/>
        <v>3</v>
      </c>
      <c r="AD52" s="63">
        <v>44867</v>
      </c>
    </row>
    <row r="53" spans="1:30" x14ac:dyDescent="0.15">
      <c r="A53" s="9" t="s">
        <v>7</v>
      </c>
      <c r="B53" s="10"/>
      <c r="C53" s="44"/>
      <c r="D53" s="81"/>
      <c r="E53" s="12">
        <f t="shared" si="20"/>
        <v>0</v>
      </c>
      <c r="F53" s="81"/>
      <c r="G53" s="84"/>
      <c r="H53" s="10"/>
      <c r="I53" s="12">
        <f t="shared" si="21"/>
        <v>0</v>
      </c>
      <c r="J53" s="10"/>
      <c r="K53" s="44"/>
      <c r="L53" s="81"/>
      <c r="M53" s="12">
        <f t="shared" si="22"/>
        <v>0</v>
      </c>
      <c r="N53" s="13">
        <f t="shared" si="23"/>
        <v>0</v>
      </c>
      <c r="O53" s="15"/>
      <c r="P53" s="9" t="s">
        <v>7</v>
      </c>
      <c r="Q53" s="10"/>
      <c r="R53" s="44"/>
      <c r="S53" s="10"/>
      <c r="T53" s="12">
        <f t="shared" si="24"/>
        <v>0</v>
      </c>
      <c r="U53" s="68"/>
      <c r="V53" s="90"/>
      <c r="W53" s="68"/>
      <c r="X53" s="12">
        <f t="shared" si="25"/>
        <v>0</v>
      </c>
      <c r="Y53" s="81"/>
      <c r="Z53" s="44"/>
      <c r="AA53" s="81"/>
      <c r="AB53" s="12">
        <f t="shared" si="26"/>
        <v>0</v>
      </c>
      <c r="AC53" s="13">
        <f t="shared" si="30"/>
        <v>0</v>
      </c>
      <c r="AD53" s="15"/>
    </row>
    <row r="54" spans="1:30" x14ac:dyDescent="0.15">
      <c r="A54" s="9" t="s">
        <v>7</v>
      </c>
      <c r="B54" s="16"/>
      <c r="C54" s="45"/>
      <c r="D54" s="82"/>
      <c r="E54" s="12">
        <f t="shared" si="20"/>
        <v>0</v>
      </c>
      <c r="F54" s="82"/>
      <c r="G54" s="85"/>
      <c r="H54" s="16"/>
      <c r="I54" s="12">
        <f t="shared" si="21"/>
        <v>0</v>
      </c>
      <c r="J54" s="16"/>
      <c r="K54" s="45"/>
      <c r="L54" s="82"/>
      <c r="M54" s="12">
        <f t="shared" si="22"/>
        <v>0</v>
      </c>
      <c r="N54" s="13">
        <f t="shared" si="23"/>
        <v>0</v>
      </c>
      <c r="O54" s="15"/>
      <c r="P54" s="9" t="s">
        <v>7</v>
      </c>
      <c r="Q54" s="16"/>
      <c r="R54" s="45"/>
      <c r="S54" s="16"/>
      <c r="T54" s="12">
        <f t="shared" si="24"/>
        <v>0</v>
      </c>
      <c r="U54" s="69"/>
      <c r="V54" s="91"/>
      <c r="W54" s="69"/>
      <c r="X54" s="12">
        <f t="shared" si="25"/>
        <v>0</v>
      </c>
      <c r="Y54" s="82"/>
      <c r="Z54" s="45"/>
      <c r="AA54" s="82"/>
      <c r="AB54" s="12">
        <f t="shared" si="26"/>
        <v>0</v>
      </c>
      <c r="AC54" s="13">
        <f t="shared" si="30"/>
        <v>0</v>
      </c>
      <c r="AD54" s="15"/>
    </row>
    <row r="55" spans="1:30" x14ac:dyDescent="0.15">
      <c r="A55" s="9" t="s">
        <v>7</v>
      </c>
      <c r="B55" s="16"/>
      <c r="C55" s="45"/>
      <c r="D55" s="82"/>
      <c r="E55" s="12">
        <f t="shared" si="20"/>
        <v>0</v>
      </c>
      <c r="F55" s="82"/>
      <c r="G55" s="85"/>
      <c r="H55" s="16"/>
      <c r="I55" s="12">
        <f t="shared" si="21"/>
        <v>0</v>
      </c>
      <c r="J55" s="16"/>
      <c r="K55" s="45"/>
      <c r="L55" s="82"/>
      <c r="M55" s="12">
        <f t="shared" si="22"/>
        <v>0</v>
      </c>
      <c r="N55" s="13">
        <f t="shared" si="23"/>
        <v>0</v>
      </c>
      <c r="O55" s="15"/>
      <c r="P55" s="9" t="s">
        <v>7</v>
      </c>
      <c r="Q55" s="16"/>
      <c r="R55" s="45"/>
      <c r="S55" s="16"/>
      <c r="T55" s="12">
        <f t="shared" si="24"/>
        <v>0</v>
      </c>
      <c r="U55" s="69"/>
      <c r="V55" s="91"/>
      <c r="W55" s="69"/>
      <c r="X55" s="12">
        <f t="shared" si="25"/>
        <v>0</v>
      </c>
      <c r="Y55" s="82"/>
      <c r="Z55" s="45"/>
      <c r="AA55" s="82"/>
      <c r="AB55" s="12">
        <f t="shared" si="26"/>
        <v>0</v>
      </c>
      <c r="AC55" s="13">
        <f t="shared" si="30"/>
        <v>0</v>
      </c>
      <c r="AD55" s="15"/>
    </row>
    <row r="56" spans="1:30" x14ac:dyDescent="0.15">
      <c r="A56" s="9" t="s">
        <v>7</v>
      </c>
      <c r="B56" s="16"/>
      <c r="C56" s="45"/>
      <c r="D56" s="82"/>
      <c r="E56" s="12">
        <f t="shared" si="20"/>
        <v>0</v>
      </c>
      <c r="F56" s="82"/>
      <c r="G56" s="85"/>
      <c r="H56" s="16"/>
      <c r="I56" s="12">
        <f t="shared" si="21"/>
        <v>0</v>
      </c>
      <c r="J56" s="16"/>
      <c r="K56" s="45"/>
      <c r="L56" s="82"/>
      <c r="M56" s="12">
        <f t="shared" si="22"/>
        <v>0</v>
      </c>
      <c r="N56" s="13">
        <f t="shared" si="23"/>
        <v>0</v>
      </c>
      <c r="O56" s="15"/>
      <c r="P56" s="9" t="s">
        <v>7</v>
      </c>
      <c r="Q56" s="16"/>
      <c r="R56" s="45"/>
      <c r="S56" s="16"/>
      <c r="T56" s="12">
        <f t="shared" si="24"/>
        <v>0</v>
      </c>
      <c r="U56" s="69"/>
      <c r="V56" s="91"/>
      <c r="W56" s="69"/>
      <c r="X56" s="12">
        <f t="shared" si="25"/>
        <v>0</v>
      </c>
      <c r="Y56" s="82"/>
      <c r="Z56" s="45"/>
      <c r="AA56" s="82"/>
      <c r="AB56" s="12">
        <f t="shared" si="26"/>
        <v>0</v>
      </c>
      <c r="AC56" s="13">
        <f t="shared" si="30"/>
        <v>0</v>
      </c>
      <c r="AD56" s="15"/>
    </row>
    <row r="57" spans="1:30" ht="14.25" thickBot="1" x14ac:dyDescent="0.2">
      <c r="A57" s="17" t="s">
        <v>32</v>
      </c>
      <c r="B57" s="18"/>
      <c r="C57" s="46">
        <v>-1</v>
      </c>
      <c r="D57" s="83"/>
      <c r="E57" s="19">
        <f t="shared" si="20"/>
        <v>-1</v>
      </c>
      <c r="F57" s="83">
        <v>1</v>
      </c>
      <c r="G57" s="86"/>
      <c r="H57" s="18"/>
      <c r="I57" s="19">
        <f t="shared" si="21"/>
        <v>1</v>
      </c>
      <c r="J57" s="18">
        <v>-2</v>
      </c>
      <c r="K57" s="46">
        <v>-1</v>
      </c>
      <c r="L57" s="83"/>
      <c r="M57" s="19">
        <f t="shared" si="22"/>
        <v>-3</v>
      </c>
      <c r="N57" s="20">
        <f t="shared" si="23"/>
        <v>-3</v>
      </c>
      <c r="P57" s="17" t="s">
        <v>7</v>
      </c>
      <c r="Q57" s="18"/>
      <c r="R57" s="46"/>
      <c r="S57" s="18"/>
      <c r="T57" s="19">
        <f t="shared" si="24"/>
        <v>0</v>
      </c>
      <c r="U57" s="70"/>
      <c r="V57" s="92"/>
      <c r="W57" s="70"/>
      <c r="X57" s="19">
        <f t="shared" si="25"/>
        <v>0</v>
      </c>
      <c r="Y57" s="83"/>
      <c r="Z57" s="46"/>
      <c r="AA57" s="83"/>
      <c r="AB57" s="19">
        <f t="shared" si="26"/>
        <v>0</v>
      </c>
      <c r="AC57" s="20">
        <f t="shared" si="30"/>
        <v>0</v>
      </c>
    </row>
    <row r="58" spans="1:30" ht="14.25" thickBot="1" x14ac:dyDescent="0.2">
      <c r="A58" s="21" t="s">
        <v>8</v>
      </c>
      <c r="B58" s="22">
        <f>SUM(B47:B57)</f>
        <v>8</v>
      </c>
      <c r="C58" s="47">
        <f>SUM(C47:C57)</f>
        <v>6</v>
      </c>
      <c r="D58" s="40">
        <f>SUM(D47:D57)</f>
        <v>4</v>
      </c>
      <c r="E58" s="23">
        <f t="shared" si="20"/>
        <v>18</v>
      </c>
      <c r="F58" s="22">
        <f>SUM(F47:F57)</f>
        <v>8</v>
      </c>
      <c r="G58" s="47">
        <f>SUM(G47:G57)</f>
        <v>6</v>
      </c>
      <c r="H58" s="40">
        <f>SUM(H47:H57)</f>
        <v>6</v>
      </c>
      <c r="I58" s="23">
        <f t="shared" si="21"/>
        <v>20</v>
      </c>
      <c r="J58" s="22">
        <f>SUM(J47:J57)</f>
        <v>3</v>
      </c>
      <c r="K58" s="47">
        <f>SUM(K47:K57)</f>
        <v>3</v>
      </c>
      <c r="L58" s="40">
        <f>SUM(L47:L57)</f>
        <v>3</v>
      </c>
      <c r="M58" s="23">
        <f t="shared" si="22"/>
        <v>9</v>
      </c>
      <c r="N58" s="24">
        <f t="shared" si="23"/>
        <v>47</v>
      </c>
      <c r="P58" s="21" t="s">
        <v>8</v>
      </c>
      <c r="Q58" s="22">
        <f>SUM(Q47:Q57)</f>
        <v>11</v>
      </c>
      <c r="R58" s="47">
        <f>SUM(R47:R57)</f>
        <v>4</v>
      </c>
      <c r="S58" s="40">
        <f>SUM(S47:S57)</f>
        <v>5</v>
      </c>
      <c r="T58" s="23">
        <f t="shared" si="24"/>
        <v>20</v>
      </c>
      <c r="U58" s="22">
        <f>SUM(U47:U57)</f>
        <v>8</v>
      </c>
      <c r="V58" s="47">
        <f>SUM(V47:V57)</f>
        <v>4</v>
      </c>
      <c r="W58" s="40">
        <f>SUM(W47:W57)</f>
        <v>4</v>
      </c>
      <c r="X58" s="23">
        <f t="shared" si="25"/>
        <v>16</v>
      </c>
      <c r="Y58" s="22">
        <f>SUM(Y47:Y57)</f>
        <v>7</v>
      </c>
      <c r="Z58" s="47">
        <f>SUM(Z47:Z57)</f>
        <v>5</v>
      </c>
      <c r="AA58" s="40">
        <f>SUM(AA47:AA57)</f>
        <v>5</v>
      </c>
      <c r="AB58" s="23">
        <f t="shared" si="26"/>
        <v>17</v>
      </c>
      <c r="AC58" s="24">
        <f t="shared" si="30"/>
        <v>53</v>
      </c>
    </row>
    <row r="59" spans="1:30" x14ac:dyDescent="0.15">
      <c r="A59" s="25" t="s">
        <v>28</v>
      </c>
      <c r="B59" s="26"/>
      <c r="C59" s="48"/>
      <c r="D59" s="27"/>
      <c r="E59" s="12">
        <f t="shared" si="20"/>
        <v>0</v>
      </c>
      <c r="F59" s="26">
        <v>1</v>
      </c>
      <c r="G59" s="48"/>
      <c r="H59" s="27"/>
      <c r="I59" s="12">
        <f t="shared" si="21"/>
        <v>1</v>
      </c>
      <c r="J59" s="26"/>
      <c r="K59" s="48"/>
      <c r="L59" s="27"/>
      <c r="M59" s="12">
        <f t="shared" si="22"/>
        <v>0</v>
      </c>
      <c r="N59" s="13">
        <f t="shared" si="23"/>
        <v>1</v>
      </c>
      <c r="O59" s="15">
        <v>44771</v>
      </c>
      <c r="P59" s="36" t="s">
        <v>28</v>
      </c>
      <c r="Q59" s="26">
        <v>2</v>
      </c>
      <c r="R59" s="48"/>
      <c r="S59" s="27"/>
      <c r="T59" s="12">
        <f t="shared" si="24"/>
        <v>2</v>
      </c>
      <c r="U59" s="26"/>
      <c r="V59" s="48"/>
      <c r="W59" s="27"/>
      <c r="X59" s="12">
        <f t="shared" si="25"/>
        <v>0</v>
      </c>
      <c r="Y59" s="26"/>
      <c r="Z59" s="48"/>
      <c r="AA59" s="27"/>
      <c r="AB59" s="12">
        <f t="shared" si="26"/>
        <v>0</v>
      </c>
      <c r="AC59" s="13">
        <f t="shared" si="30"/>
        <v>2</v>
      </c>
      <c r="AD59" s="15">
        <v>44747</v>
      </c>
    </row>
    <row r="60" spans="1:30" x14ac:dyDescent="0.15">
      <c r="A60" s="25" t="s">
        <v>28</v>
      </c>
      <c r="B60" s="29">
        <v>1</v>
      </c>
      <c r="C60" s="45">
        <v>2</v>
      </c>
      <c r="D60" s="16"/>
      <c r="E60" s="12">
        <f t="shared" si="20"/>
        <v>3</v>
      </c>
      <c r="F60" s="29"/>
      <c r="G60" s="45"/>
      <c r="H60" s="16"/>
      <c r="I60" s="12">
        <f t="shared" si="21"/>
        <v>0</v>
      </c>
      <c r="J60" s="29"/>
      <c r="K60" s="45"/>
      <c r="L60" s="16"/>
      <c r="M60" s="12">
        <f t="shared" si="22"/>
        <v>0</v>
      </c>
      <c r="N60" s="13">
        <f t="shared" si="23"/>
        <v>3</v>
      </c>
      <c r="O60" s="15">
        <v>44774</v>
      </c>
      <c r="P60" s="36" t="s">
        <v>28</v>
      </c>
      <c r="Q60" s="29"/>
      <c r="R60" s="45"/>
      <c r="S60" s="16"/>
      <c r="T60" s="12">
        <f t="shared" si="24"/>
        <v>0</v>
      </c>
      <c r="U60" s="29"/>
      <c r="V60" s="45"/>
      <c r="W60" s="16">
        <v>1</v>
      </c>
      <c r="X60" s="12">
        <f t="shared" si="25"/>
        <v>1</v>
      </c>
      <c r="Y60" s="29"/>
      <c r="Z60" s="45"/>
      <c r="AA60" s="16">
        <v>1</v>
      </c>
      <c r="AB60" s="12">
        <f t="shared" si="26"/>
        <v>1</v>
      </c>
      <c r="AC60" s="13">
        <f t="shared" si="30"/>
        <v>2</v>
      </c>
      <c r="AD60" s="15">
        <v>44748</v>
      </c>
    </row>
    <row r="61" spans="1:30" x14ac:dyDescent="0.15">
      <c r="A61" s="25" t="s">
        <v>28</v>
      </c>
      <c r="B61" s="29">
        <v>1</v>
      </c>
      <c r="C61" s="45"/>
      <c r="D61" s="16"/>
      <c r="E61" s="12">
        <f t="shared" si="20"/>
        <v>1</v>
      </c>
      <c r="F61" s="29">
        <v>1</v>
      </c>
      <c r="G61" s="45"/>
      <c r="H61" s="16"/>
      <c r="I61" s="12">
        <f t="shared" si="21"/>
        <v>1</v>
      </c>
      <c r="J61" s="29">
        <v>1</v>
      </c>
      <c r="K61" s="45"/>
      <c r="L61" s="16"/>
      <c r="M61" s="12">
        <f t="shared" si="22"/>
        <v>1</v>
      </c>
      <c r="N61" s="13">
        <f t="shared" si="23"/>
        <v>3</v>
      </c>
      <c r="O61" s="15">
        <v>44781</v>
      </c>
      <c r="P61" s="36" t="s">
        <v>28</v>
      </c>
      <c r="Q61" s="29"/>
      <c r="R61" s="45"/>
      <c r="S61" s="16"/>
      <c r="T61" s="12">
        <f t="shared" si="24"/>
        <v>0</v>
      </c>
      <c r="U61" s="29"/>
      <c r="V61" s="45"/>
      <c r="W61" s="16"/>
      <c r="X61" s="12">
        <f t="shared" si="25"/>
        <v>0</v>
      </c>
      <c r="Y61" s="29">
        <v>1</v>
      </c>
      <c r="Z61" s="45"/>
      <c r="AA61" s="16"/>
      <c r="AB61" s="12">
        <f t="shared" si="26"/>
        <v>1</v>
      </c>
      <c r="AC61" s="13">
        <f t="shared" si="30"/>
        <v>1</v>
      </c>
      <c r="AD61" s="15">
        <v>44753</v>
      </c>
    </row>
    <row r="62" spans="1:30" x14ac:dyDescent="0.15">
      <c r="A62" s="25" t="s">
        <v>28</v>
      </c>
      <c r="B62" s="29"/>
      <c r="C62" s="45"/>
      <c r="D62" s="16">
        <v>1</v>
      </c>
      <c r="E62" s="12">
        <f t="shared" si="20"/>
        <v>1</v>
      </c>
      <c r="F62" s="29"/>
      <c r="G62" s="45"/>
      <c r="H62" s="16">
        <v>1</v>
      </c>
      <c r="I62" s="12">
        <f t="shared" si="21"/>
        <v>1</v>
      </c>
      <c r="J62" s="29"/>
      <c r="K62" s="45"/>
      <c r="L62" s="16">
        <v>1</v>
      </c>
      <c r="M62" s="12">
        <f t="shared" si="22"/>
        <v>1</v>
      </c>
      <c r="N62" s="13">
        <f t="shared" si="23"/>
        <v>3</v>
      </c>
      <c r="O62" s="15">
        <v>44782</v>
      </c>
      <c r="P62" s="36" t="s">
        <v>28</v>
      </c>
      <c r="Q62" s="29"/>
      <c r="R62" s="45"/>
      <c r="S62" s="16"/>
      <c r="T62" s="12">
        <f t="shared" si="24"/>
        <v>0</v>
      </c>
      <c r="U62" s="29">
        <v>1</v>
      </c>
      <c r="V62" s="45"/>
      <c r="W62" s="16"/>
      <c r="X62" s="12">
        <f t="shared" si="25"/>
        <v>1</v>
      </c>
      <c r="Y62" s="29"/>
      <c r="Z62" s="45"/>
      <c r="AA62" s="16"/>
      <c r="AB62" s="12">
        <f t="shared" si="26"/>
        <v>0</v>
      </c>
      <c r="AC62" s="13">
        <f t="shared" si="30"/>
        <v>1</v>
      </c>
      <c r="AD62" s="15">
        <v>44757</v>
      </c>
    </row>
    <row r="63" spans="1:30" x14ac:dyDescent="0.15">
      <c r="A63" s="25" t="s">
        <v>28</v>
      </c>
      <c r="B63" s="29"/>
      <c r="C63" s="45"/>
      <c r="D63" s="16"/>
      <c r="E63" s="12">
        <f t="shared" si="20"/>
        <v>0</v>
      </c>
      <c r="F63" s="29"/>
      <c r="G63" s="45">
        <v>2</v>
      </c>
      <c r="H63" s="16"/>
      <c r="I63" s="12">
        <f t="shared" si="21"/>
        <v>2</v>
      </c>
      <c r="J63" s="29"/>
      <c r="K63" s="45"/>
      <c r="L63" s="16"/>
      <c r="M63" s="12">
        <f t="shared" si="22"/>
        <v>0</v>
      </c>
      <c r="N63" s="13">
        <f t="shared" si="23"/>
        <v>2</v>
      </c>
      <c r="O63" s="15">
        <v>44790</v>
      </c>
      <c r="P63" s="36" t="s">
        <v>28</v>
      </c>
      <c r="Q63" s="29"/>
      <c r="R63" s="45"/>
      <c r="S63" s="16"/>
      <c r="T63" s="12">
        <f t="shared" si="24"/>
        <v>0</v>
      </c>
      <c r="U63" s="29">
        <v>1</v>
      </c>
      <c r="V63" s="45"/>
      <c r="W63" s="16"/>
      <c r="X63" s="12">
        <f t="shared" si="25"/>
        <v>1</v>
      </c>
      <c r="Y63" s="29">
        <v>1</v>
      </c>
      <c r="Z63" s="45"/>
      <c r="AA63" s="16"/>
      <c r="AB63" s="12">
        <f t="shared" si="26"/>
        <v>1</v>
      </c>
      <c r="AC63" s="13">
        <f t="shared" si="30"/>
        <v>2</v>
      </c>
      <c r="AD63" s="15">
        <v>44762</v>
      </c>
    </row>
    <row r="64" spans="1:30" x14ac:dyDescent="0.15">
      <c r="A64" s="25" t="s">
        <v>28</v>
      </c>
      <c r="B64" s="29"/>
      <c r="C64" s="45"/>
      <c r="D64" s="16">
        <v>1</v>
      </c>
      <c r="E64" s="12">
        <f t="shared" si="20"/>
        <v>1</v>
      </c>
      <c r="F64" s="29"/>
      <c r="G64" s="45"/>
      <c r="H64" s="16">
        <v>1</v>
      </c>
      <c r="I64" s="12">
        <f t="shared" si="21"/>
        <v>1</v>
      </c>
      <c r="J64" s="29"/>
      <c r="K64" s="45"/>
      <c r="L64" s="16">
        <v>1</v>
      </c>
      <c r="M64" s="12">
        <f t="shared" si="22"/>
        <v>1</v>
      </c>
      <c r="N64" s="13">
        <f t="shared" si="23"/>
        <v>3</v>
      </c>
      <c r="O64" s="15">
        <v>44795</v>
      </c>
      <c r="P64" s="36" t="s">
        <v>28</v>
      </c>
      <c r="Q64" s="29"/>
      <c r="R64" s="45"/>
      <c r="S64" s="16"/>
      <c r="T64" s="12">
        <f t="shared" si="24"/>
        <v>0</v>
      </c>
      <c r="U64" s="29">
        <v>1</v>
      </c>
      <c r="V64" s="45"/>
      <c r="W64" s="16"/>
      <c r="X64" s="12">
        <f t="shared" si="25"/>
        <v>1</v>
      </c>
      <c r="Y64" s="29"/>
      <c r="Z64" s="45"/>
      <c r="AA64" s="16"/>
      <c r="AB64" s="12">
        <f t="shared" si="26"/>
        <v>0</v>
      </c>
      <c r="AC64" s="13">
        <f t="shared" si="30"/>
        <v>1</v>
      </c>
      <c r="AD64" s="15">
        <v>44767</v>
      </c>
    </row>
    <row r="65" spans="1:30" x14ac:dyDescent="0.15">
      <c r="A65" s="25" t="s">
        <v>28</v>
      </c>
      <c r="B65" s="29"/>
      <c r="C65" s="45">
        <v>1</v>
      </c>
      <c r="D65" s="16"/>
      <c r="E65" s="12">
        <f t="shared" si="20"/>
        <v>1</v>
      </c>
      <c r="F65" s="29"/>
      <c r="G65" s="45">
        <v>1</v>
      </c>
      <c r="H65" s="16"/>
      <c r="I65" s="12">
        <f t="shared" si="21"/>
        <v>1</v>
      </c>
      <c r="J65" s="29"/>
      <c r="K65" s="45">
        <v>1</v>
      </c>
      <c r="L65" s="16"/>
      <c r="M65" s="12">
        <f t="shared" si="22"/>
        <v>1</v>
      </c>
      <c r="N65" s="13">
        <f t="shared" si="23"/>
        <v>3</v>
      </c>
      <c r="O65" s="15">
        <v>44802</v>
      </c>
      <c r="P65" s="36" t="s">
        <v>28</v>
      </c>
      <c r="Q65" s="29">
        <v>1</v>
      </c>
      <c r="R65" s="45"/>
      <c r="S65" s="16"/>
      <c r="T65" s="12">
        <f t="shared" si="24"/>
        <v>1</v>
      </c>
      <c r="U65" s="29">
        <v>1</v>
      </c>
      <c r="V65" s="45"/>
      <c r="W65" s="16"/>
      <c r="X65" s="12">
        <f t="shared" si="25"/>
        <v>1</v>
      </c>
      <c r="Y65" s="29">
        <v>1</v>
      </c>
      <c r="Z65" s="45"/>
      <c r="AA65" s="16"/>
      <c r="AB65" s="12">
        <f t="shared" si="26"/>
        <v>1</v>
      </c>
      <c r="AC65" s="13">
        <f t="shared" si="30"/>
        <v>3</v>
      </c>
      <c r="AD65" s="15">
        <v>44779</v>
      </c>
    </row>
    <row r="66" spans="1:30" x14ac:dyDescent="0.15">
      <c r="A66" s="25" t="s">
        <v>28</v>
      </c>
      <c r="B66" s="29">
        <v>1</v>
      </c>
      <c r="C66" s="45"/>
      <c r="D66" s="16"/>
      <c r="E66" s="12">
        <f t="shared" si="20"/>
        <v>1</v>
      </c>
      <c r="F66" s="29">
        <v>1</v>
      </c>
      <c r="G66" s="45"/>
      <c r="H66" s="16"/>
      <c r="I66" s="12">
        <f t="shared" si="21"/>
        <v>1</v>
      </c>
      <c r="J66" s="29">
        <v>1</v>
      </c>
      <c r="K66" s="45"/>
      <c r="L66" s="16"/>
      <c r="M66" s="12">
        <f t="shared" si="22"/>
        <v>1</v>
      </c>
      <c r="N66" s="13">
        <f t="shared" si="23"/>
        <v>3</v>
      </c>
      <c r="O66" s="15">
        <v>44810</v>
      </c>
      <c r="P66" s="36" t="s">
        <v>28</v>
      </c>
      <c r="Q66" s="29"/>
      <c r="R66" s="45"/>
      <c r="S66" s="16"/>
      <c r="T66" s="12">
        <f t="shared" si="24"/>
        <v>0</v>
      </c>
      <c r="U66" s="29">
        <v>1</v>
      </c>
      <c r="V66" s="45"/>
      <c r="W66" s="16"/>
      <c r="X66" s="12">
        <f t="shared" si="25"/>
        <v>1</v>
      </c>
      <c r="Y66" s="29"/>
      <c r="Z66" s="45"/>
      <c r="AA66" s="16"/>
      <c r="AB66" s="12">
        <f t="shared" si="26"/>
        <v>0</v>
      </c>
      <c r="AC66" s="13">
        <f t="shared" si="30"/>
        <v>1</v>
      </c>
      <c r="AD66" s="15">
        <v>44790</v>
      </c>
    </row>
    <row r="67" spans="1:30" x14ac:dyDescent="0.15">
      <c r="A67" s="25" t="s">
        <v>28</v>
      </c>
      <c r="B67" s="29"/>
      <c r="C67" s="45">
        <v>1</v>
      </c>
      <c r="D67" s="16"/>
      <c r="E67" s="12">
        <f t="shared" si="20"/>
        <v>1</v>
      </c>
      <c r="F67" s="29"/>
      <c r="G67" s="45">
        <v>1</v>
      </c>
      <c r="H67" s="16"/>
      <c r="I67" s="12">
        <f t="shared" si="21"/>
        <v>1</v>
      </c>
      <c r="J67" s="29"/>
      <c r="K67" s="45">
        <v>1</v>
      </c>
      <c r="L67" s="16">
        <v>1</v>
      </c>
      <c r="M67" s="12">
        <f t="shared" si="22"/>
        <v>2</v>
      </c>
      <c r="N67" s="13">
        <f t="shared" si="23"/>
        <v>4</v>
      </c>
      <c r="O67" s="15">
        <v>44816</v>
      </c>
      <c r="P67" s="36" t="s">
        <v>28</v>
      </c>
      <c r="Q67" s="29"/>
      <c r="R67" s="45"/>
      <c r="S67" s="16">
        <v>1</v>
      </c>
      <c r="T67" s="12">
        <f t="shared" si="24"/>
        <v>1</v>
      </c>
      <c r="U67" s="29"/>
      <c r="V67" s="45"/>
      <c r="W67" s="16">
        <v>1</v>
      </c>
      <c r="X67" s="12">
        <f t="shared" si="25"/>
        <v>1</v>
      </c>
      <c r="Y67" s="29"/>
      <c r="Z67" s="45"/>
      <c r="AA67" s="16">
        <v>1</v>
      </c>
      <c r="AB67" s="12">
        <f t="shared" si="26"/>
        <v>1</v>
      </c>
      <c r="AC67" s="13">
        <f t="shared" si="30"/>
        <v>3</v>
      </c>
      <c r="AD67" s="15">
        <v>44793</v>
      </c>
    </row>
    <row r="68" spans="1:30" x14ac:dyDescent="0.15">
      <c r="A68" s="25" t="s">
        <v>28</v>
      </c>
      <c r="B68" s="29"/>
      <c r="C68" s="45"/>
      <c r="D68" s="16"/>
      <c r="E68" s="12">
        <f t="shared" si="20"/>
        <v>0</v>
      </c>
      <c r="F68" s="29"/>
      <c r="G68" s="45">
        <v>1</v>
      </c>
      <c r="H68" s="16"/>
      <c r="I68" s="12">
        <f t="shared" si="21"/>
        <v>1</v>
      </c>
      <c r="J68" s="29"/>
      <c r="K68" s="45"/>
      <c r="L68" s="16"/>
      <c r="M68" s="12">
        <f t="shared" si="22"/>
        <v>0</v>
      </c>
      <c r="N68" s="13">
        <f t="shared" si="23"/>
        <v>1</v>
      </c>
      <c r="O68" s="15">
        <v>44819</v>
      </c>
      <c r="P68" s="36" t="s">
        <v>28</v>
      </c>
      <c r="Q68" s="29">
        <v>1</v>
      </c>
      <c r="R68" s="45"/>
      <c r="S68" s="16"/>
      <c r="T68" s="12">
        <f t="shared" si="24"/>
        <v>1</v>
      </c>
      <c r="U68" s="29">
        <v>1</v>
      </c>
      <c r="V68" s="45"/>
      <c r="W68" s="16"/>
      <c r="X68" s="12">
        <f t="shared" si="25"/>
        <v>1</v>
      </c>
      <c r="Y68" s="29">
        <v>1</v>
      </c>
      <c r="Z68" s="45"/>
      <c r="AA68" s="16"/>
      <c r="AB68" s="12">
        <f t="shared" si="26"/>
        <v>1</v>
      </c>
      <c r="AC68" s="13">
        <f t="shared" si="30"/>
        <v>3</v>
      </c>
      <c r="AD68" s="15">
        <v>44795</v>
      </c>
    </row>
    <row r="69" spans="1:30" x14ac:dyDescent="0.15">
      <c r="A69" s="25" t="s">
        <v>28</v>
      </c>
      <c r="B69" s="29">
        <v>1</v>
      </c>
      <c r="C69" s="45"/>
      <c r="D69" s="16"/>
      <c r="E69" s="12">
        <f t="shared" si="20"/>
        <v>1</v>
      </c>
      <c r="F69" s="29">
        <v>1</v>
      </c>
      <c r="G69" s="45"/>
      <c r="H69" s="16"/>
      <c r="I69" s="12">
        <f t="shared" si="21"/>
        <v>1</v>
      </c>
      <c r="J69" s="29">
        <v>1</v>
      </c>
      <c r="K69" s="45"/>
      <c r="L69" s="16"/>
      <c r="M69" s="12">
        <f t="shared" si="22"/>
        <v>1</v>
      </c>
      <c r="N69" s="13">
        <f t="shared" si="23"/>
        <v>3</v>
      </c>
      <c r="O69" s="15">
        <v>44845</v>
      </c>
      <c r="P69" s="36" t="s">
        <v>28</v>
      </c>
      <c r="Q69" s="29"/>
      <c r="R69" s="45"/>
      <c r="S69" s="16"/>
      <c r="T69" s="12">
        <f t="shared" si="24"/>
        <v>0</v>
      </c>
      <c r="U69" s="29"/>
      <c r="V69" s="45"/>
      <c r="W69" s="16">
        <v>2</v>
      </c>
      <c r="X69" s="12">
        <f t="shared" si="25"/>
        <v>2</v>
      </c>
      <c r="Y69" s="29"/>
      <c r="Z69" s="45"/>
      <c r="AA69" s="16">
        <v>1</v>
      </c>
      <c r="AB69" s="12">
        <f t="shared" si="26"/>
        <v>1</v>
      </c>
      <c r="AC69" s="13">
        <f t="shared" si="30"/>
        <v>3</v>
      </c>
      <c r="AD69" s="15">
        <v>44798</v>
      </c>
    </row>
    <row r="70" spans="1:30" x14ac:dyDescent="0.15">
      <c r="A70" s="25" t="s">
        <v>28</v>
      </c>
      <c r="B70" s="29"/>
      <c r="C70" s="45"/>
      <c r="D70" s="16"/>
      <c r="E70" s="39">
        <f t="shared" si="20"/>
        <v>0</v>
      </c>
      <c r="F70" s="29"/>
      <c r="G70" s="45"/>
      <c r="H70" s="16">
        <v>1</v>
      </c>
      <c r="I70" s="39">
        <f t="shared" si="21"/>
        <v>1</v>
      </c>
      <c r="J70" s="29"/>
      <c r="K70" s="45"/>
      <c r="L70" s="16"/>
      <c r="M70" s="39">
        <f t="shared" si="22"/>
        <v>0</v>
      </c>
      <c r="N70" s="13">
        <f t="shared" si="23"/>
        <v>1</v>
      </c>
      <c r="O70" s="15">
        <v>44866</v>
      </c>
      <c r="P70" s="36" t="s">
        <v>28</v>
      </c>
      <c r="Q70" s="29"/>
      <c r="R70" s="45"/>
      <c r="S70" s="16">
        <v>1</v>
      </c>
      <c r="T70" s="39">
        <f t="shared" si="24"/>
        <v>1</v>
      </c>
      <c r="U70" s="29"/>
      <c r="V70" s="45"/>
      <c r="W70" s="16"/>
      <c r="X70" s="39">
        <f t="shared" si="25"/>
        <v>0</v>
      </c>
      <c r="Y70" s="29"/>
      <c r="Z70" s="45"/>
      <c r="AA70" s="16"/>
      <c r="AB70" s="39">
        <f t="shared" si="26"/>
        <v>0</v>
      </c>
      <c r="AC70" s="13">
        <f t="shared" si="30"/>
        <v>1</v>
      </c>
      <c r="AD70" s="15">
        <v>44799</v>
      </c>
    </row>
    <row r="71" spans="1:30" x14ac:dyDescent="0.15">
      <c r="A71" s="25" t="s">
        <v>28</v>
      </c>
      <c r="B71" s="29"/>
      <c r="C71" s="45">
        <v>1</v>
      </c>
      <c r="D71" s="16"/>
      <c r="E71" s="12">
        <f t="shared" si="20"/>
        <v>1</v>
      </c>
      <c r="F71" s="29"/>
      <c r="G71" s="45"/>
      <c r="H71" s="16"/>
      <c r="I71" s="12">
        <f t="shared" si="21"/>
        <v>0</v>
      </c>
      <c r="J71" s="29"/>
      <c r="K71" s="45"/>
      <c r="L71" s="16"/>
      <c r="M71" s="12">
        <f t="shared" si="22"/>
        <v>0</v>
      </c>
      <c r="N71" s="13">
        <f t="shared" si="23"/>
        <v>1</v>
      </c>
      <c r="O71" s="15">
        <v>44872</v>
      </c>
      <c r="P71" s="36" t="s">
        <v>28</v>
      </c>
      <c r="Q71" s="29"/>
      <c r="R71" s="45"/>
      <c r="S71" s="16"/>
      <c r="T71" s="12">
        <f t="shared" si="24"/>
        <v>0</v>
      </c>
      <c r="U71" s="29">
        <v>1</v>
      </c>
      <c r="V71" s="45"/>
      <c r="W71" s="16"/>
      <c r="X71" s="12">
        <f t="shared" si="25"/>
        <v>1</v>
      </c>
      <c r="Y71" s="29">
        <v>1</v>
      </c>
      <c r="Z71" s="45"/>
      <c r="AA71" s="16"/>
      <c r="AB71" s="12">
        <f t="shared" si="26"/>
        <v>1</v>
      </c>
      <c r="AC71" s="13">
        <f t="shared" si="30"/>
        <v>2</v>
      </c>
      <c r="AD71" s="15">
        <v>44810</v>
      </c>
    </row>
    <row r="72" spans="1:30" x14ac:dyDescent="0.15">
      <c r="A72" s="25" t="s">
        <v>28</v>
      </c>
      <c r="B72" s="29"/>
      <c r="C72" s="45"/>
      <c r="D72" s="16"/>
      <c r="E72" s="12">
        <f t="shared" si="20"/>
        <v>0</v>
      </c>
      <c r="F72" s="29">
        <v>1</v>
      </c>
      <c r="G72" s="45"/>
      <c r="H72" s="16"/>
      <c r="I72" s="12">
        <f t="shared" si="21"/>
        <v>1</v>
      </c>
      <c r="J72" s="29"/>
      <c r="K72" s="45"/>
      <c r="L72" s="16"/>
      <c r="M72" s="12">
        <f t="shared" si="22"/>
        <v>0</v>
      </c>
      <c r="N72" s="13">
        <f t="shared" si="23"/>
        <v>1</v>
      </c>
      <c r="O72" s="15">
        <v>44963</v>
      </c>
      <c r="P72" s="36" t="s">
        <v>28</v>
      </c>
      <c r="Q72" s="29"/>
      <c r="R72" s="45"/>
      <c r="S72" s="16"/>
      <c r="T72" s="12">
        <f t="shared" si="24"/>
        <v>0</v>
      </c>
      <c r="U72" s="29">
        <v>1</v>
      </c>
      <c r="V72" s="45"/>
      <c r="W72" s="16"/>
      <c r="X72" s="12">
        <f t="shared" si="25"/>
        <v>1</v>
      </c>
      <c r="Y72" s="29"/>
      <c r="Z72" s="45"/>
      <c r="AA72" s="16"/>
      <c r="AB72" s="12">
        <f t="shared" si="26"/>
        <v>0</v>
      </c>
      <c r="AC72" s="13">
        <f t="shared" si="30"/>
        <v>1</v>
      </c>
      <c r="AD72" s="15">
        <v>44816</v>
      </c>
    </row>
    <row r="73" spans="1:30" x14ac:dyDescent="0.15">
      <c r="A73" s="25" t="s">
        <v>28</v>
      </c>
      <c r="B73" s="28"/>
      <c r="C73" s="45"/>
      <c r="D73" s="16"/>
      <c r="E73" s="12">
        <f t="shared" si="20"/>
        <v>0</v>
      </c>
      <c r="F73" s="28"/>
      <c r="G73" s="45"/>
      <c r="H73" s="16">
        <v>1</v>
      </c>
      <c r="I73" s="12">
        <f t="shared" si="21"/>
        <v>1</v>
      </c>
      <c r="J73" s="28"/>
      <c r="K73" s="45"/>
      <c r="L73" s="16"/>
      <c r="M73" s="12">
        <f t="shared" si="22"/>
        <v>0</v>
      </c>
      <c r="N73" s="13">
        <f t="shared" si="23"/>
        <v>1</v>
      </c>
      <c r="O73" s="15">
        <v>44973</v>
      </c>
      <c r="P73" s="36" t="s">
        <v>28</v>
      </c>
      <c r="Q73" s="29"/>
      <c r="R73" s="45">
        <v>1</v>
      </c>
      <c r="S73" s="16"/>
      <c r="T73" s="12">
        <f t="shared" si="24"/>
        <v>1</v>
      </c>
      <c r="U73" s="28"/>
      <c r="V73" s="45">
        <v>1</v>
      </c>
      <c r="W73" s="16"/>
      <c r="X73" s="12">
        <f t="shared" si="25"/>
        <v>1</v>
      </c>
      <c r="Y73" s="28"/>
      <c r="Z73" s="45">
        <v>1</v>
      </c>
      <c r="AA73" s="16"/>
      <c r="AB73" s="12">
        <f t="shared" si="26"/>
        <v>1</v>
      </c>
      <c r="AC73" s="13">
        <f t="shared" si="30"/>
        <v>3</v>
      </c>
      <c r="AD73" s="15">
        <v>44820</v>
      </c>
    </row>
    <row r="74" spans="1:30" x14ac:dyDescent="0.15">
      <c r="A74" s="25" t="s">
        <v>28</v>
      </c>
      <c r="B74" s="28"/>
      <c r="C74" s="45"/>
      <c r="D74" s="16">
        <v>1</v>
      </c>
      <c r="E74" s="12">
        <f t="shared" si="20"/>
        <v>1</v>
      </c>
      <c r="F74" s="28"/>
      <c r="G74" s="45"/>
      <c r="H74" s="16"/>
      <c r="I74" s="12">
        <f t="shared" si="21"/>
        <v>0</v>
      </c>
      <c r="J74" s="28"/>
      <c r="K74" s="45">
        <v>1</v>
      </c>
      <c r="L74" s="16"/>
      <c r="M74" s="12">
        <f t="shared" si="22"/>
        <v>1</v>
      </c>
      <c r="N74" s="13">
        <f t="shared" si="23"/>
        <v>2</v>
      </c>
      <c r="O74" s="15">
        <v>45021</v>
      </c>
      <c r="P74" s="36" t="s">
        <v>28</v>
      </c>
      <c r="Q74" s="29"/>
      <c r="R74" s="45"/>
      <c r="S74" s="16"/>
      <c r="T74" s="12">
        <f t="shared" si="24"/>
        <v>0</v>
      </c>
      <c r="U74" s="28"/>
      <c r="V74" s="45"/>
      <c r="W74" s="16"/>
      <c r="X74" s="12">
        <f t="shared" si="25"/>
        <v>0</v>
      </c>
      <c r="Y74" s="28"/>
      <c r="Z74" s="45"/>
      <c r="AA74" s="16">
        <v>1</v>
      </c>
      <c r="AB74" s="12">
        <f t="shared" si="26"/>
        <v>1</v>
      </c>
      <c r="AC74" s="13">
        <f t="shared" si="30"/>
        <v>1</v>
      </c>
      <c r="AD74" s="15">
        <v>44825</v>
      </c>
    </row>
    <row r="75" spans="1:30" x14ac:dyDescent="0.15">
      <c r="A75" s="25" t="s">
        <v>28</v>
      </c>
      <c r="B75" s="29"/>
      <c r="C75" s="45"/>
      <c r="D75" s="16"/>
      <c r="E75" s="12">
        <f t="shared" si="20"/>
        <v>0</v>
      </c>
      <c r="F75" s="29"/>
      <c r="G75" s="45"/>
      <c r="H75" s="16">
        <v>2</v>
      </c>
      <c r="I75" s="12">
        <f t="shared" si="21"/>
        <v>2</v>
      </c>
      <c r="J75" s="29"/>
      <c r="K75" s="45"/>
      <c r="L75" s="16"/>
      <c r="M75" s="12">
        <f t="shared" si="22"/>
        <v>0</v>
      </c>
      <c r="N75" s="13">
        <f t="shared" si="23"/>
        <v>2</v>
      </c>
      <c r="O75" s="15">
        <v>45026</v>
      </c>
      <c r="P75" s="36" t="s">
        <v>28</v>
      </c>
      <c r="Q75" s="29"/>
      <c r="R75" s="45"/>
      <c r="S75" s="16"/>
      <c r="T75" s="12">
        <f t="shared" si="24"/>
        <v>0</v>
      </c>
      <c r="U75" s="29"/>
      <c r="V75" s="45">
        <v>1</v>
      </c>
      <c r="W75" s="16"/>
      <c r="X75" s="12">
        <f t="shared" si="25"/>
        <v>1</v>
      </c>
      <c r="Y75" s="29"/>
      <c r="Z75" s="45">
        <v>1</v>
      </c>
      <c r="AA75" s="16">
        <v>1</v>
      </c>
      <c r="AB75" s="12">
        <f t="shared" si="26"/>
        <v>2</v>
      </c>
      <c r="AC75" s="13">
        <f t="shared" si="30"/>
        <v>3</v>
      </c>
      <c r="AD75" s="15">
        <v>44833</v>
      </c>
    </row>
    <row r="76" spans="1:30" x14ac:dyDescent="0.15">
      <c r="A76" s="25" t="s">
        <v>28</v>
      </c>
      <c r="B76" s="29"/>
      <c r="C76" s="45"/>
      <c r="D76" s="16"/>
      <c r="E76" s="12">
        <f t="shared" si="20"/>
        <v>0</v>
      </c>
      <c r="F76" s="29">
        <v>1</v>
      </c>
      <c r="G76" s="45"/>
      <c r="H76" s="16"/>
      <c r="I76" s="12">
        <f t="shared" si="21"/>
        <v>1</v>
      </c>
      <c r="J76" s="29"/>
      <c r="K76" s="45"/>
      <c r="L76" s="16"/>
      <c r="M76" s="12">
        <f t="shared" si="22"/>
        <v>0</v>
      </c>
      <c r="N76" s="13">
        <f t="shared" si="23"/>
        <v>1</v>
      </c>
      <c r="O76" s="15">
        <v>45071</v>
      </c>
      <c r="P76" s="36" t="s">
        <v>28</v>
      </c>
      <c r="Q76" s="29"/>
      <c r="R76" s="45"/>
      <c r="S76" s="16"/>
      <c r="T76" s="12">
        <f t="shared" si="24"/>
        <v>0</v>
      </c>
      <c r="U76" s="29"/>
      <c r="V76" s="45"/>
      <c r="W76" s="16"/>
      <c r="X76" s="12">
        <f t="shared" si="25"/>
        <v>0</v>
      </c>
      <c r="Y76" s="29"/>
      <c r="Z76" s="45">
        <v>1</v>
      </c>
      <c r="AA76" s="16"/>
      <c r="AB76" s="12">
        <f t="shared" si="26"/>
        <v>1</v>
      </c>
      <c r="AC76" s="13">
        <f t="shared" si="30"/>
        <v>1</v>
      </c>
      <c r="AD76" s="15">
        <v>44837</v>
      </c>
    </row>
    <row r="77" spans="1:30" x14ac:dyDescent="0.15">
      <c r="A77" s="25" t="s">
        <v>28</v>
      </c>
      <c r="B77" s="29"/>
      <c r="C77" s="45"/>
      <c r="D77" s="16"/>
      <c r="E77" s="12">
        <f t="shared" si="20"/>
        <v>0</v>
      </c>
      <c r="F77" s="29"/>
      <c r="G77" s="45">
        <v>1</v>
      </c>
      <c r="H77" s="16"/>
      <c r="I77" s="12">
        <f t="shared" si="21"/>
        <v>1</v>
      </c>
      <c r="J77" s="29"/>
      <c r="K77" s="45"/>
      <c r="L77" s="16"/>
      <c r="M77" s="12">
        <f t="shared" si="22"/>
        <v>0</v>
      </c>
      <c r="N77" s="13">
        <f t="shared" si="23"/>
        <v>1</v>
      </c>
      <c r="O77" s="15">
        <v>45093</v>
      </c>
      <c r="P77" s="36" t="s">
        <v>28</v>
      </c>
      <c r="Q77" s="29">
        <v>1</v>
      </c>
      <c r="R77" s="45"/>
      <c r="S77" s="16"/>
      <c r="T77" s="12">
        <f t="shared" si="24"/>
        <v>1</v>
      </c>
      <c r="U77" s="29"/>
      <c r="V77" s="45"/>
      <c r="W77" s="16"/>
      <c r="X77" s="12">
        <f t="shared" si="25"/>
        <v>0</v>
      </c>
      <c r="Y77" s="29">
        <v>1</v>
      </c>
      <c r="Z77" s="45"/>
      <c r="AA77" s="16"/>
      <c r="AB77" s="12">
        <f t="shared" si="26"/>
        <v>1</v>
      </c>
      <c r="AC77" s="13">
        <f t="shared" si="30"/>
        <v>2</v>
      </c>
      <c r="AD77" s="15">
        <v>44841</v>
      </c>
    </row>
    <row r="78" spans="1:30" x14ac:dyDescent="0.15">
      <c r="A78" s="25" t="s">
        <v>33</v>
      </c>
      <c r="B78" s="29"/>
      <c r="C78" s="45"/>
      <c r="D78" s="16"/>
      <c r="E78" s="12">
        <f t="shared" si="20"/>
        <v>0</v>
      </c>
      <c r="F78" s="29">
        <v>2</v>
      </c>
      <c r="G78" s="45"/>
      <c r="H78" s="16"/>
      <c r="I78" s="12">
        <f t="shared" si="21"/>
        <v>2</v>
      </c>
      <c r="J78" s="29">
        <v>-2</v>
      </c>
      <c r="K78" s="45"/>
      <c r="L78" s="16"/>
      <c r="M78" s="12">
        <f t="shared" si="22"/>
        <v>-2</v>
      </c>
      <c r="N78" s="13">
        <f t="shared" si="23"/>
        <v>0</v>
      </c>
      <c r="O78" s="15">
        <v>45107</v>
      </c>
      <c r="P78" s="36" t="s">
        <v>28</v>
      </c>
      <c r="Q78" s="29">
        <v>1</v>
      </c>
      <c r="R78" s="45"/>
      <c r="S78" s="16"/>
      <c r="T78" s="12">
        <f t="shared" si="24"/>
        <v>1</v>
      </c>
      <c r="U78" s="28"/>
      <c r="V78" s="45"/>
      <c r="W78" s="16"/>
      <c r="X78" s="12">
        <f t="shared" si="25"/>
        <v>0</v>
      </c>
      <c r="Y78" s="28">
        <v>1</v>
      </c>
      <c r="Z78" s="45"/>
      <c r="AA78" s="16"/>
      <c r="AB78" s="12">
        <f t="shared" si="26"/>
        <v>1</v>
      </c>
      <c r="AC78" s="13">
        <f t="shared" si="30"/>
        <v>2</v>
      </c>
      <c r="AD78" s="15">
        <v>44845</v>
      </c>
    </row>
    <row r="79" spans="1:30" x14ac:dyDescent="0.15">
      <c r="A79" s="11" t="s">
        <v>34</v>
      </c>
      <c r="B79" s="29"/>
      <c r="C79" s="45"/>
      <c r="D79" s="16"/>
      <c r="E79" s="12">
        <f t="shared" si="20"/>
        <v>0</v>
      </c>
      <c r="F79" s="29"/>
      <c r="G79" s="45"/>
      <c r="H79" s="16"/>
      <c r="I79" s="12">
        <f t="shared" si="21"/>
        <v>0</v>
      </c>
      <c r="J79" s="29">
        <v>1</v>
      </c>
      <c r="K79" s="45"/>
      <c r="L79" s="16"/>
      <c r="M79" s="12">
        <f t="shared" si="22"/>
        <v>1</v>
      </c>
      <c r="N79" s="13">
        <f t="shared" si="23"/>
        <v>1</v>
      </c>
      <c r="O79" s="15">
        <v>45107</v>
      </c>
      <c r="P79" s="36" t="s">
        <v>28</v>
      </c>
      <c r="Q79" s="29"/>
      <c r="R79" s="45"/>
      <c r="S79" s="16"/>
      <c r="T79" s="12">
        <f t="shared" si="24"/>
        <v>0</v>
      </c>
      <c r="U79" s="29"/>
      <c r="V79" s="45">
        <v>1</v>
      </c>
      <c r="W79" s="16"/>
      <c r="X79" s="12">
        <f t="shared" si="25"/>
        <v>1</v>
      </c>
      <c r="Y79" s="29"/>
      <c r="Z79" s="45"/>
      <c r="AA79" s="16"/>
      <c r="AB79" s="12">
        <f t="shared" si="26"/>
        <v>0</v>
      </c>
      <c r="AC79" s="13">
        <f t="shared" si="30"/>
        <v>1</v>
      </c>
      <c r="AD79" s="15">
        <v>44858</v>
      </c>
    </row>
    <row r="80" spans="1:30" x14ac:dyDescent="0.15">
      <c r="A80" s="25" t="s">
        <v>35</v>
      </c>
      <c r="B80" s="29"/>
      <c r="C80" s="45"/>
      <c r="D80" s="16"/>
      <c r="E80" s="12">
        <f t="shared" si="20"/>
        <v>0</v>
      </c>
      <c r="F80" s="29">
        <v>-1</v>
      </c>
      <c r="G80" s="45"/>
      <c r="H80" s="16"/>
      <c r="I80" s="12">
        <f t="shared" si="21"/>
        <v>-1</v>
      </c>
      <c r="J80" s="29"/>
      <c r="K80" s="45"/>
      <c r="L80" s="16"/>
      <c r="M80" s="12">
        <f t="shared" si="22"/>
        <v>0</v>
      </c>
      <c r="N80" s="13">
        <f t="shared" si="23"/>
        <v>-1</v>
      </c>
      <c r="O80" s="15">
        <v>45111</v>
      </c>
      <c r="P80" s="36" t="s">
        <v>28</v>
      </c>
      <c r="Q80" s="29">
        <v>1</v>
      </c>
      <c r="R80" s="45"/>
      <c r="S80" s="16"/>
      <c r="T80" s="12">
        <f t="shared" si="24"/>
        <v>1</v>
      </c>
      <c r="U80" s="29"/>
      <c r="V80" s="45"/>
      <c r="W80" s="16"/>
      <c r="X80" s="12">
        <f t="shared" si="25"/>
        <v>0</v>
      </c>
      <c r="Y80" s="29"/>
      <c r="Z80" s="45"/>
      <c r="AA80" s="16"/>
      <c r="AB80" s="12">
        <f t="shared" si="26"/>
        <v>0</v>
      </c>
      <c r="AC80" s="13">
        <f t="shared" si="30"/>
        <v>1</v>
      </c>
      <c r="AD80" s="15">
        <v>44861</v>
      </c>
    </row>
    <row r="81" spans="1:30" x14ac:dyDescent="0.15">
      <c r="A81" s="25" t="s">
        <v>28</v>
      </c>
      <c r="B81" s="29">
        <v>1</v>
      </c>
      <c r="C81" s="45"/>
      <c r="D81" s="16"/>
      <c r="E81" s="12">
        <f t="shared" si="20"/>
        <v>1</v>
      </c>
      <c r="F81" s="29">
        <v>1</v>
      </c>
      <c r="G81" s="45"/>
      <c r="H81" s="16"/>
      <c r="I81" s="12">
        <f t="shared" si="21"/>
        <v>1</v>
      </c>
      <c r="J81" s="29">
        <v>1</v>
      </c>
      <c r="K81" s="45"/>
      <c r="L81" s="16"/>
      <c r="M81" s="12">
        <f t="shared" si="22"/>
        <v>1</v>
      </c>
      <c r="N81" s="13">
        <f t="shared" si="23"/>
        <v>3</v>
      </c>
      <c r="O81" s="15">
        <v>45111</v>
      </c>
      <c r="P81" s="36" t="s">
        <v>28</v>
      </c>
      <c r="Q81" s="29"/>
      <c r="R81" s="45"/>
      <c r="S81" s="16">
        <v>2</v>
      </c>
      <c r="T81" s="12">
        <f t="shared" si="24"/>
        <v>2</v>
      </c>
      <c r="U81" s="29"/>
      <c r="V81" s="45"/>
      <c r="W81" s="16"/>
      <c r="X81" s="12">
        <f t="shared" si="25"/>
        <v>0</v>
      </c>
      <c r="Y81" s="29"/>
      <c r="Z81" s="45"/>
      <c r="AA81" s="16"/>
      <c r="AB81" s="12">
        <f t="shared" si="26"/>
        <v>0</v>
      </c>
      <c r="AC81" s="13">
        <f t="shared" si="30"/>
        <v>2</v>
      </c>
      <c r="AD81" s="15">
        <v>44869</v>
      </c>
    </row>
    <row r="82" spans="1:30" ht="14.25" thickBot="1" x14ac:dyDescent="0.2">
      <c r="A82" s="25" t="s">
        <v>28</v>
      </c>
      <c r="B82" s="29">
        <v>1</v>
      </c>
      <c r="C82" s="45"/>
      <c r="D82" s="16"/>
      <c r="E82" s="12">
        <f t="shared" si="20"/>
        <v>1</v>
      </c>
      <c r="F82" s="29"/>
      <c r="G82" s="45"/>
      <c r="H82" s="16"/>
      <c r="I82" s="12">
        <f t="shared" si="21"/>
        <v>0</v>
      </c>
      <c r="J82" s="29"/>
      <c r="K82" s="45"/>
      <c r="L82" s="16"/>
      <c r="M82" s="12">
        <f t="shared" si="22"/>
        <v>0</v>
      </c>
      <c r="N82" s="20">
        <f t="shared" si="23"/>
        <v>1</v>
      </c>
      <c r="O82" s="15">
        <v>45141</v>
      </c>
      <c r="P82" s="36" t="s">
        <v>28</v>
      </c>
      <c r="Q82" s="29"/>
      <c r="R82" s="45">
        <v>1</v>
      </c>
      <c r="S82" s="16"/>
      <c r="T82" s="12">
        <f t="shared" si="24"/>
        <v>1</v>
      </c>
      <c r="U82" s="29"/>
      <c r="V82" s="45"/>
      <c r="W82" s="16"/>
      <c r="X82" s="12">
        <f t="shared" si="25"/>
        <v>0</v>
      </c>
      <c r="Y82" s="29"/>
      <c r="Z82" s="45">
        <v>1</v>
      </c>
      <c r="AA82" s="16"/>
      <c r="AB82" s="12">
        <f t="shared" si="26"/>
        <v>1</v>
      </c>
      <c r="AC82" s="20">
        <f t="shared" si="30"/>
        <v>2</v>
      </c>
      <c r="AD82" s="15">
        <v>44872</v>
      </c>
    </row>
    <row r="83" spans="1:30" ht="14.25" thickBot="1" x14ac:dyDescent="0.2">
      <c r="A83" s="3" t="s">
        <v>9</v>
      </c>
      <c r="B83" s="22">
        <f>SUM(B59:B82)</f>
        <v>6</v>
      </c>
      <c r="C83" s="47">
        <f t="shared" ref="C83:E83" si="31">SUM(C59:C82)</f>
        <v>5</v>
      </c>
      <c r="D83" s="41">
        <f t="shared" si="31"/>
        <v>3</v>
      </c>
      <c r="E83" s="31">
        <f t="shared" si="31"/>
        <v>14</v>
      </c>
      <c r="F83" s="22">
        <f>SUM(F59:F82)</f>
        <v>8</v>
      </c>
      <c r="G83" s="47">
        <f t="shared" ref="G83:I83" si="32">SUM(G59:G82)</f>
        <v>6</v>
      </c>
      <c r="H83" s="41">
        <f t="shared" si="32"/>
        <v>6</v>
      </c>
      <c r="I83" s="31">
        <f t="shared" si="32"/>
        <v>20</v>
      </c>
      <c r="J83" s="22">
        <f>SUM(J59:J82)</f>
        <v>3</v>
      </c>
      <c r="K83" s="47">
        <f t="shared" ref="K83:M83" si="33">SUM(K59:K82)</f>
        <v>3</v>
      </c>
      <c r="L83" s="41">
        <f t="shared" si="33"/>
        <v>3</v>
      </c>
      <c r="M83" s="31">
        <f t="shared" si="33"/>
        <v>9</v>
      </c>
      <c r="N83" s="24">
        <f t="shared" si="23"/>
        <v>43</v>
      </c>
      <c r="P83" s="3" t="s">
        <v>9</v>
      </c>
      <c r="Q83" s="22">
        <f>SUM(Q59:Q82)</f>
        <v>7</v>
      </c>
      <c r="R83" s="47">
        <f>SUM(R59:R82)</f>
        <v>2</v>
      </c>
      <c r="S83" s="41">
        <f>SUM(S59:S82)</f>
        <v>4</v>
      </c>
      <c r="T83" s="31">
        <f>SUM(T59:T82)</f>
        <v>13</v>
      </c>
      <c r="U83" s="22">
        <f>SUM(U59:U82)</f>
        <v>8</v>
      </c>
      <c r="V83" s="47">
        <f t="shared" ref="V83:X83" si="34">SUM(V59:V82)</f>
        <v>3</v>
      </c>
      <c r="W83" s="41">
        <f t="shared" si="34"/>
        <v>4</v>
      </c>
      <c r="X83" s="31">
        <f t="shared" si="34"/>
        <v>15</v>
      </c>
      <c r="Y83" s="22">
        <f>SUM(Y59:Y82)</f>
        <v>7</v>
      </c>
      <c r="Z83" s="47">
        <f t="shared" ref="Z83:AB83" si="35">SUM(Z59:Z82)</f>
        <v>4</v>
      </c>
      <c r="AA83" s="41">
        <f t="shared" si="35"/>
        <v>5</v>
      </c>
      <c r="AB83" s="31">
        <f t="shared" si="35"/>
        <v>16</v>
      </c>
      <c r="AC83" s="24">
        <f t="shared" si="30"/>
        <v>44</v>
      </c>
    </row>
    <row r="84" spans="1:30" ht="14.25" thickBot="1" x14ac:dyDescent="0.2">
      <c r="A84" s="32" t="s">
        <v>10</v>
      </c>
      <c r="B84" s="33">
        <f>B58-B83</f>
        <v>2</v>
      </c>
      <c r="C84" s="49">
        <f t="shared" ref="C84:E84" si="36">C58-C83</f>
        <v>1</v>
      </c>
      <c r="D84" s="42">
        <f t="shared" si="36"/>
        <v>1</v>
      </c>
      <c r="E84" s="33">
        <f t="shared" si="36"/>
        <v>4</v>
      </c>
      <c r="F84" s="33">
        <f>F58-F83</f>
        <v>0</v>
      </c>
      <c r="G84" s="49">
        <f t="shared" ref="G84:I84" si="37">G58-G83</f>
        <v>0</v>
      </c>
      <c r="H84" s="42">
        <f t="shared" si="37"/>
        <v>0</v>
      </c>
      <c r="I84" s="33">
        <f t="shared" si="37"/>
        <v>0</v>
      </c>
      <c r="J84" s="33">
        <f>J58-J83</f>
        <v>0</v>
      </c>
      <c r="K84" s="49">
        <f t="shared" ref="K84:M84" si="38">K58-K83</f>
        <v>0</v>
      </c>
      <c r="L84" s="42">
        <f t="shared" si="38"/>
        <v>0</v>
      </c>
      <c r="M84" s="33">
        <f t="shared" si="38"/>
        <v>0</v>
      </c>
      <c r="N84" s="24">
        <f t="shared" si="23"/>
        <v>4</v>
      </c>
      <c r="P84" s="32" t="s">
        <v>10</v>
      </c>
      <c r="Q84" s="33">
        <f>Q58-Q83</f>
        <v>4</v>
      </c>
      <c r="R84" s="49">
        <f>R58-R83</f>
        <v>2</v>
      </c>
      <c r="S84" s="42">
        <f>S58-S83</f>
        <v>1</v>
      </c>
      <c r="T84" s="33">
        <f>T58-T83</f>
        <v>7</v>
      </c>
      <c r="U84" s="33">
        <f>U58-U83</f>
        <v>0</v>
      </c>
      <c r="V84" s="49">
        <f t="shared" ref="V84:X84" si="39">V58-V83</f>
        <v>1</v>
      </c>
      <c r="W84" s="42">
        <f t="shared" si="39"/>
        <v>0</v>
      </c>
      <c r="X84" s="33">
        <f t="shared" si="39"/>
        <v>1</v>
      </c>
      <c r="Y84" s="33">
        <f>Y58-Y83</f>
        <v>0</v>
      </c>
      <c r="Z84" s="49">
        <f t="shared" ref="Z84:AB84" si="40">Z58-Z83</f>
        <v>1</v>
      </c>
      <c r="AA84" s="42">
        <f t="shared" si="40"/>
        <v>0</v>
      </c>
      <c r="AB84" s="33">
        <f t="shared" si="40"/>
        <v>1</v>
      </c>
      <c r="AC84" s="24">
        <f t="shared" si="30"/>
        <v>9</v>
      </c>
    </row>
    <row r="86" spans="1:30" x14ac:dyDescent="0.15">
      <c r="AD86">
        <v>630</v>
      </c>
    </row>
    <row r="87" spans="1:30" ht="21.75" thickBot="1" x14ac:dyDescent="0.25">
      <c r="A87" s="34" t="s">
        <v>12</v>
      </c>
      <c r="B87" s="35"/>
      <c r="C87" s="35"/>
      <c r="D87" s="38" t="s">
        <v>51</v>
      </c>
      <c r="E87" s="1"/>
      <c r="F87" s="1"/>
      <c r="G87" s="1"/>
      <c r="H87" s="1"/>
      <c r="I87" s="1"/>
      <c r="J87" s="1"/>
      <c r="K87" s="1"/>
      <c r="L87" s="1"/>
      <c r="M87" s="1"/>
      <c r="O87">
        <v>630</v>
      </c>
      <c r="P87" s="34" t="s">
        <v>12</v>
      </c>
      <c r="Q87" s="35"/>
      <c r="R87" s="35"/>
      <c r="S87" s="35"/>
      <c r="T87" s="37"/>
      <c r="U87" s="35"/>
      <c r="V87" s="35"/>
      <c r="W87" s="35"/>
      <c r="X87" s="37"/>
      <c r="Y87" s="35">
        <v>630</v>
      </c>
      <c r="Z87" s="35"/>
      <c r="AA87" s="38" t="s">
        <v>11</v>
      </c>
      <c r="AB87" s="1"/>
    </row>
    <row r="88" spans="1:30" ht="14.25" thickBot="1" x14ac:dyDescent="0.2">
      <c r="A88" s="2" t="s">
        <v>0</v>
      </c>
      <c r="B88" s="109" t="s">
        <v>15</v>
      </c>
      <c r="C88" s="109"/>
      <c r="D88" s="109"/>
      <c r="E88" s="110"/>
      <c r="F88" s="113" t="s">
        <v>16</v>
      </c>
      <c r="G88" s="113"/>
      <c r="H88" s="113"/>
      <c r="I88" s="114"/>
      <c r="J88" s="111" t="s">
        <v>17</v>
      </c>
      <c r="K88" s="111"/>
      <c r="L88" s="111"/>
      <c r="M88" s="112"/>
      <c r="N88" s="107" t="s">
        <v>14</v>
      </c>
      <c r="P88" s="2" t="s">
        <v>0</v>
      </c>
      <c r="Q88" s="115" t="s">
        <v>13</v>
      </c>
      <c r="R88" s="115"/>
      <c r="S88" s="115"/>
      <c r="T88" s="116"/>
      <c r="U88" s="117" t="s">
        <v>20</v>
      </c>
      <c r="V88" s="117"/>
      <c r="W88" s="117"/>
      <c r="X88" s="118"/>
      <c r="Y88" s="119" t="s">
        <v>21</v>
      </c>
      <c r="Z88" s="119"/>
      <c r="AA88" s="119"/>
      <c r="AB88" s="120"/>
      <c r="AC88" s="107" t="s">
        <v>14</v>
      </c>
    </row>
    <row r="89" spans="1:30" ht="14.25" thickBot="1" x14ac:dyDescent="0.2">
      <c r="A89" s="2" t="s">
        <v>1</v>
      </c>
      <c r="B89" s="3" t="s">
        <v>2</v>
      </c>
      <c r="C89" s="43" t="s">
        <v>3</v>
      </c>
      <c r="D89" s="4" t="s">
        <v>4</v>
      </c>
      <c r="E89" s="2" t="s">
        <v>5</v>
      </c>
      <c r="F89" s="3" t="s">
        <v>2</v>
      </c>
      <c r="G89" s="43" t="s">
        <v>3</v>
      </c>
      <c r="H89" s="4" t="s">
        <v>4</v>
      </c>
      <c r="I89" s="2" t="s">
        <v>5</v>
      </c>
      <c r="J89" s="3" t="s">
        <v>2</v>
      </c>
      <c r="K89" s="43" t="s">
        <v>3</v>
      </c>
      <c r="L89" s="4" t="s">
        <v>4</v>
      </c>
      <c r="M89" s="2" t="s">
        <v>5</v>
      </c>
      <c r="N89" s="108"/>
      <c r="P89" s="2" t="s">
        <v>1</v>
      </c>
      <c r="Q89" s="3" t="s">
        <v>2</v>
      </c>
      <c r="R89" s="43" t="s">
        <v>3</v>
      </c>
      <c r="S89" s="4" t="s">
        <v>4</v>
      </c>
      <c r="T89" s="2" t="s">
        <v>5</v>
      </c>
      <c r="U89" s="3" t="s">
        <v>2</v>
      </c>
      <c r="V89" s="43" t="s">
        <v>3</v>
      </c>
      <c r="W89" s="4" t="s">
        <v>4</v>
      </c>
      <c r="X89" s="2" t="s">
        <v>5</v>
      </c>
      <c r="Y89" s="3" t="s">
        <v>2</v>
      </c>
      <c r="Z89" s="43" t="s">
        <v>3</v>
      </c>
      <c r="AA89" s="4" t="s">
        <v>4</v>
      </c>
      <c r="AB89" s="2" t="s">
        <v>5</v>
      </c>
      <c r="AC89" s="108"/>
    </row>
    <row r="90" spans="1:30" x14ac:dyDescent="0.15">
      <c r="A90" s="5" t="s">
        <v>10</v>
      </c>
      <c r="B90" s="6">
        <f t="shared" ref="B90:M90" si="41">B84</f>
        <v>2</v>
      </c>
      <c r="C90" s="50">
        <f t="shared" si="41"/>
        <v>1</v>
      </c>
      <c r="D90" s="6">
        <f t="shared" si="41"/>
        <v>1</v>
      </c>
      <c r="E90" s="7">
        <f t="shared" si="41"/>
        <v>4</v>
      </c>
      <c r="F90" s="6">
        <f t="shared" si="41"/>
        <v>0</v>
      </c>
      <c r="G90" s="50">
        <f t="shared" si="41"/>
        <v>0</v>
      </c>
      <c r="H90" s="6">
        <f t="shared" si="41"/>
        <v>0</v>
      </c>
      <c r="I90" s="7">
        <f t="shared" si="41"/>
        <v>0</v>
      </c>
      <c r="J90" s="6">
        <f t="shared" si="41"/>
        <v>0</v>
      </c>
      <c r="K90" s="50">
        <f t="shared" si="41"/>
        <v>0</v>
      </c>
      <c r="L90" s="6">
        <f t="shared" si="41"/>
        <v>0</v>
      </c>
      <c r="M90" s="7">
        <f t="shared" si="41"/>
        <v>0</v>
      </c>
      <c r="N90" s="13">
        <f>E90+M90+I90</f>
        <v>4</v>
      </c>
      <c r="P90" s="5" t="s">
        <v>10</v>
      </c>
      <c r="Q90" s="6">
        <f>Q84</f>
        <v>4</v>
      </c>
      <c r="R90" s="50">
        <f>R84</f>
        <v>2</v>
      </c>
      <c r="S90" s="6">
        <f>S84</f>
        <v>1</v>
      </c>
      <c r="T90" s="7">
        <f>T84</f>
        <v>7</v>
      </c>
      <c r="U90" s="6">
        <f>U84</f>
        <v>0</v>
      </c>
      <c r="V90" s="50">
        <f t="shared" ref="V90:AB90" si="42">V84</f>
        <v>1</v>
      </c>
      <c r="W90" s="6">
        <f t="shared" si="42"/>
        <v>0</v>
      </c>
      <c r="X90" s="7">
        <f t="shared" si="42"/>
        <v>1</v>
      </c>
      <c r="Y90" s="6">
        <f t="shared" si="42"/>
        <v>0</v>
      </c>
      <c r="Z90" s="50">
        <f t="shared" si="42"/>
        <v>1</v>
      </c>
      <c r="AA90" s="6">
        <f t="shared" si="42"/>
        <v>0</v>
      </c>
      <c r="AB90" s="7">
        <f t="shared" si="42"/>
        <v>1</v>
      </c>
      <c r="AC90" s="8">
        <f>AC84</f>
        <v>9</v>
      </c>
    </row>
    <row r="91" spans="1:30" x14ac:dyDescent="0.15">
      <c r="A91" s="9" t="s">
        <v>7</v>
      </c>
      <c r="B91" s="16"/>
      <c r="C91" s="45"/>
      <c r="D91" s="16"/>
      <c r="E91" s="12">
        <f t="shared" ref="E91:E95" si="43">SUM(B91:D91)</f>
        <v>0</v>
      </c>
      <c r="F91" s="16"/>
      <c r="G91" s="45"/>
      <c r="H91" s="16"/>
      <c r="I91" s="12">
        <f t="shared" ref="I91:I95" si="44">SUM(F91:H91)</f>
        <v>0</v>
      </c>
      <c r="J91" s="16"/>
      <c r="K91" s="45"/>
      <c r="L91" s="16"/>
      <c r="M91" s="12">
        <f t="shared" ref="M91:M95" si="45">SUM(J91:L91)</f>
        <v>0</v>
      </c>
      <c r="N91" s="13">
        <f t="shared" ref="N91:N127" si="46">E91+M91+I91</f>
        <v>0</v>
      </c>
      <c r="O91" s="15"/>
      <c r="P91" s="9" t="s">
        <v>7</v>
      </c>
      <c r="Q91" s="16"/>
      <c r="R91" s="45"/>
      <c r="S91" s="16"/>
      <c r="T91" s="12">
        <f t="shared" ref="T91:T125" si="47">SUM(Q91:S91)</f>
        <v>0</v>
      </c>
      <c r="U91" s="16"/>
      <c r="V91" s="45"/>
      <c r="W91" s="16"/>
      <c r="X91" s="12">
        <f t="shared" ref="X91:X125" si="48">SUM(U91:W91)</f>
        <v>0</v>
      </c>
      <c r="Y91" s="16"/>
      <c r="Z91" s="45">
        <v>1</v>
      </c>
      <c r="AA91" s="16"/>
      <c r="AB91" s="12">
        <f t="shared" ref="AB91:AB125" si="49">SUM(Y91:AA91)</f>
        <v>1</v>
      </c>
      <c r="AC91" s="13">
        <f t="shared" ref="AC91:AC127" si="50">X91+AB91+T91</f>
        <v>1</v>
      </c>
      <c r="AD91" s="15"/>
    </row>
    <row r="92" spans="1:30" x14ac:dyDescent="0.15">
      <c r="A92" s="9" t="s">
        <v>37</v>
      </c>
      <c r="B92" s="16">
        <v>0</v>
      </c>
      <c r="C92" s="45">
        <v>0</v>
      </c>
      <c r="D92" s="16">
        <v>0</v>
      </c>
      <c r="E92" s="12">
        <f t="shared" si="43"/>
        <v>0</v>
      </c>
      <c r="F92" s="16">
        <v>0</v>
      </c>
      <c r="G92" s="45">
        <v>0</v>
      </c>
      <c r="H92" s="16">
        <v>0</v>
      </c>
      <c r="I92" s="12">
        <f t="shared" si="44"/>
        <v>0</v>
      </c>
      <c r="J92" s="16">
        <v>0</v>
      </c>
      <c r="K92" s="45">
        <v>0</v>
      </c>
      <c r="L92" s="16">
        <v>0</v>
      </c>
      <c r="M92" s="12">
        <f t="shared" si="45"/>
        <v>0</v>
      </c>
      <c r="N92" s="13">
        <f t="shared" si="46"/>
        <v>0</v>
      </c>
      <c r="O92" s="15">
        <v>45161</v>
      </c>
      <c r="P92" s="9" t="s">
        <v>7</v>
      </c>
      <c r="Q92" s="16"/>
      <c r="R92" s="45"/>
      <c r="S92" s="16">
        <v>1</v>
      </c>
      <c r="T92" s="12">
        <f t="shared" si="47"/>
        <v>1</v>
      </c>
      <c r="U92" s="16">
        <v>2</v>
      </c>
      <c r="V92" s="45">
        <v>1</v>
      </c>
      <c r="W92" s="16">
        <v>2</v>
      </c>
      <c r="X92" s="12">
        <f t="shared" si="48"/>
        <v>5</v>
      </c>
      <c r="Y92" s="16">
        <v>2</v>
      </c>
      <c r="Z92" s="45">
        <v>2</v>
      </c>
      <c r="AA92" s="16">
        <v>2</v>
      </c>
      <c r="AB92" s="12">
        <f t="shared" si="49"/>
        <v>6</v>
      </c>
      <c r="AC92" s="13">
        <f t="shared" si="50"/>
        <v>12</v>
      </c>
      <c r="AD92" s="15">
        <v>45111</v>
      </c>
    </row>
    <row r="93" spans="1:30" x14ac:dyDescent="0.15">
      <c r="A93" s="9" t="s">
        <v>7</v>
      </c>
      <c r="B93" s="16">
        <v>2</v>
      </c>
      <c r="C93" s="45">
        <v>3</v>
      </c>
      <c r="D93" s="16">
        <v>3</v>
      </c>
      <c r="E93" s="12">
        <f t="shared" si="43"/>
        <v>8</v>
      </c>
      <c r="F93" s="16">
        <v>3</v>
      </c>
      <c r="G93" s="45">
        <v>3</v>
      </c>
      <c r="H93" s="16">
        <v>3</v>
      </c>
      <c r="I93" s="12">
        <f t="shared" si="44"/>
        <v>9</v>
      </c>
      <c r="J93" s="16">
        <v>3</v>
      </c>
      <c r="K93" s="45">
        <v>3</v>
      </c>
      <c r="L93" s="16">
        <v>3</v>
      </c>
      <c r="M93" s="12">
        <f t="shared" si="45"/>
        <v>9</v>
      </c>
      <c r="N93" s="13">
        <f t="shared" si="46"/>
        <v>26</v>
      </c>
      <c r="O93" s="15">
        <v>45386</v>
      </c>
      <c r="P93" s="9" t="s">
        <v>7</v>
      </c>
      <c r="Q93" s="16">
        <v>2</v>
      </c>
      <c r="R93" s="45">
        <v>3</v>
      </c>
      <c r="S93" s="16"/>
      <c r="T93" s="12">
        <f t="shared" si="47"/>
        <v>5</v>
      </c>
      <c r="U93" s="16">
        <v>2</v>
      </c>
      <c r="V93" s="45">
        <v>3</v>
      </c>
      <c r="W93" s="16"/>
      <c r="X93" s="12">
        <f t="shared" si="48"/>
        <v>5</v>
      </c>
      <c r="Y93" s="16">
        <v>2</v>
      </c>
      <c r="Z93" s="45">
        <v>3</v>
      </c>
      <c r="AA93" s="16"/>
      <c r="AB93" s="12">
        <f t="shared" si="49"/>
        <v>5</v>
      </c>
      <c r="AC93" s="13">
        <f t="shared" si="50"/>
        <v>15</v>
      </c>
      <c r="AD93" s="15">
        <v>45131</v>
      </c>
    </row>
    <row r="94" spans="1:30" x14ac:dyDescent="0.15">
      <c r="A94" s="9" t="s">
        <v>7</v>
      </c>
      <c r="B94" s="16"/>
      <c r="C94" s="45">
        <v>2</v>
      </c>
      <c r="D94" s="16">
        <v>2</v>
      </c>
      <c r="E94" s="12">
        <f t="shared" si="43"/>
        <v>4</v>
      </c>
      <c r="F94" s="16"/>
      <c r="G94" s="45"/>
      <c r="H94" s="16"/>
      <c r="I94" s="12">
        <f t="shared" si="44"/>
        <v>0</v>
      </c>
      <c r="J94" s="16"/>
      <c r="K94" s="45"/>
      <c r="L94" s="16"/>
      <c r="M94" s="12">
        <f t="shared" si="45"/>
        <v>0</v>
      </c>
      <c r="N94" s="13">
        <f t="shared" si="46"/>
        <v>4</v>
      </c>
      <c r="O94" s="15">
        <v>45498</v>
      </c>
      <c r="P94" s="9" t="s">
        <v>37</v>
      </c>
      <c r="Q94" s="16">
        <v>0</v>
      </c>
      <c r="R94" s="45">
        <v>0</v>
      </c>
      <c r="S94" s="16">
        <v>0</v>
      </c>
      <c r="T94" s="12">
        <f t="shared" si="47"/>
        <v>0</v>
      </c>
      <c r="U94" s="16">
        <v>0</v>
      </c>
      <c r="V94" s="45">
        <v>0</v>
      </c>
      <c r="W94" s="16">
        <v>0</v>
      </c>
      <c r="X94" s="12">
        <f t="shared" si="48"/>
        <v>0</v>
      </c>
      <c r="Y94" s="16">
        <v>0</v>
      </c>
      <c r="Z94" s="45">
        <v>0</v>
      </c>
      <c r="AA94" s="16">
        <v>0</v>
      </c>
      <c r="AB94" s="12">
        <f t="shared" si="49"/>
        <v>0</v>
      </c>
      <c r="AC94" s="13">
        <f t="shared" si="50"/>
        <v>0</v>
      </c>
      <c r="AD94" s="15">
        <v>45161</v>
      </c>
    </row>
    <row r="95" spans="1:30" x14ac:dyDescent="0.15">
      <c r="A95" s="9" t="s">
        <v>37</v>
      </c>
      <c r="B95" s="16">
        <v>0</v>
      </c>
      <c r="C95" s="45">
        <v>0</v>
      </c>
      <c r="D95" s="16">
        <v>0</v>
      </c>
      <c r="E95" s="12">
        <f t="shared" si="43"/>
        <v>0</v>
      </c>
      <c r="F95" s="16">
        <v>0</v>
      </c>
      <c r="G95" s="45">
        <v>0</v>
      </c>
      <c r="H95" s="16">
        <v>0</v>
      </c>
      <c r="I95" s="12">
        <f t="shared" si="44"/>
        <v>0</v>
      </c>
      <c r="J95" s="16">
        <v>0</v>
      </c>
      <c r="K95" s="45">
        <v>0</v>
      </c>
      <c r="L95" s="16">
        <v>0</v>
      </c>
      <c r="M95" s="12">
        <f t="shared" si="45"/>
        <v>0</v>
      </c>
      <c r="N95" s="13">
        <f t="shared" si="46"/>
        <v>0</v>
      </c>
      <c r="O95" s="15">
        <v>45526</v>
      </c>
      <c r="P95" s="9" t="s">
        <v>7</v>
      </c>
      <c r="Q95" s="16"/>
      <c r="R95" s="45"/>
      <c r="S95" s="16">
        <v>1</v>
      </c>
      <c r="T95" s="12">
        <f t="shared" si="47"/>
        <v>1</v>
      </c>
      <c r="U95" s="16"/>
      <c r="V95" s="45"/>
      <c r="W95" s="16">
        <v>1</v>
      </c>
      <c r="X95" s="12">
        <f t="shared" si="48"/>
        <v>1</v>
      </c>
      <c r="Y95" s="16"/>
      <c r="Z95" s="45"/>
      <c r="AA95" s="16">
        <v>2</v>
      </c>
      <c r="AB95" s="12">
        <f t="shared" si="49"/>
        <v>2</v>
      </c>
      <c r="AC95" s="13">
        <f t="shared" si="50"/>
        <v>4</v>
      </c>
      <c r="AD95" s="15">
        <v>45174</v>
      </c>
    </row>
    <row r="96" spans="1:30" x14ac:dyDescent="0.15">
      <c r="A96" s="9" t="s">
        <v>7</v>
      </c>
      <c r="B96" s="16"/>
      <c r="C96" s="45"/>
      <c r="D96" s="16"/>
      <c r="E96" s="12">
        <f t="shared" ref="E96:E99" si="51">SUM(B96:D96)</f>
        <v>0</v>
      </c>
      <c r="F96" s="16"/>
      <c r="G96" s="45"/>
      <c r="H96" s="16">
        <v>2</v>
      </c>
      <c r="I96" s="12">
        <f t="shared" ref="I96:I99" si="52">SUM(F96:H96)</f>
        <v>2</v>
      </c>
      <c r="J96" s="16"/>
      <c r="K96" s="45"/>
      <c r="L96" s="16">
        <v>2</v>
      </c>
      <c r="M96" s="12">
        <f t="shared" ref="M96:M99" si="53">SUM(J96:L96)</f>
        <v>2</v>
      </c>
      <c r="N96" s="13">
        <f t="shared" si="46"/>
        <v>4</v>
      </c>
      <c r="O96" s="15">
        <v>45555</v>
      </c>
      <c r="P96" s="9" t="s">
        <v>7</v>
      </c>
      <c r="Q96" s="16"/>
      <c r="R96" s="45"/>
      <c r="S96" s="16">
        <v>2</v>
      </c>
      <c r="T96" s="12">
        <f t="shared" si="47"/>
        <v>2</v>
      </c>
      <c r="U96" s="16"/>
      <c r="V96" s="45">
        <v>2</v>
      </c>
      <c r="W96" s="16">
        <v>5</v>
      </c>
      <c r="X96" s="12">
        <f t="shared" si="48"/>
        <v>7</v>
      </c>
      <c r="Y96" s="16"/>
      <c r="Z96" s="45"/>
      <c r="AA96" s="16">
        <v>2</v>
      </c>
      <c r="AB96" s="12">
        <f t="shared" si="49"/>
        <v>2</v>
      </c>
      <c r="AC96" s="13">
        <f t="shared" si="50"/>
        <v>11</v>
      </c>
      <c r="AD96" s="15">
        <v>45232</v>
      </c>
    </row>
    <row r="97" spans="1:30" x14ac:dyDescent="0.15">
      <c r="A97" s="9" t="s">
        <v>7</v>
      </c>
      <c r="B97" s="16"/>
      <c r="C97" s="45"/>
      <c r="D97" s="16"/>
      <c r="E97" s="12">
        <f t="shared" si="51"/>
        <v>0</v>
      </c>
      <c r="F97" s="16">
        <v>2</v>
      </c>
      <c r="G97" s="45"/>
      <c r="H97" s="16"/>
      <c r="I97" s="12">
        <f t="shared" si="52"/>
        <v>2</v>
      </c>
      <c r="J97" s="16">
        <v>2</v>
      </c>
      <c r="K97" s="45"/>
      <c r="L97" s="16"/>
      <c r="M97" s="12">
        <f t="shared" si="53"/>
        <v>2</v>
      </c>
      <c r="N97" s="13">
        <f t="shared" si="46"/>
        <v>4</v>
      </c>
      <c r="O97" s="15">
        <v>45574</v>
      </c>
      <c r="P97" s="9" t="s">
        <v>7</v>
      </c>
      <c r="Q97" s="16">
        <v>2</v>
      </c>
      <c r="R97" s="45">
        <v>2</v>
      </c>
      <c r="S97" s="16"/>
      <c r="T97" s="12">
        <f t="shared" si="47"/>
        <v>4</v>
      </c>
      <c r="U97" s="16">
        <v>2</v>
      </c>
      <c r="V97" s="45">
        <v>5</v>
      </c>
      <c r="W97" s="16"/>
      <c r="X97" s="12">
        <f t="shared" si="48"/>
        <v>7</v>
      </c>
      <c r="Y97" s="16">
        <v>2</v>
      </c>
      <c r="Z97" s="45">
        <v>2</v>
      </c>
      <c r="AA97" s="16">
        <v>3</v>
      </c>
      <c r="AB97" s="12">
        <f t="shared" si="49"/>
        <v>7</v>
      </c>
      <c r="AC97" s="13">
        <f t="shared" si="50"/>
        <v>18</v>
      </c>
      <c r="AD97" s="15">
        <v>45343</v>
      </c>
    </row>
    <row r="98" spans="1:30" x14ac:dyDescent="0.15">
      <c r="A98" s="9" t="s">
        <v>7</v>
      </c>
      <c r="B98" s="16">
        <v>3</v>
      </c>
      <c r="C98" s="45">
        <v>3</v>
      </c>
      <c r="D98" s="16">
        <v>3</v>
      </c>
      <c r="E98" s="12">
        <f t="shared" si="51"/>
        <v>9</v>
      </c>
      <c r="F98" s="16"/>
      <c r="G98" s="45">
        <v>2</v>
      </c>
      <c r="H98" s="16"/>
      <c r="I98" s="12">
        <f t="shared" si="52"/>
        <v>2</v>
      </c>
      <c r="J98" s="16"/>
      <c r="K98" s="45">
        <v>2</v>
      </c>
      <c r="L98" s="16">
        <v>2</v>
      </c>
      <c r="M98" s="12">
        <f t="shared" si="53"/>
        <v>4</v>
      </c>
      <c r="N98" s="13">
        <f t="shared" si="46"/>
        <v>15</v>
      </c>
      <c r="O98" s="15">
        <v>45589</v>
      </c>
      <c r="P98" s="9" t="s">
        <v>7</v>
      </c>
      <c r="Q98" s="16"/>
      <c r="R98" s="45"/>
      <c r="S98" s="16"/>
      <c r="T98" s="12">
        <f t="shared" si="47"/>
        <v>0</v>
      </c>
      <c r="U98" s="16"/>
      <c r="V98" s="45"/>
      <c r="W98" s="61" t="s">
        <v>38</v>
      </c>
      <c r="X98" s="12">
        <f t="shared" si="48"/>
        <v>0</v>
      </c>
      <c r="Y98" s="16"/>
      <c r="Z98" s="45"/>
      <c r="AA98" s="16"/>
      <c r="AB98" s="12">
        <f t="shared" si="49"/>
        <v>0</v>
      </c>
      <c r="AC98" s="13">
        <f t="shared" si="50"/>
        <v>0</v>
      </c>
      <c r="AD98" s="15"/>
    </row>
    <row r="99" spans="1:30" x14ac:dyDescent="0.15">
      <c r="A99" s="9" t="s">
        <v>7</v>
      </c>
      <c r="B99" s="16"/>
      <c r="C99" s="45"/>
      <c r="D99" s="16"/>
      <c r="E99" s="12">
        <f t="shared" si="51"/>
        <v>0</v>
      </c>
      <c r="F99" s="16"/>
      <c r="G99" s="45"/>
      <c r="H99" s="16"/>
      <c r="I99" s="12">
        <f t="shared" si="52"/>
        <v>0</v>
      </c>
      <c r="J99" s="16"/>
      <c r="K99" s="45"/>
      <c r="L99" s="16"/>
      <c r="M99" s="12">
        <f t="shared" si="53"/>
        <v>0</v>
      </c>
      <c r="N99" s="13">
        <f t="shared" si="46"/>
        <v>0</v>
      </c>
      <c r="O99" s="15"/>
      <c r="P99" s="9" t="s">
        <v>7</v>
      </c>
      <c r="Q99" s="16">
        <v>2</v>
      </c>
      <c r="R99" s="45">
        <v>3</v>
      </c>
      <c r="S99" s="16">
        <v>2</v>
      </c>
      <c r="T99" s="12">
        <f t="shared" si="47"/>
        <v>7</v>
      </c>
      <c r="U99" s="16">
        <v>2</v>
      </c>
      <c r="V99" s="45">
        <v>2</v>
      </c>
      <c r="W99" s="61"/>
      <c r="X99" s="12">
        <f t="shared" si="48"/>
        <v>4</v>
      </c>
      <c r="Y99" s="16">
        <v>3</v>
      </c>
      <c r="Z99" s="45">
        <v>4</v>
      </c>
      <c r="AA99" s="16">
        <v>3</v>
      </c>
      <c r="AB99" s="12">
        <f t="shared" si="49"/>
        <v>10</v>
      </c>
      <c r="AC99" s="13">
        <f t="shared" si="50"/>
        <v>21</v>
      </c>
      <c r="AD99" s="15">
        <v>45489</v>
      </c>
    </row>
    <row r="100" spans="1:30" ht="14.25" thickBot="1" x14ac:dyDescent="0.2">
      <c r="A100" s="9" t="s">
        <v>7</v>
      </c>
      <c r="B100" s="16"/>
      <c r="C100" s="45"/>
      <c r="D100" s="16"/>
      <c r="E100" s="12">
        <f t="shared" ref="E100" si="54">SUM(B100:D100)</f>
        <v>0</v>
      </c>
      <c r="F100" s="16"/>
      <c r="G100" s="45"/>
      <c r="H100" s="16"/>
      <c r="I100" s="12">
        <f t="shared" ref="I100" si="55">SUM(F100:H100)</f>
        <v>0</v>
      </c>
      <c r="J100" s="16"/>
      <c r="K100" s="45"/>
      <c r="L100" s="16"/>
      <c r="M100" s="12">
        <f t="shared" ref="M100" si="56">SUM(J100:L100)</f>
        <v>0</v>
      </c>
      <c r="N100" s="13">
        <f t="shared" ref="N100" si="57">E100+M100+I100</f>
        <v>0</v>
      </c>
      <c r="O100" s="15"/>
      <c r="P100" s="17" t="s">
        <v>37</v>
      </c>
      <c r="Q100" s="18">
        <v>0</v>
      </c>
      <c r="R100" s="46">
        <v>0</v>
      </c>
      <c r="S100" s="18">
        <v>0</v>
      </c>
      <c r="T100" s="19">
        <f t="shared" si="47"/>
        <v>0</v>
      </c>
      <c r="U100" s="18">
        <v>0</v>
      </c>
      <c r="V100" s="46">
        <v>0</v>
      </c>
      <c r="W100" s="62"/>
      <c r="X100" s="19">
        <f t="shared" si="48"/>
        <v>0</v>
      </c>
      <c r="Y100" s="18">
        <v>0</v>
      </c>
      <c r="Z100" s="46">
        <v>0</v>
      </c>
      <c r="AA100" s="18">
        <v>-3</v>
      </c>
      <c r="AB100" s="19">
        <f t="shared" si="49"/>
        <v>-3</v>
      </c>
      <c r="AC100" s="20">
        <f t="shared" si="50"/>
        <v>-3</v>
      </c>
      <c r="AD100" s="30">
        <v>45526</v>
      </c>
    </row>
    <row r="101" spans="1:30" ht="14.25" thickBot="1" x14ac:dyDescent="0.2">
      <c r="A101" s="21" t="s">
        <v>8</v>
      </c>
      <c r="B101" s="22">
        <f>SUM(B90:B100)</f>
        <v>7</v>
      </c>
      <c r="C101" s="47">
        <f>SUM(C90:C100)</f>
        <v>9</v>
      </c>
      <c r="D101" s="40">
        <f>SUM(D90:D100)</f>
        <v>9</v>
      </c>
      <c r="E101" s="23">
        <f t="shared" ref="E101:E125" si="58">SUM(B101:D101)</f>
        <v>25</v>
      </c>
      <c r="F101" s="22">
        <f>SUM(F90:F100)</f>
        <v>5</v>
      </c>
      <c r="G101" s="47">
        <f>SUM(G90:G100)</f>
        <v>5</v>
      </c>
      <c r="H101" s="40">
        <f>SUM(H90:H100)</f>
        <v>5</v>
      </c>
      <c r="I101" s="23">
        <f t="shared" ref="I101:I125" si="59">SUM(F101:H101)</f>
        <v>15</v>
      </c>
      <c r="J101" s="22">
        <f>SUM(J90:J100)</f>
        <v>5</v>
      </c>
      <c r="K101" s="47">
        <f>SUM(K90:K100)</f>
        <v>5</v>
      </c>
      <c r="L101" s="40">
        <f>SUM(L90:L100)</f>
        <v>7</v>
      </c>
      <c r="M101" s="23">
        <f t="shared" ref="M101:M125" si="60">SUM(J101:L101)</f>
        <v>17</v>
      </c>
      <c r="N101" s="24">
        <f t="shared" si="46"/>
        <v>57</v>
      </c>
      <c r="P101" s="21" t="s">
        <v>8</v>
      </c>
      <c r="Q101" s="22">
        <f>SUM(Q90:Q100)</f>
        <v>10</v>
      </c>
      <c r="R101" s="47">
        <f>SUM(R90:R100)</f>
        <v>10</v>
      </c>
      <c r="S101" s="40">
        <f>SUM(S90:S100)</f>
        <v>7</v>
      </c>
      <c r="T101" s="23">
        <f t="shared" si="47"/>
        <v>27</v>
      </c>
      <c r="U101" s="22">
        <f>SUM(U90:U100)</f>
        <v>8</v>
      </c>
      <c r="V101" s="47">
        <f>SUM(V90:V100)</f>
        <v>14</v>
      </c>
      <c r="W101" s="40">
        <f>SUM(W90:W100)</f>
        <v>8</v>
      </c>
      <c r="X101" s="23">
        <f t="shared" si="48"/>
        <v>30</v>
      </c>
      <c r="Y101" s="22">
        <f>SUM(Y90:Y100)</f>
        <v>9</v>
      </c>
      <c r="Z101" s="47">
        <f>SUM(Z90:Z100)</f>
        <v>13</v>
      </c>
      <c r="AA101" s="40">
        <f>SUM(AA90:AA100)</f>
        <v>9</v>
      </c>
      <c r="AB101" s="23">
        <f t="shared" si="49"/>
        <v>31</v>
      </c>
      <c r="AC101" s="24">
        <f t="shared" si="50"/>
        <v>88</v>
      </c>
    </row>
    <row r="102" spans="1:30" x14ac:dyDescent="0.15">
      <c r="A102" s="25" t="s">
        <v>28</v>
      </c>
      <c r="B102" s="29"/>
      <c r="C102" s="45">
        <v>1</v>
      </c>
      <c r="D102" s="16"/>
      <c r="E102" s="12">
        <f t="shared" ref="E102:E123" si="61">SUM(B102:D102)</f>
        <v>1</v>
      </c>
      <c r="F102" s="29"/>
      <c r="G102" s="45"/>
      <c r="H102" s="16"/>
      <c r="I102" s="12">
        <f t="shared" ref="I102:I123" si="62">SUM(F102:H102)</f>
        <v>0</v>
      </c>
      <c r="J102" s="29"/>
      <c r="K102" s="45"/>
      <c r="L102" s="16"/>
      <c r="M102" s="12">
        <f t="shared" ref="M102:M123" si="63">SUM(J102:L102)</f>
        <v>0</v>
      </c>
      <c r="N102" s="13">
        <f t="shared" si="46"/>
        <v>1</v>
      </c>
      <c r="O102" s="15">
        <v>45143</v>
      </c>
      <c r="P102" s="36" t="s">
        <v>28</v>
      </c>
      <c r="Q102" s="29">
        <v>1</v>
      </c>
      <c r="R102" s="45"/>
      <c r="S102" s="16"/>
      <c r="T102" s="12">
        <f t="shared" si="47"/>
        <v>1</v>
      </c>
      <c r="U102" s="29"/>
      <c r="V102" s="45"/>
      <c r="W102" s="16"/>
      <c r="X102" s="12">
        <f t="shared" si="48"/>
        <v>0</v>
      </c>
      <c r="Y102" s="29"/>
      <c r="Z102" s="45"/>
      <c r="AA102" s="16"/>
      <c r="AB102" s="12">
        <f t="shared" si="49"/>
        <v>0</v>
      </c>
      <c r="AC102" s="13">
        <f t="shared" si="50"/>
        <v>1</v>
      </c>
      <c r="AD102" s="15">
        <v>44949</v>
      </c>
    </row>
    <row r="103" spans="1:30" x14ac:dyDescent="0.15">
      <c r="A103" s="25" t="s">
        <v>28</v>
      </c>
      <c r="B103" s="29">
        <v>1</v>
      </c>
      <c r="C103" s="45"/>
      <c r="D103" s="16"/>
      <c r="E103" s="12">
        <f t="shared" si="61"/>
        <v>1</v>
      </c>
      <c r="F103" s="29"/>
      <c r="G103" s="45"/>
      <c r="H103" s="16"/>
      <c r="I103" s="12">
        <f t="shared" si="62"/>
        <v>0</v>
      </c>
      <c r="J103" s="29"/>
      <c r="K103" s="45"/>
      <c r="L103" s="16"/>
      <c r="M103" s="12">
        <f t="shared" si="63"/>
        <v>0</v>
      </c>
      <c r="N103" s="13">
        <f t="shared" si="46"/>
        <v>1</v>
      </c>
      <c r="O103" s="15">
        <v>45327</v>
      </c>
      <c r="P103" s="36" t="s">
        <v>28</v>
      </c>
      <c r="Q103" s="29"/>
      <c r="R103" s="45"/>
      <c r="S103" s="16"/>
      <c r="T103" s="12">
        <f t="shared" si="47"/>
        <v>0</v>
      </c>
      <c r="U103" s="29"/>
      <c r="V103" s="45"/>
      <c r="W103" s="16"/>
      <c r="X103" s="12">
        <f t="shared" si="48"/>
        <v>0</v>
      </c>
      <c r="Y103" s="29"/>
      <c r="Z103" s="45">
        <v>1</v>
      </c>
      <c r="AA103" s="16"/>
      <c r="AB103" s="12">
        <f t="shared" si="49"/>
        <v>1</v>
      </c>
      <c r="AC103" s="13">
        <f t="shared" si="50"/>
        <v>1</v>
      </c>
      <c r="AD103" s="15">
        <v>44977</v>
      </c>
    </row>
    <row r="104" spans="1:30" x14ac:dyDescent="0.15">
      <c r="A104" s="25" t="s">
        <v>28</v>
      </c>
      <c r="B104" s="29"/>
      <c r="C104" s="45"/>
      <c r="D104" s="16">
        <v>1</v>
      </c>
      <c r="E104" s="12">
        <f t="shared" si="61"/>
        <v>1</v>
      </c>
      <c r="F104" s="29"/>
      <c r="G104" s="45"/>
      <c r="H104" s="16"/>
      <c r="I104" s="12">
        <f t="shared" si="62"/>
        <v>0</v>
      </c>
      <c r="J104" s="29"/>
      <c r="K104" s="45"/>
      <c r="L104" s="16"/>
      <c r="M104" s="12">
        <f t="shared" si="63"/>
        <v>0</v>
      </c>
      <c r="N104" s="13">
        <f t="shared" si="46"/>
        <v>1</v>
      </c>
      <c r="O104" s="15">
        <v>45335</v>
      </c>
      <c r="P104" s="36" t="s">
        <v>28</v>
      </c>
      <c r="Q104" s="29">
        <v>1</v>
      </c>
      <c r="R104" s="45"/>
      <c r="S104" s="16"/>
      <c r="T104" s="12">
        <f t="shared" si="47"/>
        <v>1</v>
      </c>
      <c r="U104" s="29"/>
      <c r="V104" s="45"/>
      <c r="W104" s="16"/>
      <c r="X104" s="12">
        <f t="shared" si="48"/>
        <v>0</v>
      </c>
      <c r="Y104" s="29"/>
      <c r="Z104" s="45"/>
      <c r="AA104" s="16"/>
      <c r="AB104" s="12">
        <f t="shared" si="49"/>
        <v>0</v>
      </c>
      <c r="AC104" s="13">
        <f t="shared" si="50"/>
        <v>1</v>
      </c>
      <c r="AD104" s="15">
        <v>45082</v>
      </c>
    </row>
    <row r="105" spans="1:30" x14ac:dyDescent="0.15">
      <c r="A105" s="25" t="s">
        <v>28</v>
      </c>
      <c r="B105" s="29"/>
      <c r="C105" s="45"/>
      <c r="D105" s="16"/>
      <c r="E105" s="12">
        <f t="shared" si="61"/>
        <v>0</v>
      </c>
      <c r="F105" s="29">
        <v>1</v>
      </c>
      <c r="G105" s="45"/>
      <c r="H105" s="16"/>
      <c r="I105" s="12">
        <f t="shared" si="62"/>
        <v>1</v>
      </c>
      <c r="J105" s="29">
        <v>1</v>
      </c>
      <c r="K105" s="45"/>
      <c r="L105" s="16"/>
      <c r="M105" s="12">
        <f t="shared" si="63"/>
        <v>1</v>
      </c>
      <c r="N105" s="13">
        <f t="shared" si="46"/>
        <v>2</v>
      </c>
      <c r="O105" s="15">
        <v>45422</v>
      </c>
      <c r="P105" s="36" t="s">
        <v>28</v>
      </c>
      <c r="Q105" s="29"/>
      <c r="R105" s="45"/>
      <c r="S105" s="16"/>
      <c r="T105" s="12">
        <f t="shared" si="47"/>
        <v>0</v>
      </c>
      <c r="U105" s="29"/>
      <c r="V105" s="45"/>
      <c r="W105" s="16"/>
      <c r="X105" s="12">
        <f t="shared" si="48"/>
        <v>0</v>
      </c>
      <c r="Y105" s="29"/>
      <c r="Z105" s="45">
        <v>1</v>
      </c>
      <c r="AA105" s="16"/>
      <c r="AB105" s="12">
        <f t="shared" si="49"/>
        <v>1</v>
      </c>
      <c r="AC105" s="13">
        <f t="shared" si="50"/>
        <v>1</v>
      </c>
      <c r="AD105" s="15">
        <v>45104</v>
      </c>
    </row>
    <row r="106" spans="1:30" x14ac:dyDescent="0.15">
      <c r="A106" s="25" t="s">
        <v>28</v>
      </c>
      <c r="B106" s="29"/>
      <c r="C106" s="45">
        <v>1</v>
      </c>
      <c r="D106" s="16"/>
      <c r="E106" s="12">
        <f t="shared" si="61"/>
        <v>1</v>
      </c>
      <c r="F106" s="29"/>
      <c r="G106" s="45"/>
      <c r="H106" s="16"/>
      <c r="I106" s="12">
        <f t="shared" si="62"/>
        <v>0</v>
      </c>
      <c r="J106" s="29"/>
      <c r="K106" s="45"/>
      <c r="L106" s="16"/>
      <c r="M106" s="12">
        <f t="shared" si="63"/>
        <v>0</v>
      </c>
      <c r="N106" s="13">
        <f t="shared" si="46"/>
        <v>1</v>
      </c>
      <c r="O106" s="15">
        <v>45439</v>
      </c>
      <c r="P106" s="36" t="s">
        <v>28</v>
      </c>
      <c r="Q106" s="29">
        <v>1</v>
      </c>
      <c r="R106" s="45"/>
      <c r="S106" s="16"/>
      <c r="T106" s="12">
        <f t="shared" si="47"/>
        <v>1</v>
      </c>
      <c r="U106" s="29">
        <v>1</v>
      </c>
      <c r="V106" s="45"/>
      <c r="W106" s="16"/>
      <c r="X106" s="12">
        <f t="shared" si="48"/>
        <v>1</v>
      </c>
      <c r="Y106" s="29">
        <v>1</v>
      </c>
      <c r="Z106" s="45"/>
      <c r="AA106" s="16"/>
      <c r="AB106" s="12">
        <f t="shared" si="49"/>
        <v>1</v>
      </c>
      <c r="AC106" s="13">
        <f t="shared" si="50"/>
        <v>3</v>
      </c>
      <c r="AD106" s="15">
        <v>45112</v>
      </c>
    </row>
    <row r="107" spans="1:30" x14ac:dyDescent="0.15">
      <c r="A107" s="25" t="s">
        <v>28</v>
      </c>
      <c r="B107" s="29"/>
      <c r="C107" s="45"/>
      <c r="D107" s="16">
        <v>1</v>
      </c>
      <c r="E107" s="12">
        <f t="shared" si="61"/>
        <v>1</v>
      </c>
      <c r="F107" s="29"/>
      <c r="G107" s="45"/>
      <c r="H107" s="16">
        <v>1</v>
      </c>
      <c r="I107" s="12">
        <f t="shared" si="62"/>
        <v>1</v>
      </c>
      <c r="J107" s="29"/>
      <c r="K107" s="45"/>
      <c r="L107" s="16">
        <v>1</v>
      </c>
      <c r="M107" s="12">
        <f t="shared" si="63"/>
        <v>1</v>
      </c>
      <c r="N107" s="13">
        <f t="shared" si="46"/>
        <v>3</v>
      </c>
      <c r="O107" s="15">
        <v>45478</v>
      </c>
      <c r="P107" s="36" t="s">
        <v>28</v>
      </c>
      <c r="Q107" s="29"/>
      <c r="R107" s="45">
        <v>1</v>
      </c>
      <c r="S107" s="16"/>
      <c r="T107" s="12">
        <f t="shared" si="47"/>
        <v>1</v>
      </c>
      <c r="U107" s="29"/>
      <c r="V107" s="45">
        <v>1</v>
      </c>
      <c r="W107" s="16"/>
      <c r="X107" s="12">
        <f t="shared" si="48"/>
        <v>1</v>
      </c>
      <c r="Y107" s="29"/>
      <c r="Z107" s="45">
        <v>1</v>
      </c>
      <c r="AA107" s="16"/>
      <c r="AB107" s="12">
        <f t="shared" si="49"/>
        <v>1</v>
      </c>
      <c r="AC107" s="13">
        <f t="shared" si="50"/>
        <v>3</v>
      </c>
      <c r="AD107" s="15">
        <v>45117</v>
      </c>
    </row>
    <row r="108" spans="1:30" x14ac:dyDescent="0.15">
      <c r="A108" s="25" t="s">
        <v>28</v>
      </c>
      <c r="B108" s="29"/>
      <c r="C108" s="45"/>
      <c r="D108" s="16">
        <v>1</v>
      </c>
      <c r="E108" s="12">
        <f t="shared" si="61"/>
        <v>1</v>
      </c>
      <c r="F108" s="29"/>
      <c r="G108" s="45"/>
      <c r="H108" s="16"/>
      <c r="I108" s="12">
        <f t="shared" si="62"/>
        <v>0</v>
      </c>
      <c r="J108" s="29"/>
      <c r="K108" s="45"/>
      <c r="L108" s="16"/>
      <c r="M108" s="12">
        <f t="shared" si="63"/>
        <v>0</v>
      </c>
      <c r="N108" s="13">
        <f t="shared" si="46"/>
        <v>1</v>
      </c>
      <c r="O108" s="15">
        <v>45492</v>
      </c>
      <c r="P108" s="36" t="s">
        <v>28</v>
      </c>
      <c r="Q108" s="29"/>
      <c r="R108" s="45">
        <v>1</v>
      </c>
      <c r="S108" s="16"/>
      <c r="T108" s="12">
        <f t="shared" si="47"/>
        <v>1</v>
      </c>
      <c r="U108" s="29"/>
      <c r="V108" s="45">
        <v>1</v>
      </c>
      <c r="W108" s="16"/>
      <c r="X108" s="12">
        <f t="shared" si="48"/>
        <v>1</v>
      </c>
      <c r="Y108" s="29"/>
      <c r="Z108" s="45">
        <v>1</v>
      </c>
      <c r="AA108" s="16"/>
      <c r="AB108" s="12">
        <f t="shared" si="49"/>
        <v>1</v>
      </c>
      <c r="AC108" s="13">
        <f t="shared" si="50"/>
        <v>3</v>
      </c>
      <c r="AD108" s="15">
        <v>45122</v>
      </c>
    </row>
    <row r="109" spans="1:30" x14ac:dyDescent="0.15">
      <c r="A109" s="25" t="s">
        <v>28</v>
      </c>
      <c r="B109" s="29"/>
      <c r="C109" s="45">
        <v>1</v>
      </c>
      <c r="D109" s="16"/>
      <c r="E109" s="12">
        <f t="shared" si="61"/>
        <v>1</v>
      </c>
      <c r="F109" s="29"/>
      <c r="G109" s="45">
        <v>1</v>
      </c>
      <c r="H109" s="16"/>
      <c r="I109" s="12">
        <f t="shared" si="62"/>
        <v>1</v>
      </c>
      <c r="J109" s="29"/>
      <c r="K109" s="45">
        <v>1</v>
      </c>
      <c r="L109" s="16"/>
      <c r="M109" s="12">
        <f t="shared" si="63"/>
        <v>1</v>
      </c>
      <c r="N109" s="13">
        <f t="shared" si="46"/>
        <v>3</v>
      </c>
      <c r="O109" s="15">
        <v>45495</v>
      </c>
      <c r="P109" s="36" t="s">
        <v>28</v>
      </c>
      <c r="Q109" s="29"/>
      <c r="R109" s="45"/>
      <c r="S109" s="16">
        <v>1</v>
      </c>
      <c r="T109" s="12">
        <f t="shared" si="47"/>
        <v>1</v>
      </c>
      <c r="U109" s="29"/>
      <c r="V109" s="45"/>
      <c r="W109" s="16">
        <v>1</v>
      </c>
      <c r="X109" s="12">
        <f t="shared" si="48"/>
        <v>1</v>
      </c>
      <c r="Y109" s="29"/>
      <c r="Z109" s="45"/>
      <c r="AA109" s="16">
        <v>1</v>
      </c>
      <c r="AB109" s="12">
        <f t="shared" si="49"/>
        <v>1</v>
      </c>
      <c r="AC109" s="13">
        <f t="shared" si="50"/>
        <v>3</v>
      </c>
      <c r="AD109" s="15">
        <v>45140</v>
      </c>
    </row>
    <row r="110" spans="1:30" x14ac:dyDescent="0.15">
      <c r="A110" s="25" t="s">
        <v>28</v>
      </c>
      <c r="B110" s="29"/>
      <c r="C110" s="45"/>
      <c r="D110" s="16"/>
      <c r="E110" s="12">
        <f t="shared" si="61"/>
        <v>0</v>
      </c>
      <c r="F110" s="29"/>
      <c r="G110" s="45"/>
      <c r="H110" s="16"/>
      <c r="I110" s="12">
        <f t="shared" si="62"/>
        <v>0</v>
      </c>
      <c r="J110" s="29"/>
      <c r="K110" s="45"/>
      <c r="L110" s="16">
        <v>1</v>
      </c>
      <c r="M110" s="12">
        <f t="shared" si="63"/>
        <v>1</v>
      </c>
      <c r="N110" s="13">
        <f t="shared" si="46"/>
        <v>1</v>
      </c>
      <c r="O110" s="15">
        <v>45527</v>
      </c>
      <c r="P110" s="36" t="s">
        <v>28</v>
      </c>
      <c r="Q110" s="29">
        <v>1</v>
      </c>
      <c r="R110" s="45">
        <v>1</v>
      </c>
      <c r="S110" s="16"/>
      <c r="T110" s="12">
        <f t="shared" si="47"/>
        <v>2</v>
      </c>
      <c r="U110" s="29">
        <v>1</v>
      </c>
      <c r="V110" s="45"/>
      <c r="W110" s="16"/>
      <c r="X110" s="12">
        <f t="shared" si="48"/>
        <v>1</v>
      </c>
      <c r="Y110" s="29">
        <v>1</v>
      </c>
      <c r="Z110" s="45"/>
      <c r="AA110" s="16"/>
      <c r="AB110" s="12">
        <f t="shared" si="49"/>
        <v>1</v>
      </c>
      <c r="AC110" s="13">
        <f t="shared" si="50"/>
        <v>4</v>
      </c>
      <c r="AD110" s="15">
        <v>45145</v>
      </c>
    </row>
    <row r="111" spans="1:30" x14ac:dyDescent="0.15">
      <c r="A111" s="25" t="s">
        <v>28</v>
      </c>
      <c r="B111" s="29"/>
      <c r="C111" s="45"/>
      <c r="D111" s="16">
        <v>1</v>
      </c>
      <c r="E111" s="12">
        <f t="shared" si="61"/>
        <v>1</v>
      </c>
      <c r="F111" s="29"/>
      <c r="G111" s="45"/>
      <c r="H111" s="16">
        <v>1</v>
      </c>
      <c r="I111" s="12">
        <f t="shared" si="62"/>
        <v>1</v>
      </c>
      <c r="J111" s="29"/>
      <c r="K111" s="45"/>
      <c r="L111" s="16">
        <v>1</v>
      </c>
      <c r="M111" s="12">
        <f t="shared" si="63"/>
        <v>1</v>
      </c>
      <c r="N111" s="13">
        <f t="shared" si="46"/>
        <v>3</v>
      </c>
      <c r="O111" s="15">
        <v>45544</v>
      </c>
      <c r="P111" s="36" t="s">
        <v>28</v>
      </c>
      <c r="Q111" s="29"/>
      <c r="R111" s="45"/>
      <c r="S111" s="16"/>
      <c r="T111" s="12">
        <f t="shared" si="47"/>
        <v>0</v>
      </c>
      <c r="U111" s="29"/>
      <c r="V111" s="45"/>
      <c r="W111" s="16"/>
      <c r="X111" s="12">
        <f t="shared" si="48"/>
        <v>0</v>
      </c>
      <c r="Y111" s="29"/>
      <c r="Z111" s="45"/>
      <c r="AA111" s="16">
        <v>1</v>
      </c>
      <c r="AB111" s="12">
        <f t="shared" si="49"/>
        <v>1</v>
      </c>
      <c r="AC111" s="13">
        <f t="shared" si="50"/>
        <v>1</v>
      </c>
      <c r="AD111" s="15">
        <v>45154</v>
      </c>
    </row>
    <row r="112" spans="1:30" x14ac:dyDescent="0.15">
      <c r="A112" s="25" t="s">
        <v>28</v>
      </c>
      <c r="B112" s="29">
        <v>1</v>
      </c>
      <c r="C112" s="45"/>
      <c r="D112" s="16"/>
      <c r="E112" s="12">
        <f t="shared" si="61"/>
        <v>1</v>
      </c>
      <c r="F112" s="29">
        <v>1</v>
      </c>
      <c r="G112" s="45"/>
      <c r="H112" s="16"/>
      <c r="I112" s="12">
        <f t="shared" si="62"/>
        <v>1</v>
      </c>
      <c r="J112" s="29">
        <v>1</v>
      </c>
      <c r="K112" s="45"/>
      <c r="L112" s="16"/>
      <c r="M112" s="12">
        <f t="shared" si="63"/>
        <v>1</v>
      </c>
      <c r="N112" s="13">
        <f t="shared" si="46"/>
        <v>3</v>
      </c>
      <c r="O112" s="15">
        <v>45572</v>
      </c>
      <c r="P112" s="36" t="s">
        <v>28</v>
      </c>
      <c r="Q112" s="29"/>
      <c r="R112" s="45"/>
      <c r="S112" s="16"/>
      <c r="T112" s="12">
        <f t="shared" si="47"/>
        <v>0</v>
      </c>
      <c r="U112" s="29"/>
      <c r="V112" s="45">
        <v>2</v>
      </c>
      <c r="W112" s="16"/>
      <c r="X112" s="12">
        <f t="shared" si="48"/>
        <v>2</v>
      </c>
      <c r="Y112" s="29"/>
      <c r="Z112" s="45"/>
      <c r="AA112" s="16"/>
      <c r="AB112" s="12">
        <f t="shared" si="49"/>
        <v>0</v>
      </c>
      <c r="AC112" s="13">
        <f t="shared" si="50"/>
        <v>2</v>
      </c>
      <c r="AD112" s="15">
        <v>45188</v>
      </c>
    </row>
    <row r="113" spans="1:30" x14ac:dyDescent="0.15">
      <c r="A113" s="25" t="s">
        <v>28</v>
      </c>
      <c r="B113" s="29"/>
      <c r="C113" s="45">
        <v>2</v>
      </c>
      <c r="D113" s="16"/>
      <c r="E113" s="12">
        <f t="shared" si="61"/>
        <v>2</v>
      </c>
      <c r="F113" s="29"/>
      <c r="G113" s="45">
        <v>1</v>
      </c>
      <c r="H113" s="16"/>
      <c r="I113" s="12">
        <f t="shared" si="62"/>
        <v>1</v>
      </c>
      <c r="J113" s="29"/>
      <c r="K113" s="45">
        <v>1</v>
      </c>
      <c r="L113" s="16"/>
      <c r="M113" s="12">
        <f t="shared" si="63"/>
        <v>1</v>
      </c>
      <c r="N113" s="13">
        <f t="shared" si="46"/>
        <v>4</v>
      </c>
      <c r="O113" s="15">
        <v>45574</v>
      </c>
      <c r="P113" s="36" t="s">
        <v>28</v>
      </c>
      <c r="Q113" s="29"/>
      <c r="R113" s="45"/>
      <c r="S113" s="16">
        <v>1</v>
      </c>
      <c r="T113" s="12">
        <f t="shared" si="47"/>
        <v>1</v>
      </c>
      <c r="U113" s="29"/>
      <c r="V113" s="45"/>
      <c r="W113" s="16">
        <v>1</v>
      </c>
      <c r="X113" s="12">
        <f t="shared" si="48"/>
        <v>1</v>
      </c>
      <c r="Y113" s="29"/>
      <c r="Z113" s="45"/>
      <c r="AA113" s="16">
        <v>1</v>
      </c>
      <c r="AB113" s="12">
        <f t="shared" si="49"/>
        <v>1</v>
      </c>
      <c r="AC113" s="13">
        <f t="shared" si="50"/>
        <v>3</v>
      </c>
      <c r="AD113" s="15">
        <v>45226</v>
      </c>
    </row>
    <row r="114" spans="1:30" x14ac:dyDescent="0.15">
      <c r="A114" s="25" t="s">
        <v>28</v>
      </c>
      <c r="B114" s="29"/>
      <c r="C114" s="45"/>
      <c r="D114" s="16">
        <v>1</v>
      </c>
      <c r="E114" s="12">
        <f t="shared" si="61"/>
        <v>1</v>
      </c>
      <c r="F114" s="29"/>
      <c r="G114" s="45"/>
      <c r="H114" s="16">
        <v>1</v>
      </c>
      <c r="I114" s="12">
        <f t="shared" si="62"/>
        <v>1</v>
      </c>
      <c r="J114" s="29"/>
      <c r="K114" s="45"/>
      <c r="L114" s="16">
        <v>1</v>
      </c>
      <c r="M114" s="12">
        <f t="shared" si="63"/>
        <v>1</v>
      </c>
      <c r="N114" s="13">
        <f t="shared" si="46"/>
        <v>3</v>
      </c>
      <c r="O114" s="15">
        <v>45580</v>
      </c>
      <c r="P114" s="36" t="s">
        <v>28</v>
      </c>
      <c r="Q114" s="29"/>
      <c r="R114" s="45"/>
      <c r="S114" s="16"/>
      <c r="T114" s="12">
        <f t="shared" si="47"/>
        <v>0</v>
      </c>
      <c r="U114" s="29"/>
      <c r="V114" s="45"/>
      <c r="W114" s="16">
        <v>3</v>
      </c>
      <c r="X114" s="12">
        <f t="shared" si="48"/>
        <v>3</v>
      </c>
      <c r="Y114" s="29"/>
      <c r="Z114" s="45"/>
      <c r="AA114" s="16">
        <v>1</v>
      </c>
      <c r="AB114" s="12">
        <f t="shared" si="49"/>
        <v>1</v>
      </c>
      <c r="AC114" s="13">
        <f t="shared" si="50"/>
        <v>4</v>
      </c>
      <c r="AD114" s="15">
        <v>45232</v>
      </c>
    </row>
    <row r="115" spans="1:30" x14ac:dyDescent="0.15">
      <c r="A115" s="25" t="s">
        <v>28</v>
      </c>
      <c r="B115" s="29">
        <v>1</v>
      </c>
      <c r="C115" s="45"/>
      <c r="D115" s="16"/>
      <c r="E115" s="12">
        <f t="shared" si="61"/>
        <v>1</v>
      </c>
      <c r="F115" s="29">
        <v>1</v>
      </c>
      <c r="G115" s="45"/>
      <c r="H115" s="16"/>
      <c r="I115" s="12">
        <f t="shared" si="62"/>
        <v>1</v>
      </c>
      <c r="J115" s="29">
        <v>1</v>
      </c>
      <c r="K115" s="45"/>
      <c r="L115" s="16"/>
      <c r="M115" s="12">
        <f t="shared" si="63"/>
        <v>1</v>
      </c>
      <c r="N115" s="13">
        <f t="shared" si="46"/>
        <v>3</v>
      </c>
      <c r="O115" s="15">
        <v>45586</v>
      </c>
      <c r="P115" s="36" t="s">
        <v>28</v>
      </c>
      <c r="Q115" s="29"/>
      <c r="R115" s="45"/>
      <c r="S115" s="16"/>
      <c r="T115" s="12">
        <f t="shared" si="47"/>
        <v>0</v>
      </c>
      <c r="U115" s="29"/>
      <c r="V115" s="45">
        <v>1</v>
      </c>
      <c r="W115" s="16"/>
      <c r="X115" s="12">
        <f t="shared" si="48"/>
        <v>1</v>
      </c>
      <c r="Y115" s="29"/>
      <c r="Z115" s="45">
        <v>1</v>
      </c>
      <c r="AA115" s="16"/>
      <c r="AB115" s="12">
        <f t="shared" si="49"/>
        <v>1</v>
      </c>
      <c r="AC115" s="13">
        <f t="shared" si="50"/>
        <v>2</v>
      </c>
      <c r="AD115" s="15">
        <v>45279</v>
      </c>
    </row>
    <row r="116" spans="1:30" x14ac:dyDescent="0.15">
      <c r="A116" s="25"/>
      <c r="B116" s="29"/>
      <c r="C116" s="45"/>
      <c r="D116" s="16"/>
      <c r="E116" s="12">
        <f t="shared" si="61"/>
        <v>0</v>
      </c>
      <c r="F116" s="29"/>
      <c r="G116" s="45"/>
      <c r="H116" s="16"/>
      <c r="I116" s="12">
        <f t="shared" si="62"/>
        <v>0</v>
      </c>
      <c r="J116" s="29"/>
      <c r="K116" s="45"/>
      <c r="L116" s="16"/>
      <c r="M116" s="12">
        <f t="shared" si="63"/>
        <v>0</v>
      </c>
      <c r="N116" s="13">
        <f t="shared" si="46"/>
        <v>0</v>
      </c>
      <c r="O116" s="15"/>
      <c r="P116" s="36" t="s">
        <v>28</v>
      </c>
      <c r="Q116" s="29"/>
      <c r="R116" s="45"/>
      <c r="S116" s="16"/>
      <c r="T116" s="12">
        <f t="shared" si="47"/>
        <v>0</v>
      </c>
      <c r="U116" s="29"/>
      <c r="V116" s="45">
        <v>2</v>
      </c>
      <c r="W116" s="16">
        <v>1</v>
      </c>
      <c r="X116" s="12">
        <f t="shared" si="48"/>
        <v>3</v>
      </c>
      <c r="Y116" s="29"/>
      <c r="Z116" s="45"/>
      <c r="AA116" s="16">
        <v>1</v>
      </c>
      <c r="AB116" s="12">
        <f t="shared" si="49"/>
        <v>1</v>
      </c>
      <c r="AC116" s="13">
        <f t="shared" si="50"/>
        <v>4</v>
      </c>
      <c r="AD116" s="15">
        <v>45335</v>
      </c>
    </row>
    <row r="117" spans="1:30" x14ac:dyDescent="0.15">
      <c r="A117" s="25"/>
      <c r="B117" s="29"/>
      <c r="C117" s="45"/>
      <c r="D117" s="16"/>
      <c r="E117" s="12">
        <f t="shared" si="61"/>
        <v>0</v>
      </c>
      <c r="F117" s="29"/>
      <c r="G117" s="45"/>
      <c r="H117" s="16"/>
      <c r="I117" s="12">
        <f t="shared" si="62"/>
        <v>0</v>
      </c>
      <c r="J117" s="29"/>
      <c r="K117" s="45"/>
      <c r="L117" s="16"/>
      <c r="M117" s="12">
        <f t="shared" si="63"/>
        <v>0</v>
      </c>
      <c r="N117" s="13">
        <f t="shared" si="46"/>
        <v>0</v>
      </c>
      <c r="O117" s="15"/>
      <c r="P117" s="36" t="s">
        <v>28</v>
      </c>
      <c r="Q117" s="29"/>
      <c r="R117" s="45"/>
      <c r="S117" s="16"/>
      <c r="T117" s="12">
        <f t="shared" si="47"/>
        <v>0</v>
      </c>
      <c r="U117" s="29">
        <v>1</v>
      </c>
      <c r="V117" s="45"/>
      <c r="W117" s="16"/>
      <c r="X117" s="12">
        <f t="shared" si="48"/>
        <v>1</v>
      </c>
      <c r="Y117" s="29"/>
      <c r="Z117" s="45"/>
      <c r="AA117" s="16"/>
      <c r="AB117" s="12">
        <f t="shared" si="49"/>
        <v>0</v>
      </c>
      <c r="AC117" s="13">
        <f t="shared" si="50"/>
        <v>1</v>
      </c>
      <c r="AD117" s="15">
        <v>45343</v>
      </c>
    </row>
    <row r="118" spans="1:30" x14ac:dyDescent="0.15">
      <c r="A118" s="25"/>
      <c r="B118" s="29"/>
      <c r="C118" s="45"/>
      <c r="D118" s="16"/>
      <c r="E118" s="12">
        <f t="shared" si="61"/>
        <v>0</v>
      </c>
      <c r="F118" s="29"/>
      <c r="G118" s="45"/>
      <c r="H118" s="16"/>
      <c r="I118" s="12">
        <f t="shared" si="62"/>
        <v>0</v>
      </c>
      <c r="J118" s="29"/>
      <c r="K118" s="45"/>
      <c r="L118" s="16"/>
      <c r="M118" s="12">
        <f t="shared" si="63"/>
        <v>0</v>
      </c>
      <c r="N118" s="13">
        <f t="shared" si="46"/>
        <v>0</v>
      </c>
      <c r="O118" s="15"/>
      <c r="P118" s="36" t="s">
        <v>28</v>
      </c>
      <c r="Q118" s="29"/>
      <c r="R118" s="45"/>
      <c r="S118" s="16"/>
      <c r="T118" s="12">
        <f t="shared" si="47"/>
        <v>0</v>
      </c>
      <c r="U118" s="29"/>
      <c r="V118" s="45"/>
      <c r="W118" s="16">
        <v>1</v>
      </c>
      <c r="X118" s="12">
        <f t="shared" si="48"/>
        <v>1</v>
      </c>
      <c r="Y118" s="29"/>
      <c r="Z118" s="45"/>
      <c r="AA118" s="16">
        <v>1</v>
      </c>
      <c r="AB118" s="12">
        <f t="shared" si="49"/>
        <v>1</v>
      </c>
      <c r="AC118" s="13">
        <f t="shared" si="50"/>
        <v>2</v>
      </c>
      <c r="AD118" s="15">
        <v>45369</v>
      </c>
    </row>
    <row r="119" spans="1:30" x14ac:dyDescent="0.15">
      <c r="A119" s="25"/>
      <c r="B119" s="29"/>
      <c r="C119" s="45"/>
      <c r="D119" s="16"/>
      <c r="E119" s="12">
        <f t="shared" si="61"/>
        <v>0</v>
      </c>
      <c r="F119" s="29"/>
      <c r="G119" s="45"/>
      <c r="H119" s="16"/>
      <c r="I119" s="12">
        <f t="shared" si="62"/>
        <v>0</v>
      </c>
      <c r="J119" s="29"/>
      <c r="K119" s="45"/>
      <c r="L119" s="16"/>
      <c r="M119" s="12">
        <f t="shared" si="63"/>
        <v>0</v>
      </c>
      <c r="N119" s="13">
        <f t="shared" si="46"/>
        <v>0</v>
      </c>
      <c r="O119" s="15"/>
      <c r="P119" s="36" t="s">
        <v>28</v>
      </c>
      <c r="Q119" s="29">
        <v>1</v>
      </c>
      <c r="R119" s="45">
        <v>1</v>
      </c>
      <c r="S119" s="16"/>
      <c r="T119" s="12">
        <f t="shared" si="47"/>
        <v>2</v>
      </c>
      <c r="U119" s="29"/>
      <c r="V119" s="45"/>
      <c r="W119" s="16"/>
      <c r="X119" s="12">
        <f t="shared" si="48"/>
        <v>0</v>
      </c>
      <c r="Y119" s="29">
        <v>1</v>
      </c>
      <c r="Z119" s="45"/>
      <c r="AA119" s="16"/>
      <c r="AB119" s="12">
        <f t="shared" si="49"/>
        <v>1</v>
      </c>
      <c r="AC119" s="13">
        <f t="shared" si="50"/>
        <v>3</v>
      </c>
      <c r="AD119" s="15">
        <v>45407</v>
      </c>
    </row>
    <row r="120" spans="1:30" x14ac:dyDescent="0.15">
      <c r="A120" s="25"/>
      <c r="B120" s="29"/>
      <c r="C120" s="45"/>
      <c r="D120" s="16"/>
      <c r="E120" s="12">
        <f t="shared" si="61"/>
        <v>0</v>
      </c>
      <c r="F120" s="29"/>
      <c r="G120" s="45"/>
      <c r="H120" s="16"/>
      <c r="I120" s="12">
        <f t="shared" si="62"/>
        <v>0</v>
      </c>
      <c r="J120" s="29"/>
      <c r="K120" s="45"/>
      <c r="L120" s="16"/>
      <c r="M120" s="12">
        <f t="shared" si="63"/>
        <v>0</v>
      </c>
      <c r="N120" s="13">
        <f t="shared" si="46"/>
        <v>0</v>
      </c>
      <c r="O120" s="15"/>
      <c r="P120" s="36" t="s">
        <v>28</v>
      </c>
      <c r="Q120" s="29"/>
      <c r="R120" s="45"/>
      <c r="S120" s="16"/>
      <c r="T120" s="12">
        <f t="shared" si="47"/>
        <v>0</v>
      </c>
      <c r="U120" s="29"/>
      <c r="V120" s="45"/>
      <c r="W120" s="16"/>
      <c r="X120" s="12">
        <f t="shared" si="48"/>
        <v>0</v>
      </c>
      <c r="Y120" s="29">
        <v>1</v>
      </c>
      <c r="Z120" s="45"/>
      <c r="AA120" s="16"/>
      <c r="AB120" s="12">
        <f t="shared" si="49"/>
        <v>1</v>
      </c>
      <c r="AC120" s="13">
        <f t="shared" si="50"/>
        <v>1</v>
      </c>
      <c r="AD120" s="15">
        <v>45470</v>
      </c>
    </row>
    <row r="121" spans="1:30" x14ac:dyDescent="0.15">
      <c r="A121" s="25"/>
      <c r="B121" s="29"/>
      <c r="C121" s="45"/>
      <c r="D121" s="16"/>
      <c r="E121" s="12">
        <f t="shared" si="61"/>
        <v>0</v>
      </c>
      <c r="F121" s="29"/>
      <c r="G121" s="45"/>
      <c r="H121" s="16"/>
      <c r="I121" s="12">
        <f t="shared" si="62"/>
        <v>0</v>
      </c>
      <c r="J121" s="29"/>
      <c r="K121" s="45"/>
      <c r="L121" s="16"/>
      <c r="M121" s="12">
        <f t="shared" si="63"/>
        <v>0</v>
      </c>
      <c r="N121" s="13">
        <f t="shared" si="46"/>
        <v>0</v>
      </c>
      <c r="O121" s="15"/>
      <c r="P121" s="36" t="s">
        <v>28</v>
      </c>
      <c r="Q121" s="29"/>
      <c r="R121" s="45"/>
      <c r="S121" s="16"/>
      <c r="T121" s="12">
        <f t="shared" si="47"/>
        <v>0</v>
      </c>
      <c r="U121" s="29"/>
      <c r="V121" s="45"/>
      <c r="W121" s="16"/>
      <c r="X121" s="12">
        <f t="shared" si="48"/>
        <v>0</v>
      </c>
      <c r="Y121" s="29"/>
      <c r="Z121" s="45"/>
      <c r="AA121" s="16">
        <v>1</v>
      </c>
      <c r="AB121" s="12">
        <f t="shared" si="49"/>
        <v>1</v>
      </c>
      <c r="AC121" s="13">
        <f t="shared" si="50"/>
        <v>1</v>
      </c>
      <c r="AD121" s="15">
        <v>45481</v>
      </c>
    </row>
    <row r="122" spans="1:30" x14ac:dyDescent="0.15">
      <c r="A122" s="25"/>
      <c r="B122" s="29"/>
      <c r="C122" s="45"/>
      <c r="D122" s="16"/>
      <c r="E122" s="12">
        <f t="shared" si="61"/>
        <v>0</v>
      </c>
      <c r="F122" s="29"/>
      <c r="G122" s="45"/>
      <c r="H122" s="16"/>
      <c r="I122" s="12">
        <f t="shared" si="62"/>
        <v>0</v>
      </c>
      <c r="J122" s="29"/>
      <c r="K122" s="45"/>
      <c r="L122" s="16"/>
      <c r="M122" s="12">
        <f t="shared" si="63"/>
        <v>0</v>
      </c>
      <c r="N122" s="13">
        <f t="shared" si="46"/>
        <v>0</v>
      </c>
      <c r="O122" s="15"/>
      <c r="P122" s="36" t="s">
        <v>28</v>
      </c>
      <c r="Q122" s="29"/>
      <c r="R122" s="45">
        <v>1</v>
      </c>
      <c r="S122" s="16"/>
      <c r="T122" s="12">
        <f t="shared" si="47"/>
        <v>1</v>
      </c>
      <c r="U122" s="29"/>
      <c r="V122" s="45">
        <v>2</v>
      </c>
      <c r="W122" s="16"/>
      <c r="X122" s="12">
        <f t="shared" si="48"/>
        <v>2</v>
      </c>
      <c r="Y122" s="29"/>
      <c r="Z122" s="45">
        <v>3</v>
      </c>
      <c r="AA122" s="16"/>
      <c r="AB122" s="12">
        <f t="shared" si="49"/>
        <v>3</v>
      </c>
      <c r="AC122" s="13">
        <f t="shared" si="50"/>
        <v>6</v>
      </c>
      <c r="AD122" s="15">
        <v>45483</v>
      </c>
    </row>
    <row r="123" spans="1:30" x14ac:dyDescent="0.15">
      <c r="A123" s="25"/>
      <c r="B123" s="29"/>
      <c r="C123" s="45"/>
      <c r="D123" s="16"/>
      <c r="E123" s="12">
        <f t="shared" si="61"/>
        <v>0</v>
      </c>
      <c r="F123" s="29"/>
      <c r="G123" s="45"/>
      <c r="H123" s="16"/>
      <c r="I123" s="12">
        <f t="shared" si="62"/>
        <v>0</v>
      </c>
      <c r="J123" s="29"/>
      <c r="K123" s="45"/>
      <c r="L123" s="16"/>
      <c r="M123" s="12">
        <f t="shared" si="63"/>
        <v>0</v>
      </c>
      <c r="N123" s="13">
        <f t="shared" si="46"/>
        <v>0</v>
      </c>
      <c r="O123" s="15"/>
      <c r="P123" s="36" t="s">
        <v>28</v>
      </c>
      <c r="Q123" s="29"/>
      <c r="R123" s="45"/>
      <c r="S123" s="16"/>
      <c r="T123" s="12">
        <f t="shared" si="47"/>
        <v>0</v>
      </c>
      <c r="U123" s="29"/>
      <c r="V123" s="45"/>
      <c r="W123" s="16"/>
      <c r="X123" s="12">
        <f t="shared" si="48"/>
        <v>0</v>
      </c>
      <c r="Y123" s="29"/>
      <c r="Z123" s="45"/>
      <c r="AA123" s="16">
        <v>1</v>
      </c>
      <c r="AB123" s="12">
        <f t="shared" si="49"/>
        <v>1</v>
      </c>
      <c r="AC123" s="13">
        <f t="shared" si="50"/>
        <v>1</v>
      </c>
      <c r="AD123" s="15">
        <v>45512</v>
      </c>
    </row>
    <row r="124" spans="1:30" x14ac:dyDescent="0.15">
      <c r="A124" s="25"/>
      <c r="B124" s="29"/>
      <c r="C124" s="45"/>
      <c r="D124" s="16"/>
      <c r="E124" s="12">
        <f t="shared" si="58"/>
        <v>0</v>
      </c>
      <c r="F124" s="29"/>
      <c r="G124" s="45"/>
      <c r="H124" s="16"/>
      <c r="I124" s="12">
        <f t="shared" si="59"/>
        <v>0</v>
      </c>
      <c r="J124" s="29"/>
      <c r="K124" s="45"/>
      <c r="L124" s="16"/>
      <c r="M124" s="12">
        <f t="shared" si="60"/>
        <v>0</v>
      </c>
      <c r="N124" s="13">
        <f t="shared" si="46"/>
        <v>0</v>
      </c>
      <c r="O124" s="15"/>
      <c r="P124" s="36" t="s">
        <v>28</v>
      </c>
      <c r="Q124" s="29">
        <v>1</v>
      </c>
      <c r="R124" s="45"/>
      <c r="S124" s="16"/>
      <c r="T124" s="12">
        <f t="shared" si="47"/>
        <v>1</v>
      </c>
      <c r="U124" s="29"/>
      <c r="V124" s="45"/>
      <c r="W124" s="16"/>
      <c r="X124" s="12">
        <f t="shared" si="48"/>
        <v>0</v>
      </c>
      <c r="Y124" s="29"/>
      <c r="Z124" s="45"/>
      <c r="AA124" s="16"/>
      <c r="AB124" s="12">
        <f t="shared" si="49"/>
        <v>0</v>
      </c>
      <c r="AC124" s="13">
        <f t="shared" si="50"/>
        <v>1</v>
      </c>
      <c r="AD124" s="15">
        <v>45520</v>
      </c>
    </row>
    <row r="125" spans="1:30" ht="14.25" thickBot="1" x14ac:dyDescent="0.2">
      <c r="A125" s="11"/>
      <c r="B125" s="29"/>
      <c r="C125" s="45"/>
      <c r="D125" s="16"/>
      <c r="E125" s="12">
        <f t="shared" si="58"/>
        <v>0</v>
      </c>
      <c r="F125" s="29"/>
      <c r="G125" s="45"/>
      <c r="H125" s="16"/>
      <c r="I125" s="12">
        <f t="shared" si="59"/>
        <v>0</v>
      </c>
      <c r="J125" s="29"/>
      <c r="K125" s="45"/>
      <c r="L125" s="16"/>
      <c r="M125" s="12">
        <f t="shared" si="60"/>
        <v>0</v>
      </c>
      <c r="N125" s="20">
        <f t="shared" si="46"/>
        <v>0</v>
      </c>
      <c r="O125" s="15"/>
      <c r="P125" s="36" t="s">
        <v>28</v>
      </c>
      <c r="Q125" s="29"/>
      <c r="R125" s="45"/>
      <c r="S125" s="16">
        <v>2</v>
      </c>
      <c r="T125" s="12">
        <f t="shared" si="47"/>
        <v>2</v>
      </c>
      <c r="U125" s="29"/>
      <c r="V125" s="45"/>
      <c r="W125" s="16"/>
      <c r="X125" s="12">
        <f t="shared" si="48"/>
        <v>0</v>
      </c>
      <c r="Y125" s="29"/>
      <c r="Z125" s="45">
        <v>1</v>
      </c>
      <c r="AA125" s="16"/>
      <c r="AB125" s="12">
        <f t="shared" si="49"/>
        <v>1</v>
      </c>
      <c r="AC125" s="20">
        <f t="shared" si="50"/>
        <v>3</v>
      </c>
      <c r="AD125" s="15">
        <v>45526</v>
      </c>
    </row>
    <row r="126" spans="1:30" ht="14.25" thickBot="1" x14ac:dyDescent="0.2">
      <c r="A126" s="3" t="s">
        <v>9</v>
      </c>
      <c r="B126" s="22">
        <f>SUM(B102:B125)</f>
        <v>3</v>
      </c>
      <c r="C126" s="47">
        <f t="shared" ref="C126:E126" si="64">SUM(C102:C125)</f>
        <v>5</v>
      </c>
      <c r="D126" s="41">
        <f t="shared" si="64"/>
        <v>5</v>
      </c>
      <c r="E126" s="31">
        <f t="shared" si="64"/>
        <v>13</v>
      </c>
      <c r="F126" s="22">
        <f>SUM(F102:F125)</f>
        <v>3</v>
      </c>
      <c r="G126" s="47">
        <f t="shared" ref="G126:I126" si="65">SUM(G102:G125)</f>
        <v>2</v>
      </c>
      <c r="H126" s="41">
        <f t="shared" si="65"/>
        <v>3</v>
      </c>
      <c r="I126" s="31">
        <f t="shared" si="65"/>
        <v>8</v>
      </c>
      <c r="J126" s="22">
        <f>SUM(J102:J125)</f>
        <v>3</v>
      </c>
      <c r="K126" s="47">
        <f t="shared" ref="K126:M126" si="66">SUM(K102:K125)</f>
        <v>2</v>
      </c>
      <c r="L126" s="41">
        <f t="shared" si="66"/>
        <v>4</v>
      </c>
      <c r="M126" s="31">
        <f t="shared" si="66"/>
        <v>9</v>
      </c>
      <c r="N126" s="24">
        <f t="shared" si="46"/>
        <v>30</v>
      </c>
      <c r="P126" s="3" t="s">
        <v>9</v>
      </c>
      <c r="Q126" s="22">
        <f>SUM(Q102:Q125)</f>
        <v>6</v>
      </c>
      <c r="R126" s="47">
        <f>SUM(R102:R125)</f>
        <v>5</v>
      </c>
      <c r="S126" s="41">
        <f>SUM(S102:S125)</f>
        <v>4</v>
      </c>
      <c r="T126" s="31">
        <f>SUM(T102:T125)</f>
        <v>15</v>
      </c>
      <c r="U126" s="22">
        <f>SUM(U102:U125)</f>
        <v>3</v>
      </c>
      <c r="V126" s="47">
        <f t="shared" ref="V126:X126" si="67">SUM(V102:V125)</f>
        <v>9</v>
      </c>
      <c r="W126" s="41">
        <f t="shared" si="67"/>
        <v>7</v>
      </c>
      <c r="X126" s="31">
        <f t="shared" si="67"/>
        <v>19</v>
      </c>
      <c r="Y126" s="22">
        <f>SUM(Y102:Y125)</f>
        <v>4</v>
      </c>
      <c r="Z126" s="47">
        <f t="shared" ref="Z126:AB126" si="68">SUM(Z102:Z125)</f>
        <v>9</v>
      </c>
      <c r="AA126" s="41">
        <f t="shared" si="68"/>
        <v>8</v>
      </c>
      <c r="AB126" s="31">
        <f t="shared" si="68"/>
        <v>21</v>
      </c>
      <c r="AC126" s="24">
        <f t="shared" si="50"/>
        <v>55</v>
      </c>
    </row>
    <row r="127" spans="1:30" ht="14.25" thickBot="1" x14ac:dyDescent="0.2">
      <c r="A127" s="32" t="s">
        <v>10</v>
      </c>
      <c r="B127" s="33">
        <f>B101-B126</f>
        <v>4</v>
      </c>
      <c r="C127" s="49">
        <f t="shared" ref="C127:E127" si="69">C101-C126</f>
        <v>4</v>
      </c>
      <c r="D127" s="42">
        <f t="shared" si="69"/>
        <v>4</v>
      </c>
      <c r="E127" s="33">
        <f t="shared" si="69"/>
        <v>12</v>
      </c>
      <c r="F127" s="33">
        <f>F101-F126</f>
        <v>2</v>
      </c>
      <c r="G127" s="49">
        <f t="shared" ref="G127:I127" si="70">G101-G126</f>
        <v>3</v>
      </c>
      <c r="H127" s="42">
        <f t="shared" si="70"/>
        <v>2</v>
      </c>
      <c r="I127" s="33">
        <f t="shared" si="70"/>
        <v>7</v>
      </c>
      <c r="J127" s="33">
        <f>J101-J126</f>
        <v>2</v>
      </c>
      <c r="K127" s="49">
        <f t="shared" ref="K127:M127" si="71">K101-K126</f>
        <v>3</v>
      </c>
      <c r="L127" s="42">
        <f t="shared" si="71"/>
        <v>3</v>
      </c>
      <c r="M127" s="33">
        <f t="shared" si="71"/>
        <v>8</v>
      </c>
      <c r="N127" s="24">
        <f t="shared" si="46"/>
        <v>27</v>
      </c>
      <c r="P127" s="32" t="s">
        <v>10</v>
      </c>
      <c r="Q127" s="33">
        <f>Q101-Q126</f>
        <v>4</v>
      </c>
      <c r="R127" s="49">
        <f>R101-R126</f>
        <v>5</v>
      </c>
      <c r="S127" s="42">
        <f>S101-S126</f>
        <v>3</v>
      </c>
      <c r="T127" s="33">
        <f>T101-T126</f>
        <v>12</v>
      </c>
      <c r="U127" s="33">
        <f>U101-U126</f>
        <v>5</v>
      </c>
      <c r="V127" s="49">
        <f t="shared" ref="V127:X127" si="72">V101-V126</f>
        <v>5</v>
      </c>
      <c r="W127" s="42">
        <f t="shared" si="72"/>
        <v>1</v>
      </c>
      <c r="X127" s="33">
        <f t="shared" si="72"/>
        <v>11</v>
      </c>
      <c r="Y127" s="33">
        <f>Y101-Y126</f>
        <v>5</v>
      </c>
      <c r="Z127" s="49">
        <f t="shared" ref="Z127:AB127" si="73">Z101-Z126</f>
        <v>4</v>
      </c>
      <c r="AA127" s="42">
        <f t="shared" si="73"/>
        <v>1</v>
      </c>
      <c r="AB127" s="33">
        <f t="shared" si="73"/>
        <v>10</v>
      </c>
      <c r="AC127" s="24">
        <f t="shared" si="50"/>
        <v>33</v>
      </c>
    </row>
    <row r="130" spans="1:31" ht="21.75" thickBot="1" x14ac:dyDescent="0.25">
      <c r="A130" s="34" t="s">
        <v>12</v>
      </c>
      <c r="B130" s="35"/>
      <c r="C130" s="35"/>
      <c r="D130" s="38" t="s">
        <v>51</v>
      </c>
      <c r="E130" s="1"/>
      <c r="F130" s="1"/>
      <c r="G130" s="1"/>
      <c r="H130" s="1"/>
      <c r="I130" s="1"/>
      <c r="J130" s="1"/>
      <c r="K130" s="1"/>
      <c r="L130" s="1"/>
      <c r="M130" s="1"/>
      <c r="N130">
        <v>630</v>
      </c>
      <c r="P130" s="34" t="s">
        <v>12</v>
      </c>
      <c r="Q130" s="35"/>
      <c r="R130" s="35"/>
      <c r="S130" s="35"/>
      <c r="T130" s="37"/>
      <c r="U130" s="35"/>
      <c r="V130" s="35"/>
      <c r="W130" s="35"/>
      <c r="X130" s="37"/>
      <c r="Y130" s="35">
        <v>630</v>
      </c>
      <c r="Z130" s="35"/>
      <c r="AA130" s="38" t="s">
        <v>49</v>
      </c>
      <c r="AB130" s="1"/>
    </row>
    <row r="131" spans="1:31" ht="14.25" thickBot="1" x14ac:dyDescent="0.2">
      <c r="A131" s="2" t="s">
        <v>0</v>
      </c>
      <c r="B131" s="109" t="s">
        <v>15</v>
      </c>
      <c r="C131" s="109"/>
      <c r="D131" s="109"/>
      <c r="E131" s="110"/>
      <c r="F131" s="113" t="s">
        <v>16</v>
      </c>
      <c r="G131" s="113"/>
      <c r="H131" s="113"/>
      <c r="I131" s="114"/>
      <c r="J131" s="111" t="s">
        <v>17</v>
      </c>
      <c r="K131" s="111"/>
      <c r="L131" s="111"/>
      <c r="M131" s="112"/>
      <c r="N131" s="107" t="s">
        <v>14</v>
      </c>
      <c r="P131" s="2" t="s">
        <v>0</v>
      </c>
      <c r="Q131" s="115" t="s">
        <v>13</v>
      </c>
      <c r="R131" s="115"/>
      <c r="S131" s="115"/>
      <c r="T131" s="116"/>
      <c r="U131" s="117" t="s">
        <v>20</v>
      </c>
      <c r="V131" s="117"/>
      <c r="W131" s="117"/>
      <c r="X131" s="118"/>
      <c r="Y131" s="119" t="s">
        <v>21</v>
      </c>
      <c r="Z131" s="119"/>
      <c r="AA131" s="119"/>
      <c r="AB131" s="120"/>
      <c r="AC131" s="107" t="s">
        <v>14</v>
      </c>
    </row>
    <row r="132" spans="1:31" ht="14.25" thickBot="1" x14ac:dyDescent="0.2">
      <c r="A132" s="2" t="s">
        <v>1</v>
      </c>
      <c r="B132" s="3" t="s">
        <v>2</v>
      </c>
      <c r="C132" s="43" t="s">
        <v>3</v>
      </c>
      <c r="D132" s="4" t="s">
        <v>4</v>
      </c>
      <c r="E132" s="2" t="s">
        <v>5</v>
      </c>
      <c r="F132" s="3" t="s">
        <v>2</v>
      </c>
      <c r="G132" s="43" t="s">
        <v>3</v>
      </c>
      <c r="H132" s="4" t="s">
        <v>4</v>
      </c>
      <c r="I132" s="2" t="s">
        <v>5</v>
      </c>
      <c r="J132" s="3" t="s">
        <v>2</v>
      </c>
      <c r="K132" s="43" t="s">
        <v>3</v>
      </c>
      <c r="L132" s="4" t="s">
        <v>4</v>
      </c>
      <c r="M132" s="2" t="s">
        <v>5</v>
      </c>
      <c r="N132" s="108"/>
      <c r="P132" s="2" t="s">
        <v>1</v>
      </c>
      <c r="Q132" s="3" t="s">
        <v>2</v>
      </c>
      <c r="R132" s="43" t="s">
        <v>3</v>
      </c>
      <c r="S132" s="4" t="s">
        <v>4</v>
      </c>
      <c r="T132" s="2" t="s">
        <v>5</v>
      </c>
      <c r="U132" s="3" t="s">
        <v>2</v>
      </c>
      <c r="V132" s="43" t="s">
        <v>3</v>
      </c>
      <c r="W132" s="4" t="s">
        <v>4</v>
      </c>
      <c r="X132" s="2" t="s">
        <v>5</v>
      </c>
      <c r="Y132" s="3" t="s">
        <v>2</v>
      </c>
      <c r="Z132" s="43" t="s">
        <v>3</v>
      </c>
      <c r="AA132" s="4" t="s">
        <v>4</v>
      </c>
      <c r="AB132" s="2" t="s">
        <v>5</v>
      </c>
      <c r="AC132" s="108"/>
    </row>
    <row r="133" spans="1:31" x14ac:dyDescent="0.15">
      <c r="A133" s="5" t="s">
        <v>10</v>
      </c>
      <c r="B133" s="6">
        <f t="shared" ref="B133:M133" si="74">B127</f>
        <v>4</v>
      </c>
      <c r="C133" s="50">
        <f t="shared" si="74"/>
        <v>4</v>
      </c>
      <c r="D133" s="6">
        <f t="shared" si="74"/>
        <v>4</v>
      </c>
      <c r="E133" s="7">
        <f t="shared" si="74"/>
        <v>12</v>
      </c>
      <c r="F133" s="6">
        <f t="shared" si="74"/>
        <v>2</v>
      </c>
      <c r="G133" s="50">
        <f t="shared" si="74"/>
        <v>3</v>
      </c>
      <c r="H133" s="6">
        <f t="shared" si="74"/>
        <v>2</v>
      </c>
      <c r="I133" s="7">
        <f t="shared" si="74"/>
        <v>7</v>
      </c>
      <c r="J133" s="6">
        <f t="shared" si="74"/>
        <v>2</v>
      </c>
      <c r="K133" s="50">
        <f t="shared" si="74"/>
        <v>3</v>
      </c>
      <c r="L133" s="6">
        <f t="shared" si="74"/>
        <v>3</v>
      </c>
      <c r="M133" s="7">
        <f t="shared" si="74"/>
        <v>8</v>
      </c>
      <c r="N133" s="13">
        <f>E133+M133+I133</f>
        <v>27</v>
      </c>
      <c r="P133" s="5" t="s">
        <v>10</v>
      </c>
      <c r="Q133" s="6">
        <f>Q127</f>
        <v>4</v>
      </c>
      <c r="R133" s="50">
        <f>R127</f>
        <v>5</v>
      </c>
      <c r="S133" s="6">
        <f>S127</f>
        <v>3</v>
      </c>
      <c r="T133" s="7">
        <f>T127</f>
        <v>12</v>
      </c>
      <c r="U133" s="6">
        <f>U127</f>
        <v>5</v>
      </c>
      <c r="V133" s="50">
        <f t="shared" ref="V133:AB133" si="75">V127</f>
        <v>5</v>
      </c>
      <c r="W133" s="6">
        <f t="shared" si="75"/>
        <v>1</v>
      </c>
      <c r="X133" s="7">
        <f t="shared" si="75"/>
        <v>11</v>
      </c>
      <c r="Y133" s="6">
        <f t="shared" si="75"/>
        <v>5</v>
      </c>
      <c r="Z133" s="50">
        <f t="shared" si="75"/>
        <v>4</v>
      </c>
      <c r="AA133" s="6">
        <f t="shared" si="75"/>
        <v>1</v>
      </c>
      <c r="AB133" s="7">
        <f t="shared" si="75"/>
        <v>10</v>
      </c>
      <c r="AC133" s="8">
        <f>AC127</f>
        <v>33</v>
      </c>
    </row>
    <row r="134" spans="1:31" x14ac:dyDescent="0.15">
      <c r="A134" s="9" t="s">
        <v>7</v>
      </c>
      <c r="B134" s="16"/>
      <c r="C134" s="45"/>
      <c r="D134" s="16"/>
      <c r="E134" s="12">
        <f t="shared" ref="E134:E141" si="76">SUM(B134:D134)</f>
        <v>0</v>
      </c>
      <c r="F134" s="16">
        <v>2</v>
      </c>
      <c r="G134" s="45"/>
      <c r="H134" s="16">
        <v>2</v>
      </c>
      <c r="I134" s="12">
        <f t="shared" ref="I134:I141" si="77">SUM(F134:H134)</f>
        <v>4</v>
      </c>
      <c r="J134" s="16"/>
      <c r="K134" s="45"/>
      <c r="L134" s="16"/>
      <c r="M134" s="12">
        <f t="shared" ref="M134:M141" si="78">SUM(J134:L134)</f>
        <v>0</v>
      </c>
      <c r="N134" s="13">
        <f t="shared" ref="N134:N141" si="79">E134+M134+I134</f>
        <v>4</v>
      </c>
      <c r="O134" s="15">
        <v>45707</v>
      </c>
      <c r="P134" s="9" t="s">
        <v>7</v>
      </c>
      <c r="Q134" s="16"/>
      <c r="R134" s="45"/>
      <c r="S134" s="16"/>
      <c r="T134" s="12">
        <f t="shared" ref="T134:T168" si="80">SUM(Q134:S134)</f>
        <v>0</v>
      </c>
      <c r="U134" s="16"/>
      <c r="V134" s="45"/>
      <c r="W134" s="16"/>
      <c r="X134" s="12">
        <f t="shared" ref="X134:X168" si="81">SUM(U134:W134)</f>
        <v>0</v>
      </c>
      <c r="Y134" s="16"/>
      <c r="Z134" s="45">
        <v>3</v>
      </c>
      <c r="AA134" s="16"/>
      <c r="AB134" s="12">
        <f t="shared" ref="AB134:AB168" si="82">SUM(Y134:AA134)</f>
        <v>3</v>
      </c>
      <c r="AC134" s="13">
        <f t="shared" ref="AC134:AC170" si="83">X134+AB134+T134</f>
        <v>3</v>
      </c>
      <c r="AD134" s="15">
        <v>45651</v>
      </c>
      <c r="AE134" s="14"/>
    </row>
    <row r="135" spans="1:31" x14ac:dyDescent="0.15">
      <c r="A135" s="9" t="s">
        <v>7</v>
      </c>
      <c r="B135" s="16"/>
      <c r="C135" s="45"/>
      <c r="D135" s="16">
        <v>2</v>
      </c>
      <c r="E135" s="12">
        <f t="shared" si="76"/>
        <v>2</v>
      </c>
      <c r="F135" s="16"/>
      <c r="G135" s="45"/>
      <c r="H135" s="16"/>
      <c r="I135" s="12">
        <f t="shared" si="77"/>
        <v>0</v>
      </c>
      <c r="J135" s="16"/>
      <c r="K135" s="45"/>
      <c r="L135" s="16"/>
      <c r="M135" s="12">
        <f t="shared" si="78"/>
        <v>0</v>
      </c>
      <c r="N135" s="13">
        <f t="shared" si="79"/>
        <v>2</v>
      </c>
      <c r="O135" s="15">
        <v>45771</v>
      </c>
      <c r="P135" s="9" t="s">
        <v>7</v>
      </c>
      <c r="Q135" s="16">
        <v>2</v>
      </c>
      <c r="R135" s="45"/>
      <c r="S135" s="16"/>
      <c r="T135" s="12">
        <f t="shared" si="80"/>
        <v>2</v>
      </c>
      <c r="U135" s="16"/>
      <c r="V135" s="45">
        <v>2</v>
      </c>
      <c r="W135" s="16">
        <v>2</v>
      </c>
      <c r="X135" s="12">
        <f t="shared" si="81"/>
        <v>4</v>
      </c>
      <c r="Y135" s="16"/>
      <c r="Z135" s="45"/>
      <c r="AA135" s="16">
        <v>2</v>
      </c>
      <c r="AB135" s="12">
        <f t="shared" si="82"/>
        <v>2</v>
      </c>
      <c r="AC135" s="13">
        <f t="shared" si="83"/>
        <v>8</v>
      </c>
      <c r="AD135" s="15">
        <v>45707</v>
      </c>
      <c r="AE135" s="14"/>
    </row>
    <row r="136" spans="1:31" x14ac:dyDescent="0.15">
      <c r="A136" s="9" t="s">
        <v>7</v>
      </c>
      <c r="B136" s="16"/>
      <c r="C136" s="45"/>
      <c r="D136" s="16"/>
      <c r="E136" s="12">
        <f t="shared" si="76"/>
        <v>0</v>
      </c>
      <c r="F136" s="16">
        <v>3</v>
      </c>
      <c r="G136" s="45"/>
      <c r="H136" s="16"/>
      <c r="I136" s="12">
        <f t="shared" si="77"/>
        <v>3</v>
      </c>
      <c r="J136" s="16">
        <v>3</v>
      </c>
      <c r="K136" s="45"/>
      <c r="L136" s="16"/>
      <c r="M136" s="12">
        <f t="shared" si="78"/>
        <v>3</v>
      </c>
      <c r="N136" s="13">
        <f t="shared" si="79"/>
        <v>6</v>
      </c>
      <c r="O136" s="15">
        <v>45812</v>
      </c>
      <c r="P136" s="9" t="s">
        <v>7</v>
      </c>
      <c r="Q136" s="16"/>
      <c r="R136" s="45"/>
      <c r="S136" s="16"/>
      <c r="T136" s="12">
        <f t="shared" si="80"/>
        <v>0</v>
      </c>
      <c r="U136" s="16"/>
      <c r="V136" s="45"/>
      <c r="W136" s="16"/>
      <c r="X136" s="12">
        <f t="shared" si="81"/>
        <v>0</v>
      </c>
      <c r="Y136" s="16"/>
      <c r="Z136" s="45"/>
      <c r="AA136" s="16">
        <v>2</v>
      </c>
      <c r="AB136" s="12">
        <f t="shared" si="82"/>
        <v>2</v>
      </c>
      <c r="AC136" s="13">
        <f t="shared" si="83"/>
        <v>2</v>
      </c>
      <c r="AD136" s="15">
        <v>45828</v>
      </c>
      <c r="AE136" s="14"/>
    </row>
    <row r="137" spans="1:31" x14ac:dyDescent="0.15">
      <c r="A137" s="9" t="s">
        <v>7</v>
      </c>
      <c r="B137" s="16">
        <v>4</v>
      </c>
      <c r="C137" s="45">
        <v>2</v>
      </c>
      <c r="D137" s="16">
        <v>2</v>
      </c>
      <c r="E137" s="12">
        <f t="shared" si="76"/>
        <v>8</v>
      </c>
      <c r="F137" s="16"/>
      <c r="G137" s="45">
        <v>3</v>
      </c>
      <c r="H137" s="16">
        <v>3</v>
      </c>
      <c r="I137" s="12">
        <f t="shared" si="77"/>
        <v>6</v>
      </c>
      <c r="J137" s="16">
        <v>2</v>
      </c>
      <c r="K137" s="45">
        <v>2</v>
      </c>
      <c r="L137" s="16">
        <v>3</v>
      </c>
      <c r="M137" s="12">
        <f t="shared" si="78"/>
        <v>7</v>
      </c>
      <c r="N137" s="13">
        <f t="shared" si="79"/>
        <v>21</v>
      </c>
      <c r="O137" s="15">
        <v>45828</v>
      </c>
      <c r="P137" s="9" t="s">
        <v>7</v>
      </c>
      <c r="Q137" s="16"/>
      <c r="R137" s="45"/>
      <c r="S137" s="16"/>
      <c r="T137" s="12">
        <f t="shared" si="80"/>
        <v>0</v>
      </c>
      <c r="U137" s="16">
        <v>3</v>
      </c>
      <c r="V137" s="45"/>
      <c r="W137" s="16"/>
      <c r="X137" s="12">
        <f t="shared" si="81"/>
        <v>3</v>
      </c>
      <c r="Y137" s="16"/>
      <c r="Z137" s="45"/>
      <c r="AA137" s="16"/>
      <c r="AB137" s="12">
        <f t="shared" si="82"/>
        <v>0</v>
      </c>
      <c r="AC137" s="13">
        <f t="shared" si="83"/>
        <v>3</v>
      </c>
      <c r="AD137" s="15">
        <v>45863</v>
      </c>
    </row>
    <row r="138" spans="1:31" x14ac:dyDescent="0.15">
      <c r="A138" s="9" t="s">
        <v>7</v>
      </c>
      <c r="B138" s="69"/>
      <c r="C138" s="45"/>
      <c r="D138" s="16"/>
      <c r="E138" s="12">
        <f t="shared" si="76"/>
        <v>0</v>
      </c>
      <c r="F138" s="16"/>
      <c r="G138" s="45"/>
      <c r="H138" s="16"/>
      <c r="I138" s="12">
        <f t="shared" si="77"/>
        <v>0</v>
      </c>
      <c r="J138" s="16">
        <v>3</v>
      </c>
      <c r="K138" s="45"/>
      <c r="L138" s="16"/>
      <c r="M138" s="12">
        <f t="shared" si="78"/>
        <v>3</v>
      </c>
      <c r="N138" s="13">
        <f t="shared" si="79"/>
        <v>3</v>
      </c>
      <c r="O138" s="15">
        <v>45863</v>
      </c>
      <c r="P138" s="9" t="s">
        <v>7</v>
      </c>
      <c r="Q138" s="16"/>
      <c r="R138" s="45"/>
      <c r="S138" s="16"/>
      <c r="T138" s="12">
        <f t="shared" si="80"/>
        <v>0</v>
      </c>
      <c r="U138" s="16"/>
      <c r="V138" s="45"/>
      <c r="W138" s="16"/>
      <c r="X138" s="12">
        <f t="shared" si="81"/>
        <v>0</v>
      </c>
      <c r="Y138" s="16"/>
      <c r="Z138" s="45"/>
      <c r="AA138" s="16"/>
      <c r="AB138" s="12">
        <f t="shared" si="82"/>
        <v>0</v>
      </c>
      <c r="AC138" s="13">
        <f t="shared" si="83"/>
        <v>0</v>
      </c>
      <c r="AD138" s="14"/>
    </row>
    <row r="139" spans="1:31" x14ac:dyDescent="0.15">
      <c r="A139" s="9" t="s">
        <v>7</v>
      </c>
      <c r="B139" s="69"/>
      <c r="C139" s="45"/>
      <c r="D139" s="16"/>
      <c r="E139" s="12">
        <f t="shared" si="76"/>
        <v>0</v>
      </c>
      <c r="F139" s="16"/>
      <c r="G139" s="45"/>
      <c r="H139" s="16"/>
      <c r="I139" s="12">
        <f t="shared" si="77"/>
        <v>0</v>
      </c>
      <c r="J139" s="16">
        <v>3</v>
      </c>
      <c r="K139" s="45"/>
      <c r="L139" s="61">
        <v>0</v>
      </c>
      <c r="M139" s="12">
        <f t="shared" si="78"/>
        <v>3</v>
      </c>
      <c r="N139" s="13">
        <f t="shared" si="79"/>
        <v>3</v>
      </c>
      <c r="O139" s="15">
        <v>45917</v>
      </c>
      <c r="P139" s="9" t="s">
        <v>7</v>
      </c>
      <c r="Q139" s="16"/>
      <c r="R139" s="45"/>
      <c r="S139" s="16"/>
      <c r="T139" s="12">
        <f t="shared" si="80"/>
        <v>0</v>
      </c>
      <c r="U139" s="16"/>
      <c r="V139" s="45"/>
      <c r="W139" s="16"/>
      <c r="X139" s="12">
        <f t="shared" si="81"/>
        <v>0</v>
      </c>
      <c r="Y139" s="16"/>
      <c r="Z139" s="45"/>
      <c r="AA139" s="16"/>
      <c r="AB139" s="12">
        <f t="shared" si="82"/>
        <v>0</v>
      </c>
      <c r="AC139" s="13">
        <f t="shared" si="83"/>
        <v>0</v>
      </c>
    </row>
    <row r="140" spans="1:31" x14ac:dyDescent="0.15">
      <c r="A140" s="9" t="s">
        <v>7</v>
      </c>
      <c r="B140" s="69"/>
      <c r="C140" s="45"/>
      <c r="D140" s="16"/>
      <c r="E140" s="12">
        <f t="shared" si="76"/>
        <v>0</v>
      </c>
      <c r="F140" s="16"/>
      <c r="G140" s="45"/>
      <c r="H140" s="16"/>
      <c r="I140" s="12">
        <f t="shared" si="77"/>
        <v>0</v>
      </c>
      <c r="J140" s="16"/>
      <c r="K140" s="45"/>
      <c r="L140" s="61"/>
      <c r="M140" s="12">
        <f t="shared" si="78"/>
        <v>0</v>
      </c>
      <c r="N140" s="13">
        <f t="shared" si="79"/>
        <v>0</v>
      </c>
      <c r="O140" s="15"/>
      <c r="P140" s="9" t="s">
        <v>7</v>
      </c>
      <c r="Q140" s="16"/>
      <c r="R140" s="45"/>
      <c r="S140" s="16"/>
      <c r="T140" s="12">
        <f t="shared" si="80"/>
        <v>0</v>
      </c>
      <c r="U140" s="16"/>
      <c r="V140" s="45"/>
      <c r="W140" s="16"/>
      <c r="X140" s="12">
        <f t="shared" si="81"/>
        <v>0</v>
      </c>
      <c r="Y140" s="16"/>
      <c r="Z140" s="45"/>
      <c r="AA140" s="16"/>
      <c r="AB140" s="12">
        <f t="shared" si="82"/>
        <v>0</v>
      </c>
      <c r="AC140" s="13">
        <f t="shared" si="83"/>
        <v>0</v>
      </c>
    </row>
    <row r="141" spans="1:31" x14ac:dyDescent="0.15">
      <c r="A141" s="9" t="s">
        <v>7</v>
      </c>
      <c r="B141" s="69"/>
      <c r="C141" s="45"/>
      <c r="D141" s="16"/>
      <c r="E141" s="12">
        <f t="shared" si="76"/>
        <v>0</v>
      </c>
      <c r="F141" s="16"/>
      <c r="G141" s="45"/>
      <c r="H141" s="16"/>
      <c r="I141" s="12">
        <f t="shared" si="77"/>
        <v>0</v>
      </c>
      <c r="J141" s="16"/>
      <c r="K141" s="45"/>
      <c r="L141" s="61"/>
      <c r="M141" s="12">
        <f t="shared" si="78"/>
        <v>0</v>
      </c>
      <c r="N141" s="13">
        <f t="shared" si="79"/>
        <v>0</v>
      </c>
      <c r="O141" s="15"/>
      <c r="P141" s="9" t="s">
        <v>7</v>
      </c>
      <c r="Q141" s="16"/>
      <c r="R141" s="45"/>
      <c r="S141" s="16"/>
      <c r="T141" s="12">
        <f t="shared" si="80"/>
        <v>0</v>
      </c>
      <c r="U141" s="16"/>
      <c r="V141" s="45"/>
      <c r="W141" s="16"/>
      <c r="X141" s="12">
        <f t="shared" si="81"/>
        <v>0</v>
      </c>
      <c r="Y141" s="16"/>
      <c r="Z141" s="45"/>
      <c r="AA141" s="16"/>
      <c r="AB141" s="12">
        <f t="shared" si="82"/>
        <v>0</v>
      </c>
      <c r="AC141" s="13">
        <f t="shared" si="83"/>
        <v>0</v>
      </c>
    </row>
    <row r="142" spans="1:31" x14ac:dyDescent="0.15">
      <c r="A142" s="9" t="s">
        <v>7</v>
      </c>
      <c r="B142" s="69"/>
      <c r="C142" s="45"/>
      <c r="D142" s="16"/>
      <c r="E142" s="12">
        <f t="shared" ref="E142:E168" si="84">SUM(B142:D142)</f>
        <v>0</v>
      </c>
      <c r="F142" s="16"/>
      <c r="G142" s="45"/>
      <c r="H142" s="16"/>
      <c r="I142" s="12">
        <f t="shared" ref="I142:I168" si="85">SUM(F142:H142)</f>
        <v>0</v>
      </c>
      <c r="J142" s="16"/>
      <c r="K142" s="45"/>
      <c r="L142" s="61"/>
      <c r="M142" s="12">
        <f t="shared" ref="M142:M168" si="86">SUM(J142:L142)</f>
        <v>0</v>
      </c>
      <c r="N142" s="13">
        <f t="shared" ref="N142:N170" si="87">E142+M142+I142</f>
        <v>0</v>
      </c>
      <c r="O142" s="15"/>
      <c r="P142" s="9" t="s">
        <v>7</v>
      </c>
      <c r="Q142" s="16"/>
      <c r="R142" s="45"/>
      <c r="S142" s="16"/>
      <c r="T142" s="12">
        <f t="shared" si="80"/>
        <v>0</v>
      </c>
      <c r="U142" s="16"/>
      <c r="V142" s="45"/>
      <c r="W142" s="16"/>
      <c r="X142" s="12">
        <f t="shared" si="81"/>
        <v>0</v>
      </c>
      <c r="Y142" s="16"/>
      <c r="Z142" s="45"/>
      <c r="AA142" s="16"/>
      <c r="AB142" s="12">
        <f t="shared" si="82"/>
        <v>0</v>
      </c>
      <c r="AC142" s="13">
        <f t="shared" si="83"/>
        <v>0</v>
      </c>
    </row>
    <row r="143" spans="1:31" ht="14.25" thickBot="1" x14ac:dyDescent="0.2">
      <c r="A143" s="9" t="s">
        <v>7</v>
      </c>
      <c r="B143" s="69"/>
      <c r="C143" s="45"/>
      <c r="D143" s="16"/>
      <c r="E143" s="12">
        <f t="shared" si="84"/>
        <v>0</v>
      </c>
      <c r="F143" s="16"/>
      <c r="G143" s="45"/>
      <c r="H143" s="16"/>
      <c r="I143" s="12">
        <f t="shared" si="85"/>
        <v>0</v>
      </c>
      <c r="J143" s="16"/>
      <c r="K143" s="45"/>
      <c r="L143" s="61"/>
      <c r="M143" s="12">
        <f t="shared" si="86"/>
        <v>0</v>
      </c>
      <c r="N143" s="13">
        <f t="shared" si="87"/>
        <v>0</v>
      </c>
      <c r="O143" s="15"/>
      <c r="P143" s="17" t="s">
        <v>7</v>
      </c>
      <c r="Q143" s="18"/>
      <c r="R143" s="46"/>
      <c r="S143" s="18"/>
      <c r="T143" s="19">
        <f t="shared" si="80"/>
        <v>0</v>
      </c>
      <c r="U143" s="18"/>
      <c r="V143" s="46"/>
      <c r="W143" s="18"/>
      <c r="X143" s="19">
        <f t="shared" si="81"/>
        <v>0</v>
      </c>
      <c r="Y143" s="18"/>
      <c r="Z143" s="46"/>
      <c r="AA143" s="18"/>
      <c r="AB143" s="19">
        <f t="shared" si="82"/>
        <v>0</v>
      </c>
      <c r="AC143" s="20">
        <f t="shared" si="83"/>
        <v>0</v>
      </c>
    </row>
    <row r="144" spans="1:31" ht="14.25" thickBot="1" x14ac:dyDescent="0.2">
      <c r="A144" s="21" t="s">
        <v>8</v>
      </c>
      <c r="B144" s="22">
        <f>SUM(B133:B143)</f>
        <v>8</v>
      </c>
      <c r="C144" s="47">
        <f>SUM(C133:C143)</f>
        <v>6</v>
      </c>
      <c r="D144" s="40">
        <f>SUM(D133:D143)</f>
        <v>8</v>
      </c>
      <c r="E144" s="23">
        <f t="shared" si="84"/>
        <v>22</v>
      </c>
      <c r="F144" s="22">
        <f>SUM(F133:F143)</f>
        <v>7</v>
      </c>
      <c r="G144" s="47">
        <f>SUM(G133:G143)</f>
        <v>6</v>
      </c>
      <c r="H144" s="40">
        <f>SUM(H133:H143)</f>
        <v>7</v>
      </c>
      <c r="I144" s="23">
        <f t="shared" si="85"/>
        <v>20</v>
      </c>
      <c r="J144" s="22">
        <f>SUM(J133:J143)</f>
        <v>13</v>
      </c>
      <c r="K144" s="47">
        <f>SUM(K133:K143)</f>
        <v>5</v>
      </c>
      <c r="L144" s="40">
        <f>SUM(L133:L143)</f>
        <v>6</v>
      </c>
      <c r="M144" s="23">
        <f t="shared" si="86"/>
        <v>24</v>
      </c>
      <c r="N144" s="24">
        <f t="shared" si="87"/>
        <v>66</v>
      </c>
      <c r="P144" s="21" t="s">
        <v>8</v>
      </c>
      <c r="Q144" s="22">
        <f>SUM(Q133:Q143)</f>
        <v>6</v>
      </c>
      <c r="R144" s="47">
        <f>SUM(R133:R143)</f>
        <v>5</v>
      </c>
      <c r="S144" s="40">
        <f>SUM(S133:S143)</f>
        <v>3</v>
      </c>
      <c r="T144" s="23">
        <f t="shared" si="80"/>
        <v>14</v>
      </c>
      <c r="U144" s="22">
        <f>SUM(U133:U143)</f>
        <v>8</v>
      </c>
      <c r="V144" s="47">
        <f>SUM(V133:V143)</f>
        <v>7</v>
      </c>
      <c r="W144" s="40">
        <f>SUM(W133:W143)</f>
        <v>3</v>
      </c>
      <c r="X144" s="23">
        <f t="shared" si="81"/>
        <v>18</v>
      </c>
      <c r="Y144" s="22">
        <f>SUM(Y133:Y143)</f>
        <v>5</v>
      </c>
      <c r="Z144" s="47">
        <f>SUM(Z133:Z143)</f>
        <v>7</v>
      </c>
      <c r="AA144" s="40">
        <f>SUM(AA133:AA143)</f>
        <v>5</v>
      </c>
      <c r="AB144" s="23">
        <f t="shared" si="82"/>
        <v>17</v>
      </c>
      <c r="AC144" s="24">
        <f t="shared" si="83"/>
        <v>49</v>
      </c>
    </row>
    <row r="145" spans="1:30" x14ac:dyDescent="0.15">
      <c r="A145" s="25" t="s">
        <v>28</v>
      </c>
      <c r="B145" s="29"/>
      <c r="C145" s="45"/>
      <c r="D145" s="16">
        <v>1</v>
      </c>
      <c r="E145" s="12">
        <f t="shared" ref="E145:E159" si="88">SUM(B145:D145)</f>
        <v>1</v>
      </c>
      <c r="F145" s="29"/>
      <c r="G145" s="45"/>
      <c r="H145" s="16">
        <v>1</v>
      </c>
      <c r="I145" s="12">
        <f t="shared" ref="I145:I159" si="89">SUM(F145:H145)</f>
        <v>1</v>
      </c>
      <c r="J145" s="29"/>
      <c r="K145" s="45"/>
      <c r="L145" s="16">
        <v>1</v>
      </c>
      <c r="M145" s="12">
        <f t="shared" ref="M145:M159" si="90">SUM(J145:L145)</f>
        <v>1</v>
      </c>
      <c r="N145" s="13">
        <f t="shared" ref="N145:N159" si="91">E145+M145+I145</f>
        <v>3</v>
      </c>
      <c r="O145" s="15">
        <v>45638</v>
      </c>
      <c r="P145" s="36" t="s">
        <v>28</v>
      </c>
      <c r="Q145" s="29"/>
      <c r="R145" s="45">
        <v>1</v>
      </c>
      <c r="S145" s="16"/>
      <c r="T145" s="12">
        <f t="shared" si="80"/>
        <v>1</v>
      </c>
      <c r="U145" s="29"/>
      <c r="V145" s="45"/>
      <c r="W145" s="16"/>
      <c r="X145" s="12">
        <f t="shared" si="81"/>
        <v>0</v>
      </c>
      <c r="Y145" s="29"/>
      <c r="Z145" s="45">
        <v>1</v>
      </c>
      <c r="AA145" s="16"/>
      <c r="AB145" s="12">
        <f t="shared" si="82"/>
        <v>1</v>
      </c>
      <c r="AC145" s="13">
        <f t="shared" si="83"/>
        <v>2</v>
      </c>
      <c r="AD145" s="30">
        <v>45546</v>
      </c>
    </row>
    <row r="146" spans="1:30" x14ac:dyDescent="0.15">
      <c r="A146" s="25" t="s">
        <v>28</v>
      </c>
      <c r="B146" s="29"/>
      <c r="C146" s="45"/>
      <c r="D146" s="16"/>
      <c r="E146" s="12">
        <f t="shared" si="88"/>
        <v>0</v>
      </c>
      <c r="F146" s="29">
        <v>1</v>
      </c>
      <c r="G146" s="45"/>
      <c r="H146" s="16"/>
      <c r="I146" s="12">
        <f t="shared" si="89"/>
        <v>1</v>
      </c>
      <c r="J146" s="29"/>
      <c r="K146" s="45"/>
      <c r="L146" s="16"/>
      <c r="M146" s="12">
        <f t="shared" si="90"/>
        <v>0</v>
      </c>
      <c r="N146" s="13">
        <f t="shared" si="91"/>
        <v>1</v>
      </c>
      <c r="O146" s="15">
        <v>45698</v>
      </c>
      <c r="P146" s="36" t="s">
        <v>28</v>
      </c>
      <c r="Q146" s="29"/>
      <c r="R146" s="45"/>
      <c r="S146" s="16"/>
      <c r="T146" s="12">
        <f t="shared" si="80"/>
        <v>0</v>
      </c>
      <c r="U146" s="29"/>
      <c r="V146" s="45">
        <v>1</v>
      </c>
      <c r="W146" s="16"/>
      <c r="X146" s="12">
        <f t="shared" si="81"/>
        <v>1</v>
      </c>
      <c r="Y146" s="29"/>
      <c r="Z146" s="45"/>
      <c r="AA146" s="16"/>
      <c r="AB146" s="12">
        <f t="shared" si="82"/>
        <v>0</v>
      </c>
      <c r="AC146" s="13">
        <f t="shared" si="83"/>
        <v>1</v>
      </c>
      <c r="AD146" s="30">
        <v>45601</v>
      </c>
    </row>
    <row r="147" spans="1:30" x14ac:dyDescent="0.15">
      <c r="A147" s="25" t="s">
        <v>28</v>
      </c>
      <c r="B147" s="29"/>
      <c r="C147" s="45"/>
      <c r="D147" s="16">
        <v>1</v>
      </c>
      <c r="E147" s="12">
        <f t="shared" si="88"/>
        <v>1</v>
      </c>
      <c r="F147" s="29"/>
      <c r="G147" s="45"/>
      <c r="H147" s="16"/>
      <c r="I147" s="12">
        <f t="shared" si="89"/>
        <v>0</v>
      </c>
      <c r="J147" s="29"/>
      <c r="K147" s="45"/>
      <c r="L147" s="16"/>
      <c r="M147" s="12">
        <f t="shared" si="90"/>
        <v>0</v>
      </c>
      <c r="N147" s="13">
        <f t="shared" si="91"/>
        <v>1</v>
      </c>
      <c r="O147" s="15">
        <v>45717</v>
      </c>
      <c r="P147" s="36" t="s">
        <v>28</v>
      </c>
      <c r="Q147" s="29"/>
      <c r="R147" s="45"/>
      <c r="S147" s="16"/>
      <c r="T147" s="12">
        <f t="shared" si="80"/>
        <v>0</v>
      </c>
      <c r="U147" s="29"/>
      <c r="V147" s="45">
        <v>2</v>
      </c>
      <c r="W147" s="16"/>
      <c r="X147" s="12">
        <f t="shared" si="81"/>
        <v>2</v>
      </c>
      <c r="Y147" s="29"/>
      <c r="Z147" s="45">
        <v>2</v>
      </c>
      <c r="AA147" s="16"/>
      <c r="AB147" s="12">
        <f t="shared" si="82"/>
        <v>2</v>
      </c>
      <c r="AC147" s="13">
        <f t="shared" si="83"/>
        <v>4</v>
      </c>
      <c r="AD147" s="30">
        <v>45646</v>
      </c>
    </row>
    <row r="148" spans="1:30" x14ac:dyDescent="0.15">
      <c r="A148" s="25" t="s">
        <v>28</v>
      </c>
      <c r="B148" s="29">
        <v>1</v>
      </c>
      <c r="C148" s="45"/>
      <c r="D148" s="16"/>
      <c r="E148" s="12">
        <f t="shared" si="88"/>
        <v>1</v>
      </c>
      <c r="F148" s="29"/>
      <c r="G148" s="45"/>
      <c r="H148" s="16"/>
      <c r="I148" s="12">
        <f t="shared" si="89"/>
        <v>0</v>
      </c>
      <c r="J148" s="29"/>
      <c r="K148" s="45"/>
      <c r="L148" s="16"/>
      <c r="M148" s="12">
        <f t="shared" si="90"/>
        <v>0</v>
      </c>
      <c r="N148" s="13">
        <f t="shared" si="91"/>
        <v>1</v>
      </c>
      <c r="O148" s="15">
        <v>45762</v>
      </c>
      <c r="P148" s="36" t="s">
        <v>28</v>
      </c>
      <c r="Q148" s="29">
        <v>2</v>
      </c>
      <c r="R148" s="45"/>
      <c r="S148" s="16"/>
      <c r="T148" s="12">
        <f t="shared" si="80"/>
        <v>2</v>
      </c>
      <c r="U148" s="29"/>
      <c r="V148" s="45"/>
      <c r="W148" s="16"/>
      <c r="X148" s="12">
        <f t="shared" si="81"/>
        <v>0</v>
      </c>
      <c r="Y148" s="29"/>
      <c r="Z148" s="45"/>
      <c r="AA148" s="16"/>
      <c r="AB148" s="12">
        <f t="shared" si="82"/>
        <v>0</v>
      </c>
      <c r="AC148" s="13">
        <f t="shared" si="83"/>
        <v>2</v>
      </c>
      <c r="AD148" s="30">
        <v>45649</v>
      </c>
    </row>
    <row r="149" spans="1:30" x14ac:dyDescent="0.15">
      <c r="A149" s="25" t="s">
        <v>28</v>
      </c>
      <c r="B149" s="29"/>
      <c r="C149" s="45"/>
      <c r="D149" s="16">
        <v>1</v>
      </c>
      <c r="E149" s="12">
        <f t="shared" si="88"/>
        <v>1</v>
      </c>
      <c r="F149" s="29"/>
      <c r="G149" s="45"/>
      <c r="H149" s="16"/>
      <c r="I149" s="12">
        <f t="shared" si="89"/>
        <v>0</v>
      </c>
      <c r="J149" s="29"/>
      <c r="K149" s="45"/>
      <c r="L149" s="16"/>
      <c r="M149" s="12">
        <f t="shared" si="90"/>
        <v>0</v>
      </c>
      <c r="N149" s="13">
        <f t="shared" si="91"/>
        <v>1</v>
      </c>
      <c r="O149" s="15">
        <v>45763</v>
      </c>
      <c r="P149" s="36" t="s">
        <v>28</v>
      </c>
      <c r="Q149" s="29"/>
      <c r="R149" s="45"/>
      <c r="S149" s="16"/>
      <c r="T149" s="12">
        <f t="shared" si="80"/>
        <v>0</v>
      </c>
      <c r="U149" s="29"/>
      <c r="V149" s="45"/>
      <c r="W149" s="16"/>
      <c r="X149" s="12">
        <f t="shared" si="81"/>
        <v>0</v>
      </c>
      <c r="Y149" s="29"/>
      <c r="Z149" s="45"/>
      <c r="AA149" s="16">
        <v>1</v>
      </c>
      <c r="AB149" s="12">
        <f t="shared" si="82"/>
        <v>1</v>
      </c>
      <c r="AC149" s="13">
        <f t="shared" si="83"/>
        <v>1</v>
      </c>
      <c r="AD149" s="30">
        <v>45784</v>
      </c>
    </row>
    <row r="150" spans="1:30" x14ac:dyDescent="0.15">
      <c r="A150" s="25" t="s">
        <v>28</v>
      </c>
      <c r="B150" s="29">
        <v>1</v>
      </c>
      <c r="C150" s="45"/>
      <c r="D150" s="16"/>
      <c r="E150" s="12">
        <f t="shared" si="88"/>
        <v>1</v>
      </c>
      <c r="F150" s="29">
        <v>1</v>
      </c>
      <c r="G150" s="45"/>
      <c r="H150" s="16"/>
      <c r="I150" s="12">
        <f t="shared" si="89"/>
        <v>1</v>
      </c>
      <c r="J150" s="29">
        <v>1</v>
      </c>
      <c r="K150" s="45"/>
      <c r="L150" s="16"/>
      <c r="M150" s="12">
        <f t="shared" si="90"/>
        <v>1</v>
      </c>
      <c r="N150" s="13">
        <f t="shared" si="91"/>
        <v>3</v>
      </c>
      <c r="O150" s="15">
        <v>45779</v>
      </c>
      <c r="P150" s="36" t="s">
        <v>28</v>
      </c>
      <c r="Q150" s="29"/>
      <c r="R150" s="45"/>
      <c r="S150" s="16"/>
      <c r="T150" s="12">
        <f t="shared" si="80"/>
        <v>0</v>
      </c>
      <c r="U150" s="29">
        <v>2</v>
      </c>
      <c r="V150" s="45"/>
      <c r="W150" s="16"/>
      <c r="X150" s="12">
        <f t="shared" si="81"/>
        <v>2</v>
      </c>
      <c r="Y150" s="29"/>
      <c r="Z150" s="45"/>
      <c r="AA150" s="16"/>
      <c r="AB150" s="12">
        <f t="shared" si="82"/>
        <v>0</v>
      </c>
      <c r="AC150" s="13">
        <f t="shared" si="83"/>
        <v>2</v>
      </c>
      <c r="AD150" s="30">
        <v>45806</v>
      </c>
    </row>
    <row r="151" spans="1:30" x14ac:dyDescent="0.15">
      <c r="A151" s="25" t="s">
        <v>28</v>
      </c>
      <c r="B151" s="29"/>
      <c r="C151" s="45"/>
      <c r="D151" s="16">
        <v>1</v>
      </c>
      <c r="E151" s="12">
        <f t="shared" si="88"/>
        <v>1</v>
      </c>
      <c r="F151" s="29"/>
      <c r="G151" s="45"/>
      <c r="H151" s="16">
        <v>1</v>
      </c>
      <c r="I151" s="12">
        <f t="shared" si="89"/>
        <v>1</v>
      </c>
      <c r="J151" s="29"/>
      <c r="K151" s="45"/>
      <c r="L151" s="16">
        <v>1</v>
      </c>
      <c r="M151" s="12">
        <f t="shared" si="90"/>
        <v>1</v>
      </c>
      <c r="N151" s="13">
        <f t="shared" si="91"/>
        <v>3</v>
      </c>
      <c r="O151" s="15">
        <v>45796</v>
      </c>
      <c r="P151" s="36" t="s">
        <v>28</v>
      </c>
      <c r="Q151" s="29"/>
      <c r="R151" s="45"/>
      <c r="S151" s="16"/>
      <c r="T151" s="12">
        <f t="shared" si="80"/>
        <v>0</v>
      </c>
      <c r="U151" s="29">
        <v>1</v>
      </c>
      <c r="V151" s="45"/>
      <c r="W151" s="16"/>
      <c r="X151" s="12">
        <f t="shared" si="81"/>
        <v>1</v>
      </c>
      <c r="Y151" s="29"/>
      <c r="Z151" s="45"/>
      <c r="AA151" s="16"/>
      <c r="AB151" s="12">
        <f t="shared" si="82"/>
        <v>0</v>
      </c>
      <c r="AC151" s="13">
        <f t="shared" si="83"/>
        <v>1</v>
      </c>
      <c r="AD151" s="30">
        <v>45842</v>
      </c>
    </row>
    <row r="152" spans="1:30" x14ac:dyDescent="0.15">
      <c r="A152" s="25" t="s">
        <v>28</v>
      </c>
      <c r="B152" s="29"/>
      <c r="C152" s="45">
        <v>1</v>
      </c>
      <c r="D152" s="16"/>
      <c r="E152" s="12">
        <f t="shared" si="88"/>
        <v>1</v>
      </c>
      <c r="F152" s="29"/>
      <c r="G152" s="45"/>
      <c r="H152" s="16"/>
      <c r="I152" s="12">
        <f t="shared" si="89"/>
        <v>0</v>
      </c>
      <c r="J152" s="29"/>
      <c r="K152" s="45"/>
      <c r="L152" s="16"/>
      <c r="M152" s="12">
        <f t="shared" si="90"/>
        <v>0</v>
      </c>
      <c r="N152" s="13">
        <f t="shared" si="91"/>
        <v>1</v>
      </c>
      <c r="O152" s="15">
        <v>45798</v>
      </c>
      <c r="P152" s="36" t="s">
        <v>28</v>
      </c>
      <c r="Q152" s="29"/>
      <c r="R152" s="45"/>
      <c r="S152" s="16"/>
      <c r="T152" s="12">
        <f t="shared" si="80"/>
        <v>0</v>
      </c>
      <c r="U152" s="29"/>
      <c r="V152" s="45"/>
      <c r="W152" s="16"/>
      <c r="X152" s="12">
        <f t="shared" si="81"/>
        <v>0</v>
      </c>
      <c r="Y152" s="29"/>
      <c r="Z152" s="45">
        <v>1</v>
      </c>
      <c r="AA152" s="16"/>
      <c r="AB152" s="12">
        <f t="shared" si="82"/>
        <v>1</v>
      </c>
      <c r="AC152" s="13">
        <f t="shared" si="83"/>
        <v>1</v>
      </c>
      <c r="AD152" s="30">
        <v>45847</v>
      </c>
    </row>
    <row r="153" spans="1:30" x14ac:dyDescent="0.15">
      <c r="A153" s="25" t="s">
        <v>28</v>
      </c>
      <c r="B153" s="29"/>
      <c r="C153" s="45"/>
      <c r="D153" s="16"/>
      <c r="E153" s="12">
        <f t="shared" si="88"/>
        <v>0</v>
      </c>
      <c r="F153" s="29"/>
      <c r="G153" s="45">
        <v>1</v>
      </c>
      <c r="H153" s="16"/>
      <c r="I153" s="12">
        <f t="shared" si="89"/>
        <v>1</v>
      </c>
      <c r="J153" s="29"/>
      <c r="K153" s="45"/>
      <c r="L153" s="16"/>
      <c r="M153" s="12">
        <f t="shared" si="90"/>
        <v>0</v>
      </c>
      <c r="N153" s="13">
        <f t="shared" si="91"/>
        <v>1</v>
      </c>
      <c r="O153" s="15">
        <v>45803</v>
      </c>
      <c r="P153" s="36" t="s">
        <v>28</v>
      </c>
      <c r="Q153" s="29"/>
      <c r="R153" s="45"/>
      <c r="S153" s="16"/>
      <c r="T153" s="12">
        <f t="shared" si="80"/>
        <v>0</v>
      </c>
      <c r="U153" s="29"/>
      <c r="V153" s="45"/>
      <c r="W153" s="16">
        <v>1</v>
      </c>
      <c r="X153" s="12">
        <f t="shared" si="81"/>
        <v>1</v>
      </c>
      <c r="Y153" s="29"/>
      <c r="Z153" s="45"/>
      <c r="AA153" s="16"/>
      <c r="AB153" s="12">
        <f t="shared" si="82"/>
        <v>0</v>
      </c>
      <c r="AC153" s="13">
        <f t="shared" si="83"/>
        <v>1</v>
      </c>
      <c r="AD153" s="30">
        <v>45888</v>
      </c>
    </row>
    <row r="154" spans="1:30" x14ac:dyDescent="0.15">
      <c r="A154" s="25" t="s">
        <v>28</v>
      </c>
      <c r="B154" s="29"/>
      <c r="C154" s="45"/>
      <c r="D154" s="16"/>
      <c r="E154" s="12">
        <f t="shared" si="88"/>
        <v>0</v>
      </c>
      <c r="F154" s="29">
        <v>1</v>
      </c>
      <c r="G154" s="45"/>
      <c r="H154" s="16"/>
      <c r="I154" s="12">
        <f t="shared" si="89"/>
        <v>1</v>
      </c>
      <c r="J154" s="29"/>
      <c r="K154" s="45"/>
      <c r="L154" s="16"/>
      <c r="M154" s="12">
        <f t="shared" si="90"/>
        <v>0</v>
      </c>
      <c r="N154" s="13">
        <f t="shared" si="91"/>
        <v>1</v>
      </c>
      <c r="O154" s="15">
        <v>45806</v>
      </c>
      <c r="P154" s="36" t="s">
        <v>54</v>
      </c>
      <c r="Q154" s="29">
        <v>0</v>
      </c>
      <c r="R154" s="45">
        <v>1</v>
      </c>
      <c r="S154" s="16">
        <v>0</v>
      </c>
      <c r="T154" s="12">
        <f t="shared" si="80"/>
        <v>1</v>
      </c>
      <c r="U154" s="29">
        <v>0</v>
      </c>
      <c r="V154" s="45">
        <v>0</v>
      </c>
      <c r="W154" s="16">
        <v>0</v>
      </c>
      <c r="X154" s="12">
        <f t="shared" si="81"/>
        <v>0</v>
      </c>
      <c r="Y154" s="29">
        <v>0</v>
      </c>
      <c r="Z154" s="45">
        <v>0</v>
      </c>
      <c r="AA154" s="16">
        <v>0</v>
      </c>
      <c r="AB154" s="12">
        <f t="shared" si="82"/>
        <v>0</v>
      </c>
      <c r="AC154" s="13">
        <f t="shared" si="83"/>
        <v>1</v>
      </c>
      <c r="AD154" s="30">
        <v>45891</v>
      </c>
    </row>
    <row r="155" spans="1:30" x14ac:dyDescent="0.15">
      <c r="A155" s="25" t="s">
        <v>28</v>
      </c>
      <c r="B155" s="29"/>
      <c r="C155" s="45"/>
      <c r="D155" s="16"/>
      <c r="E155" s="12">
        <f t="shared" si="88"/>
        <v>0</v>
      </c>
      <c r="F155" s="29"/>
      <c r="G155" s="45"/>
      <c r="H155" s="16"/>
      <c r="I155" s="12">
        <f t="shared" si="89"/>
        <v>0</v>
      </c>
      <c r="J155" s="29">
        <v>1</v>
      </c>
      <c r="K155" s="45"/>
      <c r="L155" s="16"/>
      <c r="M155" s="12">
        <f t="shared" si="90"/>
        <v>1</v>
      </c>
      <c r="N155" s="13">
        <f t="shared" si="91"/>
        <v>1</v>
      </c>
      <c r="O155" s="15">
        <v>45811</v>
      </c>
      <c r="P155" s="36" t="s">
        <v>28</v>
      </c>
      <c r="Q155" s="29">
        <v>1</v>
      </c>
      <c r="R155" s="45"/>
      <c r="S155" s="16"/>
      <c r="T155" s="12">
        <f t="shared" si="80"/>
        <v>1</v>
      </c>
      <c r="U155" s="29"/>
      <c r="V155" s="45"/>
      <c r="W155" s="16"/>
      <c r="X155" s="12">
        <f t="shared" si="81"/>
        <v>0</v>
      </c>
      <c r="Y155" s="29">
        <v>1</v>
      </c>
      <c r="Z155" s="45"/>
      <c r="AA155" s="16"/>
      <c r="AB155" s="12">
        <f t="shared" si="82"/>
        <v>1</v>
      </c>
      <c r="AC155" s="13">
        <f t="shared" si="83"/>
        <v>2</v>
      </c>
      <c r="AD155" s="30">
        <v>45894</v>
      </c>
    </row>
    <row r="156" spans="1:30" x14ac:dyDescent="0.15">
      <c r="A156" s="25" t="s">
        <v>28</v>
      </c>
      <c r="B156" s="29">
        <v>1</v>
      </c>
      <c r="C156" s="45"/>
      <c r="D156" s="16"/>
      <c r="E156" s="12">
        <f t="shared" si="88"/>
        <v>1</v>
      </c>
      <c r="F156" s="29"/>
      <c r="G156" s="45"/>
      <c r="H156" s="16"/>
      <c r="I156" s="12">
        <f t="shared" si="89"/>
        <v>0</v>
      </c>
      <c r="J156" s="29"/>
      <c r="K156" s="45"/>
      <c r="L156" s="16"/>
      <c r="M156" s="12">
        <f t="shared" si="90"/>
        <v>0</v>
      </c>
      <c r="N156" s="13">
        <f t="shared" si="91"/>
        <v>1</v>
      </c>
      <c r="O156" s="15">
        <v>45814</v>
      </c>
      <c r="P156" s="36" t="s">
        <v>28</v>
      </c>
      <c r="Q156" s="29"/>
      <c r="R156" s="45"/>
      <c r="S156" s="16"/>
      <c r="T156" s="12">
        <f t="shared" si="80"/>
        <v>0</v>
      </c>
      <c r="U156" s="29"/>
      <c r="V156" s="45"/>
      <c r="W156" s="16"/>
      <c r="X156" s="12">
        <f t="shared" si="81"/>
        <v>0</v>
      </c>
      <c r="Y156" s="29">
        <v>1</v>
      </c>
      <c r="Z156" s="45"/>
      <c r="AA156" s="16"/>
      <c r="AB156" s="12">
        <f t="shared" si="82"/>
        <v>1</v>
      </c>
      <c r="AC156" s="13">
        <f t="shared" si="83"/>
        <v>1</v>
      </c>
      <c r="AD156" s="30">
        <v>45901</v>
      </c>
    </row>
    <row r="157" spans="1:30" x14ac:dyDescent="0.15">
      <c r="A157" s="25" t="s">
        <v>28</v>
      </c>
      <c r="B157" s="29"/>
      <c r="C157" s="45"/>
      <c r="D157" s="16"/>
      <c r="E157" s="12">
        <f t="shared" si="88"/>
        <v>0</v>
      </c>
      <c r="F157" s="29"/>
      <c r="G157" s="45"/>
      <c r="H157" s="16">
        <v>1</v>
      </c>
      <c r="I157" s="12">
        <f t="shared" si="89"/>
        <v>1</v>
      </c>
      <c r="J157" s="29"/>
      <c r="K157" s="45"/>
      <c r="L157" s="16"/>
      <c r="M157" s="12">
        <f t="shared" si="90"/>
        <v>0</v>
      </c>
      <c r="N157" s="13">
        <f t="shared" si="91"/>
        <v>1</v>
      </c>
      <c r="O157" s="15">
        <v>45817</v>
      </c>
      <c r="P157" s="36"/>
      <c r="Q157" s="29"/>
      <c r="R157" s="45"/>
      <c r="S157" s="16"/>
      <c r="T157" s="12">
        <f t="shared" si="80"/>
        <v>0</v>
      </c>
      <c r="U157" s="29"/>
      <c r="V157" s="45"/>
      <c r="W157" s="16"/>
      <c r="X157" s="12">
        <f t="shared" si="81"/>
        <v>0</v>
      </c>
      <c r="Y157" s="29"/>
      <c r="Z157" s="45"/>
      <c r="AA157" s="16"/>
      <c r="AB157" s="12">
        <f t="shared" si="82"/>
        <v>0</v>
      </c>
      <c r="AC157" s="13">
        <f t="shared" si="83"/>
        <v>0</v>
      </c>
    </row>
    <row r="158" spans="1:30" x14ac:dyDescent="0.15">
      <c r="A158" s="25" t="s">
        <v>28</v>
      </c>
      <c r="B158" s="29">
        <v>2</v>
      </c>
      <c r="C158" s="45"/>
      <c r="D158" s="16"/>
      <c r="E158" s="12">
        <f t="shared" si="88"/>
        <v>2</v>
      </c>
      <c r="F158" s="29"/>
      <c r="G158" s="45"/>
      <c r="H158" s="16"/>
      <c r="I158" s="12">
        <f t="shared" si="89"/>
        <v>0</v>
      </c>
      <c r="J158" s="29">
        <v>1</v>
      </c>
      <c r="K158" s="45"/>
      <c r="L158" s="16"/>
      <c r="M158" s="12">
        <f t="shared" si="90"/>
        <v>1</v>
      </c>
      <c r="N158" s="13">
        <f t="shared" si="91"/>
        <v>3</v>
      </c>
      <c r="O158" s="15">
        <v>45818</v>
      </c>
      <c r="P158" s="36"/>
      <c r="Q158" s="29"/>
      <c r="R158" s="45"/>
      <c r="S158" s="16"/>
      <c r="T158" s="12">
        <f t="shared" si="80"/>
        <v>0</v>
      </c>
      <c r="U158" s="29"/>
      <c r="V158" s="45"/>
      <c r="W158" s="16"/>
      <c r="X158" s="12">
        <f t="shared" si="81"/>
        <v>0</v>
      </c>
      <c r="Y158" s="29"/>
      <c r="Z158" s="45"/>
      <c r="AA158" s="16"/>
      <c r="AB158" s="12">
        <f t="shared" si="82"/>
        <v>0</v>
      </c>
      <c r="AC158" s="13">
        <f t="shared" si="83"/>
        <v>0</v>
      </c>
    </row>
    <row r="159" spans="1:30" x14ac:dyDescent="0.15">
      <c r="A159" s="25" t="s">
        <v>28</v>
      </c>
      <c r="B159" s="29">
        <v>1</v>
      </c>
      <c r="C159" s="45">
        <v>1</v>
      </c>
      <c r="D159" s="16"/>
      <c r="E159" s="12">
        <f t="shared" si="88"/>
        <v>2</v>
      </c>
      <c r="F159" s="29"/>
      <c r="G159" s="45">
        <v>1</v>
      </c>
      <c r="H159" s="16"/>
      <c r="I159" s="12">
        <f t="shared" si="89"/>
        <v>1</v>
      </c>
      <c r="J159" s="29">
        <v>1</v>
      </c>
      <c r="K159" s="45">
        <v>1</v>
      </c>
      <c r="L159" s="16"/>
      <c r="M159" s="12">
        <f t="shared" si="90"/>
        <v>2</v>
      </c>
      <c r="N159" s="13">
        <f t="shared" si="91"/>
        <v>5</v>
      </c>
      <c r="O159" s="15">
        <v>45845</v>
      </c>
      <c r="P159" s="36"/>
      <c r="Q159" s="29"/>
      <c r="R159" s="45"/>
      <c r="S159" s="16"/>
      <c r="T159" s="12">
        <f t="shared" si="80"/>
        <v>0</v>
      </c>
      <c r="U159" s="29"/>
      <c r="V159" s="45"/>
      <c r="W159" s="16"/>
      <c r="X159" s="12">
        <f t="shared" si="81"/>
        <v>0</v>
      </c>
      <c r="Y159" s="29"/>
      <c r="Z159" s="45"/>
      <c r="AA159" s="16"/>
      <c r="AB159" s="12">
        <f t="shared" si="82"/>
        <v>0</v>
      </c>
      <c r="AC159" s="13">
        <f t="shared" si="83"/>
        <v>0</v>
      </c>
    </row>
    <row r="160" spans="1:30" x14ac:dyDescent="0.15">
      <c r="A160" s="25" t="s">
        <v>28</v>
      </c>
      <c r="B160" s="29">
        <v>1</v>
      </c>
      <c r="C160" s="45"/>
      <c r="D160" s="16"/>
      <c r="E160" s="12">
        <f t="shared" si="84"/>
        <v>1</v>
      </c>
      <c r="F160" s="29">
        <v>1</v>
      </c>
      <c r="G160" s="45"/>
      <c r="H160" s="16"/>
      <c r="I160" s="12">
        <f t="shared" si="85"/>
        <v>1</v>
      </c>
      <c r="J160" s="29">
        <v>1</v>
      </c>
      <c r="K160" s="45"/>
      <c r="L160" s="16"/>
      <c r="M160" s="12">
        <f t="shared" si="86"/>
        <v>1</v>
      </c>
      <c r="N160" s="13">
        <f t="shared" si="87"/>
        <v>3</v>
      </c>
      <c r="O160" s="15">
        <v>45854</v>
      </c>
      <c r="P160" s="36"/>
      <c r="Q160" s="29"/>
      <c r="R160" s="45"/>
      <c r="S160" s="16"/>
      <c r="T160" s="12">
        <f t="shared" si="80"/>
        <v>0</v>
      </c>
      <c r="U160" s="29"/>
      <c r="V160" s="45"/>
      <c r="W160" s="16"/>
      <c r="X160" s="12">
        <f t="shared" si="81"/>
        <v>0</v>
      </c>
      <c r="Y160" s="29"/>
      <c r="Z160" s="45"/>
      <c r="AA160" s="16"/>
      <c r="AB160" s="12">
        <f t="shared" si="82"/>
        <v>0</v>
      </c>
      <c r="AC160" s="13">
        <f t="shared" si="83"/>
        <v>0</v>
      </c>
    </row>
    <row r="161" spans="1:29" x14ac:dyDescent="0.15">
      <c r="A161" s="25" t="s">
        <v>28</v>
      </c>
      <c r="B161" s="29"/>
      <c r="C161" s="45">
        <v>1</v>
      </c>
      <c r="D161" s="16"/>
      <c r="E161" s="12">
        <f t="shared" si="84"/>
        <v>1</v>
      </c>
      <c r="F161" s="29"/>
      <c r="G161" s="45"/>
      <c r="H161" s="16"/>
      <c r="I161" s="12">
        <f t="shared" si="85"/>
        <v>0</v>
      </c>
      <c r="J161" s="29"/>
      <c r="K161" s="45"/>
      <c r="L161" s="16">
        <v>1</v>
      </c>
      <c r="M161" s="12">
        <f t="shared" si="86"/>
        <v>1</v>
      </c>
      <c r="N161" s="13">
        <f t="shared" si="87"/>
        <v>2</v>
      </c>
      <c r="O161" s="15">
        <v>45868</v>
      </c>
      <c r="P161" s="36"/>
      <c r="Q161" s="29"/>
      <c r="R161" s="45"/>
      <c r="S161" s="16"/>
      <c r="T161" s="12">
        <f t="shared" si="80"/>
        <v>0</v>
      </c>
      <c r="U161" s="29"/>
      <c r="V161" s="45"/>
      <c r="W161" s="16"/>
      <c r="X161" s="12">
        <f t="shared" si="81"/>
        <v>0</v>
      </c>
      <c r="Y161" s="29"/>
      <c r="Z161" s="45"/>
      <c r="AA161" s="16"/>
      <c r="AB161" s="12">
        <f t="shared" si="82"/>
        <v>0</v>
      </c>
      <c r="AC161" s="13">
        <f t="shared" si="83"/>
        <v>0</v>
      </c>
    </row>
    <row r="162" spans="1:29" x14ac:dyDescent="0.15">
      <c r="A162" s="25" t="s">
        <v>28</v>
      </c>
      <c r="B162" s="29"/>
      <c r="C162" s="45"/>
      <c r="D162" s="16"/>
      <c r="E162" s="12">
        <f t="shared" si="84"/>
        <v>0</v>
      </c>
      <c r="F162" s="29"/>
      <c r="G162" s="45"/>
      <c r="H162" s="16"/>
      <c r="I162" s="12">
        <f t="shared" si="85"/>
        <v>0</v>
      </c>
      <c r="J162" s="29"/>
      <c r="K162" s="45"/>
      <c r="L162" s="16">
        <v>1</v>
      </c>
      <c r="M162" s="12">
        <f t="shared" si="86"/>
        <v>1</v>
      </c>
      <c r="N162" s="13">
        <f t="shared" si="87"/>
        <v>1</v>
      </c>
      <c r="O162" s="15">
        <v>45877</v>
      </c>
      <c r="P162" s="36"/>
      <c r="Q162" s="29"/>
      <c r="R162" s="45"/>
      <c r="S162" s="16"/>
      <c r="T162" s="12">
        <f t="shared" si="80"/>
        <v>0</v>
      </c>
      <c r="U162" s="29"/>
      <c r="V162" s="45"/>
      <c r="W162" s="16"/>
      <c r="X162" s="12">
        <f t="shared" si="81"/>
        <v>0</v>
      </c>
      <c r="Y162" s="29"/>
      <c r="Z162" s="45"/>
      <c r="AA162" s="16"/>
      <c r="AB162" s="12">
        <f t="shared" si="82"/>
        <v>0</v>
      </c>
      <c r="AC162" s="13">
        <f t="shared" si="83"/>
        <v>0</v>
      </c>
    </row>
    <row r="163" spans="1:29" x14ac:dyDescent="0.15">
      <c r="A163" s="25" t="s">
        <v>28</v>
      </c>
      <c r="B163" s="29">
        <v>1</v>
      </c>
      <c r="C163" s="45"/>
      <c r="D163" s="16">
        <v>1</v>
      </c>
      <c r="E163" s="12">
        <f t="shared" si="84"/>
        <v>2</v>
      </c>
      <c r="F163" s="29">
        <v>2</v>
      </c>
      <c r="G163" s="45"/>
      <c r="H163" s="16">
        <v>1</v>
      </c>
      <c r="I163" s="12">
        <f t="shared" si="85"/>
        <v>3</v>
      </c>
      <c r="J163" s="29"/>
      <c r="K163" s="45"/>
      <c r="L163" s="16">
        <v>1</v>
      </c>
      <c r="M163" s="12">
        <f t="shared" si="86"/>
        <v>1</v>
      </c>
      <c r="N163" s="13">
        <f t="shared" si="87"/>
        <v>6</v>
      </c>
      <c r="O163" s="15">
        <v>45887</v>
      </c>
      <c r="P163" s="36"/>
      <c r="Q163" s="29"/>
      <c r="R163" s="45"/>
      <c r="S163" s="16"/>
      <c r="T163" s="12">
        <f t="shared" si="80"/>
        <v>0</v>
      </c>
      <c r="U163" s="29"/>
      <c r="V163" s="45"/>
      <c r="W163" s="16"/>
      <c r="X163" s="12">
        <f t="shared" si="81"/>
        <v>0</v>
      </c>
      <c r="Y163" s="29"/>
      <c r="Z163" s="45"/>
      <c r="AA163" s="16"/>
      <c r="AB163" s="12">
        <f t="shared" si="82"/>
        <v>0</v>
      </c>
      <c r="AC163" s="13">
        <f t="shared" si="83"/>
        <v>0</v>
      </c>
    </row>
    <row r="164" spans="1:29" x14ac:dyDescent="0.15">
      <c r="A164" s="25" t="s">
        <v>53</v>
      </c>
      <c r="B164" s="29">
        <v>0</v>
      </c>
      <c r="C164" s="45">
        <v>-1</v>
      </c>
      <c r="D164" s="16"/>
      <c r="E164" s="12">
        <f t="shared" si="84"/>
        <v>-1</v>
      </c>
      <c r="F164" s="29">
        <v>-3</v>
      </c>
      <c r="G164" s="45">
        <v>0</v>
      </c>
      <c r="H164" s="16">
        <v>0</v>
      </c>
      <c r="I164" s="12">
        <f t="shared" si="85"/>
        <v>-3</v>
      </c>
      <c r="J164" s="29">
        <v>3</v>
      </c>
      <c r="K164" s="45">
        <v>-1</v>
      </c>
      <c r="L164" s="16">
        <v>0</v>
      </c>
      <c r="M164" s="12">
        <f t="shared" si="86"/>
        <v>2</v>
      </c>
      <c r="N164" s="13">
        <f t="shared" si="87"/>
        <v>-2</v>
      </c>
      <c r="O164" s="15">
        <v>45891</v>
      </c>
      <c r="P164" s="36"/>
      <c r="Q164" s="29"/>
      <c r="R164" s="45"/>
      <c r="S164" s="16"/>
      <c r="T164" s="12">
        <f t="shared" si="80"/>
        <v>0</v>
      </c>
      <c r="U164" s="29"/>
      <c r="V164" s="45"/>
      <c r="W164" s="16"/>
      <c r="X164" s="12">
        <f t="shared" si="81"/>
        <v>0</v>
      </c>
      <c r="Y164" s="29"/>
      <c r="Z164" s="45"/>
      <c r="AA164" s="16"/>
      <c r="AB164" s="12">
        <f t="shared" si="82"/>
        <v>0</v>
      </c>
      <c r="AC164" s="13">
        <f t="shared" si="83"/>
        <v>0</v>
      </c>
    </row>
    <row r="165" spans="1:29" x14ac:dyDescent="0.15">
      <c r="A165" s="25" t="s">
        <v>28</v>
      </c>
      <c r="B165" s="29"/>
      <c r="C165" s="45"/>
      <c r="D165" s="16"/>
      <c r="E165" s="12">
        <f t="shared" si="84"/>
        <v>0</v>
      </c>
      <c r="F165" s="29"/>
      <c r="G165" s="45"/>
      <c r="H165" s="16"/>
      <c r="I165" s="12">
        <f t="shared" si="85"/>
        <v>0</v>
      </c>
      <c r="J165" s="29"/>
      <c r="K165" s="45"/>
      <c r="L165" s="16">
        <v>1</v>
      </c>
      <c r="M165" s="12">
        <f t="shared" si="86"/>
        <v>1</v>
      </c>
      <c r="N165" s="13">
        <f t="shared" si="87"/>
        <v>1</v>
      </c>
      <c r="O165" s="15">
        <v>45894</v>
      </c>
      <c r="P165" s="36"/>
      <c r="Q165" s="29"/>
      <c r="R165" s="45"/>
      <c r="S165" s="16"/>
      <c r="T165" s="12">
        <f t="shared" si="80"/>
        <v>0</v>
      </c>
      <c r="U165" s="29"/>
      <c r="V165" s="45"/>
      <c r="W165" s="16"/>
      <c r="X165" s="12">
        <f t="shared" si="81"/>
        <v>0</v>
      </c>
      <c r="Y165" s="29"/>
      <c r="Z165" s="45"/>
      <c r="AA165" s="16"/>
      <c r="AB165" s="12">
        <f t="shared" si="82"/>
        <v>0</v>
      </c>
      <c r="AC165" s="13">
        <f t="shared" si="83"/>
        <v>0</v>
      </c>
    </row>
    <row r="166" spans="1:29" x14ac:dyDescent="0.15">
      <c r="A166" s="25" t="s">
        <v>28</v>
      </c>
      <c r="B166" s="29"/>
      <c r="C166" s="45">
        <v>1</v>
      </c>
      <c r="D166" s="16"/>
      <c r="E166" s="12">
        <f t="shared" si="84"/>
        <v>1</v>
      </c>
      <c r="F166" s="29"/>
      <c r="G166" s="45">
        <v>1</v>
      </c>
      <c r="H166" s="16">
        <v>1</v>
      </c>
      <c r="I166" s="12">
        <f t="shared" si="85"/>
        <v>2</v>
      </c>
      <c r="J166" s="29"/>
      <c r="K166" s="45">
        <v>1</v>
      </c>
      <c r="L166" s="16"/>
      <c r="M166" s="12">
        <f t="shared" si="86"/>
        <v>1</v>
      </c>
      <c r="N166" s="13">
        <f t="shared" si="87"/>
        <v>4</v>
      </c>
      <c r="O166" s="15">
        <v>45929</v>
      </c>
      <c r="P166" s="36"/>
      <c r="Q166" s="29"/>
      <c r="R166" s="45"/>
      <c r="S166" s="16"/>
      <c r="T166" s="12">
        <f t="shared" si="80"/>
        <v>0</v>
      </c>
      <c r="U166" s="29"/>
      <c r="V166" s="45"/>
      <c r="W166" s="16"/>
      <c r="X166" s="12">
        <f t="shared" si="81"/>
        <v>0</v>
      </c>
      <c r="Y166" s="29"/>
      <c r="Z166" s="45"/>
      <c r="AA166" s="16"/>
      <c r="AB166" s="12">
        <f t="shared" si="82"/>
        <v>0</v>
      </c>
      <c r="AC166" s="13">
        <f t="shared" si="83"/>
        <v>0</v>
      </c>
    </row>
    <row r="167" spans="1:29" x14ac:dyDescent="0.15">
      <c r="A167" s="25" t="s">
        <v>28</v>
      </c>
      <c r="B167" s="29"/>
      <c r="C167" s="45">
        <v>1</v>
      </c>
      <c r="D167" s="16"/>
      <c r="E167" s="12">
        <f t="shared" si="84"/>
        <v>1</v>
      </c>
      <c r="F167" s="29"/>
      <c r="G167" s="45"/>
      <c r="H167" s="16"/>
      <c r="I167" s="12">
        <f t="shared" si="85"/>
        <v>0</v>
      </c>
      <c r="J167" s="29"/>
      <c r="K167" s="45"/>
      <c r="L167" s="16"/>
      <c r="M167" s="12">
        <f t="shared" si="86"/>
        <v>0</v>
      </c>
      <c r="N167" s="13">
        <f t="shared" si="87"/>
        <v>1</v>
      </c>
      <c r="O167" s="15">
        <v>45930</v>
      </c>
      <c r="P167" s="36"/>
      <c r="Q167" s="29"/>
      <c r="R167" s="45"/>
      <c r="S167" s="16"/>
      <c r="T167" s="12">
        <f t="shared" si="80"/>
        <v>0</v>
      </c>
      <c r="U167" s="29"/>
      <c r="V167" s="45"/>
      <c r="W167" s="16"/>
      <c r="X167" s="12">
        <f t="shared" si="81"/>
        <v>0</v>
      </c>
      <c r="Y167" s="29"/>
      <c r="Z167" s="45"/>
      <c r="AA167" s="16"/>
      <c r="AB167" s="12">
        <f t="shared" si="82"/>
        <v>0</v>
      </c>
      <c r="AC167" s="13">
        <f t="shared" si="83"/>
        <v>0</v>
      </c>
    </row>
    <row r="168" spans="1:29" ht="14.25" thickBot="1" x14ac:dyDescent="0.2">
      <c r="A168" s="25" t="s">
        <v>28</v>
      </c>
      <c r="B168" s="29"/>
      <c r="C168" s="45">
        <v>1</v>
      </c>
      <c r="D168" s="16"/>
      <c r="E168" s="12">
        <f t="shared" si="84"/>
        <v>1</v>
      </c>
      <c r="F168" s="29"/>
      <c r="G168" s="45">
        <v>1</v>
      </c>
      <c r="H168" s="16"/>
      <c r="I168" s="12">
        <f t="shared" si="85"/>
        <v>1</v>
      </c>
      <c r="J168" s="29"/>
      <c r="K168" s="45">
        <v>1</v>
      </c>
      <c r="L168" s="16"/>
      <c r="M168" s="12">
        <f t="shared" si="86"/>
        <v>1</v>
      </c>
      <c r="N168" s="20">
        <f t="shared" si="87"/>
        <v>3</v>
      </c>
      <c r="O168" s="15">
        <v>45951</v>
      </c>
      <c r="P168" s="11"/>
      <c r="Q168" s="29"/>
      <c r="R168" s="45"/>
      <c r="S168" s="16"/>
      <c r="T168" s="12">
        <f t="shared" si="80"/>
        <v>0</v>
      </c>
      <c r="U168" s="29"/>
      <c r="V168" s="45"/>
      <c r="W168" s="16"/>
      <c r="X168" s="12">
        <f t="shared" si="81"/>
        <v>0</v>
      </c>
      <c r="Y168" s="29"/>
      <c r="Z168" s="45"/>
      <c r="AA168" s="16"/>
      <c r="AB168" s="12">
        <f t="shared" si="82"/>
        <v>0</v>
      </c>
      <c r="AC168" s="20">
        <f t="shared" si="83"/>
        <v>0</v>
      </c>
    </row>
    <row r="169" spans="1:29" ht="14.25" thickBot="1" x14ac:dyDescent="0.2">
      <c r="A169" s="3" t="s">
        <v>9</v>
      </c>
      <c r="B169" s="22">
        <f>SUM(B145:B168)</f>
        <v>8</v>
      </c>
      <c r="C169" s="47">
        <f t="shared" ref="C169:E169" si="92">SUM(C145:C168)</f>
        <v>5</v>
      </c>
      <c r="D169" s="41">
        <f t="shared" si="92"/>
        <v>5</v>
      </c>
      <c r="E169" s="31">
        <f t="shared" si="92"/>
        <v>18</v>
      </c>
      <c r="F169" s="22">
        <f>SUM(F145:F168)</f>
        <v>3</v>
      </c>
      <c r="G169" s="47">
        <f t="shared" ref="G169:I169" si="93">SUM(G145:G168)</f>
        <v>4</v>
      </c>
      <c r="H169" s="41">
        <f t="shared" si="93"/>
        <v>5</v>
      </c>
      <c r="I169" s="31">
        <f t="shared" si="93"/>
        <v>12</v>
      </c>
      <c r="J169" s="22">
        <f>SUM(J145:J168)</f>
        <v>8</v>
      </c>
      <c r="K169" s="47">
        <f t="shared" ref="K169:M169" si="94">SUM(K145:K168)</f>
        <v>2</v>
      </c>
      <c r="L169" s="41">
        <f t="shared" si="94"/>
        <v>6</v>
      </c>
      <c r="M169" s="31">
        <f t="shared" si="94"/>
        <v>16</v>
      </c>
      <c r="N169" s="24">
        <f t="shared" si="87"/>
        <v>46</v>
      </c>
      <c r="P169" s="3" t="s">
        <v>9</v>
      </c>
      <c r="Q169" s="22">
        <f>SUM(Q145:Q168)</f>
        <v>3</v>
      </c>
      <c r="R169" s="47">
        <f>SUM(R145:R168)</f>
        <v>2</v>
      </c>
      <c r="S169" s="41">
        <f>SUM(S145:S168)</f>
        <v>0</v>
      </c>
      <c r="T169" s="31">
        <f>SUM(T145:T168)</f>
        <v>5</v>
      </c>
      <c r="U169" s="22">
        <f>SUM(U145:U168)</f>
        <v>3</v>
      </c>
      <c r="V169" s="47">
        <f t="shared" ref="V169:X169" si="95">SUM(V145:V168)</f>
        <v>3</v>
      </c>
      <c r="W169" s="41">
        <f t="shared" si="95"/>
        <v>1</v>
      </c>
      <c r="X169" s="31">
        <f t="shared" si="95"/>
        <v>7</v>
      </c>
      <c r="Y169" s="22">
        <f>SUM(Y145:Y168)</f>
        <v>2</v>
      </c>
      <c r="Z169" s="47">
        <f t="shared" ref="Z169:AB169" si="96">SUM(Z145:Z168)</f>
        <v>4</v>
      </c>
      <c r="AA169" s="41">
        <f t="shared" si="96"/>
        <v>1</v>
      </c>
      <c r="AB169" s="31">
        <f t="shared" si="96"/>
        <v>7</v>
      </c>
      <c r="AC169" s="24">
        <f t="shared" si="83"/>
        <v>19</v>
      </c>
    </row>
    <row r="170" spans="1:29" ht="14.25" thickBot="1" x14ac:dyDescent="0.2">
      <c r="A170" s="32" t="s">
        <v>10</v>
      </c>
      <c r="B170" s="33">
        <f>B144-B169</f>
        <v>0</v>
      </c>
      <c r="C170" s="49">
        <f t="shared" ref="C170:E170" si="97">C144-C169</f>
        <v>1</v>
      </c>
      <c r="D170" s="42">
        <f t="shared" si="97"/>
        <v>3</v>
      </c>
      <c r="E170" s="33">
        <f t="shared" si="97"/>
        <v>4</v>
      </c>
      <c r="F170" s="33">
        <f>F144-F169</f>
        <v>4</v>
      </c>
      <c r="G170" s="49">
        <f t="shared" ref="G170:I170" si="98">G144-G169</f>
        <v>2</v>
      </c>
      <c r="H170" s="42">
        <f t="shared" si="98"/>
        <v>2</v>
      </c>
      <c r="I170" s="33">
        <f t="shared" si="98"/>
        <v>8</v>
      </c>
      <c r="J170" s="33">
        <f>J144-J169</f>
        <v>5</v>
      </c>
      <c r="K170" s="49">
        <f t="shared" ref="K170:M170" si="99">K144-K169</f>
        <v>3</v>
      </c>
      <c r="L170" s="42">
        <f t="shared" si="99"/>
        <v>0</v>
      </c>
      <c r="M170" s="33">
        <f t="shared" si="99"/>
        <v>8</v>
      </c>
      <c r="N170" s="24">
        <f t="shared" si="87"/>
        <v>20</v>
      </c>
      <c r="P170" s="32" t="s">
        <v>10</v>
      </c>
      <c r="Q170" s="33">
        <f>Q144-Q169</f>
        <v>3</v>
      </c>
      <c r="R170" s="49">
        <f>R144-R169</f>
        <v>3</v>
      </c>
      <c r="S170" s="42">
        <f>S144-S169</f>
        <v>3</v>
      </c>
      <c r="T170" s="33">
        <f>T144-T169</f>
        <v>9</v>
      </c>
      <c r="U170" s="33">
        <f>U144-U169</f>
        <v>5</v>
      </c>
      <c r="V170" s="49">
        <f t="shared" ref="V170:X170" si="100">V144-V169</f>
        <v>4</v>
      </c>
      <c r="W170" s="42">
        <f t="shared" si="100"/>
        <v>2</v>
      </c>
      <c r="X170" s="33">
        <f t="shared" si="100"/>
        <v>11</v>
      </c>
      <c r="Y170" s="33">
        <f>Y144-Y169</f>
        <v>3</v>
      </c>
      <c r="Z170" s="49">
        <f t="shared" ref="Z170:AB170" si="101">Z144-Z169</f>
        <v>3</v>
      </c>
      <c r="AA170" s="42">
        <f t="shared" si="101"/>
        <v>4</v>
      </c>
      <c r="AB170" s="33">
        <f t="shared" si="101"/>
        <v>10</v>
      </c>
      <c r="AC170" s="24">
        <f t="shared" si="83"/>
        <v>30</v>
      </c>
    </row>
    <row r="173" spans="1:29" ht="21.75" thickBot="1" x14ac:dyDescent="0.25">
      <c r="A173" s="34" t="s">
        <v>12</v>
      </c>
      <c r="B173" s="35"/>
      <c r="C173" s="35"/>
      <c r="D173" s="38" t="s">
        <v>51</v>
      </c>
      <c r="E173" s="1"/>
      <c r="F173" s="1"/>
      <c r="G173" s="1"/>
      <c r="H173" s="1"/>
      <c r="I173" s="1"/>
      <c r="J173" s="1"/>
      <c r="K173" s="1"/>
      <c r="L173" s="1"/>
      <c r="M173" s="1"/>
      <c r="N173">
        <v>630</v>
      </c>
      <c r="P173" s="34" t="s">
        <v>12</v>
      </c>
      <c r="Q173" s="35"/>
      <c r="R173" s="35"/>
      <c r="S173" s="35"/>
      <c r="T173" s="37"/>
      <c r="U173" s="35"/>
      <c r="V173" s="35"/>
      <c r="W173" s="35"/>
      <c r="X173" s="37"/>
      <c r="Y173" s="35">
        <v>630</v>
      </c>
      <c r="Z173" s="35"/>
      <c r="AA173" s="38" t="s">
        <v>49</v>
      </c>
      <c r="AB173" s="1"/>
    </row>
    <row r="174" spans="1:29" ht="14.25" thickBot="1" x14ac:dyDescent="0.2">
      <c r="A174" s="2" t="s">
        <v>0</v>
      </c>
      <c r="B174" s="109" t="s">
        <v>15</v>
      </c>
      <c r="C174" s="109"/>
      <c r="D174" s="109"/>
      <c r="E174" s="110"/>
      <c r="F174" s="113" t="s">
        <v>16</v>
      </c>
      <c r="G174" s="113"/>
      <c r="H174" s="113"/>
      <c r="I174" s="114"/>
      <c r="J174" s="111" t="s">
        <v>17</v>
      </c>
      <c r="K174" s="111"/>
      <c r="L174" s="111"/>
      <c r="M174" s="112"/>
      <c r="N174" s="107" t="s">
        <v>14</v>
      </c>
      <c r="P174" s="2" t="s">
        <v>0</v>
      </c>
      <c r="Q174" s="115" t="s">
        <v>13</v>
      </c>
      <c r="R174" s="115"/>
      <c r="S174" s="115"/>
      <c r="T174" s="116"/>
      <c r="U174" s="117" t="s">
        <v>20</v>
      </c>
      <c r="V174" s="117"/>
      <c r="W174" s="117"/>
      <c r="X174" s="118"/>
      <c r="Y174" s="119" t="s">
        <v>21</v>
      </c>
      <c r="Z174" s="119"/>
      <c r="AA174" s="119"/>
      <c r="AB174" s="120"/>
      <c r="AC174" s="107" t="s">
        <v>14</v>
      </c>
    </row>
    <row r="175" spans="1:29" ht="14.25" thickBot="1" x14ac:dyDescent="0.2">
      <c r="A175" s="2" t="s">
        <v>1</v>
      </c>
      <c r="B175" s="3" t="s">
        <v>2</v>
      </c>
      <c r="C175" s="43" t="s">
        <v>3</v>
      </c>
      <c r="D175" s="4" t="s">
        <v>4</v>
      </c>
      <c r="E175" s="2" t="s">
        <v>5</v>
      </c>
      <c r="F175" s="3" t="s">
        <v>2</v>
      </c>
      <c r="G175" s="43" t="s">
        <v>3</v>
      </c>
      <c r="H175" s="4" t="s">
        <v>4</v>
      </c>
      <c r="I175" s="2" t="s">
        <v>5</v>
      </c>
      <c r="J175" s="3" t="s">
        <v>2</v>
      </c>
      <c r="K175" s="43" t="s">
        <v>3</v>
      </c>
      <c r="L175" s="4" t="s">
        <v>4</v>
      </c>
      <c r="M175" s="2" t="s">
        <v>5</v>
      </c>
      <c r="N175" s="108"/>
      <c r="P175" s="2" t="s">
        <v>1</v>
      </c>
      <c r="Q175" s="3" t="s">
        <v>2</v>
      </c>
      <c r="R175" s="43" t="s">
        <v>3</v>
      </c>
      <c r="S175" s="4" t="s">
        <v>4</v>
      </c>
      <c r="T175" s="2" t="s">
        <v>5</v>
      </c>
      <c r="U175" s="3" t="s">
        <v>2</v>
      </c>
      <c r="V175" s="43" t="s">
        <v>3</v>
      </c>
      <c r="W175" s="4" t="s">
        <v>4</v>
      </c>
      <c r="X175" s="2" t="s">
        <v>5</v>
      </c>
      <c r="Y175" s="3" t="s">
        <v>2</v>
      </c>
      <c r="Z175" s="43" t="s">
        <v>3</v>
      </c>
      <c r="AA175" s="4" t="s">
        <v>4</v>
      </c>
      <c r="AB175" s="2" t="s">
        <v>5</v>
      </c>
      <c r="AC175" s="108"/>
    </row>
    <row r="176" spans="1:29" x14ac:dyDescent="0.15">
      <c r="A176" s="5" t="s">
        <v>10</v>
      </c>
      <c r="B176" s="6">
        <f t="shared" ref="B176:M176" si="102">B170</f>
        <v>0</v>
      </c>
      <c r="C176" s="50">
        <f t="shared" si="102"/>
        <v>1</v>
      </c>
      <c r="D176" s="6">
        <f t="shared" si="102"/>
        <v>3</v>
      </c>
      <c r="E176" s="7">
        <f t="shared" si="102"/>
        <v>4</v>
      </c>
      <c r="F176" s="6">
        <f t="shared" si="102"/>
        <v>4</v>
      </c>
      <c r="G176" s="50">
        <f t="shared" si="102"/>
        <v>2</v>
      </c>
      <c r="H176" s="6">
        <f t="shared" si="102"/>
        <v>2</v>
      </c>
      <c r="I176" s="7">
        <f t="shared" si="102"/>
        <v>8</v>
      </c>
      <c r="J176" s="6">
        <f t="shared" si="102"/>
        <v>5</v>
      </c>
      <c r="K176" s="50">
        <f t="shared" si="102"/>
        <v>3</v>
      </c>
      <c r="L176" s="6">
        <f t="shared" si="102"/>
        <v>0</v>
      </c>
      <c r="M176" s="7">
        <f t="shared" si="102"/>
        <v>8</v>
      </c>
      <c r="N176" s="13">
        <f>E176+M176+I176</f>
        <v>20</v>
      </c>
      <c r="P176" s="5" t="s">
        <v>10</v>
      </c>
      <c r="Q176" s="6">
        <f>Q170</f>
        <v>3</v>
      </c>
      <c r="R176" s="50">
        <f>R170</f>
        <v>3</v>
      </c>
      <c r="S176" s="6">
        <f>S170</f>
        <v>3</v>
      </c>
      <c r="T176" s="7">
        <f>T170</f>
        <v>9</v>
      </c>
      <c r="U176" s="6">
        <f>U170</f>
        <v>5</v>
      </c>
      <c r="V176" s="50">
        <f t="shared" ref="V176:AB176" si="103">V170</f>
        <v>4</v>
      </c>
      <c r="W176" s="6">
        <f t="shared" si="103"/>
        <v>2</v>
      </c>
      <c r="X176" s="7">
        <f t="shared" si="103"/>
        <v>11</v>
      </c>
      <c r="Y176" s="6">
        <f t="shared" si="103"/>
        <v>3</v>
      </c>
      <c r="Z176" s="50">
        <f t="shared" si="103"/>
        <v>3</v>
      </c>
      <c r="AA176" s="6">
        <f t="shared" si="103"/>
        <v>4</v>
      </c>
      <c r="AB176" s="7">
        <f t="shared" si="103"/>
        <v>10</v>
      </c>
      <c r="AC176" s="8">
        <f>AC170</f>
        <v>30</v>
      </c>
    </row>
    <row r="177" spans="1:33" x14ac:dyDescent="0.15">
      <c r="A177" s="9" t="s">
        <v>7</v>
      </c>
      <c r="B177" s="16">
        <v>5</v>
      </c>
      <c r="C177" s="45">
        <v>5</v>
      </c>
      <c r="D177" s="16">
        <v>2</v>
      </c>
      <c r="E177" s="12">
        <f t="shared" ref="E177:E184" si="104">SUM(B177:D177)</f>
        <v>12</v>
      </c>
      <c r="F177" s="16"/>
      <c r="G177" s="45">
        <v>4</v>
      </c>
      <c r="H177" s="16">
        <v>4</v>
      </c>
      <c r="I177" s="12">
        <f t="shared" ref="I177:I211" si="105">SUM(F177:H177)</f>
        <v>8</v>
      </c>
      <c r="J177" s="16">
        <v>2</v>
      </c>
      <c r="K177" s="45">
        <v>3</v>
      </c>
      <c r="L177" s="16">
        <v>6</v>
      </c>
      <c r="M177" s="12">
        <f t="shared" ref="M177:M211" si="106">SUM(J177:L177)</f>
        <v>11</v>
      </c>
      <c r="N177" s="13">
        <f t="shared" ref="N177:N213" si="107">E177+M177+I177</f>
        <v>31</v>
      </c>
      <c r="O177" s="15">
        <v>45997</v>
      </c>
      <c r="P177" s="9" t="s">
        <v>7</v>
      </c>
      <c r="Q177" s="16"/>
      <c r="R177" s="45"/>
      <c r="S177" s="16"/>
      <c r="T177" s="12">
        <f t="shared" ref="T177:T211" si="108">SUM(Q177:S177)</f>
        <v>0</v>
      </c>
      <c r="U177" s="16"/>
      <c r="V177" s="45"/>
      <c r="W177" s="16"/>
      <c r="X177" s="12">
        <f t="shared" ref="X177:X211" si="109">SUM(U177:W177)</f>
        <v>0</v>
      </c>
      <c r="Y177" s="16"/>
      <c r="Z177" s="45"/>
      <c r="AA177" s="16"/>
      <c r="AB177" s="12">
        <f t="shared" ref="AB177:AB211" si="110">SUM(Y177:AA177)</f>
        <v>0</v>
      </c>
      <c r="AC177" s="13">
        <f t="shared" ref="AC177:AC213" si="111">X177+AB177+T177</f>
        <v>0</v>
      </c>
    </row>
    <row r="178" spans="1:33" x14ac:dyDescent="0.15">
      <c r="A178" s="9" t="s">
        <v>7</v>
      </c>
      <c r="B178" s="16"/>
      <c r="C178" s="45"/>
      <c r="D178" s="16">
        <v>3</v>
      </c>
      <c r="E178" s="12">
        <f t="shared" si="104"/>
        <v>3</v>
      </c>
      <c r="F178" s="16">
        <v>3</v>
      </c>
      <c r="G178" s="45"/>
      <c r="H178" s="16"/>
      <c r="I178" s="12">
        <f t="shared" si="105"/>
        <v>3</v>
      </c>
      <c r="J178" s="16"/>
      <c r="K178" s="45"/>
      <c r="L178" s="16"/>
      <c r="M178" s="12">
        <f t="shared" si="106"/>
        <v>0</v>
      </c>
      <c r="N178" s="13">
        <f t="shared" si="107"/>
        <v>6</v>
      </c>
      <c r="O178" s="15">
        <v>46069</v>
      </c>
      <c r="P178" s="9" t="s">
        <v>7</v>
      </c>
      <c r="Q178" s="16">
        <v>3</v>
      </c>
      <c r="R178" s="45">
        <v>5</v>
      </c>
      <c r="S178" s="16">
        <v>3</v>
      </c>
      <c r="T178" s="12">
        <f t="shared" si="108"/>
        <v>11</v>
      </c>
      <c r="U178" s="16">
        <v>3</v>
      </c>
      <c r="V178" s="45">
        <v>5</v>
      </c>
      <c r="W178" s="16">
        <v>3</v>
      </c>
      <c r="X178" s="12">
        <f t="shared" si="109"/>
        <v>11</v>
      </c>
      <c r="Y178" s="16">
        <v>3</v>
      </c>
      <c r="Z178" s="45">
        <v>3</v>
      </c>
      <c r="AA178" s="16"/>
      <c r="AB178" s="12">
        <f t="shared" si="110"/>
        <v>6</v>
      </c>
      <c r="AC178" s="13">
        <f t="shared" si="111"/>
        <v>28</v>
      </c>
      <c r="AD178" s="15">
        <v>46069</v>
      </c>
      <c r="AE178" s="14"/>
    </row>
    <row r="179" spans="1:33" x14ac:dyDescent="0.15">
      <c r="A179" s="9" t="s">
        <v>37</v>
      </c>
      <c r="B179" s="16">
        <v>0</v>
      </c>
      <c r="C179" s="45">
        <v>0</v>
      </c>
      <c r="D179" s="16">
        <v>2</v>
      </c>
      <c r="E179" s="12">
        <f t="shared" si="104"/>
        <v>2</v>
      </c>
      <c r="F179" s="16">
        <v>0</v>
      </c>
      <c r="G179" s="45">
        <v>0</v>
      </c>
      <c r="H179" s="16">
        <v>0</v>
      </c>
      <c r="I179" s="12">
        <f t="shared" si="105"/>
        <v>0</v>
      </c>
      <c r="J179" s="16">
        <v>0</v>
      </c>
      <c r="K179" s="45">
        <v>1</v>
      </c>
      <c r="L179" s="16">
        <v>-1</v>
      </c>
      <c r="M179" s="12">
        <f t="shared" si="106"/>
        <v>0</v>
      </c>
      <c r="N179" s="13">
        <f t="shared" si="107"/>
        <v>2</v>
      </c>
      <c r="O179" s="15">
        <v>46071</v>
      </c>
      <c r="P179" s="9" t="s">
        <v>37</v>
      </c>
      <c r="Q179" s="16">
        <v>0</v>
      </c>
      <c r="R179" s="45">
        <v>0</v>
      </c>
      <c r="S179" s="16">
        <v>0</v>
      </c>
      <c r="T179" s="12">
        <f t="shared" si="108"/>
        <v>0</v>
      </c>
      <c r="U179" s="16">
        <v>0</v>
      </c>
      <c r="V179" s="45">
        <v>0</v>
      </c>
      <c r="W179" s="16">
        <v>0</v>
      </c>
      <c r="X179" s="12">
        <f t="shared" si="109"/>
        <v>0</v>
      </c>
      <c r="Y179" s="16">
        <v>0</v>
      </c>
      <c r="Z179" s="45">
        <v>0</v>
      </c>
      <c r="AA179" s="16">
        <v>0</v>
      </c>
      <c r="AB179" s="12">
        <f t="shared" si="110"/>
        <v>0</v>
      </c>
      <c r="AC179" s="13">
        <f t="shared" si="111"/>
        <v>0</v>
      </c>
      <c r="AD179" s="15">
        <v>46071</v>
      </c>
      <c r="AE179" s="14"/>
    </row>
    <row r="180" spans="1:33" x14ac:dyDescent="0.15">
      <c r="A180" s="9" t="s">
        <v>7</v>
      </c>
      <c r="B180" s="16"/>
      <c r="C180" s="45">
        <v>3</v>
      </c>
      <c r="D180" s="16">
        <v>3</v>
      </c>
      <c r="E180" s="12">
        <f t="shared" si="104"/>
        <v>6</v>
      </c>
      <c r="F180" s="16"/>
      <c r="G180" s="45">
        <v>3</v>
      </c>
      <c r="H180" s="16"/>
      <c r="I180" s="12">
        <f t="shared" si="105"/>
        <v>3</v>
      </c>
      <c r="J180" s="16"/>
      <c r="K180" s="45">
        <v>3</v>
      </c>
      <c r="L180" s="16">
        <v>3</v>
      </c>
      <c r="M180" s="12">
        <f t="shared" si="106"/>
        <v>6</v>
      </c>
      <c r="N180" s="13">
        <f t="shared" si="107"/>
        <v>15</v>
      </c>
      <c r="O180" s="15">
        <v>46149</v>
      </c>
      <c r="P180" s="9" t="s">
        <v>7</v>
      </c>
      <c r="Q180" s="16"/>
      <c r="R180" s="45"/>
      <c r="S180" s="16"/>
      <c r="T180" s="12">
        <f t="shared" si="108"/>
        <v>0</v>
      </c>
      <c r="U180" s="16"/>
      <c r="V180" s="45">
        <v>3</v>
      </c>
      <c r="W180" s="16"/>
      <c r="X180" s="12">
        <f t="shared" si="109"/>
        <v>3</v>
      </c>
      <c r="Y180" s="16"/>
      <c r="Z180" s="45"/>
      <c r="AA180" s="16"/>
      <c r="AB180" s="12">
        <f t="shared" si="110"/>
        <v>0</v>
      </c>
      <c r="AC180" s="13">
        <f t="shared" si="111"/>
        <v>3</v>
      </c>
      <c r="AD180" s="15">
        <v>46149</v>
      </c>
      <c r="AE180" s="14"/>
      <c r="AF180" s="14"/>
      <c r="AG180" s="14"/>
    </row>
    <row r="181" spans="1:33" x14ac:dyDescent="0.15">
      <c r="A181" s="9" t="s">
        <v>7</v>
      </c>
      <c r="B181" s="69"/>
      <c r="C181" s="45"/>
      <c r="D181" s="16"/>
      <c r="E181" s="12">
        <f t="shared" si="104"/>
        <v>0</v>
      </c>
      <c r="F181" s="16"/>
      <c r="G181" s="45"/>
      <c r="H181" s="16"/>
      <c r="I181" s="12">
        <f t="shared" si="105"/>
        <v>0</v>
      </c>
      <c r="J181" s="16"/>
      <c r="K181" s="45"/>
      <c r="L181" s="16"/>
      <c r="M181" s="12">
        <f t="shared" si="106"/>
        <v>0</v>
      </c>
      <c r="N181" s="13">
        <f t="shared" si="107"/>
        <v>0</v>
      </c>
      <c r="O181" s="15"/>
      <c r="P181" s="9" t="s">
        <v>7</v>
      </c>
      <c r="Q181" s="16"/>
      <c r="R181" s="45"/>
      <c r="S181" s="16"/>
      <c r="T181" s="12">
        <f t="shared" si="108"/>
        <v>0</v>
      </c>
      <c r="U181" s="16"/>
      <c r="V181" s="45"/>
      <c r="W181" s="16"/>
      <c r="X181" s="12">
        <f t="shared" si="109"/>
        <v>0</v>
      </c>
      <c r="Y181" s="16"/>
      <c r="Z181" s="45"/>
      <c r="AA181" s="16"/>
      <c r="AB181" s="12">
        <f t="shared" si="110"/>
        <v>0</v>
      </c>
      <c r="AC181" s="13">
        <f t="shared" si="111"/>
        <v>0</v>
      </c>
    </row>
    <row r="182" spans="1:33" x14ac:dyDescent="0.15">
      <c r="A182" s="9" t="s">
        <v>7</v>
      </c>
      <c r="B182" s="69"/>
      <c r="C182" s="45"/>
      <c r="D182" s="16"/>
      <c r="E182" s="12">
        <f t="shared" si="104"/>
        <v>0</v>
      </c>
      <c r="F182" s="16"/>
      <c r="G182" s="45"/>
      <c r="H182" s="16"/>
      <c r="I182" s="12">
        <f t="shared" si="105"/>
        <v>0</v>
      </c>
      <c r="J182" s="16"/>
      <c r="K182" s="45"/>
      <c r="L182" s="61"/>
      <c r="M182" s="12">
        <f t="shared" si="106"/>
        <v>0</v>
      </c>
      <c r="N182" s="13">
        <f t="shared" si="107"/>
        <v>0</v>
      </c>
      <c r="O182" s="15"/>
      <c r="P182" s="9" t="s">
        <v>7</v>
      </c>
      <c r="Q182" s="16"/>
      <c r="R182" s="45"/>
      <c r="S182" s="16"/>
      <c r="T182" s="12">
        <f t="shared" si="108"/>
        <v>0</v>
      </c>
      <c r="U182" s="16"/>
      <c r="V182" s="45"/>
      <c r="W182" s="16"/>
      <c r="X182" s="12">
        <f t="shared" si="109"/>
        <v>0</v>
      </c>
      <c r="Y182" s="16"/>
      <c r="Z182" s="45"/>
      <c r="AA182" s="16"/>
      <c r="AB182" s="12">
        <f t="shared" si="110"/>
        <v>0</v>
      </c>
      <c r="AC182" s="13">
        <f t="shared" si="111"/>
        <v>0</v>
      </c>
    </row>
    <row r="183" spans="1:33" x14ac:dyDescent="0.15">
      <c r="A183" s="9" t="s">
        <v>7</v>
      </c>
      <c r="B183" s="69"/>
      <c r="C183" s="45"/>
      <c r="D183" s="16"/>
      <c r="E183" s="12">
        <f t="shared" si="104"/>
        <v>0</v>
      </c>
      <c r="F183" s="16"/>
      <c r="G183" s="45"/>
      <c r="H183" s="16"/>
      <c r="I183" s="12">
        <f t="shared" si="105"/>
        <v>0</v>
      </c>
      <c r="J183" s="16"/>
      <c r="K183" s="45"/>
      <c r="L183" s="61"/>
      <c r="M183" s="12">
        <f t="shared" si="106"/>
        <v>0</v>
      </c>
      <c r="N183" s="13">
        <f t="shared" si="107"/>
        <v>0</v>
      </c>
      <c r="O183" s="15"/>
      <c r="P183" s="9" t="s">
        <v>7</v>
      </c>
      <c r="Q183" s="16"/>
      <c r="R183" s="45"/>
      <c r="S183" s="16"/>
      <c r="T183" s="12">
        <f t="shared" si="108"/>
        <v>0</v>
      </c>
      <c r="U183" s="16"/>
      <c r="V183" s="45"/>
      <c r="W183" s="16"/>
      <c r="X183" s="12">
        <f t="shared" si="109"/>
        <v>0</v>
      </c>
      <c r="Y183" s="16"/>
      <c r="Z183" s="45"/>
      <c r="AA183" s="16"/>
      <c r="AB183" s="12">
        <f t="shared" si="110"/>
        <v>0</v>
      </c>
      <c r="AC183" s="13">
        <f t="shared" si="111"/>
        <v>0</v>
      </c>
    </row>
    <row r="184" spans="1:33" x14ac:dyDescent="0.15">
      <c r="A184" s="9" t="s">
        <v>7</v>
      </c>
      <c r="B184" s="69"/>
      <c r="C184" s="45"/>
      <c r="D184" s="16"/>
      <c r="E184" s="12">
        <f t="shared" si="104"/>
        <v>0</v>
      </c>
      <c r="F184" s="16"/>
      <c r="G184" s="45"/>
      <c r="H184" s="16"/>
      <c r="I184" s="12">
        <f t="shared" si="105"/>
        <v>0</v>
      </c>
      <c r="J184" s="16"/>
      <c r="K184" s="45"/>
      <c r="L184" s="61"/>
      <c r="M184" s="12">
        <f t="shared" si="106"/>
        <v>0</v>
      </c>
      <c r="N184" s="13">
        <f t="shared" si="107"/>
        <v>0</v>
      </c>
      <c r="O184" s="15"/>
      <c r="P184" s="9" t="s">
        <v>7</v>
      </c>
      <c r="Q184" s="16"/>
      <c r="R184" s="45"/>
      <c r="S184" s="16"/>
      <c r="T184" s="12">
        <f t="shared" si="108"/>
        <v>0</v>
      </c>
      <c r="U184" s="16"/>
      <c r="V184" s="45"/>
      <c r="W184" s="16"/>
      <c r="X184" s="12">
        <f t="shared" si="109"/>
        <v>0</v>
      </c>
      <c r="Y184" s="16"/>
      <c r="Z184" s="45"/>
      <c r="AA184" s="16"/>
      <c r="AB184" s="12">
        <f t="shared" si="110"/>
        <v>0</v>
      </c>
      <c r="AC184" s="13">
        <f t="shared" si="111"/>
        <v>0</v>
      </c>
    </row>
    <row r="185" spans="1:33" x14ac:dyDescent="0.15">
      <c r="A185" s="9" t="s">
        <v>7</v>
      </c>
      <c r="B185" s="69"/>
      <c r="C185" s="45"/>
      <c r="D185" s="16"/>
      <c r="E185" s="12">
        <f t="shared" ref="E185:E211" si="112">SUM(B185:D185)</f>
        <v>0</v>
      </c>
      <c r="F185" s="16"/>
      <c r="G185" s="45"/>
      <c r="H185" s="16"/>
      <c r="I185" s="12">
        <f t="shared" si="105"/>
        <v>0</v>
      </c>
      <c r="J185" s="16"/>
      <c r="K185" s="45"/>
      <c r="L185" s="61"/>
      <c r="M185" s="12">
        <f t="shared" si="106"/>
        <v>0</v>
      </c>
      <c r="N185" s="13">
        <f t="shared" si="107"/>
        <v>0</v>
      </c>
      <c r="O185" s="15"/>
      <c r="P185" s="9" t="s">
        <v>7</v>
      </c>
      <c r="Q185" s="16"/>
      <c r="R185" s="45"/>
      <c r="S185" s="16"/>
      <c r="T185" s="12">
        <f t="shared" si="108"/>
        <v>0</v>
      </c>
      <c r="U185" s="16"/>
      <c r="V185" s="45"/>
      <c r="W185" s="16"/>
      <c r="X185" s="12">
        <f t="shared" si="109"/>
        <v>0</v>
      </c>
      <c r="Y185" s="16"/>
      <c r="Z185" s="45"/>
      <c r="AA185" s="16"/>
      <c r="AB185" s="12">
        <f t="shared" si="110"/>
        <v>0</v>
      </c>
      <c r="AC185" s="13">
        <f t="shared" si="111"/>
        <v>0</v>
      </c>
    </row>
    <row r="186" spans="1:33" ht="14.25" thickBot="1" x14ac:dyDescent="0.2">
      <c r="A186" s="9" t="s">
        <v>7</v>
      </c>
      <c r="B186" s="69"/>
      <c r="C186" s="45"/>
      <c r="D186" s="16"/>
      <c r="E186" s="12">
        <f t="shared" si="112"/>
        <v>0</v>
      </c>
      <c r="F186" s="16"/>
      <c r="G186" s="45"/>
      <c r="H186" s="16"/>
      <c r="I186" s="12">
        <f t="shared" si="105"/>
        <v>0</v>
      </c>
      <c r="J186" s="16"/>
      <c r="K186" s="45"/>
      <c r="L186" s="61"/>
      <c r="M186" s="12">
        <f t="shared" si="106"/>
        <v>0</v>
      </c>
      <c r="N186" s="13">
        <f t="shared" si="107"/>
        <v>0</v>
      </c>
      <c r="O186" s="15"/>
      <c r="P186" s="17" t="s">
        <v>7</v>
      </c>
      <c r="Q186" s="18"/>
      <c r="R186" s="46"/>
      <c r="S186" s="18"/>
      <c r="T186" s="19">
        <f t="shared" si="108"/>
        <v>0</v>
      </c>
      <c r="U186" s="18"/>
      <c r="V186" s="46"/>
      <c r="W186" s="18"/>
      <c r="X186" s="19">
        <f t="shared" si="109"/>
        <v>0</v>
      </c>
      <c r="Y186" s="18"/>
      <c r="Z186" s="46"/>
      <c r="AA186" s="18"/>
      <c r="AB186" s="19">
        <f t="shared" si="110"/>
        <v>0</v>
      </c>
      <c r="AC186" s="20">
        <f t="shared" si="111"/>
        <v>0</v>
      </c>
    </row>
    <row r="187" spans="1:33" ht="14.25" thickBot="1" x14ac:dyDescent="0.2">
      <c r="A187" s="21" t="s">
        <v>8</v>
      </c>
      <c r="B187" s="22">
        <f>SUM(B176:B186)</f>
        <v>5</v>
      </c>
      <c r="C187" s="47">
        <f>SUM(C176:C186)</f>
        <v>9</v>
      </c>
      <c r="D187" s="40">
        <f>SUM(D176:D186)</f>
        <v>13</v>
      </c>
      <c r="E187" s="23">
        <f t="shared" si="112"/>
        <v>27</v>
      </c>
      <c r="F187" s="22">
        <f>SUM(F176:F186)</f>
        <v>7</v>
      </c>
      <c r="G187" s="47">
        <f>SUM(G176:G186)</f>
        <v>9</v>
      </c>
      <c r="H187" s="40">
        <f>SUM(H176:H186)</f>
        <v>6</v>
      </c>
      <c r="I187" s="23">
        <f t="shared" si="105"/>
        <v>22</v>
      </c>
      <c r="J187" s="22">
        <f>SUM(J176:J186)</f>
        <v>7</v>
      </c>
      <c r="K187" s="47">
        <f>SUM(K176:K186)</f>
        <v>10</v>
      </c>
      <c r="L187" s="40">
        <f>SUM(L176:L186)</f>
        <v>8</v>
      </c>
      <c r="M187" s="23">
        <f t="shared" si="106"/>
        <v>25</v>
      </c>
      <c r="N187" s="24">
        <f t="shared" si="107"/>
        <v>74</v>
      </c>
      <c r="P187" s="21" t="s">
        <v>8</v>
      </c>
      <c r="Q187" s="22">
        <f>SUM(Q176:Q186)</f>
        <v>6</v>
      </c>
      <c r="R187" s="47">
        <f>SUM(R176:R186)</f>
        <v>8</v>
      </c>
      <c r="S187" s="40">
        <f>SUM(S176:S186)</f>
        <v>6</v>
      </c>
      <c r="T187" s="23">
        <f t="shared" si="108"/>
        <v>20</v>
      </c>
      <c r="U187" s="22">
        <f>SUM(U176:U186)</f>
        <v>8</v>
      </c>
      <c r="V187" s="47">
        <f>SUM(V176:V186)</f>
        <v>12</v>
      </c>
      <c r="W187" s="40">
        <f>SUM(W176:W186)</f>
        <v>5</v>
      </c>
      <c r="X187" s="23">
        <f t="shared" si="109"/>
        <v>25</v>
      </c>
      <c r="Y187" s="22">
        <f>SUM(Y176:Y186)</f>
        <v>6</v>
      </c>
      <c r="Z187" s="47">
        <f>SUM(Z176:Z186)</f>
        <v>6</v>
      </c>
      <c r="AA187" s="40">
        <f>SUM(AA176:AA186)</f>
        <v>4</v>
      </c>
      <c r="AB187" s="23">
        <f t="shared" si="110"/>
        <v>16</v>
      </c>
      <c r="AC187" s="24">
        <f t="shared" si="111"/>
        <v>61</v>
      </c>
    </row>
    <row r="188" spans="1:33" x14ac:dyDescent="0.15">
      <c r="A188" s="25" t="s">
        <v>28</v>
      </c>
      <c r="B188" s="29"/>
      <c r="C188" s="45"/>
      <c r="D188" s="16"/>
      <c r="E188" s="12">
        <f t="shared" si="112"/>
        <v>0</v>
      </c>
      <c r="F188" s="29"/>
      <c r="G188" s="45"/>
      <c r="H188" s="16"/>
      <c r="I188" s="12">
        <f t="shared" si="105"/>
        <v>0</v>
      </c>
      <c r="J188" s="29">
        <v>1</v>
      </c>
      <c r="K188" s="45"/>
      <c r="L188" s="16"/>
      <c r="M188" s="12">
        <f t="shared" si="106"/>
        <v>1</v>
      </c>
      <c r="N188" s="13">
        <f t="shared" si="107"/>
        <v>1</v>
      </c>
      <c r="O188" s="15">
        <v>45960</v>
      </c>
      <c r="P188" s="36" t="s">
        <v>28</v>
      </c>
      <c r="Q188" s="29"/>
      <c r="R188" s="45"/>
      <c r="S188" s="16"/>
      <c r="T188" s="12">
        <f t="shared" si="108"/>
        <v>0</v>
      </c>
      <c r="U188" s="29">
        <v>2</v>
      </c>
      <c r="V188" s="45"/>
      <c r="W188" s="16"/>
      <c r="X188" s="12">
        <f t="shared" si="109"/>
        <v>2</v>
      </c>
      <c r="Y188" s="29"/>
      <c r="Z188" s="45"/>
      <c r="AA188" s="16"/>
      <c r="AB188" s="12">
        <f t="shared" si="110"/>
        <v>0</v>
      </c>
      <c r="AC188" s="13">
        <f t="shared" si="111"/>
        <v>2</v>
      </c>
      <c r="AD188" s="30">
        <v>45966</v>
      </c>
    </row>
    <row r="189" spans="1:33" x14ac:dyDescent="0.15">
      <c r="A189" s="25" t="s">
        <v>28</v>
      </c>
      <c r="B189" s="29"/>
      <c r="C189" s="45"/>
      <c r="D189" s="16"/>
      <c r="E189" s="12">
        <f t="shared" si="112"/>
        <v>0</v>
      </c>
      <c r="F189" s="29"/>
      <c r="G189" s="45"/>
      <c r="H189" s="16">
        <v>1</v>
      </c>
      <c r="I189" s="12">
        <f t="shared" si="105"/>
        <v>1</v>
      </c>
      <c r="J189" s="29"/>
      <c r="K189" s="45"/>
      <c r="L189" s="16"/>
      <c r="M189" s="12">
        <f t="shared" si="106"/>
        <v>0</v>
      </c>
      <c r="N189" s="13">
        <f t="shared" si="107"/>
        <v>1</v>
      </c>
      <c r="O189" s="15">
        <v>45982</v>
      </c>
      <c r="P189" s="36" t="s">
        <v>28</v>
      </c>
      <c r="Q189" s="29"/>
      <c r="R189" s="45"/>
      <c r="S189" s="16">
        <v>1</v>
      </c>
      <c r="T189" s="12">
        <f t="shared" si="108"/>
        <v>1</v>
      </c>
      <c r="U189" s="29"/>
      <c r="V189" s="45"/>
      <c r="W189" s="16"/>
      <c r="X189" s="12">
        <f t="shared" si="109"/>
        <v>0</v>
      </c>
      <c r="Y189" s="29"/>
      <c r="Z189" s="45"/>
      <c r="AA189" s="16"/>
      <c r="AB189" s="12">
        <f t="shared" si="110"/>
        <v>0</v>
      </c>
      <c r="AC189" s="13">
        <f t="shared" si="111"/>
        <v>1</v>
      </c>
      <c r="AD189" s="30">
        <v>45982</v>
      </c>
    </row>
    <row r="190" spans="1:33" x14ac:dyDescent="0.15">
      <c r="A190" s="25" t="s">
        <v>28</v>
      </c>
      <c r="B190" s="29"/>
      <c r="C190" s="45">
        <v>1</v>
      </c>
      <c r="D190" s="16"/>
      <c r="E190" s="12">
        <f t="shared" si="112"/>
        <v>1</v>
      </c>
      <c r="F190" s="29"/>
      <c r="G190" s="45">
        <v>1</v>
      </c>
      <c r="H190" s="16"/>
      <c r="I190" s="12">
        <f t="shared" si="105"/>
        <v>1</v>
      </c>
      <c r="J190" s="29">
        <v>1</v>
      </c>
      <c r="K190" s="45">
        <v>1</v>
      </c>
      <c r="L190" s="16"/>
      <c r="M190" s="12">
        <f t="shared" si="106"/>
        <v>2</v>
      </c>
      <c r="N190" s="13">
        <f t="shared" si="107"/>
        <v>4</v>
      </c>
      <c r="O190" s="15">
        <v>45986</v>
      </c>
      <c r="P190" s="36" t="s">
        <v>28</v>
      </c>
      <c r="Q190" s="29"/>
      <c r="R190" s="45"/>
      <c r="S190" s="16"/>
      <c r="T190" s="12">
        <f t="shared" si="108"/>
        <v>0</v>
      </c>
      <c r="U190" s="29"/>
      <c r="V190" s="45"/>
      <c r="W190" s="16">
        <v>1</v>
      </c>
      <c r="X190" s="12">
        <f t="shared" si="109"/>
        <v>1</v>
      </c>
      <c r="Y190" s="29"/>
      <c r="Z190" s="45"/>
      <c r="AA190" s="16"/>
      <c r="AB190" s="12">
        <f t="shared" si="110"/>
        <v>0</v>
      </c>
      <c r="AC190" s="13">
        <f t="shared" si="111"/>
        <v>1</v>
      </c>
      <c r="AD190" s="30">
        <v>46010</v>
      </c>
    </row>
    <row r="191" spans="1:33" x14ac:dyDescent="0.15">
      <c r="A191" s="25" t="s">
        <v>28</v>
      </c>
      <c r="B191" s="29">
        <v>1</v>
      </c>
      <c r="C191" s="45"/>
      <c r="D191" s="16"/>
      <c r="E191" s="12">
        <f t="shared" si="112"/>
        <v>1</v>
      </c>
      <c r="F191" s="29"/>
      <c r="G191" s="45"/>
      <c r="H191" s="16"/>
      <c r="I191" s="12">
        <f t="shared" si="105"/>
        <v>0</v>
      </c>
      <c r="J191" s="29"/>
      <c r="K191" s="45"/>
      <c r="L191" s="16"/>
      <c r="M191" s="12">
        <f t="shared" si="106"/>
        <v>0</v>
      </c>
      <c r="N191" s="13">
        <f t="shared" si="107"/>
        <v>1</v>
      </c>
      <c r="O191" s="15">
        <v>46002</v>
      </c>
      <c r="P191" s="36" t="s">
        <v>28</v>
      </c>
      <c r="Q191" s="29"/>
      <c r="R191" s="45">
        <v>3</v>
      </c>
      <c r="S191" s="16"/>
      <c r="T191" s="12">
        <f t="shared" si="108"/>
        <v>3</v>
      </c>
      <c r="U191" s="29"/>
      <c r="V191" s="45"/>
      <c r="W191" s="16"/>
      <c r="X191" s="12">
        <f t="shared" si="109"/>
        <v>0</v>
      </c>
      <c r="Y191" s="29"/>
      <c r="Z191" s="45"/>
      <c r="AA191" s="16"/>
      <c r="AB191" s="12">
        <f t="shared" si="110"/>
        <v>0</v>
      </c>
      <c r="AC191" s="13">
        <f t="shared" si="111"/>
        <v>3</v>
      </c>
      <c r="AD191" s="30">
        <v>46059</v>
      </c>
    </row>
    <row r="192" spans="1:33" x14ac:dyDescent="0.15">
      <c r="A192" s="25" t="s">
        <v>28</v>
      </c>
      <c r="B192" s="29"/>
      <c r="C192" s="45"/>
      <c r="D192" s="16">
        <v>1</v>
      </c>
      <c r="E192" s="12">
        <f t="shared" si="112"/>
        <v>1</v>
      </c>
      <c r="F192" s="29"/>
      <c r="G192" s="45"/>
      <c r="H192" s="16"/>
      <c r="I192" s="12">
        <f t="shared" si="105"/>
        <v>0</v>
      </c>
      <c r="J192" s="29"/>
      <c r="K192" s="45"/>
      <c r="L192" s="16">
        <v>1</v>
      </c>
      <c r="M192" s="12">
        <f t="shared" si="106"/>
        <v>1</v>
      </c>
      <c r="N192" s="13">
        <f t="shared" si="107"/>
        <v>2</v>
      </c>
      <c r="O192" s="15">
        <v>46007</v>
      </c>
      <c r="P192" s="36" t="s">
        <v>28</v>
      </c>
      <c r="Q192" s="29"/>
      <c r="R192" s="45"/>
      <c r="S192" s="16"/>
      <c r="T192" s="12">
        <f t="shared" si="108"/>
        <v>0</v>
      </c>
      <c r="U192" s="29"/>
      <c r="V192" s="45">
        <v>3</v>
      </c>
      <c r="W192" s="16"/>
      <c r="X192" s="12">
        <f t="shared" si="109"/>
        <v>3</v>
      </c>
      <c r="Y192" s="29"/>
      <c r="Z192" s="45"/>
      <c r="AA192" s="16"/>
      <c r="AB192" s="12">
        <f t="shared" si="110"/>
        <v>0</v>
      </c>
      <c r="AC192" s="13">
        <f t="shared" si="111"/>
        <v>3</v>
      </c>
      <c r="AD192" s="30">
        <v>46062</v>
      </c>
    </row>
    <row r="193" spans="1:30" x14ac:dyDescent="0.15">
      <c r="A193" s="25" t="s">
        <v>28</v>
      </c>
      <c r="B193" s="29"/>
      <c r="C193" s="45"/>
      <c r="D193" s="16"/>
      <c r="E193" s="12">
        <f t="shared" si="112"/>
        <v>0</v>
      </c>
      <c r="F193" s="29">
        <v>1</v>
      </c>
      <c r="G193" s="45"/>
      <c r="H193" s="16"/>
      <c r="I193" s="12">
        <f t="shared" si="105"/>
        <v>1</v>
      </c>
      <c r="J193" s="29"/>
      <c r="K193" s="45"/>
      <c r="L193" s="16"/>
      <c r="M193" s="12">
        <f t="shared" si="106"/>
        <v>0</v>
      </c>
      <c r="N193" s="13">
        <f t="shared" si="107"/>
        <v>1</v>
      </c>
      <c r="O193" s="15">
        <v>46011</v>
      </c>
      <c r="P193" s="36" t="s">
        <v>28</v>
      </c>
      <c r="Q193" s="29"/>
      <c r="R193" s="45"/>
      <c r="S193" s="16"/>
      <c r="T193" s="12">
        <f t="shared" si="108"/>
        <v>0</v>
      </c>
      <c r="U193" s="29"/>
      <c r="V193" s="45">
        <v>4</v>
      </c>
      <c r="W193" s="16"/>
      <c r="X193" s="12">
        <f t="shared" si="109"/>
        <v>4</v>
      </c>
      <c r="Y193" s="29"/>
      <c r="Z193" s="45">
        <v>2</v>
      </c>
      <c r="AA193" s="16"/>
      <c r="AB193" s="12">
        <f t="shared" si="110"/>
        <v>2</v>
      </c>
      <c r="AC193" s="13">
        <f t="shared" si="111"/>
        <v>6</v>
      </c>
      <c r="AD193" s="30">
        <v>46104</v>
      </c>
    </row>
    <row r="194" spans="1:30" x14ac:dyDescent="0.15">
      <c r="A194" s="25" t="s">
        <v>28</v>
      </c>
      <c r="B194" s="29"/>
      <c r="C194" s="45">
        <v>1</v>
      </c>
      <c r="D194" s="16"/>
      <c r="E194" s="12">
        <f t="shared" si="112"/>
        <v>1</v>
      </c>
      <c r="F194" s="29"/>
      <c r="G194" s="45"/>
      <c r="H194" s="16"/>
      <c r="I194" s="12">
        <f t="shared" si="105"/>
        <v>0</v>
      </c>
      <c r="J194" s="29"/>
      <c r="K194" s="45"/>
      <c r="L194" s="16"/>
      <c r="M194" s="12">
        <f t="shared" si="106"/>
        <v>0</v>
      </c>
      <c r="N194" s="13">
        <f t="shared" si="107"/>
        <v>1</v>
      </c>
      <c r="O194" s="15">
        <v>46015</v>
      </c>
      <c r="P194" s="36" t="s">
        <v>28</v>
      </c>
      <c r="Q194" s="29"/>
      <c r="R194" s="45"/>
      <c r="S194" s="16"/>
      <c r="T194" s="12">
        <f t="shared" si="108"/>
        <v>0</v>
      </c>
      <c r="U194" s="29"/>
      <c r="V194" s="45"/>
      <c r="W194" s="16"/>
      <c r="X194" s="12">
        <f t="shared" si="109"/>
        <v>0</v>
      </c>
      <c r="Y194" s="29"/>
      <c r="Z194" s="45">
        <v>1</v>
      </c>
      <c r="AA194" s="16"/>
      <c r="AB194" s="12">
        <f t="shared" si="110"/>
        <v>1</v>
      </c>
      <c r="AC194" s="13">
        <f t="shared" si="111"/>
        <v>1</v>
      </c>
      <c r="AD194" s="30">
        <v>46111</v>
      </c>
    </row>
    <row r="195" spans="1:30" x14ac:dyDescent="0.15">
      <c r="A195" s="25" t="s">
        <v>28</v>
      </c>
      <c r="B195" s="29"/>
      <c r="C195" s="45"/>
      <c r="D195" s="16">
        <v>1</v>
      </c>
      <c r="E195" s="12">
        <f t="shared" si="112"/>
        <v>1</v>
      </c>
      <c r="F195" s="29"/>
      <c r="G195" s="45"/>
      <c r="H195" s="16"/>
      <c r="I195" s="12">
        <f t="shared" si="105"/>
        <v>0</v>
      </c>
      <c r="J195" s="29"/>
      <c r="K195" s="45"/>
      <c r="L195" s="16"/>
      <c r="M195" s="12">
        <f t="shared" si="106"/>
        <v>0</v>
      </c>
      <c r="N195" s="13">
        <f t="shared" si="107"/>
        <v>1</v>
      </c>
      <c r="O195" s="15">
        <v>46041</v>
      </c>
      <c r="P195" s="36" t="s">
        <v>28</v>
      </c>
      <c r="Q195" s="29">
        <v>1</v>
      </c>
      <c r="R195" s="45"/>
      <c r="S195" s="16"/>
      <c r="T195" s="12">
        <f t="shared" si="108"/>
        <v>1</v>
      </c>
      <c r="U195" s="29">
        <v>1</v>
      </c>
      <c r="V195" s="45"/>
      <c r="W195" s="16"/>
      <c r="X195" s="12">
        <f t="shared" si="109"/>
        <v>1</v>
      </c>
      <c r="Y195" s="29">
        <v>1</v>
      </c>
      <c r="Z195" s="45"/>
      <c r="AA195" s="16"/>
      <c r="AB195" s="12">
        <f t="shared" si="110"/>
        <v>1</v>
      </c>
      <c r="AC195" s="13">
        <f t="shared" si="111"/>
        <v>3</v>
      </c>
      <c r="AD195" s="30">
        <v>46127</v>
      </c>
    </row>
    <row r="196" spans="1:30" x14ac:dyDescent="0.15">
      <c r="A196" s="25" t="s">
        <v>28</v>
      </c>
      <c r="B196" s="29"/>
      <c r="C196" s="45">
        <v>1</v>
      </c>
      <c r="D196" s="16"/>
      <c r="E196" s="12">
        <f t="shared" si="112"/>
        <v>1</v>
      </c>
      <c r="F196" s="29"/>
      <c r="G196" s="45"/>
      <c r="H196" s="16"/>
      <c r="I196" s="12">
        <f t="shared" si="105"/>
        <v>0</v>
      </c>
      <c r="J196" s="29"/>
      <c r="K196" s="45"/>
      <c r="L196" s="16"/>
      <c r="M196" s="12">
        <f t="shared" si="106"/>
        <v>0</v>
      </c>
      <c r="N196" s="13">
        <f t="shared" si="107"/>
        <v>1</v>
      </c>
      <c r="O196" s="15">
        <v>46045</v>
      </c>
      <c r="P196" s="36" t="s">
        <v>28</v>
      </c>
      <c r="Q196" s="29"/>
      <c r="R196" s="45"/>
      <c r="S196" s="16"/>
      <c r="T196" s="12">
        <f t="shared" si="108"/>
        <v>0</v>
      </c>
      <c r="U196" s="29"/>
      <c r="V196" s="45"/>
      <c r="W196" s="16"/>
      <c r="X196" s="12">
        <f t="shared" si="109"/>
        <v>0</v>
      </c>
      <c r="Y196" s="29">
        <v>1</v>
      </c>
      <c r="Z196" s="45"/>
      <c r="AA196" s="16"/>
      <c r="AB196" s="12">
        <f t="shared" si="110"/>
        <v>1</v>
      </c>
      <c r="AC196" s="13">
        <f t="shared" si="111"/>
        <v>1</v>
      </c>
      <c r="AD196" s="30">
        <v>46167</v>
      </c>
    </row>
    <row r="197" spans="1:30" x14ac:dyDescent="0.15">
      <c r="A197" s="25" t="s">
        <v>28</v>
      </c>
      <c r="B197" s="29"/>
      <c r="C197" s="45"/>
      <c r="D197" s="16">
        <v>1</v>
      </c>
      <c r="E197" s="12">
        <f t="shared" si="112"/>
        <v>1</v>
      </c>
      <c r="F197" s="29"/>
      <c r="G197" s="45"/>
      <c r="H197" s="16"/>
      <c r="I197" s="12">
        <f t="shared" si="105"/>
        <v>0</v>
      </c>
      <c r="J197" s="29"/>
      <c r="K197" s="45"/>
      <c r="L197" s="16"/>
      <c r="M197" s="12">
        <f t="shared" si="106"/>
        <v>0</v>
      </c>
      <c r="N197" s="13">
        <f t="shared" si="107"/>
        <v>1</v>
      </c>
      <c r="O197" s="15">
        <v>46056</v>
      </c>
      <c r="P197" s="36" t="s">
        <v>28</v>
      </c>
      <c r="Q197" s="29"/>
      <c r="R197" s="45"/>
      <c r="S197" s="16"/>
      <c r="T197" s="12">
        <f t="shared" si="108"/>
        <v>0</v>
      </c>
      <c r="U197" s="29">
        <v>1</v>
      </c>
      <c r="V197" s="45"/>
      <c r="W197" s="16"/>
      <c r="X197" s="12">
        <f t="shared" si="109"/>
        <v>1</v>
      </c>
      <c r="Y197" s="29">
        <v>1</v>
      </c>
      <c r="Z197" s="45"/>
      <c r="AA197" s="16"/>
      <c r="AB197" s="12">
        <f t="shared" si="110"/>
        <v>1</v>
      </c>
      <c r="AC197" s="13">
        <f t="shared" si="111"/>
        <v>2</v>
      </c>
      <c r="AD197" s="30">
        <v>46184</v>
      </c>
    </row>
    <row r="198" spans="1:30" x14ac:dyDescent="0.15">
      <c r="A198" s="25" t="s">
        <v>28</v>
      </c>
      <c r="B198" s="29"/>
      <c r="C198" s="45"/>
      <c r="D198" s="16"/>
      <c r="E198" s="12">
        <f t="shared" si="112"/>
        <v>0</v>
      </c>
      <c r="F198" s="29"/>
      <c r="G198" s="45"/>
      <c r="H198" s="16"/>
      <c r="I198" s="12">
        <f t="shared" si="105"/>
        <v>0</v>
      </c>
      <c r="J198" s="29"/>
      <c r="K198" s="45">
        <v>1</v>
      </c>
      <c r="L198" s="16"/>
      <c r="M198" s="12">
        <f t="shared" si="106"/>
        <v>1</v>
      </c>
      <c r="N198" s="13">
        <f t="shared" si="107"/>
        <v>1</v>
      </c>
      <c r="O198" s="15">
        <v>46066</v>
      </c>
      <c r="P198" s="36" t="s">
        <v>28</v>
      </c>
      <c r="Q198" s="29"/>
      <c r="R198" s="45"/>
      <c r="S198" s="16"/>
      <c r="T198" s="12">
        <f t="shared" si="108"/>
        <v>0</v>
      </c>
      <c r="U198" s="29"/>
      <c r="V198" s="45">
        <v>1</v>
      </c>
      <c r="W198" s="16"/>
      <c r="X198" s="12">
        <f t="shared" si="109"/>
        <v>1</v>
      </c>
      <c r="Y198" s="29"/>
      <c r="Z198" s="45"/>
      <c r="AA198" s="16"/>
      <c r="AB198" s="12">
        <f t="shared" si="110"/>
        <v>0</v>
      </c>
      <c r="AC198" s="13">
        <f t="shared" si="111"/>
        <v>1</v>
      </c>
      <c r="AD198" s="30">
        <v>46188</v>
      </c>
    </row>
    <row r="199" spans="1:30" x14ac:dyDescent="0.15">
      <c r="A199" s="25" t="s">
        <v>28</v>
      </c>
      <c r="B199" s="29"/>
      <c r="C199" s="45">
        <v>1</v>
      </c>
      <c r="D199" s="16"/>
      <c r="E199" s="12">
        <f t="shared" si="112"/>
        <v>1</v>
      </c>
      <c r="F199" s="29"/>
      <c r="G199" s="45">
        <v>1</v>
      </c>
      <c r="H199" s="16"/>
      <c r="I199" s="12">
        <f t="shared" si="105"/>
        <v>1</v>
      </c>
      <c r="J199" s="29"/>
      <c r="K199" s="45">
        <v>1</v>
      </c>
      <c r="L199" s="16"/>
      <c r="M199" s="12">
        <f t="shared" si="106"/>
        <v>1</v>
      </c>
      <c r="N199" s="13">
        <f t="shared" si="107"/>
        <v>3</v>
      </c>
      <c r="O199" s="15">
        <v>46077</v>
      </c>
      <c r="P199" s="36"/>
      <c r="Q199" s="29"/>
      <c r="R199" s="45"/>
      <c r="S199" s="16"/>
      <c r="T199" s="12">
        <f t="shared" si="108"/>
        <v>0</v>
      </c>
      <c r="U199" s="29"/>
      <c r="V199" s="45"/>
      <c r="W199" s="16"/>
      <c r="X199" s="12">
        <f t="shared" si="109"/>
        <v>0</v>
      </c>
      <c r="Y199" s="29"/>
      <c r="Z199" s="45"/>
      <c r="AA199" s="16"/>
      <c r="AB199" s="12">
        <f t="shared" si="110"/>
        <v>0</v>
      </c>
      <c r="AC199" s="13">
        <f t="shared" si="111"/>
        <v>0</v>
      </c>
    </row>
    <row r="200" spans="1:30" x14ac:dyDescent="0.15">
      <c r="A200" s="25" t="s">
        <v>28</v>
      </c>
      <c r="B200" s="29"/>
      <c r="C200" s="45"/>
      <c r="D200" s="16">
        <v>2</v>
      </c>
      <c r="E200" s="12">
        <f t="shared" si="112"/>
        <v>2</v>
      </c>
      <c r="F200" s="29"/>
      <c r="G200" s="45"/>
      <c r="H200" s="16"/>
      <c r="I200" s="12">
        <f t="shared" si="105"/>
        <v>0</v>
      </c>
      <c r="J200" s="29"/>
      <c r="K200" s="45"/>
      <c r="L200" s="16"/>
      <c r="M200" s="12">
        <f t="shared" si="106"/>
        <v>0</v>
      </c>
      <c r="N200" s="13">
        <f t="shared" si="107"/>
        <v>2</v>
      </c>
      <c r="O200" s="15">
        <v>46083</v>
      </c>
      <c r="P200" s="36"/>
      <c r="Q200" s="29"/>
      <c r="R200" s="45"/>
      <c r="S200" s="16"/>
      <c r="T200" s="12">
        <f t="shared" si="108"/>
        <v>0</v>
      </c>
      <c r="U200" s="29"/>
      <c r="V200" s="45"/>
      <c r="W200" s="16"/>
      <c r="X200" s="12">
        <f t="shared" si="109"/>
        <v>0</v>
      </c>
      <c r="Y200" s="29"/>
      <c r="Z200" s="45"/>
      <c r="AA200" s="16"/>
      <c r="AB200" s="12">
        <f t="shared" si="110"/>
        <v>0</v>
      </c>
      <c r="AC200" s="13">
        <f t="shared" si="111"/>
        <v>0</v>
      </c>
    </row>
    <row r="201" spans="1:30" x14ac:dyDescent="0.15">
      <c r="A201" s="25" t="s">
        <v>28</v>
      </c>
      <c r="B201" s="29"/>
      <c r="C201" s="45"/>
      <c r="D201" s="16"/>
      <c r="E201" s="12">
        <f t="shared" si="112"/>
        <v>0</v>
      </c>
      <c r="F201" s="29"/>
      <c r="G201" s="45"/>
      <c r="H201" s="16">
        <v>2</v>
      </c>
      <c r="I201" s="12">
        <f t="shared" si="105"/>
        <v>2</v>
      </c>
      <c r="J201" s="29"/>
      <c r="K201" s="45"/>
      <c r="L201" s="16"/>
      <c r="M201" s="12">
        <f t="shared" si="106"/>
        <v>0</v>
      </c>
      <c r="N201" s="13">
        <f t="shared" si="107"/>
        <v>2</v>
      </c>
      <c r="O201" s="15">
        <v>46087</v>
      </c>
      <c r="P201" s="36"/>
      <c r="Q201" s="29"/>
      <c r="R201" s="45"/>
      <c r="S201" s="16"/>
      <c r="T201" s="12">
        <f t="shared" si="108"/>
        <v>0</v>
      </c>
      <c r="U201" s="29"/>
      <c r="V201" s="45"/>
      <c r="W201" s="16"/>
      <c r="X201" s="12">
        <f t="shared" si="109"/>
        <v>0</v>
      </c>
      <c r="Y201" s="29"/>
      <c r="Z201" s="45"/>
      <c r="AA201" s="16"/>
      <c r="AB201" s="12">
        <f t="shared" si="110"/>
        <v>0</v>
      </c>
      <c r="AC201" s="13">
        <f t="shared" si="111"/>
        <v>0</v>
      </c>
    </row>
    <row r="202" spans="1:30" x14ac:dyDescent="0.15">
      <c r="A202" s="25" t="s">
        <v>28</v>
      </c>
      <c r="B202" s="29"/>
      <c r="C202" s="45"/>
      <c r="D202" s="16">
        <v>3</v>
      </c>
      <c r="E202" s="12">
        <f t="shared" si="112"/>
        <v>3</v>
      </c>
      <c r="F202" s="29"/>
      <c r="G202" s="45"/>
      <c r="H202" s="16"/>
      <c r="I202" s="12">
        <f t="shared" si="105"/>
        <v>0</v>
      </c>
      <c r="J202" s="29"/>
      <c r="K202" s="45"/>
      <c r="L202" s="16"/>
      <c r="M202" s="12">
        <f t="shared" si="106"/>
        <v>0</v>
      </c>
      <c r="N202" s="13">
        <f t="shared" si="107"/>
        <v>3</v>
      </c>
      <c r="O202" s="15">
        <v>46090</v>
      </c>
      <c r="P202" s="36"/>
      <c r="Q202" s="29"/>
      <c r="R202" s="45"/>
      <c r="S202" s="16"/>
      <c r="T202" s="12">
        <f t="shared" si="108"/>
        <v>0</v>
      </c>
      <c r="U202" s="29"/>
      <c r="V202" s="45"/>
      <c r="W202" s="16"/>
      <c r="X202" s="12">
        <f t="shared" si="109"/>
        <v>0</v>
      </c>
      <c r="Y202" s="29"/>
      <c r="Z202" s="45"/>
      <c r="AA202" s="16"/>
      <c r="AB202" s="12">
        <f t="shared" si="110"/>
        <v>0</v>
      </c>
      <c r="AC202" s="13">
        <f t="shared" si="111"/>
        <v>0</v>
      </c>
    </row>
    <row r="203" spans="1:30" x14ac:dyDescent="0.15">
      <c r="A203" s="25" t="s">
        <v>28</v>
      </c>
      <c r="B203" s="29"/>
      <c r="C203" s="45">
        <v>1</v>
      </c>
      <c r="D203" s="16"/>
      <c r="E203" s="12">
        <f t="shared" si="112"/>
        <v>1</v>
      </c>
      <c r="F203" s="29"/>
      <c r="G203" s="45"/>
      <c r="H203" s="16"/>
      <c r="I203" s="12">
        <f t="shared" si="105"/>
        <v>0</v>
      </c>
      <c r="J203" s="29"/>
      <c r="K203" s="45"/>
      <c r="L203" s="16"/>
      <c r="M203" s="12">
        <f t="shared" si="106"/>
        <v>0</v>
      </c>
      <c r="N203" s="13">
        <f t="shared" si="107"/>
        <v>1</v>
      </c>
      <c r="O203" s="15">
        <v>46098</v>
      </c>
      <c r="P203" s="36"/>
      <c r="Q203" s="29"/>
      <c r="R203" s="45"/>
      <c r="S203" s="16"/>
      <c r="T203" s="12">
        <f t="shared" si="108"/>
        <v>0</v>
      </c>
      <c r="U203" s="29"/>
      <c r="V203" s="45"/>
      <c r="W203" s="16"/>
      <c r="X203" s="12">
        <f t="shared" si="109"/>
        <v>0</v>
      </c>
      <c r="Y203" s="29"/>
      <c r="Z203" s="45"/>
      <c r="AA203" s="16"/>
      <c r="AB203" s="12">
        <f t="shared" si="110"/>
        <v>0</v>
      </c>
      <c r="AC203" s="13">
        <f t="shared" si="111"/>
        <v>0</v>
      </c>
    </row>
    <row r="204" spans="1:30" x14ac:dyDescent="0.15">
      <c r="A204" s="25" t="s">
        <v>28</v>
      </c>
      <c r="B204" s="29"/>
      <c r="C204" s="45"/>
      <c r="D204" s="16">
        <v>1</v>
      </c>
      <c r="E204" s="12">
        <f t="shared" si="112"/>
        <v>1</v>
      </c>
      <c r="F204" s="29"/>
      <c r="G204" s="45">
        <v>2</v>
      </c>
      <c r="H204" s="16">
        <v>1</v>
      </c>
      <c r="I204" s="12">
        <f t="shared" si="105"/>
        <v>3</v>
      </c>
      <c r="J204" s="29"/>
      <c r="K204" s="45">
        <v>1</v>
      </c>
      <c r="L204" s="16">
        <v>2</v>
      </c>
      <c r="M204" s="12">
        <f t="shared" si="106"/>
        <v>3</v>
      </c>
      <c r="N204" s="13">
        <f t="shared" si="107"/>
        <v>7</v>
      </c>
      <c r="O204" s="15">
        <v>46104</v>
      </c>
      <c r="P204" s="36"/>
      <c r="Q204" s="29"/>
      <c r="R204" s="45"/>
      <c r="S204" s="16"/>
      <c r="T204" s="12">
        <f t="shared" si="108"/>
        <v>0</v>
      </c>
      <c r="U204" s="29"/>
      <c r="V204" s="45"/>
      <c r="W204" s="16"/>
      <c r="X204" s="12">
        <f t="shared" si="109"/>
        <v>0</v>
      </c>
      <c r="Y204" s="29"/>
      <c r="Z204" s="45"/>
      <c r="AA204" s="16"/>
      <c r="AB204" s="12">
        <f t="shared" si="110"/>
        <v>0</v>
      </c>
      <c r="AC204" s="13">
        <f t="shared" si="111"/>
        <v>0</v>
      </c>
    </row>
    <row r="205" spans="1:30" x14ac:dyDescent="0.15">
      <c r="A205" s="25" t="s">
        <v>28</v>
      </c>
      <c r="B205" s="29"/>
      <c r="C205" s="45"/>
      <c r="D205" s="16"/>
      <c r="E205" s="12">
        <f t="shared" si="112"/>
        <v>0</v>
      </c>
      <c r="F205" s="29"/>
      <c r="G205" s="45">
        <v>1</v>
      </c>
      <c r="H205" s="16"/>
      <c r="I205" s="12">
        <f t="shared" si="105"/>
        <v>1</v>
      </c>
      <c r="J205" s="29"/>
      <c r="K205" s="45"/>
      <c r="L205" s="16"/>
      <c r="M205" s="12">
        <f t="shared" si="106"/>
        <v>0</v>
      </c>
      <c r="N205" s="13">
        <f t="shared" si="107"/>
        <v>1</v>
      </c>
      <c r="O205" s="15">
        <v>46105</v>
      </c>
      <c r="P205" s="36"/>
      <c r="Q205" s="29"/>
      <c r="R205" s="45"/>
      <c r="S205" s="16"/>
      <c r="T205" s="12">
        <f t="shared" si="108"/>
        <v>0</v>
      </c>
      <c r="U205" s="29"/>
      <c r="V205" s="45"/>
      <c r="W205" s="16"/>
      <c r="X205" s="12">
        <f t="shared" si="109"/>
        <v>0</v>
      </c>
      <c r="Y205" s="29"/>
      <c r="Z205" s="45"/>
      <c r="AA205" s="16"/>
      <c r="AB205" s="12">
        <f t="shared" si="110"/>
        <v>0</v>
      </c>
      <c r="AC205" s="13">
        <f t="shared" si="111"/>
        <v>0</v>
      </c>
    </row>
    <row r="206" spans="1:30" x14ac:dyDescent="0.15">
      <c r="A206" s="25" t="s">
        <v>28</v>
      </c>
      <c r="B206" s="29"/>
      <c r="C206" s="45">
        <v>1</v>
      </c>
      <c r="D206" s="16"/>
      <c r="E206" s="12">
        <f t="shared" si="112"/>
        <v>1</v>
      </c>
      <c r="F206" s="29"/>
      <c r="G206" s="45">
        <v>1</v>
      </c>
      <c r="H206" s="16"/>
      <c r="I206" s="12">
        <f t="shared" si="105"/>
        <v>1</v>
      </c>
      <c r="J206" s="29"/>
      <c r="K206" s="45">
        <v>1</v>
      </c>
      <c r="L206" s="16"/>
      <c r="M206" s="12">
        <f t="shared" si="106"/>
        <v>1</v>
      </c>
      <c r="N206" s="13">
        <f t="shared" si="107"/>
        <v>3</v>
      </c>
      <c r="O206" s="15">
        <v>46106</v>
      </c>
      <c r="P206" s="36"/>
      <c r="Q206" s="29"/>
      <c r="R206" s="45"/>
      <c r="S206" s="16"/>
      <c r="T206" s="12">
        <f t="shared" si="108"/>
        <v>0</v>
      </c>
      <c r="U206" s="29"/>
      <c r="V206" s="45"/>
      <c r="W206" s="16"/>
      <c r="X206" s="12">
        <f t="shared" si="109"/>
        <v>0</v>
      </c>
      <c r="Y206" s="29"/>
      <c r="Z206" s="45"/>
      <c r="AA206" s="16"/>
      <c r="AB206" s="12">
        <f t="shared" si="110"/>
        <v>0</v>
      </c>
      <c r="AC206" s="13">
        <f t="shared" si="111"/>
        <v>0</v>
      </c>
    </row>
    <row r="207" spans="1:30" x14ac:dyDescent="0.15">
      <c r="A207" s="25" t="s">
        <v>28</v>
      </c>
      <c r="B207" s="29"/>
      <c r="C207" s="45"/>
      <c r="D207" s="16">
        <v>1</v>
      </c>
      <c r="E207" s="12">
        <f t="shared" si="112"/>
        <v>1</v>
      </c>
      <c r="F207" s="29"/>
      <c r="G207" s="45"/>
      <c r="H207" s="16">
        <v>1</v>
      </c>
      <c r="I207" s="12">
        <f t="shared" si="105"/>
        <v>1</v>
      </c>
      <c r="J207" s="29"/>
      <c r="K207" s="45"/>
      <c r="L207" s="16">
        <v>1</v>
      </c>
      <c r="M207" s="12">
        <f t="shared" si="106"/>
        <v>1</v>
      </c>
      <c r="N207" s="13">
        <f t="shared" si="107"/>
        <v>3</v>
      </c>
      <c r="O207" s="15">
        <v>46120</v>
      </c>
      <c r="P207" s="36"/>
      <c r="Q207" s="29"/>
      <c r="R207" s="45"/>
      <c r="S207" s="16"/>
      <c r="T207" s="12">
        <f t="shared" si="108"/>
        <v>0</v>
      </c>
      <c r="U207" s="29"/>
      <c r="V207" s="45"/>
      <c r="W207" s="16"/>
      <c r="X207" s="12">
        <f t="shared" si="109"/>
        <v>0</v>
      </c>
      <c r="Y207" s="29"/>
      <c r="Z207" s="45"/>
      <c r="AA207" s="16"/>
      <c r="AB207" s="12">
        <f t="shared" si="110"/>
        <v>0</v>
      </c>
      <c r="AC207" s="13">
        <f t="shared" si="111"/>
        <v>0</v>
      </c>
    </row>
    <row r="208" spans="1:30" x14ac:dyDescent="0.15">
      <c r="A208" s="25" t="s">
        <v>28</v>
      </c>
      <c r="B208" s="29"/>
      <c r="C208" s="45"/>
      <c r="D208" s="16"/>
      <c r="E208" s="12">
        <f t="shared" si="112"/>
        <v>0</v>
      </c>
      <c r="F208" s="29"/>
      <c r="G208" s="45"/>
      <c r="H208" s="16"/>
      <c r="I208" s="12">
        <f t="shared" si="105"/>
        <v>0</v>
      </c>
      <c r="J208" s="29"/>
      <c r="K208" s="45">
        <v>1</v>
      </c>
      <c r="L208" s="16"/>
      <c r="M208" s="12">
        <f t="shared" si="106"/>
        <v>1</v>
      </c>
      <c r="N208" s="13">
        <f t="shared" si="107"/>
        <v>1</v>
      </c>
      <c r="O208" s="15">
        <v>46129</v>
      </c>
      <c r="P208" s="36"/>
      <c r="Q208" s="29"/>
      <c r="R208" s="45"/>
      <c r="S208" s="16"/>
      <c r="T208" s="12">
        <f t="shared" si="108"/>
        <v>0</v>
      </c>
      <c r="U208" s="29"/>
      <c r="V208" s="45"/>
      <c r="W208" s="16"/>
      <c r="X208" s="12">
        <f t="shared" si="109"/>
        <v>0</v>
      </c>
      <c r="Y208" s="29"/>
      <c r="Z208" s="45"/>
      <c r="AA208" s="16"/>
      <c r="AB208" s="12">
        <f t="shared" si="110"/>
        <v>0</v>
      </c>
      <c r="AC208" s="13">
        <f t="shared" si="111"/>
        <v>0</v>
      </c>
    </row>
    <row r="209" spans="1:29" x14ac:dyDescent="0.15">
      <c r="A209" s="25" t="s">
        <v>28</v>
      </c>
      <c r="B209" s="29"/>
      <c r="C209" s="45"/>
      <c r="D209" s="16"/>
      <c r="E209" s="12">
        <f t="shared" si="112"/>
        <v>0</v>
      </c>
      <c r="F209" s="29"/>
      <c r="G209" s="45"/>
      <c r="H209" s="16"/>
      <c r="I209" s="12">
        <f t="shared" si="105"/>
        <v>0</v>
      </c>
      <c r="J209" s="29"/>
      <c r="K209" s="45"/>
      <c r="L209" s="16">
        <v>1</v>
      </c>
      <c r="M209" s="12">
        <f t="shared" si="106"/>
        <v>1</v>
      </c>
      <c r="N209" s="13">
        <f t="shared" si="107"/>
        <v>1</v>
      </c>
      <c r="O209" s="15">
        <v>46133</v>
      </c>
      <c r="P209" s="36"/>
      <c r="Q209" s="29"/>
      <c r="R209" s="45"/>
      <c r="S209" s="16"/>
      <c r="T209" s="12">
        <f t="shared" si="108"/>
        <v>0</v>
      </c>
      <c r="U209" s="29"/>
      <c r="V209" s="45"/>
      <c r="W209" s="16"/>
      <c r="X209" s="12">
        <f t="shared" si="109"/>
        <v>0</v>
      </c>
      <c r="Y209" s="29"/>
      <c r="Z209" s="45"/>
      <c r="AA209" s="16"/>
      <c r="AB209" s="12">
        <f t="shared" si="110"/>
        <v>0</v>
      </c>
      <c r="AC209" s="13">
        <f t="shared" si="111"/>
        <v>0</v>
      </c>
    </row>
    <row r="210" spans="1:29" x14ac:dyDescent="0.15">
      <c r="A210" s="25" t="s">
        <v>28</v>
      </c>
      <c r="B210" s="29"/>
      <c r="C210" s="45"/>
      <c r="D210" s="16"/>
      <c r="E210" s="12">
        <f t="shared" si="112"/>
        <v>0</v>
      </c>
      <c r="F210" s="29"/>
      <c r="G210" s="45"/>
      <c r="H210" s="16">
        <v>1</v>
      </c>
      <c r="I210" s="12">
        <f t="shared" si="105"/>
        <v>1</v>
      </c>
      <c r="J210" s="29"/>
      <c r="K210" s="45"/>
      <c r="L210" s="16"/>
      <c r="M210" s="12">
        <f t="shared" si="106"/>
        <v>0</v>
      </c>
      <c r="N210" s="13">
        <f t="shared" si="107"/>
        <v>1</v>
      </c>
      <c r="O210" s="15">
        <v>46139</v>
      </c>
      <c r="P210" s="36"/>
      <c r="Q210" s="29"/>
      <c r="R210" s="45"/>
      <c r="S210" s="16"/>
      <c r="T210" s="12">
        <f t="shared" si="108"/>
        <v>0</v>
      </c>
      <c r="U210" s="29"/>
      <c r="V210" s="45"/>
      <c r="W210" s="16"/>
      <c r="X210" s="12">
        <f t="shared" si="109"/>
        <v>0</v>
      </c>
      <c r="Y210" s="29"/>
      <c r="Z210" s="45"/>
      <c r="AA210" s="16"/>
      <c r="AB210" s="12">
        <f t="shared" si="110"/>
        <v>0</v>
      </c>
      <c r="AC210" s="13">
        <f t="shared" si="111"/>
        <v>0</v>
      </c>
    </row>
    <row r="211" spans="1:29" ht="14.25" thickBot="1" x14ac:dyDescent="0.2">
      <c r="A211" s="25" t="s">
        <v>28</v>
      </c>
      <c r="B211" s="29">
        <v>1</v>
      </c>
      <c r="C211" s="45"/>
      <c r="D211" s="16"/>
      <c r="E211" s="12">
        <f t="shared" si="112"/>
        <v>1</v>
      </c>
      <c r="F211" s="29">
        <v>1</v>
      </c>
      <c r="G211" s="45">
        <v>2</v>
      </c>
      <c r="H211" s="16"/>
      <c r="I211" s="12">
        <f t="shared" si="105"/>
        <v>3</v>
      </c>
      <c r="J211" s="29">
        <v>1</v>
      </c>
      <c r="K211" s="45">
        <v>1</v>
      </c>
      <c r="L211" s="16"/>
      <c r="M211" s="12">
        <f t="shared" si="106"/>
        <v>2</v>
      </c>
      <c r="N211" s="20">
        <f t="shared" si="107"/>
        <v>6</v>
      </c>
      <c r="O211" s="15">
        <v>46153</v>
      </c>
      <c r="P211" s="11"/>
      <c r="Q211" s="29"/>
      <c r="R211" s="45"/>
      <c r="S211" s="16"/>
      <c r="T211" s="12">
        <f t="shared" si="108"/>
        <v>0</v>
      </c>
      <c r="U211" s="29"/>
      <c r="V211" s="45"/>
      <c r="W211" s="16"/>
      <c r="X211" s="12">
        <f t="shared" si="109"/>
        <v>0</v>
      </c>
      <c r="Y211" s="29"/>
      <c r="Z211" s="45"/>
      <c r="AA211" s="16"/>
      <c r="AB211" s="12">
        <f t="shared" si="110"/>
        <v>0</v>
      </c>
      <c r="AC211" s="20">
        <f t="shared" si="111"/>
        <v>0</v>
      </c>
    </row>
    <row r="212" spans="1:29" ht="14.25" thickBot="1" x14ac:dyDescent="0.2">
      <c r="A212" s="3" t="s">
        <v>9</v>
      </c>
      <c r="B212" s="22">
        <f>SUM(B188:B211)</f>
        <v>2</v>
      </c>
      <c r="C212" s="47">
        <f t="shared" ref="C212:E212" si="113">SUM(C188:C211)</f>
        <v>6</v>
      </c>
      <c r="D212" s="41">
        <f t="shared" si="113"/>
        <v>10</v>
      </c>
      <c r="E212" s="31">
        <f t="shared" si="113"/>
        <v>18</v>
      </c>
      <c r="F212" s="22">
        <f>SUM(F188:F211)</f>
        <v>2</v>
      </c>
      <c r="G212" s="47">
        <f t="shared" ref="G212:I212" si="114">SUM(G188:G211)</f>
        <v>8</v>
      </c>
      <c r="H212" s="41">
        <f t="shared" si="114"/>
        <v>6</v>
      </c>
      <c r="I212" s="31">
        <f t="shared" si="114"/>
        <v>16</v>
      </c>
      <c r="J212" s="22">
        <f>SUM(J188:J211)</f>
        <v>3</v>
      </c>
      <c r="K212" s="47">
        <f t="shared" ref="K212:M212" si="115">SUM(K188:K211)</f>
        <v>7</v>
      </c>
      <c r="L212" s="41">
        <f t="shared" si="115"/>
        <v>5</v>
      </c>
      <c r="M212" s="31">
        <f t="shared" si="115"/>
        <v>15</v>
      </c>
      <c r="N212" s="24">
        <f t="shared" si="107"/>
        <v>49</v>
      </c>
      <c r="P212" s="3" t="s">
        <v>9</v>
      </c>
      <c r="Q212" s="22">
        <f>SUM(Q188:Q211)</f>
        <v>1</v>
      </c>
      <c r="R212" s="47">
        <f>SUM(R188:R211)</f>
        <v>3</v>
      </c>
      <c r="S212" s="41">
        <f>SUM(S188:S211)</f>
        <v>1</v>
      </c>
      <c r="T212" s="31">
        <f>SUM(T188:T211)</f>
        <v>5</v>
      </c>
      <c r="U212" s="22">
        <f>SUM(U188:U211)</f>
        <v>4</v>
      </c>
      <c r="V212" s="47">
        <f t="shared" ref="V212:X212" si="116">SUM(V188:V211)</f>
        <v>8</v>
      </c>
      <c r="W212" s="41">
        <f t="shared" si="116"/>
        <v>1</v>
      </c>
      <c r="X212" s="31">
        <f t="shared" si="116"/>
        <v>13</v>
      </c>
      <c r="Y212" s="22">
        <f>SUM(Y188:Y211)</f>
        <v>3</v>
      </c>
      <c r="Z212" s="47">
        <f t="shared" ref="Z212:AB212" si="117">SUM(Z188:Z211)</f>
        <v>3</v>
      </c>
      <c r="AA212" s="41">
        <f t="shared" si="117"/>
        <v>0</v>
      </c>
      <c r="AB212" s="31">
        <f t="shared" si="117"/>
        <v>6</v>
      </c>
      <c r="AC212" s="24">
        <f t="shared" si="111"/>
        <v>24</v>
      </c>
    </row>
    <row r="213" spans="1:29" ht="14.25" thickBot="1" x14ac:dyDescent="0.2">
      <c r="A213" s="32" t="s">
        <v>10</v>
      </c>
      <c r="B213" s="33">
        <f>B187-B212</f>
        <v>3</v>
      </c>
      <c r="C213" s="49">
        <f t="shared" ref="C213:E213" si="118">C187-C212</f>
        <v>3</v>
      </c>
      <c r="D213" s="42">
        <f t="shared" si="118"/>
        <v>3</v>
      </c>
      <c r="E213" s="33">
        <f t="shared" si="118"/>
        <v>9</v>
      </c>
      <c r="F213" s="33">
        <f>F187-F212</f>
        <v>5</v>
      </c>
      <c r="G213" s="49">
        <f t="shared" ref="G213:I213" si="119">G187-G212</f>
        <v>1</v>
      </c>
      <c r="H213" s="42">
        <f t="shared" si="119"/>
        <v>0</v>
      </c>
      <c r="I213" s="33">
        <f t="shared" si="119"/>
        <v>6</v>
      </c>
      <c r="J213" s="33">
        <f>J187-J212</f>
        <v>4</v>
      </c>
      <c r="K213" s="49">
        <f t="shared" ref="K213:M213" si="120">K187-K212</f>
        <v>3</v>
      </c>
      <c r="L213" s="42">
        <f t="shared" si="120"/>
        <v>3</v>
      </c>
      <c r="M213" s="33">
        <f t="shared" si="120"/>
        <v>10</v>
      </c>
      <c r="N213" s="24">
        <f t="shared" si="107"/>
        <v>25</v>
      </c>
      <c r="P213" s="32" t="s">
        <v>10</v>
      </c>
      <c r="Q213" s="33">
        <f>Q187-Q212</f>
        <v>5</v>
      </c>
      <c r="R213" s="49">
        <f>R187-R212</f>
        <v>5</v>
      </c>
      <c r="S213" s="42">
        <f>S187-S212</f>
        <v>5</v>
      </c>
      <c r="T213" s="33">
        <f>T187-T212</f>
        <v>15</v>
      </c>
      <c r="U213" s="33">
        <f>U187-U212</f>
        <v>4</v>
      </c>
      <c r="V213" s="49">
        <f t="shared" ref="V213:X213" si="121">V187-V212</f>
        <v>4</v>
      </c>
      <c r="W213" s="42">
        <f t="shared" si="121"/>
        <v>4</v>
      </c>
      <c r="X213" s="33">
        <f t="shared" si="121"/>
        <v>12</v>
      </c>
      <c r="Y213" s="33">
        <f>Y187-Y212</f>
        <v>3</v>
      </c>
      <c r="Z213" s="49">
        <f t="shared" ref="Z213:AB213" si="122">Z187-Z212</f>
        <v>3</v>
      </c>
      <c r="AA213" s="42">
        <f t="shared" si="122"/>
        <v>4</v>
      </c>
      <c r="AB213" s="33">
        <f t="shared" si="122"/>
        <v>10</v>
      </c>
      <c r="AC213" s="24">
        <f t="shared" si="111"/>
        <v>37</v>
      </c>
    </row>
    <row r="216" spans="1:29" ht="21.75" thickBot="1" x14ac:dyDescent="0.25">
      <c r="A216" s="34" t="s">
        <v>12</v>
      </c>
      <c r="B216" s="35"/>
      <c r="C216" s="35"/>
      <c r="D216" s="38" t="s">
        <v>51</v>
      </c>
      <c r="E216" s="1"/>
      <c r="F216" s="1"/>
      <c r="G216" s="1"/>
      <c r="H216" s="1"/>
      <c r="I216" s="1"/>
      <c r="J216" s="1"/>
      <c r="K216" s="1"/>
      <c r="L216" s="1"/>
      <c r="M216" s="1"/>
      <c r="N216">
        <v>630</v>
      </c>
      <c r="P216" s="34" t="s">
        <v>12</v>
      </c>
      <c r="Q216" s="35"/>
      <c r="R216" s="35"/>
      <c r="S216" s="35"/>
      <c r="T216" s="37"/>
      <c r="U216" s="35"/>
      <c r="V216" s="35"/>
      <c r="W216" s="35"/>
      <c r="X216" s="37"/>
      <c r="Y216" s="35">
        <v>630</v>
      </c>
      <c r="Z216" s="35"/>
      <c r="AA216" s="38" t="s">
        <v>49</v>
      </c>
      <c r="AB216" s="1"/>
    </row>
    <row r="217" spans="1:29" ht="14.25" thickBot="1" x14ac:dyDescent="0.2">
      <c r="A217" s="2" t="s">
        <v>0</v>
      </c>
      <c r="B217" s="109" t="s">
        <v>15</v>
      </c>
      <c r="C217" s="109"/>
      <c r="D217" s="109"/>
      <c r="E217" s="110"/>
      <c r="F217" s="113" t="s">
        <v>16</v>
      </c>
      <c r="G217" s="113"/>
      <c r="H217" s="113"/>
      <c r="I217" s="114"/>
      <c r="J217" s="111" t="s">
        <v>17</v>
      </c>
      <c r="K217" s="111"/>
      <c r="L217" s="111"/>
      <c r="M217" s="112"/>
      <c r="N217" s="107" t="s">
        <v>14</v>
      </c>
      <c r="P217" s="2" t="s">
        <v>0</v>
      </c>
      <c r="Q217" s="115" t="s">
        <v>13</v>
      </c>
      <c r="R217" s="115"/>
      <c r="S217" s="115"/>
      <c r="T217" s="116"/>
      <c r="U217" s="117" t="s">
        <v>20</v>
      </c>
      <c r="V217" s="117"/>
      <c r="W217" s="117"/>
      <c r="X217" s="118"/>
      <c r="Y217" s="119" t="s">
        <v>21</v>
      </c>
      <c r="Z217" s="119"/>
      <c r="AA217" s="119"/>
      <c r="AB217" s="120"/>
      <c r="AC217" s="107" t="s">
        <v>14</v>
      </c>
    </row>
    <row r="218" spans="1:29" ht="14.25" thickBot="1" x14ac:dyDescent="0.2">
      <c r="A218" s="2" t="s">
        <v>1</v>
      </c>
      <c r="B218" s="3" t="s">
        <v>2</v>
      </c>
      <c r="C218" s="43" t="s">
        <v>3</v>
      </c>
      <c r="D218" s="4" t="s">
        <v>4</v>
      </c>
      <c r="E218" s="2" t="s">
        <v>5</v>
      </c>
      <c r="F218" s="3" t="s">
        <v>2</v>
      </c>
      <c r="G218" s="43" t="s">
        <v>3</v>
      </c>
      <c r="H218" s="4" t="s">
        <v>4</v>
      </c>
      <c r="I218" s="2" t="s">
        <v>5</v>
      </c>
      <c r="J218" s="3" t="s">
        <v>2</v>
      </c>
      <c r="K218" s="43" t="s">
        <v>3</v>
      </c>
      <c r="L218" s="4" t="s">
        <v>4</v>
      </c>
      <c r="M218" s="2" t="s">
        <v>5</v>
      </c>
      <c r="N218" s="108"/>
      <c r="P218" s="2" t="s">
        <v>1</v>
      </c>
      <c r="Q218" s="3" t="s">
        <v>2</v>
      </c>
      <c r="R218" s="43" t="s">
        <v>3</v>
      </c>
      <c r="S218" s="4" t="s">
        <v>4</v>
      </c>
      <c r="T218" s="2" t="s">
        <v>5</v>
      </c>
      <c r="U218" s="3" t="s">
        <v>2</v>
      </c>
      <c r="V218" s="43" t="s">
        <v>3</v>
      </c>
      <c r="W218" s="4" t="s">
        <v>4</v>
      </c>
      <c r="X218" s="2" t="s">
        <v>5</v>
      </c>
      <c r="Y218" s="3" t="s">
        <v>2</v>
      </c>
      <c r="Z218" s="43" t="s">
        <v>3</v>
      </c>
      <c r="AA218" s="4" t="s">
        <v>4</v>
      </c>
      <c r="AB218" s="2" t="s">
        <v>5</v>
      </c>
      <c r="AC218" s="108"/>
    </row>
    <row r="219" spans="1:29" x14ac:dyDescent="0.15">
      <c r="A219" s="5" t="s">
        <v>10</v>
      </c>
      <c r="B219" s="6">
        <f t="shared" ref="B219:M219" si="123">B213</f>
        <v>3</v>
      </c>
      <c r="C219" s="50">
        <f t="shared" si="123"/>
        <v>3</v>
      </c>
      <c r="D219" s="6">
        <f t="shared" si="123"/>
        <v>3</v>
      </c>
      <c r="E219" s="7">
        <f t="shared" si="123"/>
        <v>9</v>
      </c>
      <c r="F219" s="6">
        <f t="shared" si="123"/>
        <v>5</v>
      </c>
      <c r="G219" s="50">
        <f t="shared" si="123"/>
        <v>1</v>
      </c>
      <c r="H219" s="6">
        <f t="shared" si="123"/>
        <v>0</v>
      </c>
      <c r="I219" s="7">
        <f t="shared" si="123"/>
        <v>6</v>
      </c>
      <c r="J219" s="6">
        <f t="shared" si="123"/>
        <v>4</v>
      </c>
      <c r="K219" s="50">
        <f t="shared" si="123"/>
        <v>3</v>
      </c>
      <c r="L219" s="6">
        <f t="shared" si="123"/>
        <v>3</v>
      </c>
      <c r="M219" s="7">
        <f t="shared" si="123"/>
        <v>10</v>
      </c>
      <c r="N219" s="13">
        <f>E219+M219+I219</f>
        <v>25</v>
      </c>
      <c r="P219" s="5" t="s">
        <v>10</v>
      </c>
      <c r="Q219" s="6">
        <f>Q213</f>
        <v>5</v>
      </c>
      <c r="R219" s="50">
        <f>R213</f>
        <v>5</v>
      </c>
      <c r="S219" s="6">
        <f>S213</f>
        <v>5</v>
      </c>
      <c r="T219" s="7">
        <f>T213</f>
        <v>15</v>
      </c>
      <c r="U219" s="6">
        <f>U213</f>
        <v>4</v>
      </c>
      <c r="V219" s="50">
        <f t="shared" ref="V219:AB219" si="124">V213</f>
        <v>4</v>
      </c>
      <c r="W219" s="6">
        <f t="shared" si="124"/>
        <v>4</v>
      </c>
      <c r="X219" s="7">
        <f t="shared" si="124"/>
        <v>12</v>
      </c>
      <c r="Y219" s="6">
        <f t="shared" si="124"/>
        <v>3</v>
      </c>
      <c r="Z219" s="50">
        <f t="shared" si="124"/>
        <v>3</v>
      </c>
      <c r="AA219" s="6">
        <f t="shared" si="124"/>
        <v>4</v>
      </c>
      <c r="AB219" s="7">
        <f t="shared" si="124"/>
        <v>10</v>
      </c>
      <c r="AC219" s="8">
        <f>AC213</f>
        <v>37</v>
      </c>
    </row>
    <row r="220" spans="1:29" x14ac:dyDescent="0.15">
      <c r="A220" s="9" t="s">
        <v>7</v>
      </c>
      <c r="B220" s="16"/>
      <c r="C220" s="45"/>
      <c r="D220" s="16"/>
      <c r="E220" s="12">
        <f t="shared" ref="E220:E254" si="125">SUM(B220:D220)</f>
        <v>0</v>
      </c>
      <c r="F220" s="16"/>
      <c r="G220" s="45"/>
      <c r="H220" s="16"/>
      <c r="I220" s="12">
        <f t="shared" ref="I220:I254" si="126">SUM(F220:H220)</f>
        <v>0</v>
      </c>
      <c r="J220" s="16"/>
      <c r="K220" s="45"/>
      <c r="L220" s="16"/>
      <c r="M220" s="12">
        <f t="shared" ref="M220:M254" si="127">SUM(J220:L220)</f>
        <v>0</v>
      </c>
      <c r="N220" s="13">
        <f t="shared" ref="N220:N256" si="128">E220+M220+I220</f>
        <v>0</v>
      </c>
      <c r="O220" s="15"/>
      <c r="P220" s="9" t="s">
        <v>7</v>
      </c>
      <c r="Q220" s="16"/>
      <c r="R220" s="45"/>
      <c r="S220" s="16"/>
      <c r="T220" s="12">
        <f t="shared" ref="T220:T254" si="129">SUM(Q220:S220)</f>
        <v>0</v>
      </c>
      <c r="U220" s="16"/>
      <c r="V220" s="45"/>
      <c r="W220" s="16"/>
      <c r="X220" s="12">
        <f t="shared" ref="X220:X254" si="130">SUM(U220:W220)</f>
        <v>0</v>
      </c>
      <c r="Y220" s="16"/>
      <c r="Z220" s="45"/>
      <c r="AA220" s="16"/>
      <c r="AB220" s="12">
        <f t="shared" ref="AB220:AB254" si="131">SUM(Y220:AA220)</f>
        <v>0</v>
      </c>
      <c r="AC220" s="13">
        <f t="shared" ref="AC220:AC256" si="132">X220+AB220+T220</f>
        <v>0</v>
      </c>
    </row>
    <row r="221" spans="1:29" x14ac:dyDescent="0.15">
      <c r="A221" s="9" t="s">
        <v>7</v>
      </c>
      <c r="B221" s="16"/>
      <c r="C221" s="45"/>
      <c r="D221" s="16"/>
      <c r="E221" s="12">
        <f t="shared" si="125"/>
        <v>0</v>
      </c>
      <c r="F221" s="16"/>
      <c r="G221" s="45"/>
      <c r="H221" s="16"/>
      <c r="I221" s="12">
        <f t="shared" si="126"/>
        <v>0</v>
      </c>
      <c r="J221" s="16"/>
      <c r="K221" s="45"/>
      <c r="L221" s="16"/>
      <c r="M221" s="12">
        <f t="shared" si="127"/>
        <v>0</v>
      </c>
      <c r="N221" s="13">
        <f t="shared" si="128"/>
        <v>0</v>
      </c>
      <c r="O221" s="15"/>
      <c r="P221" s="9" t="s">
        <v>7</v>
      </c>
      <c r="Q221" s="16"/>
      <c r="R221" s="45"/>
      <c r="S221" s="16"/>
      <c r="T221" s="12">
        <f t="shared" ref="T221:T224" si="133">SUM(Q221:S221)</f>
        <v>0</v>
      </c>
      <c r="U221" s="16"/>
      <c r="V221" s="45"/>
      <c r="W221" s="16"/>
      <c r="X221" s="12">
        <f t="shared" ref="X221:X224" si="134">SUM(U221:W221)</f>
        <v>0</v>
      </c>
      <c r="Y221" s="16"/>
      <c r="Z221" s="45"/>
      <c r="AA221" s="16"/>
      <c r="AB221" s="12">
        <f t="shared" ref="AB221:AB224" si="135">SUM(Y221:AA221)</f>
        <v>0</v>
      </c>
      <c r="AC221" s="13">
        <f t="shared" ref="AC221:AC224" si="136">X221+AB221+T221</f>
        <v>0</v>
      </c>
    </row>
    <row r="222" spans="1:29" x14ac:dyDescent="0.15">
      <c r="A222" s="9" t="s">
        <v>7</v>
      </c>
      <c r="B222" s="16"/>
      <c r="C222" s="45"/>
      <c r="D222" s="16"/>
      <c r="E222" s="12">
        <f t="shared" si="125"/>
        <v>0</v>
      </c>
      <c r="F222" s="16"/>
      <c r="G222" s="45"/>
      <c r="H222" s="16"/>
      <c r="I222" s="12">
        <f t="shared" si="126"/>
        <v>0</v>
      </c>
      <c r="J222" s="16"/>
      <c r="K222" s="45"/>
      <c r="L222" s="16"/>
      <c r="M222" s="12">
        <f t="shared" si="127"/>
        <v>0</v>
      </c>
      <c r="N222" s="13">
        <f t="shared" si="128"/>
        <v>0</v>
      </c>
      <c r="O222" s="15"/>
      <c r="P222" s="9" t="s">
        <v>7</v>
      </c>
      <c r="Q222" s="16"/>
      <c r="R222" s="45"/>
      <c r="S222" s="16"/>
      <c r="T222" s="12">
        <f t="shared" si="133"/>
        <v>0</v>
      </c>
      <c r="U222" s="16"/>
      <c r="V222" s="45"/>
      <c r="W222" s="16"/>
      <c r="X222" s="12">
        <f t="shared" si="134"/>
        <v>0</v>
      </c>
      <c r="Y222" s="16"/>
      <c r="Z222" s="45"/>
      <c r="AA222" s="16"/>
      <c r="AB222" s="12">
        <f t="shared" si="135"/>
        <v>0</v>
      </c>
      <c r="AC222" s="13">
        <f t="shared" si="136"/>
        <v>0</v>
      </c>
    </row>
    <row r="223" spans="1:29" x14ac:dyDescent="0.15">
      <c r="A223" s="9" t="s">
        <v>7</v>
      </c>
      <c r="B223" s="16"/>
      <c r="C223" s="45"/>
      <c r="D223" s="16"/>
      <c r="E223" s="12">
        <f t="shared" si="125"/>
        <v>0</v>
      </c>
      <c r="F223" s="16"/>
      <c r="G223" s="45"/>
      <c r="H223" s="16"/>
      <c r="I223" s="12">
        <f t="shared" si="126"/>
        <v>0</v>
      </c>
      <c r="J223" s="16"/>
      <c r="K223" s="45"/>
      <c r="L223" s="16"/>
      <c r="M223" s="12">
        <f t="shared" si="127"/>
        <v>0</v>
      </c>
      <c r="N223" s="13">
        <f t="shared" si="128"/>
        <v>0</v>
      </c>
      <c r="O223" s="15"/>
      <c r="P223" s="9" t="s">
        <v>7</v>
      </c>
      <c r="Q223" s="16"/>
      <c r="R223" s="45"/>
      <c r="S223" s="16"/>
      <c r="T223" s="12">
        <f t="shared" si="133"/>
        <v>0</v>
      </c>
      <c r="U223" s="16"/>
      <c r="V223" s="45"/>
      <c r="W223" s="16"/>
      <c r="X223" s="12">
        <f t="shared" si="134"/>
        <v>0</v>
      </c>
      <c r="Y223" s="16"/>
      <c r="Z223" s="45"/>
      <c r="AA223" s="16"/>
      <c r="AB223" s="12">
        <f t="shared" si="135"/>
        <v>0</v>
      </c>
      <c r="AC223" s="13">
        <f t="shared" si="136"/>
        <v>0</v>
      </c>
    </row>
    <row r="224" spans="1:29" x14ac:dyDescent="0.15">
      <c r="A224" s="9" t="s">
        <v>7</v>
      </c>
      <c r="B224" s="69"/>
      <c r="C224" s="45"/>
      <c r="D224" s="16"/>
      <c r="E224" s="12">
        <f t="shared" si="125"/>
        <v>0</v>
      </c>
      <c r="F224" s="16"/>
      <c r="G224" s="45"/>
      <c r="H224" s="16"/>
      <c r="I224" s="12">
        <f t="shared" si="126"/>
        <v>0</v>
      </c>
      <c r="J224" s="16"/>
      <c r="K224" s="45"/>
      <c r="L224" s="16"/>
      <c r="M224" s="12">
        <f t="shared" si="127"/>
        <v>0</v>
      </c>
      <c r="N224" s="13">
        <f t="shared" si="128"/>
        <v>0</v>
      </c>
      <c r="O224" s="15"/>
      <c r="P224" s="9" t="s">
        <v>7</v>
      </c>
      <c r="Q224" s="16"/>
      <c r="R224" s="45"/>
      <c r="S224" s="16"/>
      <c r="T224" s="12">
        <f t="shared" si="133"/>
        <v>0</v>
      </c>
      <c r="U224" s="16"/>
      <c r="V224" s="45"/>
      <c r="W224" s="16"/>
      <c r="X224" s="12">
        <f t="shared" si="134"/>
        <v>0</v>
      </c>
      <c r="Y224" s="16"/>
      <c r="Z224" s="45"/>
      <c r="AA224" s="16"/>
      <c r="AB224" s="12">
        <f t="shared" si="135"/>
        <v>0</v>
      </c>
      <c r="AC224" s="13">
        <f t="shared" si="136"/>
        <v>0</v>
      </c>
    </row>
    <row r="225" spans="1:29" x14ac:dyDescent="0.15">
      <c r="A225" s="9" t="s">
        <v>7</v>
      </c>
      <c r="B225" s="69"/>
      <c r="C225" s="45"/>
      <c r="D225" s="16"/>
      <c r="E225" s="12">
        <f t="shared" si="125"/>
        <v>0</v>
      </c>
      <c r="F225" s="16"/>
      <c r="G225" s="45"/>
      <c r="H225" s="16"/>
      <c r="I225" s="12">
        <f t="shared" si="126"/>
        <v>0</v>
      </c>
      <c r="J225" s="16"/>
      <c r="K225" s="45"/>
      <c r="L225" s="61"/>
      <c r="M225" s="12">
        <f t="shared" si="127"/>
        <v>0</v>
      </c>
      <c r="N225" s="13">
        <f t="shared" si="128"/>
        <v>0</v>
      </c>
      <c r="O225" s="15"/>
      <c r="P225" s="9" t="s">
        <v>7</v>
      </c>
      <c r="Q225" s="16"/>
      <c r="R225" s="45"/>
      <c r="S225" s="16"/>
      <c r="T225" s="12">
        <f t="shared" si="129"/>
        <v>0</v>
      </c>
      <c r="U225" s="16"/>
      <c r="V225" s="45"/>
      <c r="W225" s="16"/>
      <c r="X225" s="12">
        <f t="shared" si="130"/>
        <v>0</v>
      </c>
      <c r="Y225" s="16"/>
      <c r="Z225" s="45"/>
      <c r="AA225" s="16"/>
      <c r="AB225" s="12">
        <f t="shared" si="131"/>
        <v>0</v>
      </c>
      <c r="AC225" s="13">
        <f t="shared" si="132"/>
        <v>0</v>
      </c>
    </row>
    <row r="226" spans="1:29" x14ac:dyDescent="0.15">
      <c r="A226" s="9" t="s">
        <v>7</v>
      </c>
      <c r="B226" s="69"/>
      <c r="C226" s="45"/>
      <c r="D226" s="16"/>
      <c r="E226" s="12">
        <f t="shared" si="125"/>
        <v>0</v>
      </c>
      <c r="F226" s="16"/>
      <c r="G226" s="45"/>
      <c r="H226" s="16"/>
      <c r="I226" s="12">
        <f t="shared" si="126"/>
        <v>0</v>
      </c>
      <c r="J226" s="16"/>
      <c r="K226" s="45"/>
      <c r="L226" s="61"/>
      <c r="M226" s="12">
        <f t="shared" si="127"/>
        <v>0</v>
      </c>
      <c r="N226" s="13">
        <f t="shared" si="128"/>
        <v>0</v>
      </c>
      <c r="O226" s="15"/>
      <c r="P226" s="9" t="s">
        <v>7</v>
      </c>
      <c r="Q226" s="16"/>
      <c r="R226" s="45"/>
      <c r="S226" s="16"/>
      <c r="T226" s="12">
        <f t="shared" si="129"/>
        <v>0</v>
      </c>
      <c r="U226" s="16"/>
      <c r="V226" s="45"/>
      <c r="W226" s="16"/>
      <c r="X226" s="12">
        <f t="shared" si="130"/>
        <v>0</v>
      </c>
      <c r="Y226" s="16"/>
      <c r="Z226" s="45"/>
      <c r="AA226" s="16"/>
      <c r="AB226" s="12">
        <f t="shared" si="131"/>
        <v>0</v>
      </c>
      <c r="AC226" s="13">
        <f t="shared" si="132"/>
        <v>0</v>
      </c>
    </row>
    <row r="227" spans="1:29" x14ac:dyDescent="0.15">
      <c r="A227" s="9" t="s">
        <v>7</v>
      </c>
      <c r="B227" s="69"/>
      <c r="C227" s="45"/>
      <c r="D227" s="16"/>
      <c r="E227" s="12">
        <f t="shared" si="125"/>
        <v>0</v>
      </c>
      <c r="F227" s="16"/>
      <c r="G227" s="45"/>
      <c r="H227" s="16"/>
      <c r="I227" s="12">
        <f t="shared" si="126"/>
        <v>0</v>
      </c>
      <c r="J227" s="16"/>
      <c r="K227" s="45"/>
      <c r="L227" s="61"/>
      <c r="M227" s="12">
        <f t="shared" si="127"/>
        <v>0</v>
      </c>
      <c r="N227" s="13">
        <f t="shared" si="128"/>
        <v>0</v>
      </c>
      <c r="O227" s="15"/>
      <c r="P227" s="9" t="s">
        <v>7</v>
      </c>
      <c r="Q227" s="16"/>
      <c r="R227" s="45"/>
      <c r="S227" s="16"/>
      <c r="T227" s="12">
        <f t="shared" si="129"/>
        <v>0</v>
      </c>
      <c r="U227" s="16"/>
      <c r="V227" s="45"/>
      <c r="W227" s="16"/>
      <c r="X227" s="12">
        <f t="shared" si="130"/>
        <v>0</v>
      </c>
      <c r="Y227" s="16"/>
      <c r="Z227" s="45"/>
      <c r="AA227" s="16"/>
      <c r="AB227" s="12">
        <f t="shared" si="131"/>
        <v>0</v>
      </c>
      <c r="AC227" s="13">
        <f t="shared" si="132"/>
        <v>0</v>
      </c>
    </row>
    <row r="228" spans="1:29" x14ac:dyDescent="0.15">
      <c r="A228" s="9" t="s">
        <v>7</v>
      </c>
      <c r="B228" s="69"/>
      <c r="C228" s="45"/>
      <c r="D228" s="16"/>
      <c r="E228" s="12">
        <f t="shared" si="125"/>
        <v>0</v>
      </c>
      <c r="F228" s="16"/>
      <c r="G228" s="45"/>
      <c r="H228" s="16"/>
      <c r="I228" s="12">
        <f t="shared" si="126"/>
        <v>0</v>
      </c>
      <c r="J228" s="16"/>
      <c r="K228" s="45"/>
      <c r="L228" s="61"/>
      <c r="M228" s="12">
        <f t="shared" si="127"/>
        <v>0</v>
      </c>
      <c r="N228" s="13">
        <f t="shared" si="128"/>
        <v>0</v>
      </c>
      <c r="O228" s="15"/>
      <c r="P228" s="9" t="s">
        <v>7</v>
      </c>
      <c r="Q228" s="16"/>
      <c r="R228" s="45"/>
      <c r="S228" s="16"/>
      <c r="T228" s="12">
        <f t="shared" si="129"/>
        <v>0</v>
      </c>
      <c r="U228" s="16"/>
      <c r="V228" s="45"/>
      <c r="W228" s="16"/>
      <c r="X228" s="12">
        <f t="shared" si="130"/>
        <v>0</v>
      </c>
      <c r="Y228" s="16"/>
      <c r="Z228" s="45"/>
      <c r="AA228" s="16"/>
      <c r="AB228" s="12">
        <f t="shared" si="131"/>
        <v>0</v>
      </c>
      <c r="AC228" s="13">
        <f t="shared" si="132"/>
        <v>0</v>
      </c>
    </row>
    <row r="229" spans="1:29" ht="14.25" thickBot="1" x14ac:dyDescent="0.2">
      <c r="A229" s="9" t="s">
        <v>7</v>
      </c>
      <c r="B229" s="69"/>
      <c r="C229" s="45"/>
      <c r="D229" s="16"/>
      <c r="E229" s="12">
        <f t="shared" si="125"/>
        <v>0</v>
      </c>
      <c r="F229" s="16"/>
      <c r="G229" s="45"/>
      <c r="H229" s="16"/>
      <c r="I229" s="12">
        <f t="shared" si="126"/>
        <v>0</v>
      </c>
      <c r="J229" s="16"/>
      <c r="K229" s="45"/>
      <c r="L229" s="61"/>
      <c r="M229" s="12">
        <f t="shared" si="127"/>
        <v>0</v>
      </c>
      <c r="N229" s="13">
        <f t="shared" si="128"/>
        <v>0</v>
      </c>
      <c r="O229" s="15"/>
      <c r="P229" s="17" t="s">
        <v>7</v>
      </c>
      <c r="Q229" s="18"/>
      <c r="R229" s="46"/>
      <c r="S229" s="18"/>
      <c r="T229" s="19">
        <f t="shared" si="129"/>
        <v>0</v>
      </c>
      <c r="U229" s="18"/>
      <c r="V229" s="46"/>
      <c r="W229" s="18"/>
      <c r="X229" s="19">
        <f t="shared" si="130"/>
        <v>0</v>
      </c>
      <c r="Y229" s="18"/>
      <c r="Z229" s="46"/>
      <c r="AA229" s="18"/>
      <c r="AB229" s="19">
        <f t="shared" si="131"/>
        <v>0</v>
      </c>
      <c r="AC229" s="20">
        <f t="shared" si="132"/>
        <v>0</v>
      </c>
    </row>
    <row r="230" spans="1:29" ht="14.25" thickBot="1" x14ac:dyDescent="0.2">
      <c r="A230" s="21" t="s">
        <v>8</v>
      </c>
      <c r="B230" s="22">
        <f>SUM(B219:B229)</f>
        <v>3</v>
      </c>
      <c r="C230" s="47">
        <f>SUM(C219:C229)</f>
        <v>3</v>
      </c>
      <c r="D230" s="40">
        <f>SUM(D219:D229)</f>
        <v>3</v>
      </c>
      <c r="E230" s="23">
        <f t="shared" si="125"/>
        <v>9</v>
      </c>
      <c r="F230" s="22">
        <f>SUM(F219:F229)</f>
        <v>5</v>
      </c>
      <c r="G230" s="47">
        <f>SUM(G219:G229)</f>
        <v>1</v>
      </c>
      <c r="H230" s="40">
        <f>SUM(H219:H229)</f>
        <v>0</v>
      </c>
      <c r="I230" s="23">
        <f t="shared" si="126"/>
        <v>6</v>
      </c>
      <c r="J230" s="22">
        <f>SUM(J219:J229)</f>
        <v>4</v>
      </c>
      <c r="K230" s="47">
        <f>SUM(K219:K229)</f>
        <v>3</v>
      </c>
      <c r="L230" s="40">
        <f>SUM(L219:L229)</f>
        <v>3</v>
      </c>
      <c r="M230" s="23">
        <f t="shared" si="127"/>
        <v>10</v>
      </c>
      <c r="N230" s="24">
        <f t="shared" si="128"/>
        <v>25</v>
      </c>
      <c r="P230" s="21" t="s">
        <v>8</v>
      </c>
      <c r="Q230" s="22">
        <f>SUM(Q219:Q229)</f>
        <v>5</v>
      </c>
      <c r="R230" s="47">
        <f>SUM(R219:R229)</f>
        <v>5</v>
      </c>
      <c r="S230" s="40">
        <f>SUM(S219:S229)</f>
        <v>5</v>
      </c>
      <c r="T230" s="23">
        <f t="shared" si="129"/>
        <v>15</v>
      </c>
      <c r="U230" s="22">
        <f>SUM(U219:U229)</f>
        <v>4</v>
      </c>
      <c r="V230" s="47">
        <f>SUM(V219:V229)</f>
        <v>4</v>
      </c>
      <c r="W230" s="40">
        <f>SUM(W219:W229)</f>
        <v>4</v>
      </c>
      <c r="X230" s="23">
        <f t="shared" si="130"/>
        <v>12</v>
      </c>
      <c r="Y230" s="22">
        <f>SUM(Y219:Y229)</f>
        <v>3</v>
      </c>
      <c r="Z230" s="47">
        <f>SUM(Z219:Z229)</f>
        <v>3</v>
      </c>
      <c r="AA230" s="40">
        <f>SUM(AA219:AA229)</f>
        <v>4</v>
      </c>
      <c r="AB230" s="23">
        <f t="shared" si="131"/>
        <v>10</v>
      </c>
      <c r="AC230" s="24">
        <f t="shared" si="132"/>
        <v>37</v>
      </c>
    </row>
    <row r="231" spans="1:29" x14ac:dyDescent="0.15">
      <c r="A231" s="25" t="s">
        <v>28</v>
      </c>
      <c r="B231" s="29">
        <v>1</v>
      </c>
      <c r="C231" s="45"/>
      <c r="D231" s="16">
        <v>3</v>
      </c>
      <c r="E231" s="12">
        <f t="shared" si="125"/>
        <v>4</v>
      </c>
      <c r="F231" s="29"/>
      <c r="G231" s="45"/>
      <c r="H231" s="16"/>
      <c r="I231" s="12">
        <f t="shared" si="126"/>
        <v>0</v>
      </c>
      <c r="J231" s="29"/>
      <c r="K231" s="45">
        <v>1</v>
      </c>
      <c r="L231" s="16"/>
      <c r="M231" s="12">
        <f t="shared" si="127"/>
        <v>1</v>
      </c>
      <c r="N231" s="13">
        <f t="shared" si="128"/>
        <v>5</v>
      </c>
      <c r="O231" s="15">
        <v>46157</v>
      </c>
      <c r="P231" s="36"/>
      <c r="Q231" s="29"/>
      <c r="R231" s="45"/>
      <c r="S231" s="16"/>
      <c r="T231" s="12">
        <f t="shared" si="129"/>
        <v>0</v>
      </c>
      <c r="U231" s="29"/>
      <c r="V231" s="45"/>
      <c r="W231" s="16"/>
      <c r="X231" s="12">
        <f t="shared" si="130"/>
        <v>0</v>
      </c>
      <c r="Y231" s="29"/>
      <c r="Z231" s="45"/>
      <c r="AA231" s="16"/>
      <c r="AB231" s="12">
        <f t="shared" si="131"/>
        <v>0</v>
      </c>
      <c r="AC231" s="13">
        <f t="shared" si="132"/>
        <v>0</v>
      </c>
    </row>
    <row r="232" spans="1:29" x14ac:dyDescent="0.15">
      <c r="A232" s="25" t="s">
        <v>28</v>
      </c>
      <c r="B232" s="29"/>
      <c r="C232" s="45"/>
      <c r="D232" s="16"/>
      <c r="E232" s="12">
        <f t="shared" ref="E232" si="137">SUM(B232:D232)</f>
        <v>0</v>
      </c>
      <c r="F232" s="29"/>
      <c r="G232" s="45"/>
      <c r="H232" s="16"/>
      <c r="I232" s="12">
        <f t="shared" ref="I232" si="138">SUM(F232:H232)</f>
        <v>0</v>
      </c>
      <c r="J232" s="29"/>
      <c r="K232" s="45"/>
      <c r="L232" s="16">
        <v>2</v>
      </c>
      <c r="M232" s="12">
        <f t="shared" ref="M232" si="139">SUM(J232:L232)</f>
        <v>2</v>
      </c>
      <c r="N232" s="13">
        <f t="shared" ref="N232" si="140">E232+M232+I232</f>
        <v>2</v>
      </c>
      <c r="O232" s="15">
        <v>46167</v>
      </c>
      <c r="P232" s="36"/>
      <c r="Q232" s="29"/>
      <c r="R232" s="45"/>
      <c r="S232" s="16"/>
      <c r="T232" s="12">
        <f t="shared" si="129"/>
        <v>0</v>
      </c>
      <c r="U232" s="29"/>
      <c r="V232" s="45"/>
      <c r="W232" s="16"/>
      <c r="X232" s="12">
        <f t="shared" si="130"/>
        <v>0</v>
      </c>
      <c r="Y232" s="29"/>
      <c r="Z232" s="45"/>
      <c r="AA232" s="16"/>
      <c r="AB232" s="12">
        <f t="shared" si="131"/>
        <v>0</v>
      </c>
      <c r="AC232" s="13">
        <f t="shared" si="132"/>
        <v>0</v>
      </c>
    </row>
    <row r="233" spans="1:29" x14ac:dyDescent="0.15">
      <c r="A233" s="25" t="s">
        <v>28</v>
      </c>
      <c r="B233" s="29"/>
      <c r="C233" s="45"/>
      <c r="D233" s="16"/>
      <c r="E233" s="12">
        <f t="shared" si="125"/>
        <v>0</v>
      </c>
      <c r="F233" s="29"/>
      <c r="G233" s="45">
        <v>1</v>
      </c>
      <c r="H233" s="16"/>
      <c r="I233" s="12">
        <f t="shared" si="126"/>
        <v>1</v>
      </c>
      <c r="J233" s="29"/>
      <c r="K233" s="45">
        <v>2</v>
      </c>
      <c r="L233" s="16"/>
      <c r="M233" s="12">
        <f t="shared" si="127"/>
        <v>2</v>
      </c>
      <c r="N233" s="13">
        <f t="shared" si="128"/>
        <v>3</v>
      </c>
      <c r="O233" s="15">
        <v>46169</v>
      </c>
      <c r="P233" s="36"/>
      <c r="Q233" s="29"/>
      <c r="R233" s="45"/>
      <c r="S233" s="16"/>
      <c r="T233" s="12">
        <f t="shared" si="129"/>
        <v>0</v>
      </c>
      <c r="U233" s="29"/>
      <c r="V233" s="45"/>
      <c r="W233" s="16"/>
      <c r="X233" s="12">
        <f t="shared" si="130"/>
        <v>0</v>
      </c>
      <c r="Y233" s="29"/>
      <c r="Z233" s="45"/>
      <c r="AA233" s="16"/>
      <c r="AB233" s="12">
        <f t="shared" si="131"/>
        <v>0</v>
      </c>
      <c r="AC233" s="13">
        <f t="shared" si="132"/>
        <v>0</v>
      </c>
    </row>
    <row r="234" spans="1:29" x14ac:dyDescent="0.15">
      <c r="A234" s="25" t="s">
        <v>28</v>
      </c>
      <c r="B234" s="29"/>
      <c r="C234" s="45">
        <v>1</v>
      </c>
      <c r="D234" s="16"/>
      <c r="E234" s="12">
        <f t="shared" si="125"/>
        <v>1</v>
      </c>
      <c r="F234" s="29"/>
      <c r="G234" s="45"/>
      <c r="H234" s="16"/>
      <c r="I234" s="12">
        <f t="shared" si="126"/>
        <v>0</v>
      </c>
      <c r="J234" s="29"/>
      <c r="K234" s="45"/>
      <c r="L234" s="16"/>
      <c r="M234" s="12">
        <f t="shared" si="127"/>
        <v>0</v>
      </c>
      <c r="N234" s="13">
        <f t="shared" si="128"/>
        <v>1</v>
      </c>
      <c r="O234" s="15">
        <v>46181</v>
      </c>
      <c r="P234" s="36"/>
      <c r="Q234" s="29"/>
      <c r="R234" s="45"/>
      <c r="S234" s="16"/>
      <c r="T234" s="12">
        <f t="shared" si="129"/>
        <v>0</v>
      </c>
      <c r="U234" s="29"/>
      <c r="V234" s="45"/>
      <c r="W234" s="16"/>
      <c r="X234" s="12">
        <f t="shared" si="130"/>
        <v>0</v>
      </c>
      <c r="Y234" s="29"/>
      <c r="Z234" s="45"/>
      <c r="AA234" s="16"/>
      <c r="AB234" s="12">
        <f t="shared" si="131"/>
        <v>0</v>
      </c>
      <c r="AC234" s="13">
        <f t="shared" si="132"/>
        <v>0</v>
      </c>
    </row>
    <row r="235" spans="1:29" x14ac:dyDescent="0.15">
      <c r="A235" s="25"/>
      <c r="B235" s="29"/>
      <c r="C235" s="45"/>
      <c r="D235" s="16"/>
      <c r="E235" s="12">
        <f t="shared" si="125"/>
        <v>0</v>
      </c>
      <c r="F235" s="29"/>
      <c r="G235" s="45"/>
      <c r="H235" s="16"/>
      <c r="I235" s="12">
        <f t="shared" si="126"/>
        <v>0</v>
      </c>
      <c r="J235" s="29"/>
      <c r="K235" s="45"/>
      <c r="L235" s="16"/>
      <c r="M235" s="12">
        <f t="shared" si="127"/>
        <v>0</v>
      </c>
      <c r="N235" s="13">
        <f t="shared" si="128"/>
        <v>0</v>
      </c>
      <c r="O235" s="15"/>
      <c r="P235" s="36"/>
      <c r="Q235" s="29"/>
      <c r="R235" s="45"/>
      <c r="S235" s="16"/>
      <c r="T235" s="12">
        <f t="shared" si="129"/>
        <v>0</v>
      </c>
      <c r="U235" s="29"/>
      <c r="V235" s="45"/>
      <c r="W235" s="16"/>
      <c r="X235" s="12">
        <f t="shared" si="130"/>
        <v>0</v>
      </c>
      <c r="Y235" s="29"/>
      <c r="Z235" s="45"/>
      <c r="AA235" s="16"/>
      <c r="AB235" s="12">
        <f t="shared" si="131"/>
        <v>0</v>
      </c>
      <c r="AC235" s="13">
        <f t="shared" si="132"/>
        <v>0</v>
      </c>
    </row>
    <row r="236" spans="1:29" x14ac:dyDescent="0.15">
      <c r="A236" s="25"/>
      <c r="B236" s="29"/>
      <c r="C236" s="45"/>
      <c r="D236" s="16"/>
      <c r="E236" s="12">
        <f t="shared" si="125"/>
        <v>0</v>
      </c>
      <c r="F236" s="29"/>
      <c r="G236" s="45"/>
      <c r="H236" s="16"/>
      <c r="I236" s="12">
        <f t="shared" si="126"/>
        <v>0</v>
      </c>
      <c r="J236" s="29"/>
      <c r="K236" s="45"/>
      <c r="L236" s="16"/>
      <c r="M236" s="12">
        <f t="shared" si="127"/>
        <v>0</v>
      </c>
      <c r="N236" s="13">
        <f t="shared" si="128"/>
        <v>0</v>
      </c>
      <c r="O236" s="15"/>
      <c r="P236" s="36"/>
      <c r="Q236" s="29"/>
      <c r="R236" s="45"/>
      <c r="S236" s="16"/>
      <c r="T236" s="12">
        <f t="shared" si="129"/>
        <v>0</v>
      </c>
      <c r="U236" s="29"/>
      <c r="V236" s="45"/>
      <c r="W236" s="16"/>
      <c r="X236" s="12">
        <f t="shared" si="130"/>
        <v>0</v>
      </c>
      <c r="Y236" s="29"/>
      <c r="Z236" s="45"/>
      <c r="AA236" s="16"/>
      <c r="AB236" s="12">
        <f t="shared" si="131"/>
        <v>0</v>
      </c>
      <c r="AC236" s="13">
        <f t="shared" si="132"/>
        <v>0</v>
      </c>
    </row>
    <row r="237" spans="1:29" x14ac:dyDescent="0.15">
      <c r="A237" s="25"/>
      <c r="B237" s="29"/>
      <c r="C237" s="45"/>
      <c r="D237" s="16"/>
      <c r="E237" s="12">
        <f t="shared" si="125"/>
        <v>0</v>
      </c>
      <c r="F237" s="29"/>
      <c r="G237" s="45"/>
      <c r="H237" s="16"/>
      <c r="I237" s="12">
        <f t="shared" si="126"/>
        <v>0</v>
      </c>
      <c r="J237" s="29"/>
      <c r="K237" s="45"/>
      <c r="L237" s="16"/>
      <c r="M237" s="12">
        <f t="shared" si="127"/>
        <v>0</v>
      </c>
      <c r="N237" s="13">
        <f t="shared" si="128"/>
        <v>0</v>
      </c>
      <c r="O237" s="15"/>
      <c r="P237" s="36"/>
      <c r="Q237" s="29"/>
      <c r="R237" s="45"/>
      <c r="S237" s="16"/>
      <c r="T237" s="12">
        <f t="shared" si="129"/>
        <v>0</v>
      </c>
      <c r="U237" s="29"/>
      <c r="V237" s="45"/>
      <c r="W237" s="16"/>
      <c r="X237" s="12">
        <f t="shared" si="130"/>
        <v>0</v>
      </c>
      <c r="Y237" s="29"/>
      <c r="Z237" s="45"/>
      <c r="AA237" s="16"/>
      <c r="AB237" s="12">
        <f t="shared" si="131"/>
        <v>0</v>
      </c>
      <c r="AC237" s="13">
        <f t="shared" si="132"/>
        <v>0</v>
      </c>
    </row>
    <row r="238" spans="1:29" x14ac:dyDescent="0.15">
      <c r="A238" s="25"/>
      <c r="B238" s="29"/>
      <c r="C238" s="45"/>
      <c r="D238" s="16"/>
      <c r="E238" s="12">
        <f t="shared" si="125"/>
        <v>0</v>
      </c>
      <c r="F238" s="29"/>
      <c r="G238" s="45"/>
      <c r="H238" s="16"/>
      <c r="I238" s="12">
        <f t="shared" si="126"/>
        <v>0</v>
      </c>
      <c r="J238" s="29"/>
      <c r="K238" s="45"/>
      <c r="L238" s="16"/>
      <c r="M238" s="12">
        <f t="shared" si="127"/>
        <v>0</v>
      </c>
      <c r="N238" s="13">
        <f t="shared" si="128"/>
        <v>0</v>
      </c>
      <c r="O238" s="15"/>
      <c r="P238" s="36"/>
      <c r="Q238" s="29"/>
      <c r="R238" s="45"/>
      <c r="S238" s="16"/>
      <c r="T238" s="12">
        <f t="shared" si="129"/>
        <v>0</v>
      </c>
      <c r="U238" s="29"/>
      <c r="V238" s="45"/>
      <c r="W238" s="16"/>
      <c r="X238" s="12">
        <f t="shared" si="130"/>
        <v>0</v>
      </c>
      <c r="Y238" s="29"/>
      <c r="Z238" s="45"/>
      <c r="AA238" s="16"/>
      <c r="AB238" s="12">
        <f t="shared" si="131"/>
        <v>0</v>
      </c>
      <c r="AC238" s="13">
        <f t="shared" si="132"/>
        <v>0</v>
      </c>
    </row>
    <row r="239" spans="1:29" x14ac:dyDescent="0.15">
      <c r="A239" s="25"/>
      <c r="B239" s="29"/>
      <c r="C239" s="45"/>
      <c r="D239" s="16"/>
      <c r="E239" s="12">
        <f t="shared" si="125"/>
        <v>0</v>
      </c>
      <c r="F239" s="29"/>
      <c r="G239" s="45"/>
      <c r="H239" s="16"/>
      <c r="I239" s="12">
        <f t="shared" si="126"/>
        <v>0</v>
      </c>
      <c r="J239" s="29"/>
      <c r="K239" s="45"/>
      <c r="L239" s="16"/>
      <c r="M239" s="12">
        <f t="shared" si="127"/>
        <v>0</v>
      </c>
      <c r="N239" s="13">
        <f t="shared" si="128"/>
        <v>0</v>
      </c>
      <c r="O239" s="15"/>
      <c r="P239" s="36"/>
      <c r="Q239" s="29"/>
      <c r="R239" s="45"/>
      <c r="S239" s="16"/>
      <c r="T239" s="12">
        <f t="shared" si="129"/>
        <v>0</v>
      </c>
      <c r="U239" s="29"/>
      <c r="V239" s="45"/>
      <c r="W239" s="16"/>
      <c r="X239" s="12">
        <f t="shared" si="130"/>
        <v>0</v>
      </c>
      <c r="Y239" s="29"/>
      <c r="Z239" s="45"/>
      <c r="AA239" s="16"/>
      <c r="AB239" s="12">
        <f t="shared" si="131"/>
        <v>0</v>
      </c>
      <c r="AC239" s="13">
        <f t="shared" si="132"/>
        <v>0</v>
      </c>
    </row>
    <row r="240" spans="1:29" x14ac:dyDescent="0.15">
      <c r="A240" s="25"/>
      <c r="B240" s="29"/>
      <c r="C240" s="45"/>
      <c r="D240" s="16"/>
      <c r="E240" s="12">
        <f t="shared" si="125"/>
        <v>0</v>
      </c>
      <c r="F240" s="29"/>
      <c r="G240" s="45"/>
      <c r="H240" s="16"/>
      <c r="I240" s="12">
        <f t="shared" si="126"/>
        <v>0</v>
      </c>
      <c r="J240" s="29"/>
      <c r="K240" s="45"/>
      <c r="L240" s="16"/>
      <c r="M240" s="12">
        <f t="shared" si="127"/>
        <v>0</v>
      </c>
      <c r="N240" s="13">
        <f t="shared" si="128"/>
        <v>0</v>
      </c>
      <c r="O240" s="15"/>
      <c r="P240" s="36"/>
      <c r="Q240" s="29"/>
      <c r="R240" s="45"/>
      <c r="S240" s="16"/>
      <c r="T240" s="12">
        <f t="shared" si="129"/>
        <v>0</v>
      </c>
      <c r="U240" s="29"/>
      <c r="V240" s="45"/>
      <c r="W240" s="16"/>
      <c r="X240" s="12">
        <f t="shared" si="130"/>
        <v>0</v>
      </c>
      <c r="Y240" s="29"/>
      <c r="Z240" s="45"/>
      <c r="AA240" s="16"/>
      <c r="AB240" s="12">
        <f t="shared" si="131"/>
        <v>0</v>
      </c>
      <c r="AC240" s="13">
        <f t="shared" si="132"/>
        <v>0</v>
      </c>
    </row>
    <row r="241" spans="1:29" x14ac:dyDescent="0.15">
      <c r="A241" s="25"/>
      <c r="B241" s="29"/>
      <c r="C241" s="45"/>
      <c r="D241" s="16"/>
      <c r="E241" s="12">
        <f t="shared" si="125"/>
        <v>0</v>
      </c>
      <c r="F241" s="29"/>
      <c r="G241" s="45"/>
      <c r="H241" s="16"/>
      <c r="I241" s="12">
        <f t="shared" si="126"/>
        <v>0</v>
      </c>
      <c r="J241" s="29"/>
      <c r="K241" s="45"/>
      <c r="L241" s="16"/>
      <c r="M241" s="12">
        <f t="shared" si="127"/>
        <v>0</v>
      </c>
      <c r="N241" s="13">
        <f t="shared" si="128"/>
        <v>0</v>
      </c>
      <c r="O241" s="15"/>
      <c r="P241" s="36"/>
      <c r="Q241" s="29"/>
      <c r="R241" s="45"/>
      <c r="S241" s="16"/>
      <c r="T241" s="12">
        <f t="shared" si="129"/>
        <v>0</v>
      </c>
      <c r="U241" s="29"/>
      <c r="V241" s="45"/>
      <c r="W241" s="16"/>
      <c r="X241" s="12">
        <f t="shared" si="130"/>
        <v>0</v>
      </c>
      <c r="Y241" s="29"/>
      <c r="Z241" s="45"/>
      <c r="AA241" s="16"/>
      <c r="AB241" s="12">
        <f t="shared" si="131"/>
        <v>0</v>
      </c>
      <c r="AC241" s="13">
        <f t="shared" si="132"/>
        <v>0</v>
      </c>
    </row>
    <row r="242" spans="1:29" x14ac:dyDescent="0.15">
      <c r="A242" s="25"/>
      <c r="B242" s="29"/>
      <c r="C242" s="45"/>
      <c r="D242" s="16"/>
      <c r="E242" s="12">
        <f t="shared" si="125"/>
        <v>0</v>
      </c>
      <c r="F242" s="29"/>
      <c r="G242" s="45"/>
      <c r="H242" s="16"/>
      <c r="I242" s="12">
        <f t="shared" si="126"/>
        <v>0</v>
      </c>
      <c r="J242" s="29"/>
      <c r="K242" s="45"/>
      <c r="L242" s="16"/>
      <c r="M242" s="12">
        <f t="shared" si="127"/>
        <v>0</v>
      </c>
      <c r="N242" s="13">
        <f t="shared" si="128"/>
        <v>0</v>
      </c>
      <c r="O242" s="15"/>
      <c r="P242" s="36"/>
      <c r="Q242" s="29"/>
      <c r="R242" s="45"/>
      <c r="S242" s="16"/>
      <c r="T242" s="12">
        <f t="shared" si="129"/>
        <v>0</v>
      </c>
      <c r="U242" s="29"/>
      <c r="V242" s="45"/>
      <c r="W242" s="16"/>
      <c r="X242" s="12">
        <f t="shared" si="130"/>
        <v>0</v>
      </c>
      <c r="Y242" s="29"/>
      <c r="Z242" s="45"/>
      <c r="AA242" s="16"/>
      <c r="AB242" s="12">
        <f t="shared" si="131"/>
        <v>0</v>
      </c>
      <c r="AC242" s="13">
        <f t="shared" si="132"/>
        <v>0</v>
      </c>
    </row>
    <row r="243" spans="1:29" x14ac:dyDescent="0.15">
      <c r="A243" s="25"/>
      <c r="B243" s="29"/>
      <c r="C243" s="45"/>
      <c r="D243" s="16"/>
      <c r="E243" s="12">
        <f t="shared" si="125"/>
        <v>0</v>
      </c>
      <c r="F243" s="29"/>
      <c r="G243" s="45"/>
      <c r="H243" s="16"/>
      <c r="I243" s="12">
        <f t="shared" si="126"/>
        <v>0</v>
      </c>
      <c r="J243" s="29"/>
      <c r="K243" s="45"/>
      <c r="L243" s="16"/>
      <c r="M243" s="12">
        <f t="shared" si="127"/>
        <v>0</v>
      </c>
      <c r="N243" s="13">
        <f t="shared" si="128"/>
        <v>0</v>
      </c>
      <c r="O243" s="15"/>
      <c r="P243" s="36"/>
      <c r="Q243" s="29"/>
      <c r="R243" s="45"/>
      <c r="S243" s="16"/>
      <c r="T243" s="12">
        <f t="shared" si="129"/>
        <v>0</v>
      </c>
      <c r="U243" s="29"/>
      <c r="V243" s="45"/>
      <c r="W243" s="16"/>
      <c r="X243" s="12">
        <f t="shared" si="130"/>
        <v>0</v>
      </c>
      <c r="Y243" s="29"/>
      <c r="Z243" s="45"/>
      <c r="AA243" s="16"/>
      <c r="AB243" s="12">
        <f t="shared" si="131"/>
        <v>0</v>
      </c>
      <c r="AC243" s="13">
        <f t="shared" si="132"/>
        <v>0</v>
      </c>
    </row>
    <row r="244" spans="1:29" x14ac:dyDescent="0.15">
      <c r="A244" s="25"/>
      <c r="B244" s="29"/>
      <c r="C244" s="45"/>
      <c r="D244" s="16"/>
      <c r="E244" s="12">
        <f t="shared" si="125"/>
        <v>0</v>
      </c>
      <c r="F244" s="29"/>
      <c r="G244" s="45"/>
      <c r="H244" s="16"/>
      <c r="I244" s="12">
        <f t="shared" si="126"/>
        <v>0</v>
      </c>
      <c r="J244" s="29"/>
      <c r="K244" s="45"/>
      <c r="L244" s="16"/>
      <c r="M244" s="12">
        <f t="shared" si="127"/>
        <v>0</v>
      </c>
      <c r="N244" s="13">
        <f t="shared" si="128"/>
        <v>0</v>
      </c>
      <c r="O244" s="15"/>
      <c r="P244" s="36"/>
      <c r="Q244" s="29"/>
      <c r="R244" s="45"/>
      <c r="S244" s="16"/>
      <c r="T244" s="12">
        <f t="shared" si="129"/>
        <v>0</v>
      </c>
      <c r="U244" s="29"/>
      <c r="V244" s="45"/>
      <c r="W244" s="16"/>
      <c r="X244" s="12">
        <f t="shared" si="130"/>
        <v>0</v>
      </c>
      <c r="Y244" s="29"/>
      <c r="Z244" s="45"/>
      <c r="AA244" s="16"/>
      <c r="AB244" s="12">
        <f t="shared" si="131"/>
        <v>0</v>
      </c>
      <c r="AC244" s="13">
        <f t="shared" si="132"/>
        <v>0</v>
      </c>
    </row>
    <row r="245" spans="1:29" x14ac:dyDescent="0.15">
      <c r="A245" s="25"/>
      <c r="B245" s="29"/>
      <c r="C245" s="45"/>
      <c r="D245" s="16"/>
      <c r="E245" s="12">
        <f t="shared" si="125"/>
        <v>0</v>
      </c>
      <c r="F245" s="29"/>
      <c r="G245" s="45"/>
      <c r="H245" s="16"/>
      <c r="I245" s="12">
        <f t="shared" si="126"/>
        <v>0</v>
      </c>
      <c r="J245" s="29"/>
      <c r="K245" s="45"/>
      <c r="L245" s="16"/>
      <c r="M245" s="12">
        <f t="shared" si="127"/>
        <v>0</v>
      </c>
      <c r="N245" s="13">
        <f t="shared" si="128"/>
        <v>0</v>
      </c>
      <c r="O245" s="15"/>
      <c r="P245" s="36"/>
      <c r="Q245" s="29"/>
      <c r="R245" s="45"/>
      <c r="S245" s="16"/>
      <c r="T245" s="12">
        <f t="shared" si="129"/>
        <v>0</v>
      </c>
      <c r="U245" s="29"/>
      <c r="V245" s="45"/>
      <c r="W245" s="16"/>
      <c r="X245" s="12">
        <f t="shared" si="130"/>
        <v>0</v>
      </c>
      <c r="Y245" s="29"/>
      <c r="Z245" s="45"/>
      <c r="AA245" s="16"/>
      <c r="AB245" s="12">
        <f t="shared" si="131"/>
        <v>0</v>
      </c>
      <c r="AC245" s="13">
        <f t="shared" si="132"/>
        <v>0</v>
      </c>
    </row>
    <row r="246" spans="1:29" x14ac:dyDescent="0.15">
      <c r="A246" s="25"/>
      <c r="B246" s="29"/>
      <c r="C246" s="45"/>
      <c r="D246" s="16"/>
      <c r="E246" s="12">
        <f t="shared" si="125"/>
        <v>0</v>
      </c>
      <c r="F246" s="29"/>
      <c r="G246" s="45"/>
      <c r="H246" s="16"/>
      <c r="I246" s="12">
        <f t="shared" si="126"/>
        <v>0</v>
      </c>
      <c r="J246" s="29"/>
      <c r="K246" s="45"/>
      <c r="L246" s="16"/>
      <c r="M246" s="12">
        <f t="shared" si="127"/>
        <v>0</v>
      </c>
      <c r="N246" s="13">
        <f t="shared" si="128"/>
        <v>0</v>
      </c>
      <c r="O246" s="15"/>
      <c r="P246" s="36"/>
      <c r="Q246" s="29"/>
      <c r="R246" s="45"/>
      <c r="S246" s="16"/>
      <c r="T246" s="12">
        <f t="shared" si="129"/>
        <v>0</v>
      </c>
      <c r="U246" s="29"/>
      <c r="V246" s="45"/>
      <c r="W246" s="16"/>
      <c r="X246" s="12">
        <f t="shared" si="130"/>
        <v>0</v>
      </c>
      <c r="Y246" s="29"/>
      <c r="Z246" s="45"/>
      <c r="AA246" s="16"/>
      <c r="AB246" s="12">
        <f t="shared" si="131"/>
        <v>0</v>
      </c>
      <c r="AC246" s="13">
        <f t="shared" si="132"/>
        <v>0</v>
      </c>
    </row>
    <row r="247" spans="1:29" x14ac:dyDescent="0.15">
      <c r="A247" s="25"/>
      <c r="B247" s="29"/>
      <c r="C247" s="45"/>
      <c r="D247" s="16"/>
      <c r="E247" s="12">
        <f t="shared" si="125"/>
        <v>0</v>
      </c>
      <c r="F247" s="29"/>
      <c r="G247" s="45"/>
      <c r="H247" s="16"/>
      <c r="I247" s="12">
        <f t="shared" si="126"/>
        <v>0</v>
      </c>
      <c r="J247" s="29"/>
      <c r="K247" s="45"/>
      <c r="L247" s="16"/>
      <c r="M247" s="12">
        <f t="shared" si="127"/>
        <v>0</v>
      </c>
      <c r="N247" s="13">
        <f t="shared" si="128"/>
        <v>0</v>
      </c>
      <c r="O247" s="15"/>
      <c r="P247" s="36"/>
      <c r="Q247" s="29"/>
      <c r="R247" s="45"/>
      <c r="S247" s="16"/>
      <c r="T247" s="12">
        <f t="shared" si="129"/>
        <v>0</v>
      </c>
      <c r="U247" s="29"/>
      <c r="V247" s="45"/>
      <c r="W247" s="16"/>
      <c r="X247" s="12">
        <f t="shared" si="130"/>
        <v>0</v>
      </c>
      <c r="Y247" s="29"/>
      <c r="Z247" s="45"/>
      <c r="AA247" s="16"/>
      <c r="AB247" s="12">
        <f t="shared" si="131"/>
        <v>0</v>
      </c>
      <c r="AC247" s="13">
        <f t="shared" si="132"/>
        <v>0</v>
      </c>
    </row>
    <row r="248" spans="1:29" x14ac:dyDescent="0.15">
      <c r="A248" s="25"/>
      <c r="B248" s="29"/>
      <c r="C248" s="45"/>
      <c r="D248" s="16"/>
      <c r="E248" s="12">
        <f t="shared" si="125"/>
        <v>0</v>
      </c>
      <c r="F248" s="29"/>
      <c r="G248" s="45"/>
      <c r="H248" s="16"/>
      <c r="I248" s="12">
        <f t="shared" si="126"/>
        <v>0</v>
      </c>
      <c r="J248" s="29"/>
      <c r="K248" s="45"/>
      <c r="L248" s="16"/>
      <c r="M248" s="12">
        <f t="shared" si="127"/>
        <v>0</v>
      </c>
      <c r="N248" s="13">
        <f t="shared" si="128"/>
        <v>0</v>
      </c>
      <c r="O248" s="15"/>
      <c r="P248" s="36"/>
      <c r="Q248" s="29"/>
      <c r="R248" s="45"/>
      <c r="S248" s="16"/>
      <c r="T248" s="12">
        <f t="shared" si="129"/>
        <v>0</v>
      </c>
      <c r="U248" s="29"/>
      <c r="V248" s="45"/>
      <c r="W248" s="16"/>
      <c r="X248" s="12">
        <f t="shared" si="130"/>
        <v>0</v>
      </c>
      <c r="Y248" s="29"/>
      <c r="Z248" s="45"/>
      <c r="AA248" s="16"/>
      <c r="AB248" s="12">
        <f t="shared" si="131"/>
        <v>0</v>
      </c>
      <c r="AC248" s="13">
        <f t="shared" si="132"/>
        <v>0</v>
      </c>
    </row>
    <row r="249" spans="1:29" x14ac:dyDescent="0.15">
      <c r="A249" s="25"/>
      <c r="B249" s="29"/>
      <c r="C249" s="45"/>
      <c r="D249" s="16"/>
      <c r="E249" s="12">
        <f t="shared" si="125"/>
        <v>0</v>
      </c>
      <c r="F249" s="29"/>
      <c r="G249" s="45"/>
      <c r="H249" s="16"/>
      <c r="I249" s="12">
        <f t="shared" si="126"/>
        <v>0</v>
      </c>
      <c r="J249" s="29"/>
      <c r="K249" s="45"/>
      <c r="L249" s="16"/>
      <c r="M249" s="12">
        <f t="shared" si="127"/>
        <v>0</v>
      </c>
      <c r="N249" s="13">
        <f t="shared" si="128"/>
        <v>0</v>
      </c>
      <c r="O249" s="15"/>
      <c r="P249" s="36"/>
      <c r="Q249" s="29"/>
      <c r="R249" s="45"/>
      <c r="S249" s="16"/>
      <c r="T249" s="12">
        <f t="shared" si="129"/>
        <v>0</v>
      </c>
      <c r="U249" s="29"/>
      <c r="V249" s="45"/>
      <c r="W249" s="16"/>
      <c r="X249" s="12">
        <f t="shared" si="130"/>
        <v>0</v>
      </c>
      <c r="Y249" s="29"/>
      <c r="Z249" s="45"/>
      <c r="AA249" s="16"/>
      <c r="AB249" s="12">
        <f t="shared" si="131"/>
        <v>0</v>
      </c>
      <c r="AC249" s="13">
        <f t="shared" si="132"/>
        <v>0</v>
      </c>
    </row>
    <row r="250" spans="1:29" x14ac:dyDescent="0.15">
      <c r="A250" s="25"/>
      <c r="B250" s="29"/>
      <c r="C250" s="45"/>
      <c r="D250" s="16"/>
      <c r="E250" s="12">
        <f t="shared" si="125"/>
        <v>0</v>
      </c>
      <c r="F250" s="29"/>
      <c r="G250" s="45"/>
      <c r="H250" s="16"/>
      <c r="I250" s="12">
        <f t="shared" si="126"/>
        <v>0</v>
      </c>
      <c r="J250" s="29"/>
      <c r="K250" s="45"/>
      <c r="L250" s="16"/>
      <c r="M250" s="12">
        <f t="shared" si="127"/>
        <v>0</v>
      </c>
      <c r="N250" s="13">
        <f t="shared" si="128"/>
        <v>0</v>
      </c>
      <c r="O250" s="15"/>
      <c r="P250" s="36"/>
      <c r="Q250" s="29"/>
      <c r="R250" s="45"/>
      <c r="S250" s="16"/>
      <c r="T250" s="12">
        <f t="shared" si="129"/>
        <v>0</v>
      </c>
      <c r="U250" s="29"/>
      <c r="V250" s="45"/>
      <c r="W250" s="16"/>
      <c r="X250" s="12">
        <f t="shared" si="130"/>
        <v>0</v>
      </c>
      <c r="Y250" s="29"/>
      <c r="Z250" s="45"/>
      <c r="AA250" s="16"/>
      <c r="AB250" s="12">
        <f t="shared" si="131"/>
        <v>0</v>
      </c>
      <c r="AC250" s="13">
        <f t="shared" si="132"/>
        <v>0</v>
      </c>
    </row>
    <row r="251" spans="1:29" x14ac:dyDescent="0.15">
      <c r="A251" s="25"/>
      <c r="B251" s="29"/>
      <c r="C251" s="45"/>
      <c r="D251" s="16"/>
      <c r="E251" s="12">
        <f t="shared" si="125"/>
        <v>0</v>
      </c>
      <c r="F251" s="29"/>
      <c r="G251" s="45"/>
      <c r="H251" s="16"/>
      <c r="I251" s="12">
        <f t="shared" si="126"/>
        <v>0</v>
      </c>
      <c r="J251" s="29"/>
      <c r="K251" s="45"/>
      <c r="L251" s="16"/>
      <c r="M251" s="12">
        <f t="shared" si="127"/>
        <v>0</v>
      </c>
      <c r="N251" s="13">
        <f t="shared" si="128"/>
        <v>0</v>
      </c>
      <c r="O251" s="15"/>
      <c r="P251" s="36"/>
      <c r="Q251" s="29"/>
      <c r="R251" s="45"/>
      <c r="S251" s="16"/>
      <c r="T251" s="12">
        <f t="shared" si="129"/>
        <v>0</v>
      </c>
      <c r="U251" s="29"/>
      <c r="V251" s="45"/>
      <c r="W251" s="16"/>
      <c r="X251" s="12">
        <f t="shared" si="130"/>
        <v>0</v>
      </c>
      <c r="Y251" s="29"/>
      <c r="Z251" s="45"/>
      <c r="AA251" s="16"/>
      <c r="AB251" s="12">
        <f t="shared" si="131"/>
        <v>0</v>
      </c>
      <c r="AC251" s="13">
        <f t="shared" si="132"/>
        <v>0</v>
      </c>
    </row>
    <row r="252" spans="1:29" x14ac:dyDescent="0.15">
      <c r="A252" s="25"/>
      <c r="B252" s="29"/>
      <c r="C252" s="45"/>
      <c r="D252" s="16"/>
      <c r="E252" s="12">
        <f t="shared" si="125"/>
        <v>0</v>
      </c>
      <c r="F252" s="29"/>
      <c r="G252" s="45"/>
      <c r="H252" s="16"/>
      <c r="I252" s="12">
        <f t="shared" si="126"/>
        <v>0</v>
      </c>
      <c r="J252" s="29"/>
      <c r="K252" s="45"/>
      <c r="L252" s="16"/>
      <c r="M252" s="12">
        <f t="shared" si="127"/>
        <v>0</v>
      </c>
      <c r="N252" s="13">
        <f t="shared" si="128"/>
        <v>0</v>
      </c>
      <c r="O252" s="15"/>
      <c r="P252" s="36"/>
      <c r="Q252" s="29"/>
      <c r="R252" s="45"/>
      <c r="S252" s="16"/>
      <c r="T252" s="12">
        <f t="shared" si="129"/>
        <v>0</v>
      </c>
      <c r="U252" s="29"/>
      <c r="V252" s="45"/>
      <c r="W252" s="16"/>
      <c r="X252" s="12">
        <f t="shared" si="130"/>
        <v>0</v>
      </c>
      <c r="Y252" s="29"/>
      <c r="Z252" s="45"/>
      <c r="AA252" s="16"/>
      <c r="AB252" s="12">
        <f t="shared" si="131"/>
        <v>0</v>
      </c>
      <c r="AC252" s="13">
        <f t="shared" si="132"/>
        <v>0</v>
      </c>
    </row>
    <row r="253" spans="1:29" x14ac:dyDescent="0.15">
      <c r="A253" s="25"/>
      <c r="B253" s="29"/>
      <c r="C253" s="45"/>
      <c r="D253" s="16"/>
      <c r="E253" s="12">
        <f t="shared" si="125"/>
        <v>0</v>
      </c>
      <c r="F253" s="29"/>
      <c r="G253" s="45"/>
      <c r="H253" s="16"/>
      <c r="I253" s="12">
        <f t="shared" si="126"/>
        <v>0</v>
      </c>
      <c r="J253" s="29"/>
      <c r="K253" s="45"/>
      <c r="L253" s="16"/>
      <c r="M253" s="12">
        <f t="shared" si="127"/>
        <v>0</v>
      </c>
      <c r="N253" s="13">
        <f t="shared" si="128"/>
        <v>0</v>
      </c>
      <c r="O253" s="15"/>
      <c r="P253" s="36"/>
      <c r="Q253" s="29"/>
      <c r="R253" s="45"/>
      <c r="S253" s="16"/>
      <c r="T253" s="12">
        <f t="shared" si="129"/>
        <v>0</v>
      </c>
      <c r="U253" s="29"/>
      <c r="V253" s="45"/>
      <c r="W253" s="16"/>
      <c r="X253" s="12">
        <f t="shared" si="130"/>
        <v>0</v>
      </c>
      <c r="Y253" s="29"/>
      <c r="Z253" s="45"/>
      <c r="AA253" s="16"/>
      <c r="AB253" s="12">
        <f t="shared" si="131"/>
        <v>0</v>
      </c>
      <c r="AC253" s="13">
        <f t="shared" si="132"/>
        <v>0</v>
      </c>
    </row>
    <row r="254" spans="1:29" ht="14.25" thickBot="1" x14ac:dyDescent="0.2">
      <c r="A254" s="25"/>
      <c r="B254" s="29"/>
      <c r="C254" s="45"/>
      <c r="D254" s="16"/>
      <c r="E254" s="12">
        <f t="shared" si="125"/>
        <v>0</v>
      </c>
      <c r="F254" s="29"/>
      <c r="G254" s="45"/>
      <c r="H254" s="16"/>
      <c r="I254" s="12">
        <f t="shared" si="126"/>
        <v>0</v>
      </c>
      <c r="J254" s="29"/>
      <c r="K254" s="45"/>
      <c r="L254" s="16"/>
      <c r="M254" s="12">
        <f t="shared" si="127"/>
        <v>0</v>
      </c>
      <c r="N254" s="20">
        <f t="shared" si="128"/>
        <v>0</v>
      </c>
      <c r="O254" s="15"/>
      <c r="P254" s="11"/>
      <c r="Q254" s="29"/>
      <c r="R254" s="45"/>
      <c r="S254" s="16"/>
      <c r="T254" s="12">
        <f t="shared" si="129"/>
        <v>0</v>
      </c>
      <c r="U254" s="29"/>
      <c r="V254" s="45"/>
      <c r="W254" s="16"/>
      <c r="X254" s="12">
        <f t="shared" si="130"/>
        <v>0</v>
      </c>
      <c r="Y254" s="29"/>
      <c r="Z254" s="45"/>
      <c r="AA254" s="16"/>
      <c r="AB254" s="12">
        <f t="shared" si="131"/>
        <v>0</v>
      </c>
      <c r="AC254" s="20">
        <f t="shared" si="132"/>
        <v>0</v>
      </c>
    </row>
    <row r="255" spans="1:29" ht="14.25" thickBot="1" x14ac:dyDescent="0.2">
      <c r="A255" s="3" t="s">
        <v>9</v>
      </c>
      <c r="B255" s="22">
        <f>SUM(B231:B254)</f>
        <v>1</v>
      </c>
      <c r="C255" s="47">
        <f t="shared" ref="C255:E255" si="141">SUM(C231:C254)</f>
        <v>1</v>
      </c>
      <c r="D255" s="41">
        <f t="shared" si="141"/>
        <v>3</v>
      </c>
      <c r="E255" s="31">
        <f t="shared" si="141"/>
        <v>5</v>
      </c>
      <c r="F255" s="22">
        <f>SUM(F231:F254)</f>
        <v>0</v>
      </c>
      <c r="G255" s="47">
        <f t="shared" ref="G255:I255" si="142">SUM(G231:G254)</f>
        <v>1</v>
      </c>
      <c r="H255" s="41">
        <f t="shared" si="142"/>
        <v>0</v>
      </c>
      <c r="I255" s="31">
        <f t="shared" si="142"/>
        <v>1</v>
      </c>
      <c r="J255" s="22">
        <f>SUM(J231:J254)</f>
        <v>0</v>
      </c>
      <c r="K255" s="47">
        <f t="shared" ref="K255:M255" si="143">SUM(K231:K254)</f>
        <v>3</v>
      </c>
      <c r="L255" s="41">
        <f t="shared" si="143"/>
        <v>2</v>
      </c>
      <c r="M255" s="31">
        <f t="shared" si="143"/>
        <v>5</v>
      </c>
      <c r="N255" s="24">
        <f t="shared" si="128"/>
        <v>11</v>
      </c>
      <c r="P255" s="3" t="s">
        <v>9</v>
      </c>
      <c r="Q255" s="22">
        <f>SUM(Q231:Q254)</f>
        <v>0</v>
      </c>
      <c r="R255" s="47">
        <f>SUM(R231:R254)</f>
        <v>0</v>
      </c>
      <c r="S255" s="41">
        <f>SUM(S231:S254)</f>
        <v>0</v>
      </c>
      <c r="T255" s="31">
        <f>SUM(T231:T254)</f>
        <v>0</v>
      </c>
      <c r="U255" s="22">
        <f>SUM(U231:U254)</f>
        <v>0</v>
      </c>
      <c r="V255" s="47">
        <f t="shared" ref="V255:X255" si="144">SUM(V231:V254)</f>
        <v>0</v>
      </c>
      <c r="W255" s="41">
        <f t="shared" si="144"/>
        <v>0</v>
      </c>
      <c r="X255" s="31">
        <f t="shared" si="144"/>
        <v>0</v>
      </c>
      <c r="Y255" s="22">
        <f>SUM(Y231:Y254)</f>
        <v>0</v>
      </c>
      <c r="Z255" s="47">
        <f t="shared" ref="Z255:AB255" si="145">SUM(Z231:Z254)</f>
        <v>0</v>
      </c>
      <c r="AA255" s="41">
        <f t="shared" si="145"/>
        <v>0</v>
      </c>
      <c r="AB255" s="31">
        <f t="shared" si="145"/>
        <v>0</v>
      </c>
      <c r="AC255" s="24">
        <f t="shared" si="132"/>
        <v>0</v>
      </c>
    </row>
    <row r="256" spans="1:29" ht="14.25" thickBot="1" x14ac:dyDescent="0.2">
      <c r="A256" s="32" t="s">
        <v>10</v>
      </c>
      <c r="B256" s="33">
        <f>B230-B255</f>
        <v>2</v>
      </c>
      <c r="C256" s="49">
        <f t="shared" ref="C256:E256" si="146">C230-C255</f>
        <v>2</v>
      </c>
      <c r="D256" s="42">
        <f t="shared" si="146"/>
        <v>0</v>
      </c>
      <c r="E256" s="33">
        <f t="shared" si="146"/>
        <v>4</v>
      </c>
      <c r="F256" s="33">
        <f>F230-F255</f>
        <v>5</v>
      </c>
      <c r="G256" s="49">
        <f t="shared" ref="G256:I256" si="147">G230-G255</f>
        <v>0</v>
      </c>
      <c r="H256" s="42">
        <f t="shared" si="147"/>
        <v>0</v>
      </c>
      <c r="I256" s="33">
        <f t="shared" si="147"/>
        <v>5</v>
      </c>
      <c r="J256" s="33">
        <f>J230-J255</f>
        <v>4</v>
      </c>
      <c r="K256" s="49">
        <f t="shared" ref="K256:M256" si="148">K230-K255</f>
        <v>0</v>
      </c>
      <c r="L256" s="42">
        <f t="shared" si="148"/>
        <v>1</v>
      </c>
      <c r="M256" s="33">
        <f t="shared" si="148"/>
        <v>5</v>
      </c>
      <c r="N256" s="24">
        <f t="shared" si="128"/>
        <v>14</v>
      </c>
      <c r="P256" s="32" t="s">
        <v>10</v>
      </c>
      <c r="Q256" s="33">
        <f>Q230-Q255</f>
        <v>5</v>
      </c>
      <c r="R256" s="49">
        <f>R230-R255</f>
        <v>5</v>
      </c>
      <c r="S256" s="42">
        <f>S230-S255</f>
        <v>5</v>
      </c>
      <c r="T256" s="33">
        <f>T230-T255</f>
        <v>15</v>
      </c>
      <c r="U256" s="33">
        <f>U230-U255</f>
        <v>4</v>
      </c>
      <c r="V256" s="49">
        <f t="shared" ref="V256:X256" si="149">V230-V255</f>
        <v>4</v>
      </c>
      <c r="W256" s="42">
        <f t="shared" si="149"/>
        <v>4</v>
      </c>
      <c r="X256" s="33">
        <f t="shared" si="149"/>
        <v>12</v>
      </c>
      <c r="Y256" s="33">
        <f>Y230-Y255</f>
        <v>3</v>
      </c>
      <c r="Z256" s="49">
        <f t="shared" ref="Z256:AB256" si="150">Z230-Z255</f>
        <v>3</v>
      </c>
      <c r="AA256" s="42">
        <f t="shared" si="150"/>
        <v>4</v>
      </c>
      <c r="AB256" s="33">
        <f t="shared" si="150"/>
        <v>10</v>
      </c>
      <c r="AC256" s="24">
        <f t="shared" si="132"/>
        <v>37</v>
      </c>
    </row>
  </sheetData>
  <mergeCells count="48">
    <mergeCell ref="U217:X217"/>
    <mergeCell ref="Y217:AB217"/>
    <mergeCell ref="AC217:AC218"/>
    <mergeCell ref="B217:E217"/>
    <mergeCell ref="F217:I217"/>
    <mergeCell ref="J217:M217"/>
    <mergeCell ref="N217:N218"/>
    <mergeCell ref="Q217:T217"/>
    <mergeCell ref="U174:X174"/>
    <mergeCell ref="Y174:AB174"/>
    <mergeCell ref="AC174:AC175"/>
    <mergeCell ref="B174:E174"/>
    <mergeCell ref="F174:I174"/>
    <mergeCell ref="J174:M174"/>
    <mergeCell ref="N174:N175"/>
    <mergeCell ref="Q174:T174"/>
    <mergeCell ref="B131:E131"/>
    <mergeCell ref="F131:I131"/>
    <mergeCell ref="J131:M131"/>
    <mergeCell ref="N131:N132"/>
    <mergeCell ref="Q88:T88"/>
    <mergeCell ref="B88:E88"/>
    <mergeCell ref="F88:I88"/>
    <mergeCell ref="J88:M88"/>
    <mergeCell ref="N88:N89"/>
    <mergeCell ref="U88:X88"/>
    <mergeCell ref="Y88:AB88"/>
    <mergeCell ref="AC88:AC89"/>
    <mergeCell ref="Q131:T131"/>
    <mergeCell ref="U131:X131"/>
    <mergeCell ref="Y131:AB131"/>
    <mergeCell ref="AC131:AC132"/>
    <mergeCell ref="Q2:T2"/>
    <mergeCell ref="U2:X2"/>
    <mergeCell ref="Y2:AB2"/>
    <mergeCell ref="AC2:AC3"/>
    <mergeCell ref="Q45:T45"/>
    <mergeCell ref="U45:X45"/>
    <mergeCell ref="Y45:AB45"/>
    <mergeCell ref="AC45:AC46"/>
    <mergeCell ref="N2:N3"/>
    <mergeCell ref="B45:E45"/>
    <mergeCell ref="J45:M45"/>
    <mergeCell ref="N45:N46"/>
    <mergeCell ref="F2:I2"/>
    <mergeCell ref="F45:I45"/>
    <mergeCell ref="B2:E2"/>
    <mergeCell ref="J2:M2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AD428"/>
  <sheetViews>
    <sheetView topLeftCell="A388" zoomScale="90" zoomScaleNormal="90" workbookViewId="0">
      <selection activeCell="U422" sqref="U422"/>
    </sheetView>
  </sheetViews>
  <sheetFormatPr defaultRowHeight="13.5" x14ac:dyDescent="0.15"/>
  <cols>
    <col min="1" max="1" width="22.125" customWidth="1"/>
    <col min="2" max="14" width="6.5" customWidth="1"/>
    <col min="15" max="15" width="9.25" bestFit="1" customWidth="1"/>
    <col min="16" max="16" width="22.125" customWidth="1"/>
    <col min="17" max="29" width="6.5" customWidth="1"/>
    <col min="30" max="30" width="9.25" bestFit="1" customWidth="1"/>
    <col min="31" max="31" width="22.125" customWidth="1"/>
    <col min="32" max="44" width="6.5" customWidth="1"/>
    <col min="45" max="45" width="9.25" bestFit="1" customWidth="1"/>
  </cols>
  <sheetData>
    <row r="1" spans="1:15" ht="21.75" thickBot="1" x14ac:dyDescent="0.25">
      <c r="A1" s="34" t="s">
        <v>25</v>
      </c>
      <c r="B1" s="35"/>
      <c r="C1" s="35"/>
      <c r="D1" s="35"/>
      <c r="E1" s="37"/>
      <c r="F1" s="35"/>
      <c r="G1" s="35"/>
      <c r="H1" s="38" t="s">
        <v>26</v>
      </c>
      <c r="I1" s="1"/>
      <c r="J1" s="1"/>
      <c r="K1" s="1">
        <v>680</v>
      </c>
      <c r="L1" s="1"/>
      <c r="M1" s="1"/>
    </row>
    <row r="2" spans="1:15" ht="14.25" thickBot="1" x14ac:dyDescent="0.2">
      <c r="A2" s="2" t="s">
        <v>0</v>
      </c>
      <c r="B2" s="115" t="s">
        <v>22</v>
      </c>
      <c r="C2" s="115"/>
      <c r="D2" s="115"/>
      <c r="E2" s="116"/>
      <c r="F2" s="119" t="s">
        <v>23</v>
      </c>
      <c r="G2" s="119"/>
      <c r="H2" s="119"/>
      <c r="I2" s="120"/>
      <c r="J2" s="109" t="s">
        <v>24</v>
      </c>
      <c r="K2" s="109"/>
      <c r="L2" s="109"/>
      <c r="M2" s="110"/>
      <c r="N2" s="107" t="s">
        <v>14</v>
      </c>
    </row>
    <row r="3" spans="1:15" ht="14.25" thickBot="1" x14ac:dyDescent="0.2">
      <c r="A3" s="2" t="s">
        <v>1</v>
      </c>
      <c r="B3" s="3" t="s">
        <v>2</v>
      </c>
      <c r="C3" s="43" t="s">
        <v>3</v>
      </c>
      <c r="D3" s="4" t="s">
        <v>4</v>
      </c>
      <c r="E3" s="2" t="s">
        <v>5</v>
      </c>
      <c r="F3" s="3" t="s">
        <v>2</v>
      </c>
      <c r="G3" s="43" t="s">
        <v>3</v>
      </c>
      <c r="H3" s="4" t="s">
        <v>4</v>
      </c>
      <c r="I3" s="2" t="s">
        <v>5</v>
      </c>
      <c r="J3" s="3" t="s">
        <v>2</v>
      </c>
      <c r="K3" s="43" t="s">
        <v>3</v>
      </c>
      <c r="L3" s="4" t="s">
        <v>4</v>
      </c>
      <c r="M3" s="2" t="s">
        <v>5</v>
      </c>
      <c r="N3" s="108"/>
    </row>
    <row r="4" spans="1:15" x14ac:dyDescent="0.15">
      <c r="A4" s="9" t="s">
        <v>6</v>
      </c>
      <c r="B4" s="51">
        <v>3</v>
      </c>
      <c r="C4" s="52">
        <v>3</v>
      </c>
      <c r="D4" s="51">
        <v>3</v>
      </c>
      <c r="E4" s="12">
        <f>SUM(B4:D4)</f>
        <v>9</v>
      </c>
      <c r="F4" s="51">
        <v>3</v>
      </c>
      <c r="G4" s="52">
        <v>3</v>
      </c>
      <c r="H4" s="51">
        <v>3</v>
      </c>
      <c r="I4" s="12">
        <f>SUM(F4:H4)</f>
        <v>9</v>
      </c>
      <c r="J4" s="51">
        <v>3</v>
      </c>
      <c r="K4" s="52">
        <v>3</v>
      </c>
      <c r="L4" s="51">
        <v>3</v>
      </c>
      <c r="M4" s="12">
        <f>SUM(J4:L4)</f>
        <v>9</v>
      </c>
      <c r="N4" s="13">
        <f>E4+I4+M4</f>
        <v>27</v>
      </c>
      <c r="O4" s="15">
        <v>44595</v>
      </c>
    </row>
    <row r="5" spans="1:15" x14ac:dyDescent="0.15">
      <c r="A5" s="9" t="s">
        <v>7</v>
      </c>
      <c r="B5" s="10"/>
      <c r="C5" s="44"/>
      <c r="D5" s="10"/>
      <c r="E5" s="12">
        <f t="shared" ref="E5:E39" si="0">SUM(B5:D5)</f>
        <v>0</v>
      </c>
      <c r="F5" s="10"/>
      <c r="G5" s="44">
        <v>3</v>
      </c>
      <c r="H5" s="10"/>
      <c r="I5" s="12">
        <f t="shared" ref="I5:I39" si="1">SUM(F5:H5)</f>
        <v>3</v>
      </c>
      <c r="J5" s="10"/>
      <c r="K5" s="44"/>
      <c r="L5" s="10"/>
      <c r="M5" s="12">
        <f t="shared" ref="M5:M39" si="2">SUM(J5:L5)</f>
        <v>0</v>
      </c>
      <c r="N5" s="13">
        <f t="shared" ref="N5:N41" si="3">E5+I5+M5</f>
        <v>3</v>
      </c>
      <c r="O5" s="15">
        <v>44607</v>
      </c>
    </row>
    <row r="6" spans="1:15" x14ac:dyDescent="0.15">
      <c r="A6" s="9" t="s">
        <v>7</v>
      </c>
      <c r="B6" s="10"/>
      <c r="C6" s="44">
        <v>2</v>
      </c>
      <c r="D6" s="10">
        <v>2</v>
      </c>
      <c r="E6" s="12">
        <f t="shared" si="0"/>
        <v>4</v>
      </c>
      <c r="F6" s="10"/>
      <c r="G6" s="44"/>
      <c r="H6" s="10"/>
      <c r="I6" s="12">
        <f t="shared" si="1"/>
        <v>0</v>
      </c>
      <c r="J6" s="10"/>
      <c r="K6" s="44">
        <v>2</v>
      </c>
      <c r="L6" s="10"/>
      <c r="M6" s="12">
        <f t="shared" si="2"/>
        <v>2</v>
      </c>
      <c r="N6" s="13">
        <f t="shared" si="3"/>
        <v>6</v>
      </c>
      <c r="O6" s="15">
        <v>44630</v>
      </c>
    </row>
    <row r="7" spans="1:15" x14ac:dyDescent="0.15">
      <c r="A7" s="9" t="s">
        <v>7</v>
      </c>
      <c r="B7" s="10">
        <v>3</v>
      </c>
      <c r="C7" s="44"/>
      <c r="D7" s="10"/>
      <c r="E7" s="12">
        <f t="shared" si="0"/>
        <v>3</v>
      </c>
      <c r="F7" s="10">
        <v>2</v>
      </c>
      <c r="G7" s="44"/>
      <c r="H7" s="10"/>
      <c r="I7" s="12">
        <f t="shared" si="1"/>
        <v>2</v>
      </c>
      <c r="J7" s="10">
        <v>2</v>
      </c>
      <c r="K7" s="54"/>
      <c r="L7" s="10"/>
      <c r="M7" s="12">
        <f t="shared" si="2"/>
        <v>2</v>
      </c>
      <c r="N7" s="13">
        <f t="shared" si="3"/>
        <v>7</v>
      </c>
      <c r="O7" s="15">
        <v>44653</v>
      </c>
    </row>
    <row r="8" spans="1:15" x14ac:dyDescent="0.15">
      <c r="A8" s="9" t="s">
        <v>7</v>
      </c>
      <c r="B8" s="10"/>
      <c r="C8" s="44">
        <v>3</v>
      </c>
      <c r="D8" s="57"/>
      <c r="E8" s="12">
        <f t="shared" si="0"/>
        <v>3</v>
      </c>
      <c r="F8" s="10"/>
      <c r="G8" s="44">
        <v>3</v>
      </c>
      <c r="H8" s="10">
        <v>3</v>
      </c>
      <c r="I8" s="12">
        <f t="shared" si="1"/>
        <v>6</v>
      </c>
      <c r="J8" s="10"/>
      <c r="K8" s="54"/>
      <c r="L8" s="10"/>
      <c r="M8" s="12">
        <f t="shared" si="2"/>
        <v>0</v>
      </c>
      <c r="N8" s="13">
        <f t="shared" si="3"/>
        <v>9</v>
      </c>
      <c r="O8" s="15">
        <v>44691</v>
      </c>
    </row>
    <row r="9" spans="1:15" x14ac:dyDescent="0.15">
      <c r="A9" s="9" t="s">
        <v>7</v>
      </c>
      <c r="B9" s="10">
        <v>3</v>
      </c>
      <c r="C9" s="44"/>
      <c r="D9" s="57"/>
      <c r="E9" s="12">
        <f t="shared" si="0"/>
        <v>3</v>
      </c>
      <c r="F9" s="10"/>
      <c r="G9" s="44"/>
      <c r="H9" s="10"/>
      <c r="I9" s="12">
        <f t="shared" si="1"/>
        <v>0</v>
      </c>
      <c r="J9" s="10"/>
      <c r="K9" s="54"/>
      <c r="L9" s="60">
        <v>0</v>
      </c>
      <c r="M9" s="12">
        <f t="shared" si="2"/>
        <v>0</v>
      </c>
      <c r="N9" s="13">
        <f t="shared" si="3"/>
        <v>3</v>
      </c>
      <c r="O9" s="15">
        <v>44713</v>
      </c>
    </row>
    <row r="10" spans="1:15" x14ac:dyDescent="0.15">
      <c r="A10" s="9" t="s">
        <v>7</v>
      </c>
      <c r="B10" s="10">
        <v>3</v>
      </c>
      <c r="C10" s="44">
        <v>4</v>
      </c>
      <c r="D10" s="57"/>
      <c r="E10" s="12">
        <f t="shared" si="0"/>
        <v>7</v>
      </c>
      <c r="F10" s="57">
        <v>0</v>
      </c>
      <c r="G10" s="44">
        <v>3</v>
      </c>
      <c r="H10" s="10">
        <v>5</v>
      </c>
      <c r="I10" s="12">
        <f t="shared" si="1"/>
        <v>8</v>
      </c>
      <c r="J10" s="10">
        <v>3</v>
      </c>
      <c r="K10" s="54"/>
      <c r="L10" s="60"/>
      <c r="M10" s="12">
        <f t="shared" si="2"/>
        <v>3</v>
      </c>
      <c r="N10" s="13">
        <f t="shared" si="3"/>
        <v>18</v>
      </c>
      <c r="O10" s="15">
        <v>44741</v>
      </c>
    </row>
    <row r="11" spans="1:15" x14ac:dyDescent="0.15">
      <c r="A11" s="9" t="s">
        <v>7</v>
      </c>
      <c r="B11" s="16"/>
      <c r="C11" s="66"/>
      <c r="D11" s="58"/>
      <c r="E11" s="12">
        <f t="shared" si="0"/>
        <v>0</v>
      </c>
      <c r="F11" s="58"/>
      <c r="G11" s="45"/>
      <c r="H11" s="16">
        <v>1</v>
      </c>
      <c r="I11" s="12">
        <f t="shared" si="1"/>
        <v>1</v>
      </c>
      <c r="J11" s="16"/>
      <c r="K11" s="55"/>
      <c r="L11" s="61"/>
      <c r="M11" s="12">
        <f t="shared" si="2"/>
        <v>0</v>
      </c>
      <c r="N11" s="13">
        <f t="shared" si="3"/>
        <v>1</v>
      </c>
      <c r="O11" s="15">
        <v>44750</v>
      </c>
    </row>
    <row r="12" spans="1:15" x14ac:dyDescent="0.15">
      <c r="A12" s="9" t="s">
        <v>7</v>
      </c>
      <c r="B12" s="16"/>
      <c r="C12" s="66"/>
      <c r="D12" s="58"/>
      <c r="E12" s="12">
        <f t="shared" si="0"/>
        <v>0</v>
      </c>
      <c r="F12" s="58"/>
      <c r="G12" s="45"/>
      <c r="H12" s="58"/>
      <c r="I12" s="12">
        <f t="shared" si="1"/>
        <v>0</v>
      </c>
      <c r="J12" s="16"/>
      <c r="K12" s="55"/>
      <c r="L12" s="61"/>
      <c r="M12" s="12">
        <f t="shared" si="2"/>
        <v>0</v>
      </c>
      <c r="N12" s="13">
        <f t="shared" si="3"/>
        <v>0</v>
      </c>
      <c r="O12" s="14"/>
    </row>
    <row r="13" spans="1:15" x14ac:dyDescent="0.15">
      <c r="A13" s="9" t="s">
        <v>7</v>
      </c>
      <c r="B13" s="16"/>
      <c r="C13" s="66"/>
      <c r="D13" s="58"/>
      <c r="E13" s="12">
        <f t="shared" si="0"/>
        <v>0</v>
      </c>
      <c r="F13" s="58"/>
      <c r="G13" s="45"/>
      <c r="H13" s="58"/>
      <c r="I13" s="12">
        <f t="shared" si="1"/>
        <v>0</v>
      </c>
      <c r="J13" s="16"/>
      <c r="K13" s="55"/>
      <c r="L13" s="61"/>
      <c r="M13" s="12">
        <f t="shared" si="2"/>
        <v>0</v>
      </c>
      <c r="N13" s="13">
        <f t="shared" si="3"/>
        <v>0</v>
      </c>
      <c r="O13" s="14"/>
    </row>
    <row r="14" spans="1:15" ht="14.25" thickBot="1" x14ac:dyDescent="0.2">
      <c r="A14" s="17" t="s">
        <v>7</v>
      </c>
      <c r="B14" s="18"/>
      <c r="C14" s="67"/>
      <c r="D14" s="59"/>
      <c r="E14" s="19">
        <f t="shared" si="0"/>
        <v>0</v>
      </c>
      <c r="F14" s="59"/>
      <c r="G14" s="46"/>
      <c r="H14" s="59"/>
      <c r="I14" s="19">
        <f t="shared" si="1"/>
        <v>0</v>
      </c>
      <c r="J14" s="18"/>
      <c r="K14" s="56"/>
      <c r="L14" s="62"/>
      <c r="M14" s="19">
        <f t="shared" si="2"/>
        <v>0</v>
      </c>
      <c r="N14" s="20">
        <f t="shared" si="3"/>
        <v>0</v>
      </c>
      <c r="O14" s="14"/>
    </row>
    <row r="15" spans="1:15" ht="14.25" thickBot="1" x14ac:dyDescent="0.2">
      <c r="A15" s="21" t="s">
        <v>8</v>
      </c>
      <c r="B15" s="22">
        <f>SUM(B4:B14)</f>
        <v>12</v>
      </c>
      <c r="C15" s="47">
        <f>SUM(C4:C14)</f>
        <v>12</v>
      </c>
      <c r="D15" s="40">
        <f>SUM(D4:D14)</f>
        <v>5</v>
      </c>
      <c r="E15" s="23">
        <f t="shared" si="0"/>
        <v>29</v>
      </c>
      <c r="F15" s="22">
        <f>SUM(F4:F14)</f>
        <v>5</v>
      </c>
      <c r="G15" s="47">
        <f>SUM(G4:G14)</f>
        <v>12</v>
      </c>
      <c r="H15" s="40">
        <f>SUM(H4:H14)</f>
        <v>12</v>
      </c>
      <c r="I15" s="23">
        <f t="shared" si="1"/>
        <v>29</v>
      </c>
      <c r="J15" s="22">
        <f>SUM(J4:J14)</f>
        <v>8</v>
      </c>
      <c r="K15" s="47">
        <f>SUM(K4:K14)</f>
        <v>5</v>
      </c>
      <c r="L15" s="40">
        <f>SUM(L4:L14)</f>
        <v>3</v>
      </c>
      <c r="M15" s="23">
        <f t="shared" si="2"/>
        <v>16</v>
      </c>
      <c r="N15" s="24">
        <f t="shared" si="3"/>
        <v>74</v>
      </c>
    </row>
    <row r="16" spans="1:15" x14ac:dyDescent="0.15">
      <c r="A16" s="25" t="s">
        <v>28</v>
      </c>
      <c r="B16" s="26"/>
      <c r="C16" s="48"/>
      <c r="D16" s="27">
        <v>1</v>
      </c>
      <c r="E16" s="12">
        <f t="shared" si="0"/>
        <v>1</v>
      </c>
      <c r="F16" s="26"/>
      <c r="G16" s="48"/>
      <c r="H16" s="27"/>
      <c r="I16" s="12">
        <f t="shared" si="1"/>
        <v>0</v>
      </c>
      <c r="J16" s="26"/>
      <c r="K16" s="48"/>
      <c r="L16" s="27"/>
      <c r="M16" s="12">
        <f t="shared" si="2"/>
        <v>0</v>
      </c>
      <c r="N16" s="13">
        <f t="shared" si="3"/>
        <v>1</v>
      </c>
      <c r="O16" s="15">
        <v>44599</v>
      </c>
    </row>
    <row r="17" spans="1:15" x14ac:dyDescent="0.15">
      <c r="A17" s="25" t="s">
        <v>28</v>
      </c>
      <c r="B17" s="29"/>
      <c r="C17" s="45">
        <v>1</v>
      </c>
      <c r="D17" s="16"/>
      <c r="E17" s="12">
        <f t="shared" si="0"/>
        <v>1</v>
      </c>
      <c r="F17" s="29"/>
      <c r="G17" s="45">
        <f>1+1</f>
        <v>2</v>
      </c>
      <c r="H17" s="16"/>
      <c r="I17" s="12">
        <f t="shared" si="1"/>
        <v>2</v>
      </c>
      <c r="J17" s="29"/>
      <c r="K17" s="45">
        <v>1</v>
      </c>
      <c r="L17" s="16"/>
      <c r="M17" s="12">
        <f t="shared" si="2"/>
        <v>1</v>
      </c>
      <c r="N17" s="13">
        <f t="shared" si="3"/>
        <v>4</v>
      </c>
      <c r="O17" s="15">
        <v>44606</v>
      </c>
    </row>
    <row r="18" spans="1:15" x14ac:dyDescent="0.15">
      <c r="A18" s="25" t="s">
        <v>28</v>
      </c>
      <c r="B18" s="29"/>
      <c r="C18" s="45"/>
      <c r="D18" s="16">
        <v>1</v>
      </c>
      <c r="E18" s="12">
        <f t="shared" si="0"/>
        <v>1</v>
      </c>
      <c r="F18" s="29"/>
      <c r="G18" s="45"/>
      <c r="H18" s="16"/>
      <c r="I18" s="12">
        <f t="shared" si="1"/>
        <v>0</v>
      </c>
      <c r="J18" s="29"/>
      <c r="K18" s="45"/>
      <c r="L18" s="16"/>
      <c r="M18" s="12">
        <f t="shared" si="2"/>
        <v>0</v>
      </c>
      <c r="N18" s="13">
        <f t="shared" si="3"/>
        <v>1</v>
      </c>
      <c r="O18" s="15">
        <v>44627</v>
      </c>
    </row>
    <row r="19" spans="1:15" x14ac:dyDescent="0.15">
      <c r="A19" s="25" t="s">
        <v>28</v>
      </c>
      <c r="B19" s="29">
        <v>1</v>
      </c>
      <c r="C19" s="45"/>
      <c r="D19" s="16">
        <v>1</v>
      </c>
      <c r="E19" s="12">
        <f t="shared" si="0"/>
        <v>2</v>
      </c>
      <c r="F19" s="29">
        <v>1</v>
      </c>
      <c r="G19" s="45"/>
      <c r="H19" s="16"/>
      <c r="I19" s="12">
        <f t="shared" si="1"/>
        <v>1</v>
      </c>
      <c r="J19" s="29">
        <v>1</v>
      </c>
      <c r="K19" s="45"/>
      <c r="L19" s="16"/>
      <c r="M19" s="12">
        <f t="shared" si="2"/>
        <v>1</v>
      </c>
      <c r="N19" s="13">
        <f t="shared" si="3"/>
        <v>4</v>
      </c>
      <c r="O19" s="15">
        <v>44634</v>
      </c>
    </row>
    <row r="20" spans="1:15" x14ac:dyDescent="0.15">
      <c r="A20" s="25" t="s">
        <v>28</v>
      </c>
      <c r="B20" s="29">
        <v>1</v>
      </c>
      <c r="C20" s="45"/>
      <c r="D20" s="16"/>
      <c r="E20" s="12">
        <f t="shared" si="0"/>
        <v>1</v>
      </c>
      <c r="F20" s="29"/>
      <c r="G20" s="45"/>
      <c r="H20" s="16"/>
      <c r="I20" s="12">
        <f t="shared" si="1"/>
        <v>0</v>
      </c>
      <c r="J20" s="29"/>
      <c r="K20" s="45"/>
      <c r="L20" s="16"/>
      <c r="M20" s="12">
        <f t="shared" si="2"/>
        <v>0</v>
      </c>
      <c r="N20" s="13">
        <f t="shared" si="3"/>
        <v>1</v>
      </c>
      <c r="O20" s="15">
        <v>44642</v>
      </c>
    </row>
    <row r="21" spans="1:15" x14ac:dyDescent="0.15">
      <c r="A21" s="25" t="s">
        <v>28</v>
      </c>
      <c r="B21" s="29"/>
      <c r="C21" s="45"/>
      <c r="D21" s="16"/>
      <c r="E21" s="12">
        <f t="shared" si="0"/>
        <v>0</v>
      </c>
      <c r="F21" s="29"/>
      <c r="G21" s="45"/>
      <c r="H21" s="16">
        <v>1</v>
      </c>
      <c r="I21" s="12">
        <f t="shared" si="1"/>
        <v>1</v>
      </c>
      <c r="J21" s="29"/>
      <c r="K21" s="45"/>
      <c r="L21" s="16"/>
      <c r="M21" s="12">
        <f t="shared" si="2"/>
        <v>0</v>
      </c>
      <c r="N21" s="13">
        <f t="shared" si="3"/>
        <v>1</v>
      </c>
      <c r="O21" s="15">
        <v>44662</v>
      </c>
    </row>
    <row r="22" spans="1:15" x14ac:dyDescent="0.15">
      <c r="A22" s="25" t="s">
        <v>28</v>
      </c>
      <c r="B22" s="29"/>
      <c r="C22" s="45"/>
      <c r="D22" s="16"/>
      <c r="E22" s="12">
        <f t="shared" si="0"/>
        <v>0</v>
      </c>
      <c r="F22" s="29"/>
      <c r="G22" s="45">
        <v>1</v>
      </c>
      <c r="H22" s="16"/>
      <c r="I22" s="12">
        <f t="shared" si="1"/>
        <v>1</v>
      </c>
      <c r="J22" s="29"/>
      <c r="K22" s="45">
        <v>1</v>
      </c>
      <c r="L22" s="16"/>
      <c r="M22" s="12">
        <f t="shared" si="2"/>
        <v>1</v>
      </c>
      <c r="N22" s="13">
        <f t="shared" si="3"/>
        <v>2</v>
      </c>
      <c r="O22" s="15">
        <v>44669</v>
      </c>
    </row>
    <row r="23" spans="1:15" x14ac:dyDescent="0.15">
      <c r="A23" s="25" t="s">
        <v>28</v>
      </c>
      <c r="B23" s="29"/>
      <c r="C23" s="45"/>
      <c r="D23" s="16"/>
      <c r="E23" s="12">
        <f t="shared" si="0"/>
        <v>0</v>
      </c>
      <c r="F23" s="29">
        <v>1</v>
      </c>
      <c r="G23" s="45"/>
      <c r="H23" s="16"/>
      <c r="I23" s="12">
        <f t="shared" si="1"/>
        <v>1</v>
      </c>
      <c r="J23" s="29"/>
      <c r="K23" s="45"/>
      <c r="L23" s="16"/>
      <c r="M23" s="12">
        <f t="shared" si="2"/>
        <v>0</v>
      </c>
      <c r="N23" s="13">
        <f t="shared" si="3"/>
        <v>1</v>
      </c>
      <c r="O23" s="15">
        <v>44670</v>
      </c>
    </row>
    <row r="24" spans="1:15" x14ac:dyDescent="0.15">
      <c r="A24" s="25" t="s">
        <v>28</v>
      </c>
      <c r="B24" s="29"/>
      <c r="C24" s="45">
        <v>2</v>
      </c>
      <c r="D24" s="16"/>
      <c r="E24" s="12">
        <f t="shared" si="0"/>
        <v>2</v>
      </c>
      <c r="F24" s="29"/>
      <c r="G24" s="45"/>
      <c r="H24" s="16"/>
      <c r="I24" s="12">
        <f t="shared" si="1"/>
        <v>0</v>
      </c>
      <c r="J24" s="29"/>
      <c r="K24" s="45"/>
      <c r="L24" s="16"/>
      <c r="M24" s="12">
        <f t="shared" si="2"/>
        <v>0</v>
      </c>
      <c r="N24" s="13">
        <f t="shared" si="3"/>
        <v>2</v>
      </c>
      <c r="O24" s="15">
        <v>44672</v>
      </c>
    </row>
    <row r="25" spans="1:15" x14ac:dyDescent="0.15">
      <c r="A25" s="25" t="s">
        <v>28</v>
      </c>
      <c r="B25" s="29"/>
      <c r="C25" s="45">
        <v>1</v>
      </c>
      <c r="D25" s="16">
        <v>1</v>
      </c>
      <c r="E25" s="12">
        <f t="shared" si="0"/>
        <v>2</v>
      </c>
      <c r="F25" s="29"/>
      <c r="G25" s="45">
        <v>1</v>
      </c>
      <c r="H25" s="16"/>
      <c r="I25" s="12">
        <f t="shared" si="1"/>
        <v>1</v>
      </c>
      <c r="J25" s="29"/>
      <c r="K25" s="45">
        <v>1</v>
      </c>
      <c r="L25" s="16"/>
      <c r="M25" s="12">
        <f t="shared" si="2"/>
        <v>1</v>
      </c>
      <c r="N25" s="13">
        <f t="shared" si="3"/>
        <v>4</v>
      </c>
      <c r="O25" s="15">
        <v>44676</v>
      </c>
    </row>
    <row r="26" spans="1:15" x14ac:dyDescent="0.15">
      <c r="A26" s="25" t="s">
        <v>28</v>
      </c>
      <c r="B26" s="29"/>
      <c r="C26" s="45"/>
      <c r="D26" s="16">
        <v>1</v>
      </c>
      <c r="E26" s="12">
        <f t="shared" si="0"/>
        <v>1</v>
      </c>
      <c r="F26" s="29"/>
      <c r="G26" s="45"/>
      <c r="H26" s="16">
        <v>1</v>
      </c>
      <c r="I26" s="12">
        <f t="shared" si="1"/>
        <v>1</v>
      </c>
      <c r="J26" s="29"/>
      <c r="K26" s="45"/>
      <c r="L26" s="16"/>
      <c r="M26" s="12">
        <f t="shared" si="2"/>
        <v>0</v>
      </c>
      <c r="N26" s="13">
        <f t="shared" si="3"/>
        <v>2</v>
      </c>
      <c r="O26" s="15">
        <v>44683</v>
      </c>
    </row>
    <row r="27" spans="1:15" x14ac:dyDescent="0.15">
      <c r="A27" s="25" t="s">
        <v>28</v>
      </c>
      <c r="B27" s="29">
        <v>3</v>
      </c>
      <c r="C27" s="45"/>
      <c r="D27" s="16"/>
      <c r="E27" s="39">
        <f t="shared" si="0"/>
        <v>3</v>
      </c>
      <c r="F27" s="29"/>
      <c r="G27" s="45"/>
      <c r="H27" s="16"/>
      <c r="I27" s="39">
        <f t="shared" si="1"/>
        <v>0</v>
      </c>
      <c r="J27" s="29"/>
      <c r="K27" s="45"/>
      <c r="L27" s="16"/>
      <c r="M27" s="39">
        <f t="shared" si="2"/>
        <v>0</v>
      </c>
      <c r="N27" s="13">
        <f t="shared" si="3"/>
        <v>3</v>
      </c>
      <c r="O27" s="15">
        <v>44691</v>
      </c>
    </row>
    <row r="28" spans="1:15" x14ac:dyDescent="0.15">
      <c r="A28" s="25" t="s">
        <v>28</v>
      </c>
      <c r="B28" s="29"/>
      <c r="C28" s="45">
        <v>1</v>
      </c>
      <c r="D28" s="16"/>
      <c r="E28" s="12">
        <f t="shared" si="0"/>
        <v>1</v>
      </c>
      <c r="F28" s="29"/>
      <c r="G28" s="45">
        <v>1</v>
      </c>
      <c r="H28" s="16">
        <v>1</v>
      </c>
      <c r="I28" s="12">
        <f t="shared" si="1"/>
        <v>2</v>
      </c>
      <c r="J28" s="29"/>
      <c r="K28" s="45">
        <v>1</v>
      </c>
      <c r="L28" s="16">
        <v>1</v>
      </c>
      <c r="M28" s="12">
        <f t="shared" si="2"/>
        <v>2</v>
      </c>
      <c r="N28" s="13">
        <f t="shared" si="3"/>
        <v>5</v>
      </c>
      <c r="O28" s="30">
        <v>44697</v>
      </c>
    </row>
    <row r="29" spans="1:15" x14ac:dyDescent="0.15">
      <c r="A29" s="25" t="s">
        <v>28</v>
      </c>
      <c r="B29" s="29"/>
      <c r="C29" s="45"/>
      <c r="D29" s="16"/>
      <c r="E29" s="12">
        <f t="shared" si="0"/>
        <v>0</v>
      </c>
      <c r="F29" s="29"/>
      <c r="G29" s="45"/>
      <c r="H29" s="16"/>
      <c r="I29" s="12">
        <f t="shared" si="1"/>
        <v>0</v>
      </c>
      <c r="J29" s="29"/>
      <c r="K29" s="45"/>
      <c r="L29" s="16">
        <v>1</v>
      </c>
      <c r="M29" s="12">
        <f t="shared" si="2"/>
        <v>1</v>
      </c>
      <c r="N29" s="13">
        <f t="shared" si="3"/>
        <v>1</v>
      </c>
      <c r="O29" s="15">
        <v>44704</v>
      </c>
    </row>
    <row r="30" spans="1:15" x14ac:dyDescent="0.15">
      <c r="A30" s="25" t="s">
        <v>28</v>
      </c>
      <c r="B30" s="28"/>
      <c r="C30" s="45"/>
      <c r="D30" s="16"/>
      <c r="E30" s="12">
        <f t="shared" si="0"/>
        <v>0</v>
      </c>
      <c r="F30" s="28"/>
      <c r="G30" s="45"/>
      <c r="H30" s="16"/>
      <c r="I30" s="12">
        <f t="shared" si="1"/>
        <v>0</v>
      </c>
      <c r="J30" s="28"/>
      <c r="K30" s="45"/>
      <c r="L30" s="16">
        <v>1</v>
      </c>
      <c r="M30" s="12">
        <f t="shared" si="2"/>
        <v>1</v>
      </c>
      <c r="N30" s="13">
        <f t="shared" si="3"/>
        <v>1</v>
      </c>
      <c r="O30" s="15">
        <v>44705</v>
      </c>
    </row>
    <row r="31" spans="1:15" x14ac:dyDescent="0.15">
      <c r="A31" s="25" t="s">
        <v>28</v>
      </c>
      <c r="B31" s="28"/>
      <c r="C31" s="45"/>
      <c r="D31" s="16"/>
      <c r="E31" s="12">
        <f t="shared" si="0"/>
        <v>0</v>
      </c>
      <c r="F31" s="28"/>
      <c r="G31" s="45"/>
      <c r="H31" s="16">
        <v>1</v>
      </c>
      <c r="I31" s="12">
        <f t="shared" si="1"/>
        <v>1</v>
      </c>
      <c r="J31" s="28"/>
      <c r="K31" s="45"/>
      <c r="L31" s="16"/>
      <c r="M31" s="12">
        <f t="shared" si="2"/>
        <v>0</v>
      </c>
      <c r="N31" s="13">
        <f t="shared" si="3"/>
        <v>1</v>
      </c>
      <c r="O31" s="15">
        <v>44718</v>
      </c>
    </row>
    <row r="32" spans="1:15" x14ac:dyDescent="0.15">
      <c r="A32" s="25" t="s">
        <v>28</v>
      </c>
      <c r="B32" s="29"/>
      <c r="C32" s="45">
        <v>1</v>
      </c>
      <c r="D32" s="16"/>
      <c r="E32" s="12">
        <f t="shared" si="0"/>
        <v>1</v>
      </c>
      <c r="F32" s="29"/>
      <c r="G32" s="45"/>
      <c r="H32" s="16"/>
      <c r="I32" s="12">
        <f t="shared" si="1"/>
        <v>0</v>
      </c>
      <c r="J32" s="29"/>
      <c r="K32" s="45"/>
      <c r="L32" s="16"/>
      <c r="M32" s="12">
        <f t="shared" si="2"/>
        <v>0</v>
      </c>
      <c r="N32" s="13">
        <f t="shared" si="3"/>
        <v>1</v>
      </c>
      <c r="O32" s="15">
        <v>44719</v>
      </c>
    </row>
    <row r="33" spans="1:30" x14ac:dyDescent="0.15">
      <c r="A33" s="25" t="s">
        <v>28</v>
      </c>
      <c r="B33" s="29"/>
      <c r="C33" s="45"/>
      <c r="D33" s="16"/>
      <c r="E33" s="12">
        <f t="shared" si="0"/>
        <v>0</v>
      </c>
      <c r="F33" s="29"/>
      <c r="G33" s="45"/>
      <c r="H33" s="16"/>
      <c r="I33" s="12">
        <f t="shared" si="1"/>
        <v>0</v>
      </c>
      <c r="J33" s="29"/>
      <c r="K33" s="45">
        <v>1</v>
      </c>
      <c r="L33" s="16"/>
      <c r="M33" s="12">
        <f t="shared" si="2"/>
        <v>1</v>
      </c>
      <c r="N33" s="13">
        <f t="shared" si="3"/>
        <v>1</v>
      </c>
      <c r="O33" s="15">
        <v>44725</v>
      </c>
    </row>
    <row r="34" spans="1:30" x14ac:dyDescent="0.15">
      <c r="A34" s="25" t="s">
        <v>28</v>
      </c>
      <c r="B34" s="29"/>
      <c r="C34" s="45">
        <v>1</v>
      </c>
      <c r="D34" s="16"/>
      <c r="E34" s="12">
        <f t="shared" si="0"/>
        <v>1</v>
      </c>
      <c r="F34" s="29"/>
      <c r="G34" s="45">
        <v>1</v>
      </c>
      <c r="H34" s="16"/>
      <c r="I34" s="12">
        <f t="shared" si="1"/>
        <v>1</v>
      </c>
      <c r="J34" s="29"/>
      <c r="K34" s="45"/>
      <c r="L34" s="16"/>
      <c r="M34" s="12">
        <f t="shared" si="2"/>
        <v>0</v>
      </c>
      <c r="N34" s="13">
        <f t="shared" si="3"/>
        <v>2</v>
      </c>
      <c r="O34" s="15">
        <v>44733</v>
      </c>
    </row>
    <row r="35" spans="1:30" x14ac:dyDescent="0.15">
      <c r="A35" s="25" t="s">
        <v>28</v>
      </c>
      <c r="B35" s="28"/>
      <c r="C35" s="45"/>
      <c r="D35" s="16"/>
      <c r="E35" s="12">
        <f t="shared" si="0"/>
        <v>0</v>
      </c>
      <c r="F35" s="28"/>
      <c r="G35" s="45"/>
      <c r="H35" s="16">
        <v>1</v>
      </c>
      <c r="I35" s="12">
        <f t="shared" si="1"/>
        <v>1</v>
      </c>
      <c r="J35" s="28"/>
      <c r="K35" s="45"/>
      <c r="L35" s="16"/>
      <c r="M35" s="12">
        <f t="shared" si="2"/>
        <v>0</v>
      </c>
      <c r="N35" s="13">
        <f t="shared" si="3"/>
        <v>1</v>
      </c>
      <c r="O35" s="15">
        <v>44736</v>
      </c>
    </row>
    <row r="36" spans="1:30" x14ac:dyDescent="0.15">
      <c r="A36" s="25" t="s">
        <v>28</v>
      </c>
      <c r="B36" s="29">
        <v>1</v>
      </c>
      <c r="C36" s="45"/>
      <c r="D36" s="16"/>
      <c r="E36" s="12">
        <f t="shared" si="0"/>
        <v>1</v>
      </c>
      <c r="F36" s="29">
        <v>1</v>
      </c>
      <c r="G36" s="45"/>
      <c r="H36" s="16">
        <v>1</v>
      </c>
      <c r="I36" s="12">
        <f t="shared" si="1"/>
        <v>2</v>
      </c>
      <c r="J36" s="29">
        <v>1</v>
      </c>
      <c r="K36" s="45"/>
      <c r="L36" s="16"/>
      <c r="M36" s="12">
        <f t="shared" si="2"/>
        <v>1</v>
      </c>
      <c r="N36" s="13">
        <f t="shared" si="3"/>
        <v>4</v>
      </c>
      <c r="O36" s="15">
        <v>44739</v>
      </c>
    </row>
    <row r="37" spans="1:30" x14ac:dyDescent="0.15">
      <c r="A37" s="25" t="s">
        <v>28</v>
      </c>
      <c r="B37" s="29"/>
      <c r="C37" s="45">
        <v>1</v>
      </c>
      <c r="D37" s="16"/>
      <c r="E37" s="12">
        <f t="shared" si="0"/>
        <v>1</v>
      </c>
      <c r="F37" s="29"/>
      <c r="G37" s="45">
        <v>1</v>
      </c>
      <c r="H37" s="16">
        <v>2</v>
      </c>
      <c r="I37" s="12">
        <f t="shared" si="1"/>
        <v>3</v>
      </c>
      <c r="J37" s="29"/>
      <c r="K37" s="45"/>
      <c r="L37" s="16"/>
      <c r="M37" s="12">
        <f t="shared" si="2"/>
        <v>0</v>
      </c>
      <c r="N37" s="13">
        <f t="shared" si="3"/>
        <v>4</v>
      </c>
      <c r="O37" s="15">
        <v>44743</v>
      </c>
    </row>
    <row r="38" spans="1:30" x14ac:dyDescent="0.15">
      <c r="A38" s="25" t="s">
        <v>28</v>
      </c>
      <c r="B38" s="29"/>
      <c r="C38" s="45"/>
      <c r="D38" s="16"/>
      <c r="E38" s="12">
        <f t="shared" si="0"/>
        <v>0</v>
      </c>
      <c r="F38" s="29"/>
      <c r="G38" s="45"/>
      <c r="H38" s="16">
        <v>2</v>
      </c>
      <c r="I38" s="12">
        <f t="shared" si="1"/>
        <v>2</v>
      </c>
      <c r="J38" s="29">
        <v>1</v>
      </c>
      <c r="K38" s="45"/>
      <c r="L38" s="16"/>
      <c r="M38" s="12">
        <f t="shared" si="2"/>
        <v>1</v>
      </c>
      <c r="N38" s="13">
        <f t="shared" si="3"/>
        <v>3</v>
      </c>
      <c r="O38" s="15">
        <v>44750</v>
      </c>
    </row>
    <row r="39" spans="1:30" ht="14.25" thickBot="1" x14ac:dyDescent="0.2">
      <c r="A39" s="25" t="s">
        <v>28</v>
      </c>
      <c r="B39" s="29"/>
      <c r="C39" s="45"/>
      <c r="D39" s="16"/>
      <c r="E39" s="12">
        <f t="shared" si="0"/>
        <v>0</v>
      </c>
      <c r="F39" s="29"/>
      <c r="G39" s="45"/>
      <c r="H39" s="16">
        <v>1</v>
      </c>
      <c r="I39" s="12">
        <f t="shared" si="1"/>
        <v>1</v>
      </c>
      <c r="J39" s="29"/>
      <c r="K39" s="45"/>
      <c r="L39" s="16"/>
      <c r="M39" s="12">
        <f t="shared" si="2"/>
        <v>0</v>
      </c>
      <c r="N39" s="20">
        <f t="shared" si="3"/>
        <v>1</v>
      </c>
      <c r="O39" s="15">
        <v>44753</v>
      </c>
    </row>
    <row r="40" spans="1:30" ht="14.25" thickBot="1" x14ac:dyDescent="0.2">
      <c r="A40" s="3" t="s">
        <v>9</v>
      </c>
      <c r="B40" s="22">
        <f>SUM(B16:B39)</f>
        <v>6</v>
      </c>
      <c r="C40" s="47">
        <f t="shared" ref="C40:E40" si="4">SUM(C16:C39)</f>
        <v>8</v>
      </c>
      <c r="D40" s="41">
        <f t="shared" si="4"/>
        <v>5</v>
      </c>
      <c r="E40" s="31">
        <f t="shared" si="4"/>
        <v>19</v>
      </c>
      <c r="F40" s="22">
        <f>SUM(F16:F39)</f>
        <v>3</v>
      </c>
      <c r="G40" s="47">
        <f t="shared" ref="G40:I40" si="5">SUM(G16:G39)</f>
        <v>7</v>
      </c>
      <c r="H40" s="41">
        <f t="shared" si="5"/>
        <v>11</v>
      </c>
      <c r="I40" s="31">
        <f t="shared" si="5"/>
        <v>21</v>
      </c>
      <c r="J40" s="22">
        <f>SUM(J16:J39)</f>
        <v>3</v>
      </c>
      <c r="K40" s="47">
        <f t="shared" ref="K40:M40" si="6">SUM(K16:K39)</f>
        <v>5</v>
      </c>
      <c r="L40" s="41">
        <f t="shared" si="6"/>
        <v>3</v>
      </c>
      <c r="M40" s="31">
        <f t="shared" si="6"/>
        <v>11</v>
      </c>
      <c r="N40" s="24">
        <f t="shared" si="3"/>
        <v>51</v>
      </c>
    </row>
    <row r="41" spans="1:30" ht="14.25" thickBot="1" x14ac:dyDescent="0.2">
      <c r="A41" s="32" t="s">
        <v>10</v>
      </c>
      <c r="B41" s="33">
        <f>B15-B40</f>
        <v>6</v>
      </c>
      <c r="C41" s="49">
        <f t="shared" ref="C41:E41" si="7">C15-C40</f>
        <v>4</v>
      </c>
      <c r="D41" s="42">
        <f t="shared" si="7"/>
        <v>0</v>
      </c>
      <c r="E41" s="33">
        <f t="shared" si="7"/>
        <v>10</v>
      </c>
      <c r="F41" s="33">
        <f>F15-F40</f>
        <v>2</v>
      </c>
      <c r="G41" s="49">
        <f t="shared" ref="G41:I41" si="8">G15-G40</f>
        <v>5</v>
      </c>
      <c r="H41" s="42">
        <f t="shared" si="8"/>
        <v>1</v>
      </c>
      <c r="I41" s="33">
        <f t="shared" si="8"/>
        <v>8</v>
      </c>
      <c r="J41" s="33">
        <f>J15-J40</f>
        <v>5</v>
      </c>
      <c r="K41" s="49">
        <f t="shared" ref="K41:M41" si="9">K15-K40</f>
        <v>0</v>
      </c>
      <c r="L41" s="42">
        <f t="shared" si="9"/>
        <v>0</v>
      </c>
      <c r="M41" s="33">
        <f t="shared" si="9"/>
        <v>5</v>
      </c>
      <c r="N41" s="24">
        <f t="shared" si="3"/>
        <v>23</v>
      </c>
    </row>
    <row r="44" spans="1:30" ht="21.75" thickBot="1" x14ac:dyDescent="0.25">
      <c r="A44" s="34" t="s">
        <v>25</v>
      </c>
      <c r="B44" s="35"/>
      <c r="C44" s="35"/>
      <c r="D44" s="35"/>
      <c r="E44" s="37"/>
      <c r="F44" s="35"/>
      <c r="G44" s="35"/>
      <c r="H44" s="38" t="s">
        <v>26</v>
      </c>
      <c r="I44" s="1"/>
      <c r="J44" s="1"/>
      <c r="K44" s="1">
        <v>680</v>
      </c>
      <c r="L44" s="1"/>
      <c r="M44" s="1"/>
    </row>
    <row r="45" spans="1:30" ht="14.25" thickBot="1" x14ac:dyDescent="0.2">
      <c r="A45" s="2" t="s">
        <v>0</v>
      </c>
      <c r="B45" s="115" t="s">
        <v>22</v>
      </c>
      <c r="C45" s="115"/>
      <c r="D45" s="115"/>
      <c r="E45" s="116"/>
      <c r="F45" s="119" t="s">
        <v>23</v>
      </c>
      <c r="G45" s="119"/>
      <c r="H45" s="119"/>
      <c r="I45" s="120"/>
      <c r="J45" s="109" t="s">
        <v>24</v>
      </c>
      <c r="K45" s="109"/>
      <c r="L45" s="109"/>
      <c r="M45" s="110"/>
      <c r="N45" s="107" t="s">
        <v>14</v>
      </c>
    </row>
    <row r="46" spans="1:30" ht="14.25" thickBot="1" x14ac:dyDescent="0.2">
      <c r="A46" s="2" t="s">
        <v>1</v>
      </c>
      <c r="B46" s="3" t="s">
        <v>2</v>
      </c>
      <c r="C46" s="43" t="s">
        <v>3</v>
      </c>
      <c r="D46" s="4" t="s">
        <v>4</v>
      </c>
      <c r="E46" s="2" t="s">
        <v>5</v>
      </c>
      <c r="F46" s="3" t="s">
        <v>2</v>
      </c>
      <c r="G46" s="43" t="s">
        <v>3</v>
      </c>
      <c r="H46" s="4" t="s">
        <v>4</v>
      </c>
      <c r="I46" s="2" t="s">
        <v>5</v>
      </c>
      <c r="J46" s="3" t="s">
        <v>2</v>
      </c>
      <c r="K46" s="43" t="s">
        <v>3</v>
      </c>
      <c r="L46" s="4" t="s">
        <v>4</v>
      </c>
      <c r="M46" s="2" t="s">
        <v>5</v>
      </c>
      <c r="N46" s="108"/>
    </row>
    <row r="47" spans="1:30" x14ac:dyDescent="0.15">
      <c r="A47" s="5" t="s">
        <v>10</v>
      </c>
      <c r="B47" s="6">
        <f>B41</f>
        <v>6</v>
      </c>
      <c r="C47" s="50">
        <f t="shared" ref="C47:N47" si="10">C41</f>
        <v>4</v>
      </c>
      <c r="D47" s="6">
        <f t="shared" si="10"/>
        <v>0</v>
      </c>
      <c r="E47" s="7">
        <f t="shared" si="10"/>
        <v>10</v>
      </c>
      <c r="F47" s="6">
        <f t="shared" si="10"/>
        <v>2</v>
      </c>
      <c r="G47" s="50">
        <f t="shared" si="10"/>
        <v>5</v>
      </c>
      <c r="H47" s="6">
        <f t="shared" si="10"/>
        <v>1</v>
      </c>
      <c r="I47" s="7">
        <f t="shared" si="10"/>
        <v>8</v>
      </c>
      <c r="J47" s="6">
        <f t="shared" si="10"/>
        <v>5</v>
      </c>
      <c r="K47" s="50">
        <f t="shared" si="10"/>
        <v>0</v>
      </c>
      <c r="L47" s="6">
        <f t="shared" si="10"/>
        <v>0</v>
      </c>
      <c r="M47" s="7">
        <f t="shared" si="10"/>
        <v>5</v>
      </c>
      <c r="N47" s="8">
        <f t="shared" si="10"/>
        <v>23</v>
      </c>
    </row>
    <row r="48" spans="1:30" x14ac:dyDescent="0.15">
      <c r="A48" s="9" t="s">
        <v>7</v>
      </c>
      <c r="B48" s="10"/>
      <c r="C48" s="44"/>
      <c r="D48" s="57"/>
      <c r="E48" s="12">
        <f t="shared" ref="E48:E82" si="11">SUM(B48:D48)</f>
        <v>0</v>
      </c>
      <c r="F48" s="10">
        <v>5</v>
      </c>
      <c r="G48" s="44"/>
      <c r="H48" s="10">
        <v>5</v>
      </c>
      <c r="I48" s="12">
        <f t="shared" ref="I48:I82" si="12">SUM(F48:H48)</f>
        <v>10</v>
      </c>
      <c r="J48" s="10"/>
      <c r="K48" s="54"/>
      <c r="L48" s="60"/>
      <c r="M48" s="12">
        <f t="shared" ref="M48:M82" si="13">SUM(J48:L48)</f>
        <v>0</v>
      </c>
      <c r="N48" s="13">
        <f>E48+I48+M48</f>
        <v>10</v>
      </c>
      <c r="O48" s="15">
        <v>44767</v>
      </c>
      <c r="AD48" s="15"/>
    </row>
    <row r="49" spans="1:30" x14ac:dyDescent="0.15">
      <c r="A49" s="5" t="s">
        <v>31</v>
      </c>
      <c r="B49" s="73"/>
      <c r="C49" s="74">
        <v>1</v>
      </c>
      <c r="D49" s="78"/>
      <c r="E49" s="75">
        <f t="shared" si="11"/>
        <v>1</v>
      </c>
      <c r="F49" s="73"/>
      <c r="G49" s="74"/>
      <c r="H49" s="73">
        <v>1</v>
      </c>
      <c r="I49" s="75">
        <f t="shared" si="12"/>
        <v>1</v>
      </c>
      <c r="J49" s="73"/>
      <c r="K49" s="79"/>
      <c r="L49" s="80"/>
      <c r="M49" s="75">
        <f t="shared" si="13"/>
        <v>0</v>
      </c>
      <c r="N49" s="76">
        <f t="shared" ref="N49:N84" si="14">E49+I49+M49</f>
        <v>2</v>
      </c>
      <c r="O49" s="77">
        <v>44796</v>
      </c>
      <c r="AD49" s="15"/>
    </row>
    <row r="50" spans="1:30" x14ac:dyDescent="0.15">
      <c r="A50" s="9" t="s">
        <v>7</v>
      </c>
      <c r="B50" s="10">
        <v>2</v>
      </c>
      <c r="C50" s="44"/>
      <c r="D50" s="57"/>
      <c r="E50" s="12">
        <f t="shared" si="11"/>
        <v>2</v>
      </c>
      <c r="F50" s="10"/>
      <c r="G50" s="44"/>
      <c r="H50" s="10"/>
      <c r="I50" s="12">
        <f t="shared" si="12"/>
        <v>0</v>
      </c>
      <c r="J50" s="10">
        <v>2</v>
      </c>
      <c r="K50" s="54"/>
      <c r="L50" s="60"/>
      <c r="M50" s="12">
        <f t="shared" si="13"/>
        <v>2</v>
      </c>
      <c r="N50" s="13">
        <f t="shared" si="14"/>
        <v>4</v>
      </c>
      <c r="O50" s="15">
        <v>44798</v>
      </c>
      <c r="AD50" s="15"/>
    </row>
    <row r="51" spans="1:30" x14ac:dyDescent="0.15">
      <c r="A51" s="9" t="s">
        <v>7</v>
      </c>
      <c r="B51" s="10">
        <v>3</v>
      </c>
      <c r="C51" s="44"/>
      <c r="D51" s="57"/>
      <c r="E51" s="12">
        <f t="shared" si="11"/>
        <v>3</v>
      </c>
      <c r="F51" s="10">
        <v>3</v>
      </c>
      <c r="G51" s="44"/>
      <c r="H51" s="10"/>
      <c r="I51" s="12">
        <f t="shared" si="12"/>
        <v>3</v>
      </c>
      <c r="J51" s="10"/>
      <c r="K51" s="54"/>
      <c r="L51" s="60"/>
      <c r="M51" s="12">
        <f t="shared" si="13"/>
        <v>0</v>
      </c>
      <c r="N51" s="13">
        <f t="shared" si="14"/>
        <v>6</v>
      </c>
      <c r="O51" s="15">
        <v>44816</v>
      </c>
      <c r="AD51" s="15"/>
    </row>
    <row r="52" spans="1:30" x14ac:dyDescent="0.15">
      <c r="A52" s="9" t="s">
        <v>7</v>
      </c>
      <c r="B52" s="10"/>
      <c r="C52" s="44"/>
      <c r="D52" s="57"/>
      <c r="E52" s="12">
        <f t="shared" si="11"/>
        <v>0</v>
      </c>
      <c r="F52" s="10"/>
      <c r="G52" s="44">
        <v>5</v>
      </c>
      <c r="H52" s="10"/>
      <c r="I52" s="12">
        <f t="shared" si="12"/>
        <v>5</v>
      </c>
      <c r="J52" s="10"/>
      <c r="K52" s="54"/>
      <c r="L52" s="60"/>
      <c r="M52" s="12">
        <f t="shared" si="13"/>
        <v>0</v>
      </c>
      <c r="N52" s="13">
        <f t="shared" si="14"/>
        <v>5</v>
      </c>
      <c r="O52" s="15">
        <v>44820</v>
      </c>
      <c r="AD52" s="15"/>
    </row>
    <row r="53" spans="1:30" x14ac:dyDescent="0.15">
      <c r="A53" s="9" t="s">
        <v>7</v>
      </c>
      <c r="B53" s="10"/>
      <c r="C53" s="44">
        <v>3</v>
      </c>
      <c r="D53" s="57"/>
      <c r="E53" s="12">
        <f t="shared" si="11"/>
        <v>3</v>
      </c>
      <c r="F53" s="10"/>
      <c r="G53" s="44"/>
      <c r="H53" s="10"/>
      <c r="I53" s="12">
        <f t="shared" si="12"/>
        <v>0</v>
      </c>
      <c r="J53" s="10"/>
      <c r="K53" s="54"/>
      <c r="L53" s="60"/>
      <c r="M53" s="12">
        <f t="shared" si="13"/>
        <v>0</v>
      </c>
      <c r="N53" s="13">
        <f t="shared" si="14"/>
        <v>3</v>
      </c>
      <c r="O53" s="15">
        <v>44832</v>
      </c>
      <c r="AD53" s="15"/>
    </row>
    <row r="54" spans="1:30" x14ac:dyDescent="0.15">
      <c r="A54" s="9" t="s">
        <v>7</v>
      </c>
      <c r="B54" s="16"/>
      <c r="C54" s="45"/>
      <c r="D54" s="16">
        <v>5</v>
      </c>
      <c r="E54" s="12">
        <f t="shared" si="11"/>
        <v>5</v>
      </c>
      <c r="F54" s="16"/>
      <c r="G54" s="45"/>
      <c r="H54" s="16"/>
      <c r="I54" s="12">
        <f t="shared" si="12"/>
        <v>0</v>
      </c>
      <c r="J54" s="16"/>
      <c r="K54" s="45">
        <v>5</v>
      </c>
      <c r="L54" s="16">
        <v>5</v>
      </c>
      <c r="M54" s="12">
        <f t="shared" si="13"/>
        <v>10</v>
      </c>
      <c r="N54" s="13">
        <f t="shared" si="14"/>
        <v>15</v>
      </c>
      <c r="O54" s="15">
        <v>44838</v>
      </c>
      <c r="AD54" s="15"/>
    </row>
    <row r="55" spans="1:30" x14ac:dyDescent="0.15">
      <c r="A55" s="9" t="s">
        <v>7</v>
      </c>
      <c r="B55" s="16">
        <v>3</v>
      </c>
      <c r="C55" s="45">
        <v>3</v>
      </c>
      <c r="D55" s="16"/>
      <c r="E55" s="12">
        <f t="shared" si="11"/>
        <v>6</v>
      </c>
      <c r="F55" s="16"/>
      <c r="G55" s="45"/>
      <c r="H55" s="16"/>
      <c r="I55" s="12">
        <f t="shared" si="12"/>
        <v>0</v>
      </c>
      <c r="J55" s="16">
        <v>5</v>
      </c>
      <c r="K55" s="45"/>
      <c r="L55" s="16"/>
      <c r="M55" s="12">
        <f t="shared" si="13"/>
        <v>5</v>
      </c>
      <c r="N55" s="13">
        <f t="shared" si="14"/>
        <v>11</v>
      </c>
      <c r="O55" s="15">
        <v>44847</v>
      </c>
      <c r="AD55" s="15"/>
    </row>
    <row r="56" spans="1:30" x14ac:dyDescent="0.15">
      <c r="A56" s="9" t="s">
        <v>7</v>
      </c>
      <c r="B56" s="16"/>
      <c r="C56" s="45"/>
      <c r="D56" s="16"/>
      <c r="E56" s="12">
        <f t="shared" si="11"/>
        <v>0</v>
      </c>
      <c r="F56" s="16"/>
      <c r="G56" s="45">
        <v>3</v>
      </c>
      <c r="H56" s="16"/>
      <c r="I56" s="12">
        <f t="shared" si="12"/>
        <v>3</v>
      </c>
      <c r="J56" s="16"/>
      <c r="K56" s="45"/>
      <c r="L56" s="16"/>
      <c r="M56" s="12">
        <f t="shared" si="13"/>
        <v>0</v>
      </c>
      <c r="N56" s="13">
        <f t="shared" si="14"/>
        <v>3</v>
      </c>
      <c r="O56" s="15">
        <v>44858</v>
      </c>
      <c r="AD56" s="15"/>
    </row>
    <row r="57" spans="1:30" ht="14.25" thickBot="1" x14ac:dyDescent="0.2">
      <c r="A57" s="17" t="s">
        <v>7</v>
      </c>
      <c r="B57" s="18"/>
      <c r="C57" s="46"/>
      <c r="D57" s="18"/>
      <c r="E57" s="19">
        <f t="shared" si="11"/>
        <v>0</v>
      </c>
      <c r="F57" s="18"/>
      <c r="G57" s="46"/>
      <c r="H57" s="18"/>
      <c r="I57" s="19">
        <f t="shared" si="12"/>
        <v>0</v>
      </c>
      <c r="J57" s="18"/>
      <c r="K57" s="46"/>
      <c r="L57" s="18"/>
      <c r="M57" s="19">
        <f t="shared" si="13"/>
        <v>0</v>
      </c>
      <c r="N57" s="20">
        <f t="shared" si="14"/>
        <v>0</v>
      </c>
    </row>
    <row r="58" spans="1:30" ht="14.25" thickBot="1" x14ac:dyDescent="0.2">
      <c r="A58" s="21" t="s">
        <v>8</v>
      </c>
      <c r="B58" s="22">
        <f>SUM(B47:B57)</f>
        <v>14</v>
      </c>
      <c r="C58" s="47">
        <f>SUM(C47:C57)</f>
        <v>11</v>
      </c>
      <c r="D58" s="40">
        <f>SUM(D47:D57)</f>
        <v>5</v>
      </c>
      <c r="E58" s="23">
        <f t="shared" si="11"/>
        <v>30</v>
      </c>
      <c r="F58" s="22">
        <f>SUM(F47:F57)</f>
        <v>10</v>
      </c>
      <c r="G58" s="47">
        <f>SUM(G47:G57)</f>
        <v>13</v>
      </c>
      <c r="H58" s="40">
        <f>SUM(H47:H57)</f>
        <v>7</v>
      </c>
      <c r="I58" s="23">
        <f t="shared" si="12"/>
        <v>30</v>
      </c>
      <c r="J58" s="22">
        <f>SUM(J47:J57)</f>
        <v>12</v>
      </c>
      <c r="K58" s="47">
        <f>SUM(K47:K57)</f>
        <v>5</v>
      </c>
      <c r="L58" s="40">
        <f>SUM(L47:L57)</f>
        <v>5</v>
      </c>
      <c r="M58" s="23">
        <f t="shared" si="13"/>
        <v>22</v>
      </c>
      <c r="N58" s="24">
        <f t="shared" si="14"/>
        <v>82</v>
      </c>
    </row>
    <row r="59" spans="1:30" x14ac:dyDescent="0.15">
      <c r="A59" s="25" t="s">
        <v>28</v>
      </c>
      <c r="B59" s="26">
        <v>1</v>
      </c>
      <c r="C59" s="48"/>
      <c r="D59" s="27"/>
      <c r="E59" s="12">
        <f t="shared" si="11"/>
        <v>1</v>
      </c>
      <c r="F59" s="26">
        <f>1+1</f>
        <v>2</v>
      </c>
      <c r="G59" s="48"/>
      <c r="H59" s="27"/>
      <c r="I59" s="12">
        <f t="shared" si="12"/>
        <v>2</v>
      </c>
      <c r="J59" s="26"/>
      <c r="K59" s="48"/>
      <c r="L59" s="27"/>
      <c r="M59" s="12">
        <f t="shared" si="13"/>
        <v>0</v>
      </c>
      <c r="N59" s="13">
        <f t="shared" si="14"/>
        <v>3</v>
      </c>
      <c r="O59" s="15">
        <v>44754</v>
      </c>
      <c r="AD59" s="15"/>
    </row>
    <row r="60" spans="1:30" x14ac:dyDescent="0.15">
      <c r="A60" s="25" t="s">
        <v>28</v>
      </c>
      <c r="B60" s="29"/>
      <c r="C60" s="45"/>
      <c r="D60" s="16"/>
      <c r="E60" s="12">
        <f t="shared" si="11"/>
        <v>0</v>
      </c>
      <c r="F60" s="29"/>
      <c r="G60" s="45"/>
      <c r="H60" s="16">
        <v>1</v>
      </c>
      <c r="I60" s="12">
        <f t="shared" si="12"/>
        <v>1</v>
      </c>
      <c r="J60" s="29"/>
      <c r="K60" s="45"/>
      <c r="L60" s="16"/>
      <c r="M60" s="12">
        <f t="shared" si="13"/>
        <v>0</v>
      </c>
      <c r="N60" s="13">
        <f t="shared" si="14"/>
        <v>1</v>
      </c>
      <c r="O60" s="15">
        <v>44755</v>
      </c>
      <c r="AD60" s="15"/>
    </row>
    <row r="61" spans="1:30" x14ac:dyDescent="0.15">
      <c r="A61" s="25" t="s">
        <v>28</v>
      </c>
      <c r="B61" s="29"/>
      <c r="C61" s="45"/>
      <c r="D61" s="16"/>
      <c r="E61" s="12">
        <f t="shared" si="11"/>
        <v>0</v>
      </c>
      <c r="F61" s="29"/>
      <c r="G61" s="45"/>
      <c r="H61" s="16"/>
      <c r="I61" s="12">
        <f t="shared" si="12"/>
        <v>0</v>
      </c>
      <c r="J61" s="29">
        <v>1</v>
      </c>
      <c r="K61" s="45"/>
      <c r="L61" s="16"/>
      <c r="M61" s="12">
        <f t="shared" si="13"/>
        <v>1</v>
      </c>
      <c r="N61" s="13">
        <f t="shared" si="14"/>
        <v>1</v>
      </c>
      <c r="O61" s="15">
        <v>44761</v>
      </c>
      <c r="AD61" s="15"/>
    </row>
    <row r="62" spans="1:30" x14ac:dyDescent="0.15">
      <c r="A62" s="25" t="s">
        <v>28</v>
      </c>
      <c r="B62" s="29"/>
      <c r="C62" s="45"/>
      <c r="D62" s="16"/>
      <c r="E62" s="12">
        <f t="shared" si="11"/>
        <v>0</v>
      </c>
      <c r="F62" s="29"/>
      <c r="G62" s="45">
        <v>1</v>
      </c>
      <c r="H62" s="16"/>
      <c r="I62" s="12">
        <f t="shared" si="12"/>
        <v>1</v>
      </c>
      <c r="J62" s="29"/>
      <c r="K62" s="45"/>
      <c r="L62" s="16"/>
      <c r="M62" s="12">
        <f t="shared" si="13"/>
        <v>0</v>
      </c>
      <c r="N62" s="13">
        <f t="shared" si="14"/>
        <v>1</v>
      </c>
      <c r="O62" s="15">
        <v>44774</v>
      </c>
      <c r="AD62" s="15"/>
    </row>
    <row r="63" spans="1:30" x14ac:dyDescent="0.15">
      <c r="A63" s="25" t="s">
        <v>28</v>
      </c>
      <c r="B63" s="29"/>
      <c r="C63" s="45">
        <v>1</v>
      </c>
      <c r="D63" s="16"/>
      <c r="E63" s="12">
        <f t="shared" si="11"/>
        <v>1</v>
      </c>
      <c r="F63" s="29"/>
      <c r="G63" s="45"/>
      <c r="H63" s="16"/>
      <c r="I63" s="12">
        <f t="shared" si="12"/>
        <v>0</v>
      </c>
      <c r="J63" s="29"/>
      <c r="K63" s="45"/>
      <c r="L63" s="16"/>
      <c r="M63" s="12">
        <f t="shared" si="13"/>
        <v>0</v>
      </c>
      <c r="N63" s="13">
        <f t="shared" si="14"/>
        <v>1</v>
      </c>
      <c r="O63" s="15">
        <v>44776</v>
      </c>
      <c r="AD63" s="15"/>
    </row>
    <row r="64" spans="1:30" x14ac:dyDescent="0.15">
      <c r="A64" s="25" t="s">
        <v>28</v>
      </c>
      <c r="B64" s="29">
        <f>2+1</f>
        <v>3</v>
      </c>
      <c r="C64" s="45"/>
      <c r="D64" s="16"/>
      <c r="E64" s="12">
        <f t="shared" si="11"/>
        <v>3</v>
      </c>
      <c r="F64" s="29">
        <v>1</v>
      </c>
      <c r="G64" s="45"/>
      <c r="H64" s="16"/>
      <c r="I64" s="12">
        <f t="shared" si="12"/>
        <v>1</v>
      </c>
      <c r="J64" s="29">
        <f>1+1</f>
        <v>2</v>
      </c>
      <c r="K64" s="45"/>
      <c r="L64" s="16"/>
      <c r="M64" s="12">
        <f t="shared" si="13"/>
        <v>2</v>
      </c>
      <c r="N64" s="13">
        <f t="shared" si="14"/>
        <v>6</v>
      </c>
      <c r="O64" s="15">
        <v>44781</v>
      </c>
      <c r="AD64" s="15"/>
    </row>
    <row r="65" spans="1:30" x14ac:dyDescent="0.15">
      <c r="A65" s="25" t="s">
        <v>28</v>
      </c>
      <c r="B65" s="29"/>
      <c r="C65" s="45"/>
      <c r="D65" s="16"/>
      <c r="E65" s="12">
        <f t="shared" si="11"/>
        <v>0</v>
      </c>
      <c r="F65" s="29"/>
      <c r="G65" s="45">
        <v>1</v>
      </c>
      <c r="H65" s="16"/>
      <c r="I65" s="12">
        <f t="shared" si="12"/>
        <v>1</v>
      </c>
      <c r="J65" s="29"/>
      <c r="K65" s="45"/>
      <c r="L65" s="16"/>
      <c r="M65" s="12">
        <f t="shared" si="13"/>
        <v>0</v>
      </c>
      <c r="N65" s="13">
        <f t="shared" si="14"/>
        <v>1</v>
      </c>
      <c r="O65" s="15">
        <v>44790</v>
      </c>
      <c r="AD65" s="15"/>
    </row>
    <row r="66" spans="1:30" x14ac:dyDescent="0.15">
      <c r="A66" s="25" t="s">
        <v>28</v>
      </c>
      <c r="B66" s="29">
        <f>1+1</f>
        <v>2</v>
      </c>
      <c r="C66" s="45"/>
      <c r="D66" s="16"/>
      <c r="E66" s="12">
        <f t="shared" si="11"/>
        <v>2</v>
      </c>
      <c r="F66" s="29"/>
      <c r="G66" s="45"/>
      <c r="H66" s="16"/>
      <c r="I66" s="12">
        <f t="shared" si="12"/>
        <v>0</v>
      </c>
      <c r="J66" s="29">
        <v>1</v>
      </c>
      <c r="K66" s="45"/>
      <c r="L66" s="16"/>
      <c r="M66" s="12">
        <f t="shared" si="13"/>
        <v>1</v>
      </c>
      <c r="N66" s="13">
        <f t="shared" si="14"/>
        <v>3</v>
      </c>
      <c r="O66" s="15">
        <v>44793</v>
      </c>
      <c r="AD66" s="15"/>
    </row>
    <row r="67" spans="1:30" x14ac:dyDescent="0.15">
      <c r="A67" s="25" t="s">
        <v>28</v>
      </c>
      <c r="B67" s="29"/>
      <c r="C67" s="45"/>
      <c r="D67" s="16"/>
      <c r="E67" s="12">
        <f t="shared" si="11"/>
        <v>0</v>
      </c>
      <c r="F67" s="29"/>
      <c r="G67" s="45">
        <v>1</v>
      </c>
      <c r="H67" s="16"/>
      <c r="I67" s="12">
        <f t="shared" si="12"/>
        <v>1</v>
      </c>
      <c r="J67" s="29"/>
      <c r="K67" s="45"/>
      <c r="L67" s="16"/>
      <c r="M67" s="12">
        <f t="shared" si="13"/>
        <v>0</v>
      </c>
      <c r="N67" s="13">
        <f t="shared" si="14"/>
        <v>1</v>
      </c>
      <c r="O67" s="15">
        <v>44802</v>
      </c>
      <c r="AD67" s="15"/>
    </row>
    <row r="68" spans="1:30" x14ac:dyDescent="0.15">
      <c r="A68" s="25" t="s">
        <v>28</v>
      </c>
      <c r="B68" s="29"/>
      <c r="C68" s="45"/>
      <c r="D68" s="16"/>
      <c r="E68" s="12">
        <f t="shared" si="11"/>
        <v>0</v>
      </c>
      <c r="F68" s="29"/>
      <c r="G68" s="45"/>
      <c r="H68" s="16"/>
      <c r="I68" s="12">
        <f t="shared" si="12"/>
        <v>0</v>
      </c>
      <c r="J68" s="29"/>
      <c r="K68" s="45"/>
      <c r="L68" s="16"/>
      <c r="M68" s="12">
        <f t="shared" si="13"/>
        <v>0</v>
      </c>
      <c r="N68" s="13">
        <f t="shared" si="14"/>
        <v>0</v>
      </c>
      <c r="O68" s="15">
        <v>44805</v>
      </c>
      <c r="AD68" s="15"/>
    </row>
    <row r="69" spans="1:30" x14ac:dyDescent="0.15">
      <c r="A69" s="25" t="s">
        <v>28</v>
      </c>
      <c r="B69" s="29">
        <v>1</v>
      </c>
      <c r="C69" s="45">
        <f>1+1</f>
        <v>2</v>
      </c>
      <c r="D69" s="16"/>
      <c r="E69" s="12">
        <f t="shared" si="11"/>
        <v>3</v>
      </c>
      <c r="F69" s="29"/>
      <c r="G69" s="45">
        <v>2</v>
      </c>
      <c r="H69" s="16"/>
      <c r="I69" s="12">
        <f t="shared" si="12"/>
        <v>2</v>
      </c>
      <c r="J69" s="29"/>
      <c r="K69" s="45"/>
      <c r="L69" s="16"/>
      <c r="M69" s="12">
        <f t="shared" si="13"/>
        <v>0</v>
      </c>
      <c r="N69" s="13">
        <f t="shared" si="14"/>
        <v>5</v>
      </c>
      <c r="O69" s="15">
        <v>44809</v>
      </c>
      <c r="AD69" s="15"/>
    </row>
    <row r="70" spans="1:30" x14ac:dyDescent="0.15">
      <c r="A70" s="25" t="s">
        <v>28</v>
      </c>
      <c r="B70" s="29"/>
      <c r="C70" s="45"/>
      <c r="D70" s="16"/>
      <c r="E70" s="39">
        <f t="shared" si="11"/>
        <v>0</v>
      </c>
      <c r="F70" s="29"/>
      <c r="G70" s="45"/>
      <c r="H70" s="16">
        <v>1</v>
      </c>
      <c r="I70" s="39">
        <f t="shared" si="12"/>
        <v>1</v>
      </c>
      <c r="J70" s="29"/>
      <c r="K70" s="45"/>
      <c r="L70" s="16"/>
      <c r="M70" s="39">
        <f t="shared" si="13"/>
        <v>0</v>
      </c>
      <c r="N70" s="13">
        <f t="shared" si="14"/>
        <v>1</v>
      </c>
      <c r="O70" s="15">
        <v>44813</v>
      </c>
      <c r="AD70" s="15"/>
    </row>
    <row r="71" spans="1:30" x14ac:dyDescent="0.15">
      <c r="A71" s="25" t="s">
        <v>28</v>
      </c>
      <c r="B71" s="29"/>
      <c r="C71" s="45"/>
      <c r="D71" s="16"/>
      <c r="E71" s="12">
        <f t="shared" si="11"/>
        <v>0</v>
      </c>
      <c r="F71" s="29"/>
      <c r="G71" s="45">
        <v>1</v>
      </c>
      <c r="H71" s="16"/>
      <c r="I71" s="12">
        <f t="shared" si="12"/>
        <v>1</v>
      </c>
      <c r="J71" s="29"/>
      <c r="K71" s="45"/>
      <c r="L71" s="16"/>
      <c r="M71" s="12">
        <f t="shared" si="13"/>
        <v>0</v>
      </c>
      <c r="N71" s="13">
        <f t="shared" si="14"/>
        <v>1</v>
      </c>
      <c r="O71" s="15">
        <v>44819</v>
      </c>
      <c r="AD71" s="15"/>
    </row>
    <row r="72" spans="1:30" x14ac:dyDescent="0.15">
      <c r="A72" s="25" t="s">
        <v>28</v>
      </c>
      <c r="B72" s="29"/>
      <c r="C72" s="45"/>
      <c r="D72" s="16"/>
      <c r="E72" s="12">
        <f t="shared" si="11"/>
        <v>0</v>
      </c>
      <c r="F72" s="29"/>
      <c r="G72" s="45"/>
      <c r="H72" s="16"/>
      <c r="I72" s="12">
        <f t="shared" si="12"/>
        <v>0</v>
      </c>
      <c r="J72" s="29">
        <v>1</v>
      </c>
      <c r="K72" s="45"/>
      <c r="L72" s="16"/>
      <c r="M72" s="12">
        <f t="shared" si="13"/>
        <v>1</v>
      </c>
      <c r="N72" s="13">
        <f t="shared" si="14"/>
        <v>1</v>
      </c>
      <c r="O72" s="15">
        <v>44824</v>
      </c>
      <c r="AD72" s="15"/>
    </row>
    <row r="73" spans="1:30" x14ac:dyDescent="0.15">
      <c r="A73" s="25" t="s">
        <v>28</v>
      </c>
      <c r="B73" s="29"/>
      <c r="C73" s="45">
        <v>2</v>
      </c>
      <c r="D73" s="16"/>
      <c r="E73" s="12">
        <f t="shared" si="11"/>
        <v>2</v>
      </c>
      <c r="F73" s="29"/>
      <c r="G73" s="45"/>
      <c r="H73" s="16"/>
      <c r="I73" s="12">
        <f t="shared" si="12"/>
        <v>0</v>
      </c>
      <c r="J73" s="29"/>
      <c r="K73" s="45"/>
      <c r="L73" s="16"/>
      <c r="M73" s="12">
        <f t="shared" si="13"/>
        <v>0</v>
      </c>
      <c r="N73" s="13">
        <f t="shared" si="14"/>
        <v>2</v>
      </c>
      <c r="O73" s="15">
        <v>44833</v>
      </c>
      <c r="AD73" s="15"/>
    </row>
    <row r="74" spans="1:30" x14ac:dyDescent="0.15">
      <c r="A74" s="25" t="s">
        <v>28</v>
      </c>
      <c r="B74" s="29">
        <v>1</v>
      </c>
      <c r="C74" s="45"/>
      <c r="D74" s="16"/>
      <c r="E74" s="12">
        <f t="shared" si="11"/>
        <v>1</v>
      </c>
      <c r="F74" s="29"/>
      <c r="G74" s="45"/>
      <c r="H74" s="16"/>
      <c r="I74" s="12">
        <f t="shared" si="12"/>
        <v>0</v>
      </c>
      <c r="J74" s="29"/>
      <c r="K74" s="45"/>
      <c r="L74" s="16"/>
      <c r="M74" s="12">
        <f t="shared" si="13"/>
        <v>0</v>
      </c>
      <c r="N74" s="13">
        <f t="shared" si="14"/>
        <v>1</v>
      </c>
      <c r="O74" s="15">
        <v>44835</v>
      </c>
      <c r="AD74" s="15"/>
    </row>
    <row r="75" spans="1:30" x14ac:dyDescent="0.15">
      <c r="A75" s="25" t="s">
        <v>28</v>
      </c>
      <c r="B75" s="29"/>
      <c r="C75" s="45"/>
      <c r="D75" s="16"/>
      <c r="E75" s="12">
        <f t="shared" si="11"/>
        <v>0</v>
      </c>
      <c r="F75" s="29"/>
      <c r="G75" s="45"/>
      <c r="H75" s="16">
        <v>2</v>
      </c>
      <c r="I75" s="12">
        <f t="shared" si="12"/>
        <v>2</v>
      </c>
      <c r="J75" s="29"/>
      <c r="K75" s="45"/>
      <c r="L75" s="16"/>
      <c r="M75" s="12">
        <f t="shared" si="13"/>
        <v>0</v>
      </c>
      <c r="N75" s="13">
        <f t="shared" si="14"/>
        <v>2</v>
      </c>
      <c r="O75" s="15">
        <v>44837</v>
      </c>
      <c r="AD75" s="15"/>
    </row>
    <row r="76" spans="1:30" x14ac:dyDescent="0.15">
      <c r="A76" s="25" t="s">
        <v>28</v>
      </c>
      <c r="B76" s="29"/>
      <c r="C76" s="45">
        <v>1</v>
      </c>
      <c r="D76" s="16"/>
      <c r="E76" s="12">
        <f t="shared" si="11"/>
        <v>1</v>
      </c>
      <c r="F76" s="29"/>
      <c r="G76" s="45">
        <v>1</v>
      </c>
      <c r="H76" s="16"/>
      <c r="I76" s="12">
        <f t="shared" si="12"/>
        <v>1</v>
      </c>
      <c r="J76" s="29">
        <v>1</v>
      </c>
      <c r="K76" s="45">
        <v>1</v>
      </c>
      <c r="L76" s="16"/>
      <c r="M76" s="12">
        <f t="shared" si="13"/>
        <v>2</v>
      </c>
      <c r="N76" s="13">
        <f t="shared" si="14"/>
        <v>4</v>
      </c>
      <c r="O76" s="15">
        <v>44845</v>
      </c>
      <c r="AD76" s="15"/>
    </row>
    <row r="77" spans="1:30" x14ac:dyDescent="0.15">
      <c r="A77" s="25" t="s">
        <v>28</v>
      </c>
      <c r="B77" s="29"/>
      <c r="C77" s="45"/>
      <c r="D77" s="16"/>
      <c r="E77" s="12">
        <f t="shared" si="11"/>
        <v>0</v>
      </c>
      <c r="F77" s="29"/>
      <c r="G77" s="45"/>
      <c r="H77" s="16"/>
      <c r="I77" s="12">
        <f t="shared" si="12"/>
        <v>0</v>
      </c>
      <c r="J77" s="29">
        <v>2</v>
      </c>
      <c r="K77" s="45"/>
      <c r="L77" s="16"/>
      <c r="M77" s="12">
        <f t="shared" si="13"/>
        <v>2</v>
      </c>
      <c r="N77" s="13">
        <f t="shared" si="14"/>
        <v>2</v>
      </c>
      <c r="O77" s="15">
        <v>44847</v>
      </c>
      <c r="AD77" s="15"/>
    </row>
    <row r="78" spans="1:30" x14ac:dyDescent="0.15">
      <c r="A78" s="25" t="s">
        <v>28</v>
      </c>
      <c r="B78" s="29"/>
      <c r="C78" s="45">
        <v>1</v>
      </c>
      <c r="D78" s="16"/>
      <c r="E78" s="12">
        <f t="shared" si="11"/>
        <v>1</v>
      </c>
      <c r="F78" s="29"/>
      <c r="G78" s="45">
        <v>1</v>
      </c>
      <c r="H78" s="16"/>
      <c r="I78" s="12">
        <f t="shared" si="12"/>
        <v>1</v>
      </c>
      <c r="J78" s="29"/>
      <c r="K78" s="45">
        <v>1</v>
      </c>
      <c r="L78" s="16"/>
      <c r="M78" s="12">
        <f t="shared" si="13"/>
        <v>1</v>
      </c>
      <c r="N78" s="13">
        <f t="shared" si="14"/>
        <v>3</v>
      </c>
      <c r="O78" s="15">
        <v>44851</v>
      </c>
      <c r="AD78" s="15"/>
    </row>
    <row r="79" spans="1:30" x14ac:dyDescent="0.15">
      <c r="A79" s="25" t="s">
        <v>28</v>
      </c>
      <c r="B79" s="29"/>
      <c r="C79" s="45">
        <v>1</v>
      </c>
      <c r="D79" s="16"/>
      <c r="E79" s="12">
        <f t="shared" si="11"/>
        <v>1</v>
      </c>
      <c r="F79" s="29"/>
      <c r="G79" s="45">
        <v>1</v>
      </c>
      <c r="H79" s="16"/>
      <c r="I79" s="12">
        <f t="shared" si="12"/>
        <v>1</v>
      </c>
      <c r="J79" s="29"/>
      <c r="K79" s="45">
        <v>1</v>
      </c>
      <c r="L79" s="16"/>
      <c r="M79" s="12">
        <f t="shared" si="13"/>
        <v>1</v>
      </c>
      <c r="N79" s="13">
        <f t="shared" si="14"/>
        <v>3</v>
      </c>
      <c r="O79" s="15">
        <v>44875</v>
      </c>
      <c r="AD79" s="15"/>
    </row>
    <row r="80" spans="1:30" x14ac:dyDescent="0.15">
      <c r="A80" s="25" t="s">
        <v>28</v>
      </c>
      <c r="B80" s="29">
        <v>1</v>
      </c>
      <c r="C80" s="45"/>
      <c r="D80" s="16"/>
      <c r="E80" s="12">
        <f t="shared" si="11"/>
        <v>1</v>
      </c>
      <c r="F80" s="29">
        <v>1</v>
      </c>
      <c r="G80" s="45"/>
      <c r="H80" s="16"/>
      <c r="I80" s="12">
        <f t="shared" si="12"/>
        <v>1</v>
      </c>
      <c r="J80" s="29">
        <v>1</v>
      </c>
      <c r="K80" s="45"/>
      <c r="L80" s="16"/>
      <c r="M80" s="12">
        <f t="shared" si="13"/>
        <v>1</v>
      </c>
      <c r="N80" s="13">
        <f t="shared" si="14"/>
        <v>3</v>
      </c>
      <c r="O80" s="15">
        <v>44876</v>
      </c>
      <c r="AD80" s="15"/>
    </row>
    <row r="81" spans="1:30" x14ac:dyDescent="0.15">
      <c r="A81" s="25" t="s">
        <v>28</v>
      </c>
      <c r="B81" s="29">
        <v>1</v>
      </c>
      <c r="C81" s="45"/>
      <c r="D81" s="16"/>
      <c r="E81" s="12">
        <f t="shared" si="11"/>
        <v>1</v>
      </c>
      <c r="F81" s="29"/>
      <c r="G81" s="45"/>
      <c r="H81" s="16"/>
      <c r="I81" s="12">
        <f t="shared" si="12"/>
        <v>0</v>
      </c>
      <c r="J81" s="29"/>
      <c r="K81" s="45"/>
      <c r="L81" s="16"/>
      <c r="M81" s="12">
        <f t="shared" si="13"/>
        <v>0</v>
      </c>
      <c r="N81" s="13">
        <f t="shared" si="14"/>
        <v>1</v>
      </c>
      <c r="O81" s="15">
        <v>44879</v>
      </c>
      <c r="AD81" s="15"/>
    </row>
    <row r="82" spans="1:30" ht="14.25" thickBot="1" x14ac:dyDescent="0.2">
      <c r="A82" s="25" t="s">
        <v>28</v>
      </c>
      <c r="B82" s="29"/>
      <c r="C82" s="45">
        <f>1+1</f>
        <v>2</v>
      </c>
      <c r="D82" s="16"/>
      <c r="E82" s="12">
        <f t="shared" si="11"/>
        <v>2</v>
      </c>
      <c r="F82" s="29"/>
      <c r="G82" s="45">
        <v>1</v>
      </c>
      <c r="H82" s="16"/>
      <c r="I82" s="12">
        <f t="shared" si="12"/>
        <v>1</v>
      </c>
      <c r="J82" s="29"/>
      <c r="K82" s="45">
        <v>1</v>
      </c>
      <c r="L82" s="16"/>
      <c r="M82" s="12">
        <f t="shared" si="13"/>
        <v>1</v>
      </c>
      <c r="N82" s="20">
        <f t="shared" si="14"/>
        <v>4</v>
      </c>
      <c r="O82" s="15">
        <v>44889</v>
      </c>
      <c r="AD82" s="15"/>
    </row>
    <row r="83" spans="1:30" ht="14.25" thickBot="1" x14ac:dyDescent="0.2">
      <c r="A83" s="3" t="s">
        <v>9</v>
      </c>
      <c r="B83" s="22">
        <f>SUM(B59:B82)</f>
        <v>10</v>
      </c>
      <c r="C83" s="47">
        <f t="shared" ref="C83:E83" si="15">SUM(C59:C82)</f>
        <v>10</v>
      </c>
      <c r="D83" s="41">
        <f t="shared" si="15"/>
        <v>0</v>
      </c>
      <c r="E83" s="31">
        <f t="shared" si="15"/>
        <v>20</v>
      </c>
      <c r="F83" s="22">
        <f>SUM(F59:F82)</f>
        <v>4</v>
      </c>
      <c r="G83" s="47">
        <f t="shared" ref="G83:I83" si="16">SUM(G59:G82)</f>
        <v>10</v>
      </c>
      <c r="H83" s="41">
        <f t="shared" si="16"/>
        <v>4</v>
      </c>
      <c r="I83" s="31">
        <f t="shared" si="16"/>
        <v>18</v>
      </c>
      <c r="J83" s="22">
        <f>SUM(J59:J82)</f>
        <v>9</v>
      </c>
      <c r="K83" s="47">
        <f t="shared" ref="K83:M83" si="17">SUM(K59:K82)</f>
        <v>4</v>
      </c>
      <c r="L83" s="41">
        <f t="shared" si="17"/>
        <v>0</v>
      </c>
      <c r="M83" s="31">
        <f t="shared" si="17"/>
        <v>13</v>
      </c>
      <c r="N83" s="24">
        <f t="shared" si="14"/>
        <v>51</v>
      </c>
    </row>
    <row r="84" spans="1:30" ht="14.25" thickBot="1" x14ac:dyDescent="0.2">
      <c r="A84" s="32" t="s">
        <v>10</v>
      </c>
      <c r="B84" s="33">
        <f>B58-B83</f>
        <v>4</v>
      </c>
      <c r="C84" s="49">
        <f t="shared" ref="C84:E84" si="18">C58-C83</f>
        <v>1</v>
      </c>
      <c r="D84" s="42">
        <f t="shared" si="18"/>
        <v>5</v>
      </c>
      <c r="E84" s="33">
        <f t="shared" si="18"/>
        <v>10</v>
      </c>
      <c r="F84" s="33">
        <f>F58-F83</f>
        <v>6</v>
      </c>
      <c r="G84" s="49">
        <f t="shared" ref="G84:I84" si="19">G58-G83</f>
        <v>3</v>
      </c>
      <c r="H84" s="42">
        <f t="shared" si="19"/>
        <v>3</v>
      </c>
      <c r="I84" s="33">
        <f t="shared" si="19"/>
        <v>12</v>
      </c>
      <c r="J84" s="33">
        <f>J58-J83</f>
        <v>3</v>
      </c>
      <c r="K84" s="49">
        <f t="shared" ref="K84:M84" si="20">K58-K83</f>
        <v>1</v>
      </c>
      <c r="L84" s="42">
        <f t="shared" si="20"/>
        <v>5</v>
      </c>
      <c r="M84" s="33">
        <f t="shared" si="20"/>
        <v>9</v>
      </c>
      <c r="N84" s="24">
        <f t="shared" si="14"/>
        <v>31</v>
      </c>
    </row>
    <row r="87" spans="1:30" ht="21.75" thickBot="1" x14ac:dyDescent="0.25">
      <c r="A87" s="34" t="s">
        <v>25</v>
      </c>
      <c r="B87" s="35"/>
      <c r="C87" s="35"/>
      <c r="D87" s="35"/>
      <c r="E87" s="37"/>
      <c r="F87" s="35"/>
      <c r="G87" s="35"/>
      <c r="H87" s="38" t="s">
        <v>26</v>
      </c>
      <c r="I87" s="1"/>
      <c r="J87" s="1"/>
      <c r="K87" s="1">
        <v>680</v>
      </c>
      <c r="L87" s="1"/>
      <c r="M87" s="1"/>
    </row>
    <row r="88" spans="1:30" ht="14.25" thickBot="1" x14ac:dyDescent="0.2">
      <c r="A88" s="2" t="s">
        <v>0</v>
      </c>
      <c r="B88" s="115" t="s">
        <v>22</v>
      </c>
      <c r="C88" s="115"/>
      <c r="D88" s="115"/>
      <c r="E88" s="116"/>
      <c r="F88" s="119" t="s">
        <v>23</v>
      </c>
      <c r="G88" s="119"/>
      <c r="H88" s="119"/>
      <c r="I88" s="120"/>
      <c r="J88" s="109" t="s">
        <v>24</v>
      </c>
      <c r="K88" s="109"/>
      <c r="L88" s="109"/>
      <c r="M88" s="110"/>
      <c r="N88" s="107" t="s">
        <v>14</v>
      </c>
    </row>
    <row r="89" spans="1:30" ht="14.25" thickBot="1" x14ac:dyDescent="0.2">
      <c r="A89" s="2" t="s">
        <v>1</v>
      </c>
      <c r="B89" s="3" t="s">
        <v>2</v>
      </c>
      <c r="C89" s="43" t="s">
        <v>3</v>
      </c>
      <c r="D89" s="4" t="s">
        <v>4</v>
      </c>
      <c r="E89" s="2" t="s">
        <v>5</v>
      </c>
      <c r="F89" s="3" t="s">
        <v>2</v>
      </c>
      <c r="G89" s="43" t="s">
        <v>3</v>
      </c>
      <c r="H89" s="4" t="s">
        <v>4</v>
      </c>
      <c r="I89" s="2" t="s">
        <v>5</v>
      </c>
      <c r="J89" s="3" t="s">
        <v>2</v>
      </c>
      <c r="K89" s="43" t="s">
        <v>3</v>
      </c>
      <c r="L89" s="4" t="s">
        <v>4</v>
      </c>
      <c r="M89" s="2" t="s">
        <v>5</v>
      </c>
      <c r="N89" s="108"/>
    </row>
    <row r="90" spans="1:30" x14ac:dyDescent="0.15">
      <c r="A90" s="5" t="s">
        <v>10</v>
      </c>
      <c r="B90" s="6">
        <f>B84</f>
        <v>4</v>
      </c>
      <c r="C90" s="50">
        <f t="shared" ref="C90:N90" si="21">C84</f>
        <v>1</v>
      </c>
      <c r="D90" s="6">
        <f t="shared" si="21"/>
        <v>5</v>
      </c>
      <c r="E90" s="7">
        <f t="shared" si="21"/>
        <v>10</v>
      </c>
      <c r="F90" s="6">
        <f t="shared" si="21"/>
        <v>6</v>
      </c>
      <c r="G90" s="50">
        <f t="shared" si="21"/>
        <v>3</v>
      </c>
      <c r="H90" s="6">
        <f t="shared" si="21"/>
        <v>3</v>
      </c>
      <c r="I90" s="7">
        <f t="shared" si="21"/>
        <v>12</v>
      </c>
      <c r="J90" s="6">
        <f t="shared" si="21"/>
        <v>3</v>
      </c>
      <c r="K90" s="50">
        <f t="shared" si="21"/>
        <v>1</v>
      </c>
      <c r="L90" s="6">
        <f t="shared" si="21"/>
        <v>5</v>
      </c>
      <c r="M90" s="7">
        <f t="shared" si="21"/>
        <v>9</v>
      </c>
      <c r="N90" s="8">
        <f t="shared" si="21"/>
        <v>31</v>
      </c>
    </row>
    <row r="91" spans="1:30" x14ac:dyDescent="0.15">
      <c r="A91" s="9" t="s">
        <v>7</v>
      </c>
      <c r="B91" s="16">
        <v>3</v>
      </c>
      <c r="C91" s="45">
        <v>5</v>
      </c>
      <c r="D91" s="16"/>
      <c r="E91" s="12">
        <f t="shared" ref="E91:E125" si="22">SUM(B91:D91)</f>
        <v>8</v>
      </c>
      <c r="F91" s="16">
        <v>3</v>
      </c>
      <c r="G91" s="45">
        <v>5</v>
      </c>
      <c r="H91" s="16"/>
      <c r="I91" s="12">
        <f t="shared" ref="I91:I125" si="23">SUM(F91:H91)</f>
        <v>8</v>
      </c>
      <c r="J91" s="16">
        <v>5</v>
      </c>
      <c r="K91" s="45">
        <v>5</v>
      </c>
      <c r="L91" s="16"/>
      <c r="M91" s="12">
        <f t="shared" ref="M91:M125" si="24">SUM(J91:L91)</f>
        <v>10</v>
      </c>
      <c r="N91" s="13">
        <f t="shared" ref="N91:N127" si="25">E91+I91+M91</f>
        <v>26</v>
      </c>
      <c r="O91" s="15">
        <v>44897</v>
      </c>
    </row>
    <row r="92" spans="1:30" x14ac:dyDescent="0.15">
      <c r="A92" s="9" t="s">
        <v>7</v>
      </c>
      <c r="B92" s="16"/>
      <c r="C92" s="45">
        <v>2</v>
      </c>
      <c r="D92" s="61"/>
      <c r="E92" s="12">
        <f t="shared" si="22"/>
        <v>2</v>
      </c>
      <c r="F92" s="16"/>
      <c r="G92" s="45"/>
      <c r="H92" s="16">
        <v>2</v>
      </c>
      <c r="I92" s="12">
        <f t="shared" si="23"/>
        <v>2</v>
      </c>
      <c r="J92" s="16"/>
      <c r="K92" s="45">
        <v>3</v>
      </c>
      <c r="L92" s="16"/>
      <c r="M92" s="12">
        <f t="shared" si="24"/>
        <v>3</v>
      </c>
      <c r="N92" s="13">
        <f t="shared" si="25"/>
        <v>7</v>
      </c>
      <c r="O92" s="15">
        <v>45059</v>
      </c>
    </row>
    <row r="93" spans="1:30" x14ac:dyDescent="0.15">
      <c r="A93" s="9" t="s">
        <v>7</v>
      </c>
      <c r="B93" s="16"/>
      <c r="C93" s="45"/>
      <c r="D93" s="61"/>
      <c r="E93" s="12">
        <f t="shared" si="22"/>
        <v>0</v>
      </c>
      <c r="F93" s="16"/>
      <c r="G93" s="45"/>
      <c r="H93" s="16"/>
      <c r="I93" s="12">
        <f t="shared" si="23"/>
        <v>0</v>
      </c>
      <c r="J93" s="16"/>
      <c r="K93" s="45"/>
      <c r="L93" s="16"/>
      <c r="M93" s="12">
        <f t="shared" si="24"/>
        <v>0</v>
      </c>
      <c r="N93" s="13">
        <f t="shared" si="25"/>
        <v>0</v>
      </c>
      <c r="O93" s="15"/>
    </row>
    <row r="94" spans="1:30" x14ac:dyDescent="0.15">
      <c r="A94" s="9" t="s">
        <v>7</v>
      </c>
      <c r="B94" s="16"/>
      <c r="C94" s="45"/>
      <c r="D94" s="61"/>
      <c r="E94" s="12">
        <f t="shared" si="22"/>
        <v>0</v>
      </c>
      <c r="F94" s="16"/>
      <c r="G94" s="45"/>
      <c r="H94" s="16"/>
      <c r="I94" s="12">
        <f t="shared" si="23"/>
        <v>0</v>
      </c>
      <c r="J94" s="16"/>
      <c r="K94" s="45"/>
      <c r="L94" s="16"/>
      <c r="M94" s="12">
        <f t="shared" si="24"/>
        <v>0</v>
      </c>
      <c r="N94" s="13">
        <f t="shared" si="25"/>
        <v>0</v>
      </c>
      <c r="O94" s="15"/>
    </row>
    <row r="95" spans="1:30" x14ac:dyDescent="0.15">
      <c r="A95" s="9" t="s">
        <v>7</v>
      </c>
      <c r="B95" s="16"/>
      <c r="C95" s="45"/>
      <c r="D95" s="61"/>
      <c r="E95" s="12">
        <f t="shared" si="22"/>
        <v>0</v>
      </c>
      <c r="F95" s="16"/>
      <c r="G95" s="45"/>
      <c r="H95" s="16"/>
      <c r="I95" s="12">
        <f t="shared" si="23"/>
        <v>0</v>
      </c>
      <c r="J95" s="16"/>
      <c r="K95" s="45"/>
      <c r="L95" s="16"/>
      <c r="M95" s="12">
        <f t="shared" si="24"/>
        <v>0</v>
      </c>
      <c r="N95" s="13">
        <f t="shared" si="25"/>
        <v>0</v>
      </c>
      <c r="O95" s="15"/>
    </row>
    <row r="96" spans="1:30" x14ac:dyDescent="0.15">
      <c r="A96" s="9" t="s">
        <v>7</v>
      </c>
      <c r="B96" s="16"/>
      <c r="C96" s="45"/>
      <c r="D96" s="61"/>
      <c r="E96" s="12">
        <f t="shared" si="22"/>
        <v>0</v>
      </c>
      <c r="F96" s="16"/>
      <c r="G96" s="45"/>
      <c r="H96" s="16"/>
      <c r="I96" s="12">
        <f t="shared" si="23"/>
        <v>0</v>
      </c>
      <c r="J96" s="16"/>
      <c r="K96" s="45"/>
      <c r="L96" s="16"/>
      <c r="M96" s="12">
        <f t="shared" si="24"/>
        <v>0</v>
      </c>
      <c r="N96" s="13">
        <f t="shared" si="25"/>
        <v>0</v>
      </c>
      <c r="O96" s="15"/>
    </row>
    <row r="97" spans="1:15" x14ac:dyDescent="0.15">
      <c r="A97" s="9" t="s">
        <v>7</v>
      </c>
      <c r="B97" s="16"/>
      <c r="C97" s="45"/>
      <c r="D97" s="61"/>
      <c r="E97" s="12">
        <f t="shared" si="22"/>
        <v>0</v>
      </c>
      <c r="F97" s="16"/>
      <c r="G97" s="45"/>
      <c r="H97" s="16"/>
      <c r="I97" s="12">
        <f t="shared" si="23"/>
        <v>0</v>
      </c>
      <c r="J97" s="16"/>
      <c r="K97" s="45"/>
      <c r="L97" s="16"/>
      <c r="M97" s="12">
        <f t="shared" si="24"/>
        <v>0</v>
      </c>
      <c r="N97" s="13">
        <f t="shared" si="25"/>
        <v>0</v>
      </c>
      <c r="O97" s="15"/>
    </row>
    <row r="98" spans="1:15" x14ac:dyDescent="0.15">
      <c r="A98" s="9" t="s">
        <v>7</v>
      </c>
      <c r="B98" s="16"/>
      <c r="C98" s="45"/>
      <c r="D98" s="61"/>
      <c r="E98" s="12">
        <f t="shared" si="22"/>
        <v>0</v>
      </c>
      <c r="F98" s="16"/>
      <c r="G98" s="45"/>
      <c r="H98" s="16"/>
      <c r="I98" s="12">
        <f t="shared" si="23"/>
        <v>0</v>
      </c>
      <c r="J98" s="16"/>
      <c r="K98" s="45"/>
      <c r="L98" s="16"/>
      <c r="M98" s="12">
        <f t="shared" si="24"/>
        <v>0</v>
      </c>
      <c r="N98" s="13">
        <f t="shared" si="25"/>
        <v>0</v>
      </c>
      <c r="O98" s="15"/>
    </row>
    <row r="99" spans="1:15" x14ac:dyDescent="0.15">
      <c r="A99" s="9" t="s">
        <v>7</v>
      </c>
      <c r="B99" s="16"/>
      <c r="C99" s="45"/>
      <c r="D99" s="61"/>
      <c r="E99" s="12">
        <f t="shared" si="22"/>
        <v>0</v>
      </c>
      <c r="F99" s="16"/>
      <c r="G99" s="45"/>
      <c r="H99" s="16"/>
      <c r="I99" s="12">
        <f t="shared" si="23"/>
        <v>0</v>
      </c>
      <c r="J99" s="16"/>
      <c r="K99" s="45"/>
      <c r="L99" s="16"/>
      <c r="M99" s="12">
        <f t="shared" si="24"/>
        <v>0</v>
      </c>
      <c r="N99" s="13">
        <f t="shared" si="25"/>
        <v>0</v>
      </c>
      <c r="O99" s="15"/>
    </row>
    <row r="100" spans="1:15" ht="14.25" thickBot="1" x14ac:dyDescent="0.2">
      <c r="A100" s="17" t="s">
        <v>7</v>
      </c>
      <c r="B100" s="18"/>
      <c r="C100" s="46"/>
      <c r="D100" s="62"/>
      <c r="E100" s="19">
        <f t="shared" si="22"/>
        <v>0</v>
      </c>
      <c r="F100" s="18"/>
      <c r="G100" s="46"/>
      <c r="H100" s="18"/>
      <c r="I100" s="19">
        <f t="shared" si="23"/>
        <v>0</v>
      </c>
      <c r="J100" s="18"/>
      <c r="K100" s="46"/>
      <c r="L100" s="18"/>
      <c r="M100" s="19">
        <f t="shared" si="24"/>
        <v>0</v>
      </c>
      <c r="N100" s="20">
        <f t="shared" si="25"/>
        <v>0</v>
      </c>
    </row>
    <row r="101" spans="1:15" ht="14.25" thickBot="1" x14ac:dyDescent="0.2">
      <c r="A101" s="21" t="s">
        <v>8</v>
      </c>
      <c r="B101" s="22">
        <f>SUM(B90:B100)</f>
        <v>7</v>
      </c>
      <c r="C101" s="47">
        <f>SUM(C90:C100)</f>
        <v>8</v>
      </c>
      <c r="D101" s="40">
        <f>SUM(D90:D100)</f>
        <v>5</v>
      </c>
      <c r="E101" s="23">
        <f t="shared" si="22"/>
        <v>20</v>
      </c>
      <c r="F101" s="22">
        <f>SUM(F90:F100)</f>
        <v>9</v>
      </c>
      <c r="G101" s="47">
        <f>SUM(G90:G100)</f>
        <v>8</v>
      </c>
      <c r="H101" s="40">
        <f>SUM(H90:H100)</f>
        <v>5</v>
      </c>
      <c r="I101" s="23">
        <f t="shared" si="23"/>
        <v>22</v>
      </c>
      <c r="J101" s="22">
        <f>SUM(J90:J100)</f>
        <v>8</v>
      </c>
      <c r="K101" s="47">
        <f>SUM(K90:K100)</f>
        <v>9</v>
      </c>
      <c r="L101" s="40">
        <f>SUM(L90:L100)</f>
        <v>5</v>
      </c>
      <c r="M101" s="23">
        <f t="shared" si="24"/>
        <v>22</v>
      </c>
      <c r="N101" s="24">
        <f t="shared" si="25"/>
        <v>64</v>
      </c>
    </row>
    <row r="102" spans="1:15" x14ac:dyDescent="0.15">
      <c r="A102" s="93" t="s">
        <v>28</v>
      </c>
      <c r="B102" s="28"/>
      <c r="C102" s="65">
        <v>1</v>
      </c>
      <c r="D102" s="64"/>
      <c r="E102" s="7">
        <f t="shared" si="22"/>
        <v>1</v>
      </c>
      <c r="F102" s="28"/>
      <c r="G102" s="65">
        <v>1</v>
      </c>
      <c r="H102" s="64"/>
      <c r="I102" s="7">
        <f t="shared" si="23"/>
        <v>1</v>
      </c>
      <c r="J102" s="28"/>
      <c r="K102" s="65">
        <v>1</v>
      </c>
      <c r="L102" s="64"/>
      <c r="M102" s="7">
        <f t="shared" si="24"/>
        <v>1</v>
      </c>
      <c r="N102" s="8">
        <f t="shared" si="25"/>
        <v>3</v>
      </c>
      <c r="O102" s="63"/>
    </row>
    <row r="103" spans="1:15" x14ac:dyDescent="0.15">
      <c r="A103" s="25" t="s">
        <v>28</v>
      </c>
      <c r="B103" s="29">
        <v>1</v>
      </c>
      <c r="C103" s="45"/>
      <c r="D103" s="16"/>
      <c r="E103" s="12">
        <f t="shared" si="22"/>
        <v>1</v>
      </c>
      <c r="F103" s="29">
        <v>1</v>
      </c>
      <c r="G103" s="45"/>
      <c r="H103" s="16"/>
      <c r="I103" s="12">
        <f t="shared" si="23"/>
        <v>1</v>
      </c>
      <c r="J103" s="29">
        <v>1</v>
      </c>
      <c r="K103" s="45"/>
      <c r="L103" s="16"/>
      <c r="M103" s="12">
        <f t="shared" si="24"/>
        <v>1</v>
      </c>
      <c r="N103" s="13">
        <f t="shared" si="25"/>
        <v>3</v>
      </c>
      <c r="O103" s="15">
        <v>44900</v>
      </c>
    </row>
    <row r="104" spans="1:15" x14ac:dyDescent="0.15">
      <c r="A104" s="25" t="s">
        <v>28</v>
      </c>
      <c r="B104" s="29"/>
      <c r="C104" s="45"/>
      <c r="D104" s="16">
        <v>1</v>
      </c>
      <c r="E104" s="12">
        <f t="shared" si="22"/>
        <v>1</v>
      </c>
      <c r="F104" s="29"/>
      <c r="G104" s="45"/>
      <c r="H104" s="16"/>
      <c r="I104" s="12">
        <f t="shared" si="23"/>
        <v>0</v>
      </c>
      <c r="J104" s="29"/>
      <c r="K104" s="45"/>
      <c r="L104" s="16"/>
      <c r="M104" s="12">
        <f t="shared" si="24"/>
        <v>0</v>
      </c>
      <c r="N104" s="13">
        <f t="shared" si="25"/>
        <v>1</v>
      </c>
      <c r="O104" s="15">
        <v>44904</v>
      </c>
    </row>
    <row r="105" spans="1:15" x14ac:dyDescent="0.15">
      <c r="A105" s="25" t="s">
        <v>28</v>
      </c>
      <c r="B105" s="29"/>
      <c r="C105" s="45"/>
      <c r="D105" s="16"/>
      <c r="E105" s="12">
        <f t="shared" si="22"/>
        <v>0</v>
      </c>
      <c r="F105" s="29"/>
      <c r="G105" s="45"/>
      <c r="H105" s="16"/>
      <c r="I105" s="12">
        <f t="shared" si="23"/>
        <v>0</v>
      </c>
      <c r="J105" s="29"/>
      <c r="K105" s="45">
        <v>1</v>
      </c>
      <c r="L105" s="16"/>
      <c r="M105" s="12">
        <f t="shared" si="24"/>
        <v>1</v>
      </c>
      <c r="N105" s="13">
        <f t="shared" si="25"/>
        <v>1</v>
      </c>
      <c r="O105" s="15">
        <v>44910</v>
      </c>
    </row>
    <row r="106" spans="1:15" x14ac:dyDescent="0.15">
      <c r="A106" s="25" t="s">
        <v>28</v>
      </c>
      <c r="B106" s="29"/>
      <c r="C106" s="45"/>
      <c r="D106" s="16"/>
      <c r="E106" s="12">
        <f t="shared" si="22"/>
        <v>0</v>
      </c>
      <c r="F106" s="29"/>
      <c r="G106" s="45"/>
      <c r="H106" s="16"/>
      <c r="I106" s="12">
        <f t="shared" si="23"/>
        <v>0</v>
      </c>
      <c r="J106" s="29"/>
      <c r="K106" s="45">
        <v>1</v>
      </c>
      <c r="L106" s="16"/>
      <c r="M106" s="12">
        <f t="shared" si="24"/>
        <v>1</v>
      </c>
      <c r="N106" s="13">
        <f t="shared" si="25"/>
        <v>1</v>
      </c>
      <c r="O106" s="15">
        <v>44921</v>
      </c>
    </row>
    <row r="107" spans="1:15" x14ac:dyDescent="0.15">
      <c r="A107" s="25" t="s">
        <v>28</v>
      </c>
      <c r="B107" s="29"/>
      <c r="C107" s="45">
        <v>1</v>
      </c>
      <c r="D107" s="16">
        <v>1</v>
      </c>
      <c r="E107" s="12">
        <f t="shared" si="22"/>
        <v>2</v>
      </c>
      <c r="F107" s="29"/>
      <c r="G107" s="45">
        <v>1</v>
      </c>
      <c r="H107" s="16">
        <v>1</v>
      </c>
      <c r="I107" s="12">
        <f t="shared" si="23"/>
        <v>2</v>
      </c>
      <c r="J107" s="29"/>
      <c r="K107" s="45">
        <v>1</v>
      </c>
      <c r="L107" s="16">
        <v>1</v>
      </c>
      <c r="M107" s="12">
        <f t="shared" si="24"/>
        <v>2</v>
      </c>
      <c r="N107" s="13">
        <f t="shared" si="25"/>
        <v>6</v>
      </c>
      <c r="O107" s="15">
        <v>44937</v>
      </c>
    </row>
    <row r="108" spans="1:15" x14ac:dyDescent="0.15">
      <c r="A108" s="25" t="s">
        <v>28</v>
      </c>
      <c r="B108" s="29">
        <v>1</v>
      </c>
      <c r="C108" s="45"/>
      <c r="D108" s="16"/>
      <c r="E108" s="12">
        <f t="shared" si="22"/>
        <v>1</v>
      </c>
      <c r="F108" s="29"/>
      <c r="G108" s="45"/>
      <c r="H108" s="16"/>
      <c r="I108" s="12">
        <f t="shared" si="23"/>
        <v>0</v>
      </c>
      <c r="J108" s="29"/>
      <c r="K108" s="45"/>
      <c r="L108" s="16"/>
      <c r="M108" s="12">
        <f t="shared" si="24"/>
        <v>0</v>
      </c>
      <c r="N108" s="13">
        <f t="shared" si="25"/>
        <v>1</v>
      </c>
      <c r="O108" s="15">
        <v>44942</v>
      </c>
    </row>
    <row r="109" spans="1:15" x14ac:dyDescent="0.15">
      <c r="A109" s="25" t="s">
        <v>28</v>
      </c>
      <c r="B109" s="29">
        <v>1</v>
      </c>
      <c r="C109" s="45"/>
      <c r="D109" s="16"/>
      <c r="E109" s="12">
        <f t="shared" si="22"/>
        <v>1</v>
      </c>
      <c r="F109" s="29"/>
      <c r="G109" s="45"/>
      <c r="H109" s="16"/>
      <c r="I109" s="12">
        <f t="shared" si="23"/>
        <v>0</v>
      </c>
      <c r="J109" s="29"/>
      <c r="K109" s="45"/>
      <c r="L109" s="16"/>
      <c r="M109" s="12">
        <f t="shared" si="24"/>
        <v>0</v>
      </c>
      <c r="N109" s="13">
        <f t="shared" si="25"/>
        <v>1</v>
      </c>
      <c r="O109" s="15">
        <v>44949</v>
      </c>
    </row>
    <row r="110" spans="1:15" x14ac:dyDescent="0.15">
      <c r="A110" s="25" t="s">
        <v>28</v>
      </c>
      <c r="B110" s="29"/>
      <c r="C110" s="45"/>
      <c r="D110" s="16"/>
      <c r="E110" s="12">
        <f t="shared" si="22"/>
        <v>0</v>
      </c>
      <c r="F110" s="29">
        <v>1</v>
      </c>
      <c r="G110" s="45"/>
      <c r="H110" s="16"/>
      <c r="I110" s="12">
        <f t="shared" si="23"/>
        <v>1</v>
      </c>
      <c r="J110" s="29"/>
      <c r="K110" s="45"/>
      <c r="L110" s="16"/>
      <c r="M110" s="12">
        <f t="shared" si="24"/>
        <v>0</v>
      </c>
      <c r="N110" s="13">
        <f t="shared" si="25"/>
        <v>1</v>
      </c>
      <c r="O110" s="15">
        <v>44956</v>
      </c>
    </row>
    <row r="111" spans="1:15" x14ac:dyDescent="0.15">
      <c r="A111" s="25" t="s">
        <v>28</v>
      </c>
      <c r="B111" s="29">
        <v>1</v>
      </c>
      <c r="C111" s="45"/>
      <c r="D111" s="16"/>
      <c r="E111" s="12">
        <f t="shared" si="22"/>
        <v>1</v>
      </c>
      <c r="F111" s="29"/>
      <c r="G111" s="45"/>
      <c r="H111" s="16"/>
      <c r="I111" s="12">
        <f t="shared" si="23"/>
        <v>0</v>
      </c>
      <c r="J111" s="29"/>
      <c r="K111" s="45"/>
      <c r="L111" s="16"/>
      <c r="M111" s="12">
        <f t="shared" si="24"/>
        <v>0</v>
      </c>
      <c r="N111" s="13">
        <f t="shared" si="25"/>
        <v>1</v>
      </c>
      <c r="O111" s="15">
        <v>44965</v>
      </c>
    </row>
    <row r="112" spans="1:15" x14ac:dyDescent="0.15">
      <c r="A112" s="25" t="s">
        <v>28</v>
      </c>
      <c r="B112" s="29"/>
      <c r="C112" s="45"/>
      <c r="D112" s="16"/>
      <c r="E112" s="12">
        <f t="shared" si="22"/>
        <v>0</v>
      </c>
      <c r="F112" s="29"/>
      <c r="G112" s="45"/>
      <c r="H112" s="16">
        <v>1</v>
      </c>
      <c r="I112" s="12">
        <f t="shared" si="23"/>
        <v>1</v>
      </c>
      <c r="J112" s="29"/>
      <c r="K112" s="45"/>
      <c r="L112" s="16"/>
      <c r="M112" s="12">
        <f t="shared" si="24"/>
        <v>0</v>
      </c>
      <c r="N112" s="13">
        <f t="shared" si="25"/>
        <v>1</v>
      </c>
      <c r="O112" s="15">
        <v>44973</v>
      </c>
    </row>
    <row r="113" spans="1:15" x14ac:dyDescent="0.15">
      <c r="A113" s="25" t="s">
        <v>28</v>
      </c>
      <c r="B113" s="29"/>
      <c r="C113" s="45"/>
      <c r="D113" s="16"/>
      <c r="E113" s="12">
        <f t="shared" si="22"/>
        <v>0</v>
      </c>
      <c r="F113" s="29"/>
      <c r="G113" s="45">
        <v>2</v>
      </c>
      <c r="H113" s="16"/>
      <c r="I113" s="12">
        <f t="shared" si="23"/>
        <v>2</v>
      </c>
      <c r="J113" s="29"/>
      <c r="K113" s="45"/>
      <c r="L113" s="16"/>
      <c r="M113" s="12">
        <f t="shared" si="24"/>
        <v>0</v>
      </c>
      <c r="N113" s="13">
        <f t="shared" si="25"/>
        <v>2</v>
      </c>
      <c r="O113" s="15">
        <v>44977</v>
      </c>
    </row>
    <row r="114" spans="1:15" x14ac:dyDescent="0.15">
      <c r="A114" s="25" t="s">
        <v>28</v>
      </c>
      <c r="B114" s="29"/>
      <c r="C114" s="45"/>
      <c r="D114" s="16"/>
      <c r="E114" s="12">
        <f t="shared" si="22"/>
        <v>0</v>
      </c>
      <c r="F114" s="29"/>
      <c r="G114" s="45"/>
      <c r="H114" s="16"/>
      <c r="I114" s="12">
        <f t="shared" si="23"/>
        <v>0</v>
      </c>
      <c r="J114" s="29"/>
      <c r="K114" s="45">
        <v>1</v>
      </c>
      <c r="L114" s="16"/>
      <c r="M114" s="12">
        <f t="shared" si="24"/>
        <v>1</v>
      </c>
      <c r="N114" s="13">
        <f t="shared" si="25"/>
        <v>1</v>
      </c>
      <c r="O114" s="15">
        <v>44984</v>
      </c>
    </row>
    <row r="115" spans="1:15" x14ac:dyDescent="0.15">
      <c r="A115" s="25" t="s">
        <v>28</v>
      </c>
      <c r="B115" s="29"/>
      <c r="C115" s="45"/>
      <c r="D115" s="16">
        <v>1</v>
      </c>
      <c r="E115" s="12">
        <f t="shared" si="22"/>
        <v>1</v>
      </c>
      <c r="F115" s="29"/>
      <c r="G115" s="45"/>
      <c r="H115" s="16">
        <v>1</v>
      </c>
      <c r="I115" s="12">
        <f t="shared" si="23"/>
        <v>1</v>
      </c>
      <c r="J115" s="29"/>
      <c r="K115" s="45"/>
      <c r="L115" s="16">
        <v>1</v>
      </c>
      <c r="M115" s="12">
        <f t="shared" si="24"/>
        <v>1</v>
      </c>
      <c r="N115" s="13">
        <f t="shared" si="25"/>
        <v>3</v>
      </c>
      <c r="O115" s="15">
        <v>44991</v>
      </c>
    </row>
    <row r="116" spans="1:15" x14ac:dyDescent="0.15">
      <c r="A116" s="25" t="s">
        <v>28</v>
      </c>
      <c r="B116" s="29"/>
      <c r="C116" s="45"/>
      <c r="D116" s="16">
        <v>2</v>
      </c>
      <c r="E116" s="12">
        <f t="shared" si="22"/>
        <v>2</v>
      </c>
      <c r="F116" s="29"/>
      <c r="G116" s="45"/>
      <c r="H116" s="16"/>
      <c r="I116" s="12">
        <f t="shared" si="23"/>
        <v>0</v>
      </c>
      <c r="J116" s="29"/>
      <c r="K116" s="45"/>
      <c r="L116" s="16"/>
      <c r="M116" s="12">
        <f t="shared" si="24"/>
        <v>0</v>
      </c>
      <c r="N116" s="13">
        <f t="shared" si="25"/>
        <v>2</v>
      </c>
      <c r="O116" s="15">
        <v>45012</v>
      </c>
    </row>
    <row r="117" spans="1:15" x14ac:dyDescent="0.15">
      <c r="A117" s="25" t="s">
        <v>28</v>
      </c>
      <c r="B117" s="29"/>
      <c r="C117" s="45">
        <v>1</v>
      </c>
      <c r="D117" s="16"/>
      <c r="E117" s="12">
        <f t="shared" si="22"/>
        <v>1</v>
      </c>
      <c r="F117" s="29"/>
      <c r="G117" s="45">
        <v>1</v>
      </c>
      <c r="H117" s="16"/>
      <c r="I117" s="12">
        <f t="shared" si="23"/>
        <v>1</v>
      </c>
      <c r="J117" s="29"/>
      <c r="K117" s="45">
        <v>1</v>
      </c>
      <c r="L117" s="16"/>
      <c r="M117" s="12">
        <f t="shared" si="24"/>
        <v>1</v>
      </c>
      <c r="N117" s="13">
        <f t="shared" si="25"/>
        <v>3</v>
      </c>
      <c r="O117" s="15">
        <v>45019</v>
      </c>
    </row>
    <row r="118" spans="1:15" x14ac:dyDescent="0.15">
      <c r="A118" s="25" t="s">
        <v>28</v>
      </c>
      <c r="B118" s="29"/>
      <c r="C118" s="45">
        <v>1</v>
      </c>
      <c r="D118" s="16"/>
      <c r="E118" s="12">
        <f t="shared" si="22"/>
        <v>1</v>
      </c>
      <c r="F118" s="29"/>
      <c r="G118" s="45"/>
      <c r="H118" s="16"/>
      <c r="I118" s="12">
        <f t="shared" si="23"/>
        <v>0</v>
      </c>
      <c r="J118" s="29"/>
      <c r="K118" s="45"/>
      <c r="L118" s="16"/>
      <c r="M118" s="12">
        <f t="shared" si="24"/>
        <v>0</v>
      </c>
      <c r="N118" s="13">
        <f t="shared" si="25"/>
        <v>1</v>
      </c>
      <c r="O118" s="15">
        <v>45028</v>
      </c>
    </row>
    <row r="119" spans="1:15" x14ac:dyDescent="0.15">
      <c r="A119" s="25" t="s">
        <v>28</v>
      </c>
      <c r="B119" s="29">
        <v>1</v>
      </c>
      <c r="C119" s="45"/>
      <c r="D119" s="16"/>
      <c r="E119" s="12">
        <f t="shared" si="22"/>
        <v>1</v>
      </c>
      <c r="F119" s="29">
        <v>1</v>
      </c>
      <c r="G119" s="45"/>
      <c r="H119" s="16"/>
      <c r="I119" s="12">
        <f t="shared" si="23"/>
        <v>1</v>
      </c>
      <c r="J119" s="29">
        <v>1</v>
      </c>
      <c r="K119" s="45"/>
      <c r="L119" s="16"/>
      <c r="M119" s="12">
        <f t="shared" si="24"/>
        <v>1</v>
      </c>
      <c r="N119" s="13">
        <f t="shared" si="25"/>
        <v>3</v>
      </c>
      <c r="O119" s="15">
        <v>45054</v>
      </c>
    </row>
    <row r="120" spans="1:15" x14ac:dyDescent="0.15">
      <c r="A120" s="25" t="s">
        <v>28</v>
      </c>
      <c r="B120" s="29"/>
      <c r="C120" s="45">
        <v>1</v>
      </c>
      <c r="D120" s="16"/>
      <c r="E120" s="12">
        <f t="shared" si="22"/>
        <v>1</v>
      </c>
      <c r="F120" s="29"/>
      <c r="G120" s="45">
        <v>1</v>
      </c>
      <c r="H120" s="16"/>
      <c r="I120" s="12">
        <f t="shared" si="23"/>
        <v>1</v>
      </c>
      <c r="J120" s="29"/>
      <c r="K120" s="45">
        <v>1</v>
      </c>
      <c r="L120" s="16"/>
      <c r="M120" s="12">
        <f t="shared" si="24"/>
        <v>1</v>
      </c>
      <c r="N120" s="13">
        <f t="shared" si="25"/>
        <v>3</v>
      </c>
      <c r="O120" s="15">
        <v>45075</v>
      </c>
    </row>
    <row r="121" spans="1:15" x14ac:dyDescent="0.15">
      <c r="A121" s="25" t="s">
        <v>28</v>
      </c>
      <c r="B121" s="29">
        <v>2</v>
      </c>
      <c r="C121" s="45"/>
      <c r="D121" s="16"/>
      <c r="E121" s="12">
        <f t="shared" si="22"/>
        <v>2</v>
      </c>
      <c r="F121" s="29">
        <v>2</v>
      </c>
      <c r="G121" s="45"/>
      <c r="H121" s="16"/>
      <c r="I121" s="12">
        <f t="shared" si="23"/>
        <v>2</v>
      </c>
      <c r="J121" s="29"/>
      <c r="K121" s="45"/>
      <c r="L121" s="16"/>
      <c r="M121" s="12">
        <f t="shared" si="24"/>
        <v>0</v>
      </c>
      <c r="N121" s="13">
        <f t="shared" si="25"/>
        <v>4</v>
      </c>
      <c r="O121" s="15">
        <v>45080</v>
      </c>
    </row>
    <row r="122" spans="1:15" x14ac:dyDescent="0.15">
      <c r="A122" s="25" t="s">
        <v>28</v>
      </c>
      <c r="B122" s="29"/>
      <c r="C122" s="45">
        <v>1</v>
      </c>
      <c r="D122" s="16"/>
      <c r="E122" s="12">
        <f t="shared" si="22"/>
        <v>1</v>
      </c>
      <c r="F122" s="29"/>
      <c r="G122" s="45"/>
      <c r="H122" s="16"/>
      <c r="I122" s="12">
        <f t="shared" si="23"/>
        <v>0</v>
      </c>
      <c r="J122" s="29"/>
      <c r="K122" s="45"/>
      <c r="L122" s="16"/>
      <c r="M122" s="12">
        <f t="shared" si="24"/>
        <v>0</v>
      </c>
      <c r="N122" s="13">
        <f t="shared" si="25"/>
        <v>1</v>
      </c>
      <c r="O122" s="15">
        <v>45082</v>
      </c>
    </row>
    <row r="123" spans="1:15" x14ac:dyDescent="0.15">
      <c r="A123" s="25" t="s">
        <v>28</v>
      </c>
      <c r="B123" s="29"/>
      <c r="C123" s="45"/>
      <c r="D123" s="16"/>
      <c r="E123" s="12">
        <f t="shared" si="22"/>
        <v>0</v>
      </c>
      <c r="F123" s="29">
        <v>1</v>
      </c>
      <c r="G123" s="45">
        <v>1</v>
      </c>
      <c r="H123" s="16"/>
      <c r="I123" s="12">
        <f t="shared" si="23"/>
        <v>2</v>
      </c>
      <c r="J123" s="29"/>
      <c r="K123" s="45"/>
      <c r="L123" s="16"/>
      <c r="M123" s="12">
        <f t="shared" si="24"/>
        <v>0</v>
      </c>
      <c r="N123" s="13">
        <f t="shared" si="25"/>
        <v>2</v>
      </c>
      <c r="O123" s="15">
        <v>45084</v>
      </c>
    </row>
    <row r="124" spans="1:15" x14ac:dyDescent="0.15">
      <c r="A124" s="25" t="s">
        <v>28</v>
      </c>
      <c r="B124" s="29"/>
      <c r="C124" s="45"/>
      <c r="D124" s="16"/>
      <c r="E124" s="12">
        <f t="shared" si="22"/>
        <v>0</v>
      </c>
      <c r="F124" s="29"/>
      <c r="G124" s="45"/>
      <c r="H124" s="16"/>
      <c r="I124" s="12">
        <f t="shared" si="23"/>
        <v>0</v>
      </c>
      <c r="J124" s="29"/>
      <c r="K124" s="45">
        <v>1</v>
      </c>
      <c r="L124" s="16"/>
      <c r="M124" s="12">
        <f t="shared" si="24"/>
        <v>1</v>
      </c>
      <c r="N124" s="13">
        <f t="shared" si="25"/>
        <v>1</v>
      </c>
      <c r="O124" s="15">
        <v>45098</v>
      </c>
    </row>
    <row r="125" spans="1:15" ht="14.25" thickBot="1" x14ac:dyDescent="0.2">
      <c r="A125" s="11"/>
      <c r="B125" s="29"/>
      <c r="C125" s="45"/>
      <c r="D125" s="16"/>
      <c r="E125" s="12">
        <f t="shared" si="22"/>
        <v>0</v>
      </c>
      <c r="F125" s="29"/>
      <c r="G125" s="45"/>
      <c r="H125" s="16"/>
      <c r="I125" s="12">
        <f t="shared" si="23"/>
        <v>0</v>
      </c>
      <c r="J125" s="29"/>
      <c r="K125" s="45"/>
      <c r="L125" s="16"/>
      <c r="M125" s="12">
        <f t="shared" si="24"/>
        <v>0</v>
      </c>
      <c r="N125" s="20">
        <f t="shared" si="25"/>
        <v>0</v>
      </c>
      <c r="O125" s="15"/>
    </row>
    <row r="126" spans="1:15" ht="14.25" thickBot="1" x14ac:dyDescent="0.2">
      <c r="A126" s="3" t="s">
        <v>9</v>
      </c>
      <c r="B126" s="22">
        <f>SUM(B102:B125)</f>
        <v>7</v>
      </c>
      <c r="C126" s="47">
        <f t="shared" ref="C126:E126" si="26">SUM(C102:C125)</f>
        <v>6</v>
      </c>
      <c r="D126" s="41">
        <f t="shared" si="26"/>
        <v>5</v>
      </c>
      <c r="E126" s="31">
        <f t="shared" si="26"/>
        <v>18</v>
      </c>
      <c r="F126" s="22">
        <f>SUM(F102:F125)</f>
        <v>6</v>
      </c>
      <c r="G126" s="47">
        <f t="shared" ref="G126:I126" si="27">SUM(G102:G125)</f>
        <v>7</v>
      </c>
      <c r="H126" s="41">
        <f t="shared" si="27"/>
        <v>3</v>
      </c>
      <c r="I126" s="31">
        <f t="shared" si="27"/>
        <v>16</v>
      </c>
      <c r="J126" s="22">
        <f>SUM(J102:J125)</f>
        <v>2</v>
      </c>
      <c r="K126" s="47">
        <f t="shared" ref="K126:M126" si="28">SUM(K102:K125)</f>
        <v>8</v>
      </c>
      <c r="L126" s="41">
        <f t="shared" si="28"/>
        <v>2</v>
      </c>
      <c r="M126" s="31">
        <f t="shared" si="28"/>
        <v>12</v>
      </c>
      <c r="N126" s="24">
        <f t="shared" si="25"/>
        <v>46</v>
      </c>
    </row>
    <row r="127" spans="1:15" ht="14.25" thickBot="1" x14ac:dyDescent="0.2">
      <c r="A127" s="32" t="s">
        <v>10</v>
      </c>
      <c r="B127" s="33">
        <f>B101-B126</f>
        <v>0</v>
      </c>
      <c r="C127" s="49">
        <f t="shared" ref="C127:E127" si="29">C101-C126</f>
        <v>2</v>
      </c>
      <c r="D127" s="42">
        <f t="shared" si="29"/>
        <v>0</v>
      </c>
      <c r="E127" s="33">
        <f t="shared" si="29"/>
        <v>2</v>
      </c>
      <c r="F127" s="33">
        <f>F101-F126</f>
        <v>3</v>
      </c>
      <c r="G127" s="49">
        <f t="shared" ref="G127:I127" si="30">G101-G126</f>
        <v>1</v>
      </c>
      <c r="H127" s="42">
        <f t="shared" si="30"/>
        <v>2</v>
      </c>
      <c r="I127" s="33">
        <f t="shared" si="30"/>
        <v>6</v>
      </c>
      <c r="J127" s="33">
        <f>J101-J126</f>
        <v>6</v>
      </c>
      <c r="K127" s="49">
        <f t="shared" ref="K127:M127" si="31">K101-K126</f>
        <v>1</v>
      </c>
      <c r="L127" s="42">
        <f t="shared" si="31"/>
        <v>3</v>
      </c>
      <c r="M127" s="33">
        <f t="shared" si="31"/>
        <v>10</v>
      </c>
      <c r="N127" s="24">
        <f t="shared" si="25"/>
        <v>18</v>
      </c>
    </row>
    <row r="130" spans="1:15" ht="21.75" thickBot="1" x14ac:dyDescent="0.25">
      <c r="A130" s="34" t="s">
        <v>25</v>
      </c>
      <c r="B130" s="35"/>
      <c r="C130" s="35"/>
      <c r="D130" s="35"/>
      <c r="E130" s="37"/>
      <c r="F130" s="35"/>
      <c r="G130" s="35"/>
      <c r="H130" s="38" t="s">
        <v>26</v>
      </c>
      <c r="I130" s="1"/>
      <c r="J130" s="1"/>
      <c r="K130" s="1">
        <v>680</v>
      </c>
      <c r="L130" s="1"/>
      <c r="M130" s="1"/>
    </row>
    <row r="131" spans="1:15" ht="14.25" thickBot="1" x14ac:dyDescent="0.2">
      <c r="A131" s="2" t="s">
        <v>0</v>
      </c>
      <c r="B131" s="115" t="s">
        <v>22</v>
      </c>
      <c r="C131" s="115"/>
      <c r="D131" s="115"/>
      <c r="E131" s="116"/>
      <c r="F131" s="119" t="s">
        <v>23</v>
      </c>
      <c r="G131" s="119"/>
      <c r="H131" s="119"/>
      <c r="I131" s="120"/>
      <c r="J131" s="109" t="s">
        <v>24</v>
      </c>
      <c r="K131" s="109"/>
      <c r="L131" s="109"/>
      <c r="M131" s="110"/>
      <c r="N131" s="107" t="s">
        <v>14</v>
      </c>
    </row>
    <row r="132" spans="1:15" ht="14.25" thickBot="1" x14ac:dyDescent="0.2">
      <c r="A132" s="2" t="s">
        <v>1</v>
      </c>
      <c r="B132" s="3" t="s">
        <v>2</v>
      </c>
      <c r="C132" s="43" t="s">
        <v>3</v>
      </c>
      <c r="D132" s="4" t="s">
        <v>4</v>
      </c>
      <c r="E132" s="2" t="s">
        <v>5</v>
      </c>
      <c r="F132" s="3" t="s">
        <v>2</v>
      </c>
      <c r="G132" s="43" t="s">
        <v>3</v>
      </c>
      <c r="H132" s="4" t="s">
        <v>4</v>
      </c>
      <c r="I132" s="2" t="s">
        <v>5</v>
      </c>
      <c r="J132" s="3" t="s">
        <v>2</v>
      </c>
      <c r="K132" s="43" t="s">
        <v>3</v>
      </c>
      <c r="L132" s="4" t="s">
        <v>4</v>
      </c>
      <c r="M132" s="2" t="s">
        <v>5</v>
      </c>
      <c r="N132" s="108"/>
    </row>
    <row r="133" spans="1:15" x14ac:dyDescent="0.15">
      <c r="A133" s="5" t="s">
        <v>10</v>
      </c>
      <c r="B133" s="6">
        <f>B127</f>
        <v>0</v>
      </c>
      <c r="C133" s="50">
        <f t="shared" ref="C133:N133" si="32">C127</f>
        <v>2</v>
      </c>
      <c r="D133" s="6">
        <f t="shared" si="32"/>
        <v>0</v>
      </c>
      <c r="E133" s="7">
        <f t="shared" si="32"/>
        <v>2</v>
      </c>
      <c r="F133" s="6">
        <f t="shared" si="32"/>
        <v>3</v>
      </c>
      <c r="G133" s="50">
        <f t="shared" si="32"/>
        <v>1</v>
      </c>
      <c r="H133" s="6">
        <f t="shared" si="32"/>
        <v>2</v>
      </c>
      <c r="I133" s="7">
        <f t="shared" si="32"/>
        <v>6</v>
      </c>
      <c r="J133" s="6">
        <f t="shared" si="32"/>
        <v>6</v>
      </c>
      <c r="K133" s="50">
        <f t="shared" si="32"/>
        <v>1</v>
      </c>
      <c r="L133" s="6">
        <f t="shared" si="32"/>
        <v>3</v>
      </c>
      <c r="M133" s="7">
        <f t="shared" si="32"/>
        <v>10</v>
      </c>
      <c r="N133" s="8">
        <f t="shared" si="32"/>
        <v>18</v>
      </c>
    </row>
    <row r="134" spans="1:15" x14ac:dyDescent="0.15">
      <c r="A134" s="9" t="s">
        <v>7</v>
      </c>
      <c r="B134" s="16">
        <v>2</v>
      </c>
      <c r="C134" s="45"/>
      <c r="D134" s="16">
        <v>2</v>
      </c>
      <c r="E134" s="12">
        <f t="shared" ref="E134:E168" si="33">SUM(B134:D134)</f>
        <v>4</v>
      </c>
      <c r="F134" s="16"/>
      <c r="G134" s="45">
        <v>1</v>
      </c>
      <c r="H134" s="16"/>
      <c r="I134" s="12">
        <f t="shared" ref="I134:I168" si="34">SUM(F134:H134)</f>
        <v>1</v>
      </c>
      <c r="J134" s="16"/>
      <c r="K134" s="45">
        <v>1</v>
      </c>
      <c r="L134" s="16"/>
      <c r="M134" s="12">
        <f t="shared" ref="M134:M168" si="35">SUM(J134:L134)</f>
        <v>1</v>
      </c>
      <c r="N134" s="13">
        <f t="shared" ref="N134:N170" si="36">E134+I134+M134</f>
        <v>6</v>
      </c>
      <c r="O134" s="30">
        <v>45111</v>
      </c>
    </row>
    <row r="135" spans="1:15" x14ac:dyDescent="0.15">
      <c r="A135" s="9" t="s">
        <v>7</v>
      </c>
      <c r="B135" s="16">
        <v>2</v>
      </c>
      <c r="C135" s="45">
        <v>2</v>
      </c>
      <c r="D135" s="16"/>
      <c r="E135" s="12">
        <f t="shared" si="33"/>
        <v>4</v>
      </c>
      <c r="F135" s="16"/>
      <c r="G135" s="45">
        <v>2</v>
      </c>
      <c r="H135" s="16"/>
      <c r="I135" s="12">
        <f t="shared" si="34"/>
        <v>2</v>
      </c>
      <c r="J135" s="16"/>
      <c r="K135" s="45">
        <v>2</v>
      </c>
      <c r="L135" s="16"/>
      <c r="M135" s="12">
        <f t="shared" si="35"/>
        <v>2</v>
      </c>
      <c r="N135" s="13">
        <f t="shared" si="36"/>
        <v>8</v>
      </c>
      <c r="O135" s="15">
        <v>45131</v>
      </c>
    </row>
    <row r="136" spans="1:15" x14ac:dyDescent="0.15">
      <c r="A136" s="9" t="s">
        <v>7</v>
      </c>
      <c r="B136" s="16">
        <v>6</v>
      </c>
      <c r="C136" s="45">
        <v>7</v>
      </c>
      <c r="D136" s="16"/>
      <c r="E136" s="12">
        <f t="shared" si="33"/>
        <v>13</v>
      </c>
      <c r="F136" s="16">
        <v>7</v>
      </c>
      <c r="G136" s="45">
        <v>5</v>
      </c>
      <c r="H136" s="16">
        <v>4</v>
      </c>
      <c r="I136" s="12">
        <f t="shared" si="34"/>
        <v>16</v>
      </c>
      <c r="J136" s="16">
        <v>2</v>
      </c>
      <c r="K136" s="45"/>
      <c r="L136" s="16"/>
      <c r="M136" s="12">
        <f t="shared" si="35"/>
        <v>2</v>
      </c>
      <c r="N136" s="13">
        <f t="shared" si="36"/>
        <v>31</v>
      </c>
      <c r="O136" s="15">
        <v>45140</v>
      </c>
    </row>
    <row r="137" spans="1:15" x14ac:dyDescent="0.15">
      <c r="A137" s="9" t="s">
        <v>37</v>
      </c>
      <c r="B137" s="16">
        <v>0</v>
      </c>
      <c r="C137" s="45">
        <v>0</v>
      </c>
      <c r="D137" s="16">
        <v>0</v>
      </c>
      <c r="E137" s="12">
        <f t="shared" si="33"/>
        <v>0</v>
      </c>
      <c r="F137" s="16">
        <v>0</v>
      </c>
      <c r="G137" s="45">
        <v>0</v>
      </c>
      <c r="H137" s="16">
        <v>0</v>
      </c>
      <c r="I137" s="12">
        <f t="shared" si="34"/>
        <v>0</v>
      </c>
      <c r="J137" s="16">
        <v>0</v>
      </c>
      <c r="K137" s="45">
        <v>0</v>
      </c>
      <c r="L137" s="16">
        <v>0</v>
      </c>
      <c r="M137" s="12">
        <f t="shared" si="35"/>
        <v>0</v>
      </c>
      <c r="N137" s="13">
        <f t="shared" si="36"/>
        <v>0</v>
      </c>
      <c r="O137" s="15">
        <v>45161</v>
      </c>
    </row>
    <row r="138" spans="1:15" x14ac:dyDescent="0.15">
      <c r="A138" s="9" t="s">
        <v>7</v>
      </c>
      <c r="B138" s="16"/>
      <c r="C138" s="45"/>
      <c r="D138" s="16"/>
      <c r="E138" s="12">
        <f t="shared" si="33"/>
        <v>0</v>
      </c>
      <c r="F138" s="16"/>
      <c r="G138" s="45"/>
      <c r="H138" s="16"/>
      <c r="I138" s="12">
        <f t="shared" si="34"/>
        <v>0</v>
      </c>
      <c r="J138" s="16"/>
      <c r="K138" s="45"/>
      <c r="L138" s="16"/>
      <c r="M138" s="12">
        <f t="shared" si="35"/>
        <v>0</v>
      </c>
      <c r="N138" s="13">
        <f t="shared" si="36"/>
        <v>0</v>
      </c>
    </row>
    <row r="139" spans="1:15" x14ac:dyDescent="0.15">
      <c r="A139" s="9" t="s">
        <v>7</v>
      </c>
      <c r="B139" s="16"/>
      <c r="C139" s="45"/>
      <c r="D139" s="16"/>
      <c r="E139" s="12">
        <f t="shared" si="33"/>
        <v>0</v>
      </c>
      <c r="F139" s="16"/>
      <c r="G139" s="45"/>
      <c r="H139" s="16"/>
      <c r="I139" s="12">
        <f t="shared" si="34"/>
        <v>0</v>
      </c>
      <c r="J139" s="16"/>
      <c r="K139" s="45"/>
      <c r="L139" s="16"/>
      <c r="M139" s="12">
        <f t="shared" si="35"/>
        <v>0</v>
      </c>
      <c r="N139" s="13">
        <f t="shared" si="36"/>
        <v>0</v>
      </c>
    </row>
    <row r="140" spans="1:15" x14ac:dyDescent="0.15">
      <c r="A140" s="9" t="s">
        <v>7</v>
      </c>
      <c r="B140" s="16"/>
      <c r="C140" s="45"/>
      <c r="D140" s="16"/>
      <c r="E140" s="12">
        <f t="shared" si="33"/>
        <v>0</v>
      </c>
      <c r="F140" s="16"/>
      <c r="G140" s="45"/>
      <c r="H140" s="16"/>
      <c r="I140" s="12">
        <f t="shared" si="34"/>
        <v>0</v>
      </c>
      <c r="J140" s="16"/>
      <c r="K140" s="45"/>
      <c r="L140" s="16"/>
      <c r="M140" s="12">
        <f t="shared" si="35"/>
        <v>0</v>
      </c>
      <c r="N140" s="13">
        <f t="shared" si="36"/>
        <v>0</v>
      </c>
    </row>
    <row r="141" spans="1:15" x14ac:dyDescent="0.15">
      <c r="A141" s="9" t="s">
        <v>7</v>
      </c>
      <c r="B141" s="16"/>
      <c r="C141" s="45"/>
      <c r="D141" s="16"/>
      <c r="E141" s="12">
        <f t="shared" si="33"/>
        <v>0</v>
      </c>
      <c r="F141" s="16"/>
      <c r="G141" s="45"/>
      <c r="H141" s="16"/>
      <c r="I141" s="12">
        <f t="shared" si="34"/>
        <v>0</v>
      </c>
      <c r="J141" s="16"/>
      <c r="K141" s="45"/>
      <c r="L141" s="16"/>
      <c r="M141" s="12">
        <f t="shared" si="35"/>
        <v>0</v>
      </c>
      <c r="N141" s="13">
        <f t="shared" si="36"/>
        <v>0</v>
      </c>
    </row>
    <row r="142" spans="1:15" x14ac:dyDescent="0.15">
      <c r="A142" s="9" t="s">
        <v>7</v>
      </c>
      <c r="B142" s="16"/>
      <c r="C142" s="45"/>
      <c r="D142" s="16"/>
      <c r="E142" s="12">
        <f t="shared" si="33"/>
        <v>0</v>
      </c>
      <c r="F142" s="16"/>
      <c r="G142" s="45"/>
      <c r="H142" s="16"/>
      <c r="I142" s="12">
        <f t="shared" si="34"/>
        <v>0</v>
      </c>
      <c r="J142" s="16"/>
      <c r="K142" s="45"/>
      <c r="L142" s="16"/>
      <c r="M142" s="12">
        <f t="shared" si="35"/>
        <v>0</v>
      </c>
      <c r="N142" s="13">
        <f t="shared" si="36"/>
        <v>0</v>
      </c>
    </row>
    <row r="143" spans="1:15" ht="14.25" thickBot="1" x14ac:dyDescent="0.2">
      <c r="A143" s="17" t="s">
        <v>7</v>
      </c>
      <c r="B143" s="18"/>
      <c r="C143" s="46"/>
      <c r="D143" s="18"/>
      <c r="E143" s="19">
        <f t="shared" si="33"/>
        <v>0</v>
      </c>
      <c r="F143" s="18"/>
      <c r="G143" s="46"/>
      <c r="H143" s="18"/>
      <c r="I143" s="19">
        <f t="shared" si="34"/>
        <v>0</v>
      </c>
      <c r="J143" s="18"/>
      <c r="K143" s="46"/>
      <c r="L143" s="18"/>
      <c r="M143" s="19">
        <f t="shared" si="35"/>
        <v>0</v>
      </c>
      <c r="N143" s="20">
        <f t="shared" si="36"/>
        <v>0</v>
      </c>
    </row>
    <row r="144" spans="1:15" ht="14.25" thickBot="1" x14ac:dyDescent="0.2">
      <c r="A144" s="21" t="s">
        <v>8</v>
      </c>
      <c r="B144" s="22">
        <f>SUM(B133:B143)</f>
        <v>10</v>
      </c>
      <c r="C144" s="47">
        <f>SUM(C133:C143)</f>
        <v>11</v>
      </c>
      <c r="D144" s="40">
        <f>SUM(D133:D143)</f>
        <v>2</v>
      </c>
      <c r="E144" s="23">
        <f t="shared" si="33"/>
        <v>23</v>
      </c>
      <c r="F144" s="22">
        <f>SUM(F133:F143)</f>
        <v>10</v>
      </c>
      <c r="G144" s="47">
        <f>SUM(G133:G143)</f>
        <v>9</v>
      </c>
      <c r="H144" s="40">
        <f>SUM(H133:H143)</f>
        <v>6</v>
      </c>
      <c r="I144" s="23">
        <f t="shared" si="34"/>
        <v>25</v>
      </c>
      <c r="J144" s="22">
        <f>SUM(J133:J143)</f>
        <v>8</v>
      </c>
      <c r="K144" s="47">
        <f>SUM(K133:K143)</f>
        <v>4</v>
      </c>
      <c r="L144" s="40">
        <f>SUM(L133:L143)</f>
        <v>3</v>
      </c>
      <c r="M144" s="23">
        <f t="shared" si="35"/>
        <v>15</v>
      </c>
      <c r="N144" s="24">
        <f t="shared" si="36"/>
        <v>63</v>
      </c>
    </row>
    <row r="145" spans="1:15" x14ac:dyDescent="0.15">
      <c r="A145" s="25" t="s">
        <v>28</v>
      </c>
      <c r="B145" s="29">
        <v>1</v>
      </c>
      <c r="C145" s="45"/>
      <c r="D145" s="16"/>
      <c r="E145" s="12">
        <f t="shared" si="33"/>
        <v>1</v>
      </c>
      <c r="F145" s="29">
        <v>1</v>
      </c>
      <c r="G145" s="45"/>
      <c r="H145" s="16"/>
      <c r="I145" s="12">
        <f t="shared" si="34"/>
        <v>1</v>
      </c>
      <c r="J145" s="29">
        <v>1</v>
      </c>
      <c r="K145" s="45"/>
      <c r="L145" s="16"/>
      <c r="M145" s="12">
        <f t="shared" si="35"/>
        <v>1</v>
      </c>
      <c r="N145" s="13">
        <f t="shared" si="36"/>
        <v>3</v>
      </c>
      <c r="O145" s="30">
        <v>45111</v>
      </c>
    </row>
    <row r="146" spans="1:15" x14ac:dyDescent="0.15">
      <c r="A146" s="25" t="s">
        <v>28</v>
      </c>
      <c r="B146" s="29"/>
      <c r="C146" s="45">
        <v>1</v>
      </c>
      <c r="D146" s="16"/>
      <c r="E146" s="12">
        <f t="shared" si="33"/>
        <v>1</v>
      </c>
      <c r="F146" s="29"/>
      <c r="G146" s="45">
        <v>1</v>
      </c>
      <c r="H146" s="16"/>
      <c r="I146" s="12">
        <f t="shared" si="34"/>
        <v>1</v>
      </c>
      <c r="J146" s="29"/>
      <c r="K146" s="45">
        <v>1</v>
      </c>
      <c r="L146" s="16"/>
      <c r="M146" s="12">
        <f t="shared" si="35"/>
        <v>1</v>
      </c>
      <c r="N146" s="13">
        <f t="shared" si="36"/>
        <v>3</v>
      </c>
      <c r="O146" s="30">
        <v>45125</v>
      </c>
    </row>
    <row r="147" spans="1:15" x14ac:dyDescent="0.15">
      <c r="A147" s="25" t="s">
        <v>28</v>
      </c>
      <c r="B147" s="29"/>
      <c r="C147" s="45">
        <v>1</v>
      </c>
      <c r="D147" s="16"/>
      <c r="E147" s="12">
        <f t="shared" si="33"/>
        <v>1</v>
      </c>
      <c r="F147" s="29"/>
      <c r="G147" s="45"/>
      <c r="H147" s="16"/>
      <c r="I147" s="12">
        <f t="shared" si="34"/>
        <v>0</v>
      </c>
      <c r="J147" s="29"/>
      <c r="K147" s="45"/>
      <c r="L147" s="16"/>
      <c r="M147" s="12">
        <f t="shared" si="35"/>
        <v>0</v>
      </c>
      <c r="N147" s="13">
        <f t="shared" si="36"/>
        <v>1</v>
      </c>
      <c r="O147" s="30">
        <v>45131</v>
      </c>
    </row>
    <row r="148" spans="1:15" x14ac:dyDescent="0.15">
      <c r="A148" s="25" t="s">
        <v>28</v>
      </c>
      <c r="B148" s="29">
        <v>1</v>
      </c>
      <c r="C148" s="45"/>
      <c r="D148" s="16"/>
      <c r="E148" s="12">
        <f t="shared" si="33"/>
        <v>1</v>
      </c>
      <c r="F148" s="29">
        <v>1</v>
      </c>
      <c r="G148" s="45"/>
      <c r="H148" s="16"/>
      <c r="I148" s="12">
        <f t="shared" si="34"/>
        <v>1</v>
      </c>
      <c r="J148" s="29">
        <v>1</v>
      </c>
      <c r="K148" s="45"/>
      <c r="L148" s="16"/>
      <c r="M148" s="12">
        <f t="shared" si="35"/>
        <v>1</v>
      </c>
      <c r="N148" s="13">
        <f t="shared" si="36"/>
        <v>3</v>
      </c>
      <c r="O148" s="30">
        <v>45132</v>
      </c>
    </row>
    <row r="149" spans="1:15" x14ac:dyDescent="0.15">
      <c r="A149" s="25" t="s">
        <v>28</v>
      </c>
      <c r="B149" s="29"/>
      <c r="C149" s="45"/>
      <c r="D149" s="16"/>
      <c r="E149" s="12">
        <f t="shared" si="33"/>
        <v>0</v>
      </c>
      <c r="F149" s="29">
        <v>1</v>
      </c>
      <c r="G149" s="45"/>
      <c r="H149" s="16"/>
      <c r="I149" s="12">
        <f t="shared" si="34"/>
        <v>1</v>
      </c>
      <c r="J149" s="29"/>
      <c r="K149" s="45"/>
      <c r="L149" s="16"/>
      <c r="M149" s="12">
        <f t="shared" si="35"/>
        <v>0</v>
      </c>
      <c r="N149" s="13">
        <f t="shared" si="36"/>
        <v>1</v>
      </c>
      <c r="O149" s="30">
        <v>45133</v>
      </c>
    </row>
    <row r="150" spans="1:15" x14ac:dyDescent="0.15">
      <c r="A150" s="25" t="s">
        <v>28</v>
      </c>
      <c r="B150" s="29">
        <v>1</v>
      </c>
      <c r="C150" s="45">
        <v>1</v>
      </c>
      <c r="D150" s="16"/>
      <c r="E150" s="12">
        <f t="shared" si="33"/>
        <v>2</v>
      </c>
      <c r="F150" s="29"/>
      <c r="G150" s="45">
        <v>1</v>
      </c>
      <c r="H150" s="16"/>
      <c r="I150" s="12">
        <f t="shared" si="34"/>
        <v>1</v>
      </c>
      <c r="J150" s="29"/>
      <c r="K150" s="45">
        <v>2</v>
      </c>
      <c r="L150" s="16"/>
      <c r="M150" s="12">
        <f t="shared" si="35"/>
        <v>2</v>
      </c>
      <c r="N150" s="13">
        <f t="shared" si="36"/>
        <v>5</v>
      </c>
      <c r="O150" s="30">
        <v>45138</v>
      </c>
    </row>
    <row r="151" spans="1:15" x14ac:dyDescent="0.15">
      <c r="A151" s="93" t="s">
        <v>36</v>
      </c>
      <c r="B151" s="28"/>
      <c r="C151" s="65">
        <v>1</v>
      </c>
      <c r="D151" s="64">
        <v>-2</v>
      </c>
      <c r="E151" s="7">
        <f t="shared" si="33"/>
        <v>-1</v>
      </c>
      <c r="F151" s="28"/>
      <c r="G151" s="65"/>
      <c r="H151" s="64">
        <v>2</v>
      </c>
      <c r="I151" s="7">
        <f t="shared" si="34"/>
        <v>2</v>
      </c>
      <c r="J151" s="28"/>
      <c r="K151" s="65"/>
      <c r="L151" s="64"/>
      <c r="M151" s="7">
        <f t="shared" si="35"/>
        <v>0</v>
      </c>
      <c r="N151" s="8">
        <f t="shared" si="36"/>
        <v>1</v>
      </c>
      <c r="O151" s="94"/>
    </row>
    <row r="152" spans="1:15" x14ac:dyDescent="0.15">
      <c r="A152" s="25" t="s">
        <v>28</v>
      </c>
      <c r="B152" s="29"/>
      <c r="C152" s="45">
        <v>1</v>
      </c>
      <c r="D152" s="16"/>
      <c r="E152" s="12">
        <f t="shared" si="33"/>
        <v>1</v>
      </c>
      <c r="F152" s="29"/>
      <c r="G152" s="45">
        <v>1</v>
      </c>
      <c r="H152" s="16"/>
      <c r="I152" s="12">
        <f t="shared" si="34"/>
        <v>1</v>
      </c>
      <c r="J152" s="29"/>
      <c r="K152" s="45">
        <v>1</v>
      </c>
      <c r="L152" s="16"/>
      <c r="M152" s="12">
        <f t="shared" si="35"/>
        <v>1</v>
      </c>
      <c r="N152" s="13">
        <f t="shared" si="36"/>
        <v>3</v>
      </c>
      <c r="O152" s="30">
        <v>45141</v>
      </c>
    </row>
    <row r="153" spans="1:15" x14ac:dyDescent="0.15">
      <c r="A153" s="25" t="s">
        <v>28</v>
      </c>
      <c r="B153" s="29">
        <v>1</v>
      </c>
      <c r="C153" s="45"/>
      <c r="D153" s="16"/>
      <c r="E153" s="12">
        <f t="shared" si="33"/>
        <v>1</v>
      </c>
      <c r="F153" s="29">
        <v>2</v>
      </c>
      <c r="G153" s="45">
        <v>1</v>
      </c>
      <c r="H153" s="16"/>
      <c r="I153" s="12">
        <f t="shared" si="34"/>
        <v>3</v>
      </c>
      <c r="J153" s="29">
        <v>1</v>
      </c>
      <c r="K153" s="45"/>
      <c r="L153" s="16">
        <v>1</v>
      </c>
      <c r="M153" s="12">
        <f t="shared" si="35"/>
        <v>2</v>
      </c>
      <c r="N153" s="13">
        <f t="shared" si="36"/>
        <v>6</v>
      </c>
      <c r="O153" s="30">
        <v>45145</v>
      </c>
    </row>
    <row r="154" spans="1:15" x14ac:dyDescent="0.15">
      <c r="A154" s="25" t="s">
        <v>28</v>
      </c>
      <c r="B154" s="29"/>
      <c r="C154" s="45"/>
      <c r="D154" s="16"/>
      <c r="E154" s="12">
        <f t="shared" si="33"/>
        <v>0</v>
      </c>
      <c r="F154" s="29">
        <v>1</v>
      </c>
      <c r="G154" s="45"/>
      <c r="H154" s="16"/>
      <c r="I154" s="12">
        <f t="shared" si="34"/>
        <v>1</v>
      </c>
      <c r="J154" s="29"/>
      <c r="K154" s="45"/>
      <c r="L154" s="16"/>
      <c r="M154" s="12">
        <f t="shared" si="35"/>
        <v>0</v>
      </c>
      <c r="N154" s="13">
        <f t="shared" si="36"/>
        <v>1</v>
      </c>
      <c r="O154" s="30">
        <v>45147</v>
      </c>
    </row>
    <row r="155" spans="1:15" x14ac:dyDescent="0.15">
      <c r="A155" s="25" t="s">
        <v>28</v>
      </c>
      <c r="B155" s="29">
        <f>1+1</f>
        <v>2</v>
      </c>
      <c r="C155" s="45"/>
      <c r="D155" s="16"/>
      <c r="E155" s="12">
        <f t="shared" si="33"/>
        <v>2</v>
      </c>
      <c r="F155" s="29">
        <f>1+1</f>
        <v>2</v>
      </c>
      <c r="G155" s="45"/>
      <c r="H155" s="16"/>
      <c r="I155" s="12">
        <f t="shared" si="34"/>
        <v>2</v>
      </c>
      <c r="J155" s="29">
        <v>1</v>
      </c>
      <c r="K155" s="45"/>
      <c r="L155" s="16"/>
      <c r="M155" s="12">
        <f t="shared" si="35"/>
        <v>1</v>
      </c>
      <c r="N155" s="13">
        <f t="shared" si="36"/>
        <v>5</v>
      </c>
      <c r="O155" s="30">
        <v>45148</v>
      </c>
    </row>
    <row r="156" spans="1:15" x14ac:dyDescent="0.15">
      <c r="A156" s="25" t="s">
        <v>28</v>
      </c>
      <c r="B156" s="29">
        <v>1</v>
      </c>
      <c r="C156" s="45">
        <v>1</v>
      </c>
      <c r="D156" s="16"/>
      <c r="E156" s="12">
        <f t="shared" si="33"/>
        <v>2</v>
      </c>
      <c r="F156" s="29"/>
      <c r="G156" s="45">
        <v>1</v>
      </c>
      <c r="H156" s="16"/>
      <c r="I156" s="12">
        <f t="shared" si="34"/>
        <v>1</v>
      </c>
      <c r="J156" s="29"/>
      <c r="K156" s="45"/>
      <c r="L156" s="16"/>
      <c r="M156" s="12">
        <f t="shared" si="35"/>
        <v>0</v>
      </c>
      <c r="N156" s="13">
        <f t="shared" si="36"/>
        <v>3</v>
      </c>
      <c r="O156" s="30">
        <v>45154</v>
      </c>
    </row>
    <row r="157" spans="1:15" x14ac:dyDescent="0.15">
      <c r="A157" s="25" t="s">
        <v>28</v>
      </c>
      <c r="B157" s="29"/>
      <c r="C157" s="45"/>
      <c r="D157" s="16"/>
      <c r="E157" s="12">
        <f t="shared" si="33"/>
        <v>0</v>
      </c>
      <c r="F157" s="29"/>
      <c r="G157" s="45"/>
      <c r="H157" s="16"/>
      <c r="I157" s="12">
        <f t="shared" si="34"/>
        <v>0</v>
      </c>
      <c r="J157" s="29">
        <v>1</v>
      </c>
      <c r="K157" s="45"/>
      <c r="L157" s="16"/>
      <c r="M157" s="12">
        <f t="shared" si="35"/>
        <v>1</v>
      </c>
      <c r="N157" s="13">
        <f t="shared" si="36"/>
        <v>1</v>
      </c>
      <c r="O157" s="30">
        <v>45159</v>
      </c>
    </row>
    <row r="158" spans="1:15" x14ac:dyDescent="0.15">
      <c r="A158" s="25" t="s">
        <v>28</v>
      </c>
      <c r="B158" s="29"/>
      <c r="C158" s="45"/>
      <c r="D158" s="16"/>
      <c r="E158" s="12">
        <f t="shared" si="33"/>
        <v>0</v>
      </c>
      <c r="F158" s="29"/>
      <c r="G158" s="45">
        <v>1</v>
      </c>
      <c r="H158" s="16"/>
      <c r="I158" s="12">
        <f t="shared" si="34"/>
        <v>1</v>
      </c>
      <c r="J158" s="29"/>
      <c r="K158" s="45"/>
      <c r="L158" s="16"/>
      <c r="M158" s="12">
        <f t="shared" si="35"/>
        <v>0</v>
      </c>
      <c r="N158" s="13">
        <f t="shared" si="36"/>
        <v>1</v>
      </c>
      <c r="O158" s="30">
        <v>45162</v>
      </c>
    </row>
    <row r="159" spans="1:15" x14ac:dyDescent="0.15">
      <c r="A159" s="25" t="s">
        <v>28</v>
      </c>
      <c r="B159" s="29">
        <v>1</v>
      </c>
      <c r="C159" s="45"/>
      <c r="D159" s="16"/>
      <c r="E159" s="12">
        <f t="shared" si="33"/>
        <v>1</v>
      </c>
      <c r="F159" s="29">
        <v>1</v>
      </c>
      <c r="G159" s="45"/>
      <c r="H159" s="16"/>
      <c r="I159" s="12">
        <f t="shared" si="34"/>
        <v>1</v>
      </c>
      <c r="J159" s="29">
        <v>1</v>
      </c>
      <c r="K159" s="45"/>
      <c r="L159" s="16"/>
      <c r="M159" s="12">
        <f t="shared" si="35"/>
        <v>1</v>
      </c>
      <c r="N159" s="13">
        <f t="shared" si="36"/>
        <v>3</v>
      </c>
      <c r="O159" s="30">
        <v>45163</v>
      </c>
    </row>
    <row r="160" spans="1:15" x14ac:dyDescent="0.15">
      <c r="A160" s="25" t="s">
        <v>28</v>
      </c>
      <c r="B160" s="29">
        <v>1</v>
      </c>
      <c r="C160" s="45"/>
      <c r="D160" s="16"/>
      <c r="E160" s="12">
        <f t="shared" si="33"/>
        <v>1</v>
      </c>
      <c r="F160" s="29">
        <v>1</v>
      </c>
      <c r="G160" s="45"/>
      <c r="H160" s="16"/>
      <c r="I160" s="12">
        <f t="shared" si="34"/>
        <v>1</v>
      </c>
      <c r="J160" s="29">
        <v>1</v>
      </c>
      <c r="K160" s="45"/>
      <c r="L160" s="16"/>
      <c r="M160" s="12">
        <f t="shared" si="35"/>
        <v>1</v>
      </c>
      <c r="N160" s="13">
        <f t="shared" si="36"/>
        <v>3</v>
      </c>
      <c r="O160" s="30">
        <v>45169</v>
      </c>
    </row>
    <row r="161" spans="1:14" x14ac:dyDescent="0.15">
      <c r="A161" s="25"/>
      <c r="B161" s="29"/>
      <c r="C161" s="45"/>
      <c r="D161" s="16"/>
      <c r="E161" s="12">
        <f t="shared" si="33"/>
        <v>0</v>
      </c>
      <c r="F161" s="29"/>
      <c r="G161" s="45"/>
      <c r="H161" s="16"/>
      <c r="I161" s="12">
        <f t="shared" si="34"/>
        <v>0</v>
      </c>
      <c r="J161" s="29"/>
      <c r="K161" s="45"/>
      <c r="L161" s="16"/>
      <c r="M161" s="12">
        <f t="shared" si="35"/>
        <v>0</v>
      </c>
      <c r="N161" s="13">
        <f t="shared" si="36"/>
        <v>0</v>
      </c>
    </row>
    <row r="162" spans="1:14" x14ac:dyDescent="0.15">
      <c r="A162" s="25"/>
      <c r="B162" s="29"/>
      <c r="C162" s="45"/>
      <c r="D162" s="16"/>
      <c r="E162" s="12">
        <f t="shared" si="33"/>
        <v>0</v>
      </c>
      <c r="F162" s="29"/>
      <c r="G162" s="45"/>
      <c r="H162" s="16"/>
      <c r="I162" s="12">
        <f t="shared" si="34"/>
        <v>0</v>
      </c>
      <c r="J162" s="29"/>
      <c r="K162" s="45"/>
      <c r="L162" s="16"/>
      <c r="M162" s="12">
        <f t="shared" si="35"/>
        <v>0</v>
      </c>
      <c r="N162" s="13">
        <f t="shared" si="36"/>
        <v>0</v>
      </c>
    </row>
    <row r="163" spans="1:14" x14ac:dyDescent="0.15">
      <c r="A163" s="25"/>
      <c r="B163" s="29"/>
      <c r="C163" s="45"/>
      <c r="D163" s="16"/>
      <c r="E163" s="12">
        <f t="shared" si="33"/>
        <v>0</v>
      </c>
      <c r="F163" s="29"/>
      <c r="G163" s="45"/>
      <c r="H163" s="16"/>
      <c r="I163" s="12">
        <f t="shared" si="34"/>
        <v>0</v>
      </c>
      <c r="J163" s="29"/>
      <c r="K163" s="45"/>
      <c r="L163" s="16"/>
      <c r="M163" s="12">
        <f t="shared" si="35"/>
        <v>0</v>
      </c>
      <c r="N163" s="13">
        <f t="shared" si="36"/>
        <v>0</v>
      </c>
    </row>
    <row r="164" spans="1:14" x14ac:dyDescent="0.15">
      <c r="A164" s="25"/>
      <c r="B164" s="29"/>
      <c r="C164" s="45"/>
      <c r="D164" s="16"/>
      <c r="E164" s="12">
        <f t="shared" si="33"/>
        <v>0</v>
      </c>
      <c r="F164" s="29"/>
      <c r="G164" s="45"/>
      <c r="H164" s="16"/>
      <c r="I164" s="12">
        <f t="shared" si="34"/>
        <v>0</v>
      </c>
      <c r="J164" s="29"/>
      <c r="K164" s="45"/>
      <c r="L164" s="16"/>
      <c r="M164" s="12">
        <f t="shared" si="35"/>
        <v>0</v>
      </c>
      <c r="N164" s="13">
        <f t="shared" si="36"/>
        <v>0</v>
      </c>
    </row>
    <row r="165" spans="1:14" x14ac:dyDescent="0.15">
      <c r="A165" s="25"/>
      <c r="B165" s="29"/>
      <c r="C165" s="45"/>
      <c r="D165" s="16"/>
      <c r="E165" s="12">
        <f t="shared" si="33"/>
        <v>0</v>
      </c>
      <c r="F165" s="29"/>
      <c r="G165" s="45"/>
      <c r="H165" s="16"/>
      <c r="I165" s="12">
        <f t="shared" si="34"/>
        <v>0</v>
      </c>
      <c r="J165" s="29"/>
      <c r="K165" s="45"/>
      <c r="L165" s="16"/>
      <c r="M165" s="12">
        <f t="shared" si="35"/>
        <v>0</v>
      </c>
      <c r="N165" s="13">
        <f t="shared" si="36"/>
        <v>0</v>
      </c>
    </row>
    <row r="166" spans="1:14" x14ac:dyDescent="0.15">
      <c r="A166" s="25"/>
      <c r="B166" s="29"/>
      <c r="C166" s="45"/>
      <c r="D166" s="16"/>
      <c r="E166" s="12">
        <f t="shared" si="33"/>
        <v>0</v>
      </c>
      <c r="F166" s="29"/>
      <c r="G166" s="45"/>
      <c r="H166" s="16"/>
      <c r="I166" s="12">
        <f t="shared" si="34"/>
        <v>0</v>
      </c>
      <c r="J166" s="29"/>
      <c r="K166" s="45"/>
      <c r="L166" s="16"/>
      <c r="M166" s="12">
        <f t="shared" si="35"/>
        <v>0</v>
      </c>
      <c r="N166" s="13">
        <f t="shared" si="36"/>
        <v>0</v>
      </c>
    </row>
    <row r="167" spans="1:14" x14ac:dyDescent="0.15">
      <c r="A167" s="25"/>
      <c r="B167" s="29"/>
      <c r="C167" s="45"/>
      <c r="D167" s="16"/>
      <c r="E167" s="12">
        <f t="shared" si="33"/>
        <v>0</v>
      </c>
      <c r="F167" s="29"/>
      <c r="G167" s="45"/>
      <c r="H167" s="16"/>
      <c r="I167" s="12">
        <f t="shared" si="34"/>
        <v>0</v>
      </c>
      <c r="J167" s="29"/>
      <c r="K167" s="45"/>
      <c r="L167" s="16"/>
      <c r="M167" s="12">
        <f t="shared" si="35"/>
        <v>0</v>
      </c>
      <c r="N167" s="13">
        <f t="shared" si="36"/>
        <v>0</v>
      </c>
    </row>
    <row r="168" spans="1:14" ht="14.25" thickBot="1" x14ac:dyDescent="0.2">
      <c r="A168" s="11"/>
      <c r="B168" s="29"/>
      <c r="C168" s="45"/>
      <c r="D168" s="16"/>
      <c r="E168" s="12">
        <f t="shared" si="33"/>
        <v>0</v>
      </c>
      <c r="F168" s="29"/>
      <c r="G168" s="45"/>
      <c r="H168" s="16"/>
      <c r="I168" s="12">
        <f t="shared" si="34"/>
        <v>0</v>
      </c>
      <c r="J168" s="29"/>
      <c r="K168" s="45"/>
      <c r="L168" s="16"/>
      <c r="M168" s="12">
        <f t="shared" si="35"/>
        <v>0</v>
      </c>
      <c r="N168" s="20">
        <f t="shared" si="36"/>
        <v>0</v>
      </c>
    </row>
    <row r="169" spans="1:14" ht="14.25" thickBot="1" x14ac:dyDescent="0.2">
      <c r="A169" s="3" t="s">
        <v>9</v>
      </c>
      <c r="B169" s="22">
        <f>SUM(B145:B168)</f>
        <v>9</v>
      </c>
      <c r="C169" s="47">
        <f t="shared" ref="C169:E169" si="37">SUM(C145:C168)</f>
        <v>6</v>
      </c>
      <c r="D169" s="41">
        <f t="shared" si="37"/>
        <v>-2</v>
      </c>
      <c r="E169" s="31">
        <f t="shared" si="37"/>
        <v>13</v>
      </c>
      <c r="F169" s="22">
        <f>SUM(F145:F168)</f>
        <v>10</v>
      </c>
      <c r="G169" s="47">
        <f t="shared" ref="G169:I169" si="38">SUM(G145:G168)</f>
        <v>6</v>
      </c>
      <c r="H169" s="41">
        <f t="shared" si="38"/>
        <v>2</v>
      </c>
      <c r="I169" s="31">
        <f t="shared" si="38"/>
        <v>18</v>
      </c>
      <c r="J169" s="22">
        <f>SUM(J145:J168)</f>
        <v>7</v>
      </c>
      <c r="K169" s="47">
        <f t="shared" ref="K169:M169" si="39">SUM(K145:K168)</f>
        <v>4</v>
      </c>
      <c r="L169" s="41">
        <f t="shared" si="39"/>
        <v>1</v>
      </c>
      <c r="M169" s="31">
        <f t="shared" si="39"/>
        <v>12</v>
      </c>
      <c r="N169" s="24">
        <f t="shared" si="36"/>
        <v>43</v>
      </c>
    </row>
    <row r="170" spans="1:14" ht="14.25" thickBot="1" x14ac:dyDescent="0.2">
      <c r="A170" s="32" t="s">
        <v>10</v>
      </c>
      <c r="B170" s="33">
        <f>B144-B169</f>
        <v>1</v>
      </c>
      <c r="C170" s="49">
        <f t="shared" ref="C170:E170" si="40">C144-C169</f>
        <v>5</v>
      </c>
      <c r="D170" s="42">
        <f t="shared" si="40"/>
        <v>4</v>
      </c>
      <c r="E170" s="33">
        <f t="shared" si="40"/>
        <v>10</v>
      </c>
      <c r="F170" s="33">
        <f>F144-F169</f>
        <v>0</v>
      </c>
      <c r="G170" s="49">
        <f t="shared" ref="G170:I170" si="41">G144-G169</f>
        <v>3</v>
      </c>
      <c r="H170" s="42">
        <f t="shared" si="41"/>
        <v>4</v>
      </c>
      <c r="I170" s="33">
        <f t="shared" si="41"/>
        <v>7</v>
      </c>
      <c r="J170" s="33">
        <f>J144-J169</f>
        <v>1</v>
      </c>
      <c r="K170" s="49">
        <f t="shared" ref="K170:M170" si="42">K144-K169</f>
        <v>0</v>
      </c>
      <c r="L170" s="42">
        <f t="shared" si="42"/>
        <v>2</v>
      </c>
      <c r="M170" s="33">
        <f t="shared" si="42"/>
        <v>3</v>
      </c>
      <c r="N170" s="24">
        <f t="shared" si="36"/>
        <v>20</v>
      </c>
    </row>
    <row r="173" spans="1:14" ht="21.75" thickBot="1" x14ac:dyDescent="0.25">
      <c r="A173" s="34" t="s">
        <v>25</v>
      </c>
      <c r="B173" s="35"/>
      <c r="C173" s="35"/>
      <c r="D173" s="35"/>
      <c r="E173" s="37"/>
      <c r="F173" s="35"/>
      <c r="G173" s="35"/>
      <c r="H173" s="38" t="s">
        <v>26</v>
      </c>
      <c r="I173" s="1"/>
      <c r="J173" s="1"/>
      <c r="K173" s="1">
        <v>680</v>
      </c>
      <c r="L173" s="1"/>
      <c r="M173" s="1"/>
    </row>
    <row r="174" spans="1:14" ht="14.25" thickBot="1" x14ac:dyDescent="0.2">
      <c r="A174" s="2" t="s">
        <v>0</v>
      </c>
      <c r="B174" s="115" t="s">
        <v>22</v>
      </c>
      <c r="C174" s="115"/>
      <c r="D174" s="115"/>
      <c r="E174" s="116"/>
      <c r="F174" s="119" t="s">
        <v>23</v>
      </c>
      <c r="G174" s="119"/>
      <c r="H174" s="119"/>
      <c r="I174" s="120"/>
      <c r="J174" s="109" t="s">
        <v>24</v>
      </c>
      <c r="K174" s="109"/>
      <c r="L174" s="109"/>
      <c r="M174" s="110"/>
      <c r="N174" s="107" t="s">
        <v>14</v>
      </c>
    </row>
    <row r="175" spans="1:14" ht="14.25" thickBot="1" x14ac:dyDescent="0.2">
      <c r="A175" s="2" t="s">
        <v>1</v>
      </c>
      <c r="B175" s="3" t="s">
        <v>2</v>
      </c>
      <c r="C175" s="43" t="s">
        <v>3</v>
      </c>
      <c r="D175" s="4" t="s">
        <v>4</v>
      </c>
      <c r="E175" s="2" t="s">
        <v>5</v>
      </c>
      <c r="F175" s="3" t="s">
        <v>2</v>
      </c>
      <c r="G175" s="43" t="s">
        <v>3</v>
      </c>
      <c r="H175" s="4" t="s">
        <v>4</v>
      </c>
      <c r="I175" s="2" t="s">
        <v>5</v>
      </c>
      <c r="J175" s="3" t="s">
        <v>2</v>
      </c>
      <c r="K175" s="43" t="s">
        <v>3</v>
      </c>
      <c r="L175" s="4" t="s">
        <v>4</v>
      </c>
      <c r="M175" s="2" t="s">
        <v>5</v>
      </c>
      <c r="N175" s="108"/>
    </row>
    <row r="176" spans="1:14" x14ac:dyDescent="0.15">
      <c r="A176" s="5" t="s">
        <v>10</v>
      </c>
      <c r="B176" s="6">
        <f>B170</f>
        <v>1</v>
      </c>
      <c r="C176" s="50">
        <f t="shared" ref="C176:N176" si="43">C170</f>
        <v>5</v>
      </c>
      <c r="D176" s="6">
        <f t="shared" si="43"/>
        <v>4</v>
      </c>
      <c r="E176" s="7">
        <f t="shared" si="43"/>
        <v>10</v>
      </c>
      <c r="F176" s="6">
        <f t="shared" si="43"/>
        <v>0</v>
      </c>
      <c r="G176" s="50">
        <f t="shared" si="43"/>
        <v>3</v>
      </c>
      <c r="H176" s="6">
        <f t="shared" si="43"/>
        <v>4</v>
      </c>
      <c r="I176" s="7">
        <f t="shared" si="43"/>
        <v>7</v>
      </c>
      <c r="J176" s="6">
        <f t="shared" si="43"/>
        <v>1</v>
      </c>
      <c r="K176" s="50">
        <f t="shared" si="43"/>
        <v>0</v>
      </c>
      <c r="L176" s="6">
        <f t="shared" si="43"/>
        <v>2</v>
      </c>
      <c r="M176" s="7">
        <f t="shared" si="43"/>
        <v>3</v>
      </c>
      <c r="N176" s="8">
        <f t="shared" si="43"/>
        <v>20</v>
      </c>
    </row>
    <row r="177" spans="1:15" x14ac:dyDescent="0.15">
      <c r="A177" s="9" t="s">
        <v>7</v>
      </c>
      <c r="B177" s="16">
        <v>5</v>
      </c>
      <c r="C177" s="45"/>
      <c r="D177" s="16"/>
      <c r="E177" s="12">
        <f t="shared" ref="E177:E211" si="44">SUM(B177:D177)</f>
        <v>5</v>
      </c>
      <c r="F177" s="16">
        <v>5</v>
      </c>
      <c r="G177" s="45">
        <v>2</v>
      </c>
      <c r="H177" s="16"/>
      <c r="I177" s="12">
        <f t="shared" ref="I177:I211" si="45">SUM(F177:H177)</f>
        <v>7</v>
      </c>
      <c r="J177" s="16">
        <v>3</v>
      </c>
      <c r="K177" s="45">
        <v>3</v>
      </c>
      <c r="L177" s="16"/>
      <c r="M177" s="12">
        <f t="shared" ref="M177:M211" si="46">SUM(J177:L177)</f>
        <v>6</v>
      </c>
      <c r="N177" s="13">
        <f t="shared" ref="N177:N213" si="47">E177+I177+M177</f>
        <v>18</v>
      </c>
      <c r="O177" s="15">
        <v>45174</v>
      </c>
    </row>
    <row r="178" spans="1:15" x14ac:dyDescent="0.15">
      <c r="A178" s="9" t="s">
        <v>7</v>
      </c>
      <c r="B178" s="16"/>
      <c r="C178" s="45"/>
      <c r="D178" s="16"/>
      <c r="E178" s="12">
        <f t="shared" si="44"/>
        <v>0</v>
      </c>
      <c r="F178" s="16">
        <v>3</v>
      </c>
      <c r="G178" s="45"/>
      <c r="H178" s="16">
        <v>3</v>
      </c>
      <c r="I178" s="12">
        <f t="shared" si="45"/>
        <v>6</v>
      </c>
      <c r="J178" s="16">
        <v>3</v>
      </c>
      <c r="K178" s="45"/>
      <c r="L178" s="16">
        <v>3</v>
      </c>
      <c r="M178" s="12">
        <f t="shared" si="46"/>
        <v>6</v>
      </c>
      <c r="N178" s="13">
        <f t="shared" si="47"/>
        <v>12</v>
      </c>
      <c r="O178" s="30">
        <v>45232</v>
      </c>
    </row>
    <row r="179" spans="1:15" x14ac:dyDescent="0.15">
      <c r="A179" s="9" t="s">
        <v>7</v>
      </c>
      <c r="B179" s="69" t="s">
        <v>39</v>
      </c>
      <c r="C179" s="45">
        <v>3</v>
      </c>
      <c r="D179" s="16">
        <v>2</v>
      </c>
      <c r="E179" s="12">
        <f t="shared" si="44"/>
        <v>5</v>
      </c>
      <c r="F179" s="16">
        <v>1</v>
      </c>
      <c r="G179" s="45">
        <v>2</v>
      </c>
      <c r="H179" s="16">
        <v>1</v>
      </c>
      <c r="I179" s="12">
        <f t="shared" si="45"/>
        <v>4</v>
      </c>
      <c r="J179" s="16">
        <v>1</v>
      </c>
      <c r="K179" s="45">
        <v>4</v>
      </c>
      <c r="L179" s="16">
        <v>1</v>
      </c>
      <c r="M179" s="12">
        <f t="shared" si="46"/>
        <v>6</v>
      </c>
      <c r="N179" s="13">
        <f t="shared" si="47"/>
        <v>15</v>
      </c>
      <c r="O179" s="15">
        <v>45285</v>
      </c>
    </row>
    <row r="180" spans="1:15" x14ac:dyDescent="0.15">
      <c r="A180" s="9" t="s">
        <v>7</v>
      </c>
      <c r="B180" s="69" t="s">
        <v>38</v>
      </c>
      <c r="C180" s="45"/>
      <c r="D180" s="16"/>
      <c r="E180" s="12">
        <f t="shared" si="44"/>
        <v>0</v>
      </c>
      <c r="F180" s="16"/>
      <c r="G180" s="45"/>
      <c r="H180" s="16"/>
      <c r="I180" s="12">
        <f t="shared" si="45"/>
        <v>0</v>
      </c>
      <c r="J180" s="16"/>
      <c r="K180" s="45"/>
      <c r="L180" s="16"/>
      <c r="M180" s="12">
        <f t="shared" si="46"/>
        <v>0</v>
      </c>
      <c r="N180" s="13">
        <f t="shared" si="47"/>
        <v>0</v>
      </c>
    </row>
    <row r="181" spans="1:15" x14ac:dyDescent="0.15">
      <c r="A181" s="9" t="s">
        <v>7</v>
      </c>
      <c r="B181" s="69"/>
      <c r="C181" s="45">
        <v>2</v>
      </c>
      <c r="D181" s="16">
        <v>5</v>
      </c>
      <c r="E181" s="12">
        <f t="shared" si="44"/>
        <v>7</v>
      </c>
      <c r="F181" s="16">
        <v>2</v>
      </c>
      <c r="G181" s="45">
        <v>2</v>
      </c>
      <c r="H181" s="16">
        <v>2</v>
      </c>
      <c r="I181" s="12">
        <f t="shared" si="45"/>
        <v>6</v>
      </c>
      <c r="J181" s="16"/>
      <c r="K181" s="45"/>
      <c r="L181" s="16">
        <v>2</v>
      </c>
      <c r="M181" s="12">
        <f t="shared" si="46"/>
        <v>2</v>
      </c>
      <c r="N181" s="13">
        <f t="shared" si="47"/>
        <v>15</v>
      </c>
      <c r="O181" s="15">
        <v>45343</v>
      </c>
    </row>
    <row r="182" spans="1:15" x14ac:dyDescent="0.15">
      <c r="A182" s="9" t="s">
        <v>7</v>
      </c>
      <c r="B182" s="69"/>
      <c r="C182" s="45"/>
      <c r="D182" s="16"/>
      <c r="E182" s="12">
        <f t="shared" si="44"/>
        <v>0</v>
      </c>
      <c r="F182" s="16"/>
      <c r="G182" s="45"/>
      <c r="H182" s="16"/>
      <c r="I182" s="12">
        <f t="shared" si="45"/>
        <v>0</v>
      </c>
      <c r="J182" s="16"/>
      <c r="K182" s="45"/>
      <c r="L182" s="16"/>
      <c r="M182" s="12">
        <f t="shared" si="46"/>
        <v>0</v>
      </c>
      <c r="N182" s="13">
        <f t="shared" si="47"/>
        <v>0</v>
      </c>
    </row>
    <row r="183" spans="1:15" x14ac:dyDescent="0.15">
      <c r="A183" s="9" t="s">
        <v>7</v>
      </c>
      <c r="B183" s="69"/>
      <c r="C183" s="45"/>
      <c r="D183" s="16"/>
      <c r="E183" s="12">
        <f t="shared" si="44"/>
        <v>0</v>
      </c>
      <c r="F183" s="16"/>
      <c r="G183" s="45"/>
      <c r="H183" s="16"/>
      <c r="I183" s="12">
        <f t="shared" si="45"/>
        <v>0</v>
      </c>
      <c r="J183" s="16"/>
      <c r="K183" s="45"/>
      <c r="L183" s="16"/>
      <c r="M183" s="12">
        <f t="shared" si="46"/>
        <v>0</v>
      </c>
      <c r="N183" s="13">
        <f t="shared" si="47"/>
        <v>0</v>
      </c>
    </row>
    <row r="184" spans="1:15" x14ac:dyDescent="0.15">
      <c r="A184" s="9" t="s">
        <v>7</v>
      </c>
      <c r="B184" s="69"/>
      <c r="C184" s="45"/>
      <c r="D184" s="16"/>
      <c r="E184" s="12">
        <f t="shared" si="44"/>
        <v>0</v>
      </c>
      <c r="F184" s="16"/>
      <c r="G184" s="45"/>
      <c r="H184" s="16"/>
      <c r="I184" s="12">
        <f t="shared" si="45"/>
        <v>0</v>
      </c>
      <c r="J184" s="16"/>
      <c r="K184" s="45"/>
      <c r="L184" s="16"/>
      <c r="M184" s="12">
        <f t="shared" si="46"/>
        <v>0</v>
      </c>
      <c r="N184" s="13">
        <f t="shared" si="47"/>
        <v>0</v>
      </c>
    </row>
    <row r="185" spans="1:15" x14ac:dyDescent="0.15">
      <c r="A185" s="9" t="s">
        <v>7</v>
      </c>
      <c r="B185" s="69"/>
      <c r="C185" s="45"/>
      <c r="D185" s="16"/>
      <c r="E185" s="12">
        <f t="shared" si="44"/>
        <v>0</v>
      </c>
      <c r="F185" s="16"/>
      <c r="G185" s="45"/>
      <c r="H185" s="16"/>
      <c r="I185" s="12">
        <f t="shared" si="45"/>
        <v>0</v>
      </c>
      <c r="J185" s="16"/>
      <c r="K185" s="45"/>
      <c r="L185" s="16"/>
      <c r="M185" s="12">
        <f t="shared" si="46"/>
        <v>0</v>
      </c>
      <c r="N185" s="13">
        <f t="shared" si="47"/>
        <v>0</v>
      </c>
    </row>
    <row r="186" spans="1:15" ht="14.25" thickBot="1" x14ac:dyDescent="0.2">
      <c r="A186" s="17" t="s">
        <v>7</v>
      </c>
      <c r="B186" s="70"/>
      <c r="C186" s="46"/>
      <c r="D186" s="18"/>
      <c r="E186" s="19">
        <f t="shared" si="44"/>
        <v>0</v>
      </c>
      <c r="F186" s="18"/>
      <c r="G186" s="46"/>
      <c r="H186" s="18"/>
      <c r="I186" s="19">
        <f t="shared" si="45"/>
        <v>0</v>
      </c>
      <c r="J186" s="18"/>
      <c r="K186" s="46"/>
      <c r="L186" s="18"/>
      <c r="M186" s="19">
        <f t="shared" si="46"/>
        <v>0</v>
      </c>
      <c r="N186" s="20">
        <f t="shared" si="47"/>
        <v>0</v>
      </c>
    </row>
    <row r="187" spans="1:15" ht="14.25" thickBot="1" x14ac:dyDescent="0.2">
      <c r="A187" s="21" t="s">
        <v>8</v>
      </c>
      <c r="B187" s="22">
        <f>SUM(B176:B186)</f>
        <v>6</v>
      </c>
      <c r="C187" s="47">
        <f>SUM(C176:C186)</f>
        <v>10</v>
      </c>
      <c r="D187" s="40">
        <f>SUM(D176:D186)</f>
        <v>11</v>
      </c>
      <c r="E187" s="23">
        <f t="shared" si="44"/>
        <v>27</v>
      </c>
      <c r="F187" s="22">
        <f>SUM(F176:F186)</f>
        <v>11</v>
      </c>
      <c r="G187" s="47">
        <f>SUM(G176:G186)</f>
        <v>9</v>
      </c>
      <c r="H187" s="40">
        <f>SUM(H176:H186)</f>
        <v>10</v>
      </c>
      <c r="I187" s="23">
        <f t="shared" si="45"/>
        <v>30</v>
      </c>
      <c r="J187" s="22">
        <f>SUM(J176:J186)</f>
        <v>8</v>
      </c>
      <c r="K187" s="47">
        <f>SUM(K176:K186)</f>
        <v>7</v>
      </c>
      <c r="L187" s="40">
        <f>SUM(L176:L186)</f>
        <v>8</v>
      </c>
      <c r="M187" s="23">
        <f t="shared" si="46"/>
        <v>23</v>
      </c>
      <c r="N187" s="24">
        <f t="shared" si="47"/>
        <v>80</v>
      </c>
    </row>
    <row r="188" spans="1:15" x14ac:dyDescent="0.15">
      <c r="A188" s="25" t="s">
        <v>28</v>
      </c>
      <c r="B188" s="29"/>
      <c r="C188" s="45"/>
      <c r="D188" s="16">
        <v>1</v>
      </c>
      <c r="E188" s="12">
        <f t="shared" si="44"/>
        <v>1</v>
      </c>
      <c r="F188" s="29"/>
      <c r="G188" s="45"/>
      <c r="H188" s="16">
        <v>1</v>
      </c>
      <c r="I188" s="12">
        <f t="shared" si="45"/>
        <v>1</v>
      </c>
      <c r="J188" s="29"/>
      <c r="K188" s="45"/>
      <c r="L188" s="16">
        <v>1</v>
      </c>
      <c r="M188" s="12">
        <f t="shared" si="46"/>
        <v>1</v>
      </c>
      <c r="N188" s="13">
        <f t="shared" si="47"/>
        <v>3</v>
      </c>
      <c r="O188" s="30">
        <v>45170</v>
      </c>
    </row>
    <row r="189" spans="1:15" x14ac:dyDescent="0.15">
      <c r="A189" s="25" t="s">
        <v>28</v>
      </c>
      <c r="B189" s="29">
        <v>2</v>
      </c>
      <c r="C189" s="45"/>
      <c r="D189" s="16"/>
      <c r="E189" s="12">
        <f t="shared" si="44"/>
        <v>2</v>
      </c>
      <c r="F189" s="29"/>
      <c r="G189" s="45"/>
      <c r="H189" s="16"/>
      <c r="I189" s="12">
        <f t="shared" si="45"/>
        <v>0</v>
      </c>
      <c r="J189" s="29"/>
      <c r="K189" s="45"/>
      <c r="L189" s="16"/>
      <c r="M189" s="12">
        <f t="shared" si="46"/>
        <v>0</v>
      </c>
      <c r="N189" s="13">
        <f t="shared" si="47"/>
        <v>2</v>
      </c>
      <c r="O189" s="30">
        <v>45175</v>
      </c>
    </row>
    <row r="190" spans="1:15" x14ac:dyDescent="0.15">
      <c r="A190" s="25" t="s">
        <v>28</v>
      </c>
      <c r="B190" s="29"/>
      <c r="C190" s="45"/>
      <c r="D190" s="16"/>
      <c r="E190" s="12">
        <f t="shared" si="44"/>
        <v>0</v>
      </c>
      <c r="F190" s="29"/>
      <c r="G190" s="45"/>
      <c r="H190" s="16">
        <v>1</v>
      </c>
      <c r="I190" s="12">
        <f t="shared" si="45"/>
        <v>1</v>
      </c>
      <c r="J190" s="29"/>
      <c r="K190" s="45"/>
      <c r="L190" s="16"/>
      <c r="M190" s="12">
        <f t="shared" si="46"/>
        <v>0</v>
      </c>
      <c r="N190" s="13">
        <f t="shared" si="47"/>
        <v>1</v>
      </c>
      <c r="O190" s="30">
        <v>45188</v>
      </c>
    </row>
    <row r="191" spans="1:15" x14ac:dyDescent="0.15">
      <c r="A191" s="25" t="s">
        <v>28</v>
      </c>
      <c r="B191" s="29"/>
      <c r="C191" s="45">
        <v>1</v>
      </c>
      <c r="D191" s="16"/>
      <c r="E191" s="12">
        <f t="shared" si="44"/>
        <v>1</v>
      </c>
      <c r="F191" s="29"/>
      <c r="G191" s="45"/>
      <c r="H191" s="16"/>
      <c r="I191" s="12">
        <f t="shared" si="45"/>
        <v>0</v>
      </c>
      <c r="J191" s="29"/>
      <c r="K191" s="45"/>
      <c r="L191" s="16"/>
      <c r="M191" s="12">
        <f t="shared" si="46"/>
        <v>0</v>
      </c>
      <c r="N191" s="13">
        <f t="shared" si="47"/>
        <v>1</v>
      </c>
      <c r="O191" s="30">
        <v>45189</v>
      </c>
    </row>
    <row r="192" spans="1:15" x14ac:dyDescent="0.15">
      <c r="A192" s="25" t="s">
        <v>28</v>
      </c>
      <c r="B192" s="29">
        <v>1</v>
      </c>
      <c r="C192" s="45"/>
      <c r="D192" s="16"/>
      <c r="E192" s="12">
        <f t="shared" si="44"/>
        <v>1</v>
      </c>
      <c r="F192" s="29">
        <v>1</v>
      </c>
      <c r="G192" s="45"/>
      <c r="H192" s="16"/>
      <c r="I192" s="12">
        <f t="shared" si="45"/>
        <v>1</v>
      </c>
      <c r="J192" s="29"/>
      <c r="K192" s="45"/>
      <c r="L192" s="16"/>
      <c r="M192" s="12">
        <f t="shared" si="46"/>
        <v>0</v>
      </c>
      <c r="N192" s="13">
        <f t="shared" si="47"/>
        <v>2</v>
      </c>
      <c r="O192" s="30">
        <v>45194</v>
      </c>
    </row>
    <row r="193" spans="1:15" x14ac:dyDescent="0.15">
      <c r="A193" s="25" t="s">
        <v>28</v>
      </c>
      <c r="B193" s="29">
        <v>1</v>
      </c>
      <c r="C193" s="45"/>
      <c r="D193" s="16"/>
      <c r="E193" s="12">
        <f t="shared" si="44"/>
        <v>1</v>
      </c>
      <c r="F193" s="29"/>
      <c r="G193" s="45"/>
      <c r="H193" s="16"/>
      <c r="I193" s="12">
        <f t="shared" si="45"/>
        <v>0</v>
      </c>
      <c r="J193" s="29">
        <v>1</v>
      </c>
      <c r="K193" s="45"/>
      <c r="L193" s="16"/>
      <c r="M193" s="12">
        <f t="shared" si="46"/>
        <v>1</v>
      </c>
      <c r="N193" s="13">
        <f t="shared" si="47"/>
        <v>2</v>
      </c>
      <c r="O193" s="30">
        <v>45196</v>
      </c>
    </row>
    <row r="194" spans="1:15" x14ac:dyDescent="0.15">
      <c r="A194" s="25" t="s">
        <v>28</v>
      </c>
      <c r="B194" s="29">
        <v>1</v>
      </c>
      <c r="C194" s="45"/>
      <c r="D194" s="16"/>
      <c r="E194" s="12">
        <f t="shared" si="44"/>
        <v>1</v>
      </c>
      <c r="F194" s="29">
        <v>1</v>
      </c>
      <c r="G194" s="45"/>
      <c r="H194" s="16"/>
      <c r="I194" s="12">
        <f t="shared" si="45"/>
        <v>1</v>
      </c>
      <c r="J194" s="29">
        <v>1</v>
      </c>
      <c r="K194" s="45"/>
      <c r="L194" s="16"/>
      <c r="M194" s="12">
        <f t="shared" si="46"/>
        <v>1</v>
      </c>
      <c r="N194" s="13">
        <f t="shared" si="47"/>
        <v>3</v>
      </c>
      <c r="O194" s="30">
        <v>45203</v>
      </c>
    </row>
    <row r="195" spans="1:15" x14ac:dyDescent="0.15">
      <c r="A195" s="25" t="s">
        <v>28</v>
      </c>
      <c r="B195" s="29"/>
      <c r="C195" s="45"/>
      <c r="D195" s="16"/>
      <c r="E195" s="12">
        <f t="shared" si="44"/>
        <v>0</v>
      </c>
      <c r="F195" s="29"/>
      <c r="G195" s="45"/>
      <c r="H195" s="16">
        <v>1</v>
      </c>
      <c r="I195" s="12">
        <f t="shared" si="45"/>
        <v>1</v>
      </c>
      <c r="J195" s="29"/>
      <c r="K195" s="45"/>
      <c r="L195" s="16"/>
      <c r="M195" s="12">
        <f t="shared" si="46"/>
        <v>0</v>
      </c>
      <c r="N195" s="13">
        <f t="shared" si="47"/>
        <v>1</v>
      </c>
      <c r="O195" s="30">
        <v>45209</v>
      </c>
    </row>
    <row r="196" spans="1:15" x14ac:dyDescent="0.15">
      <c r="A196" s="25" t="s">
        <v>28</v>
      </c>
      <c r="B196" s="29">
        <v>1</v>
      </c>
      <c r="C196" s="45"/>
      <c r="D196" s="16"/>
      <c r="E196" s="12">
        <f t="shared" si="44"/>
        <v>1</v>
      </c>
      <c r="F196" s="29">
        <v>1</v>
      </c>
      <c r="G196" s="45"/>
      <c r="H196" s="16"/>
      <c r="I196" s="12">
        <f t="shared" si="45"/>
        <v>1</v>
      </c>
      <c r="J196" s="29">
        <v>1</v>
      </c>
      <c r="K196" s="45"/>
      <c r="L196" s="16"/>
      <c r="M196" s="12">
        <f t="shared" si="46"/>
        <v>1</v>
      </c>
      <c r="N196" s="13">
        <f t="shared" si="47"/>
        <v>3</v>
      </c>
      <c r="O196" s="30">
        <v>45215</v>
      </c>
    </row>
    <row r="197" spans="1:15" x14ac:dyDescent="0.15">
      <c r="A197" s="25" t="s">
        <v>28</v>
      </c>
      <c r="B197" s="29"/>
      <c r="C197" s="45"/>
      <c r="D197" s="16"/>
      <c r="E197" s="12">
        <f t="shared" si="44"/>
        <v>0</v>
      </c>
      <c r="F197" s="29"/>
      <c r="G197" s="45"/>
      <c r="H197" s="16"/>
      <c r="I197" s="12">
        <f t="shared" si="45"/>
        <v>0</v>
      </c>
      <c r="J197" s="29"/>
      <c r="K197" s="45">
        <v>1</v>
      </c>
      <c r="L197" s="16"/>
      <c r="M197" s="12">
        <f t="shared" si="46"/>
        <v>1</v>
      </c>
      <c r="N197" s="13">
        <f t="shared" si="47"/>
        <v>1</v>
      </c>
      <c r="O197" s="30">
        <v>45229</v>
      </c>
    </row>
    <row r="198" spans="1:15" x14ac:dyDescent="0.15">
      <c r="A198" s="25" t="s">
        <v>28</v>
      </c>
      <c r="B198" s="29"/>
      <c r="C198" s="45">
        <v>1</v>
      </c>
      <c r="D198" s="16"/>
      <c r="E198" s="12">
        <f t="shared" si="44"/>
        <v>1</v>
      </c>
      <c r="F198" s="29"/>
      <c r="G198" s="45">
        <v>1</v>
      </c>
      <c r="H198" s="16"/>
      <c r="I198" s="12">
        <f t="shared" si="45"/>
        <v>1</v>
      </c>
      <c r="J198" s="29"/>
      <c r="K198" s="45"/>
      <c r="L198" s="16"/>
      <c r="M198" s="12">
        <f t="shared" si="46"/>
        <v>0</v>
      </c>
      <c r="N198" s="13">
        <f t="shared" si="47"/>
        <v>2</v>
      </c>
      <c r="O198" s="30">
        <v>45243</v>
      </c>
    </row>
    <row r="199" spans="1:15" x14ac:dyDescent="0.15">
      <c r="A199" s="25" t="s">
        <v>28</v>
      </c>
      <c r="B199" s="29"/>
      <c r="C199" s="45"/>
      <c r="D199" s="16">
        <v>1</v>
      </c>
      <c r="E199" s="12">
        <f t="shared" si="44"/>
        <v>1</v>
      </c>
      <c r="F199" s="29"/>
      <c r="G199" s="45"/>
      <c r="H199" s="16">
        <v>1</v>
      </c>
      <c r="I199" s="12">
        <f t="shared" si="45"/>
        <v>1</v>
      </c>
      <c r="J199" s="29"/>
      <c r="K199" s="45"/>
      <c r="L199" s="16">
        <v>1</v>
      </c>
      <c r="M199" s="12">
        <f t="shared" si="46"/>
        <v>1</v>
      </c>
      <c r="N199" s="13">
        <f t="shared" si="47"/>
        <v>3</v>
      </c>
      <c r="O199" s="30">
        <v>45245</v>
      </c>
    </row>
    <row r="200" spans="1:15" x14ac:dyDescent="0.15">
      <c r="A200" s="25" t="s">
        <v>28</v>
      </c>
      <c r="B200" s="29"/>
      <c r="C200" s="45"/>
      <c r="D200" s="16">
        <v>1</v>
      </c>
      <c r="E200" s="12">
        <f t="shared" si="44"/>
        <v>1</v>
      </c>
      <c r="F200" s="29"/>
      <c r="G200" s="45"/>
      <c r="H200" s="16">
        <v>1</v>
      </c>
      <c r="I200" s="12">
        <f t="shared" si="45"/>
        <v>1</v>
      </c>
      <c r="J200" s="29"/>
      <c r="K200" s="45"/>
      <c r="L200" s="16">
        <v>1</v>
      </c>
      <c r="M200" s="12">
        <f t="shared" si="46"/>
        <v>1</v>
      </c>
      <c r="N200" s="13">
        <f t="shared" si="47"/>
        <v>3</v>
      </c>
      <c r="O200" s="30">
        <v>45276</v>
      </c>
    </row>
    <row r="201" spans="1:15" x14ac:dyDescent="0.15">
      <c r="A201" s="25" t="s">
        <v>28</v>
      </c>
      <c r="B201" s="29"/>
      <c r="C201" s="45"/>
      <c r="D201" s="16"/>
      <c r="E201" s="12">
        <f t="shared" si="44"/>
        <v>0</v>
      </c>
      <c r="F201" s="29">
        <v>1</v>
      </c>
      <c r="G201" s="45"/>
      <c r="H201" s="16"/>
      <c r="I201" s="12">
        <f t="shared" si="45"/>
        <v>1</v>
      </c>
      <c r="J201" s="29"/>
      <c r="K201" s="45"/>
      <c r="L201" s="16"/>
      <c r="M201" s="12">
        <f t="shared" si="46"/>
        <v>0</v>
      </c>
      <c r="N201" s="13">
        <f t="shared" si="47"/>
        <v>1</v>
      </c>
      <c r="O201" s="30">
        <v>45278</v>
      </c>
    </row>
    <row r="202" spans="1:15" x14ac:dyDescent="0.15">
      <c r="A202" s="25" t="s">
        <v>28</v>
      </c>
      <c r="B202" s="29"/>
      <c r="C202" s="45">
        <v>1</v>
      </c>
      <c r="D202" s="16"/>
      <c r="E202" s="12">
        <f t="shared" si="44"/>
        <v>1</v>
      </c>
      <c r="F202" s="29"/>
      <c r="G202" s="45">
        <v>1</v>
      </c>
      <c r="H202" s="16"/>
      <c r="I202" s="12">
        <f t="shared" si="45"/>
        <v>1</v>
      </c>
      <c r="J202" s="29"/>
      <c r="K202" s="45">
        <v>1</v>
      </c>
      <c r="L202" s="16"/>
      <c r="M202" s="12">
        <f t="shared" si="46"/>
        <v>1</v>
      </c>
      <c r="N202" s="13">
        <f t="shared" si="47"/>
        <v>3</v>
      </c>
      <c r="O202" s="30">
        <v>45281</v>
      </c>
    </row>
    <row r="203" spans="1:15" x14ac:dyDescent="0.15">
      <c r="A203" s="25" t="s">
        <v>28</v>
      </c>
      <c r="B203" s="29"/>
      <c r="C203" s="45"/>
      <c r="D203" s="16">
        <v>1</v>
      </c>
      <c r="E203" s="12">
        <f t="shared" si="44"/>
        <v>1</v>
      </c>
      <c r="F203" s="29"/>
      <c r="G203" s="45"/>
      <c r="H203" s="16">
        <v>1</v>
      </c>
      <c r="I203" s="12">
        <f t="shared" si="45"/>
        <v>1</v>
      </c>
      <c r="J203" s="29"/>
      <c r="K203" s="45"/>
      <c r="L203" s="16"/>
      <c r="M203" s="12">
        <f t="shared" si="46"/>
        <v>0</v>
      </c>
      <c r="N203" s="13">
        <f t="shared" si="47"/>
        <v>2</v>
      </c>
      <c r="O203" s="30">
        <v>45286</v>
      </c>
    </row>
    <row r="204" spans="1:15" x14ac:dyDescent="0.15">
      <c r="A204" s="25" t="s">
        <v>28</v>
      </c>
      <c r="B204" s="29"/>
      <c r="C204" s="45">
        <v>1</v>
      </c>
      <c r="D204" s="16"/>
      <c r="E204" s="12">
        <f t="shared" si="44"/>
        <v>1</v>
      </c>
      <c r="F204" s="29"/>
      <c r="G204" s="45">
        <v>1</v>
      </c>
      <c r="H204" s="16"/>
      <c r="I204" s="12">
        <f t="shared" si="45"/>
        <v>1</v>
      </c>
      <c r="J204" s="29"/>
      <c r="K204" s="45">
        <v>1</v>
      </c>
      <c r="L204" s="16"/>
      <c r="M204" s="12">
        <f t="shared" si="46"/>
        <v>1</v>
      </c>
      <c r="N204" s="13">
        <f t="shared" si="47"/>
        <v>3</v>
      </c>
      <c r="O204" s="30">
        <v>45306</v>
      </c>
    </row>
    <row r="205" spans="1:15" x14ac:dyDescent="0.15">
      <c r="A205" s="25" t="s">
        <v>28</v>
      </c>
      <c r="B205" s="29"/>
      <c r="C205" s="45"/>
      <c r="D205" s="16"/>
      <c r="E205" s="12">
        <f t="shared" si="44"/>
        <v>0</v>
      </c>
      <c r="F205" s="29"/>
      <c r="G205" s="45">
        <v>1</v>
      </c>
      <c r="H205" s="16"/>
      <c r="I205" s="12">
        <f t="shared" si="45"/>
        <v>1</v>
      </c>
      <c r="J205" s="29"/>
      <c r="K205" s="45"/>
      <c r="L205" s="16"/>
      <c r="M205" s="12">
        <f t="shared" si="46"/>
        <v>0</v>
      </c>
      <c r="N205" s="13">
        <f t="shared" si="47"/>
        <v>1</v>
      </c>
      <c r="O205" s="30">
        <v>45316</v>
      </c>
    </row>
    <row r="206" spans="1:15" x14ac:dyDescent="0.15">
      <c r="A206" s="25" t="s">
        <v>28</v>
      </c>
      <c r="B206" s="29"/>
      <c r="C206" s="45"/>
      <c r="D206" s="16"/>
      <c r="E206" s="12">
        <f t="shared" si="44"/>
        <v>0</v>
      </c>
      <c r="F206" s="29">
        <v>1</v>
      </c>
      <c r="G206" s="45"/>
      <c r="H206" s="16"/>
      <c r="I206" s="12">
        <f t="shared" si="45"/>
        <v>1</v>
      </c>
      <c r="J206" s="29"/>
      <c r="K206" s="45"/>
      <c r="L206" s="16"/>
      <c r="M206" s="12">
        <f t="shared" si="46"/>
        <v>0</v>
      </c>
      <c r="N206" s="13">
        <f t="shared" si="47"/>
        <v>1</v>
      </c>
      <c r="O206" s="30">
        <v>45330</v>
      </c>
    </row>
    <row r="207" spans="1:15" x14ac:dyDescent="0.15">
      <c r="A207" s="25" t="s">
        <v>28</v>
      </c>
      <c r="B207" s="29"/>
      <c r="C207" s="45"/>
      <c r="D207" s="16">
        <v>1</v>
      </c>
      <c r="E207" s="12">
        <f t="shared" si="44"/>
        <v>1</v>
      </c>
      <c r="F207" s="29"/>
      <c r="G207" s="45"/>
      <c r="H207" s="16"/>
      <c r="I207" s="12">
        <f t="shared" si="45"/>
        <v>0</v>
      </c>
      <c r="J207" s="29"/>
      <c r="K207" s="45"/>
      <c r="L207" s="16"/>
      <c r="M207" s="12">
        <f t="shared" si="46"/>
        <v>0</v>
      </c>
      <c r="N207" s="13">
        <f t="shared" si="47"/>
        <v>1</v>
      </c>
      <c r="O207" s="30">
        <v>45338</v>
      </c>
    </row>
    <row r="208" spans="1:15" x14ac:dyDescent="0.15">
      <c r="A208" s="25" t="s">
        <v>28</v>
      </c>
      <c r="B208" s="29"/>
      <c r="C208" s="45">
        <v>1</v>
      </c>
      <c r="D208" s="16"/>
      <c r="E208" s="12">
        <f t="shared" si="44"/>
        <v>1</v>
      </c>
      <c r="F208" s="29"/>
      <c r="G208" s="45">
        <v>1</v>
      </c>
      <c r="H208" s="16"/>
      <c r="I208" s="12">
        <f t="shared" si="45"/>
        <v>1</v>
      </c>
      <c r="J208" s="29"/>
      <c r="K208" s="45">
        <v>1</v>
      </c>
      <c r="L208" s="16"/>
      <c r="M208" s="12">
        <f t="shared" si="46"/>
        <v>1</v>
      </c>
      <c r="N208" s="13">
        <f t="shared" si="47"/>
        <v>3</v>
      </c>
      <c r="O208" s="30">
        <v>45341</v>
      </c>
    </row>
    <row r="209" spans="1:15" x14ac:dyDescent="0.15">
      <c r="A209" s="25" t="s">
        <v>28</v>
      </c>
      <c r="B209" s="29"/>
      <c r="C209" s="45">
        <v>1</v>
      </c>
      <c r="D209" s="16"/>
      <c r="E209" s="12">
        <f t="shared" si="44"/>
        <v>1</v>
      </c>
      <c r="F209" s="29"/>
      <c r="G209" s="45">
        <v>1</v>
      </c>
      <c r="H209" s="16"/>
      <c r="I209" s="12">
        <f t="shared" si="45"/>
        <v>1</v>
      </c>
      <c r="J209" s="29"/>
      <c r="K209" s="45">
        <v>1</v>
      </c>
      <c r="L209" s="16"/>
      <c r="M209" s="12">
        <f t="shared" si="46"/>
        <v>1</v>
      </c>
      <c r="N209" s="13">
        <f t="shared" si="47"/>
        <v>3</v>
      </c>
      <c r="O209" s="30">
        <v>45376</v>
      </c>
    </row>
    <row r="210" spans="1:15" x14ac:dyDescent="0.15">
      <c r="A210" s="25" t="s">
        <v>28</v>
      </c>
      <c r="B210" s="29"/>
      <c r="C210" s="45"/>
      <c r="D210" s="16">
        <v>1</v>
      </c>
      <c r="E210" s="12">
        <f t="shared" si="44"/>
        <v>1</v>
      </c>
      <c r="F210" s="29"/>
      <c r="G210" s="45"/>
      <c r="H210" s="16">
        <v>1</v>
      </c>
      <c r="I210" s="12">
        <f t="shared" si="45"/>
        <v>1</v>
      </c>
      <c r="J210" s="29"/>
      <c r="K210" s="45"/>
      <c r="L210" s="16">
        <v>1</v>
      </c>
      <c r="M210" s="12">
        <f t="shared" si="46"/>
        <v>1</v>
      </c>
      <c r="N210" s="13">
        <f t="shared" si="47"/>
        <v>3</v>
      </c>
      <c r="O210" s="30">
        <v>45380</v>
      </c>
    </row>
    <row r="211" spans="1:15" ht="14.25" thickBot="1" x14ac:dyDescent="0.2">
      <c r="A211" s="25" t="s">
        <v>28</v>
      </c>
      <c r="B211" s="29"/>
      <c r="C211" s="45">
        <v>1</v>
      </c>
      <c r="D211" s="16"/>
      <c r="E211" s="12">
        <f t="shared" si="44"/>
        <v>1</v>
      </c>
      <c r="F211" s="29"/>
      <c r="G211" s="45">
        <v>1</v>
      </c>
      <c r="H211" s="16"/>
      <c r="I211" s="12">
        <f t="shared" si="45"/>
        <v>1</v>
      </c>
      <c r="J211" s="29">
        <v>1</v>
      </c>
      <c r="K211" s="45">
        <f>1+1</f>
        <v>2</v>
      </c>
      <c r="L211" s="16"/>
      <c r="M211" s="12">
        <f t="shared" si="46"/>
        <v>3</v>
      </c>
      <c r="N211" s="20">
        <f t="shared" si="47"/>
        <v>5</v>
      </c>
      <c r="O211" s="30">
        <v>45383</v>
      </c>
    </row>
    <row r="212" spans="1:15" ht="14.25" thickBot="1" x14ac:dyDescent="0.2">
      <c r="A212" s="3" t="s">
        <v>9</v>
      </c>
      <c r="B212" s="22">
        <f>SUM(B188:B211)</f>
        <v>6</v>
      </c>
      <c r="C212" s="47">
        <f t="shared" ref="C212:E212" si="48">SUM(C188:C211)</f>
        <v>7</v>
      </c>
      <c r="D212" s="41">
        <f t="shared" si="48"/>
        <v>6</v>
      </c>
      <c r="E212" s="31">
        <f t="shared" si="48"/>
        <v>19</v>
      </c>
      <c r="F212" s="22">
        <f>SUM(F188:F211)</f>
        <v>5</v>
      </c>
      <c r="G212" s="47">
        <f t="shared" ref="G212:I212" si="49">SUM(G188:G211)</f>
        <v>7</v>
      </c>
      <c r="H212" s="41">
        <f t="shared" si="49"/>
        <v>7</v>
      </c>
      <c r="I212" s="31">
        <f t="shared" si="49"/>
        <v>19</v>
      </c>
      <c r="J212" s="22">
        <f>SUM(J188:J211)</f>
        <v>4</v>
      </c>
      <c r="K212" s="47">
        <f t="shared" ref="K212:M212" si="50">SUM(K188:K211)</f>
        <v>7</v>
      </c>
      <c r="L212" s="41">
        <f t="shared" si="50"/>
        <v>4</v>
      </c>
      <c r="M212" s="31">
        <f t="shared" si="50"/>
        <v>15</v>
      </c>
      <c r="N212" s="24">
        <f t="shared" si="47"/>
        <v>53</v>
      </c>
    </row>
    <row r="213" spans="1:15" ht="14.25" thickBot="1" x14ac:dyDescent="0.2">
      <c r="A213" s="32" t="s">
        <v>10</v>
      </c>
      <c r="B213" s="33">
        <f>B187-B212</f>
        <v>0</v>
      </c>
      <c r="C213" s="49">
        <f t="shared" ref="C213:E213" si="51">C187-C212</f>
        <v>3</v>
      </c>
      <c r="D213" s="42">
        <f t="shared" si="51"/>
        <v>5</v>
      </c>
      <c r="E213" s="33">
        <f t="shared" si="51"/>
        <v>8</v>
      </c>
      <c r="F213" s="33">
        <f>F187-F212</f>
        <v>6</v>
      </c>
      <c r="G213" s="49">
        <f t="shared" ref="G213:I213" si="52">G187-G212</f>
        <v>2</v>
      </c>
      <c r="H213" s="42">
        <f t="shared" si="52"/>
        <v>3</v>
      </c>
      <c r="I213" s="33">
        <f t="shared" si="52"/>
        <v>11</v>
      </c>
      <c r="J213" s="33">
        <f>J187-J212</f>
        <v>4</v>
      </c>
      <c r="K213" s="49">
        <f t="shared" ref="K213:M213" si="53">K187-K212</f>
        <v>0</v>
      </c>
      <c r="L213" s="42">
        <f t="shared" si="53"/>
        <v>4</v>
      </c>
      <c r="M213" s="33">
        <f t="shared" si="53"/>
        <v>8</v>
      </c>
      <c r="N213" s="24">
        <f t="shared" si="47"/>
        <v>27</v>
      </c>
    </row>
    <row r="216" spans="1:15" ht="21.75" thickBot="1" x14ac:dyDescent="0.25">
      <c r="A216" s="34" t="s">
        <v>25</v>
      </c>
      <c r="B216" s="35"/>
      <c r="C216" s="35"/>
      <c r="D216" s="35"/>
      <c r="E216" s="37"/>
      <c r="F216" s="35"/>
      <c r="G216" s="35"/>
      <c r="H216" s="38" t="s">
        <v>26</v>
      </c>
      <c r="I216" s="1"/>
      <c r="J216" s="1"/>
      <c r="K216" s="1">
        <v>680</v>
      </c>
      <c r="L216" s="1"/>
      <c r="M216" s="1"/>
    </row>
    <row r="217" spans="1:15" ht="14.25" thickBot="1" x14ac:dyDescent="0.2">
      <c r="A217" s="2" t="s">
        <v>0</v>
      </c>
      <c r="B217" s="115" t="s">
        <v>22</v>
      </c>
      <c r="C217" s="115"/>
      <c r="D217" s="115"/>
      <c r="E217" s="116"/>
      <c r="F217" s="119" t="s">
        <v>23</v>
      </c>
      <c r="G217" s="119"/>
      <c r="H217" s="119"/>
      <c r="I217" s="120"/>
      <c r="J217" s="109" t="s">
        <v>24</v>
      </c>
      <c r="K217" s="109"/>
      <c r="L217" s="109"/>
      <c r="M217" s="110"/>
      <c r="N217" s="107" t="s">
        <v>14</v>
      </c>
    </row>
    <row r="218" spans="1:15" ht="14.25" thickBot="1" x14ac:dyDescent="0.2">
      <c r="A218" s="2" t="s">
        <v>1</v>
      </c>
      <c r="B218" s="3" t="s">
        <v>2</v>
      </c>
      <c r="C218" s="43" t="s">
        <v>3</v>
      </c>
      <c r="D218" s="4" t="s">
        <v>4</v>
      </c>
      <c r="E218" s="2" t="s">
        <v>5</v>
      </c>
      <c r="F218" s="3" t="s">
        <v>2</v>
      </c>
      <c r="G218" s="43" t="s">
        <v>3</v>
      </c>
      <c r="H218" s="4" t="s">
        <v>4</v>
      </c>
      <c r="I218" s="2" t="s">
        <v>5</v>
      </c>
      <c r="J218" s="3" t="s">
        <v>2</v>
      </c>
      <c r="K218" s="43" t="s">
        <v>3</v>
      </c>
      <c r="L218" s="4" t="s">
        <v>4</v>
      </c>
      <c r="M218" s="2" t="s">
        <v>5</v>
      </c>
      <c r="N218" s="108"/>
    </row>
    <row r="219" spans="1:15" x14ac:dyDescent="0.15">
      <c r="A219" s="5" t="s">
        <v>10</v>
      </c>
      <c r="B219" s="6">
        <f>B213</f>
        <v>0</v>
      </c>
      <c r="C219" s="50">
        <f t="shared" ref="C219:N219" si="54">C213</f>
        <v>3</v>
      </c>
      <c r="D219" s="6">
        <f t="shared" si="54"/>
        <v>5</v>
      </c>
      <c r="E219" s="7">
        <f t="shared" si="54"/>
        <v>8</v>
      </c>
      <c r="F219" s="6">
        <f t="shared" si="54"/>
        <v>6</v>
      </c>
      <c r="G219" s="50">
        <f t="shared" si="54"/>
        <v>2</v>
      </c>
      <c r="H219" s="6">
        <f t="shared" si="54"/>
        <v>3</v>
      </c>
      <c r="I219" s="7">
        <f t="shared" si="54"/>
        <v>11</v>
      </c>
      <c r="J219" s="6">
        <f t="shared" si="54"/>
        <v>4</v>
      </c>
      <c r="K219" s="50">
        <f t="shared" si="54"/>
        <v>0</v>
      </c>
      <c r="L219" s="6">
        <f t="shared" si="54"/>
        <v>4</v>
      </c>
      <c r="M219" s="7">
        <f t="shared" si="54"/>
        <v>8</v>
      </c>
      <c r="N219" s="8">
        <f t="shared" si="54"/>
        <v>27</v>
      </c>
    </row>
    <row r="220" spans="1:15" x14ac:dyDescent="0.15">
      <c r="A220" s="9" t="s">
        <v>7</v>
      </c>
      <c r="B220" s="69" t="s">
        <v>39</v>
      </c>
      <c r="C220" s="45">
        <v>2</v>
      </c>
      <c r="D220" s="16"/>
      <c r="E220" s="12">
        <f t="shared" ref="E220:E254" si="55">SUM(B220:D220)</f>
        <v>2</v>
      </c>
      <c r="F220" s="16"/>
      <c r="G220" s="45">
        <v>3</v>
      </c>
      <c r="H220" s="16">
        <v>2</v>
      </c>
      <c r="I220" s="12">
        <f t="shared" ref="I220:I254" si="56">SUM(F220:H220)</f>
        <v>5</v>
      </c>
      <c r="J220" s="16"/>
      <c r="K220" s="45">
        <v>5</v>
      </c>
      <c r="L220" s="16"/>
      <c r="M220" s="12">
        <f t="shared" ref="M220:M254" si="57">SUM(J220:L220)</f>
        <v>5</v>
      </c>
      <c r="N220" s="13">
        <f t="shared" ref="N220:N256" si="58">E220+I220+M220</f>
        <v>12</v>
      </c>
      <c r="O220" s="15">
        <v>45386</v>
      </c>
    </row>
    <row r="221" spans="1:15" x14ac:dyDescent="0.15">
      <c r="A221" s="9" t="s">
        <v>7</v>
      </c>
      <c r="B221" s="69" t="s">
        <v>38</v>
      </c>
      <c r="C221" s="45"/>
      <c r="D221" s="16"/>
      <c r="E221" s="12">
        <f t="shared" si="55"/>
        <v>0</v>
      </c>
      <c r="F221" s="16"/>
      <c r="G221" s="45"/>
      <c r="H221" s="16"/>
      <c r="I221" s="12">
        <f t="shared" si="56"/>
        <v>0</v>
      </c>
      <c r="J221" s="16"/>
      <c r="K221" s="45"/>
      <c r="L221" s="16"/>
      <c r="M221" s="12">
        <f t="shared" si="57"/>
        <v>0</v>
      </c>
      <c r="N221" s="13">
        <f t="shared" si="58"/>
        <v>0</v>
      </c>
      <c r="O221" s="14"/>
    </row>
    <row r="222" spans="1:15" x14ac:dyDescent="0.15">
      <c r="A222" s="9" t="s">
        <v>7</v>
      </c>
      <c r="B222" s="69"/>
      <c r="C222" s="45">
        <v>3</v>
      </c>
      <c r="D222" s="16">
        <v>2</v>
      </c>
      <c r="E222" s="12">
        <f t="shared" si="55"/>
        <v>5</v>
      </c>
      <c r="F222" s="16"/>
      <c r="G222" s="45">
        <v>5</v>
      </c>
      <c r="H222" s="16">
        <v>2</v>
      </c>
      <c r="I222" s="12">
        <f t="shared" si="56"/>
        <v>7</v>
      </c>
      <c r="J222" s="16">
        <v>2</v>
      </c>
      <c r="K222" s="45">
        <v>3</v>
      </c>
      <c r="L222" s="16">
        <v>1</v>
      </c>
      <c r="M222" s="12">
        <f t="shared" si="57"/>
        <v>6</v>
      </c>
      <c r="N222" s="13">
        <f t="shared" si="58"/>
        <v>18</v>
      </c>
      <c r="O222" s="15">
        <v>45421</v>
      </c>
    </row>
    <row r="223" spans="1:15" x14ac:dyDescent="0.15">
      <c r="A223" s="9" t="s">
        <v>7</v>
      </c>
      <c r="B223" s="69"/>
      <c r="C223" s="45"/>
      <c r="D223" s="16"/>
      <c r="E223" s="12">
        <f t="shared" si="55"/>
        <v>0</v>
      </c>
      <c r="F223" s="16"/>
      <c r="G223" s="45"/>
      <c r="H223" s="16"/>
      <c r="I223" s="12">
        <f t="shared" si="56"/>
        <v>0</v>
      </c>
      <c r="J223" s="16"/>
      <c r="K223" s="45"/>
      <c r="L223" s="69" t="s">
        <v>39</v>
      </c>
      <c r="M223" s="12">
        <f t="shared" si="57"/>
        <v>0</v>
      </c>
      <c r="N223" s="13">
        <f t="shared" si="58"/>
        <v>0</v>
      </c>
      <c r="O223" s="14"/>
    </row>
    <row r="224" spans="1:15" x14ac:dyDescent="0.15">
      <c r="A224" s="9" t="s">
        <v>7</v>
      </c>
      <c r="B224" s="69"/>
      <c r="C224" s="45"/>
      <c r="D224" s="16"/>
      <c r="E224" s="12">
        <f t="shared" si="55"/>
        <v>0</v>
      </c>
      <c r="F224" s="16"/>
      <c r="G224" s="45"/>
      <c r="H224" s="16"/>
      <c r="I224" s="12">
        <f t="shared" si="56"/>
        <v>0</v>
      </c>
      <c r="J224" s="16"/>
      <c r="K224" s="45"/>
      <c r="L224" s="69" t="s">
        <v>38</v>
      </c>
      <c r="M224" s="12">
        <f t="shared" si="57"/>
        <v>0</v>
      </c>
      <c r="N224" s="13">
        <f t="shared" si="58"/>
        <v>0</v>
      </c>
    </row>
    <row r="225" spans="1:15" x14ac:dyDescent="0.15">
      <c r="A225" s="9" t="s">
        <v>7</v>
      </c>
      <c r="B225" s="69"/>
      <c r="C225" s="45">
        <v>5</v>
      </c>
      <c r="D225" s="16">
        <v>3</v>
      </c>
      <c r="E225" s="12">
        <f t="shared" si="55"/>
        <v>8</v>
      </c>
      <c r="F225" s="16">
        <v>3</v>
      </c>
      <c r="G225" s="45">
        <v>3</v>
      </c>
      <c r="H225" s="16">
        <v>7</v>
      </c>
      <c r="I225" s="12">
        <f t="shared" si="56"/>
        <v>13</v>
      </c>
      <c r="J225" s="16">
        <v>3</v>
      </c>
      <c r="K225" s="45">
        <v>5</v>
      </c>
      <c r="L225" s="69"/>
      <c r="M225" s="12">
        <f t="shared" si="57"/>
        <v>8</v>
      </c>
      <c r="N225" s="13">
        <f t="shared" si="58"/>
        <v>29</v>
      </c>
      <c r="O225" s="15">
        <v>45448</v>
      </c>
    </row>
    <row r="226" spans="1:15" x14ac:dyDescent="0.15">
      <c r="A226" s="9" t="s">
        <v>7</v>
      </c>
      <c r="B226" s="69"/>
      <c r="C226" s="45"/>
      <c r="D226" s="16"/>
      <c r="E226" s="12">
        <f t="shared" si="55"/>
        <v>0</v>
      </c>
      <c r="F226" s="16"/>
      <c r="G226" s="45"/>
      <c r="H226" s="16"/>
      <c r="I226" s="12">
        <f t="shared" si="56"/>
        <v>0</v>
      </c>
      <c r="J226" s="16"/>
      <c r="K226" s="45"/>
      <c r="L226" s="69"/>
      <c r="M226" s="12">
        <f t="shared" si="57"/>
        <v>0</v>
      </c>
      <c r="N226" s="13">
        <f t="shared" si="58"/>
        <v>0</v>
      </c>
    </row>
    <row r="227" spans="1:15" x14ac:dyDescent="0.15">
      <c r="A227" s="9" t="s">
        <v>7</v>
      </c>
      <c r="B227" s="69"/>
      <c r="C227" s="45"/>
      <c r="D227" s="16"/>
      <c r="E227" s="12">
        <f t="shared" si="55"/>
        <v>0</v>
      </c>
      <c r="F227" s="16"/>
      <c r="G227" s="45"/>
      <c r="H227" s="16"/>
      <c r="I227" s="12">
        <f t="shared" si="56"/>
        <v>0</v>
      </c>
      <c r="J227" s="16"/>
      <c r="K227" s="45"/>
      <c r="L227" s="69"/>
      <c r="M227" s="12">
        <f t="shared" si="57"/>
        <v>0</v>
      </c>
      <c r="N227" s="13">
        <f t="shared" si="58"/>
        <v>0</v>
      </c>
    </row>
    <row r="228" spans="1:15" x14ac:dyDescent="0.15">
      <c r="A228" s="9" t="s">
        <v>7</v>
      </c>
      <c r="B228" s="69"/>
      <c r="C228" s="45"/>
      <c r="D228" s="16"/>
      <c r="E228" s="12">
        <f t="shared" si="55"/>
        <v>0</v>
      </c>
      <c r="F228" s="16"/>
      <c r="G228" s="45"/>
      <c r="H228" s="16"/>
      <c r="I228" s="12">
        <f t="shared" si="56"/>
        <v>0</v>
      </c>
      <c r="J228" s="16"/>
      <c r="K228" s="45"/>
      <c r="L228" s="69"/>
      <c r="M228" s="12">
        <f t="shared" si="57"/>
        <v>0</v>
      </c>
      <c r="N228" s="13">
        <f t="shared" si="58"/>
        <v>0</v>
      </c>
    </row>
    <row r="229" spans="1:15" ht="14.25" thickBot="1" x14ac:dyDescent="0.2">
      <c r="A229" s="17" t="s">
        <v>7</v>
      </c>
      <c r="B229" s="70"/>
      <c r="C229" s="46"/>
      <c r="D229" s="18"/>
      <c r="E229" s="19">
        <f t="shared" si="55"/>
        <v>0</v>
      </c>
      <c r="F229" s="18"/>
      <c r="G229" s="46"/>
      <c r="H229" s="18"/>
      <c r="I229" s="19">
        <f t="shared" si="56"/>
        <v>0</v>
      </c>
      <c r="J229" s="18"/>
      <c r="K229" s="46"/>
      <c r="L229" s="70"/>
      <c r="M229" s="19">
        <f t="shared" si="57"/>
        <v>0</v>
      </c>
      <c r="N229" s="20">
        <f t="shared" si="58"/>
        <v>0</v>
      </c>
    </row>
    <row r="230" spans="1:15" ht="14.25" thickBot="1" x14ac:dyDescent="0.2">
      <c r="A230" s="21" t="s">
        <v>8</v>
      </c>
      <c r="B230" s="22">
        <f>SUM(B219:B229)</f>
        <v>0</v>
      </c>
      <c r="C230" s="47">
        <f>SUM(C219:C229)</f>
        <v>13</v>
      </c>
      <c r="D230" s="40">
        <f>SUM(D219:D229)</f>
        <v>10</v>
      </c>
      <c r="E230" s="23">
        <f t="shared" si="55"/>
        <v>23</v>
      </c>
      <c r="F230" s="22">
        <f>SUM(F219:F229)</f>
        <v>9</v>
      </c>
      <c r="G230" s="47">
        <f>SUM(G219:G229)</f>
        <v>13</v>
      </c>
      <c r="H230" s="40">
        <f>SUM(H219:H229)</f>
        <v>14</v>
      </c>
      <c r="I230" s="23">
        <f t="shared" si="56"/>
        <v>36</v>
      </c>
      <c r="J230" s="22">
        <f>SUM(J219:J229)</f>
        <v>9</v>
      </c>
      <c r="K230" s="47">
        <f>SUM(K219:K229)</f>
        <v>13</v>
      </c>
      <c r="L230" s="40">
        <f>SUM(L219:L229)</f>
        <v>5</v>
      </c>
      <c r="M230" s="23">
        <f t="shared" si="57"/>
        <v>27</v>
      </c>
      <c r="N230" s="24">
        <f t="shared" si="58"/>
        <v>86</v>
      </c>
    </row>
    <row r="231" spans="1:15" x14ac:dyDescent="0.15">
      <c r="A231" s="25" t="s">
        <v>28</v>
      </c>
      <c r="B231" s="29"/>
      <c r="C231" s="45"/>
      <c r="D231" s="16"/>
      <c r="E231" s="12">
        <f t="shared" si="55"/>
        <v>0</v>
      </c>
      <c r="F231" s="29"/>
      <c r="G231" s="45"/>
      <c r="H231" s="16"/>
      <c r="I231" s="12">
        <f t="shared" si="56"/>
        <v>0</v>
      </c>
      <c r="J231" s="29">
        <v>1</v>
      </c>
      <c r="K231" s="45"/>
      <c r="L231" s="16"/>
      <c r="M231" s="12">
        <f t="shared" si="57"/>
        <v>1</v>
      </c>
      <c r="N231" s="13">
        <f t="shared" si="58"/>
        <v>1</v>
      </c>
      <c r="O231" s="30">
        <v>45394</v>
      </c>
    </row>
    <row r="232" spans="1:15" x14ac:dyDescent="0.15">
      <c r="A232" s="25" t="s">
        <v>28</v>
      </c>
      <c r="B232" s="29"/>
      <c r="C232" s="45">
        <v>1</v>
      </c>
      <c r="D232" s="16">
        <v>1</v>
      </c>
      <c r="E232" s="12">
        <f t="shared" si="55"/>
        <v>2</v>
      </c>
      <c r="F232" s="29"/>
      <c r="G232" s="45">
        <v>1</v>
      </c>
      <c r="H232" s="16">
        <v>1</v>
      </c>
      <c r="I232" s="12">
        <f t="shared" si="56"/>
        <v>2</v>
      </c>
      <c r="J232" s="29">
        <v>1</v>
      </c>
      <c r="K232" s="45">
        <v>1</v>
      </c>
      <c r="L232" s="16">
        <v>1</v>
      </c>
      <c r="M232" s="12">
        <f t="shared" si="57"/>
        <v>3</v>
      </c>
      <c r="N232" s="13">
        <f t="shared" si="58"/>
        <v>7</v>
      </c>
      <c r="O232" s="30">
        <v>45397</v>
      </c>
    </row>
    <row r="233" spans="1:15" x14ac:dyDescent="0.15">
      <c r="A233" s="25" t="s">
        <v>28</v>
      </c>
      <c r="B233" s="29"/>
      <c r="C233" s="45"/>
      <c r="D233" s="16">
        <f>1+1</f>
        <v>2</v>
      </c>
      <c r="E233" s="12">
        <f t="shared" si="55"/>
        <v>2</v>
      </c>
      <c r="F233" s="29"/>
      <c r="G233" s="45"/>
      <c r="H233" s="16">
        <v>1</v>
      </c>
      <c r="I233" s="12">
        <f t="shared" si="56"/>
        <v>1</v>
      </c>
      <c r="J233" s="29"/>
      <c r="K233" s="45"/>
      <c r="L233" s="16">
        <v>1</v>
      </c>
      <c r="M233" s="12">
        <f t="shared" si="57"/>
        <v>1</v>
      </c>
      <c r="N233" s="13">
        <f t="shared" si="58"/>
        <v>4</v>
      </c>
      <c r="O233" s="30">
        <v>45398</v>
      </c>
    </row>
    <row r="234" spans="1:15" x14ac:dyDescent="0.15">
      <c r="A234" s="25" t="s">
        <v>28</v>
      </c>
      <c r="B234" s="29"/>
      <c r="C234" s="45">
        <v>1</v>
      </c>
      <c r="D234" s="16"/>
      <c r="E234" s="12">
        <f t="shared" si="55"/>
        <v>1</v>
      </c>
      <c r="F234" s="29"/>
      <c r="G234" s="45">
        <v>1</v>
      </c>
      <c r="H234" s="16"/>
      <c r="I234" s="12">
        <f t="shared" si="56"/>
        <v>1</v>
      </c>
      <c r="J234" s="29"/>
      <c r="K234" s="45">
        <v>1</v>
      </c>
      <c r="L234" s="16"/>
      <c r="M234" s="12">
        <f t="shared" si="57"/>
        <v>1</v>
      </c>
      <c r="N234" s="13">
        <f t="shared" si="58"/>
        <v>3</v>
      </c>
      <c r="O234" s="30">
        <v>45399</v>
      </c>
    </row>
    <row r="235" spans="1:15" x14ac:dyDescent="0.15">
      <c r="A235" s="25" t="s">
        <v>28</v>
      </c>
      <c r="B235" s="29"/>
      <c r="C235" s="45"/>
      <c r="D235" s="16"/>
      <c r="E235" s="12">
        <f t="shared" si="55"/>
        <v>0</v>
      </c>
      <c r="F235" s="29"/>
      <c r="G235" s="45">
        <v>1</v>
      </c>
      <c r="H235" s="16"/>
      <c r="I235" s="12">
        <f t="shared" si="56"/>
        <v>1</v>
      </c>
      <c r="J235" s="29"/>
      <c r="K235" s="45"/>
      <c r="L235" s="16"/>
      <c r="M235" s="12">
        <f t="shared" si="57"/>
        <v>0</v>
      </c>
      <c r="N235" s="13">
        <f t="shared" si="58"/>
        <v>1</v>
      </c>
      <c r="O235" s="30">
        <v>45401</v>
      </c>
    </row>
    <row r="236" spans="1:15" x14ac:dyDescent="0.15">
      <c r="A236" s="25" t="s">
        <v>28</v>
      </c>
      <c r="B236" s="29"/>
      <c r="C236" s="45">
        <v>1</v>
      </c>
      <c r="D236" s="16"/>
      <c r="E236" s="12">
        <f t="shared" si="55"/>
        <v>1</v>
      </c>
      <c r="F236" s="29"/>
      <c r="G236" s="45">
        <v>1</v>
      </c>
      <c r="H236" s="16"/>
      <c r="I236" s="12">
        <f t="shared" si="56"/>
        <v>1</v>
      </c>
      <c r="J236" s="29"/>
      <c r="K236" s="45">
        <v>1</v>
      </c>
      <c r="L236" s="16"/>
      <c r="M236" s="12">
        <f t="shared" si="57"/>
        <v>1</v>
      </c>
      <c r="N236" s="13">
        <f t="shared" si="58"/>
        <v>3</v>
      </c>
      <c r="O236" s="30">
        <v>45404</v>
      </c>
    </row>
    <row r="237" spans="1:15" x14ac:dyDescent="0.15">
      <c r="A237" s="25" t="s">
        <v>28</v>
      </c>
      <c r="B237" s="29"/>
      <c r="C237" s="45"/>
      <c r="D237" s="16"/>
      <c r="E237" s="12">
        <f t="shared" si="55"/>
        <v>0</v>
      </c>
      <c r="F237" s="29"/>
      <c r="G237" s="45"/>
      <c r="H237" s="16">
        <v>1</v>
      </c>
      <c r="I237" s="12">
        <f t="shared" si="56"/>
        <v>1</v>
      </c>
      <c r="J237" s="29"/>
      <c r="K237" s="45"/>
      <c r="L237" s="16"/>
      <c r="M237" s="12">
        <f t="shared" si="57"/>
        <v>0</v>
      </c>
      <c r="N237" s="13">
        <f t="shared" si="58"/>
        <v>1</v>
      </c>
      <c r="O237" s="30">
        <v>45425</v>
      </c>
    </row>
    <row r="238" spans="1:15" x14ac:dyDescent="0.15">
      <c r="A238" s="25" t="s">
        <v>28</v>
      </c>
      <c r="B238" s="29"/>
      <c r="C238" s="45">
        <v>1</v>
      </c>
      <c r="D238" s="16"/>
      <c r="E238" s="12">
        <f t="shared" si="55"/>
        <v>1</v>
      </c>
      <c r="F238" s="29"/>
      <c r="G238" s="45">
        <v>1</v>
      </c>
      <c r="H238" s="16"/>
      <c r="I238" s="12">
        <f t="shared" si="56"/>
        <v>1</v>
      </c>
      <c r="J238" s="29"/>
      <c r="K238" s="45">
        <v>1</v>
      </c>
      <c r="L238" s="16"/>
      <c r="M238" s="12">
        <f t="shared" si="57"/>
        <v>1</v>
      </c>
      <c r="N238" s="13">
        <f t="shared" si="58"/>
        <v>3</v>
      </c>
      <c r="O238" s="30">
        <v>45428</v>
      </c>
    </row>
    <row r="239" spans="1:15" x14ac:dyDescent="0.15">
      <c r="A239" s="25" t="s">
        <v>28</v>
      </c>
      <c r="B239" s="29"/>
      <c r="C239" s="45"/>
      <c r="D239" s="16"/>
      <c r="E239" s="12">
        <f t="shared" si="55"/>
        <v>0</v>
      </c>
      <c r="F239" s="29"/>
      <c r="G239" s="45"/>
      <c r="H239" s="16">
        <v>1</v>
      </c>
      <c r="I239" s="12">
        <f t="shared" si="56"/>
        <v>1</v>
      </c>
      <c r="J239" s="29"/>
      <c r="K239" s="45"/>
      <c r="L239" s="16"/>
      <c r="M239" s="12">
        <f t="shared" si="57"/>
        <v>0</v>
      </c>
      <c r="N239" s="13">
        <f t="shared" si="58"/>
        <v>1</v>
      </c>
      <c r="O239" s="30">
        <v>45432</v>
      </c>
    </row>
    <row r="240" spans="1:15" x14ac:dyDescent="0.15">
      <c r="A240" s="25" t="s">
        <v>28</v>
      </c>
      <c r="B240" s="29"/>
      <c r="C240" s="45"/>
      <c r="D240" s="16"/>
      <c r="E240" s="12">
        <f t="shared" si="55"/>
        <v>0</v>
      </c>
      <c r="F240" s="29"/>
      <c r="G240" s="45"/>
      <c r="H240" s="16">
        <v>1</v>
      </c>
      <c r="I240" s="12">
        <f t="shared" si="56"/>
        <v>1</v>
      </c>
      <c r="J240" s="29"/>
      <c r="K240" s="45"/>
      <c r="L240" s="16">
        <v>1</v>
      </c>
      <c r="M240" s="12">
        <f t="shared" si="57"/>
        <v>1</v>
      </c>
      <c r="N240" s="13">
        <f t="shared" si="58"/>
        <v>2</v>
      </c>
      <c r="O240" s="30">
        <v>45433</v>
      </c>
    </row>
    <row r="241" spans="1:15" x14ac:dyDescent="0.15">
      <c r="A241" s="25" t="s">
        <v>28</v>
      </c>
      <c r="B241" s="29"/>
      <c r="C241" s="45"/>
      <c r="D241" s="16">
        <v>1</v>
      </c>
      <c r="E241" s="12">
        <f t="shared" si="55"/>
        <v>1</v>
      </c>
      <c r="F241" s="29"/>
      <c r="G241" s="45"/>
      <c r="H241" s="16">
        <v>1</v>
      </c>
      <c r="I241" s="12">
        <f t="shared" si="56"/>
        <v>1</v>
      </c>
      <c r="J241" s="29"/>
      <c r="K241" s="45"/>
      <c r="L241" s="16">
        <v>1</v>
      </c>
      <c r="M241" s="12">
        <f t="shared" si="57"/>
        <v>1</v>
      </c>
      <c r="N241" s="13">
        <f t="shared" si="58"/>
        <v>3</v>
      </c>
      <c r="O241" s="30">
        <v>45434</v>
      </c>
    </row>
    <row r="242" spans="1:15" x14ac:dyDescent="0.15">
      <c r="A242" s="25" t="s">
        <v>28</v>
      </c>
      <c r="B242" s="29"/>
      <c r="C242" s="45">
        <v>1</v>
      </c>
      <c r="D242" s="16"/>
      <c r="E242" s="12">
        <f t="shared" si="55"/>
        <v>1</v>
      </c>
      <c r="F242" s="29"/>
      <c r="G242" s="45">
        <v>1</v>
      </c>
      <c r="H242" s="16"/>
      <c r="I242" s="12">
        <f t="shared" si="56"/>
        <v>1</v>
      </c>
      <c r="J242" s="29">
        <v>1</v>
      </c>
      <c r="K242" s="45">
        <f>1+1</f>
        <v>2</v>
      </c>
      <c r="L242" s="16"/>
      <c r="M242" s="12">
        <f t="shared" si="57"/>
        <v>3</v>
      </c>
      <c r="N242" s="13">
        <f t="shared" si="58"/>
        <v>5</v>
      </c>
      <c r="O242" s="30">
        <v>45439</v>
      </c>
    </row>
    <row r="243" spans="1:15" x14ac:dyDescent="0.15">
      <c r="A243" s="25" t="s">
        <v>28</v>
      </c>
      <c r="B243" s="29"/>
      <c r="C243" s="45"/>
      <c r="D243" s="16"/>
      <c r="E243" s="12">
        <f t="shared" si="55"/>
        <v>0</v>
      </c>
      <c r="F243" s="29">
        <v>2</v>
      </c>
      <c r="G243" s="45"/>
      <c r="H243" s="16"/>
      <c r="I243" s="12">
        <f t="shared" si="56"/>
        <v>2</v>
      </c>
      <c r="J243" s="29"/>
      <c r="K243" s="45"/>
      <c r="L243" s="16"/>
      <c r="M243" s="12">
        <f t="shared" si="57"/>
        <v>0</v>
      </c>
      <c r="N243" s="13">
        <f t="shared" si="58"/>
        <v>2</v>
      </c>
      <c r="O243" s="30">
        <v>45441</v>
      </c>
    </row>
    <row r="244" spans="1:15" x14ac:dyDescent="0.15">
      <c r="A244" s="25" t="s">
        <v>28</v>
      </c>
      <c r="B244" s="29"/>
      <c r="C244" s="45">
        <v>2</v>
      </c>
      <c r="D244" s="16"/>
      <c r="E244" s="12">
        <f t="shared" si="55"/>
        <v>2</v>
      </c>
      <c r="F244" s="29"/>
      <c r="G244" s="45"/>
      <c r="H244" s="16"/>
      <c r="I244" s="12">
        <f t="shared" si="56"/>
        <v>0</v>
      </c>
      <c r="J244" s="29"/>
      <c r="K244" s="45"/>
      <c r="L244" s="16"/>
      <c r="M244" s="12">
        <f t="shared" si="57"/>
        <v>0</v>
      </c>
      <c r="N244" s="13">
        <f t="shared" si="58"/>
        <v>2</v>
      </c>
      <c r="O244" s="30">
        <v>45446</v>
      </c>
    </row>
    <row r="245" spans="1:15" x14ac:dyDescent="0.15">
      <c r="A245" s="25" t="s">
        <v>28</v>
      </c>
      <c r="B245" s="29"/>
      <c r="C245" s="45"/>
      <c r="D245" s="16"/>
      <c r="E245" s="12">
        <f t="shared" si="55"/>
        <v>0</v>
      </c>
      <c r="F245" s="29"/>
      <c r="G245" s="45"/>
      <c r="H245" s="16"/>
      <c r="I245" s="12">
        <f t="shared" si="56"/>
        <v>0</v>
      </c>
      <c r="J245" s="29"/>
      <c r="K245" s="45">
        <v>1</v>
      </c>
      <c r="L245" s="16"/>
      <c r="M245" s="12">
        <f t="shared" si="57"/>
        <v>1</v>
      </c>
      <c r="N245" s="13">
        <f t="shared" si="58"/>
        <v>1</v>
      </c>
      <c r="O245" s="30">
        <v>45447</v>
      </c>
    </row>
    <row r="246" spans="1:15" x14ac:dyDescent="0.15">
      <c r="A246" s="25" t="s">
        <v>28</v>
      </c>
      <c r="B246" s="29"/>
      <c r="C246" s="45"/>
      <c r="D246" s="16"/>
      <c r="E246" s="12">
        <f t="shared" si="55"/>
        <v>0</v>
      </c>
      <c r="F246" s="29"/>
      <c r="G246" s="45"/>
      <c r="H246" s="16">
        <v>1</v>
      </c>
      <c r="I246" s="12">
        <f t="shared" si="56"/>
        <v>1</v>
      </c>
      <c r="J246" s="29"/>
      <c r="K246" s="45"/>
      <c r="L246" s="16"/>
      <c r="M246" s="12">
        <f t="shared" si="57"/>
        <v>0</v>
      </c>
      <c r="N246" s="13">
        <f t="shared" si="58"/>
        <v>1</v>
      </c>
      <c r="O246" s="30">
        <v>45448</v>
      </c>
    </row>
    <row r="247" spans="1:15" x14ac:dyDescent="0.15">
      <c r="A247" s="25" t="s">
        <v>28</v>
      </c>
      <c r="B247" s="29"/>
      <c r="C247" s="45"/>
      <c r="D247" s="16">
        <v>1</v>
      </c>
      <c r="E247" s="12">
        <f t="shared" si="55"/>
        <v>1</v>
      </c>
      <c r="F247" s="29"/>
      <c r="G247" s="45"/>
      <c r="H247" s="16"/>
      <c r="I247" s="12">
        <f t="shared" si="56"/>
        <v>0</v>
      </c>
      <c r="J247" s="29"/>
      <c r="K247" s="45"/>
      <c r="L247" s="16"/>
      <c r="M247" s="12">
        <f t="shared" si="57"/>
        <v>0</v>
      </c>
      <c r="N247" s="13">
        <f t="shared" si="58"/>
        <v>1</v>
      </c>
      <c r="O247" s="30">
        <v>45456</v>
      </c>
    </row>
    <row r="248" spans="1:15" x14ac:dyDescent="0.15">
      <c r="A248" s="25" t="s">
        <v>28</v>
      </c>
      <c r="B248" s="29"/>
      <c r="C248" s="45"/>
      <c r="D248" s="16"/>
      <c r="E248" s="12">
        <f t="shared" si="55"/>
        <v>0</v>
      </c>
      <c r="F248" s="29"/>
      <c r="G248" s="45">
        <v>1</v>
      </c>
      <c r="H248" s="16"/>
      <c r="I248" s="12">
        <f t="shared" si="56"/>
        <v>1</v>
      </c>
      <c r="J248" s="29">
        <v>1</v>
      </c>
      <c r="K248" s="45"/>
      <c r="L248" s="16"/>
      <c r="M248" s="12">
        <f t="shared" si="57"/>
        <v>1</v>
      </c>
      <c r="N248" s="13">
        <f t="shared" si="58"/>
        <v>2</v>
      </c>
      <c r="O248" s="30">
        <v>45460</v>
      </c>
    </row>
    <row r="249" spans="1:15" x14ac:dyDescent="0.15">
      <c r="A249" s="25" t="s">
        <v>28</v>
      </c>
      <c r="B249" s="29"/>
      <c r="C249" s="45"/>
      <c r="D249" s="16"/>
      <c r="E249" s="12">
        <f t="shared" si="55"/>
        <v>0</v>
      </c>
      <c r="F249" s="29">
        <v>1</v>
      </c>
      <c r="G249" s="45"/>
      <c r="H249" s="16"/>
      <c r="I249" s="12">
        <f t="shared" si="56"/>
        <v>1</v>
      </c>
      <c r="J249" s="29"/>
      <c r="K249" s="45"/>
      <c r="L249" s="16"/>
      <c r="M249" s="12">
        <f t="shared" si="57"/>
        <v>0</v>
      </c>
      <c r="N249" s="13">
        <f t="shared" si="58"/>
        <v>1</v>
      </c>
      <c r="O249" s="30">
        <v>45463</v>
      </c>
    </row>
    <row r="250" spans="1:15" x14ac:dyDescent="0.15">
      <c r="A250" s="25" t="s">
        <v>28</v>
      </c>
      <c r="B250" s="29"/>
      <c r="C250" s="45"/>
      <c r="D250" s="16"/>
      <c r="E250" s="12">
        <f t="shared" si="55"/>
        <v>0</v>
      </c>
      <c r="F250" s="29">
        <v>1</v>
      </c>
      <c r="G250" s="45"/>
      <c r="H250" s="16"/>
      <c r="I250" s="12">
        <f t="shared" si="56"/>
        <v>1</v>
      </c>
      <c r="J250" s="29"/>
      <c r="K250" s="45"/>
      <c r="L250" s="16"/>
      <c r="M250" s="12">
        <f t="shared" si="57"/>
        <v>0</v>
      </c>
      <c r="N250" s="13">
        <f t="shared" si="58"/>
        <v>1</v>
      </c>
      <c r="O250" s="30">
        <v>45464</v>
      </c>
    </row>
    <row r="251" spans="1:15" x14ac:dyDescent="0.15">
      <c r="A251" s="25" t="s">
        <v>28</v>
      </c>
      <c r="B251" s="29"/>
      <c r="C251" s="45"/>
      <c r="D251" s="16"/>
      <c r="E251" s="12">
        <f t="shared" si="55"/>
        <v>0</v>
      </c>
      <c r="F251" s="29"/>
      <c r="G251" s="45"/>
      <c r="H251" s="16">
        <v>1</v>
      </c>
      <c r="I251" s="12">
        <f t="shared" si="56"/>
        <v>1</v>
      </c>
      <c r="J251" s="29"/>
      <c r="K251" s="45"/>
      <c r="L251" s="16"/>
      <c r="M251" s="12">
        <f t="shared" si="57"/>
        <v>0</v>
      </c>
      <c r="N251" s="13">
        <f t="shared" si="58"/>
        <v>1</v>
      </c>
      <c r="O251" s="30">
        <v>45467</v>
      </c>
    </row>
    <row r="252" spans="1:15" x14ac:dyDescent="0.15">
      <c r="A252" s="25" t="s">
        <v>28</v>
      </c>
      <c r="B252" s="29"/>
      <c r="C252" s="45"/>
      <c r="D252" s="16"/>
      <c r="E252" s="12">
        <f t="shared" si="55"/>
        <v>0</v>
      </c>
      <c r="F252" s="29">
        <v>1</v>
      </c>
      <c r="G252" s="45"/>
      <c r="H252" s="16"/>
      <c r="I252" s="12">
        <f t="shared" si="56"/>
        <v>1</v>
      </c>
      <c r="J252" s="29"/>
      <c r="K252" s="45"/>
      <c r="L252" s="16"/>
      <c r="M252" s="12">
        <f t="shared" si="57"/>
        <v>0</v>
      </c>
      <c r="N252" s="13">
        <f t="shared" si="58"/>
        <v>1</v>
      </c>
      <c r="O252" s="30">
        <v>45469</v>
      </c>
    </row>
    <row r="253" spans="1:15" x14ac:dyDescent="0.15">
      <c r="A253" s="25" t="s">
        <v>28</v>
      </c>
      <c r="B253" s="29"/>
      <c r="C253" s="45"/>
      <c r="D253" s="16"/>
      <c r="E253" s="12">
        <f t="shared" si="55"/>
        <v>0</v>
      </c>
      <c r="F253" s="29"/>
      <c r="G253" s="45"/>
      <c r="H253" s="16"/>
      <c r="I253" s="12">
        <f t="shared" si="56"/>
        <v>0</v>
      </c>
      <c r="J253" s="29"/>
      <c r="K253" s="45">
        <v>1</v>
      </c>
      <c r="L253" s="16"/>
      <c r="M253" s="12">
        <f t="shared" si="57"/>
        <v>1</v>
      </c>
      <c r="N253" s="13">
        <f t="shared" si="58"/>
        <v>1</v>
      </c>
      <c r="O253" s="30">
        <v>45470</v>
      </c>
    </row>
    <row r="254" spans="1:15" ht="14.25" thickBot="1" x14ac:dyDescent="0.2">
      <c r="A254" s="25" t="s">
        <v>28</v>
      </c>
      <c r="B254" s="29"/>
      <c r="C254" s="45"/>
      <c r="D254" s="16"/>
      <c r="E254" s="12">
        <f t="shared" si="55"/>
        <v>0</v>
      </c>
      <c r="F254" s="29"/>
      <c r="G254" s="45"/>
      <c r="H254" s="16"/>
      <c r="I254" s="12">
        <f t="shared" si="56"/>
        <v>0</v>
      </c>
      <c r="J254" s="29">
        <v>3</v>
      </c>
      <c r="K254" s="45">
        <v>1</v>
      </c>
      <c r="L254" s="16"/>
      <c r="M254" s="12">
        <f t="shared" si="57"/>
        <v>4</v>
      </c>
      <c r="N254" s="20">
        <f t="shared" si="58"/>
        <v>4</v>
      </c>
      <c r="O254" s="30">
        <v>45474</v>
      </c>
    </row>
    <row r="255" spans="1:15" ht="14.25" thickBot="1" x14ac:dyDescent="0.2">
      <c r="A255" s="3" t="s">
        <v>9</v>
      </c>
      <c r="B255" s="22">
        <f>SUM(B231:B254)</f>
        <v>0</v>
      </c>
      <c r="C255" s="47">
        <f t="shared" ref="C255:E255" si="59">SUM(C231:C254)</f>
        <v>7</v>
      </c>
      <c r="D255" s="41">
        <f t="shared" si="59"/>
        <v>5</v>
      </c>
      <c r="E255" s="31">
        <f t="shared" si="59"/>
        <v>12</v>
      </c>
      <c r="F255" s="22">
        <f>SUM(F231:F254)</f>
        <v>5</v>
      </c>
      <c r="G255" s="47">
        <f t="shared" ref="G255:I255" si="60">SUM(G231:G254)</f>
        <v>7</v>
      </c>
      <c r="H255" s="41">
        <f t="shared" si="60"/>
        <v>8</v>
      </c>
      <c r="I255" s="31">
        <f t="shared" si="60"/>
        <v>20</v>
      </c>
      <c r="J255" s="22">
        <f>SUM(J231:J254)</f>
        <v>7</v>
      </c>
      <c r="K255" s="47">
        <f t="shared" ref="K255:M255" si="61">SUM(K231:K254)</f>
        <v>9</v>
      </c>
      <c r="L255" s="41">
        <f t="shared" si="61"/>
        <v>4</v>
      </c>
      <c r="M255" s="31">
        <f t="shared" si="61"/>
        <v>20</v>
      </c>
      <c r="N255" s="24">
        <f t="shared" si="58"/>
        <v>52</v>
      </c>
    </row>
    <row r="256" spans="1:15" ht="14.25" thickBot="1" x14ac:dyDescent="0.2">
      <c r="A256" s="32" t="s">
        <v>10</v>
      </c>
      <c r="B256" s="33">
        <f>B230-B255</f>
        <v>0</v>
      </c>
      <c r="C256" s="49">
        <f t="shared" ref="C256:E256" si="62">C230-C255</f>
        <v>6</v>
      </c>
      <c r="D256" s="42">
        <f t="shared" si="62"/>
        <v>5</v>
      </c>
      <c r="E256" s="33">
        <f t="shared" si="62"/>
        <v>11</v>
      </c>
      <c r="F256" s="33">
        <f>F230-F255</f>
        <v>4</v>
      </c>
      <c r="G256" s="49">
        <f t="shared" ref="G256:I256" si="63">G230-G255</f>
        <v>6</v>
      </c>
      <c r="H256" s="42">
        <f t="shared" si="63"/>
        <v>6</v>
      </c>
      <c r="I256" s="33">
        <f t="shared" si="63"/>
        <v>16</v>
      </c>
      <c r="J256" s="33">
        <f>J230-J255</f>
        <v>2</v>
      </c>
      <c r="K256" s="49">
        <f t="shared" ref="K256:M256" si="64">K230-K255</f>
        <v>4</v>
      </c>
      <c r="L256" s="42">
        <f t="shared" si="64"/>
        <v>1</v>
      </c>
      <c r="M256" s="33">
        <f t="shared" si="64"/>
        <v>7</v>
      </c>
      <c r="N256" s="24">
        <f t="shared" si="58"/>
        <v>34</v>
      </c>
    </row>
    <row r="259" spans="1:15" ht="21.75" thickBot="1" x14ac:dyDescent="0.25">
      <c r="A259" s="34" t="s">
        <v>25</v>
      </c>
      <c r="B259" s="35"/>
      <c r="C259" s="35"/>
      <c r="D259" s="35"/>
      <c r="E259" s="37"/>
      <c r="F259" s="35"/>
      <c r="G259" s="35"/>
      <c r="H259" s="38" t="s">
        <v>26</v>
      </c>
      <c r="I259" s="1"/>
      <c r="J259" s="1"/>
      <c r="K259" s="1">
        <v>680</v>
      </c>
      <c r="L259" s="1"/>
      <c r="M259" s="1"/>
    </row>
    <row r="260" spans="1:15" ht="14.25" thickBot="1" x14ac:dyDescent="0.2">
      <c r="A260" s="2" t="s">
        <v>0</v>
      </c>
      <c r="B260" s="115" t="s">
        <v>22</v>
      </c>
      <c r="C260" s="115"/>
      <c r="D260" s="115"/>
      <c r="E260" s="116"/>
      <c r="F260" s="119" t="s">
        <v>23</v>
      </c>
      <c r="G260" s="119"/>
      <c r="H260" s="119"/>
      <c r="I260" s="120"/>
      <c r="J260" s="109" t="s">
        <v>24</v>
      </c>
      <c r="K260" s="109"/>
      <c r="L260" s="109"/>
      <c r="M260" s="110"/>
      <c r="N260" s="107" t="s">
        <v>14</v>
      </c>
    </row>
    <row r="261" spans="1:15" ht="14.25" thickBot="1" x14ac:dyDescent="0.2">
      <c r="A261" s="2" t="s">
        <v>1</v>
      </c>
      <c r="B261" s="3" t="s">
        <v>2</v>
      </c>
      <c r="C261" s="43" t="s">
        <v>3</v>
      </c>
      <c r="D261" s="4" t="s">
        <v>4</v>
      </c>
      <c r="E261" s="2" t="s">
        <v>5</v>
      </c>
      <c r="F261" s="3" t="s">
        <v>2</v>
      </c>
      <c r="G261" s="43" t="s">
        <v>3</v>
      </c>
      <c r="H261" s="4" t="s">
        <v>4</v>
      </c>
      <c r="I261" s="2" t="s">
        <v>5</v>
      </c>
      <c r="J261" s="3" t="s">
        <v>2</v>
      </c>
      <c r="K261" s="43" t="s">
        <v>3</v>
      </c>
      <c r="L261" s="4" t="s">
        <v>4</v>
      </c>
      <c r="M261" s="2" t="s">
        <v>5</v>
      </c>
      <c r="N261" s="108"/>
    </row>
    <row r="262" spans="1:15" x14ac:dyDescent="0.15">
      <c r="A262" s="5" t="s">
        <v>10</v>
      </c>
      <c r="B262" s="6">
        <f>B256</f>
        <v>0</v>
      </c>
      <c r="C262" s="50">
        <f t="shared" ref="C262:N262" si="65">C256</f>
        <v>6</v>
      </c>
      <c r="D262" s="6">
        <f t="shared" si="65"/>
        <v>5</v>
      </c>
      <c r="E262" s="7">
        <f t="shared" si="65"/>
        <v>11</v>
      </c>
      <c r="F262" s="6">
        <f t="shared" si="65"/>
        <v>4</v>
      </c>
      <c r="G262" s="50">
        <f t="shared" si="65"/>
        <v>6</v>
      </c>
      <c r="H262" s="6">
        <f t="shared" si="65"/>
        <v>6</v>
      </c>
      <c r="I262" s="7">
        <f t="shared" si="65"/>
        <v>16</v>
      </c>
      <c r="J262" s="6">
        <f t="shared" si="65"/>
        <v>2</v>
      </c>
      <c r="K262" s="50">
        <f t="shared" si="65"/>
        <v>4</v>
      </c>
      <c r="L262" s="6">
        <f t="shared" si="65"/>
        <v>1</v>
      </c>
      <c r="M262" s="7">
        <f t="shared" si="65"/>
        <v>7</v>
      </c>
      <c r="N262" s="8">
        <f t="shared" si="65"/>
        <v>34</v>
      </c>
    </row>
    <row r="263" spans="1:15" x14ac:dyDescent="0.15">
      <c r="A263" s="9" t="s">
        <v>7</v>
      </c>
      <c r="B263" s="69"/>
      <c r="C263" s="45"/>
      <c r="D263" s="16"/>
      <c r="E263" s="12">
        <f t="shared" ref="E263:E297" si="66">SUM(B263:D263)</f>
        <v>0</v>
      </c>
      <c r="F263" s="16"/>
      <c r="G263" s="45"/>
      <c r="H263" s="16"/>
      <c r="I263" s="12">
        <f t="shared" ref="I263:I297" si="67">SUM(F263:H263)</f>
        <v>0</v>
      </c>
      <c r="J263" s="16">
        <v>3</v>
      </c>
      <c r="K263" s="45"/>
      <c r="L263" s="69" t="s">
        <v>38</v>
      </c>
      <c r="M263" s="12">
        <f t="shared" ref="M263:M297" si="68">SUM(J263:L263)</f>
        <v>3</v>
      </c>
      <c r="N263" s="13">
        <f t="shared" ref="N263:N299" si="69">E263+I263+M263</f>
        <v>3</v>
      </c>
      <c r="O263" s="15">
        <v>45477</v>
      </c>
    </row>
    <row r="264" spans="1:15" x14ac:dyDescent="0.15">
      <c r="A264" s="9" t="s">
        <v>7</v>
      </c>
      <c r="B264" s="69"/>
      <c r="C264" s="45">
        <v>2</v>
      </c>
      <c r="D264" s="16"/>
      <c r="E264" s="12">
        <f t="shared" si="66"/>
        <v>2</v>
      </c>
      <c r="F264" s="16">
        <v>2</v>
      </c>
      <c r="G264" s="45">
        <v>3</v>
      </c>
      <c r="H264" s="16"/>
      <c r="I264" s="12">
        <f t="shared" si="67"/>
        <v>5</v>
      </c>
      <c r="J264" s="16"/>
      <c r="K264" s="45">
        <v>3</v>
      </c>
      <c r="L264" s="69"/>
      <c r="M264" s="12">
        <f t="shared" si="68"/>
        <v>3</v>
      </c>
      <c r="N264" s="13">
        <f t="shared" si="69"/>
        <v>10</v>
      </c>
      <c r="O264" s="15">
        <v>45489</v>
      </c>
    </row>
    <row r="265" spans="1:15" x14ac:dyDescent="0.15">
      <c r="A265" s="9" t="s">
        <v>7</v>
      </c>
      <c r="B265" s="69"/>
      <c r="C265" s="45"/>
      <c r="D265" s="16">
        <v>4</v>
      </c>
      <c r="E265" s="12">
        <f t="shared" si="66"/>
        <v>4</v>
      </c>
      <c r="F265" s="16"/>
      <c r="G265" s="45"/>
      <c r="H265" s="16">
        <v>3</v>
      </c>
      <c r="I265" s="12">
        <f t="shared" si="67"/>
        <v>3</v>
      </c>
      <c r="J265" s="16"/>
      <c r="K265" s="45"/>
      <c r="L265" s="69"/>
      <c r="M265" s="12">
        <f t="shared" si="68"/>
        <v>0</v>
      </c>
      <c r="N265" s="13">
        <f t="shared" si="69"/>
        <v>7</v>
      </c>
      <c r="O265" s="15">
        <v>45498</v>
      </c>
    </row>
    <row r="266" spans="1:15" x14ac:dyDescent="0.15">
      <c r="A266" s="9" t="s">
        <v>37</v>
      </c>
      <c r="B266" s="69">
        <v>0</v>
      </c>
      <c r="C266" s="45">
        <v>0</v>
      </c>
      <c r="D266" s="16">
        <v>-2</v>
      </c>
      <c r="E266" s="12">
        <f t="shared" si="66"/>
        <v>-2</v>
      </c>
      <c r="F266" s="16">
        <v>-2</v>
      </c>
      <c r="G266" s="45">
        <v>0</v>
      </c>
      <c r="H266" s="16">
        <v>-1</v>
      </c>
      <c r="I266" s="12">
        <f t="shared" si="67"/>
        <v>-3</v>
      </c>
      <c r="J266" s="16">
        <v>0</v>
      </c>
      <c r="K266" s="45">
        <v>0</v>
      </c>
      <c r="L266" s="69">
        <v>-1</v>
      </c>
      <c r="M266" s="12">
        <f t="shared" si="68"/>
        <v>-1</v>
      </c>
      <c r="N266" s="13">
        <f t="shared" si="69"/>
        <v>-6</v>
      </c>
      <c r="O266" s="15">
        <v>45526</v>
      </c>
    </row>
    <row r="267" spans="1:15" x14ac:dyDescent="0.15">
      <c r="A267" s="9" t="s">
        <v>7</v>
      </c>
      <c r="B267" s="69"/>
      <c r="C267" s="45">
        <v>3</v>
      </c>
      <c r="D267" s="16"/>
      <c r="E267" s="12">
        <f t="shared" si="66"/>
        <v>3</v>
      </c>
      <c r="F267" s="16"/>
      <c r="G267" s="45"/>
      <c r="H267" s="16"/>
      <c r="I267" s="12">
        <f t="shared" si="67"/>
        <v>0</v>
      </c>
      <c r="J267" s="16"/>
      <c r="K267" s="45"/>
      <c r="L267" s="69"/>
      <c r="M267" s="12">
        <f t="shared" si="68"/>
        <v>0</v>
      </c>
      <c r="N267" s="13">
        <f t="shared" si="69"/>
        <v>3</v>
      </c>
      <c r="O267" s="15">
        <v>45555</v>
      </c>
    </row>
    <row r="268" spans="1:15" x14ac:dyDescent="0.15">
      <c r="A268" s="9" t="s">
        <v>7</v>
      </c>
      <c r="B268" s="69"/>
      <c r="C268" s="45"/>
      <c r="D268" s="16"/>
      <c r="E268" s="12">
        <f t="shared" si="66"/>
        <v>0</v>
      </c>
      <c r="F268" s="16"/>
      <c r="G268" s="45"/>
      <c r="H268" s="16"/>
      <c r="I268" s="12">
        <f t="shared" si="67"/>
        <v>0</v>
      </c>
      <c r="J268" s="16"/>
      <c r="K268" s="45"/>
      <c r="L268" s="69"/>
      <c r="M268" s="12">
        <f t="shared" si="68"/>
        <v>0</v>
      </c>
      <c r="N268" s="13">
        <f t="shared" si="69"/>
        <v>0</v>
      </c>
    </row>
    <row r="269" spans="1:15" x14ac:dyDescent="0.15">
      <c r="A269" s="9" t="s">
        <v>7</v>
      </c>
      <c r="B269" s="69"/>
      <c r="C269" s="45"/>
      <c r="D269" s="16"/>
      <c r="E269" s="12">
        <f t="shared" si="66"/>
        <v>0</v>
      </c>
      <c r="F269" s="16"/>
      <c r="G269" s="45"/>
      <c r="H269" s="16"/>
      <c r="I269" s="12">
        <f t="shared" si="67"/>
        <v>0</v>
      </c>
      <c r="J269" s="16"/>
      <c r="K269" s="45"/>
      <c r="L269" s="69"/>
      <c r="M269" s="12">
        <f t="shared" si="68"/>
        <v>0</v>
      </c>
      <c r="N269" s="13">
        <f t="shared" si="69"/>
        <v>0</v>
      </c>
    </row>
    <row r="270" spans="1:15" x14ac:dyDescent="0.15">
      <c r="A270" s="9" t="s">
        <v>7</v>
      </c>
      <c r="B270" s="69"/>
      <c r="C270" s="45"/>
      <c r="D270" s="16"/>
      <c r="E270" s="12">
        <f t="shared" si="66"/>
        <v>0</v>
      </c>
      <c r="F270" s="16"/>
      <c r="G270" s="45"/>
      <c r="H270" s="16"/>
      <c r="I270" s="12">
        <f t="shared" si="67"/>
        <v>0</v>
      </c>
      <c r="J270" s="16"/>
      <c r="K270" s="45"/>
      <c r="L270" s="69"/>
      <c r="M270" s="12">
        <f t="shared" si="68"/>
        <v>0</v>
      </c>
      <c r="N270" s="13">
        <f t="shared" si="69"/>
        <v>0</v>
      </c>
    </row>
    <row r="271" spans="1:15" x14ac:dyDescent="0.15">
      <c r="A271" s="9" t="s">
        <v>7</v>
      </c>
      <c r="B271" s="69"/>
      <c r="C271" s="45"/>
      <c r="D271" s="16"/>
      <c r="E271" s="12">
        <f t="shared" si="66"/>
        <v>0</v>
      </c>
      <c r="F271" s="16"/>
      <c r="G271" s="45"/>
      <c r="H271" s="16"/>
      <c r="I271" s="12">
        <f t="shared" si="67"/>
        <v>0</v>
      </c>
      <c r="J271" s="16"/>
      <c r="K271" s="45"/>
      <c r="L271" s="69"/>
      <c r="M271" s="12">
        <f t="shared" si="68"/>
        <v>0</v>
      </c>
      <c r="N271" s="13">
        <f t="shared" si="69"/>
        <v>0</v>
      </c>
    </row>
    <row r="272" spans="1:15" ht="14.25" thickBot="1" x14ac:dyDescent="0.2">
      <c r="A272" s="17" t="s">
        <v>7</v>
      </c>
      <c r="B272" s="70"/>
      <c r="C272" s="46"/>
      <c r="D272" s="18"/>
      <c r="E272" s="19">
        <f t="shared" si="66"/>
        <v>0</v>
      </c>
      <c r="F272" s="18"/>
      <c r="G272" s="46"/>
      <c r="H272" s="18"/>
      <c r="I272" s="19">
        <f t="shared" si="67"/>
        <v>0</v>
      </c>
      <c r="J272" s="18"/>
      <c r="K272" s="46"/>
      <c r="L272" s="70"/>
      <c r="M272" s="19">
        <f t="shared" si="68"/>
        <v>0</v>
      </c>
      <c r="N272" s="20">
        <f t="shared" si="69"/>
        <v>0</v>
      </c>
    </row>
    <row r="273" spans="1:15" ht="14.25" thickBot="1" x14ac:dyDescent="0.2">
      <c r="A273" s="21" t="s">
        <v>8</v>
      </c>
      <c r="B273" s="22">
        <f>SUM(B262:B272)</f>
        <v>0</v>
      </c>
      <c r="C273" s="47">
        <f>SUM(C262:C272)</f>
        <v>11</v>
      </c>
      <c r="D273" s="40">
        <f>SUM(D262:D272)</f>
        <v>7</v>
      </c>
      <c r="E273" s="23">
        <f t="shared" si="66"/>
        <v>18</v>
      </c>
      <c r="F273" s="22">
        <f>SUM(F262:F272)</f>
        <v>4</v>
      </c>
      <c r="G273" s="47">
        <f>SUM(G262:G272)</f>
        <v>9</v>
      </c>
      <c r="H273" s="40">
        <f>SUM(H262:H272)</f>
        <v>8</v>
      </c>
      <c r="I273" s="23">
        <f t="shared" si="67"/>
        <v>21</v>
      </c>
      <c r="J273" s="22">
        <f>SUM(J262:J272)</f>
        <v>5</v>
      </c>
      <c r="K273" s="47">
        <f>SUM(K262:K272)</f>
        <v>7</v>
      </c>
      <c r="L273" s="40">
        <f>SUM(L262:L272)</f>
        <v>0</v>
      </c>
      <c r="M273" s="23">
        <f t="shared" si="68"/>
        <v>12</v>
      </c>
      <c r="N273" s="24">
        <f t="shared" si="69"/>
        <v>51</v>
      </c>
    </row>
    <row r="274" spans="1:15" x14ac:dyDescent="0.15">
      <c r="A274" s="25" t="s">
        <v>28</v>
      </c>
      <c r="B274" s="29"/>
      <c r="C274" s="45"/>
      <c r="D274" s="16"/>
      <c r="E274" s="12">
        <f t="shared" si="66"/>
        <v>0</v>
      </c>
      <c r="F274" s="29"/>
      <c r="G274" s="45">
        <v>1</v>
      </c>
      <c r="H274" s="16"/>
      <c r="I274" s="12">
        <f t="shared" si="67"/>
        <v>1</v>
      </c>
      <c r="J274" s="29"/>
      <c r="K274" s="45"/>
      <c r="L274" s="16"/>
      <c r="M274" s="12">
        <f t="shared" si="68"/>
        <v>0</v>
      </c>
      <c r="N274" s="13">
        <f t="shared" si="69"/>
        <v>1</v>
      </c>
      <c r="O274" s="30">
        <v>45476</v>
      </c>
    </row>
    <row r="275" spans="1:15" x14ac:dyDescent="0.15">
      <c r="A275" s="25" t="s">
        <v>28</v>
      </c>
      <c r="B275" s="29"/>
      <c r="C275" s="45">
        <v>1</v>
      </c>
      <c r="D275" s="16"/>
      <c r="E275" s="12">
        <f t="shared" si="66"/>
        <v>1</v>
      </c>
      <c r="F275" s="29"/>
      <c r="G275" s="45">
        <v>1</v>
      </c>
      <c r="H275" s="16"/>
      <c r="I275" s="12">
        <f t="shared" si="67"/>
        <v>1</v>
      </c>
      <c r="J275" s="29"/>
      <c r="K275" s="45">
        <v>1</v>
      </c>
      <c r="L275" s="16"/>
      <c r="M275" s="12">
        <f t="shared" si="68"/>
        <v>1</v>
      </c>
      <c r="N275" s="13">
        <f t="shared" si="69"/>
        <v>3</v>
      </c>
      <c r="O275" s="30">
        <v>45477</v>
      </c>
    </row>
    <row r="276" spans="1:15" x14ac:dyDescent="0.15">
      <c r="A276" s="25" t="s">
        <v>28</v>
      </c>
      <c r="B276" s="29"/>
      <c r="C276" s="45">
        <v>1</v>
      </c>
      <c r="D276" s="16"/>
      <c r="E276" s="12">
        <f t="shared" si="66"/>
        <v>1</v>
      </c>
      <c r="F276" s="29"/>
      <c r="G276" s="45">
        <v>1</v>
      </c>
      <c r="H276" s="16"/>
      <c r="I276" s="12">
        <f t="shared" si="67"/>
        <v>1</v>
      </c>
      <c r="J276" s="29"/>
      <c r="K276" s="45"/>
      <c r="L276" s="16"/>
      <c r="M276" s="12">
        <f t="shared" si="68"/>
        <v>0</v>
      </c>
      <c r="N276" s="13">
        <f t="shared" si="69"/>
        <v>2</v>
      </c>
      <c r="O276" s="30">
        <v>45478</v>
      </c>
    </row>
    <row r="277" spans="1:15" x14ac:dyDescent="0.15">
      <c r="A277" s="25" t="s">
        <v>28</v>
      </c>
      <c r="B277" s="29"/>
      <c r="C277" s="45">
        <v>1</v>
      </c>
      <c r="D277" s="16"/>
      <c r="E277" s="12">
        <f t="shared" si="66"/>
        <v>1</v>
      </c>
      <c r="F277" s="29"/>
      <c r="G277" s="45">
        <v>1</v>
      </c>
      <c r="H277" s="16"/>
      <c r="I277" s="12">
        <f t="shared" si="67"/>
        <v>1</v>
      </c>
      <c r="J277" s="29"/>
      <c r="K277" s="45">
        <v>1</v>
      </c>
      <c r="L277" s="16"/>
      <c r="M277" s="12">
        <f t="shared" si="68"/>
        <v>1</v>
      </c>
      <c r="N277" s="13">
        <f t="shared" si="69"/>
        <v>3</v>
      </c>
      <c r="O277" s="30">
        <v>45482</v>
      </c>
    </row>
    <row r="278" spans="1:15" x14ac:dyDescent="0.15">
      <c r="A278" s="25" t="s">
        <v>28</v>
      </c>
      <c r="B278" s="29"/>
      <c r="C278" s="45"/>
      <c r="D278" s="16"/>
      <c r="E278" s="12">
        <f t="shared" si="66"/>
        <v>0</v>
      </c>
      <c r="F278" s="29"/>
      <c r="G278" s="45"/>
      <c r="H278" s="16">
        <v>1</v>
      </c>
      <c r="I278" s="12">
        <f t="shared" si="67"/>
        <v>1</v>
      </c>
      <c r="J278" s="29"/>
      <c r="K278" s="45"/>
      <c r="L278" s="16"/>
      <c r="M278" s="12">
        <f t="shared" si="68"/>
        <v>0</v>
      </c>
      <c r="N278" s="13">
        <f t="shared" si="69"/>
        <v>1</v>
      </c>
      <c r="O278" s="30">
        <v>45485</v>
      </c>
    </row>
    <row r="279" spans="1:15" x14ac:dyDescent="0.15">
      <c r="A279" s="25" t="s">
        <v>28</v>
      </c>
      <c r="B279" s="29"/>
      <c r="C279" s="45"/>
      <c r="D279" s="16">
        <v>1</v>
      </c>
      <c r="E279" s="12">
        <f t="shared" si="66"/>
        <v>1</v>
      </c>
      <c r="F279" s="29"/>
      <c r="G279" s="45"/>
      <c r="H279" s="16"/>
      <c r="I279" s="12">
        <f t="shared" si="67"/>
        <v>0</v>
      </c>
      <c r="J279" s="29"/>
      <c r="K279" s="45"/>
      <c r="L279" s="16"/>
      <c r="M279" s="12">
        <f t="shared" si="68"/>
        <v>0</v>
      </c>
      <c r="N279" s="13">
        <f t="shared" si="69"/>
        <v>1</v>
      </c>
      <c r="O279" s="30">
        <v>45489</v>
      </c>
    </row>
    <row r="280" spans="1:15" x14ac:dyDescent="0.15">
      <c r="A280" s="25" t="s">
        <v>28</v>
      </c>
      <c r="B280" s="29"/>
      <c r="C280" s="45"/>
      <c r="D280" s="16">
        <v>1</v>
      </c>
      <c r="E280" s="12">
        <f t="shared" si="66"/>
        <v>1</v>
      </c>
      <c r="F280" s="29"/>
      <c r="G280" s="45"/>
      <c r="H280" s="16">
        <v>1</v>
      </c>
      <c r="I280" s="12">
        <f t="shared" si="67"/>
        <v>1</v>
      </c>
      <c r="J280" s="29"/>
      <c r="K280" s="45"/>
      <c r="L280" s="16"/>
      <c r="M280" s="12">
        <f t="shared" si="68"/>
        <v>0</v>
      </c>
      <c r="N280" s="13">
        <f t="shared" si="69"/>
        <v>2</v>
      </c>
      <c r="O280" s="30">
        <v>45495</v>
      </c>
    </row>
    <row r="281" spans="1:15" x14ac:dyDescent="0.15">
      <c r="A281" s="25" t="s">
        <v>28</v>
      </c>
      <c r="B281" s="29"/>
      <c r="C281" s="45"/>
      <c r="D281" s="16">
        <v>1</v>
      </c>
      <c r="E281" s="12">
        <f t="shared" si="66"/>
        <v>1</v>
      </c>
      <c r="F281" s="29"/>
      <c r="G281" s="45"/>
      <c r="H281" s="16">
        <v>2</v>
      </c>
      <c r="I281" s="12">
        <f t="shared" si="67"/>
        <v>2</v>
      </c>
      <c r="J281" s="29"/>
      <c r="K281" s="45"/>
      <c r="L281" s="16"/>
      <c r="M281" s="12">
        <f t="shared" si="68"/>
        <v>0</v>
      </c>
      <c r="N281" s="13">
        <f t="shared" si="69"/>
        <v>3</v>
      </c>
      <c r="O281" s="30">
        <v>45496</v>
      </c>
    </row>
    <row r="282" spans="1:15" x14ac:dyDescent="0.15">
      <c r="A282" s="25" t="s">
        <v>28</v>
      </c>
      <c r="B282" s="29"/>
      <c r="C282" s="45"/>
      <c r="D282" s="16">
        <v>2</v>
      </c>
      <c r="E282" s="12">
        <f t="shared" si="66"/>
        <v>2</v>
      </c>
      <c r="F282" s="29">
        <v>1</v>
      </c>
      <c r="G282" s="45"/>
      <c r="H282" s="16">
        <v>1</v>
      </c>
      <c r="I282" s="12">
        <f t="shared" si="67"/>
        <v>2</v>
      </c>
      <c r="J282" s="29">
        <v>1</v>
      </c>
      <c r="K282" s="45"/>
      <c r="L282" s="16"/>
      <c r="M282" s="12">
        <f t="shared" si="68"/>
        <v>1</v>
      </c>
      <c r="N282" s="13">
        <f t="shared" si="69"/>
        <v>5</v>
      </c>
      <c r="O282" s="30">
        <v>45498</v>
      </c>
    </row>
    <row r="283" spans="1:15" x14ac:dyDescent="0.15">
      <c r="A283" s="25" t="s">
        <v>28</v>
      </c>
      <c r="B283" s="29"/>
      <c r="C283" s="45"/>
      <c r="D283" s="16"/>
      <c r="E283" s="12">
        <f t="shared" si="66"/>
        <v>0</v>
      </c>
      <c r="F283" s="29"/>
      <c r="G283" s="45">
        <v>1</v>
      </c>
      <c r="H283" s="16"/>
      <c r="I283" s="12">
        <f t="shared" si="67"/>
        <v>1</v>
      </c>
      <c r="J283" s="29"/>
      <c r="K283" s="45"/>
      <c r="L283" s="16"/>
      <c r="M283" s="12">
        <f t="shared" si="68"/>
        <v>0</v>
      </c>
      <c r="N283" s="13">
        <f t="shared" si="69"/>
        <v>1</v>
      </c>
      <c r="O283" s="30">
        <v>45503</v>
      </c>
    </row>
    <row r="284" spans="1:15" x14ac:dyDescent="0.15">
      <c r="A284" s="25" t="s">
        <v>28</v>
      </c>
      <c r="B284" s="29"/>
      <c r="C284" s="45">
        <v>1</v>
      </c>
      <c r="D284" s="16"/>
      <c r="E284" s="12">
        <f t="shared" si="66"/>
        <v>1</v>
      </c>
      <c r="F284" s="29"/>
      <c r="G284" s="45"/>
      <c r="H284" s="16"/>
      <c r="I284" s="12">
        <f t="shared" si="67"/>
        <v>0</v>
      </c>
      <c r="J284" s="29"/>
      <c r="K284" s="45"/>
      <c r="L284" s="16"/>
      <c r="M284" s="12">
        <f t="shared" si="68"/>
        <v>0</v>
      </c>
      <c r="N284" s="13">
        <f t="shared" si="69"/>
        <v>1</v>
      </c>
      <c r="O284" s="30">
        <v>45510</v>
      </c>
    </row>
    <row r="285" spans="1:15" x14ac:dyDescent="0.15">
      <c r="A285" s="25" t="s">
        <v>28</v>
      </c>
      <c r="B285" s="29"/>
      <c r="C285" s="45">
        <v>1</v>
      </c>
      <c r="D285" s="16"/>
      <c r="E285" s="12">
        <f t="shared" si="66"/>
        <v>1</v>
      </c>
      <c r="F285" s="29"/>
      <c r="G285" s="45">
        <v>1</v>
      </c>
      <c r="H285" s="16"/>
      <c r="I285" s="12">
        <f t="shared" si="67"/>
        <v>1</v>
      </c>
      <c r="J285" s="29"/>
      <c r="K285" s="45">
        <v>1</v>
      </c>
      <c r="L285" s="16"/>
      <c r="M285" s="12">
        <f t="shared" si="68"/>
        <v>1</v>
      </c>
      <c r="N285" s="13">
        <f t="shared" si="69"/>
        <v>3</v>
      </c>
      <c r="O285" s="30">
        <v>45513</v>
      </c>
    </row>
    <row r="286" spans="1:15" x14ac:dyDescent="0.15">
      <c r="A286" s="25" t="s">
        <v>28</v>
      </c>
      <c r="B286" s="29"/>
      <c r="C286" s="45"/>
      <c r="D286" s="16"/>
      <c r="E286" s="12">
        <f t="shared" si="66"/>
        <v>0</v>
      </c>
      <c r="F286" s="29"/>
      <c r="G286" s="45"/>
      <c r="H286" s="16"/>
      <c r="I286" s="12">
        <f t="shared" si="67"/>
        <v>0</v>
      </c>
      <c r="J286" s="29"/>
      <c r="K286" s="45">
        <v>1</v>
      </c>
      <c r="L286" s="16"/>
      <c r="M286" s="12">
        <f t="shared" si="68"/>
        <v>1</v>
      </c>
      <c r="N286" s="13">
        <f t="shared" si="69"/>
        <v>1</v>
      </c>
      <c r="O286" s="30">
        <v>45515</v>
      </c>
    </row>
    <row r="287" spans="1:15" x14ac:dyDescent="0.15">
      <c r="A287" s="25" t="s">
        <v>28</v>
      </c>
      <c r="B287" s="29"/>
      <c r="C287" s="45">
        <v>1</v>
      </c>
      <c r="D287" s="16"/>
      <c r="E287" s="12">
        <f t="shared" si="66"/>
        <v>1</v>
      </c>
      <c r="F287" s="29"/>
      <c r="G287" s="45"/>
      <c r="H287" s="16"/>
      <c r="I287" s="12">
        <f t="shared" si="67"/>
        <v>0</v>
      </c>
      <c r="J287" s="29"/>
      <c r="K287" s="45"/>
      <c r="L287" s="16"/>
      <c r="M287" s="12">
        <f t="shared" si="68"/>
        <v>0</v>
      </c>
      <c r="N287" s="13">
        <f t="shared" si="69"/>
        <v>1</v>
      </c>
      <c r="O287" s="30">
        <v>45520</v>
      </c>
    </row>
    <row r="288" spans="1:15" x14ac:dyDescent="0.15">
      <c r="A288" s="25" t="s">
        <v>28</v>
      </c>
      <c r="B288" s="29"/>
      <c r="C288" s="45">
        <v>2</v>
      </c>
      <c r="D288" s="16"/>
      <c r="E288" s="12">
        <f t="shared" si="66"/>
        <v>2</v>
      </c>
      <c r="F288" s="29"/>
      <c r="G288" s="45"/>
      <c r="H288" s="16"/>
      <c r="I288" s="12">
        <f t="shared" si="67"/>
        <v>0</v>
      </c>
      <c r="J288" s="29"/>
      <c r="K288" s="45"/>
      <c r="L288" s="16"/>
      <c r="M288" s="12">
        <f t="shared" si="68"/>
        <v>0</v>
      </c>
      <c r="N288" s="13">
        <f t="shared" si="69"/>
        <v>2</v>
      </c>
      <c r="O288" s="30">
        <v>45521</v>
      </c>
    </row>
    <row r="289" spans="1:29" x14ac:dyDescent="0.15">
      <c r="A289" s="25" t="s">
        <v>28</v>
      </c>
      <c r="B289" s="29"/>
      <c r="C289" s="45"/>
      <c r="D289" s="16"/>
      <c r="E289" s="12">
        <f t="shared" si="66"/>
        <v>0</v>
      </c>
      <c r="F289" s="29">
        <v>1</v>
      </c>
      <c r="G289" s="45"/>
      <c r="H289" s="16"/>
      <c r="I289" s="12">
        <f t="shared" si="67"/>
        <v>1</v>
      </c>
      <c r="J289" s="29">
        <v>1</v>
      </c>
      <c r="K289" s="45"/>
      <c r="L289" s="16"/>
      <c r="M289" s="12">
        <f t="shared" si="68"/>
        <v>1</v>
      </c>
      <c r="N289" s="13">
        <f t="shared" si="69"/>
        <v>2</v>
      </c>
      <c r="O289" s="30">
        <v>45530</v>
      </c>
    </row>
    <row r="290" spans="1:29" x14ac:dyDescent="0.15">
      <c r="A290" s="25" t="s">
        <v>28</v>
      </c>
      <c r="B290" s="29"/>
      <c r="C290" s="45"/>
      <c r="D290" s="16"/>
      <c r="E290" s="12">
        <f t="shared" si="66"/>
        <v>0</v>
      </c>
      <c r="F290" s="29"/>
      <c r="G290" s="45"/>
      <c r="H290" s="16">
        <v>1</v>
      </c>
      <c r="I290" s="12">
        <f t="shared" si="67"/>
        <v>1</v>
      </c>
      <c r="J290" s="29"/>
      <c r="K290" s="45"/>
      <c r="L290" s="16"/>
      <c r="M290" s="12">
        <f t="shared" si="68"/>
        <v>0</v>
      </c>
      <c r="N290" s="13">
        <f t="shared" si="69"/>
        <v>1</v>
      </c>
      <c r="O290" s="30">
        <v>45537</v>
      </c>
    </row>
    <row r="291" spans="1:29" x14ac:dyDescent="0.15">
      <c r="A291" s="25" t="s">
        <v>28</v>
      </c>
      <c r="B291" s="29"/>
      <c r="C291" s="45"/>
      <c r="D291" s="16"/>
      <c r="E291" s="12">
        <f t="shared" si="66"/>
        <v>0</v>
      </c>
      <c r="F291" s="29"/>
      <c r="G291" s="45">
        <v>1</v>
      </c>
      <c r="H291" s="16"/>
      <c r="I291" s="12">
        <f t="shared" si="67"/>
        <v>1</v>
      </c>
      <c r="J291" s="29"/>
      <c r="K291" s="45"/>
      <c r="L291" s="16"/>
      <c r="M291" s="12">
        <f t="shared" si="68"/>
        <v>0</v>
      </c>
      <c r="N291" s="13">
        <f t="shared" si="69"/>
        <v>1</v>
      </c>
      <c r="O291" s="30">
        <v>45539</v>
      </c>
    </row>
    <row r="292" spans="1:29" x14ac:dyDescent="0.15">
      <c r="A292" s="25" t="s">
        <v>28</v>
      </c>
      <c r="B292" s="29"/>
      <c r="C292" s="45"/>
      <c r="D292" s="16"/>
      <c r="E292" s="12">
        <f t="shared" si="66"/>
        <v>0</v>
      </c>
      <c r="F292" s="29">
        <v>1</v>
      </c>
      <c r="G292" s="45"/>
      <c r="H292" s="16"/>
      <c r="I292" s="12">
        <f t="shared" si="67"/>
        <v>1</v>
      </c>
      <c r="J292" s="29"/>
      <c r="K292" s="45"/>
      <c r="L292" s="16"/>
      <c r="M292" s="12">
        <f t="shared" si="68"/>
        <v>0</v>
      </c>
      <c r="N292" s="13">
        <f t="shared" si="69"/>
        <v>1</v>
      </c>
      <c r="O292" s="30">
        <v>45544</v>
      </c>
    </row>
    <row r="293" spans="1:29" x14ac:dyDescent="0.15">
      <c r="A293" s="25" t="s">
        <v>28</v>
      </c>
      <c r="B293" s="29"/>
      <c r="C293" s="45"/>
      <c r="D293" s="16">
        <v>2</v>
      </c>
      <c r="E293" s="12">
        <f t="shared" si="66"/>
        <v>2</v>
      </c>
      <c r="F293" s="29"/>
      <c r="G293" s="45"/>
      <c r="H293" s="16">
        <v>1</v>
      </c>
      <c r="I293" s="12">
        <f t="shared" si="67"/>
        <v>1</v>
      </c>
      <c r="J293" s="29"/>
      <c r="K293" s="45">
        <v>1</v>
      </c>
      <c r="L293" s="16"/>
      <c r="M293" s="12">
        <f t="shared" si="68"/>
        <v>1</v>
      </c>
      <c r="N293" s="13">
        <f t="shared" si="69"/>
        <v>4</v>
      </c>
      <c r="O293" s="30">
        <v>45559</v>
      </c>
    </row>
    <row r="294" spans="1:29" x14ac:dyDescent="0.15">
      <c r="A294" s="25" t="s">
        <v>28</v>
      </c>
      <c r="B294" s="29"/>
      <c r="C294" s="45">
        <v>1</v>
      </c>
      <c r="D294" s="16"/>
      <c r="E294" s="12">
        <f t="shared" si="66"/>
        <v>1</v>
      </c>
      <c r="F294" s="29"/>
      <c r="G294" s="45">
        <v>1</v>
      </c>
      <c r="H294" s="16"/>
      <c r="I294" s="12">
        <f t="shared" si="67"/>
        <v>1</v>
      </c>
      <c r="J294" s="29"/>
      <c r="K294" s="45">
        <v>1</v>
      </c>
      <c r="L294" s="16"/>
      <c r="M294" s="12">
        <f t="shared" si="68"/>
        <v>1</v>
      </c>
      <c r="N294" s="13">
        <f t="shared" si="69"/>
        <v>3</v>
      </c>
      <c r="O294" s="30">
        <v>45561</v>
      </c>
    </row>
    <row r="295" spans="1:29" x14ac:dyDescent="0.15">
      <c r="A295" s="25" t="s">
        <v>28</v>
      </c>
      <c r="B295" s="29"/>
      <c r="C295" s="45"/>
      <c r="D295" s="16"/>
      <c r="E295" s="12">
        <f t="shared" si="66"/>
        <v>0</v>
      </c>
      <c r="F295" s="29"/>
      <c r="G295" s="45"/>
      <c r="H295" s="16">
        <v>1</v>
      </c>
      <c r="I295" s="12">
        <f t="shared" si="67"/>
        <v>1</v>
      </c>
      <c r="J295" s="29"/>
      <c r="K295" s="45"/>
      <c r="L295" s="16"/>
      <c r="M295" s="12">
        <f t="shared" si="68"/>
        <v>0</v>
      </c>
      <c r="N295" s="13">
        <f t="shared" si="69"/>
        <v>1</v>
      </c>
      <c r="O295" s="30">
        <v>45562</v>
      </c>
    </row>
    <row r="296" spans="1:29" x14ac:dyDescent="0.15">
      <c r="A296" s="25" t="s">
        <v>28</v>
      </c>
      <c r="B296" s="29"/>
      <c r="C296" s="45">
        <v>1</v>
      </c>
      <c r="D296" s="16"/>
      <c r="E296" s="12">
        <f t="shared" si="66"/>
        <v>1</v>
      </c>
      <c r="F296" s="29"/>
      <c r="G296" s="45"/>
      <c r="H296" s="16"/>
      <c r="I296" s="12">
        <f t="shared" si="67"/>
        <v>0</v>
      </c>
      <c r="J296" s="29"/>
      <c r="K296" s="45"/>
      <c r="L296" s="16"/>
      <c r="M296" s="12">
        <f t="shared" si="68"/>
        <v>0</v>
      </c>
      <c r="N296" s="13">
        <f t="shared" si="69"/>
        <v>1</v>
      </c>
      <c r="O296" s="30">
        <v>45565</v>
      </c>
    </row>
    <row r="297" spans="1:29" ht="14.25" thickBot="1" x14ac:dyDescent="0.2">
      <c r="A297" s="25" t="s">
        <v>28</v>
      </c>
      <c r="B297" s="29"/>
      <c r="C297" s="45"/>
      <c r="D297" s="16"/>
      <c r="E297" s="12">
        <f t="shared" si="66"/>
        <v>0</v>
      </c>
      <c r="F297" s="29">
        <v>1</v>
      </c>
      <c r="G297" s="45"/>
      <c r="H297" s="16"/>
      <c r="I297" s="12">
        <f t="shared" si="67"/>
        <v>1</v>
      </c>
      <c r="J297" s="29"/>
      <c r="K297" s="45"/>
      <c r="L297" s="16"/>
      <c r="M297" s="12">
        <f t="shared" si="68"/>
        <v>0</v>
      </c>
      <c r="N297" s="20">
        <f t="shared" si="69"/>
        <v>1</v>
      </c>
      <c r="O297" s="30">
        <v>45569</v>
      </c>
    </row>
    <row r="298" spans="1:29" ht="14.25" thickBot="1" x14ac:dyDescent="0.2">
      <c r="A298" s="3" t="s">
        <v>9</v>
      </c>
      <c r="B298" s="22">
        <f>SUM(B274:B297)</f>
        <v>0</v>
      </c>
      <c r="C298" s="47">
        <f t="shared" ref="C298:E298" si="70">SUM(C274:C297)</f>
        <v>10</v>
      </c>
      <c r="D298" s="41">
        <f t="shared" si="70"/>
        <v>7</v>
      </c>
      <c r="E298" s="31">
        <f t="shared" si="70"/>
        <v>17</v>
      </c>
      <c r="F298" s="22">
        <f>SUM(F274:F297)</f>
        <v>4</v>
      </c>
      <c r="G298" s="47">
        <f t="shared" ref="G298:I298" si="71">SUM(G274:G297)</f>
        <v>8</v>
      </c>
      <c r="H298" s="41">
        <f t="shared" si="71"/>
        <v>8</v>
      </c>
      <c r="I298" s="31">
        <f t="shared" si="71"/>
        <v>20</v>
      </c>
      <c r="J298" s="22">
        <f>SUM(J274:J297)</f>
        <v>2</v>
      </c>
      <c r="K298" s="47">
        <f t="shared" ref="K298:M298" si="72">SUM(K274:K297)</f>
        <v>6</v>
      </c>
      <c r="L298" s="41">
        <f t="shared" si="72"/>
        <v>0</v>
      </c>
      <c r="M298" s="31">
        <f t="shared" si="72"/>
        <v>8</v>
      </c>
      <c r="N298" s="24">
        <f t="shared" si="69"/>
        <v>45</v>
      </c>
    </row>
    <row r="299" spans="1:29" ht="14.25" thickBot="1" x14ac:dyDescent="0.2">
      <c r="A299" s="32" t="s">
        <v>10</v>
      </c>
      <c r="B299" s="33">
        <f>B273-B298</f>
        <v>0</v>
      </c>
      <c r="C299" s="49">
        <f t="shared" ref="C299:E299" si="73">C273-C298</f>
        <v>1</v>
      </c>
      <c r="D299" s="42">
        <f t="shared" si="73"/>
        <v>0</v>
      </c>
      <c r="E299" s="33">
        <f t="shared" si="73"/>
        <v>1</v>
      </c>
      <c r="F299" s="33">
        <f>F273-F298</f>
        <v>0</v>
      </c>
      <c r="G299" s="49">
        <f t="shared" ref="G299:I299" si="74">G273-G298</f>
        <v>1</v>
      </c>
      <c r="H299" s="42">
        <f t="shared" si="74"/>
        <v>0</v>
      </c>
      <c r="I299" s="33">
        <f t="shared" si="74"/>
        <v>1</v>
      </c>
      <c r="J299" s="33">
        <f>J273-J298</f>
        <v>3</v>
      </c>
      <c r="K299" s="49">
        <f t="shared" ref="K299:M299" si="75">K273-K298</f>
        <v>1</v>
      </c>
      <c r="L299" s="42">
        <f t="shared" si="75"/>
        <v>0</v>
      </c>
      <c r="M299" s="33">
        <f t="shared" si="75"/>
        <v>4</v>
      </c>
      <c r="N299" s="24">
        <f t="shared" si="69"/>
        <v>6</v>
      </c>
    </row>
    <row r="302" spans="1:29" ht="21.75" thickBot="1" x14ac:dyDescent="0.25">
      <c r="A302" s="34" t="s">
        <v>25</v>
      </c>
      <c r="B302" s="35"/>
      <c r="C302" s="35"/>
      <c r="D302" s="35"/>
      <c r="E302" s="37"/>
      <c r="F302" s="35"/>
      <c r="G302" s="35"/>
      <c r="H302" s="38" t="s">
        <v>50</v>
      </c>
      <c r="I302" s="1"/>
      <c r="J302" s="1"/>
      <c r="K302" s="1">
        <v>680</v>
      </c>
      <c r="L302" s="1"/>
      <c r="M302" s="1"/>
      <c r="P302" s="34" t="s">
        <v>25</v>
      </c>
      <c r="Q302" s="35"/>
      <c r="R302" s="35"/>
      <c r="S302" s="35"/>
      <c r="T302" s="37"/>
      <c r="U302" s="35"/>
      <c r="V302" s="35"/>
      <c r="W302" s="38" t="s">
        <v>44</v>
      </c>
      <c r="X302" s="1"/>
      <c r="Y302" s="1"/>
      <c r="Z302" s="1"/>
      <c r="AA302" s="1"/>
      <c r="AB302" s="1"/>
      <c r="AC302">
        <v>900</v>
      </c>
    </row>
    <row r="303" spans="1:29" ht="14.25" thickBot="1" x14ac:dyDescent="0.2">
      <c r="A303" s="2" t="s">
        <v>0</v>
      </c>
      <c r="B303" s="115" t="s">
        <v>22</v>
      </c>
      <c r="C303" s="115"/>
      <c r="D303" s="115"/>
      <c r="E303" s="116"/>
      <c r="F303" s="119" t="s">
        <v>23</v>
      </c>
      <c r="G303" s="119"/>
      <c r="H303" s="119"/>
      <c r="I303" s="120"/>
      <c r="J303" s="109" t="s">
        <v>24</v>
      </c>
      <c r="K303" s="109"/>
      <c r="L303" s="109"/>
      <c r="M303" s="110"/>
      <c r="N303" s="107" t="s">
        <v>14</v>
      </c>
      <c r="P303" s="2" t="s">
        <v>0</v>
      </c>
      <c r="Q303" s="121" t="s">
        <v>15</v>
      </c>
      <c r="R303" s="121"/>
      <c r="S303" s="121"/>
      <c r="T303" s="122"/>
      <c r="U303" s="113" t="s">
        <v>45</v>
      </c>
      <c r="V303" s="113"/>
      <c r="W303" s="113"/>
      <c r="X303" s="114"/>
      <c r="Y303" s="111" t="s">
        <v>17</v>
      </c>
      <c r="Z303" s="111"/>
      <c r="AA303" s="111"/>
      <c r="AB303" s="112"/>
      <c r="AC303" s="107" t="s">
        <v>14</v>
      </c>
    </row>
    <row r="304" spans="1:29" ht="14.25" thickBot="1" x14ac:dyDescent="0.2">
      <c r="A304" s="2" t="s">
        <v>1</v>
      </c>
      <c r="B304" s="3" t="s">
        <v>2</v>
      </c>
      <c r="C304" s="43" t="s">
        <v>3</v>
      </c>
      <c r="D304" s="4" t="s">
        <v>4</v>
      </c>
      <c r="E304" s="2" t="s">
        <v>5</v>
      </c>
      <c r="F304" s="3" t="s">
        <v>2</v>
      </c>
      <c r="G304" s="43" t="s">
        <v>3</v>
      </c>
      <c r="H304" s="4" t="s">
        <v>4</v>
      </c>
      <c r="I304" s="2" t="s">
        <v>5</v>
      </c>
      <c r="J304" s="3" t="s">
        <v>2</v>
      </c>
      <c r="K304" s="43" t="s">
        <v>3</v>
      </c>
      <c r="L304" s="4" t="s">
        <v>4</v>
      </c>
      <c r="M304" s="2" t="s">
        <v>5</v>
      </c>
      <c r="N304" s="108"/>
      <c r="P304" s="2" t="s">
        <v>1</v>
      </c>
      <c r="Q304" s="3" t="s">
        <v>2</v>
      </c>
      <c r="R304" s="43" t="s">
        <v>3</v>
      </c>
      <c r="S304" s="4" t="s">
        <v>4</v>
      </c>
      <c r="T304" s="2" t="s">
        <v>5</v>
      </c>
      <c r="U304" s="3" t="s">
        <v>2</v>
      </c>
      <c r="V304" s="43" t="s">
        <v>3</v>
      </c>
      <c r="W304" s="4" t="s">
        <v>4</v>
      </c>
      <c r="X304" s="2" t="s">
        <v>5</v>
      </c>
      <c r="Y304" s="3" t="s">
        <v>2</v>
      </c>
      <c r="Z304" s="43" t="s">
        <v>3</v>
      </c>
      <c r="AA304" s="4" t="s">
        <v>4</v>
      </c>
      <c r="AB304" s="2" t="s">
        <v>5</v>
      </c>
      <c r="AC304" s="108"/>
    </row>
    <row r="305" spans="1:30" x14ac:dyDescent="0.15">
      <c r="A305" s="5" t="s">
        <v>10</v>
      </c>
      <c r="B305" s="6">
        <f>B299</f>
        <v>0</v>
      </c>
      <c r="C305" s="50">
        <f t="shared" ref="C305:N305" si="76">C299</f>
        <v>1</v>
      </c>
      <c r="D305" s="6">
        <f t="shared" si="76"/>
        <v>0</v>
      </c>
      <c r="E305" s="7">
        <f t="shared" si="76"/>
        <v>1</v>
      </c>
      <c r="F305" s="6">
        <f t="shared" si="76"/>
        <v>0</v>
      </c>
      <c r="G305" s="50">
        <f t="shared" si="76"/>
        <v>1</v>
      </c>
      <c r="H305" s="6">
        <f t="shared" si="76"/>
        <v>0</v>
      </c>
      <c r="I305" s="7">
        <f t="shared" si="76"/>
        <v>1</v>
      </c>
      <c r="J305" s="6">
        <f t="shared" si="76"/>
        <v>3</v>
      </c>
      <c r="K305" s="50">
        <f t="shared" si="76"/>
        <v>1</v>
      </c>
      <c r="L305" s="6">
        <f t="shared" si="76"/>
        <v>0</v>
      </c>
      <c r="M305" s="7">
        <f t="shared" si="76"/>
        <v>4</v>
      </c>
      <c r="N305" s="8">
        <f t="shared" si="76"/>
        <v>6</v>
      </c>
      <c r="P305" s="9" t="s">
        <v>6</v>
      </c>
      <c r="Q305" s="51">
        <v>3</v>
      </c>
      <c r="R305" s="52">
        <v>3</v>
      </c>
      <c r="S305" s="51">
        <v>3</v>
      </c>
      <c r="T305" s="12">
        <f>SUM(Q305:S305)</f>
        <v>9</v>
      </c>
      <c r="U305" s="51">
        <v>3</v>
      </c>
      <c r="V305" s="52">
        <v>3</v>
      </c>
      <c r="W305" s="51">
        <v>3</v>
      </c>
      <c r="X305" s="12">
        <f>SUM(U305:W305)</f>
        <v>9</v>
      </c>
      <c r="Y305" s="51">
        <v>3</v>
      </c>
      <c r="Z305" s="52">
        <v>3</v>
      </c>
      <c r="AA305" s="51">
        <v>3</v>
      </c>
      <c r="AB305" s="12">
        <f>SUM(Y305:AA305)</f>
        <v>9</v>
      </c>
      <c r="AC305" s="13">
        <f>T305+X305+AB305</f>
        <v>27</v>
      </c>
      <c r="AD305" s="15">
        <v>45555</v>
      </c>
    </row>
    <row r="306" spans="1:30" x14ac:dyDescent="0.15">
      <c r="A306" s="9" t="s">
        <v>7</v>
      </c>
      <c r="B306" s="69"/>
      <c r="C306" s="45">
        <v>2</v>
      </c>
      <c r="D306" s="16">
        <v>2</v>
      </c>
      <c r="E306" s="12">
        <f t="shared" ref="E306:E340" si="77">SUM(B306:D306)</f>
        <v>4</v>
      </c>
      <c r="F306" s="69"/>
      <c r="G306" s="45">
        <v>2</v>
      </c>
      <c r="H306" s="16">
        <v>3</v>
      </c>
      <c r="I306" s="12">
        <f t="shared" ref="I306:I340" si="78">SUM(F306:H306)</f>
        <v>5</v>
      </c>
      <c r="J306" s="16"/>
      <c r="K306" s="45">
        <v>2</v>
      </c>
      <c r="L306" s="69"/>
      <c r="M306" s="12">
        <f t="shared" ref="M306:M340" si="79">SUM(J306:L306)</f>
        <v>2</v>
      </c>
      <c r="N306" s="13">
        <f t="shared" ref="N306:N342" si="80">E306+I306+M306</f>
        <v>11</v>
      </c>
      <c r="O306" s="15">
        <v>45574</v>
      </c>
      <c r="P306" s="9" t="s">
        <v>7</v>
      </c>
      <c r="Q306" s="10">
        <v>2</v>
      </c>
      <c r="R306" s="44"/>
      <c r="S306" s="10"/>
      <c r="T306" s="12">
        <f t="shared" ref="T306:T340" si="81">SUM(Q306:S306)</f>
        <v>2</v>
      </c>
      <c r="U306" s="10"/>
      <c r="V306" s="44"/>
      <c r="W306" s="10"/>
      <c r="X306" s="12">
        <f t="shared" ref="X306:X340" si="82">SUM(U306:W306)</f>
        <v>0</v>
      </c>
      <c r="Y306" s="10"/>
      <c r="Z306" s="44"/>
      <c r="AA306" s="10"/>
      <c r="AB306" s="12">
        <f t="shared" ref="AB306:AB340" si="83">SUM(Y306:AA306)</f>
        <v>0</v>
      </c>
      <c r="AC306" s="13">
        <f t="shared" ref="AC306:AC342" si="84">T306+X306+AB306</f>
        <v>2</v>
      </c>
      <c r="AD306" s="15">
        <v>45574</v>
      </c>
    </row>
    <row r="307" spans="1:30" x14ac:dyDescent="0.15">
      <c r="A307" s="9" t="s">
        <v>7</v>
      </c>
      <c r="B307" s="69"/>
      <c r="C307" s="45"/>
      <c r="D307" s="16"/>
      <c r="E307" s="12">
        <f t="shared" si="77"/>
        <v>0</v>
      </c>
      <c r="F307" s="69"/>
      <c r="G307" s="45"/>
      <c r="H307" s="69"/>
      <c r="I307" s="12">
        <f t="shared" si="78"/>
        <v>0</v>
      </c>
      <c r="J307" s="16">
        <v>3</v>
      </c>
      <c r="K307" s="45"/>
      <c r="L307" s="69"/>
      <c r="M307" s="12">
        <f t="shared" si="79"/>
        <v>3</v>
      </c>
      <c r="N307" s="13">
        <f t="shared" si="80"/>
        <v>3</v>
      </c>
      <c r="O307" s="15">
        <v>45589</v>
      </c>
      <c r="P307" s="9" t="s">
        <v>7</v>
      </c>
      <c r="Q307" s="10"/>
      <c r="R307" s="44"/>
      <c r="S307" s="10"/>
      <c r="T307" s="12">
        <f t="shared" si="81"/>
        <v>0</v>
      </c>
      <c r="U307" s="10"/>
      <c r="V307" s="44"/>
      <c r="W307" s="10"/>
      <c r="X307" s="12">
        <f t="shared" si="82"/>
        <v>0</v>
      </c>
      <c r="Y307" s="10"/>
      <c r="Z307" s="44"/>
      <c r="AA307" s="10"/>
      <c r="AB307" s="12">
        <f t="shared" si="83"/>
        <v>0</v>
      </c>
      <c r="AC307" s="13">
        <f t="shared" si="84"/>
        <v>0</v>
      </c>
      <c r="AD307" s="15"/>
    </row>
    <row r="308" spans="1:30" x14ac:dyDescent="0.15">
      <c r="A308" s="9" t="s">
        <v>7</v>
      </c>
      <c r="B308" s="69"/>
      <c r="C308" s="45"/>
      <c r="D308" s="16"/>
      <c r="E308" s="12">
        <f t="shared" si="77"/>
        <v>0</v>
      </c>
      <c r="F308" s="69"/>
      <c r="G308" s="45"/>
      <c r="H308" s="69"/>
      <c r="I308" s="12">
        <f t="shared" si="78"/>
        <v>0</v>
      </c>
      <c r="J308" s="16"/>
      <c r="K308" s="45"/>
      <c r="L308" s="69"/>
      <c r="M308" s="12">
        <f t="shared" si="79"/>
        <v>0</v>
      </c>
      <c r="N308" s="13">
        <f t="shared" si="80"/>
        <v>0</v>
      </c>
      <c r="O308" s="14"/>
      <c r="P308" s="9" t="s">
        <v>7</v>
      </c>
      <c r="Q308" s="10"/>
      <c r="R308" s="44"/>
      <c r="S308" s="10"/>
      <c r="T308" s="12">
        <f t="shared" si="81"/>
        <v>0</v>
      </c>
      <c r="U308" s="10"/>
      <c r="V308" s="44"/>
      <c r="W308" s="10"/>
      <c r="X308" s="12">
        <f t="shared" si="82"/>
        <v>0</v>
      </c>
      <c r="Y308" s="10"/>
      <c r="Z308" s="44"/>
      <c r="AA308" s="10"/>
      <c r="AB308" s="12">
        <f t="shared" si="83"/>
        <v>0</v>
      </c>
      <c r="AC308" s="13">
        <f t="shared" si="84"/>
        <v>0</v>
      </c>
      <c r="AD308" s="15"/>
    </row>
    <row r="309" spans="1:30" x14ac:dyDescent="0.15">
      <c r="A309" s="9" t="s">
        <v>7</v>
      </c>
      <c r="B309" s="69"/>
      <c r="C309" s="45"/>
      <c r="D309" s="16"/>
      <c r="E309" s="12">
        <f t="shared" si="77"/>
        <v>0</v>
      </c>
      <c r="F309" s="69"/>
      <c r="G309" s="45"/>
      <c r="H309" s="69"/>
      <c r="I309" s="12">
        <f t="shared" si="78"/>
        <v>0</v>
      </c>
      <c r="J309" s="16"/>
      <c r="K309" s="45"/>
      <c r="L309" s="69"/>
      <c r="M309" s="12">
        <f t="shared" si="79"/>
        <v>0</v>
      </c>
      <c r="N309" s="13">
        <f t="shared" si="80"/>
        <v>0</v>
      </c>
      <c r="P309" s="9" t="s">
        <v>7</v>
      </c>
      <c r="Q309" s="10"/>
      <c r="R309" s="44"/>
      <c r="S309" s="10"/>
      <c r="T309" s="12">
        <f t="shared" si="81"/>
        <v>0</v>
      </c>
      <c r="U309" s="10"/>
      <c r="V309" s="44"/>
      <c r="W309" s="10"/>
      <c r="X309" s="12">
        <f t="shared" si="82"/>
        <v>0</v>
      </c>
      <c r="Y309" s="10"/>
      <c r="Z309" s="44"/>
      <c r="AA309" s="10"/>
      <c r="AB309" s="12">
        <f t="shared" si="83"/>
        <v>0</v>
      </c>
      <c r="AC309" s="13">
        <f t="shared" si="84"/>
        <v>0</v>
      </c>
      <c r="AD309" s="15"/>
    </row>
    <row r="310" spans="1:30" x14ac:dyDescent="0.15">
      <c r="A310" s="9" t="s">
        <v>7</v>
      </c>
      <c r="B310" s="69"/>
      <c r="C310" s="45"/>
      <c r="D310" s="16"/>
      <c r="E310" s="12">
        <f t="shared" si="77"/>
        <v>0</v>
      </c>
      <c r="F310" s="69"/>
      <c r="G310" s="45"/>
      <c r="H310" s="69"/>
      <c r="I310" s="12">
        <f t="shared" si="78"/>
        <v>0</v>
      </c>
      <c r="J310" s="16"/>
      <c r="K310" s="45"/>
      <c r="L310" s="69"/>
      <c r="M310" s="12">
        <f t="shared" si="79"/>
        <v>0</v>
      </c>
      <c r="N310" s="13">
        <f t="shared" si="80"/>
        <v>0</v>
      </c>
      <c r="P310" s="9" t="s">
        <v>7</v>
      </c>
      <c r="Q310" s="10"/>
      <c r="R310" s="44"/>
      <c r="S310" s="10"/>
      <c r="T310" s="12">
        <f t="shared" si="81"/>
        <v>0</v>
      </c>
      <c r="U310" s="10"/>
      <c r="V310" s="44"/>
      <c r="W310" s="10"/>
      <c r="X310" s="12">
        <f t="shared" si="82"/>
        <v>0</v>
      </c>
      <c r="Y310" s="10"/>
      <c r="Z310" s="44"/>
      <c r="AA310" s="10"/>
      <c r="AB310" s="12">
        <f t="shared" si="83"/>
        <v>0</v>
      </c>
      <c r="AC310" s="13">
        <f t="shared" si="84"/>
        <v>0</v>
      </c>
      <c r="AD310" s="15"/>
    </row>
    <row r="311" spans="1:30" x14ac:dyDescent="0.15">
      <c r="A311" s="9" t="s">
        <v>7</v>
      </c>
      <c r="B311" s="69"/>
      <c r="C311" s="45"/>
      <c r="D311" s="16"/>
      <c r="E311" s="12">
        <f t="shared" si="77"/>
        <v>0</v>
      </c>
      <c r="F311" s="69"/>
      <c r="G311" s="45"/>
      <c r="H311" s="69"/>
      <c r="I311" s="12">
        <f t="shared" si="78"/>
        <v>0</v>
      </c>
      <c r="J311" s="16"/>
      <c r="K311" s="45"/>
      <c r="L311" s="69"/>
      <c r="M311" s="12">
        <f t="shared" si="79"/>
        <v>0</v>
      </c>
      <c r="N311" s="13">
        <f t="shared" si="80"/>
        <v>0</v>
      </c>
      <c r="P311" s="9" t="s">
        <v>7</v>
      </c>
      <c r="Q311" s="10"/>
      <c r="R311" s="44"/>
      <c r="S311" s="10"/>
      <c r="T311" s="12">
        <f t="shared" si="81"/>
        <v>0</v>
      </c>
      <c r="U311" s="10"/>
      <c r="V311" s="44"/>
      <c r="W311" s="10"/>
      <c r="X311" s="12">
        <f t="shared" si="82"/>
        <v>0</v>
      </c>
      <c r="Y311" s="10"/>
      <c r="Z311" s="44"/>
      <c r="AA311" s="10"/>
      <c r="AB311" s="12">
        <f t="shared" si="83"/>
        <v>0</v>
      </c>
      <c r="AC311" s="13">
        <f t="shared" si="84"/>
        <v>0</v>
      </c>
      <c r="AD311" s="15"/>
    </row>
    <row r="312" spans="1:30" x14ac:dyDescent="0.15">
      <c r="A312" s="9" t="s">
        <v>7</v>
      </c>
      <c r="B312" s="69"/>
      <c r="C312" s="45"/>
      <c r="D312" s="16"/>
      <c r="E312" s="12">
        <f t="shared" si="77"/>
        <v>0</v>
      </c>
      <c r="F312" s="69"/>
      <c r="G312" s="45"/>
      <c r="H312" s="69"/>
      <c r="I312" s="12">
        <f t="shared" si="78"/>
        <v>0</v>
      </c>
      <c r="J312" s="16"/>
      <c r="K312" s="45"/>
      <c r="L312" s="69"/>
      <c r="M312" s="12">
        <f t="shared" si="79"/>
        <v>0</v>
      </c>
      <c r="N312" s="13">
        <f t="shared" si="80"/>
        <v>0</v>
      </c>
      <c r="P312" s="9" t="s">
        <v>7</v>
      </c>
      <c r="Q312" s="16"/>
      <c r="R312" s="45"/>
      <c r="S312" s="16"/>
      <c r="T312" s="12">
        <f t="shared" si="81"/>
        <v>0</v>
      </c>
      <c r="U312" s="16"/>
      <c r="V312" s="45"/>
      <c r="W312" s="16"/>
      <c r="X312" s="12">
        <f t="shared" si="82"/>
        <v>0</v>
      </c>
      <c r="Y312" s="16"/>
      <c r="Z312" s="45"/>
      <c r="AA312" s="16"/>
      <c r="AB312" s="12">
        <f t="shared" si="83"/>
        <v>0</v>
      </c>
      <c r="AC312" s="13">
        <f t="shared" si="84"/>
        <v>0</v>
      </c>
      <c r="AD312" s="15"/>
    </row>
    <row r="313" spans="1:30" x14ac:dyDescent="0.15">
      <c r="A313" s="9" t="s">
        <v>7</v>
      </c>
      <c r="B313" s="69"/>
      <c r="C313" s="45"/>
      <c r="D313" s="16"/>
      <c r="E313" s="12">
        <f t="shared" si="77"/>
        <v>0</v>
      </c>
      <c r="F313" s="69"/>
      <c r="G313" s="45"/>
      <c r="H313" s="69"/>
      <c r="I313" s="12">
        <f t="shared" si="78"/>
        <v>0</v>
      </c>
      <c r="J313" s="16"/>
      <c r="K313" s="45"/>
      <c r="L313" s="69"/>
      <c r="M313" s="12">
        <f t="shared" si="79"/>
        <v>0</v>
      </c>
      <c r="N313" s="13">
        <f t="shared" si="80"/>
        <v>0</v>
      </c>
      <c r="P313" s="9" t="s">
        <v>7</v>
      </c>
      <c r="Q313" s="16"/>
      <c r="R313" s="45"/>
      <c r="S313" s="16"/>
      <c r="T313" s="12">
        <f t="shared" si="81"/>
        <v>0</v>
      </c>
      <c r="U313" s="16"/>
      <c r="V313" s="45"/>
      <c r="W313" s="16"/>
      <c r="X313" s="12">
        <f t="shared" si="82"/>
        <v>0</v>
      </c>
      <c r="Y313" s="16"/>
      <c r="Z313" s="45"/>
      <c r="AA313" s="16"/>
      <c r="AB313" s="12">
        <f t="shared" si="83"/>
        <v>0</v>
      </c>
      <c r="AC313" s="13">
        <f t="shared" si="84"/>
        <v>0</v>
      </c>
      <c r="AD313" s="14"/>
    </row>
    <row r="314" spans="1:30" x14ac:dyDescent="0.15">
      <c r="A314" s="9" t="s">
        <v>7</v>
      </c>
      <c r="B314" s="69"/>
      <c r="C314" s="45"/>
      <c r="D314" s="16"/>
      <c r="E314" s="12">
        <f t="shared" si="77"/>
        <v>0</v>
      </c>
      <c r="F314" s="69"/>
      <c r="G314" s="45"/>
      <c r="H314" s="69"/>
      <c r="I314" s="12">
        <f t="shared" si="78"/>
        <v>0</v>
      </c>
      <c r="J314" s="16"/>
      <c r="K314" s="45"/>
      <c r="L314" s="69"/>
      <c r="M314" s="12">
        <f t="shared" si="79"/>
        <v>0</v>
      </c>
      <c r="N314" s="13">
        <f t="shared" si="80"/>
        <v>0</v>
      </c>
      <c r="P314" s="9" t="s">
        <v>7</v>
      </c>
      <c r="Q314" s="16"/>
      <c r="R314" s="45"/>
      <c r="S314" s="16"/>
      <c r="T314" s="12">
        <f t="shared" si="81"/>
        <v>0</v>
      </c>
      <c r="U314" s="16"/>
      <c r="V314" s="45"/>
      <c r="W314" s="16"/>
      <c r="X314" s="12">
        <f t="shared" si="82"/>
        <v>0</v>
      </c>
      <c r="Y314" s="16"/>
      <c r="Z314" s="45"/>
      <c r="AA314" s="16"/>
      <c r="AB314" s="12">
        <f t="shared" si="83"/>
        <v>0</v>
      </c>
      <c r="AC314" s="13">
        <f t="shared" si="84"/>
        <v>0</v>
      </c>
      <c r="AD314" s="14"/>
    </row>
    <row r="315" spans="1:30" ht="14.25" thickBot="1" x14ac:dyDescent="0.2">
      <c r="A315" s="17" t="s">
        <v>7</v>
      </c>
      <c r="B315" s="70"/>
      <c r="C315" s="46"/>
      <c r="D315" s="18"/>
      <c r="E315" s="19">
        <f t="shared" si="77"/>
        <v>0</v>
      </c>
      <c r="F315" s="70"/>
      <c r="G315" s="46"/>
      <c r="H315" s="70"/>
      <c r="I315" s="19">
        <f t="shared" si="78"/>
        <v>0</v>
      </c>
      <c r="J315" s="18"/>
      <c r="K315" s="46"/>
      <c r="L315" s="70"/>
      <c r="M315" s="19">
        <f t="shared" si="79"/>
        <v>0</v>
      </c>
      <c r="N315" s="20">
        <f t="shared" si="80"/>
        <v>0</v>
      </c>
      <c r="P315" s="17" t="s">
        <v>7</v>
      </c>
      <c r="Q315" s="18"/>
      <c r="R315" s="46"/>
      <c r="S315" s="18"/>
      <c r="T315" s="19">
        <f t="shared" si="81"/>
        <v>0</v>
      </c>
      <c r="U315" s="18"/>
      <c r="V315" s="46"/>
      <c r="W315" s="18"/>
      <c r="X315" s="19">
        <f t="shared" si="82"/>
        <v>0</v>
      </c>
      <c r="Y315" s="18"/>
      <c r="Z315" s="46"/>
      <c r="AA315" s="18"/>
      <c r="AB315" s="19">
        <f t="shared" si="83"/>
        <v>0</v>
      </c>
      <c r="AC315" s="20">
        <f t="shared" si="84"/>
        <v>0</v>
      </c>
      <c r="AD315" s="14"/>
    </row>
    <row r="316" spans="1:30" ht="14.25" thickBot="1" x14ac:dyDescent="0.2">
      <c r="A316" s="21" t="s">
        <v>8</v>
      </c>
      <c r="B316" s="22">
        <f>SUM(B305:B315)</f>
        <v>0</v>
      </c>
      <c r="C316" s="47">
        <f>SUM(C305:C315)</f>
        <v>3</v>
      </c>
      <c r="D316" s="40">
        <f>SUM(D305:D315)</f>
        <v>2</v>
      </c>
      <c r="E316" s="23">
        <f t="shared" si="77"/>
        <v>5</v>
      </c>
      <c r="F316" s="22">
        <f>SUM(F305:F315)</f>
        <v>0</v>
      </c>
      <c r="G316" s="47">
        <f>SUM(G305:G315)</f>
        <v>3</v>
      </c>
      <c r="H316" s="40">
        <f>SUM(H305:H315)</f>
        <v>3</v>
      </c>
      <c r="I316" s="23">
        <f t="shared" si="78"/>
        <v>6</v>
      </c>
      <c r="J316" s="22">
        <f>SUM(J305:J315)</f>
        <v>6</v>
      </c>
      <c r="K316" s="47">
        <f>SUM(K305:K315)</f>
        <v>3</v>
      </c>
      <c r="L316" s="40">
        <f>SUM(L305:L315)</f>
        <v>0</v>
      </c>
      <c r="M316" s="23">
        <f t="shared" si="79"/>
        <v>9</v>
      </c>
      <c r="N316" s="24">
        <f t="shared" si="80"/>
        <v>20</v>
      </c>
      <c r="P316" s="21" t="s">
        <v>8</v>
      </c>
      <c r="Q316" s="22">
        <f>SUM(Q305:Q315)</f>
        <v>5</v>
      </c>
      <c r="R316" s="47">
        <f>SUM(R305:R315)</f>
        <v>3</v>
      </c>
      <c r="S316" s="40">
        <f>SUM(S305:S315)</f>
        <v>3</v>
      </c>
      <c r="T316" s="23">
        <f t="shared" si="81"/>
        <v>11</v>
      </c>
      <c r="U316" s="22">
        <f>SUM(U305:U315)</f>
        <v>3</v>
      </c>
      <c r="V316" s="47">
        <f>SUM(V305:V315)</f>
        <v>3</v>
      </c>
      <c r="W316" s="40">
        <f>SUM(W305:W315)</f>
        <v>3</v>
      </c>
      <c r="X316" s="23">
        <f t="shared" si="82"/>
        <v>9</v>
      </c>
      <c r="Y316" s="22">
        <f>SUM(Y305:Y315)</f>
        <v>3</v>
      </c>
      <c r="Z316" s="47">
        <f>SUM(Z305:Z315)</f>
        <v>3</v>
      </c>
      <c r="AA316" s="40">
        <f>SUM(AA305:AA315)</f>
        <v>3</v>
      </c>
      <c r="AB316" s="23">
        <f t="shared" si="83"/>
        <v>9</v>
      </c>
      <c r="AC316" s="24">
        <f t="shared" si="84"/>
        <v>29</v>
      </c>
    </row>
    <row r="317" spans="1:30" x14ac:dyDescent="0.15">
      <c r="A317" s="25" t="s">
        <v>28</v>
      </c>
      <c r="B317" s="29"/>
      <c r="C317" s="45"/>
      <c r="D317" s="16"/>
      <c r="E317" s="12">
        <f t="shared" si="77"/>
        <v>0</v>
      </c>
      <c r="F317" s="29"/>
      <c r="G317" s="45"/>
      <c r="H317" s="16"/>
      <c r="I317" s="12">
        <f t="shared" si="78"/>
        <v>0</v>
      </c>
      <c r="J317" s="29">
        <v>1</v>
      </c>
      <c r="K317" s="45"/>
      <c r="L317" s="16"/>
      <c r="M317" s="12">
        <f t="shared" si="79"/>
        <v>1</v>
      </c>
      <c r="N317" s="13">
        <f t="shared" si="80"/>
        <v>1</v>
      </c>
      <c r="O317" s="30">
        <v>45570</v>
      </c>
      <c r="P317" s="25" t="s">
        <v>28</v>
      </c>
      <c r="Q317" s="26"/>
      <c r="R317" s="48"/>
      <c r="S317" s="27"/>
      <c r="T317" s="12">
        <f t="shared" si="81"/>
        <v>0</v>
      </c>
      <c r="U317" s="26"/>
      <c r="V317" s="48"/>
      <c r="W317" s="27"/>
      <c r="X317" s="12">
        <f t="shared" si="82"/>
        <v>0</v>
      </c>
      <c r="Y317" s="26"/>
      <c r="Z317" s="48"/>
      <c r="AA317" s="27">
        <v>1</v>
      </c>
      <c r="AB317" s="12">
        <f t="shared" si="83"/>
        <v>1</v>
      </c>
      <c r="AC317" s="13">
        <f t="shared" si="84"/>
        <v>1</v>
      </c>
      <c r="AD317" s="15">
        <v>45559</v>
      </c>
    </row>
    <row r="318" spans="1:30" x14ac:dyDescent="0.15">
      <c r="A318" s="25" t="s">
        <v>28</v>
      </c>
      <c r="B318" s="29"/>
      <c r="C318" s="45"/>
      <c r="D318" s="16"/>
      <c r="E318" s="12">
        <f t="shared" si="77"/>
        <v>0</v>
      </c>
      <c r="F318" s="29"/>
      <c r="G318" s="45"/>
      <c r="H318" s="16"/>
      <c r="I318" s="12">
        <f t="shared" si="78"/>
        <v>0</v>
      </c>
      <c r="J318" s="29">
        <v>1</v>
      </c>
      <c r="K318" s="45"/>
      <c r="L318" s="16"/>
      <c r="M318" s="12">
        <f t="shared" si="79"/>
        <v>1</v>
      </c>
      <c r="N318" s="13">
        <f t="shared" si="80"/>
        <v>1</v>
      </c>
      <c r="O318" s="30">
        <v>45580</v>
      </c>
      <c r="P318" s="25" t="s">
        <v>28</v>
      </c>
      <c r="Q318" s="29"/>
      <c r="R318" s="45"/>
      <c r="S318" s="16">
        <v>1</v>
      </c>
      <c r="T318" s="12">
        <f t="shared" si="81"/>
        <v>1</v>
      </c>
      <c r="U318" s="29"/>
      <c r="V318" s="45"/>
      <c r="W318" s="16"/>
      <c r="X318" s="12">
        <f t="shared" si="82"/>
        <v>0</v>
      </c>
      <c r="Y318" s="29"/>
      <c r="Z318" s="45"/>
      <c r="AA318" s="16"/>
      <c r="AB318" s="12">
        <f t="shared" si="83"/>
        <v>0</v>
      </c>
      <c r="AC318" s="13">
        <f t="shared" si="84"/>
        <v>1</v>
      </c>
      <c r="AD318" s="15">
        <v>45562</v>
      </c>
    </row>
    <row r="319" spans="1:30" x14ac:dyDescent="0.15">
      <c r="A319" s="25" t="s">
        <v>28</v>
      </c>
      <c r="B319" s="29"/>
      <c r="C319" s="45"/>
      <c r="D319" s="16"/>
      <c r="E319" s="12">
        <f t="shared" si="77"/>
        <v>0</v>
      </c>
      <c r="F319" s="29"/>
      <c r="G319" s="45"/>
      <c r="H319" s="16"/>
      <c r="I319" s="12">
        <f t="shared" si="78"/>
        <v>0</v>
      </c>
      <c r="J319" s="29">
        <v>1</v>
      </c>
      <c r="K319" s="45"/>
      <c r="L319" s="16"/>
      <c r="M319" s="12">
        <f t="shared" si="79"/>
        <v>1</v>
      </c>
      <c r="N319" s="13">
        <f t="shared" si="80"/>
        <v>1</v>
      </c>
      <c r="O319" s="30">
        <v>45593</v>
      </c>
      <c r="P319" s="25" t="s">
        <v>28</v>
      </c>
      <c r="Q319" s="29">
        <v>2</v>
      </c>
      <c r="R319" s="45"/>
      <c r="S319" s="16"/>
      <c r="T319" s="12">
        <f t="shared" si="81"/>
        <v>2</v>
      </c>
      <c r="U319" s="29"/>
      <c r="V319" s="45"/>
      <c r="W319" s="16"/>
      <c r="X319" s="12">
        <f t="shared" si="82"/>
        <v>0</v>
      </c>
      <c r="Y319" s="29"/>
      <c r="Z319" s="45"/>
      <c r="AA319" s="16"/>
      <c r="AB319" s="12">
        <f t="shared" si="83"/>
        <v>0</v>
      </c>
      <c r="AC319" s="13">
        <f t="shared" si="84"/>
        <v>2</v>
      </c>
      <c r="AD319" s="15">
        <v>45570</v>
      </c>
    </row>
    <row r="320" spans="1:30" x14ac:dyDescent="0.15">
      <c r="A320" s="25" t="s">
        <v>52</v>
      </c>
      <c r="B320" s="29"/>
      <c r="C320" s="45"/>
      <c r="D320" s="16">
        <v>-1</v>
      </c>
      <c r="E320" s="12">
        <f t="shared" si="77"/>
        <v>-1</v>
      </c>
      <c r="F320" s="29"/>
      <c r="G320" s="45">
        <v>1</v>
      </c>
      <c r="H320" s="16"/>
      <c r="I320" s="12">
        <f t="shared" si="78"/>
        <v>1</v>
      </c>
      <c r="J320" s="29"/>
      <c r="K320" s="45"/>
      <c r="L320" s="16"/>
      <c r="M320" s="12">
        <f t="shared" si="79"/>
        <v>0</v>
      </c>
      <c r="N320" s="13">
        <f t="shared" si="80"/>
        <v>0</v>
      </c>
      <c r="O320" s="30">
        <v>45593</v>
      </c>
      <c r="P320" s="25" t="s">
        <v>28</v>
      </c>
      <c r="Q320" s="29"/>
      <c r="R320" s="45"/>
      <c r="S320" s="16"/>
      <c r="T320" s="12">
        <f t="shared" si="81"/>
        <v>0</v>
      </c>
      <c r="U320" s="29"/>
      <c r="V320" s="45">
        <v>1</v>
      </c>
      <c r="W320" s="16"/>
      <c r="X320" s="12">
        <f t="shared" si="82"/>
        <v>1</v>
      </c>
      <c r="Y320" s="29"/>
      <c r="Z320" s="45"/>
      <c r="AA320" s="16"/>
      <c r="AB320" s="12">
        <f t="shared" si="83"/>
        <v>0</v>
      </c>
      <c r="AC320" s="13">
        <f t="shared" si="84"/>
        <v>1</v>
      </c>
      <c r="AD320" s="15">
        <v>45582</v>
      </c>
    </row>
    <row r="321" spans="1:30" x14ac:dyDescent="0.15">
      <c r="A321" s="25"/>
      <c r="B321" s="29"/>
      <c r="C321" s="45"/>
      <c r="D321" s="16"/>
      <c r="E321" s="12">
        <f t="shared" si="77"/>
        <v>0</v>
      </c>
      <c r="F321" s="29"/>
      <c r="G321" s="45"/>
      <c r="H321" s="16"/>
      <c r="I321" s="12">
        <f t="shared" si="78"/>
        <v>0</v>
      </c>
      <c r="J321" s="29"/>
      <c r="K321" s="45"/>
      <c r="L321" s="16"/>
      <c r="M321" s="12">
        <f t="shared" si="79"/>
        <v>0</v>
      </c>
      <c r="N321" s="13">
        <f t="shared" si="80"/>
        <v>0</v>
      </c>
      <c r="O321" s="30"/>
      <c r="P321" s="25" t="s">
        <v>28</v>
      </c>
      <c r="Q321" s="29"/>
      <c r="R321" s="45"/>
      <c r="S321" s="16"/>
      <c r="T321" s="12">
        <f t="shared" si="81"/>
        <v>0</v>
      </c>
      <c r="U321" s="29">
        <v>2</v>
      </c>
      <c r="V321" s="45"/>
      <c r="W321" s="16"/>
      <c r="X321" s="12">
        <f t="shared" si="82"/>
        <v>2</v>
      </c>
      <c r="Y321" s="29"/>
      <c r="Z321" s="45"/>
      <c r="AA321" s="16">
        <v>1</v>
      </c>
      <c r="AB321" s="12">
        <f t="shared" si="83"/>
        <v>1</v>
      </c>
      <c r="AC321" s="13">
        <f t="shared" si="84"/>
        <v>3</v>
      </c>
      <c r="AD321" s="15">
        <v>45593</v>
      </c>
    </row>
    <row r="322" spans="1:30" x14ac:dyDescent="0.15">
      <c r="A322" s="25"/>
      <c r="B322" s="29"/>
      <c r="C322" s="45"/>
      <c r="D322" s="16"/>
      <c r="E322" s="12">
        <f t="shared" si="77"/>
        <v>0</v>
      </c>
      <c r="F322" s="29"/>
      <c r="G322" s="45"/>
      <c r="H322" s="16"/>
      <c r="I322" s="12">
        <f t="shared" si="78"/>
        <v>0</v>
      </c>
      <c r="J322" s="29"/>
      <c r="K322" s="45"/>
      <c r="L322" s="16"/>
      <c r="M322" s="12">
        <f t="shared" si="79"/>
        <v>0</v>
      </c>
      <c r="N322" s="13">
        <f t="shared" si="80"/>
        <v>0</v>
      </c>
      <c r="O322" s="30"/>
      <c r="P322" s="25"/>
      <c r="Q322" s="29"/>
      <c r="R322" s="45"/>
      <c r="S322" s="16"/>
      <c r="T322" s="12">
        <f t="shared" si="81"/>
        <v>0</v>
      </c>
      <c r="U322" s="29"/>
      <c r="V322" s="45"/>
      <c r="W322" s="16"/>
      <c r="X322" s="12">
        <f t="shared" si="82"/>
        <v>0</v>
      </c>
      <c r="Y322" s="29"/>
      <c r="Z322" s="45"/>
      <c r="AA322" s="16"/>
      <c r="AB322" s="12">
        <f t="shared" si="83"/>
        <v>0</v>
      </c>
      <c r="AC322" s="13">
        <f t="shared" si="84"/>
        <v>0</v>
      </c>
      <c r="AD322" s="15"/>
    </row>
    <row r="323" spans="1:30" x14ac:dyDescent="0.15">
      <c r="A323" s="25"/>
      <c r="B323" s="29"/>
      <c r="C323" s="45"/>
      <c r="D323" s="16"/>
      <c r="E323" s="12">
        <f t="shared" si="77"/>
        <v>0</v>
      </c>
      <c r="F323" s="29"/>
      <c r="G323" s="45"/>
      <c r="H323" s="16"/>
      <c r="I323" s="12">
        <f t="shared" si="78"/>
        <v>0</v>
      </c>
      <c r="J323" s="29"/>
      <c r="K323" s="45"/>
      <c r="L323" s="16"/>
      <c r="M323" s="12">
        <f t="shared" si="79"/>
        <v>0</v>
      </c>
      <c r="N323" s="13">
        <f t="shared" si="80"/>
        <v>0</v>
      </c>
      <c r="O323" s="30"/>
      <c r="P323" s="25"/>
      <c r="Q323" s="29"/>
      <c r="R323" s="45"/>
      <c r="S323" s="16"/>
      <c r="T323" s="12">
        <f t="shared" si="81"/>
        <v>0</v>
      </c>
      <c r="U323" s="29"/>
      <c r="V323" s="45"/>
      <c r="W323" s="16"/>
      <c r="X323" s="12">
        <f t="shared" si="82"/>
        <v>0</v>
      </c>
      <c r="Y323" s="29"/>
      <c r="Z323" s="45"/>
      <c r="AA323" s="16"/>
      <c r="AB323" s="12">
        <f t="shared" si="83"/>
        <v>0</v>
      </c>
      <c r="AC323" s="13">
        <f t="shared" si="84"/>
        <v>0</v>
      </c>
      <c r="AD323" s="15"/>
    </row>
    <row r="324" spans="1:30" x14ac:dyDescent="0.15">
      <c r="A324" s="25"/>
      <c r="B324" s="29"/>
      <c r="C324" s="45"/>
      <c r="D324" s="16"/>
      <c r="E324" s="12">
        <f t="shared" si="77"/>
        <v>0</v>
      </c>
      <c r="F324" s="29"/>
      <c r="G324" s="45"/>
      <c r="H324" s="16"/>
      <c r="I324" s="12">
        <f t="shared" si="78"/>
        <v>0</v>
      </c>
      <c r="J324" s="29"/>
      <c r="K324" s="45"/>
      <c r="L324" s="16"/>
      <c r="M324" s="12">
        <f t="shared" si="79"/>
        <v>0</v>
      </c>
      <c r="N324" s="13">
        <f t="shared" si="80"/>
        <v>0</v>
      </c>
      <c r="O324" s="30"/>
      <c r="P324" s="25"/>
      <c r="Q324" s="29"/>
      <c r="R324" s="45"/>
      <c r="S324" s="16"/>
      <c r="T324" s="12">
        <f t="shared" si="81"/>
        <v>0</v>
      </c>
      <c r="U324" s="29"/>
      <c r="V324" s="45"/>
      <c r="W324" s="16"/>
      <c r="X324" s="12">
        <f t="shared" si="82"/>
        <v>0</v>
      </c>
      <c r="Y324" s="29"/>
      <c r="Z324" s="45"/>
      <c r="AA324" s="16"/>
      <c r="AB324" s="12">
        <f t="shared" si="83"/>
        <v>0</v>
      </c>
      <c r="AC324" s="13">
        <f t="shared" si="84"/>
        <v>0</v>
      </c>
      <c r="AD324" s="15"/>
    </row>
    <row r="325" spans="1:30" x14ac:dyDescent="0.15">
      <c r="A325" s="25"/>
      <c r="B325" s="29"/>
      <c r="C325" s="45"/>
      <c r="D325" s="16"/>
      <c r="E325" s="12">
        <f t="shared" si="77"/>
        <v>0</v>
      </c>
      <c r="F325" s="29"/>
      <c r="G325" s="45"/>
      <c r="H325" s="16"/>
      <c r="I325" s="12">
        <f t="shared" si="78"/>
        <v>0</v>
      </c>
      <c r="J325" s="29"/>
      <c r="K325" s="45"/>
      <c r="L325" s="16"/>
      <c r="M325" s="12">
        <f t="shared" si="79"/>
        <v>0</v>
      </c>
      <c r="N325" s="13">
        <f t="shared" si="80"/>
        <v>0</v>
      </c>
      <c r="O325" s="30"/>
      <c r="P325" s="25"/>
      <c r="Q325" s="29"/>
      <c r="R325" s="45"/>
      <c r="S325" s="16"/>
      <c r="T325" s="12">
        <f t="shared" si="81"/>
        <v>0</v>
      </c>
      <c r="U325" s="29"/>
      <c r="V325" s="45"/>
      <c r="W325" s="16"/>
      <c r="X325" s="12">
        <f t="shared" si="82"/>
        <v>0</v>
      </c>
      <c r="Y325" s="29"/>
      <c r="Z325" s="45"/>
      <c r="AA325" s="16"/>
      <c r="AB325" s="12">
        <f t="shared" si="83"/>
        <v>0</v>
      </c>
      <c r="AC325" s="13">
        <f t="shared" si="84"/>
        <v>0</v>
      </c>
      <c r="AD325" s="15"/>
    </row>
    <row r="326" spans="1:30" x14ac:dyDescent="0.15">
      <c r="A326" s="25"/>
      <c r="B326" s="29"/>
      <c r="C326" s="45"/>
      <c r="D326" s="16"/>
      <c r="E326" s="12">
        <f t="shared" si="77"/>
        <v>0</v>
      </c>
      <c r="F326" s="29"/>
      <c r="G326" s="45"/>
      <c r="H326" s="16"/>
      <c r="I326" s="12">
        <f t="shared" si="78"/>
        <v>0</v>
      </c>
      <c r="J326" s="29"/>
      <c r="K326" s="45"/>
      <c r="L326" s="16"/>
      <c r="M326" s="12">
        <f t="shared" si="79"/>
        <v>0</v>
      </c>
      <c r="N326" s="13">
        <f t="shared" si="80"/>
        <v>0</v>
      </c>
      <c r="O326" s="30"/>
      <c r="P326" s="25"/>
      <c r="Q326" s="29"/>
      <c r="R326" s="45"/>
      <c r="S326" s="16"/>
      <c r="T326" s="12">
        <f t="shared" si="81"/>
        <v>0</v>
      </c>
      <c r="U326" s="29"/>
      <c r="V326" s="45"/>
      <c r="W326" s="16"/>
      <c r="X326" s="12">
        <f t="shared" si="82"/>
        <v>0</v>
      </c>
      <c r="Y326" s="29"/>
      <c r="Z326" s="45"/>
      <c r="AA326" s="16"/>
      <c r="AB326" s="12">
        <f t="shared" si="83"/>
        <v>0</v>
      </c>
      <c r="AC326" s="13">
        <f t="shared" si="84"/>
        <v>0</v>
      </c>
      <c r="AD326" s="15"/>
    </row>
    <row r="327" spans="1:30" x14ac:dyDescent="0.15">
      <c r="A327" s="25"/>
      <c r="B327" s="29"/>
      <c r="C327" s="45"/>
      <c r="D327" s="16"/>
      <c r="E327" s="12">
        <f t="shared" si="77"/>
        <v>0</v>
      </c>
      <c r="F327" s="29"/>
      <c r="G327" s="45"/>
      <c r="H327" s="16"/>
      <c r="I327" s="12">
        <f t="shared" si="78"/>
        <v>0</v>
      </c>
      <c r="J327" s="29"/>
      <c r="K327" s="45"/>
      <c r="L327" s="16"/>
      <c r="M327" s="12">
        <f t="shared" si="79"/>
        <v>0</v>
      </c>
      <c r="N327" s="13">
        <f t="shared" si="80"/>
        <v>0</v>
      </c>
      <c r="O327" s="30"/>
      <c r="P327" s="25"/>
      <c r="Q327" s="29"/>
      <c r="R327" s="45"/>
      <c r="S327" s="16"/>
      <c r="T327" s="12">
        <f t="shared" si="81"/>
        <v>0</v>
      </c>
      <c r="U327" s="29"/>
      <c r="V327" s="45"/>
      <c r="W327" s="16"/>
      <c r="X327" s="12">
        <f t="shared" si="82"/>
        <v>0</v>
      </c>
      <c r="Y327" s="29"/>
      <c r="Z327" s="45"/>
      <c r="AA327" s="16"/>
      <c r="AB327" s="12">
        <f t="shared" si="83"/>
        <v>0</v>
      </c>
      <c r="AC327" s="13">
        <f t="shared" si="84"/>
        <v>0</v>
      </c>
      <c r="AD327" s="15"/>
    </row>
    <row r="328" spans="1:30" x14ac:dyDescent="0.15">
      <c r="A328" s="25"/>
      <c r="B328" s="29"/>
      <c r="C328" s="45"/>
      <c r="D328" s="16"/>
      <c r="E328" s="12">
        <f t="shared" si="77"/>
        <v>0</v>
      </c>
      <c r="F328" s="29"/>
      <c r="G328" s="45"/>
      <c r="H328" s="16"/>
      <c r="I328" s="12">
        <f t="shared" si="78"/>
        <v>0</v>
      </c>
      <c r="J328" s="29"/>
      <c r="K328" s="45"/>
      <c r="L328" s="16"/>
      <c r="M328" s="12">
        <f t="shared" si="79"/>
        <v>0</v>
      </c>
      <c r="N328" s="13">
        <f t="shared" si="80"/>
        <v>0</v>
      </c>
      <c r="O328" s="30"/>
      <c r="P328" s="25"/>
      <c r="Q328" s="29"/>
      <c r="R328" s="45"/>
      <c r="S328" s="16"/>
      <c r="T328" s="39">
        <f t="shared" si="81"/>
        <v>0</v>
      </c>
      <c r="U328" s="29"/>
      <c r="V328" s="45"/>
      <c r="W328" s="16"/>
      <c r="X328" s="39">
        <f t="shared" si="82"/>
        <v>0</v>
      </c>
      <c r="Y328" s="29"/>
      <c r="Z328" s="45"/>
      <c r="AA328" s="16"/>
      <c r="AB328" s="39">
        <f t="shared" si="83"/>
        <v>0</v>
      </c>
      <c r="AC328" s="13">
        <f t="shared" si="84"/>
        <v>0</v>
      </c>
      <c r="AD328" s="15"/>
    </row>
    <row r="329" spans="1:30" x14ac:dyDescent="0.15">
      <c r="A329" s="25"/>
      <c r="B329" s="29"/>
      <c r="C329" s="45"/>
      <c r="D329" s="16"/>
      <c r="E329" s="12">
        <f t="shared" si="77"/>
        <v>0</v>
      </c>
      <c r="F329" s="29"/>
      <c r="G329" s="45"/>
      <c r="H329" s="16"/>
      <c r="I329" s="12">
        <f t="shared" si="78"/>
        <v>0</v>
      </c>
      <c r="J329" s="29"/>
      <c r="K329" s="45"/>
      <c r="L329" s="16"/>
      <c r="M329" s="12">
        <f t="shared" si="79"/>
        <v>0</v>
      </c>
      <c r="N329" s="13">
        <f t="shared" si="80"/>
        <v>0</v>
      </c>
      <c r="O329" s="30"/>
      <c r="P329" s="25"/>
      <c r="Q329" s="29"/>
      <c r="R329" s="45"/>
      <c r="S329" s="16"/>
      <c r="T329" s="12">
        <f t="shared" si="81"/>
        <v>0</v>
      </c>
      <c r="U329" s="29"/>
      <c r="V329" s="45"/>
      <c r="W329" s="16"/>
      <c r="X329" s="12">
        <f t="shared" si="82"/>
        <v>0</v>
      </c>
      <c r="Y329" s="29"/>
      <c r="Z329" s="45"/>
      <c r="AA329" s="16"/>
      <c r="AB329" s="12">
        <f t="shared" si="83"/>
        <v>0</v>
      </c>
      <c r="AC329" s="13">
        <f t="shared" si="84"/>
        <v>0</v>
      </c>
      <c r="AD329" s="30"/>
    </row>
    <row r="330" spans="1:30" x14ac:dyDescent="0.15">
      <c r="A330" s="25"/>
      <c r="B330" s="29"/>
      <c r="C330" s="45"/>
      <c r="D330" s="16"/>
      <c r="E330" s="12">
        <f t="shared" si="77"/>
        <v>0</v>
      </c>
      <c r="F330" s="29"/>
      <c r="G330" s="45"/>
      <c r="H330" s="16"/>
      <c r="I330" s="12">
        <f t="shared" si="78"/>
        <v>0</v>
      </c>
      <c r="J330" s="29"/>
      <c r="K330" s="45"/>
      <c r="L330" s="16"/>
      <c r="M330" s="12">
        <f t="shared" si="79"/>
        <v>0</v>
      </c>
      <c r="N330" s="13">
        <f t="shared" si="80"/>
        <v>0</v>
      </c>
      <c r="O330" s="30"/>
      <c r="P330" s="25"/>
      <c r="Q330" s="29"/>
      <c r="R330" s="45"/>
      <c r="S330" s="16"/>
      <c r="T330" s="12">
        <f t="shared" si="81"/>
        <v>0</v>
      </c>
      <c r="U330" s="29"/>
      <c r="V330" s="45"/>
      <c r="W330" s="16"/>
      <c r="X330" s="12">
        <f t="shared" si="82"/>
        <v>0</v>
      </c>
      <c r="Y330" s="29"/>
      <c r="Z330" s="45"/>
      <c r="AA330" s="16"/>
      <c r="AB330" s="12">
        <f t="shared" si="83"/>
        <v>0</v>
      </c>
      <c r="AC330" s="13">
        <f t="shared" si="84"/>
        <v>0</v>
      </c>
      <c r="AD330" s="15"/>
    </row>
    <row r="331" spans="1:30" x14ac:dyDescent="0.15">
      <c r="A331" s="25"/>
      <c r="B331" s="29"/>
      <c r="C331" s="45"/>
      <c r="D331" s="16"/>
      <c r="E331" s="12">
        <f t="shared" si="77"/>
        <v>0</v>
      </c>
      <c r="F331" s="29"/>
      <c r="G331" s="45"/>
      <c r="H331" s="16"/>
      <c r="I331" s="12">
        <f t="shared" si="78"/>
        <v>0</v>
      </c>
      <c r="J331" s="29"/>
      <c r="K331" s="45"/>
      <c r="L331" s="16"/>
      <c r="M331" s="12">
        <f t="shared" si="79"/>
        <v>0</v>
      </c>
      <c r="N331" s="13">
        <f t="shared" si="80"/>
        <v>0</v>
      </c>
      <c r="O331" s="30"/>
      <c r="P331" s="25"/>
      <c r="Q331" s="28"/>
      <c r="R331" s="45"/>
      <c r="S331" s="16"/>
      <c r="T331" s="12">
        <f t="shared" si="81"/>
        <v>0</v>
      </c>
      <c r="U331" s="28"/>
      <c r="V331" s="45"/>
      <c r="W331" s="16"/>
      <c r="X331" s="12">
        <f t="shared" si="82"/>
        <v>0</v>
      </c>
      <c r="Y331" s="28"/>
      <c r="Z331" s="45"/>
      <c r="AA331" s="16"/>
      <c r="AB331" s="12">
        <f t="shared" si="83"/>
        <v>0</v>
      </c>
      <c r="AC331" s="13">
        <f t="shared" si="84"/>
        <v>0</v>
      </c>
      <c r="AD331" s="15"/>
    </row>
    <row r="332" spans="1:30" x14ac:dyDescent="0.15">
      <c r="A332" s="25"/>
      <c r="B332" s="29"/>
      <c r="C332" s="45"/>
      <c r="D332" s="16"/>
      <c r="E332" s="12">
        <f t="shared" si="77"/>
        <v>0</v>
      </c>
      <c r="F332" s="29"/>
      <c r="G332" s="45"/>
      <c r="H332" s="16"/>
      <c r="I332" s="12">
        <f t="shared" si="78"/>
        <v>0</v>
      </c>
      <c r="J332" s="29"/>
      <c r="K332" s="45"/>
      <c r="L332" s="16"/>
      <c r="M332" s="12">
        <f t="shared" si="79"/>
        <v>0</v>
      </c>
      <c r="N332" s="13">
        <f t="shared" si="80"/>
        <v>0</v>
      </c>
      <c r="O332" s="30"/>
      <c r="P332" s="25"/>
      <c r="Q332" s="28"/>
      <c r="R332" s="45"/>
      <c r="S332" s="16"/>
      <c r="T332" s="12">
        <f t="shared" si="81"/>
        <v>0</v>
      </c>
      <c r="U332" s="28"/>
      <c r="V332" s="45"/>
      <c r="W332" s="16"/>
      <c r="X332" s="12">
        <f t="shared" si="82"/>
        <v>0</v>
      </c>
      <c r="Y332" s="28"/>
      <c r="Z332" s="45"/>
      <c r="AA332" s="16"/>
      <c r="AB332" s="12">
        <f t="shared" si="83"/>
        <v>0</v>
      </c>
      <c r="AC332" s="13">
        <f t="shared" si="84"/>
        <v>0</v>
      </c>
      <c r="AD332" s="15"/>
    </row>
    <row r="333" spans="1:30" x14ac:dyDescent="0.15">
      <c r="A333" s="25"/>
      <c r="B333" s="29"/>
      <c r="C333" s="45"/>
      <c r="D333" s="16"/>
      <c r="E333" s="12">
        <f t="shared" si="77"/>
        <v>0</v>
      </c>
      <c r="F333" s="29"/>
      <c r="G333" s="45"/>
      <c r="H333" s="16"/>
      <c r="I333" s="12">
        <f t="shared" si="78"/>
        <v>0</v>
      </c>
      <c r="J333" s="29"/>
      <c r="K333" s="45"/>
      <c r="L333" s="16"/>
      <c r="M333" s="12">
        <f t="shared" si="79"/>
        <v>0</v>
      </c>
      <c r="N333" s="13">
        <f t="shared" si="80"/>
        <v>0</v>
      </c>
      <c r="O333" s="30"/>
      <c r="P333" s="25"/>
      <c r="Q333" s="29"/>
      <c r="R333" s="45"/>
      <c r="S333" s="16"/>
      <c r="T333" s="12">
        <f t="shared" si="81"/>
        <v>0</v>
      </c>
      <c r="U333" s="29"/>
      <c r="V333" s="45"/>
      <c r="W333" s="16"/>
      <c r="X333" s="12">
        <f t="shared" si="82"/>
        <v>0</v>
      </c>
      <c r="Y333" s="29"/>
      <c r="Z333" s="45"/>
      <c r="AA333" s="16"/>
      <c r="AB333" s="12">
        <f t="shared" si="83"/>
        <v>0</v>
      </c>
      <c r="AC333" s="13">
        <f t="shared" si="84"/>
        <v>0</v>
      </c>
      <c r="AD333" s="15"/>
    </row>
    <row r="334" spans="1:30" x14ac:dyDescent="0.15">
      <c r="A334" s="25"/>
      <c r="B334" s="29"/>
      <c r="C334" s="45"/>
      <c r="D334" s="16"/>
      <c r="E334" s="12">
        <f t="shared" si="77"/>
        <v>0</v>
      </c>
      <c r="F334" s="29"/>
      <c r="G334" s="45"/>
      <c r="H334" s="16"/>
      <c r="I334" s="12">
        <f t="shared" si="78"/>
        <v>0</v>
      </c>
      <c r="J334" s="29"/>
      <c r="K334" s="45"/>
      <c r="L334" s="16"/>
      <c r="M334" s="12">
        <f t="shared" si="79"/>
        <v>0</v>
      </c>
      <c r="N334" s="13">
        <f t="shared" si="80"/>
        <v>0</v>
      </c>
      <c r="O334" s="30"/>
      <c r="P334" s="25"/>
      <c r="Q334" s="29"/>
      <c r="R334" s="45"/>
      <c r="S334" s="16"/>
      <c r="T334" s="12">
        <f t="shared" si="81"/>
        <v>0</v>
      </c>
      <c r="U334" s="29"/>
      <c r="V334" s="45"/>
      <c r="W334" s="16"/>
      <c r="X334" s="12">
        <f t="shared" si="82"/>
        <v>0</v>
      </c>
      <c r="Y334" s="29"/>
      <c r="Z334" s="45"/>
      <c r="AA334" s="16"/>
      <c r="AB334" s="12">
        <f t="shared" si="83"/>
        <v>0</v>
      </c>
      <c r="AC334" s="13">
        <f t="shared" si="84"/>
        <v>0</v>
      </c>
      <c r="AD334" s="15"/>
    </row>
    <row r="335" spans="1:30" x14ac:dyDescent="0.15">
      <c r="A335" s="25"/>
      <c r="B335" s="29"/>
      <c r="C335" s="45"/>
      <c r="D335" s="16"/>
      <c r="E335" s="12">
        <f t="shared" si="77"/>
        <v>0</v>
      </c>
      <c r="F335" s="29"/>
      <c r="G335" s="45"/>
      <c r="H335" s="16"/>
      <c r="I335" s="12">
        <f t="shared" si="78"/>
        <v>0</v>
      </c>
      <c r="J335" s="29"/>
      <c r="K335" s="45"/>
      <c r="L335" s="16"/>
      <c r="M335" s="12">
        <f t="shared" si="79"/>
        <v>0</v>
      </c>
      <c r="N335" s="13">
        <f t="shared" si="80"/>
        <v>0</v>
      </c>
      <c r="O335" s="30"/>
      <c r="P335" s="25"/>
      <c r="Q335" s="29"/>
      <c r="R335" s="45"/>
      <c r="S335" s="16"/>
      <c r="T335" s="12">
        <f t="shared" si="81"/>
        <v>0</v>
      </c>
      <c r="U335" s="29"/>
      <c r="V335" s="45"/>
      <c r="W335" s="16"/>
      <c r="X335" s="12">
        <f t="shared" si="82"/>
        <v>0</v>
      </c>
      <c r="Y335" s="29"/>
      <c r="Z335" s="45"/>
      <c r="AA335" s="16"/>
      <c r="AB335" s="12">
        <f t="shared" si="83"/>
        <v>0</v>
      </c>
      <c r="AC335" s="13">
        <f t="shared" si="84"/>
        <v>0</v>
      </c>
      <c r="AD335" s="15"/>
    </row>
    <row r="336" spans="1:30" x14ac:dyDescent="0.15">
      <c r="A336" s="25"/>
      <c r="B336" s="29"/>
      <c r="C336" s="45"/>
      <c r="D336" s="16"/>
      <c r="E336" s="12">
        <f t="shared" si="77"/>
        <v>0</v>
      </c>
      <c r="F336" s="29"/>
      <c r="G336" s="45"/>
      <c r="H336" s="16"/>
      <c r="I336" s="12">
        <f t="shared" si="78"/>
        <v>0</v>
      </c>
      <c r="J336" s="29"/>
      <c r="K336" s="45"/>
      <c r="L336" s="16"/>
      <c r="M336" s="12">
        <f t="shared" si="79"/>
        <v>0</v>
      </c>
      <c r="N336" s="13">
        <f t="shared" si="80"/>
        <v>0</v>
      </c>
      <c r="O336" s="30"/>
      <c r="P336" s="25"/>
      <c r="Q336" s="28"/>
      <c r="R336" s="45"/>
      <c r="S336" s="16"/>
      <c r="T336" s="12">
        <f t="shared" si="81"/>
        <v>0</v>
      </c>
      <c r="U336" s="28"/>
      <c r="V336" s="45"/>
      <c r="W336" s="16"/>
      <c r="X336" s="12">
        <f t="shared" si="82"/>
        <v>0</v>
      </c>
      <c r="Y336" s="28"/>
      <c r="Z336" s="45"/>
      <c r="AA336" s="16"/>
      <c r="AB336" s="12">
        <f t="shared" si="83"/>
        <v>0</v>
      </c>
      <c r="AC336" s="13">
        <f t="shared" si="84"/>
        <v>0</v>
      </c>
      <c r="AD336" s="15"/>
    </row>
    <row r="337" spans="1:30" x14ac:dyDescent="0.15">
      <c r="A337" s="25"/>
      <c r="B337" s="29"/>
      <c r="C337" s="45"/>
      <c r="D337" s="16"/>
      <c r="E337" s="12">
        <f t="shared" si="77"/>
        <v>0</v>
      </c>
      <c r="F337" s="29"/>
      <c r="G337" s="45"/>
      <c r="H337" s="16"/>
      <c r="I337" s="12">
        <f t="shared" si="78"/>
        <v>0</v>
      </c>
      <c r="J337" s="29"/>
      <c r="K337" s="45"/>
      <c r="L337" s="16"/>
      <c r="M337" s="12">
        <f t="shared" si="79"/>
        <v>0</v>
      </c>
      <c r="N337" s="13">
        <f t="shared" si="80"/>
        <v>0</v>
      </c>
      <c r="O337" s="30"/>
      <c r="P337" s="25"/>
      <c r="Q337" s="29"/>
      <c r="R337" s="45"/>
      <c r="S337" s="16"/>
      <c r="T337" s="12">
        <f t="shared" si="81"/>
        <v>0</v>
      </c>
      <c r="U337" s="29"/>
      <c r="V337" s="45"/>
      <c r="W337" s="16"/>
      <c r="X337" s="12">
        <f t="shared" si="82"/>
        <v>0</v>
      </c>
      <c r="Y337" s="29"/>
      <c r="Z337" s="45"/>
      <c r="AA337" s="16"/>
      <c r="AB337" s="12">
        <f t="shared" si="83"/>
        <v>0</v>
      </c>
      <c r="AC337" s="13">
        <f t="shared" si="84"/>
        <v>0</v>
      </c>
      <c r="AD337" s="15"/>
    </row>
    <row r="338" spans="1:30" x14ac:dyDescent="0.15">
      <c r="A338" s="25"/>
      <c r="B338" s="29"/>
      <c r="C338" s="45"/>
      <c r="D338" s="16"/>
      <c r="E338" s="12">
        <f t="shared" si="77"/>
        <v>0</v>
      </c>
      <c r="F338" s="29"/>
      <c r="G338" s="45"/>
      <c r="H338" s="16"/>
      <c r="I338" s="12">
        <f t="shared" si="78"/>
        <v>0</v>
      </c>
      <c r="J338" s="29"/>
      <c r="K338" s="45"/>
      <c r="L338" s="16"/>
      <c r="M338" s="12">
        <f t="shared" si="79"/>
        <v>0</v>
      </c>
      <c r="N338" s="13">
        <f t="shared" si="80"/>
        <v>0</v>
      </c>
      <c r="O338" s="30"/>
      <c r="P338" s="25"/>
      <c r="Q338" s="29"/>
      <c r="R338" s="45"/>
      <c r="S338" s="16"/>
      <c r="T338" s="12">
        <f t="shared" si="81"/>
        <v>0</v>
      </c>
      <c r="U338" s="29"/>
      <c r="V338" s="45"/>
      <c r="W338" s="16"/>
      <c r="X338" s="12">
        <f t="shared" si="82"/>
        <v>0</v>
      </c>
      <c r="Y338" s="29"/>
      <c r="Z338" s="45"/>
      <c r="AA338" s="16"/>
      <c r="AB338" s="12">
        <f t="shared" si="83"/>
        <v>0</v>
      </c>
      <c r="AC338" s="13">
        <f t="shared" si="84"/>
        <v>0</v>
      </c>
      <c r="AD338" s="15"/>
    </row>
    <row r="339" spans="1:30" x14ac:dyDescent="0.15">
      <c r="A339" s="25"/>
      <c r="B339" s="29"/>
      <c r="C339" s="45"/>
      <c r="D339" s="16"/>
      <c r="E339" s="12">
        <f t="shared" si="77"/>
        <v>0</v>
      </c>
      <c r="F339" s="29"/>
      <c r="G339" s="45"/>
      <c r="H339" s="16"/>
      <c r="I339" s="12">
        <f t="shared" si="78"/>
        <v>0</v>
      </c>
      <c r="J339" s="29"/>
      <c r="K339" s="45"/>
      <c r="L339" s="16"/>
      <c r="M339" s="12">
        <f t="shared" si="79"/>
        <v>0</v>
      </c>
      <c r="N339" s="13">
        <f t="shared" si="80"/>
        <v>0</v>
      </c>
      <c r="O339" s="30"/>
      <c r="P339" s="25"/>
      <c r="Q339" s="29"/>
      <c r="R339" s="45"/>
      <c r="S339" s="16"/>
      <c r="T339" s="12">
        <f t="shared" si="81"/>
        <v>0</v>
      </c>
      <c r="U339" s="29"/>
      <c r="V339" s="45"/>
      <c r="W339" s="16"/>
      <c r="X339" s="12">
        <f t="shared" si="82"/>
        <v>0</v>
      </c>
      <c r="Y339" s="29"/>
      <c r="Z339" s="45"/>
      <c r="AA339" s="16"/>
      <c r="AB339" s="12">
        <f t="shared" si="83"/>
        <v>0</v>
      </c>
      <c r="AC339" s="13">
        <f t="shared" si="84"/>
        <v>0</v>
      </c>
      <c r="AD339" s="15"/>
    </row>
    <row r="340" spans="1:30" ht="14.25" thickBot="1" x14ac:dyDescent="0.2">
      <c r="A340" s="25"/>
      <c r="B340" s="29"/>
      <c r="C340" s="45"/>
      <c r="D340" s="16"/>
      <c r="E340" s="12">
        <f t="shared" si="77"/>
        <v>0</v>
      </c>
      <c r="F340" s="29"/>
      <c r="G340" s="45"/>
      <c r="H340" s="16"/>
      <c r="I340" s="12">
        <f t="shared" si="78"/>
        <v>0</v>
      </c>
      <c r="J340" s="29"/>
      <c r="K340" s="45"/>
      <c r="L340" s="16"/>
      <c r="M340" s="12">
        <f t="shared" si="79"/>
        <v>0</v>
      </c>
      <c r="N340" s="20">
        <f t="shared" si="80"/>
        <v>0</v>
      </c>
      <c r="O340" s="30"/>
      <c r="P340" s="25"/>
      <c r="Q340" s="29"/>
      <c r="R340" s="45"/>
      <c r="S340" s="16"/>
      <c r="T340" s="12">
        <f t="shared" si="81"/>
        <v>0</v>
      </c>
      <c r="U340" s="29"/>
      <c r="V340" s="45"/>
      <c r="W340" s="16"/>
      <c r="X340" s="12">
        <f t="shared" si="82"/>
        <v>0</v>
      </c>
      <c r="Y340" s="29"/>
      <c r="Z340" s="45"/>
      <c r="AA340" s="16"/>
      <c r="AB340" s="12">
        <f t="shared" si="83"/>
        <v>0</v>
      </c>
      <c r="AC340" s="20">
        <f t="shared" si="84"/>
        <v>0</v>
      </c>
      <c r="AD340" s="15"/>
    </row>
    <row r="341" spans="1:30" ht="14.25" thickBot="1" x14ac:dyDescent="0.2">
      <c r="A341" s="3" t="s">
        <v>9</v>
      </c>
      <c r="B341" s="22">
        <f>SUM(B317:B340)</f>
        <v>0</v>
      </c>
      <c r="C341" s="47">
        <f t="shared" ref="C341:E341" si="85">SUM(C317:C340)</f>
        <v>0</v>
      </c>
      <c r="D341" s="41">
        <f t="shared" si="85"/>
        <v>-1</v>
      </c>
      <c r="E341" s="31">
        <f t="shared" si="85"/>
        <v>-1</v>
      </c>
      <c r="F341" s="22">
        <f>SUM(F317:F340)</f>
        <v>0</v>
      </c>
      <c r="G341" s="47">
        <f t="shared" ref="G341:I341" si="86">SUM(G317:G340)</f>
        <v>1</v>
      </c>
      <c r="H341" s="41">
        <f t="shared" si="86"/>
        <v>0</v>
      </c>
      <c r="I341" s="31">
        <f t="shared" si="86"/>
        <v>1</v>
      </c>
      <c r="J341" s="22">
        <f>SUM(J317:J340)</f>
        <v>3</v>
      </c>
      <c r="K341" s="47">
        <f t="shared" ref="K341:M341" si="87">SUM(K317:K340)</f>
        <v>0</v>
      </c>
      <c r="L341" s="41">
        <f t="shared" si="87"/>
        <v>0</v>
      </c>
      <c r="M341" s="31">
        <f t="shared" si="87"/>
        <v>3</v>
      </c>
      <c r="N341" s="24">
        <f t="shared" si="80"/>
        <v>3</v>
      </c>
      <c r="P341" s="3" t="s">
        <v>9</v>
      </c>
      <c r="Q341" s="22">
        <f>SUM(Q317:Q340)</f>
        <v>2</v>
      </c>
      <c r="R341" s="47">
        <f t="shared" ref="R341:T341" si="88">SUM(R317:R340)</f>
        <v>0</v>
      </c>
      <c r="S341" s="41">
        <f t="shared" si="88"/>
        <v>1</v>
      </c>
      <c r="T341" s="31">
        <f t="shared" si="88"/>
        <v>3</v>
      </c>
      <c r="U341" s="22">
        <f>SUM(U317:U340)</f>
        <v>2</v>
      </c>
      <c r="V341" s="47">
        <f t="shared" ref="V341:X341" si="89">SUM(V317:V340)</f>
        <v>1</v>
      </c>
      <c r="W341" s="41">
        <f t="shared" si="89"/>
        <v>0</v>
      </c>
      <c r="X341" s="31">
        <f t="shared" si="89"/>
        <v>3</v>
      </c>
      <c r="Y341" s="22">
        <f>SUM(Y317:Y340)</f>
        <v>0</v>
      </c>
      <c r="Z341" s="47">
        <f t="shared" ref="Z341:AB341" si="90">SUM(Z317:Z340)</f>
        <v>0</v>
      </c>
      <c r="AA341" s="41">
        <f t="shared" si="90"/>
        <v>2</v>
      </c>
      <c r="AB341" s="31">
        <f t="shared" si="90"/>
        <v>2</v>
      </c>
      <c r="AC341" s="24">
        <f t="shared" si="84"/>
        <v>8</v>
      </c>
    </row>
    <row r="342" spans="1:30" ht="14.25" thickBot="1" x14ac:dyDescent="0.2">
      <c r="A342" s="32" t="s">
        <v>10</v>
      </c>
      <c r="B342" s="33">
        <f>B316-B341</f>
        <v>0</v>
      </c>
      <c r="C342" s="49">
        <f t="shared" ref="C342:E342" si="91">C316-C341</f>
        <v>3</v>
      </c>
      <c r="D342" s="42">
        <f t="shared" si="91"/>
        <v>3</v>
      </c>
      <c r="E342" s="33">
        <f t="shared" si="91"/>
        <v>6</v>
      </c>
      <c r="F342" s="33">
        <f>F316-F341</f>
        <v>0</v>
      </c>
      <c r="G342" s="49">
        <f t="shared" ref="G342:I342" si="92">G316-G341</f>
        <v>2</v>
      </c>
      <c r="H342" s="42">
        <f t="shared" si="92"/>
        <v>3</v>
      </c>
      <c r="I342" s="33">
        <f t="shared" si="92"/>
        <v>5</v>
      </c>
      <c r="J342" s="33">
        <f>J316-J341</f>
        <v>3</v>
      </c>
      <c r="K342" s="49">
        <f t="shared" ref="K342:M342" si="93">K316-K341</f>
        <v>3</v>
      </c>
      <c r="L342" s="42">
        <f t="shared" si="93"/>
        <v>0</v>
      </c>
      <c r="M342" s="33">
        <f t="shared" si="93"/>
        <v>6</v>
      </c>
      <c r="N342" s="24">
        <f t="shared" si="80"/>
        <v>17</v>
      </c>
      <c r="P342" s="32" t="s">
        <v>10</v>
      </c>
      <c r="Q342" s="33">
        <f>Q316-Q341</f>
        <v>3</v>
      </c>
      <c r="R342" s="49">
        <f t="shared" ref="R342:T342" si="94">R316-R341</f>
        <v>3</v>
      </c>
      <c r="S342" s="42">
        <f t="shared" si="94"/>
        <v>2</v>
      </c>
      <c r="T342" s="33">
        <f t="shared" si="94"/>
        <v>8</v>
      </c>
      <c r="U342" s="33">
        <f>U316-U341</f>
        <v>1</v>
      </c>
      <c r="V342" s="49">
        <f t="shared" ref="V342:X342" si="95">V316-V341</f>
        <v>2</v>
      </c>
      <c r="W342" s="42">
        <f t="shared" si="95"/>
        <v>3</v>
      </c>
      <c r="X342" s="33">
        <f t="shared" si="95"/>
        <v>6</v>
      </c>
      <c r="Y342" s="33">
        <f>Y316-Y341</f>
        <v>3</v>
      </c>
      <c r="Z342" s="49">
        <f t="shared" ref="Z342:AB342" si="96">Z316-Z341</f>
        <v>3</v>
      </c>
      <c r="AA342" s="42">
        <f t="shared" si="96"/>
        <v>1</v>
      </c>
      <c r="AB342" s="33">
        <f t="shared" si="96"/>
        <v>7</v>
      </c>
      <c r="AC342" s="24">
        <f t="shared" si="84"/>
        <v>21</v>
      </c>
    </row>
    <row r="345" spans="1:30" ht="21.75" thickBot="1" x14ac:dyDescent="0.25">
      <c r="A345" s="34" t="s">
        <v>25</v>
      </c>
      <c r="B345" s="35"/>
      <c r="C345" s="35"/>
      <c r="D345" s="35"/>
      <c r="E345" s="37"/>
      <c r="F345" s="35"/>
      <c r="G345" s="35"/>
      <c r="H345" s="38" t="s">
        <v>50</v>
      </c>
      <c r="I345" s="1"/>
      <c r="J345" s="1"/>
      <c r="K345" s="1">
        <v>680</v>
      </c>
      <c r="L345" s="1"/>
      <c r="M345" s="1"/>
      <c r="P345" s="34" t="s">
        <v>25</v>
      </c>
      <c r="Q345" s="35"/>
      <c r="R345" s="35"/>
      <c r="S345" s="35"/>
      <c r="T345" s="37"/>
      <c r="U345" s="35"/>
      <c r="V345" s="35"/>
      <c r="W345" s="38" t="s">
        <v>44</v>
      </c>
      <c r="X345" s="1"/>
      <c r="Y345" s="1"/>
      <c r="Z345" s="1"/>
      <c r="AA345" s="1"/>
      <c r="AB345" s="1"/>
      <c r="AC345">
        <v>900</v>
      </c>
    </row>
    <row r="346" spans="1:30" ht="14.25" thickBot="1" x14ac:dyDescent="0.2">
      <c r="A346" s="2" t="s">
        <v>0</v>
      </c>
      <c r="B346" s="115" t="s">
        <v>22</v>
      </c>
      <c r="C346" s="115"/>
      <c r="D346" s="115"/>
      <c r="E346" s="116"/>
      <c r="F346" s="119" t="s">
        <v>23</v>
      </c>
      <c r="G346" s="119"/>
      <c r="H346" s="119"/>
      <c r="I346" s="120"/>
      <c r="J346" s="109" t="s">
        <v>24</v>
      </c>
      <c r="K346" s="109"/>
      <c r="L346" s="109"/>
      <c r="M346" s="110"/>
      <c r="N346" s="95" t="s">
        <v>14</v>
      </c>
      <c r="P346" s="2" t="s">
        <v>0</v>
      </c>
      <c r="Q346" s="121" t="s">
        <v>15</v>
      </c>
      <c r="R346" s="121"/>
      <c r="S346" s="121"/>
      <c r="T346" s="122"/>
      <c r="U346" s="113" t="s">
        <v>45</v>
      </c>
      <c r="V346" s="113"/>
      <c r="W346" s="113"/>
      <c r="X346" s="114"/>
      <c r="Y346" s="111" t="s">
        <v>17</v>
      </c>
      <c r="Z346" s="111"/>
      <c r="AA346" s="111"/>
      <c r="AB346" s="112"/>
      <c r="AC346" s="107" t="s">
        <v>14</v>
      </c>
    </row>
    <row r="347" spans="1:30" ht="14.25" thickBot="1" x14ac:dyDescent="0.2">
      <c r="A347" s="2" t="s">
        <v>1</v>
      </c>
      <c r="B347" s="3" t="s">
        <v>2</v>
      </c>
      <c r="C347" s="43" t="s">
        <v>3</v>
      </c>
      <c r="D347" s="4" t="s">
        <v>4</v>
      </c>
      <c r="E347" s="2" t="s">
        <v>5</v>
      </c>
      <c r="F347" s="3" t="s">
        <v>2</v>
      </c>
      <c r="G347" s="43" t="s">
        <v>3</v>
      </c>
      <c r="H347" s="4" t="s">
        <v>4</v>
      </c>
      <c r="I347" s="2" t="s">
        <v>5</v>
      </c>
      <c r="J347" s="3" t="s">
        <v>2</v>
      </c>
      <c r="K347" s="43" t="s">
        <v>3</v>
      </c>
      <c r="L347" s="4" t="s">
        <v>4</v>
      </c>
      <c r="M347" s="2" t="s">
        <v>5</v>
      </c>
      <c r="N347" s="96"/>
      <c r="P347" s="2" t="s">
        <v>1</v>
      </c>
      <c r="Q347" s="3" t="s">
        <v>2</v>
      </c>
      <c r="R347" s="43" t="s">
        <v>3</v>
      </c>
      <c r="S347" s="4" t="s">
        <v>4</v>
      </c>
      <c r="T347" s="2" t="s">
        <v>5</v>
      </c>
      <c r="U347" s="3" t="s">
        <v>2</v>
      </c>
      <c r="V347" s="43" t="s">
        <v>3</v>
      </c>
      <c r="W347" s="4" t="s">
        <v>4</v>
      </c>
      <c r="X347" s="2" t="s">
        <v>5</v>
      </c>
      <c r="Y347" s="3" t="s">
        <v>2</v>
      </c>
      <c r="Z347" s="43" t="s">
        <v>3</v>
      </c>
      <c r="AA347" s="4" t="s">
        <v>4</v>
      </c>
      <c r="AB347" s="2" t="s">
        <v>5</v>
      </c>
      <c r="AC347" s="108"/>
    </row>
    <row r="348" spans="1:30" x14ac:dyDescent="0.15">
      <c r="A348" s="5" t="s">
        <v>10</v>
      </c>
      <c r="B348" s="6">
        <f>B342</f>
        <v>0</v>
      </c>
      <c r="C348" s="50">
        <f t="shared" ref="C348:N348" si="97">C342</f>
        <v>3</v>
      </c>
      <c r="D348" s="6">
        <f t="shared" si="97"/>
        <v>3</v>
      </c>
      <c r="E348" s="7">
        <f t="shared" si="97"/>
        <v>6</v>
      </c>
      <c r="F348" s="6">
        <f t="shared" si="97"/>
        <v>0</v>
      </c>
      <c r="G348" s="50">
        <f t="shared" si="97"/>
        <v>2</v>
      </c>
      <c r="H348" s="6">
        <f t="shared" si="97"/>
        <v>3</v>
      </c>
      <c r="I348" s="7">
        <f t="shared" si="97"/>
        <v>5</v>
      </c>
      <c r="J348" s="6">
        <f t="shared" si="97"/>
        <v>3</v>
      </c>
      <c r="K348" s="50">
        <f t="shared" si="97"/>
        <v>3</v>
      </c>
      <c r="L348" s="6">
        <f t="shared" si="97"/>
        <v>0</v>
      </c>
      <c r="M348" s="7">
        <f t="shared" si="97"/>
        <v>6</v>
      </c>
      <c r="N348" s="8">
        <f t="shared" si="97"/>
        <v>17</v>
      </c>
      <c r="P348" s="5" t="s">
        <v>10</v>
      </c>
      <c r="Q348" s="6">
        <f>Q342</f>
        <v>3</v>
      </c>
      <c r="R348" s="50">
        <f t="shared" ref="R348:AC348" si="98">R342</f>
        <v>3</v>
      </c>
      <c r="S348" s="6">
        <f t="shared" si="98"/>
        <v>2</v>
      </c>
      <c r="T348" s="7">
        <f t="shared" si="98"/>
        <v>8</v>
      </c>
      <c r="U348" s="6">
        <f t="shared" si="98"/>
        <v>1</v>
      </c>
      <c r="V348" s="50">
        <f t="shared" si="98"/>
        <v>2</v>
      </c>
      <c r="W348" s="6">
        <f t="shared" si="98"/>
        <v>3</v>
      </c>
      <c r="X348" s="7">
        <f t="shared" si="98"/>
        <v>6</v>
      </c>
      <c r="Y348" s="6">
        <f t="shared" si="98"/>
        <v>3</v>
      </c>
      <c r="Z348" s="50">
        <f t="shared" si="98"/>
        <v>3</v>
      </c>
      <c r="AA348" s="6">
        <f t="shared" si="98"/>
        <v>1</v>
      </c>
      <c r="AB348" s="7">
        <f t="shared" si="98"/>
        <v>7</v>
      </c>
      <c r="AC348" s="8">
        <f t="shared" si="98"/>
        <v>21</v>
      </c>
      <c r="AD348" s="15"/>
    </row>
    <row r="349" spans="1:30" x14ac:dyDescent="0.15">
      <c r="A349" s="9" t="s">
        <v>7</v>
      </c>
      <c r="B349" s="69"/>
      <c r="C349" s="45"/>
      <c r="D349" s="16"/>
      <c r="E349" s="12">
        <f t="shared" ref="E349:E383" si="99">SUM(B349:D349)</f>
        <v>0</v>
      </c>
      <c r="F349" s="69"/>
      <c r="G349" s="45"/>
      <c r="H349" s="69"/>
      <c r="I349" s="12">
        <f t="shared" ref="I349:I383" si="100">SUM(F349:H349)</f>
        <v>0</v>
      </c>
      <c r="J349" s="16">
        <v>5</v>
      </c>
      <c r="K349" s="45"/>
      <c r="L349" s="69"/>
      <c r="M349" s="12">
        <f t="shared" ref="M349:M383" si="101">SUM(J349:L349)</f>
        <v>5</v>
      </c>
      <c r="N349" s="13">
        <f t="shared" ref="N349:N385" si="102">E349+I349+M349</f>
        <v>5</v>
      </c>
      <c r="O349" s="15">
        <v>45603</v>
      </c>
      <c r="P349" s="9" t="s">
        <v>7</v>
      </c>
      <c r="Q349" s="10"/>
      <c r="R349" s="44"/>
      <c r="S349" s="10"/>
      <c r="T349" s="12">
        <f t="shared" ref="T349:T383" si="103">SUM(Q349:S349)</f>
        <v>0</v>
      </c>
      <c r="U349" s="10">
        <v>3</v>
      </c>
      <c r="V349" s="44"/>
      <c r="W349" s="10"/>
      <c r="X349" s="12">
        <f t="shared" ref="X349:X383" si="104">SUM(U349:W349)</f>
        <v>3</v>
      </c>
      <c r="Y349" s="10"/>
      <c r="Z349" s="44"/>
      <c r="AA349" s="10">
        <v>3</v>
      </c>
      <c r="AB349" s="12">
        <f t="shared" ref="AB349:AB383" si="105">SUM(Y349:AA349)</f>
        <v>3</v>
      </c>
      <c r="AC349" s="13">
        <f t="shared" ref="AC349:AC385" si="106">T349+X349+AB349</f>
        <v>6</v>
      </c>
      <c r="AD349" s="15">
        <v>45603</v>
      </c>
    </row>
    <row r="350" spans="1:30" x14ac:dyDescent="0.15">
      <c r="A350" s="9" t="s">
        <v>7</v>
      </c>
      <c r="B350" s="69"/>
      <c r="C350" s="45">
        <v>3</v>
      </c>
      <c r="D350" s="16"/>
      <c r="E350" s="12">
        <f t="shared" si="99"/>
        <v>3</v>
      </c>
      <c r="F350" s="69"/>
      <c r="G350" s="45">
        <v>3</v>
      </c>
      <c r="H350" s="69"/>
      <c r="I350" s="12">
        <f t="shared" si="100"/>
        <v>3</v>
      </c>
      <c r="J350" s="16"/>
      <c r="K350" s="45">
        <v>3</v>
      </c>
      <c r="L350" s="69"/>
      <c r="M350" s="12">
        <f t="shared" si="101"/>
        <v>3</v>
      </c>
      <c r="N350" s="13">
        <f t="shared" si="102"/>
        <v>9</v>
      </c>
      <c r="O350" s="15">
        <v>45651</v>
      </c>
      <c r="P350" s="9" t="s">
        <v>7</v>
      </c>
      <c r="Q350" s="10"/>
      <c r="R350" s="44"/>
      <c r="S350" s="10"/>
      <c r="T350" s="12">
        <f t="shared" si="103"/>
        <v>0</v>
      </c>
      <c r="U350" s="10"/>
      <c r="V350" s="44">
        <v>3</v>
      </c>
      <c r="W350" s="10"/>
      <c r="X350" s="12">
        <f t="shared" si="104"/>
        <v>3</v>
      </c>
      <c r="Y350" s="10"/>
      <c r="Z350" s="90"/>
      <c r="AA350" s="10"/>
      <c r="AB350" s="12">
        <f t="shared" si="105"/>
        <v>0</v>
      </c>
      <c r="AC350" s="13">
        <f t="shared" si="106"/>
        <v>3</v>
      </c>
      <c r="AD350" s="15">
        <v>45707</v>
      </c>
    </row>
    <row r="351" spans="1:30" x14ac:dyDescent="0.15">
      <c r="A351" s="9" t="s">
        <v>7</v>
      </c>
      <c r="B351" s="69"/>
      <c r="C351" s="45">
        <v>1</v>
      </c>
      <c r="D351" s="16"/>
      <c r="E351" s="12">
        <f t="shared" si="99"/>
        <v>1</v>
      </c>
      <c r="F351" s="69"/>
      <c r="G351" s="45">
        <v>2</v>
      </c>
      <c r="H351" s="69"/>
      <c r="I351" s="12">
        <f t="shared" si="100"/>
        <v>2</v>
      </c>
      <c r="J351" s="16"/>
      <c r="K351" s="45"/>
      <c r="L351" s="69"/>
      <c r="M351" s="12">
        <f t="shared" si="101"/>
        <v>0</v>
      </c>
      <c r="N351" s="13">
        <f t="shared" si="102"/>
        <v>3</v>
      </c>
      <c r="O351" s="15">
        <v>45707</v>
      </c>
      <c r="P351" s="9" t="s">
        <v>7</v>
      </c>
      <c r="Q351" s="10"/>
      <c r="R351" s="44"/>
      <c r="S351" s="10">
        <v>2</v>
      </c>
      <c r="T351" s="12">
        <f t="shared" si="103"/>
        <v>2</v>
      </c>
      <c r="U351" s="10"/>
      <c r="V351" s="44"/>
      <c r="W351" s="10"/>
      <c r="X351" s="12">
        <f t="shared" si="104"/>
        <v>0</v>
      </c>
      <c r="Y351" s="10">
        <v>2</v>
      </c>
      <c r="Z351" s="90"/>
      <c r="AA351" s="10"/>
      <c r="AB351" s="12">
        <f t="shared" si="105"/>
        <v>2</v>
      </c>
      <c r="AC351" s="13">
        <f t="shared" si="106"/>
        <v>4</v>
      </c>
      <c r="AD351" s="15">
        <v>45734</v>
      </c>
    </row>
    <row r="352" spans="1:30" x14ac:dyDescent="0.15">
      <c r="A352" s="9" t="s">
        <v>7</v>
      </c>
      <c r="B352" s="69"/>
      <c r="C352" s="55">
        <v>-1</v>
      </c>
      <c r="D352" s="61"/>
      <c r="E352" s="12">
        <f t="shared" ref="E352" si="107">SUM(B352:D352)</f>
        <v>-1</v>
      </c>
      <c r="F352" s="69"/>
      <c r="G352" s="45"/>
      <c r="H352" s="69">
        <v>-1</v>
      </c>
      <c r="I352" s="12">
        <f t="shared" ref="I352" si="108">SUM(F352:H352)</f>
        <v>-1</v>
      </c>
      <c r="J352" s="16"/>
      <c r="K352" s="45">
        <v>-1</v>
      </c>
      <c r="L352" s="69"/>
      <c r="M352" s="12">
        <f t="shared" ref="M352" si="109">SUM(J352:L352)</f>
        <v>-1</v>
      </c>
      <c r="N352" s="13">
        <f t="shared" ref="N352" si="110">E352+I352+M352</f>
        <v>-3</v>
      </c>
      <c r="O352" s="15"/>
      <c r="P352" s="9" t="s">
        <v>7</v>
      </c>
      <c r="Q352" s="10"/>
      <c r="R352" s="44">
        <v>2</v>
      </c>
      <c r="S352" s="10"/>
      <c r="T352" s="12">
        <f t="shared" si="103"/>
        <v>2</v>
      </c>
      <c r="U352" s="10"/>
      <c r="V352" s="44"/>
      <c r="W352" s="10">
        <v>2</v>
      </c>
      <c r="X352" s="12">
        <f t="shared" si="104"/>
        <v>2</v>
      </c>
      <c r="Y352" s="10"/>
      <c r="Z352" s="90"/>
      <c r="AA352" s="10"/>
      <c r="AB352" s="12">
        <f t="shared" si="105"/>
        <v>0</v>
      </c>
      <c r="AC352" s="13">
        <f t="shared" si="106"/>
        <v>4</v>
      </c>
      <c r="AD352" s="15">
        <v>45750</v>
      </c>
    </row>
    <row r="353" spans="1:30" x14ac:dyDescent="0.15">
      <c r="A353" s="9" t="s">
        <v>7</v>
      </c>
      <c r="B353" s="69"/>
      <c r="C353" s="55"/>
      <c r="D353" s="61"/>
      <c r="E353" s="12">
        <f t="shared" si="99"/>
        <v>0</v>
      </c>
      <c r="F353" s="69"/>
      <c r="G353" s="45"/>
      <c r="H353" s="69"/>
      <c r="I353" s="12">
        <f t="shared" si="100"/>
        <v>0</v>
      </c>
      <c r="J353" s="16">
        <v>3</v>
      </c>
      <c r="K353" s="45"/>
      <c r="L353" s="69"/>
      <c r="M353" s="12">
        <f t="shared" si="101"/>
        <v>3</v>
      </c>
      <c r="N353" s="13">
        <f t="shared" si="102"/>
        <v>3</v>
      </c>
      <c r="O353" s="15">
        <v>45863</v>
      </c>
      <c r="P353" s="9" t="s">
        <v>7</v>
      </c>
      <c r="Q353" s="10"/>
      <c r="R353" s="44"/>
      <c r="S353" s="10"/>
      <c r="T353" s="12">
        <f t="shared" si="103"/>
        <v>0</v>
      </c>
      <c r="U353" s="10"/>
      <c r="V353" s="44"/>
      <c r="W353" s="10"/>
      <c r="X353" s="12">
        <f t="shared" si="104"/>
        <v>0</v>
      </c>
      <c r="Y353" s="10">
        <v>3</v>
      </c>
      <c r="Z353" s="90"/>
      <c r="AA353" s="10"/>
      <c r="AB353" s="12">
        <f t="shared" si="105"/>
        <v>3</v>
      </c>
      <c r="AC353" s="13">
        <f t="shared" si="106"/>
        <v>3</v>
      </c>
      <c r="AD353" s="15">
        <v>45863</v>
      </c>
    </row>
    <row r="354" spans="1:30" x14ac:dyDescent="0.15">
      <c r="A354" s="9" t="s">
        <v>7</v>
      </c>
      <c r="B354" s="69"/>
      <c r="C354" s="55"/>
      <c r="D354" s="61"/>
      <c r="E354" s="12">
        <f t="shared" si="99"/>
        <v>0</v>
      </c>
      <c r="F354" s="69"/>
      <c r="G354" s="45"/>
      <c r="H354" s="69"/>
      <c r="I354" s="12">
        <f t="shared" si="100"/>
        <v>0</v>
      </c>
      <c r="J354" s="16"/>
      <c r="K354" s="45"/>
      <c r="L354" s="69"/>
      <c r="M354" s="12">
        <f t="shared" si="101"/>
        <v>0</v>
      </c>
      <c r="N354" s="13">
        <f t="shared" si="102"/>
        <v>0</v>
      </c>
      <c r="P354" s="9" t="s">
        <v>7</v>
      </c>
      <c r="Q354" s="10"/>
      <c r="R354" s="44"/>
      <c r="S354" s="10"/>
      <c r="T354" s="12">
        <f t="shared" si="103"/>
        <v>0</v>
      </c>
      <c r="U354" s="10"/>
      <c r="V354" s="44"/>
      <c r="W354" s="10"/>
      <c r="X354" s="12">
        <f t="shared" si="104"/>
        <v>0</v>
      </c>
      <c r="Y354" s="10"/>
      <c r="Z354" s="90"/>
      <c r="AA354" s="10"/>
      <c r="AB354" s="12">
        <f t="shared" si="105"/>
        <v>0</v>
      </c>
      <c r="AC354" s="13">
        <f t="shared" si="106"/>
        <v>0</v>
      </c>
      <c r="AD354" s="15"/>
    </row>
    <row r="355" spans="1:30" x14ac:dyDescent="0.15">
      <c r="A355" s="9" t="s">
        <v>7</v>
      </c>
      <c r="B355" s="69"/>
      <c r="C355" s="55"/>
      <c r="D355" s="61"/>
      <c r="E355" s="12">
        <f t="shared" si="99"/>
        <v>0</v>
      </c>
      <c r="F355" s="69"/>
      <c r="G355" s="45"/>
      <c r="H355" s="69"/>
      <c r="I355" s="12">
        <f t="shared" si="100"/>
        <v>0</v>
      </c>
      <c r="J355" s="16"/>
      <c r="K355" s="45"/>
      <c r="L355" s="69"/>
      <c r="M355" s="12">
        <f t="shared" si="101"/>
        <v>0</v>
      </c>
      <c r="N355" s="13">
        <f t="shared" si="102"/>
        <v>0</v>
      </c>
      <c r="P355" s="9" t="s">
        <v>7</v>
      </c>
      <c r="Q355" s="16"/>
      <c r="R355" s="45"/>
      <c r="S355" s="16"/>
      <c r="T355" s="12">
        <f t="shared" si="103"/>
        <v>0</v>
      </c>
      <c r="U355" s="16"/>
      <c r="V355" s="45"/>
      <c r="W355" s="16"/>
      <c r="X355" s="12">
        <f t="shared" si="104"/>
        <v>0</v>
      </c>
      <c r="Y355" s="16"/>
      <c r="Z355" s="91"/>
      <c r="AA355" s="16"/>
      <c r="AB355" s="12">
        <f t="shared" si="105"/>
        <v>0</v>
      </c>
      <c r="AC355" s="13">
        <f t="shared" si="106"/>
        <v>0</v>
      </c>
      <c r="AD355" s="15"/>
    </row>
    <row r="356" spans="1:30" x14ac:dyDescent="0.15">
      <c r="A356" s="9" t="s">
        <v>7</v>
      </c>
      <c r="B356" s="69"/>
      <c r="C356" s="55"/>
      <c r="D356" s="61"/>
      <c r="E356" s="12">
        <f t="shared" si="99"/>
        <v>0</v>
      </c>
      <c r="F356" s="69"/>
      <c r="G356" s="45"/>
      <c r="H356" s="69"/>
      <c r="I356" s="12">
        <f t="shared" si="100"/>
        <v>0</v>
      </c>
      <c r="J356" s="16"/>
      <c r="K356" s="45"/>
      <c r="L356" s="69"/>
      <c r="M356" s="12">
        <f t="shared" si="101"/>
        <v>0</v>
      </c>
      <c r="N356" s="13">
        <f t="shared" si="102"/>
        <v>0</v>
      </c>
      <c r="P356" s="9" t="s">
        <v>7</v>
      </c>
      <c r="Q356" s="16"/>
      <c r="R356" s="45"/>
      <c r="S356" s="16"/>
      <c r="T356" s="12">
        <f t="shared" si="103"/>
        <v>0</v>
      </c>
      <c r="U356" s="16"/>
      <c r="V356" s="45"/>
      <c r="W356" s="16"/>
      <c r="X356" s="12">
        <f t="shared" si="104"/>
        <v>0</v>
      </c>
      <c r="Y356" s="16"/>
      <c r="Z356" s="91"/>
      <c r="AA356" s="16"/>
      <c r="AB356" s="12">
        <f t="shared" si="105"/>
        <v>0</v>
      </c>
      <c r="AC356" s="13">
        <f t="shared" si="106"/>
        <v>0</v>
      </c>
      <c r="AD356" s="14"/>
    </row>
    <row r="357" spans="1:30" x14ac:dyDescent="0.15">
      <c r="A357" s="9" t="s">
        <v>7</v>
      </c>
      <c r="B357" s="69"/>
      <c r="C357" s="55"/>
      <c r="D357" s="61"/>
      <c r="E357" s="12">
        <f t="shared" si="99"/>
        <v>0</v>
      </c>
      <c r="F357" s="69"/>
      <c r="G357" s="45"/>
      <c r="H357" s="69"/>
      <c r="I357" s="12">
        <f t="shared" si="100"/>
        <v>0</v>
      </c>
      <c r="J357" s="16"/>
      <c r="K357" s="45"/>
      <c r="L357" s="69"/>
      <c r="M357" s="12">
        <f t="shared" si="101"/>
        <v>0</v>
      </c>
      <c r="N357" s="13">
        <f t="shared" si="102"/>
        <v>0</v>
      </c>
      <c r="P357" s="9" t="s">
        <v>7</v>
      </c>
      <c r="Q357" s="16"/>
      <c r="R357" s="45"/>
      <c r="S357" s="16"/>
      <c r="T357" s="12">
        <f t="shared" si="103"/>
        <v>0</v>
      </c>
      <c r="U357" s="16"/>
      <c r="V357" s="45"/>
      <c r="W357" s="16"/>
      <c r="X357" s="12">
        <f t="shared" si="104"/>
        <v>0</v>
      </c>
      <c r="Y357" s="16"/>
      <c r="Z357" s="91"/>
      <c r="AA357" s="16"/>
      <c r="AB357" s="12">
        <f t="shared" si="105"/>
        <v>0</v>
      </c>
      <c r="AC357" s="13">
        <f t="shared" si="106"/>
        <v>0</v>
      </c>
      <c r="AD357" s="14"/>
    </row>
    <row r="358" spans="1:30" ht="14.25" thickBot="1" x14ac:dyDescent="0.2">
      <c r="A358" s="17" t="s">
        <v>7</v>
      </c>
      <c r="B358" s="70"/>
      <c r="C358" s="56"/>
      <c r="D358" s="62"/>
      <c r="E358" s="19">
        <f t="shared" si="99"/>
        <v>0</v>
      </c>
      <c r="F358" s="70"/>
      <c r="G358" s="46"/>
      <c r="H358" s="70"/>
      <c r="I358" s="19">
        <f t="shared" si="100"/>
        <v>0</v>
      </c>
      <c r="J358" s="18"/>
      <c r="K358" s="46"/>
      <c r="L358" s="70"/>
      <c r="M358" s="19">
        <f t="shared" si="101"/>
        <v>0</v>
      </c>
      <c r="N358" s="20">
        <f t="shared" si="102"/>
        <v>0</v>
      </c>
      <c r="P358" s="17" t="s">
        <v>7</v>
      </c>
      <c r="Q358" s="18"/>
      <c r="R358" s="46"/>
      <c r="S358" s="18"/>
      <c r="T358" s="19">
        <f t="shared" si="103"/>
        <v>0</v>
      </c>
      <c r="U358" s="18"/>
      <c r="V358" s="46"/>
      <c r="W358" s="18"/>
      <c r="X358" s="19">
        <f t="shared" si="104"/>
        <v>0</v>
      </c>
      <c r="Y358" s="18"/>
      <c r="Z358" s="92"/>
      <c r="AA358" s="18"/>
      <c r="AB358" s="19">
        <f t="shared" si="105"/>
        <v>0</v>
      </c>
      <c r="AC358" s="20">
        <f t="shared" si="106"/>
        <v>0</v>
      </c>
      <c r="AD358" s="14"/>
    </row>
    <row r="359" spans="1:30" ht="14.25" thickBot="1" x14ac:dyDescent="0.2">
      <c r="A359" s="21" t="s">
        <v>8</v>
      </c>
      <c r="B359" s="22">
        <f>SUM(B348:B358)</f>
        <v>0</v>
      </c>
      <c r="C359" s="47">
        <f>SUM(C348:C358)</f>
        <v>6</v>
      </c>
      <c r="D359" s="40">
        <f>SUM(D348:D358)</f>
        <v>3</v>
      </c>
      <c r="E359" s="23">
        <f t="shared" si="99"/>
        <v>9</v>
      </c>
      <c r="F359" s="22">
        <f>SUM(F348:F358)</f>
        <v>0</v>
      </c>
      <c r="G359" s="47">
        <f>SUM(G348:G358)</f>
        <v>7</v>
      </c>
      <c r="H359" s="40">
        <f>SUM(H348:H358)</f>
        <v>2</v>
      </c>
      <c r="I359" s="23">
        <f t="shared" si="100"/>
        <v>9</v>
      </c>
      <c r="J359" s="22">
        <f>SUM(J348:J358)</f>
        <v>11</v>
      </c>
      <c r="K359" s="47">
        <f>SUM(K348:K358)</f>
        <v>5</v>
      </c>
      <c r="L359" s="40">
        <f>SUM(L348:L358)</f>
        <v>0</v>
      </c>
      <c r="M359" s="23">
        <f t="shared" si="101"/>
        <v>16</v>
      </c>
      <c r="N359" s="24">
        <f t="shared" si="102"/>
        <v>34</v>
      </c>
      <c r="O359" s="30"/>
      <c r="P359" s="21" t="s">
        <v>8</v>
      </c>
      <c r="Q359" s="22">
        <f>SUM(Q348:Q358)</f>
        <v>3</v>
      </c>
      <c r="R359" s="47">
        <f>SUM(R348:R358)</f>
        <v>5</v>
      </c>
      <c r="S359" s="40">
        <f>SUM(S348:S358)</f>
        <v>4</v>
      </c>
      <c r="T359" s="23">
        <f t="shared" si="103"/>
        <v>12</v>
      </c>
      <c r="U359" s="22">
        <f>SUM(U348:U358)</f>
        <v>4</v>
      </c>
      <c r="V359" s="47">
        <f>SUM(V348:V358)</f>
        <v>5</v>
      </c>
      <c r="W359" s="40">
        <f>SUM(W348:W358)</f>
        <v>5</v>
      </c>
      <c r="X359" s="23">
        <f t="shared" si="104"/>
        <v>14</v>
      </c>
      <c r="Y359" s="22">
        <f>SUM(Y348:Y358)</f>
        <v>8</v>
      </c>
      <c r="Z359" s="47">
        <f>SUM(Z348:Z358)</f>
        <v>3</v>
      </c>
      <c r="AA359" s="40">
        <f>SUM(AA348:AA358)</f>
        <v>4</v>
      </c>
      <c r="AB359" s="23">
        <f t="shared" si="105"/>
        <v>15</v>
      </c>
      <c r="AC359" s="24">
        <f t="shared" si="106"/>
        <v>41</v>
      </c>
    </row>
    <row r="360" spans="1:30" x14ac:dyDescent="0.15">
      <c r="A360" s="25" t="s">
        <v>28</v>
      </c>
      <c r="B360" s="29"/>
      <c r="C360" s="45"/>
      <c r="D360" s="16"/>
      <c r="E360" s="12">
        <f t="shared" si="99"/>
        <v>0</v>
      </c>
      <c r="F360" s="29"/>
      <c r="G360" s="45"/>
      <c r="H360" s="16">
        <v>1</v>
      </c>
      <c r="I360" s="12">
        <f t="shared" si="100"/>
        <v>1</v>
      </c>
      <c r="J360" s="29"/>
      <c r="K360" s="45"/>
      <c r="L360" s="16"/>
      <c r="M360" s="12">
        <f t="shared" si="101"/>
        <v>0</v>
      </c>
      <c r="N360" s="13">
        <f t="shared" si="102"/>
        <v>1</v>
      </c>
      <c r="O360" s="30">
        <v>45607</v>
      </c>
      <c r="P360" s="25" t="s">
        <v>28</v>
      </c>
      <c r="Q360" s="29"/>
      <c r="R360" s="45">
        <v>1</v>
      </c>
      <c r="S360" s="16"/>
      <c r="T360" s="12">
        <f t="shared" ref="T360:T366" si="111">SUM(Q360:S360)</f>
        <v>1</v>
      </c>
      <c r="U360" s="29"/>
      <c r="V360" s="45">
        <v>1</v>
      </c>
      <c r="W360" s="16"/>
      <c r="X360" s="12">
        <f t="shared" ref="X360:X366" si="112">SUM(U360:W360)</f>
        <v>1</v>
      </c>
      <c r="Y360" s="29"/>
      <c r="Z360" s="45">
        <v>1</v>
      </c>
      <c r="AA360" s="16"/>
      <c r="AB360" s="12">
        <f t="shared" ref="AB360:AB366" si="113">SUM(Y360:AA360)</f>
        <v>1</v>
      </c>
      <c r="AC360" s="13">
        <f t="shared" ref="AC360:AC366" si="114">T360+X360+AB360</f>
        <v>3</v>
      </c>
      <c r="AD360" s="15">
        <v>45601</v>
      </c>
    </row>
    <row r="361" spans="1:30" x14ac:dyDescent="0.15">
      <c r="A361" s="25" t="s">
        <v>28</v>
      </c>
      <c r="B361" s="29"/>
      <c r="C361" s="45">
        <v>1</v>
      </c>
      <c r="D361" s="16"/>
      <c r="E361" s="12">
        <f t="shared" si="99"/>
        <v>1</v>
      </c>
      <c r="F361" s="29"/>
      <c r="G361" s="45"/>
      <c r="H361" s="16"/>
      <c r="I361" s="12">
        <f t="shared" si="100"/>
        <v>0</v>
      </c>
      <c r="J361" s="29"/>
      <c r="K361" s="45"/>
      <c r="L361" s="16"/>
      <c r="M361" s="12">
        <f t="shared" si="101"/>
        <v>0</v>
      </c>
      <c r="N361" s="13">
        <f t="shared" si="102"/>
        <v>1</v>
      </c>
      <c r="O361" s="30">
        <v>45615</v>
      </c>
      <c r="P361" s="25" t="s">
        <v>28</v>
      </c>
      <c r="Q361" s="29"/>
      <c r="R361" s="45"/>
      <c r="S361" s="16"/>
      <c r="T361" s="12">
        <f t="shared" si="111"/>
        <v>0</v>
      </c>
      <c r="U361" s="29"/>
      <c r="V361" s="45"/>
      <c r="W361" s="16">
        <v>1</v>
      </c>
      <c r="X361" s="12">
        <f t="shared" si="112"/>
        <v>1</v>
      </c>
      <c r="Y361" s="29"/>
      <c r="Z361" s="45"/>
      <c r="AA361" s="16"/>
      <c r="AB361" s="12">
        <f t="shared" si="113"/>
        <v>0</v>
      </c>
      <c r="AC361" s="13">
        <f t="shared" si="114"/>
        <v>1</v>
      </c>
      <c r="AD361" s="15">
        <v>45602</v>
      </c>
    </row>
    <row r="362" spans="1:30" x14ac:dyDescent="0.15">
      <c r="A362" s="25" t="s">
        <v>28</v>
      </c>
      <c r="B362" s="29"/>
      <c r="C362" s="45"/>
      <c r="D362" s="16"/>
      <c r="E362" s="12">
        <f t="shared" si="99"/>
        <v>0</v>
      </c>
      <c r="F362" s="29"/>
      <c r="G362" s="45"/>
      <c r="H362" s="16"/>
      <c r="I362" s="12">
        <f t="shared" si="100"/>
        <v>0</v>
      </c>
      <c r="J362" s="29"/>
      <c r="K362" s="45">
        <v>1</v>
      </c>
      <c r="L362" s="16"/>
      <c r="M362" s="12">
        <f t="shared" si="101"/>
        <v>1</v>
      </c>
      <c r="N362" s="13">
        <f t="shared" si="102"/>
        <v>1</v>
      </c>
      <c r="O362" s="30">
        <v>45618</v>
      </c>
      <c r="P362" s="25" t="s">
        <v>28</v>
      </c>
      <c r="Q362" s="29"/>
      <c r="R362" s="45"/>
      <c r="S362" s="16"/>
      <c r="T362" s="12">
        <f t="shared" si="111"/>
        <v>0</v>
      </c>
      <c r="U362" s="29"/>
      <c r="V362" s="45">
        <v>1</v>
      </c>
      <c r="W362" s="16"/>
      <c r="X362" s="12">
        <f t="shared" si="112"/>
        <v>1</v>
      </c>
      <c r="Y362" s="29"/>
      <c r="Z362" s="45"/>
      <c r="AA362" s="16"/>
      <c r="AB362" s="12">
        <f t="shared" si="113"/>
        <v>0</v>
      </c>
      <c r="AC362" s="13">
        <f t="shared" si="114"/>
        <v>1</v>
      </c>
      <c r="AD362" s="15">
        <v>45623</v>
      </c>
    </row>
    <row r="363" spans="1:30" x14ac:dyDescent="0.15">
      <c r="A363" s="25" t="s">
        <v>28</v>
      </c>
      <c r="B363" s="29"/>
      <c r="C363" s="45"/>
      <c r="D363" s="16">
        <v>2</v>
      </c>
      <c r="E363" s="12">
        <f t="shared" si="99"/>
        <v>2</v>
      </c>
      <c r="F363" s="29"/>
      <c r="G363" s="45"/>
      <c r="H363" s="16"/>
      <c r="I363" s="12">
        <f t="shared" si="100"/>
        <v>0</v>
      </c>
      <c r="J363" s="29"/>
      <c r="K363" s="45"/>
      <c r="L363" s="16"/>
      <c r="M363" s="12">
        <f t="shared" si="101"/>
        <v>0</v>
      </c>
      <c r="N363" s="13">
        <f t="shared" si="102"/>
        <v>2</v>
      </c>
      <c r="O363" s="30">
        <v>45624</v>
      </c>
      <c r="P363" s="25" t="s">
        <v>28</v>
      </c>
      <c r="Q363" s="29"/>
      <c r="R363" s="45"/>
      <c r="S363" s="16"/>
      <c r="T363" s="12">
        <f t="shared" si="111"/>
        <v>0</v>
      </c>
      <c r="U363" s="29"/>
      <c r="V363" s="45"/>
      <c r="W363" s="16"/>
      <c r="X363" s="12">
        <f t="shared" si="112"/>
        <v>0</v>
      </c>
      <c r="Y363" s="29"/>
      <c r="Z363" s="45">
        <v>1</v>
      </c>
      <c r="AA363" s="16"/>
      <c r="AB363" s="12">
        <f t="shared" si="113"/>
        <v>1</v>
      </c>
      <c r="AC363" s="13">
        <f t="shared" si="114"/>
        <v>1</v>
      </c>
      <c r="AD363" s="15">
        <v>45651</v>
      </c>
    </row>
    <row r="364" spans="1:30" x14ac:dyDescent="0.15">
      <c r="A364" s="25" t="s">
        <v>28</v>
      </c>
      <c r="B364" s="29"/>
      <c r="C364" s="45"/>
      <c r="D364" s="16"/>
      <c r="E364" s="12">
        <f t="shared" si="99"/>
        <v>0</v>
      </c>
      <c r="F364" s="29"/>
      <c r="G364" s="45"/>
      <c r="H364" s="16"/>
      <c r="I364" s="12">
        <f t="shared" si="100"/>
        <v>0</v>
      </c>
      <c r="J364" s="29">
        <v>1</v>
      </c>
      <c r="K364" s="45"/>
      <c r="L364" s="16"/>
      <c r="M364" s="12">
        <f t="shared" si="101"/>
        <v>1</v>
      </c>
      <c r="N364" s="13">
        <f t="shared" si="102"/>
        <v>1</v>
      </c>
      <c r="O364" s="30">
        <v>45637</v>
      </c>
      <c r="P364" s="25" t="s">
        <v>28</v>
      </c>
      <c r="Q364" s="29"/>
      <c r="R364" s="45"/>
      <c r="S364" s="16">
        <v>1</v>
      </c>
      <c r="T364" s="12">
        <f t="shared" si="111"/>
        <v>1</v>
      </c>
      <c r="U364" s="29"/>
      <c r="V364" s="45"/>
      <c r="W364" s="16"/>
      <c r="X364" s="12">
        <f t="shared" si="112"/>
        <v>0</v>
      </c>
      <c r="Y364" s="29"/>
      <c r="Z364" s="45"/>
      <c r="AA364" s="16"/>
      <c r="AB364" s="12">
        <f t="shared" si="113"/>
        <v>0</v>
      </c>
      <c r="AC364" s="13">
        <f t="shared" si="114"/>
        <v>1</v>
      </c>
      <c r="AD364" s="15">
        <v>45722</v>
      </c>
    </row>
    <row r="365" spans="1:30" x14ac:dyDescent="0.15">
      <c r="A365" s="25" t="s">
        <v>28</v>
      </c>
      <c r="B365" s="29"/>
      <c r="C365" s="45"/>
      <c r="D365" s="16"/>
      <c r="E365" s="12">
        <f t="shared" si="99"/>
        <v>0</v>
      </c>
      <c r="F365" s="29"/>
      <c r="G365" s="45"/>
      <c r="H365" s="16">
        <v>1</v>
      </c>
      <c r="I365" s="12">
        <f t="shared" si="100"/>
        <v>1</v>
      </c>
      <c r="J365" s="29"/>
      <c r="K365" s="45"/>
      <c r="L365" s="16"/>
      <c r="M365" s="12">
        <f t="shared" si="101"/>
        <v>0</v>
      </c>
      <c r="N365" s="13">
        <f t="shared" si="102"/>
        <v>1</v>
      </c>
      <c r="O365" s="30">
        <v>45647</v>
      </c>
      <c r="P365" s="25" t="s">
        <v>28</v>
      </c>
      <c r="Q365" s="29"/>
      <c r="R365" s="45"/>
      <c r="S365" s="16"/>
      <c r="T365" s="12">
        <f t="shared" si="111"/>
        <v>0</v>
      </c>
      <c r="U365" s="29"/>
      <c r="V365" s="45"/>
      <c r="W365" s="16"/>
      <c r="X365" s="12">
        <f t="shared" si="112"/>
        <v>0</v>
      </c>
      <c r="Y365" s="29">
        <v>2</v>
      </c>
      <c r="Z365" s="45"/>
      <c r="AA365" s="16"/>
      <c r="AB365" s="12">
        <f t="shared" si="113"/>
        <v>2</v>
      </c>
      <c r="AC365" s="13">
        <f t="shared" si="114"/>
        <v>2</v>
      </c>
      <c r="AD365" s="15">
        <v>45723</v>
      </c>
    </row>
    <row r="366" spans="1:30" x14ac:dyDescent="0.15">
      <c r="A366" s="25" t="s">
        <v>28</v>
      </c>
      <c r="B366" s="29"/>
      <c r="C366" s="45"/>
      <c r="D366" s="16">
        <v>1</v>
      </c>
      <c r="E366" s="12">
        <f t="shared" ref="E366" si="115">SUM(B366:D366)</f>
        <v>1</v>
      </c>
      <c r="F366" s="29"/>
      <c r="G366" s="45">
        <v>2</v>
      </c>
      <c r="H366" s="16"/>
      <c r="I366" s="12">
        <f t="shared" ref="I366" si="116">SUM(F366:H366)</f>
        <v>2</v>
      </c>
      <c r="J366" s="29">
        <v>1</v>
      </c>
      <c r="K366" s="45">
        <v>1</v>
      </c>
      <c r="L366" s="16"/>
      <c r="M366" s="12">
        <f t="shared" ref="M366" si="117">SUM(J366:L366)</f>
        <v>2</v>
      </c>
      <c r="N366" s="13">
        <f t="shared" ref="N366" si="118">E366+I366+M366</f>
        <v>5</v>
      </c>
      <c r="O366" s="30">
        <v>45651</v>
      </c>
      <c r="P366" s="25" t="s">
        <v>28</v>
      </c>
      <c r="Q366" s="29"/>
      <c r="R366" s="45">
        <v>1</v>
      </c>
      <c r="S366" s="16"/>
      <c r="T366" s="12">
        <f t="shared" si="111"/>
        <v>1</v>
      </c>
      <c r="U366" s="29"/>
      <c r="V366" s="45"/>
      <c r="W366" s="16"/>
      <c r="X366" s="12">
        <f t="shared" si="112"/>
        <v>0</v>
      </c>
      <c r="Y366" s="29"/>
      <c r="Z366" s="45"/>
      <c r="AA366" s="16"/>
      <c r="AB366" s="12">
        <f t="shared" si="113"/>
        <v>0</v>
      </c>
      <c r="AC366" s="13">
        <f t="shared" si="114"/>
        <v>1</v>
      </c>
      <c r="AD366" s="15">
        <v>45740</v>
      </c>
    </row>
    <row r="367" spans="1:30" x14ac:dyDescent="0.15">
      <c r="A367" s="25" t="s">
        <v>28</v>
      </c>
      <c r="B367" s="29"/>
      <c r="C367" s="45">
        <v>1</v>
      </c>
      <c r="D367" s="16"/>
      <c r="E367" s="12">
        <f t="shared" si="99"/>
        <v>1</v>
      </c>
      <c r="F367" s="29"/>
      <c r="G367" s="45"/>
      <c r="H367" s="16"/>
      <c r="I367" s="12">
        <f t="shared" si="100"/>
        <v>0</v>
      </c>
      <c r="J367" s="29"/>
      <c r="K367" s="45"/>
      <c r="L367" s="16"/>
      <c r="M367" s="12">
        <f t="shared" si="101"/>
        <v>0</v>
      </c>
      <c r="N367" s="13">
        <f t="shared" si="102"/>
        <v>1</v>
      </c>
      <c r="O367" s="30">
        <v>45663</v>
      </c>
      <c r="P367" s="25" t="s">
        <v>28</v>
      </c>
      <c r="Q367" s="29"/>
      <c r="R367" s="45"/>
      <c r="S367" s="16"/>
      <c r="T367" s="12">
        <f t="shared" si="103"/>
        <v>0</v>
      </c>
      <c r="U367" s="29"/>
      <c r="V367" s="45"/>
      <c r="W367" s="16">
        <v>1</v>
      </c>
      <c r="X367" s="12">
        <f t="shared" si="104"/>
        <v>1</v>
      </c>
      <c r="Y367" s="29"/>
      <c r="Z367" s="45"/>
      <c r="AA367" s="16"/>
      <c r="AB367" s="12">
        <f t="shared" si="105"/>
        <v>0</v>
      </c>
      <c r="AC367" s="13">
        <f t="shared" si="106"/>
        <v>1</v>
      </c>
      <c r="AD367" s="15">
        <v>45742</v>
      </c>
    </row>
    <row r="368" spans="1:30" x14ac:dyDescent="0.15">
      <c r="A368" s="25" t="s">
        <v>28</v>
      </c>
      <c r="B368" s="29"/>
      <c r="C368" s="45"/>
      <c r="D368" s="16"/>
      <c r="E368" s="12">
        <f t="shared" si="99"/>
        <v>0</v>
      </c>
      <c r="F368" s="29"/>
      <c r="G368" s="45">
        <v>1</v>
      </c>
      <c r="H368" s="16"/>
      <c r="I368" s="12">
        <f t="shared" si="100"/>
        <v>1</v>
      </c>
      <c r="J368" s="29"/>
      <c r="K368" s="45"/>
      <c r="L368" s="16"/>
      <c r="M368" s="12">
        <f t="shared" si="101"/>
        <v>0</v>
      </c>
      <c r="N368" s="13">
        <f t="shared" si="102"/>
        <v>1</v>
      </c>
      <c r="O368" s="30">
        <v>45667</v>
      </c>
      <c r="P368" s="25" t="s">
        <v>28</v>
      </c>
      <c r="Q368" s="29"/>
      <c r="R368" s="45"/>
      <c r="S368" s="16"/>
      <c r="T368" s="12">
        <f t="shared" si="103"/>
        <v>0</v>
      </c>
      <c r="U368" s="29"/>
      <c r="V368" s="45"/>
      <c r="W368" s="16"/>
      <c r="X368" s="12">
        <f t="shared" si="104"/>
        <v>0</v>
      </c>
      <c r="Y368" s="29">
        <v>1</v>
      </c>
      <c r="Z368" s="45"/>
      <c r="AA368" s="16"/>
      <c r="AB368" s="12">
        <f t="shared" si="105"/>
        <v>1</v>
      </c>
      <c r="AC368" s="13">
        <f t="shared" si="106"/>
        <v>1</v>
      </c>
      <c r="AD368" s="15">
        <v>45770</v>
      </c>
    </row>
    <row r="369" spans="1:30" x14ac:dyDescent="0.15">
      <c r="A369" s="25" t="s">
        <v>28</v>
      </c>
      <c r="B369" s="29"/>
      <c r="C369" s="45"/>
      <c r="D369" s="16"/>
      <c r="E369" s="12">
        <f t="shared" si="99"/>
        <v>0</v>
      </c>
      <c r="F369" s="29"/>
      <c r="G369" s="45"/>
      <c r="H369" s="16"/>
      <c r="I369" s="12">
        <f t="shared" si="100"/>
        <v>0</v>
      </c>
      <c r="J369" s="29">
        <v>1</v>
      </c>
      <c r="K369" s="45"/>
      <c r="L369" s="16"/>
      <c r="M369" s="12">
        <f t="shared" si="101"/>
        <v>1</v>
      </c>
      <c r="N369" s="13">
        <f t="shared" si="102"/>
        <v>1</v>
      </c>
      <c r="O369" s="30">
        <v>45698</v>
      </c>
      <c r="P369" s="25" t="s">
        <v>28</v>
      </c>
      <c r="Q369" s="29"/>
      <c r="R369" s="45"/>
      <c r="S369" s="16"/>
      <c r="T369" s="12">
        <f t="shared" si="103"/>
        <v>0</v>
      </c>
      <c r="U369" s="29"/>
      <c r="V369" s="45"/>
      <c r="W369" s="16"/>
      <c r="X369" s="12">
        <f t="shared" si="104"/>
        <v>0</v>
      </c>
      <c r="Y369" s="29">
        <v>1</v>
      </c>
      <c r="Z369" s="45"/>
      <c r="AA369" s="16"/>
      <c r="AB369" s="12">
        <f t="shared" si="105"/>
        <v>1</v>
      </c>
      <c r="AC369" s="13">
        <f t="shared" si="106"/>
        <v>1</v>
      </c>
      <c r="AD369" s="15">
        <v>45814</v>
      </c>
    </row>
    <row r="370" spans="1:30" x14ac:dyDescent="0.15">
      <c r="A370" s="25" t="s">
        <v>28</v>
      </c>
      <c r="B370" s="29"/>
      <c r="C370" s="45"/>
      <c r="D370" s="16"/>
      <c r="E370" s="12">
        <f t="shared" si="99"/>
        <v>0</v>
      </c>
      <c r="F370" s="29"/>
      <c r="G370" s="45"/>
      <c r="H370" s="16"/>
      <c r="I370" s="12">
        <f t="shared" si="100"/>
        <v>0</v>
      </c>
      <c r="J370" s="29"/>
      <c r="K370" s="45">
        <v>1</v>
      </c>
      <c r="L370" s="16"/>
      <c r="M370" s="12">
        <f t="shared" si="101"/>
        <v>1</v>
      </c>
      <c r="N370" s="13">
        <f t="shared" si="102"/>
        <v>1</v>
      </c>
      <c r="O370" s="30">
        <v>45733</v>
      </c>
      <c r="P370" s="25" t="s">
        <v>28</v>
      </c>
      <c r="Q370" s="29"/>
      <c r="R370" s="45"/>
      <c r="S370" s="16"/>
      <c r="T370" s="12">
        <f t="shared" si="103"/>
        <v>0</v>
      </c>
      <c r="U370" s="29"/>
      <c r="V370" s="45">
        <v>1</v>
      </c>
      <c r="W370" s="16"/>
      <c r="X370" s="12">
        <f t="shared" si="104"/>
        <v>1</v>
      </c>
      <c r="Y370" s="29"/>
      <c r="Z370" s="45">
        <v>1</v>
      </c>
      <c r="AA370" s="16"/>
      <c r="AB370" s="12">
        <f t="shared" si="105"/>
        <v>1</v>
      </c>
      <c r="AC370" s="13">
        <f t="shared" si="106"/>
        <v>2</v>
      </c>
      <c r="AD370" s="15">
        <v>45845</v>
      </c>
    </row>
    <row r="371" spans="1:30" x14ac:dyDescent="0.15">
      <c r="A371" s="25" t="s">
        <v>28</v>
      </c>
      <c r="B371" s="29"/>
      <c r="C371" s="45">
        <v>1</v>
      </c>
      <c r="D371" s="16"/>
      <c r="E371" s="12">
        <f t="shared" si="99"/>
        <v>1</v>
      </c>
      <c r="F371" s="29"/>
      <c r="G371" s="45">
        <v>1</v>
      </c>
      <c r="H371" s="16"/>
      <c r="I371" s="12">
        <f t="shared" si="100"/>
        <v>1</v>
      </c>
      <c r="J371" s="29"/>
      <c r="K371" s="45"/>
      <c r="L371" s="16"/>
      <c r="M371" s="12">
        <f t="shared" si="101"/>
        <v>0</v>
      </c>
      <c r="N371" s="13">
        <f t="shared" si="102"/>
        <v>2</v>
      </c>
      <c r="O371" s="30">
        <v>45741</v>
      </c>
      <c r="P371" s="25" t="s">
        <v>53</v>
      </c>
      <c r="Q371" s="29">
        <v>-1</v>
      </c>
      <c r="R371" s="45">
        <v>1</v>
      </c>
      <c r="S371" s="16">
        <v>0</v>
      </c>
      <c r="T371" s="39">
        <f t="shared" si="103"/>
        <v>0</v>
      </c>
      <c r="U371" s="29">
        <v>0</v>
      </c>
      <c r="V371" s="45">
        <v>0</v>
      </c>
      <c r="W371" s="16">
        <v>-2</v>
      </c>
      <c r="X371" s="39">
        <f t="shared" si="104"/>
        <v>-2</v>
      </c>
      <c r="Y371" s="29">
        <v>-1</v>
      </c>
      <c r="Z371" s="45">
        <v>0</v>
      </c>
      <c r="AA371" s="16">
        <v>1</v>
      </c>
      <c r="AB371" s="39">
        <f t="shared" si="105"/>
        <v>0</v>
      </c>
      <c r="AC371" s="13">
        <f t="shared" si="106"/>
        <v>-2</v>
      </c>
      <c r="AD371" s="15">
        <v>45891</v>
      </c>
    </row>
    <row r="372" spans="1:30" x14ac:dyDescent="0.15">
      <c r="A372" s="25" t="s">
        <v>28</v>
      </c>
      <c r="B372" s="29"/>
      <c r="C372" s="45"/>
      <c r="D372" s="16"/>
      <c r="E372" s="12">
        <f t="shared" si="99"/>
        <v>0</v>
      </c>
      <c r="F372" s="29"/>
      <c r="G372" s="45"/>
      <c r="H372" s="16"/>
      <c r="I372" s="12">
        <f t="shared" si="100"/>
        <v>0</v>
      </c>
      <c r="J372" s="29">
        <v>1</v>
      </c>
      <c r="K372" s="45"/>
      <c r="L372" s="16"/>
      <c r="M372" s="12">
        <f t="shared" si="101"/>
        <v>1</v>
      </c>
      <c r="N372" s="13">
        <f t="shared" si="102"/>
        <v>1</v>
      </c>
      <c r="O372" s="30">
        <v>45754</v>
      </c>
      <c r="P372" s="25" t="s">
        <v>28</v>
      </c>
      <c r="Q372" s="29"/>
      <c r="R372" s="45"/>
      <c r="S372" s="16"/>
      <c r="T372" s="12">
        <f t="shared" si="103"/>
        <v>0</v>
      </c>
      <c r="U372" s="29"/>
      <c r="V372" s="45"/>
      <c r="W372" s="16"/>
      <c r="X372" s="12">
        <f t="shared" si="104"/>
        <v>0</v>
      </c>
      <c r="Y372" s="29"/>
      <c r="Z372" s="45"/>
      <c r="AA372" s="16">
        <v>1</v>
      </c>
      <c r="AB372" s="12">
        <f t="shared" si="105"/>
        <v>1</v>
      </c>
      <c r="AC372" s="13">
        <f t="shared" si="106"/>
        <v>1</v>
      </c>
      <c r="AD372" s="30">
        <v>45951</v>
      </c>
    </row>
    <row r="373" spans="1:30" x14ac:dyDescent="0.15">
      <c r="A373" s="25" t="s">
        <v>28</v>
      </c>
      <c r="B373" s="29"/>
      <c r="C373" s="45">
        <v>1</v>
      </c>
      <c r="D373" s="16"/>
      <c r="E373" s="12">
        <f t="shared" si="99"/>
        <v>1</v>
      </c>
      <c r="F373" s="29"/>
      <c r="G373" s="45"/>
      <c r="H373" s="16"/>
      <c r="I373" s="12">
        <f t="shared" si="100"/>
        <v>0</v>
      </c>
      <c r="J373" s="29"/>
      <c r="K373" s="45"/>
      <c r="L373" s="16"/>
      <c r="M373" s="12">
        <f t="shared" si="101"/>
        <v>0</v>
      </c>
      <c r="N373" s="13">
        <f t="shared" si="102"/>
        <v>1</v>
      </c>
      <c r="O373" s="30">
        <v>45757</v>
      </c>
      <c r="P373" s="25"/>
      <c r="Q373" s="29"/>
      <c r="R373" s="45"/>
      <c r="S373" s="16"/>
      <c r="T373" s="12">
        <f t="shared" si="103"/>
        <v>0</v>
      </c>
      <c r="U373" s="29"/>
      <c r="V373" s="45"/>
      <c r="W373" s="16"/>
      <c r="X373" s="12">
        <f t="shared" si="104"/>
        <v>0</v>
      </c>
      <c r="Y373" s="29"/>
      <c r="Z373" s="45"/>
      <c r="AA373" s="16"/>
      <c r="AB373" s="12">
        <f t="shared" si="105"/>
        <v>0</v>
      </c>
      <c r="AC373" s="13">
        <f t="shared" si="106"/>
        <v>0</v>
      </c>
      <c r="AD373" s="15"/>
    </row>
    <row r="374" spans="1:30" x14ac:dyDescent="0.15">
      <c r="A374" s="25" t="s">
        <v>28</v>
      </c>
      <c r="B374" s="29"/>
      <c r="C374" s="45">
        <v>1</v>
      </c>
      <c r="D374" s="16"/>
      <c r="E374" s="12">
        <f t="shared" si="99"/>
        <v>1</v>
      </c>
      <c r="F374" s="29"/>
      <c r="G374" s="45"/>
      <c r="H374" s="16"/>
      <c r="I374" s="12">
        <f t="shared" si="100"/>
        <v>0</v>
      </c>
      <c r="J374" s="29"/>
      <c r="K374" s="45"/>
      <c r="L374" s="16"/>
      <c r="M374" s="12">
        <f t="shared" si="101"/>
        <v>0</v>
      </c>
      <c r="N374" s="13">
        <f t="shared" si="102"/>
        <v>1</v>
      </c>
      <c r="O374" s="30">
        <v>45761</v>
      </c>
      <c r="P374" s="25"/>
      <c r="Q374" s="28"/>
      <c r="R374" s="45"/>
      <c r="S374" s="16"/>
      <c r="T374" s="12">
        <f t="shared" si="103"/>
        <v>0</v>
      </c>
      <c r="U374" s="28"/>
      <c r="V374" s="45"/>
      <c r="W374" s="16"/>
      <c r="X374" s="12">
        <f t="shared" si="104"/>
        <v>0</v>
      </c>
      <c r="Y374" s="28"/>
      <c r="Z374" s="45"/>
      <c r="AA374" s="16"/>
      <c r="AB374" s="12">
        <f t="shared" si="105"/>
        <v>0</v>
      </c>
      <c r="AC374" s="13">
        <f t="shared" si="106"/>
        <v>0</v>
      </c>
      <c r="AD374" s="15"/>
    </row>
    <row r="375" spans="1:30" x14ac:dyDescent="0.15">
      <c r="A375" s="25" t="s">
        <v>28</v>
      </c>
      <c r="B375" s="29"/>
      <c r="C375" s="45"/>
      <c r="D375" s="16"/>
      <c r="E375" s="12">
        <f t="shared" si="99"/>
        <v>0</v>
      </c>
      <c r="F375" s="29"/>
      <c r="G375" s="45"/>
      <c r="H375" s="16"/>
      <c r="I375" s="12">
        <f t="shared" si="100"/>
        <v>0</v>
      </c>
      <c r="J375" s="29">
        <v>1</v>
      </c>
      <c r="K375" s="45"/>
      <c r="L375" s="16"/>
      <c r="M375" s="12">
        <f t="shared" si="101"/>
        <v>1</v>
      </c>
      <c r="N375" s="13">
        <f t="shared" si="102"/>
        <v>1</v>
      </c>
      <c r="O375" s="30">
        <v>45768</v>
      </c>
      <c r="P375" s="25"/>
      <c r="Q375" s="28"/>
      <c r="R375" s="45"/>
      <c r="S375" s="16"/>
      <c r="T375" s="12">
        <f t="shared" si="103"/>
        <v>0</v>
      </c>
      <c r="U375" s="28"/>
      <c r="V375" s="45"/>
      <c r="W375" s="16"/>
      <c r="X375" s="12">
        <f t="shared" si="104"/>
        <v>0</v>
      </c>
      <c r="Y375" s="28"/>
      <c r="Z375" s="45"/>
      <c r="AA375" s="16"/>
      <c r="AB375" s="12">
        <f t="shared" si="105"/>
        <v>0</v>
      </c>
      <c r="AC375" s="13">
        <f t="shared" si="106"/>
        <v>0</v>
      </c>
      <c r="AD375" s="15"/>
    </row>
    <row r="376" spans="1:30" x14ac:dyDescent="0.15">
      <c r="A376" s="25" t="s">
        <v>28</v>
      </c>
      <c r="B376" s="29"/>
      <c r="C376" s="45"/>
      <c r="D376" s="16"/>
      <c r="E376" s="12">
        <f t="shared" si="99"/>
        <v>0</v>
      </c>
      <c r="F376" s="29"/>
      <c r="G376" s="45"/>
      <c r="H376" s="16"/>
      <c r="I376" s="12">
        <f t="shared" si="100"/>
        <v>0</v>
      </c>
      <c r="J376" s="29">
        <v>1</v>
      </c>
      <c r="K376" s="45"/>
      <c r="L376" s="16"/>
      <c r="M376" s="12">
        <f t="shared" si="101"/>
        <v>1</v>
      </c>
      <c r="N376" s="13">
        <f t="shared" si="102"/>
        <v>1</v>
      </c>
      <c r="O376" s="30">
        <v>45789</v>
      </c>
      <c r="P376" s="25"/>
      <c r="Q376" s="29"/>
      <c r="R376" s="45"/>
      <c r="S376" s="16"/>
      <c r="T376" s="12">
        <f t="shared" si="103"/>
        <v>0</v>
      </c>
      <c r="U376" s="29"/>
      <c r="V376" s="45"/>
      <c r="W376" s="16"/>
      <c r="X376" s="12">
        <f t="shared" si="104"/>
        <v>0</v>
      </c>
      <c r="Y376" s="29"/>
      <c r="Z376" s="45"/>
      <c r="AA376" s="16"/>
      <c r="AB376" s="12">
        <f t="shared" si="105"/>
        <v>0</v>
      </c>
      <c r="AC376" s="13">
        <f t="shared" si="106"/>
        <v>0</v>
      </c>
      <c r="AD376" s="15"/>
    </row>
    <row r="377" spans="1:30" x14ac:dyDescent="0.15">
      <c r="A377" s="25" t="s">
        <v>28</v>
      </c>
      <c r="B377" s="29"/>
      <c r="C377" s="45">
        <v>1</v>
      </c>
      <c r="D377" s="16"/>
      <c r="E377" s="12">
        <f t="shared" si="99"/>
        <v>1</v>
      </c>
      <c r="F377" s="29"/>
      <c r="G377" s="45"/>
      <c r="H377" s="16"/>
      <c r="I377" s="12">
        <f t="shared" si="100"/>
        <v>0</v>
      </c>
      <c r="J377" s="29"/>
      <c r="K377" s="45"/>
      <c r="L377" s="16"/>
      <c r="M377" s="12">
        <f t="shared" si="101"/>
        <v>0</v>
      </c>
      <c r="N377" s="13">
        <f t="shared" si="102"/>
        <v>1</v>
      </c>
      <c r="O377" s="30">
        <v>45797</v>
      </c>
      <c r="P377" s="25"/>
      <c r="Q377" s="29"/>
      <c r="R377" s="45"/>
      <c r="S377" s="16"/>
      <c r="T377" s="12">
        <f t="shared" si="103"/>
        <v>0</v>
      </c>
      <c r="U377" s="29"/>
      <c r="V377" s="45"/>
      <c r="W377" s="16"/>
      <c r="X377" s="12">
        <f t="shared" si="104"/>
        <v>0</v>
      </c>
      <c r="Y377" s="29"/>
      <c r="Z377" s="45"/>
      <c r="AA377" s="16"/>
      <c r="AB377" s="12">
        <f t="shared" si="105"/>
        <v>0</v>
      </c>
      <c r="AC377" s="13">
        <f t="shared" si="106"/>
        <v>0</v>
      </c>
      <c r="AD377" s="15"/>
    </row>
    <row r="378" spans="1:30" x14ac:dyDescent="0.15">
      <c r="A378" s="25" t="s">
        <v>28</v>
      </c>
      <c r="B378" s="29"/>
      <c r="C378" s="45"/>
      <c r="D378" s="16"/>
      <c r="E378" s="12">
        <f t="shared" si="99"/>
        <v>0</v>
      </c>
      <c r="F378" s="29"/>
      <c r="G378" s="45">
        <v>1</v>
      </c>
      <c r="H378" s="16"/>
      <c r="I378" s="12">
        <f t="shared" si="100"/>
        <v>1</v>
      </c>
      <c r="J378" s="29"/>
      <c r="K378" s="45"/>
      <c r="L378" s="16"/>
      <c r="M378" s="12">
        <f t="shared" si="101"/>
        <v>0</v>
      </c>
      <c r="N378" s="13">
        <f t="shared" si="102"/>
        <v>1</v>
      </c>
      <c r="O378" s="30">
        <v>45813</v>
      </c>
      <c r="P378" s="25"/>
      <c r="Q378" s="29"/>
      <c r="R378" s="45"/>
      <c r="S378" s="16"/>
      <c r="T378" s="12">
        <f t="shared" si="103"/>
        <v>0</v>
      </c>
      <c r="U378" s="29"/>
      <c r="V378" s="45"/>
      <c r="W378" s="16"/>
      <c r="X378" s="12">
        <f t="shared" si="104"/>
        <v>0</v>
      </c>
      <c r="Y378" s="29"/>
      <c r="Z378" s="45"/>
      <c r="AA378" s="16"/>
      <c r="AB378" s="12">
        <f t="shared" si="105"/>
        <v>0</v>
      </c>
      <c r="AC378" s="13">
        <f t="shared" si="106"/>
        <v>0</v>
      </c>
      <c r="AD378" s="15"/>
    </row>
    <row r="379" spans="1:30" x14ac:dyDescent="0.15">
      <c r="A379" s="25" t="s">
        <v>28</v>
      </c>
      <c r="B379" s="29"/>
      <c r="C379" s="45"/>
      <c r="D379" s="16"/>
      <c r="E379" s="12">
        <f t="shared" si="99"/>
        <v>0</v>
      </c>
      <c r="F379" s="29"/>
      <c r="G379" s="45"/>
      <c r="H379" s="16"/>
      <c r="I379" s="12">
        <f t="shared" si="100"/>
        <v>0</v>
      </c>
      <c r="J379" s="29">
        <v>1</v>
      </c>
      <c r="K379" s="45"/>
      <c r="L379" s="16"/>
      <c r="M379" s="12">
        <f t="shared" si="101"/>
        <v>1</v>
      </c>
      <c r="N379" s="13">
        <f t="shared" si="102"/>
        <v>1</v>
      </c>
      <c r="O379" s="30">
        <v>45828</v>
      </c>
      <c r="P379" s="25"/>
      <c r="Q379" s="28"/>
      <c r="R379" s="45"/>
      <c r="S379" s="16"/>
      <c r="T379" s="12">
        <f t="shared" si="103"/>
        <v>0</v>
      </c>
      <c r="U379" s="28"/>
      <c r="V379" s="45"/>
      <c r="W379" s="16"/>
      <c r="X379" s="12">
        <f t="shared" si="104"/>
        <v>0</v>
      </c>
      <c r="Y379" s="28"/>
      <c r="Z379" s="45"/>
      <c r="AA379" s="16"/>
      <c r="AB379" s="12">
        <f t="shared" si="105"/>
        <v>0</v>
      </c>
      <c r="AC379" s="13">
        <f t="shared" si="106"/>
        <v>0</v>
      </c>
      <c r="AD379" s="15"/>
    </row>
    <row r="380" spans="1:30" x14ac:dyDescent="0.15">
      <c r="A380" s="25" t="s">
        <v>28</v>
      </c>
      <c r="B380" s="29"/>
      <c r="C380" s="45"/>
      <c r="D380" s="16"/>
      <c r="E380" s="12">
        <f t="shared" si="99"/>
        <v>0</v>
      </c>
      <c r="F380" s="29"/>
      <c r="G380" s="45"/>
      <c r="H380" s="16"/>
      <c r="I380" s="12">
        <f t="shared" si="100"/>
        <v>0</v>
      </c>
      <c r="J380" s="29">
        <v>1</v>
      </c>
      <c r="K380" s="45"/>
      <c r="L380" s="16"/>
      <c r="M380" s="12">
        <f t="shared" si="101"/>
        <v>1</v>
      </c>
      <c r="N380" s="13">
        <f t="shared" si="102"/>
        <v>1</v>
      </c>
      <c r="O380" s="30">
        <v>45857</v>
      </c>
      <c r="P380" s="25"/>
      <c r="Q380" s="29"/>
      <c r="R380" s="45"/>
      <c r="S380" s="16"/>
      <c r="T380" s="12">
        <f t="shared" si="103"/>
        <v>0</v>
      </c>
      <c r="U380" s="29"/>
      <c r="V380" s="45"/>
      <c r="W380" s="16"/>
      <c r="X380" s="12">
        <f t="shared" si="104"/>
        <v>0</v>
      </c>
      <c r="Y380" s="29"/>
      <c r="Z380" s="45"/>
      <c r="AA380" s="16"/>
      <c r="AB380" s="12">
        <f t="shared" si="105"/>
        <v>0</v>
      </c>
      <c r="AC380" s="13">
        <f t="shared" si="106"/>
        <v>0</v>
      </c>
      <c r="AD380" s="15"/>
    </row>
    <row r="381" spans="1:30" x14ac:dyDescent="0.15">
      <c r="A381" s="25" t="s">
        <v>53</v>
      </c>
      <c r="B381" s="29">
        <v>0</v>
      </c>
      <c r="C381" s="45">
        <v>0</v>
      </c>
      <c r="D381" s="16">
        <v>0</v>
      </c>
      <c r="E381" s="12">
        <f t="shared" si="99"/>
        <v>0</v>
      </c>
      <c r="F381" s="29">
        <v>0</v>
      </c>
      <c r="G381" s="45">
        <v>0</v>
      </c>
      <c r="H381" s="16">
        <v>0</v>
      </c>
      <c r="I381" s="12">
        <f t="shared" si="100"/>
        <v>0</v>
      </c>
      <c r="J381" s="29">
        <v>0</v>
      </c>
      <c r="K381" s="45">
        <v>0</v>
      </c>
      <c r="L381" s="16">
        <v>0</v>
      </c>
      <c r="M381" s="12">
        <f t="shared" si="101"/>
        <v>0</v>
      </c>
      <c r="N381" s="13">
        <f t="shared" si="102"/>
        <v>0</v>
      </c>
      <c r="O381" s="30">
        <v>45891</v>
      </c>
      <c r="P381" s="25"/>
      <c r="Q381" s="29"/>
      <c r="R381" s="45"/>
      <c r="S381" s="16"/>
      <c r="T381" s="12">
        <f t="shared" si="103"/>
        <v>0</v>
      </c>
      <c r="U381" s="29"/>
      <c r="V381" s="45"/>
      <c r="W381" s="16"/>
      <c r="X381" s="12">
        <f t="shared" si="104"/>
        <v>0</v>
      </c>
      <c r="Y381" s="29"/>
      <c r="Z381" s="45"/>
      <c r="AA381" s="16"/>
      <c r="AB381" s="12">
        <f t="shared" si="105"/>
        <v>0</v>
      </c>
      <c r="AC381" s="13">
        <f t="shared" si="106"/>
        <v>0</v>
      </c>
      <c r="AD381" s="15"/>
    </row>
    <row r="382" spans="1:30" x14ac:dyDescent="0.15">
      <c r="A382" s="25" t="s">
        <v>57</v>
      </c>
      <c r="B382" s="29"/>
      <c r="C382" s="45"/>
      <c r="D382" s="16"/>
      <c r="E382" s="12">
        <f t="shared" si="99"/>
        <v>0</v>
      </c>
      <c r="F382" s="29"/>
      <c r="G382" s="45">
        <v>1</v>
      </c>
      <c r="H382" s="16"/>
      <c r="I382" s="12">
        <f t="shared" si="100"/>
        <v>1</v>
      </c>
      <c r="J382" s="29"/>
      <c r="K382" s="45">
        <v>1</v>
      </c>
      <c r="L382" s="16"/>
      <c r="M382" s="12">
        <f t="shared" si="101"/>
        <v>1</v>
      </c>
      <c r="N382" s="13">
        <f t="shared" si="102"/>
        <v>2</v>
      </c>
      <c r="O382" s="30">
        <v>45950</v>
      </c>
      <c r="P382" s="25"/>
      <c r="Q382" s="29"/>
      <c r="R382" s="45"/>
      <c r="S382" s="16"/>
      <c r="T382" s="12">
        <f t="shared" si="103"/>
        <v>0</v>
      </c>
      <c r="U382" s="29"/>
      <c r="V382" s="45"/>
      <c r="W382" s="16"/>
      <c r="X382" s="12">
        <f t="shared" si="104"/>
        <v>0</v>
      </c>
      <c r="Y382" s="29"/>
      <c r="Z382" s="45"/>
      <c r="AA382" s="16"/>
      <c r="AB382" s="12">
        <f t="shared" si="105"/>
        <v>0</v>
      </c>
      <c r="AC382" s="13">
        <f t="shared" si="106"/>
        <v>0</v>
      </c>
      <c r="AD382" s="15"/>
    </row>
    <row r="383" spans="1:30" ht="14.25" thickBot="1" x14ac:dyDescent="0.2">
      <c r="A383" s="25" t="s">
        <v>57</v>
      </c>
      <c r="B383" s="29"/>
      <c r="C383" s="45"/>
      <c r="D383" s="16"/>
      <c r="E383" s="12">
        <f t="shared" si="99"/>
        <v>0</v>
      </c>
      <c r="F383" s="29"/>
      <c r="G383" s="45">
        <v>1</v>
      </c>
      <c r="H383" s="16"/>
      <c r="I383" s="12">
        <f t="shared" si="100"/>
        <v>1</v>
      </c>
      <c r="J383" s="29"/>
      <c r="K383" s="45"/>
      <c r="L383" s="16"/>
      <c r="M383" s="12">
        <f t="shared" si="101"/>
        <v>0</v>
      </c>
      <c r="N383" s="20">
        <f t="shared" si="102"/>
        <v>1</v>
      </c>
      <c r="O383" s="30">
        <v>46003</v>
      </c>
      <c r="P383" s="25"/>
      <c r="Q383" s="29"/>
      <c r="R383" s="45"/>
      <c r="S383" s="16"/>
      <c r="T383" s="12">
        <f t="shared" si="103"/>
        <v>0</v>
      </c>
      <c r="U383" s="29"/>
      <c r="V383" s="45"/>
      <c r="W383" s="16"/>
      <c r="X383" s="12">
        <f t="shared" si="104"/>
        <v>0</v>
      </c>
      <c r="Y383" s="29"/>
      <c r="Z383" s="45"/>
      <c r="AA383" s="16"/>
      <c r="AB383" s="12">
        <f t="shared" si="105"/>
        <v>0</v>
      </c>
      <c r="AC383" s="20">
        <f t="shared" si="106"/>
        <v>0</v>
      </c>
      <c r="AD383" s="15"/>
    </row>
    <row r="384" spans="1:30" ht="14.25" thickBot="1" x14ac:dyDescent="0.2">
      <c r="A384" s="3" t="s">
        <v>9</v>
      </c>
      <c r="B384" s="97">
        <f>SUM(B360:B383)</f>
        <v>0</v>
      </c>
      <c r="C384" s="47">
        <f t="shared" ref="C384:E384" si="119">SUM(C360:C383)</f>
        <v>6</v>
      </c>
      <c r="D384" s="98">
        <f t="shared" si="119"/>
        <v>3</v>
      </c>
      <c r="E384" s="31">
        <f t="shared" si="119"/>
        <v>9</v>
      </c>
      <c r="F384" s="97">
        <f>SUM(F360:F383)</f>
        <v>0</v>
      </c>
      <c r="G384" s="47">
        <f t="shared" ref="G384:I384" si="120">SUM(G360:G383)</f>
        <v>7</v>
      </c>
      <c r="H384" s="41">
        <f t="shared" si="120"/>
        <v>2</v>
      </c>
      <c r="I384" s="31">
        <f t="shared" si="120"/>
        <v>9</v>
      </c>
      <c r="J384" s="22">
        <f>SUM(J360:J383)</f>
        <v>8</v>
      </c>
      <c r="K384" s="47">
        <f t="shared" ref="K384:M384" si="121">SUM(K360:K383)</f>
        <v>4</v>
      </c>
      <c r="L384" s="98">
        <f t="shared" si="121"/>
        <v>0</v>
      </c>
      <c r="M384" s="31">
        <f t="shared" si="121"/>
        <v>12</v>
      </c>
      <c r="N384" s="24">
        <f t="shared" si="102"/>
        <v>30</v>
      </c>
      <c r="P384" s="3" t="s">
        <v>9</v>
      </c>
      <c r="Q384" s="22">
        <f>SUM(Q360:Q383)</f>
        <v>-1</v>
      </c>
      <c r="R384" s="47">
        <f t="shared" ref="R384:T384" si="122">SUM(R360:R383)</f>
        <v>3</v>
      </c>
      <c r="S384" s="41">
        <f t="shared" si="122"/>
        <v>1</v>
      </c>
      <c r="T384" s="31">
        <f t="shared" si="122"/>
        <v>3</v>
      </c>
      <c r="U384" s="22">
        <f>SUM(U360:U383)</f>
        <v>0</v>
      </c>
      <c r="V384" s="47">
        <f t="shared" ref="V384:X384" si="123">SUM(V360:V383)</f>
        <v>3</v>
      </c>
      <c r="W384" s="41">
        <f t="shared" si="123"/>
        <v>0</v>
      </c>
      <c r="X384" s="31">
        <f t="shared" si="123"/>
        <v>3</v>
      </c>
      <c r="Y384" s="22">
        <f>SUM(Y360:Y383)</f>
        <v>3</v>
      </c>
      <c r="Z384" s="47">
        <f t="shared" ref="Z384:AB384" si="124">SUM(Z360:Z383)</f>
        <v>3</v>
      </c>
      <c r="AA384" s="41">
        <f t="shared" si="124"/>
        <v>2</v>
      </c>
      <c r="AB384" s="31">
        <f t="shared" si="124"/>
        <v>8</v>
      </c>
      <c r="AC384" s="24">
        <f t="shared" si="106"/>
        <v>14</v>
      </c>
    </row>
    <row r="385" spans="1:30" ht="14.25" thickBot="1" x14ac:dyDescent="0.2">
      <c r="A385" s="32" t="s">
        <v>10</v>
      </c>
      <c r="B385" s="97">
        <f>B359-B384</f>
        <v>0</v>
      </c>
      <c r="C385" s="49">
        <f t="shared" ref="C385:E385" si="125">C359-C384</f>
        <v>0</v>
      </c>
      <c r="D385" s="99">
        <f t="shared" si="125"/>
        <v>0</v>
      </c>
      <c r="E385" s="33">
        <f t="shared" si="125"/>
        <v>0</v>
      </c>
      <c r="F385" s="97">
        <f>F359-F384</f>
        <v>0</v>
      </c>
      <c r="G385" s="49">
        <f t="shared" ref="G385:I385" si="126">G359-G384</f>
        <v>0</v>
      </c>
      <c r="H385" s="42">
        <f t="shared" si="126"/>
        <v>0</v>
      </c>
      <c r="I385" s="33">
        <f t="shared" si="126"/>
        <v>0</v>
      </c>
      <c r="J385" s="33">
        <f>J359-J384</f>
        <v>3</v>
      </c>
      <c r="K385" s="49">
        <f t="shared" ref="K385:M385" si="127">K359-K384</f>
        <v>1</v>
      </c>
      <c r="L385" s="99">
        <f t="shared" si="127"/>
        <v>0</v>
      </c>
      <c r="M385" s="33">
        <f t="shared" si="127"/>
        <v>4</v>
      </c>
      <c r="N385" s="24">
        <f t="shared" si="102"/>
        <v>4</v>
      </c>
      <c r="P385" s="32" t="s">
        <v>10</v>
      </c>
      <c r="Q385" s="33">
        <f>Q359-Q384</f>
        <v>4</v>
      </c>
      <c r="R385" s="49">
        <f t="shared" ref="R385:T385" si="128">R359-R384</f>
        <v>2</v>
      </c>
      <c r="S385" s="42">
        <f t="shared" si="128"/>
        <v>3</v>
      </c>
      <c r="T385" s="33">
        <f t="shared" si="128"/>
        <v>9</v>
      </c>
      <c r="U385" s="33">
        <f>U359-U384</f>
        <v>4</v>
      </c>
      <c r="V385" s="49">
        <f t="shared" ref="V385:X385" si="129">V359-V384</f>
        <v>2</v>
      </c>
      <c r="W385" s="42">
        <f t="shared" si="129"/>
        <v>5</v>
      </c>
      <c r="X385" s="33">
        <f t="shared" si="129"/>
        <v>11</v>
      </c>
      <c r="Y385" s="33">
        <f>Y359-Y384</f>
        <v>5</v>
      </c>
      <c r="Z385" s="49">
        <f t="shared" ref="Z385:AB385" si="130">Z359-Z384</f>
        <v>0</v>
      </c>
      <c r="AA385" s="42">
        <f t="shared" si="130"/>
        <v>2</v>
      </c>
      <c r="AB385" s="33">
        <f t="shared" si="130"/>
        <v>7</v>
      </c>
      <c r="AC385" s="24">
        <f t="shared" si="106"/>
        <v>27</v>
      </c>
    </row>
    <row r="388" spans="1:30" ht="21.75" thickBot="1" x14ac:dyDescent="0.25">
      <c r="A388" s="34" t="s">
        <v>25</v>
      </c>
      <c r="B388" s="35"/>
      <c r="C388" s="35"/>
      <c r="D388" s="35"/>
      <c r="E388" s="37"/>
      <c r="F388" s="35"/>
      <c r="G388" s="35"/>
      <c r="H388" s="38" t="s">
        <v>50</v>
      </c>
      <c r="I388" s="1"/>
      <c r="J388" s="1"/>
      <c r="K388" s="1">
        <v>680</v>
      </c>
      <c r="L388" s="1"/>
      <c r="M388" s="1"/>
      <c r="P388" s="34" t="s">
        <v>25</v>
      </c>
      <c r="Q388" s="35"/>
      <c r="R388" s="35"/>
      <c r="S388" s="35"/>
      <c r="T388" s="37"/>
      <c r="U388" s="35"/>
      <c r="V388" s="35"/>
      <c r="W388" s="38" t="s">
        <v>44</v>
      </c>
      <c r="X388" s="1"/>
      <c r="Y388" s="1"/>
      <c r="Z388" s="1"/>
      <c r="AA388" s="1"/>
      <c r="AB388" s="1"/>
      <c r="AC388">
        <v>900</v>
      </c>
    </row>
    <row r="389" spans="1:30" ht="14.25" thickBot="1" x14ac:dyDescent="0.2">
      <c r="A389" s="2" t="s">
        <v>0</v>
      </c>
      <c r="B389" s="115" t="s">
        <v>22</v>
      </c>
      <c r="C389" s="115"/>
      <c r="D389" s="115"/>
      <c r="E389" s="116"/>
      <c r="F389" s="119" t="s">
        <v>23</v>
      </c>
      <c r="G389" s="119"/>
      <c r="H389" s="119"/>
      <c r="I389" s="120"/>
      <c r="J389" s="109" t="s">
        <v>24</v>
      </c>
      <c r="K389" s="109"/>
      <c r="L389" s="109"/>
      <c r="M389" s="110"/>
      <c r="N389" s="95" t="s">
        <v>14</v>
      </c>
      <c r="P389" s="2" t="s">
        <v>0</v>
      </c>
      <c r="Q389" s="121" t="s">
        <v>15</v>
      </c>
      <c r="R389" s="121"/>
      <c r="S389" s="121"/>
      <c r="T389" s="122"/>
      <c r="U389" s="113" t="s">
        <v>45</v>
      </c>
      <c r="V389" s="113"/>
      <c r="W389" s="113"/>
      <c r="X389" s="114"/>
      <c r="Y389" s="111" t="s">
        <v>17</v>
      </c>
      <c r="Z389" s="111"/>
      <c r="AA389" s="111"/>
      <c r="AB389" s="112"/>
      <c r="AC389" s="107" t="s">
        <v>14</v>
      </c>
    </row>
    <row r="390" spans="1:30" ht="14.25" thickBot="1" x14ac:dyDescent="0.2">
      <c r="A390" s="2" t="s">
        <v>1</v>
      </c>
      <c r="B390" s="3" t="s">
        <v>2</v>
      </c>
      <c r="C390" s="43" t="s">
        <v>3</v>
      </c>
      <c r="D390" s="4" t="s">
        <v>4</v>
      </c>
      <c r="E390" s="2" t="s">
        <v>5</v>
      </c>
      <c r="F390" s="3" t="s">
        <v>2</v>
      </c>
      <c r="G390" s="43" t="s">
        <v>3</v>
      </c>
      <c r="H390" s="4" t="s">
        <v>4</v>
      </c>
      <c r="I390" s="2" t="s">
        <v>5</v>
      </c>
      <c r="J390" s="3" t="s">
        <v>2</v>
      </c>
      <c r="K390" s="43" t="s">
        <v>3</v>
      </c>
      <c r="L390" s="4" t="s">
        <v>4</v>
      </c>
      <c r="M390" s="2" t="s">
        <v>5</v>
      </c>
      <c r="N390" s="96"/>
      <c r="P390" s="2" t="s">
        <v>1</v>
      </c>
      <c r="Q390" s="3" t="s">
        <v>2</v>
      </c>
      <c r="R390" s="43" t="s">
        <v>3</v>
      </c>
      <c r="S390" s="4" t="s">
        <v>4</v>
      </c>
      <c r="T390" s="2" t="s">
        <v>5</v>
      </c>
      <c r="U390" s="3" t="s">
        <v>2</v>
      </c>
      <c r="V390" s="43" t="s">
        <v>3</v>
      </c>
      <c r="W390" s="4" t="s">
        <v>4</v>
      </c>
      <c r="X390" s="2" t="s">
        <v>5</v>
      </c>
      <c r="Y390" s="3" t="s">
        <v>2</v>
      </c>
      <c r="Z390" s="43" t="s">
        <v>3</v>
      </c>
      <c r="AA390" s="4" t="s">
        <v>4</v>
      </c>
      <c r="AB390" s="2" t="s">
        <v>5</v>
      </c>
      <c r="AC390" s="108"/>
    </row>
    <row r="391" spans="1:30" x14ac:dyDescent="0.15">
      <c r="A391" s="5" t="s">
        <v>10</v>
      </c>
      <c r="B391" s="6">
        <f>B385</f>
        <v>0</v>
      </c>
      <c r="C391" s="50">
        <f t="shared" ref="C391:N391" si="131">C385</f>
        <v>0</v>
      </c>
      <c r="D391" s="6">
        <f t="shared" si="131"/>
        <v>0</v>
      </c>
      <c r="E391" s="7">
        <f t="shared" si="131"/>
        <v>0</v>
      </c>
      <c r="F391" s="6">
        <f t="shared" si="131"/>
        <v>0</v>
      </c>
      <c r="G391" s="50">
        <f t="shared" si="131"/>
        <v>0</v>
      </c>
      <c r="H391" s="6">
        <f t="shared" si="131"/>
        <v>0</v>
      </c>
      <c r="I391" s="7">
        <f t="shared" si="131"/>
        <v>0</v>
      </c>
      <c r="J391" s="6">
        <f t="shared" si="131"/>
        <v>3</v>
      </c>
      <c r="K391" s="50">
        <f t="shared" si="131"/>
        <v>1</v>
      </c>
      <c r="L391" s="6">
        <f t="shared" si="131"/>
        <v>0</v>
      </c>
      <c r="M391" s="7">
        <f t="shared" si="131"/>
        <v>4</v>
      </c>
      <c r="N391" s="8">
        <f t="shared" si="131"/>
        <v>4</v>
      </c>
      <c r="P391" s="5" t="s">
        <v>10</v>
      </c>
      <c r="Q391" s="6">
        <f>Q385</f>
        <v>4</v>
      </c>
      <c r="R391" s="50">
        <f t="shared" ref="R391:AC391" si="132">R385</f>
        <v>2</v>
      </c>
      <c r="S391" s="6">
        <f t="shared" si="132"/>
        <v>3</v>
      </c>
      <c r="T391" s="7">
        <f t="shared" si="132"/>
        <v>9</v>
      </c>
      <c r="U391" s="6">
        <f t="shared" si="132"/>
        <v>4</v>
      </c>
      <c r="V391" s="50">
        <f t="shared" si="132"/>
        <v>2</v>
      </c>
      <c r="W391" s="6">
        <f t="shared" si="132"/>
        <v>5</v>
      </c>
      <c r="X391" s="7">
        <f t="shared" si="132"/>
        <v>11</v>
      </c>
      <c r="Y391" s="6">
        <f t="shared" si="132"/>
        <v>5</v>
      </c>
      <c r="Z391" s="50">
        <f t="shared" si="132"/>
        <v>0</v>
      </c>
      <c r="AA391" s="6">
        <f t="shared" si="132"/>
        <v>2</v>
      </c>
      <c r="AB391" s="7">
        <f t="shared" si="132"/>
        <v>7</v>
      </c>
      <c r="AC391" s="8">
        <f t="shared" si="132"/>
        <v>27</v>
      </c>
    </row>
    <row r="392" spans="1:30" x14ac:dyDescent="0.15">
      <c r="A392" s="9" t="s">
        <v>37</v>
      </c>
      <c r="B392" s="69">
        <v>0</v>
      </c>
      <c r="C392" s="45">
        <v>0</v>
      </c>
      <c r="D392" s="16">
        <v>0</v>
      </c>
      <c r="E392" s="12">
        <f t="shared" ref="E392:E426" si="133">SUM(B392:D392)</f>
        <v>0</v>
      </c>
      <c r="F392" s="69">
        <v>0</v>
      </c>
      <c r="G392" s="45">
        <v>0</v>
      </c>
      <c r="H392" s="69">
        <v>0</v>
      </c>
      <c r="I392" s="12">
        <f t="shared" ref="I392:I426" si="134">SUM(F392:H392)</f>
        <v>0</v>
      </c>
      <c r="J392" s="16">
        <v>0</v>
      </c>
      <c r="K392" s="45">
        <v>0</v>
      </c>
      <c r="L392" s="69">
        <v>0</v>
      </c>
      <c r="M392" s="12">
        <f t="shared" ref="M392:M426" si="135">SUM(J392:L392)</f>
        <v>0</v>
      </c>
      <c r="N392" s="13">
        <f t="shared" ref="N392:N428" si="136">E392+I392+M392</f>
        <v>0</v>
      </c>
      <c r="O392" s="15">
        <v>46071</v>
      </c>
      <c r="P392" s="9" t="s">
        <v>7</v>
      </c>
      <c r="Q392" s="10"/>
      <c r="R392" s="44"/>
      <c r="S392" s="10"/>
      <c r="T392" s="12">
        <f t="shared" ref="T392:T426" si="137">SUM(Q392:S392)</f>
        <v>0</v>
      </c>
      <c r="U392" s="10">
        <v>3</v>
      </c>
      <c r="V392" s="44"/>
      <c r="W392" s="10"/>
      <c r="X392" s="12">
        <f t="shared" ref="X392:X426" si="138">SUM(U392:W392)</f>
        <v>3</v>
      </c>
      <c r="Y392" s="10"/>
      <c r="Z392" s="44"/>
      <c r="AA392" s="10">
        <v>3</v>
      </c>
      <c r="AB392" s="12">
        <f t="shared" ref="AB392:AB426" si="139">SUM(Y392:AA392)</f>
        <v>3</v>
      </c>
      <c r="AC392" s="13">
        <f t="shared" ref="AC392:AC428" si="140">T392+X392+AB392</f>
        <v>6</v>
      </c>
    </row>
    <row r="393" spans="1:30" x14ac:dyDescent="0.15">
      <c r="A393" s="9" t="s">
        <v>7</v>
      </c>
      <c r="B393" s="69"/>
      <c r="C393" s="45"/>
      <c r="D393" s="16"/>
      <c r="E393" s="12">
        <f t="shared" si="133"/>
        <v>0</v>
      </c>
      <c r="F393" s="69"/>
      <c r="G393" s="45"/>
      <c r="H393" s="69"/>
      <c r="I393" s="12">
        <f t="shared" si="134"/>
        <v>0</v>
      </c>
      <c r="J393" s="16"/>
      <c r="K393" s="45"/>
      <c r="L393" s="69"/>
      <c r="M393" s="12">
        <f t="shared" si="135"/>
        <v>0</v>
      </c>
      <c r="N393" s="13">
        <f t="shared" si="136"/>
        <v>0</v>
      </c>
      <c r="O393" s="15"/>
      <c r="P393" s="9" t="s">
        <v>7</v>
      </c>
      <c r="Q393" s="10"/>
      <c r="R393" s="44"/>
      <c r="S393" s="10"/>
      <c r="T393" s="12">
        <f t="shared" si="137"/>
        <v>0</v>
      </c>
      <c r="U393" s="10"/>
      <c r="V393" s="44">
        <v>3</v>
      </c>
      <c r="W393" s="10"/>
      <c r="X393" s="12">
        <f t="shared" si="138"/>
        <v>3</v>
      </c>
      <c r="Y393" s="10"/>
      <c r="Z393" s="90"/>
      <c r="AA393" s="10"/>
      <c r="AB393" s="12">
        <f t="shared" si="139"/>
        <v>0</v>
      </c>
      <c r="AC393" s="13">
        <f t="shared" si="140"/>
        <v>3</v>
      </c>
    </row>
    <row r="394" spans="1:30" x14ac:dyDescent="0.15">
      <c r="A394" s="9" t="s">
        <v>7</v>
      </c>
      <c r="B394" s="69"/>
      <c r="C394" s="45"/>
      <c r="D394" s="16"/>
      <c r="E394" s="12">
        <f t="shared" si="133"/>
        <v>0</v>
      </c>
      <c r="F394" s="69"/>
      <c r="G394" s="45"/>
      <c r="H394" s="69"/>
      <c r="I394" s="12">
        <f t="shared" si="134"/>
        <v>0</v>
      </c>
      <c r="J394" s="16"/>
      <c r="K394" s="45"/>
      <c r="L394" s="69"/>
      <c r="M394" s="12">
        <f t="shared" si="135"/>
        <v>0</v>
      </c>
      <c r="N394" s="13">
        <f t="shared" si="136"/>
        <v>0</v>
      </c>
      <c r="O394" s="15"/>
      <c r="P394" s="9" t="s">
        <v>7</v>
      </c>
      <c r="Q394" s="10"/>
      <c r="R394" s="44"/>
      <c r="S394" s="10">
        <v>2</v>
      </c>
      <c r="T394" s="12">
        <f t="shared" si="137"/>
        <v>2</v>
      </c>
      <c r="U394" s="10"/>
      <c r="V394" s="44"/>
      <c r="W394" s="10"/>
      <c r="X394" s="12">
        <f t="shared" si="138"/>
        <v>0</v>
      </c>
      <c r="Y394" s="10">
        <v>2</v>
      </c>
      <c r="Z394" s="90"/>
      <c r="AA394" s="10"/>
      <c r="AB394" s="12">
        <f t="shared" si="139"/>
        <v>2</v>
      </c>
      <c r="AC394" s="13">
        <f t="shared" si="140"/>
        <v>4</v>
      </c>
    </row>
    <row r="395" spans="1:30" x14ac:dyDescent="0.15">
      <c r="A395" s="9" t="s">
        <v>7</v>
      </c>
      <c r="B395" s="69"/>
      <c r="C395" s="55"/>
      <c r="D395" s="61"/>
      <c r="E395" s="12">
        <f t="shared" si="133"/>
        <v>0</v>
      </c>
      <c r="F395" s="69"/>
      <c r="G395" s="45"/>
      <c r="H395" s="69"/>
      <c r="I395" s="12">
        <f t="shared" si="134"/>
        <v>0</v>
      </c>
      <c r="J395" s="16"/>
      <c r="K395" s="45"/>
      <c r="L395" s="69"/>
      <c r="M395" s="12">
        <f t="shared" si="135"/>
        <v>0</v>
      </c>
      <c r="N395" s="13">
        <f t="shared" si="136"/>
        <v>0</v>
      </c>
      <c r="O395" s="15"/>
      <c r="P395" s="9" t="s">
        <v>7</v>
      </c>
      <c r="Q395" s="10"/>
      <c r="R395" s="44">
        <v>2</v>
      </c>
      <c r="S395" s="10"/>
      <c r="T395" s="12">
        <f t="shared" si="137"/>
        <v>2</v>
      </c>
      <c r="U395" s="10"/>
      <c r="V395" s="44"/>
      <c r="W395" s="10">
        <v>2</v>
      </c>
      <c r="X395" s="12">
        <f t="shared" si="138"/>
        <v>2</v>
      </c>
      <c r="Y395" s="10"/>
      <c r="Z395" s="90"/>
      <c r="AA395" s="10"/>
      <c r="AB395" s="12">
        <f t="shared" si="139"/>
        <v>0</v>
      </c>
      <c r="AC395" s="13">
        <f t="shared" si="140"/>
        <v>4</v>
      </c>
    </row>
    <row r="396" spans="1:30" x14ac:dyDescent="0.15">
      <c r="A396" s="9" t="s">
        <v>7</v>
      </c>
      <c r="B396" s="69"/>
      <c r="C396" s="55"/>
      <c r="D396" s="61"/>
      <c r="E396" s="12">
        <f t="shared" si="133"/>
        <v>0</v>
      </c>
      <c r="F396" s="69"/>
      <c r="G396" s="45"/>
      <c r="H396" s="69"/>
      <c r="I396" s="12">
        <f t="shared" si="134"/>
        <v>0</v>
      </c>
      <c r="J396" s="16"/>
      <c r="K396" s="45"/>
      <c r="L396" s="69"/>
      <c r="M396" s="12">
        <f t="shared" si="135"/>
        <v>0</v>
      </c>
      <c r="N396" s="13">
        <f t="shared" si="136"/>
        <v>0</v>
      </c>
      <c r="O396" s="15"/>
      <c r="P396" s="9" t="s">
        <v>7</v>
      </c>
      <c r="Q396" s="10"/>
      <c r="R396" s="44"/>
      <c r="S396" s="10"/>
      <c r="T396" s="12">
        <f t="shared" si="137"/>
        <v>0</v>
      </c>
      <c r="U396" s="10"/>
      <c r="V396" s="44"/>
      <c r="W396" s="10"/>
      <c r="X396" s="12">
        <f t="shared" si="138"/>
        <v>0</v>
      </c>
      <c r="Y396" s="10">
        <v>3</v>
      </c>
      <c r="Z396" s="90"/>
      <c r="AA396" s="10"/>
      <c r="AB396" s="12">
        <f t="shared" si="139"/>
        <v>3</v>
      </c>
      <c r="AC396" s="13">
        <f t="shared" si="140"/>
        <v>3</v>
      </c>
    </row>
    <row r="397" spans="1:30" x14ac:dyDescent="0.15">
      <c r="A397" s="9" t="s">
        <v>7</v>
      </c>
      <c r="B397" s="69"/>
      <c r="C397" s="55"/>
      <c r="D397" s="61"/>
      <c r="E397" s="12">
        <f t="shared" si="133"/>
        <v>0</v>
      </c>
      <c r="F397" s="69"/>
      <c r="G397" s="45"/>
      <c r="H397" s="69"/>
      <c r="I397" s="12">
        <f t="shared" si="134"/>
        <v>0</v>
      </c>
      <c r="J397" s="16"/>
      <c r="K397" s="45"/>
      <c r="L397" s="69"/>
      <c r="M397" s="12">
        <f t="shared" si="135"/>
        <v>0</v>
      </c>
      <c r="N397" s="13">
        <f t="shared" si="136"/>
        <v>0</v>
      </c>
      <c r="P397" s="9" t="s">
        <v>37</v>
      </c>
      <c r="Q397" s="10">
        <v>0</v>
      </c>
      <c r="R397" s="44">
        <v>0</v>
      </c>
      <c r="S397" s="10">
        <v>1</v>
      </c>
      <c r="T397" s="12">
        <f t="shared" si="137"/>
        <v>1</v>
      </c>
      <c r="U397" s="10">
        <v>0</v>
      </c>
      <c r="V397" s="44">
        <v>0</v>
      </c>
      <c r="W397" s="10">
        <v>0</v>
      </c>
      <c r="X397" s="12">
        <f t="shared" si="138"/>
        <v>0</v>
      </c>
      <c r="Y397" s="10">
        <v>0</v>
      </c>
      <c r="Z397" s="90">
        <v>0</v>
      </c>
      <c r="AA397" s="10">
        <v>0</v>
      </c>
      <c r="AB397" s="12">
        <f t="shared" si="139"/>
        <v>0</v>
      </c>
      <c r="AC397" s="13">
        <f t="shared" si="140"/>
        <v>1</v>
      </c>
      <c r="AD397" s="30">
        <v>46071</v>
      </c>
    </row>
    <row r="398" spans="1:30" x14ac:dyDescent="0.15">
      <c r="A398" s="9" t="s">
        <v>7</v>
      </c>
      <c r="B398" s="69"/>
      <c r="C398" s="55"/>
      <c r="D398" s="61"/>
      <c r="E398" s="12">
        <f t="shared" si="133"/>
        <v>0</v>
      </c>
      <c r="F398" s="69"/>
      <c r="G398" s="45"/>
      <c r="H398" s="69"/>
      <c r="I398" s="12">
        <f t="shared" si="134"/>
        <v>0</v>
      </c>
      <c r="J398" s="16"/>
      <c r="K398" s="45"/>
      <c r="L398" s="69"/>
      <c r="M398" s="12">
        <f t="shared" si="135"/>
        <v>0</v>
      </c>
      <c r="N398" s="13">
        <f t="shared" si="136"/>
        <v>0</v>
      </c>
      <c r="P398" s="9" t="s">
        <v>7</v>
      </c>
      <c r="Q398" s="16"/>
      <c r="R398" s="45"/>
      <c r="S398" s="16"/>
      <c r="T398" s="12">
        <f t="shared" si="137"/>
        <v>0</v>
      </c>
      <c r="U398" s="16"/>
      <c r="V398" s="45"/>
      <c r="W398" s="16"/>
      <c r="X398" s="12">
        <f t="shared" si="138"/>
        <v>0</v>
      </c>
      <c r="Y398" s="16"/>
      <c r="Z398" s="91"/>
      <c r="AA398" s="16"/>
      <c r="AB398" s="12">
        <f t="shared" si="139"/>
        <v>0</v>
      </c>
      <c r="AC398" s="13">
        <f t="shared" si="140"/>
        <v>0</v>
      </c>
    </row>
    <row r="399" spans="1:30" x14ac:dyDescent="0.15">
      <c r="A399" s="9" t="s">
        <v>7</v>
      </c>
      <c r="B399" s="69"/>
      <c r="C399" s="55"/>
      <c r="D399" s="61"/>
      <c r="E399" s="12">
        <f t="shared" si="133"/>
        <v>0</v>
      </c>
      <c r="F399" s="69"/>
      <c r="G399" s="45"/>
      <c r="H399" s="69"/>
      <c r="I399" s="12">
        <f t="shared" si="134"/>
        <v>0</v>
      </c>
      <c r="J399" s="16"/>
      <c r="K399" s="45"/>
      <c r="L399" s="69"/>
      <c r="M399" s="12">
        <f t="shared" si="135"/>
        <v>0</v>
      </c>
      <c r="N399" s="13">
        <f t="shared" si="136"/>
        <v>0</v>
      </c>
      <c r="P399" s="9" t="s">
        <v>7</v>
      </c>
      <c r="Q399" s="16"/>
      <c r="R399" s="45"/>
      <c r="S399" s="16"/>
      <c r="T399" s="12">
        <f t="shared" si="137"/>
        <v>0</v>
      </c>
      <c r="U399" s="16"/>
      <c r="V399" s="45"/>
      <c r="W399" s="16"/>
      <c r="X399" s="12">
        <f t="shared" si="138"/>
        <v>0</v>
      </c>
      <c r="Y399" s="16"/>
      <c r="Z399" s="91"/>
      <c r="AA399" s="16"/>
      <c r="AB399" s="12">
        <f t="shared" si="139"/>
        <v>0</v>
      </c>
      <c r="AC399" s="13">
        <f t="shared" si="140"/>
        <v>0</v>
      </c>
    </row>
    <row r="400" spans="1:30" x14ac:dyDescent="0.15">
      <c r="A400" s="9" t="s">
        <v>7</v>
      </c>
      <c r="B400" s="69"/>
      <c r="C400" s="55"/>
      <c r="D400" s="61"/>
      <c r="E400" s="12">
        <f t="shared" si="133"/>
        <v>0</v>
      </c>
      <c r="F400" s="69"/>
      <c r="G400" s="45"/>
      <c r="H400" s="69"/>
      <c r="I400" s="12">
        <f t="shared" si="134"/>
        <v>0</v>
      </c>
      <c r="J400" s="16"/>
      <c r="K400" s="45"/>
      <c r="L400" s="69"/>
      <c r="M400" s="12">
        <f t="shared" si="135"/>
        <v>0</v>
      </c>
      <c r="N400" s="13">
        <f t="shared" si="136"/>
        <v>0</v>
      </c>
      <c r="P400" s="9" t="s">
        <v>7</v>
      </c>
      <c r="Q400" s="16"/>
      <c r="R400" s="45"/>
      <c r="S400" s="16"/>
      <c r="T400" s="12">
        <f t="shared" si="137"/>
        <v>0</v>
      </c>
      <c r="U400" s="16"/>
      <c r="V400" s="45"/>
      <c r="W400" s="16"/>
      <c r="X400" s="12">
        <f t="shared" si="138"/>
        <v>0</v>
      </c>
      <c r="Y400" s="16"/>
      <c r="Z400" s="91"/>
      <c r="AA400" s="16"/>
      <c r="AB400" s="12">
        <f t="shared" si="139"/>
        <v>0</v>
      </c>
      <c r="AC400" s="13">
        <f t="shared" si="140"/>
        <v>0</v>
      </c>
    </row>
    <row r="401" spans="1:30" ht="14.25" thickBot="1" x14ac:dyDescent="0.2">
      <c r="A401" s="17" t="s">
        <v>7</v>
      </c>
      <c r="B401" s="70"/>
      <c r="C401" s="56"/>
      <c r="D401" s="62"/>
      <c r="E401" s="19">
        <f t="shared" si="133"/>
        <v>0</v>
      </c>
      <c r="F401" s="70"/>
      <c r="G401" s="46"/>
      <c r="H401" s="70"/>
      <c r="I401" s="19">
        <f t="shared" si="134"/>
        <v>0</v>
      </c>
      <c r="J401" s="18"/>
      <c r="K401" s="46"/>
      <c r="L401" s="70"/>
      <c r="M401" s="19">
        <f t="shared" si="135"/>
        <v>0</v>
      </c>
      <c r="N401" s="20">
        <f t="shared" si="136"/>
        <v>0</v>
      </c>
      <c r="P401" s="17" t="s">
        <v>7</v>
      </c>
      <c r="Q401" s="18"/>
      <c r="R401" s="46"/>
      <c r="S401" s="18"/>
      <c r="T401" s="19">
        <f t="shared" si="137"/>
        <v>0</v>
      </c>
      <c r="U401" s="18"/>
      <c r="V401" s="46"/>
      <c r="W401" s="18"/>
      <c r="X401" s="19">
        <f t="shared" si="138"/>
        <v>0</v>
      </c>
      <c r="Y401" s="18"/>
      <c r="Z401" s="92"/>
      <c r="AA401" s="18"/>
      <c r="AB401" s="19">
        <f t="shared" si="139"/>
        <v>0</v>
      </c>
      <c r="AC401" s="20">
        <f t="shared" si="140"/>
        <v>0</v>
      </c>
    </row>
    <row r="402" spans="1:30" ht="14.25" thickBot="1" x14ac:dyDescent="0.2">
      <c r="A402" s="21" t="s">
        <v>8</v>
      </c>
      <c r="B402" s="22">
        <f>SUM(B391:B401)</f>
        <v>0</v>
      </c>
      <c r="C402" s="47">
        <f>SUM(C391:C401)</f>
        <v>0</v>
      </c>
      <c r="D402" s="40">
        <f>SUM(D391:D401)</f>
        <v>0</v>
      </c>
      <c r="E402" s="23">
        <f t="shared" si="133"/>
        <v>0</v>
      </c>
      <c r="F402" s="22">
        <f>SUM(F391:F401)</f>
        <v>0</v>
      </c>
      <c r="G402" s="47">
        <f>SUM(G391:G401)</f>
        <v>0</v>
      </c>
      <c r="H402" s="40">
        <f>SUM(H391:H401)</f>
        <v>0</v>
      </c>
      <c r="I402" s="23">
        <f t="shared" si="134"/>
        <v>0</v>
      </c>
      <c r="J402" s="22">
        <f>SUM(J391:J401)</f>
        <v>3</v>
      </c>
      <c r="K402" s="47">
        <f>SUM(K391:K401)</f>
        <v>1</v>
      </c>
      <c r="L402" s="40">
        <f>SUM(L391:L401)</f>
        <v>0</v>
      </c>
      <c r="M402" s="23">
        <f t="shared" si="135"/>
        <v>4</v>
      </c>
      <c r="N402" s="24">
        <f t="shared" si="136"/>
        <v>4</v>
      </c>
      <c r="O402" s="30"/>
      <c r="P402" s="21" t="s">
        <v>8</v>
      </c>
      <c r="Q402" s="22">
        <f>SUM(Q391:Q401)</f>
        <v>4</v>
      </c>
      <c r="R402" s="47">
        <f>SUM(R391:R401)</f>
        <v>4</v>
      </c>
      <c r="S402" s="40">
        <f>SUM(S391:S401)</f>
        <v>6</v>
      </c>
      <c r="T402" s="23">
        <f t="shared" si="137"/>
        <v>14</v>
      </c>
      <c r="U402" s="22">
        <f>SUM(U391:U401)</f>
        <v>7</v>
      </c>
      <c r="V402" s="47">
        <f>SUM(V391:V401)</f>
        <v>5</v>
      </c>
      <c r="W402" s="40">
        <f>SUM(W391:W401)</f>
        <v>7</v>
      </c>
      <c r="X402" s="23">
        <f t="shared" si="138"/>
        <v>19</v>
      </c>
      <c r="Y402" s="22">
        <f>SUM(Y391:Y401)</f>
        <v>10</v>
      </c>
      <c r="Z402" s="47">
        <f>SUM(Z391:Z401)</f>
        <v>0</v>
      </c>
      <c r="AA402" s="40">
        <f>SUM(AA391:AA401)</f>
        <v>5</v>
      </c>
      <c r="AB402" s="23">
        <f t="shared" si="139"/>
        <v>15</v>
      </c>
      <c r="AC402" s="24">
        <f t="shared" si="140"/>
        <v>48</v>
      </c>
    </row>
    <row r="403" spans="1:30" x14ac:dyDescent="0.15">
      <c r="A403" s="25" t="s">
        <v>28</v>
      </c>
      <c r="B403" s="29"/>
      <c r="C403" s="45"/>
      <c r="D403" s="16"/>
      <c r="E403" s="12">
        <f t="shared" si="133"/>
        <v>0</v>
      </c>
      <c r="F403" s="29"/>
      <c r="G403" s="45"/>
      <c r="H403" s="16"/>
      <c r="I403" s="12">
        <f t="shared" si="134"/>
        <v>0</v>
      </c>
      <c r="J403" s="29"/>
      <c r="K403" s="45">
        <v>1</v>
      </c>
      <c r="L403" s="16"/>
      <c r="M403" s="12">
        <f t="shared" si="135"/>
        <v>1</v>
      </c>
      <c r="N403" s="13">
        <f t="shared" si="136"/>
        <v>1</v>
      </c>
      <c r="O403" s="30">
        <v>46006</v>
      </c>
      <c r="P403" s="25" t="s">
        <v>28</v>
      </c>
      <c r="Q403" s="29"/>
      <c r="R403" s="45">
        <v>1</v>
      </c>
      <c r="S403" s="16"/>
      <c r="T403" s="12">
        <f t="shared" si="137"/>
        <v>1</v>
      </c>
      <c r="U403" s="29"/>
      <c r="V403" s="45">
        <v>1</v>
      </c>
      <c r="W403" s="16"/>
      <c r="X403" s="12">
        <f t="shared" si="138"/>
        <v>1</v>
      </c>
      <c r="Y403" s="29"/>
      <c r="Z403" s="45">
        <v>1</v>
      </c>
      <c r="AA403" s="16"/>
      <c r="AB403" s="12">
        <f t="shared" si="139"/>
        <v>1</v>
      </c>
      <c r="AC403" s="13">
        <f t="shared" si="140"/>
        <v>3</v>
      </c>
    </row>
    <row r="404" spans="1:30" x14ac:dyDescent="0.15">
      <c r="A404" s="25" t="s">
        <v>28</v>
      </c>
      <c r="B404" s="29"/>
      <c r="C404" s="45"/>
      <c r="D404" s="16"/>
      <c r="E404" s="12">
        <f t="shared" si="133"/>
        <v>0</v>
      </c>
      <c r="F404" s="29"/>
      <c r="G404" s="45"/>
      <c r="H404" s="16"/>
      <c r="I404" s="12">
        <f t="shared" si="134"/>
        <v>0</v>
      </c>
      <c r="J404" s="29">
        <v>1</v>
      </c>
      <c r="K404" s="45"/>
      <c r="L404" s="16"/>
      <c r="M404" s="12">
        <f t="shared" si="135"/>
        <v>1</v>
      </c>
      <c r="N404" s="13">
        <f t="shared" si="136"/>
        <v>1</v>
      </c>
      <c r="O404" s="30">
        <v>46017</v>
      </c>
      <c r="P404" s="25" t="s">
        <v>28</v>
      </c>
      <c r="Q404" s="29"/>
      <c r="R404" s="45"/>
      <c r="S404" s="16"/>
      <c r="T404" s="12">
        <f t="shared" si="137"/>
        <v>0</v>
      </c>
      <c r="U404" s="29"/>
      <c r="V404" s="45"/>
      <c r="W404" s="16">
        <v>1</v>
      </c>
      <c r="X404" s="12">
        <f t="shared" si="138"/>
        <v>1</v>
      </c>
      <c r="Y404" s="29"/>
      <c r="Z404" s="45"/>
      <c r="AA404" s="16"/>
      <c r="AB404" s="12">
        <f t="shared" si="139"/>
        <v>0</v>
      </c>
      <c r="AC404" s="13">
        <f t="shared" si="140"/>
        <v>1</v>
      </c>
    </row>
    <row r="405" spans="1:30" x14ac:dyDescent="0.15">
      <c r="A405" s="25" t="s">
        <v>28</v>
      </c>
      <c r="B405" s="29"/>
      <c r="C405" s="45"/>
      <c r="D405" s="16"/>
      <c r="E405" s="12">
        <f t="shared" si="133"/>
        <v>0</v>
      </c>
      <c r="F405" s="29"/>
      <c r="G405" s="45"/>
      <c r="H405" s="16"/>
      <c r="I405" s="12">
        <f t="shared" si="134"/>
        <v>0</v>
      </c>
      <c r="J405" s="29">
        <v>1</v>
      </c>
      <c r="K405" s="45"/>
      <c r="L405" s="16"/>
      <c r="M405" s="12">
        <f t="shared" si="135"/>
        <v>1</v>
      </c>
      <c r="N405" s="13">
        <f t="shared" si="136"/>
        <v>1</v>
      </c>
      <c r="O405" s="30">
        <v>46083</v>
      </c>
      <c r="P405" s="25" t="s">
        <v>28</v>
      </c>
      <c r="Q405" s="29"/>
      <c r="R405" s="45"/>
      <c r="S405" s="16"/>
      <c r="T405" s="12">
        <f t="shared" si="137"/>
        <v>0</v>
      </c>
      <c r="U405" s="29"/>
      <c r="V405" s="45">
        <v>1</v>
      </c>
      <c r="W405" s="16"/>
      <c r="X405" s="12">
        <f t="shared" si="138"/>
        <v>1</v>
      </c>
      <c r="Y405" s="29"/>
      <c r="Z405" s="45"/>
      <c r="AA405" s="16"/>
      <c r="AB405" s="12">
        <f t="shared" si="139"/>
        <v>0</v>
      </c>
      <c r="AC405" s="13">
        <f t="shared" si="140"/>
        <v>1</v>
      </c>
    </row>
    <row r="406" spans="1:30" x14ac:dyDescent="0.15">
      <c r="A406" s="25" t="s">
        <v>28</v>
      </c>
      <c r="B406" s="29"/>
      <c r="C406" s="45"/>
      <c r="D406" s="16"/>
      <c r="E406" s="12">
        <f t="shared" si="133"/>
        <v>0</v>
      </c>
      <c r="F406" s="29"/>
      <c r="G406" s="45"/>
      <c r="H406" s="16"/>
      <c r="I406" s="12">
        <f t="shared" si="134"/>
        <v>0</v>
      </c>
      <c r="J406" s="29"/>
      <c r="K406" s="45"/>
      <c r="L406" s="16"/>
      <c r="M406" s="12">
        <f t="shared" si="135"/>
        <v>0</v>
      </c>
      <c r="N406" s="13">
        <f t="shared" si="136"/>
        <v>0</v>
      </c>
      <c r="O406" s="30"/>
      <c r="P406" s="25" t="s">
        <v>28</v>
      </c>
      <c r="Q406" s="29"/>
      <c r="R406" s="45"/>
      <c r="S406" s="16"/>
      <c r="T406" s="12">
        <f t="shared" si="137"/>
        <v>0</v>
      </c>
      <c r="U406" s="29"/>
      <c r="V406" s="45"/>
      <c r="W406" s="16"/>
      <c r="X406" s="12">
        <f t="shared" si="138"/>
        <v>0</v>
      </c>
      <c r="Y406" s="29"/>
      <c r="Z406" s="45">
        <v>1</v>
      </c>
      <c r="AA406" s="16"/>
      <c r="AB406" s="12">
        <f t="shared" si="139"/>
        <v>1</v>
      </c>
      <c r="AC406" s="13">
        <f t="shared" si="140"/>
        <v>1</v>
      </c>
    </row>
    <row r="407" spans="1:30" x14ac:dyDescent="0.15">
      <c r="A407" s="25" t="s">
        <v>28</v>
      </c>
      <c r="B407" s="29"/>
      <c r="C407" s="45"/>
      <c r="D407" s="16"/>
      <c r="E407" s="12">
        <f t="shared" si="133"/>
        <v>0</v>
      </c>
      <c r="F407" s="29"/>
      <c r="G407" s="45"/>
      <c r="H407" s="16"/>
      <c r="I407" s="12">
        <f t="shared" si="134"/>
        <v>0</v>
      </c>
      <c r="J407" s="29">
        <v>1</v>
      </c>
      <c r="K407" s="45"/>
      <c r="L407" s="16"/>
      <c r="M407" s="12">
        <f t="shared" si="135"/>
        <v>1</v>
      </c>
      <c r="N407" s="13">
        <f t="shared" si="136"/>
        <v>1</v>
      </c>
      <c r="O407" s="30">
        <v>46112</v>
      </c>
      <c r="P407" s="25" t="s">
        <v>28</v>
      </c>
      <c r="Q407" s="29"/>
      <c r="R407" s="45"/>
      <c r="S407" s="16">
        <v>1</v>
      </c>
      <c r="T407" s="12">
        <f t="shared" si="137"/>
        <v>1</v>
      </c>
      <c r="U407" s="29"/>
      <c r="V407" s="45"/>
      <c r="W407" s="16"/>
      <c r="X407" s="12">
        <f t="shared" si="138"/>
        <v>0</v>
      </c>
      <c r="Y407" s="29"/>
      <c r="Z407" s="45"/>
      <c r="AA407" s="16"/>
      <c r="AB407" s="12">
        <f t="shared" si="139"/>
        <v>0</v>
      </c>
      <c r="AC407" s="13">
        <f t="shared" si="140"/>
        <v>1</v>
      </c>
    </row>
    <row r="408" spans="1:30" x14ac:dyDescent="0.15">
      <c r="A408" s="25"/>
      <c r="B408" s="29"/>
      <c r="C408" s="45"/>
      <c r="D408" s="16"/>
      <c r="E408" s="12">
        <f t="shared" si="133"/>
        <v>0</v>
      </c>
      <c r="F408" s="29"/>
      <c r="G408" s="45"/>
      <c r="H408" s="16"/>
      <c r="I408" s="12">
        <f t="shared" si="134"/>
        <v>0</v>
      </c>
      <c r="J408" s="29"/>
      <c r="K408" s="45"/>
      <c r="L408" s="16"/>
      <c r="M408" s="12">
        <f t="shared" si="135"/>
        <v>0</v>
      </c>
      <c r="N408" s="13">
        <f t="shared" si="136"/>
        <v>0</v>
      </c>
      <c r="O408" s="30"/>
      <c r="P408" s="25" t="s">
        <v>28</v>
      </c>
      <c r="Q408" s="29"/>
      <c r="R408" s="45"/>
      <c r="S408" s="16"/>
      <c r="T408" s="12">
        <f t="shared" si="137"/>
        <v>0</v>
      </c>
      <c r="U408" s="29"/>
      <c r="V408" s="45"/>
      <c r="W408" s="16"/>
      <c r="X408" s="12">
        <f t="shared" si="138"/>
        <v>0</v>
      </c>
      <c r="Y408" s="29">
        <v>2</v>
      </c>
      <c r="Z408" s="45"/>
      <c r="AA408" s="16"/>
      <c r="AB408" s="12">
        <f t="shared" si="139"/>
        <v>2</v>
      </c>
      <c r="AC408" s="13">
        <f t="shared" si="140"/>
        <v>2</v>
      </c>
    </row>
    <row r="409" spans="1:30" x14ac:dyDescent="0.15">
      <c r="A409" s="25"/>
      <c r="B409" s="29"/>
      <c r="C409" s="45"/>
      <c r="D409" s="16"/>
      <c r="E409" s="12">
        <f t="shared" si="133"/>
        <v>0</v>
      </c>
      <c r="F409" s="29"/>
      <c r="G409" s="45"/>
      <c r="H409" s="16"/>
      <c r="I409" s="12">
        <f t="shared" si="134"/>
        <v>0</v>
      </c>
      <c r="J409" s="29"/>
      <c r="K409" s="45"/>
      <c r="L409" s="16"/>
      <c r="M409" s="12">
        <f t="shared" si="135"/>
        <v>0</v>
      </c>
      <c r="N409" s="13">
        <f t="shared" si="136"/>
        <v>0</v>
      </c>
      <c r="O409" s="30"/>
      <c r="P409" s="25" t="s">
        <v>28</v>
      </c>
      <c r="Q409" s="29"/>
      <c r="R409" s="45">
        <v>1</v>
      </c>
      <c r="S409" s="16"/>
      <c r="T409" s="12">
        <f t="shared" si="137"/>
        <v>1</v>
      </c>
      <c r="U409" s="29"/>
      <c r="V409" s="45"/>
      <c r="W409" s="16"/>
      <c r="X409" s="12">
        <f t="shared" si="138"/>
        <v>0</v>
      </c>
      <c r="Y409" s="29"/>
      <c r="Z409" s="45"/>
      <c r="AA409" s="16"/>
      <c r="AB409" s="12">
        <f t="shared" si="139"/>
        <v>0</v>
      </c>
      <c r="AC409" s="13">
        <f t="shared" si="140"/>
        <v>1</v>
      </c>
    </row>
    <row r="410" spans="1:30" x14ac:dyDescent="0.15">
      <c r="A410" s="25"/>
      <c r="B410" s="29"/>
      <c r="C410" s="45"/>
      <c r="D410" s="16"/>
      <c r="E410" s="12">
        <f t="shared" si="133"/>
        <v>0</v>
      </c>
      <c r="F410" s="29"/>
      <c r="G410" s="45"/>
      <c r="H410" s="16"/>
      <c r="I410" s="12">
        <f t="shared" si="134"/>
        <v>0</v>
      </c>
      <c r="J410" s="29"/>
      <c r="K410" s="45"/>
      <c r="L410" s="16"/>
      <c r="M410" s="12">
        <f t="shared" si="135"/>
        <v>0</v>
      </c>
      <c r="N410" s="13">
        <f t="shared" si="136"/>
        <v>0</v>
      </c>
      <c r="O410" s="30"/>
      <c r="P410" s="25" t="s">
        <v>28</v>
      </c>
      <c r="Q410" s="29"/>
      <c r="R410" s="45"/>
      <c r="S410" s="16"/>
      <c r="T410" s="12">
        <f t="shared" si="137"/>
        <v>0</v>
      </c>
      <c r="U410" s="29"/>
      <c r="V410" s="45"/>
      <c r="W410" s="16">
        <v>1</v>
      </c>
      <c r="X410" s="12">
        <f t="shared" si="138"/>
        <v>1</v>
      </c>
      <c r="Y410" s="29"/>
      <c r="Z410" s="45"/>
      <c r="AA410" s="16"/>
      <c r="AB410" s="12">
        <f t="shared" si="139"/>
        <v>0</v>
      </c>
      <c r="AC410" s="13">
        <f t="shared" si="140"/>
        <v>1</v>
      </c>
    </row>
    <row r="411" spans="1:30" x14ac:dyDescent="0.15">
      <c r="A411" s="25"/>
      <c r="B411" s="29"/>
      <c r="C411" s="45"/>
      <c r="D411" s="16"/>
      <c r="E411" s="12">
        <f t="shared" si="133"/>
        <v>0</v>
      </c>
      <c r="F411" s="29"/>
      <c r="G411" s="45"/>
      <c r="H411" s="16"/>
      <c r="I411" s="12">
        <f t="shared" si="134"/>
        <v>0</v>
      </c>
      <c r="J411" s="29"/>
      <c r="K411" s="45"/>
      <c r="L411" s="16"/>
      <c r="M411" s="12">
        <f t="shared" si="135"/>
        <v>0</v>
      </c>
      <c r="N411" s="13">
        <f t="shared" si="136"/>
        <v>0</v>
      </c>
      <c r="O411" s="30"/>
      <c r="P411" s="25" t="s">
        <v>28</v>
      </c>
      <c r="Q411" s="29"/>
      <c r="R411" s="45"/>
      <c r="S411" s="16"/>
      <c r="T411" s="12">
        <f t="shared" si="137"/>
        <v>0</v>
      </c>
      <c r="U411" s="29"/>
      <c r="V411" s="45"/>
      <c r="W411" s="16"/>
      <c r="X411" s="12">
        <f t="shared" si="138"/>
        <v>0</v>
      </c>
      <c r="Y411" s="29">
        <v>1</v>
      </c>
      <c r="Z411" s="45"/>
      <c r="AA411" s="16"/>
      <c r="AB411" s="12">
        <f t="shared" si="139"/>
        <v>1</v>
      </c>
      <c r="AC411" s="13">
        <f t="shared" si="140"/>
        <v>1</v>
      </c>
    </row>
    <row r="412" spans="1:30" x14ac:dyDescent="0.15">
      <c r="A412" s="25"/>
      <c r="B412" s="29"/>
      <c r="C412" s="45"/>
      <c r="D412" s="16"/>
      <c r="E412" s="12">
        <f t="shared" si="133"/>
        <v>0</v>
      </c>
      <c r="F412" s="29"/>
      <c r="G412" s="45"/>
      <c r="H412" s="16"/>
      <c r="I412" s="12">
        <f t="shared" si="134"/>
        <v>0</v>
      </c>
      <c r="J412" s="29"/>
      <c r="K412" s="45"/>
      <c r="L412" s="16"/>
      <c r="M412" s="12">
        <f t="shared" si="135"/>
        <v>0</v>
      </c>
      <c r="N412" s="13">
        <f t="shared" si="136"/>
        <v>0</v>
      </c>
      <c r="O412" s="30"/>
      <c r="P412" s="25" t="s">
        <v>28</v>
      </c>
      <c r="Q412" s="29"/>
      <c r="R412" s="45"/>
      <c r="S412" s="16"/>
      <c r="T412" s="12">
        <f t="shared" si="137"/>
        <v>0</v>
      </c>
      <c r="U412" s="29"/>
      <c r="V412" s="45"/>
      <c r="W412" s="16"/>
      <c r="X412" s="12">
        <f t="shared" si="138"/>
        <v>0</v>
      </c>
      <c r="Y412" s="29">
        <v>1</v>
      </c>
      <c r="Z412" s="45"/>
      <c r="AA412" s="16"/>
      <c r="AB412" s="12">
        <f t="shared" si="139"/>
        <v>1</v>
      </c>
      <c r="AC412" s="13">
        <f t="shared" si="140"/>
        <v>1</v>
      </c>
    </row>
    <row r="413" spans="1:30" x14ac:dyDescent="0.15">
      <c r="A413" s="25"/>
      <c r="B413" s="29"/>
      <c r="C413" s="45"/>
      <c r="D413" s="16"/>
      <c r="E413" s="12">
        <f t="shared" si="133"/>
        <v>0</v>
      </c>
      <c r="F413" s="29"/>
      <c r="G413" s="45"/>
      <c r="H413" s="16"/>
      <c r="I413" s="12">
        <f t="shared" si="134"/>
        <v>0</v>
      </c>
      <c r="J413" s="29"/>
      <c r="K413" s="45"/>
      <c r="L413" s="16"/>
      <c r="M413" s="12">
        <f t="shared" si="135"/>
        <v>0</v>
      </c>
      <c r="N413" s="13">
        <f t="shared" si="136"/>
        <v>0</v>
      </c>
      <c r="O413" s="30"/>
      <c r="P413" s="25" t="s">
        <v>28</v>
      </c>
      <c r="Q413" s="29"/>
      <c r="R413" s="45"/>
      <c r="S413" s="16"/>
      <c r="T413" s="12">
        <f t="shared" si="137"/>
        <v>0</v>
      </c>
      <c r="U413" s="29"/>
      <c r="V413" s="45">
        <v>1</v>
      </c>
      <c r="W413" s="16"/>
      <c r="X413" s="12">
        <f t="shared" si="138"/>
        <v>1</v>
      </c>
      <c r="Y413" s="29"/>
      <c r="Z413" s="45">
        <v>1</v>
      </c>
      <c r="AA413" s="16"/>
      <c r="AB413" s="12">
        <f t="shared" si="139"/>
        <v>1</v>
      </c>
      <c r="AC413" s="13">
        <f t="shared" si="140"/>
        <v>2</v>
      </c>
    </row>
    <row r="414" spans="1:30" x14ac:dyDescent="0.15">
      <c r="A414" s="25"/>
      <c r="B414" s="29"/>
      <c r="C414" s="45"/>
      <c r="D414" s="16"/>
      <c r="E414" s="12">
        <f t="shared" si="133"/>
        <v>0</v>
      </c>
      <c r="F414" s="29"/>
      <c r="G414" s="45"/>
      <c r="H414" s="16"/>
      <c r="I414" s="12">
        <f t="shared" si="134"/>
        <v>0</v>
      </c>
      <c r="J414" s="29"/>
      <c r="K414" s="45"/>
      <c r="L414" s="16"/>
      <c r="M414" s="12">
        <f t="shared" si="135"/>
        <v>0</v>
      </c>
      <c r="N414" s="13">
        <f t="shared" si="136"/>
        <v>0</v>
      </c>
      <c r="O414" s="30"/>
      <c r="P414" s="25" t="s">
        <v>52</v>
      </c>
      <c r="Q414" s="29"/>
      <c r="R414" s="45"/>
      <c r="S414" s="16">
        <v>1</v>
      </c>
      <c r="T414" s="39">
        <f t="shared" si="137"/>
        <v>1</v>
      </c>
      <c r="U414" s="29">
        <v>3</v>
      </c>
      <c r="V414" s="45">
        <v>0</v>
      </c>
      <c r="W414" s="16"/>
      <c r="X414" s="39">
        <f t="shared" si="138"/>
        <v>3</v>
      </c>
      <c r="Y414" s="29">
        <v>1</v>
      </c>
      <c r="Z414" s="45">
        <v>-3</v>
      </c>
      <c r="AA414" s="16">
        <v>3</v>
      </c>
      <c r="AB414" s="39">
        <f t="shared" si="139"/>
        <v>1</v>
      </c>
      <c r="AC414" s="13">
        <f t="shared" si="140"/>
        <v>5</v>
      </c>
    </row>
    <row r="415" spans="1:30" x14ac:dyDescent="0.15">
      <c r="A415" s="25"/>
      <c r="B415" s="29"/>
      <c r="C415" s="45"/>
      <c r="D415" s="16"/>
      <c r="E415" s="12">
        <f t="shared" si="133"/>
        <v>0</v>
      </c>
      <c r="F415" s="29"/>
      <c r="G415" s="45"/>
      <c r="H415" s="16"/>
      <c r="I415" s="12">
        <f t="shared" si="134"/>
        <v>0</v>
      </c>
      <c r="J415" s="29"/>
      <c r="K415" s="45"/>
      <c r="L415" s="16"/>
      <c r="M415" s="12">
        <f t="shared" si="135"/>
        <v>0</v>
      </c>
      <c r="N415" s="13">
        <f t="shared" si="136"/>
        <v>0</v>
      </c>
      <c r="O415" s="30"/>
      <c r="P415" s="25" t="s">
        <v>28</v>
      </c>
      <c r="Q415" s="29"/>
      <c r="R415" s="45"/>
      <c r="S415" s="16"/>
      <c r="T415" s="12">
        <f t="shared" si="137"/>
        <v>0</v>
      </c>
      <c r="U415" s="29"/>
      <c r="V415" s="45"/>
      <c r="W415" s="16"/>
      <c r="X415" s="12">
        <f t="shared" si="138"/>
        <v>0</v>
      </c>
      <c r="Y415" s="29">
        <v>1</v>
      </c>
      <c r="Z415" s="45"/>
      <c r="AA415" s="16"/>
      <c r="AB415" s="12">
        <f t="shared" si="139"/>
        <v>1</v>
      </c>
      <c r="AC415" s="13">
        <f t="shared" si="140"/>
        <v>1</v>
      </c>
      <c r="AD415" s="30">
        <v>46017</v>
      </c>
    </row>
    <row r="416" spans="1:30" x14ac:dyDescent="0.15">
      <c r="A416" s="25"/>
      <c r="B416" s="29"/>
      <c r="C416" s="45"/>
      <c r="D416" s="16"/>
      <c r="E416" s="12">
        <f t="shared" si="133"/>
        <v>0</v>
      </c>
      <c r="F416" s="29"/>
      <c r="G416" s="45"/>
      <c r="H416" s="16"/>
      <c r="I416" s="12">
        <f t="shared" si="134"/>
        <v>0</v>
      </c>
      <c r="J416" s="29"/>
      <c r="K416" s="45"/>
      <c r="L416" s="16"/>
      <c r="M416" s="12">
        <f t="shared" si="135"/>
        <v>0</v>
      </c>
      <c r="N416" s="13">
        <f t="shared" si="136"/>
        <v>0</v>
      </c>
      <c r="O416" s="30"/>
      <c r="P416" s="25" t="s">
        <v>28</v>
      </c>
      <c r="Q416" s="29"/>
      <c r="R416" s="45">
        <v>1</v>
      </c>
      <c r="S416" s="16"/>
      <c r="T416" s="12">
        <f t="shared" si="137"/>
        <v>1</v>
      </c>
      <c r="U416" s="29"/>
      <c r="V416" s="45">
        <v>1</v>
      </c>
      <c r="W416" s="16"/>
      <c r="X416" s="12">
        <f t="shared" si="138"/>
        <v>1</v>
      </c>
      <c r="Y416" s="29"/>
      <c r="Z416" s="45"/>
      <c r="AA416" s="16"/>
      <c r="AB416" s="12">
        <f t="shared" si="139"/>
        <v>0</v>
      </c>
      <c r="AC416" s="13">
        <f t="shared" si="140"/>
        <v>2</v>
      </c>
      <c r="AD416" s="30">
        <v>46027</v>
      </c>
    </row>
    <row r="417" spans="1:30" x14ac:dyDescent="0.15">
      <c r="A417" s="25"/>
      <c r="B417" s="29"/>
      <c r="C417" s="45"/>
      <c r="D417" s="16"/>
      <c r="E417" s="12">
        <f t="shared" si="133"/>
        <v>0</v>
      </c>
      <c r="F417" s="29"/>
      <c r="G417" s="45"/>
      <c r="H417" s="16"/>
      <c r="I417" s="12">
        <f t="shared" si="134"/>
        <v>0</v>
      </c>
      <c r="J417" s="29"/>
      <c r="K417" s="45"/>
      <c r="L417" s="16"/>
      <c r="M417" s="12">
        <f t="shared" si="135"/>
        <v>0</v>
      </c>
      <c r="N417" s="13">
        <f t="shared" si="136"/>
        <v>0</v>
      </c>
      <c r="O417" s="30"/>
      <c r="P417" s="25" t="s">
        <v>28</v>
      </c>
      <c r="Q417" s="28"/>
      <c r="R417" s="45"/>
      <c r="S417" s="16">
        <v>1</v>
      </c>
      <c r="T417" s="12">
        <f t="shared" si="137"/>
        <v>1</v>
      </c>
      <c r="U417" s="28"/>
      <c r="V417" s="45"/>
      <c r="W417" s="16"/>
      <c r="X417" s="12">
        <f t="shared" si="138"/>
        <v>0</v>
      </c>
      <c r="Y417" s="28"/>
      <c r="Z417" s="45"/>
      <c r="AA417" s="16"/>
      <c r="AB417" s="12">
        <f t="shared" si="139"/>
        <v>0</v>
      </c>
      <c r="AC417" s="13">
        <f t="shared" si="140"/>
        <v>1</v>
      </c>
      <c r="AD417" s="30">
        <v>46031</v>
      </c>
    </row>
    <row r="418" spans="1:30" x14ac:dyDescent="0.15">
      <c r="A418" s="25"/>
      <c r="B418" s="29"/>
      <c r="C418" s="45"/>
      <c r="D418" s="16"/>
      <c r="E418" s="12">
        <f t="shared" si="133"/>
        <v>0</v>
      </c>
      <c r="F418" s="29"/>
      <c r="G418" s="45"/>
      <c r="H418" s="16"/>
      <c r="I418" s="12">
        <f t="shared" si="134"/>
        <v>0</v>
      </c>
      <c r="J418" s="29"/>
      <c r="K418" s="45"/>
      <c r="L418" s="16"/>
      <c r="M418" s="12">
        <f t="shared" si="135"/>
        <v>0</v>
      </c>
      <c r="N418" s="13">
        <f t="shared" si="136"/>
        <v>0</v>
      </c>
      <c r="O418" s="30"/>
      <c r="P418" s="100" t="s">
        <v>28</v>
      </c>
      <c r="Q418" s="101">
        <v>1</v>
      </c>
      <c r="R418" s="102"/>
      <c r="S418" s="103"/>
      <c r="T418" s="104">
        <f t="shared" si="137"/>
        <v>1</v>
      </c>
      <c r="U418" s="101">
        <v>1</v>
      </c>
      <c r="V418" s="102"/>
      <c r="W418" s="103"/>
      <c r="X418" s="104">
        <f t="shared" si="138"/>
        <v>1</v>
      </c>
      <c r="Y418" s="101">
        <v>1</v>
      </c>
      <c r="Z418" s="102"/>
      <c r="AA418" s="103"/>
      <c r="AB418" s="104">
        <f t="shared" si="139"/>
        <v>1</v>
      </c>
      <c r="AC418" s="105">
        <f t="shared" si="140"/>
        <v>3</v>
      </c>
      <c r="AD418" s="106">
        <v>46105</v>
      </c>
    </row>
    <row r="419" spans="1:30" x14ac:dyDescent="0.15">
      <c r="A419" s="25"/>
      <c r="B419" s="29"/>
      <c r="C419" s="45"/>
      <c r="D419" s="16"/>
      <c r="E419" s="12">
        <f t="shared" si="133"/>
        <v>0</v>
      </c>
      <c r="F419" s="29"/>
      <c r="G419" s="45"/>
      <c r="H419" s="16"/>
      <c r="I419" s="12">
        <f t="shared" si="134"/>
        <v>0</v>
      </c>
      <c r="J419" s="29"/>
      <c r="K419" s="45"/>
      <c r="L419" s="16"/>
      <c r="M419" s="12">
        <f t="shared" si="135"/>
        <v>0</v>
      </c>
      <c r="N419" s="13">
        <f t="shared" si="136"/>
        <v>0</v>
      </c>
      <c r="O419" s="30"/>
      <c r="P419" s="100" t="s">
        <v>28</v>
      </c>
      <c r="Q419" s="29"/>
      <c r="R419" s="45"/>
      <c r="S419" s="16"/>
      <c r="T419" s="12">
        <f t="shared" si="137"/>
        <v>0</v>
      </c>
      <c r="U419" s="29"/>
      <c r="V419" s="45"/>
      <c r="W419" s="16"/>
      <c r="X419" s="12">
        <f t="shared" si="138"/>
        <v>0</v>
      </c>
      <c r="Y419" s="29">
        <v>3</v>
      </c>
      <c r="Z419" s="45"/>
      <c r="AA419" s="16"/>
      <c r="AB419" s="12">
        <f t="shared" si="139"/>
        <v>3</v>
      </c>
      <c r="AC419" s="13">
        <f t="shared" si="140"/>
        <v>3</v>
      </c>
      <c r="AD419" s="30">
        <v>46139</v>
      </c>
    </row>
    <row r="420" spans="1:30" x14ac:dyDescent="0.15">
      <c r="A420" s="25"/>
      <c r="B420" s="29"/>
      <c r="C420" s="45"/>
      <c r="D420" s="16"/>
      <c r="E420" s="12">
        <f t="shared" si="133"/>
        <v>0</v>
      </c>
      <c r="F420" s="29"/>
      <c r="G420" s="45"/>
      <c r="H420" s="16"/>
      <c r="I420" s="12">
        <f t="shared" si="134"/>
        <v>0</v>
      </c>
      <c r="J420" s="29"/>
      <c r="K420" s="45"/>
      <c r="L420" s="16"/>
      <c r="M420" s="12">
        <f t="shared" si="135"/>
        <v>0</v>
      </c>
      <c r="N420" s="13">
        <f t="shared" si="136"/>
        <v>0</v>
      </c>
      <c r="O420" s="30"/>
      <c r="P420" s="100" t="s">
        <v>28</v>
      </c>
      <c r="Q420" s="29"/>
      <c r="R420" s="45"/>
      <c r="S420" s="16"/>
      <c r="T420" s="12">
        <f t="shared" si="137"/>
        <v>0</v>
      </c>
      <c r="U420" s="29"/>
      <c r="V420" s="45"/>
      <c r="W420" s="16">
        <v>1</v>
      </c>
      <c r="X420" s="12">
        <f t="shared" si="138"/>
        <v>1</v>
      </c>
      <c r="Y420" s="29"/>
      <c r="Z420" s="45"/>
      <c r="AA420" s="16">
        <v>1</v>
      </c>
      <c r="AB420" s="12">
        <f t="shared" si="139"/>
        <v>1</v>
      </c>
      <c r="AC420" s="13">
        <f t="shared" si="140"/>
        <v>2</v>
      </c>
      <c r="AD420" s="30">
        <v>46174</v>
      </c>
    </row>
    <row r="421" spans="1:30" x14ac:dyDescent="0.15">
      <c r="A421" s="25"/>
      <c r="B421" s="29"/>
      <c r="C421" s="45"/>
      <c r="D421" s="16"/>
      <c r="E421" s="12">
        <f t="shared" si="133"/>
        <v>0</v>
      </c>
      <c r="F421" s="29"/>
      <c r="G421" s="45"/>
      <c r="H421" s="16"/>
      <c r="I421" s="12">
        <f t="shared" si="134"/>
        <v>0</v>
      </c>
      <c r="J421" s="29"/>
      <c r="K421" s="45"/>
      <c r="L421" s="16"/>
      <c r="M421" s="12">
        <f t="shared" si="135"/>
        <v>0</v>
      </c>
      <c r="N421" s="13">
        <f t="shared" si="136"/>
        <v>0</v>
      </c>
      <c r="O421" s="30"/>
      <c r="P421" s="100" t="s">
        <v>28</v>
      </c>
      <c r="Q421" s="29"/>
      <c r="R421" s="45"/>
      <c r="S421" s="16"/>
      <c r="T421" s="12">
        <f t="shared" si="137"/>
        <v>0</v>
      </c>
      <c r="U421" s="29"/>
      <c r="V421" s="45">
        <v>1</v>
      </c>
      <c r="W421" s="16"/>
      <c r="X421" s="12">
        <f t="shared" si="138"/>
        <v>1</v>
      </c>
      <c r="Y421" s="29"/>
      <c r="Z421" s="45"/>
      <c r="AA421" s="16"/>
      <c r="AB421" s="12">
        <f t="shared" si="139"/>
        <v>0</v>
      </c>
      <c r="AC421" s="13">
        <f t="shared" si="140"/>
        <v>1</v>
      </c>
      <c r="AD421" s="30">
        <v>46181</v>
      </c>
    </row>
    <row r="422" spans="1:30" x14ac:dyDescent="0.15">
      <c r="A422" s="25"/>
      <c r="B422" s="29"/>
      <c r="C422" s="45"/>
      <c r="D422" s="16"/>
      <c r="E422" s="12">
        <f t="shared" si="133"/>
        <v>0</v>
      </c>
      <c r="F422" s="29"/>
      <c r="G422" s="45"/>
      <c r="H422" s="16"/>
      <c r="I422" s="12">
        <f t="shared" si="134"/>
        <v>0</v>
      </c>
      <c r="J422" s="29"/>
      <c r="K422" s="45"/>
      <c r="L422" s="16"/>
      <c r="M422" s="12">
        <f t="shared" si="135"/>
        <v>0</v>
      </c>
      <c r="N422" s="13">
        <f t="shared" si="136"/>
        <v>0</v>
      </c>
      <c r="O422" s="30"/>
      <c r="P422" s="100" t="s">
        <v>28</v>
      </c>
      <c r="Q422" s="28"/>
      <c r="R422" s="45"/>
      <c r="S422" s="16"/>
      <c r="T422" s="12">
        <f t="shared" si="137"/>
        <v>0</v>
      </c>
      <c r="U422" s="101">
        <v>1</v>
      </c>
      <c r="V422" s="45"/>
      <c r="W422" s="16"/>
      <c r="X422" s="12">
        <f t="shared" si="138"/>
        <v>1</v>
      </c>
      <c r="Y422" s="28"/>
      <c r="Z422" s="45"/>
      <c r="AA422" s="16"/>
      <c r="AB422" s="12">
        <f t="shared" si="139"/>
        <v>0</v>
      </c>
      <c r="AC422" s="13">
        <f t="shared" si="140"/>
        <v>1</v>
      </c>
      <c r="AD422" s="30">
        <v>46184</v>
      </c>
    </row>
    <row r="423" spans="1:30" x14ac:dyDescent="0.15">
      <c r="A423" s="25"/>
      <c r="B423" s="29"/>
      <c r="C423" s="45"/>
      <c r="D423" s="16"/>
      <c r="E423" s="12">
        <f t="shared" si="133"/>
        <v>0</v>
      </c>
      <c r="F423" s="29"/>
      <c r="G423" s="45"/>
      <c r="H423" s="16"/>
      <c r="I423" s="12">
        <f t="shared" si="134"/>
        <v>0</v>
      </c>
      <c r="J423" s="29"/>
      <c r="K423" s="45"/>
      <c r="L423" s="16"/>
      <c r="M423" s="12">
        <f t="shared" si="135"/>
        <v>0</v>
      </c>
      <c r="N423" s="13">
        <f t="shared" si="136"/>
        <v>0</v>
      </c>
      <c r="O423" s="30"/>
      <c r="P423" s="25"/>
      <c r="Q423" s="29"/>
      <c r="R423" s="45"/>
      <c r="S423" s="16"/>
      <c r="T423" s="12">
        <f t="shared" si="137"/>
        <v>0</v>
      </c>
      <c r="U423" s="29"/>
      <c r="V423" s="45"/>
      <c r="W423" s="16"/>
      <c r="X423" s="12">
        <f t="shared" si="138"/>
        <v>0</v>
      </c>
      <c r="Y423" s="29"/>
      <c r="Z423" s="45"/>
      <c r="AA423" s="16"/>
      <c r="AB423" s="12">
        <f t="shared" si="139"/>
        <v>0</v>
      </c>
      <c r="AC423" s="13">
        <f t="shared" si="140"/>
        <v>0</v>
      </c>
    </row>
    <row r="424" spans="1:30" x14ac:dyDescent="0.15">
      <c r="A424" s="25"/>
      <c r="B424" s="29"/>
      <c r="C424" s="45"/>
      <c r="D424" s="16"/>
      <c r="E424" s="12">
        <f t="shared" si="133"/>
        <v>0</v>
      </c>
      <c r="F424" s="29"/>
      <c r="G424" s="45"/>
      <c r="H424" s="16"/>
      <c r="I424" s="12">
        <f t="shared" si="134"/>
        <v>0</v>
      </c>
      <c r="J424" s="29"/>
      <c r="K424" s="45"/>
      <c r="L424" s="16"/>
      <c r="M424" s="12">
        <f t="shared" si="135"/>
        <v>0</v>
      </c>
      <c r="N424" s="13">
        <f t="shared" si="136"/>
        <v>0</v>
      </c>
      <c r="O424" s="30"/>
      <c r="P424" s="25"/>
      <c r="Q424" s="29"/>
      <c r="R424" s="45"/>
      <c r="S424" s="16"/>
      <c r="T424" s="12">
        <f t="shared" si="137"/>
        <v>0</v>
      </c>
      <c r="U424" s="29"/>
      <c r="V424" s="45"/>
      <c r="W424" s="16"/>
      <c r="X424" s="12">
        <f t="shared" si="138"/>
        <v>0</v>
      </c>
      <c r="Y424" s="29"/>
      <c r="Z424" s="45"/>
      <c r="AA424" s="16"/>
      <c r="AB424" s="12">
        <f t="shared" si="139"/>
        <v>0</v>
      </c>
      <c r="AC424" s="13">
        <f t="shared" si="140"/>
        <v>0</v>
      </c>
    </row>
    <row r="425" spans="1:30" x14ac:dyDescent="0.15">
      <c r="A425" s="25"/>
      <c r="B425" s="29"/>
      <c r="C425" s="45"/>
      <c r="D425" s="16"/>
      <c r="E425" s="12">
        <f t="shared" si="133"/>
        <v>0</v>
      </c>
      <c r="F425" s="29"/>
      <c r="G425" s="45"/>
      <c r="H425" s="16"/>
      <c r="I425" s="12">
        <f t="shared" si="134"/>
        <v>0</v>
      </c>
      <c r="J425" s="29"/>
      <c r="K425" s="45"/>
      <c r="L425" s="16"/>
      <c r="M425" s="12">
        <f t="shared" si="135"/>
        <v>0</v>
      </c>
      <c r="N425" s="13">
        <f t="shared" si="136"/>
        <v>0</v>
      </c>
      <c r="O425" s="30"/>
      <c r="P425" s="25"/>
      <c r="Q425" s="29"/>
      <c r="R425" s="45"/>
      <c r="S425" s="16"/>
      <c r="T425" s="12">
        <f t="shared" si="137"/>
        <v>0</v>
      </c>
      <c r="U425" s="29"/>
      <c r="V425" s="45"/>
      <c r="W425" s="16"/>
      <c r="X425" s="12">
        <f t="shared" si="138"/>
        <v>0</v>
      </c>
      <c r="Y425" s="29"/>
      <c r="Z425" s="45"/>
      <c r="AA425" s="16"/>
      <c r="AB425" s="12">
        <f t="shared" si="139"/>
        <v>0</v>
      </c>
      <c r="AC425" s="13">
        <f t="shared" si="140"/>
        <v>0</v>
      </c>
    </row>
    <row r="426" spans="1:30" ht="14.25" thickBot="1" x14ac:dyDescent="0.2">
      <c r="A426" s="25"/>
      <c r="B426" s="29"/>
      <c r="C426" s="45"/>
      <c r="D426" s="16"/>
      <c r="E426" s="12">
        <f t="shared" si="133"/>
        <v>0</v>
      </c>
      <c r="F426" s="29"/>
      <c r="G426" s="45"/>
      <c r="H426" s="16"/>
      <c r="I426" s="12">
        <f t="shared" si="134"/>
        <v>0</v>
      </c>
      <c r="J426" s="29"/>
      <c r="K426" s="45"/>
      <c r="L426" s="16"/>
      <c r="M426" s="12">
        <f t="shared" si="135"/>
        <v>0</v>
      </c>
      <c r="N426" s="20">
        <f t="shared" si="136"/>
        <v>0</v>
      </c>
      <c r="P426" s="25"/>
      <c r="Q426" s="29"/>
      <c r="R426" s="45"/>
      <c r="S426" s="16"/>
      <c r="T426" s="12">
        <f t="shared" si="137"/>
        <v>0</v>
      </c>
      <c r="U426" s="29"/>
      <c r="V426" s="45"/>
      <c r="W426" s="16"/>
      <c r="X426" s="12">
        <f t="shared" si="138"/>
        <v>0</v>
      </c>
      <c r="Y426" s="29"/>
      <c r="Z426" s="45"/>
      <c r="AA426" s="16"/>
      <c r="AB426" s="12">
        <f t="shared" si="139"/>
        <v>0</v>
      </c>
      <c r="AC426" s="20">
        <f t="shared" si="140"/>
        <v>0</v>
      </c>
    </row>
    <row r="427" spans="1:30" ht="14.25" thickBot="1" x14ac:dyDescent="0.2">
      <c r="A427" s="3" t="s">
        <v>9</v>
      </c>
      <c r="B427" s="97">
        <f>SUM(B403:B426)</f>
        <v>0</v>
      </c>
      <c r="C427" s="47">
        <f t="shared" ref="C427:E427" si="141">SUM(C403:C426)</f>
        <v>0</v>
      </c>
      <c r="D427" s="98">
        <f t="shared" si="141"/>
        <v>0</v>
      </c>
      <c r="E427" s="31">
        <f t="shared" si="141"/>
        <v>0</v>
      </c>
      <c r="F427" s="97">
        <f>SUM(F403:F426)</f>
        <v>0</v>
      </c>
      <c r="G427" s="47">
        <f t="shared" ref="G427:I427" si="142">SUM(G403:G426)</f>
        <v>0</v>
      </c>
      <c r="H427" s="41">
        <f t="shared" si="142"/>
        <v>0</v>
      </c>
      <c r="I427" s="31">
        <f t="shared" si="142"/>
        <v>0</v>
      </c>
      <c r="J427" s="22">
        <f>SUM(J403:J426)</f>
        <v>3</v>
      </c>
      <c r="K427" s="47">
        <f t="shared" ref="K427:M427" si="143">SUM(K403:K426)</f>
        <v>1</v>
      </c>
      <c r="L427" s="98">
        <f t="shared" si="143"/>
        <v>0</v>
      </c>
      <c r="M427" s="31">
        <f t="shared" si="143"/>
        <v>4</v>
      </c>
      <c r="N427" s="24">
        <f t="shared" si="136"/>
        <v>4</v>
      </c>
      <c r="P427" s="3" t="s">
        <v>9</v>
      </c>
      <c r="Q427" s="22">
        <f>SUM(Q403:Q426)</f>
        <v>1</v>
      </c>
      <c r="R427" s="47">
        <f t="shared" ref="R427:T427" si="144">SUM(R403:R426)</f>
        <v>3</v>
      </c>
      <c r="S427" s="41">
        <f t="shared" si="144"/>
        <v>3</v>
      </c>
      <c r="T427" s="31">
        <f t="shared" si="144"/>
        <v>7</v>
      </c>
      <c r="U427" s="22">
        <f>SUM(U403:U426)</f>
        <v>5</v>
      </c>
      <c r="V427" s="47">
        <f t="shared" ref="V427:X427" si="145">SUM(V403:V426)</f>
        <v>5</v>
      </c>
      <c r="W427" s="41">
        <f t="shared" si="145"/>
        <v>3</v>
      </c>
      <c r="X427" s="31">
        <f t="shared" si="145"/>
        <v>13</v>
      </c>
      <c r="Y427" s="22">
        <f>SUM(Y403:Y426)</f>
        <v>10</v>
      </c>
      <c r="Z427" s="47">
        <f t="shared" ref="Z427:AB427" si="146">SUM(Z403:Z426)</f>
        <v>0</v>
      </c>
      <c r="AA427" s="41">
        <f t="shared" si="146"/>
        <v>4</v>
      </c>
      <c r="AB427" s="31">
        <f t="shared" si="146"/>
        <v>14</v>
      </c>
      <c r="AC427" s="24">
        <f t="shared" si="140"/>
        <v>34</v>
      </c>
    </row>
    <row r="428" spans="1:30" ht="14.25" thickBot="1" x14ac:dyDescent="0.2">
      <c r="A428" s="32" t="s">
        <v>10</v>
      </c>
      <c r="B428" s="97">
        <f>B402-B427</f>
        <v>0</v>
      </c>
      <c r="C428" s="49">
        <f t="shared" ref="C428:E428" si="147">C402-C427</f>
        <v>0</v>
      </c>
      <c r="D428" s="99">
        <f t="shared" si="147"/>
        <v>0</v>
      </c>
      <c r="E428" s="33">
        <f t="shared" si="147"/>
        <v>0</v>
      </c>
      <c r="F428" s="97">
        <f>F402-F427</f>
        <v>0</v>
      </c>
      <c r="G428" s="49">
        <f t="shared" ref="G428:I428" si="148">G402-G427</f>
        <v>0</v>
      </c>
      <c r="H428" s="42">
        <f t="shared" si="148"/>
        <v>0</v>
      </c>
      <c r="I428" s="33">
        <f t="shared" si="148"/>
        <v>0</v>
      </c>
      <c r="J428" s="33">
        <f>J402-J427</f>
        <v>0</v>
      </c>
      <c r="K428" s="49">
        <f t="shared" ref="K428:M428" si="149">K402-K427</f>
        <v>0</v>
      </c>
      <c r="L428" s="99">
        <f t="shared" si="149"/>
        <v>0</v>
      </c>
      <c r="M428" s="33">
        <f t="shared" si="149"/>
        <v>0</v>
      </c>
      <c r="N428" s="24">
        <f t="shared" si="136"/>
        <v>0</v>
      </c>
      <c r="P428" s="32" t="s">
        <v>10</v>
      </c>
      <c r="Q428" s="33">
        <f>Q402-Q427</f>
        <v>3</v>
      </c>
      <c r="R428" s="49">
        <f t="shared" ref="R428:T428" si="150">R402-R427</f>
        <v>1</v>
      </c>
      <c r="S428" s="42">
        <f t="shared" si="150"/>
        <v>3</v>
      </c>
      <c r="T428" s="33">
        <f t="shared" si="150"/>
        <v>7</v>
      </c>
      <c r="U428" s="33">
        <f>U402-U427</f>
        <v>2</v>
      </c>
      <c r="V428" s="49">
        <f t="shared" ref="V428:X428" si="151">V402-V427</f>
        <v>0</v>
      </c>
      <c r="W428" s="42">
        <f t="shared" si="151"/>
        <v>4</v>
      </c>
      <c r="X428" s="33">
        <f t="shared" si="151"/>
        <v>6</v>
      </c>
      <c r="Y428" s="33">
        <f>Y402-Y427</f>
        <v>0</v>
      </c>
      <c r="Z428" s="49">
        <f t="shared" ref="Z428:AB428" si="152">Z402-Z427</f>
        <v>0</v>
      </c>
      <c r="AA428" s="42">
        <f t="shared" si="152"/>
        <v>1</v>
      </c>
      <c r="AB428" s="33">
        <f t="shared" si="152"/>
        <v>1</v>
      </c>
      <c r="AC428" s="24">
        <f t="shared" si="140"/>
        <v>14</v>
      </c>
    </row>
  </sheetData>
  <mergeCells count="50">
    <mergeCell ref="Y389:AB389"/>
    <mergeCell ref="AC389:AC390"/>
    <mergeCell ref="B389:E389"/>
    <mergeCell ref="F389:I389"/>
    <mergeCell ref="J389:M389"/>
    <mergeCell ref="Q389:T389"/>
    <mergeCell ref="U389:X389"/>
    <mergeCell ref="B346:E346"/>
    <mergeCell ref="F346:I346"/>
    <mergeCell ref="J346:M346"/>
    <mergeCell ref="B260:E260"/>
    <mergeCell ref="F260:I260"/>
    <mergeCell ref="J260:M260"/>
    <mergeCell ref="N260:N261"/>
    <mergeCell ref="B303:E303"/>
    <mergeCell ref="F303:I303"/>
    <mergeCell ref="J303:M303"/>
    <mergeCell ref="N303:N304"/>
    <mergeCell ref="B174:E174"/>
    <mergeCell ref="F174:I174"/>
    <mergeCell ref="J174:M174"/>
    <mergeCell ref="N174:N175"/>
    <mergeCell ref="B217:E217"/>
    <mergeCell ref="F217:I217"/>
    <mergeCell ref="J217:M217"/>
    <mergeCell ref="N217:N218"/>
    <mergeCell ref="B88:E88"/>
    <mergeCell ref="F88:I88"/>
    <mergeCell ref="J88:M88"/>
    <mergeCell ref="N88:N89"/>
    <mergeCell ref="B131:E131"/>
    <mergeCell ref="F131:I131"/>
    <mergeCell ref="J131:M131"/>
    <mergeCell ref="N131:N132"/>
    <mergeCell ref="B2:E2"/>
    <mergeCell ref="F2:I2"/>
    <mergeCell ref="J2:M2"/>
    <mergeCell ref="N2:N3"/>
    <mergeCell ref="B45:E45"/>
    <mergeCell ref="F45:I45"/>
    <mergeCell ref="J45:M45"/>
    <mergeCell ref="N45:N46"/>
    <mergeCell ref="Q346:T346"/>
    <mergeCell ref="U346:X346"/>
    <mergeCell ref="Y346:AB346"/>
    <mergeCell ref="AC346:AC347"/>
    <mergeCell ref="Q303:T303"/>
    <mergeCell ref="U303:X303"/>
    <mergeCell ref="Y303:AB303"/>
    <mergeCell ref="AC303:AC304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23CF-6BEF-44E4-A1EE-CB7C18E8336F}">
  <sheetPr>
    <tabColor rgb="FF00B050"/>
  </sheetPr>
  <dimension ref="A1:Q127"/>
  <sheetViews>
    <sheetView tabSelected="1" topLeftCell="A93" zoomScaleNormal="100" workbookViewId="0">
      <selection activeCell="B110" sqref="B110"/>
    </sheetView>
  </sheetViews>
  <sheetFormatPr defaultRowHeight="13.5" x14ac:dyDescent="0.15"/>
  <cols>
    <col min="1" max="1" width="22.125" customWidth="1"/>
    <col min="2" max="14" width="7.125" customWidth="1"/>
    <col min="15" max="15" width="9.25" bestFit="1" customWidth="1"/>
  </cols>
  <sheetData>
    <row r="1" spans="1:17" ht="21.75" thickBot="1" x14ac:dyDescent="0.25">
      <c r="A1" s="34" t="s">
        <v>46</v>
      </c>
      <c r="B1" s="35"/>
      <c r="C1" s="35"/>
      <c r="D1" s="35"/>
      <c r="E1" s="37"/>
      <c r="F1" s="35"/>
      <c r="G1" s="35"/>
      <c r="H1" s="38" t="s">
        <v>40</v>
      </c>
      <c r="I1" s="1"/>
      <c r="J1" s="1"/>
      <c r="K1" s="1"/>
      <c r="L1" s="1"/>
      <c r="M1" s="1"/>
      <c r="N1">
        <v>890</v>
      </c>
    </row>
    <row r="2" spans="1:17" ht="14.25" thickBot="1" x14ac:dyDescent="0.2">
      <c r="A2" s="2" t="s">
        <v>0</v>
      </c>
      <c r="B2" s="121" t="s">
        <v>41</v>
      </c>
      <c r="C2" s="121"/>
      <c r="D2" s="121"/>
      <c r="E2" s="122"/>
      <c r="F2" s="123" t="s">
        <v>20</v>
      </c>
      <c r="G2" s="123"/>
      <c r="H2" s="123"/>
      <c r="I2" s="124"/>
      <c r="J2" s="125" t="s">
        <v>13</v>
      </c>
      <c r="K2" s="125"/>
      <c r="L2" s="125"/>
      <c r="M2" s="126"/>
      <c r="N2" s="107" t="s">
        <v>14</v>
      </c>
    </row>
    <row r="3" spans="1:17" ht="14.25" thickBot="1" x14ac:dyDescent="0.2">
      <c r="A3" s="2" t="s">
        <v>1</v>
      </c>
      <c r="B3" s="3" t="s">
        <v>2</v>
      </c>
      <c r="C3" s="43" t="s">
        <v>3</v>
      </c>
      <c r="D3" s="4" t="s">
        <v>4</v>
      </c>
      <c r="E3" s="2" t="s">
        <v>5</v>
      </c>
      <c r="F3" s="3" t="s">
        <v>2</v>
      </c>
      <c r="G3" s="43" t="s">
        <v>3</v>
      </c>
      <c r="H3" s="4" t="s">
        <v>4</v>
      </c>
      <c r="I3" s="2" t="s">
        <v>5</v>
      </c>
      <c r="J3" s="3" t="s">
        <v>2</v>
      </c>
      <c r="K3" s="43" t="s">
        <v>3</v>
      </c>
      <c r="L3" s="4" t="s">
        <v>4</v>
      </c>
      <c r="M3" s="2" t="s">
        <v>5</v>
      </c>
      <c r="N3" s="108"/>
    </row>
    <row r="4" spans="1:17" x14ac:dyDescent="0.15">
      <c r="A4" s="9" t="s">
        <v>6</v>
      </c>
      <c r="B4" s="51">
        <v>3</v>
      </c>
      <c r="C4" s="52">
        <v>3</v>
      </c>
      <c r="D4" s="51">
        <v>3</v>
      </c>
      <c r="E4" s="12">
        <f>SUM(B4:D4)</f>
        <v>9</v>
      </c>
      <c r="F4" s="51">
        <v>3</v>
      </c>
      <c r="G4" s="52">
        <v>3</v>
      </c>
      <c r="H4" s="51">
        <v>3</v>
      </c>
      <c r="I4" s="12">
        <f>SUM(F4:H4)</f>
        <v>9</v>
      </c>
      <c r="J4" s="51">
        <v>3</v>
      </c>
      <c r="K4" s="52">
        <v>3</v>
      </c>
      <c r="L4" s="51">
        <v>3</v>
      </c>
      <c r="M4" s="12">
        <f>SUM(J4:L4)</f>
        <v>9</v>
      </c>
      <c r="N4" s="13">
        <f>E4+I4+M4</f>
        <v>27</v>
      </c>
      <c r="O4" s="15">
        <v>45555</v>
      </c>
    </row>
    <row r="5" spans="1:17" x14ac:dyDescent="0.15">
      <c r="A5" s="9" t="s">
        <v>7</v>
      </c>
      <c r="B5" s="10"/>
      <c r="C5" s="44">
        <v>2</v>
      </c>
      <c r="D5" s="10"/>
      <c r="E5" s="12">
        <f t="shared" ref="E5:E39" si="0">SUM(B5:D5)</f>
        <v>2</v>
      </c>
      <c r="F5" s="10">
        <v>2</v>
      </c>
      <c r="G5" s="44"/>
      <c r="H5" s="10"/>
      <c r="I5" s="12">
        <f t="shared" ref="I5:I39" si="1">SUM(F5:H5)</f>
        <v>2</v>
      </c>
      <c r="J5" s="10">
        <v>2</v>
      </c>
      <c r="K5" s="44"/>
      <c r="L5" s="10"/>
      <c r="M5" s="12">
        <f t="shared" ref="M5:M39" si="2">SUM(J5:L5)</f>
        <v>2</v>
      </c>
      <c r="N5" s="13">
        <f t="shared" ref="N5:N41" si="3">E5+I5+M5</f>
        <v>6</v>
      </c>
      <c r="O5" s="15">
        <v>45574</v>
      </c>
      <c r="P5" s="14"/>
    </row>
    <row r="6" spans="1:17" x14ac:dyDescent="0.15">
      <c r="A6" s="9" t="s">
        <v>7</v>
      </c>
      <c r="B6" s="10"/>
      <c r="C6" s="44"/>
      <c r="D6" s="10"/>
      <c r="E6" s="12">
        <f t="shared" si="0"/>
        <v>0</v>
      </c>
      <c r="F6" s="10">
        <v>2</v>
      </c>
      <c r="G6" s="44"/>
      <c r="H6" s="10"/>
      <c r="I6" s="12">
        <f t="shared" si="1"/>
        <v>2</v>
      </c>
      <c r="J6" s="10"/>
      <c r="K6" s="44"/>
      <c r="L6" s="10"/>
      <c r="M6" s="12">
        <f t="shared" si="2"/>
        <v>0</v>
      </c>
      <c r="N6" s="13">
        <f t="shared" si="3"/>
        <v>2</v>
      </c>
      <c r="O6" s="15">
        <v>45589</v>
      </c>
      <c r="P6" s="14"/>
      <c r="Q6" s="14"/>
    </row>
    <row r="7" spans="1:17" x14ac:dyDescent="0.15">
      <c r="A7" s="9" t="s">
        <v>7</v>
      </c>
      <c r="B7" s="10"/>
      <c r="C7" s="44"/>
      <c r="D7" s="68">
        <v>0</v>
      </c>
      <c r="E7" s="12">
        <f t="shared" si="0"/>
        <v>0</v>
      </c>
      <c r="F7" s="10"/>
      <c r="G7" s="90">
        <v>0</v>
      </c>
      <c r="H7" s="10"/>
      <c r="I7" s="12">
        <f t="shared" si="1"/>
        <v>0</v>
      </c>
      <c r="J7" s="10"/>
      <c r="K7" s="44"/>
      <c r="L7" s="10"/>
      <c r="M7" s="12">
        <f t="shared" si="2"/>
        <v>0</v>
      </c>
      <c r="N7" s="13">
        <f t="shared" si="3"/>
        <v>0</v>
      </c>
      <c r="O7" s="15">
        <v>45603</v>
      </c>
      <c r="P7" s="53"/>
    </row>
    <row r="8" spans="1:17" x14ac:dyDescent="0.15">
      <c r="A8" s="9" t="s">
        <v>7</v>
      </c>
      <c r="B8" s="10">
        <v>2</v>
      </c>
      <c r="C8" s="44"/>
      <c r="D8" s="68"/>
      <c r="E8" s="12">
        <f t="shared" si="0"/>
        <v>2</v>
      </c>
      <c r="F8" s="10"/>
      <c r="G8" s="90"/>
      <c r="H8" s="10"/>
      <c r="I8" s="12">
        <f t="shared" si="1"/>
        <v>0</v>
      </c>
      <c r="J8" s="10">
        <v>2</v>
      </c>
      <c r="K8" s="44"/>
      <c r="L8" s="10"/>
      <c r="M8" s="12">
        <f t="shared" si="2"/>
        <v>2</v>
      </c>
      <c r="N8" s="13">
        <f t="shared" si="3"/>
        <v>4</v>
      </c>
      <c r="O8" s="15">
        <v>45651</v>
      </c>
    </row>
    <row r="9" spans="1:17" x14ac:dyDescent="0.15">
      <c r="A9" s="9" t="s">
        <v>7</v>
      </c>
      <c r="B9" s="10"/>
      <c r="C9" s="44"/>
      <c r="D9" s="68"/>
      <c r="E9" s="12">
        <f t="shared" si="0"/>
        <v>0</v>
      </c>
      <c r="F9" s="10"/>
      <c r="G9" s="90"/>
      <c r="H9" s="10"/>
      <c r="I9" s="12">
        <f t="shared" si="1"/>
        <v>0</v>
      </c>
      <c r="J9" s="10"/>
      <c r="K9" s="44">
        <v>3</v>
      </c>
      <c r="L9" s="10"/>
      <c r="M9" s="12">
        <f t="shared" si="2"/>
        <v>3</v>
      </c>
      <c r="N9" s="13">
        <f t="shared" si="3"/>
        <v>3</v>
      </c>
      <c r="O9" s="15">
        <v>45681</v>
      </c>
      <c r="P9" s="53"/>
    </row>
    <row r="10" spans="1:17" x14ac:dyDescent="0.15">
      <c r="A10" s="9" t="s">
        <v>7</v>
      </c>
      <c r="B10" s="10"/>
      <c r="C10" s="90"/>
      <c r="D10" s="10">
        <v>2</v>
      </c>
      <c r="E10" s="12">
        <f t="shared" si="0"/>
        <v>2</v>
      </c>
      <c r="F10" s="10">
        <v>2</v>
      </c>
      <c r="G10" s="90"/>
      <c r="H10" s="10">
        <v>3</v>
      </c>
      <c r="I10" s="12">
        <f t="shared" si="1"/>
        <v>5</v>
      </c>
      <c r="J10" s="10"/>
      <c r="K10" s="44"/>
      <c r="L10" s="10"/>
      <c r="M10" s="12">
        <f t="shared" si="2"/>
        <v>0</v>
      </c>
      <c r="N10" s="13">
        <f t="shared" si="3"/>
        <v>7</v>
      </c>
      <c r="O10" s="15">
        <v>45707</v>
      </c>
    </row>
    <row r="11" spans="1:17" x14ac:dyDescent="0.15">
      <c r="A11" s="9" t="s">
        <v>7</v>
      </c>
      <c r="B11" s="16"/>
      <c r="C11" s="91"/>
      <c r="D11" s="16"/>
      <c r="E11" s="12">
        <f t="shared" si="0"/>
        <v>0</v>
      </c>
      <c r="F11" s="16"/>
      <c r="G11" s="91"/>
      <c r="H11" s="16"/>
      <c r="I11" s="12">
        <f t="shared" si="1"/>
        <v>0</v>
      </c>
      <c r="J11" s="16"/>
      <c r="K11" s="45"/>
      <c r="L11" s="16">
        <v>2</v>
      </c>
      <c r="M11" s="12">
        <f t="shared" si="2"/>
        <v>2</v>
      </c>
      <c r="N11" s="13">
        <f t="shared" si="3"/>
        <v>2</v>
      </c>
      <c r="O11" s="15">
        <v>45771</v>
      </c>
    </row>
    <row r="12" spans="1:17" x14ac:dyDescent="0.15">
      <c r="A12" s="9" t="s">
        <v>7</v>
      </c>
      <c r="B12" s="16">
        <v>4</v>
      </c>
      <c r="C12" s="45">
        <v>5</v>
      </c>
      <c r="D12" s="61">
        <v>0</v>
      </c>
      <c r="E12" s="12">
        <f t="shared" si="0"/>
        <v>9</v>
      </c>
      <c r="F12" s="16">
        <v>3</v>
      </c>
      <c r="G12" s="45">
        <v>5</v>
      </c>
      <c r="H12" s="16">
        <v>2</v>
      </c>
      <c r="I12" s="12">
        <f t="shared" si="1"/>
        <v>10</v>
      </c>
      <c r="J12" s="16">
        <v>2</v>
      </c>
      <c r="K12" s="45">
        <v>3</v>
      </c>
      <c r="L12" s="16">
        <v>2</v>
      </c>
      <c r="M12" s="12">
        <f t="shared" si="2"/>
        <v>7</v>
      </c>
      <c r="N12" s="13">
        <f t="shared" si="3"/>
        <v>26</v>
      </c>
      <c r="O12" s="15">
        <v>45917</v>
      </c>
    </row>
    <row r="13" spans="1:17" x14ac:dyDescent="0.15">
      <c r="A13" s="9" t="s">
        <v>7</v>
      </c>
      <c r="B13" s="16"/>
      <c r="C13" s="45"/>
      <c r="D13" s="61"/>
      <c r="E13" s="12">
        <f t="shared" si="0"/>
        <v>0</v>
      </c>
      <c r="F13" s="16"/>
      <c r="G13" s="45"/>
      <c r="H13" s="16"/>
      <c r="I13" s="12">
        <f t="shared" si="1"/>
        <v>0</v>
      </c>
      <c r="J13" s="16"/>
      <c r="K13" s="45"/>
      <c r="L13" s="16"/>
      <c r="M13" s="12">
        <f t="shared" si="2"/>
        <v>0</v>
      </c>
      <c r="N13" s="13">
        <f t="shared" si="3"/>
        <v>0</v>
      </c>
      <c r="O13" s="14"/>
    </row>
    <row r="14" spans="1:17" ht="14.25" thickBot="1" x14ac:dyDescent="0.2">
      <c r="A14" s="17" t="s">
        <v>7</v>
      </c>
      <c r="B14" s="18"/>
      <c r="C14" s="46"/>
      <c r="D14" s="62"/>
      <c r="E14" s="19">
        <f t="shared" si="0"/>
        <v>0</v>
      </c>
      <c r="F14" s="18"/>
      <c r="G14" s="46"/>
      <c r="H14" s="18"/>
      <c r="I14" s="19">
        <f t="shared" si="1"/>
        <v>0</v>
      </c>
      <c r="J14" s="18"/>
      <c r="K14" s="46"/>
      <c r="L14" s="18"/>
      <c r="M14" s="19">
        <f t="shared" si="2"/>
        <v>0</v>
      </c>
      <c r="N14" s="20">
        <f t="shared" si="3"/>
        <v>0</v>
      </c>
      <c r="O14" s="14"/>
    </row>
    <row r="15" spans="1:17" ht="14.25" thickBot="1" x14ac:dyDescent="0.2">
      <c r="A15" s="21" t="s">
        <v>8</v>
      </c>
      <c r="B15" s="22">
        <f>SUM(B4:B14)</f>
        <v>9</v>
      </c>
      <c r="C15" s="47">
        <f>SUM(C4:C14)</f>
        <v>10</v>
      </c>
      <c r="D15" s="40">
        <f>SUM(D4:D14)</f>
        <v>5</v>
      </c>
      <c r="E15" s="23">
        <f t="shared" si="0"/>
        <v>24</v>
      </c>
      <c r="F15" s="22">
        <f>SUM(F4:F14)</f>
        <v>12</v>
      </c>
      <c r="G15" s="47">
        <f>SUM(G4:G14)</f>
        <v>8</v>
      </c>
      <c r="H15" s="40">
        <f>SUM(H4:H14)</f>
        <v>8</v>
      </c>
      <c r="I15" s="23">
        <f t="shared" si="1"/>
        <v>28</v>
      </c>
      <c r="J15" s="22">
        <f>SUM(J4:J14)</f>
        <v>9</v>
      </c>
      <c r="K15" s="47">
        <f>SUM(K4:K14)</f>
        <v>9</v>
      </c>
      <c r="L15" s="40">
        <f>SUM(L4:L14)</f>
        <v>7</v>
      </c>
      <c r="M15" s="23">
        <f t="shared" si="2"/>
        <v>25</v>
      </c>
      <c r="N15" s="24">
        <f t="shared" si="3"/>
        <v>77</v>
      </c>
    </row>
    <row r="16" spans="1:17" x14ac:dyDescent="0.15">
      <c r="A16" s="25" t="s">
        <v>28</v>
      </c>
      <c r="B16" s="26"/>
      <c r="C16" s="48">
        <v>1</v>
      </c>
      <c r="D16" s="27"/>
      <c r="E16" s="12">
        <f t="shared" si="0"/>
        <v>1</v>
      </c>
      <c r="F16" s="26">
        <v>1</v>
      </c>
      <c r="G16" s="48"/>
      <c r="H16" s="27"/>
      <c r="I16" s="12">
        <f t="shared" si="1"/>
        <v>1</v>
      </c>
      <c r="J16" s="26">
        <v>1</v>
      </c>
      <c r="K16" s="48"/>
      <c r="L16" s="27"/>
      <c r="M16" s="12">
        <f t="shared" si="2"/>
        <v>1</v>
      </c>
      <c r="N16" s="13">
        <f t="shared" si="3"/>
        <v>3</v>
      </c>
      <c r="O16" s="15">
        <v>45572</v>
      </c>
    </row>
    <row r="17" spans="1:15" x14ac:dyDescent="0.15">
      <c r="A17" s="25" t="s">
        <v>28</v>
      </c>
      <c r="B17" s="29"/>
      <c r="C17" s="45"/>
      <c r="D17" s="16"/>
      <c r="E17" s="12">
        <f t="shared" si="0"/>
        <v>0</v>
      </c>
      <c r="F17" s="29">
        <v>1</v>
      </c>
      <c r="G17" s="45"/>
      <c r="H17" s="16"/>
      <c r="I17" s="12">
        <f t="shared" si="1"/>
        <v>1</v>
      </c>
      <c r="J17" s="29"/>
      <c r="K17" s="45"/>
      <c r="L17" s="16"/>
      <c r="M17" s="12">
        <f t="shared" si="2"/>
        <v>0</v>
      </c>
      <c r="N17" s="13">
        <f t="shared" si="3"/>
        <v>1</v>
      </c>
      <c r="O17" s="15">
        <v>45573</v>
      </c>
    </row>
    <row r="18" spans="1:15" x14ac:dyDescent="0.15">
      <c r="A18" s="25" t="s">
        <v>28</v>
      </c>
      <c r="B18" s="29"/>
      <c r="C18" s="45"/>
      <c r="D18" s="16"/>
      <c r="E18" s="12">
        <f t="shared" si="0"/>
        <v>0</v>
      </c>
      <c r="F18" s="29">
        <v>1</v>
      </c>
      <c r="G18" s="45"/>
      <c r="H18" s="16"/>
      <c r="I18" s="12">
        <f t="shared" si="1"/>
        <v>1</v>
      </c>
      <c r="J18" s="29"/>
      <c r="K18" s="45"/>
      <c r="L18" s="16"/>
      <c r="M18" s="12">
        <f t="shared" si="2"/>
        <v>0</v>
      </c>
      <c r="N18" s="13">
        <f t="shared" si="3"/>
        <v>1</v>
      </c>
      <c r="O18" s="15">
        <v>45576</v>
      </c>
    </row>
    <row r="19" spans="1:15" x14ac:dyDescent="0.15">
      <c r="A19" s="25" t="s">
        <v>28</v>
      </c>
      <c r="B19" s="29"/>
      <c r="C19" s="45"/>
      <c r="D19" s="16"/>
      <c r="E19" s="12">
        <f t="shared" si="0"/>
        <v>0</v>
      </c>
      <c r="F19" s="29"/>
      <c r="G19" s="45"/>
      <c r="H19" s="16">
        <v>1</v>
      </c>
      <c r="I19" s="12">
        <f t="shared" si="1"/>
        <v>1</v>
      </c>
      <c r="J19" s="29"/>
      <c r="K19" s="45"/>
      <c r="L19" s="16"/>
      <c r="M19" s="12">
        <f t="shared" si="2"/>
        <v>0</v>
      </c>
      <c r="N19" s="13">
        <f t="shared" si="3"/>
        <v>1</v>
      </c>
      <c r="O19" s="15">
        <v>45580</v>
      </c>
    </row>
    <row r="20" spans="1:15" x14ac:dyDescent="0.15">
      <c r="A20" s="25" t="s">
        <v>28</v>
      </c>
      <c r="B20" s="29"/>
      <c r="C20" s="45"/>
      <c r="D20" s="16">
        <v>1</v>
      </c>
      <c r="E20" s="12">
        <f t="shared" si="0"/>
        <v>1</v>
      </c>
      <c r="F20" s="29"/>
      <c r="G20" s="45"/>
      <c r="H20" s="16"/>
      <c r="I20" s="12">
        <f t="shared" si="1"/>
        <v>0</v>
      </c>
      <c r="J20" s="29"/>
      <c r="K20" s="45"/>
      <c r="L20" s="16"/>
      <c r="M20" s="12">
        <f t="shared" si="2"/>
        <v>0</v>
      </c>
      <c r="N20" s="13">
        <f t="shared" si="3"/>
        <v>1</v>
      </c>
      <c r="O20" s="15">
        <v>45581</v>
      </c>
    </row>
    <row r="21" spans="1:15" x14ac:dyDescent="0.15">
      <c r="A21" s="25" t="s">
        <v>28</v>
      </c>
      <c r="B21" s="29"/>
      <c r="C21" s="45"/>
      <c r="D21" s="16"/>
      <c r="E21" s="12">
        <f t="shared" si="0"/>
        <v>0</v>
      </c>
      <c r="F21" s="29"/>
      <c r="G21" s="45">
        <v>2</v>
      </c>
      <c r="H21" s="16"/>
      <c r="I21" s="12">
        <f t="shared" si="1"/>
        <v>2</v>
      </c>
      <c r="J21" s="29"/>
      <c r="K21" s="45">
        <v>1</v>
      </c>
      <c r="L21" s="16"/>
      <c r="M21" s="12">
        <f t="shared" si="2"/>
        <v>1</v>
      </c>
      <c r="N21" s="13">
        <f t="shared" si="3"/>
        <v>3</v>
      </c>
      <c r="O21" s="15">
        <v>45589</v>
      </c>
    </row>
    <row r="22" spans="1:15" x14ac:dyDescent="0.15">
      <c r="A22" s="25" t="s">
        <v>28</v>
      </c>
      <c r="B22" s="29"/>
      <c r="C22" s="45"/>
      <c r="D22" s="16">
        <v>1</v>
      </c>
      <c r="E22" s="12">
        <f t="shared" si="0"/>
        <v>1</v>
      </c>
      <c r="F22" s="29"/>
      <c r="G22" s="45"/>
      <c r="H22" s="16"/>
      <c r="I22" s="12">
        <f t="shared" si="1"/>
        <v>0</v>
      </c>
      <c r="J22" s="29"/>
      <c r="K22" s="45"/>
      <c r="L22" s="16"/>
      <c r="M22" s="12">
        <f t="shared" si="2"/>
        <v>0</v>
      </c>
      <c r="N22" s="13">
        <f t="shared" si="3"/>
        <v>1</v>
      </c>
      <c r="O22" s="15">
        <v>45593</v>
      </c>
    </row>
    <row r="23" spans="1:15" x14ac:dyDescent="0.15">
      <c r="A23" s="25" t="s">
        <v>28</v>
      </c>
      <c r="B23" s="29"/>
      <c r="C23" s="45"/>
      <c r="D23" s="16"/>
      <c r="E23" s="12">
        <f t="shared" si="0"/>
        <v>0</v>
      </c>
      <c r="F23" s="29"/>
      <c r="G23" s="45"/>
      <c r="H23" s="16"/>
      <c r="I23" s="12">
        <f t="shared" si="1"/>
        <v>0</v>
      </c>
      <c r="J23" s="29">
        <v>1</v>
      </c>
      <c r="K23" s="45"/>
      <c r="L23" s="16"/>
      <c r="M23" s="12">
        <f t="shared" si="2"/>
        <v>1</v>
      </c>
      <c r="N23" s="13">
        <f t="shared" si="3"/>
        <v>1</v>
      </c>
      <c r="O23" s="15">
        <v>45595</v>
      </c>
    </row>
    <row r="24" spans="1:15" x14ac:dyDescent="0.15">
      <c r="A24" s="25" t="s">
        <v>28</v>
      </c>
      <c r="B24" s="29"/>
      <c r="C24" s="45"/>
      <c r="D24" s="16"/>
      <c r="E24" s="12">
        <f t="shared" si="0"/>
        <v>0</v>
      </c>
      <c r="F24" s="29">
        <v>1</v>
      </c>
      <c r="G24" s="45"/>
      <c r="H24" s="16"/>
      <c r="I24" s="12">
        <f t="shared" si="1"/>
        <v>1</v>
      </c>
      <c r="J24" s="29"/>
      <c r="K24" s="45"/>
      <c r="L24" s="16"/>
      <c r="M24" s="12">
        <f t="shared" si="2"/>
        <v>0</v>
      </c>
      <c r="N24" s="13">
        <f t="shared" si="3"/>
        <v>1</v>
      </c>
      <c r="O24" s="15">
        <v>45601</v>
      </c>
    </row>
    <row r="25" spans="1:15" x14ac:dyDescent="0.15">
      <c r="A25" s="25" t="s">
        <v>28</v>
      </c>
      <c r="B25" s="29">
        <v>1</v>
      </c>
      <c r="C25" s="45"/>
      <c r="D25" s="16"/>
      <c r="E25" s="12">
        <f t="shared" si="0"/>
        <v>1</v>
      </c>
      <c r="F25" s="29">
        <v>1</v>
      </c>
      <c r="G25" s="45"/>
      <c r="H25" s="16"/>
      <c r="I25" s="12">
        <f t="shared" si="1"/>
        <v>1</v>
      </c>
      <c r="J25" s="29">
        <v>1</v>
      </c>
      <c r="K25" s="45"/>
      <c r="L25" s="16"/>
      <c r="M25" s="12">
        <f t="shared" si="2"/>
        <v>1</v>
      </c>
      <c r="N25" s="13">
        <f t="shared" si="3"/>
        <v>3</v>
      </c>
      <c r="O25" s="15">
        <v>45615</v>
      </c>
    </row>
    <row r="26" spans="1:15" x14ac:dyDescent="0.15">
      <c r="A26" s="25" t="s">
        <v>28</v>
      </c>
      <c r="B26" s="29">
        <v>1</v>
      </c>
      <c r="C26" s="45"/>
      <c r="D26" s="16"/>
      <c r="E26" s="12">
        <f t="shared" si="0"/>
        <v>1</v>
      </c>
      <c r="F26" s="29"/>
      <c r="G26" s="45"/>
      <c r="H26" s="16"/>
      <c r="I26" s="12">
        <f t="shared" si="1"/>
        <v>0</v>
      </c>
      <c r="J26" s="29">
        <v>1</v>
      </c>
      <c r="K26" s="45"/>
      <c r="L26" s="16"/>
      <c r="M26" s="12">
        <f t="shared" si="2"/>
        <v>1</v>
      </c>
      <c r="N26" s="13">
        <f t="shared" si="3"/>
        <v>2</v>
      </c>
      <c r="O26" s="15">
        <v>45644</v>
      </c>
    </row>
    <row r="27" spans="1:15" x14ac:dyDescent="0.15">
      <c r="A27" s="25" t="s">
        <v>28</v>
      </c>
      <c r="B27" s="29"/>
      <c r="C27" s="45"/>
      <c r="D27" s="16"/>
      <c r="E27" s="39">
        <f t="shared" si="0"/>
        <v>0</v>
      </c>
      <c r="F27" s="29"/>
      <c r="G27" s="45"/>
      <c r="H27" s="16">
        <v>2</v>
      </c>
      <c r="I27" s="39">
        <f t="shared" si="1"/>
        <v>2</v>
      </c>
      <c r="J27" s="29"/>
      <c r="K27" s="45"/>
      <c r="L27" s="16"/>
      <c r="M27" s="39">
        <f t="shared" si="2"/>
        <v>0</v>
      </c>
      <c r="N27" s="13">
        <f t="shared" si="3"/>
        <v>2</v>
      </c>
      <c r="O27" s="15">
        <v>45651</v>
      </c>
    </row>
    <row r="28" spans="1:15" x14ac:dyDescent="0.15">
      <c r="A28" s="25" t="s">
        <v>28</v>
      </c>
      <c r="B28" s="29"/>
      <c r="C28" s="45">
        <v>2</v>
      </c>
      <c r="D28" s="16"/>
      <c r="E28" s="12">
        <f t="shared" si="0"/>
        <v>2</v>
      </c>
      <c r="F28" s="29"/>
      <c r="G28" s="45">
        <v>1</v>
      </c>
      <c r="H28" s="16"/>
      <c r="I28" s="12">
        <f t="shared" si="1"/>
        <v>1</v>
      </c>
      <c r="J28" s="29"/>
      <c r="K28" s="45">
        <v>2</v>
      </c>
      <c r="L28" s="16"/>
      <c r="M28" s="12">
        <f t="shared" si="2"/>
        <v>2</v>
      </c>
      <c r="N28" s="13">
        <f t="shared" si="3"/>
        <v>5</v>
      </c>
      <c r="O28" s="15">
        <v>45663</v>
      </c>
    </row>
    <row r="29" spans="1:15" x14ac:dyDescent="0.15">
      <c r="A29" s="25" t="s">
        <v>28</v>
      </c>
      <c r="B29" s="29"/>
      <c r="C29" s="45">
        <v>1</v>
      </c>
      <c r="D29" s="16"/>
      <c r="E29" s="12">
        <f t="shared" ref="E29:E30" si="4">SUM(B29:D29)</f>
        <v>1</v>
      </c>
      <c r="F29" s="29">
        <v>1</v>
      </c>
      <c r="G29" s="45"/>
      <c r="H29" s="16"/>
      <c r="I29" s="12">
        <f t="shared" ref="I29:I30" si="5">SUM(F29:H29)</f>
        <v>1</v>
      </c>
      <c r="J29" s="29"/>
      <c r="K29" s="45">
        <v>1</v>
      </c>
      <c r="L29" s="16"/>
      <c r="M29" s="12">
        <f t="shared" ref="M29:M30" si="6">SUM(J29:L29)</f>
        <v>1</v>
      </c>
      <c r="N29" s="13">
        <f t="shared" ref="N29:N30" si="7">E29+I29+M29</f>
        <v>3</v>
      </c>
      <c r="O29" s="15">
        <v>45684</v>
      </c>
    </row>
    <row r="30" spans="1:15" x14ac:dyDescent="0.15">
      <c r="A30" s="25" t="s">
        <v>28</v>
      </c>
      <c r="B30" s="29"/>
      <c r="C30" s="45"/>
      <c r="D30" s="16"/>
      <c r="E30" s="12">
        <f t="shared" si="4"/>
        <v>0</v>
      </c>
      <c r="F30" s="29"/>
      <c r="G30" s="45"/>
      <c r="H30" s="16"/>
      <c r="I30" s="12">
        <f t="shared" si="5"/>
        <v>0</v>
      </c>
      <c r="J30" s="29"/>
      <c r="K30" s="45"/>
      <c r="L30" s="16">
        <v>1</v>
      </c>
      <c r="M30" s="12">
        <f t="shared" si="6"/>
        <v>1</v>
      </c>
      <c r="N30" s="13">
        <f t="shared" si="7"/>
        <v>1</v>
      </c>
      <c r="O30" s="15">
        <v>45713</v>
      </c>
    </row>
    <row r="31" spans="1:15" x14ac:dyDescent="0.15">
      <c r="A31" s="25" t="s">
        <v>28</v>
      </c>
      <c r="B31" s="29"/>
      <c r="C31" s="45"/>
      <c r="D31" s="16"/>
      <c r="E31" s="12">
        <f t="shared" si="0"/>
        <v>0</v>
      </c>
      <c r="F31" s="29"/>
      <c r="G31" s="45"/>
      <c r="H31" s="16"/>
      <c r="I31" s="12">
        <f t="shared" si="1"/>
        <v>0</v>
      </c>
      <c r="J31" s="29"/>
      <c r="K31" s="45"/>
      <c r="L31" s="16">
        <v>1</v>
      </c>
      <c r="M31" s="12">
        <f t="shared" si="2"/>
        <v>1</v>
      </c>
      <c r="N31" s="13">
        <f t="shared" si="3"/>
        <v>1</v>
      </c>
      <c r="O31" s="15">
        <v>45768</v>
      </c>
    </row>
    <row r="32" spans="1:15" x14ac:dyDescent="0.15">
      <c r="A32" s="25" t="s">
        <v>28</v>
      </c>
      <c r="B32" s="29"/>
      <c r="C32" s="45">
        <v>1</v>
      </c>
      <c r="D32" s="16"/>
      <c r="E32" s="12">
        <f t="shared" si="0"/>
        <v>1</v>
      </c>
      <c r="F32" s="29"/>
      <c r="G32" s="45"/>
      <c r="H32" s="16"/>
      <c r="I32" s="12">
        <f t="shared" si="1"/>
        <v>0</v>
      </c>
      <c r="J32" s="29"/>
      <c r="K32" s="45"/>
      <c r="L32" s="16"/>
      <c r="M32" s="12">
        <f t="shared" si="2"/>
        <v>0</v>
      </c>
      <c r="N32" s="13">
        <f t="shared" si="3"/>
        <v>1</v>
      </c>
      <c r="O32" s="15">
        <v>45812</v>
      </c>
    </row>
    <row r="33" spans="1:16" x14ac:dyDescent="0.15">
      <c r="A33" s="25" t="s">
        <v>28</v>
      </c>
      <c r="B33" s="29"/>
      <c r="C33" s="45"/>
      <c r="D33" s="16">
        <v>1</v>
      </c>
      <c r="E33" s="12">
        <f t="shared" si="0"/>
        <v>1</v>
      </c>
      <c r="F33" s="29"/>
      <c r="G33" s="45"/>
      <c r="H33" s="16"/>
      <c r="I33" s="12">
        <f t="shared" si="1"/>
        <v>0</v>
      </c>
      <c r="J33" s="29"/>
      <c r="K33" s="45"/>
      <c r="L33" s="16"/>
      <c r="M33" s="12">
        <f t="shared" si="2"/>
        <v>0</v>
      </c>
      <c r="N33" s="13">
        <f t="shared" si="3"/>
        <v>1</v>
      </c>
      <c r="O33" s="15">
        <v>45817</v>
      </c>
    </row>
    <row r="34" spans="1:16" x14ac:dyDescent="0.15">
      <c r="A34" s="25" t="s">
        <v>28</v>
      </c>
      <c r="B34" s="29">
        <v>1</v>
      </c>
      <c r="C34" s="45"/>
      <c r="D34" s="16"/>
      <c r="E34" s="12">
        <f t="shared" si="0"/>
        <v>1</v>
      </c>
      <c r="F34" s="29"/>
      <c r="G34" s="45"/>
      <c r="H34" s="16"/>
      <c r="I34" s="12">
        <f t="shared" si="1"/>
        <v>0</v>
      </c>
      <c r="J34" s="29"/>
      <c r="K34" s="45"/>
      <c r="L34" s="16"/>
      <c r="M34" s="12">
        <f t="shared" si="2"/>
        <v>0</v>
      </c>
      <c r="N34" s="13">
        <f t="shared" si="3"/>
        <v>1</v>
      </c>
      <c r="O34" s="15">
        <v>45840</v>
      </c>
    </row>
    <row r="35" spans="1:16" x14ac:dyDescent="0.15">
      <c r="A35" s="25" t="s">
        <v>28</v>
      </c>
      <c r="B35" s="29"/>
      <c r="C35" s="45"/>
      <c r="D35" s="16"/>
      <c r="E35" s="12">
        <f t="shared" si="0"/>
        <v>0</v>
      </c>
      <c r="F35" s="29">
        <v>1</v>
      </c>
      <c r="G35" s="45"/>
      <c r="H35" s="16"/>
      <c r="I35" s="12">
        <f t="shared" si="1"/>
        <v>1</v>
      </c>
      <c r="J35" s="29"/>
      <c r="K35" s="45"/>
      <c r="L35" s="16"/>
      <c r="M35" s="12">
        <f t="shared" si="2"/>
        <v>0</v>
      </c>
      <c r="N35" s="13">
        <f t="shared" si="3"/>
        <v>1</v>
      </c>
      <c r="O35" s="15">
        <v>45873</v>
      </c>
    </row>
    <row r="36" spans="1:16" x14ac:dyDescent="0.15">
      <c r="A36" s="25" t="s">
        <v>55</v>
      </c>
      <c r="B36" s="29">
        <v>0</v>
      </c>
      <c r="C36" s="45">
        <v>0</v>
      </c>
      <c r="D36" s="16">
        <v>0</v>
      </c>
      <c r="E36" s="12">
        <f t="shared" si="0"/>
        <v>0</v>
      </c>
      <c r="F36" s="29">
        <v>0</v>
      </c>
      <c r="G36" s="45">
        <v>0</v>
      </c>
      <c r="H36" s="16">
        <v>0</v>
      </c>
      <c r="I36" s="12">
        <f t="shared" si="1"/>
        <v>0</v>
      </c>
      <c r="J36" s="29">
        <v>0</v>
      </c>
      <c r="K36" s="45">
        <v>0</v>
      </c>
      <c r="L36" s="16">
        <v>0</v>
      </c>
      <c r="M36" s="12">
        <f t="shared" si="2"/>
        <v>0</v>
      </c>
      <c r="N36" s="13">
        <f t="shared" si="3"/>
        <v>0</v>
      </c>
      <c r="O36" s="15">
        <v>45895</v>
      </c>
    </row>
    <row r="37" spans="1:16" x14ac:dyDescent="0.15">
      <c r="A37" s="25" t="s">
        <v>28</v>
      </c>
      <c r="B37" s="29">
        <v>1</v>
      </c>
      <c r="C37" s="45"/>
      <c r="D37" s="16"/>
      <c r="E37" s="12">
        <f t="shared" si="0"/>
        <v>1</v>
      </c>
      <c r="F37" s="29"/>
      <c r="G37" s="45"/>
      <c r="H37" s="16"/>
      <c r="I37" s="12">
        <f t="shared" si="1"/>
        <v>0</v>
      </c>
      <c r="J37" s="29"/>
      <c r="K37" s="45"/>
      <c r="L37" s="16"/>
      <c r="M37" s="12">
        <f t="shared" si="2"/>
        <v>0</v>
      </c>
      <c r="N37" s="13">
        <f t="shared" si="3"/>
        <v>1</v>
      </c>
      <c r="O37" s="15">
        <v>45904</v>
      </c>
    </row>
    <row r="38" spans="1:16" x14ac:dyDescent="0.15">
      <c r="A38" s="25" t="s">
        <v>28</v>
      </c>
      <c r="B38" s="29"/>
      <c r="C38" s="45">
        <v>1</v>
      </c>
      <c r="D38" s="16"/>
      <c r="E38" s="12">
        <f t="shared" si="0"/>
        <v>1</v>
      </c>
      <c r="F38" s="29"/>
      <c r="G38" s="45"/>
      <c r="H38" s="16"/>
      <c r="I38" s="12">
        <f t="shared" si="1"/>
        <v>0</v>
      </c>
      <c r="J38" s="29"/>
      <c r="K38" s="45"/>
      <c r="L38" s="16"/>
      <c r="M38" s="12">
        <f t="shared" si="2"/>
        <v>0</v>
      </c>
      <c r="N38" s="13">
        <f t="shared" si="3"/>
        <v>1</v>
      </c>
      <c r="O38" s="15">
        <v>45930</v>
      </c>
    </row>
    <row r="39" spans="1:16" ht="14.25" thickBot="1" x14ac:dyDescent="0.2">
      <c r="A39" s="25" t="s">
        <v>28</v>
      </c>
      <c r="B39" s="29"/>
      <c r="C39" s="45">
        <v>1</v>
      </c>
      <c r="D39" s="16"/>
      <c r="E39" s="12">
        <f t="shared" si="0"/>
        <v>1</v>
      </c>
      <c r="F39" s="29"/>
      <c r="G39" s="45"/>
      <c r="H39" s="16"/>
      <c r="I39" s="12">
        <f t="shared" si="1"/>
        <v>0</v>
      </c>
      <c r="J39" s="29"/>
      <c r="K39" s="45"/>
      <c r="L39" s="16"/>
      <c r="M39" s="12">
        <f t="shared" si="2"/>
        <v>0</v>
      </c>
      <c r="N39" s="20">
        <f t="shared" si="3"/>
        <v>1</v>
      </c>
      <c r="O39" s="15">
        <v>45959</v>
      </c>
    </row>
    <row r="40" spans="1:16" ht="14.25" thickBot="1" x14ac:dyDescent="0.2">
      <c r="A40" s="3" t="s">
        <v>9</v>
      </c>
      <c r="B40" s="22">
        <f>SUM(B16:B39)</f>
        <v>4</v>
      </c>
      <c r="C40" s="47">
        <f t="shared" ref="C40:E40" si="8">SUM(C16:C39)</f>
        <v>7</v>
      </c>
      <c r="D40" s="41">
        <f t="shared" si="8"/>
        <v>3</v>
      </c>
      <c r="E40" s="31">
        <f t="shared" si="8"/>
        <v>14</v>
      </c>
      <c r="F40" s="22">
        <f>SUM(F16:F39)</f>
        <v>7</v>
      </c>
      <c r="G40" s="47">
        <f t="shared" ref="G40:I40" si="9">SUM(G16:G39)</f>
        <v>3</v>
      </c>
      <c r="H40" s="41">
        <f t="shared" si="9"/>
        <v>3</v>
      </c>
      <c r="I40" s="31">
        <f t="shared" si="9"/>
        <v>13</v>
      </c>
      <c r="J40" s="22">
        <f>SUM(J16:J39)</f>
        <v>4</v>
      </c>
      <c r="K40" s="47">
        <f t="shared" ref="K40:M40" si="10">SUM(K16:K39)</f>
        <v>4</v>
      </c>
      <c r="L40" s="41">
        <f t="shared" si="10"/>
        <v>2</v>
      </c>
      <c r="M40" s="31">
        <f t="shared" si="10"/>
        <v>10</v>
      </c>
      <c r="N40" s="24">
        <f t="shared" si="3"/>
        <v>37</v>
      </c>
    </row>
    <row r="41" spans="1:16" ht="14.25" thickBot="1" x14ac:dyDescent="0.2">
      <c r="A41" s="32" t="s">
        <v>10</v>
      </c>
      <c r="B41" s="33">
        <f>B15-B40</f>
        <v>5</v>
      </c>
      <c r="C41" s="49">
        <f t="shared" ref="C41:E41" si="11">C15-C40</f>
        <v>3</v>
      </c>
      <c r="D41" s="42">
        <f t="shared" si="11"/>
        <v>2</v>
      </c>
      <c r="E41" s="33">
        <f t="shared" si="11"/>
        <v>10</v>
      </c>
      <c r="F41" s="33">
        <f>F15-F40</f>
        <v>5</v>
      </c>
      <c r="G41" s="49">
        <f t="shared" ref="G41:I41" si="12">G15-G40</f>
        <v>5</v>
      </c>
      <c r="H41" s="42">
        <f t="shared" si="12"/>
        <v>5</v>
      </c>
      <c r="I41" s="33">
        <f t="shared" si="12"/>
        <v>15</v>
      </c>
      <c r="J41" s="33">
        <f>J15-J40</f>
        <v>5</v>
      </c>
      <c r="K41" s="49">
        <f t="shared" ref="K41:M41" si="13">K15-K40</f>
        <v>5</v>
      </c>
      <c r="L41" s="42">
        <f t="shared" si="13"/>
        <v>5</v>
      </c>
      <c r="M41" s="33">
        <f t="shared" si="13"/>
        <v>15</v>
      </c>
      <c r="N41" s="24">
        <f t="shared" si="3"/>
        <v>40</v>
      </c>
    </row>
    <row r="44" spans="1:16" ht="21.75" thickBot="1" x14ac:dyDescent="0.25">
      <c r="A44" s="34" t="s">
        <v>46</v>
      </c>
      <c r="B44" s="35"/>
      <c r="C44" s="35"/>
      <c r="D44" s="35"/>
      <c r="E44" s="37"/>
      <c r="F44" s="35"/>
      <c r="G44" s="35"/>
      <c r="H44" s="38" t="s">
        <v>40</v>
      </c>
      <c r="I44" s="1"/>
      <c r="J44" s="1"/>
      <c r="K44" s="1"/>
      <c r="L44" s="1"/>
      <c r="M44" s="1"/>
      <c r="N44">
        <v>890</v>
      </c>
    </row>
    <row r="45" spans="1:16" ht="14.25" thickBot="1" x14ac:dyDescent="0.2">
      <c r="A45" s="2" t="s">
        <v>0</v>
      </c>
      <c r="B45" s="121" t="s">
        <v>41</v>
      </c>
      <c r="C45" s="121"/>
      <c r="D45" s="121"/>
      <c r="E45" s="122"/>
      <c r="F45" s="123" t="s">
        <v>20</v>
      </c>
      <c r="G45" s="123"/>
      <c r="H45" s="123"/>
      <c r="I45" s="124"/>
      <c r="J45" s="125" t="s">
        <v>13</v>
      </c>
      <c r="K45" s="125"/>
      <c r="L45" s="125"/>
      <c r="M45" s="126"/>
      <c r="N45" s="107" t="s">
        <v>14</v>
      </c>
    </row>
    <row r="46" spans="1:16" ht="14.25" thickBot="1" x14ac:dyDescent="0.2">
      <c r="A46" s="2" t="s">
        <v>1</v>
      </c>
      <c r="B46" s="3" t="s">
        <v>2</v>
      </c>
      <c r="C46" s="43" t="s">
        <v>3</v>
      </c>
      <c r="D46" s="4" t="s">
        <v>4</v>
      </c>
      <c r="E46" s="2" t="s">
        <v>5</v>
      </c>
      <c r="F46" s="3" t="s">
        <v>2</v>
      </c>
      <c r="G46" s="43" t="s">
        <v>3</v>
      </c>
      <c r="H46" s="4" t="s">
        <v>4</v>
      </c>
      <c r="I46" s="2" t="s">
        <v>5</v>
      </c>
      <c r="J46" s="3" t="s">
        <v>2</v>
      </c>
      <c r="K46" s="43" t="s">
        <v>3</v>
      </c>
      <c r="L46" s="4" t="s">
        <v>4</v>
      </c>
      <c r="M46" s="2" t="s">
        <v>5</v>
      </c>
      <c r="N46" s="108"/>
    </row>
    <row r="47" spans="1:16" x14ac:dyDescent="0.15">
      <c r="A47" s="5" t="s">
        <v>10</v>
      </c>
      <c r="B47" s="6">
        <f>B41</f>
        <v>5</v>
      </c>
      <c r="C47" s="50">
        <f t="shared" ref="C47:N47" si="14">C41</f>
        <v>3</v>
      </c>
      <c r="D47" s="6">
        <f t="shared" si="14"/>
        <v>2</v>
      </c>
      <c r="E47" s="7">
        <f t="shared" si="14"/>
        <v>10</v>
      </c>
      <c r="F47" s="6">
        <f t="shared" si="14"/>
        <v>5</v>
      </c>
      <c r="G47" s="50">
        <f t="shared" si="14"/>
        <v>5</v>
      </c>
      <c r="H47" s="6">
        <f t="shared" si="14"/>
        <v>5</v>
      </c>
      <c r="I47" s="7">
        <f t="shared" si="14"/>
        <v>15</v>
      </c>
      <c r="J47" s="6">
        <f t="shared" si="14"/>
        <v>5</v>
      </c>
      <c r="K47" s="50">
        <f t="shared" si="14"/>
        <v>5</v>
      </c>
      <c r="L47" s="6">
        <f t="shared" si="14"/>
        <v>5</v>
      </c>
      <c r="M47" s="7">
        <f t="shared" si="14"/>
        <v>15</v>
      </c>
      <c r="N47" s="8">
        <f t="shared" si="14"/>
        <v>40</v>
      </c>
    </row>
    <row r="48" spans="1:16" x14ac:dyDescent="0.15">
      <c r="A48" s="9" t="s">
        <v>7</v>
      </c>
      <c r="B48" s="10"/>
      <c r="C48" s="44">
        <v>5</v>
      </c>
      <c r="D48" s="10">
        <v>3</v>
      </c>
      <c r="E48" s="12">
        <f t="shared" ref="E48:E82" si="15">SUM(B48:D48)</f>
        <v>8</v>
      </c>
      <c r="F48" s="10"/>
      <c r="G48" s="44"/>
      <c r="H48" s="10"/>
      <c r="I48" s="12">
        <f t="shared" ref="I48:I82" si="16">SUM(F48:H48)</f>
        <v>0</v>
      </c>
      <c r="J48" s="10"/>
      <c r="K48" s="44"/>
      <c r="L48" s="10"/>
      <c r="M48" s="12">
        <f t="shared" ref="M48:M82" si="17">SUM(J48:L48)</f>
        <v>0</v>
      </c>
      <c r="N48" s="13">
        <f>E48+I48+M48</f>
        <v>8</v>
      </c>
      <c r="O48" s="15">
        <v>45997</v>
      </c>
      <c r="P48" s="14"/>
    </row>
    <row r="49" spans="1:17" x14ac:dyDescent="0.15">
      <c r="A49" s="9" t="s">
        <v>7</v>
      </c>
      <c r="B49" s="10">
        <v>3</v>
      </c>
      <c r="C49" s="44">
        <v>3</v>
      </c>
      <c r="D49" s="10"/>
      <c r="E49" s="12">
        <f t="shared" si="15"/>
        <v>6</v>
      </c>
      <c r="F49" s="10"/>
      <c r="G49" s="44"/>
      <c r="H49" s="10"/>
      <c r="I49" s="12">
        <f t="shared" si="16"/>
        <v>0</v>
      </c>
      <c r="J49" s="10"/>
      <c r="K49" s="44"/>
      <c r="L49" s="10"/>
      <c r="M49" s="12">
        <f t="shared" si="17"/>
        <v>0</v>
      </c>
      <c r="N49" s="13">
        <f t="shared" ref="N49:N84" si="18">E49+I49+M49</f>
        <v>6</v>
      </c>
      <c r="O49" s="15">
        <v>46038</v>
      </c>
    </row>
    <row r="50" spans="1:17" x14ac:dyDescent="0.15">
      <c r="A50" s="9" t="s">
        <v>7</v>
      </c>
      <c r="B50" s="10"/>
      <c r="C50" s="44">
        <v>3</v>
      </c>
      <c r="D50" s="10">
        <v>3</v>
      </c>
      <c r="E50" s="12">
        <f t="shared" si="15"/>
        <v>6</v>
      </c>
      <c r="F50" s="10">
        <v>3</v>
      </c>
      <c r="G50" s="44"/>
      <c r="H50" s="10"/>
      <c r="I50" s="12">
        <f t="shared" si="16"/>
        <v>3</v>
      </c>
      <c r="J50" s="10"/>
      <c r="K50" s="44">
        <v>3</v>
      </c>
      <c r="L50" s="10"/>
      <c r="M50" s="12">
        <f t="shared" si="17"/>
        <v>3</v>
      </c>
      <c r="N50" s="13">
        <f t="shared" si="18"/>
        <v>12</v>
      </c>
      <c r="O50" s="15">
        <v>46069</v>
      </c>
    </row>
    <row r="51" spans="1:17" x14ac:dyDescent="0.15">
      <c r="A51" s="9" t="s">
        <v>37</v>
      </c>
      <c r="B51" s="10">
        <v>0</v>
      </c>
      <c r="C51" s="44">
        <v>0</v>
      </c>
      <c r="D51" s="10">
        <v>0</v>
      </c>
      <c r="E51" s="12">
        <f t="shared" si="15"/>
        <v>0</v>
      </c>
      <c r="F51" s="10">
        <v>0</v>
      </c>
      <c r="G51" s="44">
        <v>0</v>
      </c>
      <c r="H51" s="10">
        <v>0</v>
      </c>
      <c r="I51" s="12">
        <f t="shared" si="16"/>
        <v>0</v>
      </c>
      <c r="J51" s="10">
        <v>0</v>
      </c>
      <c r="K51" s="44">
        <v>0</v>
      </c>
      <c r="L51" s="10">
        <v>0</v>
      </c>
      <c r="M51" s="12">
        <f t="shared" si="17"/>
        <v>0</v>
      </c>
      <c r="N51" s="13">
        <f t="shared" si="18"/>
        <v>0</v>
      </c>
      <c r="O51" s="15">
        <v>46071</v>
      </c>
    </row>
    <row r="52" spans="1:17" x14ac:dyDescent="0.15">
      <c r="A52" s="9" t="s">
        <v>7</v>
      </c>
      <c r="B52" s="10"/>
      <c r="C52" s="44"/>
      <c r="D52" s="10">
        <v>2</v>
      </c>
      <c r="E52" s="12">
        <f t="shared" si="15"/>
        <v>2</v>
      </c>
      <c r="F52" s="10"/>
      <c r="G52" s="44"/>
      <c r="H52" s="10">
        <v>2</v>
      </c>
      <c r="I52" s="12">
        <f t="shared" si="16"/>
        <v>2</v>
      </c>
      <c r="J52" s="10"/>
      <c r="K52" s="44"/>
      <c r="L52" s="10">
        <v>2</v>
      </c>
      <c r="M52" s="12">
        <f t="shared" si="17"/>
        <v>2</v>
      </c>
      <c r="N52" s="13">
        <f t="shared" si="18"/>
        <v>6</v>
      </c>
      <c r="O52" s="15">
        <v>46149</v>
      </c>
    </row>
    <row r="53" spans="1:17" x14ac:dyDescent="0.15">
      <c r="A53" s="9" t="s">
        <v>7</v>
      </c>
      <c r="B53" s="10"/>
      <c r="C53" s="44"/>
      <c r="D53" s="10"/>
      <c r="E53" s="12">
        <f t="shared" si="15"/>
        <v>0</v>
      </c>
      <c r="F53" s="10"/>
      <c r="G53" s="44"/>
      <c r="H53" s="10"/>
      <c r="I53" s="12">
        <f t="shared" si="16"/>
        <v>0</v>
      </c>
      <c r="J53" s="10"/>
      <c r="K53" s="44"/>
      <c r="L53" s="10"/>
      <c r="M53" s="12">
        <f t="shared" si="17"/>
        <v>0</v>
      </c>
      <c r="N53" s="13">
        <f t="shared" si="18"/>
        <v>0</v>
      </c>
      <c r="O53" s="15"/>
    </row>
    <row r="54" spans="1:17" x14ac:dyDescent="0.15">
      <c r="A54" s="9" t="s">
        <v>7</v>
      </c>
      <c r="B54" s="16"/>
      <c r="C54" s="45"/>
      <c r="D54" s="16"/>
      <c r="E54" s="12">
        <f t="shared" si="15"/>
        <v>0</v>
      </c>
      <c r="F54" s="16"/>
      <c r="G54" s="45"/>
      <c r="H54" s="16"/>
      <c r="I54" s="12">
        <f t="shared" si="16"/>
        <v>0</v>
      </c>
      <c r="J54" s="16"/>
      <c r="K54" s="45"/>
      <c r="L54" s="16"/>
      <c r="M54" s="12">
        <f t="shared" si="17"/>
        <v>0</v>
      </c>
      <c r="N54" s="13">
        <f t="shared" si="18"/>
        <v>0</v>
      </c>
      <c r="O54" s="15"/>
    </row>
    <row r="55" spans="1:17" x14ac:dyDescent="0.15">
      <c r="A55" s="9" t="s">
        <v>7</v>
      </c>
      <c r="B55" s="16"/>
      <c r="C55" s="45"/>
      <c r="D55" s="16"/>
      <c r="E55" s="12">
        <f t="shared" si="15"/>
        <v>0</v>
      </c>
      <c r="F55" s="16"/>
      <c r="G55" s="45"/>
      <c r="H55" s="16"/>
      <c r="I55" s="12">
        <f t="shared" si="16"/>
        <v>0</v>
      </c>
      <c r="J55" s="16"/>
      <c r="K55" s="45"/>
      <c r="L55" s="16"/>
      <c r="M55" s="12">
        <f t="shared" si="17"/>
        <v>0</v>
      </c>
      <c r="N55" s="13">
        <f t="shared" si="18"/>
        <v>0</v>
      </c>
      <c r="O55" s="15"/>
    </row>
    <row r="56" spans="1:17" x14ac:dyDescent="0.15">
      <c r="A56" s="9" t="s">
        <v>7</v>
      </c>
      <c r="B56" s="16"/>
      <c r="C56" s="45"/>
      <c r="D56" s="16"/>
      <c r="E56" s="12">
        <f t="shared" si="15"/>
        <v>0</v>
      </c>
      <c r="F56" s="16"/>
      <c r="G56" s="45"/>
      <c r="H56" s="16"/>
      <c r="I56" s="12">
        <f t="shared" si="16"/>
        <v>0</v>
      </c>
      <c r="J56" s="16"/>
      <c r="K56" s="45"/>
      <c r="L56" s="16"/>
      <c r="M56" s="12">
        <f t="shared" si="17"/>
        <v>0</v>
      </c>
      <c r="N56" s="13">
        <f t="shared" si="18"/>
        <v>0</v>
      </c>
      <c r="O56" s="15"/>
    </row>
    <row r="57" spans="1:17" ht="14.25" thickBot="1" x14ac:dyDescent="0.2">
      <c r="A57" s="17" t="s">
        <v>7</v>
      </c>
      <c r="B57" s="18"/>
      <c r="C57" s="46"/>
      <c r="D57" s="18"/>
      <c r="E57" s="19">
        <f t="shared" si="15"/>
        <v>0</v>
      </c>
      <c r="F57" s="18"/>
      <c r="G57" s="46"/>
      <c r="H57" s="18"/>
      <c r="I57" s="19">
        <f t="shared" si="16"/>
        <v>0</v>
      </c>
      <c r="J57" s="18"/>
      <c r="K57" s="46"/>
      <c r="L57" s="18"/>
      <c r="M57" s="19">
        <f t="shared" si="17"/>
        <v>0</v>
      </c>
      <c r="N57" s="20">
        <f t="shared" si="18"/>
        <v>0</v>
      </c>
    </row>
    <row r="58" spans="1:17" ht="14.25" thickBot="1" x14ac:dyDescent="0.2">
      <c r="A58" s="21" t="s">
        <v>8</v>
      </c>
      <c r="B58" s="22">
        <f>SUM(B47:B57)</f>
        <v>8</v>
      </c>
      <c r="C58" s="47">
        <f>SUM(C47:C57)</f>
        <v>14</v>
      </c>
      <c r="D58" s="40">
        <f>SUM(D47:D57)</f>
        <v>10</v>
      </c>
      <c r="E58" s="23">
        <f t="shared" si="15"/>
        <v>32</v>
      </c>
      <c r="F58" s="22">
        <f>SUM(F47:F57)</f>
        <v>8</v>
      </c>
      <c r="G58" s="47">
        <f>SUM(G47:G57)</f>
        <v>5</v>
      </c>
      <c r="H58" s="40">
        <f>SUM(H47:H57)</f>
        <v>7</v>
      </c>
      <c r="I58" s="23">
        <f t="shared" si="16"/>
        <v>20</v>
      </c>
      <c r="J58" s="22">
        <f>SUM(J47:J57)</f>
        <v>5</v>
      </c>
      <c r="K58" s="47">
        <f>SUM(K47:K57)</f>
        <v>8</v>
      </c>
      <c r="L58" s="40">
        <f>SUM(L47:L57)</f>
        <v>7</v>
      </c>
      <c r="M58" s="23">
        <f t="shared" si="17"/>
        <v>20</v>
      </c>
      <c r="N58" s="24">
        <f t="shared" si="18"/>
        <v>72</v>
      </c>
    </row>
    <row r="59" spans="1:17" x14ac:dyDescent="0.15">
      <c r="A59" s="25" t="s">
        <v>28</v>
      </c>
      <c r="B59" s="26"/>
      <c r="C59" s="48">
        <v>2</v>
      </c>
      <c r="D59" s="27"/>
      <c r="E59" s="12">
        <f t="shared" si="15"/>
        <v>2</v>
      </c>
      <c r="F59" s="26"/>
      <c r="G59" s="48"/>
      <c r="H59" s="27"/>
      <c r="I59" s="12">
        <f t="shared" si="16"/>
        <v>0</v>
      </c>
      <c r="J59" s="26"/>
      <c r="K59" s="48"/>
      <c r="L59" s="27"/>
      <c r="M59" s="12">
        <f t="shared" si="17"/>
        <v>0</v>
      </c>
      <c r="N59" s="13">
        <f t="shared" si="18"/>
        <v>2</v>
      </c>
      <c r="O59" s="15">
        <v>45967</v>
      </c>
      <c r="P59" s="14"/>
      <c r="Q59" s="14"/>
    </row>
    <row r="60" spans="1:17" x14ac:dyDescent="0.15">
      <c r="A60" s="25" t="s">
        <v>28</v>
      </c>
      <c r="B60" s="29"/>
      <c r="C60" s="45"/>
      <c r="D60" s="16">
        <v>1</v>
      </c>
      <c r="E60" s="12">
        <f t="shared" si="15"/>
        <v>1</v>
      </c>
      <c r="F60" s="29"/>
      <c r="G60" s="45"/>
      <c r="H60" s="16"/>
      <c r="I60" s="12">
        <f t="shared" si="16"/>
        <v>0</v>
      </c>
      <c r="J60" s="29"/>
      <c r="K60" s="45"/>
      <c r="L60" s="16"/>
      <c r="M60" s="12">
        <f t="shared" si="17"/>
        <v>0</v>
      </c>
      <c r="N60" s="13">
        <f t="shared" si="18"/>
        <v>1</v>
      </c>
      <c r="O60" s="15">
        <v>45982</v>
      </c>
      <c r="P60" s="14"/>
      <c r="Q60" s="14"/>
    </row>
    <row r="61" spans="1:17" x14ac:dyDescent="0.15">
      <c r="A61" s="25" t="s">
        <v>28</v>
      </c>
      <c r="B61" s="29">
        <v>1</v>
      </c>
      <c r="C61" s="45"/>
      <c r="D61" s="16"/>
      <c r="E61" s="12">
        <f t="shared" si="15"/>
        <v>1</v>
      </c>
      <c r="F61" s="29"/>
      <c r="G61" s="45"/>
      <c r="H61" s="16"/>
      <c r="I61" s="12">
        <f t="shared" si="16"/>
        <v>0</v>
      </c>
      <c r="J61" s="29"/>
      <c r="K61" s="45"/>
      <c r="L61" s="16"/>
      <c r="M61" s="12">
        <f t="shared" si="17"/>
        <v>0</v>
      </c>
      <c r="N61" s="13">
        <f t="shared" si="18"/>
        <v>1</v>
      </c>
      <c r="O61" s="15">
        <v>45987</v>
      </c>
      <c r="P61" s="14"/>
      <c r="Q61" s="14"/>
    </row>
    <row r="62" spans="1:17" x14ac:dyDescent="0.15">
      <c r="A62" s="25" t="s">
        <v>28</v>
      </c>
      <c r="B62" s="29"/>
      <c r="C62" s="45">
        <v>1</v>
      </c>
      <c r="D62" s="16"/>
      <c r="E62" s="12">
        <f t="shared" si="15"/>
        <v>1</v>
      </c>
      <c r="F62" s="29"/>
      <c r="G62" s="45"/>
      <c r="H62" s="16"/>
      <c r="I62" s="12">
        <f t="shared" si="16"/>
        <v>0</v>
      </c>
      <c r="J62" s="29"/>
      <c r="K62" s="45"/>
      <c r="L62" s="16"/>
      <c r="M62" s="12">
        <f t="shared" si="17"/>
        <v>0</v>
      </c>
      <c r="N62" s="13">
        <f t="shared" si="18"/>
        <v>1</v>
      </c>
      <c r="O62" s="15">
        <v>45989</v>
      </c>
      <c r="P62" s="14"/>
      <c r="Q62" s="14"/>
    </row>
    <row r="63" spans="1:17" x14ac:dyDescent="0.15">
      <c r="A63" s="25" t="s">
        <v>28</v>
      </c>
      <c r="B63" s="29"/>
      <c r="C63" s="45">
        <v>1</v>
      </c>
      <c r="D63" s="16"/>
      <c r="E63" s="12">
        <f t="shared" si="15"/>
        <v>1</v>
      </c>
      <c r="F63" s="29"/>
      <c r="G63" s="45">
        <v>1</v>
      </c>
      <c r="H63" s="16"/>
      <c r="I63" s="12">
        <f t="shared" si="16"/>
        <v>1</v>
      </c>
      <c r="J63" s="29"/>
      <c r="K63" s="45"/>
      <c r="L63" s="16"/>
      <c r="M63" s="12">
        <f t="shared" si="17"/>
        <v>0</v>
      </c>
      <c r="N63" s="13">
        <f t="shared" si="18"/>
        <v>2</v>
      </c>
      <c r="O63" s="15">
        <v>46006</v>
      </c>
      <c r="P63" s="14"/>
      <c r="Q63" s="14"/>
    </row>
    <row r="64" spans="1:17" x14ac:dyDescent="0.15">
      <c r="A64" s="25" t="s">
        <v>28</v>
      </c>
      <c r="B64" s="29"/>
      <c r="C64" s="45">
        <v>1</v>
      </c>
      <c r="D64" s="16"/>
      <c r="E64" s="12">
        <f t="shared" si="15"/>
        <v>1</v>
      </c>
      <c r="F64" s="29"/>
      <c r="G64" s="45"/>
      <c r="H64" s="16"/>
      <c r="I64" s="12">
        <f t="shared" si="16"/>
        <v>0</v>
      </c>
      <c r="J64" s="29"/>
      <c r="K64" s="45"/>
      <c r="L64" s="16"/>
      <c r="M64" s="12">
        <f t="shared" si="17"/>
        <v>0</v>
      </c>
      <c r="N64" s="13">
        <f t="shared" si="18"/>
        <v>1</v>
      </c>
      <c r="O64" s="15">
        <v>46008</v>
      </c>
      <c r="P64" s="14"/>
      <c r="Q64" s="14"/>
    </row>
    <row r="65" spans="1:17" x14ac:dyDescent="0.15">
      <c r="A65" s="25" t="s">
        <v>28</v>
      </c>
      <c r="B65" s="29"/>
      <c r="C65" s="45"/>
      <c r="D65" s="16"/>
      <c r="E65" s="12">
        <f t="shared" si="15"/>
        <v>0</v>
      </c>
      <c r="F65" s="29"/>
      <c r="G65" s="45"/>
      <c r="H65" s="16"/>
      <c r="I65" s="12">
        <f t="shared" si="16"/>
        <v>0</v>
      </c>
      <c r="J65" s="29"/>
      <c r="K65" s="45">
        <v>1</v>
      </c>
      <c r="L65" s="16"/>
      <c r="M65" s="12">
        <f t="shared" si="17"/>
        <v>1</v>
      </c>
      <c r="N65" s="13">
        <f t="shared" si="18"/>
        <v>1</v>
      </c>
      <c r="O65" s="15">
        <v>46011</v>
      </c>
      <c r="P65" s="14"/>
      <c r="Q65" s="14"/>
    </row>
    <row r="66" spans="1:17" x14ac:dyDescent="0.15">
      <c r="A66" s="25" t="s">
        <v>28</v>
      </c>
      <c r="B66" s="29"/>
      <c r="C66" s="45"/>
      <c r="D66" s="16"/>
      <c r="E66" s="12">
        <f t="shared" si="15"/>
        <v>0</v>
      </c>
      <c r="F66" s="29"/>
      <c r="G66" s="45"/>
      <c r="H66" s="16"/>
      <c r="I66" s="12">
        <f t="shared" si="16"/>
        <v>0</v>
      </c>
      <c r="J66" s="29"/>
      <c r="K66" s="45">
        <v>2</v>
      </c>
      <c r="L66" s="16"/>
      <c r="M66" s="12">
        <f t="shared" si="17"/>
        <v>2</v>
      </c>
      <c r="N66" s="13">
        <f t="shared" si="18"/>
        <v>2</v>
      </c>
      <c r="O66" s="15">
        <v>46013</v>
      </c>
      <c r="P66" s="14"/>
      <c r="Q66" s="14"/>
    </row>
    <row r="67" spans="1:17" x14ac:dyDescent="0.15">
      <c r="A67" s="25" t="s">
        <v>28</v>
      </c>
      <c r="B67" s="29"/>
      <c r="C67" s="45"/>
      <c r="D67" s="16"/>
      <c r="E67" s="12">
        <f t="shared" si="15"/>
        <v>0</v>
      </c>
      <c r="F67" s="29"/>
      <c r="G67" s="45"/>
      <c r="H67" s="16">
        <v>1</v>
      </c>
      <c r="I67" s="12">
        <f t="shared" si="16"/>
        <v>1</v>
      </c>
      <c r="J67" s="29"/>
      <c r="K67" s="45"/>
      <c r="L67" s="16"/>
      <c r="M67" s="12">
        <f t="shared" si="17"/>
        <v>0</v>
      </c>
      <c r="N67" s="13">
        <f t="shared" si="18"/>
        <v>1</v>
      </c>
      <c r="O67" s="15">
        <v>46027</v>
      </c>
      <c r="P67" s="14"/>
      <c r="Q67" s="14"/>
    </row>
    <row r="68" spans="1:17" x14ac:dyDescent="0.15">
      <c r="A68" s="25" t="s">
        <v>28</v>
      </c>
      <c r="B68" s="29">
        <v>2</v>
      </c>
      <c r="C68" s="45"/>
      <c r="D68" s="16"/>
      <c r="E68" s="12">
        <f t="shared" si="15"/>
        <v>2</v>
      </c>
      <c r="F68" s="29"/>
      <c r="G68" s="45"/>
      <c r="H68" s="16"/>
      <c r="I68" s="12">
        <f t="shared" si="16"/>
        <v>0</v>
      </c>
      <c r="J68" s="29"/>
      <c r="K68" s="45"/>
      <c r="L68" s="16"/>
      <c r="M68" s="12">
        <f t="shared" si="17"/>
        <v>0</v>
      </c>
      <c r="N68" s="13">
        <f t="shared" si="18"/>
        <v>2</v>
      </c>
      <c r="O68" s="15">
        <v>46028</v>
      </c>
      <c r="P68" s="14"/>
      <c r="Q68" s="14"/>
    </row>
    <row r="69" spans="1:17" x14ac:dyDescent="0.15">
      <c r="A69" s="25" t="s">
        <v>28</v>
      </c>
      <c r="B69" s="29"/>
      <c r="C69" s="45">
        <v>1</v>
      </c>
      <c r="D69" s="16">
        <v>1</v>
      </c>
      <c r="E69" s="12">
        <f t="shared" si="15"/>
        <v>2</v>
      </c>
      <c r="F69" s="29"/>
      <c r="G69" s="45"/>
      <c r="H69" s="16"/>
      <c r="I69" s="12">
        <f t="shared" si="16"/>
        <v>0</v>
      </c>
      <c r="J69" s="29"/>
      <c r="K69" s="45"/>
      <c r="L69" s="16">
        <v>1</v>
      </c>
      <c r="M69" s="12">
        <f t="shared" si="17"/>
        <v>1</v>
      </c>
      <c r="N69" s="13">
        <f t="shared" si="18"/>
        <v>3</v>
      </c>
      <c r="O69" s="15">
        <v>46031</v>
      </c>
      <c r="P69" s="14"/>
      <c r="Q69" s="14"/>
    </row>
    <row r="70" spans="1:17" x14ac:dyDescent="0.15">
      <c r="A70" s="25" t="s">
        <v>28</v>
      </c>
      <c r="B70" s="29"/>
      <c r="C70" s="45"/>
      <c r="D70" s="16"/>
      <c r="E70" s="39">
        <f t="shared" si="15"/>
        <v>0</v>
      </c>
      <c r="F70" s="29">
        <v>2</v>
      </c>
      <c r="G70" s="45"/>
      <c r="H70" s="16"/>
      <c r="I70" s="39">
        <f t="shared" si="16"/>
        <v>2</v>
      </c>
      <c r="J70" s="29"/>
      <c r="K70" s="45"/>
      <c r="L70" s="16"/>
      <c r="M70" s="39">
        <f t="shared" si="17"/>
        <v>0</v>
      </c>
      <c r="N70" s="13">
        <f t="shared" si="18"/>
        <v>2</v>
      </c>
      <c r="O70" s="15">
        <v>46035</v>
      </c>
      <c r="P70" s="14"/>
      <c r="Q70" s="14"/>
    </row>
    <row r="71" spans="1:17" x14ac:dyDescent="0.15">
      <c r="A71" s="25" t="s">
        <v>28</v>
      </c>
      <c r="B71" s="29"/>
      <c r="C71" s="45"/>
      <c r="D71" s="16"/>
      <c r="E71" s="12">
        <f t="shared" si="15"/>
        <v>0</v>
      </c>
      <c r="F71" s="29"/>
      <c r="G71" s="45"/>
      <c r="H71" s="16">
        <v>1</v>
      </c>
      <c r="I71" s="12">
        <f t="shared" si="16"/>
        <v>1</v>
      </c>
      <c r="J71" s="29"/>
      <c r="K71" s="45"/>
      <c r="L71" s="16"/>
      <c r="M71" s="12">
        <f t="shared" si="17"/>
        <v>0</v>
      </c>
      <c r="N71" s="13">
        <f t="shared" si="18"/>
        <v>1</v>
      </c>
      <c r="O71" s="15">
        <v>46037</v>
      </c>
      <c r="P71" s="14"/>
      <c r="Q71" s="14"/>
    </row>
    <row r="72" spans="1:17" x14ac:dyDescent="0.15">
      <c r="A72" s="25" t="s">
        <v>28</v>
      </c>
      <c r="B72" s="29"/>
      <c r="C72" s="45"/>
      <c r="D72" s="16">
        <v>1</v>
      </c>
      <c r="E72" s="12">
        <f t="shared" si="15"/>
        <v>1</v>
      </c>
      <c r="F72" s="29"/>
      <c r="G72" s="45"/>
      <c r="H72" s="16"/>
      <c r="I72" s="12">
        <f t="shared" si="16"/>
        <v>0</v>
      </c>
      <c r="J72" s="29"/>
      <c r="K72" s="45"/>
      <c r="L72" s="16"/>
      <c r="M72" s="12">
        <f t="shared" si="17"/>
        <v>0</v>
      </c>
      <c r="N72" s="13">
        <f t="shared" si="18"/>
        <v>1</v>
      </c>
      <c r="O72" s="15">
        <v>46056</v>
      </c>
      <c r="P72" s="14"/>
      <c r="Q72" s="14"/>
    </row>
    <row r="73" spans="1:17" x14ac:dyDescent="0.15">
      <c r="A73" s="25" t="s">
        <v>28</v>
      </c>
      <c r="B73" s="29"/>
      <c r="C73" s="45"/>
      <c r="D73" s="16"/>
      <c r="E73" s="12">
        <f t="shared" si="15"/>
        <v>0</v>
      </c>
      <c r="F73" s="29"/>
      <c r="G73" s="45"/>
      <c r="H73" s="16">
        <v>1</v>
      </c>
      <c r="I73" s="12">
        <f t="shared" si="16"/>
        <v>1</v>
      </c>
      <c r="J73" s="29"/>
      <c r="K73" s="45"/>
      <c r="L73" s="16"/>
      <c r="M73" s="12">
        <f t="shared" si="17"/>
        <v>0</v>
      </c>
      <c r="N73" s="13">
        <f t="shared" si="18"/>
        <v>1</v>
      </c>
      <c r="O73" s="15">
        <v>46058</v>
      </c>
      <c r="P73" s="14"/>
      <c r="Q73" s="14"/>
    </row>
    <row r="74" spans="1:17" x14ac:dyDescent="0.15">
      <c r="A74" s="25" t="s">
        <v>28</v>
      </c>
      <c r="B74" s="29"/>
      <c r="C74" s="45">
        <v>1</v>
      </c>
      <c r="D74" s="16"/>
      <c r="E74" s="12">
        <f t="shared" si="15"/>
        <v>1</v>
      </c>
      <c r="F74" s="29"/>
      <c r="G74" s="45"/>
      <c r="H74" s="16"/>
      <c r="I74" s="12">
        <f t="shared" si="16"/>
        <v>0</v>
      </c>
      <c r="J74" s="29"/>
      <c r="K74" s="45"/>
      <c r="L74" s="16"/>
      <c r="M74" s="12">
        <f t="shared" si="17"/>
        <v>0</v>
      </c>
      <c r="N74" s="13">
        <f t="shared" si="18"/>
        <v>1</v>
      </c>
      <c r="O74" s="15">
        <v>46059</v>
      </c>
      <c r="P74" s="14"/>
      <c r="Q74" s="14"/>
    </row>
    <row r="75" spans="1:17" x14ac:dyDescent="0.15">
      <c r="A75" s="25" t="s">
        <v>28</v>
      </c>
      <c r="B75" s="29"/>
      <c r="C75" s="45">
        <v>2</v>
      </c>
      <c r="D75" s="16"/>
      <c r="E75" s="12">
        <f t="shared" si="15"/>
        <v>2</v>
      </c>
      <c r="F75" s="29"/>
      <c r="G75" s="45"/>
      <c r="H75" s="16"/>
      <c r="I75" s="12">
        <f t="shared" si="16"/>
        <v>0</v>
      </c>
      <c r="J75" s="29"/>
      <c r="K75" s="45"/>
      <c r="L75" s="16"/>
      <c r="M75" s="12">
        <f t="shared" si="17"/>
        <v>0</v>
      </c>
      <c r="N75" s="13">
        <f t="shared" si="18"/>
        <v>2</v>
      </c>
      <c r="O75" s="15">
        <v>46062</v>
      </c>
      <c r="P75" s="14"/>
      <c r="Q75" s="14"/>
    </row>
    <row r="76" spans="1:17" x14ac:dyDescent="0.15">
      <c r="A76" s="25" t="s">
        <v>28</v>
      </c>
      <c r="B76" s="29"/>
      <c r="C76" s="45"/>
      <c r="D76" s="16">
        <v>1</v>
      </c>
      <c r="E76" s="12">
        <f t="shared" si="15"/>
        <v>1</v>
      </c>
      <c r="F76" s="29"/>
      <c r="G76" s="45"/>
      <c r="H76" s="16"/>
      <c r="I76" s="12">
        <f t="shared" si="16"/>
        <v>0</v>
      </c>
      <c r="J76" s="29"/>
      <c r="K76" s="45"/>
      <c r="L76" s="16"/>
      <c r="M76" s="12">
        <f t="shared" si="17"/>
        <v>0</v>
      </c>
      <c r="N76" s="13">
        <f t="shared" si="18"/>
        <v>1</v>
      </c>
      <c r="O76" s="15">
        <v>46066</v>
      </c>
      <c r="P76" s="14"/>
      <c r="Q76" s="14"/>
    </row>
    <row r="77" spans="1:17" x14ac:dyDescent="0.15">
      <c r="A77" s="25" t="s">
        <v>28</v>
      </c>
      <c r="B77" s="29"/>
      <c r="C77" s="45"/>
      <c r="D77" s="16">
        <v>1</v>
      </c>
      <c r="E77" s="12">
        <f t="shared" si="15"/>
        <v>1</v>
      </c>
      <c r="F77" s="29"/>
      <c r="G77" s="45"/>
      <c r="H77" s="16"/>
      <c r="I77" s="12">
        <f t="shared" si="16"/>
        <v>0</v>
      </c>
      <c r="J77" s="29"/>
      <c r="K77" s="45"/>
      <c r="L77" s="16">
        <v>1</v>
      </c>
      <c r="M77" s="12">
        <f t="shared" si="17"/>
        <v>1</v>
      </c>
      <c r="N77" s="13">
        <f t="shared" si="18"/>
        <v>2</v>
      </c>
      <c r="O77" s="15">
        <v>46104</v>
      </c>
      <c r="P77" s="14"/>
      <c r="Q77" s="14"/>
    </row>
    <row r="78" spans="1:17" x14ac:dyDescent="0.15">
      <c r="A78" s="25" t="s">
        <v>28</v>
      </c>
      <c r="B78" s="29"/>
      <c r="C78" s="45">
        <v>1</v>
      </c>
      <c r="D78" s="16"/>
      <c r="E78" s="12">
        <f t="shared" si="15"/>
        <v>1</v>
      </c>
      <c r="F78" s="29"/>
      <c r="G78" s="45"/>
      <c r="H78" s="16"/>
      <c r="I78" s="12">
        <f t="shared" si="16"/>
        <v>0</v>
      </c>
      <c r="J78" s="29"/>
      <c r="K78" s="45"/>
      <c r="L78" s="16"/>
      <c r="M78" s="12">
        <f t="shared" si="17"/>
        <v>0</v>
      </c>
      <c r="N78" s="13">
        <f t="shared" si="18"/>
        <v>1</v>
      </c>
      <c r="O78" s="15">
        <v>46111</v>
      </c>
      <c r="P78" s="14"/>
      <c r="Q78" s="14"/>
    </row>
    <row r="79" spans="1:17" x14ac:dyDescent="0.15">
      <c r="A79" s="25" t="s">
        <v>28</v>
      </c>
      <c r="B79" s="29"/>
      <c r="C79" s="45"/>
      <c r="D79" s="16"/>
      <c r="E79" s="12">
        <f t="shared" si="15"/>
        <v>0</v>
      </c>
      <c r="F79" s="29">
        <v>1</v>
      </c>
      <c r="G79" s="45"/>
      <c r="H79" s="16"/>
      <c r="I79" s="12">
        <f t="shared" si="16"/>
        <v>1</v>
      </c>
      <c r="J79" s="29"/>
      <c r="K79" s="45"/>
      <c r="L79" s="16"/>
      <c r="M79" s="12">
        <f t="shared" si="17"/>
        <v>0</v>
      </c>
      <c r="N79" s="13">
        <f t="shared" si="18"/>
        <v>1</v>
      </c>
      <c r="O79" s="15">
        <v>46112</v>
      </c>
      <c r="P79" s="14"/>
      <c r="Q79" s="14"/>
    </row>
    <row r="80" spans="1:17" x14ac:dyDescent="0.15">
      <c r="A80" s="25" t="s">
        <v>28</v>
      </c>
      <c r="B80" s="29"/>
      <c r="C80" s="45"/>
      <c r="D80" s="16"/>
      <c r="E80" s="12">
        <f t="shared" si="15"/>
        <v>0</v>
      </c>
      <c r="F80" s="29"/>
      <c r="G80" s="45"/>
      <c r="H80" s="16"/>
      <c r="I80" s="12">
        <f t="shared" si="16"/>
        <v>0</v>
      </c>
      <c r="J80" s="29"/>
      <c r="K80" s="45"/>
      <c r="L80" s="16">
        <v>2</v>
      </c>
      <c r="M80" s="12">
        <f t="shared" si="17"/>
        <v>2</v>
      </c>
      <c r="N80" s="13">
        <f t="shared" si="18"/>
        <v>2</v>
      </c>
      <c r="O80" s="15">
        <v>46118</v>
      </c>
      <c r="P80" s="14"/>
      <c r="Q80" s="14"/>
    </row>
    <row r="81" spans="1:17" x14ac:dyDescent="0.15">
      <c r="A81" s="25" t="s">
        <v>28</v>
      </c>
      <c r="B81" s="29"/>
      <c r="C81" s="45"/>
      <c r="D81" s="16"/>
      <c r="E81" s="12">
        <f t="shared" si="15"/>
        <v>0</v>
      </c>
      <c r="F81" s="29"/>
      <c r="G81" s="45"/>
      <c r="H81" s="16">
        <v>1</v>
      </c>
      <c r="I81" s="12">
        <f t="shared" si="16"/>
        <v>1</v>
      </c>
      <c r="J81" s="29"/>
      <c r="K81" s="45"/>
      <c r="L81" s="16"/>
      <c r="M81" s="12">
        <f t="shared" si="17"/>
        <v>0</v>
      </c>
      <c r="N81" s="13">
        <f t="shared" si="18"/>
        <v>1</v>
      </c>
      <c r="O81" s="15">
        <v>46132</v>
      </c>
      <c r="P81" s="14"/>
      <c r="Q81" s="14"/>
    </row>
    <row r="82" spans="1:17" ht="14.25" thickBot="1" x14ac:dyDescent="0.2">
      <c r="A82" s="25" t="s">
        <v>28</v>
      </c>
      <c r="B82" s="29"/>
      <c r="C82" s="45"/>
      <c r="D82" s="16">
        <v>1</v>
      </c>
      <c r="E82" s="12">
        <f t="shared" si="15"/>
        <v>1</v>
      </c>
      <c r="F82" s="29"/>
      <c r="G82" s="45"/>
      <c r="H82" s="16"/>
      <c r="I82" s="12">
        <f t="shared" si="16"/>
        <v>0</v>
      </c>
      <c r="J82" s="29"/>
      <c r="K82" s="45"/>
      <c r="L82" s="16"/>
      <c r="M82" s="12">
        <f t="shared" si="17"/>
        <v>0</v>
      </c>
      <c r="N82" s="20">
        <f t="shared" si="18"/>
        <v>1</v>
      </c>
      <c r="O82" s="15">
        <v>46139</v>
      </c>
      <c r="P82" s="14"/>
      <c r="Q82" s="14"/>
    </row>
    <row r="83" spans="1:17" ht="14.25" thickBot="1" x14ac:dyDescent="0.2">
      <c r="A83" s="3" t="s">
        <v>9</v>
      </c>
      <c r="B83" s="22">
        <f>SUM(B59:B82)</f>
        <v>3</v>
      </c>
      <c r="C83" s="47">
        <f t="shared" ref="C83:E83" si="19">SUM(C59:C82)</f>
        <v>10</v>
      </c>
      <c r="D83" s="41">
        <f t="shared" si="19"/>
        <v>6</v>
      </c>
      <c r="E83" s="31">
        <f t="shared" si="19"/>
        <v>19</v>
      </c>
      <c r="F83" s="22">
        <f>SUM(F59:F82)</f>
        <v>3</v>
      </c>
      <c r="G83" s="47">
        <f t="shared" ref="G83:I83" si="20">SUM(G59:G82)</f>
        <v>1</v>
      </c>
      <c r="H83" s="41">
        <f t="shared" si="20"/>
        <v>4</v>
      </c>
      <c r="I83" s="31">
        <f t="shared" si="20"/>
        <v>8</v>
      </c>
      <c r="J83" s="22">
        <f>SUM(J59:J82)</f>
        <v>0</v>
      </c>
      <c r="K83" s="47">
        <f t="shared" ref="K83:M83" si="21">SUM(K59:K82)</f>
        <v>3</v>
      </c>
      <c r="L83" s="41">
        <f t="shared" si="21"/>
        <v>4</v>
      </c>
      <c r="M83" s="31">
        <f t="shared" si="21"/>
        <v>7</v>
      </c>
      <c r="N83" s="24">
        <f t="shared" si="18"/>
        <v>34</v>
      </c>
    </row>
    <row r="84" spans="1:17" ht="14.25" thickBot="1" x14ac:dyDescent="0.2">
      <c r="A84" s="32" t="s">
        <v>10</v>
      </c>
      <c r="B84" s="33">
        <f>B58-B83</f>
        <v>5</v>
      </c>
      <c r="C84" s="49">
        <f t="shared" ref="C84:E84" si="22">C58-C83</f>
        <v>4</v>
      </c>
      <c r="D84" s="42">
        <f t="shared" si="22"/>
        <v>4</v>
      </c>
      <c r="E84" s="33">
        <f t="shared" si="22"/>
        <v>13</v>
      </c>
      <c r="F84" s="33">
        <f>F58-F83</f>
        <v>5</v>
      </c>
      <c r="G84" s="49">
        <f t="shared" ref="G84:I84" si="23">G58-G83</f>
        <v>4</v>
      </c>
      <c r="H84" s="42">
        <f t="shared" si="23"/>
        <v>3</v>
      </c>
      <c r="I84" s="33">
        <f t="shared" si="23"/>
        <v>12</v>
      </c>
      <c r="J84" s="33">
        <f>J58-J83</f>
        <v>5</v>
      </c>
      <c r="K84" s="49">
        <f t="shared" ref="K84:M84" si="24">K58-K83</f>
        <v>5</v>
      </c>
      <c r="L84" s="42">
        <f t="shared" si="24"/>
        <v>3</v>
      </c>
      <c r="M84" s="33">
        <f t="shared" si="24"/>
        <v>13</v>
      </c>
      <c r="N84" s="24">
        <f t="shared" si="18"/>
        <v>38</v>
      </c>
    </row>
    <row r="87" spans="1:17" ht="21.75" thickBot="1" x14ac:dyDescent="0.25">
      <c r="A87" s="34" t="s">
        <v>46</v>
      </c>
      <c r="B87" s="35"/>
      <c r="C87" s="35"/>
      <c r="D87" s="35"/>
      <c r="E87" s="37"/>
      <c r="F87" s="35"/>
      <c r="G87" s="35"/>
      <c r="H87" s="38" t="s">
        <v>40</v>
      </c>
      <c r="I87" s="1"/>
      <c r="J87" s="1"/>
      <c r="K87" s="1"/>
      <c r="L87" s="1"/>
      <c r="M87" s="1"/>
      <c r="N87">
        <v>890</v>
      </c>
    </row>
    <row r="88" spans="1:17" ht="14.25" thickBot="1" x14ac:dyDescent="0.2">
      <c r="A88" s="2" t="s">
        <v>0</v>
      </c>
      <c r="B88" s="121" t="s">
        <v>41</v>
      </c>
      <c r="C88" s="121"/>
      <c r="D88" s="121"/>
      <c r="E88" s="122"/>
      <c r="F88" s="123" t="s">
        <v>20</v>
      </c>
      <c r="G88" s="123"/>
      <c r="H88" s="123"/>
      <c r="I88" s="124"/>
      <c r="J88" s="125" t="s">
        <v>13</v>
      </c>
      <c r="K88" s="125"/>
      <c r="L88" s="125"/>
      <c r="M88" s="126"/>
      <c r="N88" s="107" t="s">
        <v>14</v>
      </c>
    </row>
    <row r="89" spans="1:17" ht="14.25" thickBot="1" x14ac:dyDescent="0.2">
      <c r="A89" s="2" t="s">
        <v>1</v>
      </c>
      <c r="B89" s="3" t="s">
        <v>2</v>
      </c>
      <c r="C89" s="43" t="s">
        <v>3</v>
      </c>
      <c r="D89" s="4" t="s">
        <v>4</v>
      </c>
      <c r="E89" s="2" t="s">
        <v>5</v>
      </c>
      <c r="F89" s="3" t="s">
        <v>2</v>
      </c>
      <c r="G89" s="43" t="s">
        <v>3</v>
      </c>
      <c r="H89" s="4" t="s">
        <v>4</v>
      </c>
      <c r="I89" s="2" t="s">
        <v>5</v>
      </c>
      <c r="J89" s="3" t="s">
        <v>2</v>
      </c>
      <c r="K89" s="43" t="s">
        <v>3</v>
      </c>
      <c r="L89" s="4" t="s">
        <v>4</v>
      </c>
      <c r="M89" s="2" t="s">
        <v>5</v>
      </c>
      <c r="N89" s="108"/>
    </row>
    <row r="90" spans="1:17" x14ac:dyDescent="0.15">
      <c r="A90" s="5" t="s">
        <v>10</v>
      </c>
      <c r="B90" s="6">
        <f>B84</f>
        <v>5</v>
      </c>
      <c r="C90" s="50">
        <f t="shared" ref="C90:N90" si="25">C84</f>
        <v>4</v>
      </c>
      <c r="D90" s="6">
        <f t="shared" si="25"/>
        <v>4</v>
      </c>
      <c r="E90" s="7">
        <f t="shared" si="25"/>
        <v>13</v>
      </c>
      <c r="F90" s="6">
        <f t="shared" si="25"/>
        <v>5</v>
      </c>
      <c r="G90" s="50">
        <f t="shared" si="25"/>
        <v>4</v>
      </c>
      <c r="H90" s="6">
        <f t="shared" si="25"/>
        <v>3</v>
      </c>
      <c r="I90" s="7">
        <f t="shared" si="25"/>
        <v>12</v>
      </c>
      <c r="J90" s="6">
        <f t="shared" si="25"/>
        <v>5</v>
      </c>
      <c r="K90" s="50">
        <f t="shared" si="25"/>
        <v>5</v>
      </c>
      <c r="L90" s="6">
        <f t="shared" si="25"/>
        <v>3</v>
      </c>
      <c r="M90" s="7">
        <f t="shared" si="25"/>
        <v>13</v>
      </c>
      <c r="N90" s="8">
        <f t="shared" si="25"/>
        <v>38</v>
      </c>
    </row>
    <row r="91" spans="1:17" x14ac:dyDescent="0.15">
      <c r="A91" s="9" t="s">
        <v>7</v>
      </c>
      <c r="B91" s="10"/>
      <c r="C91" s="44"/>
      <c r="D91" s="10"/>
      <c r="E91" s="12">
        <f t="shared" ref="E91:E125" si="26">SUM(B91:D91)</f>
        <v>0</v>
      </c>
      <c r="F91" s="10"/>
      <c r="G91" s="44"/>
      <c r="H91" s="10"/>
      <c r="I91" s="12">
        <f t="shared" ref="I91:I125" si="27">SUM(F91:H91)</f>
        <v>0</v>
      </c>
      <c r="J91" s="10"/>
      <c r="K91" s="44"/>
      <c r="L91" s="10"/>
      <c r="M91" s="12">
        <f t="shared" ref="M91:M125" si="28">SUM(J91:L91)</f>
        <v>0</v>
      </c>
      <c r="N91" s="13">
        <f>E91+I91+M91</f>
        <v>0</v>
      </c>
    </row>
    <row r="92" spans="1:17" x14ac:dyDescent="0.15">
      <c r="A92" s="9" t="s">
        <v>7</v>
      </c>
      <c r="B92" s="10"/>
      <c r="C92" s="44"/>
      <c r="D92" s="10"/>
      <c r="E92" s="12">
        <f t="shared" si="26"/>
        <v>0</v>
      </c>
      <c r="F92" s="10"/>
      <c r="G92" s="44"/>
      <c r="H92" s="10"/>
      <c r="I92" s="12">
        <f t="shared" si="27"/>
        <v>0</v>
      </c>
      <c r="J92" s="10"/>
      <c r="K92" s="44"/>
      <c r="L92" s="10"/>
      <c r="M92" s="12">
        <f t="shared" si="28"/>
        <v>0</v>
      </c>
      <c r="N92" s="13">
        <f t="shared" ref="N92:N127" si="29">E92+I92+M92</f>
        <v>0</v>
      </c>
    </row>
    <row r="93" spans="1:17" x14ac:dyDescent="0.15">
      <c r="A93" s="9" t="s">
        <v>7</v>
      </c>
      <c r="B93" s="10"/>
      <c r="C93" s="44"/>
      <c r="D93" s="10"/>
      <c r="E93" s="12">
        <f t="shared" si="26"/>
        <v>0</v>
      </c>
      <c r="F93" s="10"/>
      <c r="G93" s="44"/>
      <c r="H93" s="10"/>
      <c r="I93" s="12">
        <f t="shared" si="27"/>
        <v>0</v>
      </c>
      <c r="J93" s="10"/>
      <c r="K93" s="44"/>
      <c r="L93" s="10"/>
      <c r="M93" s="12">
        <f t="shared" si="28"/>
        <v>0</v>
      </c>
      <c r="N93" s="13">
        <f t="shared" si="29"/>
        <v>0</v>
      </c>
    </row>
    <row r="94" spans="1:17" x14ac:dyDescent="0.15">
      <c r="A94" s="9" t="s">
        <v>7</v>
      </c>
      <c r="B94" s="10"/>
      <c r="C94" s="44"/>
      <c r="D94" s="10"/>
      <c r="E94" s="12">
        <f t="shared" si="26"/>
        <v>0</v>
      </c>
      <c r="F94" s="10"/>
      <c r="G94" s="44"/>
      <c r="H94" s="10"/>
      <c r="I94" s="12">
        <f t="shared" si="27"/>
        <v>0</v>
      </c>
      <c r="J94" s="10"/>
      <c r="K94" s="44"/>
      <c r="L94" s="10"/>
      <c r="M94" s="12">
        <f t="shared" si="28"/>
        <v>0</v>
      </c>
      <c r="N94" s="13">
        <f t="shared" si="29"/>
        <v>0</v>
      </c>
    </row>
    <row r="95" spans="1:17" x14ac:dyDescent="0.15">
      <c r="A95" s="9" t="s">
        <v>7</v>
      </c>
      <c r="B95" s="10"/>
      <c r="C95" s="44"/>
      <c r="D95" s="10"/>
      <c r="E95" s="12">
        <f t="shared" si="26"/>
        <v>0</v>
      </c>
      <c r="F95" s="10"/>
      <c r="G95" s="44"/>
      <c r="H95" s="10"/>
      <c r="I95" s="12">
        <f t="shared" si="27"/>
        <v>0</v>
      </c>
      <c r="J95" s="10"/>
      <c r="K95" s="44"/>
      <c r="L95" s="10"/>
      <c r="M95" s="12">
        <f t="shared" si="28"/>
        <v>0</v>
      </c>
      <c r="N95" s="13">
        <f t="shared" si="29"/>
        <v>0</v>
      </c>
    </row>
    <row r="96" spans="1:17" x14ac:dyDescent="0.15">
      <c r="A96" s="9" t="s">
        <v>7</v>
      </c>
      <c r="B96" s="10"/>
      <c r="C96" s="44"/>
      <c r="D96" s="10"/>
      <c r="E96" s="12">
        <f t="shared" si="26"/>
        <v>0</v>
      </c>
      <c r="F96" s="10"/>
      <c r="G96" s="44"/>
      <c r="H96" s="10"/>
      <c r="I96" s="12">
        <f t="shared" si="27"/>
        <v>0</v>
      </c>
      <c r="J96" s="10"/>
      <c r="K96" s="44"/>
      <c r="L96" s="10"/>
      <c r="M96" s="12">
        <f t="shared" si="28"/>
        <v>0</v>
      </c>
      <c r="N96" s="13">
        <f t="shared" si="29"/>
        <v>0</v>
      </c>
    </row>
    <row r="97" spans="1:15" x14ac:dyDescent="0.15">
      <c r="A97" s="9" t="s">
        <v>7</v>
      </c>
      <c r="B97" s="16"/>
      <c r="C97" s="45"/>
      <c r="D97" s="16"/>
      <c r="E97" s="12">
        <f t="shared" si="26"/>
        <v>0</v>
      </c>
      <c r="F97" s="16"/>
      <c r="G97" s="45"/>
      <c r="H97" s="16"/>
      <c r="I97" s="12">
        <f t="shared" si="27"/>
        <v>0</v>
      </c>
      <c r="J97" s="16"/>
      <c r="K97" s="45"/>
      <c r="L97" s="16"/>
      <c r="M97" s="12">
        <f t="shared" si="28"/>
        <v>0</v>
      </c>
      <c r="N97" s="13">
        <f t="shared" si="29"/>
        <v>0</v>
      </c>
    </row>
    <row r="98" spans="1:15" x14ac:dyDescent="0.15">
      <c r="A98" s="9" t="s">
        <v>7</v>
      </c>
      <c r="B98" s="16"/>
      <c r="C98" s="45"/>
      <c r="D98" s="16"/>
      <c r="E98" s="12">
        <f t="shared" si="26"/>
        <v>0</v>
      </c>
      <c r="F98" s="16"/>
      <c r="G98" s="45"/>
      <c r="H98" s="16"/>
      <c r="I98" s="12">
        <f t="shared" si="27"/>
        <v>0</v>
      </c>
      <c r="J98" s="16"/>
      <c r="K98" s="45"/>
      <c r="L98" s="16"/>
      <c r="M98" s="12">
        <f t="shared" si="28"/>
        <v>0</v>
      </c>
      <c r="N98" s="13">
        <f t="shared" si="29"/>
        <v>0</v>
      </c>
    </row>
    <row r="99" spans="1:15" x14ac:dyDescent="0.15">
      <c r="A99" s="9" t="s">
        <v>7</v>
      </c>
      <c r="B99" s="16"/>
      <c r="C99" s="45"/>
      <c r="D99" s="16"/>
      <c r="E99" s="12">
        <f t="shared" si="26"/>
        <v>0</v>
      </c>
      <c r="F99" s="16"/>
      <c r="G99" s="45"/>
      <c r="H99" s="16"/>
      <c r="I99" s="12">
        <f t="shared" si="27"/>
        <v>0</v>
      </c>
      <c r="J99" s="16"/>
      <c r="K99" s="45"/>
      <c r="L99" s="16"/>
      <c r="M99" s="12">
        <f t="shared" si="28"/>
        <v>0</v>
      </c>
      <c r="N99" s="13">
        <f t="shared" si="29"/>
        <v>0</v>
      </c>
    </row>
    <row r="100" spans="1:15" ht="14.25" thickBot="1" x14ac:dyDescent="0.2">
      <c r="A100" s="9" t="s">
        <v>7</v>
      </c>
      <c r="B100" s="18"/>
      <c r="C100" s="46"/>
      <c r="D100" s="18"/>
      <c r="E100" s="19">
        <f t="shared" si="26"/>
        <v>0</v>
      </c>
      <c r="F100" s="18"/>
      <c r="G100" s="46"/>
      <c r="H100" s="18"/>
      <c r="I100" s="19">
        <f t="shared" si="27"/>
        <v>0</v>
      </c>
      <c r="J100" s="18"/>
      <c r="K100" s="46"/>
      <c r="L100" s="18"/>
      <c r="M100" s="19">
        <f t="shared" si="28"/>
        <v>0</v>
      </c>
      <c r="N100" s="20">
        <f t="shared" si="29"/>
        <v>0</v>
      </c>
    </row>
    <row r="101" spans="1:15" ht="14.25" thickBot="1" x14ac:dyDescent="0.2">
      <c r="A101" s="21" t="s">
        <v>8</v>
      </c>
      <c r="B101" s="22">
        <f>SUM(B90:B100)</f>
        <v>5</v>
      </c>
      <c r="C101" s="47">
        <f>SUM(C90:C100)</f>
        <v>4</v>
      </c>
      <c r="D101" s="40">
        <f>SUM(D90:D100)</f>
        <v>4</v>
      </c>
      <c r="E101" s="23">
        <f t="shared" si="26"/>
        <v>13</v>
      </c>
      <c r="F101" s="22">
        <f>SUM(F90:F100)</f>
        <v>5</v>
      </c>
      <c r="G101" s="47">
        <f>SUM(G90:G100)</f>
        <v>4</v>
      </c>
      <c r="H101" s="40">
        <f>SUM(H90:H100)</f>
        <v>3</v>
      </c>
      <c r="I101" s="23">
        <f t="shared" si="27"/>
        <v>12</v>
      </c>
      <c r="J101" s="22">
        <f>SUM(J90:J100)</f>
        <v>5</v>
      </c>
      <c r="K101" s="47">
        <f>SUM(K90:K100)</f>
        <v>5</v>
      </c>
      <c r="L101" s="40">
        <f>SUM(L90:L100)</f>
        <v>3</v>
      </c>
      <c r="M101" s="23">
        <f t="shared" si="28"/>
        <v>13</v>
      </c>
      <c r="N101" s="24">
        <f t="shared" si="29"/>
        <v>38</v>
      </c>
    </row>
    <row r="102" spans="1:15" x14ac:dyDescent="0.15">
      <c r="A102" s="25" t="s">
        <v>28</v>
      </c>
      <c r="B102" s="26"/>
      <c r="C102" s="48"/>
      <c r="D102" s="27"/>
      <c r="E102" s="12">
        <f t="shared" si="26"/>
        <v>0</v>
      </c>
      <c r="F102" s="26"/>
      <c r="G102" s="48"/>
      <c r="H102" s="27"/>
      <c r="I102" s="12">
        <f t="shared" si="27"/>
        <v>0</v>
      </c>
      <c r="J102" s="26">
        <v>1</v>
      </c>
      <c r="K102" s="48"/>
      <c r="L102" s="27"/>
      <c r="M102" s="12">
        <f t="shared" si="28"/>
        <v>1</v>
      </c>
      <c r="N102" s="13">
        <f t="shared" si="29"/>
        <v>1</v>
      </c>
      <c r="O102" s="30">
        <v>46153</v>
      </c>
    </row>
    <row r="103" spans="1:15" x14ac:dyDescent="0.15">
      <c r="A103" s="25" t="s">
        <v>28</v>
      </c>
      <c r="B103" s="29"/>
      <c r="C103" s="45"/>
      <c r="D103" s="16"/>
      <c r="E103" s="12">
        <f t="shared" si="26"/>
        <v>0</v>
      </c>
      <c r="F103" s="29"/>
      <c r="G103" s="45"/>
      <c r="H103" s="16"/>
      <c r="I103" s="12">
        <f t="shared" si="27"/>
        <v>0</v>
      </c>
      <c r="J103" s="29"/>
      <c r="K103" s="45"/>
      <c r="L103" s="16">
        <v>1</v>
      </c>
      <c r="M103" s="12">
        <f t="shared" si="28"/>
        <v>1</v>
      </c>
      <c r="N103" s="13">
        <f t="shared" si="29"/>
        <v>1</v>
      </c>
      <c r="O103" s="30">
        <v>46157</v>
      </c>
    </row>
    <row r="104" spans="1:15" x14ac:dyDescent="0.15">
      <c r="A104" s="25" t="s">
        <v>28</v>
      </c>
      <c r="B104" s="29"/>
      <c r="C104" s="45"/>
      <c r="D104" s="16">
        <v>1</v>
      </c>
      <c r="E104" s="12">
        <f t="shared" si="26"/>
        <v>1</v>
      </c>
      <c r="F104" s="29"/>
      <c r="G104" s="45"/>
      <c r="H104" s="16"/>
      <c r="I104" s="12">
        <f t="shared" si="27"/>
        <v>0</v>
      </c>
      <c r="J104" s="29"/>
      <c r="K104" s="45"/>
      <c r="L104" s="16"/>
      <c r="M104" s="12">
        <f t="shared" si="28"/>
        <v>0</v>
      </c>
      <c r="N104" s="13">
        <f t="shared" si="29"/>
        <v>1</v>
      </c>
      <c r="O104" s="30">
        <v>46162</v>
      </c>
    </row>
    <row r="105" spans="1:15" x14ac:dyDescent="0.15">
      <c r="A105" s="25" t="s">
        <v>28</v>
      </c>
      <c r="B105" s="29"/>
      <c r="C105" s="45"/>
      <c r="D105" s="16"/>
      <c r="E105" s="12">
        <f t="shared" si="26"/>
        <v>0</v>
      </c>
      <c r="F105" s="29"/>
      <c r="G105" s="45"/>
      <c r="H105" s="16"/>
      <c r="I105" s="12">
        <f t="shared" si="27"/>
        <v>0</v>
      </c>
      <c r="J105" s="29"/>
      <c r="K105" s="45">
        <v>1</v>
      </c>
      <c r="L105" s="16"/>
      <c r="M105" s="12">
        <f t="shared" si="28"/>
        <v>1</v>
      </c>
      <c r="N105" s="13">
        <f t="shared" si="29"/>
        <v>1</v>
      </c>
      <c r="O105" s="30">
        <v>46178</v>
      </c>
    </row>
    <row r="106" spans="1:15" x14ac:dyDescent="0.15">
      <c r="A106" s="25" t="s">
        <v>28</v>
      </c>
      <c r="B106" s="29"/>
      <c r="C106" s="45"/>
      <c r="D106" s="16">
        <v>1</v>
      </c>
      <c r="E106" s="12">
        <f t="shared" si="26"/>
        <v>1</v>
      </c>
      <c r="F106" s="29"/>
      <c r="G106" s="45"/>
      <c r="H106" s="16"/>
      <c r="I106" s="12">
        <f t="shared" si="27"/>
        <v>0</v>
      </c>
      <c r="J106" s="29"/>
      <c r="K106" s="45"/>
      <c r="L106" s="16">
        <v>1</v>
      </c>
      <c r="M106" s="12">
        <f t="shared" si="28"/>
        <v>1</v>
      </c>
      <c r="N106" s="13">
        <f t="shared" si="29"/>
        <v>2</v>
      </c>
      <c r="O106" s="30">
        <v>46181</v>
      </c>
    </row>
    <row r="107" spans="1:15" x14ac:dyDescent="0.15">
      <c r="A107" s="25" t="s">
        <v>28</v>
      </c>
      <c r="B107" s="29"/>
      <c r="C107" s="45">
        <v>1</v>
      </c>
      <c r="D107" s="16"/>
      <c r="E107" s="12">
        <f t="shared" si="26"/>
        <v>1</v>
      </c>
      <c r="F107" s="29"/>
      <c r="G107" s="45"/>
      <c r="H107" s="16"/>
      <c r="I107" s="12">
        <f t="shared" si="27"/>
        <v>0</v>
      </c>
      <c r="J107" s="29"/>
      <c r="K107" s="45">
        <v>1</v>
      </c>
      <c r="L107" s="16"/>
      <c r="M107" s="12">
        <f t="shared" si="28"/>
        <v>1</v>
      </c>
      <c r="N107" s="13">
        <f t="shared" si="29"/>
        <v>2</v>
      </c>
      <c r="O107" s="30">
        <v>46182</v>
      </c>
    </row>
    <row r="108" spans="1:15" x14ac:dyDescent="0.15">
      <c r="A108" s="25" t="s">
        <v>28</v>
      </c>
      <c r="B108" s="29"/>
      <c r="C108" s="45">
        <v>1</v>
      </c>
      <c r="D108" s="16"/>
      <c r="E108" s="12">
        <f t="shared" si="26"/>
        <v>1</v>
      </c>
      <c r="F108" s="29"/>
      <c r="G108" s="45"/>
      <c r="H108" s="16"/>
      <c r="I108" s="12">
        <f t="shared" si="27"/>
        <v>0</v>
      </c>
      <c r="J108" s="29"/>
      <c r="K108" s="45">
        <v>1</v>
      </c>
      <c r="L108" s="16"/>
      <c r="M108" s="12">
        <f t="shared" si="28"/>
        <v>1</v>
      </c>
      <c r="N108" s="13">
        <f t="shared" si="29"/>
        <v>2</v>
      </c>
      <c r="O108" s="30">
        <v>46185</v>
      </c>
    </row>
    <row r="109" spans="1:15" x14ac:dyDescent="0.15">
      <c r="A109" s="25" t="s">
        <v>28</v>
      </c>
      <c r="B109" s="29"/>
      <c r="C109" s="45"/>
      <c r="D109" s="16">
        <v>1</v>
      </c>
      <c r="E109" s="12">
        <f t="shared" si="26"/>
        <v>1</v>
      </c>
      <c r="F109" s="29"/>
      <c r="G109" s="45"/>
      <c r="H109" s="16"/>
      <c r="I109" s="12">
        <f t="shared" si="27"/>
        <v>0</v>
      </c>
      <c r="J109" s="29"/>
      <c r="K109" s="45"/>
      <c r="L109" s="16"/>
      <c r="M109" s="12">
        <f t="shared" si="28"/>
        <v>0</v>
      </c>
      <c r="N109" s="13">
        <f t="shared" si="29"/>
        <v>1</v>
      </c>
      <c r="O109" s="30">
        <v>46191</v>
      </c>
    </row>
    <row r="110" spans="1:15" x14ac:dyDescent="0.15">
      <c r="A110" s="25"/>
      <c r="B110" s="29"/>
      <c r="C110" s="45"/>
      <c r="D110" s="16"/>
      <c r="E110" s="12">
        <f t="shared" si="26"/>
        <v>0</v>
      </c>
      <c r="F110" s="29"/>
      <c r="G110" s="45"/>
      <c r="H110" s="16"/>
      <c r="I110" s="12">
        <f t="shared" si="27"/>
        <v>0</v>
      </c>
      <c r="J110" s="29"/>
      <c r="K110" s="45"/>
      <c r="L110" s="16"/>
      <c r="M110" s="12">
        <f t="shared" si="28"/>
        <v>0</v>
      </c>
      <c r="N110" s="13">
        <f t="shared" si="29"/>
        <v>0</v>
      </c>
    </row>
    <row r="111" spans="1:15" x14ac:dyDescent="0.15">
      <c r="A111" s="25"/>
      <c r="B111" s="29"/>
      <c r="C111" s="45"/>
      <c r="D111" s="16"/>
      <c r="E111" s="12">
        <f t="shared" si="26"/>
        <v>0</v>
      </c>
      <c r="F111" s="29"/>
      <c r="G111" s="45"/>
      <c r="H111" s="16"/>
      <c r="I111" s="12">
        <f t="shared" si="27"/>
        <v>0</v>
      </c>
      <c r="J111" s="29"/>
      <c r="K111" s="45"/>
      <c r="L111" s="16"/>
      <c r="M111" s="12">
        <f t="shared" si="28"/>
        <v>0</v>
      </c>
      <c r="N111" s="13">
        <f t="shared" si="29"/>
        <v>0</v>
      </c>
    </row>
    <row r="112" spans="1:15" x14ac:dyDescent="0.15">
      <c r="A112" s="25"/>
      <c r="B112" s="29"/>
      <c r="C112" s="45"/>
      <c r="D112" s="16"/>
      <c r="E112" s="12">
        <f t="shared" si="26"/>
        <v>0</v>
      </c>
      <c r="F112" s="29"/>
      <c r="G112" s="45"/>
      <c r="H112" s="16"/>
      <c r="I112" s="12">
        <f t="shared" si="27"/>
        <v>0</v>
      </c>
      <c r="J112" s="29"/>
      <c r="K112" s="45"/>
      <c r="L112" s="16"/>
      <c r="M112" s="12">
        <f t="shared" si="28"/>
        <v>0</v>
      </c>
      <c r="N112" s="13">
        <f t="shared" si="29"/>
        <v>0</v>
      </c>
    </row>
    <row r="113" spans="1:14" x14ac:dyDescent="0.15">
      <c r="A113" s="25"/>
      <c r="B113" s="29"/>
      <c r="C113" s="45"/>
      <c r="D113" s="16"/>
      <c r="E113" s="39">
        <f t="shared" si="26"/>
        <v>0</v>
      </c>
      <c r="F113" s="29"/>
      <c r="G113" s="45"/>
      <c r="H113" s="16"/>
      <c r="I113" s="39">
        <f t="shared" si="27"/>
        <v>0</v>
      </c>
      <c r="J113" s="29"/>
      <c r="K113" s="45"/>
      <c r="L113" s="16"/>
      <c r="M113" s="39">
        <f t="shared" si="28"/>
        <v>0</v>
      </c>
      <c r="N113" s="13">
        <f t="shared" si="29"/>
        <v>0</v>
      </c>
    </row>
    <row r="114" spans="1:14" x14ac:dyDescent="0.15">
      <c r="A114" s="25"/>
      <c r="B114" s="29"/>
      <c r="C114" s="45"/>
      <c r="D114" s="16"/>
      <c r="E114" s="12">
        <f t="shared" si="26"/>
        <v>0</v>
      </c>
      <c r="F114" s="29"/>
      <c r="G114" s="45"/>
      <c r="H114" s="16"/>
      <c r="I114" s="12">
        <f t="shared" si="27"/>
        <v>0</v>
      </c>
      <c r="J114" s="29"/>
      <c r="K114" s="45"/>
      <c r="L114" s="16"/>
      <c r="M114" s="12">
        <f t="shared" si="28"/>
        <v>0</v>
      </c>
      <c r="N114" s="13">
        <f t="shared" si="29"/>
        <v>0</v>
      </c>
    </row>
    <row r="115" spans="1:14" x14ac:dyDescent="0.15">
      <c r="A115" s="25"/>
      <c r="B115" s="29"/>
      <c r="C115" s="45"/>
      <c r="D115" s="16"/>
      <c r="E115" s="12">
        <f t="shared" si="26"/>
        <v>0</v>
      </c>
      <c r="F115" s="29"/>
      <c r="G115" s="45"/>
      <c r="H115" s="16"/>
      <c r="I115" s="12">
        <f t="shared" si="27"/>
        <v>0</v>
      </c>
      <c r="J115" s="29"/>
      <c r="K115" s="45"/>
      <c r="L115" s="16"/>
      <c r="M115" s="12">
        <f t="shared" si="28"/>
        <v>0</v>
      </c>
      <c r="N115" s="13">
        <f t="shared" si="29"/>
        <v>0</v>
      </c>
    </row>
    <row r="116" spans="1:14" x14ac:dyDescent="0.15">
      <c r="A116" s="25"/>
      <c r="B116" s="29"/>
      <c r="C116" s="45"/>
      <c r="D116" s="16"/>
      <c r="E116" s="12">
        <f t="shared" si="26"/>
        <v>0</v>
      </c>
      <c r="F116" s="29"/>
      <c r="G116" s="45"/>
      <c r="H116" s="16"/>
      <c r="I116" s="12">
        <f t="shared" si="27"/>
        <v>0</v>
      </c>
      <c r="J116" s="29"/>
      <c r="K116" s="45"/>
      <c r="L116" s="16"/>
      <c r="M116" s="12">
        <f t="shared" si="28"/>
        <v>0</v>
      </c>
      <c r="N116" s="13">
        <f t="shared" si="29"/>
        <v>0</v>
      </c>
    </row>
    <row r="117" spans="1:14" x14ac:dyDescent="0.15">
      <c r="A117" s="25"/>
      <c r="B117" s="29"/>
      <c r="C117" s="45"/>
      <c r="D117" s="16"/>
      <c r="E117" s="12">
        <f t="shared" si="26"/>
        <v>0</v>
      </c>
      <c r="F117" s="29"/>
      <c r="G117" s="45"/>
      <c r="H117" s="16"/>
      <c r="I117" s="12">
        <f t="shared" si="27"/>
        <v>0</v>
      </c>
      <c r="J117" s="29"/>
      <c r="K117" s="45"/>
      <c r="L117" s="16"/>
      <c r="M117" s="12">
        <f t="shared" si="28"/>
        <v>0</v>
      </c>
      <c r="N117" s="13">
        <f t="shared" si="29"/>
        <v>0</v>
      </c>
    </row>
    <row r="118" spans="1:14" x14ac:dyDescent="0.15">
      <c r="A118" s="25"/>
      <c r="B118" s="29"/>
      <c r="C118" s="45"/>
      <c r="D118" s="16"/>
      <c r="E118" s="12">
        <f t="shared" si="26"/>
        <v>0</v>
      </c>
      <c r="F118" s="29"/>
      <c r="G118" s="45"/>
      <c r="H118" s="16"/>
      <c r="I118" s="12">
        <f t="shared" si="27"/>
        <v>0</v>
      </c>
      <c r="J118" s="29"/>
      <c r="K118" s="45"/>
      <c r="L118" s="16"/>
      <c r="M118" s="12">
        <f t="shared" si="28"/>
        <v>0</v>
      </c>
      <c r="N118" s="13">
        <f t="shared" si="29"/>
        <v>0</v>
      </c>
    </row>
    <row r="119" spans="1:14" x14ac:dyDescent="0.15">
      <c r="A119" s="25"/>
      <c r="B119" s="29"/>
      <c r="C119" s="45"/>
      <c r="D119" s="16"/>
      <c r="E119" s="12">
        <f t="shared" si="26"/>
        <v>0</v>
      </c>
      <c r="F119" s="29"/>
      <c r="G119" s="45"/>
      <c r="H119" s="16"/>
      <c r="I119" s="12">
        <f t="shared" si="27"/>
        <v>0</v>
      </c>
      <c r="J119" s="29"/>
      <c r="K119" s="45"/>
      <c r="L119" s="16"/>
      <c r="M119" s="12">
        <f t="shared" si="28"/>
        <v>0</v>
      </c>
      <c r="N119" s="13">
        <f t="shared" si="29"/>
        <v>0</v>
      </c>
    </row>
    <row r="120" spans="1:14" x14ac:dyDescent="0.15">
      <c r="A120" s="25"/>
      <c r="B120" s="29"/>
      <c r="C120" s="45"/>
      <c r="D120" s="16"/>
      <c r="E120" s="12">
        <f t="shared" si="26"/>
        <v>0</v>
      </c>
      <c r="F120" s="29"/>
      <c r="G120" s="45"/>
      <c r="H120" s="16"/>
      <c r="I120" s="12">
        <f t="shared" si="27"/>
        <v>0</v>
      </c>
      <c r="J120" s="29"/>
      <c r="K120" s="45"/>
      <c r="L120" s="16"/>
      <c r="M120" s="12">
        <f t="shared" si="28"/>
        <v>0</v>
      </c>
      <c r="N120" s="13">
        <f t="shared" si="29"/>
        <v>0</v>
      </c>
    </row>
    <row r="121" spans="1:14" x14ac:dyDescent="0.15">
      <c r="A121" s="25"/>
      <c r="B121" s="29"/>
      <c r="C121" s="45"/>
      <c r="D121" s="16"/>
      <c r="E121" s="12">
        <f t="shared" si="26"/>
        <v>0</v>
      </c>
      <c r="F121" s="29"/>
      <c r="G121" s="45"/>
      <c r="H121" s="16"/>
      <c r="I121" s="12">
        <f t="shared" si="27"/>
        <v>0</v>
      </c>
      <c r="J121" s="29"/>
      <c r="K121" s="45"/>
      <c r="L121" s="16"/>
      <c r="M121" s="12">
        <f t="shared" si="28"/>
        <v>0</v>
      </c>
      <c r="N121" s="13">
        <f t="shared" si="29"/>
        <v>0</v>
      </c>
    </row>
    <row r="122" spans="1:14" x14ac:dyDescent="0.15">
      <c r="A122" s="25"/>
      <c r="B122" s="29"/>
      <c r="C122" s="45"/>
      <c r="D122" s="16"/>
      <c r="E122" s="12">
        <f t="shared" si="26"/>
        <v>0</v>
      </c>
      <c r="F122" s="29"/>
      <c r="G122" s="45"/>
      <c r="H122" s="16"/>
      <c r="I122" s="12">
        <f t="shared" si="27"/>
        <v>0</v>
      </c>
      <c r="J122" s="29"/>
      <c r="K122" s="45"/>
      <c r="L122" s="16"/>
      <c r="M122" s="12">
        <f t="shared" si="28"/>
        <v>0</v>
      </c>
      <c r="N122" s="13">
        <f t="shared" si="29"/>
        <v>0</v>
      </c>
    </row>
    <row r="123" spans="1:14" x14ac:dyDescent="0.15">
      <c r="A123" s="25"/>
      <c r="B123" s="29"/>
      <c r="C123" s="45"/>
      <c r="D123" s="16"/>
      <c r="E123" s="12">
        <f t="shared" si="26"/>
        <v>0</v>
      </c>
      <c r="F123" s="29"/>
      <c r="G123" s="45"/>
      <c r="H123" s="16"/>
      <c r="I123" s="12">
        <f t="shared" si="27"/>
        <v>0</v>
      </c>
      <c r="J123" s="29"/>
      <c r="K123" s="45"/>
      <c r="L123" s="16"/>
      <c r="M123" s="12">
        <f t="shared" si="28"/>
        <v>0</v>
      </c>
      <c r="N123" s="13">
        <f t="shared" si="29"/>
        <v>0</v>
      </c>
    </row>
    <row r="124" spans="1:14" x14ac:dyDescent="0.15">
      <c r="A124" s="25"/>
      <c r="B124" s="29"/>
      <c r="C124" s="45"/>
      <c r="D124" s="16"/>
      <c r="E124" s="12">
        <f t="shared" si="26"/>
        <v>0</v>
      </c>
      <c r="F124" s="29"/>
      <c r="G124" s="45"/>
      <c r="H124" s="16"/>
      <c r="I124" s="12">
        <f t="shared" si="27"/>
        <v>0</v>
      </c>
      <c r="J124" s="29"/>
      <c r="K124" s="45"/>
      <c r="L124" s="16"/>
      <c r="M124" s="12">
        <f t="shared" si="28"/>
        <v>0</v>
      </c>
      <c r="N124" s="13">
        <f t="shared" si="29"/>
        <v>0</v>
      </c>
    </row>
    <row r="125" spans="1:14" ht="14.25" thickBot="1" x14ac:dyDescent="0.2">
      <c r="A125" s="25"/>
      <c r="B125" s="29"/>
      <c r="C125" s="45"/>
      <c r="D125" s="16"/>
      <c r="E125" s="12">
        <f t="shared" si="26"/>
        <v>0</v>
      </c>
      <c r="F125" s="29"/>
      <c r="G125" s="45"/>
      <c r="H125" s="16"/>
      <c r="I125" s="12">
        <f t="shared" si="27"/>
        <v>0</v>
      </c>
      <c r="J125" s="29"/>
      <c r="K125" s="45"/>
      <c r="L125" s="16"/>
      <c r="M125" s="12">
        <f t="shared" si="28"/>
        <v>0</v>
      </c>
      <c r="N125" s="20">
        <f t="shared" si="29"/>
        <v>0</v>
      </c>
    </row>
    <row r="126" spans="1:14" ht="14.25" thickBot="1" x14ac:dyDescent="0.2">
      <c r="A126" s="3" t="s">
        <v>9</v>
      </c>
      <c r="B126" s="22">
        <f>SUM(B102:B125)</f>
        <v>0</v>
      </c>
      <c r="C126" s="47">
        <f t="shared" ref="C126:E126" si="30">SUM(C102:C125)</f>
        <v>2</v>
      </c>
      <c r="D126" s="41">
        <f t="shared" si="30"/>
        <v>3</v>
      </c>
      <c r="E126" s="31">
        <f t="shared" si="30"/>
        <v>5</v>
      </c>
      <c r="F126" s="22">
        <f>SUM(F102:F125)</f>
        <v>0</v>
      </c>
      <c r="G126" s="47">
        <f t="shared" ref="G126:I126" si="31">SUM(G102:G125)</f>
        <v>0</v>
      </c>
      <c r="H126" s="41">
        <f t="shared" si="31"/>
        <v>0</v>
      </c>
      <c r="I126" s="31">
        <f t="shared" si="31"/>
        <v>0</v>
      </c>
      <c r="J126" s="22">
        <f>SUM(J102:J125)</f>
        <v>1</v>
      </c>
      <c r="K126" s="47">
        <f t="shared" ref="K126:M126" si="32">SUM(K102:K125)</f>
        <v>3</v>
      </c>
      <c r="L126" s="41">
        <f t="shared" si="32"/>
        <v>2</v>
      </c>
      <c r="M126" s="31">
        <f t="shared" si="32"/>
        <v>6</v>
      </c>
      <c r="N126" s="24">
        <f t="shared" si="29"/>
        <v>11</v>
      </c>
    </row>
    <row r="127" spans="1:14" ht="14.25" thickBot="1" x14ac:dyDescent="0.2">
      <c r="A127" s="32" t="s">
        <v>10</v>
      </c>
      <c r="B127" s="33">
        <f>B101-B126</f>
        <v>5</v>
      </c>
      <c r="C127" s="49">
        <f t="shared" ref="C127:E127" si="33">C101-C126</f>
        <v>2</v>
      </c>
      <c r="D127" s="42">
        <f t="shared" si="33"/>
        <v>1</v>
      </c>
      <c r="E127" s="33">
        <f t="shared" si="33"/>
        <v>8</v>
      </c>
      <c r="F127" s="33">
        <f>F101-F126</f>
        <v>5</v>
      </c>
      <c r="G127" s="49">
        <f t="shared" ref="G127:I127" si="34">G101-G126</f>
        <v>4</v>
      </c>
      <c r="H127" s="42">
        <f t="shared" si="34"/>
        <v>3</v>
      </c>
      <c r="I127" s="33">
        <f t="shared" si="34"/>
        <v>12</v>
      </c>
      <c r="J127" s="33">
        <f>J101-J126</f>
        <v>4</v>
      </c>
      <c r="K127" s="49">
        <f t="shared" ref="K127:M127" si="35">K101-K126</f>
        <v>2</v>
      </c>
      <c r="L127" s="42">
        <f t="shared" si="35"/>
        <v>1</v>
      </c>
      <c r="M127" s="33">
        <f t="shared" si="35"/>
        <v>7</v>
      </c>
      <c r="N127" s="24">
        <f t="shared" si="29"/>
        <v>27</v>
      </c>
    </row>
  </sheetData>
  <mergeCells count="12">
    <mergeCell ref="B88:E88"/>
    <mergeCell ref="F88:I88"/>
    <mergeCell ref="J88:M88"/>
    <mergeCell ref="N88:N89"/>
    <mergeCell ref="B2:E2"/>
    <mergeCell ref="F2:I2"/>
    <mergeCell ref="J2:M2"/>
    <mergeCell ref="N2:N3"/>
    <mergeCell ref="B45:E45"/>
    <mergeCell ref="F45:I45"/>
    <mergeCell ref="J45:M45"/>
    <mergeCell ref="N45:N4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5006-B3FF-4250-8991-572508D327AE}">
  <sheetPr>
    <tabColor theme="6" tint="0.59999389629810485"/>
  </sheetPr>
  <dimension ref="A1:Q84"/>
  <sheetViews>
    <sheetView topLeftCell="A44" zoomScale="90" zoomScaleNormal="90" workbookViewId="0">
      <selection activeCell="P55" sqref="P55"/>
    </sheetView>
  </sheetViews>
  <sheetFormatPr defaultRowHeight="13.5" x14ac:dyDescent="0.15"/>
  <cols>
    <col min="1" max="1" width="22.125" customWidth="1"/>
    <col min="2" max="14" width="7.125" customWidth="1"/>
    <col min="15" max="15" width="9.25" bestFit="1" customWidth="1"/>
  </cols>
  <sheetData>
    <row r="1" spans="1:16" ht="21.75" thickBot="1" x14ac:dyDescent="0.25">
      <c r="A1" s="34" t="s">
        <v>47</v>
      </c>
      <c r="B1" s="35"/>
      <c r="C1" s="35"/>
      <c r="D1" s="35"/>
      <c r="E1" s="37"/>
      <c r="F1" s="35"/>
      <c r="G1" s="35"/>
      <c r="H1" s="38" t="s">
        <v>42</v>
      </c>
      <c r="I1" s="1"/>
      <c r="J1" s="1"/>
      <c r="K1" s="1"/>
      <c r="L1" s="1"/>
      <c r="M1" s="1"/>
      <c r="N1">
        <v>950</v>
      </c>
    </row>
    <row r="2" spans="1:16" ht="14.25" thickBot="1" x14ac:dyDescent="0.2">
      <c r="A2" s="2" t="s">
        <v>0</v>
      </c>
      <c r="B2" s="121" t="s">
        <v>15</v>
      </c>
      <c r="C2" s="121"/>
      <c r="D2" s="121"/>
      <c r="E2" s="122"/>
      <c r="F2" s="119" t="s">
        <v>43</v>
      </c>
      <c r="G2" s="119"/>
      <c r="H2" s="119"/>
      <c r="I2" s="120"/>
      <c r="J2" s="111" t="s">
        <v>17</v>
      </c>
      <c r="K2" s="111"/>
      <c r="L2" s="111"/>
      <c r="M2" s="112"/>
      <c r="N2" s="107" t="s">
        <v>14</v>
      </c>
    </row>
    <row r="3" spans="1:16" ht="14.25" thickBot="1" x14ac:dyDescent="0.2">
      <c r="A3" s="2" t="s">
        <v>1</v>
      </c>
      <c r="B3" s="3" t="s">
        <v>2</v>
      </c>
      <c r="C3" s="43" t="s">
        <v>3</v>
      </c>
      <c r="D3" s="4" t="s">
        <v>4</v>
      </c>
      <c r="E3" s="2" t="s">
        <v>5</v>
      </c>
      <c r="F3" s="3" t="s">
        <v>2</v>
      </c>
      <c r="G3" s="43" t="s">
        <v>3</v>
      </c>
      <c r="H3" s="4" t="s">
        <v>4</v>
      </c>
      <c r="I3" s="2" t="s">
        <v>5</v>
      </c>
      <c r="J3" s="3" t="s">
        <v>2</v>
      </c>
      <c r="K3" s="43" t="s">
        <v>3</v>
      </c>
      <c r="L3" s="4" t="s">
        <v>4</v>
      </c>
      <c r="M3" s="2" t="s">
        <v>5</v>
      </c>
      <c r="N3" s="108"/>
    </row>
    <row r="4" spans="1:16" x14ac:dyDescent="0.15">
      <c r="A4" s="9" t="s">
        <v>6</v>
      </c>
      <c r="B4" s="51">
        <v>3</v>
      </c>
      <c r="C4" s="52">
        <v>3</v>
      </c>
      <c r="D4" s="51">
        <v>3</v>
      </c>
      <c r="E4" s="12">
        <f>SUM(B4:D4)</f>
        <v>9</v>
      </c>
      <c r="F4" s="51">
        <v>3</v>
      </c>
      <c r="G4" s="52">
        <v>3</v>
      </c>
      <c r="H4" s="51">
        <v>3</v>
      </c>
      <c r="I4" s="12">
        <f>SUM(F4:H4)</f>
        <v>9</v>
      </c>
      <c r="J4" s="51">
        <v>3</v>
      </c>
      <c r="K4" s="52">
        <v>3</v>
      </c>
      <c r="L4" s="51">
        <v>3</v>
      </c>
      <c r="M4" s="12">
        <f>SUM(J4:L4)</f>
        <v>9</v>
      </c>
      <c r="N4" s="13">
        <f>E4+I4+M4</f>
        <v>27</v>
      </c>
      <c r="O4" s="15">
        <v>45555</v>
      </c>
      <c r="P4" s="14"/>
    </row>
    <row r="5" spans="1:16" x14ac:dyDescent="0.15">
      <c r="A5" s="9" t="s">
        <v>7</v>
      </c>
      <c r="B5" s="10"/>
      <c r="C5" s="44"/>
      <c r="D5" s="10"/>
      <c r="E5" s="12">
        <f t="shared" ref="E5:E39" si="0">SUM(B5:D5)</f>
        <v>0</v>
      </c>
      <c r="F5" s="10"/>
      <c r="G5" s="44">
        <v>2</v>
      </c>
      <c r="H5" s="10"/>
      <c r="I5" s="12">
        <f t="shared" ref="I5:I39" si="1">SUM(F5:H5)</f>
        <v>2</v>
      </c>
      <c r="J5" s="10">
        <v>2</v>
      </c>
      <c r="K5" s="44"/>
      <c r="L5" s="10"/>
      <c r="M5" s="12">
        <f t="shared" ref="M5:M39" si="2">SUM(J5:L5)</f>
        <v>2</v>
      </c>
      <c r="N5" s="13">
        <f t="shared" ref="N5:N41" si="3">E5+I5+M5</f>
        <v>4</v>
      </c>
      <c r="O5" s="15">
        <v>45574</v>
      </c>
    </row>
    <row r="6" spans="1:16" x14ac:dyDescent="0.15">
      <c r="A6" s="9" t="s">
        <v>7</v>
      </c>
      <c r="B6" s="10"/>
      <c r="C6" s="44">
        <v>3</v>
      </c>
      <c r="D6" s="10"/>
      <c r="E6" s="12">
        <f t="shared" si="0"/>
        <v>3</v>
      </c>
      <c r="F6" s="10"/>
      <c r="G6" s="44"/>
      <c r="H6" s="10"/>
      <c r="I6" s="12">
        <f t="shared" si="1"/>
        <v>0</v>
      </c>
      <c r="J6" s="10"/>
      <c r="K6" s="44">
        <v>5</v>
      </c>
      <c r="L6" s="10"/>
      <c r="M6" s="12">
        <f t="shared" si="2"/>
        <v>5</v>
      </c>
      <c r="N6" s="13">
        <f t="shared" si="3"/>
        <v>8</v>
      </c>
      <c r="O6" s="15">
        <v>45589</v>
      </c>
    </row>
    <row r="7" spans="1:16" x14ac:dyDescent="0.15">
      <c r="A7" s="9" t="s">
        <v>7</v>
      </c>
      <c r="B7" s="10"/>
      <c r="C7" s="44"/>
      <c r="D7" s="10">
        <v>2</v>
      </c>
      <c r="E7" s="12">
        <f t="shared" si="0"/>
        <v>2</v>
      </c>
      <c r="F7" s="10"/>
      <c r="G7" s="44"/>
      <c r="H7" s="10"/>
      <c r="I7" s="12">
        <f t="shared" si="1"/>
        <v>0</v>
      </c>
      <c r="J7" s="10"/>
      <c r="K7" s="44"/>
      <c r="L7" s="10"/>
      <c r="M7" s="12">
        <f t="shared" si="2"/>
        <v>0</v>
      </c>
      <c r="N7" s="13">
        <f t="shared" si="3"/>
        <v>2</v>
      </c>
      <c r="O7" s="15">
        <v>45621</v>
      </c>
      <c r="P7" s="53"/>
    </row>
    <row r="8" spans="1:16" x14ac:dyDescent="0.15">
      <c r="A8" s="9" t="s">
        <v>7</v>
      </c>
      <c r="B8" s="10"/>
      <c r="C8" s="44">
        <v>2</v>
      </c>
      <c r="D8" s="10"/>
      <c r="E8" s="12">
        <f t="shared" si="0"/>
        <v>2</v>
      </c>
      <c r="F8" s="10">
        <v>2</v>
      </c>
      <c r="G8" s="44">
        <v>2</v>
      </c>
      <c r="H8" s="10"/>
      <c r="I8" s="12">
        <f t="shared" si="1"/>
        <v>4</v>
      </c>
      <c r="J8" s="10"/>
      <c r="K8" s="44">
        <v>5</v>
      </c>
      <c r="L8" s="10"/>
      <c r="M8" s="12">
        <f t="shared" si="2"/>
        <v>5</v>
      </c>
      <c r="N8" s="13">
        <f t="shared" si="3"/>
        <v>11</v>
      </c>
      <c r="O8" s="15">
        <v>45681</v>
      </c>
      <c r="P8" s="14"/>
    </row>
    <row r="9" spans="1:16" x14ac:dyDescent="0.15">
      <c r="A9" s="9" t="s">
        <v>7</v>
      </c>
      <c r="B9" s="10"/>
      <c r="C9" s="44"/>
      <c r="D9" s="10"/>
      <c r="E9" s="12">
        <f t="shared" si="0"/>
        <v>0</v>
      </c>
      <c r="F9" s="10"/>
      <c r="G9" s="44"/>
      <c r="H9" s="10"/>
      <c r="I9" s="12">
        <f t="shared" si="1"/>
        <v>0</v>
      </c>
      <c r="J9" s="10"/>
      <c r="K9" s="44"/>
      <c r="L9" s="10">
        <v>2</v>
      </c>
      <c r="M9" s="12">
        <f t="shared" si="2"/>
        <v>2</v>
      </c>
      <c r="N9" s="13">
        <f t="shared" si="3"/>
        <v>2</v>
      </c>
      <c r="O9" s="15">
        <v>45707</v>
      </c>
      <c r="P9" s="14"/>
    </row>
    <row r="10" spans="1:16" x14ac:dyDescent="0.15">
      <c r="A10" s="9" t="s">
        <v>7</v>
      </c>
      <c r="B10" s="10"/>
      <c r="C10" s="44"/>
      <c r="D10" s="10"/>
      <c r="E10" s="12">
        <f t="shared" si="0"/>
        <v>0</v>
      </c>
      <c r="F10" s="10"/>
      <c r="G10" s="44"/>
      <c r="H10" s="10">
        <v>2</v>
      </c>
      <c r="I10" s="12">
        <f t="shared" si="1"/>
        <v>2</v>
      </c>
      <c r="J10" s="10"/>
      <c r="K10" s="44"/>
      <c r="L10" s="10"/>
      <c r="M10" s="12">
        <f t="shared" si="2"/>
        <v>0</v>
      </c>
      <c r="N10" s="13">
        <f t="shared" si="3"/>
        <v>2</v>
      </c>
      <c r="O10" s="15">
        <v>45734</v>
      </c>
    </row>
    <row r="11" spans="1:16" x14ac:dyDescent="0.15">
      <c r="A11" s="9" t="s">
        <v>7</v>
      </c>
      <c r="B11" s="16">
        <v>5</v>
      </c>
      <c r="C11" s="45"/>
      <c r="D11" s="16">
        <v>3</v>
      </c>
      <c r="E11" s="12">
        <f t="shared" si="0"/>
        <v>8</v>
      </c>
      <c r="F11" s="16"/>
      <c r="G11" s="55"/>
      <c r="H11" s="16"/>
      <c r="I11" s="12">
        <f t="shared" si="1"/>
        <v>0</v>
      </c>
      <c r="J11" s="16"/>
      <c r="K11" s="45"/>
      <c r="L11" s="16"/>
      <c r="M11" s="12">
        <f t="shared" si="2"/>
        <v>0</v>
      </c>
      <c r="N11" s="13">
        <f t="shared" si="3"/>
        <v>8</v>
      </c>
      <c r="O11" s="15">
        <v>45812</v>
      </c>
    </row>
    <row r="12" spans="1:16" x14ac:dyDescent="0.15">
      <c r="A12" s="9" t="s">
        <v>7</v>
      </c>
      <c r="B12" s="16"/>
      <c r="C12" s="45"/>
      <c r="D12" s="16"/>
      <c r="E12" s="12">
        <f t="shared" si="0"/>
        <v>0</v>
      </c>
      <c r="F12" s="16"/>
      <c r="G12" s="55"/>
      <c r="H12" s="16"/>
      <c r="I12" s="12">
        <f t="shared" si="1"/>
        <v>0</v>
      </c>
      <c r="J12" s="16"/>
      <c r="K12" s="45"/>
      <c r="L12" s="16"/>
      <c r="M12" s="12">
        <f t="shared" si="2"/>
        <v>0</v>
      </c>
      <c r="N12" s="13">
        <f t="shared" si="3"/>
        <v>0</v>
      </c>
      <c r="O12" s="14"/>
    </row>
    <row r="13" spans="1:16" x14ac:dyDescent="0.15">
      <c r="A13" s="9" t="s">
        <v>7</v>
      </c>
      <c r="B13" s="16"/>
      <c r="C13" s="45"/>
      <c r="D13" s="16"/>
      <c r="E13" s="12">
        <f t="shared" si="0"/>
        <v>0</v>
      </c>
      <c r="F13" s="16"/>
      <c r="G13" s="55"/>
      <c r="H13" s="16"/>
      <c r="I13" s="12">
        <f t="shared" si="1"/>
        <v>0</v>
      </c>
      <c r="J13" s="16"/>
      <c r="K13" s="45"/>
      <c r="L13" s="16"/>
      <c r="M13" s="12">
        <f t="shared" si="2"/>
        <v>0</v>
      </c>
      <c r="N13" s="13">
        <f t="shared" si="3"/>
        <v>0</v>
      </c>
      <c r="O13" s="14"/>
    </row>
    <row r="14" spans="1:16" ht="14.25" thickBot="1" x14ac:dyDescent="0.2">
      <c r="A14" s="17" t="s">
        <v>7</v>
      </c>
      <c r="B14" s="18"/>
      <c r="C14" s="46"/>
      <c r="D14" s="18"/>
      <c r="E14" s="19">
        <f t="shared" si="0"/>
        <v>0</v>
      </c>
      <c r="F14" s="18"/>
      <c r="G14" s="56"/>
      <c r="H14" s="18"/>
      <c r="I14" s="19">
        <f t="shared" si="1"/>
        <v>0</v>
      </c>
      <c r="J14" s="18"/>
      <c r="K14" s="46"/>
      <c r="L14" s="18"/>
      <c r="M14" s="19">
        <f t="shared" si="2"/>
        <v>0</v>
      </c>
      <c r="N14" s="20">
        <f t="shared" si="3"/>
        <v>0</v>
      </c>
      <c r="O14" s="14"/>
    </row>
    <row r="15" spans="1:16" ht="14.25" thickBot="1" x14ac:dyDescent="0.2">
      <c r="A15" s="21" t="s">
        <v>8</v>
      </c>
      <c r="B15" s="22">
        <f>SUM(B4:B14)</f>
        <v>8</v>
      </c>
      <c r="C15" s="47">
        <f>SUM(C4:C14)</f>
        <v>8</v>
      </c>
      <c r="D15" s="40">
        <f>SUM(D4:D14)</f>
        <v>8</v>
      </c>
      <c r="E15" s="23">
        <f t="shared" si="0"/>
        <v>24</v>
      </c>
      <c r="F15" s="22">
        <f>SUM(F4:F14)</f>
        <v>5</v>
      </c>
      <c r="G15" s="47">
        <f>SUM(G4:G14)</f>
        <v>7</v>
      </c>
      <c r="H15" s="40">
        <f>SUM(H4:H14)</f>
        <v>5</v>
      </c>
      <c r="I15" s="23">
        <f t="shared" si="1"/>
        <v>17</v>
      </c>
      <c r="J15" s="22">
        <f>SUM(J4:J14)</f>
        <v>5</v>
      </c>
      <c r="K15" s="47">
        <f>SUM(K4:K14)</f>
        <v>13</v>
      </c>
      <c r="L15" s="40">
        <f>SUM(L4:L14)</f>
        <v>5</v>
      </c>
      <c r="M15" s="23">
        <f t="shared" si="2"/>
        <v>23</v>
      </c>
      <c r="N15" s="24">
        <f t="shared" si="3"/>
        <v>64</v>
      </c>
    </row>
    <row r="16" spans="1:16" x14ac:dyDescent="0.15">
      <c r="A16" s="25" t="s">
        <v>48</v>
      </c>
      <c r="B16" s="26"/>
      <c r="C16" s="48"/>
      <c r="D16" s="27"/>
      <c r="E16" s="12">
        <f t="shared" si="0"/>
        <v>0</v>
      </c>
      <c r="F16" s="26"/>
      <c r="G16" s="48"/>
      <c r="H16" s="27"/>
      <c r="I16" s="12">
        <f t="shared" si="1"/>
        <v>0</v>
      </c>
      <c r="J16" s="26">
        <v>1</v>
      </c>
      <c r="K16" s="48"/>
      <c r="L16" s="27"/>
      <c r="M16" s="12">
        <f t="shared" si="2"/>
        <v>1</v>
      </c>
      <c r="N16" s="13">
        <f t="shared" si="3"/>
        <v>1</v>
      </c>
      <c r="O16" s="15">
        <v>45568</v>
      </c>
    </row>
    <row r="17" spans="1:15" x14ac:dyDescent="0.15">
      <c r="A17" s="25" t="s">
        <v>28</v>
      </c>
      <c r="B17" s="29"/>
      <c r="C17" s="45"/>
      <c r="D17" s="16"/>
      <c r="E17" s="12">
        <f t="shared" si="0"/>
        <v>0</v>
      </c>
      <c r="F17" s="29"/>
      <c r="G17" s="45">
        <v>1</v>
      </c>
      <c r="H17" s="16"/>
      <c r="I17" s="12">
        <f t="shared" si="1"/>
        <v>1</v>
      </c>
      <c r="J17" s="29"/>
      <c r="K17" s="45"/>
      <c r="L17" s="16"/>
      <c r="M17" s="12">
        <f t="shared" si="2"/>
        <v>0</v>
      </c>
      <c r="N17" s="13">
        <f t="shared" si="3"/>
        <v>1</v>
      </c>
      <c r="O17" s="15">
        <v>45572</v>
      </c>
    </row>
    <row r="18" spans="1:15" x14ac:dyDescent="0.15">
      <c r="A18" s="25" t="s">
        <v>28</v>
      </c>
      <c r="B18" s="29"/>
      <c r="C18" s="45"/>
      <c r="D18" s="16"/>
      <c r="E18" s="12">
        <f t="shared" si="0"/>
        <v>0</v>
      </c>
      <c r="F18" s="29"/>
      <c r="G18" s="45"/>
      <c r="H18" s="16"/>
      <c r="I18" s="12">
        <f t="shared" si="1"/>
        <v>0</v>
      </c>
      <c r="J18" s="29"/>
      <c r="K18" s="45">
        <v>2</v>
      </c>
      <c r="L18" s="16"/>
      <c r="M18" s="12">
        <f t="shared" si="2"/>
        <v>2</v>
      </c>
      <c r="N18" s="13">
        <f t="shared" si="3"/>
        <v>2</v>
      </c>
      <c r="O18" s="15">
        <v>45583</v>
      </c>
    </row>
    <row r="19" spans="1:15" x14ac:dyDescent="0.15">
      <c r="A19" s="25" t="s">
        <v>28</v>
      </c>
      <c r="B19" s="29"/>
      <c r="C19" s="45">
        <v>2</v>
      </c>
      <c r="D19" s="16"/>
      <c r="E19" s="12">
        <f t="shared" si="0"/>
        <v>2</v>
      </c>
      <c r="F19" s="29"/>
      <c r="G19" s="45"/>
      <c r="H19" s="16"/>
      <c r="I19" s="12">
        <f t="shared" si="1"/>
        <v>0</v>
      </c>
      <c r="J19" s="29"/>
      <c r="K19" s="45">
        <v>3</v>
      </c>
      <c r="L19" s="16"/>
      <c r="M19" s="12">
        <f t="shared" si="2"/>
        <v>3</v>
      </c>
      <c r="N19" s="13">
        <f t="shared" si="3"/>
        <v>5</v>
      </c>
      <c r="O19" s="15">
        <v>45589</v>
      </c>
    </row>
    <row r="20" spans="1:15" x14ac:dyDescent="0.15">
      <c r="A20" s="25" t="s">
        <v>28</v>
      </c>
      <c r="B20" s="29"/>
      <c r="C20" s="45"/>
      <c r="D20" s="16">
        <v>1</v>
      </c>
      <c r="E20" s="12">
        <f t="shared" si="0"/>
        <v>1</v>
      </c>
      <c r="F20" s="29"/>
      <c r="G20" s="45"/>
      <c r="H20" s="16">
        <v>1</v>
      </c>
      <c r="I20" s="12">
        <f t="shared" si="1"/>
        <v>1</v>
      </c>
      <c r="J20" s="29"/>
      <c r="K20" s="45"/>
      <c r="L20" s="16"/>
      <c r="M20" s="12">
        <f t="shared" si="2"/>
        <v>0</v>
      </c>
      <c r="N20" s="13">
        <f t="shared" si="3"/>
        <v>2</v>
      </c>
      <c r="O20" s="15">
        <v>45593</v>
      </c>
    </row>
    <row r="21" spans="1:15" x14ac:dyDescent="0.15">
      <c r="A21" s="25" t="s">
        <v>28</v>
      </c>
      <c r="B21" s="29"/>
      <c r="C21" s="45">
        <v>1</v>
      </c>
      <c r="D21" s="16"/>
      <c r="E21" s="12">
        <f t="shared" si="0"/>
        <v>1</v>
      </c>
      <c r="F21" s="29">
        <v>1</v>
      </c>
      <c r="G21" s="45">
        <v>1</v>
      </c>
      <c r="H21" s="16"/>
      <c r="I21" s="12">
        <f t="shared" si="1"/>
        <v>2</v>
      </c>
      <c r="J21" s="29"/>
      <c r="K21" s="45"/>
      <c r="L21" s="16"/>
      <c r="M21" s="12">
        <f t="shared" si="2"/>
        <v>0</v>
      </c>
      <c r="N21" s="13">
        <f t="shared" si="3"/>
        <v>3</v>
      </c>
      <c r="O21" s="15">
        <v>45601</v>
      </c>
    </row>
    <row r="22" spans="1:15" x14ac:dyDescent="0.15">
      <c r="A22" s="25" t="s">
        <v>28</v>
      </c>
      <c r="B22" s="29"/>
      <c r="C22" s="45"/>
      <c r="D22" s="16">
        <v>1</v>
      </c>
      <c r="E22" s="12">
        <f t="shared" si="0"/>
        <v>1</v>
      </c>
      <c r="F22" s="29"/>
      <c r="G22" s="45"/>
      <c r="H22" s="16"/>
      <c r="I22" s="12">
        <f t="shared" si="1"/>
        <v>0</v>
      </c>
      <c r="J22" s="29"/>
      <c r="K22" s="45"/>
      <c r="L22" s="16">
        <v>1</v>
      </c>
      <c r="M22" s="12">
        <f t="shared" si="2"/>
        <v>1</v>
      </c>
      <c r="N22" s="13">
        <f t="shared" si="3"/>
        <v>2</v>
      </c>
      <c r="O22" s="15">
        <v>45610</v>
      </c>
    </row>
    <row r="23" spans="1:15" x14ac:dyDescent="0.15">
      <c r="A23" s="25" t="s">
        <v>28</v>
      </c>
      <c r="B23" s="29"/>
      <c r="C23" s="45"/>
      <c r="D23" s="16"/>
      <c r="E23" s="12">
        <f t="shared" si="0"/>
        <v>0</v>
      </c>
      <c r="F23" s="29">
        <v>1</v>
      </c>
      <c r="G23" s="45"/>
      <c r="H23" s="16"/>
      <c r="I23" s="12">
        <f t="shared" si="1"/>
        <v>1</v>
      </c>
      <c r="J23" s="29"/>
      <c r="K23" s="45"/>
      <c r="L23" s="16"/>
      <c r="M23" s="12">
        <f t="shared" si="2"/>
        <v>0</v>
      </c>
      <c r="N23" s="13">
        <f t="shared" si="3"/>
        <v>1</v>
      </c>
      <c r="O23" s="15">
        <v>45638</v>
      </c>
    </row>
    <row r="24" spans="1:15" x14ac:dyDescent="0.15">
      <c r="A24" s="25" t="s">
        <v>28</v>
      </c>
      <c r="B24" s="29"/>
      <c r="C24" s="45"/>
      <c r="D24" s="16"/>
      <c r="E24" s="12">
        <f t="shared" si="0"/>
        <v>0</v>
      </c>
      <c r="F24" s="29"/>
      <c r="G24" s="45">
        <v>1</v>
      </c>
      <c r="H24" s="16"/>
      <c r="I24" s="12">
        <f t="shared" si="1"/>
        <v>1</v>
      </c>
      <c r="J24" s="29"/>
      <c r="K24" s="45">
        <v>1</v>
      </c>
      <c r="L24" s="16"/>
      <c r="M24" s="12">
        <f t="shared" si="2"/>
        <v>1</v>
      </c>
      <c r="N24" s="13">
        <f t="shared" si="3"/>
        <v>2</v>
      </c>
      <c r="O24" s="15">
        <v>45651</v>
      </c>
    </row>
    <row r="25" spans="1:15" x14ac:dyDescent="0.15">
      <c r="A25" s="25" t="s">
        <v>28</v>
      </c>
      <c r="B25" s="29"/>
      <c r="C25" s="45"/>
      <c r="D25" s="16"/>
      <c r="E25" s="12">
        <f t="shared" si="0"/>
        <v>0</v>
      </c>
      <c r="F25" s="29"/>
      <c r="G25" s="45">
        <v>1</v>
      </c>
      <c r="H25" s="16"/>
      <c r="I25" s="12">
        <f t="shared" si="1"/>
        <v>1</v>
      </c>
      <c r="J25" s="29"/>
      <c r="K25" s="45"/>
      <c r="L25" s="16"/>
      <c r="M25" s="12">
        <f t="shared" si="2"/>
        <v>0</v>
      </c>
      <c r="N25" s="13">
        <f t="shared" si="3"/>
        <v>1</v>
      </c>
      <c r="O25" s="15">
        <v>45663</v>
      </c>
    </row>
    <row r="26" spans="1:15" x14ac:dyDescent="0.15">
      <c r="A26" s="25" t="s">
        <v>28</v>
      </c>
      <c r="B26" s="29"/>
      <c r="C26" s="45"/>
      <c r="D26" s="16"/>
      <c r="E26" s="12">
        <f t="shared" si="0"/>
        <v>0</v>
      </c>
      <c r="F26" s="29"/>
      <c r="G26" s="45"/>
      <c r="H26" s="16"/>
      <c r="I26" s="12">
        <f t="shared" si="1"/>
        <v>0</v>
      </c>
      <c r="J26" s="29"/>
      <c r="K26" s="45">
        <v>1</v>
      </c>
      <c r="L26" s="16"/>
      <c r="M26" s="12">
        <f t="shared" si="2"/>
        <v>1</v>
      </c>
      <c r="N26" s="13">
        <f t="shared" si="3"/>
        <v>1</v>
      </c>
      <c r="O26" s="15">
        <v>45667</v>
      </c>
    </row>
    <row r="27" spans="1:15" x14ac:dyDescent="0.15">
      <c r="A27" s="25" t="s">
        <v>28</v>
      </c>
      <c r="B27" s="29"/>
      <c r="C27" s="45">
        <v>1</v>
      </c>
      <c r="D27" s="16"/>
      <c r="E27" s="39">
        <f t="shared" si="0"/>
        <v>1</v>
      </c>
      <c r="F27" s="29"/>
      <c r="G27" s="45"/>
      <c r="H27" s="16"/>
      <c r="I27" s="39">
        <f t="shared" si="1"/>
        <v>0</v>
      </c>
      <c r="J27" s="29"/>
      <c r="K27" s="45">
        <v>1</v>
      </c>
      <c r="L27" s="16"/>
      <c r="M27" s="39">
        <f t="shared" si="2"/>
        <v>1</v>
      </c>
      <c r="N27" s="13">
        <f t="shared" si="3"/>
        <v>2</v>
      </c>
      <c r="O27" s="15">
        <v>45671</v>
      </c>
    </row>
    <row r="28" spans="1:15" x14ac:dyDescent="0.15">
      <c r="A28" s="25" t="s">
        <v>28</v>
      </c>
      <c r="B28" s="29"/>
      <c r="C28" s="45"/>
      <c r="D28" s="16"/>
      <c r="E28" s="12">
        <f t="shared" si="0"/>
        <v>0</v>
      </c>
      <c r="F28" s="29"/>
      <c r="G28" s="45"/>
      <c r="H28" s="16"/>
      <c r="I28" s="12">
        <f t="shared" si="1"/>
        <v>0</v>
      </c>
      <c r="J28" s="29"/>
      <c r="K28" s="45">
        <v>1</v>
      </c>
      <c r="L28" s="16"/>
      <c r="M28" s="12">
        <f t="shared" si="2"/>
        <v>1</v>
      </c>
      <c r="N28" s="13">
        <f t="shared" si="3"/>
        <v>1</v>
      </c>
      <c r="O28" s="30">
        <v>45688</v>
      </c>
    </row>
    <row r="29" spans="1:15" x14ac:dyDescent="0.15">
      <c r="A29" s="25" t="s">
        <v>28</v>
      </c>
      <c r="B29" s="29"/>
      <c r="C29" s="45"/>
      <c r="D29" s="16"/>
      <c r="E29" s="12">
        <f t="shared" si="0"/>
        <v>0</v>
      </c>
      <c r="F29" s="29"/>
      <c r="G29" s="45"/>
      <c r="H29" s="16"/>
      <c r="I29" s="12">
        <f t="shared" si="1"/>
        <v>0</v>
      </c>
      <c r="J29" s="29"/>
      <c r="K29" s="45"/>
      <c r="L29" s="16">
        <v>1</v>
      </c>
      <c r="M29" s="12">
        <f t="shared" si="2"/>
        <v>1</v>
      </c>
      <c r="N29" s="13">
        <f t="shared" si="3"/>
        <v>1</v>
      </c>
      <c r="O29" s="15">
        <v>45693</v>
      </c>
    </row>
    <row r="30" spans="1:15" x14ac:dyDescent="0.15">
      <c r="A30" s="25" t="s">
        <v>28</v>
      </c>
      <c r="B30" s="28"/>
      <c r="C30" s="45"/>
      <c r="D30" s="16"/>
      <c r="E30" s="12">
        <f t="shared" si="0"/>
        <v>0</v>
      </c>
      <c r="F30" s="28"/>
      <c r="G30" s="45"/>
      <c r="H30" s="16"/>
      <c r="I30" s="12">
        <f t="shared" si="1"/>
        <v>0</v>
      </c>
      <c r="J30" s="28"/>
      <c r="K30" s="45"/>
      <c r="L30" s="16">
        <v>1</v>
      </c>
      <c r="M30" s="12">
        <f t="shared" si="2"/>
        <v>1</v>
      </c>
      <c r="N30" s="13">
        <f t="shared" si="3"/>
        <v>1</v>
      </c>
      <c r="O30" s="15">
        <v>45713</v>
      </c>
    </row>
    <row r="31" spans="1:15" x14ac:dyDescent="0.15">
      <c r="A31" s="25" t="s">
        <v>28</v>
      </c>
      <c r="B31" s="28"/>
      <c r="C31" s="45"/>
      <c r="D31" s="16"/>
      <c r="E31" s="12">
        <f t="shared" si="0"/>
        <v>0</v>
      </c>
      <c r="F31" s="28"/>
      <c r="G31" s="45"/>
      <c r="H31" s="16">
        <v>1</v>
      </c>
      <c r="I31" s="12">
        <f t="shared" si="1"/>
        <v>1</v>
      </c>
      <c r="J31" s="28"/>
      <c r="K31" s="45"/>
      <c r="L31" s="16"/>
      <c r="M31" s="12">
        <f t="shared" si="2"/>
        <v>0</v>
      </c>
      <c r="N31" s="13">
        <f t="shared" si="3"/>
        <v>1</v>
      </c>
      <c r="O31" s="15">
        <v>45722</v>
      </c>
    </row>
    <row r="32" spans="1:15" x14ac:dyDescent="0.15">
      <c r="A32" s="25" t="s">
        <v>28</v>
      </c>
      <c r="B32" s="29"/>
      <c r="C32" s="45"/>
      <c r="D32" s="16">
        <v>1</v>
      </c>
      <c r="E32" s="12">
        <f t="shared" si="0"/>
        <v>1</v>
      </c>
      <c r="F32" s="29"/>
      <c r="G32" s="45"/>
      <c r="H32" s="16"/>
      <c r="I32" s="12">
        <f t="shared" si="1"/>
        <v>0</v>
      </c>
      <c r="J32" s="29"/>
      <c r="K32" s="45"/>
      <c r="L32" s="16"/>
      <c r="M32" s="12">
        <f t="shared" si="2"/>
        <v>0</v>
      </c>
      <c r="N32" s="13">
        <f t="shared" si="3"/>
        <v>1</v>
      </c>
      <c r="O32" s="15">
        <v>45742</v>
      </c>
    </row>
    <row r="33" spans="1:15" x14ac:dyDescent="0.15">
      <c r="A33" s="25" t="s">
        <v>28</v>
      </c>
      <c r="B33" s="29"/>
      <c r="C33" s="45">
        <v>1</v>
      </c>
      <c r="D33" s="16"/>
      <c r="E33" s="12">
        <f t="shared" si="0"/>
        <v>1</v>
      </c>
      <c r="F33" s="29"/>
      <c r="G33" s="45">
        <v>2</v>
      </c>
      <c r="H33" s="16"/>
      <c r="I33" s="12">
        <f t="shared" si="1"/>
        <v>2</v>
      </c>
      <c r="J33" s="29"/>
      <c r="K33" s="45"/>
      <c r="L33" s="16"/>
      <c r="M33" s="12">
        <f t="shared" si="2"/>
        <v>0</v>
      </c>
      <c r="N33" s="13">
        <f t="shared" si="3"/>
        <v>3</v>
      </c>
      <c r="O33" s="15">
        <v>45754</v>
      </c>
    </row>
    <row r="34" spans="1:15" x14ac:dyDescent="0.15">
      <c r="A34" s="25" t="s">
        <v>28</v>
      </c>
      <c r="B34" s="29">
        <v>1</v>
      </c>
      <c r="C34" s="45"/>
      <c r="D34" s="16"/>
      <c r="E34" s="12">
        <f t="shared" si="0"/>
        <v>1</v>
      </c>
      <c r="F34" s="29"/>
      <c r="G34" s="45"/>
      <c r="H34" s="16"/>
      <c r="I34" s="12">
        <f t="shared" si="1"/>
        <v>0</v>
      </c>
      <c r="J34" s="29"/>
      <c r="K34" s="45"/>
      <c r="L34" s="16"/>
      <c r="M34" s="12">
        <f t="shared" si="2"/>
        <v>0</v>
      </c>
      <c r="N34" s="13">
        <f t="shared" si="3"/>
        <v>1</v>
      </c>
      <c r="O34" s="15">
        <v>45770</v>
      </c>
    </row>
    <row r="35" spans="1:15" x14ac:dyDescent="0.15">
      <c r="A35" s="25" t="s">
        <v>28</v>
      </c>
      <c r="B35" s="28"/>
      <c r="C35" s="45"/>
      <c r="D35" s="16"/>
      <c r="E35" s="12">
        <f t="shared" si="0"/>
        <v>0</v>
      </c>
      <c r="F35" s="28"/>
      <c r="G35" s="45"/>
      <c r="H35" s="16"/>
      <c r="I35" s="12">
        <f t="shared" si="1"/>
        <v>0</v>
      </c>
      <c r="J35" s="28"/>
      <c r="K35" s="45">
        <v>1</v>
      </c>
      <c r="L35" s="16"/>
      <c r="M35" s="12">
        <f t="shared" si="2"/>
        <v>1</v>
      </c>
      <c r="N35" s="13">
        <f t="shared" si="3"/>
        <v>1</v>
      </c>
      <c r="O35" s="15">
        <v>45777</v>
      </c>
    </row>
    <row r="36" spans="1:15" x14ac:dyDescent="0.15">
      <c r="A36" s="25" t="s">
        <v>28</v>
      </c>
      <c r="B36" s="29"/>
      <c r="C36" s="45"/>
      <c r="D36" s="16">
        <v>1</v>
      </c>
      <c r="E36" s="12">
        <f t="shared" si="0"/>
        <v>1</v>
      </c>
      <c r="F36" s="29"/>
      <c r="G36" s="45"/>
      <c r="H36" s="16"/>
      <c r="I36" s="12">
        <f t="shared" si="1"/>
        <v>0</v>
      </c>
      <c r="J36" s="29"/>
      <c r="K36" s="45"/>
      <c r="L36" s="16"/>
      <c r="M36" s="12">
        <f t="shared" si="2"/>
        <v>0</v>
      </c>
      <c r="N36" s="13">
        <f t="shared" si="3"/>
        <v>1</v>
      </c>
      <c r="O36" s="15">
        <v>45789</v>
      </c>
    </row>
    <row r="37" spans="1:15" x14ac:dyDescent="0.15">
      <c r="A37" s="25" t="s">
        <v>28</v>
      </c>
      <c r="B37" s="29"/>
      <c r="C37" s="45"/>
      <c r="D37" s="16"/>
      <c r="E37" s="12">
        <f t="shared" si="0"/>
        <v>0</v>
      </c>
      <c r="F37" s="29">
        <v>1</v>
      </c>
      <c r="G37" s="45"/>
      <c r="H37" s="16"/>
      <c r="I37" s="12">
        <f t="shared" si="1"/>
        <v>1</v>
      </c>
      <c r="J37" s="29">
        <v>1</v>
      </c>
      <c r="K37" s="45"/>
      <c r="L37" s="16"/>
      <c r="M37" s="12">
        <f t="shared" si="2"/>
        <v>1</v>
      </c>
      <c r="N37" s="13">
        <f t="shared" si="3"/>
        <v>2</v>
      </c>
      <c r="O37" s="15">
        <v>45796</v>
      </c>
    </row>
    <row r="38" spans="1:15" x14ac:dyDescent="0.15">
      <c r="A38" s="25" t="s">
        <v>28</v>
      </c>
      <c r="B38" s="29">
        <v>1</v>
      </c>
      <c r="C38" s="45"/>
      <c r="D38" s="16"/>
      <c r="E38" s="12">
        <f t="shared" si="0"/>
        <v>1</v>
      </c>
      <c r="F38" s="29"/>
      <c r="G38" s="45"/>
      <c r="H38" s="16">
        <v>1</v>
      </c>
      <c r="I38" s="12">
        <f t="shared" si="1"/>
        <v>1</v>
      </c>
      <c r="J38" s="29"/>
      <c r="K38" s="45"/>
      <c r="L38" s="16"/>
      <c r="M38" s="12">
        <f t="shared" si="2"/>
        <v>0</v>
      </c>
      <c r="N38" s="13">
        <f t="shared" si="3"/>
        <v>2</v>
      </c>
      <c r="O38" s="15">
        <v>45803</v>
      </c>
    </row>
    <row r="39" spans="1:15" ht="14.25" thickBot="1" x14ac:dyDescent="0.2">
      <c r="A39" s="25" t="s">
        <v>28</v>
      </c>
      <c r="B39" s="29">
        <v>1</v>
      </c>
      <c r="C39" s="45"/>
      <c r="D39" s="16"/>
      <c r="E39" s="12">
        <f t="shared" si="0"/>
        <v>1</v>
      </c>
      <c r="F39" s="29"/>
      <c r="G39" s="45"/>
      <c r="H39" s="16">
        <v>2</v>
      </c>
      <c r="I39" s="12">
        <f t="shared" si="1"/>
        <v>2</v>
      </c>
      <c r="J39" s="29"/>
      <c r="K39" s="45"/>
      <c r="L39" s="16"/>
      <c r="M39" s="12">
        <f t="shared" si="2"/>
        <v>0</v>
      </c>
      <c r="N39" s="20">
        <f t="shared" si="3"/>
        <v>3</v>
      </c>
      <c r="O39" s="15">
        <v>45812</v>
      </c>
    </row>
    <row r="40" spans="1:15" ht="14.25" thickBot="1" x14ac:dyDescent="0.2">
      <c r="A40" s="3" t="s">
        <v>9</v>
      </c>
      <c r="B40" s="22">
        <f>SUM(B16:B39)</f>
        <v>3</v>
      </c>
      <c r="C40" s="47">
        <f t="shared" ref="C40:E40" si="4">SUM(C16:C39)</f>
        <v>5</v>
      </c>
      <c r="D40" s="41">
        <f t="shared" si="4"/>
        <v>4</v>
      </c>
      <c r="E40" s="31">
        <f t="shared" si="4"/>
        <v>12</v>
      </c>
      <c r="F40" s="22">
        <f>SUM(F16:F39)</f>
        <v>3</v>
      </c>
      <c r="G40" s="47">
        <f t="shared" ref="G40:I40" si="5">SUM(G16:G39)</f>
        <v>6</v>
      </c>
      <c r="H40" s="41">
        <f t="shared" si="5"/>
        <v>5</v>
      </c>
      <c r="I40" s="31">
        <f t="shared" si="5"/>
        <v>14</v>
      </c>
      <c r="J40" s="22">
        <f>SUM(J16:J39)</f>
        <v>2</v>
      </c>
      <c r="K40" s="47">
        <f t="shared" ref="K40:M40" si="6">SUM(K16:K39)</f>
        <v>10</v>
      </c>
      <c r="L40" s="41">
        <f t="shared" si="6"/>
        <v>3</v>
      </c>
      <c r="M40" s="31">
        <f t="shared" si="6"/>
        <v>15</v>
      </c>
      <c r="N40" s="24">
        <f t="shared" si="3"/>
        <v>41</v>
      </c>
    </row>
    <row r="41" spans="1:15" ht="14.25" thickBot="1" x14ac:dyDescent="0.2">
      <c r="A41" s="32" t="s">
        <v>10</v>
      </c>
      <c r="B41" s="33">
        <f>B15-B40</f>
        <v>5</v>
      </c>
      <c r="C41" s="49">
        <f t="shared" ref="C41:E41" si="7">C15-C40</f>
        <v>3</v>
      </c>
      <c r="D41" s="42">
        <f t="shared" si="7"/>
        <v>4</v>
      </c>
      <c r="E41" s="33">
        <f t="shared" si="7"/>
        <v>12</v>
      </c>
      <c r="F41" s="33">
        <f>F15-F40</f>
        <v>2</v>
      </c>
      <c r="G41" s="49">
        <f t="shared" ref="G41:I41" si="8">G15-G40</f>
        <v>1</v>
      </c>
      <c r="H41" s="42">
        <f t="shared" si="8"/>
        <v>0</v>
      </c>
      <c r="I41" s="33">
        <f t="shared" si="8"/>
        <v>3</v>
      </c>
      <c r="J41" s="33">
        <f>J15-J40</f>
        <v>3</v>
      </c>
      <c r="K41" s="49">
        <f t="shared" ref="K41:M41" si="9">K15-K40</f>
        <v>3</v>
      </c>
      <c r="L41" s="42">
        <f t="shared" si="9"/>
        <v>2</v>
      </c>
      <c r="M41" s="33">
        <f t="shared" si="9"/>
        <v>8</v>
      </c>
      <c r="N41" s="24">
        <f t="shared" si="3"/>
        <v>23</v>
      </c>
    </row>
    <row r="44" spans="1:15" ht="21.75" thickBot="1" x14ac:dyDescent="0.25">
      <c r="A44" s="34" t="s">
        <v>47</v>
      </c>
      <c r="B44" s="35"/>
      <c r="C44" s="35"/>
      <c r="D44" s="35"/>
      <c r="E44" s="37"/>
      <c r="F44" s="35"/>
      <c r="G44" s="35"/>
      <c r="H44" s="38" t="s">
        <v>42</v>
      </c>
      <c r="I44" s="1"/>
      <c r="J44" s="1"/>
      <c r="K44" s="1"/>
      <c r="L44" s="1"/>
      <c r="M44" s="1"/>
      <c r="N44">
        <v>950</v>
      </c>
    </row>
    <row r="45" spans="1:15" ht="14.25" thickBot="1" x14ac:dyDescent="0.2">
      <c r="A45" s="2" t="s">
        <v>0</v>
      </c>
      <c r="B45" s="121" t="s">
        <v>15</v>
      </c>
      <c r="C45" s="121"/>
      <c r="D45" s="121"/>
      <c r="E45" s="122"/>
      <c r="F45" s="119" t="s">
        <v>43</v>
      </c>
      <c r="G45" s="119"/>
      <c r="H45" s="119"/>
      <c r="I45" s="120"/>
      <c r="J45" s="111" t="s">
        <v>17</v>
      </c>
      <c r="K45" s="111"/>
      <c r="L45" s="111"/>
      <c r="M45" s="112"/>
      <c r="N45" s="107" t="s">
        <v>14</v>
      </c>
    </row>
    <row r="46" spans="1:15" ht="14.25" thickBot="1" x14ac:dyDescent="0.2">
      <c r="A46" s="2" t="s">
        <v>1</v>
      </c>
      <c r="B46" s="3" t="s">
        <v>2</v>
      </c>
      <c r="C46" s="43" t="s">
        <v>3</v>
      </c>
      <c r="D46" s="4" t="s">
        <v>4</v>
      </c>
      <c r="E46" s="2" t="s">
        <v>5</v>
      </c>
      <c r="F46" s="3" t="s">
        <v>2</v>
      </c>
      <c r="G46" s="43" t="s">
        <v>3</v>
      </c>
      <c r="H46" s="4" t="s">
        <v>4</v>
      </c>
      <c r="I46" s="2" t="s">
        <v>5</v>
      </c>
      <c r="J46" s="3" t="s">
        <v>2</v>
      </c>
      <c r="K46" s="43" t="s">
        <v>3</v>
      </c>
      <c r="L46" s="4" t="s">
        <v>4</v>
      </c>
      <c r="M46" s="2" t="s">
        <v>5</v>
      </c>
      <c r="N46" s="108"/>
    </row>
    <row r="47" spans="1:15" x14ac:dyDescent="0.15">
      <c r="A47" s="5" t="s">
        <v>10</v>
      </c>
      <c r="B47" s="6">
        <f>B41</f>
        <v>5</v>
      </c>
      <c r="C47" s="50">
        <f t="shared" ref="C47:N47" si="10">C41</f>
        <v>3</v>
      </c>
      <c r="D47" s="6">
        <f t="shared" si="10"/>
        <v>4</v>
      </c>
      <c r="E47" s="7">
        <f t="shared" si="10"/>
        <v>12</v>
      </c>
      <c r="F47" s="6">
        <f t="shared" si="10"/>
        <v>2</v>
      </c>
      <c r="G47" s="50">
        <f t="shared" si="10"/>
        <v>1</v>
      </c>
      <c r="H47" s="6">
        <f t="shared" si="10"/>
        <v>0</v>
      </c>
      <c r="I47" s="7">
        <f t="shared" si="10"/>
        <v>3</v>
      </c>
      <c r="J47" s="6">
        <f t="shared" si="10"/>
        <v>3</v>
      </c>
      <c r="K47" s="50">
        <f t="shared" si="10"/>
        <v>3</v>
      </c>
      <c r="L47" s="6">
        <f t="shared" si="10"/>
        <v>2</v>
      </c>
      <c r="M47" s="7">
        <f t="shared" si="10"/>
        <v>8</v>
      </c>
      <c r="N47" s="8">
        <f t="shared" si="10"/>
        <v>23</v>
      </c>
    </row>
    <row r="48" spans="1:15" x14ac:dyDescent="0.15">
      <c r="A48" s="9" t="s">
        <v>37</v>
      </c>
      <c r="B48" s="68">
        <v>0</v>
      </c>
      <c r="C48" s="90">
        <v>0</v>
      </c>
      <c r="D48" s="10">
        <v>-1</v>
      </c>
      <c r="E48" s="12">
        <f t="shared" ref="E48" si="11">SUM(B48:D48)</f>
        <v>-1</v>
      </c>
      <c r="F48" s="10">
        <v>0</v>
      </c>
      <c r="G48" s="90">
        <v>0</v>
      </c>
      <c r="H48" s="10">
        <v>0</v>
      </c>
      <c r="I48" s="12">
        <f t="shared" ref="I48" si="12">SUM(F48:H48)</f>
        <v>0</v>
      </c>
      <c r="J48" s="10">
        <v>0</v>
      </c>
      <c r="K48" s="44">
        <v>0</v>
      </c>
      <c r="L48" s="10">
        <v>0</v>
      </c>
      <c r="M48" s="12">
        <f t="shared" ref="M48" si="13">SUM(J48:L48)</f>
        <v>0</v>
      </c>
      <c r="N48" s="13">
        <f t="shared" ref="N48" si="14">E48+I48+M48</f>
        <v>-1</v>
      </c>
      <c r="O48" s="15">
        <v>46071</v>
      </c>
    </row>
    <row r="49" spans="1:17" x14ac:dyDescent="0.15">
      <c r="A49" s="9" t="s">
        <v>7</v>
      </c>
      <c r="B49" s="68"/>
      <c r="C49" s="90"/>
      <c r="D49" s="10"/>
      <c r="E49" s="12">
        <f t="shared" ref="E49:E82" si="15">SUM(B49:D49)</f>
        <v>0</v>
      </c>
      <c r="F49" s="10"/>
      <c r="G49" s="90"/>
      <c r="H49" s="10"/>
      <c r="I49" s="12">
        <f t="shared" ref="I49:I82" si="16">SUM(F49:H49)</f>
        <v>0</v>
      </c>
      <c r="J49" s="10"/>
      <c r="K49" s="44"/>
      <c r="L49" s="10"/>
      <c r="M49" s="12">
        <f t="shared" ref="M49:M82" si="17">SUM(J49:L49)</f>
        <v>0</v>
      </c>
      <c r="N49" s="13">
        <f t="shared" ref="N49:N84" si="18">E49+I49+M49</f>
        <v>0</v>
      </c>
      <c r="O49" s="15"/>
    </row>
    <row r="50" spans="1:17" x14ac:dyDescent="0.15">
      <c r="A50" s="9" t="s">
        <v>7</v>
      </c>
      <c r="B50" s="68"/>
      <c r="C50" s="90"/>
      <c r="D50" s="10"/>
      <c r="E50" s="12">
        <f t="shared" si="15"/>
        <v>0</v>
      </c>
      <c r="F50" s="10"/>
      <c r="G50" s="90"/>
      <c r="H50" s="10"/>
      <c r="I50" s="12">
        <f t="shared" si="16"/>
        <v>0</v>
      </c>
      <c r="J50" s="10"/>
      <c r="K50" s="44"/>
      <c r="L50" s="10"/>
      <c r="M50" s="12">
        <f t="shared" si="17"/>
        <v>0</v>
      </c>
      <c r="N50" s="13">
        <f t="shared" si="18"/>
        <v>0</v>
      </c>
      <c r="O50" s="15"/>
    </row>
    <row r="51" spans="1:17" x14ac:dyDescent="0.15">
      <c r="A51" s="9" t="s">
        <v>7</v>
      </c>
      <c r="B51" s="68"/>
      <c r="C51" s="90"/>
      <c r="D51" s="10"/>
      <c r="E51" s="12">
        <f t="shared" si="15"/>
        <v>0</v>
      </c>
      <c r="F51" s="10"/>
      <c r="G51" s="90"/>
      <c r="H51" s="10"/>
      <c r="I51" s="12">
        <f t="shared" si="16"/>
        <v>0</v>
      </c>
      <c r="J51" s="10"/>
      <c r="K51" s="44"/>
      <c r="L51" s="10"/>
      <c r="M51" s="12">
        <f t="shared" si="17"/>
        <v>0</v>
      </c>
      <c r="N51" s="13">
        <f t="shared" si="18"/>
        <v>0</v>
      </c>
      <c r="O51" s="15"/>
    </row>
    <row r="52" spans="1:17" x14ac:dyDescent="0.15">
      <c r="A52" s="9" t="s">
        <v>7</v>
      </c>
      <c r="B52" s="68"/>
      <c r="C52" s="90"/>
      <c r="D52" s="10"/>
      <c r="E52" s="12">
        <f t="shared" si="15"/>
        <v>0</v>
      </c>
      <c r="F52" s="10"/>
      <c r="G52" s="90"/>
      <c r="H52" s="10"/>
      <c r="I52" s="12">
        <f t="shared" si="16"/>
        <v>0</v>
      </c>
      <c r="J52" s="10"/>
      <c r="K52" s="44"/>
      <c r="L52" s="10"/>
      <c r="M52" s="12">
        <f t="shared" si="17"/>
        <v>0</v>
      </c>
      <c r="N52" s="13">
        <f t="shared" si="18"/>
        <v>0</v>
      </c>
      <c r="O52" s="15"/>
    </row>
    <row r="53" spans="1:17" x14ac:dyDescent="0.15">
      <c r="A53" s="9" t="s">
        <v>7</v>
      </c>
      <c r="B53" s="68"/>
      <c r="C53" s="90"/>
      <c r="D53" s="10"/>
      <c r="E53" s="12">
        <f t="shared" si="15"/>
        <v>0</v>
      </c>
      <c r="F53" s="10"/>
      <c r="G53" s="90"/>
      <c r="H53" s="10"/>
      <c r="I53" s="12">
        <f t="shared" si="16"/>
        <v>0</v>
      </c>
      <c r="J53" s="10"/>
      <c r="K53" s="44"/>
      <c r="L53" s="10"/>
      <c r="M53" s="12">
        <f t="shared" si="17"/>
        <v>0</v>
      </c>
      <c r="N53" s="13">
        <f t="shared" si="18"/>
        <v>0</v>
      </c>
      <c r="O53" s="15"/>
    </row>
    <row r="54" spans="1:17" x14ac:dyDescent="0.15">
      <c r="A54" s="9" t="s">
        <v>7</v>
      </c>
      <c r="B54" s="69"/>
      <c r="C54" s="91"/>
      <c r="D54" s="16"/>
      <c r="E54" s="12">
        <f t="shared" si="15"/>
        <v>0</v>
      </c>
      <c r="F54" s="16"/>
      <c r="G54" s="91"/>
      <c r="H54" s="16"/>
      <c r="I54" s="12">
        <f t="shared" si="16"/>
        <v>0</v>
      </c>
      <c r="J54" s="16"/>
      <c r="K54" s="45"/>
      <c r="L54" s="16"/>
      <c r="M54" s="12">
        <f t="shared" si="17"/>
        <v>0</v>
      </c>
      <c r="N54" s="13">
        <f t="shared" si="18"/>
        <v>0</v>
      </c>
      <c r="O54" s="15"/>
    </row>
    <row r="55" spans="1:17" x14ac:dyDescent="0.15">
      <c r="A55" s="9" t="s">
        <v>7</v>
      </c>
      <c r="B55" s="69"/>
      <c r="C55" s="91"/>
      <c r="D55" s="16"/>
      <c r="E55" s="12">
        <f t="shared" si="15"/>
        <v>0</v>
      </c>
      <c r="F55" s="16"/>
      <c r="G55" s="91"/>
      <c r="H55" s="16"/>
      <c r="I55" s="12">
        <f t="shared" si="16"/>
        <v>0</v>
      </c>
      <c r="J55" s="16"/>
      <c r="K55" s="45"/>
      <c r="L55" s="16"/>
      <c r="M55" s="12">
        <f t="shared" si="17"/>
        <v>0</v>
      </c>
      <c r="N55" s="13">
        <f t="shared" si="18"/>
        <v>0</v>
      </c>
      <c r="O55" s="15"/>
    </row>
    <row r="56" spans="1:17" x14ac:dyDescent="0.15">
      <c r="A56" s="9" t="s">
        <v>7</v>
      </c>
      <c r="B56" s="69"/>
      <c r="C56" s="91"/>
      <c r="D56" s="16"/>
      <c r="E56" s="12">
        <f t="shared" si="15"/>
        <v>0</v>
      </c>
      <c r="F56" s="16"/>
      <c r="G56" s="91"/>
      <c r="H56" s="16"/>
      <c r="I56" s="12">
        <f t="shared" si="16"/>
        <v>0</v>
      </c>
      <c r="J56" s="16"/>
      <c r="K56" s="45"/>
      <c r="L56" s="16"/>
      <c r="M56" s="12">
        <f t="shared" si="17"/>
        <v>0</v>
      </c>
      <c r="N56" s="13">
        <f t="shared" si="18"/>
        <v>0</v>
      </c>
      <c r="O56" s="15"/>
    </row>
    <row r="57" spans="1:17" ht="14.25" thickBot="1" x14ac:dyDescent="0.2">
      <c r="A57" s="17" t="s">
        <v>7</v>
      </c>
      <c r="B57" s="70"/>
      <c r="C57" s="92"/>
      <c r="D57" s="18"/>
      <c r="E57" s="19">
        <f t="shared" si="15"/>
        <v>0</v>
      </c>
      <c r="F57" s="18"/>
      <c r="G57" s="92"/>
      <c r="H57" s="18"/>
      <c r="I57" s="19">
        <f t="shared" si="16"/>
        <v>0</v>
      </c>
      <c r="J57" s="18"/>
      <c r="K57" s="46"/>
      <c r="L57" s="18"/>
      <c r="M57" s="19">
        <f t="shared" si="17"/>
        <v>0</v>
      </c>
      <c r="N57" s="20">
        <f t="shared" si="18"/>
        <v>0</v>
      </c>
    </row>
    <row r="58" spans="1:17" ht="14.25" thickBot="1" x14ac:dyDescent="0.2">
      <c r="A58" s="21" t="s">
        <v>8</v>
      </c>
      <c r="B58" s="22">
        <f>SUM(B47:B57)</f>
        <v>5</v>
      </c>
      <c r="C58" s="47">
        <f>SUM(C47:C57)</f>
        <v>3</v>
      </c>
      <c r="D58" s="40">
        <f>SUM(D47:D57)</f>
        <v>3</v>
      </c>
      <c r="E58" s="23">
        <f t="shared" si="15"/>
        <v>11</v>
      </c>
      <c r="F58" s="22">
        <f>SUM(F47:F57)</f>
        <v>2</v>
      </c>
      <c r="G58" s="47">
        <f>SUM(G47:G57)</f>
        <v>1</v>
      </c>
      <c r="H58" s="40">
        <f>SUM(H47:H57)</f>
        <v>0</v>
      </c>
      <c r="I58" s="23">
        <f t="shared" si="16"/>
        <v>3</v>
      </c>
      <c r="J58" s="22">
        <f>SUM(J47:J57)</f>
        <v>3</v>
      </c>
      <c r="K58" s="47">
        <f>SUM(K47:K57)</f>
        <v>3</v>
      </c>
      <c r="L58" s="40">
        <f>SUM(L47:L57)</f>
        <v>2</v>
      </c>
      <c r="M58" s="23">
        <f t="shared" si="17"/>
        <v>8</v>
      </c>
      <c r="N58" s="24">
        <f t="shared" si="18"/>
        <v>22</v>
      </c>
    </row>
    <row r="59" spans="1:17" x14ac:dyDescent="0.15">
      <c r="A59" s="25" t="s">
        <v>28</v>
      </c>
      <c r="B59" s="26"/>
      <c r="C59" s="48"/>
      <c r="D59" s="27"/>
      <c r="E59" s="12">
        <f t="shared" si="15"/>
        <v>0</v>
      </c>
      <c r="F59" s="26"/>
      <c r="G59" s="48"/>
      <c r="H59" s="27"/>
      <c r="I59" s="12">
        <f t="shared" si="16"/>
        <v>0</v>
      </c>
      <c r="J59" s="26">
        <v>1</v>
      </c>
      <c r="K59" s="48"/>
      <c r="L59" s="27"/>
      <c r="M59" s="12">
        <f t="shared" si="17"/>
        <v>1</v>
      </c>
      <c r="N59" s="13">
        <f t="shared" si="18"/>
        <v>1</v>
      </c>
      <c r="O59" s="15">
        <v>45831</v>
      </c>
      <c r="P59" s="14"/>
      <c r="Q59" s="14"/>
    </row>
    <row r="60" spans="1:17" x14ac:dyDescent="0.15">
      <c r="A60" s="25" t="s">
        <v>28</v>
      </c>
      <c r="B60" s="29"/>
      <c r="C60" s="45">
        <v>1</v>
      </c>
      <c r="D60" s="16"/>
      <c r="E60" s="12">
        <f t="shared" si="15"/>
        <v>1</v>
      </c>
      <c r="F60" s="29"/>
      <c r="G60" s="45"/>
      <c r="H60" s="16"/>
      <c r="I60" s="12">
        <f t="shared" si="16"/>
        <v>0</v>
      </c>
      <c r="J60" s="29"/>
      <c r="K60" s="45"/>
      <c r="L60" s="16"/>
      <c r="M60" s="12">
        <f t="shared" si="17"/>
        <v>0</v>
      </c>
      <c r="N60" s="13">
        <f t="shared" si="18"/>
        <v>1</v>
      </c>
      <c r="O60" s="15">
        <v>45860</v>
      </c>
      <c r="P60" s="14"/>
      <c r="Q60" s="14"/>
    </row>
    <row r="61" spans="1:17" x14ac:dyDescent="0.15">
      <c r="A61" s="25" t="s">
        <v>56</v>
      </c>
      <c r="B61" s="29">
        <v>1</v>
      </c>
      <c r="C61" s="45">
        <v>1</v>
      </c>
      <c r="D61" s="16">
        <v>0</v>
      </c>
      <c r="E61" s="12">
        <f t="shared" si="15"/>
        <v>2</v>
      </c>
      <c r="F61" s="29">
        <v>1</v>
      </c>
      <c r="G61" s="45">
        <v>0</v>
      </c>
      <c r="H61" s="16">
        <v>0</v>
      </c>
      <c r="I61" s="12">
        <f t="shared" si="16"/>
        <v>1</v>
      </c>
      <c r="J61" s="29">
        <v>1</v>
      </c>
      <c r="K61" s="45">
        <v>0</v>
      </c>
      <c r="L61" s="16">
        <v>0</v>
      </c>
      <c r="M61" s="12">
        <f t="shared" si="17"/>
        <v>1</v>
      </c>
      <c r="N61" s="13">
        <f t="shared" si="18"/>
        <v>4</v>
      </c>
      <c r="O61" s="15">
        <v>45895</v>
      </c>
      <c r="P61" s="14"/>
      <c r="Q61" s="14"/>
    </row>
    <row r="62" spans="1:17" x14ac:dyDescent="0.15">
      <c r="A62" s="25" t="s">
        <v>28</v>
      </c>
      <c r="B62" s="29">
        <v>1</v>
      </c>
      <c r="C62" s="45"/>
      <c r="D62" s="16"/>
      <c r="E62" s="12">
        <f t="shared" si="15"/>
        <v>1</v>
      </c>
      <c r="F62" s="29"/>
      <c r="G62" s="45"/>
      <c r="H62" s="16"/>
      <c r="I62" s="12">
        <f t="shared" si="16"/>
        <v>0</v>
      </c>
      <c r="J62" s="29"/>
      <c r="K62" s="45"/>
      <c r="L62" s="16"/>
      <c r="M62" s="12">
        <f t="shared" si="17"/>
        <v>0</v>
      </c>
      <c r="N62" s="13">
        <f t="shared" si="18"/>
        <v>1</v>
      </c>
      <c r="O62" s="15">
        <v>45904</v>
      </c>
      <c r="P62" s="14"/>
      <c r="Q62" s="14"/>
    </row>
    <row r="63" spans="1:17" x14ac:dyDescent="0.15">
      <c r="A63" s="25" t="s">
        <v>28</v>
      </c>
      <c r="B63" s="29"/>
      <c r="C63" s="45"/>
      <c r="D63" s="16"/>
      <c r="E63" s="12">
        <f t="shared" si="15"/>
        <v>0</v>
      </c>
      <c r="F63" s="29"/>
      <c r="G63" s="45">
        <v>1</v>
      </c>
      <c r="H63" s="16"/>
      <c r="I63" s="12">
        <f t="shared" si="16"/>
        <v>1</v>
      </c>
      <c r="J63" s="29"/>
      <c r="K63" s="45"/>
      <c r="L63" s="16"/>
      <c r="M63" s="12">
        <f t="shared" si="17"/>
        <v>0</v>
      </c>
      <c r="N63" s="13">
        <f t="shared" si="18"/>
        <v>1</v>
      </c>
      <c r="O63" s="15">
        <v>45906</v>
      </c>
      <c r="P63" s="14"/>
      <c r="Q63" s="14"/>
    </row>
    <row r="64" spans="1:17" x14ac:dyDescent="0.15">
      <c r="A64" s="25" t="s">
        <v>28</v>
      </c>
      <c r="B64" s="29">
        <v>1</v>
      </c>
      <c r="C64" s="45"/>
      <c r="D64" s="16"/>
      <c r="E64" s="12">
        <f t="shared" si="15"/>
        <v>1</v>
      </c>
      <c r="F64" s="29"/>
      <c r="G64" s="45"/>
      <c r="H64" s="16"/>
      <c r="I64" s="12">
        <f t="shared" si="16"/>
        <v>0</v>
      </c>
      <c r="J64" s="29"/>
      <c r="K64" s="45"/>
      <c r="L64" s="16"/>
      <c r="M64" s="12">
        <f t="shared" si="17"/>
        <v>0</v>
      </c>
      <c r="N64" s="13">
        <f t="shared" si="18"/>
        <v>1</v>
      </c>
      <c r="O64" s="15">
        <v>45929</v>
      </c>
      <c r="P64" s="14"/>
      <c r="Q64" s="14"/>
    </row>
    <row r="65" spans="1:17" x14ac:dyDescent="0.15">
      <c r="A65" s="25" t="s">
        <v>28</v>
      </c>
      <c r="B65" s="29"/>
      <c r="C65" s="45">
        <v>1</v>
      </c>
      <c r="D65" s="16"/>
      <c r="E65" s="12">
        <f t="shared" si="15"/>
        <v>1</v>
      </c>
      <c r="F65" s="29"/>
      <c r="G65" s="45"/>
      <c r="H65" s="16"/>
      <c r="I65" s="12">
        <f t="shared" si="16"/>
        <v>0</v>
      </c>
      <c r="J65" s="29"/>
      <c r="K65" s="45">
        <v>1</v>
      </c>
      <c r="L65" s="16"/>
      <c r="M65" s="12">
        <f t="shared" si="17"/>
        <v>1</v>
      </c>
      <c r="N65" s="13">
        <f t="shared" si="18"/>
        <v>2</v>
      </c>
      <c r="O65" s="15">
        <v>45930</v>
      </c>
      <c r="P65" s="14"/>
      <c r="Q65" s="14"/>
    </row>
    <row r="66" spans="1:17" x14ac:dyDescent="0.15">
      <c r="A66" s="25" t="s">
        <v>28</v>
      </c>
      <c r="B66" s="29">
        <v>1</v>
      </c>
      <c r="C66" s="45"/>
      <c r="D66" s="16"/>
      <c r="E66" s="12">
        <f t="shared" si="15"/>
        <v>1</v>
      </c>
      <c r="F66" s="29"/>
      <c r="G66" s="45"/>
      <c r="H66" s="16"/>
      <c r="I66" s="12">
        <f t="shared" si="16"/>
        <v>0</v>
      </c>
      <c r="J66" s="29"/>
      <c r="K66" s="45"/>
      <c r="L66" s="16"/>
      <c r="M66" s="12">
        <f t="shared" si="17"/>
        <v>0</v>
      </c>
      <c r="N66" s="13">
        <f t="shared" si="18"/>
        <v>1</v>
      </c>
      <c r="O66" s="15">
        <v>45939</v>
      </c>
      <c r="P66" s="14"/>
      <c r="Q66" s="14"/>
    </row>
    <row r="67" spans="1:17" x14ac:dyDescent="0.15">
      <c r="A67" s="25" t="s">
        <v>28</v>
      </c>
      <c r="B67" s="29">
        <v>1</v>
      </c>
      <c r="C67" s="45"/>
      <c r="D67" s="16"/>
      <c r="E67" s="12">
        <f t="shared" si="15"/>
        <v>1</v>
      </c>
      <c r="F67" s="29"/>
      <c r="G67" s="45"/>
      <c r="H67" s="16"/>
      <c r="I67" s="12">
        <f t="shared" si="16"/>
        <v>0</v>
      </c>
      <c r="J67" s="29">
        <v>1</v>
      </c>
      <c r="K67" s="45"/>
      <c r="L67" s="16"/>
      <c r="M67" s="12">
        <f t="shared" si="17"/>
        <v>1</v>
      </c>
      <c r="N67" s="13">
        <f t="shared" si="18"/>
        <v>2</v>
      </c>
      <c r="O67" s="15">
        <v>45961</v>
      </c>
      <c r="P67" s="14"/>
      <c r="Q67" s="14"/>
    </row>
    <row r="68" spans="1:17" x14ac:dyDescent="0.15">
      <c r="A68" s="25" t="s">
        <v>28</v>
      </c>
      <c r="B68" s="29"/>
      <c r="C68" s="45"/>
      <c r="D68" s="16"/>
      <c r="E68" s="12">
        <f t="shared" si="15"/>
        <v>0</v>
      </c>
      <c r="F68" s="29"/>
      <c r="G68" s="45"/>
      <c r="H68" s="16"/>
      <c r="I68" s="12">
        <f t="shared" si="16"/>
        <v>0</v>
      </c>
      <c r="J68" s="29"/>
      <c r="K68" s="45"/>
      <c r="L68" s="16">
        <v>1</v>
      </c>
      <c r="M68" s="12">
        <f t="shared" si="17"/>
        <v>1</v>
      </c>
      <c r="N68" s="13">
        <f t="shared" si="18"/>
        <v>1</v>
      </c>
      <c r="O68" s="15">
        <v>45982</v>
      </c>
      <c r="P68" s="14"/>
      <c r="Q68" s="14"/>
    </row>
    <row r="69" spans="1:17" x14ac:dyDescent="0.15">
      <c r="A69" s="25" t="s">
        <v>28</v>
      </c>
      <c r="B69" s="29"/>
      <c r="C69" s="45"/>
      <c r="D69" s="16">
        <v>1</v>
      </c>
      <c r="E69" s="12">
        <f t="shared" si="15"/>
        <v>1</v>
      </c>
      <c r="F69" s="29"/>
      <c r="G69" s="45"/>
      <c r="H69" s="16"/>
      <c r="I69" s="12">
        <f t="shared" si="16"/>
        <v>0</v>
      </c>
      <c r="J69" s="29"/>
      <c r="K69" s="45"/>
      <c r="L69" s="16">
        <v>1</v>
      </c>
      <c r="M69" s="12">
        <f t="shared" si="17"/>
        <v>1</v>
      </c>
      <c r="N69" s="13">
        <f t="shared" si="18"/>
        <v>2</v>
      </c>
      <c r="O69" s="15">
        <v>46027</v>
      </c>
      <c r="P69" s="14"/>
      <c r="Q69" s="14"/>
    </row>
    <row r="70" spans="1:17" x14ac:dyDescent="0.15">
      <c r="A70" s="25" t="s">
        <v>28</v>
      </c>
      <c r="B70" s="29"/>
      <c r="C70" s="45"/>
      <c r="D70" s="16"/>
      <c r="E70" s="39">
        <f t="shared" si="15"/>
        <v>0</v>
      </c>
      <c r="F70" s="29">
        <v>1</v>
      </c>
      <c r="G70" s="45"/>
      <c r="H70" s="16"/>
      <c r="I70" s="39">
        <f t="shared" si="16"/>
        <v>1</v>
      </c>
      <c r="J70" s="29"/>
      <c r="K70" s="45">
        <v>2</v>
      </c>
      <c r="L70" s="16"/>
      <c r="M70" s="39">
        <f t="shared" si="17"/>
        <v>2</v>
      </c>
      <c r="N70" s="13">
        <f t="shared" si="18"/>
        <v>3</v>
      </c>
      <c r="O70" s="15">
        <v>46043</v>
      </c>
      <c r="P70" s="14"/>
      <c r="Q70" s="14"/>
    </row>
    <row r="71" spans="1:17" x14ac:dyDescent="0.15">
      <c r="A71" s="25" t="s">
        <v>28</v>
      </c>
      <c r="B71" s="29"/>
      <c r="C71" s="45"/>
      <c r="D71" s="16">
        <v>2</v>
      </c>
      <c r="E71" s="12">
        <f t="shared" si="15"/>
        <v>2</v>
      </c>
      <c r="F71" s="29"/>
      <c r="G71" s="45"/>
      <c r="H71" s="16"/>
      <c r="I71" s="12">
        <f t="shared" si="16"/>
        <v>0</v>
      </c>
      <c r="J71" s="29"/>
      <c r="K71" s="45"/>
      <c r="L71" s="16"/>
      <c r="M71" s="12">
        <f t="shared" si="17"/>
        <v>0</v>
      </c>
      <c r="N71" s="13">
        <f t="shared" si="18"/>
        <v>2</v>
      </c>
      <c r="O71" s="15">
        <v>46062</v>
      </c>
      <c r="P71" s="14"/>
      <c r="Q71" s="14"/>
    </row>
    <row r="72" spans="1:17" x14ac:dyDescent="0.15">
      <c r="A72" s="25"/>
      <c r="B72" s="29"/>
      <c r="C72" s="45"/>
      <c r="D72" s="16"/>
      <c r="E72" s="12">
        <f t="shared" si="15"/>
        <v>0</v>
      </c>
      <c r="F72" s="29"/>
      <c r="G72" s="45"/>
      <c r="H72" s="16"/>
      <c r="I72" s="12">
        <f t="shared" si="16"/>
        <v>0</v>
      </c>
      <c r="J72" s="29"/>
      <c r="K72" s="45"/>
      <c r="L72" s="16"/>
      <c r="M72" s="12">
        <f t="shared" si="17"/>
        <v>0</v>
      </c>
      <c r="N72" s="13">
        <f t="shared" si="18"/>
        <v>0</v>
      </c>
      <c r="O72" s="15"/>
      <c r="P72" s="14"/>
      <c r="Q72" s="14"/>
    </row>
    <row r="73" spans="1:17" x14ac:dyDescent="0.15">
      <c r="A73" s="25"/>
      <c r="B73" s="29"/>
      <c r="C73" s="45"/>
      <c r="D73" s="16"/>
      <c r="E73" s="12">
        <f t="shared" si="15"/>
        <v>0</v>
      </c>
      <c r="F73" s="29"/>
      <c r="G73" s="45"/>
      <c r="H73" s="16"/>
      <c r="I73" s="12">
        <f t="shared" si="16"/>
        <v>0</v>
      </c>
      <c r="J73" s="29"/>
      <c r="K73" s="45"/>
      <c r="L73" s="16"/>
      <c r="M73" s="12">
        <f t="shared" si="17"/>
        <v>0</v>
      </c>
      <c r="N73" s="13">
        <f t="shared" si="18"/>
        <v>0</v>
      </c>
      <c r="O73" s="15"/>
      <c r="P73" s="14"/>
      <c r="Q73" s="14"/>
    </row>
    <row r="74" spans="1:17" x14ac:dyDescent="0.15">
      <c r="A74" s="25"/>
      <c r="B74" s="29"/>
      <c r="C74" s="45"/>
      <c r="D74" s="16"/>
      <c r="E74" s="12">
        <f t="shared" si="15"/>
        <v>0</v>
      </c>
      <c r="F74" s="29"/>
      <c r="G74" s="45"/>
      <c r="H74" s="16"/>
      <c r="I74" s="12">
        <f t="shared" si="16"/>
        <v>0</v>
      </c>
      <c r="J74" s="29"/>
      <c r="K74" s="45"/>
      <c r="L74" s="16"/>
      <c r="M74" s="12">
        <f t="shared" si="17"/>
        <v>0</v>
      </c>
      <c r="N74" s="13">
        <f t="shared" si="18"/>
        <v>0</v>
      </c>
      <c r="O74" s="15"/>
      <c r="P74" s="14"/>
      <c r="Q74" s="14"/>
    </row>
    <row r="75" spans="1:17" x14ac:dyDescent="0.15">
      <c r="A75" s="25"/>
      <c r="B75" s="29"/>
      <c r="C75" s="45"/>
      <c r="D75" s="16"/>
      <c r="E75" s="12">
        <f t="shared" si="15"/>
        <v>0</v>
      </c>
      <c r="F75" s="29"/>
      <c r="G75" s="45"/>
      <c r="H75" s="16"/>
      <c r="I75" s="12">
        <f t="shared" si="16"/>
        <v>0</v>
      </c>
      <c r="J75" s="29"/>
      <c r="K75" s="45"/>
      <c r="L75" s="16"/>
      <c r="M75" s="12">
        <f t="shared" si="17"/>
        <v>0</v>
      </c>
      <c r="N75" s="13">
        <f t="shared" si="18"/>
        <v>0</v>
      </c>
      <c r="O75" s="15"/>
      <c r="P75" s="14"/>
      <c r="Q75" s="14"/>
    </row>
    <row r="76" spans="1:17" x14ac:dyDescent="0.15">
      <c r="A76" s="25"/>
      <c r="B76" s="29"/>
      <c r="C76" s="45"/>
      <c r="D76" s="16"/>
      <c r="E76" s="12">
        <f t="shared" si="15"/>
        <v>0</v>
      </c>
      <c r="F76" s="29"/>
      <c r="G76" s="45"/>
      <c r="H76" s="16"/>
      <c r="I76" s="12">
        <f t="shared" si="16"/>
        <v>0</v>
      </c>
      <c r="J76" s="29"/>
      <c r="K76" s="45"/>
      <c r="L76" s="16"/>
      <c r="M76" s="12">
        <f t="shared" si="17"/>
        <v>0</v>
      </c>
      <c r="N76" s="13">
        <f t="shared" si="18"/>
        <v>0</v>
      </c>
      <c r="O76" s="15"/>
      <c r="P76" s="14"/>
      <c r="Q76" s="14"/>
    </row>
    <row r="77" spans="1:17" x14ac:dyDescent="0.15">
      <c r="A77" s="25"/>
      <c r="B77" s="29"/>
      <c r="C77" s="45"/>
      <c r="D77" s="16"/>
      <c r="E77" s="12">
        <f t="shared" si="15"/>
        <v>0</v>
      </c>
      <c r="F77" s="29"/>
      <c r="G77" s="45"/>
      <c r="H77" s="16"/>
      <c r="I77" s="12">
        <f t="shared" si="16"/>
        <v>0</v>
      </c>
      <c r="J77" s="29"/>
      <c r="K77" s="45"/>
      <c r="L77" s="16"/>
      <c r="M77" s="12">
        <f t="shared" si="17"/>
        <v>0</v>
      </c>
      <c r="N77" s="13">
        <f t="shared" si="18"/>
        <v>0</v>
      </c>
      <c r="O77" s="15"/>
      <c r="P77" s="14"/>
      <c r="Q77" s="14"/>
    </row>
    <row r="78" spans="1:17" x14ac:dyDescent="0.15">
      <c r="A78" s="25"/>
      <c r="B78" s="29"/>
      <c r="C78" s="45"/>
      <c r="D78" s="16"/>
      <c r="E78" s="12">
        <f t="shared" si="15"/>
        <v>0</v>
      </c>
      <c r="F78" s="29"/>
      <c r="G78" s="45"/>
      <c r="H78" s="16"/>
      <c r="I78" s="12">
        <f t="shared" si="16"/>
        <v>0</v>
      </c>
      <c r="J78" s="29"/>
      <c r="K78" s="45"/>
      <c r="L78" s="16"/>
      <c r="M78" s="12">
        <f t="shared" si="17"/>
        <v>0</v>
      </c>
      <c r="N78" s="13">
        <f t="shared" si="18"/>
        <v>0</v>
      </c>
      <c r="O78" s="15"/>
      <c r="P78" s="14"/>
      <c r="Q78" s="14"/>
    </row>
    <row r="79" spans="1:17" x14ac:dyDescent="0.15">
      <c r="A79" s="25"/>
      <c r="B79" s="29"/>
      <c r="C79" s="45"/>
      <c r="D79" s="16"/>
      <c r="E79" s="12">
        <f t="shared" si="15"/>
        <v>0</v>
      </c>
      <c r="F79" s="29"/>
      <c r="G79" s="45"/>
      <c r="H79" s="16"/>
      <c r="I79" s="12">
        <f t="shared" si="16"/>
        <v>0</v>
      </c>
      <c r="J79" s="29"/>
      <c r="K79" s="45"/>
      <c r="L79" s="16"/>
      <c r="M79" s="12">
        <f t="shared" si="17"/>
        <v>0</v>
      </c>
      <c r="N79" s="13">
        <f t="shared" si="18"/>
        <v>0</v>
      </c>
      <c r="O79" s="15"/>
      <c r="P79" s="14"/>
      <c r="Q79" s="14"/>
    </row>
    <row r="80" spans="1:17" x14ac:dyDescent="0.15">
      <c r="A80" s="25"/>
      <c r="B80" s="29"/>
      <c r="C80" s="45"/>
      <c r="D80" s="16"/>
      <c r="E80" s="12">
        <f t="shared" si="15"/>
        <v>0</v>
      </c>
      <c r="F80" s="29"/>
      <c r="G80" s="45"/>
      <c r="H80" s="16"/>
      <c r="I80" s="12">
        <f t="shared" si="16"/>
        <v>0</v>
      </c>
      <c r="J80" s="29"/>
      <c r="K80" s="45"/>
      <c r="L80" s="16"/>
      <c r="M80" s="12">
        <f t="shared" si="17"/>
        <v>0</v>
      </c>
      <c r="N80" s="13">
        <f t="shared" si="18"/>
        <v>0</v>
      </c>
      <c r="O80" s="15"/>
      <c r="P80" s="14"/>
      <c r="Q80" s="14"/>
    </row>
    <row r="81" spans="1:17" x14ac:dyDescent="0.15">
      <c r="A81" s="25"/>
      <c r="B81" s="29"/>
      <c r="C81" s="45"/>
      <c r="D81" s="16"/>
      <c r="E81" s="12">
        <f t="shared" si="15"/>
        <v>0</v>
      </c>
      <c r="F81" s="29"/>
      <c r="G81" s="45"/>
      <c r="H81" s="16"/>
      <c r="I81" s="12">
        <f t="shared" si="16"/>
        <v>0</v>
      </c>
      <c r="J81" s="29"/>
      <c r="K81" s="45"/>
      <c r="L81" s="16"/>
      <c r="M81" s="12">
        <f t="shared" si="17"/>
        <v>0</v>
      </c>
      <c r="N81" s="13">
        <f t="shared" si="18"/>
        <v>0</v>
      </c>
      <c r="O81" s="15"/>
      <c r="P81" s="14"/>
      <c r="Q81" s="14"/>
    </row>
    <row r="82" spans="1:17" ht="14.25" thickBot="1" x14ac:dyDescent="0.2">
      <c r="A82" s="25"/>
      <c r="B82" s="29"/>
      <c r="C82" s="45"/>
      <c r="D82" s="16"/>
      <c r="E82" s="12">
        <f t="shared" si="15"/>
        <v>0</v>
      </c>
      <c r="F82" s="29"/>
      <c r="G82" s="45"/>
      <c r="H82" s="16"/>
      <c r="I82" s="12">
        <f t="shared" si="16"/>
        <v>0</v>
      </c>
      <c r="J82" s="29"/>
      <c r="K82" s="45"/>
      <c r="L82" s="16"/>
      <c r="M82" s="12">
        <f t="shared" si="17"/>
        <v>0</v>
      </c>
      <c r="N82" s="20">
        <f t="shared" si="18"/>
        <v>0</v>
      </c>
      <c r="O82" s="15"/>
      <c r="P82" s="14"/>
      <c r="Q82" s="14"/>
    </row>
    <row r="83" spans="1:17" ht="14.25" thickBot="1" x14ac:dyDescent="0.2">
      <c r="A83" s="3" t="s">
        <v>9</v>
      </c>
      <c r="B83" s="22">
        <f>SUM(B59:B82)</f>
        <v>5</v>
      </c>
      <c r="C83" s="47">
        <f t="shared" ref="C83:E83" si="19">SUM(C59:C82)</f>
        <v>3</v>
      </c>
      <c r="D83" s="41">
        <f t="shared" si="19"/>
        <v>3</v>
      </c>
      <c r="E83" s="31">
        <f t="shared" si="19"/>
        <v>11</v>
      </c>
      <c r="F83" s="22">
        <f>SUM(F59:F82)</f>
        <v>2</v>
      </c>
      <c r="G83" s="47">
        <f t="shared" ref="G83:I83" si="20">SUM(G59:G82)</f>
        <v>1</v>
      </c>
      <c r="H83" s="41">
        <f t="shared" si="20"/>
        <v>0</v>
      </c>
      <c r="I83" s="31">
        <f t="shared" si="20"/>
        <v>3</v>
      </c>
      <c r="J83" s="22">
        <f>SUM(J59:J82)</f>
        <v>3</v>
      </c>
      <c r="K83" s="47">
        <f t="shared" ref="K83:M83" si="21">SUM(K59:K82)</f>
        <v>3</v>
      </c>
      <c r="L83" s="41">
        <f t="shared" si="21"/>
        <v>2</v>
      </c>
      <c r="M83" s="31">
        <f t="shared" si="21"/>
        <v>8</v>
      </c>
      <c r="N83" s="24">
        <f t="shared" si="18"/>
        <v>22</v>
      </c>
    </row>
    <row r="84" spans="1:17" ht="14.25" thickBot="1" x14ac:dyDescent="0.2">
      <c r="A84" s="32" t="s">
        <v>10</v>
      </c>
      <c r="B84" s="33">
        <f>B58-B83</f>
        <v>0</v>
      </c>
      <c r="C84" s="49">
        <f t="shared" ref="C84:E84" si="22">C58-C83</f>
        <v>0</v>
      </c>
      <c r="D84" s="42">
        <f t="shared" si="22"/>
        <v>0</v>
      </c>
      <c r="E84" s="33">
        <f t="shared" si="22"/>
        <v>0</v>
      </c>
      <c r="F84" s="33">
        <f>F58-F83</f>
        <v>0</v>
      </c>
      <c r="G84" s="49">
        <f t="shared" ref="G84:I84" si="23">G58-G83</f>
        <v>0</v>
      </c>
      <c r="H84" s="42">
        <f t="shared" si="23"/>
        <v>0</v>
      </c>
      <c r="I84" s="33">
        <f t="shared" si="23"/>
        <v>0</v>
      </c>
      <c r="J84" s="33">
        <f>J58-J83</f>
        <v>0</v>
      </c>
      <c r="K84" s="49">
        <f t="shared" ref="K84:M84" si="24">K58-K83</f>
        <v>0</v>
      </c>
      <c r="L84" s="42">
        <f t="shared" si="24"/>
        <v>0</v>
      </c>
      <c r="M84" s="33">
        <f t="shared" si="24"/>
        <v>0</v>
      </c>
      <c r="N84" s="24">
        <f t="shared" si="18"/>
        <v>0</v>
      </c>
    </row>
  </sheetData>
  <mergeCells count="8">
    <mergeCell ref="B2:E2"/>
    <mergeCell ref="F2:I2"/>
    <mergeCell ref="J2:M2"/>
    <mergeCell ref="N2:N3"/>
    <mergeCell ref="B45:E45"/>
    <mergeCell ref="F45:I45"/>
    <mergeCell ref="J45:M45"/>
    <mergeCell ref="N45:N46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ふんどし_ノーマル</vt:lpstr>
      <vt:lpstr>ふんどし_ガーゼ</vt:lpstr>
      <vt:lpstr>トランクス_ノーマル</vt:lpstr>
      <vt:lpstr>トランクス_ガーゼ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2026-06-18T05:11:23Z</dcterms:modified>
</cp:coreProperties>
</file>