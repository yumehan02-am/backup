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川本産業㈱（ニシキ）\"/>
    </mc:Choice>
  </mc:AlternateContent>
  <xr:revisionPtr revIDLastSave="0" documentId="13_ncr:1_{0BBD9ED8-C13C-44B0-9234-432D1952288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生理用パジャマズボン" sheetId="5" r:id="rId1"/>
    <sheet name="女性用オーバーパンツ" sheetId="4" r:id="rId2"/>
    <sheet name="防水シーツ（中国製）" sheetId="8" r:id="rId3"/>
    <sheet name="防水シーツ（日本製）" sheetId="1" r:id="rId4"/>
    <sheet name="紳士用防水ズボン" sheetId="6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8" i="8" l="1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887" i="8"/>
  <c r="D888" i="8"/>
  <c r="D889" i="8"/>
  <c r="D890" i="8"/>
  <c r="D891" i="8"/>
  <c r="D892" i="8"/>
  <c r="C922" i="8"/>
  <c r="B922" i="8"/>
  <c r="D921" i="8"/>
  <c r="D920" i="8"/>
  <c r="D896" i="8"/>
  <c r="D895" i="8"/>
  <c r="D894" i="8"/>
  <c r="D893" i="8"/>
  <c r="D845" i="8"/>
  <c r="D846" i="8"/>
  <c r="D847" i="8"/>
  <c r="D848" i="8"/>
  <c r="C880" i="8"/>
  <c r="B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4" i="8"/>
  <c r="D853" i="8"/>
  <c r="D852" i="8"/>
  <c r="D851" i="8"/>
  <c r="D850" i="8"/>
  <c r="D849" i="8"/>
  <c r="C838" i="8"/>
  <c r="B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2" i="8"/>
  <c r="D811" i="8"/>
  <c r="D810" i="8"/>
  <c r="D809" i="8"/>
  <c r="D808" i="8"/>
  <c r="D807" i="8"/>
  <c r="D806" i="8"/>
  <c r="D805" i="8"/>
  <c r="D804" i="8"/>
  <c r="D803" i="8"/>
  <c r="D778" i="8"/>
  <c r="D779" i="8"/>
  <c r="D772" i="8"/>
  <c r="D773" i="8"/>
  <c r="D774" i="8"/>
  <c r="D775" i="8"/>
  <c r="D776" i="8"/>
  <c r="D777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61" i="8"/>
  <c r="D762" i="8"/>
  <c r="D763" i="8"/>
  <c r="D764" i="8"/>
  <c r="D765" i="8"/>
  <c r="B796" i="8"/>
  <c r="D795" i="8"/>
  <c r="D794" i="8"/>
  <c r="C796" i="8"/>
  <c r="D770" i="8"/>
  <c r="D769" i="8"/>
  <c r="D768" i="8"/>
  <c r="D767" i="8"/>
  <c r="D766" i="8"/>
  <c r="C747" i="8"/>
  <c r="C754" i="8" s="1"/>
  <c r="B734" i="8"/>
  <c r="D734" i="8" s="1"/>
  <c r="B732" i="8"/>
  <c r="D732" i="8" s="1"/>
  <c r="D719" i="8"/>
  <c r="D720" i="8"/>
  <c r="D721" i="8"/>
  <c r="D722" i="8"/>
  <c r="D730" i="8"/>
  <c r="D731" i="8"/>
  <c r="D733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8" i="8"/>
  <c r="D749" i="8"/>
  <c r="D750" i="8"/>
  <c r="D753" i="8"/>
  <c r="D752" i="8"/>
  <c r="D751" i="8"/>
  <c r="D728" i="8"/>
  <c r="D727" i="8"/>
  <c r="D726" i="8"/>
  <c r="D725" i="8"/>
  <c r="D724" i="8"/>
  <c r="D723" i="8"/>
  <c r="D705" i="8"/>
  <c r="D706" i="8"/>
  <c r="D707" i="8"/>
  <c r="D708" i="8"/>
  <c r="D677" i="8"/>
  <c r="D678" i="8"/>
  <c r="D679" i="8"/>
  <c r="D680" i="8"/>
  <c r="D681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9" i="8"/>
  <c r="B712" i="8"/>
  <c r="D711" i="8"/>
  <c r="D710" i="8"/>
  <c r="C712" i="8"/>
  <c r="D686" i="8"/>
  <c r="D685" i="8"/>
  <c r="D684" i="8"/>
  <c r="D683" i="8"/>
  <c r="D682" i="8"/>
  <c r="B658" i="8"/>
  <c r="C654" i="8"/>
  <c r="D654" i="8" s="1"/>
  <c r="D646" i="8"/>
  <c r="D647" i="8"/>
  <c r="D648" i="8"/>
  <c r="D649" i="8"/>
  <c r="D650" i="8"/>
  <c r="D651" i="8"/>
  <c r="D652" i="8"/>
  <c r="D653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35" i="8"/>
  <c r="D636" i="8"/>
  <c r="D637" i="8"/>
  <c r="D638" i="8"/>
  <c r="C670" i="8"/>
  <c r="D669" i="8"/>
  <c r="D644" i="8"/>
  <c r="D643" i="8"/>
  <c r="D642" i="8"/>
  <c r="D641" i="8"/>
  <c r="D640" i="8"/>
  <c r="D639" i="8"/>
  <c r="B617" i="8"/>
  <c r="D617" i="8" s="1"/>
  <c r="D627" i="8"/>
  <c r="D626" i="8"/>
  <c r="D625" i="8"/>
  <c r="D624" i="8"/>
  <c r="D623" i="8"/>
  <c r="D622" i="8"/>
  <c r="D621" i="8"/>
  <c r="D620" i="8"/>
  <c r="D619" i="8"/>
  <c r="D618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2" i="8"/>
  <c r="D601" i="8"/>
  <c r="D600" i="8"/>
  <c r="D599" i="8"/>
  <c r="D598" i="8"/>
  <c r="D597" i="8"/>
  <c r="D596" i="8"/>
  <c r="D595" i="8"/>
  <c r="D594" i="8"/>
  <c r="D593" i="8"/>
  <c r="B583" i="8"/>
  <c r="D583" i="8" s="1"/>
  <c r="B582" i="8"/>
  <c r="D582" i="8" s="1"/>
  <c r="B573" i="8"/>
  <c r="C567" i="8"/>
  <c r="C586" i="8" s="1"/>
  <c r="D562" i="8"/>
  <c r="D563" i="8"/>
  <c r="D564" i="8"/>
  <c r="D565" i="8"/>
  <c r="D566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52" i="8"/>
  <c r="D553" i="8"/>
  <c r="D554" i="8"/>
  <c r="D555" i="8"/>
  <c r="D556" i="8"/>
  <c r="D585" i="8"/>
  <c r="D584" i="8"/>
  <c r="D560" i="8"/>
  <c r="D559" i="8"/>
  <c r="D558" i="8"/>
  <c r="D557" i="8"/>
  <c r="D551" i="8"/>
  <c r="C533" i="8"/>
  <c r="D533" i="8" s="1"/>
  <c r="C523" i="8"/>
  <c r="B523" i="8"/>
  <c r="B544" i="8" s="1"/>
  <c r="D520" i="8"/>
  <c r="D521" i="8"/>
  <c r="D522" i="8"/>
  <c r="D524" i="8"/>
  <c r="D525" i="8"/>
  <c r="D526" i="8"/>
  <c r="D527" i="8"/>
  <c r="D528" i="8"/>
  <c r="D529" i="8"/>
  <c r="D530" i="8"/>
  <c r="D531" i="8"/>
  <c r="D532" i="8"/>
  <c r="D534" i="8"/>
  <c r="D535" i="8"/>
  <c r="D536" i="8"/>
  <c r="D537" i="8"/>
  <c r="D538" i="8"/>
  <c r="D539" i="8"/>
  <c r="D540" i="8"/>
  <c r="D541" i="8"/>
  <c r="D509" i="8"/>
  <c r="D510" i="8"/>
  <c r="D511" i="8"/>
  <c r="D512" i="8"/>
  <c r="D513" i="8"/>
  <c r="D514" i="8"/>
  <c r="D515" i="8"/>
  <c r="D543" i="8"/>
  <c r="D542" i="8"/>
  <c r="D518" i="8"/>
  <c r="D517" i="8"/>
  <c r="D516" i="8"/>
  <c r="C485" i="8"/>
  <c r="D485" i="8" s="1"/>
  <c r="C481" i="8"/>
  <c r="B481" i="8"/>
  <c r="B478" i="8"/>
  <c r="D478" i="8" s="1"/>
  <c r="D467" i="8"/>
  <c r="D468" i="8"/>
  <c r="D469" i="8"/>
  <c r="D470" i="8"/>
  <c r="D471" i="8"/>
  <c r="D479" i="8"/>
  <c r="D480" i="8"/>
  <c r="D482" i="8"/>
  <c r="D483" i="8"/>
  <c r="D484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1" i="8"/>
  <c r="D500" i="8"/>
  <c r="D476" i="8"/>
  <c r="D475" i="8"/>
  <c r="D474" i="8"/>
  <c r="D473" i="8"/>
  <c r="D472" i="8"/>
  <c r="B232" i="4"/>
  <c r="C449" i="8"/>
  <c r="C460" i="8" s="1"/>
  <c r="B449" i="8"/>
  <c r="B442" i="8"/>
  <c r="D442" i="8" s="1"/>
  <c r="D459" i="8"/>
  <c r="D458" i="8"/>
  <c r="D457" i="8"/>
  <c r="D456" i="8"/>
  <c r="D455" i="8"/>
  <c r="D454" i="8"/>
  <c r="D453" i="8"/>
  <c r="D452" i="8"/>
  <c r="D451" i="8"/>
  <c r="D450" i="8"/>
  <c r="D448" i="8"/>
  <c r="D447" i="8"/>
  <c r="D446" i="8"/>
  <c r="D445" i="8"/>
  <c r="D444" i="8"/>
  <c r="D443" i="8"/>
  <c r="D441" i="8"/>
  <c r="D440" i="8"/>
  <c r="D439" i="8"/>
  <c r="D438" i="8"/>
  <c r="D437" i="8"/>
  <c r="D436" i="8"/>
  <c r="D434" i="8"/>
  <c r="D433" i="8"/>
  <c r="D432" i="8"/>
  <c r="D431" i="8"/>
  <c r="D430" i="8"/>
  <c r="D429" i="8"/>
  <c r="D428" i="8"/>
  <c r="D427" i="8"/>
  <c r="D426" i="8"/>
  <c r="D425" i="8"/>
  <c r="B412" i="8"/>
  <c r="B409" i="8"/>
  <c r="B399" i="8"/>
  <c r="C228" i="4"/>
  <c r="D922" i="8" l="1"/>
  <c r="D747" i="8"/>
  <c r="D880" i="8"/>
  <c r="D838" i="8"/>
  <c r="D796" i="8"/>
  <c r="B754" i="8"/>
  <c r="D754" i="8" s="1"/>
  <c r="D712" i="8"/>
  <c r="B670" i="8"/>
  <c r="D670" i="8" s="1"/>
  <c r="B628" i="8"/>
  <c r="C628" i="8"/>
  <c r="D567" i="8"/>
  <c r="B586" i="8"/>
  <c r="D586" i="8" s="1"/>
  <c r="D449" i="8"/>
  <c r="D523" i="8"/>
  <c r="C544" i="8"/>
  <c r="D544" i="8" s="1"/>
  <c r="D481" i="8"/>
  <c r="C502" i="8"/>
  <c r="B502" i="8"/>
  <c r="B460" i="8"/>
  <c r="D460" i="8" s="1"/>
  <c r="C368" i="8"/>
  <c r="C376" i="8" s="1"/>
  <c r="B368" i="8"/>
  <c r="B362" i="8"/>
  <c r="E251" i="4"/>
  <c r="C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D251" i="4"/>
  <c r="F228" i="4"/>
  <c r="F227" i="4"/>
  <c r="F225" i="4"/>
  <c r="F224" i="4"/>
  <c r="F223" i="4"/>
  <c r="F222" i="4"/>
  <c r="F221" i="4"/>
  <c r="F220" i="4"/>
  <c r="F219" i="4"/>
  <c r="F218" i="4"/>
  <c r="F217" i="4"/>
  <c r="F216" i="4"/>
  <c r="B317" i="8"/>
  <c r="D317" i="8" s="1"/>
  <c r="B315" i="8"/>
  <c r="D315" i="8" s="1"/>
  <c r="C313" i="8"/>
  <c r="C334" i="8" s="1"/>
  <c r="B313" i="8"/>
  <c r="B312" i="8"/>
  <c r="D312" i="8" s="1"/>
  <c r="B290" i="8"/>
  <c r="D290" i="8" s="1"/>
  <c r="D299" i="8"/>
  <c r="D300" i="8"/>
  <c r="D341" i="8"/>
  <c r="D342" i="8"/>
  <c r="D343" i="8"/>
  <c r="D344" i="8"/>
  <c r="D345" i="8"/>
  <c r="D346" i="8"/>
  <c r="D347" i="8"/>
  <c r="D348" i="8"/>
  <c r="D349" i="8"/>
  <c r="D350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9" i="8"/>
  <c r="D370" i="8"/>
  <c r="D371" i="8"/>
  <c r="D372" i="8"/>
  <c r="D373" i="8"/>
  <c r="D374" i="8"/>
  <c r="D375" i="8"/>
  <c r="D383" i="8"/>
  <c r="D384" i="8"/>
  <c r="D385" i="8"/>
  <c r="D386" i="8"/>
  <c r="D387" i="8"/>
  <c r="D388" i="8"/>
  <c r="D389" i="8"/>
  <c r="D390" i="8"/>
  <c r="D391" i="8"/>
  <c r="D392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B418" i="8"/>
  <c r="C418" i="8"/>
  <c r="C286" i="8"/>
  <c r="D286" i="8" s="1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6" i="8"/>
  <c r="D314" i="8"/>
  <c r="D311" i="8"/>
  <c r="D310" i="8"/>
  <c r="D308" i="8"/>
  <c r="D307" i="8"/>
  <c r="D306" i="8"/>
  <c r="D305" i="8"/>
  <c r="D304" i="8"/>
  <c r="D303" i="8"/>
  <c r="D302" i="8"/>
  <c r="D301" i="8"/>
  <c r="B281" i="8"/>
  <c r="D268" i="8"/>
  <c r="D258" i="8"/>
  <c r="D259" i="8"/>
  <c r="D260" i="8"/>
  <c r="D261" i="8"/>
  <c r="D262" i="8"/>
  <c r="D263" i="8"/>
  <c r="D291" i="8"/>
  <c r="D289" i="8"/>
  <c r="D288" i="8"/>
  <c r="D287" i="8"/>
  <c r="D285" i="8"/>
  <c r="D284" i="8"/>
  <c r="D283" i="8"/>
  <c r="D282" i="8"/>
  <c r="D280" i="8"/>
  <c r="D279" i="8"/>
  <c r="D278" i="8"/>
  <c r="D277" i="8"/>
  <c r="D276" i="8"/>
  <c r="D275" i="8"/>
  <c r="D274" i="8"/>
  <c r="D273" i="8"/>
  <c r="D272" i="8"/>
  <c r="D270" i="8"/>
  <c r="D269" i="8"/>
  <c r="D266" i="8"/>
  <c r="D265" i="8"/>
  <c r="D264" i="8"/>
  <c r="D257" i="8"/>
  <c r="D186" i="4"/>
  <c r="B247" i="8"/>
  <c r="B186" i="4"/>
  <c r="B209" i="4" s="1"/>
  <c r="B245" i="8"/>
  <c r="F174" i="4"/>
  <c r="F175" i="4"/>
  <c r="F176" i="4"/>
  <c r="F177" i="4"/>
  <c r="F178" i="4"/>
  <c r="F179" i="4"/>
  <c r="E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5" i="4"/>
  <c r="F183" i="4"/>
  <c r="F182" i="4"/>
  <c r="F181" i="4"/>
  <c r="F180" i="4"/>
  <c r="B236" i="8"/>
  <c r="D162" i="4"/>
  <c r="D160" i="4"/>
  <c r="B230" i="8"/>
  <c r="B229" i="8"/>
  <c r="D628" i="8" l="1"/>
  <c r="D502" i="8"/>
  <c r="B376" i="8"/>
  <c r="D376" i="8" s="1"/>
  <c r="D418" i="8"/>
  <c r="D368" i="8"/>
  <c r="B292" i="8"/>
  <c r="D313" i="8"/>
  <c r="B251" i="4"/>
  <c r="F251" i="4" s="1"/>
  <c r="D281" i="8"/>
  <c r="C292" i="8"/>
  <c r="B334" i="8"/>
  <c r="D334" i="8" s="1"/>
  <c r="F186" i="4"/>
  <c r="D271" i="8"/>
  <c r="C209" i="4"/>
  <c r="D209" i="4"/>
  <c r="C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4" i="8"/>
  <c r="D223" i="8"/>
  <c r="D222" i="8"/>
  <c r="D221" i="8"/>
  <c r="D220" i="8"/>
  <c r="D219" i="8"/>
  <c r="D218" i="8"/>
  <c r="D217" i="8"/>
  <c r="D216" i="8"/>
  <c r="D215" i="8"/>
  <c r="D155" i="4"/>
  <c r="B207" i="8"/>
  <c r="D207" i="8" s="1"/>
  <c r="C153" i="4"/>
  <c r="B196" i="8"/>
  <c r="C208" i="8"/>
  <c r="D206" i="8"/>
  <c r="D205" i="8"/>
  <c r="D204" i="8"/>
  <c r="D203" i="8"/>
  <c r="D202" i="8"/>
  <c r="D201" i="8"/>
  <c r="D200" i="8"/>
  <c r="D199" i="8"/>
  <c r="D198" i="8"/>
  <c r="D197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2" i="8"/>
  <c r="D181" i="8"/>
  <c r="D180" i="8"/>
  <c r="D179" i="8"/>
  <c r="D178" i="8"/>
  <c r="D177" i="8"/>
  <c r="D176" i="8"/>
  <c r="D175" i="8"/>
  <c r="D174" i="8"/>
  <c r="D173" i="8"/>
  <c r="D292" i="8" l="1"/>
  <c r="F209" i="4"/>
  <c r="B208" i="8"/>
  <c r="D208" i="8" s="1"/>
  <c r="B250" i="8"/>
  <c r="D196" i="8"/>
  <c r="E167" i="4"/>
  <c r="C167" i="4"/>
  <c r="B167" i="4"/>
  <c r="F166" i="4"/>
  <c r="F165" i="4"/>
  <c r="F164" i="4"/>
  <c r="F163" i="4"/>
  <c r="F162" i="4"/>
  <c r="F161" i="4"/>
  <c r="F160" i="4"/>
  <c r="F159" i="4"/>
  <c r="F158" i="4"/>
  <c r="D16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1" i="4"/>
  <c r="F140" i="4"/>
  <c r="F139" i="4"/>
  <c r="F138" i="4"/>
  <c r="F137" i="4"/>
  <c r="F136" i="4"/>
  <c r="F135" i="4"/>
  <c r="F134" i="4"/>
  <c r="F133" i="4"/>
  <c r="F132" i="4"/>
  <c r="D116" i="4"/>
  <c r="F116" i="4" s="1"/>
  <c r="D115" i="4"/>
  <c r="F115" i="4" s="1"/>
  <c r="D134" i="8"/>
  <c r="D135" i="8"/>
  <c r="D136" i="8"/>
  <c r="D137" i="8"/>
  <c r="D138" i="8"/>
  <c r="C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B166" i="8"/>
  <c r="D142" i="8"/>
  <c r="D140" i="8"/>
  <c r="D139" i="8"/>
  <c r="D133" i="8"/>
  <c r="D132" i="8"/>
  <c r="D131" i="8"/>
  <c r="D109" i="4"/>
  <c r="F109" i="4" s="1"/>
  <c r="B111" i="8"/>
  <c r="D111" i="8" s="1"/>
  <c r="E125" i="4"/>
  <c r="C125" i="4"/>
  <c r="B125" i="4"/>
  <c r="F124" i="4"/>
  <c r="F123" i="4"/>
  <c r="F122" i="4"/>
  <c r="F121" i="4"/>
  <c r="F120" i="4"/>
  <c r="F119" i="4"/>
  <c r="F118" i="4"/>
  <c r="F117" i="4"/>
  <c r="F114" i="4"/>
  <c r="F113" i="4"/>
  <c r="F112" i="4"/>
  <c r="F111" i="4"/>
  <c r="F110" i="4"/>
  <c r="F108" i="4"/>
  <c r="F107" i="4"/>
  <c r="F106" i="4"/>
  <c r="F105" i="4"/>
  <c r="F104" i="4"/>
  <c r="F103" i="4"/>
  <c r="F102" i="4"/>
  <c r="F101" i="4"/>
  <c r="F99" i="4"/>
  <c r="F98" i="4"/>
  <c r="F97" i="4"/>
  <c r="F96" i="4"/>
  <c r="F95" i="4"/>
  <c r="F94" i="4"/>
  <c r="F93" i="4"/>
  <c r="F92" i="4"/>
  <c r="F91" i="4"/>
  <c r="F90" i="4"/>
  <c r="B32" i="1"/>
  <c r="D49" i="6"/>
  <c r="B102" i="8"/>
  <c r="D102" i="8" s="1"/>
  <c r="B101" i="8"/>
  <c r="D101" i="8" s="1"/>
  <c r="B81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0" i="8"/>
  <c r="D109" i="8"/>
  <c r="D108" i="8"/>
  <c r="D107" i="8"/>
  <c r="D106" i="8"/>
  <c r="D105" i="8"/>
  <c r="D104" i="8"/>
  <c r="D103" i="8"/>
  <c r="C124" i="8"/>
  <c r="D100" i="8"/>
  <c r="D98" i="8"/>
  <c r="D97" i="8"/>
  <c r="D96" i="8"/>
  <c r="D95" i="8"/>
  <c r="D94" i="8"/>
  <c r="D93" i="8"/>
  <c r="D92" i="8"/>
  <c r="D91" i="8"/>
  <c r="D90" i="8"/>
  <c r="D89" i="8"/>
  <c r="D250" i="8" l="1"/>
  <c r="F167" i="4"/>
  <c r="F157" i="4"/>
  <c r="D166" i="8"/>
  <c r="D125" i="4"/>
  <c r="F125" i="4" s="1"/>
  <c r="B124" i="8"/>
  <c r="D124" i="8" s="1"/>
  <c r="B75" i="8"/>
  <c r="E65" i="4" l="1"/>
  <c r="B66" i="8"/>
  <c r="B61" i="8"/>
  <c r="C60" i="8"/>
  <c r="B60" i="8"/>
  <c r="D60" i="4"/>
  <c r="E60" i="4"/>
  <c r="D59" i="4"/>
  <c r="D47" i="8"/>
  <c r="C35" i="8"/>
  <c r="B31" i="8"/>
  <c r="B29" i="1"/>
  <c r="B28" i="1"/>
  <c r="D26" i="8"/>
  <c r="D25" i="8"/>
  <c r="B20" i="8" l="1"/>
  <c r="D20" i="8" s="1"/>
  <c r="B16" i="8"/>
  <c r="C82" i="8"/>
  <c r="B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6" i="8"/>
  <c r="D55" i="8"/>
  <c r="D54" i="8"/>
  <c r="D53" i="8"/>
  <c r="D52" i="8"/>
  <c r="D51" i="8"/>
  <c r="D50" i="8"/>
  <c r="D49" i="8"/>
  <c r="D48" i="8"/>
  <c r="C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4" i="8"/>
  <c r="D23" i="8"/>
  <c r="D22" i="8"/>
  <c r="D21" i="8"/>
  <c r="D19" i="8"/>
  <c r="D18" i="8"/>
  <c r="D17" i="8"/>
  <c r="C15" i="8"/>
  <c r="B15" i="8"/>
  <c r="D14" i="8"/>
  <c r="D13" i="8"/>
  <c r="D12" i="8"/>
  <c r="D11" i="8"/>
  <c r="D10" i="8"/>
  <c r="D9" i="8"/>
  <c r="D8" i="8"/>
  <c r="D7" i="8"/>
  <c r="D6" i="8"/>
  <c r="D5" i="8"/>
  <c r="D4" i="8"/>
  <c r="B40" i="8" l="1"/>
  <c r="D40" i="8" s="1"/>
  <c r="D16" i="8"/>
  <c r="C41" i="8"/>
  <c r="C46" i="8" s="1"/>
  <c r="C57" i="8" s="1"/>
  <c r="C83" i="8" s="1"/>
  <c r="C88" i="8" s="1"/>
  <c r="C99" i="8" s="1"/>
  <c r="C125" i="8" s="1"/>
  <c r="C130" i="8" s="1"/>
  <c r="C141" i="8" s="1"/>
  <c r="C167" i="8" s="1"/>
  <c r="C172" i="8" s="1"/>
  <c r="C183" i="8" s="1"/>
  <c r="C209" i="8" s="1"/>
  <c r="C214" i="8" s="1"/>
  <c r="C225" i="8" s="1"/>
  <c r="C251" i="8" s="1"/>
  <c r="C256" i="8" s="1"/>
  <c r="C267" i="8" s="1"/>
  <c r="C293" i="8" s="1"/>
  <c r="C298" i="8" s="1"/>
  <c r="D82" i="8"/>
  <c r="D15" i="8"/>
  <c r="C84" i="6"/>
  <c r="B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8" i="6"/>
  <c r="D57" i="6"/>
  <c r="D56" i="6"/>
  <c r="D55" i="6"/>
  <c r="D54" i="6"/>
  <c r="D53" i="6"/>
  <c r="D52" i="6"/>
  <c r="D51" i="6"/>
  <c r="D50" i="6"/>
  <c r="C41" i="6"/>
  <c r="B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C16" i="6"/>
  <c r="B16" i="6"/>
  <c r="D15" i="6"/>
  <c r="D14" i="6"/>
  <c r="D13" i="6"/>
  <c r="D12" i="6"/>
  <c r="D11" i="6"/>
  <c r="D10" i="6"/>
  <c r="D9" i="6"/>
  <c r="D8" i="6"/>
  <c r="D7" i="6"/>
  <c r="D6" i="6"/>
  <c r="D5" i="6"/>
  <c r="C309" i="8" l="1"/>
  <c r="B41" i="8"/>
  <c r="B46" i="8" s="1"/>
  <c r="B57" i="8" s="1"/>
  <c r="B83" i="8" s="1"/>
  <c r="B88" i="8" s="1"/>
  <c r="D41" i="8"/>
  <c r="D41" i="6"/>
  <c r="C42" i="6"/>
  <c r="C48" i="6" s="1"/>
  <c r="C59" i="6" s="1"/>
  <c r="C85" i="6" s="1"/>
  <c r="D84" i="6"/>
  <c r="B42" i="6"/>
  <c r="B48" i="6" s="1"/>
  <c r="D16" i="6"/>
  <c r="D5" i="5"/>
  <c r="D6" i="5"/>
  <c r="D7" i="5"/>
  <c r="D8" i="5"/>
  <c r="D9" i="5"/>
  <c r="D10" i="5"/>
  <c r="D11" i="5"/>
  <c r="D12" i="5"/>
  <c r="D13" i="5"/>
  <c r="D14" i="5"/>
  <c r="D15" i="5"/>
  <c r="B16" i="5"/>
  <c r="C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B41" i="5"/>
  <c r="C41" i="5"/>
  <c r="D49" i="5"/>
  <c r="D50" i="5"/>
  <c r="D51" i="5"/>
  <c r="D52" i="5"/>
  <c r="D53" i="5"/>
  <c r="D54" i="5"/>
  <c r="D55" i="5"/>
  <c r="D56" i="5"/>
  <c r="D57" i="5"/>
  <c r="D58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B84" i="5"/>
  <c r="C84" i="5"/>
  <c r="F5" i="4"/>
  <c r="F6" i="4"/>
  <c r="F7" i="4"/>
  <c r="F8" i="4"/>
  <c r="F9" i="4"/>
  <c r="F10" i="4"/>
  <c r="F11" i="4"/>
  <c r="F12" i="4"/>
  <c r="F13" i="4"/>
  <c r="F14" i="4"/>
  <c r="F15" i="4"/>
  <c r="B16" i="4"/>
  <c r="C16" i="4"/>
  <c r="D16" i="4"/>
  <c r="E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B41" i="4"/>
  <c r="C41" i="4"/>
  <c r="D41" i="4"/>
  <c r="E41" i="4"/>
  <c r="F48" i="4"/>
  <c r="F49" i="4"/>
  <c r="F50" i="4"/>
  <c r="F51" i="4"/>
  <c r="F52" i="4"/>
  <c r="F53" i="4"/>
  <c r="F54" i="4"/>
  <c r="F55" i="4"/>
  <c r="F56" i="4"/>
  <c r="F57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B83" i="4"/>
  <c r="C83" i="4"/>
  <c r="D83" i="4"/>
  <c r="E83" i="4"/>
  <c r="C335" i="8" l="1"/>
  <c r="C340" i="8" s="1"/>
  <c r="C351" i="8" s="1"/>
  <c r="C377" i="8" s="1"/>
  <c r="C382" i="8" s="1"/>
  <c r="C393" i="8" s="1"/>
  <c r="C419" i="8" s="1"/>
  <c r="C424" i="8" s="1"/>
  <c r="C435" i="8" s="1"/>
  <c r="C461" i="8" s="1"/>
  <c r="C466" i="8" s="1"/>
  <c r="D88" i="8"/>
  <c r="B99" i="8"/>
  <c r="D57" i="8"/>
  <c r="D83" i="8" s="1"/>
  <c r="D46" i="8"/>
  <c r="D48" i="6"/>
  <c r="C42" i="4"/>
  <c r="C47" i="4" s="1"/>
  <c r="C58" i="4" s="1"/>
  <c r="C84" i="4" s="1"/>
  <c r="C89" i="4" s="1"/>
  <c r="C100" i="4" s="1"/>
  <c r="C126" i="4" s="1"/>
  <c r="C131" i="4" s="1"/>
  <c r="D84" i="5"/>
  <c r="B42" i="5"/>
  <c r="B48" i="5" s="1"/>
  <c r="B59" i="5" s="1"/>
  <c r="D42" i="6"/>
  <c r="D42" i="4"/>
  <c r="D47" i="4" s="1"/>
  <c r="D58" i="4" s="1"/>
  <c r="D84" i="4" s="1"/>
  <c r="D89" i="4" s="1"/>
  <c r="D100" i="4" s="1"/>
  <c r="D126" i="4" s="1"/>
  <c r="D131" i="4" s="1"/>
  <c r="D142" i="4" s="1"/>
  <c r="D168" i="4" s="1"/>
  <c r="D173" i="4" s="1"/>
  <c r="D184" i="4" s="1"/>
  <c r="D210" i="4" s="1"/>
  <c r="D215" i="4" s="1"/>
  <c r="D226" i="4" s="1"/>
  <c r="D252" i="4" s="1"/>
  <c r="D41" i="5"/>
  <c r="F83" i="4"/>
  <c r="C42" i="5"/>
  <c r="C48" i="5" s="1"/>
  <c r="C59" i="5" s="1"/>
  <c r="C85" i="5" s="1"/>
  <c r="E42" i="4"/>
  <c r="E47" i="4" s="1"/>
  <c r="E58" i="4" s="1"/>
  <c r="E84" i="4" s="1"/>
  <c r="E89" i="4" s="1"/>
  <c r="E100" i="4" s="1"/>
  <c r="E126" i="4" s="1"/>
  <c r="E131" i="4" s="1"/>
  <c r="E142" i="4" s="1"/>
  <c r="E168" i="4" s="1"/>
  <c r="E173" i="4" s="1"/>
  <c r="E184" i="4" s="1"/>
  <c r="E210" i="4" s="1"/>
  <c r="E215" i="4" s="1"/>
  <c r="E226" i="4" s="1"/>
  <c r="E252" i="4" s="1"/>
  <c r="F41" i="4"/>
  <c r="D16" i="5"/>
  <c r="F16" i="4"/>
  <c r="B59" i="6"/>
  <c r="D59" i="6" s="1"/>
  <c r="D85" i="6" s="1"/>
  <c r="B42" i="4"/>
  <c r="B47" i="4" s="1"/>
  <c r="C57" i="1"/>
  <c r="C56" i="1"/>
  <c r="C55" i="1"/>
  <c r="C54" i="1"/>
  <c r="C53" i="1"/>
  <c r="C52" i="1"/>
  <c r="C51" i="1"/>
  <c r="C50" i="1"/>
  <c r="C477" i="8" l="1"/>
  <c r="C142" i="4"/>
  <c r="B125" i="8"/>
  <c r="B130" i="8" s="1"/>
  <c r="D99" i="8"/>
  <c r="D125" i="8" s="1"/>
  <c r="D42" i="5"/>
  <c r="F42" i="4"/>
  <c r="D48" i="5"/>
  <c r="B85" i="6"/>
  <c r="D59" i="5"/>
  <c r="D85" i="5" s="1"/>
  <c r="B85" i="5"/>
  <c r="F47" i="4"/>
  <c r="B58" i="4"/>
  <c r="C31" i="1"/>
  <c r="C503" i="8" l="1"/>
  <c r="C508" i="8" s="1"/>
  <c r="C168" i="4"/>
  <c r="C173" i="4" s="1"/>
  <c r="C184" i="4" s="1"/>
  <c r="C210" i="4" s="1"/>
  <c r="C215" i="4" s="1"/>
  <c r="C226" i="4" s="1"/>
  <c r="C252" i="4" s="1"/>
  <c r="D130" i="8"/>
  <c r="B141" i="8"/>
  <c r="F58" i="4"/>
  <c r="F84" i="4" s="1"/>
  <c r="B84" i="4"/>
  <c r="B89" i="4" s="1"/>
  <c r="C30" i="1"/>
  <c r="C519" i="8" l="1"/>
  <c r="D141" i="8"/>
  <c r="D167" i="8" s="1"/>
  <c r="B167" i="8"/>
  <c r="B172" i="8" s="1"/>
  <c r="F89" i="4"/>
  <c r="B100" i="4"/>
  <c r="C11" i="1"/>
  <c r="C545" i="8" l="1"/>
  <c r="C550" i="8" s="1"/>
  <c r="C561" i="8" s="1"/>
  <c r="C587" i="8" s="1"/>
  <c r="C592" i="8" s="1"/>
  <c r="C603" i="8" s="1"/>
  <c r="C629" i="8" s="1"/>
  <c r="C634" i="8" s="1"/>
  <c r="C645" i="8" s="1"/>
  <c r="C671" i="8" s="1"/>
  <c r="C676" i="8" s="1"/>
  <c r="C687" i="8" s="1"/>
  <c r="C713" i="8" s="1"/>
  <c r="C718" i="8" s="1"/>
  <c r="C729" i="8" s="1"/>
  <c r="C755" i="8" s="1"/>
  <c r="C760" i="8" s="1"/>
  <c r="C771" i="8" s="1"/>
  <c r="C797" i="8" s="1"/>
  <c r="C802" i="8" s="1"/>
  <c r="C813" i="8" s="1"/>
  <c r="C839" i="8" s="1"/>
  <c r="C844" i="8" s="1"/>
  <c r="C855" i="8" s="1"/>
  <c r="C881" i="8" s="1"/>
  <c r="C886" i="8" s="1"/>
  <c r="D172" i="8"/>
  <c r="B183" i="8"/>
  <c r="B126" i="4"/>
  <c r="B131" i="4" s="1"/>
  <c r="F100" i="4"/>
  <c r="F126" i="4" s="1"/>
  <c r="C6" i="1"/>
  <c r="C897" i="8" l="1"/>
  <c r="B142" i="4"/>
  <c r="F131" i="4"/>
  <c r="B209" i="8"/>
  <c r="B214" i="8" s="1"/>
  <c r="D183" i="8"/>
  <c r="D209" i="8" s="1"/>
  <c r="C5" i="1"/>
  <c r="C923" i="8" l="1"/>
  <c r="B225" i="8"/>
  <c r="D214" i="8"/>
  <c r="B168" i="4"/>
  <c r="B173" i="4" s="1"/>
  <c r="F142" i="4"/>
  <c r="F168" i="4" s="1"/>
  <c r="C83" i="1"/>
  <c r="C40" i="1"/>
  <c r="C8" i="1"/>
  <c r="B84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8" i="1"/>
  <c r="C49" i="1"/>
  <c r="C28" i="1"/>
  <c r="C29" i="1"/>
  <c r="C32" i="1"/>
  <c r="C33" i="1"/>
  <c r="C34" i="1"/>
  <c r="C35" i="1"/>
  <c r="C36" i="1"/>
  <c r="C37" i="1"/>
  <c r="C38" i="1"/>
  <c r="C39" i="1"/>
  <c r="C19" i="1"/>
  <c r="C20" i="1"/>
  <c r="C21" i="1"/>
  <c r="C18" i="1"/>
  <c r="B41" i="1"/>
  <c r="C17" i="1"/>
  <c r="C22" i="1"/>
  <c r="C23" i="1"/>
  <c r="C24" i="1"/>
  <c r="C25" i="1"/>
  <c r="C26" i="1"/>
  <c r="C27" i="1"/>
  <c r="B16" i="1"/>
  <c r="C7" i="1"/>
  <c r="C9" i="1"/>
  <c r="C10" i="1"/>
  <c r="C12" i="1"/>
  <c r="C13" i="1"/>
  <c r="C14" i="1"/>
  <c r="C15" i="1"/>
  <c r="B184" i="4" l="1"/>
  <c r="F173" i="4"/>
  <c r="D225" i="8"/>
  <c r="D251" i="8" s="1"/>
  <c r="B251" i="8"/>
  <c r="B256" i="8" s="1"/>
  <c r="C84" i="1"/>
  <c r="C16" i="1"/>
  <c r="B42" i="1"/>
  <c r="B48" i="1" s="1"/>
  <c r="C41" i="1"/>
  <c r="D256" i="8" l="1"/>
  <c r="B267" i="8"/>
  <c r="B293" i="8" s="1"/>
  <c r="B210" i="4"/>
  <c r="B215" i="4" s="1"/>
  <c r="F184" i="4"/>
  <c r="F210" i="4" s="1"/>
  <c r="B59" i="1"/>
  <c r="C48" i="1"/>
  <c r="C42" i="1"/>
  <c r="F215" i="4" l="1"/>
  <c r="B226" i="4"/>
  <c r="B298" i="8"/>
  <c r="D267" i="8"/>
  <c r="D293" i="8" s="1"/>
  <c r="B85" i="1"/>
  <c r="C59" i="1"/>
  <c r="C85" i="1" s="1"/>
  <c r="F226" i="4" l="1"/>
  <c r="F252" i="4" s="1"/>
  <c r="B252" i="4"/>
  <c r="B309" i="8"/>
  <c r="D298" i="8"/>
  <c r="B335" i="8" l="1"/>
  <c r="B340" i="8" s="1"/>
  <c r="B351" i="8" s="1"/>
  <c r="D309" i="8"/>
  <c r="D335" i="8" s="1"/>
  <c r="D340" i="8" l="1"/>
  <c r="D351" i="8" l="1"/>
  <c r="D377" i="8" s="1"/>
  <c r="B377" i="8"/>
  <c r="B382" i="8" s="1"/>
  <c r="D382" i="8" l="1"/>
  <c r="B393" i="8"/>
  <c r="D393" i="8" l="1"/>
  <c r="D419" i="8" s="1"/>
  <c r="B419" i="8"/>
  <c r="B424" i="8" s="1"/>
  <c r="D424" i="8" l="1"/>
  <c r="B435" i="8"/>
  <c r="B461" i="8" l="1"/>
  <c r="B466" i="8" s="1"/>
  <c r="D435" i="8"/>
  <c r="D461" i="8" s="1"/>
  <c r="B477" i="8" l="1"/>
  <c r="D466" i="8"/>
  <c r="B503" i="8" l="1"/>
  <c r="B508" i="8" s="1"/>
  <c r="D477" i="8"/>
  <c r="D503" i="8" s="1"/>
  <c r="B519" i="8" l="1"/>
  <c r="D508" i="8"/>
  <c r="B545" i="8" l="1"/>
  <c r="B550" i="8" s="1"/>
  <c r="D519" i="8"/>
  <c r="D545" i="8" s="1"/>
  <c r="B561" i="8" l="1"/>
  <c r="D550" i="8"/>
  <c r="D561" i="8" l="1"/>
  <c r="D587" i="8" s="1"/>
  <c r="B587" i="8"/>
  <c r="B592" i="8" s="1"/>
  <c r="D592" i="8" l="1"/>
  <c r="B603" i="8"/>
  <c r="D603" i="8" l="1"/>
  <c r="D629" i="8" s="1"/>
  <c r="B629" i="8"/>
  <c r="B634" i="8" s="1"/>
  <c r="D634" i="8" l="1"/>
  <c r="B645" i="8"/>
  <c r="D645" i="8" l="1"/>
  <c r="D671" i="8" s="1"/>
  <c r="B671" i="8"/>
  <c r="B676" i="8" s="1"/>
  <c r="D676" i="8" l="1"/>
  <c r="B687" i="8"/>
  <c r="B713" i="8" l="1"/>
  <c r="B718" i="8" s="1"/>
  <c r="D687" i="8"/>
  <c r="D713" i="8" s="1"/>
  <c r="B729" i="8" l="1"/>
  <c r="D718" i="8"/>
  <c r="D729" i="8" l="1"/>
  <c r="D755" i="8" s="1"/>
  <c r="B755" i="8"/>
  <c r="B760" i="8" s="1"/>
  <c r="B771" i="8" l="1"/>
  <c r="D760" i="8"/>
  <c r="D771" i="8" l="1"/>
  <c r="D797" i="8" s="1"/>
  <c r="B797" i="8"/>
  <c r="B802" i="8" s="1"/>
  <c r="B813" i="8" l="1"/>
  <c r="D802" i="8"/>
  <c r="B839" i="8" l="1"/>
  <c r="B844" i="8" s="1"/>
  <c r="D813" i="8"/>
  <c r="D839" i="8" s="1"/>
  <c r="B855" i="8" l="1"/>
  <c r="D844" i="8"/>
  <c r="B881" i="8" l="1"/>
  <c r="B886" i="8" s="1"/>
  <c r="D855" i="8"/>
  <c r="D881" i="8" s="1"/>
  <c r="B897" i="8" l="1"/>
  <c r="D886" i="8"/>
  <c r="B923" i="8" l="1"/>
  <c r="D897" i="8"/>
  <c r="D923" i="8" s="1"/>
</calcChain>
</file>

<file path=xl/sharedStrings.xml><?xml version="1.0" encoding="utf-8"?>
<sst xmlns="http://schemas.openxmlformats.org/spreadsheetml/2006/main" count="1390" uniqueCount="69">
  <si>
    <t>カラー</t>
  </si>
  <si>
    <t>サイズ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</si>
  <si>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</si>
  <si>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</si>
  <si>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</si>
  <si>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</si>
  <si>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</si>
  <si>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</si>
  <si>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クロ</t>
    <phoneticPr fontId="9"/>
  </si>
  <si>
    <t>フリーサイズ</t>
    <phoneticPr fontId="9"/>
  </si>
  <si>
    <t>ネット</t>
    <phoneticPr fontId="9"/>
  </si>
  <si>
    <t>LL</t>
    <phoneticPr fontId="9"/>
  </si>
  <si>
    <t>L</t>
    <phoneticPr fontId="9"/>
  </si>
  <si>
    <t>M</t>
    <phoneticPr fontId="9"/>
  </si>
  <si>
    <t>S</t>
    <phoneticPr fontId="9"/>
  </si>
  <si>
    <t>ブラック</t>
  </si>
  <si>
    <t>初回</t>
    <rPh sb="0" eb="2">
      <t>ショカイ</t>
    </rPh>
    <phoneticPr fontId="9"/>
  </si>
  <si>
    <t>L/LL</t>
    <phoneticPr fontId="9"/>
  </si>
  <si>
    <t>M/L</t>
    <phoneticPr fontId="9"/>
  </si>
  <si>
    <t>＜生理用パジャマズボン＞夢販在庫 1575</t>
    <rPh sb="1" eb="3">
      <t>セイリ</t>
    </rPh>
    <rPh sb="3" eb="4">
      <t>ヨウ</t>
    </rPh>
    <rPh sb="12" eb="13">
      <t>ユメ</t>
    </rPh>
    <rPh sb="13" eb="14">
      <t>ハン</t>
    </rPh>
    <rPh sb="14" eb="16">
      <t>ザイコ</t>
    </rPh>
    <phoneticPr fontId="4"/>
  </si>
  <si>
    <t>ネット</t>
    <phoneticPr fontId="9"/>
  </si>
  <si>
    <t>追加</t>
    <rPh sb="0" eb="2">
      <t>ツイカ</t>
    </rPh>
    <phoneticPr fontId="9"/>
  </si>
  <si>
    <t>ネット</t>
    <phoneticPr fontId="9"/>
  </si>
  <si>
    <t>牧野</t>
    <rPh sb="0" eb="2">
      <t>マキノ</t>
    </rPh>
    <phoneticPr fontId="9"/>
  </si>
  <si>
    <t xml:space="preserve">＜はく防水シーツ　中国製＞夢販在庫 </t>
    <rPh sb="3" eb="5">
      <t>ボウスイ</t>
    </rPh>
    <rPh sb="9" eb="12">
      <t>チュウゴクセイ</t>
    </rPh>
    <rPh sb="13" eb="14">
      <t>ユメ</t>
    </rPh>
    <rPh sb="14" eb="15">
      <t>ハン</t>
    </rPh>
    <rPh sb="15" eb="17">
      <t>ザイコ</t>
    </rPh>
    <phoneticPr fontId="4"/>
  </si>
  <si>
    <t>グレー</t>
    <phoneticPr fontId="9"/>
  </si>
  <si>
    <t>茶</t>
    <rPh sb="0" eb="1">
      <t>チャ</t>
    </rPh>
    <phoneticPr fontId="9"/>
  </si>
  <si>
    <t>ネット</t>
    <phoneticPr fontId="9"/>
  </si>
  <si>
    <t>＜防水シーツ＞夢販在庫  H0201</t>
    <rPh sb="1" eb="3">
      <t>ボウスイ</t>
    </rPh>
    <rPh sb="7" eb="8">
      <t>ユメ</t>
    </rPh>
    <rPh sb="8" eb="9">
      <t>ハン</t>
    </rPh>
    <rPh sb="9" eb="11">
      <t>ザイコ</t>
    </rPh>
    <phoneticPr fontId="4"/>
  </si>
  <si>
    <t>＜男性用防水ズボン＞夢販在庫  K4903C</t>
    <rPh sb="1" eb="4">
      <t>ダンセイヨウ</t>
    </rPh>
    <rPh sb="4" eb="6">
      <t>ボウスイ</t>
    </rPh>
    <rPh sb="10" eb="11">
      <t>ユメ</t>
    </rPh>
    <rPh sb="11" eb="12">
      <t>ハン</t>
    </rPh>
    <rPh sb="12" eb="14">
      <t>ザイコ</t>
    </rPh>
    <phoneticPr fontId="4"/>
  </si>
  <si>
    <t>顧客返品</t>
    <rPh sb="0" eb="2">
      <t>コキャク</t>
    </rPh>
    <rPh sb="2" eb="4">
      <t>ヘンピン</t>
    </rPh>
    <phoneticPr fontId="9"/>
  </si>
  <si>
    <t>ニシキ返品</t>
    <rPh sb="3" eb="5">
      <t>ヘンピン</t>
    </rPh>
    <phoneticPr fontId="9"/>
  </si>
  <si>
    <t>＜女性用オーバーパンツ＞夢販在庫Y9600</t>
    <rPh sb="1" eb="3">
      <t>ジョセイ</t>
    </rPh>
    <rPh sb="3" eb="4">
      <t>ヨウ</t>
    </rPh>
    <rPh sb="12" eb="13">
      <t>ユメ</t>
    </rPh>
    <rPh sb="13" eb="14">
      <t>ハン</t>
    </rPh>
    <rPh sb="14" eb="16">
      <t>ザイコ</t>
    </rPh>
    <phoneticPr fontId="4"/>
  </si>
  <si>
    <t>H0201C</t>
    <phoneticPr fontId="9"/>
  </si>
  <si>
    <t>サンプル</t>
    <phoneticPr fontId="9"/>
  </si>
  <si>
    <t>Amazon</t>
    <phoneticPr fontId="9"/>
  </si>
  <si>
    <t>サンプル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</si>
  <si>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</si>
  <si>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</si>
  <si>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</si>
  <si>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</si>
  <si>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</si>
  <si>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</si>
  <si>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在庫確認</t>
    <rPh sb="0" eb="4">
      <t>ザイコカクニン</t>
    </rPh>
    <phoneticPr fontId="4"/>
  </si>
  <si>
    <t>ネット交換</t>
    <rPh sb="3" eb="5">
      <t>コウカン</t>
    </rPh>
    <phoneticPr fontId="9"/>
  </si>
  <si>
    <t>Amazon</t>
    <phoneticPr fontId="9"/>
  </si>
  <si>
    <t>Amazon</t>
    <phoneticPr fontId="9"/>
  </si>
  <si>
    <t>Amazon</t>
    <phoneticPr fontId="9"/>
  </si>
  <si>
    <t>棚卸</t>
    <rPh sb="0" eb="2">
      <t>タナオロシ</t>
    </rPh>
    <phoneticPr fontId="4"/>
  </si>
  <si>
    <t>Amazon</t>
    <phoneticPr fontId="9"/>
  </si>
  <si>
    <t>Amazon</t>
    <phoneticPr fontId="9"/>
  </si>
  <si>
    <t xml:space="preserve">＜はく防水シーツNEO　中国製＞夢販在庫 </t>
    <rPh sb="3" eb="5">
      <t>ボウスイ</t>
    </rPh>
    <rPh sb="12" eb="15">
      <t>チュウゴクセイ</t>
    </rPh>
    <rPh sb="16" eb="17">
      <t>ユメ</t>
    </rPh>
    <rPh sb="17" eb="18">
      <t>ハン</t>
    </rPh>
    <rPh sb="18" eb="20">
      <t>ザイコ</t>
    </rPh>
    <phoneticPr fontId="4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</si>
  <si>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</si>
  <si>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</si>
  <si>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</si>
  <si>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</si>
  <si>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</si>
  <si>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</si>
  <si>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</si>
  <si>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</si>
  <si>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</si>
  <si>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</si>
  <si>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</si>
  <si>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Amazon</t>
    <phoneticPr fontId="9"/>
  </si>
  <si>
    <t>1596→1700</t>
    <phoneticPr fontId="9"/>
  </si>
  <si>
    <t>Amazon</t>
    <phoneticPr fontId="9"/>
  </si>
  <si>
    <t>Amazon返品</t>
    <rPh sb="6" eb="8">
      <t>ヘンピン</t>
    </rPh>
    <phoneticPr fontId="9"/>
  </si>
  <si>
    <t>営業sample</t>
    <rPh sb="0" eb="2">
      <t>エイギョウ</t>
    </rPh>
    <phoneticPr fontId="9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</si>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</sst>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8"/>
      <color rgb="FFFF0000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6" fillId="3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2" applyFont="1"/>
    <xf numFmtId="0" fontId="2" fillId="0" borderId="0" xfId="2"/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5" fillId="0" borderId="5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2" fillId="2" borderId="12" xfId="2" applyFill="1" applyBorder="1"/>
    <xf numFmtId="0" fontId="8" fillId="0" borderId="1" xfId="2" applyFont="1" applyBorder="1" applyAlignment="1">
      <alignment horizontal="center" vertical="center"/>
    </xf>
    <xf numFmtId="0" fontId="8" fillId="0" borderId="1" xfId="2" applyFont="1" applyBorder="1"/>
    <xf numFmtId="0" fontId="8" fillId="2" borderId="1" xfId="2" applyFont="1" applyFill="1" applyBorder="1"/>
    <xf numFmtId="0" fontId="7" fillId="0" borderId="2" xfId="2" applyFont="1" applyBorder="1" applyAlignment="1">
      <alignment horizontal="center" vertical="center"/>
    </xf>
    <xf numFmtId="0" fontId="8" fillId="2" borderId="2" xfId="2" applyFont="1" applyFill="1" applyBorder="1"/>
    <xf numFmtId="56" fontId="10" fillId="0" borderId="0" xfId="1" applyNumberFormat="1" applyFont="1">
      <alignment vertical="center"/>
    </xf>
    <xf numFmtId="0" fontId="11" fillId="0" borderId="5" xfId="2" applyFont="1" applyBorder="1" applyAlignment="1">
      <alignment horizontal="center" vertical="center"/>
    </xf>
    <xf numFmtId="56" fontId="1" fillId="0" borderId="0" xfId="1" applyNumberFormat="1">
      <alignment vertical="center"/>
    </xf>
    <xf numFmtId="56" fontId="10" fillId="0" borderId="0" xfId="0" applyNumberFormat="1" applyFont="1">
      <alignment vertical="center"/>
    </xf>
    <xf numFmtId="0" fontId="6" fillId="0" borderId="5" xfId="2" applyFont="1" applyBorder="1" applyAlignment="1">
      <alignment horizontal="center" vertical="center"/>
    </xf>
    <xf numFmtId="0" fontId="10" fillId="0" borderId="0" xfId="0" applyFont="1">
      <alignment vertical="center"/>
    </xf>
    <xf numFmtId="0" fontId="2" fillId="0" borderId="9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10" xfId="2" applyBorder="1" applyAlignment="1">
      <alignment horizontal="center"/>
    </xf>
    <xf numFmtId="0" fontId="12" fillId="0" borderId="0" xfId="0" applyFont="1">
      <alignment vertical="center"/>
    </xf>
    <xf numFmtId="0" fontId="4" fillId="0" borderId="4" xfId="2" applyFont="1" applyBorder="1" applyAlignment="1">
      <alignment horizontal="center" vertical="center"/>
    </xf>
    <xf numFmtId="0" fontId="2" fillId="0" borderId="6" xfId="2" applyBorder="1"/>
    <xf numFmtId="0" fontId="2" fillId="0" borderId="13" xfId="2" applyBorder="1"/>
    <xf numFmtId="0" fontId="2" fillId="0" borderId="5" xfId="2" applyBorder="1"/>
    <xf numFmtId="0" fontId="2" fillId="0" borderId="14" xfId="2" applyBorder="1"/>
    <xf numFmtId="0" fontId="8" fillId="0" borderId="2" xfId="2" applyFont="1" applyBorder="1"/>
    <xf numFmtId="0" fontId="2" fillId="0" borderId="13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5" xfId="2" applyBorder="1" applyAlignment="1">
      <alignment horizontal="center"/>
    </xf>
    <xf numFmtId="0" fontId="5" fillId="0" borderId="11" xfId="2" applyFont="1" applyBorder="1" applyAlignment="1">
      <alignment horizontal="center" vertical="center"/>
    </xf>
    <xf numFmtId="0" fontId="13" fillId="0" borderId="0" xfId="1" applyFont="1">
      <alignment vertical="center"/>
    </xf>
    <xf numFmtId="0" fontId="5" fillId="0" borderId="4" xfId="2" applyFont="1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15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" xfId="2" applyBorder="1" applyAlignment="1">
      <alignment horizontal="center"/>
    </xf>
    <xf numFmtId="0" fontId="14" fillId="0" borderId="0" xfId="0" applyFont="1">
      <alignment vertical="center"/>
    </xf>
    <xf numFmtId="0" fontId="8" fillId="0" borderId="9" xfId="2" applyFont="1" applyBorder="1" applyAlignment="1">
      <alignment horizontal="center"/>
    </xf>
    <xf numFmtId="56" fontId="15" fillId="0" borderId="0" xfId="1" applyNumberFormat="1" applyFont="1">
      <alignment vertical="center"/>
    </xf>
    <xf numFmtId="0" fontId="16" fillId="0" borderId="0" xfId="4" applyFill="1">
      <alignment vertical="center"/>
    </xf>
    <xf numFmtId="0" fontId="7" fillId="0" borderId="5" xfId="2" applyFont="1" applyBorder="1" applyAlignment="1">
      <alignment horizontal="center" vertical="center"/>
    </xf>
    <xf numFmtId="0" fontId="8" fillId="2" borderId="4" xfId="2" applyFont="1" applyFill="1" applyBorder="1"/>
    <xf numFmtId="0" fontId="10" fillId="0" borderId="0" xfId="4" applyFont="1" applyFill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4" xfId="2" applyFont="1" applyFill="1" applyBorder="1"/>
    <xf numFmtId="56" fontId="17" fillId="0" borderId="0" xfId="1" applyNumberFormat="1" applyFont="1">
      <alignment vertical="center"/>
    </xf>
    <xf numFmtId="0" fontId="7" fillId="0" borderId="9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2" borderId="5" xfId="2" applyFont="1" applyFill="1" applyBorder="1"/>
    <xf numFmtId="56" fontId="17" fillId="0" borderId="0" xfId="0" applyNumberFormat="1" applyFont="1">
      <alignment vertical="center"/>
    </xf>
    <xf numFmtId="0" fontId="7" fillId="0" borderId="6" xfId="2" applyFont="1" applyBorder="1" applyAlignment="1">
      <alignment horizontal="center"/>
    </xf>
    <xf numFmtId="56" fontId="0" fillId="0" borderId="0" xfId="0" applyNumberFormat="1">
      <alignment vertical="center"/>
    </xf>
    <xf numFmtId="0" fontId="8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15" fillId="0" borderId="0" xfId="0" applyFont="1">
      <alignment vertical="center"/>
    </xf>
    <xf numFmtId="0" fontId="5" fillId="0" borderId="11" xfId="2" applyFont="1" applyBorder="1" applyAlignment="1">
      <alignment horizontal="center"/>
    </xf>
    <xf numFmtId="0" fontId="5" fillId="0" borderId="3" xfId="2" applyFont="1" applyBorder="1" applyAlignment="1">
      <alignment horizontal="center"/>
    </xf>
  </cellXfs>
  <cellStyles count="5">
    <cellStyle name="どちらでもない" xfId="4" builtinId="28"/>
    <cellStyle name="標準" xfId="0" builtinId="0"/>
    <cellStyle name="標準 2" xfId="2" xr:uid="{00000000-0005-0000-0000-000002000000}"/>
    <cellStyle name="標準 3" xfId="3" xr:uid="{00000000-0005-0000-0000-000003000000}"/>
    <cellStyle name="標準 4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opLeftCell="A49" workbookViewId="0">
      <selection activeCell="B52" sqref="B52"/>
    </sheetView>
  </sheetViews>
  <sheetFormatPr defaultRowHeight="13.5" x14ac:dyDescent="0.15"/>
  <cols>
    <col min="1" max="1" width="16" customWidth="1"/>
    <col min="2" max="3" width="7.75" customWidth="1"/>
    <col min="4" max="4" width="9" customWidth="1"/>
    <col min="5" max="5" width="10.25" bestFit="1" customWidth="1"/>
  </cols>
  <sheetData>
    <row r="1" spans="1:6" ht="21.75" customHeight="1" x14ac:dyDescent="0.15">
      <c r="A1" s="32"/>
    </row>
    <row r="2" spans="1:6" ht="19.5" thickBot="1" x14ac:dyDescent="0.25">
      <c r="A2" s="2" t="s">
        <v>19</v>
      </c>
      <c r="B2" s="3"/>
      <c r="C2" s="3"/>
      <c r="D2" s="3"/>
      <c r="E2" s="1"/>
    </row>
    <row r="3" spans="1:6" ht="14.25" thickBot="1" x14ac:dyDescent="0.2">
      <c r="A3" s="4" t="s">
        <v>0</v>
      </c>
      <c r="B3" s="70" t="s">
        <v>8</v>
      </c>
      <c r="C3" s="70"/>
      <c r="D3" s="71"/>
      <c r="E3" s="1"/>
    </row>
    <row r="4" spans="1:6" ht="14.25" thickBot="1" x14ac:dyDescent="0.2">
      <c r="A4" s="4" t="s">
        <v>1</v>
      </c>
      <c r="B4" s="5" t="s">
        <v>18</v>
      </c>
      <c r="C4" s="4" t="s">
        <v>17</v>
      </c>
      <c r="D4" s="4" t="s">
        <v>2</v>
      </c>
      <c r="E4" s="1"/>
    </row>
    <row r="5" spans="1:6" x14ac:dyDescent="0.15">
      <c r="A5" s="8" t="s">
        <v>7</v>
      </c>
      <c r="B5" s="29">
        <v>2</v>
      </c>
      <c r="C5" s="41">
        <v>2</v>
      </c>
      <c r="D5" s="7">
        <f t="shared" ref="D5:D41" si="0">SUM(B5:C5)</f>
        <v>4</v>
      </c>
      <c r="E5" s="26">
        <v>44441</v>
      </c>
    </row>
    <row r="6" spans="1:6" x14ac:dyDescent="0.15">
      <c r="A6" s="8" t="s">
        <v>3</v>
      </c>
      <c r="B6" s="29">
        <v>2</v>
      </c>
      <c r="C6" s="41"/>
      <c r="D6" s="7">
        <f t="shared" si="0"/>
        <v>2</v>
      </c>
      <c r="E6" s="26">
        <v>44463</v>
      </c>
    </row>
    <row r="7" spans="1:6" x14ac:dyDescent="0.15">
      <c r="A7" s="8" t="s">
        <v>3</v>
      </c>
      <c r="B7" s="15">
        <v>2</v>
      </c>
      <c r="C7" s="12"/>
      <c r="D7" s="7">
        <f t="shared" si="0"/>
        <v>2</v>
      </c>
      <c r="E7" s="23">
        <v>44524</v>
      </c>
      <c r="F7" s="28"/>
    </row>
    <row r="8" spans="1:6" x14ac:dyDescent="0.15">
      <c r="A8" s="8" t="s">
        <v>3</v>
      </c>
      <c r="B8" s="15">
        <v>3</v>
      </c>
      <c r="C8" s="12">
        <v>3</v>
      </c>
      <c r="D8" s="7">
        <f t="shared" si="0"/>
        <v>6</v>
      </c>
      <c r="E8" s="23">
        <v>44202</v>
      </c>
    </row>
    <row r="9" spans="1:6" x14ac:dyDescent="0.15">
      <c r="A9" s="8" t="s">
        <v>3</v>
      </c>
      <c r="B9" s="15"/>
      <c r="C9" s="12">
        <v>4</v>
      </c>
      <c r="D9" s="7">
        <f t="shared" si="0"/>
        <v>4</v>
      </c>
      <c r="E9" s="23">
        <v>44727</v>
      </c>
      <c r="F9" s="28"/>
    </row>
    <row r="10" spans="1:6" x14ac:dyDescent="0.15">
      <c r="A10" s="8" t="s">
        <v>3</v>
      </c>
      <c r="B10" s="15">
        <v>2</v>
      </c>
      <c r="C10" s="12"/>
      <c r="D10" s="7">
        <f t="shared" si="0"/>
        <v>2</v>
      </c>
      <c r="E10" s="23">
        <v>44767</v>
      </c>
    </row>
    <row r="11" spans="1:6" x14ac:dyDescent="0.15">
      <c r="A11" s="55" t="s">
        <v>48</v>
      </c>
      <c r="B11" s="61">
        <v>0</v>
      </c>
      <c r="C11" s="62">
        <v>0</v>
      </c>
      <c r="D11" s="63">
        <f t="shared" si="0"/>
        <v>0</v>
      </c>
      <c r="E11" s="64">
        <v>44798</v>
      </c>
    </row>
    <row r="12" spans="1:6" x14ac:dyDescent="0.15">
      <c r="A12" s="8" t="s">
        <v>3</v>
      </c>
      <c r="B12" s="30"/>
      <c r="C12" s="41">
        <v>1</v>
      </c>
      <c r="D12" s="7">
        <f t="shared" si="0"/>
        <v>1</v>
      </c>
      <c r="E12" s="23">
        <v>44832</v>
      </c>
    </row>
    <row r="13" spans="1:6" x14ac:dyDescent="0.15">
      <c r="A13" s="8" t="s">
        <v>3</v>
      </c>
      <c r="B13" s="30">
        <v>5</v>
      </c>
      <c r="C13" s="41">
        <v>3</v>
      </c>
      <c r="D13" s="7">
        <f t="shared" si="0"/>
        <v>8</v>
      </c>
      <c r="E13" s="23">
        <v>44897</v>
      </c>
    </row>
    <row r="14" spans="1:6" x14ac:dyDescent="0.15">
      <c r="A14" s="8" t="s">
        <v>43</v>
      </c>
      <c r="B14" s="30">
        <v>0</v>
      </c>
      <c r="C14" s="41">
        <v>0</v>
      </c>
      <c r="D14" s="7">
        <f t="shared" si="0"/>
        <v>0</v>
      </c>
      <c r="E14" s="25">
        <v>45161</v>
      </c>
    </row>
    <row r="15" spans="1:6" ht="14.25" thickBot="1" x14ac:dyDescent="0.2">
      <c r="A15" s="9" t="s">
        <v>3</v>
      </c>
      <c r="B15" s="31"/>
      <c r="C15" s="40"/>
      <c r="D15" s="17">
        <f t="shared" si="0"/>
        <v>0</v>
      </c>
      <c r="E15" s="23"/>
    </row>
    <row r="16" spans="1:6" ht="14.25" thickBot="1" x14ac:dyDescent="0.2">
      <c r="A16" s="18" t="s">
        <v>4</v>
      </c>
      <c r="B16" s="19">
        <f>SUM(B5:B15)</f>
        <v>16</v>
      </c>
      <c r="C16" s="19">
        <f>SUM(C5:C15)</f>
        <v>13</v>
      </c>
      <c r="D16" s="20">
        <f t="shared" si="0"/>
        <v>29</v>
      </c>
      <c r="E16" s="1"/>
    </row>
    <row r="17" spans="1:5" x14ac:dyDescent="0.15">
      <c r="A17" s="6" t="s">
        <v>22</v>
      </c>
      <c r="B17" s="11">
        <v>2</v>
      </c>
      <c r="C17" s="36"/>
      <c r="D17" s="7">
        <f t="shared" si="0"/>
        <v>2</v>
      </c>
      <c r="E17" s="23">
        <v>44460</v>
      </c>
    </row>
    <row r="18" spans="1:5" x14ac:dyDescent="0.15">
      <c r="A18" s="6" t="s">
        <v>10</v>
      </c>
      <c r="B18" s="11">
        <v>1</v>
      </c>
      <c r="C18" s="36"/>
      <c r="D18" s="7">
        <f t="shared" si="0"/>
        <v>1</v>
      </c>
      <c r="E18" s="23">
        <v>44506</v>
      </c>
    </row>
    <row r="19" spans="1:5" x14ac:dyDescent="0.15">
      <c r="A19" s="6" t="s">
        <v>10</v>
      </c>
      <c r="B19" s="11">
        <v>1</v>
      </c>
      <c r="C19" s="36"/>
      <c r="D19" s="7">
        <f t="shared" si="0"/>
        <v>1</v>
      </c>
      <c r="E19" s="23">
        <v>44536</v>
      </c>
    </row>
    <row r="20" spans="1:5" x14ac:dyDescent="0.15">
      <c r="A20" s="6" t="s">
        <v>10</v>
      </c>
      <c r="B20" s="11"/>
      <c r="C20" s="36">
        <v>2</v>
      </c>
      <c r="D20" s="7">
        <f t="shared" si="0"/>
        <v>2</v>
      </c>
      <c r="E20" s="23">
        <v>44543</v>
      </c>
    </row>
    <row r="21" spans="1:5" x14ac:dyDescent="0.15">
      <c r="A21" s="6" t="s">
        <v>10</v>
      </c>
      <c r="B21" s="11">
        <v>1</v>
      </c>
      <c r="C21" s="36"/>
      <c r="D21" s="7">
        <f t="shared" si="0"/>
        <v>1</v>
      </c>
      <c r="E21" s="23">
        <v>44572</v>
      </c>
    </row>
    <row r="22" spans="1:5" x14ac:dyDescent="0.15">
      <c r="A22" s="6" t="s">
        <v>10</v>
      </c>
      <c r="B22" s="11">
        <v>1</v>
      </c>
      <c r="C22" s="36"/>
      <c r="D22" s="10">
        <f t="shared" si="0"/>
        <v>1</v>
      </c>
      <c r="E22" s="23">
        <v>44625</v>
      </c>
    </row>
    <row r="23" spans="1:5" x14ac:dyDescent="0.15">
      <c r="A23" s="6" t="s">
        <v>10</v>
      </c>
      <c r="B23" s="11"/>
      <c r="C23" s="36">
        <v>2</v>
      </c>
      <c r="D23" s="10">
        <f t="shared" si="0"/>
        <v>2</v>
      </c>
      <c r="E23" s="23">
        <v>44679</v>
      </c>
    </row>
    <row r="24" spans="1:5" x14ac:dyDescent="0.15">
      <c r="A24" s="6" t="s">
        <v>10</v>
      </c>
      <c r="B24" s="11">
        <v>1</v>
      </c>
      <c r="C24" s="36"/>
      <c r="D24" s="10">
        <f t="shared" si="0"/>
        <v>1</v>
      </c>
      <c r="E24" s="23">
        <v>44693</v>
      </c>
    </row>
    <row r="25" spans="1:5" x14ac:dyDescent="0.15">
      <c r="A25" s="6" t="s">
        <v>10</v>
      </c>
      <c r="B25" s="11">
        <v>1</v>
      </c>
      <c r="C25" s="36"/>
      <c r="D25" s="10">
        <f t="shared" si="0"/>
        <v>1</v>
      </c>
      <c r="E25" s="23">
        <v>44722</v>
      </c>
    </row>
    <row r="26" spans="1:5" x14ac:dyDescent="0.15">
      <c r="A26" s="6" t="s">
        <v>10</v>
      </c>
      <c r="B26" s="11"/>
      <c r="C26" s="36">
        <v>2</v>
      </c>
      <c r="D26" s="10">
        <f t="shared" si="0"/>
        <v>2</v>
      </c>
      <c r="E26" s="23">
        <v>44727</v>
      </c>
    </row>
    <row r="27" spans="1:5" x14ac:dyDescent="0.15">
      <c r="A27" s="6" t="s">
        <v>10</v>
      </c>
      <c r="B27" s="11">
        <v>1</v>
      </c>
      <c r="C27" s="36"/>
      <c r="D27" s="10">
        <f t="shared" si="0"/>
        <v>1</v>
      </c>
      <c r="E27" s="23">
        <v>44790</v>
      </c>
    </row>
    <row r="28" spans="1:5" x14ac:dyDescent="0.15">
      <c r="A28" s="6" t="s">
        <v>10</v>
      </c>
      <c r="B28" s="11"/>
      <c r="C28" s="36">
        <v>2</v>
      </c>
      <c r="D28" s="10">
        <f t="shared" si="0"/>
        <v>2</v>
      </c>
      <c r="E28" s="23">
        <v>44824</v>
      </c>
    </row>
    <row r="29" spans="1:5" x14ac:dyDescent="0.15">
      <c r="A29" s="6" t="s">
        <v>10</v>
      </c>
      <c r="B29" s="11"/>
      <c r="C29" s="36">
        <v>1</v>
      </c>
      <c r="D29" s="10">
        <f t="shared" si="0"/>
        <v>1</v>
      </c>
      <c r="E29" s="23">
        <v>45093</v>
      </c>
    </row>
    <row r="30" spans="1:5" x14ac:dyDescent="0.15">
      <c r="A30" s="6" t="s">
        <v>10</v>
      </c>
      <c r="B30" s="11"/>
      <c r="C30" s="36">
        <v>1</v>
      </c>
      <c r="D30" s="10">
        <f t="shared" si="0"/>
        <v>1</v>
      </c>
      <c r="E30" s="23">
        <v>45219</v>
      </c>
    </row>
    <row r="31" spans="1:5" x14ac:dyDescent="0.15">
      <c r="A31" s="6" t="s">
        <v>10</v>
      </c>
      <c r="B31" s="11"/>
      <c r="C31" s="36">
        <v>1</v>
      </c>
      <c r="D31" s="10">
        <f t="shared" si="0"/>
        <v>1</v>
      </c>
      <c r="E31" s="23">
        <v>45286</v>
      </c>
    </row>
    <row r="32" spans="1:5" x14ac:dyDescent="0.15">
      <c r="A32" s="6" t="s">
        <v>10</v>
      </c>
      <c r="B32" s="11"/>
      <c r="C32" s="36">
        <v>1</v>
      </c>
      <c r="D32" s="10">
        <f t="shared" si="0"/>
        <v>1</v>
      </c>
      <c r="E32" s="23">
        <v>45357</v>
      </c>
    </row>
    <row r="33" spans="1:7" x14ac:dyDescent="0.15">
      <c r="A33" s="6"/>
      <c r="B33" s="11"/>
      <c r="C33" s="36"/>
      <c r="D33" s="10">
        <f t="shared" si="0"/>
        <v>0</v>
      </c>
      <c r="E33" s="23"/>
    </row>
    <row r="34" spans="1:7" x14ac:dyDescent="0.15">
      <c r="A34" s="6"/>
      <c r="B34" s="11"/>
      <c r="C34" s="36"/>
      <c r="D34" s="10">
        <f t="shared" si="0"/>
        <v>0</v>
      </c>
      <c r="E34" s="23"/>
    </row>
    <row r="35" spans="1:7" x14ac:dyDescent="0.15">
      <c r="A35" s="6"/>
      <c r="B35" s="11"/>
      <c r="C35" s="36"/>
      <c r="D35" s="10">
        <f t="shared" si="0"/>
        <v>0</v>
      </c>
      <c r="E35" s="23"/>
    </row>
    <row r="36" spans="1:7" x14ac:dyDescent="0.15">
      <c r="A36" s="6"/>
      <c r="B36" s="11"/>
      <c r="C36" s="36"/>
      <c r="D36" s="10">
        <f t="shared" si="0"/>
        <v>0</v>
      </c>
      <c r="E36" s="23"/>
    </row>
    <row r="37" spans="1:7" x14ac:dyDescent="0.15">
      <c r="A37" s="12"/>
      <c r="B37" s="11"/>
      <c r="C37" s="36"/>
      <c r="D37" s="10">
        <f t="shared" si="0"/>
        <v>0</v>
      </c>
      <c r="E37" s="23"/>
    </row>
    <row r="38" spans="1:7" x14ac:dyDescent="0.15">
      <c r="A38" s="27"/>
      <c r="B38" s="11"/>
      <c r="C38" s="36"/>
      <c r="D38" s="10">
        <f t="shared" si="0"/>
        <v>0</v>
      </c>
      <c r="E38" s="23"/>
      <c r="F38" s="28"/>
      <c r="G38" s="28"/>
    </row>
    <row r="39" spans="1:7" x14ac:dyDescent="0.15">
      <c r="A39" s="12"/>
      <c r="B39" s="11"/>
      <c r="C39" s="36"/>
      <c r="D39" s="10">
        <f t="shared" si="0"/>
        <v>0</v>
      </c>
      <c r="E39" s="23"/>
      <c r="F39" s="28"/>
    </row>
    <row r="40" spans="1:7" ht="14.25" thickBot="1" x14ac:dyDescent="0.2">
      <c r="A40" s="24"/>
      <c r="B40" s="11"/>
      <c r="C40" s="36"/>
      <c r="D40" s="10">
        <f t="shared" si="0"/>
        <v>0</v>
      </c>
      <c r="E40" s="23"/>
      <c r="F40" s="28"/>
    </row>
    <row r="41" spans="1:7" ht="14.25" thickBot="1" x14ac:dyDescent="0.2">
      <c r="A41" s="5" t="s">
        <v>5</v>
      </c>
      <c r="B41" s="13">
        <f>SUM(B17:B40)</f>
        <v>9</v>
      </c>
      <c r="C41" s="13">
        <f>SUM(C17:C40)</f>
        <v>12</v>
      </c>
      <c r="D41" s="14">
        <f t="shared" si="0"/>
        <v>21</v>
      </c>
      <c r="E41" s="1"/>
    </row>
    <row r="42" spans="1:7" ht="14.25" thickBot="1" x14ac:dyDescent="0.2">
      <c r="A42" s="21" t="s">
        <v>6</v>
      </c>
      <c r="B42" s="22">
        <f>B16-B41</f>
        <v>7</v>
      </c>
      <c r="C42" s="22">
        <f>C16-C41</f>
        <v>1</v>
      </c>
      <c r="D42" s="20">
        <f>D16-D41</f>
        <v>8</v>
      </c>
      <c r="E42" s="1"/>
    </row>
    <row r="44" spans="1:7" ht="21" x14ac:dyDescent="0.15">
      <c r="A44" s="32"/>
    </row>
    <row r="45" spans="1:7" ht="19.5" thickBot="1" x14ac:dyDescent="0.25">
      <c r="A45" s="2" t="s">
        <v>19</v>
      </c>
      <c r="B45" s="3"/>
      <c r="C45" s="3"/>
      <c r="D45" s="3"/>
      <c r="E45" s="1"/>
    </row>
    <row r="46" spans="1:7" ht="14.25" thickBot="1" x14ac:dyDescent="0.2">
      <c r="A46" s="4" t="s">
        <v>0</v>
      </c>
      <c r="B46" s="70" t="s">
        <v>8</v>
      </c>
      <c r="C46" s="70"/>
      <c r="D46" s="71"/>
      <c r="E46" s="1"/>
    </row>
    <row r="47" spans="1:7" ht="14.25" thickBot="1" x14ac:dyDescent="0.2">
      <c r="A47" s="4" t="s">
        <v>1</v>
      </c>
      <c r="B47" s="5" t="s">
        <v>18</v>
      </c>
      <c r="C47" s="4" t="s">
        <v>17</v>
      </c>
      <c r="D47" s="4" t="s">
        <v>2</v>
      </c>
      <c r="E47" s="1"/>
    </row>
    <row r="48" spans="1:7" x14ac:dyDescent="0.15">
      <c r="A48" s="8" t="s">
        <v>6</v>
      </c>
      <c r="B48" s="16">
        <f>B42</f>
        <v>7</v>
      </c>
      <c r="C48" s="6">
        <f>C42</f>
        <v>1</v>
      </c>
      <c r="D48" s="7">
        <f t="shared" ref="D48:D84" si="1">SUM(B48:C48)</f>
        <v>8</v>
      </c>
      <c r="E48" s="23"/>
    </row>
    <row r="49" spans="1:6" x14ac:dyDescent="0.15">
      <c r="A49" s="8" t="s">
        <v>3</v>
      </c>
      <c r="B49" s="15"/>
      <c r="C49" s="12">
        <v>1</v>
      </c>
      <c r="D49" s="7">
        <f t="shared" si="1"/>
        <v>1</v>
      </c>
      <c r="E49" s="23">
        <v>45378</v>
      </c>
    </row>
    <row r="50" spans="1:6" x14ac:dyDescent="0.15">
      <c r="A50" s="8" t="s">
        <v>43</v>
      </c>
      <c r="B50" s="15">
        <v>0</v>
      </c>
      <c r="C50" s="12">
        <v>0</v>
      </c>
      <c r="D50" s="7">
        <f t="shared" si="1"/>
        <v>0</v>
      </c>
      <c r="E50" s="23">
        <v>45526</v>
      </c>
      <c r="F50" s="28"/>
    </row>
    <row r="51" spans="1:6" x14ac:dyDescent="0.15">
      <c r="A51" s="8" t="s">
        <v>43</v>
      </c>
      <c r="B51" s="15">
        <v>0</v>
      </c>
      <c r="C51" s="12">
        <v>0</v>
      </c>
      <c r="D51" s="7">
        <f t="shared" si="1"/>
        <v>0</v>
      </c>
      <c r="E51" s="23">
        <v>46085</v>
      </c>
      <c r="F51" s="28"/>
    </row>
    <row r="52" spans="1:6" x14ac:dyDescent="0.15">
      <c r="A52" s="8" t="s">
        <v>3</v>
      </c>
      <c r="B52" s="15"/>
      <c r="C52" s="12"/>
      <c r="D52" s="7">
        <f t="shared" si="1"/>
        <v>0</v>
      </c>
      <c r="E52" s="23"/>
      <c r="F52" s="28"/>
    </row>
    <row r="53" spans="1:6" x14ac:dyDescent="0.15">
      <c r="A53" s="8" t="s">
        <v>3</v>
      </c>
      <c r="B53" s="15"/>
      <c r="C53" s="12"/>
      <c r="D53" s="7">
        <f t="shared" si="1"/>
        <v>0</v>
      </c>
      <c r="E53" s="23"/>
    </row>
    <row r="54" spans="1:6" x14ac:dyDescent="0.15">
      <c r="A54" s="8" t="s">
        <v>3</v>
      </c>
      <c r="B54" s="30"/>
      <c r="C54" s="41"/>
      <c r="D54" s="7">
        <f t="shared" si="1"/>
        <v>0</v>
      </c>
      <c r="E54" s="23"/>
    </row>
    <row r="55" spans="1:6" x14ac:dyDescent="0.15">
      <c r="A55" s="8" t="s">
        <v>3</v>
      </c>
      <c r="B55" s="30"/>
      <c r="C55" s="41"/>
      <c r="D55" s="7">
        <f t="shared" si="1"/>
        <v>0</v>
      </c>
      <c r="E55" s="23"/>
    </row>
    <row r="56" spans="1:6" x14ac:dyDescent="0.15">
      <c r="A56" s="8" t="s">
        <v>3</v>
      </c>
      <c r="B56" s="30"/>
      <c r="C56" s="41"/>
      <c r="D56" s="7">
        <f t="shared" si="1"/>
        <v>0</v>
      </c>
      <c r="E56" s="23"/>
    </row>
    <row r="57" spans="1:6" x14ac:dyDescent="0.15">
      <c r="A57" s="8" t="s">
        <v>3</v>
      </c>
      <c r="B57" s="31"/>
      <c r="C57" s="40"/>
      <c r="D57" s="10">
        <f t="shared" si="1"/>
        <v>0</v>
      </c>
      <c r="E57" s="23"/>
    </row>
    <row r="58" spans="1:6" ht="14.25" thickBot="1" x14ac:dyDescent="0.2">
      <c r="A58" s="8" t="s">
        <v>3</v>
      </c>
      <c r="B58" s="31"/>
      <c r="C58" s="40"/>
      <c r="D58" s="17">
        <f t="shared" si="1"/>
        <v>0</v>
      </c>
      <c r="E58" s="23"/>
    </row>
    <row r="59" spans="1:6" ht="14.25" thickBot="1" x14ac:dyDescent="0.2">
      <c r="A59" s="18" t="s">
        <v>4</v>
      </c>
      <c r="B59" s="19">
        <f>SUM(B48:B58)</f>
        <v>7</v>
      </c>
      <c r="C59" s="19">
        <f>SUM(C48:C58)</f>
        <v>2</v>
      </c>
      <c r="D59" s="20">
        <f t="shared" si="1"/>
        <v>9</v>
      </c>
      <c r="E59" s="1"/>
    </row>
    <row r="60" spans="1:6" x14ac:dyDescent="0.15">
      <c r="A60" s="6" t="s">
        <v>10</v>
      </c>
      <c r="B60" s="11"/>
      <c r="C60" s="36">
        <v>2</v>
      </c>
      <c r="D60" s="7">
        <f t="shared" si="1"/>
        <v>2</v>
      </c>
      <c r="E60" s="23">
        <v>45379</v>
      </c>
    </row>
    <row r="61" spans="1:6" x14ac:dyDescent="0.15">
      <c r="A61" s="6" t="s">
        <v>10</v>
      </c>
      <c r="B61" s="11">
        <v>1</v>
      </c>
      <c r="C61" s="36"/>
      <c r="D61" s="7">
        <f t="shared" si="1"/>
        <v>1</v>
      </c>
      <c r="E61" s="23">
        <v>45383</v>
      </c>
    </row>
    <row r="62" spans="1:6" x14ac:dyDescent="0.15">
      <c r="A62" s="6" t="s">
        <v>10</v>
      </c>
      <c r="B62" s="11">
        <v>1</v>
      </c>
      <c r="C62" s="36"/>
      <c r="D62" s="7">
        <f t="shared" si="1"/>
        <v>1</v>
      </c>
      <c r="E62" s="23">
        <v>45495</v>
      </c>
    </row>
    <row r="63" spans="1:6" x14ac:dyDescent="0.15">
      <c r="A63" s="6" t="s">
        <v>10</v>
      </c>
      <c r="B63" s="11">
        <v>1</v>
      </c>
      <c r="C63" s="36"/>
      <c r="D63" s="7">
        <f t="shared" si="1"/>
        <v>1</v>
      </c>
      <c r="E63" s="23">
        <v>45635</v>
      </c>
    </row>
    <row r="64" spans="1:6" x14ac:dyDescent="0.15">
      <c r="A64" s="6" t="s">
        <v>10</v>
      </c>
      <c r="B64" s="11">
        <v>1</v>
      </c>
      <c r="C64" s="36"/>
      <c r="D64" s="7">
        <f t="shared" si="1"/>
        <v>1</v>
      </c>
      <c r="E64" s="23">
        <v>45636</v>
      </c>
    </row>
    <row r="65" spans="1:5" x14ac:dyDescent="0.15">
      <c r="A65" s="6" t="s">
        <v>10</v>
      </c>
      <c r="B65" s="11">
        <v>1</v>
      </c>
      <c r="C65" s="36"/>
      <c r="D65" s="10">
        <f t="shared" si="1"/>
        <v>1</v>
      </c>
      <c r="E65" s="23">
        <v>45684</v>
      </c>
    </row>
    <row r="66" spans="1:5" x14ac:dyDescent="0.15">
      <c r="A66" s="6" t="s">
        <v>43</v>
      </c>
      <c r="B66" s="11">
        <v>0</v>
      </c>
      <c r="C66" s="36">
        <v>0</v>
      </c>
      <c r="D66" s="10">
        <f t="shared" si="1"/>
        <v>0</v>
      </c>
      <c r="E66" s="23">
        <v>45895</v>
      </c>
    </row>
    <row r="67" spans="1:5" x14ac:dyDescent="0.15">
      <c r="A67" s="6"/>
      <c r="B67" s="11"/>
      <c r="C67" s="36"/>
      <c r="D67" s="10">
        <f t="shared" si="1"/>
        <v>0</v>
      </c>
      <c r="E67" s="23"/>
    </row>
    <row r="68" spans="1:5" x14ac:dyDescent="0.15">
      <c r="A68" s="33"/>
      <c r="B68" s="11"/>
      <c r="C68" s="36"/>
      <c r="D68" s="10">
        <f t="shared" si="1"/>
        <v>0</v>
      </c>
      <c r="E68" s="23"/>
    </row>
    <row r="69" spans="1:5" x14ac:dyDescent="0.15">
      <c r="A69" s="6"/>
      <c r="B69" s="11"/>
      <c r="C69" s="36"/>
      <c r="D69" s="10">
        <f t="shared" si="1"/>
        <v>0</v>
      </c>
      <c r="E69" s="23"/>
    </row>
    <row r="70" spans="1:5" x14ac:dyDescent="0.15">
      <c r="A70" s="6"/>
      <c r="B70" s="11"/>
      <c r="C70" s="36"/>
      <c r="D70" s="10">
        <f t="shared" si="1"/>
        <v>0</v>
      </c>
      <c r="E70" s="23"/>
    </row>
    <row r="71" spans="1:5" x14ac:dyDescent="0.15">
      <c r="A71" s="6"/>
      <c r="B71" s="11"/>
      <c r="C71" s="36"/>
      <c r="D71" s="10">
        <f t="shared" si="1"/>
        <v>0</v>
      </c>
      <c r="E71" s="23"/>
    </row>
    <row r="72" spans="1:5" x14ac:dyDescent="0.15">
      <c r="A72" s="6"/>
      <c r="B72" s="11"/>
      <c r="C72" s="36"/>
      <c r="D72" s="10">
        <f t="shared" si="1"/>
        <v>0</v>
      </c>
      <c r="E72" s="23"/>
    </row>
    <row r="73" spans="1:5" x14ac:dyDescent="0.15">
      <c r="A73" s="6"/>
      <c r="B73" s="11"/>
      <c r="C73" s="36"/>
      <c r="D73" s="10">
        <f t="shared" si="1"/>
        <v>0</v>
      </c>
      <c r="E73" s="23"/>
    </row>
    <row r="74" spans="1:5" x14ac:dyDescent="0.15">
      <c r="A74" s="6"/>
      <c r="B74" s="11"/>
      <c r="C74" s="36"/>
      <c r="D74" s="10">
        <f t="shared" si="1"/>
        <v>0</v>
      </c>
      <c r="E74" s="23"/>
    </row>
    <row r="75" spans="1:5" x14ac:dyDescent="0.15">
      <c r="A75" s="33"/>
      <c r="B75" s="11"/>
      <c r="C75" s="36"/>
      <c r="D75" s="10">
        <f t="shared" si="1"/>
        <v>0</v>
      </c>
      <c r="E75" s="23"/>
    </row>
    <row r="76" spans="1:5" x14ac:dyDescent="0.15">
      <c r="A76" s="6"/>
      <c r="B76" s="11"/>
      <c r="C76" s="36"/>
      <c r="D76" s="10">
        <f t="shared" si="1"/>
        <v>0</v>
      </c>
      <c r="E76" s="23"/>
    </row>
    <row r="77" spans="1:5" x14ac:dyDescent="0.15">
      <c r="A77" s="6"/>
      <c r="B77" s="11"/>
      <c r="C77" s="36"/>
      <c r="D77" s="10">
        <f t="shared" si="1"/>
        <v>0</v>
      </c>
      <c r="E77" s="23"/>
    </row>
    <row r="78" spans="1:5" x14ac:dyDescent="0.15">
      <c r="A78" s="6"/>
      <c r="B78" s="11"/>
      <c r="C78" s="36"/>
      <c r="D78" s="10">
        <f t="shared" si="1"/>
        <v>0</v>
      </c>
      <c r="E78" s="23"/>
    </row>
    <row r="79" spans="1:5" x14ac:dyDescent="0.15">
      <c r="A79" s="6"/>
      <c r="B79" s="11"/>
      <c r="C79" s="36"/>
      <c r="D79" s="10">
        <f t="shared" si="1"/>
        <v>0</v>
      </c>
      <c r="E79" s="23"/>
    </row>
    <row r="80" spans="1:5" x14ac:dyDescent="0.15">
      <c r="A80" s="6"/>
      <c r="B80" s="11"/>
      <c r="C80" s="36"/>
      <c r="D80" s="10">
        <f t="shared" si="1"/>
        <v>0</v>
      </c>
      <c r="E80" s="23"/>
    </row>
    <row r="81" spans="1:5" x14ac:dyDescent="0.15">
      <c r="A81" s="6"/>
      <c r="B81" s="11"/>
      <c r="C81" s="36"/>
      <c r="D81" s="10">
        <f t="shared" si="1"/>
        <v>0</v>
      </c>
      <c r="E81" s="25"/>
    </row>
    <row r="82" spans="1:5" x14ac:dyDescent="0.15">
      <c r="A82" s="6"/>
      <c r="B82" s="11"/>
      <c r="C82" s="36"/>
      <c r="D82" s="10">
        <f t="shared" si="1"/>
        <v>0</v>
      </c>
      <c r="E82" s="23"/>
    </row>
    <row r="83" spans="1:5" ht="14.25" thickBot="1" x14ac:dyDescent="0.2">
      <c r="A83" s="6"/>
      <c r="B83" s="11"/>
      <c r="C83" s="36"/>
      <c r="D83" s="10">
        <f t="shared" si="1"/>
        <v>0</v>
      </c>
      <c r="E83" s="23"/>
    </row>
    <row r="84" spans="1:5" ht="14.25" thickBot="1" x14ac:dyDescent="0.2">
      <c r="A84" s="5" t="s">
        <v>5</v>
      </c>
      <c r="B84" s="13">
        <f>SUM(B60:B83)</f>
        <v>5</v>
      </c>
      <c r="C84" s="13">
        <f>SUM(C60:C83)</f>
        <v>2</v>
      </c>
      <c r="D84" s="14">
        <f t="shared" si="1"/>
        <v>7</v>
      </c>
      <c r="E84" s="1"/>
    </row>
    <row r="85" spans="1:5" ht="14.25" thickBot="1" x14ac:dyDescent="0.2">
      <c r="A85" s="21" t="s">
        <v>6</v>
      </c>
      <c r="B85" s="22">
        <f>B59-B84</f>
        <v>2</v>
      </c>
      <c r="C85" s="22">
        <f>C59-C84</f>
        <v>0</v>
      </c>
      <c r="D85" s="20">
        <f>D59-D84</f>
        <v>2</v>
      </c>
      <c r="E85" s="1"/>
    </row>
  </sheetData>
  <mergeCells count="2">
    <mergeCell ref="B3:D3"/>
    <mergeCell ref="B46:D46"/>
  </mergeCells>
  <phoneticPr fontId="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2"/>
  <sheetViews>
    <sheetView topLeftCell="A219" workbookViewId="0">
      <selection activeCell="G237" sqref="G237"/>
    </sheetView>
  </sheetViews>
  <sheetFormatPr defaultRowHeight="13.5" x14ac:dyDescent="0.15"/>
  <cols>
    <col min="1" max="1" width="16" customWidth="1"/>
    <col min="2" max="6" width="7.75" customWidth="1"/>
    <col min="7" max="7" width="10.25" bestFit="1" customWidth="1"/>
  </cols>
  <sheetData>
    <row r="1" spans="1:8" ht="21.75" customHeight="1" x14ac:dyDescent="0.15">
      <c r="A1" s="32"/>
    </row>
    <row r="2" spans="1:8" ht="19.5" thickBot="1" x14ac:dyDescent="0.25">
      <c r="A2" s="2" t="s">
        <v>32</v>
      </c>
      <c r="B2" s="3"/>
      <c r="C2" s="3"/>
      <c r="D2" s="3"/>
      <c r="E2" s="3"/>
      <c r="F2" s="3"/>
      <c r="G2" s="1">
        <v>810</v>
      </c>
    </row>
    <row r="3" spans="1:8" ht="14.25" thickBot="1" x14ac:dyDescent="0.2">
      <c r="A3" s="4" t="s">
        <v>0</v>
      </c>
      <c r="B3" s="70" t="s">
        <v>15</v>
      </c>
      <c r="C3" s="70"/>
      <c r="D3" s="70"/>
      <c r="E3" s="70"/>
      <c r="F3" s="71"/>
      <c r="G3" s="1"/>
    </row>
    <row r="4" spans="1:8" ht="14.25" thickBot="1" x14ac:dyDescent="0.2">
      <c r="A4" s="4" t="s">
        <v>1</v>
      </c>
      <c r="B4" s="5" t="s">
        <v>14</v>
      </c>
      <c r="C4" s="4" t="s">
        <v>13</v>
      </c>
      <c r="D4" s="4" t="s">
        <v>12</v>
      </c>
      <c r="E4" s="42" t="s">
        <v>11</v>
      </c>
      <c r="F4" s="4" t="s">
        <v>2</v>
      </c>
      <c r="G4" s="1"/>
    </row>
    <row r="5" spans="1:8" x14ac:dyDescent="0.15">
      <c r="A5" s="8" t="s">
        <v>16</v>
      </c>
      <c r="B5" s="29">
        <v>1</v>
      </c>
      <c r="C5" s="41">
        <v>2</v>
      </c>
      <c r="D5" s="41">
        <v>2</v>
      </c>
      <c r="E5" s="30">
        <v>3</v>
      </c>
      <c r="F5" s="7">
        <f t="shared" ref="F5:F41" si="0">SUM(B5:E5)</f>
        <v>8</v>
      </c>
      <c r="G5" s="26">
        <v>44441</v>
      </c>
    </row>
    <row r="6" spans="1:8" x14ac:dyDescent="0.15">
      <c r="A6" s="8" t="s">
        <v>21</v>
      </c>
      <c r="B6" s="29"/>
      <c r="C6" s="41"/>
      <c r="D6" s="41">
        <v>1</v>
      </c>
      <c r="E6" s="30"/>
      <c r="F6" s="7">
        <f t="shared" si="0"/>
        <v>1</v>
      </c>
      <c r="G6" s="26">
        <v>44449</v>
      </c>
    </row>
    <row r="7" spans="1:8" x14ac:dyDescent="0.15">
      <c r="A7" s="8" t="s">
        <v>21</v>
      </c>
      <c r="B7" s="15">
        <v>2</v>
      </c>
      <c r="C7" s="12">
        <v>3</v>
      </c>
      <c r="D7" s="12">
        <v>5</v>
      </c>
      <c r="E7" s="15">
        <v>3</v>
      </c>
      <c r="F7" s="7">
        <f t="shared" si="0"/>
        <v>13</v>
      </c>
      <c r="G7" s="23">
        <v>44463</v>
      </c>
      <c r="H7" s="28"/>
    </row>
    <row r="8" spans="1:8" x14ac:dyDescent="0.15">
      <c r="A8" s="8" t="s">
        <v>21</v>
      </c>
      <c r="B8" s="15"/>
      <c r="C8" s="12">
        <v>7</v>
      </c>
      <c r="D8" s="12"/>
      <c r="E8" s="15"/>
      <c r="F8" s="7">
        <f t="shared" si="0"/>
        <v>7</v>
      </c>
      <c r="G8" s="23">
        <v>44475</v>
      </c>
    </row>
    <row r="9" spans="1:8" x14ac:dyDescent="0.15">
      <c r="A9" s="8" t="s">
        <v>21</v>
      </c>
      <c r="B9" s="15"/>
      <c r="C9" s="12"/>
      <c r="D9" s="12"/>
      <c r="E9" s="15"/>
      <c r="F9" s="7">
        <f t="shared" si="0"/>
        <v>0</v>
      </c>
      <c r="G9" s="23"/>
    </row>
    <row r="10" spans="1:8" x14ac:dyDescent="0.15">
      <c r="A10" s="8" t="s">
        <v>21</v>
      </c>
      <c r="B10" s="15"/>
      <c r="C10" s="12"/>
      <c r="D10" s="12"/>
      <c r="E10" s="15"/>
      <c r="F10" s="7">
        <f t="shared" si="0"/>
        <v>0</v>
      </c>
      <c r="G10" s="23"/>
    </row>
    <row r="11" spans="1:8" x14ac:dyDescent="0.15">
      <c r="A11" s="8" t="s">
        <v>21</v>
      </c>
      <c r="B11" s="29"/>
      <c r="C11" s="41"/>
      <c r="D11" s="41"/>
      <c r="E11" s="30"/>
      <c r="F11" s="10">
        <f t="shared" si="0"/>
        <v>0</v>
      </c>
      <c r="G11" s="26"/>
    </row>
    <row r="12" spans="1:8" x14ac:dyDescent="0.15">
      <c r="A12" s="8" t="s">
        <v>21</v>
      </c>
      <c r="B12" s="30"/>
      <c r="C12" s="41"/>
      <c r="D12" s="41"/>
      <c r="E12" s="30"/>
      <c r="F12" s="7">
        <f t="shared" si="0"/>
        <v>0</v>
      </c>
      <c r="G12" s="23"/>
    </row>
    <row r="13" spans="1:8" x14ac:dyDescent="0.15">
      <c r="A13" s="8" t="s">
        <v>21</v>
      </c>
      <c r="B13" s="30"/>
      <c r="C13" s="41"/>
      <c r="D13" s="41"/>
      <c r="E13" s="30"/>
      <c r="F13" s="7">
        <f t="shared" si="0"/>
        <v>0</v>
      </c>
      <c r="G13" s="23"/>
    </row>
    <row r="14" spans="1:8" x14ac:dyDescent="0.15">
      <c r="A14" s="8" t="s">
        <v>21</v>
      </c>
      <c r="B14" s="30"/>
      <c r="C14" s="41"/>
      <c r="D14" s="41"/>
      <c r="E14" s="30"/>
      <c r="F14" s="7">
        <f t="shared" si="0"/>
        <v>0</v>
      </c>
      <c r="G14" s="25"/>
    </row>
    <row r="15" spans="1:8" ht="14.25" thickBot="1" x14ac:dyDescent="0.2">
      <c r="A15" s="9" t="s">
        <v>3</v>
      </c>
      <c r="B15" s="31"/>
      <c r="C15" s="40"/>
      <c r="D15" s="39"/>
      <c r="E15" s="31"/>
      <c r="F15" s="17">
        <f t="shared" si="0"/>
        <v>0</v>
      </c>
      <c r="G15" s="23"/>
    </row>
    <row r="16" spans="1:8" ht="14.25" thickBot="1" x14ac:dyDescent="0.2">
      <c r="A16" s="18" t="s">
        <v>4</v>
      </c>
      <c r="B16" s="19">
        <f>SUM(B5:B15)</f>
        <v>3</v>
      </c>
      <c r="C16" s="19">
        <f>SUM(C5:C15)</f>
        <v>12</v>
      </c>
      <c r="D16" s="19">
        <f>SUM(D5:D15)</f>
        <v>8</v>
      </c>
      <c r="E16" s="38">
        <f>SUM(E5:E15)</f>
        <v>6</v>
      </c>
      <c r="F16" s="20">
        <f t="shared" si="0"/>
        <v>29</v>
      </c>
      <c r="G16" s="1"/>
    </row>
    <row r="17" spans="1:7" x14ac:dyDescent="0.15">
      <c r="A17" s="6" t="s">
        <v>10</v>
      </c>
      <c r="B17" s="11"/>
      <c r="C17" s="36"/>
      <c r="D17" s="37"/>
      <c r="E17" s="34">
        <v>1</v>
      </c>
      <c r="F17" s="7">
        <f t="shared" si="0"/>
        <v>1</v>
      </c>
      <c r="G17" s="23">
        <v>44441</v>
      </c>
    </row>
    <row r="18" spans="1:7" x14ac:dyDescent="0.15">
      <c r="A18" s="6" t="s">
        <v>10</v>
      </c>
      <c r="B18" s="11"/>
      <c r="C18" s="36"/>
      <c r="D18" s="36">
        <v>1</v>
      </c>
      <c r="E18" s="34"/>
      <c r="F18" s="7">
        <f t="shared" si="0"/>
        <v>1</v>
      </c>
      <c r="G18" s="23">
        <v>44445</v>
      </c>
    </row>
    <row r="19" spans="1:7" x14ac:dyDescent="0.15">
      <c r="A19" s="6" t="s">
        <v>10</v>
      </c>
      <c r="B19" s="11"/>
      <c r="C19" s="36">
        <v>1</v>
      </c>
      <c r="D19" s="36"/>
      <c r="E19" s="34">
        <v>1</v>
      </c>
      <c r="F19" s="7">
        <f t="shared" si="0"/>
        <v>2</v>
      </c>
      <c r="G19" s="23">
        <v>44452</v>
      </c>
    </row>
    <row r="20" spans="1:7" x14ac:dyDescent="0.15">
      <c r="A20" s="6" t="s">
        <v>10</v>
      </c>
      <c r="B20" s="11"/>
      <c r="C20" s="36"/>
      <c r="D20" s="36">
        <v>1</v>
      </c>
      <c r="E20" s="34"/>
      <c r="F20" s="7">
        <f t="shared" si="0"/>
        <v>1</v>
      </c>
      <c r="G20" s="23">
        <v>44454</v>
      </c>
    </row>
    <row r="21" spans="1:7" x14ac:dyDescent="0.15">
      <c r="A21" s="6" t="s">
        <v>10</v>
      </c>
      <c r="B21" s="11"/>
      <c r="C21" s="36"/>
      <c r="D21" s="36">
        <v>1</v>
      </c>
      <c r="E21" s="34"/>
      <c r="F21" s="7">
        <f t="shared" si="0"/>
        <v>1</v>
      </c>
      <c r="G21" s="23">
        <v>44455</v>
      </c>
    </row>
    <row r="22" spans="1:7" x14ac:dyDescent="0.15">
      <c r="A22" s="6" t="s">
        <v>10</v>
      </c>
      <c r="B22" s="11">
        <v>1</v>
      </c>
      <c r="C22" s="36"/>
      <c r="D22" s="36"/>
      <c r="E22" s="34"/>
      <c r="F22" s="10">
        <f t="shared" si="0"/>
        <v>1</v>
      </c>
      <c r="G22" s="23">
        <v>44460</v>
      </c>
    </row>
    <row r="23" spans="1:7" x14ac:dyDescent="0.15">
      <c r="A23" s="6" t="s">
        <v>23</v>
      </c>
      <c r="B23" s="11"/>
      <c r="C23" s="36"/>
      <c r="D23" s="36"/>
      <c r="E23" s="34">
        <v>1</v>
      </c>
      <c r="F23" s="10">
        <f t="shared" si="0"/>
        <v>1</v>
      </c>
      <c r="G23" s="23">
        <v>44463</v>
      </c>
    </row>
    <row r="24" spans="1:7" x14ac:dyDescent="0.15">
      <c r="A24" s="6" t="s">
        <v>10</v>
      </c>
      <c r="B24" s="11"/>
      <c r="C24" s="36">
        <v>1</v>
      </c>
      <c r="D24" s="36"/>
      <c r="E24" s="34"/>
      <c r="F24" s="10">
        <f t="shared" si="0"/>
        <v>1</v>
      </c>
      <c r="G24" s="23">
        <v>44466</v>
      </c>
    </row>
    <row r="25" spans="1:7" x14ac:dyDescent="0.15">
      <c r="A25" s="6" t="s">
        <v>10</v>
      </c>
      <c r="B25" s="11"/>
      <c r="C25" s="36">
        <v>2</v>
      </c>
      <c r="D25" s="36"/>
      <c r="E25" s="34"/>
      <c r="F25" s="10">
        <f t="shared" si="0"/>
        <v>2</v>
      </c>
      <c r="G25" s="23">
        <v>44469</v>
      </c>
    </row>
    <row r="26" spans="1:7" x14ac:dyDescent="0.15">
      <c r="A26" s="6" t="s">
        <v>10</v>
      </c>
      <c r="B26" s="11"/>
      <c r="C26" s="36">
        <v>2</v>
      </c>
      <c r="D26" s="36"/>
      <c r="E26" s="34"/>
      <c r="F26" s="10">
        <f t="shared" si="0"/>
        <v>2</v>
      </c>
      <c r="G26" s="23">
        <v>44475</v>
      </c>
    </row>
    <row r="27" spans="1:7" x14ac:dyDescent="0.15">
      <c r="A27" s="6" t="s">
        <v>10</v>
      </c>
      <c r="B27" s="11"/>
      <c r="C27" s="36">
        <v>2</v>
      </c>
      <c r="D27" s="36"/>
      <c r="E27" s="34"/>
      <c r="F27" s="10">
        <f t="shared" si="0"/>
        <v>2</v>
      </c>
      <c r="G27" s="23">
        <v>44480</v>
      </c>
    </row>
    <row r="28" spans="1:7" x14ac:dyDescent="0.15">
      <c r="A28" s="6" t="s">
        <v>10</v>
      </c>
      <c r="B28" s="11"/>
      <c r="C28" s="36"/>
      <c r="D28" s="36">
        <v>1</v>
      </c>
      <c r="E28" s="34"/>
      <c r="F28" s="10">
        <f t="shared" si="0"/>
        <v>1</v>
      </c>
      <c r="G28" s="23">
        <v>44481</v>
      </c>
    </row>
    <row r="29" spans="1:7" x14ac:dyDescent="0.15">
      <c r="A29" s="6" t="s">
        <v>10</v>
      </c>
      <c r="B29" s="11">
        <v>1</v>
      </c>
      <c r="C29" s="36"/>
      <c r="D29" s="36"/>
      <c r="E29" s="34"/>
      <c r="F29" s="10">
        <f t="shared" si="0"/>
        <v>1</v>
      </c>
      <c r="G29" s="23">
        <v>44483</v>
      </c>
    </row>
    <row r="30" spans="1:7" x14ac:dyDescent="0.15">
      <c r="A30" s="6" t="s">
        <v>10</v>
      </c>
      <c r="B30" s="11"/>
      <c r="C30" s="36">
        <v>1</v>
      </c>
      <c r="D30" s="36"/>
      <c r="E30" s="34"/>
      <c r="F30" s="10">
        <f t="shared" si="0"/>
        <v>1</v>
      </c>
      <c r="G30" s="23">
        <v>44494</v>
      </c>
    </row>
    <row r="31" spans="1:7" x14ac:dyDescent="0.15">
      <c r="A31" s="6" t="s">
        <v>10</v>
      </c>
      <c r="B31" s="11"/>
      <c r="C31" s="36">
        <v>1</v>
      </c>
      <c r="D31" s="36"/>
      <c r="E31" s="34"/>
      <c r="F31" s="10">
        <f t="shared" si="0"/>
        <v>1</v>
      </c>
      <c r="G31" s="23">
        <v>44504</v>
      </c>
    </row>
    <row r="32" spans="1:7" x14ac:dyDescent="0.15">
      <c r="A32" s="6" t="s">
        <v>10</v>
      </c>
      <c r="B32" s="11"/>
      <c r="C32" s="36"/>
      <c r="D32" s="36"/>
      <c r="E32" s="34">
        <v>1</v>
      </c>
      <c r="F32" s="10">
        <f t="shared" si="0"/>
        <v>1</v>
      </c>
      <c r="G32" s="23">
        <v>44505</v>
      </c>
    </row>
    <row r="33" spans="1:9" x14ac:dyDescent="0.15">
      <c r="A33" s="6" t="s">
        <v>10</v>
      </c>
      <c r="B33" s="11">
        <v>1</v>
      </c>
      <c r="C33" s="36">
        <v>2</v>
      </c>
      <c r="D33" s="36"/>
      <c r="E33" s="34">
        <v>2</v>
      </c>
      <c r="F33" s="10">
        <f t="shared" si="0"/>
        <v>5</v>
      </c>
      <c r="G33" s="23">
        <v>44508</v>
      </c>
    </row>
    <row r="34" spans="1:9" x14ac:dyDescent="0.15">
      <c r="A34" s="6" t="s">
        <v>10</v>
      </c>
      <c r="B34" s="11"/>
      <c r="C34" s="36"/>
      <c r="D34" s="36"/>
      <c r="E34" s="34"/>
      <c r="F34" s="10">
        <f t="shared" si="0"/>
        <v>0</v>
      </c>
      <c r="G34" s="23">
        <v>44526</v>
      </c>
    </row>
    <row r="35" spans="1:9" x14ac:dyDescent="0.15">
      <c r="A35" s="6" t="s">
        <v>10</v>
      </c>
      <c r="B35" s="11"/>
      <c r="C35" s="36"/>
      <c r="D35" s="36"/>
      <c r="E35" s="34"/>
      <c r="F35" s="10">
        <f t="shared" si="0"/>
        <v>0</v>
      </c>
      <c r="G35" s="23">
        <v>44532</v>
      </c>
    </row>
    <row r="36" spans="1:9" x14ac:dyDescent="0.15">
      <c r="A36" s="6" t="s">
        <v>10</v>
      </c>
      <c r="B36" s="11"/>
      <c r="C36" s="36"/>
      <c r="D36" s="36"/>
      <c r="E36" s="34"/>
      <c r="F36" s="10">
        <f t="shared" si="0"/>
        <v>0</v>
      </c>
      <c r="G36" s="23">
        <v>44553</v>
      </c>
    </row>
    <row r="37" spans="1:9" x14ac:dyDescent="0.15">
      <c r="A37" s="6"/>
      <c r="B37" s="11"/>
      <c r="C37" s="36"/>
      <c r="D37" s="36"/>
      <c r="E37" s="34"/>
      <c r="F37" s="10">
        <f t="shared" si="0"/>
        <v>0</v>
      </c>
      <c r="G37" s="23"/>
    </row>
    <row r="38" spans="1:9" x14ac:dyDescent="0.15">
      <c r="A38" s="6"/>
      <c r="B38" s="11"/>
      <c r="C38" s="36"/>
      <c r="D38" s="36"/>
      <c r="E38" s="34"/>
      <c r="F38" s="10">
        <f t="shared" si="0"/>
        <v>0</v>
      </c>
      <c r="G38" s="23"/>
      <c r="H38" s="28"/>
      <c r="I38" s="28"/>
    </row>
    <row r="39" spans="1:9" x14ac:dyDescent="0.15">
      <c r="A39" s="6"/>
      <c r="B39" s="11"/>
      <c r="C39" s="36"/>
      <c r="D39" s="36"/>
      <c r="E39" s="34"/>
      <c r="F39" s="10">
        <f t="shared" si="0"/>
        <v>0</v>
      </c>
      <c r="G39" s="23"/>
      <c r="H39" s="28"/>
    </row>
    <row r="40" spans="1:9" ht="14.25" thickBot="1" x14ac:dyDescent="0.2">
      <c r="A40" s="24"/>
      <c r="B40" s="11"/>
      <c r="C40" s="36"/>
      <c r="D40" s="35"/>
      <c r="E40" s="34"/>
      <c r="F40" s="10">
        <f t="shared" si="0"/>
        <v>0</v>
      </c>
      <c r="G40" s="23"/>
      <c r="H40" s="28"/>
    </row>
    <row r="41" spans="1:9" ht="14.25" thickBot="1" x14ac:dyDescent="0.2">
      <c r="A41" s="5" t="s">
        <v>5</v>
      </c>
      <c r="B41" s="13">
        <f>SUM(B17:B40)</f>
        <v>3</v>
      </c>
      <c r="C41" s="13">
        <f>SUM(C17:C40)</f>
        <v>12</v>
      </c>
      <c r="D41" s="13">
        <f>SUM(D17:D40)</f>
        <v>4</v>
      </c>
      <c r="E41" s="13">
        <f>SUM(E17:E40)</f>
        <v>6</v>
      </c>
      <c r="F41" s="14">
        <f t="shared" si="0"/>
        <v>25</v>
      </c>
      <c r="G41" s="1"/>
    </row>
    <row r="42" spans="1:9" ht="14.25" thickBot="1" x14ac:dyDescent="0.2">
      <c r="A42" s="21" t="s">
        <v>6</v>
      </c>
      <c r="B42" s="22">
        <f>B16-B41</f>
        <v>0</v>
      </c>
      <c r="C42" s="22">
        <f>C16-C41</f>
        <v>0</v>
      </c>
      <c r="D42" s="22">
        <f>D16-D41</f>
        <v>4</v>
      </c>
      <c r="E42" s="22">
        <f>E16-E41</f>
        <v>0</v>
      </c>
      <c r="F42" s="20">
        <f>F16-F41</f>
        <v>4</v>
      </c>
      <c r="G42" s="1"/>
    </row>
    <row r="43" spans="1:9" ht="21" x14ac:dyDescent="0.15">
      <c r="A43" s="32"/>
    </row>
    <row r="44" spans="1:9" ht="19.5" thickBot="1" x14ac:dyDescent="0.25">
      <c r="A44" s="2" t="s">
        <v>32</v>
      </c>
      <c r="B44" s="3"/>
      <c r="C44" s="3"/>
      <c r="D44" s="3"/>
      <c r="E44" s="3"/>
      <c r="F44" s="3"/>
      <c r="G44" s="1">
        <v>810</v>
      </c>
    </row>
    <row r="45" spans="1:9" ht="14.25" thickBot="1" x14ac:dyDescent="0.2">
      <c r="A45" s="4" t="s">
        <v>0</v>
      </c>
      <c r="B45" s="70" t="s">
        <v>15</v>
      </c>
      <c r="C45" s="70"/>
      <c r="D45" s="70"/>
      <c r="E45" s="70"/>
      <c r="F45" s="71"/>
      <c r="G45" s="1"/>
    </row>
    <row r="46" spans="1:9" ht="14.25" thickBot="1" x14ac:dyDescent="0.2">
      <c r="A46" s="4" t="s">
        <v>1</v>
      </c>
      <c r="B46" s="5" t="s">
        <v>14</v>
      </c>
      <c r="C46" s="4" t="s">
        <v>13</v>
      </c>
      <c r="D46" s="4" t="s">
        <v>12</v>
      </c>
      <c r="E46" s="42" t="s">
        <v>11</v>
      </c>
      <c r="F46" s="4" t="s">
        <v>2</v>
      </c>
      <c r="G46" s="1"/>
    </row>
    <row r="47" spans="1:9" x14ac:dyDescent="0.15">
      <c r="A47" s="8" t="s">
        <v>6</v>
      </c>
      <c r="B47" s="29">
        <f>B42</f>
        <v>0</v>
      </c>
      <c r="C47" s="29">
        <f>C42</f>
        <v>0</v>
      </c>
      <c r="D47" s="29">
        <f>D42</f>
        <v>4</v>
      </c>
      <c r="E47" s="29">
        <f>E42</f>
        <v>0</v>
      </c>
      <c r="F47" s="7">
        <f t="shared" ref="F47:F83" si="1">SUM(B47:E47)</f>
        <v>4</v>
      </c>
      <c r="G47" s="26"/>
    </row>
    <row r="48" spans="1:9" x14ac:dyDescent="0.15">
      <c r="A48" s="8" t="s">
        <v>3</v>
      </c>
      <c r="B48" s="29">
        <v>5</v>
      </c>
      <c r="C48" s="41">
        <v>10</v>
      </c>
      <c r="D48" s="41">
        <v>5</v>
      </c>
      <c r="E48" s="30">
        <v>5</v>
      </c>
      <c r="F48" s="7">
        <f t="shared" si="1"/>
        <v>25</v>
      </c>
      <c r="G48" s="26">
        <v>44202</v>
      </c>
    </row>
    <row r="49" spans="1:7" x14ac:dyDescent="0.15">
      <c r="A49" s="8" t="s">
        <v>3</v>
      </c>
      <c r="B49" s="15">
        <v>5</v>
      </c>
      <c r="C49" s="12">
        <v>5</v>
      </c>
      <c r="D49" s="12">
        <v>10</v>
      </c>
      <c r="E49" s="15">
        <v>5</v>
      </c>
      <c r="F49" s="7">
        <f t="shared" si="1"/>
        <v>25</v>
      </c>
      <c r="G49" s="23">
        <v>44573</v>
      </c>
    </row>
    <row r="50" spans="1:7" x14ac:dyDescent="0.15">
      <c r="A50" s="8" t="s">
        <v>3</v>
      </c>
      <c r="B50" s="15"/>
      <c r="C50" s="12">
        <v>30</v>
      </c>
      <c r="D50" s="12">
        <v>20</v>
      </c>
      <c r="E50" s="15"/>
      <c r="F50" s="7">
        <f t="shared" si="1"/>
        <v>50</v>
      </c>
      <c r="G50" s="23">
        <v>44574</v>
      </c>
    </row>
    <row r="51" spans="1:7" x14ac:dyDescent="0.15">
      <c r="A51" s="8" t="s">
        <v>3</v>
      </c>
      <c r="B51" s="15">
        <v>5</v>
      </c>
      <c r="C51" s="12"/>
      <c r="D51" s="12"/>
      <c r="E51" s="15"/>
      <c r="F51" s="7">
        <f t="shared" si="1"/>
        <v>5</v>
      </c>
      <c r="G51" s="23">
        <v>44575</v>
      </c>
    </row>
    <row r="52" spans="1:7" x14ac:dyDescent="0.15">
      <c r="A52" s="8" t="s">
        <v>3</v>
      </c>
      <c r="B52" s="15"/>
      <c r="C52" s="12"/>
      <c r="D52" s="12"/>
      <c r="E52" s="15"/>
      <c r="F52" s="7">
        <f t="shared" si="1"/>
        <v>0</v>
      </c>
      <c r="G52" s="23"/>
    </row>
    <row r="53" spans="1:7" x14ac:dyDescent="0.15">
      <c r="A53" s="8" t="s">
        <v>3</v>
      </c>
      <c r="B53" s="29"/>
      <c r="C53" s="41"/>
      <c r="D53" s="41"/>
      <c r="E53" s="30"/>
      <c r="F53" s="10">
        <f t="shared" si="1"/>
        <v>0</v>
      </c>
      <c r="G53" s="26"/>
    </row>
    <row r="54" spans="1:7" x14ac:dyDescent="0.15">
      <c r="A54" s="8" t="s">
        <v>3</v>
      </c>
      <c r="B54" s="30"/>
      <c r="C54" s="41"/>
      <c r="D54" s="41"/>
      <c r="E54" s="30"/>
      <c r="F54" s="7">
        <f t="shared" si="1"/>
        <v>0</v>
      </c>
      <c r="G54" s="23"/>
    </row>
    <row r="55" spans="1:7" x14ac:dyDescent="0.15">
      <c r="A55" s="8" t="s">
        <v>3</v>
      </c>
      <c r="B55" s="30"/>
      <c r="C55" s="41"/>
      <c r="D55" s="41"/>
      <c r="E55" s="30"/>
      <c r="F55" s="7">
        <f t="shared" si="1"/>
        <v>0</v>
      </c>
      <c r="G55" s="23"/>
    </row>
    <row r="56" spans="1:7" x14ac:dyDescent="0.15">
      <c r="A56" s="8" t="s">
        <v>3</v>
      </c>
      <c r="B56" s="30"/>
      <c r="C56" s="41"/>
      <c r="D56" s="41"/>
      <c r="E56" s="30"/>
      <c r="F56" s="7">
        <f t="shared" si="1"/>
        <v>0</v>
      </c>
      <c r="G56" s="25"/>
    </row>
    <row r="57" spans="1:7" ht="14.25" thickBot="1" x14ac:dyDescent="0.2">
      <c r="A57" s="8" t="s">
        <v>3</v>
      </c>
      <c r="B57" s="31"/>
      <c r="C57" s="40"/>
      <c r="D57" s="39"/>
      <c r="E57" s="31"/>
      <c r="F57" s="17">
        <f t="shared" si="1"/>
        <v>0</v>
      </c>
      <c r="G57" s="23"/>
    </row>
    <row r="58" spans="1:7" ht="14.25" thickBot="1" x14ac:dyDescent="0.2">
      <c r="A58" s="18" t="s">
        <v>4</v>
      </c>
      <c r="B58" s="19">
        <f>SUM(B47:B57)</f>
        <v>15</v>
      </c>
      <c r="C58" s="19">
        <f>SUM(C47:C57)</f>
        <v>45</v>
      </c>
      <c r="D58" s="19">
        <f>SUM(D47:D57)</f>
        <v>39</v>
      </c>
      <c r="E58" s="38">
        <f>SUM(E47:E57)</f>
        <v>10</v>
      </c>
      <c r="F58" s="20">
        <f t="shared" si="1"/>
        <v>109</v>
      </c>
      <c r="G58" s="1"/>
    </row>
    <row r="59" spans="1:7" x14ac:dyDescent="0.15">
      <c r="A59" s="6" t="s">
        <v>10</v>
      </c>
      <c r="B59" s="11">
        <v>2</v>
      </c>
      <c r="C59" s="36"/>
      <c r="D59" s="37">
        <f>2+1</f>
        <v>3</v>
      </c>
      <c r="E59" s="34">
        <v>1</v>
      </c>
      <c r="F59" s="7">
        <f t="shared" si="1"/>
        <v>6</v>
      </c>
      <c r="G59" s="23">
        <v>44567</v>
      </c>
    </row>
    <row r="60" spans="1:7" x14ac:dyDescent="0.15">
      <c r="A60" s="6" t="s">
        <v>10</v>
      </c>
      <c r="B60" s="11">
        <v>1</v>
      </c>
      <c r="C60" s="36">
        <v>2</v>
      </c>
      <c r="D60" s="36">
        <f>1+1</f>
        <v>2</v>
      </c>
      <c r="E60" s="34">
        <f>1+2</f>
        <v>3</v>
      </c>
      <c r="F60" s="7">
        <f t="shared" si="1"/>
        <v>8</v>
      </c>
      <c r="G60" s="23">
        <v>44572</v>
      </c>
    </row>
    <row r="61" spans="1:7" x14ac:dyDescent="0.15">
      <c r="A61" s="6" t="s">
        <v>34</v>
      </c>
      <c r="B61" s="11"/>
      <c r="C61" s="36">
        <v>1</v>
      </c>
      <c r="D61" s="36"/>
      <c r="E61" s="34"/>
      <c r="F61" s="7">
        <f t="shared" si="1"/>
        <v>1</v>
      </c>
      <c r="G61" s="23">
        <v>44573</v>
      </c>
    </row>
    <row r="62" spans="1:7" x14ac:dyDescent="0.15">
      <c r="A62" s="6" t="s">
        <v>10</v>
      </c>
      <c r="B62" s="11">
        <v>1</v>
      </c>
      <c r="C62" s="36"/>
      <c r="D62" s="36"/>
      <c r="E62" s="34"/>
      <c r="F62" s="7">
        <f t="shared" si="1"/>
        <v>1</v>
      </c>
      <c r="G62" s="23">
        <v>44587</v>
      </c>
    </row>
    <row r="63" spans="1:7" x14ac:dyDescent="0.15">
      <c r="A63" s="6" t="s">
        <v>10</v>
      </c>
      <c r="B63" s="11"/>
      <c r="C63" s="36">
        <v>1</v>
      </c>
      <c r="D63" s="36"/>
      <c r="E63" s="34">
        <v>2</v>
      </c>
      <c r="F63" s="7">
        <f t="shared" si="1"/>
        <v>3</v>
      </c>
      <c r="G63" s="23">
        <v>44588</v>
      </c>
    </row>
    <row r="64" spans="1:7" x14ac:dyDescent="0.15">
      <c r="A64" s="6" t="s">
        <v>10</v>
      </c>
      <c r="B64" s="11"/>
      <c r="C64" s="36"/>
      <c r="D64" s="36">
        <v>1</v>
      </c>
      <c r="E64" s="34"/>
      <c r="F64" s="10">
        <f t="shared" si="1"/>
        <v>1</v>
      </c>
      <c r="G64" s="23">
        <v>44589</v>
      </c>
    </row>
    <row r="65" spans="1:7" x14ac:dyDescent="0.15">
      <c r="A65" s="6" t="s">
        <v>10</v>
      </c>
      <c r="B65" s="11"/>
      <c r="C65" s="36"/>
      <c r="D65" s="36">
        <v>1</v>
      </c>
      <c r="E65" s="34">
        <f>1+1</f>
        <v>2</v>
      </c>
      <c r="F65" s="10">
        <f t="shared" si="1"/>
        <v>3</v>
      </c>
      <c r="G65" s="23">
        <v>44592</v>
      </c>
    </row>
    <row r="66" spans="1:7" x14ac:dyDescent="0.15">
      <c r="A66" s="6" t="s">
        <v>36</v>
      </c>
      <c r="B66" s="11"/>
      <c r="C66" s="36">
        <v>1</v>
      </c>
      <c r="D66" s="36"/>
      <c r="E66" s="34"/>
      <c r="F66" s="10">
        <f t="shared" si="1"/>
        <v>1</v>
      </c>
      <c r="G66" s="23">
        <v>44595</v>
      </c>
    </row>
    <row r="67" spans="1:7" x14ac:dyDescent="0.15">
      <c r="A67" s="6" t="s">
        <v>10</v>
      </c>
      <c r="B67" s="11"/>
      <c r="C67" s="36"/>
      <c r="D67" s="36"/>
      <c r="E67" s="34">
        <v>1</v>
      </c>
      <c r="F67" s="10">
        <f t="shared" si="1"/>
        <v>1</v>
      </c>
      <c r="G67" s="23">
        <v>44597</v>
      </c>
    </row>
    <row r="68" spans="1:7" x14ac:dyDescent="0.15">
      <c r="A68" s="6" t="s">
        <v>10</v>
      </c>
      <c r="B68" s="11">
        <v>1</v>
      </c>
      <c r="C68" s="36"/>
      <c r="D68" s="36"/>
      <c r="E68" s="34"/>
      <c r="F68" s="10">
        <f t="shared" si="1"/>
        <v>1</v>
      </c>
      <c r="G68" s="23">
        <v>44602</v>
      </c>
    </row>
    <row r="69" spans="1:7" x14ac:dyDescent="0.15">
      <c r="A69" s="6" t="s">
        <v>10</v>
      </c>
      <c r="B69" s="11"/>
      <c r="C69" s="36">
        <v>1</v>
      </c>
      <c r="D69" s="36">
        <v>1</v>
      </c>
      <c r="E69" s="34"/>
      <c r="F69" s="10">
        <f t="shared" si="1"/>
        <v>2</v>
      </c>
      <c r="G69" s="23">
        <v>44606</v>
      </c>
    </row>
    <row r="70" spans="1:7" x14ac:dyDescent="0.15">
      <c r="A70" s="6" t="s">
        <v>10</v>
      </c>
      <c r="B70" s="11"/>
      <c r="C70" s="36"/>
      <c r="D70" s="36">
        <v>1</v>
      </c>
      <c r="E70" s="34"/>
      <c r="F70" s="10">
        <f t="shared" si="1"/>
        <v>1</v>
      </c>
      <c r="G70" s="23">
        <v>44614</v>
      </c>
    </row>
    <row r="71" spans="1:7" x14ac:dyDescent="0.15">
      <c r="A71" s="6" t="s">
        <v>10</v>
      </c>
      <c r="B71" s="11"/>
      <c r="C71" s="36">
        <v>1</v>
      </c>
      <c r="D71" s="36"/>
      <c r="E71" s="34"/>
      <c r="F71" s="10">
        <f t="shared" si="1"/>
        <v>1</v>
      </c>
      <c r="G71" s="23">
        <v>44616</v>
      </c>
    </row>
    <row r="72" spans="1:7" x14ac:dyDescent="0.15">
      <c r="A72" s="6" t="s">
        <v>10</v>
      </c>
      <c r="B72" s="11">
        <v>3</v>
      </c>
      <c r="C72" s="36"/>
      <c r="D72" s="36"/>
      <c r="E72" s="34"/>
      <c r="F72" s="10">
        <f t="shared" si="1"/>
        <v>3</v>
      </c>
      <c r="G72" s="23">
        <v>44623</v>
      </c>
    </row>
    <row r="73" spans="1:7" x14ac:dyDescent="0.15">
      <c r="A73" s="6" t="s">
        <v>10</v>
      </c>
      <c r="B73" s="11"/>
      <c r="C73" s="36">
        <v>1</v>
      </c>
      <c r="D73" s="36"/>
      <c r="E73" s="34"/>
      <c r="F73" s="10">
        <f t="shared" si="1"/>
        <v>1</v>
      </c>
      <c r="G73" s="23">
        <v>44624</v>
      </c>
    </row>
    <row r="74" spans="1:7" x14ac:dyDescent="0.15">
      <c r="A74" s="6" t="s">
        <v>10</v>
      </c>
      <c r="B74" s="11"/>
      <c r="C74" s="36">
        <v>1</v>
      </c>
      <c r="D74" s="36">
        <v>1</v>
      </c>
      <c r="E74" s="34"/>
      <c r="F74" s="10">
        <f t="shared" si="1"/>
        <v>2</v>
      </c>
      <c r="G74" s="23">
        <v>44625</v>
      </c>
    </row>
    <row r="75" spans="1:7" x14ac:dyDescent="0.15">
      <c r="A75" s="6" t="s">
        <v>10</v>
      </c>
      <c r="B75" s="11">
        <v>1</v>
      </c>
      <c r="C75" s="36"/>
      <c r="D75" s="36">
        <v>1</v>
      </c>
      <c r="E75" s="34"/>
      <c r="F75" s="10">
        <f t="shared" si="1"/>
        <v>2</v>
      </c>
      <c r="G75" s="23">
        <v>44627</v>
      </c>
    </row>
    <row r="76" spans="1:7" x14ac:dyDescent="0.15">
      <c r="A76" s="6" t="s">
        <v>10</v>
      </c>
      <c r="B76" s="11"/>
      <c r="C76" s="36">
        <v>1</v>
      </c>
      <c r="D76" s="36"/>
      <c r="E76" s="34"/>
      <c r="F76" s="10">
        <f t="shared" si="1"/>
        <v>1</v>
      </c>
      <c r="G76" s="23">
        <v>44628</v>
      </c>
    </row>
    <row r="77" spans="1:7" x14ac:dyDescent="0.15">
      <c r="A77" s="6" t="s">
        <v>10</v>
      </c>
      <c r="B77" s="11"/>
      <c r="C77" s="36"/>
      <c r="D77" s="36">
        <v>1</v>
      </c>
      <c r="E77" s="34"/>
      <c r="F77" s="10">
        <f t="shared" si="1"/>
        <v>1</v>
      </c>
      <c r="G77" s="23">
        <v>44629</v>
      </c>
    </row>
    <row r="78" spans="1:7" x14ac:dyDescent="0.15">
      <c r="A78" s="6" t="s">
        <v>10</v>
      </c>
      <c r="B78" s="11"/>
      <c r="C78" s="36">
        <v>1</v>
      </c>
      <c r="D78" s="36"/>
      <c r="E78" s="34"/>
      <c r="F78" s="10">
        <f t="shared" si="1"/>
        <v>1</v>
      </c>
      <c r="G78" s="23">
        <v>44630</v>
      </c>
    </row>
    <row r="79" spans="1:7" x14ac:dyDescent="0.15">
      <c r="A79" s="6" t="s">
        <v>10</v>
      </c>
      <c r="B79" s="11"/>
      <c r="C79" s="36">
        <v>1</v>
      </c>
      <c r="D79" s="36"/>
      <c r="E79" s="34"/>
      <c r="F79" s="10">
        <f t="shared" si="1"/>
        <v>1</v>
      </c>
      <c r="G79" s="23">
        <v>44634</v>
      </c>
    </row>
    <row r="80" spans="1:7" x14ac:dyDescent="0.15">
      <c r="A80" s="6" t="s">
        <v>10</v>
      </c>
      <c r="B80" s="11"/>
      <c r="C80" s="36"/>
      <c r="D80" s="36">
        <v>1</v>
      </c>
      <c r="E80" s="34"/>
      <c r="F80" s="10">
        <f t="shared" si="1"/>
        <v>1</v>
      </c>
      <c r="G80" s="23">
        <v>44642</v>
      </c>
    </row>
    <row r="81" spans="1:8" x14ac:dyDescent="0.15">
      <c r="A81" s="6" t="s">
        <v>10</v>
      </c>
      <c r="B81" s="11"/>
      <c r="C81" s="36"/>
      <c r="D81" s="36"/>
      <c r="E81" s="34">
        <v>1</v>
      </c>
      <c r="F81" s="10">
        <f t="shared" si="1"/>
        <v>1</v>
      </c>
      <c r="G81" s="23">
        <v>44644</v>
      </c>
    </row>
    <row r="82" spans="1:8" ht="14.25" thickBot="1" x14ac:dyDescent="0.2">
      <c r="A82" s="6" t="s">
        <v>10</v>
      </c>
      <c r="B82" s="11"/>
      <c r="C82" s="36">
        <v>2</v>
      </c>
      <c r="D82" s="35"/>
      <c r="E82" s="34"/>
      <c r="F82" s="10">
        <f t="shared" si="1"/>
        <v>2</v>
      </c>
      <c r="G82" s="23">
        <v>44651</v>
      </c>
    </row>
    <row r="83" spans="1:8" ht="14.25" thickBot="1" x14ac:dyDescent="0.2">
      <c r="A83" s="5" t="s">
        <v>5</v>
      </c>
      <c r="B83" s="13">
        <f>SUM(B59:B82)</f>
        <v>9</v>
      </c>
      <c r="C83" s="13">
        <f>SUM(C59:C82)</f>
        <v>14</v>
      </c>
      <c r="D83" s="13">
        <f>SUM(D59:D82)</f>
        <v>13</v>
      </c>
      <c r="E83" s="13">
        <f>SUM(E59:E82)</f>
        <v>10</v>
      </c>
      <c r="F83" s="14">
        <f t="shared" si="1"/>
        <v>46</v>
      </c>
      <c r="G83" s="1"/>
    </row>
    <row r="84" spans="1:8" ht="14.25" thickBot="1" x14ac:dyDescent="0.2">
      <c r="A84" s="21" t="s">
        <v>6</v>
      </c>
      <c r="B84" s="22">
        <f>B58-B83</f>
        <v>6</v>
      </c>
      <c r="C84" s="22">
        <f>C58-C83</f>
        <v>31</v>
      </c>
      <c r="D84" s="22">
        <f>D58-D83</f>
        <v>26</v>
      </c>
      <c r="E84" s="22">
        <f>E58-E83</f>
        <v>0</v>
      </c>
      <c r="F84" s="20">
        <f>F58-F83</f>
        <v>63</v>
      </c>
      <c r="G84" s="1"/>
    </row>
    <row r="85" spans="1:8" ht="21" x14ac:dyDescent="0.15">
      <c r="A85" s="32"/>
    </row>
    <row r="86" spans="1:8" ht="19.5" thickBot="1" x14ac:dyDescent="0.25">
      <c r="A86" s="2" t="s">
        <v>32</v>
      </c>
      <c r="B86" s="3"/>
      <c r="C86" s="3"/>
      <c r="D86" s="3"/>
      <c r="E86" s="3"/>
      <c r="F86" s="3"/>
      <c r="G86" s="1">
        <v>810</v>
      </c>
    </row>
    <row r="87" spans="1:8" ht="14.25" thickBot="1" x14ac:dyDescent="0.2">
      <c r="A87" s="4" t="s">
        <v>0</v>
      </c>
      <c r="B87" s="70" t="s">
        <v>15</v>
      </c>
      <c r="C87" s="70"/>
      <c r="D87" s="70"/>
      <c r="E87" s="70"/>
      <c r="F87" s="71"/>
      <c r="G87" s="1"/>
    </row>
    <row r="88" spans="1:8" ht="14.25" thickBot="1" x14ac:dyDescent="0.2">
      <c r="A88" s="4" t="s">
        <v>1</v>
      </c>
      <c r="B88" s="5" t="s">
        <v>14</v>
      </c>
      <c r="C88" s="4" t="s">
        <v>13</v>
      </c>
      <c r="D88" s="4" t="s">
        <v>12</v>
      </c>
      <c r="E88" s="42" t="s">
        <v>11</v>
      </c>
      <c r="F88" s="4" t="s">
        <v>2</v>
      </c>
      <c r="G88" s="1"/>
    </row>
    <row r="89" spans="1:8" x14ac:dyDescent="0.15">
      <c r="A89" s="8" t="s">
        <v>6</v>
      </c>
      <c r="B89" s="29">
        <f>B84</f>
        <v>6</v>
      </c>
      <c r="C89" s="29">
        <f>C84</f>
        <v>31</v>
      </c>
      <c r="D89" s="29">
        <f>D84</f>
        <v>26</v>
      </c>
      <c r="E89" s="29">
        <f>E84</f>
        <v>0</v>
      </c>
      <c r="F89" s="7">
        <f t="shared" ref="F89:F125" si="2">SUM(B89:E89)</f>
        <v>63</v>
      </c>
      <c r="G89" s="26"/>
    </row>
    <row r="90" spans="1:8" x14ac:dyDescent="0.15">
      <c r="A90" s="8" t="s">
        <v>3</v>
      </c>
      <c r="B90" s="29">
        <v>5</v>
      </c>
      <c r="C90" s="41"/>
      <c r="D90" s="41"/>
      <c r="E90" s="30"/>
      <c r="F90" s="7">
        <f t="shared" si="2"/>
        <v>5</v>
      </c>
      <c r="G90" s="26">
        <v>44714</v>
      </c>
      <c r="H90" s="28"/>
    </row>
    <row r="91" spans="1:8" x14ac:dyDescent="0.15">
      <c r="A91" s="8" t="s">
        <v>43</v>
      </c>
      <c r="B91" s="15">
        <v>1</v>
      </c>
      <c r="C91" s="12">
        <v>-1</v>
      </c>
      <c r="D91" s="12">
        <v>-4</v>
      </c>
      <c r="E91" s="15"/>
      <c r="F91" s="7">
        <f t="shared" si="2"/>
        <v>-4</v>
      </c>
      <c r="G91" s="23">
        <v>44720</v>
      </c>
    </row>
    <row r="92" spans="1:8" x14ac:dyDescent="0.15">
      <c r="A92" s="8" t="s">
        <v>3</v>
      </c>
      <c r="B92" s="15"/>
      <c r="C92" s="12"/>
      <c r="D92" s="12">
        <v>20</v>
      </c>
      <c r="E92" s="15"/>
      <c r="F92" s="7">
        <f t="shared" si="2"/>
        <v>20</v>
      </c>
      <c r="G92" s="23">
        <v>44722</v>
      </c>
    </row>
    <row r="93" spans="1:8" x14ac:dyDescent="0.15">
      <c r="A93" s="8" t="s">
        <v>3</v>
      </c>
      <c r="B93" s="15"/>
      <c r="C93" s="12"/>
      <c r="D93" s="12"/>
      <c r="E93" s="15"/>
      <c r="F93" s="7">
        <f t="shared" si="2"/>
        <v>0</v>
      </c>
      <c r="G93" s="23"/>
    </row>
    <row r="94" spans="1:8" x14ac:dyDescent="0.15">
      <c r="A94" s="8" t="s">
        <v>3</v>
      </c>
      <c r="B94" s="15"/>
      <c r="C94" s="12"/>
      <c r="D94" s="12"/>
      <c r="E94" s="15"/>
      <c r="F94" s="7">
        <f t="shared" si="2"/>
        <v>0</v>
      </c>
      <c r="G94" s="23"/>
    </row>
    <row r="95" spans="1:8" x14ac:dyDescent="0.15">
      <c r="A95" s="8" t="s">
        <v>3</v>
      </c>
      <c r="B95" s="29"/>
      <c r="C95" s="41"/>
      <c r="D95" s="41"/>
      <c r="E95" s="30"/>
      <c r="F95" s="10">
        <f t="shared" si="2"/>
        <v>0</v>
      </c>
      <c r="G95" s="26"/>
    </row>
    <row r="96" spans="1:8" x14ac:dyDescent="0.15">
      <c r="A96" s="8" t="s">
        <v>3</v>
      </c>
      <c r="B96" s="30"/>
      <c r="C96" s="41"/>
      <c r="D96" s="41"/>
      <c r="E96" s="30"/>
      <c r="F96" s="7">
        <f t="shared" si="2"/>
        <v>0</v>
      </c>
      <c r="G96" s="23"/>
    </row>
    <row r="97" spans="1:7" x14ac:dyDescent="0.15">
      <c r="A97" s="8" t="s">
        <v>3</v>
      </c>
      <c r="B97" s="30"/>
      <c r="C97" s="41"/>
      <c r="D97" s="41"/>
      <c r="E97" s="30"/>
      <c r="F97" s="7">
        <f t="shared" si="2"/>
        <v>0</v>
      </c>
      <c r="G97" s="23"/>
    </row>
    <row r="98" spans="1:7" x14ac:dyDescent="0.15">
      <c r="A98" s="8" t="s">
        <v>3</v>
      </c>
      <c r="B98" s="30"/>
      <c r="C98" s="41"/>
      <c r="D98" s="41"/>
      <c r="E98" s="30"/>
      <c r="F98" s="7">
        <f t="shared" si="2"/>
        <v>0</v>
      </c>
      <c r="G98" s="25"/>
    </row>
    <row r="99" spans="1:7" ht="14.25" thickBot="1" x14ac:dyDescent="0.2">
      <c r="A99" s="8" t="s">
        <v>3</v>
      </c>
      <c r="B99" s="31"/>
      <c r="C99" s="40"/>
      <c r="D99" s="39"/>
      <c r="E99" s="31"/>
      <c r="F99" s="17">
        <f t="shared" si="2"/>
        <v>0</v>
      </c>
      <c r="G99" s="23"/>
    </row>
    <row r="100" spans="1:7" ht="14.25" thickBot="1" x14ac:dyDescent="0.2">
      <c r="A100" s="18" t="s">
        <v>4</v>
      </c>
      <c r="B100" s="19">
        <f>SUM(B89:B99)</f>
        <v>12</v>
      </c>
      <c r="C100" s="19">
        <f>SUM(C89:C99)</f>
        <v>30</v>
      </c>
      <c r="D100" s="19">
        <f>SUM(D89:D99)</f>
        <v>42</v>
      </c>
      <c r="E100" s="38">
        <f>SUM(E89:E99)</f>
        <v>0</v>
      </c>
      <c r="F100" s="20">
        <f t="shared" si="2"/>
        <v>84</v>
      </c>
      <c r="G100" s="1"/>
    </row>
    <row r="101" spans="1:7" x14ac:dyDescent="0.15">
      <c r="A101" s="6" t="s">
        <v>10</v>
      </c>
      <c r="B101" s="11"/>
      <c r="C101" s="36">
        <v>1</v>
      </c>
      <c r="D101" s="37"/>
      <c r="E101" s="34"/>
      <c r="F101" s="7">
        <f t="shared" si="2"/>
        <v>1</v>
      </c>
      <c r="G101" s="23">
        <v>44652</v>
      </c>
    </row>
    <row r="102" spans="1:7" x14ac:dyDescent="0.15">
      <c r="A102" s="6" t="s">
        <v>10</v>
      </c>
      <c r="B102" s="11"/>
      <c r="C102" s="36">
        <v>1</v>
      </c>
      <c r="D102" s="36"/>
      <c r="E102" s="34"/>
      <c r="F102" s="7">
        <f t="shared" si="2"/>
        <v>1</v>
      </c>
      <c r="G102" s="23">
        <v>44653</v>
      </c>
    </row>
    <row r="103" spans="1:7" x14ac:dyDescent="0.15">
      <c r="A103" s="6" t="s">
        <v>10</v>
      </c>
      <c r="B103" s="11">
        <v>1</v>
      </c>
      <c r="C103" s="36">
        <v>1</v>
      </c>
      <c r="D103" s="36"/>
      <c r="E103" s="34"/>
      <c r="F103" s="7">
        <f t="shared" si="2"/>
        <v>2</v>
      </c>
      <c r="G103" s="23">
        <v>44656</v>
      </c>
    </row>
    <row r="104" spans="1:7" x14ac:dyDescent="0.15">
      <c r="A104" s="6" t="s">
        <v>10</v>
      </c>
      <c r="B104" s="11"/>
      <c r="C104" s="36"/>
      <c r="D104" s="36">
        <v>1</v>
      </c>
      <c r="E104" s="34"/>
      <c r="F104" s="7">
        <f t="shared" si="2"/>
        <v>1</v>
      </c>
      <c r="G104" s="23">
        <v>44659</v>
      </c>
    </row>
    <row r="105" spans="1:7" x14ac:dyDescent="0.15">
      <c r="A105" s="6" t="s">
        <v>10</v>
      </c>
      <c r="B105" s="11">
        <v>1</v>
      </c>
      <c r="C105" s="36">
        <v>1</v>
      </c>
      <c r="D105" s="36">
        <v>1</v>
      </c>
      <c r="E105" s="34"/>
      <c r="F105" s="7">
        <f t="shared" si="2"/>
        <v>3</v>
      </c>
      <c r="G105" s="23">
        <v>44663</v>
      </c>
    </row>
    <row r="106" spans="1:7" x14ac:dyDescent="0.15">
      <c r="A106" s="6" t="s">
        <v>10</v>
      </c>
      <c r="B106" s="11"/>
      <c r="C106" s="36"/>
      <c r="D106" s="36">
        <v>1</v>
      </c>
      <c r="E106" s="34"/>
      <c r="F106" s="10">
        <f t="shared" si="2"/>
        <v>1</v>
      </c>
      <c r="G106" s="23">
        <v>44664</v>
      </c>
    </row>
    <row r="107" spans="1:7" x14ac:dyDescent="0.15">
      <c r="A107" s="6" t="s">
        <v>10</v>
      </c>
      <c r="B107" s="11">
        <v>1</v>
      </c>
      <c r="C107" s="36"/>
      <c r="D107" s="36"/>
      <c r="E107" s="34"/>
      <c r="F107" s="10">
        <f t="shared" si="2"/>
        <v>1</v>
      </c>
      <c r="G107" s="23">
        <v>44667</v>
      </c>
    </row>
    <row r="108" spans="1:7" x14ac:dyDescent="0.15">
      <c r="A108" s="6" t="s">
        <v>10</v>
      </c>
      <c r="B108" s="11">
        <v>1</v>
      </c>
      <c r="C108" s="36"/>
      <c r="D108" s="36"/>
      <c r="E108" s="34"/>
      <c r="F108" s="10">
        <f t="shared" si="2"/>
        <v>1</v>
      </c>
      <c r="G108" s="23">
        <v>44669</v>
      </c>
    </row>
    <row r="109" spans="1:7" x14ac:dyDescent="0.15">
      <c r="A109" s="6" t="s">
        <v>10</v>
      </c>
      <c r="B109" s="11"/>
      <c r="C109" s="36">
        <v>1</v>
      </c>
      <c r="D109" s="36">
        <f>1+1</f>
        <v>2</v>
      </c>
      <c r="E109" s="34"/>
      <c r="F109" s="10">
        <f t="shared" si="2"/>
        <v>3</v>
      </c>
      <c r="G109" s="23">
        <v>44676</v>
      </c>
    </row>
    <row r="110" spans="1:7" x14ac:dyDescent="0.15">
      <c r="A110" s="6" t="s">
        <v>10</v>
      </c>
      <c r="B110" s="11"/>
      <c r="C110" s="36">
        <v>1</v>
      </c>
      <c r="D110" s="36">
        <v>1</v>
      </c>
      <c r="E110" s="34"/>
      <c r="F110" s="10">
        <f t="shared" si="2"/>
        <v>2</v>
      </c>
      <c r="G110" s="23">
        <v>44679</v>
      </c>
    </row>
    <row r="111" spans="1:7" x14ac:dyDescent="0.15">
      <c r="A111" s="6" t="s">
        <v>10</v>
      </c>
      <c r="B111" s="11"/>
      <c r="C111" s="36">
        <v>1</v>
      </c>
      <c r="D111" s="36"/>
      <c r="E111" s="34"/>
      <c r="F111" s="10">
        <f t="shared" si="2"/>
        <v>1</v>
      </c>
      <c r="G111" s="23">
        <v>44681</v>
      </c>
    </row>
    <row r="112" spans="1:7" x14ac:dyDescent="0.15">
      <c r="A112" s="6" t="s">
        <v>10</v>
      </c>
      <c r="B112" s="11"/>
      <c r="C112" s="36">
        <v>1</v>
      </c>
      <c r="D112" s="36"/>
      <c r="E112" s="34"/>
      <c r="F112" s="10">
        <f t="shared" si="2"/>
        <v>1</v>
      </c>
      <c r="G112" s="23">
        <v>44690</v>
      </c>
    </row>
    <row r="113" spans="1:7" x14ac:dyDescent="0.15">
      <c r="A113" s="6" t="s">
        <v>10</v>
      </c>
      <c r="B113" s="11"/>
      <c r="C113" s="36"/>
      <c r="D113" s="36">
        <v>3</v>
      </c>
      <c r="E113" s="34"/>
      <c r="F113" s="10">
        <f t="shared" si="2"/>
        <v>3</v>
      </c>
      <c r="G113" s="23">
        <v>44691</v>
      </c>
    </row>
    <row r="114" spans="1:7" x14ac:dyDescent="0.15">
      <c r="A114" s="6" t="s">
        <v>10</v>
      </c>
      <c r="B114" s="11"/>
      <c r="C114" s="36">
        <v>2</v>
      </c>
      <c r="D114" s="36">
        <v>1</v>
      </c>
      <c r="E114" s="34"/>
      <c r="F114" s="10">
        <f t="shared" si="2"/>
        <v>3</v>
      </c>
      <c r="G114" s="23">
        <v>44692</v>
      </c>
    </row>
    <row r="115" spans="1:7" x14ac:dyDescent="0.15">
      <c r="A115" s="6" t="s">
        <v>10</v>
      </c>
      <c r="B115" s="11"/>
      <c r="C115" s="36">
        <v>3</v>
      </c>
      <c r="D115" s="36">
        <f>2+1</f>
        <v>3</v>
      </c>
      <c r="E115" s="34"/>
      <c r="F115" s="10">
        <f t="shared" si="2"/>
        <v>6</v>
      </c>
      <c r="G115" s="23">
        <v>44697</v>
      </c>
    </row>
    <row r="116" spans="1:7" x14ac:dyDescent="0.15">
      <c r="A116" s="6" t="s">
        <v>10</v>
      </c>
      <c r="B116" s="11"/>
      <c r="C116" s="36"/>
      <c r="D116" s="36">
        <f>2+1</f>
        <v>3</v>
      </c>
      <c r="E116" s="34"/>
      <c r="F116" s="10">
        <f t="shared" si="2"/>
        <v>3</v>
      </c>
      <c r="G116" s="23">
        <v>44705</v>
      </c>
    </row>
    <row r="117" spans="1:7" x14ac:dyDescent="0.15">
      <c r="A117" s="6" t="s">
        <v>10</v>
      </c>
      <c r="B117" s="11"/>
      <c r="C117" s="36"/>
      <c r="D117" s="36">
        <v>2</v>
      </c>
      <c r="E117" s="34"/>
      <c r="F117" s="10">
        <f t="shared" si="2"/>
        <v>2</v>
      </c>
      <c r="G117" s="23">
        <v>44712</v>
      </c>
    </row>
    <row r="118" spans="1:7" x14ac:dyDescent="0.15">
      <c r="A118" s="6" t="s">
        <v>10</v>
      </c>
      <c r="B118" s="11"/>
      <c r="C118" s="36"/>
      <c r="D118" s="36">
        <v>1</v>
      </c>
      <c r="E118" s="34"/>
      <c r="F118" s="10">
        <f t="shared" si="2"/>
        <v>1</v>
      </c>
      <c r="G118" s="23">
        <v>44715</v>
      </c>
    </row>
    <row r="119" spans="1:7" x14ac:dyDescent="0.15">
      <c r="A119" s="6" t="s">
        <v>10</v>
      </c>
      <c r="B119" s="11"/>
      <c r="C119" s="36">
        <v>2</v>
      </c>
      <c r="D119" s="36">
        <v>3</v>
      </c>
      <c r="E119" s="34"/>
      <c r="F119" s="10">
        <f t="shared" si="2"/>
        <v>5</v>
      </c>
      <c r="G119" s="23">
        <v>44718</v>
      </c>
    </row>
    <row r="120" spans="1:7" x14ac:dyDescent="0.15">
      <c r="A120" s="6" t="s">
        <v>10</v>
      </c>
      <c r="B120" s="11"/>
      <c r="C120" s="36">
        <v>1</v>
      </c>
      <c r="D120" s="36"/>
      <c r="E120" s="34"/>
      <c r="F120" s="10">
        <f t="shared" si="2"/>
        <v>1</v>
      </c>
      <c r="G120" s="23">
        <v>44719</v>
      </c>
    </row>
    <row r="121" spans="1:7" x14ac:dyDescent="0.15">
      <c r="A121" s="6" t="s">
        <v>10</v>
      </c>
      <c r="B121" s="11"/>
      <c r="C121" s="36"/>
      <c r="D121" s="36">
        <v>1</v>
      </c>
      <c r="E121" s="34"/>
      <c r="F121" s="10">
        <f t="shared" si="2"/>
        <v>1</v>
      </c>
      <c r="G121" s="23">
        <v>44720</v>
      </c>
    </row>
    <row r="122" spans="1:7" x14ac:dyDescent="0.15">
      <c r="A122" s="6" t="s">
        <v>44</v>
      </c>
      <c r="B122" s="11">
        <v>1</v>
      </c>
      <c r="C122" s="36">
        <v>-1</v>
      </c>
      <c r="D122" s="36"/>
      <c r="E122" s="34"/>
      <c r="F122" s="10">
        <f t="shared" si="2"/>
        <v>0</v>
      </c>
      <c r="G122" s="23">
        <v>44721</v>
      </c>
    </row>
    <row r="123" spans="1:7" x14ac:dyDescent="0.15">
      <c r="A123" s="6" t="s">
        <v>10</v>
      </c>
      <c r="B123" s="11"/>
      <c r="C123" s="36">
        <v>1</v>
      </c>
      <c r="D123" s="36"/>
      <c r="E123" s="34"/>
      <c r="F123" s="10">
        <f t="shared" si="2"/>
        <v>1</v>
      </c>
      <c r="G123" s="23">
        <v>44722</v>
      </c>
    </row>
    <row r="124" spans="1:7" ht="14.25" thickBot="1" x14ac:dyDescent="0.2">
      <c r="A124" s="6" t="s">
        <v>10</v>
      </c>
      <c r="B124" s="11"/>
      <c r="C124" s="36">
        <v>1</v>
      </c>
      <c r="D124" s="35"/>
      <c r="E124" s="34"/>
      <c r="F124" s="10">
        <f t="shared" si="2"/>
        <v>1</v>
      </c>
      <c r="G124" s="23">
        <v>44725</v>
      </c>
    </row>
    <row r="125" spans="1:7" ht="14.25" thickBot="1" x14ac:dyDescent="0.2">
      <c r="A125" s="5" t="s">
        <v>5</v>
      </c>
      <c r="B125" s="13">
        <f>SUM(B101:B124)</f>
        <v>5</v>
      </c>
      <c r="C125" s="13">
        <f>SUM(C101:C124)</f>
        <v>17</v>
      </c>
      <c r="D125" s="13">
        <f>SUM(D101:D124)</f>
        <v>23</v>
      </c>
      <c r="E125" s="13">
        <f>SUM(E101:E124)</f>
        <v>0</v>
      </c>
      <c r="F125" s="14">
        <f t="shared" si="2"/>
        <v>45</v>
      </c>
      <c r="G125" s="1"/>
    </row>
    <row r="126" spans="1:7" ht="14.25" thickBot="1" x14ac:dyDescent="0.2">
      <c r="A126" s="21" t="s">
        <v>6</v>
      </c>
      <c r="B126" s="22">
        <f>B100-B125</f>
        <v>7</v>
      </c>
      <c r="C126" s="22">
        <f>C100-C125</f>
        <v>13</v>
      </c>
      <c r="D126" s="22">
        <f>D100-D125</f>
        <v>19</v>
      </c>
      <c r="E126" s="22">
        <f>E100-E125</f>
        <v>0</v>
      </c>
      <c r="F126" s="20">
        <f>F100-F125</f>
        <v>39</v>
      </c>
      <c r="G126" s="1"/>
    </row>
    <row r="127" spans="1:7" ht="21" x14ac:dyDescent="0.15">
      <c r="A127" s="32"/>
    </row>
    <row r="128" spans="1:7" ht="19.5" thickBot="1" x14ac:dyDescent="0.25">
      <c r="A128" s="2" t="s">
        <v>32</v>
      </c>
      <c r="B128" s="3"/>
      <c r="C128" s="3"/>
      <c r="D128" s="3"/>
      <c r="E128" s="3"/>
      <c r="F128" s="3"/>
      <c r="G128" s="1">
        <v>810</v>
      </c>
    </row>
    <row r="129" spans="1:7" ht="14.25" thickBot="1" x14ac:dyDescent="0.2">
      <c r="A129" s="4" t="s">
        <v>0</v>
      </c>
      <c r="B129" s="70" t="s">
        <v>15</v>
      </c>
      <c r="C129" s="70"/>
      <c r="D129" s="70"/>
      <c r="E129" s="70"/>
      <c r="F129" s="71"/>
      <c r="G129" s="1"/>
    </row>
    <row r="130" spans="1:7" ht="14.25" thickBot="1" x14ac:dyDescent="0.2">
      <c r="A130" s="4" t="s">
        <v>1</v>
      </c>
      <c r="B130" s="5" t="s">
        <v>14</v>
      </c>
      <c r="C130" s="4" t="s">
        <v>13</v>
      </c>
      <c r="D130" s="4" t="s">
        <v>12</v>
      </c>
      <c r="E130" s="42" t="s">
        <v>11</v>
      </c>
      <c r="F130" s="4" t="s">
        <v>2</v>
      </c>
      <c r="G130" s="1"/>
    </row>
    <row r="131" spans="1:7" x14ac:dyDescent="0.15">
      <c r="A131" s="55" t="s">
        <v>6</v>
      </c>
      <c r="B131" s="52">
        <f>B126</f>
        <v>7</v>
      </c>
      <c r="C131" s="52">
        <f>C126</f>
        <v>13</v>
      </c>
      <c r="D131" s="52">
        <f>D126</f>
        <v>19</v>
      </c>
      <c r="E131" s="52">
        <f>E126</f>
        <v>0</v>
      </c>
      <c r="F131" s="56">
        <f t="shared" ref="F131:F167" si="3">SUM(B131:E131)</f>
        <v>39</v>
      </c>
      <c r="G131" s="26"/>
    </row>
    <row r="132" spans="1:7" x14ac:dyDescent="0.15">
      <c r="A132" s="8" t="s">
        <v>3</v>
      </c>
      <c r="B132" s="29"/>
      <c r="C132" s="41"/>
      <c r="D132" s="41"/>
      <c r="E132" s="30">
        <v>5</v>
      </c>
      <c r="F132" s="7">
        <f t="shared" si="3"/>
        <v>5</v>
      </c>
      <c r="G132" s="26">
        <v>44767</v>
      </c>
    </row>
    <row r="133" spans="1:7" x14ac:dyDescent="0.15">
      <c r="A133" s="8" t="s">
        <v>3</v>
      </c>
      <c r="B133" s="15"/>
      <c r="C133" s="12"/>
      <c r="D133" s="12"/>
      <c r="E133" s="15">
        <v>10</v>
      </c>
      <c r="F133" s="7">
        <f t="shared" si="3"/>
        <v>10</v>
      </c>
      <c r="G133" s="23">
        <v>44775</v>
      </c>
    </row>
    <row r="134" spans="1:7" x14ac:dyDescent="0.15">
      <c r="A134" s="55" t="s">
        <v>48</v>
      </c>
      <c r="B134" s="58">
        <v>0</v>
      </c>
      <c r="C134" s="55">
        <v>0</v>
      </c>
      <c r="D134" s="55">
        <v>0</v>
      </c>
      <c r="E134" s="58">
        <v>0</v>
      </c>
      <c r="F134" s="59">
        <f t="shared" si="3"/>
        <v>0</v>
      </c>
      <c r="G134" s="60">
        <v>44798</v>
      </c>
    </row>
    <row r="135" spans="1:7" x14ac:dyDescent="0.15">
      <c r="A135" s="8" t="s">
        <v>3</v>
      </c>
      <c r="B135" s="15">
        <v>5</v>
      </c>
      <c r="C135" s="12">
        <v>5</v>
      </c>
      <c r="D135" s="12"/>
      <c r="E135" s="15"/>
      <c r="F135" s="7">
        <f t="shared" si="3"/>
        <v>10</v>
      </c>
      <c r="G135" s="23">
        <v>44816</v>
      </c>
    </row>
    <row r="136" spans="1:7" x14ac:dyDescent="0.15">
      <c r="A136" s="8" t="s">
        <v>3</v>
      </c>
      <c r="B136" s="15"/>
      <c r="C136" s="12"/>
      <c r="D136" s="12"/>
      <c r="E136" s="15"/>
      <c r="F136" s="7">
        <f t="shared" si="3"/>
        <v>0</v>
      </c>
      <c r="G136" s="23"/>
    </row>
    <row r="137" spans="1:7" x14ac:dyDescent="0.15">
      <c r="A137" s="8" t="s">
        <v>3</v>
      </c>
      <c r="B137" s="29"/>
      <c r="C137" s="41"/>
      <c r="D137" s="41"/>
      <c r="E137" s="30"/>
      <c r="F137" s="10">
        <f t="shared" si="3"/>
        <v>0</v>
      </c>
      <c r="G137" s="26"/>
    </row>
    <row r="138" spans="1:7" x14ac:dyDescent="0.15">
      <c r="A138" s="8" t="s">
        <v>3</v>
      </c>
      <c r="B138" s="30"/>
      <c r="C138" s="41"/>
      <c r="D138" s="41"/>
      <c r="E138" s="30"/>
      <c r="F138" s="7">
        <f t="shared" si="3"/>
        <v>0</v>
      </c>
      <c r="G138" s="23"/>
    </row>
    <row r="139" spans="1:7" x14ac:dyDescent="0.15">
      <c r="A139" s="8" t="s">
        <v>3</v>
      </c>
      <c r="B139" s="30"/>
      <c r="C139" s="41"/>
      <c r="D139" s="41"/>
      <c r="E139" s="30"/>
      <c r="F139" s="7">
        <f t="shared" si="3"/>
        <v>0</v>
      </c>
      <c r="G139" s="23"/>
    </row>
    <row r="140" spans="1:7" x14ac:dyDescent="0.15">
      <c r="A140" s="8" t="s">
        <v>3</v>
      </c>
      <c r="B140" s="30"/>
      <c r="C140" s="41"/>
      <c r="D140" s="41"/>
      <c r="E140" s="30"/>
      <c r="F140" s="7">
        <f t="shared" si="3"/>
        <v>0</v>
      </c>
      <c r="G140" s="25"/>
    </row>
    <row r="141" spans="1:7" ht="14.25" thickBot="1" x14ac:dyDescent="0.2">
      <c r="A141" s="8" t="s">
        <v>3</v>
      </c>
      <c r="B141" s="31"/>
      <c r="C141" s="40"/>
      <c r="D141" s="39"/>
      <c r="E141" s="31"/>
      <c r="F141" s="17">
        <f t="shared" si="3"/>
        <v>0</v>
      </c>
      <c r="G141" s="23"/>
    </row>
    <row r="142" spans="1:7" ht="14.25" thickBot="1" x14ac:dyDescent="0.2">
      <c r="A142" s="18" t="s">
        <v>4</v>
      </c>
      <c r="B142" s="19">
        <f>SUM(B131:B141)</f>
        <v>12</v>
      </c>
      <c r="C142" s="19">
        <f>SUM(C131:C141)</f>
        <v>18</v>
      </c>
      <c r="D142" s="19">
        <f>SUM(D131:D141)</f>
        <v>19</v>
      </c>
      <c r="E142" s="38">
        <f>SUM(E131:E141)</f>
        <v>15</v>
      </c>
      <c r="F142" s="20">
        <f t="shared" si="3"/>
        <v>64</v>
      </c>
      <c r="G142" s="1"/>
    </row>
    <row r="143" spans="1:7" x14ac:dyDescent="0.15">
      <c r="A143" s="6" t="s">
        <v>10</v>
      </c>
      <c r="B143" s="11"/>
      <c r="C143" s="36"/>
      <c r="D143" s="37">
        <v>2</v>
      </c>
      <c r="E143" s="34"/>
      <c r="F143" s="7">
        <f t="shared" si="3"/>
        <v>2</v>
      </c>
      <c r="G143" s="23">
        <v>44734</v>
      </c>
    </row>
    <row r="144" spans="1:7" x14ac:dyDescent="0.15">
      <c r="A144" s="6" t="s">
        <v>10</v>
      </c>
      <c r="B144" s="11"/>
      <c r="C144" s="36">
        <v>1</v>
      </c>
      <c r="D144" s="36">
        <v>2</v>
      </c>
      <c r="E144" s="34"/>
      <c r="F144" s="7">
        <f t="shared" si="3"/>
        <v>3</v>
      </c>
      <c r="G144" s="23">
        <v>44735</v>
      </c>
    </row>
    <row r="145" spans="1:7" x14ac:dyDescent="0.15">
      <c r="A145" s="6" t="s">
        <v>10</v>
      </c>
      <c r="B145" s="11"/>
      <c r="C145" s="36">
        <v>1</v>
      </c>
      <c r="D145" s="36">
        <v>1</v>
      </c>
      <c r="E145" s="34"/>
      <c r="F145" s="7">
        <f t="shared" si="3"/>
        <v>2</v>
      </c>
      <c r="G145" s="23">
        <v>44739</v>
      </c>
    </row>
    <row r="146" spans="1:7" x14ac:dyDescent="0.15">
      <c r="A146" s="6" t="s">
        <v>10</v>
      </c>
      <c r="B146" s="11">
        <v>2</v>
      </c>
      <c r="C146" s="36"/>
      <c r="D146" s="36"/>
      <c r="E146" s="34"/>
      <c r="F146" s="7">
        <f t="shared" si="3"/>
        <v>2</v>
      </c>
      <c r="G146" s="23">
        <v>44744</v>
      </c>
    </row>
    <row r="147" spans="1:7" x14ac:dyDescent="0.15">
      <c r="A147" s="6" t="s">
        <v>10</v>
      </c>
      <c r="B147" s="11">
        <v>1</v>
      </c>
      <c r="C147" s="36">
        <v>1</v>
      </c>
      <c r="D147" s="36"/>
      <c r="E147" s="34"/>
      <c r="F147" s="7">
        <f t="shared" si="3"/>
        <v>2</v>
      </c>
      <c r="G147" s="23">
        <v>44746</v>
      </c>
    </row>
    <row r="148" spans="1:7" x14ac:dyDescent="0.15">
      <c r="A148" s="6" t="s">
        <v>10</v>
      </c>
      <c r="B148" s="11"/>
      <c r="C148" s="36"/>
      <c r="D148" s="36">
        <v>2</v>
      </c>
      <c r="E148" s="34"/>
      <c r="F148" s="10">
        <f t="shared" si="3"/>
        <v>2</v>
      </c>
      <c r="G148" s="23">
        <v>44748</v>
      </c>
    </row>
    <row r="149" spans="1:7" x14ac:dyDescent="0.15">
      <c r="A149" s="6" t="s">
        <v>10</v>
      </c>
      <c r="B149" s="11"/>
      <c r="C149" s="36">
        <v>1</v>
      </c>
      <c r="D149" s="36"/>
      <c r="E149" s="34"/>
      <c r="F149" s="10">
        <f t="shared" si="3"/>
        <v>1</v>
      </c>
      <c r="G149" s="23">
        <v>44753</v>
      </c>
    </row>
    <row r="150" spans="1:7" x14ac:dyDescent="0.15">
      <c r="A150" s="6" t="s">
        <v>10</v>
      </c>
      <c r="B150" s="11"/>
      <c r="C150" s="36">
        <v>1</v>
      </c>
      <c r="D150" s="36"/>
      <c r="E150" s="34"/>
      <c r="F150" s="10">
        <f t="shared" si="3"/>
        <v>1</v>
      </c>
      <c r="G150" s="23">
        <v>44761</v>
      </c>
    </row>
    <row r="151" spans="1:7" x14ac:dyDescent="0.15">
      <c r="A151" s="6" t="s">
        <v>10</v>
      </c>
      <c r="B151" s="11"/>
      <c r="C151" s="36"/>
      <c r="D151" s="36">
        <v>1</v>
      </c>
      <c r="E151" s="34">
        <v>2</v>
      </c>
      <c r="F151" s="10">
        <f t="shared" si="3"/>
        <v>3</v>
      </c>
      <c r="G151" s="23">
        <v>44771</v>
      </c>
    </row>
    <row r="152" spans="1:7" x14ac:dyDescent="0.15">
      <c r="A152" s="6" t="s">
        <v>10</v>
      </c>
      <c r="B152" s="11"/>
      <c r="C152" s="36"/>
      <c r="D152" s="36"/>
      <c r="E152" s="34">
        <v>2</v>
      </c>
      <c r="F152" s="10">
        <f t="shared" si="3"/>
        <v>2</v>
      </c>
      <c r="G152" s="23">
        <v>44772</v>
      </c>
    </row>
    <row r="153" spans="1:7" x14ac:dyDescent="0.15">
      <c r="A153" s="6" t="s">
        <v>10</v>
      </c>
      <c r="B153" s="11"/>
      <c r="C153" s="36">
        <f>1+1</f>
        <v>2</v>
      </c>
      <c r="D153" s="36"/>
      <c r="E153" s="34"/>
      <c r="F153" s="10">
        <f t="shared" si="3"/>
        <v>2</v>
      </c>
      <c r="G153" s="23">
        <v>44778</v>
      </c>
    </row>
    <row r="154" spans="1:7" x14ac:dyDescent="0.15">
      <c r="A154" s="6" t="s">
        <v>10</v>
      </c>
      <c r="B154" s="11"/>
      <c r="C154" s="36">
        <v>1</v>
      </c>
      <c r="D154" s="36"/>
      <c r="E154" s="34"/>
      <c r="F154" s="10">
        <f t="shared" si="3"/>
        <v>1</v>
      </c>
      <c r="G154" s="23">
        <v>44781</v>
      </c>
    </row>
    <row r="155" spans="1:7" x14ac:dyDescent="0.15">
      <c r="A155" s="6" t="s">
        <v>10</v>
      </c>
      <c r="B155" s="11"/>
      <c r="C155" s="36">
        <v>1</v>
      </c>
      <c r="D155" s="36">
        <f>1+1</f>
        <v>2</v>
      </c>
      <c r="E155" s="34">
        <v>1</v>
      </c>
      <c r="F155" s="10">
        <f t="shared" si="3"/>
        <v>4</v>
      </c>
      <c r="G155" s="23">
        <v>44790</v>
      </c>
    </row>
    <row r="156" spans="1:7" x14ac:dyDescent="0.15">
      <c r="A156" s="6" t="s">
        <v>10</v>
      </c>
      <c r="B156" s="11"/>
      <c r="C156" s="36"/>
      <c r="D156" s="36"/>
      <c r="E156" s="34">
        <v>2</v>
      </c>
      <c r="F156" s="10">
        <f t="shared" si="3"/>
        <v>2</v>
      </c>
      <c r="G156" s="23">
        <v>44795</v>
      </c>
    </row>
    <row r="157" spans="1:7" x14ac:dyDescent="0.15">
      <c r="A157" s="6" t="s">
        <v>10</v>
      </c>
      <c r="B157" s="11"/>
      <c r="C157" s="36"/>
      <c r="D157" s="36">
        <v>1</v>
      </c>
      <c r="E157" s="34"/>
      <c r="F157" s="10">
        <f t="shared" si="3"/>
        <v>1</v>
      </c>
      <c r="G157" s="23">
        <v>44799</v>
      </c>
    </row>
    <row r="158" spans="1:7" x14ac:dyDescent="0.15">
      <c r="A158" s="6" t="s">
        <v>10</v>
      </c>
      <c r="B158" s="11"/>
      <c r="C158" s="36">
        <v>1</v>
      </c>
      <c r="D158" s="36"/>
      <c r="E158" s="34"/>
      <c r="F158" s="10">
        <f t="shared" si="3"/>
        <v>1</v>
      </c>
      <c r="G158" s="23">
        <v>44805</v>
      </c>
    </row>
    <row r="159" spans="1:7" x14ac:dyDescent="0.15">
      <c r="A159" s="6" t="s">
        <v>10</v>
      </c>
      <c r="B159" s="11">
        <v>2</v>
      </c>
      <c r="C159" s="36"/>
      <c r="D159" s="36"/>
      <c r="E159" s="34"/>
      <c r="F159" s="10">
        <f t="shared" si="3"/>
        <v>2</v>
      </c>
      <c r="G159" s="23">
        <v>44809</v>
      </c>
    </row>
    <row r="160" spans="1:7" x14ac:dyDescent="0.15">
      <c r="A160" s="6" t="s">
        <v>10</v>
      </c>
      <c r="B160" s="11"/>
      <c r="C160" s="36"/>
      <c r="D160" s="36">
        <f>1+1</f>
        <v>2</v>
      </c>
      <c r="E160" s="34"/>
      <c r="F160" s="10">
        <f t="shared" si="3"/>
        <v>2</v>
      </c>
      <c r="G160" s="23">
        <v>44810</v>
      </c>
    </row>
    <row r="161" spans="1:8" x14ac:dyDescent="0.15">
      <c r="A161" s="6" t="s">
        <v>10</v>
      </c>
      <c r="B161" s="11">
        <v>2</v>
      </c>
      <c r="C161" s="36"/>
      <c r="D161" s="36"/>
      <c r="E161" s="34"/>
      <c r="F161" s="10">
        <f t="shared" si="3"/>
        <v>2</v>
      </c>
      <c r="G161" s="23">
        <v>44812</v>
      </c>
    </row>
    <row r="162" spans="1:8" x14ac:dyDescent="0.15">
      <c r="A162" s="6" t="s">
        <v>10</v>
      </c>
      <c r="B162" s="11">
        <v>2</v>
      </c>
      <c r="C162" s="36"/>
      <c r="D162" s="36">
        <f>1+2</f>
        <v>3</v>
      </c>
      <c r="E162" s="34">
        <v>2</v>
      </c>
      <c r="F162" s="10">
        <f t="shared" si="3"/>
        <v>7</v>
      </c>
      <c r="G162" s="23">
        <v>44816</v>
      </c>
    </row>
    <row r="163" spans="1:8" x14ac:dyDescent="0.15">
      <c r="A163" s="6" t="s">
        <v>10</v>
      </c>
      <c r="B163" s="11">
        <v>1</v>
      </c>
      <c r="C163" s="36"/>
      <c r="D163" s="36"/>
      <c r="E163" s="34"/>
      <c r="F163" s="10">
        <f t="shared" si="3"/>
        <v>1</v>
      </c>
      <c r="G163" s="23">
        <v>44817</v>
      </c>
    </row>
    <row r="164" spans="1:8" x14ac:dyDescent="0.15">
      <c r="A164" s="6" t="s">
        <v>10</v>
      </c>
      <c r="B164" s="11"/>
      <c r="C164" s="36">
        <v>1</v>
      </c>
      <c r="D164" s="36"/>
      <c r="E164" s="34"/>
      <c r="F164" s="10">
        <f t="shared" si="3"/>
        <v>1</v>
      </c>
      <c r="G164" s="23">
        <v>44819</v>
      </c>
    </row>
    <row r="165" spans="1:8" x14ac:dyDescent="0.15">
      <c r="A165" s="6" t="s">
        <v>10</v>
      </c>
      <c r="B165" s="11"/>
      <c r="C165" s="36">
        <v>1</v>
      </c>
      <c r="D165" s="36"/>
      <c r="E165" s="34">
        <v>2</v>
      </c>
      <c r="F165" s="10">
        <f t="shared" si="3"/>
        <v>3</v>
      </c>
      <c r="G165" s="23">
        <v>44824</v>
      </c>
    </row>
    <row r="166" spans="1:8" ht="14.25" thickBot="1" x14ac:dyDescent="0.2">
      <c r="A166" s="6" t="s">
        <v>10</v>
      </c>
      <c r="B166" s="11"/>
      <c r="C166" s="36"/>
      <c r="D166" s="35">
        <v>1</v>
      </c>
      <c r="E166" s="34"/>
      <c r="F166" s="10">
        <f t="shared" si="3"/>
        <v>1</v>
      </c>
      <c r="G166" s="23">
        <v>44825</v>
      </c>
    </row>
    <row r="167" spans="1:8" ht="14.25" thickBot="1" x14ac:dyDescent="0.2">
      <c r="A167" s="5" t="s">
        <v>5</v>
      </c>
      <c r="B167" s="13">
        <f>SUM(B143:B166)</f>
        <v>10</v>
      </c>
      <c r="C167" s="13">
        <f>SUM(C143:C166)</f>
        <v>12</v>
      </c>
      <c r="D167" s="13">
        <f>SUM(D143:D166)</f>
        <v>17</v>
      </c>
      <c r="E167" s="13">
        <f>SUM(E143:E166)</f>
        <v>11</v>
      </c>
      <c r="F167" s="14">
        <f t="shared" si="3"/>
        <v>50</v>
      </c>
      <c r="G167" s="1"/>
    </row>
    <row r="168" spans="1:8" ht="14.25" thickBot="1" x14ac:dyDescent="0.2">
      <c r="A168" s="21" t="s">
        <v>6</v>
      </c>
      <c r="B168" s="22">
        <f>B142-B167</f>
        <v>2</v>
      </c>
      <c r="C168" s="22">
        <f>C142-C167</f>
        <v>6</v>
      </c>
      <c r="D168" s="22">
        <f>D142-D167</f>
        <v>2</v>
      </c>
      <c r="E168" s="22">
        <f>E142-E167</f>
        <v>4</v>
      </c>
      <c r="F168" s="20">
        <f>F142-F167</f>
        <v>14</v>
      </c>
      <c r="G168" s="1"/>
    </row>
    <row r="169" spans="1:8" ht="21" x14ac:dyDescent="0.15">
      <c r="A169" s="32"/>
    </row>
    <row r="170" spans="1:8" ht="19.5" thickBot="1" x14ac:dyDescent="0.25">
      <c r="A170" s="2" t="s">
        <v>32</v>
      </c>
      <c r="B170" s="3"/>
      <c r="C170" s="3"/>
      <c r="D170" s="3"/>
      <c r="E170" s="3"/>
      <c r="F170" s="3"/>
      <c r="G170" s="1">
        <v>810</v>
      </c>
    </row>
    <row r="171" spans="1:8" ht="14.25" thickBot="1" x14ac:dyDescent="0.2">
      <c r="A171" s="4" t="s">
        <v>0</v>
      </c>
      <c r="B171" s="70" t="s">
        <v>15</v>
      </c>
      <c r="C171" s="70"/>
      <c r="D171" s="70"/>
      <c r="E171" s="70"/>
      <c r="F171" s="71"/>
      <c r="G171" s="1"/>
    </row>
    <row r="172" spans="1:8" ht="14.25" thickBot="1" x14ac:dyDescent="0.2">
      <c r="A172" s="4" t="s">
        <v>1</v>
      </c>
      <c r="B172" s="5" t="s">
        <v>14</v>
      </c>
      <c r="C172" s="4" t="s">
        <v>13</v>
      </c>
      <c r="D172" s="4" t="s">
        <v>12</v>
      </c>
      <c r="E172" s="42" t="s">
        <v>11</v>
      </c>
      <c r="F172" s="4" t="s">
        <v>2</v>
      </c>
      <c r="G172" s="1"/>
    </row>
    <row r="173" spans="1:8" x14ac:dyDescent="0.15">
      <c r="A173" s="55" t="s">
        <v>6</v>
      </c>
      <c r="B173" s="52">
        <f>B168</f>
        <v>2</v>
      </c>
      <c r="C173" s="52">
        <f>C168</f>
        <v>6</v>
      </c>
      <c r="D173" s="52">
        <f>D168</f>
        <v>2</v>
      </c>
      <c r="E173" s="52">
        <f>E168</f>
        <v>4</v>
      </c>
      <c r="F173" s="56">
        <f t="shared" ref="F173:F209" si="4">SUM(B173:E173)</f>
        <v>14</v>
      </c>
      <c r="G173" s="26"/>
    </row>
    <row r="174" spans="1:8" x14ac:dyDescent="0.15">
      <c r="A174" s="8" t="s">
        <v>3</v>
      </c>
      <c r="B174" s="30"/>
      <c r="C174" s="41"/>
      <c r="D174" s="41">
        <v>5</v>
      </c>
      <c r="E174" s="30"/>
      <c r="F174" s="7">
        <f t="shared" ref="F174:F179" si="5">SUM(B174:E174)</f>
        <v>5</v>
      </c>
      <c r="G174" s="23">
        <v>44832</v>
      </c>
    </row>
    <row r="175" spans="1:8" x14ac:dyDescent="0.15">
      <c r="A175" s="8" t="s">
        <v>3</v>
      </c>
      <c r="B175" s="30">
        <v>10</v>
      </c>
      <c r="C175" s="41">
        <v>5</v>
      </c>
      <c r="D175" s="41">
        <v>10</v>
      </c>
      <c r="E175" s="30">
        <v>5</v>
      </c>
      <c r="F175" s="7">
        <f t="shared" si="5"/>
        <v>30</v>
      </c>
      <c r="G175" s="23">
        <v>44847</v>
      </c>
    </row>
    <row r="176" spans="1:8" x14ac:dyDescent="0.15">
      <c r="A176" s="8" t="s">
        <v>3</v>
      </c>
      <c r="B176" s="30"/>
      <c r="C176" s="41"/>
      <c r="D176" s="41">
        <v>5</v>
      </c>
      <c r="E176" s="30"/>
      <c r="F176" s="7">
        <f t="shared" si="5"/>
        <v>5</v>
      </c>
      <c r="G176" s="23">
        <v>44867</v>
      </c>
      <c r="H176" s="28"/>
    </row>
    <row r="177" spans="1:8" x14ac:dyDescent="0.15">
      <c r="A177" s="8" t="s">
        <v>3</v>
      </c>
      <c r="B177" s="30"/>
      <c r="C177" s="41">
        <v>2</v>
      </c>
      <c r="D177" s="41"/>
      <c r="E177" s="30"/>
      <c r="F177" s="7">
        <f t="shared" si="5"/>
        <v>2</v>
      </c>
      <c r="G177" s="23">
        <v>44897</v>
      </c>
      <c r="H177" s="28"/>
    </row>
    <row r="178" spans="1:8" x14ac:dyDescent="0.15">
      <c r="A178" s="8" t="s">
        <v>3</v>
      </c>
      <c r="B178" s="30"/>
      <c r="C178" s="41"/>
      <c r="D178" s="41"/>
      <c r="E178" s="30"/>
      <c r="F178" s="7">
        <f t="shared" si="5"/>
        <v>0</v>
      </c>
      <c r="G178" s="23"/>
    </row>
    <row r="179" spans="1:8" x14ac:dyDescent="0.15">
      <c r="A179" s="8" t="s">
        <v>3</v>
      </c>
      <c r="B179" s="30"/>
      <c r="C179" s="41"/>
      <c r="D179" s="41"/>
      <c r="E179" s="30"/>
      <c r="F179" s="7">
        <f t="shared" si="5"/>
        <v>0</v>
      </c>
      <c r="G179" s="23"/>
    </row>
    <row r="180" spans="1:8" x14ac:dyDescent="0.15">
      <c r="A180" s="8" t="s">
        <v>3</v>
      </c>
      <c r="B180" s="30"/>
      <c r="C180" s="41"/>
      <c r="D180" s="41"/>
      <c r="E180" s="30"/>
      <c r="F180" s="7">
        <f t="shared" si="4"/>
        <v>0</v>
      </c>
      <c r="G180" s="23"/>
    </row>
    <row r="181" spans="1:8" x14ac:dyDescent="0.15">
      <c r="A181" s="8" t="s">
        <v>3</v>
      </c>
      <c r="B181" s="30"/>
      <c r="C181" s="41"/>
      <c r="D181" s="41"/>
      <c r="E181" s="30"/>
      <c r="F181" s="7">
        <f t="shared" si="4"/>
        <v>0</v>
      </c>
      <c r="G181" s="23"/>
    </row>
    <row r="182" spans="1:8" x14ac:dyDescent="0.15">
      <c r="A182" s="8" t="s">
        <v>3</v>
      </c>
      <c r="B182" s="30"/>
      <c r="C182" s="41"/>
      <c r="D182" s="41"/>
      <c r="E182" s="30"/>
      <c r="F182" s="7">
        <f t="shared" si="4"/>
        <v>0</v>
      </c>
      <c r="G182" s="25"/>
    </row>
    <row r="183" spans="1:8" ht="14.25" thickBot="1" x14ac:dyDescent="0.2">
      <c r="A183" s="8" t="s">
        <v>3</v>
      </c>
      <c r="B183" s="31"/>
      <c r="C183" s="40"/>
      <c r="D183" s="39"/>
      <c r="E183" s="31">
        <v>-1</v>
      </c>
      <c r="F183" s="17">
        <f t="shared" si="4"/>
        <v>-1</v>
      </c>
      <c r="G183" s="23"/>
    </row>
    <row r="184" spans="1:8" ht="14.25" thickBot="1" x14ac:dyDescent="0.2">
      <c r="A184" s="18" t="s">
        <v>4</v>
      </c>
      <c r="B184" s="19">
        <f>SUM(B173:B183)</f>
        <v>12</v>
      </c>
      <c r="C184" s="19">
        <f>SUM(C173:C183)</f>
        <v>13</v>
      </c>
      <c r="D184" s="19">
        <f>SUM(D173:D183)</f>
        <v>22</v>
      </c>
      <c r="E184" s="38">
        <f>SUM(E173:E183)</f>
        <v>8</v>
      </c>
      <c r="F184" s="20">
        <f t="shared" si="4"/>
        <v>55</v>
      </c>
      <c r="G184" s="1"/>
    </row>
    <row r="185" spans="1:8" x14ac:dyDescent="0.15">
      <c r="A185" s="6" t="s">
        <v>10</v>
      </c>
      <c r="B185" s="11"/>
      <c r="C185" s="36"/>
      <c r="D185" s="37">
        <v>1</v>
      </c>
      <c r="E185" s="34"/>
      <c r="F185" s="7">
        <f t="shared" si="4"/>
        <v>1</v>
      </c>
      <c r="G185" s="23">
        <v>44830</v>
      </c>
    </row>
    <row r="186" spans="1:8" x14ac:dyDescent="0.15">
      <c r="A186" s="6" t="s">
        <v>10</v>
      </c>
      <c r="B186" s="11">
        <f>1+1</f>
        <v>2</v>
      </c>
      <c r="C186" s="36"/>
      <c r="D186" s="36">
        <f>1+4</f>
        <v>5</v>
      </c>
      <c r="E186" s="34"/>
      <c r="F186" s="7">
        <f t="shared" si="4"/>
        <v>7</v>
      </c>
      <c r="G186" s="23">
        <v>44845</v>
      </c>
    </row>
    <row r="187" spans="1:8" x14ac:dyDescent="0.15">
      <c r="A187" s="6" t="s">
        <v>10</v>
      </c>
      <c r="B187" s="11"/>
      <c r="C187" s="36">
        <v>1</v>
      </c>
      <c r="D187" s="36"/>
      <c r="E187" s="34"/>
      <c r="F187" s="7">
        <f t="shared" si="4"/>
        <v>1</v>
      </c>
      <c r="G187" s="23">
        <v>44846</v>
      </c>
    </row>
    <row r="188" spans="1:8" x14ac:dyDescent="0.15">
      <c r="A188" s="6" t="s">
        <v>10</v>
      </c>
      <c r="B188" s="11">
        <v>1</v>
      </c>
      <c r="C188" s="36"/>
      <c r="D188" s="36"/>
      <c r="E188" s="34"/>
      <c r="F188" s="7">
        <f t="shared" si="4"/>
        <v>1</v>
      </c>
      <c r="G188" s="23">
        <v>44847</v>
      </c>
    </row>
    <row r="189" spans="1:8" x14ac:dyDescent="0.15">
      <c r="A189" s="6" t="s">
        <v>10</v>
      </c>
      <c r="B189" s="11"/>
      <c r="C189" s="36">
        <v>1</v>
      </c>
      <c r="D189" s="36"/>
      <c r="E189" s="34"/>
      <c r="F189" s="7">
        <f t="shared" si="4"/>
        <v>1</v>
      </c>
      <c r="G189" s="23">
        <v>44848</v>
      </c>
    </row>
    <row r="190" spans="1:8" x14ac:dyDescent="0.15">
      <c r="A190" s="6" t="s">
        <v>10</v>
      </c>
      <c r="B190" s="11"/>
      <c r="C190" s="36"/>
      <c r="D190" s="36">
        <v>1</v>
      </c>
      <c r="E190" s="34"/>
      <c r="F190" s="10">
        <f t="shared" si="4"/>
        <v>1</v>
      </c>
      <c r="G190" s="23">
        <v>44851</v>
      </c>
    </row>
    <row r="191" spans="1:8" x14ac:dyDescent="0.15">
      <c r="A191" s="6" t="s">
        <v>10</v>
      </c>
      <c r="B191" s="11"/>
      <c r="C191" s="36"/>
      <c r="D191" s="36">
        <v>3</v>
      </c>
      <c r="E191" s="34"/>
      <c r="F191" s="10">
        <f t="shared" si="4"/>
        <v>3</v>
      </c>
      <c r="G191" s="23">
        <v>44855</v>
      </c>
    </row>
    <row r="192" spans="1:8" x14ac:dyDescent="0.15">
      <c r="A192" s="6" t="s">
        <v>10</v>
      </c>
      <c r="B192" s="11"/>
      <c r="C192" s="36">
        <v>1</v>
      </c>
      <c r="D192" s="36"/>
      <c r="E192" s="34"/>
      <c r="F192" s="10">
        <f t="shared" si="4"/>
        <v>1</v>
      </c>
      <c r="G192" s="23">
        <v>44860</v>
      </c>
    </row>
    <row r="193" spans="1:7" x14ac:dyDescent="0.15">
      <c r="A193" s="6" t="s">
        <v>10</v>
      </c>
      <c r="B193" s="11"/>
      <c r="C193" s="36"/>
      <c r="D193" s="36">
        <v>3</v>
      </c>
      <c r="E193" s="34"/>
      <c r="F193" s="10">
        <f t="shared" si="4"/>
        <v>3</v>
      </c>
      <c r="G193" s="23">
        <v>44865</v>
      </c>
    </row>
    <row r="194" spans="1:7" x14ac:dyDescent="0.15">
      <c r="A194" s="6" t="s">
        <v>10</v>
      </c>
      <c r="B194" s="11"/>
      <c r="C194" s="36">
        <v>1</v>
      </c>
      <c r="D194" s="36"/>
      <c r="E194" s="34">
        <v>1</v>
      </c>
      <c r="F194" s="10">
        <f t="shared" si="4"/>
        <v>2</v>
      </c>
      <c r="G194" s="23">
        <v>44869</v>
      </c>
    </row>
    <row r="195" spans="1:7" x14ac:dyDescent="0.15">
      <c r="A195" s="6" t="s">
        <v>10</v>
      </c>
      <c r="B195" s="11"/>
      <c r="C195" s="36"/>
      <c r="D195" s="36"/>
      <c r="E195" s="34">
        <v>1</v>
      </c>
      <c r="F195" s="10">
        <f t="shared" si="4"/>
        <v>1</v>
      </c>
      <c r="G195" s="23">
        <v>44870</v>
      </c>
    </row>
    <row r="196" spans="1:7" x14ac:dyDescent="0.15">
      <c r="A196" s="6" t="s">
        <v>10</v>
      </c>
      <c r="B196" s="11"/>
      <c r="C196" s="36"/>
      <c r="D196" s="36"/>
      <c r="E196" s="34">
        <v>1</v>
      </c>
      <c r="F196" s="10">
        <f t="shared" si="4"/>
        <v>1</v>
      </c>
      <c r="G196" s="23">
        <v>44875</v>
      </c>
    </row>
    <row r="197" spans="1:7" x14ac:dyDescent="0.15">
      <c r="A197" s="6" t="s">
        <v>10</v>
      </c>
      <c r="B197" s="11"/>
      <c r="C197" s="36"/>
      <c r="D197" s="36"/>
      <c r="E197" s="34">
        <v>1</v>
      </c>
      <c r="F197" s="10">
        <f t="shared" si="4"/>
        <v>1</v>
      </c>
      <c r="G197" s="23">
        <v>44882</v>
      </c>
    </row>
    <row r="198" spans="1:7" x14ac:dyDescent="0.15">
      <c r="A198" s="6" t="s">
        <v>10</v>
      </c>
      <c r="B198" s="11"/>
      <c r="C198" s="36">
        <v>1</v>
      </c>
      <c r="D198" s="36">
        <v>1</v>
      </c>
      <c r="E198" s="34"/>
      <c r="F198" s="10">
        <f t="shared" si="4"/>
        <v>2</v>
      </c>
      <c r="G198" s="23">
        <v>44889</v>
      </c>
    </row>
    <row r="199" spans="1:7" x14ac:dyDescent="0.15">
      <c r="A199" s="6" t="s">
        <v>10</v>
      </c>
      <c r="B199" s="11"/>
      <c r="C199" s="36">
        <v>1</v>
      </c>
      <c r="D199" s="36"/>
      <c r="E199" s="34"/>
      <c r="F199" s="10">
        <f t="shared" si="4"/>
        <v>1</v>
      </c>
      <c r="G199" s="23">
        <v>44893</v>
      </c>
    </row>
    <row r="200" spans="1:7" x14ac:dyDescent="0.15">
      <c r="A200" s="6" t="s">
        <v>10</v>
      </c>
      <c r="B200" s="11"/>
      <c r="C200" s="36">
        <v>1</v>
      </c>
      <c r="D200" s="36"/>
      <c r="E200" s="34"/>
      <c r="F200" s="10">
        <f t="shared" si="4"/>
        <v>1</v>
      </c>
      <c r="G200" s="23">
        <v>44897</v>
      </c>
    </row>
    <row r="201" spans="1:7" x14ac:dyDescent="0.15">
      <c r="A201" s="6" t="s">
        <v>10</v>
      </c>
      <c r="B201" s="11"/>
      <c r="C201" s="36">
        <v>1</v>
      </c>
      <c r="D201" s="36"/>
      <c r="E201" s="34"/>
      <c r="F201" s="10">
        <f t="shared" si="4"/>
        <v>1</v>
      </c>
      <c r="G201" s="23">
        <v>44901</v>
      </c>
    </row>
    <row r="202" spans="1:7" x14ac:dyDescent="0.15">
      <c r="A202" s="6" t="s">
        <v>10</v>
      </c>
      <c r="B202" s="11"/>
      <c r="C202" s="36"/>
      <c r="D202" s="36">
        <v>1</v>
      </c>
      <c r="E202" s="34">
        <v>1</v>
      </c>
      <c r="F202" s="10">
        <f t="shared" si="4"/>
        <v>2</v>
      </c>
      <c r="G202" s="23">
        <v>44907</v>
      </c>
    </row>
    <row r="203" spans="1:7" x14ac:dyDescent="0.15">
      <c r="A203" s="6" t="s">
        <v>10</v>
      </c>
      <c r="B203" s="11"/>
      <c r="C203" s="36"/>
      <c r="D203" s="36"/>
      <c r="E203" s="34">
        <v>1</v>
      </c>
      <c r="F203" s="10">
        <f t="shared" si="4"/>
        <v>1</v>
      </c>
      <c r="G203" s="23">
        <v>44910</v>
      </c>
    </row>
    <row r="204" spans="1:7" x14ac:dyDescent="0.15">
      <c r="A204" s="6" t="s">
        <v>10</v>
      </c>
      <c r="B204" s="11"/>
      <c r="C204" s="36"/>
      <c r="D204" s="36">
        <v>1</v>
      </c>
      <c r="E204" s="34">
        <v>2</v>
      </c>
      <c r="F204" s="10">
        <f t="shared" si="4"/>
        <v>3</v>
      </c>
      <c r="G204" s="23">
        <v>44915</v>
      </c>
    </row>
    <row r="205" spans="1:7" x14ac:dyDescent="0.15">
      <c r="A205" s="6" t="s">
        <v>10</v>
      </c>
      <c r="B205" s="11"/>
      <c r="C205" s="36"/>
      <c r="D205" s="36">
        <v>2</v>
      </c>
      <c r="E205" s="34"/>
      <c r="F205" s="10">
        <f t="shared" si="4"/>
        <v>2</v>
      </c>
      <c r="G205" s="23">
        <v>44921</v>
      </c>
    </row>
    <row r="206" spans="1:7" x14ac:dyDescent="0.15">
      <c r="A206" s="6" t="s">
        <v>10</v>
      </c>
      <c r="B206" s="11"/>
      <c r="C206" s="36">
        <v>1</v>
      </c>
      <c r="D206" s="36"/>
      <c r="E206" s="34"/>
      <c r="F206" s="10">
        <f t="shared" si="4"/>
        <v>1</v>
      </c>
      <c r="G206" s="23">
        <v>44942</v>
      </c>
    </row>
    <row r="207" spans="1:7" x14ac:dyDescent="0.15">
      <c r="A207" s="6" t="s">
        <v>10</v>
      </c>
      <c r="B207" s="11">
        <v>2</v>
      </c>
      <c r="C207" s="36">
        <v>1</v>
      </c>
      <c r="D207" s="36"/>
      <c r="E207" s="34"/>
      <c r="F207" s="10">
        <f t="shared" si="4"/>
        <v>3</v>
      </c>
      <c r="G207" s="23">
        <v>44950</v>
      </c>
    </row>
    <row r="208" spans="1:7" ht="14.25" thickBot="1" x14ac:dyDescent="0.2">
      <c r="A208" s="6" t="s">
        <v>10</v>
      </c>
      <c r="B208" s="11"/>
      <c r="C208" s="36"/>
      <c r="D208" s="35">
        <v>1</v>
      </c>
      <c r="E208" s="34"/>
      <c r="F208" s="10">
        <f t="shared" si="4"/>
        <v>1</v>
      </c>
      <c r="G208" s="23">
        <v>44960</v>
      </c>
    </row>
    <row r="209" spans="1:8" ht="14.25" thickBot="1" x14ac:dyDescent="0.2">
      <c r="A209" s="5" t="s">
        <v>5</v>
      </c>
      <c r="B209" s="13">
        <f>SUM(B185:B208)</f>
        <v>5</v>
      </c>
      <c r="C209" s="13">
        <f>SUM(C185:C208)</f>
        <v>10</v>
      </c>
      <c r="D209" s="13">
        <f>SUM(D185:D208)</f>
        <v>19</v>
      </c>
      <c r="E209" s="13">
        <f>SUM(E185:E208)</f>
        <v>8</v>
      </c>
      <c r="F209" s="14">
        <f t="shared" si="4"/>
        <v>42</v>
      </c>
      <c r="G209" s="1"/>
    </row>
    <row r="210" spans="1:8" ht="14.25" thickBot="1" x14ac:dyDescent="0.2">
      <c r="A210" s="21" t="s">
        <v>6</v>
      </c>
      <c r="B210" s="22">
        <f>B184-B209</f>
        <v>7</v>
      </c>
      <c r="C210" s="22">
        <f>C184-C209</f>
        <v>3</v>
      </c>
      <c r="D210" s="22">
        <f>D184-D209</f>
        <v>3</v>
      </c>
      <c r="E210" s="22">
        <f>E184-E209</f>
        <v>0</v>
      </c>
      <c r="F210" s="20">
        <f>F184-F209</f>
        <v>13</v>
      </c>
      <c r="G210" s="1"/>
    </row>
    <row r="211" spans="1:8" ht="21" x14ac:dyDescent="0.15">
      <c r="A211" s="32"/>
    </row>
    <row r="212" spans="1:8" ht="19.5" thickBot="1" x14ac:dyDescent="0.25">
      <c r="A212" s="2" t="s">
        <v>32</v>
      </c>
      <c r="B212" s="3"/>
      <c r="C212" s="3"/>
      <c r="D212" s="3"/>
      <c r="E212" s="3"/>
      <c r="F212" s="3"/>
      <c r="G212" s="1">
        <v>810</v>
      </c>
    </row>
    <row r="213" spans="1:8" ht="14.25" thickBot="1" x14ac:dyDescent="0.2">
      <c r="A213" s="4" t="s">
        <v>0</v>
      </c>
      <c r="B213" s="70" t="s">
        <v>15</v>
      </c>
      <c r="C213" s="70"/>
      <c r="D213" s="70"/>
      <c r="E213" s="70"/>
      <c r="F213" s="71"/>
      <c r="G213" s="1"/>
    </row>
    <row r="214" spans="1:8" ht="14.25" thickBot="1" x14ac:dyDescent="0.2">
      <c r="A214" s="4" t="s">
        <v>1</v>
      </c>
      <c r="B214" s="5" t="s">
        <v>14</v>
      </c>
      <c r="C214" s="4" t="s">
        <v>13</v>
      </c>
      <c r="D214" s="4" t="s">
        <v>12</v>
      </c>
      <c r="E214" s="42" t="s">
        <v>11</v>
      </c>
      <c r="F214" s="4" t="s">
        <v>2</v>
      </c>
      <c r="G214" s="1"/>
    </row>
    <row r="215" spans="1:8" x14ac:dyDescent="0.15">
      <c r="A215" s="55" t="s">
        <v>6</v>
      </c>
      <c r="B215" s="52">
        <f>B210</f>
        <v>7</v>
      </c>
      <c r="C215" s="52">
        <f>C210</f>
        <v>3</v>
      </c>
      <c r="D215" s="52">
        <f>D210</f>
        <v>3</v>
      </c>
      <c r="E215" s="52">
        <f>E210</f>
        <v>0</v>
      </c>
      <c r="F215" s="56">
        <f t="shared" ref="F215:F251" si="6">SUM(B215:E215)</f>
        <v>13</v>
      </c>
      <c r="G215" s="26"/>
    </row>
    <row r="216" spans="1:8" x14ac:dyDescent="0.15">
      <c r="A216" s="8" t="s">
        <v>3</v>
      </c>
      <c r="B216" s="30"/>
      <c r="C216" s="41"/>
      <c r="D216" s="41"/>
      <c r="E216" s="30"/>
      <c r="F216" s="7">
        <f t="shared" si="6"/>
        <v>0</v>
      </c>
      <c r="G216" s="23"/>
    </row>
    <row r="217" spans="1:8" x14ac:dyDescent="0.15">
      <c r="A217" s="8" t="s">
        <v>43</v>
      </c>
      <c r="B217" s="30">
        <v>0</v>
      </c>
      <c r="C217" s="41"/>
      <c r="D217" s="41"/>
      <c r="E217" s="30"/>
      <c r="F217" s="7">
        <f t="shared" si="6"/>
        <v>0</v>
      </c>
      <c r="G217" s="23">
        <v>45161</v>
      </c>
    </row>
    <row r="218" spans="1:8" x14ac:dyDescent="0.15">
      <c r="A218" s="8" t="s">
        <v>43</v>
      </c>
      <c r="B218" s="30">
        <v>0</v>
      </c>
      <c r="C218" s="41">
        <v>0</v>
      </c>
      <c r="D218" s="41">
        <v>0</v>
      </c>
      <c r="E218" s="30">
        <v>0</v>
      </c>
      <c r="F218" s="7">
        <f t="shared" si="6"/>
        <v>0</v>
      </c>
      <c r="G218" s="23">
        <v>45526</v>
      </c>
      <c r="H218" s="28"/>
    </row>
    <row r="219" spans="1:8" x14ac:dyDescent="0.15">
      <c r="A219" s="8" t="s">
        <v>3</v>
      </c>
      <c r="B219" s="30"/>
      <c r="C219" s="41"/>
      <c r="D219" s="41"/>
      <c r="E219" s="30"/>
      <c r="F219" s="7">
        <f t="shared" si="6"/>
        <v>0</v>
      </c>
      <c r="G219" s="23"/>
      <c r="H219" s="28"/>
    </row>
    <row r="220" spans="1:8" x14ac:dyDescent="0.15">
      <c r="A220" s="8" t="s">
        <v>3</v>
      </c>
      <c r="B220" s="30"/>
      <c r="C220" s="41"/>
      <c r="D220" s="41"/>
      <c r="E220" s="30"/>
      <c r="F220" s="7">
        <f t="shared" si="6"/>
        <v>0</v>
      </c>
      <c r="G220" s="23"/>
    </row>
    <row r="221" spans="1:8" x14ac:dyDescent="0.15">
      <c r="A221" s="8" t="s">
        <v>3</v>
      </c>
      <c r="B221" s="30"/>
      <c r="C221" s="41"/>
      <c r="D221" s="41"/>
      <c r="E221" s="30"/>
      <c r="F221" s="7">
        <f t="shared" si="6"/>
        <v>0</v>
      </c>
      <c r="G221" s="23"/>
    </row>
    <row r="222" spans="1:8" x14ac:dyDescent="0.15">
      <c r="A222" s="8" t="s">
        <v>3</v>
      </c>
      <c r="B222" s="30"/>
      <c r="C222" s="41"/>
      <c r="D222" s="41"/>
      <c r="E222" s="30"/>
      <c r="F222" s="7">
        <f t="shared" si="6"/>
        <v>0</v>
      </c>
      <c r="G222" s="23"/>
    </row>
    <row r="223" spans="1:8" x14ac:dyDescent="0.15">
      <c r="A223" s="8" t="s">
        <v>3</v>
      </c>
      <c r="B223" s="30"/>
      <c r="C223" s="41"/>
      <c r="D223" s="41"/>
      <c r="E223" s="30"/>
      <c r="F223" s="7">
        <f t="shared" si="6"/>
        <v>0</v>
      </c>
      <c r="G223" s="23"/>
    </row>
    <row r="224" spans="1:8" x14ac:dyDescent="0.15">
      <c r="A224" s="8" t="s">
        <v>3</v>
      </c>
      <c r="B224" s="30"/>
      <c r="C224" s="41"/>
      <c r="D224" s="41"/>
      <c r="E224" s="30"/>
      <c r="F224" s="7">
        <f t="shared" si="6"/>
        <v>0</v>
      </c>
      <c r="G224" s="25"/>
    </row>
    <row r="225" spans="1:7" ht="14.25" thickBot="1" x14ac:dyDescent="0.2">
      <c r="A225" s="8" t="s">
        <v>3</v>
      </c>
      <c r="B225" s="31"/>
      <c r="C225" s="40"/>
      <c r="D225" s="39"/>
      <c r="E225" s="31"/>
      <c r="F225" s="17">
        <f t="shared" si="6"/>
        <v>0</v>
      </c>
      <c r="G225" s="23"/>
    </row>
    <row r="226" spans="1:7" ht="14.25" thickBot="1" x14ac:dyDescent="0.2">
      <c r="A226" s="18" t="s">
        <v>4</v>
      </c>
      <c r="B226" s="19">
        <f>SUM(B215:B225)</f>
        <v>7</v>
      </c>
      <c r="C226" s="19">
        <f>SUM(C215:C225)</f>
        <v>3</v>
      </c>
      <c r="D226" s="19">
        <f>SUM(D215:D225)</f>
        <v>3</v>
      </c>
      <c r="E226" s="38">
        <f>SUM(E215:E225)</f>
        <v>0</v>
      </c>
      <c r="F226" s="20">
        <f t="shared" si="6"/>
        <v>13</v>
      </c>
      <c r="G226" s="1"/>
    </row>
    <row r="227" spans="1:7" x14ac:dyDescent="0.15">
      <c r="A227" s="6" t="s">
        <v>10</v>
      </c>
      <c r="B227" s="11"/>
      <c r="C227" s="36">
        <v>1</v>
      </c>
      <c r="D227" s="37"/>
      <c r="E227" s="34"/>
      <c r="F227" s="7">
        <f t="shared" si="6"/>
        <v>1</v>
      </c>
      <c r="G227" s="23">
        <v>44963</v>
      </c>
    </row>
    <row r="228" spans="1:7" x14ac:dyDescent="0.15">
      <c r="A228" s="6" t="s">
        <v>10</v>
      </c>
      <c r="B228" s="11"/>
      <c r="C228" s="36">
        <f>1+1</f>
        <v>2</v>
      </c>
      <c r="D228" s="36">
        <v>2</v>
      </c>
      <c r="E228" s="34"/>
      <c r="F228" s="7">
        <f t="shared" si="6"/>
        <v>4</v>
      </c>
      <c r="G228" s="23">
        <v>44972</v>
      </c>
    </row>
    <row r="229" spans="1:7" x14ac:dyDescent="0.15">
      <c r="A229" s="6" t="s">
        <v>10</v>
      </c>
      <c r="B229" s="11"/>
      <c r="C229" s="36"/>
      <c r="D229" s="36">
        <v>1</v>
      </c>
      <c r="E229" s="34"/>
      <c r="F229" s="7">
        <f t="shared" si="6"/>
        <v>1</v>
      </c>
      <c r="G229" s="23">
        <v>44993</v>
      </c>
    </row>
    <row r="230" spans="1:7" x14ac:dyDescent="0.15">
      <c r="A230" s="6" t="s">
        <v>10</v>
      </c>
      <c r="B230" s="11">
        <v>1</v>
      </c>
      <c r="C230" s="36"/>
      <c r="D230" s="36"/>
      <c r="E230" s="34"/>
      <c r="F230" s="7">
        <f t="shared" si="6"/>
        <v>1</v>
      </c>
      <c r="G230" s="23">
        <v>45007</v>
      </c>
    </row>
    <row r="231" spans="1:7" x14ac:dyDescent="0.15">
      <c r="A231" s="6" t="s">
        <v>10</v>
      </c>
      <c r="B231" s="11">
        <v>1</v>
      </c>
      <c r="C231" s="36"/>
      <c r="D231" s="36"/>
      <c r="E231" s="34"/>
      <c r="F231" s="7">
        <f t="shared" si="6"/>
        <v>1</v>
      </c>
      <c r="G231" s="23">
        <v>45026</v>
      </c>
    </row>
    <row r="232" spans="1:7" x14ac:dyDescent="0.15">
      <c r="A232" s="6" t="s">
        <v>10</v>
      </c>
      <c r="B232" s="11">
        <f>1+1</f>
        <v>2</v>
      </c>
      <c r="C232" s="36"/>
      <c r="D232" s="36"/>
      <c r="E232" s="34"/>
      <c r="F232" s="10">
        <f t="shared" si="6"/>
        <v>2</v>
      </c>
      <c r="G232" s="23">
        <v>45056</v>
      </c>
    </row>
    <row r="233" spans="1:7" x14ac:dyDescent="0.15">
      <c r="A233" s="6" t="s">
        <v>10</v>
      </c>
      <c r="B233" s="11">
        <v>1</v>
      </c>
      <c r="C233" s="36"/>
      <c r="D233" s="36"/>
      <c r="E233" s="34"/>
      <c r="F233" s="10">
        <f t="shared" si="6"/>
        <v>1</v>
      </c>
      <c r="G233" s="23">
        <v>45065</v>
      </c>
    </row>
    <row r="234" spans="1:7" x14ac:dyDescent="0.15">
      <c r="A234" s="6" t="s">
        <v>10</v>
      </c>
      <c r="B234" s="11">
        <v>1</v>
      </c>
      <c r="C234" s="36"/>
      <c r="D234" s="36"/>
      <c r="E234" s="34"/>
      <c r="F234" s="10">
        <f t="shared" si="6"/>
        <v>1</v>
      </c>
      <c r="G234" s="23">
        <v>45105</v>
      </c>
    </row>
    <row r="235" spans="1:7" x14ac:dyDescent="0.15">
      <c r="A235" s="6" t="s">
        <v>43</v>
      </c>
      <c r="B235" s="11">
        <v>0</v>
      </c>
      <c r="C235" s="36">
        <v>0</v>
      </c>
      <c r="D235" s="36">
        <v>0</v>
      </c>
      <c r="E235" s="34">
        <v>0</v>
      </c>
      <c r="F235" s="10">
        <f t="shared" si="6"/>
        <v>0</v>
      </c>
      <c r="G235" s="23">
        <v>45895</v>
      </c>
    </row>
    <row r="236" spans="1:7" x14ac:dyDescent="0.15">
      <c r="A236" s="6" t="s">
        <v>10</v>
      </c>
      <c r="B236" s="11">
        <v>1</v>
      </c>
      <c r="C236" s="36"/>
      <c r="D236" s="36"/>
      <c r="E236" s="34"/>
      <c r="F236" s="10">
        <f t="shared" si="6"/>
        <v>1</v>
      </c>
      <c r="G236" s="23">
        <v>45965</v>
      </c>
    </row>
    <row r="237" spans="1:7" x14ac:dyDescent="0.15">
      <c r="A237" s="6"/>
      <c r="B237" s="11"/>
      <c r="C237" s="36"/>
      <c r="D237" s="36"/>
      <c r="E237" s="34"/>
      <c r="F237" s="10">
        <f t="shared" si="6"/>
        <v>0</v>
      </c>
      <c r="G237" s="23"/>
    </row>
    <row r="238" spans="1:7" x14ac:dyDescent="0.15">
      <c r="A238" s="6"/>
      <c r="B238" s="11"/>
      <c r="C238" s="36"/>
      <c r="D238" s="36"/>
      <c r="E238" s="34"/>
      <c r="F238" s="10">
        <f t="shared" si="6"/>
        <v>0</v>
      </c>
      <c r="G238" s="23"/>
    </row>
    <row r="239" spans="1:7" x14ac:dyDescent="0.15">
      <c r="A239" s="6"/>
      <c r="B239" s="11"/>
      <c r="C239" s="36"/>
      <c r="D239" s="36"/>
      <c r="E239" s="34"/>
      <c r="F239" s="10">
        <f t="shared" si="6"/>
        <v>0</v>
      </c>
      <c r="G239" s="23"/>
    </row>
    <row r="240" spans="1:7" x14ac:dyDescent="0.15">
      <c r="A240" s="6"/>
      <c r="B240" s="11"/>
      <c r="C240" s="36"/>
      <c r="D240" s="36"/>
      <c r="E240" s="34"/>
      <c r="F240" s="10">
        <f t="shared" si="6"/>
        <v>0</v>
      </c>
      <c r="G240" s="23"/>
    </row>
    <row r="241" spans="1:7" x14ac:dyDescent="0.15">
      <c r="A241" s="6"/>
      <c r="B241" s="11"/>
      <c r="C241" s="36"/>
      <c r="D241" s="36"/>
      <c r="E241" s="34"/>
      <c r="F241" s="10">
        <f t="shared" si="6"/>
        <v>0</v>
      </c>
      <c r="G241" s="23"/>
    </row>
    <row r="242" spans="1:7" x14ac:dyDescent="0.15">
      <c r="A242" s="6"/>
      <c r="B242" s="11"/>
      <c r="C242" s="36"/>
      <c r="D242" s="36"/>
      <c r="E242" s="34"/>
      <c r="F242" s="10">
        <f t="shared" si="6"/>
        <v>0</v>
      </c>
      <c r="G242" s="23"/>
    </row>
    <row r="243" spans="1:7" x14ac:dyDescent="0.15">
      <c r="A243" s="6"/>
      <c r="B243" s="11"/>
      <c r="C243" s="36"/>
      <c r="D243" s="36"/>
      <c r="E243" s="34"/>
      <c r="F243" s="10">
        <f t="shared" si="6"/>
        <v>0</v>
      </c>
      <c r="G243" s="23"/>
    </row>
    <row r="244" spans="1:7" x14ac:dyDescent="0.15">
      <c r="A244" s="6"/>
      <c r="B244" s="11"/>
      <c r="C244" s="36"/>
      <c r="D244" s="36"/>
      <c r="E244" s="34"/>
      <c r="F244" s="10">
        <f t="shared" si="6"/>
        <v>0</v>
      </c>
      <c r="G244" s="23"/>
    </row>
    <row r="245" spans="1:7" x14ac:dyDescent="0.15">
      <c r="A245" s="6"/>
      <c r="B245" s="11"/>
      <c r="C245" s="36"/>
      <c r="D245" s="36"/>
      <c r="E245" s="34"/>
      <c r="F245" s="10">
        <f t="shared" si="6"/>
        <v>0</v>
      </c>
      <c r="G245" s="23"/>
    </row>
    <row r="246" spans="1:7" x14ac:dyDescent="0.15">
      <c r="A246" s="6"/>
      <c r="B246" s="11"/>
      <c r="C246" s="36"/>
      <c r="D246" s="36"/>
      <c r="E246" s="34"/>
      <c r="F246" s="10">
        <f t="shared" si="6"/>
        <v>0</v>
      </c>
      <c r="G246" s="23"/>
    </row>
    <row r="247" spans="1:7" x14ac:dyDescent="0.15">
      <c r="A247" s="6"/>
      <c r="B247" s="11"/>
      <c r="C247" s="36"/>
      <c r="D247" s="36"/>
      <c r="E247" s="34"/>
      <c r="F247" s="10">
        <f t="shared" si="6"/>
        <v>0</v>
      </c>
      <c r="G247" s="23"/>
    </row>
    <row r="248" spans="1:7" x14ac:dyDescent="0.15">
      <c r="A248" s="6"/>
      <c r="B248" s="11"/>
      <c r="C248" s="36"/>
      <c r="D248" s="36"/>
      <c r="E248" s="34"/>
      <c r="F248" s="10">
        <f t="shared" si="6"/>
        <v>0</v>
      </c>
      <c r="G248" s="23"/>
    </row>
    <row r="249" spans="1:7" x14ac:dyDescent="0.15">
      <c r="A249" s="6"/>
      <c r="B249" s="11"/>
      <c r="C249" s="36"/>
      <c r="D249" s="36"/>
      <c r="E249" s="34"/>
      <c r="F249" s="10">
        <f t="shared" si="6"/>
        <v>0</v>
      </c>
      <c r="G249" s="23"/>
    </row>
    <row r="250" spans="1:7" ht="14.25" thickBot="1" x14ac:dyDescent="0.2">
      <c r="A250" s="6"/>
      <c r="B250" s="11"/>
      <c r="C250" s="36"/>
      <c r="D250" s="35"/>
      <c r="E250" s="34"/>
      <c r="F250" s="10">
        <f t="shared" si="6"/>
        <v>0</v>
      </c>
      <c r="G250" s="23"/>
    </row>
    <row r="251" spans="1:7" ht="14.25" thickBot="1" x14ac:dyDescent="0.2">
      <c r="A251" s="5" t="s">
        <v>5</v>
      </c>
      <c r="B251" s="13">
        <f>SUM(B227:B250)</f>
        <v>7</v>
      </c>
      <c r="C251" s="13">
        <f>SUM(C227:C250)</f>
        <v>3</v>
      </c>
      <c r="D251" s="13">
        <f>SUM(D227:D250)</f>
        <v>3</v>
      </c>
      <c r="E251" s="13">
        <f>SUM(E227:E250)</f>
        <v>0</v>
      </c>
      <c r="F251" s="14">
        <f t="shared" si="6"/>
        <v>13</v>
      </c>
      <c r="G251" s="1"/>
    </row>
    <row r="252" spans="1:7" ht="14.25" thickBot="1" x14ac:dyDescent="0.2">
      <c r="A252" s="21" t="s">
        <v>6</v>
      </c>
      <c r="B252" s="22">
        <f>B226-B251</f>
        <v>0</v>
      </c>
      <c r="C252" s="22">
        <f>C226-C251</f>
        <v>0</v>
      </c>
      <c r="D252" s="22">
        <f>D226-D251</f>
        <v>0</v>
      </c>
      <c r="E252" s="22">
        <f>E226-E251</f>
        <v>0</v>
      </c>
      <c r="F252" s="20">
        <f>F226-F251</f>
        <v>0</v>
      </c>
      <c r="G252" s="1"/>
    </row>
  </sheetData>
  <mergeCells count="6">
    <mergeCell ref="B213:F213"/>
    <mergeCell ref="B3:F3"/>
    <mergeCell ref="B45:F45"/>
    <mergeCell ref="B87:F87"/>
    <mergeCell ref="B129:F129"/>
    <mergeCell ref="B171:F171"/>
  </mergeCells>
  <phoneticPr fontId="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23"/>
  <sheetViews>
    <sheetView tabSelected="1" topLeftCell="A882" zoomScale="90" zoomScaleNormal="90" workbookViewId="0">
      <selection activeCell="E905" sqref="E905"/>
    </sheetView>
  </sheetViews>
  <sheetFormatPr defaultRowHeight="13.5" x14ac:dyDescent="0.15"/>
  <cols>
    <col min="1" max="1" width="16" customWidth="1"/>
    <col min="2" max="3" width="11.125" customWidth="1"/>
    <col min="4" max="4" width="9" customWidth="1"/>
    <col min="5" max="5" width="10.25" bestFit="1" customWidth="1"/>
  </cols>
  <sheetData>
    <row r="1" spans="1:6" ht="21.75" customHeight="1" x14ac:dyDescent="0.15">
      <c r="A1" s="32"/>
    </row>
    <row r="2" spans="1:6" ht="19.5" thickBot="1" x14ac:dyDescent="0.25">
      <c r="A2" s="2" t="s">
        <v>24</v>
      </c>
      <c r="B2" s="3"/>
      <c r="C2" s="3"/>
      <c r="D2" s="3"/>
      <c r="E2" s="43" t="s">
        <v>33</v>
      </c>
      <c r="F2">
        <v>1596</v>
      </c>
    </row>
    <row r="3" spans="1:6" ht="14.25" thickBot="1" x14ac:dyDescent="0.2">
      <c r="A3" s="4"/>
      <c r="B3" s="5" t="s">
        <v>25</v>
      </c>
      <c r="C3" s="4" t="s">
        <v>26</v>
      </c>
      <c r="D3" s="4" t="s">
        <v>2</v>
      </c>
      <c r="E3" s="1"/>
    </row>
    <row r="4" spans="1:6" ht="14.25" thickBot="1" x14ac:dyDescent="0.2">
      <c r="A4" s="4" t="s">
        <v>7</v>
      </c>
      <c r="B4" s="49">
        <v>5</v>
      </c>
      <c r="C4" s="50">
        <v>5</v>
      </c>
      <c r="D4" s="14">
        <f t="shared" ref="D4:D40" si="0">SUM(B4:C4)</f>
        <v>10</v>
      </c>
      <c r="E4" s="26">
        <v>44489</v>
      </c>
    </row>
    <row r="5" spans="1:6" x14ac:dyDescent="0.15">
      <c r="A5" s="44" t="s">
        <v>3</v>
      </c>
      <c r="B5" s="47">
        <v>5</v>
      </c>
      <c r="C5" s="48"/>
      <c r="D5" s="7">
        <f t="shared" si="0"/>
        <v>5</v>
      </c>
      <c r="E5" s="26">
        <v>44495</v>
      </c>
    </row>
    <row r="6" spans="1:6" x14ac:dyDescent="0.15">
      <c r="A6" s="8" t="s">
        <v>3</v>
      </c>
      <c r="B6" s="15"/>
      <c r="C6" s="12">
        <v>5</v>
      </c>
      <c r="D6" s="7">
        <f t="shared" si="0"/>
        <v>5</v>
      </c>
      <c r="E6" s="23">
        <v>44524</v>
      </c>
      <c r="F6" s="28"/>
    </row>
    <row r="7" spans="1:6" x14ac:dyDescent="0.15">
      <c r="A7" s="8" t="s">
        <v>3</v>
      </c>
      <c r="B7" s="15">
        <v>10</v>
      </c>
      <c r="C7" s="12">
        <v>10</v>
      </c>
      <c r="D7" s="7">
        <f t="shared" si="0"/>
        <v>20</v>
      </c>
      <c r="E7" s="23">
        <v>44532</v>
      </c>
    </row>
    <row r="8" spans="1:6" x14ac:dyDescent="0.15">
      <c r="A8" s="8" t="s">
        <v>3</v>
      </c>
      <c r="B8" s="15"/>
      <c r="C8" s="12"/>
      <c r="D8" s="7">
        <f t="shared" si="0"/>
        <v>0</v>
      </c>
      <c r="E8" s="23"/>
    </row>
    <row r="9" spans="1:6" x14ac:dyDescent="0.15">
      <c r="A9" s="8" t="s">
        <v>3</v>
      </c>
      <c r="B9" s="15"/>
      <c r="C9" s="12"/>
      <c r="D9" s="7">
        <f t="shared" si="0"/>
        <v>0</v>
      </c>
      <c r="E9" s="23"/>
    </row>
    <row r="10" spans="1:6" x14ac:dyDescent="0.15">
      <c r="A10" s="8" t="s">
        <v>3</v>
      </c>
      <c r="B10" s="29"/>
      <c r="C10" s="41"/>
      <c r="D10" s="10">
        <f t="shared" si="0"/>
        <v>0</v>
      </c>
      <c r="E10" s="26"/>
    </row>
    <row r="11" spans="1:6" x14ac:dyDescent="0.15">
      <c r="A11" s="8" t="s">
        <v>3</v>
      </c>
      <c r="B11" s="30"/>
      <c r="C11" s="41"/>
      <c r="D11" s="7">
        <f t="shared" si="0"/>
        <v>0</v>
      </c>
      <c r="E11" s="23"/>
    </row>
    <row r="12" spans="1:6" x14ac:dyDescent="0.15">
      <c r="A12" s="8" t="s">
        <v>3</v>
      </c>
      <c r="B12" s="30"/>
      <c r="C12" s="41"/>
      <c r="D12" s="7">
        <f t="shared" si="0"/>
        <v>0</v>
      </c>
      <c r="E12" s="23"/>
    </row>
    <row r="13" spans="1:6" x14ac:dyDescent="0.15">
      <c r="A13" s="8" t="s">
        <v>3</v>
      </c>
      <c r="B13" s="30"/>
      <c r="C13" s="41"/>
      <c r="D13" s="7">
        <f t="shared" si="0"/>
        <v>0</v>
      </c>
      <c r="E13" s="25"/>
    </row>
    <row r="14" spans="1:6" ht="14.25" thickBot="1" x14ac:dyDescent="0.2">
      <c r="A14" s="9" t="s">
        <v>3</v>
      </c>
      <c r="B14" s="31"/>
      <c r="C14" s="40"/>
      <c r="D14" s="17">
        <f t="shared" si="0"/>
        <v>0</v>
      </c>
      <c r="E14" s="23"/>
    </row>
    <row r="15" spans="1:6" ht="14.25" thickBot="1" x14ac:dyDescent="0.2">
      <c r="A15" s="18" t="s">
        <v>4</v>
      </c>
      <c r="B15" s="19">
        <f>SUM(B4:B14)</f>
        <v>20</v>
      </c>
      <c r="C15" s="19">
        <f>SUM(C4:C14)</f>
        <v>20</v>
      </c>
      <c r="D15" s="20">
        <f t="shared" si="0"/>
        <v>40</v>
      </c>
      <c r="E15" s="1"/>
    </row>
    <row r="16" spans="1:6" x14ac:dyDescent="0.15">
      <c r="A16" s="6" t="s">
        <v>27</v>
      </c>
      <c r="B16" s="11">
        <f>1+1</f>
        <v>2</v>
      </c>
      <c r="C16" s="36"/>
      <c r="D16" s="7">
        <f t="shared" si="0"/>
        <v>2</v>
      </c>
      <c r="E16" s="23">
        <v>44494</v>
      </c>
    </row>
    <row r="17" spans="1:5" x14ac:dyDescent="0.15">
      <c r="A17" s="6" t="s">
        <v>10</v>
      </c>
      <c r="B17" s="11">
        <v>1</v>
      </c>
      <c r="C17" s="36"/>
      <c r="D17" s="7">
        <f t="shared" si="0"/>
        <v>1</v>
      </c>
      <c r="E17" s="23">
        <v>44502</v>
      </c>
    </row>
    <row r="18" spans="1:5" x14ac:dyDescent="0.15">
      <c r="A18" s="6" t="s">
        <v>10</v>
      </c>
      <c r="B18" s="11">
        <v>1</v>
      </c>
      <c r="C18" s="36"/>
      <c r="D18" s="7">
        <f t="shared" si="0"/>
        <v>1</v>
      </c>
      <c r="E18" s="23">
        <v>44504</v>
      </c>
    </row>
    <row r="19" spans="1:5" x14ac:dyDescent="0.15">
      <c r="A19" s="6" t="s">
        <v>10</v>
      </c>
      <c r="B19" s="11"/>
      <c r="C19" s="36">
        <v>1</v>
      </c>
      <c r="D19" s="7">
        <f t="shared" si="0"/>
        <v>1</v>
      </c>
      <c r="E19" s="23">
        <v>44505</v>
      </c>
    </row>
    <row r="20" spans="1:5" x14ac:dyDescent="0.15">
      <c r="A20" s="6" t="s">
        <v>10</v>
      </c>
      <c r="B20" s="11">
        <f>1+1</f>
        <v>2</v>
      </c>
      <c r="C20" s="36">
        <v>1</v>
      </c>
      <c r="D20" s="7">
        <f t="shared" si="0"/>
        <v>3</v>
      </c>
      <c r="E20" s="23">
        <v>44508</v>
      </c>
    </row>
    <row r="21" spans="1:5" x14ac:dyDescent="0.15">
      <c r="A21" s="6" t="s">
        <v>10</v>
      </c>
      <c r="B21" s="11"/>
      <c r="C21" s="36">
        <v>1</v>
      </c>
      <c r="D21" s="10">
        <f t="shared" si="0"/>
        <v>1</v>
      </c>
      <c r="E21" s="23">
        <v>44512</v>
      </c>
    </row>
    <row r="22" spans="1:5" x14ac:dyDescent="0.15">
      <c r="A22" s="6" t="s">
        <v>10</v>
      </c>
      <c r="B22" s="11"/>
      <c r="C22" s="36">
        <v>1</v>
      </c>
      <c r="D22" s="10">
        <f t="shared" si="0"/>
        <v>1</v>
      </c>
      <c r="E22" s="23">
        <v>44515</v>
      </c>
    </row>
    <row r="23" spans="1:5" x14ac:dyDescent="0.15">
      <c r="A23" s="6" t="s">
        <v>10</v>
      </c>
      <c r="B23" s="11"/>
      <c r="C23" s="36">
        <v>1</v>
      </c>
      <c r="D23" s="10">
        <f t="shared" si="0"/>
        <v>1</v>
      </c>
      <c r="E23" s="23">
        <v>44519</v>
      </c>
    </row>
    <row r="24" spans="1:5" x14ac:dyDescent="0.15">
      <c r="A24" s="6" t="s">
        <v>30</v>
      </c>
      <c r="B24" s="11">
        <v>-1</v>
      </c>
      <c r="C24" s="36"/>
      <c r="D24" s="10">
        <f t="shared" si="0"/>
        <v>-1</v>
      </c>
      <c r="E24" s="23">
        <v>44519</v>
      </c>
    </row>
    <row r="25" spans="1:5" x14ac:dyDescent="0.15">
      <c r="A25" s="6" t="s">
        <v>31</v>
      </c>
      <c r="B25" s="11">
        <v>1</v>
      </c>
      <c r="C25" s="36"/>
      <c r="D25" s="10">
        <f t="shared" si="0"/>
        <v>1</v>
      </c>
      <c r="E25" s="23">
        <v>44522</v>
      </c>
    </row>
    <row r="26" spans="1:5" x14ac:dyDescent="0.15">
      <c r="A26" s="6" t="s">
        <v>10</v>
      </c>
      <c r="B26" s="11">
        <v>2</v>
      </c>
      <c r="C26" s="36"/>
      <c r="D26" s="10">
        <f t="shared" si="0"/>
        <v>2</v>
      </c>
      <c r="E26" s="23">
        <v>44522</v>
      </c>
    </row>
    <row r="27" spans="1:5" x14ac:dyDescent="0.15">
      <c r="A27" s="6" t="s">
        <v>10</v>
      </c>
      <c r="B27" s="11">
        <v>1</v>
      </c>
      <c r="C27" s="36">
        <v>1</v>
      </c>
      <c r="D27" s="10">
        <f t="shared" si="0"/>
        <v>2</v>
      </c>
      <c r="E27" s="23">
        <v>44524</v>
      </c>
    </row>
    <row r="28" spans="1:5" x14ac:dyDescent="0.15">
      <c r="A28" s="6" t="s">
        <v>10</v>
      </c>
      <c r="B28" s="11"/>
      <c r="C28" s="36">
        <v>1</v>
      </c>
      <c r="D28" s="10">
        <f t="shared" si="0"/>
        <v>1</v>
      </c>
      <c r="E28" s="23">
        <v>44529</v>
      </c>
    </row>
    <row r="29" spans="1:5" x14ac:dyDescent="0.15">
      <c r="A29" s="6" t="s">
        <v>10</v>
      </c>
      <c r="B29" s="11"/>
      <c r="C29" s="36">
        <v>2</v>
      </c>
      <c r="D29" s="10">
        <f t="shared" si="0"/>
        <v>2</v>
      </c>
      <c r="E29" s="23">
        <v>44530</v>
      </c>
    </row>
    <row r="30" spans="1:5" x14ac:dyDescent="0.15">
      <c r="A30" s="6" t="s">
        <v>10</v>
      </c>
      <c r="B30" s="11">
        <v>1</v>
      </c>
      <c r="C30" s="36">
        <v>1</v>
      </c>
      <c r="D30" s="10">
        <f t="shared" si="0"/>
        <v>2</v>
      </c>
      <c r="E30" s="23">
        <v>44531</v>
      </c>
    </row>
    <row r="31" spans="1:5" x14ac:dyDescent="0.15">
      <c r="A31" s="6" t="s">
        <v>10</v>
      </c>
      <c r="B31" s="11">
        <f>1+2</f>
        <v>3</v>
      </c>
      <c r="C31" s="36"/>
      <c r="D31" s="10">
        <f t="shared" si="0"/>
        <v>3</v>
      </c>
      <c r="E31" s="23">
        <v>44533</v>
      </c>
    </row>
    <row r="32" spans="1:5" x14ac:dyDescent="0.15">
      <c r="A32" s="6" t="s">
        <v>10</v>
      </c>
      <c r="B32" s="11">
        <v>1</v>
      </c>
      <c r="C32" s="36"/>
      <c r="D32" s="10">
        <f t="shared" si="0"/>
        <v>1</v>
      </c>
      <c r="E32" s="23">
        <v>44540</v>
      </c>
    </row>
    <row r="33" spans="1:7" x14ac:dyDescent="0.15">
      <c r="A33" s="6" t="s">
        <v>10</v>
      </c>
      <c r="B33" s="11">
        <v>1</v>
      </c>
      <c r="C33" s="36"/>
      <c r="D33" s="10">
        <f t="shared" si="0"/>
        <v>1</v>
      </c>
      <c r="E33" s="23">
        <v>44545</v>
      </c>
    </row>
    <row r="34" spans="1:7" x14ac:dyDescent="0.15">
      <c r="A34" s="6" t="s">
        <v>10</v>
      </c>
      <c r="B34" s="11"/>
      <c r="C34" s="36">
        <v>1</v>
      </c>
      <c r="D34" s="10">
        <f t="shared" si="0"/>
        <v>1</v>
      </c>
      <c r="E34" s="23">
        <v>44550</v>
      </c>
    </row>
    <row r="35" spans="1:7" x14ac:dyDescent="0.15">
      <c r="A35" s="6" t="s">
        <v>10</v>
      </c>
      <c r="B35" s="11">
        <v>1</v>
      </c>
      <c r="C35" s="36">
        <f>1+1</f>
        <v>2</v>
      </c>
      <c r="D35" s="10">
        <f t="shared" si="0"/>
        <v>3</v>
      </c>
      <c r="E35" s="23">
        <v>44551</v>
      </c>
    </row>
    <row r="36" spans="1:7" x14ac:dyDescent="0.15">
      <c r="A36" s="6" t="s">
        <v>10</v>
      </c>
      <c r="B36" s="11">
        <v>1</v>
      </c>
      <c r="C36" s="36"/>
      <c r="D36" s="10">
        <f t="shared" si="0"/>
        <v>1</v>
      </c>
      <c r="E36" s="23">
        <v>44552</v>
      </c>
    </row>
    <row r="37" spans="1:7" x14ac:dyDescent="0.15">
      <c r="A37" s="6" t="s">
        <v>10</v>
      </c>
      <c r="B37" s="11"/>
      <c r="C37" s="36">
        <v>1</v>
      </c>
      <c r="D37" s="10">
        <f t="shared" si="0"/>
        <v>1</v>
      </c>
      <c r="E37" s="23">
        <v>44553</v>
      </c>
      <c r="F37" s="28"/>
      <c r="G37" s="28"/>
    </row>
    <row r="38" spans="1:7" x14ac:dyDescent="0.15">
      <c r="A38" s="6" t="s">
        <v>10</v>
      </c>
      <c r="B38" s="11">
        <v>2</v>
      </c>
      <c r="C38" s="36">
        <v>1</v>
      </c>
      <c r="D38" s="10">
        <f t="shared" si="0"/>
        <v>3</v>
      </c>
      <c r="E38" s="23">
        <v>44557</v>
      </c>
      <c r="F38" s="28"/>
    </row>
    <row r="39" spans="1:7" ht="14.25" thickBot="1" x14ac:dyDescent="0.2">
      <c r="A39" s="6" t="s">
        <v>10</v>
      </c>
      <c r="B39" s="11"/>
      <c r="C39" s="36">
        <v>1</v>
      </c>
      <c r="D39" s="10">
        <f t="shared" si="0"/>
        <v>1</v>
      </c>
      <c r="E39" s="23">
        <v>44558</v>
      </c>
      <c r="F39" s="28"/>
    </row>
    <row r="40" spans="1:7" ht="14.25" thickBot="1" x14ac:dyDescent="0.2">
      <c r="A40" s="5" t="s">
        <v>5</v>
      </c>
      <c r="B40" s="13">
        <f>SUM(B16:B39)</f>
        <v>19</v>
      </c>
      <c r="C40" s="13">
        <f>SUM(C16:C39)</f>
        <v>16</v>
      </c>
      <c r="D40" s="14">
        <f t="shared" si="0"/>
        <v>35</v>
      </c>
      <c r="E40" s="1"/>
    </row>
    <row r="41" spans="1:7" ht="14.25" thickBot="1" x14ac:dyDescent="0.2">
      <c r="A41" s="21" t="s">
        <v>6</v>
      </c>
      <c r="B41" s="22">
        <f>B15-B40</f>
        <v>1</v>
      </c>
      <c r="C41" s="22">
        <f>C15-C40</f>
        <v>4</v>
      </c>
      <c r="D41" s="20">
        <f>D15-D40</f>
        <v>5</v>
      </c>
      <c r="E41" s="1"/>
    </row>
    <row r="43" spans="1:7" ht="21" x14ac:dyDescent="0.15">
      <c r="A43" s="32"/>
    </row>
    <row r="44" spans="1:7" ht="19.5" thickBot="1" x14ac:dyDescent="0.25">
      <c r="A44" s="2" t="s">
        <v>24</v>
      </c>
      <c r="B44" s="3"/>
      <c r="C44" s="3"/>
      <c r="D44" s="3"/>
      <c r="E44" s="43" t="s">
        <v>33</v>
      </c>
      <c r="F44">
        <v>1596</v>
      </c>
    </row>
    <row r="45" spans="1:7" ht="14.25" thickBot="1" x14ac:dyDescent="0.2">
      <c r="A45" s="4" t="s">
        <v>1</v>
      </c>
      <c r="B45" s="5" t="s">
        <v>25</v>
      </c>
      <c r="C45" s="4" t="s">
        <v>26</v>
      </c>
      <c r="D45" s="4" t="s">
        <v>2</v>
      </c>
      <c r="E45" s="1"/>
    </row>
    <row r="46" spans="1:7" ht="14.25" thickBot="1" x14ac:dyDescent="0.2">
      <c r="A46" s="4" t="s">
        <v>6</v>
      </c>
      <c r="B46" s="45">
        <f>B41</f>
        <v>1</v>
      </c>
      <c r="C46" s="46">
        <f>C41</f>
        <v>4</v>
      </c>
      <c r="D46" s="14">
        <f t="shared" ref="D46:D82" si="1">SUM(B46:C46)</f>
        <v>5</v>
      </c>
      <c r="E46" s="23"/>
    </row>
    <row r="47" spans="1:7" x14ac:dyDescent="0.15">
      <c r="A47" s="44" t="s">
        <v>3</v>
      </c>
      <c r="B47" s="16">
        <v>10</v>
      </c>
      <c r="C47" s="6">
        <v>5</v>
      </c>
      <c r="D47" s="7">
        <f t="shared" si="1"/>
        <v>15</v>
      </c>
      <c r="E47" s="23">
        <v>44202</v>
      </c>
    </row>
    <row r="48" spans="1:7" x14ac:dyDescent="0.15">
      <c r="A48" s="8" t="s">
        <v>3</v>
      </c>
      <c r="B48" s="15">
        <v>5</v>
      </c>
      <c r="C48" s="12">
        <v>5</v>
      </c>
      <c r="D48" s="7">
        <f t="shared" si="1"/>
        <v>10</v>
      </c>
      <c r="E48" s="23">
        <v>44573</v>
      </c>
      <c r="F48" s="28"/>
    </row>
    <row r="49" spans="1:6" x14ac:dyDescent="0.15">
      <c r="A49" s="8" t="s">
        <v>3</v>
      </c>
      <c r="B49" s="15">
        <v>10</v>
      </c>
      <c r="C49" s="12"/>
      <c r="D49" s="7">
        <f t="shared" si="1"/>
        <v>10</v>
      </c>
      <c r="E49" s="23">
        <v>44592</v>
      </c>
      <c r="F49" s="28"/>
    </row>
    <row r="50" spans="1:6" x14ac:dyDescent="0.15">
      <c r="A50" s="8" t="s">
        <v>3</v>
      </c>
      <c r="B50" s="15"/>
      <c r="C50" s="12">
        <v>10</v>
      </c>
      <c r="D50" s="7">
        <f t="shared" si="1"/>
        <v>10</v>
      </c>
      <c r="E50" s="23">
        <v>44595</v>
      </c>
      <c r="F50" s="28"/>
    </row>
    <row r="51" spans="1:6" x14ac:dyDescent="0.15">
      <c r="A51" s="8" t="s">
        <v>3</v>
      </c>
      <c r="B51" s="15">
        <v>20</v>
      </c>
      <c r="C51" s="12"/>
      <c r="D51" s="7">
        <f t="shared" si="1"/>
        <v>20</v>
      </c>
      <c r="E51" s="23">
        <v>44607</v>
      </c>
    </row>
    <row r="52" spans="1:6" x14ac:dyDescent="0.15">
      <c r="A52" s="8" t="s">
        <v>3</v>
      </c>
      <c r="B52" s="30">
        <v>5</v>
      </c>
      <c r="C52" s="41">
        <v>5</v>
      </c>
      <c r="D52" s="7">
        <f t="shared" si="1"/>
        <v>10</v>
      </c>
      <c r="E52" s="23">
        <v>44616</v>
      </c>
    </row>
    <row r="53" spans="1:6" x14ac:dyDescent="0.15">
      <c r="A53" s="8" t="s">
        <v>3</v>
      </c>
      <c r="B53" s="30"/>
      <c r="C53" s="41"/>
      <c r="D53" s="7">
        <f t="shared" si="1"/>
        <v>0</v>
      </c>
      <c r="E53" s="23"/>
    </row>
    <row r="54" spans="1:6" x14ac:dyDescent="0.15">
      <c r="A54" s="8" t="s">
        <v>3</v>
      </c>
      <c r="B54" s="30"/>
      <c r="C54" s="41"/>
      <c r="D54" s="7">
        <f t="shared" si="1"/>
        <v>0</v>
      </c>
      <c r="E54" s="23"/>
    </row>
    <row r="55" spans="1:6" x14ac:dyDescent="0.15">
      <c r="A55" s="8" t="s">
        <v>3</v>
      </c>
      <c r="B55" s="31"/>
      <c r="C55" s="40"/>
      <c r="D55" s="10">
        <f t="shared" si="1"/>
        <v>0</v>
      </c>
      <c r="E55" s="23"/>
    </row>
    <row r="56" spans="1:6" ht="14.25" thickBot="1" x14ac:dyDescent="0.2">
      <c r="A56" s="8" t="s">
        <v>3</v>
      </c>
      <c r="B56" s="31"/>
      <c r="C56" s="40"/>
      <c r="D56" s="17">
        <f t="shared" si="1"/>
        <v>0</v>
      </c>
      <c r="E56" s="23"/>
    </row>
    <row r="57" spans="1:6" ht="14.25" thickBot="1" x14ac:dyDescent="0.2">
      <c r="A57" s="18" t="s">
        <v>4</v>
      </c>
      <c r="B57" s="19">
        <f>SUM(B46:B56)</f>
        <v>51</v>
      </c>
      <c r="C57" s="19">
        <f>SUM(C46:C56)</f>
        <v>29</v>
      </c>
      <c r="D57" s="20">
        <f t="shared" si="1"/>
        <v>80</v>
      </c>
      <c r="E57" s="1"/>
    </row>
    <row r="58" spans="1:6" x14ac:dyDescent="0.15">
      <c r="A58" s="6" t="s">
        <v>10</v>
      </c>
      <c r="B58" s="11">
        <v>1</v>
      </c>
      <c r="C58" s="36">
        <v>1</v>
      </c>
      <c r="D58" s="7">
        <f t="shared" si="1"/>
        <v>2</v>
      </c>
      <c r="E58" s="23">
        <v>44566</v>
      </c>
    </row>
    <row r="59" spans="1:6" x14ac:dyDescent="0.15">
      <c r="A59" s="6" t="s">
        <v>10</v>
      </c>
      <c r="B59" s="11">
        <v>1</v>
      </c>
      <c r="C59" s="36"/>
      <c r="D59" s="7">
        <f t="shared" si="1"/>
        <v>1</v>
      </c>
      <c r="E59" s="23">
        <v>44567</v>
      </c>
    </row>
    <row r="60" spans="1:6" x14ac:dyDescent="0.15">
      <c r="A60" s="6" t="s">
        <v>10</v>
      </c>
      <c r="B60" s="11">
        <f>1+2+1</f>
        <v>4</v>
      </c>
      <c r="C60" s="36">
        <f>1+1+1</f>
        <v>3</v>
      </c>
      <c r="D60" s="7">
        <f t="shared" si="1"/>
        <v>7</v>
      </c>
      <c r="E60" s="23">
        <v>44572</v>
      </c>
    </row>
    <row r="61" spans="1:6" x14ac:dyDescent="0.15">
      <c r="A61" s="6" t="s">
        <v>10</v>
      </c>
      <c r="B61" s="11">
        <f>1+1</f>
        <v>2</v>
      </c>
      <c r="C61" s="36"/>
      <c r="D61" s="7">
        <f t="shared" si="1"/>
        <v>2</v>
      </c>
      <c r="E61" s="23">
        <v>44574</v>
      </c>
    </row>
    <row r="62" spans="1:6" x14ac:dyDescent="0.15">
      <c r="A62" s="6" t="s">
        <v>10</v>
      </c>
      <c r="B62" s="11">
        <v>1</v>
      </c>
      <c r="C62" s="36"/>
      <c r="D62" s="7">
        <f t="shared" si="1"/>
        <v>1</v>
      </c>
      <c r="E62" s="23">
        <v>44576</v>
      </c>
    </row>
    <row r="63" spans="1:6" x14ac:dyDescent="0.15">
      <c r="A63" s="6" t="s">
        <v>10</v>
      </c>
      <c r="B63" s="11"/>
      <c r="C63" s="36">
        <v>1</v>
      </c>
      <c r="D63" s="10">
        <f t="shared" si="1"/>
        <v>1</v>
      </c>
      <c r="E63" s="23">
        <v>44578</v>
      </c>
    </row>
    <row r="64" spans="1:6" x14ac:dyDescent="0.15">
      <c r="A64" s="6" t="s">
        <v>10</v>
      </c>
      <c r="B64" s="11">
        <v>2</v>
      </c>
      <c r="C64" s="36"/>
      <c r="D64" s="10">
        <f t="shared" si="1"/>
        <v>2</v>
      </c>
      <c r="E64" s="23">
        <v>44580</v>
      </c>
    </row>
    <row r="65" spans="1:6" x14ac:dyDescent="0.15">
      <c r="A65" s="6" t="s">
        <v>10</v>
      </c>
      <c r="B65" s="11">
        <v>1</v>
      </c>
      <c r="C65" s="36"/>
      <c r="D65" s="10">
        <f t="shared" si="1"/>
        <v>1</v>
      </c>
      <c r="E65" s="23">
        <v>44581</v>
      </c>
    </row>
    <row r="66" spans="1:6" x14ac:dyDescent="0.15">
      <c r="A66" s="6" t="s">
        <v>10</v>
      </c>
      <c r="B66" s="11">
        <f>1+1</f>
        <v>2</v>
      </c>
      <c r="C66" s="36"/>
      <c r="D66" s="10">
        <f t="shared" si="1"/>
        <v>2</v>
      </c>
      <c r="E66" s="23">
        <v>44585</v>
      </c>
    </row>
    <row r="67" spans="1:6" x14ac:dyDescent="0.15">
      <c r="A67" s="6" t="s">
        <v>10</v>
      </c>
      <c r="B67" s="11"/>
      <c r="C67" s="36">
        <v>1</v>
      </c>
      <c r="D67" s="10">
        <f t="shared" si="1"/>
        <v>1</v>
      </c>
      <c r="E67" s="23">
        <v>44587</v>
      </c>
    </row>
    <row r="68" spans="1:6" x14ac:dyDescent="0.15">
      <c r="A68" s="6" t="s">
        <v>10</v>
      </c>
      <c r="B68" s="11"/>
      <c r="C68" s="36">
        <v>2</v>
      </c>
      <c r="D68" s="10">
        <f t="shared" si="1"/>
        <v>2</v>
      </c>
      <c r="E68" s="23">
        <v>44589</v>
      </c>
    </row>
    <row r="69" spans="1:6" x14ac:dyDescent="0.15">
      <c r="A69" s="6" t="s">
        <v>10</v>
      </c>
      <c r="B69" s="11">
        <v>1</v>
      </c>
      <c r="C69" s="36">
        <v>1</v>
      </c>
      <c r="D69" s="10">
        <f t="shared" si="1"/>
        <v>2</v>
      </c>
      <c r="E69" s="23">
        <v>44592</v>
      </c>
    </row>
    <row r="70" spans="1:6" x14ac:dyDescent="0.15">
      <c r="A70" s="6" t="s">
        <v>10</v>
      </c>
      <c r="B70" s="11"/>
      <c r="C70" s="36">
        <v>1</v>
      </c>
      <c r="D70" s="10">
        <f t="shared" si="1"/>
        <v>1</v>
      </c>
      <c r="E70" s="23">
        <v>44593</v>
      </c>
    </row>
    <row r="71" spans="1:6" x14ac:dyDescent="0.15">
      <c r="A71" s="6" t="s">
        <v>35</v>
      </c>
      <c r="B71" s="11">
        <v>2</v>
      </c>
      <c r="C71" s="36">
        <v>2</v>
      </c>
      <c r="D71" s="10">
        <f t="shared" si="1"/>
        <v>4</v>
      </c>
      <c r="E71" s="23">
        <v>44594</v>
      </c>
    </row>
    <row r="72" spans="1:6" x14ac:dyDescent="0.15">
      <c r="A72" s="6" t="s">
        <v>10</v>
      </c>
      <c r="B72" s="11">
        <v>2</v>
      </c>
      <c r="C72" s="36"/>
      <c r="D72" s="10">
        <f t="shared" si="1"/>
        <v>2</v>
      </c>
      <c r="E72" s="23">
        <v>44595</v>
      </c>
    </row>
    <row r="73" spans="1:6" x14ac:dyDescent="0.15">
      <c r="A73" s="6" t="s">
        <v>10</v>
      </c>
      <c r="B73" s="11"/>
      <c r="C73" s="36">
        <v>1</v>
      </c>
      <c r="D73" s="10">
        <f t="shared" si="1"/>
        <v>1</v>
      </c>
      <c r="E73" s="23">
        <v>44596</v>
      </c>
      <c r="F73" s="28"/>
    </row>
    <row r="74" spans="1:6" x14ac:dyDescent="0.15">
      <c r="A74" s="6" t="s">
        <v>37</v>
      </c>
      <c r="B74" s="11">
        <v>3</v>
      </c>
      <c r="C74" s="36"/>
      <c r="D74" s="10">
        <f t="shared" si="1"/>
        <v>3</v>
      </c>
      <c r="E74" s="23">
        <v>44600</v>
      </c>
      <c r="F74" s="28"/>
    </row>
    <row r="75" spans="1:6" x14ac:dyDescent="0.15">
      <c r="A75" s="6" t="s">
        <v>10</v>
      </c>
      <c r="B75" s="11">
        <f>1+1</f>
        <v>2</v>
      </c>
      <c r="C75" s="36"/>
      <c r="D75" s="10">
        <f t="shared" si="1"/>
        <v>2</v>
      </c>
      <c r="E75" s="23">
        <v>44599</v>
      </c>
    </row>
    <row r="76" spans="1:6" x14ac:dyDescent="0.15">
      <c r="A76" s="6" t="s">
        <v>35</v>
      </c>
      <c r="B76" s="11">
        <v>2</v>
      </c>
      <c r="C76" s="36">
        <v>2</v>
      </c>
      <c r="D76" s="10">
        <f t="shared" si="1"/>
        <v>4</v>
      </c>
      <c r="E76" s="23">
        <v>44608</v>
      </c>
    </row>
    <row r="77" spans="1:6" x14ac:dyDescent="0.15">
      <c r="A77" s="6" t="s">
        <v>10</v>
      </c>
      <c r="B77" s="11"/>
      <c r="C77" s="36">
        <v>1</v>
      </c>
      <c r="D77" s="10">
        <f t="shared" si="1"/>
        <v>1</v>
      </c>
      <c r="E77" s="23">
        <v>44609</v>
      </c>
    </row>
    <row r="78" spans="1:6" x14ac:dyDescent="0.15">
      <c r="A78" s="6" t="s">
        <v>38</v>
      </c>
      <c r="B78" s="11">
        <v>4</v>
      </c>
      <c r="C78" s="36">
        <v>2</v>
      </c>
      <c r="D78" s="10">
        <f t="shared" si="1"/>
        <v>6</v>
      </c>
      <c r="E78" s="23">
        <v>44611</v>
      </c>
    </row>
    <row r="79" spans="1:6" x14ac:dyDescent="0.15">
      <c r="A79" s="6" t="s">
        <v>10</v>
      </c>
      <c r="B79" s="11">
        <v>1</v>
      </c>
      <c r="C79" s="36">
        <v>1</v>
      </c>
      <c r="D79" s="10">
        <f t="shared" si="1"/>
        <v>2</v>
      </c>
      <c r="E79" s="25">
        <v>44613</v>
      </c>
    </row>
    <row r="80" spans="1:6" x14ac:dyDescent="0.15">
      <c r="A80" s="6" t="s">
        <v>10</v>
      </c>
      <c r="B80" s="11">
        <v>1</v>
      </c>
      <c r="C80" s="36"/>
      <c r="D80" s="10">
        <f t="shared" si="1"/>
        <v>1</v>
      </c>
      <c r="E80" s="23">
        <v>44616</v>
      </c>
    </row>
    <row r="81" spans="1:6" ht="14.25" thickBot="1" x14ac:dyDescent="0.2">
      <c r="A81" s="6" t="s">
        <v>10</v>
      </c>
      <c r="B81" s="11">
        <f>2+1</f>
        <v>3</v>
      </c>
      <c r="C81" s="36">
        <v>1</v>
      </c>
      <c r="D81" s="10">
        <f t="shared" si="1"/>
        <v>4</v>
      </c>
      <c r="E81" s="23">
        <v>44617</v>
      </c>
    </row>
    <row r="82" spans="1:6" ht="14.25" thickBot="1" x14ac:dyDescent="0.2">
      <c r="A82" s="5" t="s">
        <v>5</v>
      </c>
      <c r="B82" s="13">
        <f>SUM(B58:B81)</f>
        <v>35</v>
      </c>
      <c r="C82" s="13">
        <f>SUM(C58:C81)</f>
        <v>20</v>
      </c>
      <c r="D82" s="14">
        <f t="shared" si="1"/>
        <v>55</v>
      </c>
      <c r="E82" s="1"/>
    </row>
    <row r="83" spans="1:6" ht="14.25" thickBot="1" x14ac:dyDescent="0.2">
      <c r="A83" s="21" t="s">
        <v>6</v>
      </c>
      <c r="B83" s="22">
        <f>B57-B82</f>
        <v>16</v>
      </c>
      <c r="C83" s="22">
        <f>C57-C82</f>
        <v>9</v>
      </c>
      <c r="D83" s="20">
        <f>D57-D82</f>
        <v>25</v>
      </c>
      <c r="E83" s="1"/>
    </row>
    <row r="85" spans="1:6" ht="21" x14ac:dyDescent="0.15">
      <c r="A85" s="32"/>
    </row>
    <row r="86" spans="1:6" ht="19.5" thickBot="1" x14ac:dyDescent="0.25">
      <c r="A86" s="2" t="s">
        <v>24</v>
      </c>
      <c r="B86" s="3"/>
      <c r="C86" s="3"/>
      <c r="D86" s="3"/>
      <c r="E86" s="43" t="s">
        <v>33</v>
      </c>
      <c r="F86">
        <v>1596</v>
      </c>
    </row>
    <row r="87" spans="1:6" ht="14.25" thickBot="1" x14ac:dyDescent="0.2">
      <c r="A87" s="4" t="s">
        <v>1</v>
      </c>
      <c r="B87" s="5" t="s">
        <v>25</v>
      </c>
      <c r="C87" s="4" t="s">
        <v>26</v>
      </c>
      <c r="D87" s="4" t="s">
        <v>2</v>
      </c>
      <c r="E87" s="1"/>
    </row>
    <row r="88" spans="1:6" ht="14.25" thickBot="1" x14ac:dyDescent="0.2">
      <c r="A88" s="4" t="s">
        <v>6</v>
      </c>
      <c r="B88" s="45">
        <f>B83</f>
        <v>16</v>
      </c>
      <c r="C88" s="46">
        <f>C83</f>
        <v>9</v>
      </c>
      <c r="D88" s="14">
        <f t="shared" ref="D88:D124" si="2">SUM(B88:C88)</f>
        <v>25</v>
      </c>
      <c r="E88" s="23"/>
    </row>
    <row r="89" spans="1:6" x14ac:dyDescent="0.15">
      <c r="A89" s="44" t="s">
        <v>3</v>
      </c>
      <c r="B89" s="16">
        <v>20</v>
      </c>
      <c r="C89" s="6">
        <v>10</v>
      </c>
      <c r="D89" s="7">
        <f t="shared" si="2"/>
        <v>30</v>
      </c>
      <c r="E89" s="23">
        <v>44630</v>
      </c>
    </row>
    <row r="90" spans="1:6" x14ac:dyDescent="0.15">
      <c r="A90" s="8" t="s">
        <v>3</v>
      </c>
      <c r="B90" s="15">
        <v>20</v>
      </c>
      <c r="C90" s="12"/>
      <c r="D90" s="7">
        <f t="shared" si="2"/>
        <v>20</v>
      </c>
      <c r="E90" s="23">
        <v>44650</v>
      </c>
      <c r="F90" s="28"/>
    </row>
    <row r="91" spans="1:6" x14ac:dyDescent="0.15">
      <c r="A91" s="8" t="s">
        <v>3</v>
      </c>
      <c r="B91" s="15"/>
      <c r="C91" s="12">
        <v>5</v>
      </c>
      <c r="D91" s="7">
        <f t="shared" si="2"/>
        <v>5</v>
      </c>
      <c r="E91" s="23">
        <v>44656</v>
      </c>
      <c r="F91" s="28"/>
    </row>
    <row r="92" spans="1:6" x14ac:dyDescent="0.15">
      <c r="A92" s="8" t="s">
        <v>3</v>
      </c>
      <c r="B92" s="15"/>
      <c r="C92" s="12">
        <v>5</v>
      </c>
      <c r="D92" s="7">
        <f t="shared" si="2"/>
        <v>5</v>
      </c>
      <c r="E92" s="23">
        <v>44656</v>
      </c>
      <c r="F92" s="28"/>
    </row>
    <row r="93" spans="1:6" x14ac:dyDescent="0.15">
      <c r="A93" s="8" t="s">
        <v>3</v>
      </c>
      <c r="B93" s="15">
        <v>20</v>
      </c>
      <c r="C93" s="12">
        <v>10</v>
      </c>
      <c r="D93" s="7">
        <f t="shared" si="2"/>
        <v>30</v>
      </c>
      <c r="E93" s="23">
        <v>44691</v>
      </c>
    </row>
    <row r="94" spans="1:6" x14ac:dyDescent="0.15">
      <c r="A94" s="8" t="s">
        <v>3</v>
      </c>
      <c r="B94" s="30"/>
      <c r="C94" s="41"/>
      <c r="D94" s="7">
        <f t="shared" si="2"/>
        <v>0</v>
      </c>
      <c r="E94" s="23"/>
    </row>
    <row r="95" spans="1:6" x14ac:dyDescent="0.15">
      <c r="A95" s="8" t="s">
        <v>3</v>
      </c>
      <c r="B95" s="30"/>
      <c r="C95" s="41"/>
      <c r="D95" s="7">
        <f t="shared" si="2"/>
        <v>0</v>
      </c>
      <c r="E95" s="23"/>
    </row>
    <row r="96" spans="1:6" x14ac:dyDescent="0.15">
      <c r="A96" s="8" t="s">
        <v>3</v>
      </c>
      <c r="B96" s="30"/>
      <c r="C96" s="41"/>
      <c r="D96" s="7">
        <f t="shared" si="2"/>
        <v>0</v>
      </c>
      <c r="E96" s="23"/>
    </row>
    <row r="97" spans="1:6" x14ac:dyDescent="0.15">
      <c r="A97" s="8" t="s">
        <v>3</v>
      </c>
      <c r="B97" s="31"/>
      <c r="C97" s="40"/>
      <c r="D97" s="10">
        <f t="shared" si="2"/>
        <v>0</v>
      </c>
      <c r="E97" s="23"/>
    </row>
    <row r="98" spans="1:6" ht="14.25" thickBot="1" x14ac:dyDescent="0.2">
      <c r="A98" s="8" t="s">
        <v>3</v>
      </c>
      <c r="B98" s="31"/>
      <c r="C98" s="40"/>
      <c r="D98" s="17">
        <f t="shared" si="2"/>
        <v>0</v>
      </c>
      <c r="E98" s="23"/>
    </row>
    <row r="99" spans="1:6" ht="14.25" thickBot="1" x14ac:dyDescent="0.2">
      <c r="A99" s="18" t="s">
        <v>4</v>
      </c>
      <c r="B99" s="19">
        <f>SUM(B88:B98)</f>
        <v>76</v>
      </c>
      <c r="C99" s="19">
        <f>SUM(C88:C98)</f>
        <v>39</v>
      </c>
      <c r="D99" s="20">
        <f t="shared" si="2"/>
        <v>115</v>
      </c>
      <c r="E99" s="1"/>
    </row>
    <row r="100" spans="1:6" x14ac:dyDescent="0.15">
      <c r="A100" s="6" t="s">
        <v>35</v>
      </c>
      <c r="B100" s="11">
        <v>5</v>
      </c>
      <c r="C100" s="36">
        <v>1</v>
      </c>
      <c r="D100" s="7">
        <f t="shared" si="2"/>
        <v>6</v>
      </c>
      <c r="E100" s="23">
        <v>44623</v>
      </c>
    </row>
    <row r="101" spans="1:6" x14ac:dyDescent="0.15">
      <c r="A101" s="6" t="s">
        <v>10</v>
      </c>
      <c r="B101" s="11">
        <f>1+1</f>
        <v>2</v>
      </c>
      <c r="C101" s="36">
        <v>1</v>
      </c>
      <c r="D101" s="7">
        <f t="shared" si="2"/>
        <v>3</v>
      </c>
      <c r="E101" s="23">
        <v>44625</v>
      </c>
    </row>
    <row r="102" spans="1:6" x14ac:dyDescent="0.15">
      <c r="A102" s="6" t="s">
        <v>10</v>
      </c>
      <c r="B102" s="11">
        <f>1+2</f>
        <v>3</v>
      </c>
      <c r="C102" s="36">
        <v>1</v>
      </c>
      <c r="D102" s="7">
        <f t="shared" si="2"/>
        <v>4</v>
      </c>
      <c r="E102" s="23">
        <v>44627</v>
      </c>
    </row>
    <row r="103" spans="1:6" x14ac:dyDescent="0.15">
      <c r="A103" s="6" t="s">
        <v>35</v>
      </c>
      <c r="B103" s="11">
        <v>4</v>
      </c>
      <c r="C103" s="36">
        <v>4</v>
      </c>
      <c r="D103" s="7">
        <f t="shared" si="2"/>
        <v>8</v>
      </c>
      <c r="E103" s="23">
        <v>44630</v>
      </c>
    </row>
    <row r="104" spans="1:6" x14ac:dyDescent="0.15">
      <c r="A104" s="6" t="s">
        <v>10</v>
      </c>
      <c r="B104" s="11">
        <v>1</v>
      </c>
      <c r="C104" s="36"/>
      <c r="D104" s="7">
        <f t="shared" si="2"/>
        <v>1</v>
      </c>
      <c r="E104" s="23">
        <v>44630</v>
      </c>
    </row>
    <row r="105" spans="1:6" x14ac:dyDescent="0.15">
      <c r="A105" s="6" t="s">
        <v>10</v>
      </c>
      <c r="B105" s="11">
        <v>1</v>
      </c>
      <c r="C105" s="36"/>
      <c r="D105" s="10">
        <f t="shared" si="2"/>
        <v>1</v>
      </c>
      <c r="E105" s="23">
        <v>44631</v>
      </c>
    </row>
    <row r="106" spans="1:6" x14ac:dyDescent="0.15">
      <c r="A106" s="6" t="s">
        <v>10</v>
      </c>
      <c r="B106" s="11"/>
      <c r="C106" s="36">
        <v>1</v>
      </c>
      <c r="D106" s="10">
        <f t="shared" si="2"/>
        <v>1</v>
      </c>
      <c r="E106" s="23">
        <v>44636</v>
      </c>
      <c r="F106" s="28"/>
    </row>
    <row r="107" spans="1:6" x14ac:dyDescent="0.15">
      <c r="A107" s="6" t="s">
        <v>35</v>
      </c>
      <c r="B107" s="11">
        <v>4</v>
      </c>
      <c r="C107" s="36">
        <v>2</v>
      </c>
      <c r="D107" s="10">
        <f t="shared" si="2"/>
        <v>6</v>
      </c>
      <c r="E107" s="23">
        <v>44638</v>
      </c>
      <c r="F107" s="28"/>
    </row>
    <row r="108" spans="1:6" x14ac:dyDescent="0.15">
      <c r="A108" s="6" t="s">
        <v>10</v>
      </c>
      <c r="B108" s="11">
        <v>2</v>
      </c>
      <c r="C108" s="36"/>
      <c r="D108" s="10">
        <f t="shared" si="2"/>
        <v>2</v>
      </c>
      <c r="E108" s="23">
        <v>44642</v>
      </c>
    </row>
    <row r="109" spans="1:6" x14ac:dyDescent="0.15">
      <c r="A109" s="6" t="s">
        <v>35</v>
      </c>
      <c r="B109" s="11">
        <v>4</v>
      </c>
      <c r="C109" s="36"/>
      <c r="D109" s="10">
        <f t="shared" si="2"/>
        <v>4</v>
      </c>
      <c r="E109" s="23">
        <v>44643</v>
      </c>
    </row>
    <row r="110" spans="1:6" x14ac:dyDescent="0.15">
      <c r="A110" s="6" t="s">
        <v>10</v>
      </c>
      <c r="B110" s="11">
        <v>3</v>
      </c>
      <c r="C110" s="36">
        <v>1</v>
      </c>
      <c r="D110" s="10">
        <f t="shared" si="2"/>
        <v>4</v>
      </c>
      <c r="E110" s="23">
        <v>44642</v>
      </c>
    </row>
    <row r="111" spans="1:6" x14ac:dyDescent="0.15">
      <c r="A111" s="6" t="s">
        <v>10</v>
      </c>
      <c r="B111" s="11">
        <f>1+1</f>
        <v>2</v>
      </c>
      <c r="C111" s="36">
        <v>1</v>
      </c>
      <c r="D111" s="10">
        <f t="shared" si="2"/>
        <v>3</v>
      </c>
      <c r="E111" s="23">
        <v>44645</v>
      </c>
    </row>
    <row r="112" spans="1:6" x14ac:dyDescent="0.15">
      <c r="A112" s="6" t="s">
        <v>10</v>
      </c>
      <c r="B112" s="11">
        <v>1</v>
      </c>
      <c r="C112" s="36">
        <v>1</v>
      </c>
      <c r="D112" s="10">
        <f t="shared" si="2"/>
        <v>2</v>
      </c>
      <c r="E112" s="23">
        <v>44649</v>
      </c>
    </row>
    <row r="113" spans="1:6" x14ac:dyDescent="0.15">
      <c r="A113" s="6" t="s">
        <v>10</v>
      </c>
      <c r="B113" s="11">
        <v>1</v>
      </c>
      <c r="C113" s="36">
        <v>1</v>
      </c>
      <c r="D113" s="10">
        <f t="shared" si="2"/>
        <v>2</v>
      </c>
      <c r="E113" s="23">
        <v>44651</v>
      </c>
    </row>
    <row r="114" spans="1:6" x14ac:dyDescent="0.15">
      <c r="A114" s="6" t="s">
        <v>39</v>
      </c>
      <c r="B114" s="11">
        <v>6</v>
      </c>
      <c r="C114" s="36">
        <v>4</v>
      </c>
      <c r="D114" s="10">
        <f t="shared" si="2"/>
        <v>10</v>
      </c>
      <c r="E114" s="23">
        <v>44653</v>
      </c>
    </row>
    <row r="115" spans="1:6" x14ac:dyDescent="0.15">
      <c r="A115" s="6" t="s">
        <v>10</v>
      </c>
      <c r="B115" s="11">
        <v>1</v>
      </c>
      <c r="C115" s="36">
        <v>1</v>
      </c>
      <c r="D115" s="10">
        <f t="shared" si="2"/>
        <v>2</v>
      </c>
      <c r="E115" s="23">
        <v>44655</v>
      </c>
      <c r="F115" s="28"/>
    </row>
    <row r="116" spans="1:6" x14ac:dyDescent="0.15">
      <c r="A116" s="6" t="s">
        <v>10</v>
      </c>
      <c r="B116" s="11">
        <v>1</v>
      </c>
      <c r="C116" s="36">
        <v>1</v>
      </c>
      <c r="D116" s="10">
        <f t="shared" si="2"/>
        <v>2</v>
      </c>
      <c r="E116" s="23">
        <v>44663</v>
      </c>
      <c r="F116" s="28"/>
    </row>
    <row r="117" spans="1:6" x14ac:dyDescent="0.15">
      <c r="A117" s="6" t="s">
        <v>10</v>
      </c>
      <c r="B117" s="11"/>
      <c r="C117" s="36">
        <v>1</v>
      </c>
      <c r="D117" s="10">
        <f t="shared" si="2"/>
        <v>1</v>
      </c>
      <c r="E117" s="23">
        <v>44666</v>
      </c>
    </row>
    <row r="118" spans="1:6" x14ac:dyDescent="0.15">
      <c r="A118" s="6" t="s">
        <v>10</v>
      </c>
      <c r="B118" s="11"/>
      <c r="C118" s="36">
        <v>1</v>
      </c>
      <c r="D118" s="10">
        <f t="shared" si="2"/>
        <v>1</v>
      </c>
      <c r="E118" s="23">
        <v>44667</v>
      </c>
    </row>
    <row r="119" spans="1:6" x14ac:dyDescent="0.15">
      <c r="A119" s="6" t="s">
        <v>10</v>
      </c>
      <c r="B119" s="11">
        <v>1</v>
      </c>
      <c r="C119" s="36"/>
      <c r="D119" s="10">
        <f t="shared" si="2"/>
        <v>1</v>
      </c>
      <c r="E119" s="23">
        <v>44672</v>
      </c>
    </row>
    <row r="120" spans="1:6" x14ac:dyDescent="0.15">
      <c r="A120" s="6" t="s">
        <v>10</v>
      </c>
      <c r="B120" s="11">
        <v>1</v>
      </c>
      <c r="C120" s="36"/>
      <c r="D120" s="10">
        <f t="shared" si="2"/>
        <v>1</v>
      </c>
      <c r="E120" s="23">
        <v>44676</v>
      </c>
    </row>
    <row r="121" spans="1:6" x14ac:dyDescent="0.15">
      <c r="A121" s="6" t="s">
        <v>40</v>
      </c>
      <c r="B121" s="11">
        <v>5</v>
      </c>
      <c r="C121" s="36"/>
      <c r="D121" s="10">
        <f t="shared" si="2"/>
        <v>5</v>
      </c>
      <c r="E121" s="23">
        <v>44678</v>
      </c>
    </row>
    <row r="122" spans="1:6" x14ac:dyDescent="0.15">
      <c r="A122" s="6" t="s">
        <v>10</v>
      </c>
      <c r="B122" s="11">
        <v>4</v>
      </c>
      <c r="C122" s="36"/>
      <c r="D122" s="10">
        <f t="shared" si="2"/>
        <v>4</v>
      </c>
      <c r="E122" s="23">
        <v>44679</v>
      </c>
    </row>
    <row r="123" spans="1:6" ht="14.25" thickBot="1" x14ac:dyDescent="0.2">
      <c r="A123" s="6" t="s">
        <v>41</v>
      </c>
      <c r="B123" s="11">
        <v>3</v>
      </c>
      <c r="C123" s="36"/>
      <c r="D123" s="10">
        <f t="shared" si="2"/>
        <v>3</v>
      </c>
      <c r="E123" s="23">
        <v>44684</v>
      </c>
    </row>
    <row r="124" spans="1:6" ht="14.25" thickBot="1" x14ac:dyDescent="0.2">
      <c r="A124" s="5" t="s">
        <v>5</v>
      </c>
      <c r="B124" s="13">
        <f>SUM(B100:B123)</f>
        <v>55</v>
      </c>
      <c r="C124" s="13">
        <f>SUM(C100:C123)</f>
        <v>22</v>
      </c>
      <c r="D124" s="14">
        <f t="shared" si="2"/>
        <v>77</v>
      </c>
      <c r="E124" s="1"/>
    </row>
    <row r="125" spans="1:6" ht="14.25" thickBot="1" x14ac:dyDescent="0.2">
      <c r="A125" s="21" t="s">
        <v>6</v>
      </c>
      <c r="B125" s="22">
        <f>B99-B124</f>
        <v>21</v>
      </c>
      <c r="C125" s="22">
        <f>C99-C124</f>
        <v>17</v>
      </c>
      <c r="D125" s="20">
        <f>D99-D124</f>
        <v>38</v>
      </c>
      <c r="E125" s="1"/>
    </row>
    <row r="127" spans="1:6" ht="21" x14ac:dyDescent="0.15">
      <c r="A127" s="32"/>
    </row>
    <row r="128" spans="1:6" ht="19.5" thickBot="1" x14ac:dyDescent="0.25">
      <c r="A128" s="2" t="s">
        <v>24</v>
      </c>
      <c r="B128" s="3"/>
      <c r="C128" s="3"/>
      <c r="D128" s="3"/>
      <c r="E128" s="43" t="s">
        <v>33</v>
      </c>
      <c r="F128">
        <v>1596</v>
      </c>
    </row>
    <row r="129" spans="1:6" ht="14.25" thickBot="1" x14ac:dyDescent="0.2">
      <c r="A129" s="4" t="s">
        <v>1</v>
      </c>
      <c r="B129" s="5" t="s">
        <v>25</v>
      </c>
      <c r="C129" s="4" t="s">
        <v>26</v>
      </c>
      <c r="D129" s="4" t="s">
        <v>2</v>
      </c>
      <c r="E129" s="1"/>
    </row>
    <row r="130" spans="1:6" ht="14.25" thickBot="1" x14ac:dyDescent="0.2">
      <c r="A130" s="4" t="s">
        <v>6</v>
      </c>
      <c r="B130" s="45">
        <f>B125</f>
        <v>21</v>
      </c>
      <c r="C130" s="46">
        <f>C125</f>
        <v>17</v>
      </c>
      <c r="D130" s="14">
        <f t="shared" ref="D130:D166" si="3">SUM(B130:C130)</f>
        <v>38</v>
      </c>
      <c r="E130" s="23"/>
    </row>
    <row r="131" spans="1:6" x14ac:dyDescent="0.15">
      <c r="A131" s="44" t="s">
        <v>3</v>
      </c>
      <c r="B131" s="16">
        <v>30</v>
      </c>
      <c r="C131" s="6"/>
      <c r="D131" s="7">
        <f t="shared" si="3"/>
        <v>30</v>
      </c>
      <c r="E131" s="23">
        <v>44713</v>
      </c>
    </row>
    <row r="132" spans="1:6" x14ac:dyDescent="0.15">
      <c r="A132" s="8" t="s">
        <v>3</v>
      </c>
      <c r="B132" s="15"/>
      <c r="C132" s="12">
        <v>5</v>
      </c>
      <c r="D132" s="7">
        <f t="shared" si="3"/>
        <v>5</v>
      </c>
      <c r="E132" s="23">
        <v>44722</v>
      </c>
      <c r="F132" s="28"/>
    </row>
    <row r="133" spans="1:6" x14ac:dyDescent="0.15">
      <c r="A133" s="8" t="s">
        <v>3</v>
      </c>
      <c r="B133" s="15">
        <v>5</v>
      </c>
      <c r="C133" s="12"/>
      <c r="D133" s="7">
        <f t="shared" si="3"/>
        <v>5</v>
      </c>
      <c r="E133" s="23">
        <v>44727</v>
      </c>
      <c r="F133" s="28"/>
    </row>
    <row r="134" spans="1:6" x14ac:dyDescent="0.15">
      <c r="A134" s="8" t="s">
        <v>3</v>
      </c>
      <c r="B134" s="15"/>
      <c r="C134" s="12"/>
      <c r="D134" s="7">
        <f t="shared" ref="D134:D138" si="4">SUM(B134:C134)</f>
        <v>0</v>
      </c>
      <c r="E134" s="23"/>
      <c r="F134" s="28"/>
    </row>
    <row r="135" spans="1:6" x14ac:dyDescent="0.15">
      <c r="A135" s="8" t="s">
        <v>3</v>
      </c>
      <c r="B135" s="15"/>
      <c r="C135" s="12"/>
      <c r="D135" s="7">
        <f t="shared" si="4"/>
        <v>0</v>
      </c>
      <c r="E135" s="53"/>
    </row>
    <row r="136" spans="1:6" x14ac:dyDescent="0.15">
      <c r="A136" s="8" t="s">
        <v>3</v>
      </c>
      <c r="B136" s="15"/>
      <c r="C136" s="12"/>
      <c r="D136" s="7">
        <f t="shared" si="4"/>
        <v>0</v>
      </c>
      <c r="E136" s="23"/>
    </row>
    <row r="137" spans="1:6" x14ac:dyDescent="0.15">
      <c r="A137" s="8" t="s">
        <v>3</v>
      </c>
      <c r="B137" s="15"/>
      <c r="C137" s="12"/>
      <c r="D137" s="7">
        <f t="shared" si="4"/>
        <v>0</v>
      </c>
      <c r="E137" s="23"/>
    </row>
    <row r="138" spans="1:6" x14ac:dyDescent="0.15">
      <c r="A138" s="8" t="s">
        <v>3</v>
      </c>
      <c r="B138" s="15"/>
      <c r="C138" s="12"/>
      <c r="D138" s="7">
        <f t="shared" si="4"/>
        <v>0</v>
      </c>
      <c r="E138" s="23"/>
    </row>
    <row r="139" spans="1:6" x14ac:dyDescent="0.15">
      <c r="A139" s="8" t="s">
        <v>3</v>
      </c>
      <c r="B139" s="31"/>
      <c r="C139" s="40"/>
      <c r="D139" s="10">
        <f t="shared" si="3"/>
        <v>0</v>
      </c>
      <c r="E139" s="23"/>
    </row>
    <row r="140" spans="1:6" ht="14.25" thickBot="1" x14ac:dyDescent="0.2">
      <c r="A140" s="8" t="s">
        <v>3</v>
      </c>
      <c r="B140" s="31"/>
      <c r="C140" s="40"/>
      <c r="D140" s="17">
        <f t="shared" si="3"/>
        <v>0</v>
      </c>
      <c r="E140" s="23"/>
    </row>
    <row r="141" spans="1:6" ht="14.25" thickBot="1" x14ac:dyDescent="0.2">
      <c r="A141" s="18" t="s">
        <v>4</v>
      </c>
      <c r="B141" s="19">
        <f>SUM(B130:B140)</f>
        <v>56</v>
      </c>
      <c r="C141" s="19">
        <f>SUM(C130:C140)</f>
        <v>22</v>
      </c>
      <c r="D141" s="20">
        <f t="shared" si="3"/>
        <v>78</v>
      </c>
      <c r="E141" s="1"/>
    </row>
    <row r="142" spans="1:6" x14ac:dyDescent="0.15">
      <c r="A142" s="6" t="s">
        <v>10</v>
      </c>
      <c r="B142" s="11"/>
      <c r="C142" s="36">
        <v>1</v>
      </c>
      <c r="D142" s="7">
        <f t="shared" si="3"/>
        <v>1</v>
      </c>
      <c r="E142" s="23">
        <v>44683</v>
      </c>
    </row>
    <row r="143" spans="1:6" x14ac:dyDescent="0.15">
      <c r="A143" s="6" t="s">
        <v>10</v>
      </c>
      <c r="B143" s="11"/>
      <c r="C143" s="36">
        <v>2</v>
      </c>
      <c r="D143" s="7">
        <f t="shared" si="3"/>
        <v>2</v>
      </c>
      <c r="E143" s="23">
        <v>44687</v>
      </c>
    </row>
    <row r="144" spans="1:6" x14ac:dyDescent="0.15">
      <c r="A144" s="6" t="s">
        <v>10</v>
      </c>
      <c r="B144" s="11"/>
      <c r="C144" s="36">
        <v>1</v>
      </c>
      <c r="D144" s="7">
        <f t="shared" si="3"/>
        <v>1</v>
      </c>
      <c r="E144" s="23">
        <v>44691</v>
      </c>
    </row>
    <row r="145" spans="1:7" x14ac:dyDescent="0.15">
      <c r="A145" s="6" t="s">
        <v>35</v>
      </c>
      <c r="B145" s="11">
        <v>5</v>
      </c>
      <c r="C145" s="36"/>
      <c r="D145" s="7">
        <f t="shared" si="3"/>
        <v>5</v>
      </c>
      <c r="E145" s="23">
        <v>44692</v>
      </c>
    </row>
    <row r="146" spans="1:7" x14ac:dyDescent="0.15">
      <c r="A146" s="6" t="s">
        <v>10</v>
      </c>
      <c r="B146" s="11">
        <v>1</v>
      </c>
      <c r="C146" s="36"/>
      <c r="D146" s="7">
        <f t="shared" si="3"/>
        <v>1</v>
      </c>
      <c r="E146" s="23">
        <v>44694</v>
      </c>
    </row>
    <row r="147" spans="1:7" x14ac:dyDescent="0.15">
      <c r="A147" s="6" t="s">
        <v>10</v>
      </c>
      <c r="B147" s="11">
        <v>2</v>
      </c>
      <c r="C147" s="36">
        <v>1</v>
      </c>
      <c r="D147" s="10">
        <f t="shared" si="3"/>
        <v>3</v>
      </c>
      <c r="E147" s="23">
        <v>44697</v>
      </c>
    </row>
    <row r="148" spans="1:7" x14ac:dyDescent="0.15">
      <c r="A148" s="6" t="s">
        <v>10</v>
      </c>
      <c r="B148" s="11">
        <v>1</v>
      </c>
      <c r="C148" s="36"/>
      <c r="D148" s="10">
        <f t="shared" si="3"/>
        <v>1</v>
      </c>
      <c r="E148" s="23">
        <v>44700</v>
      </c>
      <c r="F148" s="28"/>
    </row>
    <row r="149" spans="1:7" x14ac:dyDescent="0.15">
      <c r="A149" s="6" t="s">
        <v>10</v>
      </c>
      <c r="B149" s="11">
        <v>2</v>
      </c>
      <c r="C149" s="36"/>
      <c r="D149" s="10">
        <f t="shared" si="3"/>
        <v>2</v>
      </c>
      <c r="E149" s="23">
        <v>44701</v>
      </c>
      <c r="F149" s="28"/>
    </row>
    <row r="150" spans="1:7" x14ac:dyDescent="0.15">
      <c r="A150" s="6" t="s">
        <v>10</v>
      </c>
      <c r="B150" s="11">
        <v>3</v>
      </c>
      <c r="C150" s="36"/>
      <c r="D150" s="10">
        <f t="shared" si="3"/>
        <v>3</v>
      </c>
      <c r="E150" s="23">
        <v>44702</v>
      </c>
    </row>
    <row r="151" spans="1:7" x14ac:dyDescent="0.15">
      <c r="A151" s="6" t="s">
        <v>10</v>
      </c>
      <c r="B151" s="11">
        <v>1</v>
      </c>
      <c r="C151" s="36">
        <v>1</v>
      </c>
      <c r="D151" s="10">
        <f t="shared" si="3"/>
        <v>2</v>
      </c>
      <c r="E151" s="23">
        <v>44705</v>
      </c>
    </row>
    <row r="152" spans="1:7" x14ac:dyDescent="0.15">
      <c r="A152" s="6" t="s">
        <v>10</v>
      </c>
      <c r="B152" s="11">
        <v>2</v>
      </c>
      <c r="C152" s="36"/>
      <c r="D152" s="10">
        <f t="shared" si="3"/>
        <v>2</v>
      </c>
      <c r="E152" s="23">
        <v>44706</v>
      </c>
    </row>
    <row r="153" spans="1:7" x14ac:dyDescent="0.15">
      <c r="A153" s="6" t="s">
        <v>10</v>
      </c>
      <c r="B153" s="11">
        <v>1</v>
      </c>
      <c r="C153" s="36">
        <v>1</v>
      </c>
      <c r="D153" s="10">
        <f t="shared" si="3"/>
        <v>2</v>
      </c>
      <c r="E153" s="23">
        <v>44707</v>
      </c>
    </row>
    <row r="154" spans="1:7" x14ac:dyDescent="0.15">
      <c r="A154" s="6" t="s">
        <v>10</v>
      </c>
      <c r="B154" s="11">
        <v>1</v>
      </c>
      <c r="C154" s="36">
        <v>1</v>
      </c>
      <c r="D154" s="10">
        <f t="shared" si="3"/>
        <v>2</v>
      </c>
      <c r="E154" s="23">
        <v>44711</v>
      </c>
    </row>
    <row r="155" spans="1:7" x14ac:dyDescent="0.15">
      <c r="A155" s="6" t="s">
        <v>35</v>
      </c>
      <c r="B155" s="11"/>
      <c r="C155" s="36">
        <v>1</v>
      </c>
      <c r="D155" s="10">
        <f t="shared" si="3"/>
        <v>1</v>
      </c>
      <c r="E155" s="23">
        <v>44712</v>
      </c>
    </row>
    <row r="156" spans="1:7" x14ac:dyDescent="0.15">
      <c r="A156" s="6" t="s">
        <v>10</v>
      </c>
      <c r="B156" s="11">
        <v>1</v>
      </c>
      <c r="C156" s="36"/>
      <c r="D156" s="10">
        <f t="shared" si="3"/>
        <v>1</v>
      </c>
      <c r="E156" s="23">
        <v>44714</v>
      </c>
    </row>
    <row r="157" spans="1:7" x14ac:dyDescent="0.15">
      <c r="A157" s="6" t="s">
        <v>42</v>
      </c>
      <c r="B157" s="11">
        <v>5</v>
      </c>
      <c r="C157" s="36">
        <v>1</v>
      </c>
      <c r="D157" s="10">
        <f t="shared" si="3"/>
        <v>6</v>
      </c>
      <c r="E157" s="23">
        <v>44716</v>
      </c>
      <c r="F157" s="28"/>
      <c r="G157" s="28"/>
    </row>
    <row r="158" spans="1:7" x14ac:dyDescent="0.15">
      <c r="A158" s="6" t="s">
        <v>10</v>
      </c>
      <c r="B158" s="11">
        <v>1</v>
      </c>
      <c r="C158" s="36"/>
      <c r="D158" s="10">
        <f t="shared" si="3"/>
        <v>1</v>
      </c>
      <c r="E158" s="23">
        <v>44716</v>
      </c>
      <c r="F158" s="28"/>
    </row>
    <row r="159" spans="1:7" x14ac:dyDescent="0.15">
      <c r="A159" s="6" t="s">
        <v>10</v>
      </c>
      <c r="B159" s="11">
        <v>1</v>
      </c>
      <c r="C159" s="36"/>
      <c r="D159" s="10">
        <f t="shared" si="3"/>
        <v>1</v>
      </c>
      <c r="E159" s="23">
        <v>44720</v>
      </c>
    </row>
    <row r="160" spans="1:7" x14ac:dyDescent="0.15">
      <c r="A160" s="6" t="s">
        <v>35</v>
      </c>
      <c r="B160" s="11">
        <v>2</v>
      </c>
      <c r="C160" s="36">
        <v>2</v>
      </c>
      <c r="D160" s="10">
        <f t="shared" si="3"/>
        <v>4</v>
      </c>
      <c r="E160" s="23">
        <v>44721</v>
      </c>
      <c r="F160" s="54"/>
    </row>
    <row r="161" spans="1:6" x14ac:dyDescent="0.15">
      <c r="A161" s="6" t="s">
        <v>10</v>
      </c>
      <c r="B161" s="11">
        <v>1</v>
      </c>
      <c r="C161" s="36">
        <v>2</v>
      </c>
      <c r="D161" s="10">
        <f t="shared" si="3"/>
        <v>3</v>
      </c>
      <c r="E161" s="23">
        <v>44721</v>
      </c>
    </row>
    <row r="162" spans="1:6" x14ac:dyDescent="0.15">
      <c r="A162" s="6" t="s">
        <v>10</v>
      </c>
      <c r="B162" s="11">
        <v>1</v>
      </c>
      <c r="C162" s="36"/>
      <c r="D162" s="10">
        <f t="shared" si="3"/>
        <v>1</v>
      </c>
      <c r="E162" s="23">
        <v>44722</v>
      </c>
    </row>
    <row r="163" spans="1:6" x14ac:dyDescent="0.15">
      <c r="A163" s="6" t="s">
        <v>10</v>
      </c>
      <c r="B163" s="11">
        <v>1</v>
      </c>
      <c r="C163" s="36"/>
      <c r="D163" s="10">
        <f t="shared" si="3"/>
        <v>1</v>
      </c>
      <c r="E163" s="23">
        <v>44725</v>
      </c>
    </row>
    <row r="164" spans="1:6" x14ac:dyDescent="0.15">
      <c r="A164" s="6" t="s">
        <v>35</v>
      </c>
      <c r="B164" s="11">
        <v>5</v>
      </c>
      <c r="C164" s="36"/>
      <c r="D164" s="10">
        <f t="shared" si="3"/>
        <v>5</v>
      </c>
      <c r="E164" s="23">
        <v>44726</v>
      </c>
    </row>
    <row r="165" spans="1:6" ht="14.25" thickBot="1" x14ac:dyDescent="0.2">
      <c r="A165" s="6" t="s">
        <v>10</v>
      </c>
      <c r="B165" s="11">
        <v>1</v>
      </c>
      <c r="C165" s="36"/>
      <c r="D165" s="10">
        <f t="shared" si="3"/>
        <v>1</v>
      </c>
      <c r="E165" s="23">
        <v>44726</v>
      </c>
    </row>
    <row r="166" spans="1:6" ht="14.25" thickBot="1" x14ac:dyDescent="0.2">
      <c r="A166" s="5" t="s">
        <v>5</v>
      </c>
      <c r="B166" s="13">
        <f>SUM(B142:B165)</f>
        <v>38</v>
      </c>
      <c r="C166" s="13">
        <f>SUM(C142:C165)</f>
        <v>14</v>
      </c>
      <c r="D166" s="14">
        <f t="shared" si="3"/>
        <v>52</v>
      </c>
      <c r="E166" s="1"/>
    </row>
    <row r="167" spans="1:6" ht="14.25" thickBot="1" x14ac:dyDescent="0.2">
      <c r="A167" s="21" t="s">
        <v>6</v>
      </c>
      <c r="B167" s="22">
        <f>B141-B166</f>
        <v>18</v>
      </c>
      <c r="C167" s="22">
        <f>C141-C166</f>
        <v>8</v>
      </c>
      <c r="D167" s="20">
        <f>D141-D166</f>
        <v>26</v>
      </c>
      <c r="E167" s="1"/>
    </row>
    <row r="169" spans="1:6" ht="21" x14ac:dyDescent="0.15">
      <c r="A169" s="32"/>
    </row>
    <row r="170" spans="1:6" ht="19.5" thickBot="1" x14ac:dyDescent="0.25">
      <c r="A170" s="2" t="s">
        <v>24</v>
      </c>
      <c r="B170" s="3"/>
      <c r="C170" s="3"/>
      <c r="D170" s="3"/>
      <c r="E170" s="43" t="s">
        <v>33</v>
      </c>
      <c r="F170">
        <v>1596</v>
      </c>
    </row>
    <row r="171" spans="1:6" ht="14.25" thickBot="1" x14ac:dyDescent="0.2">
      <c r="A171" s="4" t="s">
        <v>1</v>
      </c>
      <c r="B171" s="5" t="s">
        <v>25</v>
      </c>
      <c r="C171" s="4" t="s">
        <v>26</v>
      </c>
      <c r="D171" s="4" t="s">
        <v>2</v>
      </c>
      <c r="E171" s="1"/>
    </row>
    <row r="172" spans="1:6" ht="14.25" thickBot="1" x14ac:dyDescent="0.2">
      <c r="A172" s="4" t="s">
        <v>6</v>
      </c>
      <c r="B172" s="45">
        <f>B167</f>
        <v>18</v>
      </c>
      <c r="C172" s="46">
        <f>C167</f>
        <v>8</v>
      </c>
      <c r="D172" s="14">
        <f t="shared" ref="D172:D208" si="5">SUM(B172:C172)</f>
        <v>26</v>
      </c>
      <c r="E172" s="23"/>
    </row>
    <row r="173" spans="1:6" x14ac:dyDescent="0.15">
      <c r="A173" s="44" t="s">
        <v>3</v>
      </c>
      <c r="B173" s="16">
        <v>15</v>
      </c>
      <c r="C173" s="6"/>
      <c r="D173" s="7">
        <f t="shared" si="5"/>
        <v>15</v>
      </c>
      <c r="E173" s="23">
        <v>44733</v>
      </c>
    </row>
    <row r="174" spans="1:6" x14ac:dyDescent="0.15">
      <c r="A174" s="8" t="s">
        <v>3</v>
      </c>
      <c r="B174" s="15"/>
      <c r="C174" s="12">
        <v>10</v>
      </c>
      <c r="D174" s="7">
        <f t="shared" si="5"/>
        <v>10</v>
      </c>
      <c r="E174" s="23">
        <v>44741</v>
      </c>
      <c r="F174" s="28"/>
    </row>
    <row r="175" spans="1:6" x14ac:dyDescent="0.15">
      <c r="A175" s="8" t="s">
        <v>3</v>
      </c>
      <c r="B175" s="15">
        <v>15</v>
      </c>
      <c r="C175" s="12"/>
      <c r="D175" s="7">
        <f t="shared" si="5"/>
        <v>15</v>
      </c>
      <c r="E175" s="23">
        <v>44750</v>
      </c>
      <c r="F175" s="28"/>
    </row>
    <row r="176" spans="1:6" x14ac:dyDescent="0.15">
      <c r="A176" s="8" t="s">
        <v>3</v>
      </c>
      <c r="B176" s="15"/>
      <c r="C176" s="12">
        <v>5</v>
      </c>
      <c r="D176" s="7">
        <f t="shared" si="5"/>
        <v>5</v>
      </c>
      <c r="E176" s="23">
        <v>44767</v>
      </c>
      <c r="F176" s="28"/>
    </row>
    <row r="177" spans="1:6" x14ac:dyDescent="0.15">
      <c r="A177" s="8" t="s">
        <v>3</v>
      </c>
      <c r="B177" s="15"/>
      <c r="C177" s="12">
        <v>12</v>
      </c>
      <c r="D177" s="7">
        <f t="shared" si="5"/>
        <v>12</v>
      </c>
      <c r="E177" s="23">
        <v>44775</v>
      </c>
    </row>
    <row r="178" spans="1:6" x14ac:dyDescent="0.15">
      <c r="A178" s="8" t="s">
        <v>3</v>
      </c>
      <c r="B178" s="15"/>
      <c r="C178" s="12"/>
      <c r="D178" s="7">
        <f t="shared" si="5"/>
        <v>0</v>
      </c>
      <c r="E178" s="23"/>
    </row>
    <row r="179" spans="1:6" x14ac:dyDescent="0.15">
      <c r="A179" s="8" t="s">
        <v>3</v>
      </c>
      <c r="B179" s="15"/>
      <c r="C179" s="12"/>
      <c r="D179" s="7">
        <f t="shared" si="5"/>
        <v>0</v>
      </c>
      <c r="E179" s="23"/>
    </row>
    <row r="180" spans="1:6" x14ac:dyDescent="0.15">
      <c r="A180" s="8" t="s">
        <v>3</v>
      </c>
      <c r="B180" s="15"/>
      <c r="C180" s="12"/>
      <c r="D180" s="7">
        <f t="shared" si="5"/>
        <v>0</v>
      </c>
      <c r="E180" s="23"/>
    </row>
    <row r="181" spans="1:6" x14ac:dyDescent="0.15">
      <c r="A181" s="8" t="s">
        <v>3</v>
      </c>
      <c r="B181" s="31"/>
      <c r="C181" s="40"/>
      <c r="D181" s="10">
        <f t="shared" si="5"/>
        <v>0</v>
      </c>
      <c r="E181" s="23"/>
    </row>
    <row r="182" spans="1:6" ht="14.25" thickBot="1" x14ac:dyDescent="0.2">
      <c r="A182" s="8" t="s">
        <v>3</v>
      </c>
      <c r="B182" s="31"/>
      <c r="C182" s="40"/>
      <c r="D182" s="17">
        <f t="shared" si="5"/>
        <v>0</v>
      </c>
      <c r="E182" s="23"/>
    </row>
    <row r="183" spans="1:6" ht="14.25" thickBot="1" x14ac:dyDescent="0.2">
      <c r="A183" s="18" t="s">
        <v>4</v>
      </c>
      <c r="B183" s="19">
        <f>SUM(B172:B182)</f>
        <v>48</v>
      </c>
      <c r="C183" s="19">
        <f>SUM(C172:C182)</f>
        <v>35</v>
      </c>
      <c r="D183" s="20">
        <f t="shared" si="5"/>
        <v>83</v>
      </c>
      <c r="E183" s="1"/>
    </row>
    <row r="184" spans="1:6" x14ac:dyDescent="0.15">
      <c r="A184" s="6" t="s">
        <v>45</v>
      </c>
      <c r="B184" s="11">
        <v>3</v>
      </c>
      <c r="C184" s="36"/>
      <c r="D184" s="7">
        <f t="shared" si="5"/>
        <v>3</v>
      </c>
      <c r="E184" s="23">
        <v>44730</v>
      </c>
    </row>
    <row r="185" spans="1:6" x14ac:dyDescent="0.15">
      <c r="A185" s="6" t="s">
        <v>10</v>
      </c>
      <c r="B185" s="11"/>
      <c r="C185" s="36">
        <v>2</v>
      </c>
      <c r="D185" s="7">
        <f t="shared" si="5"/>
        <v>2</v>
      </c>
      <c r="E185" s="23">
        <v>44732</v>
      </c>
    </row>
    <row r="186" spans="1:6" x14ac:dyDescent="0.15">
      <c r="A186" s="6" t="s">
        <v>10</v>
      </c>
      <c r="B186" s="11"/>
      <c r="C186" s="36">
        <v>1</v>
      </c>
      <c r="D186" s="7">
        <f t="shared" si="5"/>
        <v>1</v>
      </c>
      <c r="E186" s="23">
        <v>44736</v>
      </c>
    </row>
    <row r="187" spans="1:6" x14ac:dyDescent="0.15">
      <c r="A187" s="6" t="s">
        <v>35</v>
      </c>
      <c r="B187" s="11">
        <v>10</v>
      </c>
      <c r="C187" s="36">
        <v>3</v>
      </c>
      <c r="D187" s="7">
        <f t="shared" si="5"/>
        <v>13</v>
      </c>
      <c r="E187" s="23">
        <v>44742</v>
      </c>
      <c r="F187" s="28"/>
    </row>
    <row r="188" spans="1:6" x14ac:dyDescent="0.15">
      <c r="A188" s="6" t="s">
        <v>35</v>
      </c>
      <c r="B188" s="11"/>
      <c r="C188" s="36">
        <v>2</v>
      </c>
      <c r="D188" s="7">
        <f t="shared" si="5"/>
        <v>2</v>
      </c>
      <c r="E188" s="23">
        <v>44745</v>
      </c>
      <c r="F188" s="28"/>
    </row>
    <row r="189" spans="1:6" x14ac:dyDescent="0.15">
      <c r="A189" s="6" t="s">
        <v>10</v>
      </c>
      <c r="B189" s="11">
        <v>1</v>
      </c>
      <c r="C189" s="36"/>
      <c r="D189" s="10">
        <f t="shared" si="5"/>
        <v>1</v>
      </c>
      <c r="E189" s="23">
        <v>44746</v>
      </c>
    </row>
    <row r="190" spans="1:6" x14ac:dyDescent="0.15">
      <c r="A190" s="6" t="s">
        <v>10</v>
      </c>
      <c r="B190" s="11">
        <v>2</v>
      </c>
      <c r="C190" s="36"/>
      <c r="D190" s="10">
        <f t="shared" si="5"/>
        <v>2</v>
      </c>
      <c r="E190" s="23">
        <v>44747</v>
      </c>
      <c r="F190" s="28"/>
    </row>
    <row r="191" spans="1:6" x14ac:dyDescent="0.15">
      <c r="A191" s="6"/>
      <c r="B191" s="11"/>
      <c r="C191" s="36"/>
      <c r="D191" s="10">
        <f t="shared" si="5"/>
        <v>0</v>
      </c>
      <c r="E191" s="23"/>
      <c r="F191" s="28"/>
    </row>
    <row r="192" spans="1:6" x14ac:dyDescent="0.15">
      <c r="A192" s="6" t="s">
        <v>10</v>
      </c>
      <c r="B192" s="11">
        <v>2</v>
      </c>
      <c r="C192" s="36">
        <v>3</v>
      </c>
      <c r="D192" s="10">
        <f t="shared" si="5"/>
        <v>5</v>
      </c>
      <c r="E192" s="23">
        <v>44754</v>
      </c>
    </row>
    <row r="193" spans="1:6" x14ac:dyDescent="0.15">
      <c r="A193" s="6" t="s">
        <v>10</v>
      </c>
      <c r="B193" s="11"/>
      <c r="C193" s="36">
        <v>1</v>
      </c>
      <c r="D193" s="10">
        <f t="shared" si="5"/>
        <v>1</v>
      </c>
      <c r="E193" s="23">
        <v>44756</v>
      </c>
    </row>
    <row r="194" spans="1:6" x14ac:dyDescent="0.15">
      <c r="A194" s="6" t="s">
        <v>10</v>
      </c>
      <c r="B194" s="11">
        <v>1</v>
      </c>
      <c r="C194" s="36">
        <v>1</v>
      </c>
      <c r="D194" s="10">
        <f t="shared" si="5"/>
        <v>2</v>
      </c>
      <c r="E194" s="23">
        <v>44761</v>
      </c>
    </row>
    <row r="195" spans="1:6" x14ac:dyDescent="0.15">
      <c r="A195" s="6" t="s">
        <v>46</v>
      </c>
      <c r="B195" s="11"/>
      <c r="C195" s="36">
        <v>2</v>
      </c>
      <c r="D195" s="10">
        <f t="shared" si="5"/>
        <v>2</v>
      </c>
      <c r="E195" s="23">
        <v>44765</v>
      </c>
    </row>
    <row r="196" spans="1:6" x14ac:dyDescent="0.15">
      <c r="A196" s="6" t="s">
        <v>10</v>
      </c>
      <c r="B196" s="11">
        <f>1+1</f>
        <v>2</v>
      </c>
      <c r="C196" s="36">
        <v>1</v>
      </c>
      <c r="D196" s="10">
        <f t="shared" si="5"/>
        <v>3</v>
      </c>
      <c r="E196" s="23">
        <v>44767</v>
      </c>
    </row>
    <row r="197" spans="1:6" x14ac:dyDescent="0.15">
      <c r="A197" s="6" t="s">
        <v>10</v>
      </c>
      <c r="B197" s="11">
        <v>2</v>
      </c>
      <c r="C197" s="36"/>
      <c r="D197" s="10">
        <f t="shared" si="5"/>
        <v>2</v>
      </c>
      <c r="E197" s="23">
        <v>44768</v>
      </c>
    </row>
    <row r="198" spans="1:6" x14ac:dyDescent="0.15">
      <c r="A198" s="6" t="s">
        <v>10</v>
      </c>
      <c r="B198" s="11"/>
      <c r="C198" s="36">
        <v>2</v>
      </c>
      <c r="D198" s="10">
        <f t="shared" si="5"/>
        <v>2</v>
      </c>
      <c r="E198" s="23">
        <v>44769</v>
      </c>
    </row>
    <row r="199" spans="1:6" x14ac:dyDescent="0.15">
      <c r="A199" s="6" t="s">
        <v>35</v>
      </c>
      <c r="B199" s="11"/>
      <c r="C199" s="36">
        <v>3</v>
      </c>
      <c r="D199" s="10">
        <f t="shared" si="5"/>
        <v>3</v>
      </c>
      <c r="E199" s="23">
        <v>44770</v>
      </c>
      <c r="F199" s="28"/>
    </row>
    <row r="200" spans="1:6" x14ac:dyDescent="0.15">
      <c r="A200" s="6" t="s">
        <v>10</v>
      </c>
      <c r="B200" s="11"/>
      <c r="C200" s="36">
        <v>1</v>
      </c>
      <c r="D200" s="10">
        <f t="shared" si="5"/>
        <v>1</v>
      </c>
      <c r="E200" s="23">
        <v>44774</v>
      </c>
      <c r="F200" s="28"/>
    </row>
    <row r="201" spans="1:6" x14ac:dyDescent="0.15">
      <c r="A201" s="6" t="s">
        <v>10</v>
      </c>
      <c r="B201" s="11">
        <v>1</v>
      </c>
      <c r="C201" s="36"/>
      <c r="D201" s="10">
        <f t="shared" si="5"/>
        <v>1</v>
      </c>
      <c r="E201" s="23">
        <v>44775</v>
      </c>
    </row>
    <row r="202" spans="1:6" x14ac:dyDescent="0.15">
      <c r="A202" s="6" t="s">
        <v>10</v>
      </c>
      <c r="B202" s="11">
        <v>1</v>
      </c>
      <c r="C202" s="36"/>
      <c r="D202" s="10">
        <f t="shared" si="5"/>
        <v>1</v>
      </c>
      <c r="E202" s="23">
        <v>44776</v>
      </c>
      <c r="F202" s="54"/>
    </row>
    <row r="203" spans="1:6" x14ac:dyDescent="0.15">
      <c r="A203" s="6" t="s">
        <v>10</v>
      </c>
      <c r="B203" s="11"/>
      <c r="C203" s="36">
        <v>2</v>
      </c>
      <c r="D203" s="10">
        <f t="shared" si="5"/>
        <v>2</v>
      </c>
      <c r="E203" s="23">
        <v>44777</v>
      </c>
    </row>
    <row r="204" spans="1:6" x14ac:dyDescent="0.15">
      <c r="A204" s="6" t="s">
        <v>10</v>
      </c>
      <c r="B204" s="11">
        <v>1</v>
      </c>
      <c r="C204" s="36"/>
      <c r="D204" s="10">
        <f t="shared" si="5"/>
        <v>1</v>
      </c>
      <c r="E204" s="23">
        <v>44781</v>
      </c>
    </row>
    <row r="205" spans="1:6" x14ac:dyDescent="0.15">
      <c r="A205" s="6" t="s">
        <v>10</v>
      </c>
      <c r="B205" s="11">
        <v>1</v>
      </c>
      <c r="C205" s="36"/>
      <c r="D205" s="10">
        <f t="shared" si="5"/>
        <v>1</v>
      </c>
      <c r="E205" s="23">
        <v>44782</v>
      </c>
    </row>
    <row r="206" spans="1:6" x14ac:dyDescent="0.15">
      <c r="A206" s="6" t="s">
        <v>10</v>
      </c>
      <c r="B206" s="11">
        <v>1</v>
      </c>
      <c r="C206" s="36"/>
      <c r="D206" s="10">
        <f t="shared" si="5"/>
        <v>1</v>
      </c>
      <c r="E206" s="23">
        <v>44784</v>
      </c>
    </row>
    <row r="207" spans="1:6" ht="14.25" thickBot="1" x14ac:dyDescent="0.2">
      <c r="A207" s="6" t="s">
        <v>10</v>
      </c>
      <c r="B207" s="11">
        <f>1+1</f>
        <v>2</v>
      </c>
      <c r="C207" s="36">
        <v>1</v>
      </c>
      <c r="D207" s="10">
        <f t="shared" si="5"/>
        <v>3</v>
      </c>
      <c r="E207" s="23">
        <v>44790</v>
      </c>
    </row>
    <row r="208" spans="1:6" ht="14.25" thickBot="1" x14ac:dyDescent="0.2">
      <c r="A208" s="5" t="s">
        <v>5</v>
      </c>
      <c r="B208" s="13">
        <f>SUM(B184:B207)</f>
        <v>30</v>
      </c>
      <c r="C208" s="13">
        <f>SUM(C184:C207)</f>
        <v>25</v>
      </c>
      <c r="D208" s="14">
        <f t="shared" si="5"/>
        <v>55</v>
      </c>
      <c r="E208" s="1"/>
    </row>
    <row r="209" spans="1:6" ht="14.25" thickBot="1" x14ac:dyDescent="0.2">
      <c r="A209" s="21" t="s">
        <v>6</v>
      </c>
      <c r="B209" s="22">
        <f>B183-B208</f>
        <v>18</v>
      </c>
      <c r="C209" s="22">
        <f>C183-C208</f>
        <v>10</v>
      </c>
      <c r="D209" s="20">
        <f>D183-D208</f>
        <v>28</v>
      </c>
      <c r="E209" s="1"/>
    </row>
    <row r="211" spans="1:6" ht="21" x14ac:dyDescent="0.15">
      <c r="A211" s="32"/>
    </row>
    <row r="212" spans="1:6" ht="19.5" thickBot="1" x14ac:dyDescent="0.25">
      <c r="A212" s="2" t="s">
        <v>51</v>
      </c>
      <c r="B212" s="3"/>
      <c r="C212" s="3"/>
      <c r="D212" s="3"/>
      <c r="E212" s="43" t="s">
        <v>33</v>
      </c>
      <c r="F212">
        <v>1596</v>
      </c>
    </row>
    <row r="213" spans="1:6" ht="14.25" thickBot="1" x14ac:dyDescent="0.2">
      <c r="A213" s="4" t="s">
        <v>1</v>
      </c>
      <c r="B213" s="5" t="s">
        <v>25</v>
      </c>
      <c r="C213" s="4" t="s">
        <v>26</v>
      </c>
      <c r="D213" s="4" t="s">
        <v>2</v>
      </c>
      <c r="E213" s="1"/>
    </row>
    <row r="214" spans="1:6" ht="14.25" thickBot="1" x14ac:dyDescent="0.2">
      <c r="A214" s="4" t="s">
        <v>6</v>
      </c>
      <c r="B214" s="45">
        <f>B209</f>
        <v>18</v>
      </c>
      <c r="C214" s="46">
        <f>C209</f>
        <v>10</v>
      </c>
      <c r="D214" s="14">
        <f t="shared" ref="D214:D250" si="6">SUM(B214:C214)</f>
        <v>28</v>
      </c>
      <c r="E214" s="23"/>
    </row>
    <row r="215" spans="1:6" x14ac:dyDescent="0.15">
      <c r="A215" s="44" t="s">
        <v>3</v>
      </c>
      <c r="B215" s="16">
        <v>10</v>
      </c>
      <c r="C215" s="6">
        <v>10</v>
      </c>
      <c r="D215" s="7">
        <f t="shared" si="6"/>
        <v>20</v>
      </c>
      <c r="E215" s="23">
        <v>44797</v>
      </c>
    </row>
    <row r="216" spans="1:6" x14ac:dyDescent="0.15">
      <c r="A216" s="55" t="s">
        <v>48</v>
      </c>
      <c r="B216" s="58">
        <v>-1</v>
      </c>
      <c r="C216" s="55">
        <v>1</v>
      </c>
      <c r="D216" s="59">
        <f t="shared" si="6"/>
        <v>0</v>
      </c>
      <c r="E216" s="60">
        <v>44798</v>
      </c>
      <c r="F216" s="28"/>
    </row>
    <row r="217" spans="1:6" x14ac:dyDescent="0.15">
      <c r="A217" s="8" t="s">
        <v>3</v>
      </c>
      <c r="B217" s="15">
        <v>10</v>
      </c>
      <c r="C217" s="12">
        <v>5</v>
      </c>
      <c r="D217" s="7">
        <f t="shared" si="6"/>
        <v>15</v>
      </c>
      <c r="E217" s="23">
        <v>44816</v>
      </c>
      <c r="F217" s="28"/>
    </row>
    <row r="218" spans="1:6" x14ac:dyDescent="0.15">
      <c r="A218" s="8" t="s">
        <v>3</v>
      </c>
      <c r="B218" s="15">
        <v>10</v>
      </c>
      <c r="C218" s="12"/>
      <c r="D218" s="7">
        <f t="shared" si="6"/>
        <v>10</v>
      </c>
      <c r="E218" s="23">
        <v>44832</v>
      </c>
      <c r="F218" s="28"/>
    </row>
    <row r="219" spans="1:6" x14ac:dyDescent="0.15">
      <c r="A219" s="8" t="s">
        <v>3</v>
      </c>
      <c r="B219" s="15">
        <v>10</v>
      </c>
      <c r="C219" s="12">
        <v>10</v>
      </c>
      <c r="D219" s="7">
        <f t="shared" si="6"/>
        <v>20</v>
      </c>
      <c r="E219" s="23">
        <v>44838</v>
      </c>
    </row>
    <row r="220" spans="1:6" x14ac:dyDescent="0.15">
      <c r="A220" s="8" t="s">
        <v>3</v>
      </c>
      <c r="B220" s="15">
        <v>50</v>
      </c>
      <c r="C220" s="12">
        <v>10</v>
      </c>
      <c r="D220" s="7">
        <f t="shared" si="6"/>
        <v>60</v>
      </c>
      <c r="E220" s="23">
        <v>44845</v>
      </c>
    </row>
    <row r="221" spans="1:6" x14ac:dyDescent="0.15">
      <c r="A221" s="8" t="s">
        <v>3</v>
      </c>
      <c r="B221" s="15"/>
      <c r="C221" s="12">
        <v>5</v>
      </c>
      <c r="D221" s="7">
        <f t="shared" si="6"/>
        <v>5</v>
      </c>
      <c r="E221" s="23">
        <v>44847</v>
      </c>
    </row>
    <row r="222" spans="1:6" x14ac:dyDescent="0.15">
      <c r="A222" s="8" t="s">
        <v>3</v>
      </c>
      <c r="B222" s="15"/>
      <c r="C222" s="12"/>
      <c r="D222" s="7">
        <f t="shared" si="6"/>
        <v>0</v>
      </c>
      <c r="E222" s="23"/>
    </row>
    <row r="223" spans="1:6" x14ac:dyDescent="0.15">
      <c r="A223" s="8" t="s">
        <v>3</v>
      </c>
      <c r="B223" s="31"/>
      <c r="C223" s="40"/>
      <c r="D223" s="10">
        <f t="shared" si="6"/>
        <v>0</v>
      </c>
      <c r="E223" s="23"/>
    </row>
    <row r="224" spans="1:6" ht="14.25" thickBot="1" x14ac:dyDescent="0.2">
      <c r="A224" s="8" t="s">
        <v>3</v>
      </c>
      <c r="B224" s="31"/>
      <c r="C224" s="40"/>
      <c r="D224" s="17">
        <f t="shared" si="6"/>
        <v>0</v>
      </c>
      <c r="E224" s="23"/>
    </row>
    <row r="225" spans="1:8" ht="14.25" thickBot="1" x14ac:dyDescent="0.2">
      <c r="A225" s="18" t="s">
        <v>4</v>
      </c>
      <c r="B225" s="19">
        <f>SUM(B214:B224)</f>
        <v>107</v>
      </c>
      <c r="C225" s="19">
        <f>SUM(C214:C224)</f>
        <v>51</v>
      </c>
      <c r="D225" s="20">
        <f t="shared" si="6"/>
        <v>158</v>
      </c>
      <c r="E225" s="1"/>
    </row>
    <row r="226" spans="1:8" x14ac:dyDescent="0.15">
      <c r="A226" s="6" t="s">
        <v>10</v>
      </c>
      <c r="B226" s="11">
        <v>1</v>
      </c>
      <c r="C226" s="36">
        <v>1</v>
      </c>
      <c r="D226" s="7">
        <f t="shared" si="6"/>
        <v>2</v>
      </c>
      <c r="E226" s="23">
        <v>44791</v>
      </c>
      <c r="F226" s="28"/>
      <c r="G226" s="28"/>
      <c r="H226" s="28"/>
    </row>
    <row r="227" spans="1:8" x14ac:dyDescent="0.15">
      <c r="A227" s="6" t="s">
        <v>47</v>
      </c>
      <c r="B227" s="11">
        <v>5</v>
      </c>
      <c r="C227" s="36">
        <v>3</v>
      </c>
      <c r="D227" s="7">
        <f t="shared" si="6"/>
        <v>8</v>
      </c>
      <c r="E227" s="23">
        <v>44792</v>
      </c>
      <c r="F227" s="28"/>
      <c r="G227" s="28"/>
      <c r="H227" s="28"/>
    </row>
    <row r="228" spans="1:8" x14ac:dyDescent="0.15">
      <c r="A228" s="6" t="s">
        <v>35</v>
      </c>
      <c r="B228" s="11">
        <v>3</v>
      </c>
      <c r="C228" s="36">
        <v>3</v>
      </c>
      <c r="D228" s="7">
        <f t="shared" si="6"/>
        <v>6</v>
      </c>
      <c r="E228" s="23">
        <v>44800</v>
      </c>
      <c r="F228" s="28"/>
      <c r="G228" s="28"/>
      <c r="H228" s="28"/>
    </row>
    <row r="229" spans="1:8" x14ac:dyDescent="0.15">
      <c r="A229" s="6" t="s">
        <v>10</v>
      </c>
      <c r="B229" s="11">
        <f>1+1</f>
        <v>2</v>
      </c>
      <c r="C229" s="36">
        <v>2</v>
      </c>
      <c r="D229" s="7">
        <f t="shared" si="6"/>
        <v>4</v>
      </c>
      <c r="E229" s="23">
        <v>44809</v>
      </c>
      <c r="F229" s="28"/>
      <c r="G229" s="28"/>
      <c r="H229" s="28"/>
    </row>
    <row r="230" spans="1:8" x14ac:dyDescent="0.15">
      <c r="A230" s="6" t="s">
        <v>10</v>
      </c>
      <c r="B230" s="11">
        <f>1+1</f>
        <v>2</v>
      </c>
      <c r="C230" s="36">
        <v>1</v>
      </c>
      <c r="D230" s="7">
        <f t="shared" si="6"/>
        <v>3</v>
      </c>
      <c r="E230" s="23">
        <v>44810</v>
      </c>
      <c r="F230" s="28"/>
      <c r="G230" s="28"/>
      <c r="H230" s="28"/>
    </row>
    <row r="231" spans="1:8" x14ac:dyDescent="0.15">
      <c r="A231" s="6" t="s">
        <v>49</v>
      </c>
      <c r="B231" s="11">
        <v>5</v>
      </c>
      <c r="C231" s="36">
        <v>3</v>
      </c>
      <c r="D231" s="10">
        <f t="shared" si="6"/>
        <v>8</v>
      </c>
      <c r="E231" s="23">
        <v>44811</v>
      </c>
      <c r="F231" s="28"/>
      <c r="G231" s="28"/>
      <c r="H231" s="28"/>
    </row>
    <row r="232" spans="1:8" x14ac:dyDescent="0.15">
      <c r="A232" s="6" t="s">
        <v>10</v>
      </c>
      <c r="B232" s="11">
        <v>2</v>
      </c>
      <c r="C232" s="36"/>
      <c r="D232" s="10">
        <f t="shared" si="6"/>
        <v>2</v>
      </c>
      <c r="E232" s="23">
        <v>44811</v>
      </c>
      <c r="F232" s="28"/>
      <c r="G232" s="28"/>
      <c r="H232" s="28"/>
    </row>
    <row r="233" spans="1:8" x14ac:dyDescent="0.15">
      <c r="A233" s="6" t="s">
        <v>10</v>
      </c>
      <c r="B233" s="11"/>
      <c r="C233" s="36">
        <v>1</v>
      </c>
      <c r="D233" s="10">
        <f t="shared" si="6"/>
        <v>1</v>
      </c>
      <c r="E233" s="23">
        <v>44813</v>
      </c>
      <c r="F233" s="28"/>
      <c r="G233" s="28"/>
      <c r="H233" s="28"/>
    </row>
    <row r="234" spans="1:8" x14ac:dyDescent="0.15">
      <c r="A234" s="6" t="s">
        <v>10</v>
      </c>
      <c r="B234" s="11">
        <v>1</v>
      </c>
      <c r="C234" s="36"/>
      <c r="D234" s="10">
        <f t="shared" si="6"/>
        <v>1</v>
      </c>
      <c r="E234" s="23">
        <v>44816</v>
      </c>
      <c r="F234" s="28"/>
      <c r="G234" s="28"/>
      <c r="H234" s="28"/>
    </row>
    <row r="235" spans="1:8" x14ac:dyDescent="0.15">
      <c r="A235" s="6" t="s">
        <v>35</v>
      </c>
      <c r="B235" s="11">
        <v>5</v>
      </c>
      <c r="C235" s="36"/>
      <c r="D235" s="10">
        <f t="shared" si="6"/>
        <v>5</v>
      </c>
      <c r="E235" s="23">
        <v>44817</v>
      </c>
      <c r="F235" s="28"/>
      <c r="G235" s="28"/>
      <c r="H235" s="28"/>
    </row>
    <row r="236" spans="1:8" x14ac:dyDescent="0.15">
      <c r="A236" s="6" t="s">
        <v>10</v>
      </c>
      <c r="B236" s="11">
        <f>1+1</f>
        <v>2</v>
      </c>
      <c r="C236" s="36">
        <v>1</v>
      </c>
      <c r="D236" s="10">
        <f t="shared" si="6"/>
        <v>3</v>
      </c>
      <c r="E236" s="23">
        <v>44824</v>
      </c>
      <c r="F236" s="28"/>
      <c r="G236" s="28"/>
      <c r="H236" s="28"/>
    </row>
    <row r="237" spans="1:8" x14ac:dyDescent="0.15">
      <c r="A237" s="6" t="s">
        <v>10</v>
      </c>
      <c r="B237" s="11">
        <v>1</v>
      </c>
      <c r="C237" s="36">
        <v>1</v>
      </c>
      <c r="D237" s="10">
        <f t="shared" si="6"/>
        <v>2</v>
      </c>
      <c r="E237" s="23">
        <v>44825</v>
      </c>
      <c r="F237" s="28"/>
      <c r="G237" s="28"/>
      <c r="H237" s="28"/>
    </row>
    <row r="238" spans="1:8" x14ac:dyDescent="0.15">
      <c r="A238" s="6" t="s">
        <v>10</v>
      </c>
      <c r="B238" s="11">
        <v>1</v>
      </c>
      <c r="C238" s="36">
        <v>1</v>
      </c>
      <c r="D238" s="10">
        <f t="shared" si="6"/>
        <v>2</v>
      </c>
      <c r="E238" s="23">
        <v>44826</v>
      </c>
      <c r="F238" s="28"/>
      <c r="G238" s="28"/>
      <c r="H238" s="28"/>
    </row>
    <row r="239" spans="1:8" x14ac:dyDescent="0.15">
      <c r="A239" s="6" t="s">
        <v>10</v>
      </c>
      <c r="B239" s="11">
        <v>3</v>
      </c>
      <c r="C239" s="36">
        <v>2</v>
      </c>
      <c r="D239" s="10">
        <f t="shared" si="6"/>
        <v>5</v>
      </c>
      <c r="E239" s="23">
        <v>44830</v>
      </c>
      <c r="F239" s="28"/>
      <c r="G239" s="28"/>
      <c r="H239" s="28"/>
    </row>
    <row r="240" spans="1:8" x14ac:dyDescent="0.15">
      <c r="A240" s="6" t="s">
        <v>50</v>
      </c>
      <c r="B240" s="11">
        <v>3</v>
      </c>
      <c r="C240" s="36">
        <v>3</v>
      </c>
      <c r="D240" s="10">
        <f t="shared" si="6"/>
        <v>6</v>
      </c>
      <c r="E240" s="23">
        <v>44832</v>
      </c>
      <c r="F240" s="28"/>
      <c r="G240" s="28"/>
      <c r="H240" s="28"/>
    </row>
    <row r="241" spans="1:8" x14ac:dyDescent="0.15">
      <c r="A241" s="6" t="s">
        <v>10</v>
      </c>
      <c r="B241" s="11">
        <v>2</v>
      </c>
      <c r="C241" s="36"/>
      <c r="D241" s="10">
        <f t="shared" si="6"/>
        <v>2</v>
      </c>
      <c r="E241" s="23">
        <v>44833</v>
      </c>
      <c r="F241" s="28"/>
      <c r="G241" s="28"/>
      <c r="H241" s="28"/>
    </row>
    <row r="242" spans="1:8" x14ac:dyDescent="0.15">
      <c r="A242" s="6" t="s">
        <v>10</v>
      </c>
      <c r="B242" s="11">
        <v>1</v>
      </c>
      <c r="C242" s="36"/>
      <c r="D242" s="10">
        <f t="shared" si="6"/>
        <v>1</v>
      </c>
      <c r="E242" s="23">
        <v>44834</v>
      </c>
      <c r="F242" s="28"/>
      <c r="G242" s="28"/>
      <c r="H242" s="28"/>
    </row>
    <row r="243" spans="1:8" x14ac:dyDescent="0.15">
      <c r="A243" s="6" t="s">
        <v>35</v>
      </c>
      <c r="B243" s="11">
        <v>8</v>
      </c>
      <c r="C243" s="36">
        <v>4</v>
      </c>
      <c r="D243" s="10">
        <f t="shared" si="6"/>
        <v>12</v>
      </c>
      <c r="E243" s="23">
        <v>44838</v>
      </c>
      <c r="F243" s="28"/>
      <c r="G243" s="28"/>
      <c r="H243" s="28"/>
    </row>
    <row r="244" spans="1:8" x14ac:dyDescent="0.15">
      <c r="A244" s="6" t="s">
        <v>10</v>
      </c>
      <c r="B244" s="11">
        <v>1</v>
      </c>
      <c r="C244" s="36">
        <v>1</v>
      </c>
      <c r="D244" s="10">
        <f t="shared" si="6"/>
        <v>2</v>
      </c>
      <c r="E244" s="23">
        <v>44839</v>
      </c>
      <c r="F244" s="57"/>
      <c r="G244" s="28"/>
      <c r="H244" s="28"/>
    </row>
    <row r="245" spans="1:8" x14ac:dyDescent="0.15">
      <c r="A245" s="6" t="s">
        <v>10</v>
      </c>
      <c r="B245" s="11">
        <f>1+1</f>
        <v>2</v>
      </c>
      <c r="C245" s="36"/>
      <c r="D245" s="10">
        <f t="shared" si="6"/>
        <v>2</v>
      </c>
      <c r="E245" s="23">
        <v>44840</v>
      </c>
      <c r="F245" s="28"/>
      <c r="G245" s="28"/>
      <c r="H245" s="28"/>
    </row>
    <row r="246" spans="1:8" x14ac:dyDescent="0.15">
      <c r="A246" s="6" t="s">
        <v>10</v>
      </c>
      <c r="B246" s="11"/>
      <c r="C246" s="36">
        <v>1</v>
      </c>
      <c r="D246" s="10">
        <f t="shared" si="6"/>
        <v>1</v>
      </c>
      <c r="E246" s="23">
        <v>44841</v>
      </c>
      <c r="F246" s="28"/>
      <c r="G246" s="28"/>
      <c r="H246" s="28"/>
    </row>
    <row r="247" spans="1:8" x14ac:dyDescent="0.15">
      <c r="A247" s="6" t="s">
        <v>10</v>
      </c>
      <c r="B247" s="11">
        <f>2+2</f>
        <v>4</v>
      </c>
      <c r="C247" s="36"/>
      <c r="D247" s="10">
        <f t="shared" si="6"/>
        <v>4</v>
      </c>
      <c r="E247" s="23">
        <v>44845</v>
      </c>
      <c r="F247" s="28"/>
      <c r="G247" s="28"/>
      <c r="H247" s="28"/>
    </row>
    <row r="248" spans="1:8" x14ac:dyDescent="0.15">
      <c r="A248" s="6" t="s">
        <v>10</v>
      </c>
      <c r="B248" s="11">
        <v>1</v>
      </c>
      <c r="C248" s="36">
        <v>1</v>
      </c>
      <c r="D248" s="10">
        <f t="shared" si="6"/>
        <v>2</v>
      </c>
      <c r="E248" s="23">
        <v>44847</v>
      </c>
      <c r="F248" s="28"/>
      <c r="G248" s="28"/>
      <c r="H248" s="28"/>
    </row>
    <row r="249" spans="1:8" ht="14.25" thickBot="1" x14ac:dyDescent="0.2">
      <c r="A249" s="6" t="s">
        <v>10</v>
      </c>
      <c r="B249" s="11">
        <v>4</v>
      </c>
      <c r="C249" s="36">
        <v>3</v>
      </c>
      <c r="D249" s="10">
        <f t="shared" si="6"/>
        <v>7</v>
      </c>
      <c r="E249" s="23">
        <v>44851</v>
      </c>
      <c r="F249" s="28"/>
      <c r="G249" s="28"/>
      <c r="H249" s="28"/>
    </row>
    <row r="250" spans="1:8" ht="14.25" thickBot="1" x14ac:dyDescent="0.2">
      <c r="A250" s="5" t="s">
        <v>5</v>
      </c>
      <c r="B250" s="13">
        <f>SUM(B226:B249)</f>
        <v>59</v>
      </c>
      <c r="C250" s="13">
        <f>SUM(C226:C249)</f>
        <v>32</v>
      </c>
      <c r="D250" s="14">
        <f t="shared" si="6"/>
        <v>91</v>
      </c>
      <c r="E250" s="1"/>
    </row>
    <row r="251" spans="1:8" ht="14.25" thickBot="1" x14ac:dyDescent="0.2">
      <c r="A251" s="21" t="s">
        <v>6</v>
      </c>
      <c r="B251" s="22">
        <f>B225-B250</f>
        <v>48</v>
      </c>
      <c r="C251" s="22">
        <f>C225-C250</f>
        <v>19</v>
      </c>
      <c r="D251" s="20">
        <f>D225-D250</f>
        <v>67</v>
      </c>
      <c r="E251" s="1"/>
    </row>
    <row r="253" spans="1:8" ht="21" x14ac:dyDescent="0.15">
      <c r="A253" s="32"/>
    </row>
    <row r="254" spans="1:8" ht="19.5" thickBot="1" x14ac:dyDescent="0.25">
      <c r="A254" s="2" t="s">
        <v>51</v>
      </c>
      <c r="B254" s="3"/>
      <c r="C254" s="3"/>
      <c r="D254" s="3"/>
      <c r="E254" s="43" t="s">
        <v>33</v>
      </c>
      <c r="F254">
        <v>1596</v>
      </c>
    </row>
    <row r="255" spans="1:8" ht="14.25" thickBot="1" x14ac:dyDescent="0.2">
      <c r="A255" s="4" t="s">
        <v>1</v>
      </c>
      <c r="B255" s="5" t="s">
        <v>25</v>
      </c>
      <c r="C255" s="4" t="s">
        <v>26</v>
      </c>
      <c r="D255" s="4" t="s">
        <v>2</v>
      </c>
      <c r="E255" s="1"/>
    </row>
    <row r="256" spans="1:8" ht="14.25" thickBot="1" x14ac:dyDescent="0.2">
      <c r="A256" s="4" t="s">
        <v>6</v>
      </c>
      <c r="B256" s="45">
        <f>B251</f>
        <v>48</v>
      </c>
      <c r="C256" s="46">
        <f>C251</f>
        <v>19</v>
      </c>
      <c r="D256" s="14">
        <f t="shared" ref="D256:D292" si="7">SUM(B256:C256)</f>
        <v>67</v>
      </c>
      <c r="E256" s="23"/>
    </row>
    <row r="257" spans="1:8" x14ac:dyDescent="0.15">
      <c r="A257" s="44" t="s">
        <v>3</v>
      </c>
      <c r="B257" s="16"/>
      <c r="C257" s="6">
        <v>10</v>
      </c>
      <c r="D257" s="7">
        <f t="shared" si="7"/>
        <v>10</v>
      </c>
      <c r="E257" s="23">
        <v>44858</v>
      </c>
    </row>
    <row r="258" spans="1:8" x14ac:dyDescent="0.15">
      <c r="A258" s="8" t="s">
        <v>3</v>
      </c>
      <c r="B258" s="15"/>
      <c r="C258" s="12">
        <v>40</v>
      </c>
      <c r="D258" s="7">
        <f t="shared" ref="D258:D263" si="8">SUM(B258:C258)</f>
        <v>40</v>
      </c>
      <c r="E258" s="23">
        <v>44867</v>
      </c>
      <c r="F258" s="28"/>
    </row>
    <row r="259" spans="1:8" x14ac:dyDescent="0.15">
      <c r="A259" s="8" t="s">
        <v>3</v>
      </c>
      <c r="B259" s="15">
        <v>60</v>
      </c>
      <c r="C259" s="12"/>
      <c r="D259" s="7">
        <f t="shared" si="8"/>
        <v>60</v>
      </c>
      <c r="E259" s="23">
        <v>44903</v>
      </c>
      <c r="F259" s="28"/>
    </row>
    <row r="260" spans="1:8" x14ac:dyDescent="0.15">
      <c r="A260" s="8" t="s">
        <v>3</v>
      </c>
      <c r="B260" s="15"/>
      <c r="C260" s="12"/>
      <c r="D260" s="7">
        <f t="shared" si="8"/>
        <v>0</v>
      </c>
      <c r="E260" s="23"/>
      <c r="F260" s="28"/>
    </row>
    <row r="261" spans="1:8" x14ac:dyDescent="0.15">
      <c r="A261" s="8" t="s">
        <v>3</v>
      </c>
      <c r="B261" s="15"/>
      <c r="C261" s="12"/>
      <c r="D261" s="7">
        <f t="shared" si="8"/>
        <v>0</v>
      </c>
      <c r="E261" s="23"/>
    </row>
    <row r="262" spans="1:8" x14ac:dyDescent="0.15">
      <c r="A262" s="8" t="s">
        <v>3</v>
      </c>
      <c r="B262" s="15"/>
      <c r="C262" s="12"/>
      <c r="D262" s="7">
        <f t="shared" si="8"/>
        <v>0</v>
      </c>
      <c r="E262" s="23"/>
    </row>
    <row r="263" spans="1:8" x14ac:dyDescent="0.15">
      <c r="A263" s="8" t="s">
        <v>3</v>
      </c>
      <c r="B263" s="15"/>
      <c r="C263" s="12"/>
      <c r="D263" s="7">
        <f t="shared" si="8"/>
        <v>0</v>
      </c>
      <c r="E263" s="23"/>
    </row>
    <row r="264" spans="1:8" x14ac:dyDescent="0.15">
      <c r="A264" s="8" t="s">
        <v>3</v>
      </c>
      <c r="B264" s="15"/>
      <c r="C264" s="12"/>
      <c r="D264" s="7">
        <f t="shared" si="7"/>
        <v>0</v>
      </c>
      <c r="E264" s="23"/>
    </row>
    <row r="265" spans="1:8" x14ac:dyDescent="0.15">
      <c r="A265" s="8" t="s">
        <v>3</v>
      </c>
      <c r="B265" s="31"/>
      <c r="C265" s="40"/>
      <c r="D265" s="10">
        <f t="shared" si="7"/>
        <v>0</v>
      </c>
      <c r="E265" s="23"/>
    </row>
    <row r="266" spans="1:8" ht="14.25" thickBot="1" x14ac:dyDescent="0.2">
      <c r="A266" s="8" t="s">
        <v>3</v>
      </c>
      <c r="B266" s="31"/>
      <c r="C266" s="40"/>
      <c r="D266" s="17">
        <f t="shared" si="7"/>
        <v>0</v>
      </c>
      <c r="E266" s="23"/>
    </row>
    <row r="267" spans="1:8" ht="14.25" thickBot="1" x14ac:dyDescent="0.2">
      <c r="A267" s="18" t="s">
        <v>4</v>
      </c>
      <c r="B267" s="19">
        <f>SUM(B256:B266)</f>
        <v>108</v>
      </c>
      <c r="C267" s="19">
        <f>SUM(C256:C266)</f>
        <v>69</v>
      </c>
      <c r="D267" s="20">
        <f t="shared" si="7"/>
        <v>177</v>
      </c>
      <c r="E267" s="1"/>
    </row>
    <row r="268" spans="1:8" x14ac:dyDescent="0.15">
      <c r="A268" s="6" t="s">
        <v>52</v>
      </c>
      <c r="B268" s="11">
        <v>10</v>
      </c>
      <c r="C268" s="36">
        <v>10</v>
      </c>
      <c r="D268" s="7">
        <f t="shared" si="7"/>
        <v>20</v>
      </c>
      <c r="E268" s="23">
        <v>44851</v>
      </c>
      <c r="F268" s="28"/>
      <c r="G268" s="28"/>
      <c r="H268" s="28"/>
    </row>
    <row r="269" spans="1:8" x14ac:dyDescent="0.15">
      <c r="A269" s="6" t="s">
        <v>10</v>
      </c>
      <c r="B269" s="11"/>
      <c r="C269" s="36">
        <v>2</v>
      </c>
      <c r="D269" s="7">
        <f t="shared" si="7"/>
        <v>2</v>
      </c>
      <c r="E269" s="23">
        <v>44858</v>
      </c>
      <c r="F269" s="28"/>
      <c r="G269" s="28"/>
      <c r="H269" s="28"/>
    </row>
    <row r="270" spans="1:8" x14ac:dyDescent="0.15">
      <c r="A270" s="6" t="s">
        <v>35</v>
      </c>
      <c r="B270" s="11">
        <v>10</v>
      </c>
      <c r="C270" s="36">
        <v>5</v>
      </c>
      <c r="D270" s="7">
        <f t="shared" si="7"/>
        <v>15</v>
      </c>
      <c r="E270" s="23">
        <v>44859</v>
      </c>
      <c r="F270" s="28"/>
      <c r="G270" s="28"/>
      <c r="H270" s="28"/>
    </row>
    <row r="271" spans="1:8" x14ac:dyDescent="0.15">
      <c r="A271" s="6" t="s">
        <v>10</v>
      </c>
      <c r="B271" s="11"/>
      <c r="C271" s="36">
        <v>1</v>
      </c>
      <c r="D271" s="7">
        <f t="shared" si="7"/>
        <v>1</v>
      </c>
      <c r="E271" s="23">
        <v>44861</v>
      </c>
      <c r="F271" s="28"/>
      <c r="G271" s="28"/>
      <c r="H271" s="28"/>
    </row>
    <row r="272" spans="1:8" x14ac:dyDescent="0.15">
      <c r="A272" s="6" t="s">
        <v>10</v>
      </c>
      <c r="B272" s="11"/>
      <c r="C272" s="36">
        <v>1</v>
      </c>
      <c r="D272" s="7">
        <f t="shared" si="7"/>
        <v>1</v>
      </c>
      <c r="E272" s="23">
        <v>44862</v>
      </c>
      <c r="F272" s="28"/>
      <c r="G272" s="28"/>
      <c r="H272" s="28"/>
    </row>
    <row r="273" spans="1:8" x14ac:dyDescent="0.15">
      <c r="A273" s="6" t="s">
        <v>10</v>
      </c>
      <c r="B273" s="11">
        <v>1</v>
      </c>
      <c r="C273" s="36">
        <v>1</v>
      </c>
      <c r="D273" s="10">
        <f t="shared" si="7"/>
        <v>2</v>
      </c>
      <c r="E273" s="23">
        <v>44863</v>
      </c>
      <c r="F273" s="28"/>
      <c r="G273" s="28"/>
      <c r="H273" s="28"/>
    </row>
    <row r="274" spans="1:8" x14ac:dyDescent="0.15">
      <c r="A274" s="6" t="s">
        <v>35</v>
      </c>
      <c r="B274" s="11">
        <v>5</v>
      </c>
      <c r="C274" s="36">
        <v>5</v>
      </c>
      <c r="D274" s="10">
        <f t="shared" si="7"/>
        <v>10</v>
      </c>
      <c r="E274" s="23">
        <v>44863</v>
      </c>
      <c r="F274" s="28"/>
      <c r="G274" s="28"/>
      <c r="H274" s="28"/>
    </row>
    <row r="275" spans="1:8" x14ac:dyDescent="0.15">
      <c r="A275" s="6" t="s">
        <v>10</v>
      </c>
      <c r="B275" s="11">
        <v>2</v>
      </c>
      <c r="C275" s="36"/>
      <c r="D275" s="10">
        <f t="shared" si="7"/>
        <v>2</v>
      </c>
      <c r="E275" s="23">
        <v>44865</v>
      </c>
      <c r="F275" s="28"/>
      <c r="G275" s="28"/>
      <c r="H275" s="28"/>
    </row>
    <row r="276" spans="1:8" x14ac:dyDescent="0.15">
      <c r="A276" s="6" t="s">
        <v>10</v>
      </c>
      <c r="B276" s="11">
        <v>1</v>
      </c>
      <c r="C276" s="36"/>
      <c r="D276" s="10">
        <f t="shared" si="7"/>
        <v>1</v>
      </c>
      <c r="E276" s="23">
        <v>44872</v>
      </c>
      <c r="F276" s="28"/>
      <c r="G276" s="28"/>
      <c r="H276" s="28"/>
    </row>
    <row r="277" spans="1:8" x14ac:dyDescent="0.15">
      <c r="A277" s="6" t="s">
        <v>10</v>
      </c>
      <c r="B277" s="11">
        <v>2</v>
      </c>
      <c r="C277" s="36"/>
      <c r="D277" s="10">
        <f t="shared" si="7"/>
        <v>2</v>
      </c>
      <c r="E277" s="23">
        <v>44873</v>
      </c>
      <c r="F277" s="28"/>
      <c r="G277" s="28"/>
      <c r="H277" s="28"/>
    </row>
    <row r="278" spans="1:8" x14ac:dyDescent="0.15">
      <c r="A278" s="6" t="s">
        <v>10</v>
      </c>
      <c r="B278" s="11">
        <v>4</v>
      </c>
      <c r="C278" s="36"/>
      <c r="D278" s="10">
        <f t="shared" si="7"/>
        <v>4</v>
      </c>
      <c r="E278" s="23">
        <v>44874</v>
      </c>
      <c r="F278" s="28"/>
      <c r="G278" s="28"/>
      <c r="H278" s="28"/>
    </row>
    <row r="279" spans="1:8" x14ac:dyDescent="0.15">
      <c r="A279" s="6" t="s">
        <v>10</v>
      </c>
      <c r="B279" s="11">
        <v>1</v>
      </c>
      <c r="C279" s="36"/>
      <c r="D279" s="10">
        <f t="shared" si="7"/>
        <v>1</v>
      </c>
      <c r="E279" s="23">
        <v>44875</v>
      </c>
      <c r="F279" s="28"/>
      <c r="G279" s="28"/>
      <c r="H279" s="28"/>
    </row>
    <row r="280" spans="1:8" x14ac:dyDescent="0.15">
      <c r="A280" s="6" t="s">
        <v>10</v>
      </c>
      <c r="B280" s="11">
        <v>1</v>
      </c>
      <c r="C280" s="36"/>
      <c r="D280" s="10">
        <f t="shared" si="7"/>
        <v>1</v>
      </c>
      <c r="E280" s="23">
        <v>44876</v>
      </c>
      <c r="F280" s="28"/>
      <c r="G280" s="28"/>
      <c r="H280" s="28"/>
    </row>
    <row r="281" spans="1:8" x14ac:dyDescent="0.15">
      <c r="A281" s="6" t="s">
        <v>10</v>
      </c>
      <c r="B281" s="11">
        <f>2+1</f>
        <v>3</v>
      </c>
      <c r="C281" s="36">
        <v>2</v>
      </c>
      <c r="D281" s="10">
        <f t="shared" si="7"/>
        <v>5</v>
      </c>
      <c r="E281" s="23">
        <v>44879</v>
      </c>
      <c r="F281" s="28"/>
      <c r="G281" s="28"/>
      <c r="H281" s="28"/>
    </row>
    <row r="282" spans="1:8" x14ac:dyDescent="0.15">
      <c r="A282" s="6" t="s">
        <v>35</v>
      </c>
      <c r="B282" s="11"/>
      <c r="C282" s="36">
        <v>10</v>
      </c>
      <c r="D282" s="10">
        <f t="shared" si="7"/>
        <v>10</v>
      </c>
      <c r="E282" s="23">
        <v>44884</v>
      </c>
      <c r="F282" s="28"/>
      <c r="G282" s="28"/>
      <c r="H282" s="28"/>
    </row>
    <row r="283" spans="1:8" x14ac:dyDescent="0.15">
      <c r="A283" s="6" t="s">
        <v>10</v>
      </c>
      <c r="B283" s="11">
        <v>2</v>
      </c>
      <c r="C283" s="36"/>
      <c r="D283" s="10">
        <f t="shared" si="7"/>
        <v>2</v>
      </c>
      <c r="E283" s="23">
        <v>44883</v>
      </c>
      <c r="F283" s="28"/>
      <c r="G283" s="28"/>
      <c r="H283" s="28"/>
    </row>
    <row r="284" spans="1:8" x14ac:dyDescent="0.15">
      <c r="A284" s="6" t="s">
        <v>10</v>
      </c>
      <c r="B284" s="11"/>
      <c r="C284" s="36">
        <v>1</v>
      </c>
      <c r="D284" s="10">
        <f t="shared" si="7"/>
        <v>1</v>
      </c>
      <c r="E284" s="23">
        <v>44884</v>
      </c>
      <c r="F284" s="28"/>
      <c r="G284" s="28"/>
      <c r="H284" s="28"/>
    </row>
    <row r="285" spans="1:8" x14ac:dyDescent="0.15">
      <c r="A285" s="6" t="s">
        <v>10</v>
      </c>
      <c r="B285" s="11">
        <v>2</v>
      </c>
      <c r="C285" s="36">
        <v>1</v>
      </c>
      <c r="D285" s="10">
        <f t="shared" si="7"/>
        <v>3</v>
      </c>
      <c r="E285" s="23">
        <v>44886</v>
      </c>
      <c r="F285" s="28"/>
      <c r="G285" s="28"/>
      <c r="H285" s="28"/>
    </row>
    <row r="286" spans="1:8" x14ac:dyDescent="0.15">
      <c r="A286" s="6" t="s">
        <v>10</v>
      </c>
      <c r="B286" s="11"/>
      <c r="C286" s="36">
        <f>1+2</f>
        <v>3</v>
      </c>
      <c r="D286" s="10">
        <f t="shared" si="7"/>
        <v>3</v>
      </c>
      <c r="E286" s="23">
        <v>44889</v>
      </c>
      <c r="F286" s="57"/>
      <c r="G286" s="28"/>
      <c r="H286" s="28"/>
    </row>
    <row r="287" spans="1:8" x14ac:dyDescent="0.15">
      <c r="A287" s="6" t="s">
        <v>10</v>
      </c>
      <c r="B287" s="11"/>
      <c r="C287" s="36">
        <v>1</v>
      </c>
      <c r="D287" s="10">
        <f t="shared" si="7"/>
        <v>1</v>
      </c>
      <c r="E287" s="23">
        <v>44893</v>
      </c>
      <c r="F287" s="28"/>
      <c r="G287" s="28"/>
      <c r="H287" s="28"/>
    </row>
    <row r="288" spans="1:8" x14ac:dyDescent="0.15">
      <c r="A288" s="6" t="s">
        <v>10</v>
      </c>
      <c r="B288" s="11"/>
      <c r="C288" s="36">
        <v>3</v>
      </c>
      <c r="D288" s="10">
        <f t="shared" si="7"/>
        <v>3</v>
      </c>
      <c r="E288" s="23">
        <v>44894</v>
      </c>
      <c r="F288" s="28"/>
      <c r="G288" s="28"/>
      <c r="H288" s="28"/>
    </row>
    <row r="289" spans="1:8" x14ac:dyDescent="0.15">
      <c r="A289" s="6" t="s">
        <v>10</v>
      </c>
      <c r="B289" s="11"/>
      <c r="C289" s="36">
        <v>1</v>
      </c>
      <c r="D289" s="10">
        <f t="shared" si="7"/>
        <v>1</v>
      </c>
      <c r="E289" s="23">
        <v>44897</v>
      </c>
      <c r="F289" s="28"/>
      <c r="G289" s="28"/>
      <c r="H289" s="28"/>
    </row>
    <row r="290" spans="1:8" x14ac:dyDescent="0.15">
      <c r="A290" s="6" t="s">
        <v>10</v>
      </c>
      <c r="B290" s="11">
        <f>1+1</f>
        <v>2</v>
      </c>
      <c r="C290" s="36"/>
      <c r="D290" s="10">
        <f t="shared" si="7"/>
        <v>2</v>
      </c>
      <c r="E290" s="23">
        <v>44900</v>
      </c>
      <c r="F290" s="28"/>
      <c r="G290" s="28"/>
      <c r="H290" s="28"/>
    </row>
    <row r="291" spans="1:8" ht="14.25" thickBot="1" x14ac:dyDescent="0.2">
      <c r="A291" s="6" t="s">
        <v>10</v>
      </c>
      <c r="B291" s="11">
        <v>1</v>
      </c>
      <c r="C291" s="36">
        <v>4</v>
      </c>
      <c r="D291" s="10">
        <f t="shared" si="7"/>
        <v>5</v>
      </c>
      <c r="E291" s="23">
        <v>44901</v>
      </c>
      <c r="F291" s="28"/>
      <c r="G291" s="28"/>
      <c r="H291" s="28"/>
    </row>
    <row r="292" spans="1:8" ht="14.25" thickBot="1" x14ac:dyDescent="0.2">
      <c r="A292" s="5" t="s">
        <v>5</v>
      </c>
      <c r="B292" s="13">
        <f>SUM(B268:B291)</f>
        <v>47</v>
      </c>
      <c r="C292" s="13">
        <f>SUM(C268:C291)</f>
        <v>51</v>
      </c>
      <c r="D292" s="14">
        <f t="shared" si="7"/>
        <v>98</v>
      </c>
      <c r="E292" s="1"/>
    </row>
    <row r="293" spans="1:8" ht="14.25" thickBot="1" x14ac:dyDescent="0.2">
      <c r="A293" s="21" t="s">
        <v>6</v>
      </c>
      <c r="B293" s="22">
        <f>B267-B292</f>
        <v>61</v>
      </c>
      <c r="C293" s="22">
        <f>C267-C292</f>
        <v>18</v>
      </c>
      <c r="D293" s="20">
        <f>D267-D292</f>
        <v>79</v>
      </c>
      <c r="E293" s="1"/>
    </row>
    <row r="295" spans="1:8" x14ac:dyDescent="0.15">
      <c r="A295">
        <v>1596</v>
      </c>
    </row>
    <row r="296" spans="1:8" ht="19.5" thickBot="1" x14ac:dyDescent="0.25">
      <c r="A296" s="2" t="s">
        <v>51</v>
      </c>
      <c r="B296" s="3"/>
      <c r="C296" s="3"/>
      <c r="D296" s="3"/>
    </row>
    <row r="297" spans="1:8" ht="14.25" thickBot="1" x14ac:dyDescent="0.2">
      <c r="A297" s="4" t="s">
        <v>1</v>
      </c>
      <c r="B297" s="5" t="s">
        <v>25</v>
      </c>
      <c r="C297" s="4" t="s">
        <v>26</v>
      </c>
      <c r="D297" s="4" t="s">
        <v>2</v>
      </c>
    </row>
    <row r="298" spans="1:8" ht="14.25" thickBot="1" x14ac:dyDescent="0.2">
      <c r="A298" s="4" t="s">
        <v>6</v>
      </c>
      <c r="B298" s="45">
        <f>B293</f>
        <v>61</v>
      </c>
      <c r="C298" s="46">
        <f>C293</f>
        <v>18</v>
      </c>
      <c r="D298" s="14">
        <f t="shared" ref="D298:D334" si="9">SUM(B298:C298)</f>
        <v>79</v>
      </c>
    </row>
    <row r="299" spans="1:8" x14ac:dyDescent="0.15">
      <c r="A299" s="8" t="s">
        <v>3</v>
      </c>
      <c r="B299" s="15"/>
      <c r="C299" s="12"/>
      <c r="D299" s="7">
        <f t="shared" ref="D299:D300" si="10">SUM(B299:C299)</f>
        <v>0</v>
      </c>
      <c r="E299" s="28"/>
    </row>
    <row r="300" spans="1:8" x14ac:dyDescent="0.15">
      <c r="A300" s="8" t="s">
        <v>3</v>
      </c>
      <c r="B300" s="15"/>
      <c r="C300" s="12"/>
      <c r="D300" s="7">
        <f t="shared" si="10"/>
        <v>0</v>
      </c>
      <c r="E300" s="28"/>
    </row>
    <row r="301" spans="1:8" x14ac:dyDescent="0.15">
      <c r="A301" s="8" t="s">
        <v>3</v>
      </c>
      <c r="B301" s="15"/>
      <c r="C301" s="12"/>
      <c r="D301" s="7">
        <f t="shared" si="9"/>
        <v>0</v>
      </c>
      <c r="E301" s="28"/>
    </row>
    <row r="302" spans="1:8" x14ac:dyDescent="0.15">
      <c r="A302" s="8" t="s">
        <v>3</v>
      </c>
      <c r="B302" s="15"/>
      <c r="C302" s="12"/>
      <c r="D302" s="7">
        <f t="shared" si="9"/>
        <v>0</v>
      </c>
    </row>
    <row r="303" spans="1:8" x14ac:dyDescent="0.15">
      <c r="A303" s="8" t="s">
        <v>3</v>
      </c>
      <c r="B303" s="15"/>
      <c r="C303" s="12"/>
      <c r="D303" s="7">
        <f t="shared" si="9"/>
        <v>0</v>
      </c>
    </row>
    <row r="304" spans="1:8" x14ac:dyDescent="0.15">
      <c r="A304" s="8" t="s">
        <v>3</v>
      </c>
      <c r="B304" s="15"/>
      <c r="C304" s="12"/>
      <c r="D304" s="7">
        <f t="shared" si="9"/>
        <v>0</v>
      </c>
    </row>
    <row r="305" spans="1:5" x14ac:dyDescent="0.15">
      <c r="A305" s="8" t="s">
        <v>3</v>
      </c>
      <c r="B305" s="15"/>
      <c r="C305" s="12"/>
      <c r="D305" s="7">
        <f t="shared" si="9"/>
        <v>0</v>
      </c>
    </row>
    <row r="306" spans="1:5" x14ac:dyDescent="0.15">
      <c r="A306" s="8" t="s">
        <v>3</v>
      </c>
      <c r="B306" s="15"/>
      <c r="C306" s="12"/>
      <c r="D306" s="7">
        <f t="shared" si="9"/>
        <v>0</v>
      </c>
    </row>
    <row r="307" spans="1:5" x14ac:dyDescent="0.15">
      <c r="A307" s="8" t="s">
        <v>3</v>
      </c>
      <c r="B307" s="31"/>
      <c r="C307" s="40"/>
      <c r="D307" s="10">
        <f t="shared" si="9"/>
        <v>0</v>
      </c>
    </row>
    <row r="308" spans="1:5" ht="14.25" thickBot="1" x14ac:dyDescent="0.2">
      <c r="A308" s="8" t="s">
        <v>3</v>
      </c>
      <c r="B308" s="31"/>
      <c r="C308" s="40"/>
      <c r="D308" s="17">
        <f t="shared" si="9"/>
        <v>0</v>
      </c>
    </row>
    <row r="309" spans="1:5" ht="14.25" thickBot="1" x14ac:dyDescent="0.2">
      <c r="A309" s="18" t="s">
        <v>4</v>
      </c>
      <c r="B309" s="19">
        <f>SUM(B298:B308)</f>
        <v>61</v>
      </c>
      <c r="C309" s="19">
        <f>SUM(C298:C308)</f>
        <v>18</v>
      </c>
      <c r="D309" s="20">
        <f t="shared" si="9"/>
        <v>79</v>
      </c>
    </row>
    <row r="310" spans="1:5" x14ac:dyDescent="0.15">
      <c r="A310" s="6" t="s">
        <v>10</v>
      </c>
      <c r="B310" s="11"/>
      <c r="C310" s="36">
        <v>1</v>
      </c>
      <c r="D310" s="7">
        <f t="shared" si="9"/>
        <v>1</v>
      </c>
      <c r="E310" s="66">
        <v>44902</v>
      </c>
    </row>
    <row r="311" spans="1:5" x14ac:dyDescent="0.15">
      <c r="A311" s="6" t="s">
        <v>35</v>
      </c>
      <c r="B311" s="11">
        <v>20</v>
      </c>
      <c r="C311" s="36"/>
      <c r="D311" s="7">
        <f t="shared" si="9"/>
        <v>20</v>
      </c>
      <c r="E311" s="26">
        <v>44904</v>
      </c>
    </row>
    <row r="312" spans="1:5" x14ac:dyDescent="0.15">
      <c r="A312" s="6" t="s">
        <v>10</v>
      </c>
      <c r="B312" s="11">
        <f>1+2</f>
        <v>3</v>
      </c>
      <c r="C312" s="36"/>
      <c r="D312" s="7">
        <f t="shared" si="9"/>
        <v>3</v>
      </c>
      <c r="E312" s="66">
        <v>44904</v>
      </c>
    </row>
    <row r="313" spans="1:5" x14ac:dyDescent="0.15">
      <c r="A313" s="6" t="s">
        <v>10</v>
      </c>
      <c r="B313" s="11">
        <f>1+2+5</f>
        <v>8</v>
      </c>
      <c r="C313" s="36">
        <f>2+1</f>
        <v>3</v>
      </c>
      <c r="D313" s="7">
        <f t="shared" si="9"/>
        <v>11</v>
      </c>
      <c r="E313" s="66">
        <v>44907</v>
      </c>
    </row>
    <row r="314" spans="1:5" x14ac:dyDescent="0.15">
      <c r="A314" s="6" t="s">
        <v>10</v>
      </c>
      <c r="B314" s="11">
        <v>1</v>
      </c>
      <c r="C314" s="36">
        <v>1</v>
      </c>
      <c r="D314" s="7">
        <f t="shared" si="9"/>
        <v>2</v>
      </c>
      <c r="E314" s="66">
        <v>44909</v>
      </c>
    </row>
    <row r="315" spans="1:5" x14ac:dyDescent="0.15">
      <c r="A315" s="6" t="s">
        <v>10</v>
      </c>
      <c r="B315" s="11">
        <f>1+O3182</f>
        <v>1</v>
      </c>
      <c r="C315" s="36"/>
      <c r="D315" s="10">
        <f t="shared" si="9"/>
        <v>1</v>
      </c>
      <c r="E315" s="66">
        <v>44910</v>
      </c>
    </row>
    <row r="316" spans="1:5" x14ac:dyDescent="0.15">
      <c r="A316" s="6" t="s">
        <v>10</v>
      </c>
      <c r="B316" s="11">
        <v>1</v>
      </c>
      <c r="C316" s="36">
        <v>1</v>
      </c>
      <c r="D316" s="10">
        <f t="shared" si="9"/>
        <v>2</v>
      </c>
      <c r="E316" s="66">
        <v>44911</v>
      </c>
    </row>
    <row r="317" spans="1:5" x14ac:dyDescent="0.15">
      <c r="A317" s="6" t="s">
        <v>10</v>
      </c>
      <c r="B317" s="11">
        <f>1+2</f>
        <v>3</v>
      </c>
      <c r="C317" s="36"/>
      <c r="D317" s="10">
        <f t="shared" si="9"/>
        <v>3</v>
      </c>
      <c r="E317" s="66">
        <v>44914</v>
      </c>
    </row>
    <row r="318" spans="1:5" x14ac:dyDescent="0.15">
      <c r="A318" s="6" t="s">
        <v>53</v>
      </c>
      <c r="B318" s="11">
        <v>10</v>
      </c>
      <c r="C318" s="36">
        <v>5</v>
      </c>
      <c r="D318" s="10">
        <f t="shared" si="9"/>
        <v>15</v>
      </c>
      <c r="E318" s="26">
        <v>44916</v>
      </c>
    </row>
    <row r="319" spans="1:5" x14ac:dyDescent="0.15">
      <c r="A319" s="6" t="s">
        <v>10</v>
      </c>
      <c r="B319" s="11">
        <v>1</v>
      </c>
      <c r="C319" s="36"/>
      <c r="D319" s="10">
        <f t="shared" si="9"/>
        <v>1</v>
      </c>
      <c r="E319" s="66">
        <v>44922</v>
      </c>
    </row>
    <row r="320" spans="1:5" x14ac:dyDescent="0.15">
      <c r="A320" s="6" t="s">
        <v>10</v>
      </c>
      <c r="B320" s="11">
        <v>1</v>
      </c>
      <c r="C320" s="36"/>
      <c r="D320" s="10">
        <f t="shared" si="9"/>
        <v>1</v>
      </c>
      <c r="E320" s="66">
        <v>44923</v>
      </c>
    </row>
    <row r="321" spans="1:5" x14ac:dyDescent="0.15">
      <c r="A321" s="6" t="s">
        <v>54</v>
      </c>
      <c r="B321" s="11">
        <v>5</v>
      </c>
      <c r="C321" s="36"/>
      <c r="D321" s="10">
        <f t="shared" si="9"/>
        <v>5</v>
      </c>
      <c r="E321" s="26">
        <v>44932</v>
      </c>
    </row>
    <row r="322" spans="1:5" x14ac:dyDescent="0.15">
      <c r="A322" s="6" t="s">
        <v>10</v>
      </c>
      <c r="B322" s="11">
        <v>2</v>
      </c>
      <c r="C322" s="36"/>
      <c r="D322" s="10">
        <f t="shared" si="9"/>
        <v>2</v>
      </c>
      <c r="E322" s="26">
        <v>44931</v>
      </c>
    </row>
    <row r="323" spans="1:5" x14ac:dyDescent="0.15">
      <c r="A323" s="6" t="s">
        <v>10</v>
      </c>
      <c r="B323" s="11">
        <v>1</v>
      </c>
      <c r="C323" s="36"/>
      <c r="D323" s="10">
        <f t="shared" si="9"/>
        <v>1</v>
      </c>
      <c r="E323" s="26">
        <v>44932</v>
      </c>
    </row>
    <row r="324" spans="1:5" x14ac:dyDescent="0.15">
      <c r="A324" s="6"/>
      <c r="B324" s="11"/>
      <c r="C324" s="36"/>
      <c r="D324" s="10">
        <f t="shared" si="9"/>
        <v>0</v>
      </c>
    </row>
    <row r="325" spans="1:5" x14ac:dyDescent="0.15">
      <c r="A325" s="6"/>
      <c r="B325" s="11"/>
      <c r="C325" s="36"/>
      <c r="D325" s="10">
        <f t="shared" si="9"/>
        <v>0</v>
      </c>
    </row>
    <row r="326" spans="1:5" x14ac:dyDescent="0.15">
      <c r="A326" s="6"/>
      <c r="B326" s="11"/>
      <c r="C326" s="36"/>
      <c r="D326" s="10">
        <f t="shared" si="9"/>
        <v>0</v>
      </c>
    </row>
    <row r="327" spans="1:5" x14ac:dyDescent="0.15">
      <c r="A327" s="6"/>
      <c r="B327" s="11"/>
      <c r="C327" s="36"/>
      <c r="D327" s="10">
        <f t="shared" si="9"/>
        <v>0</v>
      </c>
    </row>
    <row r="328" spans="1:5" x14ac:dyDescent="0.15">
      <c r="A328" s="6"/>
      <c r="B328" s="11"/>
      <c r="C328" s="36"/>
      <c r="D328" s="10">
        <f t="shared" si="9"/>
        <v>0</v>
      </c>
    </row>
    <row r="329" spans="1:5" x14ac:dyDescent="0.15">
      <c r="A329" s="6"/>
      <c r="B329" s="11"/>
      <c r="C329" s="36"/>
      <c r="D329" s="10">
        <f t="shared" si="9"/>
        <v>0</v>
      </c>
    </row>
    <row r="330" spans="1:5" x14ac:dyDescent="0.15">
      <c r="A330" s="6"/>
      <c r="B330" s="11"/>
      <c r="C330" s="36"/>
      <c r="D330" s="10">
        <f t="shared" si="9"/>
        <v>0</v>
      </c>
    </row>
    <row r="331" spans="1:5" x14ac:dyDescent="0.15">
      <c r="A331" s="6"/>
      <c r="B331" s="11"/>
      <c r="C331" s="36"/>
      <c r="D331" s="10">
        <f t="shared" si="9"/>
        <v>0</v>
      </c>
    </row>
    <row r="332" spans="1:5" x14ac:dyDescent="0.15">
      <c r="A332" s="6"/>
      <c r="B332" s="11"/>
      <c r="C332" s="36"/>
      <c r="D332" s="10">
        <f t="shared" si="9"/>
        <v>0</v>
      </c>
    </row>
    <row r="333" spans="1:5" ht="14.25" thickBot="1" x14ac:dyDescent="0.2">
      <c r="A333" s="6"/>
      <c r="B333" s="11"/>
      <c r="C333" s="36"/>
      <c r="D333" s="10">
        <f t="shared" si="9"/>
        <v>0</v>
      </c>
    </row>
    <row r="334" spans="1:5" ht="14.25" thickBot="1" x14ac:dyDescent="0.2">
      <c r="A334" s="5" t="s">
        <v>5</v>
      </c>
      <c r="B334" s="13">
        <f>SUM(B310:B333)</f>
        <v>57</v>
      </c>
      <c r="C334" s="13">
        <f>SUM(C310:C333)</f>
        <v>11</v>
      </c>
      <c r="D334" s="14">
        <f t="shared" si="9"/>
        <v>68</v>
      </c>
    </row>
    <row r="335" spans="1:5" ht="14.25" thickBot="1" x14ac:dyDescent="0.2">
      <c r="A335" s="21" t="s">
        <v>6</v>
      </c>
      <c r="B335" s="22">
        <f>B309-B334</f>
        <v>4</v>
      </c>
      <c r="C335" s="22">
        <f>C309-C334</f>
        <v>7</v>
      </c>
      <c r="D335" s="20">
        <f>D309-D334</f>
        <v>11</v>
      </c>
    </row>
    <row r="337" spans="1:5" x14ac:dyDescent="0.15">
      <c r="A337">
        <v>1596</v>
      </c>
    </row>
    <row r="338" spans="1:5" ht="19.5" thickBot="1" x14ac:dyDescent="0.25">
      <c r="A338" s="2" t="s">
        <v>51</v>
      </c>
      <c r="B338" s="3"/>
      <c r="C338" s="3"/>
      <c r="D338" s="3"/>
    </row>
    <row r="339" spans="1:5" ht="14.25" thickBot="1" x14ac:dyDescent="0.2">
      <c r="A339" s="4" t="s">
        <v>1</v>
      </c>
      <c r="B339" s="5" t="s">
        <v>25</v>
      </c>
      <c r="C339" s="4" t="s">
        <v>26</v>
      </c>
      <c r="D339" s="4" t="s">
        <v>2</v>
      </c>
    </row>
    <row r="340" spans="1:5" ht="14.25" thickBot="1" x14ac:dyDescent="0.2">
      <c r="A340" s="4" t="s">
        <v>6</v>
      </c>
      <c r="B340" s="45">
        <f>B335</f>
        <v>4</v>
      </c>
      <c r="C340" s="46">
        <f>C335</f>
        <v>7</v>
      </c>
      <c r="D340" s="14">
        <f t="shared" ref="D340:D348" si="11">SUM(B340:C340)</f>
        <v>11</v>
      </c>
    </row>
    <row r="341" spans="1:5" x14ac:dyDescent="0.15">
      <c r="A341" s="44" t="s">
        <v>3</v>
      </c>
      <c r="B341" s="16">
        <v>50</v>
      </c>
      <c r="C341" s="6">
        <v>25</v>
      </c>
      <c r="D341" s="7">
        <f t="shared" si="11"/>
        <v>75</v>
      </c>
      <c r="E341" s="26">
        <v>44567</v>
      </c>
    </row>
    <row r="342" spans="1:5" x14ac:dyDescent="0.15">
      <c r="A342" s="8" t="s">
        <v>3</v>
      </c>
      <c r="B342" s="15"/>
      <c r="C342" s="12"/>
      <c r="D342" s="7">
        <f t="shared" si="11"/>
        <v>0</v>
      </c>
    </row>
    <row r="343" spans="1:5" x14ac:dyDescent="0.15">
      <c r="A343" s="8" t="s">
        <v>3</v>
      </c>
      <c r="B343" s="15"/>
      <c r="C343" s="12"/>
      <c r="D343" s="7">
        <f t="shared" si="11"/>
        <v>0</v>
      </c>
      <c r="E343" s="28"/>
    </row>
    <row r="344" spans="1:5" x14ac:dyDescent="0.15">
      <c r="A344" s="8" t="s">
        <v>3</v>
      </c>
      <c r="B344" s="15"/>
      <c r="C344" s="12"/>
      <c r="D344" s="7">
        <f t="shared" si="11"/>
        <v>0</v>
      </c>
    </row>
    <row r="345" spans="1:5" x14ac:dyDescent="0.15">
      <c r="A345" s="8" t="s">
        <v>3</v>
      </c>
      <c r="B345" s="15"/>
      <c r="C345" s="12"/>
      <c r="D345" s="7">
        <f t="shared" si="11"/>
        <v>0</v>
      </c>
    </row>
    <row r="346" spans="1:5" x14ac:dyDescent="0.15">
      <c r="A346" s="8" t="s">
        <v>3</v>
      </c>
      <c r="B346" s="15"/>
      <c r="C346" s="12"/>
      <c r="D346" s="7">
        <f t="shared" si="11"/>
        <v>0</v>
      </c>
    </row>
    <row r="347" spans="1:5" x14ac:dyDescent="0.15">
      <c r="A347" s="8" t="s">
        <v>3</v>
      </c>
      <c r="B347" s="15"/>
      <c r="C347" s="12"/>
      <c r="D347" s="7">
        <f t="shared" si="11"/>
        <v>0</v>
      </c>
    </row>
    <row r="348" spans="1:5" x14ac:dyDescent="0.15">
      <c r="A348" s="8" t="s">
        <v>3</v>
      </c>
      <c r="B348" s="15"/>
      <c r="C348" s="12"/>
      <c r="D348" s="7">
        <f t="shared" si="11"/>
        <v>0</v>
      </c>
    </row>
    <row r="349" spans="1:5" x14ac:dyDescent="0.15">
      <c r="A349" s="8" t="s">
        <v>3</v>
      </c>
      <c r="B349" s="31"/>
      <c r="C349" s="40"/>
      <c r="D349" s="10">
        <f t="shared" ref="D349:D376" si="12">SUM(B349:C349)</f>
        <v>0</v>
      </c>
    </row>
    <row r="350" spans="1:5" ht="14.25" thickBot="1" x14ac:dyDescent="0.2">
      <c r="A350" s="8" t="s">
        <v>3</v>
      </c>
      <c r="B350" s="31"/>
      <c r="C350" s="40"/>
      <c r="D350" s="17">
        <f t="shared" si="12"/>
        <v>0</v>
      </c>
    </row>
    <row r="351" spans="1:5" ht="14.25" thickBot="1" x14ac:dyDescent="0.2">
      <c r="A351" s="18" t="s">
        <v>4</v>
      </c>
      <c r="B351" s="19">
        <f>SUM(B340:B350)</f>
        <v>54</v>
      </c>
      <c r="C351" s="19">
        <f>SUM(C340:C350)</f>
        <v>32</v>
      </c>
      <c r="D351" s="20">
        <f t="shared" si="12"/>
        <v>86</v>
      </c>
    </row>
    <row r="352" spans="1:5" x14ac:dyDescent="0.15">
      <c r="A352" s="6" t="s">
        <v>10</v>
      </c>
      <c r="B352" s="11">
        <v>2</v>
      </c>
      <c r="C352" s="36"/>
      <c r="D352" s="7">
        <f t="shared" si="12"/>
        <v>2</v>
      </c>
      <c r="E352" s="66">
        <v>44936</v>
      </c>
    </row>
    <row r="353" spans="1:5" x14ac:dyDescent="0.15">
      <c r="A353" s="6" t="s">
        <v>10</v>
      </c>
      <c r="B353" s="11">
        <v>1</v>
      </c>
      <c r="C353" s="36"/>
      <c r="D353" s="7">
        <f t="shared" si="12"/>
        <v>1</v>
      </c>
      <c r="E353" s="66">
        <v>44937</v>
      </c>
    </row>
    <row r="354" spans="1:5" x14ac:dyDescent="0.15">
      <c r="A354" s="6" t="s">
        <v>55</v>
      </c>
      <c r="B354" s="11">
        <v>10</v>
      </c>
      <c r="C354" s="36"/>
      <c r="D354" s="7">
        <f t="shared" si="12"/>
        <v>10</v>
      </c>
      <c r="E354" s="26">
        <v>44938</v>
      </c>
    </row>
    <row r="355" spans="1:5" x14ac:dyDescent="0.15">
      <c r="A355" s="6" t="s">
        <v>10</v>
      </c>
      <c r="B355" s="11">
        <v>2</v>
      </c>
      <c r="C355" s="36"/>
      <c r="D355" s="7">
        <f t="shared" si="12"/>
        <v>2</v>
      </c>
      <c r="E355" s="66">
        <v>44938</v>
      </c>
    </row>
    <row r="356" spans="1:5" x14ac:dyDescent="0.15">
      <c r="A356" s="6" t="s">
        <v>10</v>
      </c>
      <c r="B356" s="11">
        <v>2</v>
      </c>
      <c r="C356" s="36"/>
      <c r="D356" s="7">
        <f t="shared" si="12"/>
        <v>2</v>
      </c>
      <c r="E356" s="66">
        <v>44943</v>
      </c>
    </row>
    <row r="357" spans="1:5" x14ac:dyDescent="0.15">
      <c r="A357" s="6" t="s">
        <v>10</v>
      </c>
      <c r="B357" s="11">
        <v>1</v>
      </c>
      <c r="C357" s="36">
        <v>1</v>
      </c>
      <c r="D357" s="10">
        <f t="shared" si="12"/>
        <v>2</v>
      </c>
      <c r="E357" s="66">
        <v>44946</v>
      </c>
    </row>
    <row r="358" spans="1:5" x14ac:dyDescent="0.15">
      <c r="A358" s="6" t="s">
        <v>10</v>
      </c>
      <c r="B358" s="11"/>
      <c r="C358" s="36">
        <v>1</v>
      </c>
      <c r="D358" s="10">
        <f t="shared" si="12"/>
        <v>1</v>
      </c>
      <c r="E358" s="66">
        <v>44947</v>
      </c>
    </row>
    <row r="359" spans="1:5" x14ac:dyDescent="0.15">
      <c r="A359" s="6" t="s">
        <v>10</v>
      </c>
      <c r="B359" s="11"/>
      <c r="C359" s="36">
        <v>1</v>
      </c>
      <c r="D359" s="10">
        <f t="shared" si="12"/>
        <v>1</v>
      </c>
      <c r="E359" s="66">
        <v>44949</v>
      </c>
    </row>
    <row r="360" spans="1:5" x14ac:dyDescent="0.15">
      <c r="A360" s="6" t="s">
        <v>10</v>
      </c>
      <c r="B360" s="11"/>
      <c r="C360" s="36">
        <v>1</v>
      </c>
      <c r="D360" s="10">
        <f t="shared" si="12"/>
        <v>1</v>
      </c>
      <c r="E360" s="66">
        <v>44950</v>
      </c>
    </row>
    <row r="361" spans="1:5" x14ac:dyDescent="0.15">
      <c r="A361" s="6" t="s">
        <v>10</v>
      </c>
      <c r="B361" s="11">
        <v>1</v>
      </c>
      <c r="C361" s="36">
        <v>2</v>
      </c>
      <c r="D361" s="10">
        <f t="shared" si="12"/>
        <v>3</v>
      </c>
      <c r="E361" s="66">
        <v>44951</v>
      </c>
    </row>
    <row r="362" spans="1:5" x14ac:dyDescent="0.15">
      <c r="A362" s="6" t="s">
        <v>10</v>
      </c>
      <c r="B362" s="11">
        <f>1+1</f>
        <v>2</v>
      </c>
      <c r="C362" s="36">
        <v>1</v>
      </c>
      <c r="D362" s="10">
        <f t="shared" si="12"/>
        <v>3</v>
      </c>
      <c r="E362" s="66">
        <v>44953</v>
      </c>
    </row>
    <row r="363" spans="1:5" x14ac:dyDescent="0.15">
      <c r="A363" s="6" t="s">
        <v>10</v>
      </c>
      <c r="B363" s="11">
        <v>1</v>
      </c>
      <c r="C363" s="36"/>
      <c r="D363" s="10">
        <f t="shared" si="12"/>
        <v>1</v>
      </c>
      <c r="E363" s="66">
        <v>44956</v>
      </c>
    </row>
    <row r="364" spans="1:5" x14ac:dyDescent="0.15">
      <c r="A364" s="6" t="s">
        <v>10</v>
      </c>
      <c r="B364" s="11"/>
      <c r="C364" s="36">
        <v>1</v>
      </c>
      <c r="D364" s="10">
        <f t="shared" si="12"/>
        <v>1</v>
      </c>
      <c r="E364" s="66">
        <v>44957</v>
      </c>
    </row>
    <row r="365" spans="1:5" x14ac:dyDescent="0.15">
      <c r="A365" s="6" t="s">
        <v>10</v>
      </c>
      <c r="B365" s="11">
        <v>1</v>
      </c>
      <c r="C365" s="36"/>
      <c r="D365" s="10">
        <f t="shared" si="12"/>
        <v>1</v>
      </c>
      <c r="E365" s="66">
        <v>44958</v>
      </c>
    </row>
    <row r="366" spans="1:5" x14ac:dyDescent="0.15">
      <c r="A366" s="6" t="s">
        <v>56</v>
      </c>
      <c r="B366" s="11">
        <v>5</v>
      </c>
      <c r="C366" s="36">
        <v>10</v>
      </c>
      <c r="D366" s="10">
        <f t="shared" si="12"/>
        <v>15</v>
      </c>
      <c r="E366" s="26">
        <v>44960</v>
      </c>
    </row>
    <row r="367" spans="1:5" x14ac:dyDescent="0.15">
      <c r="A367" s="6" t="s">
        <v>10</v>
      </c>
      <c r="B367" s="11">
        <v>1</v>
      </c>
      <c r="C367" s="36"/>
      <c r="D367" s="10">
        <f t="shared" si="12"/>
        <v>1</v>
      </c>
      <c r="E367" s="66">
        <v>44961</v>
      </c>
    </row>
    <row r="368" spans="1:5" x14ac:dyDescent="0.15">
      <c r="A368" s="6" t="s">
        <v>10</v>
      </c>
      <c r="B368" s="11">
        <f>1+2</f>
        <v>3</v>
      </c>
      <c r="C368" s="36">
        <f>1+1</f>
        <v>2</v>
      </c>
      <c r="D368" s="10">
        <f t="shared" si="12"/>
        <v>5</v>
      </c>
      <c r="E368" s="66">
        <v>44963</v>
      </c>
    </row>
    <row r="369" spans="1:5" x14ac:dyDescent="0.15">
      <c r="A369" s="6" t="s">
        <v>10</v>
      </c>
      <c r="B369" s="11"/>
      <c r="C369" s="36">
        <v>2</v>
      </c>
      <c r="D369" s="10">
        <f t="shared" si="12"/>
        <v>2</v>
      </c>
      <c r="E369" s="66">
        <v>44964</v>
      </c>
    </row>
    <row r="370" spans="1:5" x14ac:dyDescent="0.15">
      <c r="A370" s="6" t="s">
        <v>10</v>
      </c>
      <c r="B370" s="11"/>
      <c r="C370" s="36">
        <v>1</v>
      </c>
      <c r="D370" s="10">
        <f t="shared" si="12"/>
        <v>1</v>
      </c>
      <c r="E370" s="66">
        <v>44966</v>
      </c>
    </row>
    <row r="371" spans="1:5" x14ac:dyDescent="0.15">
      <c r="A371" s="6"/>
      <c r="B371" s="11"/>
      <c r="C371" s="36"/>
      <c r="D371" s="10">
        <f t="shared" si="12"/>
        <v>0</v>
      </c>
    </row>
    <row r="372" spans="1:5" x14ac:dyDescent="0.15">
      <c r="A372" s="6"/>
      <c r="B372" s="11"/>
      <c r="C372" s="36"/>
      <c r="D372" s="10">
        <f t="shared" si="12"/>
        <v>0</v>
      </c>
    </row>
    <row r="373" spans="1:5" x14ac:dyDescent="0.15">
      <c r="A373" s="6"/>
      <c r="B373" s="11"/>
      <c r="C373" s="36"/>
      <c r="D373" s="10">
        <f t="shared" si="12"/>
        <v>0</v>
      </c>
    </row>
    <row r="374" spans="1:5" x14ac:dyDescent="0.15">
      <c r="A374" s="6"/>
      <c r="B374" s="11"/>
      <c r="C374" s="36"/>
      <c r="D374" s="10">
        <f t="shared" si="12"/>
        <v>0</v>
      </c>
    </row>
    <row r="375" spans="1:5" ht="14.25" thickBot="1" x14ac:dyDescent="0.2">
      <c r="A375" s="6"/>
      <c r="B375" s="11"/>
      <c r="C375" s="36"/>
      <c r="D375" s="10">
        <f t="shared" si="12"/>
        <v>0</v>
      </c>
    </row>
    <row r="376" spans="1:5" ht="14.25" thickBot="1" x14ac:dyDescent="0.2">
      <c r="A376" s="5" t="s">
        <v>5</v>
      </c>
      <c r="B376" s="13">
        <f>SUM(B352:B375)</f>
        <v>32</v>
      </c>
      <c r="C376" s="13">
        <f>SUM(C352:C375)</f>
        <v>23</v>
      </c>
      <c r="D376" s="14">
        <f t="shared" si="12"/>
        <v>55</v>
      </c>
    </row>
    <row r="377" spans="1:5" ht="14.25" thickBot="1" x14ac:dyDescent="0.2">
      <c r="A377" s="21" t="s">
        <v>6</v>
      </c>
      <c r="B377" s="22">
        <f>B351-B376</f>
        <v>22</v>
      </c>
      <c r="C377" s="22">
        <f>C351-C376</f>
        <v>9</v>
      </c>
      <c r="D377" s="20">
        <f>D351-D376</f>
        <v>31</v>
      </c>
    </row>
    <row r="379" spans="1:5" x14ac:dyDescent="0.15">
      <c r="A379">
        <v>1596</v>
      </c>
    </row>
    <row r="380" spans="1:5" ht="19.5" thickBot="1" x14ac:dyDescent="0.25">
      <c r="A380" s="2" t="s">
        <v>51</v>
      </c>
      <c r="B380" s="3"/>
      <c r="C380" s="3"/>
      <c r="D380" s="3"/>
    </row>
    <row r="381" spans="1:5" ht="14.25" thickBot="1" x14ac:dyDescent="0.2">
      <c r="A381" s="4" t="s">
        <v>1</v>
      </c>
      <c r="B381" s="5" t="s">
        <v>25</v>
      </c>
      <c r="C381" s="4" t="s">
        <v>26</v>
      </c>
      <c r="D381" s="4" t="s">
        <v>2</v>
      </c>
    </row>
    <row r="382" spans="1:5" ht="14.25" thickBot="1" x14ac:dyDescent="0.2">
      <c r="A382" s="4" t="s">
        <v>6</v>
      </c>
      <c r="B382" s="45">
        <f>B377</f>
        <v>22</v>
      </c>
      <c r="C382" s="46">
        <f>C377</f>
        <v>9</v>
      </c>
      <c r="D382" s="14">
        <f t="shared" ref="D382:D418" si="13">SUM(B382:C382)</f>
        <v>31</v>
      </c>
    </row>
    <row r="383" spans="1:5" x14ac:dyDescent="0.15">
      <c r="A383" s="44" t="s">
        <v>3</v>
      </c>
      <c r="B383" s="16">
        <v>50</v>
      </c>
      <c r="C383" s="6">
        <v>25</v>
      </c>
      <c r="D383" s="7">
        <f t="shared" si="13"/>
        <v>75</v>
      </c>
      <c r="E383" s="26">
        <v>44959</v>
      </c>
    </row>
    <row r="384" spans="1:5" x14ac:dyDescent="0.15">
      <c r="A384" s="8" t="s">
        <v>3</v>
      </c>
      <c r="B384" s="15">
        <v>10</v>
      </c>
      <c r="C384" s="12">
        <v>10</v>
      </c>
      <c r="D384" s="7">
        <f t="shared" si="13"/>
        <v>20</v>
      </c>
      <c r="E384" s="26">
        <v>44973</v>
      </c>
    </row>
    <row r="385" spans="1:5" x14ac:dyDescent="0.15">
      <c r="A385" s="8" t="s">
        <v>3</v>
      </c>
      <c r="B385" s="15"/>
      <c r="C385" s="12"/>
      <c r="D385" s="7">
        <f t="shared" si="13"/>
        <v>0</v>
      </c>
      <c r="E385" s="28"/>
    </row>
    <row r="386" spans="1:5" x14ac:dyDescent="0.15">
      <c r="A386" s="8" t="s">
        <v>3</v>
      </c>
      <c r="B386" s="15"/>
      <c r="C386" s="12"/>
      <c r="D386" s="7">
        <f t="shared" si="13"/>
        <v>0</v>
      </c>
      <c r="E386" s="28"/>
    </row>
    <row r="387" spans="1:5" x14ac:dyDescent="0.15">
      <c r="A387" s="8" t="s">
        <v>3</v>
      </c>
      <c r="B387" s="15"/>
      <c r="C387" s="12"/>
      <c r="D387" s="7">
        <f t="shared" si="13"/>
        <v>0</v>
      </c>
    </row>
    <row r="388" spans="1:5" x14ac:dyDescent="0.15">
      <c r="A388" s="8" t="s">
        <v>3</v>
      </c>
      <c r="B388" s="15"/>
      <c r="C388" s="12"/>
      <c r="D388" s="7">
        <f t="shared" si="13"/>
        <v>0</v>
      </c>
    </row>
    <row r="389" spans="1:5" x14ac:dyDescent="0.15">
      <c r="A389" s="8" t="s">
        <v>3</v>
      </c>
      <c r="B389" s="15"/>
      <c r="C389" s="12"/>
      <c r="D389" s="7">
        <f t="shared" si="13"/>
        <v>0</v>
      </c>
    </row>
    <row r="390" spans="1:5" x14ac:dyDescent="0.15">
      <c r="A390" s="8" t="s">
        <v>3</v>
      </c>
      <c r="B390" s="15"/>
      <c r="C390" s="12"/>
      <c r="D390" s="7">
        <f t="shared" si="13"/>
        <v>0</v>
      </c>
    </row>
    <row r="391" spans="1:5" x14ac:dyDescent="0.15">
      <c r="A391" s="8" t="s">
        <v>3</v>
      </c>
      <c r="B391" s="31"/>
      <c r="C391" s="40"/>
      <c r="D391" s="10">
        <f t="shared" si="13"/>
        <v>0</v>
      </c>
    </row>
    <row r="392" spans="1:5" ht="14.25" thickBot="1" x14ac:dyDescent="0.2">
      <c r="A392" s="8" t="s">
        <v>3</v>
      </c>
      <c r="B392" s="31"/>
      <c r="C392" s="40"/>
      <c r="D392" s="17">
        <f t="shared" si="13"/>
        <v>0</v>
      </c>
    </row>
    <row r="393" spans="1:5" ht="14.25" thickBot="1" x14ac:dyDescent="0.2">
      <c r="A393" s="18" t="s">
        <v>4</v>
      </c>
      <c r="B393" s="19">
        <f>SUM(B382:B392)</f>
        <v>82</v>
      </c>
      <c r="C393" s="19">
        <f>SUM(C382:C392)</f>
        <v>44</v>
      </c>
      <c r="D393" s="20">
        <f t="shared" si="13"/>
        <v>126</v>
      </c>
    </row>
    <row r="394" spans="1:5" x14ac:dyDescent="0.15">
      <c r="A394" s="6" t="s">
        <v>10</v>
      </c>
      <c r="B394" s="11">
        <v>3</v>
      </c>
      <c r="C394" s="36"/>
      <c r="D394" s="7">
        <f t="shared" si="13"/>
        <v>3</v>
      </c>
      <c r="E394" s="66">
        <v>44967</v>
      </c>
    </row>
    <row r="395" spans="1:5" x14ac:dyDescent="0.15">
      <c r="A395" s="6" t="s">
        <v>35</v>
      </c>
      <c r="B395" s="11">
        <v>10</v>
      </c>
      <c r="C395" s="36"/>
      <c r="D395" s="7">
        <f t="shared" si="13"/>
        <v>10</v>
      </c>
      <c r="E395" s="26">
        <v>44971</v>
      </c>
    </row>
    <row r="396" spans="1:5" x14ac:dyDescent="0.15">
      <c r="A396" s="6" t="s">
        <v>10</v>
      </c>
      <c r="B396" s="11">
        <v>1</v>
      </c>
      <c r="C396" s="36">
        <v>1</v>
      </c>
      <c r="D396" s="7">
        <f t="shared" si="13"/>
        <v>2</v>
      </c>
      <c r="E396" s="66">
        <v>44970</v>
      </c>
    </row>
    <row r="397" spans="1:5" x14ac:dyDescent="0.15">
      <c r="A397" s="6" t="s">
        <v>57</v>
      </c>
      <c r="B397" s="11"/>
      <c r="C397" s="36">
        <v>5</v>
      </c>
      <c r="D397" s="7">
        <f t="shared" si="13"/>
        <v>5</v>
      </c>
      <c r="E397" s="26">
        <v>44973</v>
      </c>
    </row>
    <row r="398" spans="1:5" x14ac:dyDescent="0.15">
      <c r="A398" s="6" t="s">
        <v>10</v>
      </c>
      <c r="B398" s="11">
        <v>2</v>
      </c>
      <c r="C398" s="36"/>
      <c r="D398" s="7">
        <f t="shared" si="13"/>
        <v>2</v>
      </c>
      <c r="E398" s="66">
        <v>44973</v>
      </c>
    </row>
    <row r="399" spans="1:5" x14ac:dyDescent="0.15">
      <c r="A399" s="6" t="s">
        <v>10</v>
      </c>
      <c r="B399" s="11">
        <f>1+3</f>
        <v>4</v>
      </c>
      <c r="C399" s="36"/>
      <c r="D399" s="10">
        <f t="shared" si="13"/>
        <v>4</v>
      </c>
      <c r="E399" s="66">
        <v>44974</v>
      </c>
    </row>
    <row r="400" spans="1:5" x14ac:dyDescent="0.15">
      <c r="A400" s="6" t="s">
        <v>10</v>
      </c>
      <c r="B400" s="11">
        <v>1</v>
      </c>
      <c r="C400" s="36">
        <v>1</v>
      </c>
      <c r="D400" s="10">
        <f t="shared" si="13"/>
        <v>2</v>
      </c>
      <c r="E400" s="66">
        <v>44977</v>
      </c>
    </row>
    <row r="401" spans="1:5" x14ac:dyDescent="0.15">
      <c r="A401" s="6" t="s">
        <v>10</v>
      </c>
      <c r="B401" s="11">
        <v>1</v>
      </c>
      <c r="C401" s="36">
        <v>1</v>
      </c>
      <c r="D401" s="10">
        <f t="shared" si="13"/>
        <v>2</v>
      </c>
      <c r="E401" s="66">
        <v>44984</v>
      </c>
    </row>
    <row r="402" spans="1:5" x14ac:dyDescent="0.15">
      <c r="A402" s="6" t="s">
        <v>10</v>
      </c>
      <c r="B402" s="11">
        <v>2</v>
      </c>
      <c r="C402" s="36">
        <v>1</v>
      </c>
      <c r="D402" s="10">
        <f t="shared" si="13"/>
        <v>3</v>
      </c>
      <c r="E402" s="66">
        <v>44985</v>
      </c>
    </row>
    <row r="403" spans="1:5" x14ac:dyDescent="0.15">
      <c r="A403" s="6" t="s">
        <v>10</v>
      </c>
      <c r="B403" s="11">
        <v>3</v>
      </c>
      <c r="C403" s="36"/>
      <c r="D403" s="10">
        <f t="shared" si="13"/>
        <v>3</v>
      </c>
      <c r="E403" s="66">
        <v>44991</v>
      </c>
    </row>
    <row r="404" spans="1:5" x14ac:dyDescent="0.15">
      <c r="A404" s="6" t="s">
        <v>10</v>
      </c>
      <c r="B404" s="11"/>
      <c r="C404" s="36">
        <v>1</v>
      </c>
      <c r="D404" s="10">
        <f t="shared" si="13"/>
        <v>1</v>
      </c>
      <c r="E404" s="66">
        <v>44994</v>
      </c>
    </row>
    <row r="405" spans="1:5" x14ac:dyDescent="0.15">
      <c r="A405" s="6" t="s">
        <v>10</v>
      </c>
      <c r="B405" s="11">
        <v>2</v>
      </c>
      <c r="C405" s="36"/>
      <c r="D405" s="10">
        <f t="shared" si="13"/>
        <v>2</v>
      </c>
      <c r="E405" s="66">
        <v>44998</v>
      </c>
    </row>
    <row r="406" spans="1:5" x14ac:dyDescent="0.15">
      <c r="A406" s="6" t="s">
        <v>10</v>
      </c>
      <c r="B406" s="11">
        <v>1</v>
      </c>
      <c r="C406" s="36"/>
      <c r="D406" s="10">
        <f t="shared" si="13"/>
        <v>1</v>
      </c>
      <c r="E406" s="66">
        <v>44999</v>
      </c>
    </row>
    <row r="407" spans="1:5" x14ac:dyDescent="0.15">
      <c r="A407" s="6" t="s">
        <v>10</v>
      </c>
      <c r="B407" s="11">
        <v>1</v>
      </c>
      <c r="C407" s="36"/>
      <c r="D407" s="10">
        <f t="shared" si="13"/>
        <v>1</v>
      </c>
      <c r="E407" s="66">
        <v>45001</v>
      </c>
    </row>
    <row r="408" spans="1:5" x14ac:dyDescent="0.15">
      <c r="A408" s="6" t="s">
        <v>10</v>
      </c>
      <c r="B408" s="11">
        <v>2</v>
      </c>
      <c r="C408" s="36">
        <v>1</v>
      </c>
      <c r="D408" s="10">
        <f t="shared" si="13"/>
        <v>3</v>
      </c>
      <c r="E408" s="66">
        <v>45005</v>
      </c>
    </row>
    <row r="409" spans="1:5" x14ac:dyDescent="0.15">
      <c r="A409" s="6" t="s">
        <v>10</v>
      </c>
      <c r="B409" s="11">
        <f>1+1</f>
        <v>2</v>
      </c>
      <c r="C409" s="36">
        <v>1</v>
      </c>
      <c r="D409" s="10">
        <f t="shared" si="13"/>
        <v>3</v>
      </c>
      <c r="E409" s="66">
        <v>45007</v>
      </c>
    </row>
    <row r="410" spans="1:5" x14ac:dyDescent="0.15">
      <c r="A410" s="6" t="s">
        <v>10</v>
      </c>
      <c r="B410" s="11">
        <v>2</v>
      </c>
      <c r="C410" s="36"/>
      <c r="D410" s="10">
        <f t="shared" si="13"/>
        <v>2</v>
      </c>
      <c r="E410" s="66">
        <v>45008</v>
      </c>
    </row>
    <row r="411" spans="1:5" x14ac:dyDescent="0.15">
      <c r="A411" s="6" t="s">
        <v>10</v>
      </c>
      <c r="B411" s="11">
        <v>1</v>
      </c>
      <c r="C411" s="36"/>
      <c r="D411" s="10">
        <f t="shared" si="13"/>
        <v>1</v>
      </c>
      <c r="E411" s="66">
        <v>45009</v>
      </c>
    </row>
    <row r="412" spans="1:5" x14ac:dyDescent="0.15">
      <c r="A412" s="6" t="s">
        <v>10</v>
      </c>
      <c r="B412" s="11">
        <f>3+1</f>
        <v>4</v>
      </c>
      <c r="C412" s="36">
        <v>1</v>
      </c>
      <c r="D412" s="10">
        <f t="shared" si="13"/>
        <v>5</v>
      </c>
      <c r="E412" s="66">
        <v>45012</v>
      </c>
    </row>
    <row r="413" spans="1:5" x14ac:dyDescent="0.15">
      <c r="A413" s="6" t="s">
        <v>10</v>
      </c>
      <c r="B413" s="11">
        <v>2</v>
      </c>
      <c r="C413" s="36"/>
      <c r="D413" s="10">
        <f t="shared" si="13"/>
        <v>2</v>
      </c>
      <c r="E413" s="66">
        <v>45013</v>
      </c>
    </row>
    <row r="414" spans="1:5" x14ac:dyDescent="0.15">
      <c r="A414" s="6" t="s">
        <v>10</v>
      </c>
      <c r="B414" s="11">
        <v>1</v>
      </c>
      <c r="C414" s="36"/>
      <c r="D414" s="10">
        <f t="shared" si="13"/>
        <v>1</v>
      </c>
      <c r="E414" s="66">
        <v>45016</v>
      </c>
    </row>
    <row r="415" spans="1:5" x14ac:dyDescent="0.15">
      <c r="A415" s="6" t="s">
        <v>10</v>
      </c>
      <c r="B415" s="11">
        <v>1</v>
      </c>
      <c r="C415" s="36"/>
      <c r="D415" s="10">
        <f t="shared" si="13"/>
        <v>1</v>
      </c>
      <c r="E415" s="66">
        <v>45017</v>
      </c>
    </row>
    <row r="416" spans="1:5" x14ac:dyDescent="0.15">
      <c r="A416" s="6" t="s">
        <v>10</v>
      </c>
      <c r="B416" s="11">
        <v>1</v>
      </c>
      <c r="C416" s="36"/>
      <c r="D416" s="10">
        <f t="shared" si="13"/>
        <v>1</v>
      </c>
      <c r="E416" s="66">
        <v>45019</v>
      </c>
    </row>
    <row r="417" spans="1:5" ht="14.25" thickBot="1" x14ac:dyDescent="0.2">
      <c r="A417" s="6" t="s">
        <v>58</v>
      </c>
      <c r="B417" s="11">
        <v>5</v>
      </c>
      <c r="C417" s="36"/>
      <c r="D417" s="10">
        <f t="shared" si="13"/>
        <v>5</v>
      </c>
      <c r="E417" s="26">
        <v>45019</v>
      </c>
    </row>
    <row r="418" spans="1:5" ht="14.25" thickBot="1" x14ac:dyDescent="0.2">
      <c r="A418" s="5" t="s">
        <v>5</v>
      </c>
      <c r="B418" s="13">
        <f>SUM(B394:B417)</f>
        <v>52</v>
      </c>
      <c r="C418" s="13">
        <f>SUM(C394:C417)</f>
        <v>13</v>
      </c>
      <c r="D418" s="14">
        <f t="shared" si="13"/>
        <v>65</v>
      </c>
    </row>
    <row r="419" spans="1:5" ht="14.25" thickBot="1" x14ac:dyDescent="0.2">
      <c r="A419" s="21" t="s">
        <v>6</v>
      </c>
      <c r="B419" s="22">
        <f>B393-B418</f>
        <v>30</v>
      </c>
      <c r="C419" s="22">
        <f>C393-C418</f>
        <v>31</v>
      </c>
      <c r="D419" s="20">
        <f>D393-D418</f>
        <v>61</v>
      </c>
    </row>
    <row r="421" spans="1:5" x14ac:dyDescent="0.15">
      <c r="A421">
        <v>1596</v>
      </c>
    </row>
    <row r="422" spans="1:5" ht="19.5" thickBot="1" x14ac:dyDescent="0.25">
      <c r="A422" s="2" t="s">
        <v>51</v>
      </c>
      <c r="B422" s="3"/>
      <c r="C422" s="3"/>
      <c r="D422" s="3"/>
    </row>
    <row r="423" spans="1:5" ht="14.25" thickBot="1" x14ac:dyDescent="0.2">
      <c r="A423" s="4" t="s">
        <v>1</v>
      </c>
      <c r="B423" s="5" t="s">
        <v>25</v>
      </c>
      <c r="C423" s="4" t="s">
        <v>26</v>
      </c>
      <c r="D423" s="4" t="s">
        <v>2</v>
      </c>
    </row>
    <row r="424" spans="1:5" ht="14.25" thickBot="1" x14ac:dyDescent="0.2">
      <c r="A424" s="4" t="s">
        <v>6</v>
      </c>
      <c r="B424" s="45">
        <f>B419</f>
        <v>30</v>
      </c>
      <c r="C424" s="46">
        <f>C419</f>
        <v>31</v>
      </c>
      <c r="D424" s="14">
        <f t="shared" ref="D424:D460" si="14">SUM(B424:C424)</f>
        <v>61</v>
      </c>
    </row>
    <row r="425" spans="1:5" x14ac:dyDescent="0.15">
      <c r="A425" s="44" t="s">
        <v>3</v>
      </c>
      <c r="B425" s="16">
        <v>50</v>
      </c>
      <c r="C425" s="6"/>
      <c r="D425" s="7">
        <f t="shared" si="14"/>
        <v>50</v>
      </c>
      <c r="E425" s="26">
        <v>45035</v>
      </c>
    </row>
    <row r="426" spans="1:5" x14ac:dyDescent="0.15">
      <c r="A426" s="8" t="s">
        <v>3</v>
      </c>
      <c r="B426" s="15">
        <v>15</v>
      </c>
      <c r="C426" s="12"/>
      <c r="D426" s="7">
        <f t="shared" si="14"/>
        <v>15</v>
      </c>
      <c r="E426" s="26">
        <v>45059</v>
      </c>
    </row>
    <row r="427" spans="1:5" x14ac:dyDescent="0.15">
      <c r="A427" s="8" t="s">
        <v>3</v>
      </c>
      <c r="B427" s="15"/>
      <c r="C427" s="12"/>
      <c r="D427" s="7">
        <f t="shared" si="14"/>
        <v>0</v>
      </c>
      <c r="E427" s="28"/>
    </row>
    <row r="428" spans="1:5" x14ac:dyDescent="0.15">
      <c r="A428" s="8" t="s">
        <v>3</v>
      </c>
      <c r="B428" s="15"/>
      <c r="C428" s="12"/>
      <c r="D428" s="7">
        <f t="shared" si="14"/>
        <v>0</v>
      </c>
      <c r="E428" s="28"/>
    </row>
    <row r="429" spans="1:5" x14ac:dyDescent="0.15">
      <c r="A429" s="8" t="s">
        <v>3</v>
      </c>
      <c r="B429" s="15"/>
      <c r="C429" s="12"/>
      <c r="D429" s="7">
        <f t="shared" si="14"/>
        <v>0</v>
      </c>
    </row>
    <row r="430" spans="1:5" x14ac:dyDescent="0.15">
      <c r="A430" s="8" t="s">
        <v>3</v>
      </c>
      <c r="B430" s="15"/>
      <c r="C430" s="12"/>
      <c r="D430" s="7">
        <f t="shared" si="14"/>
        <v>0</v>
      </c>
    </row>
    <row r="431" spans="1:5" x14ac:dyDescent="0.15">
      <c r="A431" s="8" t="s">
        <v>3</v>
      </c>
      <c r="B431" s="15"/>
      <c r="C431" s="12"/>
      <c r="D431" s="7">
        <f t="shared" si="14"/>
        <v>0</v>
      </c>
    </row>
    <row r="432" spans="1:5" x14ac:dyDescent="0.15">
      <c r="A432" s="8" t="s">
        <v>3</v>
      </c>
      <c r="B432" s="15"/>
      <c r="C432" s="12"/>
      <c r="D432" s="7">
        <f t="shared" si="14"/>
        <v>0</v>
      </c>
    </row>
    <row r="433" spans="1:5" x14ac:dyDescent="0.15">
      <c r="A433" s="8" t="s">
        <v>3</v>
      </c>
      <c r="B433" s="31"/>
      <c r="C433" s="40"/>
      <c r="D433" s="10">
        <f t="shared" si="14"/>
        <v>0</v>
      </c>
    </row>
    <row r="434" spans="1:5" ht="14.25" thickBot="1" x14ac:dyDescent="0.2">
      <c r="A434" s="8" t="s">
        <v>3</v>
      </c>
      <c r="B434" s="31"/>
      <c r="C434" s="40"/>
      <c r="D434" s="17">
        <f t="shared" si="14"/>
        <v>0</v>
      </c>
    </row>
    <row r="435" spans="1:5" ht="14.25" thickBot="1" x14ac:dyDescent="0.2">
      <c r="A435" s="18" t="s">
        <v>4</v>
      </c>
      <c r="B435" s="19">
        <f>SUM(B424:B434)</f>
        <v>95</v>
      </c>
      <c r="C435" s="19">
        <f>SUM(C424:C434)</f>
        <v>31</v>
      </c>
      <c r="D435" s="20">
        <f t="shared" si="14"/>
        <v>126</v>
      </c>
    </row>
    <row r="436" spans="1:5" x14ac:dyDescent="0.15">
      <c r="A436" s="6" t="s">
        <v>10</v>
      </c>
      <c r="B436" s="11">
        <v>1</v>
      </c>
      <c r="C436" s="36">
        <v>1</v>
      </c>
      <c r="D436" s="7">
        <f t="shared" si="14"/>
        <v>2</v>
      </c>
      <c r="E436" s="66">
        <v>45023</v>
      </c>
    </row>
    <row r="437" spans="1:5" x14ac:dyDescent="0.15">
      <c r="A437" s="6" t="s">
        <v>10</v>
      </c>
      <c r="B437" s="11">
        <v>3</v>
      </c>
      <c r="C437" s="36"/>
      <c r="D437" s="7">
        <f t="shared" si="14"/>
        <v>3</v>
      </c>
      <c r="E437" s="26">
        <v>45026</v>
      </c>
    </row>
    <row r="438" spans="1:5" x14ac:dyDescent="0.15">
      <c r="A438" s="6" t="s">
        <v>35</v>
      </c>
      <c r="B438" s="11">
        <v>5</v>
      </c>
      <c r="C438" s="36"/>
      <c r="D438" s="7">
        <f t="shared" si="14"/>
        <v>5</v>
      </c>
      <c r="E438" s="26">
        <v>45026</v>
      </c>
    </row>
    <row r="439" spans="1:5" x14ac:dyDescent="0.15">
      <c r="A439" s="6" t="s">
        <v>35</v>
      </c>
      <c r="B439" s="11">
        <v>5</v>
      </c>
      <c r="C439" s="36"/>
      <c r="D439" s="7">
        <f t="shared" si="14"/>
        <v>5</v>
      </c>
      <c r="E439" s="26">
        <v>45027</v>
      </c>
    </row>
    <row r="440" spans="1:5" x14ac:dyDescent="0.15">
      <c r="A440" s="6" t="s">
        <v>10</v>
      </c>
      <c r="B440" s="11">
        <v>2</v>
      </c>
      <c r="C440" s="36"/>
      <c r="D440" s="7">
        <f t="shared" si="14"/>
        <v>2</v>
      </c>
      <c r="E440" s="66">
        <v>45028</v>
      </c>
    </row>
    <row r="441" spans="1:5" x14ac:dyDescent="0.15">
      <c r="A441" s="6" t="s">
        <v>10</v>
      </c>
      <c r="B441" s="11"/>
      <c r="C441" s="36">
        <v>1</v>
      </c>
      <c r="D441" s="10">
        <f t="shared" si="14"/>
        <v>1</v>
      </c>
      <c r="E441" s="66">
        <v>45029</v>
      </c>
    </row>
    <row r="442" spans="1:5" x14ac:dyDescent="0.15">
      <c r="A442" s="6" t="s">
        <v>10</v>
      </c>
      <c r="B442" s="11">
        <f>1+2+2</f>
        <v>5</v>
      </c>
      <c r="C442" s="36"/>
      <c r="D442" s="10">
        <f t="shared" si="14"/>
        <v>5</v>
      </c>
      <c r="E442" s="66">
        <v>45033</v>
      </c>
    </row>
    <row r="443" spans="1:5" x14ac:dyDescent="0.15">
      <c r="A443" s="6" t="s">
        <v>10</v>
      </c>
      <c r="B443" s="11"/>
      <c r="C443" s="36">
        <v>1</v>
      </c>
      <c r="D443" s="10">
        <f t="shared" si="14"/>
        <v>1</v>
      </c>
      <c r="E443" s="66">
        <v>45034</v>
      </c>
    </row>
    <row r="444" spans="1:5" x14ac:dyDescent="0.15">
      <c r="A444" s="6" t="s">
        <v>10</v>
      </c>
      <c r="B444" s="11">
        <v>1</v>
      </c>
      <c r="C444" s="36"/>
      <c r="D444" s="10">
        <f t="shared" si="14"/>
        <v>1</v>
      </c>
      <c r="E444" s="66">
        <v>45037</v>
      </c>
    </row>
    <row r="445" spans="1:5" x14ac:dyDescent="0.15">
      <c r="A445" s="6" t="s">
        <v>10</v>
      </c>
      <c r="B445" s="11">
        <v>3</v>
      </c>
      <c r="C445" s="36">
        <v>1</v>
      </c>
      <c r="D445" s="10">
        <f t="shared" si="14"/>
        <v>4</v>
      </c>
      <c r="E445" s="66">
        <v>45040</v>
      </c>
    </row>
    <row r="446" spans="1:5" x14ac:dyDescent="0.15">
      <c r="A446" s="6" t="s">
        <v>59</v>
      </c>
      <c r="B446" s="11">
        <v>5</v>
      </c>
      <c r="C446" s="36"/>
      <c r="D446" s="10">
        <f t="shared" si="14"/>
        <v>5</v>
      </c>
      <c r="E446" s="26">
        <v>45041</v>
      </c>
    </row>
    <row r="447" spans="1:5" x14ac:dyDescent="0.15">
      <c r="A447" s="6" t="s">
        <v>10</v>
      </c>
      <c r="B447" s="11">
        <v>2</v>
      </c>
      <c r="C447" s="36"/>
      <c r="D447" s="10">
        <f t="shared" si="14"/>
        <v>2</v>
      </c>
      <c r="E447" s="26">
        <v>45041</v>
      </c>
    </row>
    <row r="448" spans="1:5" x14ac:dyDescent="0.15">
      <c r="A448" s="6" t="s">
        <v>10</v>
      </c>
      <c r="B448" s="11">
        <v>2</v>
      </c>
      <c r="C448" s="36"/>
      <c r="D448" s="10">
        <f t="shared" si="14"/>
        <v>2</v>
      </c>
      <c r="E448" s="66">
        <v>45047</v>
      </c>
    </row>
    <row r="449" spans="1:5" x14ac:dyDescent="0.15">
      <c r="A449" s="6" t="s">
        <v>10</v>
      </c>
      <c r="B449" s="11">
        <f>2+3</f>
        <v>5</v>
      </c>
      <c r="C449" s="36">
        <f>1+1</f>
        <v>2</v>
      </c>
      <c r="D449" s="10">
        <f t="shared" si="14"/>
        <v>7</v>
      </c>
      <c r="E449" s="26">
        <v>45054</v>
      </c>
    </row>
    <row r="450" spans="1:5" x14ac:dyDescent="0.15">
      <c r="A450" s="6" t="s">
        <v>35</v>
      </c>
      <c r="B450" s="11">
        <v>5</v>
      </c>
      <c r="C450" s="36">
        <v>5</v>
      </c>
      <c r="D450" s="10">
        <f t="shared" si="14"/>
        <v>10</v>
      </c>
      <c r="E450" s="26">
        <v>45055</v>
      </c>
    </row>
    <row r="451" spans="1:5" x14ac:dyDescent="0.15">
      <c r="A451" s="6" t="s">
        <v>10</v>
      </c>
      <c r="B451" s="11"/>
      <c r="C451" s="36">
        <v>1</v>
      </c>
      <c r="D451" s="10">
        <f t="shared" si="14"/>
        <v>1</v>
      </c>
      <c r="E451" s="66">
        <v>45056</v>
      </c>
    </row>
    <row r="452" spans="1:5" x14ac:dyDescent="0.15">
      <c r="A452" s="6" t="s">
        <v>10</v>
      </c>
      <c r="B452" s="11"/>
      <c r="C452" s="36">
        <v>1</v>
      </c>
      <c r="D452" s="10">
        <f t="shared" si="14"/>
        <v>1</v>
      </c>
      <c r="E452" s="66">
        <v>45061</v>
      </c>
    </row>
    <row r="453" spans="1:5" x14ac:dyDescent="0.15">
      <c r="A453" s="6" t="s">
        <v>10</v>
      </c>
      <c r="B453" s="11">
        <v>3</v>
      </c>
      <c r="C453" s="36"/>
      <c r="D453" s="10">
        <f t="shared" si="14"/>
        <v>3</v>
      </c>
      <c r="E453" s="66">
        <v>45062</v>
      </c>
    </row>
    <row r="454" spans="1:5" x14ac:dyDescent="0.15">
      <c r="A454" s="6" t="s">
        <v>10</v>
      </c>
      <c r="B454" s="11">
        <v>1</v>
      </c>
      <c r="C454" s="36"/>
      <c r="D454" s="10">
        <f t="shared" si="14"/>
        <v>1</v>
      </c>
      <c r="E454" s="66">
        <v>45063</v>
      </c>
    </row>
    <row r="455" spans="1:5" x14ac:dyDescent="0.15">
      <c r="A455" s="6" t="s">
        <v>60</v>
      </c>
      <c r="B455" s="11">
        <v>5</v>
      </c>
      <c r="C455" s="36">
        <v>3</v>
      </c>
      <c r="D455" s="10">
        <f t="shared" si="14"/>
        <v>8</v>
      </c>
      <c r="E455" s="26">
        <v>45065</v>
      </c>
    </row>
    <row r="456" spans="1:5" x14ac:dyDescent="0.15">
      <c r="A456" s="6" t="s">
        <v>35</v>
      </c>
      <c r="B456" s="11"/>
      <c r="C456" s="36">
        <v>3</v>
      </c>
      <c r="D456" s="10">
        <f t="shared" si="14"/>
        <v>3</v>
      </c>
      <c r="E456" s="26">
        <v>45070</v>
      </c>
    </row>
    <row r="457" spans="1:5" x14ac:dyDescent="0.15">
      <c r="A457" s="6" t="s">
        <v>10</v>
      </c>
      <c r="B457" s="11">
        <v>1</v>
      </c>
      <c r="C457" s="36"/>
      <c r="D457" s="10">
        <f t="shared" si="14"/>
        <v>1</v>
      </c>
      <c r="E457" s="66">
        <v>45070</v>
      </c>
    </row>
    <row r="458" spans="1:5" x14ac:dyDescent="0.15">
      <c r="A458" s="6" t="s">
        <v>10</v>
      </c>
      <c r="B458" s="11">
        <v>1</v>
      </c>
      <c r="C458" s="36">
        <v>1</v>
      </c>
      <c r="D458" s="10">
        <f t="shared" si="14"/>
        <v>2</v>
      </c>
      <c r="E458" s="66">
        <v>45071</v>
      </c>
    </row>
    <row r="459" spans="1:5" ht="14.25" thickBot="1" x14ac:dyDescent="0.2">
      <c r="A459" s="6" t="s">
        <v>61</v>
      </c>
      <c r="B459" s="11">
        <v>5</v>
      </c>
      <c r="C459" s="36"/>
      <c r="D459" s="10">
        <f t="shared" si="14"/>
        <v>5</v>
      </c>
      <c r="E459" s="26">
        <v>45072</v>
      </c>
    </row>
    <row r="460" spans="1:5" ht="14.25" thickBot="1" x14ac:dyDescent="0.2">
      <c r="A460" s="5" t="s">
        <v>5</v>
      </c>
      <c r="B460" s="13">
        <f>SUM(B436:B459)</f>
        <v>60</v>
      </c>
      <c r="C460" s="13">
        <f>SUM(C436:C459)</f>
        <v>20</v>
      </c>
      <c r="D460" s="14">
        <f t="shared" si="14"/>
        <v>80</v>
      </c>
    </row>
    <row r="461" spans="1:5" ht="14.25" thickBot="1" x14ac:dyDescent="0.2">
      <c r="A461" s="21" t="s">
        <v>6</v>
      </c>
      <c r="B461" s="22">
        <f>B435-B460</f>
        <v>35</v>
      </c>
      <c r="C461" s="22">
        <f>C435-C460</f>
        <v>11</v>
      </c>
      <c r="D461" s="20">
        <f>D435-D460</f>
        <v>46</v>
      </c>
    </row>
    <row r="463" spans="1:5" x14ac:dyDescent="0.15">
      <c r="D463" t="s">
        <v>64</v>
      </c>
    </row>
    <row r="464" spans="1:5" ht="19.5" thickBot="1" x14ac:dyDescent="0.25">
      <c r="A464" s="2" t="s">
        <v>51</v>
      </c>
      <c r="B464" s="3"/>
      <c r="C464" s="3"/>
      <c r="D464" s="3"/>
    </row>
    <row r="465" spans="1:6" ht="14.25" thickBot="1" x14ac:dyDescent="0.2">
      <c r="A465" s="4" t="s">
        <v>1</v>
      </c>
      <c r="B465" s="5" t="s">
        <v>25</v>
      </c>
      <c r="C465" s="4" t="s">
        <v>26</v>
      </c>
      <c r="D465" s="4" t="s">
        <v>2</v>
      </c>
    </row>
    <row r="466" spans="1:6" ht="14.25" thickBot="1" x14ac:dyDescent="0.2">
      <c r="A466" s="4" t="s">
        <v>6</v>
      </c>
      <c r="B466" s="45">
        <f>B461</f>
        <v>35</v>
      </c>
      <c r="C466" s="46">
        <f>C461</f>
        <v>11</v>
      </c>
      <c r="D466" s="14">
        <f t="shared" ref="D466:D502" si="15">SUM(B466:C466)</f>
        <v>46</v>
      </c>
    </row>
    <row r="467" spans="1:6" x14ac:dyDescent="0.15">
      <c r="A467" s="8" t="s">
        <v>3</v>
      </c>
      <c r="B467" s="15">
        <v>30</v>
      </c>
      <c r="C467" s="12">
        <v>10</v>
      </c>
      <c r="D467" s="7">
        <f t="shared" ref="D467:D471" si="16">SUM(B467:C467)</f>
        <v>40</v>
      </c>
      <c r="E467" s="26">
        <v>45092</v>
      </c>
      <c r="F467" s="28"/>
    </row>
    <row r="468" spans="1:6" x14ac:dyDescent="0.15">
      <c r="A468" s="8" t="s">
        <v>3</v>
      </c>
      <c r="B468" s="15">
        <v>10</v>
      </c>
      <c r="C468" s="12">
        <v>5</v>
      </c>
      <c r="D468" s="7">
        <f t="shared" si="16"/>
        <v>15</v>
      </c>
      <c r="E468" s="66">
        <v>45111</v>
      </c>
    </row>
    <row r="469" spans="1:6" x14ac:dyDescent="0.15">
      <c r="A469" s="8" t="s">
        <v>3</v>
      </c>
      <c r="B469" s="15"/>
      <c r="C469" s="12"/>
      <c r="D469" s="7">
        <f t="shared" si="16"/>
        <v>0</v>
      </c>
    </row>
    <row r="470" spans="1:6" x14ac:dyDescent="0.15">
      <c r="A470" s="8" t="s">
        <v>3</v>
      </c>
      <c r="B470" s="15"/>
      <c r="C470" s="12"/>
      <c r="D470" s="7">
        <f t="shared" si="16"/>
        <v>0</v>
      </c>
    </row>
    <row r="471" spans="1:6" x14ac:dyDescent="0.15">
      <c r="A471" s="8" t="s">
        <v>3</v>
      </c>
      <c r="B471" s="15"/>
      <c r="C471" s="12"/>
      <c r="D471" s="7">
        <f t="shared" si="16"/>
        <v>0</v>
      </c>
    </row>
    <row r="472" spans="1:6" x14ac:dyDescent="0.15">
      <c r="A472" s="8" t="s">
        <v>3</v>
      </c>
      <c r="B472" s="15"/>
      <c r="C472" s="12"/>
      <c r="D472" s="7">
        <f t="shared" si="15"/>
        <v>0</v>
      </c>
    </row>
    <row r="473" spans="1:6" x14ac:dyDescent="0.15">
      <c r="A473" s="8" t="s">
        <v>3</v>
      </c>
      <c r="B473" s="15"/>
      <c r="C473" s="12"/>
      <c r="D473" s="7">
        <f t="shared" si="15"/>
        <v>0</v>
      </c>
    </row>
    <row r="474" spans="1:6" x14ac:dyDescent="0.15">
      <c r="A474" s="8" t="s">
        <v>3</v>
      </c>
      <c r="B474" s="15"/>
      <c r="C474" s="12"/>
      <c r="D474" s="7">
        <f t="shared" si="15"/>
        <v>0</v>
      </c>
    </row>
    <row r="475" spans="1:6" x14ac:dyDescent="0.15">
      <c r="A475" s="8" t="s">
        <v>3</v>
      </c>
      <c r="B475" s="31"/>
      <c r="C475" s="40"/>
      <c r="D475" s="10">
        <f t="shared" si="15"/>
        <v>0</v>
      </c>
    </row>
    <row r="476" spans="1:6" ht="14.25" thickBot="1" x14ac:dyDescent="0.2">
      <c r="A476" s="8" t="s">
        <v>3</v>
      </c>
      <c r="B476" s="31"/>
      <c r="C476" s="40"/>
      <c r="D476" s="17">
        <f t="shared" si="15"/>
        <v>0</v>
      </c>
    </row>
    <row r="477" spans="1:6" ht="14.25" thickBot="1" x14ac:dyDescent="0.2">
      <c r="A477" s="18" t="s">
        <v>4</v>
      </c>
      <c r="B477" s="19">
        <f>SUM(B466:B476)</f>
        <v>75</v>
      </c>
      <c r="C477" s="19">
        <f>SUM(C466:C476)</f>
        <v>26</v>
      </c>
      <c r="D477" s="20">
        <f t="shared" si="15"/>
        <v>101</v>
      </c>
    </row>
    <row r="478" spans="1:6" x14ac:dyDescent="0.15">
      <c r="A478" s="6" t="s">
        <v>10</v>
      </c>
      <c r="B478" s="11">
        <f>2+1</f>
        <v>3</v>
      </c>
      <c r="C478" s="36">
        <v>1</v>
      </c>
      <c r="D478" s="10">
        <f t="shared" ref="D478:D499" si="17">SUM(B478:C478)</f>
        <v>4</v>
      </c>
      <c r="E478" s="66">
        <v>45075</v>
      </c>
    </row>
    <row r="479" spans="1:6" x14ac:dyDescent="0.15">
      <c r="A479" s="6" t="s">
        <v>62</v>
      </c>
      <c r="B479" s="11">
        <v>5</v>
      </c>
      <c r="C479" s="36"/>
      <c r="D479" s="10">
        <f t="shared" si="17"/>
        <v>5</v>
      </c>
      <c r="E479" s="26">
        <v>45077</v>
      </c>
    </row>
    <row r="480" spans="1:6" x14ac:dyDescent="0.15">
      <c r="A480" s="6" t="s">
        <v>10</v>
      </c>
      <c r="B480" s="11">
        <v>1</v>
      </c>
      <c r="C480" s="36"/>
      <c r="D480" s="10">
        <f t="shared" si="17"/>
        <v>1</v>
      </c>
      <c r="E480" s="66">
        <v>45077</v>
      </c>
    </row>
    <row r="481" spans="1:5" x14ac:dyDescent="0.15">
      <c r="A481" s="6" t="s">
        <v>10</v>
      </c>
      <c r="B481" s="11">
        <f>1+5</f>
        <v>6</v>
      </c>
      <c r="C481" s="36">
        <f>1+1</f>
        <v>2</v>
      </c>
      <c r="D481" s="10">
        <f t="shared" si="17"/>
        <v>8</v>
      </c>
      <c r="E481" s="66">
        <v>45082</v>
      </c>
    </row>
    <row r="482" spans="1:5" x14ac:dyDescent="0.15">
      <c r="A482" s="6" t="s">
        <v>63</v>
      </c>
      <c r="B482" s="11">
        <v>10</v>
      </c>
      <c r="C482" s="36"/>
      <c r="D482" s="10">
        <f t="shared" si="17"/>
        <v>10</v>
      </c>
      <c r="E482" s="26">
        <v>45083</v>
      </c>
    </row>
    <row r="483" spans="1:5" x14ac:dyDescent="0.15">
      <c r="A483" s="6" t="s">
        <v>10</v>
      </c>
      <c r="B483" s="11">
        <v>2</v>
      </c>
      <c r="C483" s="36"/>
      <c r="D483" s="10">
        <f t="shared" si="17"/>
        <v>2</v>
      </c>
      <c r="E483" s="26">
        <v>45083</v>
      </c>
    </row>
    <row r="484" spans="1:5" x14ac:dyDescent="0.15">
      <c r="A484" s="6" t="s">
        <v>10</v>
      </c>
      <c r="B484" s="11">
        <v>1</v>
      </c>
      <c r="C484" s="36">
        <v>1</v>
      </c>
      <c r="D484" s="10">
        <f t="shared" si="17"/>
        <v>2</v>
      </c>
      <c r="E484" s="66">
        <v>45086</v>
      </c>
    </row>
    <row r="485" spans="1:5" x14ac:dyDescent="0.15">
      <c r="A485" s="6" t="s">
        <v>10</v>
      </c>
      <c r="B485" s="11">
        <v>3</v>
      </c>
      <c r="C485" s="36">
        <f>2+3</f>
        <v>5</v>
      </c>
      <c r="D485" s="10">
        <f t="shared" si="17"/>
        <v>8</v>
      </c>
      <c r="E485" s="66">
        <v>45089</v>
      </c>
    </row>
    <row r="486" spans="1:5" x14ac:dyDescent="0.15">
      <c r="A486" s="6" t="s">
        <v>10</v>
      </c>
      <c r="B486" s="11"/>
      <c r="C486" s="36">
        <v>1</v>
      </c>
      <c r="D486" s="10">
        <f t="shared" si="17"/>
        <v>1</v>
      </c>
      <c r="E486" s="66">
        <v>45090</v>
      </c>
    </row>
    <row r="487" spans="1:5" x14ac:dyDescent="0.15">
      <c r="A487" s="6" t="s">
        <v>10</v>
      </c>
      <c r="B487" s="11">
        <v>2</v>
      </c>
      <c r="C487" s="36"/>
      <c r="D487" s="10">
        <f t="shared" si="17"/>
        <v>2</v>
      </c>
      <c r="E487" s="66">
        <v>45100</v>
      </c>
    </row>
    <row r="488" spans="1:5" x14ac:dyDescent="0.15">
      <c r="A488" s="6" t="s">
        <v>10</v>
      </c>
      <c r="B488" s="11">
        <v>3</v>
      </c>
      <c r="C488" s="36">
        <v>2</v>
      </c>
      <c r="D488" s="10">
        <f t="shared" si="17"/>
        <v>5</v>
      </c>
      <c r="E488" s="66">
        <v>45103</v>
      </c>
    </row>
    <row r="489" spans="1:5" x14ac:dyDescent="0.15">
      <c r="A489" s="6" t="s">
        <v>10</v>
      </c>
      <c r="B489" s="11">
        <v>1</v>
      </c>
      <c r="C489" s="36"/>
      <c r="D489" s="10">
        <f t="shared" si="17"/>
        <v>1</v>
      </c>
      <c r="E489" s="66">
        <v>45119</v>
      </c>
    </row>
    <row r="490" spans="1:5" x14ac:dyDescent="0.15">
      <c r="A490" s="6" t="s">
        <v>10</v>
      </c>
      <c r="B490" s="11">
        <v>1</v>
      </c>
      <c r="C490" s="36"/>
      <c r="D490" s="10">
        <f t="shared" si="17"/>
        <v>1</v>
      </c>
      <c r="E490" s="66">
        <v>45122</v>
      </c>
    </row>
    <row r="491" spans="1:5" x14ac:dyDescent="0.15">
      <c r="A491" s="6" t="s">
        <v>10</v>
      </c>
      <c r="B491" s="11">
        <v>1</v>
      </c>
      <c r="C491" s="36">
        <v>1</v>
      </c>
      <c r="D491" s="10">
        <f t="shared" si="17"/>
        <v>2</v>
      </c>
      <c r="E491" s="66">
        <v>45125</v>
      </c>
    </row>
    <row r="492" spans="1:5" x14ac:dyDescent="0.15">
      <c r="A492" s="6" t="s">
        <v>10</v>
      </c>
      <c r="B492" s="11">
        <v>3</v>
      </c>
      <c r="C492" s="36"/>
      <c r="D492" s="10">
        <f t="shared" si="17"/>
        <v>3</v>
      </c>
      <c r="E492" s="66">
        <v>45128</v>
      </c>
    </row>
    <row r="493" spans="1:5" x14ac:dyDescent="0.15">
      <c r="A493" s="6" t="s">
        <v>10</v>
      </c>
      <c r="B493" s="11"/>
      <c r="C493" s="36">
        <v>1</v>
      </c>
      <c r="D493" s="10">
        <f t="shared" si="17"/>
        <v>1</v>
      </c>
      <c r="E493" s="66">
        <v>45131</v>
      </c>
    </row>
    <row r="494" spans="1:5" x14ac:dyDescent="0.15">
      <c r="A494" s="6" t="s">
        <v>10</v>
      </c>
      <c r="B494" s="11"/>
      <c r="C494" s="36">
        <v>2</v>
      </c>
      <c r="D494" s="10">
        <f t="shared" si="17"/>
        <v>2</v>
      </c>
      <c r="E494" s="66">
        <v>45135</v>
      </c>
    </row>
    <row r="495" spans="1:5" x14ac:dyDescent="0.15">
      <c r="A495" s="6" t="s">
        <v>10</v>
      </c>
      <c r="B495" s="11">
        <v>1</v>
      </c>
      <c r="C495" s="36"/>
      <c r="D495" s="10">
        <f t="shared" si="17"/>
        <v>1</v>
      </c>
      <c r="E495" s="66">
        <v>45136</v>
      </c>
    </row>
    <row r="496" spans="1:5" x14ac:dyDescent="0.15">
      <c r="A496" s="6" t="s">
        <v>10</v>
      </c>
      <c r="B496" s="11">
        <v>1</v>
      </c>
      <c r="C496" s="36"/>
      <c r="D496" s="10">
        <f t="shared" si="17"/>
        <v>1</v>
      </c>
      <c r="E496" s="66">
        <v>45138</v>
      </c>
    </row>
    <row r="497" spans="1:5" x14ac:dyDescent="0.15">
      <c r="A497" s="6" t="s">
        <v>10</v>
      </c>
      <c r="B497" s="11">
        <v>1</v>
      </c>
      <c r="C497" s="36"/>
      <c r="D497" s="10">
        <f t="shared" si="17"/>
        <v>1</v>
      </c>
      <c r="E497" s="66">
        <v>45142</v>
      </c>
    </row>
    <row r="498" spans="1:5" x14ac:dyDescent="0.15">
      <c r="A498" s="6" t="s">
        <v>10</v>
      </c>
      <c r="B498" s="11">
        <v>2</v>
      </c>
      <c r="C498" s="36"/>
      <c r="D498" s="10">
        <f t="shared" si="17"/>
        <v>2</v>
      </c>
      <c r="E498" s="66">
        <v>45145</v>
      </c>
    </row>
    <row r="499" spans="1:5" x14ac:dyDescent="0.15">
      <c r="A499" s="6" t="s">
        <v>10</v>
      </c>
      <c r="B499" s="11">
        <v>1</v>
      </c>
      <c r="C499" s="36"/>
      <c r="D499" s="10">
        <f t="shared" si="17"/>
        <v>1</v>
      </c>
      <c r="E499" s="66">
        <v>45146</v>
      </c>
    </row>
    <row r="500" spans="1:5" x14ac:dyDescent="0.15">
      <c r="A500" s="6" t="s">
        <v>10</v>
      </c>
      <c r="B500" s="11"/>
      <c r="C500" s="36">
        <v>1</v>
      </c>
      <c r="D500" s="10">
        <f t="shared" si="15"/>
        <v>1</v>
      </c>
      <c r="E500" s="66">
        <v>45148</v>
      </c>
    </row>
    <row r="501" spans="1:5" ht="14.25" thickBot="1" x14ac:dyDescent="0.2">
      <c r="A501" s="6" t="s">
        <v>10</v>
      </c>
      <c r="B501" s="11">
        <v>1</v>
      </c>
      <c r="C501" s="36">
        <v>1</v>
      </c>
      <c r="D501" s="10">
        <f t="shared" si="15"/>
        <v>2</v>
      </c>
      <c r="E501" s="66">
        <v>45154</v>
      </c>
    </row>
    <row r="502" spans="1:5" ht="14.25" thickBot="1" x14ac:dyDescent="0.2">
      <c r="A502" s="5" t="s">
        <v>5</v>
      </c>
      <c r="B502" s="13">
        <f>SUM(B478:B501)</f>
        <v>49</v>
      </c>
      <c r="C502" s="13">
        <f>SUM(C478:C501)</f>
        <v>18</v>
      </c>
      <c r="D502" s="14">
        <f t="shared" si="15"/>
        <v>67</v>
      </c>
    </row>
    <row r="503" spans="1:5" ht="14.25" thickBot="1" x14ac:dyDescent="0.2">
      <c r="A503" s="21" t="s">
        <v>6</v>
      </c>
      <c r="B503" s="22">
        <f>B477-B502</f>
        <v>26</v>
      </c>
      <c r="C503" s="22">
        <f>C477-C502</f>
        <v>8</v>
      </c>
      <c r="D503" s="20">
        <f>D477-D502</f>
        <v>34</v>
      </c>
    </row>
    <row r="505" spans="1:5" x14ac:dyDescent="0.15">
      <c r="D505" t="s">
        <v>64</v>
      </c>
    </row>
    <row r="506" spans="1:5" ht="19.5" thickBot="1" x14ac:dyDescent="0.25">
      <c r="A506" s="2" t="s">
        <v>51</v>
      </c>
      <c r="B506" s="3"/>
      <c r="C506" s="3"/>
      <c r="D506" s="3"/>
    </row>
    <row r="507" spans="1:5" ht="14.25" thickBot="1" x14ac:dyDescent="0.2">
      <c r="A507" s="4" t="s">
        <v>1</v>
      </c>
      <c r="B507" s="5" t="s">
        <v>25</v>
      </c>
      <c r="C507" s="4" t="s">
        <v>26</v>
      </c>
      <c r="D507" s="4" t="s">
        <v>2</v>
      </c>
    </row>
    <row r="508" spans="1:5" ht="14.25" thickBot="1" x14ac:dyDescent="0.2">
      <c r="A508" s="4" t="s">
        <v>6</v>
      </c>
      <c r="B508" s="45">
        <f>B503</f>
        <v>26</v>
      </c>
      <c r="C508" s="46">
        <f>C503</f>
        <v>8</v>
      </c>
      <c r="D508" s="14">
        <f t="shared" ref="D508:D544" si="18">SUM(B508:C508)</f>
        <v>34</v>
      </c>
    </row>
    <row r="509" spans="1:5" x14ac:dyDescent="0.15">
      <c r="A509" s="8" t="s">
        <v>3</v>
      </c>
      <c r="B509" s="15"/>
      <c r="C509" s="12"/>
      <c r="D509" s="7">
        <f t="shared" ref="D509:D515" si="19">SUM(B509:C509)</f>
        <v>0</v>
      </c>
    </row>
    <row r="510" spans="1:5" x14ac:dyDescent="0.15">
      <c r="A510" s="8" t="s">
        <v>43</v>
      </c>
      <c r="B510" s="15"/>
      <c r="C510" s="12">
        <v>0</v>
      </c>
      <c r="D510" s="7">
        <f t="shared" si="19"/>
        <v>0</v>
      </c>
      <c r="E510" s="66">
        <v>45161</v>
      </c>
    </row>
    <row r="511" spans="1:5" x14ac:dyDescent="0.15">
      <c r="A511" s="8" t="s">
        <v>3</v>
      </c>
      <c r="B511" s="15"/>
      <c r="C511" s="12">
        <v>10</v>
      </c>
      <c r="D511" s="7">
        <f t="shared" si="19"/>
        <v>10</v>
      </c>
      <c r="E511" s="26">
        <v>45174</v>
      </c>
    </row>
    <row r="512" spans="1:5" x14ac:dyDescent="0.15">
      <c r="A512" s="8" t="s">
        <v>3</v>
      </c>
      <c r="B512" s="15"/>
      <c r="C512" s="12">
        <v>3</v>
      </c>
      <c r="D512" s="7">
        <f t="shared" si="19"/>
        <v>3</v>
      </c>
      <c r="E512" s="66">
        <v>45232</v>
      </c>
    </row>
    <row r="513" spans="1:5" x14ac:dyDescent="0.15">
      <c r="A513" s="8" t="s">
        <v>66</v>
      </c>
      <c r="B513" s="15">
        <v>1</v>
      </c>
      <c r="C513" s="12"/>
      <c r="D513" s="7">
        <f t="shared" si="19"/>
        <v>1</v>
      </c>
      <c r="E513" s="66">
        <v>45239</v>
      </c>
    </row>
    <row r="514" spans="1:5" x14ac:dyDescent="0.15">
      <c r="A514" s="8" t="s">
        <v>66</v>
      </c>
      <c r="B514" s="15">
        <v>6</v>
      </c>
      <c r="C514" s="12">
        <v>3</v>
      </c>
      <c r="D514" s="7">
        <f t="shared" si="19"/>
        <v>9</v>
      </c>
      <c r="E514" s="66">
        <v>45243</v>
      </c>
    </row>
    <row r="515" spans="1:5" x14ac:dyDescent="0.15">
      <c r="A515" s="55" t="s">
        <v>3</v>
      </c>
      <c r="B515" s="67">
        <v>12</v>
      </c>
      <c r="C515" s="68">
        <v>-1</v>
      </c>
      <c r="D515" s="56">
        <f t="shared" si="19"/>
        <v>11</v>
      </c>
      <c r="E515" s="69"/>
    </row>
    <row r="516" spans="1:5" x14ac:dyDescent="0.15">
      <c r="A516" s="8" t="s">
        <v>3</v>
      </c>
      <c r="B516" s="15"/>
      <c r="C516" s="12"/>
      <c r="D516" s="7">
        <f t="shared" si="18"/>
        <v>0</v>
      </c>
    </row>
    <row r="517" spans="1:5" x14ac:dyDescent="0.15">
      <c r="A517" s="8" t="s">
        <v>3</v>
      </c>
      <c r="B517" s="31"/>
      <c r="C517" s="40"/>
      <c r="D517" s="10">
        <f t="shared" si="18"/>
        <v>0</v>
      </c>
    </row>
    <row r="518" spans="1:5" ht="14.25" thickBot="1" x14ac:dyDescent="0.2">
      <c r="A518" s="8" t="s">
        <v>3</v>
      </c>
      <c r="B518" s="31"/>
      <c r="C518" s="40"/>
      <c r="D518" s="17">
        <f t="shared" si="18"/>
        <v>0</v>
      </c>
    </row>
    <row r="519" spans="1:5" ht="14.25" thickBot="1" x14ac:dyDescent="0.2">
      <c r="A519" s="18" t="s">
        <v>4</v>
      </c>
      <c r="B519" s="19">
        <f>SUM(B508:B518)</f>
        <v>45</v>
      </c>
      <c r="C519" s="19">
        <f>SUM(C508:C518)</f>
        <v>23</v>
      </c>
      <c r="D519" s="20">
        <f t="shared" si="18"/>
        <v>68</v>
      </c>
    </row>
    <row r="520" spans="1:5" x14ac:dyDescent="0.15">
      <c r="A520" s="6" t="s">
        <v>10</v>
      </c>
      <c r="B520" s="11"/>
      <c r="C520" s="36">
        <v>1</v>
      </c>
      <c r="D520" s="10">
        <f t="shared" ref="D520:D541" si="20">SUM(B520:C520)</f>
        <v>1</v>
      </c>
      <c r="E520" s="66">
        <v>45156</v>
      </c>
    </row>
    <row r="521" spans="1:5" x14ac:dyDescent="0.15">
      <c r="A521" s="6" t="s">
        <v>65</v>
      </c>
      <c r="B521" s="11"/>
      <c r="C521" s="36">
        <v>2</v>
      </c>
      <c r="D521" s="10">
        <f t="shared" si="20"/>
        <v>2</v>
      </c>
      <c r="E521" s="26">
        <v>45160</v>
      </c>
    </row>
    <row r="522" spans="1:5" x14ac:dyDescent="0.15">
      <c r="A522" s="6" t="s">
        <v>10</v>
      </c>
      <c r="B522" s="11"/>
      <c r="C522" s="36">
        <v>1</v>
      </c>
      <c r="D522" s="10">
        <f t="shared" si="20"/>
        <v>1</v>
      </c>
      <c r="E522" s="66">
        <v>45163</v>
      </c>
    </row>
    <row r="523" spans="1:5" x14ac:dyDescent="0.15">
      <c r="A523" s="6" t="s">
        <v>10</v>
      </c>
      <c r="B523" s="11">
        <f>1+1+1</f>
        <v>3</v>
      </c>
      <c r="C523" s="36">
        <f>1+1+1</f>
        <v>3</v>
      </c>
      <c r="D523" s="10">
        <f t="shared" si="20"/>
        <v>6</v>
      </c>
      <c r="E523" s="66">
        <v>45166</v>
      </c>
    </row>
    <row r="524" spans="1:5" x14ac:dyDescent="0.15">
      <c r="A524" s="6" t="s">
        <v>10</v>
      </c>
      <c r="B524" s="11">
        <v>1</v>
      </c>
      <c r="C524" s="36"/>
      <c r="D524" s="10">
        <f t="shared" si="20"/>
        <v>1</v>
      </c>
      <c r="E524" s="66">
        <v>45174</v>
      </c>
    </row>
    <row r="525" spans="1:5" x14ac:dyDescent="0.15">
      <c r="A525" s="6" t="s">
        <v>10</v>
      </c>
      <c r="B525" s="11">
        <v>1</v>
      </c>
      <c r="C525" s="36"/>
      <c r="D525" s="10">
        <f t="shared" si="20"/>
        <v>1</v>
      </c>
      <c r="E525" s="66">
        <v>45175</v>
      </c>
    </row>
    <row r="526" spans="1:5" x14ac:dyDescent="0.15">
      <c r="A526" s="6" t="s">
        <v>10</v>
      </c>
      <c r="B526" s="11">
        <v>2</v>
      </c>
      <c r="C526" s="36"/>
      <c r="D526" s="10">
        <f t="shared" si="20"/>
        <v>2</v>
      </c>
      <c r="E526" s="66">
        <v>45176</v>
      </c>
    </row>
    <row r="527" spans="1:5" x14ac:dyDescent="0.15">
      <c r="A527" s="6" t="s">
        <v>10</v>
      </c>
      <c r="B527" s="11">
        <v>1</v>
      </c>
      <c r="C527" s="36">
        <v>1</v>
      </c>
      <c r="D527" s="10">
        <f t="shared" si="20"/>
        <v>2</v>
      </c>
      <c r="E527" s="66">
        <v>45180</v>
      </c>
    </row>
    <row r="528" spans="1:5" x14ac:dyDescent="0.15">
      <c r="A528" s="6" t="s">
        <v>10</v>
      </c>
      <c r="B528" s="11">
        <v>1</v>
      </c>
      <c r="C528" s="36"/>
      <c r="D528" s="10">
        <f t="shared" si="20"/>
        <v>1</v>
      </c>
      <c r="E528" s="66">
        <v>45184</v>
      </c>
    </row>
    <row r="529" spans="1:5" x14ac:dyDescent="0.15">
      <c r="A529" s="6" t="s">
        <v>10</v>
      </c>
      <c r="B529" s="11"/>
      <c r="C529" s="36">
        <v>1</v>
      </c>
      <c r="D529" s="10">
        <f t="shared" si="20"/>
        <v>1</v>
      </c>
      <c r="E529" s="66">
        <v>45196</v>
      </c>
    </row>
    <row r="530" spans="1:5" x14ac:dyDescent="0.15">
      <c r="A530" s="6" t="s">
        <v>10</v>
      </c>
      <c r="B530" s="11">
        <v>1</v>
      </c>
      <c r="C530" s="36"/>
      <c r="D530" s="10">
        <f t="shared" si="20"/>
        <v>1</v>
      </c>
      <c r="E530" s="66">
        <v>45197</v>
      </c>
    </row>
    <row r="531" spans="1:5" x14ac:dyDescent="0.15">
      <c r="A531" s="6" t="s">
        <v>10</v>
      </c>
      <c r="B531" s="11">
        <v>2</v>
      </c>
      <c r="C531" s="36"/>
      <c r="D531" s="10">
        <f t="shared" si="20"/>
        <v>2</v>
      </c>
      <c r="E531" s="66">
        <v>45201</v>
      </c>
    </row>
    <row r="532" spans="1:5" x14ac:dyDescent="0.15">
      <c r="A532" s="6" t="s">
        <v>10</v>
      </c>
      <c r="B532" s="11">
        <v>2</v>
      </c>
      <c r="C532" s="36">
        <v>1</v>
      </c>
      <c r="D532" s="10">
        <f t="shared" si="20"/>
        <v>3</v>
      </c>
      <c r="E532" s="66">
        <v>45206</v>
      </c>
    </row>
    <row r="533" spans="1:5" x14ac:dyDescent="0.15">
      <c r="A533" s="6" t="s">
        <v>10</v>
      </c>
      <c r="B533" s="11">
        <v>2</v>
      </c>
      <c r="C533" s="36">
        <f>1+1</f>
        <v>2</v>
      </c>
      <c r="D533" s="10">
        <f t="shared" si="20"/>
        <v>4</v>
      </c>
      <c r="E533" s="66">
        <v>45209</v>
      </c>
    </row>
    <row r="534" spans="1:5" x14ac:dyDescent="0.15">
      <c r="A534" s="6" t="s">
        <v>10</v>
      </c>
      <c r="B534" s="11">
        <v>1</v>
      </c>
      <c r="C534" s="36"/>
      <c r="D534" s="10">
        <f t="shared" si="20"/>
        <v>1</v>
      </c>
      <c r="E534" s="66">
        <v>45210</v>
      </c>
    </row>
    <row r="535" spans="1:5" x14ac:dyDescent="0.15">
      <c r="A535" s="6" t="s">
        <v>10</v>
      </c>
      <c r="B535" s="11"/>
      <c r="C535" s="36">
        <v>1</v>
      </c>
      <c r="D535" s="10">
        <f t="shared" si="20"/>
        <v>1</v>
      </c>
      <c r="E535" s="66">
        <v>45212</v>
      </c>
    </row>
    <row r="536" spans="1:5" x14ac:dyDescent="0.15">
      <c r="A536" s="6" t="s">
        <v>10</v>
      </c>
      <c r="B536" s="11">
        <v>1</v>
      </c>
      <c r="C536" s="36">
        <v>1</v>
      </c>
      <c r="D536" s="10">
        <f t="shared" si="20"/>
        <v>2</v>
      </c>
      <c r="E536" s="66">
        <v>45215</v>
      </c>
    </row>
    <row r="537" spans="1:5" x14ac:dyDescent="0.15">
      <c r="A537" s="6" t="s">
        <v>10</v>
      </c>
      <c r="B537" s="11">
        <v>1</v>
      </c>
      <c r="C537" s="36"/>
      <c r="D537" s="10">
        <f t="shared" si="20"/>
        <v>1</v>
      </c>
      <c r="E537" s="66">
        <v>45222</v>
      </c>
    </row>
    <row r="538" spans="1:5" x14ac:dyDescent="0.15">
      <c r="A538" s="6" t="s">
        <v>10</v>
      </c>
      <c r="B538" s="11">
        <v>1</v>
      </c>
      <c r="C538" s="36"/>
      <c r="D538" s="10">
        <f t="shared" si="20"/>
        <v>1</v>
      </c>
      <c r="E538" s="66">
        <v>45231</v>
      </c>
    </row>
    <row r="539" spans="1:5" x14ac:dyDescent="0.15">
      <c r="A539" s="6" t="s">
        <v>10</v>
      </c>
      <c r="B539" s="11">
        <v>2</v>
      </c>
      <c r="C539" s="36"/>
      <c r="D539" s="10">
        <f t="shared" si="20"/>
        <v>2</v>
      </c>
      <c r="E539" s="66">
        <v>45238</v>
      </c>
    </row>
    <row r="540" spans="1:5" x14ac:dyDescent="0.15">
      <c r="A540" s="6" t="s">
        <v>10</v>
      </c>
      <c r="B540" s="11"/>
      <c r="C540" s="36">
        <v>1</v>
      </c>
      <c r="D540" s="10">
        <f t="shared" si="20"/>
        <v>1</v>
      </c>
      <c r="E540" s="66">
        <v>45239</v>
      </c>
    </row>
    <row r="541" spans="1:5" x14ac:dyDescent="0.15">
      <c r="A541" s="6" t="s">
        <v>10</v>
      </c>
      <c r="B541" s="11"/>
      <c r="C541" s="36">
        <v>1</v>
      </c>
      <c r="D541" s="10">
        <f t="shared" si="20"/>
        <v>1</v>
      </c>
      <c r="E541" s="66">
        <v>45243</v>
      </c>
    </row>
    <row r="542" spans="1:5" x14ac:dyDescent="0.15">
      <c r="A542" s="6" t="s">
        <v>10</v>
      </c>
      <c r="B542" s="11">
        <v>1</v>
      </c>
      <c r="C542" s="36">
        <v>1</v>
      </c>
      <c r="D542" s="10">
        <f t="shared" si="18"/>
        <v>2</v>
      </c>
      <c r="E542" s="66">
        <v>45246</v>
      </c>
    </row>
    <row r="543" spans="1:5" ht="14.25" thickBot="1" x14ac:dyDescent="0.2">
      <c r="A543" s="6" t="s">
        <v>10</v>
      </c>
      <c r="B543" s="11"/>
      <c r="C543" s="36">
        <v>1</v>
      </c>
      <c r="D543" s="10">
        <f t="shared" si="18"/>
        <v>1</v>
      </c>
      <c r="E543" s="66">
        <v>45254</v>
      </c>
    </row>
    <row r="544" spans="1:5" ht="14.25" thickBot="1" x14ac:dyDescent="0.2">
      <c r="A544" s="5" t="s">
        <v>5</v>
      </c>
      <c r="B544" s="13">
        <f>SUM(B520:B543)</f>
        <v>23</v>
      </c>
      <c r="C544" s="13">
        <f>SUM(C520:C543)</f>
        <v>18</v>
      </c>
      <c r="D544" s="14">
        <f t="shared" si="18"/>
        <v>41</v>
      </c>
    </row>
    <row r="545" spans="1:6" ht="14.25" thickBot="1" x14ac:dyDescent="0.2">
      <c r="A545" s="21" t="s">
        <v>6</v>
      </c>
      <c r="B545" s="22">
        <f>B519-B544</f>
        <v>22</v>
      </c>
      <c r="C545" s="22">
        <f>C519-C544</f>
        <v>5</v>
      </c>
      <c r="D545" s="20">
        <f>D519-D544</f>
        <v>27</v>
      </c>
    </row>
    <row r="547" spans="1:6" x14ac:dyDescent="0.15">
      <c r="D547" t="s">
        <v>64</v>
      </c>
    </row>
    <row r="548" spans="1:6" ht="19.5" thickBot="1" x14ac:dyDescent="0.25">
      <c r="A548" s="2" t="s">
        <v>51</v>
      </c>
      <c r="B548" s="3"/>
      <c r="C548" s="3"/>
      <c r="D548" s="3"/>
    </row>
    <row r="549" spans="1:6" ht="14.25" thickBot="1" x14ac:dyDescent="0.2">
      <c r="A549" s="4" t="s">
        <v>1</v>
      </c>
      <c r="B549" s="5" t="s">
        <v>25</v>
      </c>
      <c r="C549" s="4" t="s">
        <v>26</v>
      </c>
      <c r="D549" s="4" t="s">
        <v>2</v>
      </c>
    </row>
    <row r="550" spans="1:6" ht="14.25" thickBot="1" x14ac:dyDescent="0.2">
      <c r="A550" s="4" t="s">
        <v>6</v>
      </c>
      <c r="B550" s="45">
        <f>B545</f>
        <v>22</v>
      </c>
      <c r="C550" s="46">
        <f>C545</f>
        <v>5</v>
      </c>
      <c r="D550" s="14">
        <f t="shared" ref="D550:D586" si="21">SUM(B550:C550)</f>
        <v>27</v>
      </c>
    </row>
    <row r="551" spans="1:6" x14ac:dyDescent="0.15">
      <c r="A551" s="8" t="s">
        <v>3</v>
      </c>
      <c r="B551" s="15"/>
      <c r="C551" s="12">
        <v>5</v>
      </c>
      <c r="D551" s="7">
        <f t="shared" si="21"/>
        <v>5</v>
      </c>
      <c r="E551" s="26">
        <v>45266</v>
      </c>
    </row>
    <row r="552" spans="1:6" x14ac:dyDescent="0.15">
      <c r="A552" s="8" t="s">
        <v>3</v>
      </c>
      <c r="B552" s="15">
        <v>10</v>
      </c>
      <c r="C552" s="12"/>
      <c r="D552" s="7">
        <f t="shared" ref="D552:D556" si="22">SUM(B552:C552)</f>
        <v>10</v>
      </c>
      <c r="E552" s="26">
        <v>45285</v>
      </c>
      <c r="F552" s="28"/>
    </row>
    <row r="553" spans="1:6" x14ac:dyDescent="0.15">
      <c r="A553" s="8" t="s">
        <v>3</v>
      </c>
      <c r="B553" s="15">
        <v>10</v>
      </c>
      <c r="C553" s="12">
        <v>5</v>
      </c>
      <c r="D553" s="7">
        <f t="shared" si="22"/>
        <v>15</v>
      </c>
      <c r="E553" s="26">
        <v>45337</v>
      </c>
    </row>
    <row r="554" spans="1:6" x14ac:dyDescent="0.15">
      <c r="A554" s="8" t="s">
        <v>3</v>
      </c>
      <c r="B554" s="15">
        <v>3</v>
      </c>
      <c r="C554" s="12"/>
      <c r="D554" s="7">
        <f t="shared" si="22"/>
        <v>3</v>
      </c>
      <c r="E554" s="26">
        <v>45343</v>
      </c>
    </row>
    <row r="555" spans="1:6" x14ac:dyDescent="0.15">
      <c r="A555" s="8" t="s">
        <v>3</v>
      </c>
      <c r="B555" s="15">
        <v>5</v>
      </c>
      <c r="C555" s="12">
        <v>3</v>
      </c>
      <c r="D555" s="7">
        <f t="shared" si="22"/>
        <v>8</v>
      </c>
      <c r="E555" s="26">
        <v>45359</v>
      </c>
    </row>
    <row r="556" spans="1:6" x14ac:dyDescent="0.15">
      <c r="A556" s="8" t="s">
        <v>3</v>
      </c>
      <c r="B556" s="15"/>
      <c r="C556" s="12"/>
      <c r="D556" s="7">
        <f t="shared" si="22"/>
        <v>0</v>
      </c>
    </row>
    <row r="557" spans="1:6" x14ac:dyDescent="0.15">
      <c r="A557" s="8" t="s">
        <v>3</v>
      </c>
      <c r="B557" s="15"/>
      <c r="C557" s="12"/>
      <c r="D557" s="7">
        <f t="shared" si="21"/>
        <v>0</v>
      </c>
    </row>
    <row r="558" spans="1:6" x14ac:dyDescent="0.15">
      <c r="A558" s="8" t="s">
        <v>3</v>
      </c>
      <c r="B558" s="15"/>
      <c r="C558" s="12"/>
      <c r="D558" s="7">
        <f t="shared" si="21"/>
        <v>0</v>
      </c>
    </row>
    <row r="559" spans="1:6" x14ac:dyDescent="0.15">
      <c r="A559" s="8" t="s">
        <v>3</v>
      </c>
      <c r="B559" s="31"/>
      <c r="C559" s="40"/>
      <c r="D559" s="10">
        <f t="shared" si="21"/>
        <v>0</v>
      </c>
    </row>
    <row r="560" spans="1:6" ht="14.25" thickBot="1" x14ac:dyDescent="0.2">
      <c r="A560" s="8" t="s">
        <v>3</v>
      </c>
      <c r="B560" s="31"/>
      <c r="C560" s="40"/>
      <c r="D560" s="17">
        <f t="shared" si="21"/>
        <v>0</v>
      </c>
    </row>
    <row r="561" spans="1:5" ht="14.25" thickBot="1" x14ac:dyDescent="0.2">
      <c r="A561" s="18" t="s">
        <v>4</v>
      </c>
      <c r="B561" s="19">
        <f>SUM(B550:B560)</f>
        <v>50</v>
      </c>
      <c r="C561" s="19">
        <f>SUM(C550:C560)</f>
        <v>18</v>
      </c>
      <c r="D561" s="20">
        <f t="shared" si="21"/>
        <v>68</v>
      </c>
    </row>
    <row r="562" spans="1:5" x14ac:dyDescent="0.15">
      <c r="A562" s="6" t="s">
        <v>10</v>
      </c>
      <c r="B562" s="11">
        <v>5</v>
      </c>
      <c r="C562" s="36">
        <v>1</v>
      </c>
      <c r="D562" s="10">
        <f t="shared" ref="D562:D582" si="23">SUM(B562:C562)</f>
        <v>6</v>
      </c>
      <c r="E562" s="66">
        <v>45257</v>
      </c>
    </row>
    <row r="563" spans="1:5" x14ac:dyDescent="0.15">
      <c r="A563" s="6" t="s">
        <v>10</v>
      </c>
      <c r="B563" s="11">
        <v>1</v>
      </c>
      <c r="C563" s="36"/>
      <c r="D563" s="10">
        <f t="shared" si="23"/>
        <v>1</v>
      </c>
      <c r="E563" s="66">
        <v>45261</v>
      </c>
    </row>
    <row r="564" spans="1:5" x14ac:dyDescent="0.15">
      <c r="A564" s="6" t="s">
        <v>10</v>
      </c>
      <c r="B564" s="11">
        <v>1</v>
      </c>
      <c r="C564" s="36"/>
      <c r="D564" s="10">
        <f t="shared" si="23"/>
        <v>1</v>
      </c>
      <c r="E564" s="66">
        <v>45265</v>
      </c>
    </row>
    <row r="565" spans="1:5" x14ac:dyDescent="0.15">
      <c r="A565" s="6" t="s">
        <v>10</v>
      </c>
      <c r="B565" s="11">
        <v>3</v>
      </c>
      <c r="C565" s="36">
        <v>1</v>
      </c>
      <c r="D565" s="10">
        <f t="shared" si="23"/>
        <v>4</v>
      </c>
      <c r="E565" s="66">
        <v>45274</v>
      </c>
    </row>
    <row r="566" spans="1:5" x14ac:dyDescent="0.15">
      <c r="A566" s="6" t="s">
        <v>10</v>
      </c>
      <c r="B566" s="11">
        <v>1</v>
      </c>
      <c r="C566" s="36"/>
      <c r="D566" s="10">
        <f t="shared" si="23"/>
        <v>1</v>
      </c>
      <c r="E566" s="66">
        <v>45276</v>
      </c>
    </row>
    <row r="567" spans="1:5" x14ac:dyDescent="0.15">
      <c r="A567" s="6" t="s">
        <v>10</v>
      </c>
      <c r="B567" s="11">
        <v>1</v>
      </c>
      <c r="C567" s="36">
        <f>1+1</f>
        <v>2</v>
      </c>
      <c r="D567" s="10">
        <f t="shared" si="23"/>
        <v>3</v>
      </c>
      <c r="E567" s="66">
        <v>45279</v>
      </c>
    </row>
    <row r="568" spans="1:5" x14ac:dyDescent="0.15">
      <c r="A568" s="6" t="s">
        <v>10</v>
      </c>
      <c r="B568" s="11">
        <v>1</v>
      </c>
      <c r="C568" s="36"/>
      <c r="D568" s="10">
        <f t="shared" si="23"/>
        <v>1</v>
      </c>
      <c r="E568" s="66">
        <v>45280</v>
      </c>
    </row>
    <row r="569" spans="1:5" x14ac:dyDescent="0.15">
      <c r="A569" s="6" t="s">
        <v>10</v>
      </c>
      <c r="B569" s="11">
        <v>1</v>
      </c>
      <c r="C569" s="36"/>
      <c r="D569" s="10">
        <f t="shared" si="23"/>
        <v>1</v>
      </c>
      <c r="E569" s="66">
        <v>45282</v>
      </c>
    </row>
    <row r="570" spans="1:5" x14ac:dyDescent="0.15">
      <c r="A570" s="6" t="s">
        <v>10</v>
      </c>
      <c r="B570" s="11">
        <v>2</v>
      </c>
      <c r="C570" s="36">
        <v>2</v>
      </c>
      <c r="D570" s="10">
        <f t="shared" si="23"/>
        <v>4</v>
      </c>
      <c r="E570" s="66">
        <v>45285</v>
      </c>
    </row>
    <row r="571" spans="1:5" x14ac:dyDescent="0.15">
      <c r="A571" s="6" t="s">
        <v>10</v>
      </c>
      <c r="B571" s="11">
        <v>3</v>
      </c>
      <c r="C571" s="36"/>
      <c r="D571" s="10">
        <f t="shared" si="23"/>
        <v>3</v>
      </c>
      <c r="E571" s="66">
        <v>45296</v>
      </c>
    </row>
    <row r="572" spans="1:5" x14ac:dyDescent="0.15">
      <c r="A572" s="6" t="s">
        <v>10</v>
      </c>
      <c r="B572" s="11">
        <v>1</v>
      </c>
      <c r="C572" s="36"/>
      <c r="D572" s="10">
        <f t="shared" si="23"/>
        <v>1</v>
      </c>
      <c r="E572" s="66">
        <v>45301</v>
      </c>
    </row>
    <row r="573" spans="1:5" x14ac:dyDescent="0.15">
      <c r="A573" s="6" t="s">
        <v>10</v>
      </c>
      <c r="B573" s="11">
        <f>2+2</f>
        <v>4</v>
      </c>
      <c r="C573" s="36">
        <v>1</v>
      </c>
      <c r="D573" s="10">
        <f t="shared" si="23"/>
        <v>5</v>
      </c>
      <c r="E573" s="66">
        <v>45302</v>
      </c>
    </row>
    <row r="574" spans="1:5" x14ac:dyDescent="0.15">
      <c r="A574" s="6" t="s">
        <v>10</v>
      </c>
      <c r="B574" s="11">
        <v>1</v>
      </c>
      <c r="C574" s="36">
        <v>1</v>
      </c>
      <c r="D574" s="10">
        <f t="shared" si="23"/>
        <v>2</v>
      </c>
      <c r="E574" s="66">
        <v>45316</v>
      </c>
    </row>
    <row r="575" spans="1:5" x14ac:dyDescent="0.15">
      <c r="A575" s="6" t="s">
        <v>10</v>
      </c>
      <c r="B575" s="11">
        <v>1</v>
      </c>
      <c r="C575" s="36"/>
      <c r="D575" s="10">
        <f t="shared" si="23"/>
        <v>1</v>
      </c>
      <c r="E575" s="66">
        <v>45323</v>
      </c>
    </row>
    <row r="576" spans="1:5" x14ac:dyDescent="0.15">
      <c r="A576" s="6" t="s">
        <v>10</v>
      </c>
      <c r="B576" s="11">
        <v>1</v>
      </c>
      <c r="C576" s="36"/>
      <c r="D576" s="10">
        <f t="shared" si="23"/>
        <v>1</v>
      </c>
      <c r="E576" s="66">
        <v>45325</v>
      </c>
    </row>
    <row r="577" spans="1:5" x14ac:dyDescent="0.15">
      <c r="A577" s="6" t="s">
        <v>10</v>
      </c>
      <c r="B577" s="11">
        <v>1</v>
      </c>
      <c r="C577" s="36"/>
      <c r="D577" s="10">
        <f t="shared" si="23"/>
        <v>1</v>
      </c>
      <c r="E577" s="66">
        <v>45327</v>
      </c>
    </row>
    <row r="578" spans="1:5" x14ac:dyDescent="0.15">
      <c r="A578" s="6" t="s">
        <v>10</v>
      </c>
      <c r="B578" s="11">
        <v>1</v>
      </c>
      <c r="C578" s="36"/>
      <c r="D578" s="10">
        <f t="shared" si="23"/>
        <v>1</v>
      </c>
      <c r="E578" s="66">
        <v>45328</v>
      </c>
    </row>
    <row r="579" spans="1:5" x14ac:dyDescent="0.15">
      <c r="A579" s="6" t="s">
        <v>10</v>
      </c>
      <c r="B579" s="11">
        <v>2</v>
      </c>
      <c r="C579" s="36">
        <v>1</v>
      </c>
      <c r="D579" s="10">
        <f t="shared" si="23"/>
        <v>3</v>
      </c>
      <c r="E579" s="66">
        <v>45331</v>
      </c>
    </row>
    <row r="580" spans="1:5" x14ac:dyDescent="0.15">
      <c r="A580" s="6" t="s">
        <v>10</v>
      </c>
      <c r="B580" s="11">
        <v>1</v>
      </c>
      <c r="C580" s="36"/>
      <c r="D580" s="10">
        <f t="shared" si="23"/>
        <v>1</v>
      </c>
      <c r="E580" s="66">
        <v>45335</v>
      </c>
    </row>
    <row r="581" spans="1:5" x14ac:dyDescent="0.15">
      <c r="A581" s="6" t="s">
        <v>10</v>
      </c>
      <c r="B581" s="11">
        <v>1</v>
      </c>
      <c r="C581" s="36"/>
      <c r="D581" s="10">
        <f t="shared" si="23"/>
        <v>1</v>
      </c>
      <c r="E581" s="66">
        <v>45342</v>
      </c>
    </row>
    <row r="582" spans="1:5" x14ac:dyDescent="0.15">
      <c r="A582" s="6" t="s">
        <v>10</v>
      </c>
      <c r="B582" s="11">
        <f>1+1</f>
        <v>2</v>
      </c>
      <c r="C582" s="36"/>
      <c r="D582" s="10">
        <f t="shared" si="23"/>
        <v>2</v>
      </c>
      <c r="E582" s="66">
        <v>45348</v>
      </c>
    </row>
    <row r="583" spans="1:5" x14ac:dyDescent="0.15">
      <c r="A583" s="6" t="s">
        <v>10</v>
      </c>
      <c r="B583" s="11">
        <f>1+1</f>
        <v>2</v>
      </c>
      <c r="C583" s="36">
        <v>3</v>
      </c>
      <c r="D583" s="10">
        <f t="shared" si="21"/>
        <v>5</v>
      </c>
      <c r="E583" s="66">
        <v>45349</v>
      </c>
    </row>
    <row r="584" spans="1:5" x14ac:dyDescent="0.15">
      <c r="A584" s="6" t="s">
        <v>10</v>
      </c>
      <c r="B584" s="11"/>
      <c r="C584" s="36">
        <v>1</v>
      </c>
      <c r="D584" s="10">
        <f t="shared" si="21"/>
        <v>1</v>
      </c>
      <c r="E584" s="66">
        <v>45362</v>
      </c>
    </row>
    <row r="585" spans="1:5" ht="14.25" thickBot="1" x14ac:dyDescent="0.2">
      <c r="A585" s="6" t="s">
        <v>10</v>
      </c>
      <c r="B585" s="11">
        <v>1</v>
      </c>
      <c r="C585" s="36"/>
      <c r="D585" s="10">
        <f t="shared" si="21"/>
        <v>1</v>
      </c>
      <c r="E585" s="66">
        <v>45366</v>
      </c>
    </row>
    <row r="586" spans="1:5" ht="14.25" thickBot="1" x14ac:dyDescent="0.2">
      <c r="A586" s="5" t="s">
        <v>5</v>
      </c>
      <c r="B586" s="13">
        <f>SUM(B562:B585)</f>
        <v>38</v>
      </c>
      <c r="C586" s="13">
        <f>SUM(C562:C585)</f>
        <v>13</v>
      </c>
      <c r="D586" s="14">
        <f t="shared" si="21"/>
        <v>51</v>
      </c>
    </row>
    <row r="587" spans="1:5" ht="14.25" thickBot="1" x14ac:dyDescent="0.2">
      <c r="A587" s="21" t="s">
        <v>6</v>
      </c>
      <c r="B587" s="22">
        <f>B561-B586</f>
        <v>12</v>
      </c>
      <c r="C587" s="22">
        <f>C561-C586</f>
        <v>5</v>
      </c>
      <c r="D587" s="20">
        <f>D561-D586</f>
        <v>17</v>
      </c>
    </row>
    <row r="589" spans="1:5" x14ac:dyDescent="0.15">
      <c r="D589" t="s">
        <v>64</v>
      </c>
    </row>
    <row r="590" spans="1:5" ht="19.5" thickBot="1" x14ac:dyDescent="0.25">
      <c r="A590" s="2" t="s">
        <v>51</v>
      </c>
      <c r="B590" s="3"/>
      <c r="C590" s="3"/>
      <c r="D590" s="3"/>
    </row>
    <row r="591" spans="1:5" ht="14.25" thickBot="1" x14ac:dyDescent="0.2">
      <c r="A591" s="4" t="s">
        <v>1</v>
      </c>
      <c r="B591" s="5" t="s">
        <v>25</v>
      </c>
      <c r="C591" s="4" t="s">
        <v>26</v>
      </c>
      <c r="D591" s="4" t="s">
        <v>2</v>
      </c>
    </row>
    <row r="592" spans="1:5" ht="14.25" thickBot="1" x14ac:dyDescent="0.2">
      <c r="A592" s="4" t="s">
        <v>6</v>
      </c>
      <c r="B592" s="45">
        <f>B587</f>
        <v>12</v>
      </c>
      <c r="C592" s="46">
        <f>C587</f>
        <v>5</v>
      </c>
      <c r="D592" s="14">
        <f t="shared" ref="D592:D628" si="24">SUM(B592:C592)</f>
        <v>17</v>
      </c>
    </row>
    <row r="593" spans="1:5" x14ac:dyDescent="0.15">
      <c r="A593" s="8" t="s">
        <v>3</v>
      </c>
      <c r="B593" s="15">
        <v>7</v>
      </c>
      <c r="C593" s="12">
        <v>5</v>
      </c>
      <c r="D593" s="7">
        <f t="shared" si="24"/>
        <v>12</v>
      </c>
      <c r="E593" s="26">
        <v>45378</v>
      </c>
    </row>
    <row r="594" spans="1:5" x14ac:dyDescent="0.15">
      <c r="A594" s="8" t="s">
        <v>3</v>
      </c>
      <c r="B594" s="15"/>
      <c r="C594" s="12">
        <v>2</v>
      </c>
      <c r="D594" s="7">
        <f t="shared" si="24"/>
        <v>2</v>
      </c>
      <c r="E594" s="26">
        <v>45448</v>
      </c>
    </row>
    <row r="595" spans="1:5" x14ac:dyDescent="0.15">
      <c r="A595" s="8" t="s">
        <v>3</v>
      </c>
      <c r="B595" s="15">
        <v>10</v>
      </c>
      <c r="C595" s="12">
        <v>5</v>
      </c>
      <c r="D595" s="7">
        <f t="shared" si="24"/>
        <v>15</v>
      </c>
      <c r="E595" s="26">
        <v>45477</v>
      </c>
    </row>
    <row r="596" spans="1:5" x14ac:dyDescent="0.15">
      <c r="A596" s="8" t="s">
        <v>3</v>
      </c>
      <c r="B596" s="15"/>
      <c r="C596" s="12">
        <v>-1</v>
      </c>
      <c r="D596" s="7">
        <f t="shared" si="24"/>
        <v>-1</v>
      </c>
      <c r="E596" s="26"/>
    </row>
    <row r="597" spans="1:5" x14ac:dyDescent="0.15">
      <c r="A597" s="8" t="s">
        <v>3</v>
      </c>
      <c r="B597" s="15">
        <v>3</v>
      </c>
      <c r="C597" s="12"/>
      <c r="D597" s="7">
        <f t="shared" si="24"/>
        <v>3</v>
      </c>
      <c r="E597" s="26">
        <v>45489</v>
      </c>
    </row>
    <row r="598" spans="1:5" x14ac:dyDescent="0.15">
      <c r="A598" s="8" t="s">
        <v>3</v>
      </c>
      <c r="B598" s="15"/>
      <c r="C598" s="12"/>
      <c r="D598" s="7">
        <f t="shared" si="24"/>
        <v>0</v>
      </c>
      <c r="E598" s="28"/>
    </row>
    <row r="599" spans="1:5" x14ac:dyDescent="0.15">
      <c r="A599" s="8" t="s">
        <v>3</v>
      </c>
      <c r="B599" s="15"/>
      <c r="C599" s="12"/>
      <c r="D599" s="7">
        <f t="shared" si="24"/>
        <v>0</v>
      </c>
    </row>
    <row r="600" spans="1:5" x14ac:dyDescent="0.15">
      <c r="A600" s="8" t="s">
        <v>3</v>
      </c>
      <c r="B600" s="15"/>
      <c r="C600" s="12"/>
      <c r="D600" s="7">
        <f t="shared" si="24"/>
        <v>0</v>
      </c>
    </row>
    <row r="601" spans="1:5" x14ac:dyDescent="0.15">
      <c r="A601" s="8" t="s">
        <v>3</v>
      </c>
      <c r="B601" s="31"/>
      <c r="C601" s="40"/>
      <c r="D601" s="10">
        <f t="shared" si="24"/>
        <v>0</v>
      </c>
    </row>
    <row r="602" spans="1:5" ht="14.25" thickBot="1" x14ac:dyDescent="0.2">
      <c r="A602" s="8" t="s">
        <v>3</v>
      </c>
      <c r="B602" s="31"/>
      <c r="C602" s="40"/>
      <c r="D602" s="17">
        <f t="shared" si="24"/>
        <v>0</v>
      </c>
    </row>
    <row r="603" spans="1:5" ht="14.25" thickBot="1" x14ac:dyDescent="0.2">
      <c r="A603" s="18" t="s">
        <v>4</v>
      </c>
      <c r="B603" s="19">
        <f>SUM(B592:B602)</f>
        <v>32</v>
      </c>
      <c r="C603" s="19">
        <f>SUM(C592:C602)</f>
        <v>16</v>
      </c>
      <c r="D603" s="20">
        <f t="shared" si="24"/>
        <v>48</v>
      </c>
    </row>
    <row r="604" spans="1:5" x14ac:dyDescent="0.15">
      <c r="A604" s="6" t="s">
        <v>10</v>
      </c>
      <c r="B604" s="11"/>
      <c r="C604" s="36">
        <v>1</v>
      </c>
      <c r="D604" s="10">
        <f t="shared" si="24"/>
        <v>1</v>
      </c>
      <c r="E604" s="66">
        <v>45367</v>
      </c>
    </row>
    <row r="605" spans="1:5" x14ac:dyDescent="0.15">
      <c r="A605" s="6" t="s">
        <v>10</v>
      </c>
      <c r="B605" s="11">
        <v>1</v>
      </c>
      <c r="C605" s="36"/>
      <c r="D605" s="10">
        <f t="shared" si="24"/>
        <v>1</v>
      </c>
      <c r="E605" s="66">
        <v>45370</v>
      </c>
    </row>
    <row r="606" spans="1:5" x14ac:dyDescent="0.15">
      <c r="A606" s="6" t="s">
        <v>10</v>
      </c>
      <c r="B606" s="11">
        <v>2</v>
      </c>
      <c r="C606" s="36">
        <v>1</v>
      </c>
      <c r="D606" s="10">
        <f t="shared" si="24"/>
        <v>3</v>
      </c>
      <c r="E606" s="66">
        <v>45373</v>
      </c>
    </row>
    <row r="607" spans="1:5" x14ac:dyDescent="0.15">
      <c r="A607" s="6" t="s">
        <v>10</v>
      </c>
      <c r="B607" s="11">
        <v>1</v>
      </c>
      <c r="C607" s="36"/>
      <c r="D607" s="10">
        <f t="shared" si="24"/>
        <v>1</v>
      </c>
      <c r="E607" s="66">
        <v>45377</v>
      </c>
    </row>
    <row r="608" spans="1:5" x14ac:dyDescent="0.15">
      <c r="A608" s="6" t="s">
        <v>10</v>
      </c>
      <c r="B608" s="11">
        <v>2</v>
      </c>
      <c r="C608" s="36"/>
      <c r="D608" s="10">
        <f t="shared" si="24"/>
        <v>2</v>
      </c>
      <c r="E608" s="66">
        <v>45383</v>
      </c>
    </row>
    <row r="609" spans="1:5" x14ac:dyDescent="0.15">
      <c r="A609" s="6" t="s">
        <v>10</v>
      </c>
      <c r="B609" s="11"/>
      <c r="C609" s="36">
        <v>1</v>
      </c>
      <c r="D609" s="10">
        <f t="shared" si="24"/>
        <v>1</v>
      </c>
      <c r="E609" s="66">
        <v>45397</v>
      </c>
    </row>
    <row r="610" spans="1:5" x14ac:dyDescent="0.15">
      <c r="A610" s="6" t="s">
        <v>10</v>
      </c>
      <c r="B610" s="11">
        <v>1</v>
      </c>
      <c r="C610" s="36"/>
      <c r="D610" s="10">
        <f t="shared" si="24"/>
        <v>1</v>
      </c>
      <c r="E610" s="66">
        <v>45401</v>
      </c>
    </row>
    <row r="611" spans="1:5" x14ac:dyDescent="0.15">
      <c r="A611" s="6" t="s">
        <v>10</v>
      </c>
      <c r="B611" s="11">
        <v>1</v>
      </c>
      <c r="C611" s="36"/>
      <c r="D611" s="10">
        <f t="shared" si="24"/>
        <v>1</v>
      </c>
      <c r="E611" s="66">
        <v>45404</v>
      </c>
    </row>
    <row r="612" spans="1:5" x14ac:dyDescent="0.15">
      <c r="A612" s="6" t="s">
        <v>10</v>
      </c>
      <c r="B612" s="11">
        <v>1</v>
      </c>
      <c r="C612" s="36"/>
      <c r="D612" s="10">
        <f t="shared" si="24"/>
        <v>1</v>
      </c>
      <c r="E612" s="66">
        <v>45407</v>
      </c>
    </row>
    <row r="613" spans="1:5" x14ac:dyDescent="0.15">
      <c r="A613" s="6" t="s">
        <v>10</v>
      </c>
      <c r="B613" s="11"/>
      <c r="C613" s="36">
        <v>2</v>
      </c>
      <c r="D613" s="10">
        <f t="shared" si="24"/>
        <v>2</v>
      </c>
      <c r="E613" s="66">
        <v>45423</v>
      </c>
    </row>
    <row r="614" spans="1:5" x14ac:dyDescent="0.15">
      <c r="A614" s="6" t="s">
        <v>10</v>
      </c>
      <c r="B614" s="11">
        <v>1</v>
      </c>
      <c r="C614" s="36"/>
      <c r="D614" s="10">
        <f t="shared" si="24"/>
        <v>1</v>
      </c>
      <c r="E614" s="66">
        <v>45429</v>
      </c>
    </row>
    <row r="615" spans="1:5" x14ac:dyDescent="0.15">
      <c r="A615" s="6" t="s">
        <v>10</v>
      </c>
      <c r="B615" s="11"/>
      <c r="C615" s="36">
        <v>1</v>
      </c>
      <c r="D615" s="10">
        <f t="shared" si="24"/>
        <v>1</v>
      </c>
      <c r="E615" s="66">
        <v>45443</v>
      </c>
    </row>
    <row r="616" spans="1:5" x14ac:dyDescent="0.15">
      <c r="A616" s="6" t="s">
        <v>10</v>
      </c>
      <c r="B616" s="11">
        <v>1</v>
      </c>
      <c r="C616" s="36"/>
      <c r="D616" s="10">
        <f t="shared" si="24"/>
        <v>1</v>
      </c>
      <c r="E616" s="66">
        <v>45448</v>
      </c>
    </row>
    <row r="617" spans="1:5" x14ac:dyDescent="0.15">
      <c r="A617" s="6" t="s">
        <v>10</v>
      </c>
      <c r="B617" s="11">
        <f>1+1</f>
        <v>2</v>
      </c>
      <c r="C617" s="36"/>
      <c r="D617" s="10">
        <f t="shared" si="24"/>
        <v>2</v>
      </c>
      <c r="E617" s="66">
        <v>45453</v>
      </c>
    </row>
    <row r="618" spans="1:5" x14ac:dyDescent="0.15">
      <c r="A618" s="6" t="s">
        <v>10</v>
      </c>
      <c r="B618" s="11">
        <v>2</v>
      </c>
      <c r="C618" s="36">
        <v>1</v>
      </c>
      <c r="D618" s="10">
        <f t="shared" si="24"/>
        <v>3</v>
      </c>
      <c r="E618" s="66">
        <v>45460</v>
      </c>
    </row>
    <row r="619" spans="1:5" x14ac:dyDescent="0.15">
      <c r="A619" s="6" t="s">
        <v>10</v>
      </c>
      <c r="B619" s="11">
        <v>1</v>
      </c>
      <c r="C619" s="36"/>
      <c r="D619" s="10">
        <f t="shared" si="24"/>
        <v>1</v>
      </c>
      <c r="E619" s="66">
        <v>45464</v>
      </c>
    </row>
    <row r="620" spans="1:5" x14ac:dyDescent="0.15">
      <c r="A620" s="6" t="s">
        <v>10</v>
      </c>
      <c r="B620" s="11"/>
      <c r="C620" s="36">
        <v>1</v>
      </c>
      <c r="D620" s="10">
        <f t="shared" si="24"/>
        <v>1</v>
      </c>
      <c r="E620" s="66">
        <v>45467</v>
      </c>
    </row>
    <row r="621" spans="1:5" x14ac:dyDescent="0.15">
      <c r="A621" s="6" t="s">
        <v>10</v>
      </c>
      <c r="B621" s="11">
        <v>1</v>
      </c>
      <c r="C621" s="36"/>
      <c r="D621" s="10">
        <f t="shared" si="24"/>
        <v>1</v>
      </c>
      <c r="E621" s="66">
        <v>45469</v>
      </c>
    </row>
    <row r="622" spans="1:5" x14ac:dyDescent="0.15">
      <c r="A622" s="6" t="s">
        <v>10</v>
      </c>
      <c r="B622" s="11">
        <v>1</v>
      </c>
      <c r="C622" s="36">
        <v>1</v>
      </c>
      <c r="D622" s="10">
        <f t="shared" si="24"/>
        <v>2</v>
      </c>
      <c r="E622" s="66">
        <v>45474</v>
      </c>
    </row>
    <row r="623" spans="1:5" x14ac:dyDescent="0.15">
      <c r="A623" s="6" t="s">
        <v>10</v>
      </c>
      <c r="B623" s="11"/>
      <c r="C623" s="36">
        <v>1</v>
      </c>
      <c r="D623" s="10">
        <f t="shared" si="24"/>
        <v>1</v>
      </c>
      <c r="E623" s="66">
        <v>45476</v>
      </c>
    </row>
    <row r="624" spans="1:5" x14ac:dyDescent="0.15">
      <c r="A624" s="6" t="s">
        <v>10</v>
      </c>
      <c r="B624" s="11">
        <v>1</v>
      </c>
      <c r="C624" s="36"/>
      <c r="D624" s="10">
        <f t="shared" si="24"/>
        <v>1</v>
      </c>
      <c r="E624" s="66">
        <v>45477</v>
      </c>
    </row>
    <row r="625" spans="1:5" x14ac:dyDescent="0.15">
      <c r="A625" s="6" t="s">
        <v>10</v>
      </c>
      <c r="B625" s="11">
        <v>2</v>
      </c>
      <c r="C625" s="36"/>
      <c r="D625" s="10">
        <f t="shared" si="24"/>
        <v>2</v>
      </c>
      <c r="E625" s="66">
        <v>45478</v>
      </c>
    </row>
    <row r="626" spans="1:5" x14ac:dyDescent="0.15">
      <c r="A626" s="6" t="s">
        <v>10</v>
      </c>
      <c r="B626" s="11">
        <v>1</v>
      </c>
      <c r="C626" s="36"/>
      <c r="D626" s="10">
        <f t="shared" si="24"/>
        <v>1</v>
      </c>
      <c r="E626" s="66">
        <v>45481</v>
      </c>
    </row>
    <row r="627" spans="1:5" ht="14.25" thickBot="1" x14ac:dyDescent="0.2">
      <c r="A627" s="6" t="s">
        <v>10</v>
      </c>
      <c r="B627" s="11">
        <v>2</v>
      </c>
      <c r="C627" s="36"/>
      <c r="D627" s="10">
        <f t="shared" si="24"/>
        <v>2</v>
      </c>
      <c r="E627" s="66">
        <v>45489</v>
      </c>
    </row>
    <row r="628" spans="1:5" ht="14.25" thickBot="1" x14ac:dyDescent="0.2">
      <c r="A628" s="5" t="s">
        <v>5</v>
      </c>
      <c r="B628" s="13">
        <f>SUM(B604:B627)</f>
        <v>24</v>
      </c>
      <c r="C628" s="13">
        <f>SUM(C604:C627)</f>
        <v>10</v>
      </c>
      <c r="D628" s="14">
        <f t="shared" si="24"/>
        <v>34</v>
      </c>
    </row>
    <row r="629" spans="1:5" ht="14.25" thickBot="1" x14ac:dyDescent="0.2">
      <c r="A629" s="21" t="s">
        <v>6</v>
      </c>
      <c r="B629" s="22">
        <f>B603-B628</f>
        <v>8</v>
      </c>
      <c r="C629" s="22">
        <f>C603-C628</f>
        <v>6</v>
      </c>
      <c r="D629" s="20">
        <f>D603-D628</f>
        <v>14</v>
      </c>
    </row>
    <row r="631" spans="1:5" x14ac:dyDescent="0.15">
      <c r="D631" t="s">
        <v>64</v>
      </c>
    </row>
    <row r="632" spans="1:5" ht="19.5" thickBot="1" x14ac:dyDescent="0.25">
      <c r="A632" s="2" t="s">
        <v>51</v>
      </c>
      <c r="B632" s="3"/>
      <c r="C632" s="3"/>
      <c r="D632" s="3"/>
    </row>
    <row r="633" spans="1:5" ht="14.25" thickBot="1" x14ac:dyDescent="0.2">
      <c r="A633" s="4" t="s">
        <v>1</v>
      </c>
      <c r="B633" s="5" t="s">
        <v>25</v>
      </c>
      <c r="C633" s="4" t="s">
        <v>26</v>
      </c>
      <c r="D633" s="4" t="s">
        <v>2</v>
      </c>
    </row>
    <row r="634" spans="1:5" ht="14.25" thickBot="1" x14ac:dyDescent="0.2">
      <c r="A634" s="4" t="s">
        <v>6</v>
      </c>
      <c r="B634" s="45">
        <f>B629</f>
        <v>8</v>
      </c>
      <c r="C634" s="46">
        <f>C629</f>
        <v>6</v>
      </c>
      <c r="D634" s="14">
        <f t="shared" ref="D634:D670" si="25">SUM(B634:C634)</f>
        <v>14</v>
      </c>
    </row>
    <row r="635" spans="1:5" x14ac:dyDescent="0.15">
      <c r="A635" s="8" t="s">
        <v>3</v>
      </c>
      <c r="B635" s="15">
        <v>10</v>
      </c>
      <c r="C635" s="12">
        <v>5</v>
      </c>
      <c r="D635" s="7">
        <f t="shared" ref="D635:D638" si="26">SUM(B635:C635)</f>
        <v>15</v>
      </c>
      <c r="E635" s="26">
        <v>45498</v>
      </c>
    </row>
    <row r="636" spans="1:5" x14ac:dyDescent="0.15">
      <c r="A636" s="8" t="s">
        <v>43</v>
      </c>
      <c r="B636" s="15">
        <v>0</v>
      </c>
      <c r="C636" s="12">
        <v>-1</v>
      </c>
      <c r="D636" s="7">
        <f t="shared" si="26"/>
        <v>-1</v>
      </c>
      <c r="E636" s="66">
        <v>45531</v>
      </c>
    </row>
    <row r="637" spans="1:5" x14ac:dyDescent="0.15">
      <c r="A637" s="8" t="s">
        <v>3</v>
      </c>
      <c r="B637" s="15">
        <v>10</v>
      </c>
      <c r="C637" s="12">
        <v>3</v>
      </c>
      <c r="D637" s="7">
        <f t="shared" si="26"/>
        <v>13</v>
      </c>
      <c r="E637" s="26">
        <v>45555</v>
      </c>
    </row>
    <row r="638" spans="1:5" x14ac:dyDescent="0.15">
      <c r="A638" s="8" t="s">
        <v>3</v>
      </c>
      <c r="B638" s="15">
        <v>8</v>
      </c>
      <c r="C638" s="12"/>
      <c r="D638" s="7">
        <f t="shared" si="26"/>
        <v>8</v>
      </c>
      <c r="E638" s="26">
        <v>45603</v>
      </c>
    </row>
    <row r="639" spans="1:5" x14ac:dyDescent="0.15">
      <c r="A639" s="8" t="s">
        <v>3</v>
      </c>
      <c r="B639" s="15"/>
      <c r="C639" s="12"/>
      <c r="D639" s="7">
        <f t="shared" si="25"/>
        <v>0</v>
      </c>
    </row>
    <row r="640" spans="1:5" x14ac:dyDescent="0.15">
      <c r="A640" s="8" t="s">
        <v>3</v>
      </c>
      <c r="B640" s="15"/>
      <c r="C640" s="12"/>
      <c r="D640" s="7">
        <f t="shared" si="25"/>
        <v>0</v>
      </c>
    </row>
    <row r="641" spans="1:5" x14ac:dyDescent="0.15">
      <c r="A641" s="8" t="s">
        <v>3</v>
      </c>
      <c r="B641" s="15"/>
      <c r="C641" s="12"/>
      <c r="D641" s="7">
        <f t="shared" si="25"/>
        <v>0</v>
      </c>
    </row>
    <row r="642" spans="1:5" x14ac:dyDescent="0.15">
      <c r="A642" s="8" t="s">
        <v>3</v>
      </c>
      <c r="B642" s="15"/>
      <c r="C642" s="12"/>
      <c r="D642" s="7">
        <f t="shared" si="25"/>
        <v>0</v>
      </c>
    </row>
    <row r="643" spans="1:5" x14ac:dyDescent="0.15">
      <c r="A643" s="8" t="s">
        <v>3</v>
      </c>
      <c r="B643" s="31"/>
      <c r="C643" s="40"/>
      <c r="D643" s="10">
        <f t="shared" si="25"/>
        <v>0</v>
      </c>
    </row>
    <row r="644" spans="1:5" ht="14.25" thickBot="1" x14ac:dyDescent="0.2">
      <c r="A644" s="8" t="s">
        <v>3</v>
      </c>
      <c r="B644" s="31"/>
      <c r="C644" s="40"/>
      <c r="D644" s="17">
        <f t="shared" si="25"/>
        <v>0</v>
      </c>
    </row>
    <row r="645" spans="1:5" ht="14.25" thickBot="1" x14ac:dyDescent="0.2">
      <c r="A645" s="18" t="s">
        <v>4</v>
      </c>
      <c r="B645" s="19">
        <f>SUM(B634:B644)</f>
        <v>36</v>
      </c>
      <c r="C645" s="19">
        <f>SUM(C634:C644)</f>
        <v>13</v>
      </c>
      <c r="D645" s="20">
        <f t="shared" si="25"/>
        <v>49</v>
      </c>
    </row>
    <row r="646" spans="1:5" x14ac:dyDescent="0.15">
      <c r="A646" s="6" t="s">
        <v>10</v>
      </c>
      <c r="B646" s="11">
        <v>2</v>
      </c>
      <c r="C646" s="36"/>
      <c r="D646" s="10">
        <f t="shared" ref="D646:D668" si="27">SUM(B646:C646)</f>
        <v>2</v>
      </c>
      <c r="E646" s="66">
        <v>45491</v>
      </c>
    </row>
    <row r="647" spans="1:5" x14ac:dyDescent="0.15">
      <c r="A647" s="6" t="s">
        <v>10</v>
      </c>
      <c r="B647" s="11">
        <v>1</v>
      </c>
      <c r="C647" s="36">
        <v>1</v>
      </c>
      <c r="D647" s="10">
        <f t="shared" si="27"/>
        <v>2</v>
      </c>
      <c r="E647" s="66">
        <v>45495</v>
      </c>
    </row>
    <row r="648" spans="1:5" x14ac:dyDescent="0.15">
      <c r="A648" s="6" t="s">
        <v>10</v>
      </c>
      <c r="B648" s="11"/>
      <c r="C648" s="36">
        <v>1</v>
      </c>
      <c r="D648" s="10">
        <f t="shared" si="27"/>
        <v>1</v>
      </c>
      <c r="E648" s="66">
        <v>45497</v>
      </c>
    </row>
    <row r="649" spans="1:5" x14ac:dyDescent="0.15">
      <c r="A649" s="6" t="s">
        <v>10</v>
      </c>
      <c r="B649" s="11">
        <v>1</v>
      </c>
      <c r="C649" s="36"/>
      <c r="D649" s="10">
        <f t="shared" si="27"/>
        <v>1</v>
      </c>
      <c r="E649" s="66">
        <v>45499</v>
      </c>
    </row>
    <row r="650" spans="1:5" x14ac:dyDescent="0.15">
      <c r="A650" s="6" t="s">
        <v>10</v>
      </c>
      <c r="B650" s="11">
        <v>2</v>
      </c>
      <c r="C650" s="36"/>
      <c r="D650" s="10">
        <f t="shared" si="27"/>
        <v>2</v>
      </c>
      <c r="E650" s="66">
        <v>45502</v>
      </c>
    </row>
    <row r="651" spans="1:5" x14ac:dyDescent="0.15">
      <c r="A651" s="6" t="s">
        <v>10</v>
      </c>
      <c r="B651" s="11">
        <v>1</v>
      </c>
      <c r="C651" s="36"/>
      <c r="D651" s="10">
        <f t="shared" si="27"/>
        <v>1</v>
      </c>
      <c r="E651" s="66">
        <v>45504</v>
      </c>
    </row>
    <row r="652" spans="1:5" x14ac:dyDescent="0.15">
      <c r="A652" s="6" t="s">
        <v>10</v>
      </c>
      <c r="B652" s="11">
        <v>1</v>
      </c>
      <c r="C652" s="36"/>
      <c r="D652" s="10">
        <f t="shared" si="27"/>
        <v>1</v>
      </c>
      <c r="E652" s="66">
        <v>45505</v>
      </c>
    </row>
    <row r="653" spans="1:5" x14ac:dyDescent="0.15">
      <c r="A653" s="6" t="s">
        <v>10</v>
      </c>
      <c r="B653" s="11">
        <v>3</v>
      </c>
      <c r="C653" s="36">
        <v>1</v>
      </c>
      <c r="D653" s="10">
        <f t="shared" si="27"/>
        <v>4</v>
      </c>
      <c r="E653" s="66">
        <v>45523</v>
      </c>
    </row>
    <row r="654" spans="1:5" x14ac:dyDescent="0.15">
      <c r="A654" s="6" t="s">
        <v>10</v>
      </c>
      <c r="B654" s="11"/>
      <c r="C654" s="36">
        <f>1+1</f>
        <v>2</v>
      </c>
      <c r="D654" s="10">
        <f t="shared" si="27"/>
        <v>2</v>
      </c>
      <c r="E654" s="66">
        <v>45530</v>
      </c>
    </row>
    <row r="655" spans="1:5" x14ac:dyDescent="0.15">
      <c r="A655" s="6" t="s">
        <v>10</v>
      </c>
      <c r="B655" s="11">
        <v>2</v>
      </c>
      <c r="C655" s="36"/>
      <c r="D655" s="10">
        <f t="shared" si="27"/>
        <v>2</v>
      </c>
      <c r="E655" s="66">
        <v>45537</v>
      </c>
    </row>
    <row r="656" spans="1:5" x14ac:dyDescent="0.15">
      <c r="A656" s="6" t="s">
        <v>10</v>
      </c>
      <c r="B656" s="11"/>
      <c r="C656" s="36">
        <v>1</v>
      </c>
      <c r="D656" s="10">
        <f t="shared" si="27"/>
        <v>1</v>
      </c>
      <c r="E656" s="66">
        <v>45540</v>
      </c>
    </row>
    <row r="657" spans="1:5" x14ac:dyDescent="0.15">
      <c r="A657" s="6" t="s">
        <v>10</v>
      </c>
      <c r="B657" s="11">
        <v>1</v>
      </c>
      <c r="C657" s="36"/>
      <c r="D657" s="10">
        <f t="shared" si="27"/>
        <v>1</v>
      </c>
      <c r="E657" s="66">
        <v>45545</v>
      </c>
    </row>
    <row r="658" spans="1:5" x14ac:dyDescent="0.15">
      <c r="A658" s="6" t="s">
        <v>10</v>
      </c>
      <c r="B658" s="11">
        <f>1+1+1</f>
        <v>3</v>
      </c>
      <c r="C658" s="36"/>
      <c r="D658" s="10">
        <f t="shared" si="27"/>
        <v>3</v>
      </c>
      <c r="E658" s="66">
        <v>45552</v>
      </c>
    </row>
    <row r="659" spans="1:5" x14ac:dyDescent="0.15">
      <c r="A659" s="6" t="s">
        <v>10</v>
      </c>
      <c r="B659" s="11">
        <v>1</v>
      </c>
      <c r="C659" s="36"/>
      <c r="D659" s="10">
        <f t="shared" si="27"/>
        <v>1</v>
      </c>
      <c r="E659" s="66">
        <v>45554</v>
      </c>
    </row>
    <row r="660" spans="1:5" x14ac:dyDescent="0.15">
      <c r="A660" s="6" t="s">
        <v>10</v>
      </c>
      <c r="B660" s="11">
        <v>1</v>
      </c>
      <c r="C660" s="36"/>
      <c r="D660" s="10">
        <f t="shared" si="27"/>
        <v>1</v>
      </c>
      <c r="E660" s="66">
        <v>45567</v>
      </c>
    </row>
    <row r="661" spans="1:5" x14ac:dyDescent="0.15">
      <c r="A661" s="6" t="s">
        <v>10</v>
      </c>
      <c r="B661" s="11">
        <v>1</v>
      </c>
      <c r="C661" s="36">
        <v>1</v>
      </c>
      <c r="D661" s="10">
        <f t="shared" si="27"/>
        <v>2</v>
      </c>
      <c r="E661" s="66">
        <v>45582</v>
      </c>
    </row>
    <row r="662" spans="1:5" x14ac:dyDescent="0.15">
      <c r="A662" s="6" t="s">
        <v>10</v>
      </c>
      <c r="B662" s="11">
        <v>1</v>
      </c>
      <c r="C662" s="36">
        <v>1</v>
      </c>
      <c r="D662" s="10">
        <f t="shared" si="27"/>
        <v>2</v>
      </c>
      <c r="E662" s="66">
        <v>45588</v>
      </c>
    </row>
    <row r="663" spans="1:5" x14ac:dyDescent="0.15">
      <c r="A663" s="6" t="s">
        <v>10</v>
      </c>
      <c r="B663" s="11">
        <v>1</v>
      </c>
      <c r="C663" s="36"/>
      <c r="D663" s="10">
        <f t="shared" si="27"/>
        <v>1</v>
      </c>
      <c r="E663" s="66">
        <v>45593</v>
      </c>
    </row>
    <row r="664" spans="1:5" x14ac:dyDescent="0.15">
      <c r="A664" s="6" t="s">
        <v>10</v>
      </c>
      <c r="B664" s="11">
        <v>1</v>
      </c>
      <c r="C664" s="36"/>
      <c r="D664" s="10">
        <f t="shared" si="27"/>
        <v>1</v>
      </c>
      <c r="E664" s="66">
        <v>45594</v>
      </c>
    </row>
    <row r="665" spans="1:5" x14ac:dyDescent="0.15">
      <c r="A665" s="6" t="s">
        <v>10</v>
      </c>
      <c r="B665" s="11">
        <v>1</v>
      </c>
      <c r="C665" s="36">
        <v>1</v>
      </c>
      <c r="D665" s="10">
        <f t="shared" si="27"/>
        <v>2</v>
      </c>
      <c r="E665" s="66">
        <v>45595</v>
      </c>
    </row>
    <row r="666" spans="1:5" x14ac:dyDescent="0.15">
      <c r="A666" s="6" t="s">
        <v>10</v>
      </c>
      <c r="B666" s="11">
        <v>1</v>
      </c>
      <c r="C666" s="36"/>
      <c r="D666" s="10">
        <f t="shared" si="27"/>
        <v>1</v>
      </c>
      <c r="E666" s="66">
        <v>45596</v>
      </c>
    </row>
    <row r="667" spans="1:5" x14ac:dyDescent="0.15">
      <c r="A667" s="6" t="s">
        <v>10</v>
      </c>
      <c r="B667" s="11">
        <v>1</v>
      </c>
      <c r="C667" s="36"/>
      <c r="D667" s="10">
        <f t="shared" si="27"/>
        <v>1</v>
      </c>
      <c r="E667" s="66">
        <v>45601</v>
      </c>
    </row>
    <row r="668" spans="1:5" x14ac:dyDescent="0.15">
      <c r="A668" s="6" t="s">
        <v>10</v>
      </c>
      <c r="B668" s="11"/>
      <c r="C668" s="36">
        <v>1</v>
      </c>
      <c r="D668" s="10">
        <f t="shared" si="27"/>
        <v>1</v>
      </c>
      <c r="E668" s="66">
        <v>45609</v>
      </c>
    </row>
    <row r="669" spans="1:5" ht="14.25" thickBot="1" x14ac:dyDescent="0.2">
      <c r="A669" s="6" t="s">
        <v>10</v>
      </c>
      <c r="B669" s="11">
        <v>2</v>
      </c>
      <c r="C669" s="36">
        <v>2</v>
      </c>
      <c r="D669" s="10">
        <f t="shared" si="25"/>
        <v>4</v>
      </c>
      <c r="E669" s="66">
        <v>45614</v>
      </c>
    </row>
    <row r="670" spans="1:5" ht="14.25" thickBot="1" x14ac:dyDescent="0.2">
      <c r="A670" s="5" t="s">
        <v>5</v>
      </c>
      <c r="B670" s="13">
        <f>SUM(B646:B669)</f>
        <v>28</v>
      </c>
      <c r="C670" s="13">
        <f>SUM(C646:C669)</f>
        <v>12</v>
      </c>
      <c r="D670" s="14">
        <f t="shared" si="25"/>
        <v>40</v>
      </c>
    </row>
    <row r="671" spans="1:5" ht="14.25" thickBot="1" x14ac:dyDescent="0.2">
      <c r="A671" s="21" t="s">
        <v>6</v>
      </c>
      <c r="B671" s="22">
        <f>B645-B670</f>
        <v>8</v>
      </c>
      <c r="C671" s="22">
        <f>C645-C670</f>
        <v>1</v>
      </c>
      <c r="D671" s="20">
        <f>D645-D670</f>
        <v>9</v>
      </c>
    </row>
    <row r="673" spans="1:5" x14ac:dyDescent="0.15">
      <c r="D673" t="s">
        <v>64</v>
      </c>
    </row>
    <row r="674" spans="1:5" ht="19.5" thickBot="1" x14ac:dyDescent="0.25">
      <c r="A674" s="2" t="s">
        <v>51</v>
      </c>
      <c r="B674" s="3"/>
      <c r="C674" s="3"/>
      <c r="D674" s="3"/>
    </row>
    <row r="675" spans="1:5" ht="14.25" thickBot="1" x14ac:dyDescent="0.2">
      <c r="A675" s="4" t="s">
        <v>1</v>
      </c>
      <c r="B675" s="5" t="s">
        <v>25</v>
      </c>
      <c r="C675" s="4" t="s">
        <v>26</v>
      </c>
      <c r="D675" s="4" t="s">
        <v>2</v>
      </c>
    </row>
    <row r="676" spans="1:5" ht="14.25" thickBot="1" x14ac:dyDescent="0.2">
      <c r="A676" s="4" t="s">
        <v>6</v>
      </c>
      <c r="B676" s="45">
        <f>B671</f>
        <v>8</v>
      </c>
      <c r="C676" s="46">
        <f>C671</f>
        <v>1</v>
      </c>
      <c r="D676" s="14">
        <f t="shared" ref="D676:D712" si="28">SUM(B676:C676)</f>
        <v>9</v>
      </c>
    </row>
    <row r="677" spans="1:5" x14ac:dyDescent="0.15">
      <c r="A677" s="8" t="s">
        <v>3</v>
      </c>
      <c r="B677" s="15">
        <v>7</v>
      </c>
      <c r="C677" s="12">
        <v>10</v>
      </c>
      <c r="D677" s="7">
        <f t="shared" ref="D677:D681" si="29">SUM(B677:C677)</f>
        <v>17</v>
      </c>
      <c r="E677" s="26">
        <v>45621</v>
      </c>
    </row>
    <row r="678" spans="1:5" x14ac:dyDescent="0.15">
      <c r="A678" s="8" t="s">
        <v>3</v>
      </c>
      <c r="B678" s="15">
        <v>7</v>
      </c>
      <c r="C678" s="12"/>
      <c r="D678" s="7">
        <f t="shared" si="29"/>
        <v>7</v>
      </c>
      <c r="E678" s="26">
        <v>45651</v>
      </c>
    </row>
    <row r="679" spans="1:5" x14ac:dyDescent="0.15">
      <c r="A679" s="8" t="s">
        <v>3</v>
      </c>
      <c r="B679" s="15">
        <v>10</v>
      </c>
      <c r="C679" s="12">
        <v>5</v>
      </c>
      <c r="D679" s="7">
        <f t="shared" si="29"/>
        <v>15</v>
      </c>
      <c r="E679" s="26">
        <v>45681</v>
      </c>
    </row>
    <row r="680" spans="1:5" x14ac:dyDescent="0.15">
      <c r="A680" s="8" t="s">
        <v>3</v>
      </c>
      <c r="B680" s="15"/>
      <c r="C680" s="12"/>
      <c r="D680" s="7">
        <f t="shared" si="29"/>
        <v>0</v>
      </c>
    </row>
    <row r="681" spans="1:5" x14ac:dyDescent="0.15">
      <c r="A681" s="8" t="s">
        <v>3</v>
      </c>
      <c r="B681" s="15"/>
      <c r="C681" s="12"/>
      <c r="D681" s="7">
        <f t="shared" si="29"/>
        <v>0</v>
      </c>
    </row>
    <row r="682" spans="1:5" x14ac:dyDescent="0.15">
      <c r="A682" s="8" t="s">
        <v>3</v>
      </c>
      <c r="B682" s="15"/>
      <c r="C682" s="12"/>
      <c r="D682" s="7">
        <f t="shared" si="28"/>
        <v>0</v>
      </c>
    </row>
    <row r="683" spans="1:5" x14ac:dyDescent="0.15">
      <c r="A683" s="8" t="s">
        <v>3</v>
      </c>
      <c r="B683" s="15"/>
      <c r="C683" s="12"/>
      <c r="D683" s="7">
        <f t="shared" si="28"/>
        <v>0</v>
      </c>
    </row>
    <row r="684" spans="1:5" x14ac:dyDescent="0.15">
      <c r="A684" s="8" t="s">
        <v>3</v>
      </c>
      <c r="B684" s="15"/>
      <c r="C684" s="12"/>
      <c r="D684" s="7">
        <f t="shared" si="28"/>
        <v>0</v>
      </c>
    </row>
    <row r="685" spans="1:5" x14ac:dyDescent="0.15">
      <c r="A685" s="8" t="s">
        <v>3</v>
      </c>
      <c r="B685" s="31"/>
      <c r="C685" s="40"/>
      <c r="D685" s="10">
        <f t="shared" si="28"/>
        <v>0</v>
      </c>
    </row>
    <row r="686" spans="1:5" ht="14.25" thickBot="1" x14ac:dyDescent="0.2">
      <c r="A686" s="8" t="s">
        <v>3</v>
      </c>
      <c r="B686" s="31"/>
      <c r="C686" s="40"/>
      <c r="D686" s="17">
        <f t="shared" si="28"/>
        <v>0</v>
      </c>
    </row>
    <row r="687" spans="1:5" ht="14.25" thickBot="1" x14ac:dyDescent="0.2">
      <c r="A687" s="18" t="s">
        <v>4</v>
      </c>
      <c r="B687" s="19">
        <f>SUM(B676:B686)</f>
        <v>32</v>
      </c>
      <c r="C687" s="19">
        <f>SUM(C676:C686)</f>
        <v>16</v>
      </c>
      <c r="D687" s="20">
        <f t="shared" si="28"/>
        <v>48</v>
      </c>
    </row>
    <row r="688" spans="1:5" x14ac:dyDescent="0.15">
      <c r="A688" s="6" t="s">
        <v>10</v>
      </c>
      <c r="B688" s="11">
        <v>1</v>
      </c>
      <c r="C688" s="36">
        <v>1</v>
      </c>
      <c r="D688" s="10">
        <f t="shared" ref="D688:D709" si="30">SUM(B688:C688)</f>
        <v>2</v>
      </c>
      <c r="E688" s="66">
        <v>45618</v>
      </c>
    </row>
    <row r="689" spans="1:5" x14ac:dyDescent="0.15">
      <c r="A689" s="6" t="s">
        <v>10</v>
      </c>
      <c r="B689" s="11"/>
      <c r="C689" s="36">
        <v>2</v>
      </c>
      <c r="D689" s="10">
        <f t="shared" si="30"/>
        <v>2</v>
      </c>
      <c r="E689" s="66">
        <v>45621</v>
      </c>
    </row>
    <row r="690" spans="1:5" x14ac:dyDescent="0.15">
      <c r="A690" s="6" t="s">
        <v>10</v>
      </c>
      <c r="B690" s="11">
        <v>1</v>
      </c>
      <c r="C690" s="36"/>
      <c r="D690" s="10">
        <f t="shared" si="30"/>
        <v>1</v>
      </c>
      <c r="E690" s="66">
        <v>45622</v>
      </c>
    </row>
    <row r="691" spans="1:5" x14ac:dyDescent="0.15">
      <c r="A691" s="6" t="s">
        <v>10</v>
      </c>
      <c r="B691" s="11">
        <v>1</v>
      </c>
      <c r="C691" s="36"/>
      <c r="D691" s="10">
        <f t="shared" si="30"/>
        <v>1</v>
      </c>
      <c r="E691" s="66">
        <v>45623</v>
      </c>
    </row>
    <row r="692" spans="1:5" x14ac:dyDescent="0.15">
      <c r="A692" s="6" t="s">
        <v>10</v>
      </c>
      <c r="B692" s="11">
        <v>1</v>
      </c>
      <c r="C692" s="36"/>
      <c r="D692" s="10">
        <f t="shared" si="30"/>
        <v>1</v>
      </c>
      <c r="E692" s="66">
        <v>45630</v>
      </c>
    </row>
    <row r="693" spans="1:5" x14ac:dyDescent="0.15">
      <c r="A693" s="6" t="s">
        <v>10</v>
      </c>
      <c r="B693" s="11">
        <v>1</v>
      </c>
      <c r="C693" s="36"/>
      <c r="D693" s="10">
        <f t="shared" si="30"/>
        <v>1</v>
      </c>
      <c r="E693" s="66">
        <v>45631</v>
      </c>
    </row>
    <row r="694" spans="1:5" x14ac:dyDescent="0.15">
      <c r="A694" s="6" t="s">
        <v>10</v>
      </c>
      <c r="B694" s="11">
        <v>1</v>
      </c>
      <c r="C694" s="36"/>
      <c r="D694" s="10">
        <f t="shared" si="30"/>
        <v>1</v>
      </c>
      <c r="E694" s="66">
        <v>45632</v>
      </c>
    </row>
    <row r="695" spans="1:5" x14ac:dyDescent="0.15">
      <c r="A695" s="6" t="s">
        <v>10</v>
      </c>
      <c r="B695" s="11"/>
      <c r="C695" s="36">
        <v>1</v>
      </c>
      <c r="D695" s="10">
        <f t="shared" si="30"/>
        <v>1</v>
      </c>
      <c r="E695" s="66">
        <v>45633</v>
      </c>
    </row>
    <row r="696" spans="1:5" x14ac:dyDescent="0.15">
      <c r="A696" s="6" t="s">
        <v>10</v>
      </c>
      <c r="B696" s="11"/>
      <c r="C696" s="36">
        <v>2</v>
      </c>
      <c r="D696" s="10">
        <f t="shared" si="30"/>
        <v>2</v>
      </c>
      <c r="E696" s="66">
        <v>45635</v>
      </c>
    </row>
    <row r="697" spans="1:5" x14ac:dyDescent="0.15">
      <c r="A697" s="6" t="s">
        <v>10</v>
      </c>
      <c r="B697" s="11">
        <v>1</v>
      </c>
      <c r="C697" s="36"/>
      <c r="D697" s="10">
        <f t="shared" si="30"/>
        <v>1</v>
      </c>
      <c r="E697" s="66">
        <v>45639</v>
      </c>
    </row>
    <row r="698" spans="1:5" x14ac:dyDescent="0.15">
      <c r="A698" s="6" t="s">
        <v>10</v>
      </c>
      <c r="B698" s="11">
        <v>1</v>
      </c>
      <c r="C698" s="36"/>
      <c r="D698" s="10">
        <f t="shared" si="30"/>
        <v>1</v>
      </c>
      <c r="E698" s="66">
        <v>45642</v>
      </c>
    </row>
    <row r="699" spans="1:5" x14ac:dyDescent="0.15">
      <c r="A699" s="6" t="s">
        <v>10</v>
      </c>
      <c r="B699" s="11">
        <v>1</v>
      </c>
      <c r="C699" s="36"/>
      <c r="D699" s="10">
        <f t="shared" si="30"/>
        <v>1</v>
      </c>
      <c r="E699" s="66">
        <v>45650</v>
      </c>
    </row>
    <row r="700" spans="1:5" x14ac:dyDescent="0.15">
      <c r="A700" s="6" t="s">
        <v>10</v>
      </c>
      <c r="B700" s="11">
        <v>3</v>
      </c>
      <c r="C700" s="36">
        <v>1</v>
      </c>
      <c r="D700" s="10">
        <f t="shared" si="30"/>
        <v>4</v>
      </c>
      <c r="E700" s="66">
        <v>45663</v>
      </c>
    </row>
    <row r="701" spans="1:5" x14ac:dyDescent="0.15">
      <c r="A701" s="6" t="s">
        <v>10</v>
      </c>
      <c r="B701" s="11">
        <v>1</v>
      </c>
      <c r="C701" s="36"/>
      <c r="D701" s="10">
        <f t="shared" si="30"/>
        <v>1</v>
      </c>
      <c r="E701" s="66">
        <v>45665</v>
      </c>
    </row>
    <row r="702" spans="1:5" x14ac:dyDescent="0.15">
      <c r="A702" s="6" t="s">
        <v>10</v>
      </c>
      <c r="B702" s="11">
        <v>2</v>
      </c>
      <c r="C702" s="36">
        <v>1</v>
      </c>
      <c r="D702" s="10">
        <f t="shared" si="30"/>
        <v>3</v>
      </c>
      <c r="E702" s="66">
        <v>45667</v>
      </c>
    </row>
    <row r="703" spans="1:5" x14ac:dyDescent="0.15">
      <c r="A703" s="6" t="s">
        <v>10</v>
      </c>
      <c r="B703" s="11">
        <v>1</v>
      </c>
      <c r="C703" s="36"/>
      <c r="D703" s="10">
        <f t="shared" si="30"/>
        <v>1</v>
      </c>
      <c r="E703" s="66">
        <v>45671</v>
      </c>
    </row>
    <row r="704" spans="1:5" x14ac:dyDescent="0.15">
      <c r="A704" s="6" t="s">
        <v>10</v>
      </c>
      <c r="B704" s="11">
        <v>1</v>
      </c>
      <c r="C704" s="36">
        <v>1</v>
      </c>
      <c r="D704" s="10">
        <f t="shared" si="30"/>
        <v>2</v>
      </c>
      <c r="E704" s="66">
        <v>45673</v>
      </c>
    </row>
    <row r="705" spans="1:5" x14ac:dyDescent="0.15">
      <c r="A705" s="6" t="s">
        <v>10</v>
      </c>
      <c r="B705" s="11">
        <v>2</v>
      </c>
      <c r="C705" s="36"/>
      <c r="D705" s="10">
        <f t="shared" si="30"/>
        <v>2</v>
      </c>
      <c r="E705" s="66">
        <v>45677</v>
      </c>
    </row>
    <row r="706" spans="1:5" x14ac:dyDescent="0.15">
      <c r="A706" s="6" t="s">
        <v>10</v>
      </c>
      <c r="B706" s="11">
        <v>2</v>
      </c>
      <c r="C706" s="36"/>
      <c r="D706" s="10">
        <f t="shared" si="30"/>
        <v>2</v>
      </c>
      <c r="E706" s="66">
        <v>45678</v>
      </c>
    </row>
    <row r="707" spans="1:5" x14ac:dyDescent="0.15">
      <c r="A707" s="6" t="s">
        <v>10</v>
      </c>
      <c r="B707" s="11">
        <v>2</v>
      </c>
      <c r="C707" s="36"/>
      <c r="D707" s="10">
        <f t="shared" si="30"/>
        <v>2</v>
      </c>
      <c r="E707" s="66">
        <v>45684</v>
      </c>
    </row>
    <row r="708" spans="1:5" x14ac:dyDescent="0.15">
      <c r="A708" s="6" t="s">
        <v>10</v>
      </c>
      <c r="B708" s="11">
        <v>2</v>
      </c>
      <c r="C708" s="36">
        <v>1</v>
      </c>
      <c r="D708" s="10">
        <f t="shared" si="30"/>
        <v>3</v>
      </c>
      <c r="E708" s="66">
        <v>45685</v>
      </c>
    </row>
    <row r="709" spans="1:5" x14ac:dyDescent="0.15">
      <c r="A709" s="6" t="s">
        <v>10</v>
      </c>
      <c r="B709" s="11">
        <v>1</v>
      </c>
      <c r="C709" s="36"/>
      <c r="D709" s="10">
        <f t="shared" si="30"/>
        <v>1</v>
      </c>
      <c r="E709" s="66">
        <v>45686</v>
      </c>
    </row>
    <row r="710" spans="1:5" x14ac:dyDescent="0.15">
      <c r="A710" s="6" t="s">
        <v>10</v>
      </c>
      <c r="B710" s="11">
        <v>2</v>
      </c>
      <c r="C710" s="36">
        <v>1</v>
      </c>
      <c r="D710" s="10">
        <f t="shared" si="28"/>
        <v>3</v>
      </c>
      <c r="E710" s="66">
        <v>45691</v>
      </c>
    </row>
    <row r="711" spans="1:5" ht="14.25" thickBot="1" x14ac:dyDescent="0.2">
      <c r="A711" s="6" t="s">
        <v>10</v>
      </c>
      <c r="B711" s="11">
        <v>1</v>
      </c>
      <c r="C711" s="36"/>
      <c r="D711" s="10">
        <f t="shared" si="28"/>
        <v>1</v>
      </c>
      <c r="E711" s="66">
        <v>45694</v>
      </c>
    </row>
    <row r="712" spans="1:5" ht="14.25" thickBot="1" x14ac:dyDescent="0.2">
      <c r="A712" s="5" t="s">
        <v>5</v>
      </c>
      <c r="B712" s="13">
        <f>SUM(B688:B711)</f>
        <v>29</v>
      </c>
      <c r="C712" s="13">
        <f>SUM(C688:C711)</f>
        <v>11</v>
      </c>
      <c r="D712" s="14">
        <f t="shared" si="28"/>
        <v>40</v>
      </c>
    </row>
    <row r="713" spans="1:5" ht="14.25" thickBot="1" x14ac:dyDescent="0.2">
      <c r="A713" s="21" t="s">
        <v>6</v>
      </c>
      <c r="B713" s="22">
        <f>B687-B712</f>
        <v>3</v>
      </c>
      <c r="C713" s="22">
        <f>C687-C712</f>
        <v>5</v>
      </c>
      <c r="D713" s="20">
        <f>D687-D712</f>
        <v>8</v>
      </c>
    </row>
    <row r="715" spans="1:5" x14ac:dyDescent="0.15">
      <c r="D715" t="s">
        <v>64</v>
      </c>
    </row>
    <row r="716" spans="1:5" ht="19.5" thickBot="1" x14ac:dyDescent="0.25">
      <c r="A716" s="2" t="s">
        <v>51</v>
      </c>
      <c r="B716" s="3"/>
      <c r="C716" s="3"/>
      <c r="D716" s="3"/>
    </row>
    <row r="717" spans="1:5" ht="14.25" thickBot="1" x14ac:dyDescent="0.2">
      <c r="A717" s="4" t="s">
        <v>1</v>
      </c>
      <c r="B717" s="5" t="s">
        <v>25</v>
      </c>
      <c r="C717" s="4" t="s">
        <v>26</v>
      </c>
      <c r="D717" s="4" t="s">
        <v>2</v>
      </c>
    </row>
    <row r="718" spans="1:5" ht="14.25" thickBot="1" x14ac:dyDescent="0.2">
      <c r="A718" s="4" t="s">
        <v>6</v>
      </c>
      <c r="B718" s="45">
        <f>B713</f>
        <v>3</v>
      </c>
      <c r="C718" s="46">
        <f>C713</f>
        <v>5</v>
      </c>
      <c r="D718" s="14">
        <f t="shared" ref="D718:D754" si="31">SUM(B718:C718)</f>
        <v>8</v>
      </c>
    </row>
    <row r="719" spans="1:5" x14ac:dyDescent="0.15">
      <c r="A719" s="8" t="s">
        <v>3</v>
      </c>
      <c r="B719" s="15">
        <v>10</v>
      </c>
      <c r="C719" s="12">
        <v>5</v>
      </c>
      <c r="D719" s="7">
        <f t="shared" si="31"/>
        <v>15</v>
      </c>
      <c r="E719" s="26">
        <v>45707</v>
      </c>
    </row>
    <row r="720" spans="1:5" x14ac:dyDescent="0.15">
      <c r="A720" s="8" t="s">
        <v>3</v>
      </c>
      <c r="B720" s="15">
        <v>10</v>
      </c>
      <c r="C720" s="12">
        <v>10</v>
      </c>
      <c r="D720" s="7">
        <f t="shared" ref="D720:D722" si="32">SUM(B720:C720)</f>
        <v>20</v>
      </c>
      <c r="E720" s="26">
        <v>45734</v>
      </c>
    </row>
    <row r="721" spans="1:5" x14ac:dyDescent="0.15">
      <c r="A721" s="8" t="s">
        <v>3</v>
      </c>
      <c r="B721" s="15">
        <v>10</v>
      </c>
      <c r="C721" s="12"/>
      <c r="D721" s="7">
        <f t="shared" si="32"/>
        <v>10</v>
      </c>
      <c r="E721" s="26">
        <v>45750</v>
      </c>
    </row>
    <row r="722" spans="1:5" x14ac:dyDescent="0.15">
      <c r="A722" s="8" t="s">
        <v>3</v>
      </c>
      <c r="B722" s="15">
        <v>5</v>
      </c>
      <c r="C722" s="12">
        <v>5</v>
      </c>
      <c r="D722" s="7">
        <f t="shared" si="32"/>
        <v>10</v>
      </c>
      <c r="E722" s="26">
        <v>45764</v>
      </c>
    </row>
    <row r="723" spans="1:5" x14ac:dyDescent="0.15">
      <c r="A723" s="8" t="s">
        <v>3</v>
      </c>
      <c r="B723" s="15">
        <v>10</v>
      </c>
      <c r="C723" s="12">
        <v>5</v>
      </c>
      <c r="D723" s="7">
        <f t="shared" si="31"/>
        <v>15</v>
      </c>
      <c r="E723" s="26">
        <v>45771</v>
      </c>
    </row>
    <row r="724" spans="1:5" x14ac:dyDescent="0.15">
      <c r="A724" s="8" t="s">
        <v>3</v>
      </c>
      <c r="B724" s="15"/>
      <c r="C724" s="12"/>
      <c r="D724" s="7">
        <f t="shared" si="31"/>
        <v>0</v>
      </c>
    </row>
    <row r="725" spans="1:5" x14ac:dyDescent="0.15">
      <c r="A725" s="8" t="s">
        <v>3</v>
      </c>
      <c r="B725" s="15"/>
      <c r="C725" s="12"/>
      <c r="D725" s="7">
        <f t="shared" si="31"/>
        <v>0</v>
      </c>
    </row>
    <row r="726" spans="1:5" x14ac:dyDescent="0.15">
      <c r="A726" s="8" t="s">
        <v>3</v>
      </c>
      <c r="B726" s="15"/>
      <c r="C726" s="12"/>
      <c r="D726" s="7">
        <f t="shared" si="31"/>
        <v>0</v>
      </c>
    </row>
    <row r="727" spans="1:5" x14ac:dyDescent="0.15">
      <c r="A727" s="8" t="s">
        <v>3</v>
      </c>
      <c r="B727" s="31"/>
      <c r="C727" s="40"/>
      <c r="D727" s="10">
        <f t="shared" si="31"/>
        <v>0</v>
      </c>
    </row>
    <row r="728" spans="1:5" ht="14.25" thickBot="1" x14ac:dyDescent="0.2">
      <c r="A728" s="8" t="s">
        <v>3</v>
      </c>
      <c r="B728" s="31"/>
      <c r="C728" s="40"/>
      <c r="D728" s="17">
        <f t="shared" si="31"/>
        <v>0</v>
      </c>
    </row>
    <row r="729" spans="1:5" ht="14.25" thickBot="1" x14ac:dyDescent="0.2">
      <c r="A729" s="18" t="s">
        <v>4</v>
      </c>
      <c r="B729" s="19">
        <f>SUM(B718:B728)</f>
        <v>48</v>
      </c>
      <c r="C729" s="19">
        <f>SUM(C718:C728)</f>
        <v>30</v>
      </c>
      <c r="D729" s="20">
        <f t="shared" si="31"/>
        <v>78</v>
      </c>
    </row>
    <row r="730" spans="1:5" x14ac:dyDescent="0.15">
      <c r="A730" s="6" t="s">
        <v>10</v>
      </c>
      <c r="B730" s="11">
        <v>2</v>
      </c>
      <c r="C730" s="36">
        <v>1</v>
      </c>
      <c r="D730" s="10">
        <f t="shared" ref="D730:D750" si="33">SUM(B730:C730)</f>
        <v>3</v>
      </c>
      <c r="E730" s="66">
        <v>45698</v>
      </c>
    </row>
    <row r="731" spans="1:5" x14ac:dyDescent="0.15">
      <c r="A731" s="6" t="s">
        <v>10</v>
      </c>
      <c r="B731" s="11">
        <v>1</v>
      </c>
      <c r="C731" s="36"/>
      <c r="D731" s="10">
        <f t="shared" si="33"/>
        <v>1</v>
      </c>
      <c r="E731" s="66">
        <v>45700</v>
      </c>
    </row>
    <row r="732" spans="1:5" x14ac:dyDescent="0.15">
      <c r="A732" s="6" t="s">
        <v>10</v>
      </c>
      <c r="B732" s="11">
        <f>1+1</f>
        <v>2</v>
      </c>
      <c r="C732" s="36">
        <v>2</v>
      </c>
      <c r="D732" s="10">
        <f t="shared" si="33"/>
        <v>4</v>
      </c>
      <c r="E732" s="66">
        <v>45707</v>
      </c>
    </row>
    <row r="733" spans="1:5" x14ac:dyDescent="0.15">
      <c r="A733" s="6" t="s">
        <v>10</v>
      </c>
      <c r="B733" s="11"/>
      <c r="C733" s="36">
        <v>1</v>
      </c>
      <c r="D733" s="10">
        <f t="shared" si="33"/>
        <v>1</v>
      </c>
      <c r="E733" s="66">
        <v>45720</v>
      </c>
    </row>
    <row r="734" spans="1:5" x14ac:dyDescent="0.15">
      <c r="A734" s="6" t="s">
        <v>10</v>
      </c>
      <c r="B734" s="11">
        <f>1+2</f>
        <v>3</v>
      </c>
      <c r="C734" s="36"/>
      <c r="D734" s="10">
        <f t="shared" si="33"/>
        <v>3</v>
      </c>
      <c r="E734" s="66">
        <v>45722</v>
      </c>
    </row>
    <row r="735" spans="1:5" x14ac:dyDescent="0.15">
      <c r="A735" s="6" t="s">
        <v>10</v>
      </c>
      <c r="B735" s="11">
        <v>3</v>
      </c>
      <c r="C735" s="36">
        <v>3</v>
      </c>
      <c r="D735" s="10">
        <f t="shared" si="33"/>
        <v>6</v>
      </c>
      <c r="E735" s="66">
        <v>45726</v>
      </c>
    </row>
    <row r="736" spans="1:5" x14ac:dyDescent="0.15">
      <c r="A736" s="6" t="s">
        <v>10</v>
      </c>
      <c r="B736" s="11">
        <v>1</v>
      </c>
      <c r="C736" s="36">
        <v>2</v>
      </c>
      <c r="D736" s="10">
        <f t="shared" si="33"/>
        <v>3</v>
      </c>
      <c r="E736" s="66">
        <v>45730</v>
      </c>
    </row>
    <row r="737" spans="1:5" x14ac:dyDescent="0.15">
      <c r="A737" s="6" t="s">
        <v>10</v>
      </c>
      <c r="B737" s="11">
        <v>1</v>
      </c>
      <c r="C737" s="36"/>
      <c r="D737" s="10">
        <f t="shared" si="33"/>
        <v>1</v>
      </c>
      <c r="E737" s="66">
        <v>45733</v>
      </c>
    </row>
    <row r="738" spans="1:5" x14ac:dyDescent="0.15">
      <c r="A738" s="6" t="s">
        <v>10</v>
      </c>
      <c r="B738" s="11">
        <v>2</v>
      </c>
      <c r="C738" s="36"/>
      <c r="D738" s="10">
        <f t="shared" si="33"/>
        <v>2</v>
      </c>
      <c r="E738" s="66">
        <v>45734</v>
      </c>
    </row>
    <row r="739" spans="1:5" x14ac:dyDescent="0.15">
      <c r="A739" s="6" t="s">
        <v>10</v>
      </c>
      <c r="B739" s="11">
        <v>1</v>
      </c>
      <c r="C739" s="36"/>
      <c r="D739" s="10">
        <f t="shared" si="33"/>
        <v>1</v>
      </c>
      <c r="E739" s="66">
        <v>45744</v>
      </c>
    </row>
    <row r="740" spans="1:5" x14ac:dyDescent="0.15">
      <c r="A740" s="6" t="s">
        <v>10</v>
      </c>
      <c r="B740" s="11">
        <v>1</v>
      </c>
      <c r="C740" s="36">
        <v>1</v>
      </c>
      <c r="D740" s="10">
        <f t="shared" si="33"/>
        <v>2</v>
      </c>
      <c r="E740" s="66">
        <v>45745</v>
      </c>
    </row>
    <row r="741" spans="1:5" x14ac:dyDescent="0.15">
      <c r="A741" s="6" t="s">
        <v>10</v>
      </c>
      <c r="B741" s="11"/>
      <c r="C741" s="36">
        <v>1</v>
      </c>
      <c r="D741" s="10">
        <f t="shared" si="33"/>
        <v>1</v>
      </c>
      <c r="E741" s="66">
        <v>45750</v>
      </c>
    </row>
    <row r="742" spans="1:5" x14ac:dyDescent="0.15">
      <c r="A742" s="6" t="s">
        <v>10</v>
      </c>
      <c r="B742" s="11">
        <v>1</v>
      </c>
      <c r="C742" s="36"/>
      <c r="D742" s="10">
        <f t="shared" si="33"/>
        <v>1</v>
      </c>
      <c r="E742" s="66">
        <v>45752</v>
      </c>
    </row>
    <row r="743" spans="1:5" x14ac:dyDescent="0.15">
      <c r="A743" s="6" t="s">
        <v>10</v>
      </c>
      <c r="B743" s="11">
        <v>2</v>
      </c>
      <c r="C743" s="36"/>
      <c r="D743" s="10">
        <f t="shared" si="33"/>
        <v>2</v>
      </c>
      <c r="E743" s="66">
        <v>45754</v>
      </c>
    </row>
    <row r="744" spans="1:5" x14ac:dyDescent="0.15">
      <c r="A744" s="6" t="s">
        <v>10</v>
      </c>
      <c r="B744" s="11">
        <v>1</v>
      </c>
      <c r="C744" s="36">
        <v>3</v>
      </c>
      <c r="D744" s="10">
        <f t="shared" si="33"/>
        <v>4</v>
      </c>
      <c r="E744" s="66">
        <v>45756</v>
      </c>
    </row>
    <row r="745" spans="1:5" x14ac:dyDescent="0.15">
      <c r="A745" s="6" t="s">
        <v>10</v>
      </c>
      <c r="B745" s="11">
        <v>1</v>
      </c>
      <c r="C745" s="36"/>
      <c r="D745" s="10">
        <f t="shared" si="33"/>
        <v>1</v>
      </c>
      <c r="E745" s="66">
        <v>45758</v>
      </c>
    </row>
    <row r="746" spans="1:5" x14ac:dyDescent="0.15">
      <c r="A746" s="6" t="s">
        <v>10</v>
      </c>
      <c r="B746" s="11"/>
      <c r="C746" s="36">
        <v>1</v>
      </c>
      <c r="D746" s="10">
        <f t="shared" si="33"/>
        <v>1</v>
      </c>
      <c r="E746" s="66">
        <v>45761</v>
      </c>
    </row>
    <row r="747" spans="1:5" x14ac:dyDescent="0.15">
      <c r="A747" s="6" t="s">
        <v>10</v>
      </c>
      <c r="B747" s="11">
        <v>5</v>
      </c>
      <c r="C747" s="36">
        <f>1+2</f>
        <v>3</v>
      </c>
      <c r="D747" s="10">
        <f t="shared" si="33"/>
        <v>8</v>
      </c>
      <c r="E747" s="66">
        <v>45763</v>
      </c>
    </row>
    <row r="748" spans="1:5" x14ac:dyDescent="0.15">
      <c r="A748" s="6" t="s">
        <v>10</v>
      </c>
      <c r="B748" s="11">
        <v>1</v>
      </c>
      <c r="C748" s="36"/>
      <c r="D748" s="10">
        <f t="shared" si="33"/>
        <v>1</v>
      </c>
      <c r="E748" s="66">
        <v>45765</v>
      </c>
    </row>
    <row r="749" spans="1:5" x14ac:dyDescent="0.15">
      <c r="A749" s="6" t="s">
        <v>10</v>
      </c>
      <c r="B749" s="11">
        <v>1</v>
      </c>
      <c r="C749" s="36">
        <v>1</v>
      </c>
      <c r="D749" s="10">
        <f t="shared" si="33"/>
        <v>2</v>
      </c>
      <c r="E749" s="66">
        <v>45768</v>
      </c>
    </row>
    <row r="750" spans="1:5" x14ac:dyDescent="0.15">
      <c r="A750" s="6" t="s">
        <v>10</v>
      </c>
      <c r="B750" s="11">
        <v>1</v>
      </c>
      <c r="C750" s="36"/>
      <c r="D750" s="10">
        <f t="shared" si="33"/>
        <v>1</v>
      </c>
      <c r="E750" s="66">
        <v>45772</v>
      </c>
    </row>
    <row r="751" spans="1:5" x14ac:dyDescent="0.15">
      <c r="A751" s="6" t="s">
        <v>10</v>
      </c>
      <c r="B751" s="11"/>
      <c r="C751" s="36">
        <v>1</v>
      </c>
      <c r="D751" s="10">
        <f t="shared" si="31"/>
        <v>1</v>
      </c>
      <c r="E751" s="66">
        <v>45779</v>
      </c>
    </row>
    <row r="752" spans="1:5" x14ac:dyDescent="0.15">
      <c r="A752" s="6" t="s">
        <v>10</v>
      </c>
      <c r="B752" s="11">
        <v>2</v>
      </c>
      <c r="C752" s="36">
        <v>2</v>
      </c>
      <c r="D752" s="10">
        <f t="shared" si="31"/>
        <v>4</v>
      </c>
      <c r="E752" s="66">
        <v>45784</v>
      </c>
    </row>
    <row r="753" spans="1:5" ht="14.25" thickBot="1" x14ac:dyDescent="0.2">
      <c r="A753" s="6" t="s">
        <v>10</v>
      </c>
      <c r="B753" s="11">
        <v>1</v>
      </c>
      <c r="C753" s="36">
        <v>1</v>
      </c>
      <c r="D753" s="10">
        <f t="shared" si="31"/>
        <v>2</v>
      </c>
      <c r="E753" s="66">
        <v>45789</v>
      </c>
    </row>
    <row r="754" spans="1:5" ht="14.25" thickBot="1" x14ac:dyDescent="0.2">
      <c r="A754" s="5" t="s">
        <v>5</v>
      </c>
      <c r="B754" s="13">
        <f>SUM(B730:B753)</f>
        <v>33</v>
      </c>
      <c r="C754" s="13">
        <f>SUM(C730:C753)</f>
        <v>23</v>
      </c>
      <c r="D754" s="14">
        <f t="shared" si="31"/>
        <v>56</v>
      </c>
    </row>
    <row r="755" spans="1:5" ht="14.25" thickBot="1" x14ac:dyDescent="0.2">
      <c r="A755" s="21" t="s">
        <v>6</v>
      </c>
      <c r="B755" s="22">
        <f>B729-B754</f>
        <v>15</v>
      </c>
      <c r="C755" s="22">
        <f>C729-C754</f>
        <v>7</v>
      </c>
      <c r="D755" s="20">
        <f>D729-D754</f>
        <v>22</v>
      </c>
    </row>
    <row r="757" spans="1:5" x14ac:dyDescent="0.15">
      <c r="D757" t="s">
        <v>64</v>
      </c>
    </row>
    <row r="758" spans="1:5" ht="19.5" thickBot="1" x14ac:dyDescent="0.25">
      <c r="A758" s="2" t="s">
        <v>51</v>
      </c>
      <c r="B758" s="3"/>
      <c r="C758" s="3"/>
      <c r="D758" s="3"/>
    </row>
    <row r="759" spans="1:5" ht="14.25" thickBot="1" x14ac:dyDescent="0.2">
      <c r="A759" s="4" t="s">
        <v>1</v>
      </c>
      <c r="B759" s="5" t="s">
        <v>25</v>
      </c>
      <c r="C759" s="4" t="s">
        <v>26</v>
      </c>
      <c r="D759" s="4" t="s">
        <v>2</v>
      </c>
    </row>
    <row r="760" spans="1:5" ht="14.25" thickBot="1" x14ac:dyDescent="0.2">
      <c r="A760" s="4" t="s">
        <v>6</v>
      </c>
      <c r="B760" s="45">
        <f>B755</f>
        <v>15</v>
      </c>
      <c r="C760" s="46">
        <f>C755</f>
        <v>7</v>
      </c>
      <c r="D760" s="14">
        <f t="shared" ref="D760:D796" si="34">SUM(B760:C760)</f>
        <v>22</v>
      </c>
    </row>
    <row r="761" spans="1:5" x14ac:dyDescent="0.15">
      <c r="A761" s="8" t="s">
        <v>3</v>
      </c>
      <c r="B761" s="15">
        <v>5</v>
      </c>
      <c r="C761" s="12">
        <v>8</v>
      </c>
      <c r="D761" s="7">
        <f t="shared" ref="D761:D765" si="35">SUM(B761:C761)</f>
        <v>13</v>
      </c>
      <c r="E761" s="26">
        <v>45812</v>
      </c>
    </row>
    <row r="762" spans="1:5" x14ac:dyDescent="0.15">
      <c r="A762" s="8" t="s">
        <v>3</v>
      </c>
      <c r="B762" s="15">
        <v>5</v>
      </c>
      <c r="C762" s="12"/>
      <c r="D762" s="7">
        <f t="shared" si="35"/>
        <v>5</v>
      </c>
      <c r="E762" s="26">
        <v>45828</v>
      </c>
    </row>
    <row r="763" spans="1:5" x14ac:dyDescent="0.15">
      <c r="A763" s="8" t="s">
        <v>43</v>
      </c>
      <c r="B763" s="15">
        <v>-2</v>
      </c>
      <c r="C763" s="12">
        <v>-2</v>
      </c>
      <c r="D763" s="7">
        <f t="shared" si="35"/>
        <v>-4</v>
      </c>
      <c r="E763" s="66">
        <v>45895</v>
      </c>
    </row>
    <row r="764" spans="1:5" x14ac:dyDescent="0.15">
      <c r="A764" s="8" t="s">
        <v>3</v>
      </c>
      <c r="B764" s="15">
        <v>10</v>
      </c>
      <c r="C764" s="12">
        <v>3</v>
      </c>
      <c r="D764" s="7">
        <f t="shared" si="35"/>
        <v>13</v>
      </c>
      <c r="E764" s="26">
        <v>45917</v>
      </c>
    </row>
    <row r="765" spans="1:5" x14ac:dyDescent="0.15">
      <c r="A765" s="8" t="s">
        <v>3</v>
      </c>
      <c r="B765" s="15"/>
      <c r="C765" s="12"/>
      <c r="D765" s="7">
        <f t="shared" si="35"/>
        <v>0</v>
      </c>
    </row>
    <row r="766" spans="1:5" x14ac:dyDescent="0.15">
      <c r="A766" s="8" t="s">
        <v>3</v>
      </c>
      <c r="B766" s="15"/>
      <c r="C766" s="12"/>
      <c r="D766" s="7">
        <f t="shared" si="34"/>
        <v>0</v>
      </c>
    </row>
    <row r="767" spans="1:5" x14ac:dyDescent="0.15">
      <c r="A767" s="8" t="s">
        <v>3</v>
      </c>
      <c r="B767" s="15"/>
      <c r="C767" s="12"/>
      <c r="D767" s="7">
        <f t="shared" si="34"/>
        <v>0</v>
      </c>
    </row>
    <row r="768" spans="1:5" x14ac:dyDescent="0.15">
      <c r="A768" s="8" t="s">
        <v>3</v>
      </c>
      <c r="B768" s="15"/>
      <c r="C768" s="12"/>
      <c r="D768" s="7">
        <f t="shared" si="34"/>
        <v>0</v>
      </c>
    </row>
    <row r="769" spans="1:5" x14ac:dyDescent="0.15">
      <c r="A769" s="8" t="s">
        <v>3</v>
      </c>
      <c r="B769" s="31"/>
      <c r="C769" s="40"/>
      <c r="D769" s="10">
        <f t="shared" si="34"/>
        <v>0</v>
      </c>
    </row>
    <row r="770" spans="1:5" ht="14.25" thickBot="1" x14ac:dyDescent="0.2">
      <c r="A770" s="8" t="s">
        <v>3</v>
      </c>
      <c r="B770" s="31"/>
      <c r="C770" s="40"/>
      <c r="D770" s="17">
        <f t="shared" si="34"/>
        <v>0</v>
      </c>
    </row>
    <row r="771" spans="1:5" ht="14.25" thickBot="1" x14ac:dyDescent="0.2">
      <c r="A771" s="18" t="s">
        <v>4</v>
      </c>
      <c r="B771" s="19">
        <f>SUM(B760:B770)</f>
        <v>33</v>
      </c>
      <c r="C771" s="19">
        <f>SUM(C760:C770)</f>
        <v>16</v>
      </c>
      <c r="D771" s="20">
        <f t="shared" si="34"/>
        <v>49</v>
      </c>
    </row>
    <row r="772" spans="1:5" x14ac:dyDescent="0.15">
      <c r="A772" s="6" t="s">
        <v>10</v>
      </c>
      <c r="B772" s="11"/>
      <c r="C772" s="36">
        <v>2</v>
      </c>
      <c r="D772" s="10">
        <f t="shared" ref="D772:D793" si="36">SUM(B772:C772)</f>
        <v>2</v>
      </c>
      <c r="E772" s="66">
        <v>45793</v>
      </c>
    </row>
    <row r="773" spans="1:5" x14ac:dyDescent="0.15">
      <c r="A773" s="6" t="s">
        <v>10</v>
      </c>
      <c r="B773" s="11">
        <v>1</v>
      </c>
      <c r="C773" s="36">
        <v>1</v>
      </c>
      <c r="D773" s="10">
        <f t="shared" si="36"/>
        <v>2</v>
      </c>
      <c r="E773" s="66">
        <v>45796</v>
      </c>
    </row>
    <row r="774" spans="1:5" x14ac:dyDescent="0.15">
      <c r="A774" s="6" t="s">
        <v>10</v>
      </c>
      <c r="B774" s="11"/>
      <c r="C774" s="36">
        <v>3</v>
      </c>
      <c r="D774" s="10">
        <f t="shared" si="36"/>
        <v>3</v>
      </c>
      <c r="E774" s="66">
        <v>45803</v>
      </c>
    </row>
    <row r="775" spans="1:5" x14ac:dyDescent="0.15">
      <c r="A775" s="6" t="s">
        <v>10</v>
      </c>
      <c r="B775" s="11">
        <v>1</v>
      </c>
      <c r="C775" s="36"/>
      <c r="D775" s="10">
        <f t="shared" si="36"/>
        <v>1</v>
      </c>
      <c r="E775" s="66">
        <v>45807</v>
      </c>
    </row>
    <row r="776" spans="1:5" x14ac:dyDescent="0.15">
      <c r="A776" s="6" t="s">
        <v>10</v>
      </c>
      <c r="B776" s="11">
        <v>1</v>
      </c>
      <c r="C776" s="36"/>
      <c r="D776" s="10">
        <f t="shared" si="36"/>
        <v>1</v>
      </c>
      <c r="E776" s="66">
        <v>45812</v>
      </c>
    </row>
    <row r="777" spans="1:5" x14ac:dyDescent="0.15">
      <c r="A777" s="6" t="s">
        <v>10</v>
      </c>
      <c r="B777" s="11">
        <v>1</v>
      </c>
      <c r="C777" s="36"/>
      <c r="D777" s="10">
        <f t="shared" si="36"/>
        <v>1</v>
      </c>
      <c r="E777" s="66">
        <v>45814</v>
      </c>
    </row>
    <row r="778" spans="1:5" x14ac:dyDescent="0.15">
      <c r="A778" s="6" t="s">
        <v>10</v>
      </c>
      <c r="B778" s="11">
        <v>1</v>
      </c>
      <c r="C778" s="36"/>
      <c r="D778" s="10">
        <f t="shared" si="36"/>
        <v>1</v>
      </c>
      <c r="E778" s="66">
        <v>45817</v>
      </c>
    </row>
    <row r="779" spans="1:5" x14ac:dyDescent="0.15">
      <c r="A779" s="6" t="s">
        <v>10</v>
      </c>
      <c r="B779" s="11">
        <v>1</v>
      </c>
      <c r="C779" s="36"/>
      <c r="D779" s="10">
        <f t="shared" si="36"/>
        <v>1</v>
      </c>
      <c r="E779" s="66">
        <v>45818</v>
      </c>
    </row>
    <row r="780" spans="1:5" x14ac:dyDescent="0.15">
      <c r="A780" s="6" t="s">
        <v>10</v>
      </c>
      <c r="B780" s="11">
        <v>1</v>
      </c>
      <c r="C780" s="36"/>
      <c r="D780" s="10">
        <f t="shared" si="36"/>
        <v>1</v>
      </c>
      <c r="E780" s="66">
        <v>45819</v>
      </c>
    </row>
    <row r="781" spans="1:5" x14ac:dyDescent="0.15">
      <c r="A781" s="6" t="s">
        <v>10</v>
      </c>
      <c r="B781" s="11">
        <v>1</v>
      </c>
      <c r="C781" s="36"/>
      <c r="D781" s="10">
        <f t="shared" si="36"/>
        <v>1</v>
      </c>
      <c r="E781" s="66">
        <v>45825</v>
      </c>
    </row>
    <row r="782" spans="1:5" x14ac:dyDescent="0.15">
      <c r="A782" s="6" t="s">
        <v>10</v>
      </c>
      <c r="B782" s="11">
        <v>2</v>
      </c>
      <c r="C782" s="36"/>
      <c r="D782" s="10">
        <f t="shared" si="36"/>
        <v>2</v>
      </c>
      <c r="E782" s="66">
        <v>45826</v>
      </c>
    </row>
    <row r="783" spans="1:5" x14ac:dyDescent="0.15">
      <c r="A783" s="6" t="s">
        <v>10</v>
      </c>
      <c r="B783" s="11">
        <v>1</v>
      </c>
      <c r="C783" s="36"/>
      <c r="D783" s="10">
        <f t="shared" si="36"/>
        <v>1</v>
      </c>
      <c r="E783" s="66">
        <v>45828</v>
      </c>
    </row>
    <row r="784" spans="1:5" x14ac:dyDescent="0.15">
      <c r="A784" s="6" t="s">
        <v>10</v>
      </c>
      <c r="B784" s="11">
        <v>1</v>
      </c>
      <c r="C784" s="36"/>
      <c r="D784" s="10">
        <f t="shared" si="36"/>
        <v>1</v>
      </c>
      <c r="E784" s="66">
        <v>45854</v>
      </c>
    </row>
    <row r="785" spans="1:5" x14ac:dyDescent="0.15">
      <c r="A785" s="6" t="s">
        <v>10</v>
      </c>
      <c r="B785" s="11">
        <v>1</v>
      </c>
      <c r="C785" s="36"/>
      <c r="D785" s="10">
        <f t="shared" si="36"/>
        <v>1</v>
      </c>
      <c r="E785" s="66">
        <v>45860</v>
      </c>
    </row>
    <row r="786" spans="1:5" x14ac:dyDescent="0.15">
      <c r="A786" s="6" t="s">
        <v>10</v>
      </c>
      <c r="B786" s="11">
        <v>2</v>
      </c>
      <c r="C786" s="36">
        <v>1</v>
      </c>
      <c r="D786" s="10">
        <f t="shared" si="36"/>
        <v>3</v>
      </c>
      <c r="E786" s="66">
        <v>45861</v>
      </c>
    </row>
    <row r="787" spans="1:5" x14ac:dyDescent="0.15">
      <c r="A787" s="6" t="s">
        <v>10</v>
      </c>
      <c r="B787" s="11">
        <v>1</v>
      </c>
      <c r="C787" s="36"/>
      <c r="D787" s="10">
        <f t="shared" si="36"/>
        <v>1</v>
      </c>
      <c r="E787" s="66">
        <v>45862</v>
      </c>
    </row>
    <row r="788" spans="1:5" x14ac:dyDescent="0.15">
      <c r="A788" s="6" t="s">
        <v>10</v>
      </c>
      <c r="B788" s="11">
        <v>1</v>
      </c>
      <c r="C788" s="36"/>
      <c r="D788" s="10">
        <f t="shared" si="36"/>
        <v>1</v>
      </c>
      <c r="E788" s="66">
        <v>45866</v>
      </c>
    </row>
    <row r="789" spans="1:5" x14ac:dyDescent="0.15">
      <c r="A789" s="6" t="s">
        <v>10</v>
      </c>
      <c r="B789" s="11">
        <v>1</v>
      </c>
      <c r="C789" s="36"/>
      <c r="D789" s="10">
        <f t="shared" si="36"/>
        <v>1</v>
      </c>
      <c r="E789" s="66">
        <v>45877</v>
      </c>
    </row>
    <row r="790" spans="1:5" x14ac:dyDescent="0.15">
      <c r="A790" s="6" t="s">
        <v>10</v>
      </c>
      <c r="B790" s="11"/>
      <c r="C790" s="36">
        <v>1</v>
      </c>
      <c r="D790" s="10">
        <f t="shared" si="36"/>
        <v>1</v>
      </c>
      <c r="E790" s="66">
        <v>45878</v>
      </c>
    </row>
    <row r="791" spans="1:5" x14ac:dyDescent="0.15">
      <c r="A791" s="6" t="s">
        <v>10</v>
      </c>
      <c r="B791" s="11">
        <v>1</v>
      </c>
      <c r="C791" s="36"/>
      <c r="D791" s="10">
        <f t="shared" si="36"/>
        <v>1</v>
      </c>
      <c r="E791" s="66">
        <v>45889</v>
      </c>
    </row>
    <row r="792" spans="1:5" x14ac:dyDescent="0.15">
      <c r="A792" s="6" t="s">
        <v>10</v>
      </c>
      <c r="B792" s="11">
        <v>1</v>
      </c>
      <c r="C792" s="36"/>
      <c r="D792" s="10">
        <f t="shared" si="36"/>
        <v>1</v>
      </c>
      <c r="E792" s="66">
        <v>45891</v>
      </c>
    </row>
    <row r="793" spans="1:5" x14ac:dyDescent="0.15">
      <c r="A793" s="6" t="s">
        <v>10</v>
      </c>
      <c r="B793" s="11">
        <v>2</v>
      </c>
      <c r="C793" s="36"/>
      <c r="D793" s="10">
        <f t="shared" si="36"/>
        <v>2</v>
      </c>
      <c r="E793" s="66">
        <v>45894</v>
      </c>
    </row>
    <row r="794" spans="1:5" x14ac:dyDescent="0.15">
      <c r="A794" s="6" t="s">
        <v>10</v>
      </c>
      <c r="B794" s="11"/>
      <c r="C794" s="36">
        <v>1</v>
      </c>
      <c r="D794" s="10">
        <f t="shared" si="34"/>
        <v>1</v>
      </c>
      <c r="E794" s="66">
        <v>45905</v>
      </c>
    </row>
    <row r="795" spans="1:5" ht="14.25" thickBot="1" x14ac:dyDescent="0.2">
      <c r="A795" s="6" t="s">
        <v>10</v>
      </c>
      <c r="B795" s="11">
        <v>1</v>
      </c>
      <c r="C795" s="36"/>
      <c r="D795" s="10">
        <f t="shared" si="34"/>
        <v>1</v>
      </c>
      <c r="E795" s="66">
        <v>45916</v>
      </c>
    </row>
    <row r="796" spans="1:5" ht="14.25" thickBot="1" x14ac:dyDescent="0.2">
      <c r="A796" s="5" t="s">
        <v>5</v>
      </c>
      <c r="B796" s="13">
        <f>SUM(B772:B795)</f>
        <v>23</v>
      </c>
      <c r="C796" s="13">
        <f>SUM(C772:C795)</f>
        <v>9</v>
      </c>
      <c r="D796" s="14">
        <f t="shared" si="34"/>
        <v>32</v>
      </c>
    </row>
    <row r="797" spans="1:5" ht="14.25" thickBot="1" x14ac:dyDescent="0.2">
      <c r="A797" s="21" t="s">
        <v>6</v>
      </c>
      <c r="B797" s="22">
        <f>B771-B796</f>
        <v>10</v>
      </c>
      <c r="C797" s="22">
        <f>C771-C796</f>
        <v>7</v>
      </c>
      <c r="D797" s="20">
        <f>D771-D796</f>
        <v>17</v>
      </c>
    </row>
    <row r="799" spans="1:5" x14ac:dyDescent="0.15">
      <c r="D799" t="s">
        <v>64</v>
      </c>
    </row>
    <row r="800" spans="1:5" ht="19.5" thickBot="1" x14ac:dyDescent="0.25">
      <c r="A800" s="2" t="s">
        <v>51</v>
      </c>
      <c r="B800" s="3"/>
      <c r="C800" s="3"/>
      <c r="D800" s="3"/>
    </row>
    <row r="801" spans="1:6" ht="14.25" thickBot="1" x14ac:dyDescent="0.2">
      <c r="A801" s="4" t="s">
        <v>1</v>
      </c>
      <c r="B801" s="5" t="s">
        <v>25</v>
      </c>
      <c r="C801" s="4" t="s">
        <v>26</v>
      </c>
      <c r="D801" s="4" t="s">
        <v>2</v>
      </c>
    </row>
    <row r="802" spans="1:6" ht="14.25" thickBot="1" x14ac:dyDescent="0.2">
      <c r="A802" s="4" t="s">
        <v>6</v>
      </c>
      <c r="B802" s="45">
        <f>B797</f>
        <v>10</v>
      </c>
      <c r="C802" s="46">
        <f>C797</f>
        <v>7</v>
      </c>
      <c r="D802" s="14">
        <f t="shared" ref="D802:D838" si="37">SUM(B802:C802)</f>
        <v>17</v>
      </c>
    </row>
    <row r="803" spans="1:6" x14ac:dyDescent="0.15">
      <c r="A803" s="8" t="s">
        <v>3</v>
      </c>
      <c r="B803" s="15">
        <v>10</v>
      </c>
      <c r="C803" s="12">
        <v>8</v>
      </c>
      <c r="D803" s="7">
        <f t="shared" si="37"/>
        <v>18</v>
      </c>
      <c r="E803" s="26">
        <v>45960</v>
      </c>
    </row>
    <row r="804" spans="1:6" x14ac:dyDescent="0.15">
      <c r="A804" s="8" t="s">
        <v>3</v>
      </c>
      <c r="B804" s="15">
        <v>10</v>
      </c>
      <c r="C804" s="12">
        <v>5</v>
      </c>
      <c r="D804" s="7">
        <f t="shared" si="37"/>
        <v>15</v>
      </c>
      <c r="E804" s="26">
        <v>45997</v>
      </c>
      <c r="F804" s="28"/>
    </row>
    <row r="805" spans="1:6" x14ac:dyDescent="0.15">
      <c r="A805" s="8" t="s">
        <v>3</v>
      </c>
      <c r="B805" s="15">
        <v>5</v>
      </c>
      <c r="C805" s="12"/>
      <c r="D805" s="7">
        <f t="shared" si="37"/>
        <v>5</v>
      </c>
      <c r="E805" s="26">
        <v>46038</v>
      </c>
      <c r="F805" s="28"/>
    </row>
    <row r="806" spans="1:6" x14ac:dyDescent="0.15">
      <c r="A806" s="8" t="s">
        <v>3</v>
      </c>
      <c r="B806" s="15"/>
      <c r="C806" s="12"/>
      <c r="D806" s="7">
        <f t="shared" si="37"/>
        <v>0</v>
      </c>
      <c r="E806" s="26"/>
    </row>
    <row r="807" spans="1:6" x14ac:dyDescent="0.15">
      <c r="A807" s="8" t="s">
        <v>3</v>
      </c>
      <c r="B807" s="15"/>
      <c r="C807" s="12"/>
      <c r="D807" s="7">
        <f t="shared" si="37"/>
        <v>0</v>
      </c>
    </row>
    <row r="808" spans="1:6" x14ac:dyDescent="0.15">
      <c r="A808" s="8" t="s">
        <v>3</v>
      </c>
      <c r="B808" s="15"/>
      <c r="C808" s="12"/>
      <c r="D808" s="7">
        <f t="shared" si="37"/>
        <v>0</v>
      </c>
    </row>
    <row r="809" spans="1:6" x14ac:dyDescent="0.15">
      <c r="A809" s="8" t="s">
        <v>3</v>
      </c>
      <c r="B809" s="15"/>
      <c r="C809" s="12"/>
      <c r="D809" s="7">
        <f t="shared" si="37"/>
        <v>0</v>
      </c>
    </row>
    <row r="810" spans="1:6" x14ac:dyDescent="0.15">
      <c r="A810" s="8" t="s">
        <v>3</v>
      </c>
      <c r="B810" s="15"/>
      <c r="C810" s="12"/>
      <c r="D810" s="7">
        <f t="shared" si="37"/>
        <v>0</v>
      </c>
    </row>
    <row r="811" spans="1:6" x14ac:dyDescent="0.15">
      <c r="A811" s="8" t="s">
        <v>3</v>
      </c>
      <c r="B811" s="31"/>
      <c r="C811" s="40"/>
      <c r="D811" s="10">
        <f t="shared" si="37"/>
        <v>0</v>
      </c>
    </row>
    <row r="812" spans="1:6" ht="14.25" thickBot="1" x14ac:dyDescent="0.2">
      <c r="A812" s="8" t="s">
        <v>3</v>
      </c>
      <c r="B812" s="31"/>
      <c r="C812" s="40"/>
      <c r="D812" s="17">
        <f t="shared" si="37"/>
        <v>0</v>
      </c>
    </row>
    <row r="813" spans="1:6" ht="14.25" thickBot="1" x14ac:dyDescent="0.2">
      <c r="A813" s="18" t="s">
        <v>4</v>
      </c>
      <c r="B813" s="19">
        <f>SUM(B802:B812)</f>
        <v>35</v>
      </c>
      <c r="C813" s="19">
        <f>SUM(C802:C812)</f>
        <v>20</v>
      </c>
      <c r="D813" s="20">
        <f t="shared" si="37"/>
        <v>55</v>
      </c>
    </row>
    <row r="814" spans="1:6" x14ac:dyDescent="0.15">
      <c r="A814" s="6" t="s">
        <v>10</v>
      </c>
      <c r="B814" s="11">
        <v>1</v>
      </c>
      <c r="C814" s="36"/>
      <c r="D814" s="10">
        <f t="shared" si="37"/>
        <v>1</v>
      </c>
      <c r="E814" s="66">
        <v>45924</v>
      </c>
    </row>
    <row r="815" spans="1:6" x14ac:dyDescent="0.15">
      <c r="A815" s="6" t="s">
        <v>10</v>
      </c>
      <c r="B815" s="11"/>
      <c r="C815" s="36">
        <v>1</v>
      </c>
      <c r="D815" s="10">
        <f t="shared" si="37"/>
        <v>1</v>
      </c>
      <c r="E815" s="66">
        <v>45929</v>
      </c>
    </row>
    <row r="816" spans="1:6" x14ac:dyDescent="0.15">
      <c r="A816" s="6" t="s">
        <v>10</v>
      </c>
      <c r="B816" s="11">
        <v>1</v>
      </c>
      <c r="C816" s="36">
        <v>1</v>
      </c>
      <c r="D816" s="10">
        <f t="shared" si="37"/>
        <v>2</v>
      </c>
      <c r="E816" s="66">
        <v>45936</v>
      </c>
    </row>
    <row r="817" spans="1:5" x14ac:dyDescent="0.15">
      <c r="A817" s="6" t="s">
        <v>10</v>
      </c>
      <c r="B817" s="11">
        <v>1</v>
      </c>
      <c r="C817" s="36"/>
      <c r="D817" s="10">
        <f t="shared" si="37"/>
        <v>1</v>
      </c>
      <c r="E817" s="66">
        <v>45938</v>
      </c>
    </row>
    <row r="818" spans="1:5" x14ac:dyDescent="0.15">
      <c r="A818" s="6" t="s">
        <v>10</v>
      </c>
      <c r="B818" s="11">
        <v>1</v>
      </c>
      <c r="C818" s="36"/>
      <c r="D818" s="10">
        <f t="shared" si="37"/>
        <v>1</v>
      </c>
      <c r="E818" s="66">
        <v>45939</v>
      </c>
    </row>
    <row r="819" spans="1:5" x14ac:dyDescent="0.15">
      <c r="A819" s="6" t="s">
        <v>10</v>
      </c>
      <c r="B819" s="11">
        <v>1</v>
      </c>
      <c r="C819" s="36">
        <v>1</v>
      </c>
      <c r="D819" s="10">
        <f t="shared" si="37"/>
        <v>2</v>
      </c>
      <c r="E819" s="66">
        <v>45944</v>
      </c>
    </row>
    <row r="820" spans="1:5" x14ac:dyDescent="0.15">
      <c r="A820" s="6" t="s">
        <v>10</v>
      </c>
      <c r="B820" s="11"/>
      <c r="C820" s="36">
        <v>1</v>
      </c>
      <c r="D820" s="10">
        <f t="shared" si="37"/>
        <v>1</v>
      </c>
      <c r="E820" s="66">
        <v>45946</v>
      </c>
    </row>
    <row r="821" spans="1:5" x14ac:dyDescent="0.15">
      <c r="A821" s="6" t="s">
        <v>10</v>
      </c>
      <c r="B821" s="11">
        <v>1</v>
      </c>
      <c r="C821" s="36"/>
      <c r="D821" s="10">
        <f t="shared" si="37"/>
        <v>1</v>
      </c>
      <c r="E821" s="66">
        <v>45951</v>
      </c>
    </row>
    <row r="822" spans="1:5" x14ac:dyDescent="0.15">
      <c r="A822" s="6" t="s">
        <v>10</v>
      </c>
      <c r="B822" s="11"/>
      <c r="C822" s="36">
        <v>1</v>
      </c>
      <c r="D822" s="10">
        <f t="shared" si="37"/>
        <v>1</v>
      </c>
      <c r="E822" s="66">
        <v>45957</v>
      </c>
    </row>
    <row r="823" spans="1:5" x14ac:dyDescent="0.15">
      <c r="A823" s="6" t="s">
        <v>10</v>
      </c>
      <c r="B823" s="11">
        <v>5</v>
      </c>
      <c r="C823" s="36">
        <v>5</v>
      </c>
      <c r="D823" s="10">
        <f t="shared" si="37"/>
        <v>10</v>
      </c>
      <c r="E823" s="66">
        <v>45980</v>
      </c>
    </row>
    <row r="824" spans="1:5" x14ac:dyDescent="0.15">
      <c r="A824" s="6" t="s">
        <v>10</v>
      </c>
      <c r="B824" s="11">
        <v>3</v>
      </c>
      <c r="C824" s="36">
        <v>1</v>
      </c>
      <c r="D824" s="10">
        <f t="shared" si="37"/>
        <v>4</v>
      </c>
      <c r="E824" s="66">
        <v>45986</v>
      </c>
    </row>
    <row r="825" spans="1:5" x14ac:dyDescent="0.15">
      <c r="A825" s="6" t="s">
        <v>10</v>
      </c>
      <c r="B825" s="11">
        <v>2</v>
      </c>
      <c r="C825" s="36"/>
      <c r="D825" s="10">
        <f t="shared" si="37"/>
        <v>2</v>
      </c>
      <c r="E825" s="66">
        <v>45988</v>
      </c>
    </row>
    <row r="826" spans="1:5" x14ac:dyDescent="0.15">
      <c r="A826" s="6" t="s">
        <v>10</v>
      </c>
      <c r="B826" s="11">
        <v>1</v>
      </c>
      <c r="C826" s="36"/>
      <c r="D826" s="10">
        <f t="shared" si="37"/>
        <v>1</v>
      </c>
      <c r="E826" s="66">
        <v>45992</v>
      </c>
    </row>
    <row r="827" spans="1:5" x14ac:dyDescent="0.15">
      <c r="A827" s="6" t="s">
        <v>10</v>
      </c>
      <c r="B827" s="11">
        <v>1</v>
      </c>
      <c r="C827" s="36"/>
      <c r="D827" s="10">
        <f t="shared" si="37"/>
        <v>1</v>
      </c>
      <c r="E827" s="66">
        <v>45999</v>
      </c>
    </row>
    <row r="828" spans="1:5" x14ac:dyDescent="0.15">
      <c r="A828" s="6" t="s">
        <v>10</v>
      </c>
      <c r="B828" s="11">
        <v>1</v>
      </c>
      <c r="C828" s="36"/>
      <c r="D828" s="10">
        <f t="shared" si="37"/>
        <v>1</v>
      </c>
      <c r="E828" s="66">
        <v>46013</v>
      </c>
    </row>
    <row r="829" spans="1:5" x14ac:dyDescent="0.15">
      <c r="A829" s="6" t="s">
        <v>10</v>
      </c>
      <c r="B829" s="11">
        <v>3</v>
      </c>
      <c r="C829" s="36"/>
      <c r="D829" s="10">
        <f t="shared" si="37"/>
        <v>3</v>
      </c>
      <c r="E829" s="66">
        <v>46027</v>
      </c>
    </row>
    <row r="830" spans="1:5" x14ac:dyDescent="0.15">
      <c r="A830" s="6" t="s">
        <v>10</v>
      </c>
      <c r="B830" s="11">
        <v>1</v>
      </c>
      <c r="C830" s="36"/>
      <c r="D830" s="10">
        <f t="shared" si="37"/>
        <v>1</v>
      </c>
      <c r="E830" s="66">
        <v>46028</v>
      </c>
    </row>
    <row r="831" spans="1:5" x14ac:dyDescent="0.15">
      <c r="A831" s="6" t="s">
        <v>10</v>
      </c>
      <c r="B831" s="11">
        <v>2</v>
      </c>
      <c r="C831" s="36">
        <v>1</v>
      </c>
      <c r="D831" s="10">
        <f t="shared" si="37"/>
        <v>3</v>
      </c>
      <c r="E831" s="66">
        <v>46045</v>
      </c>
    </row>
    <row r="832" spans="1:5" x14ac:dyDescent="0.15">
      <c r="A832" s="6" t="s">
        <v>67</v>
      </c>
      <c r="B832" s="11">
        <v>1</v>
      </c>
      <c r="C832" s="36"/>
      <c r="D832" s="10">
        <f t="shared" si="37"/>
        <v>1</v>
      </c>
      <c r="E832" s="66">
        <v>46045</v>
      </c>
    </row>
    <row r="833" spans="1:6" x14ac:dyDescent="0.15">
      <c r="A833" s="6" t="s">
        <v>68</v>
      </c>
      <c r="B833" s="11">
        <v>1</v>
      </c>
      <c r="C833" s="36"/>
      <c r="D833" s="10">
        <f t="shared" si="37"/>
        <v>1</v>
      </c>
      <c r="E833" s="66">
        <v>46048</v>
      </c>
    </row>
    <row r="834" spans="1:6" x14ac:dyDescent="0.15">
      <c r="A834" s="6" t="s">
        <v>68</v>
      </c>
      <c r="B834" s="11">
        <v>1</v>
      </c>
      <c r="C834" s="36"/>
      <c r="D834" s="10">
        <f t="shared" si="37"/>
        <v>1</v>
      </c>
      <c r="E834" s="66">
        <v>46055</v>
      </c>
    </row>
    <row r="835" spans="1:6" x14ac:dyDescent="0.15">
      <c r="A835" s="6" t="s">
        <v>68</v>
      </c>
      <c r="B835" s="11">
        <v>1</v>
      </c>
      <c r="C835" s="36"/>
      <c r="D835" s="10">
        <f t="shared" si="37"/>
        <v>1</v>
      </c>
      <c r="E835" s="66">
        <v>46058</v>
      </c>
    </row>
    <row r="836" spans="1:6" x14ac:dyDescent="0.15">
      <c r="A836" s="6" t="s">
        <v>68</v>
      </c>
      <c r="B836" s="11">
        <v>2</v>
      </c>
      <c r="C836" s="36"/>
      <c r="D836" s="10">
        <f t="shared" si="37"/>
        <v>2</v>
      </c>
      <c r="E836" s="66">
        <v>46059</v>
      </c>
    </row>
    <row r="837" spans="1:6" ht="14.25" thickBot="1" x14ac:dyDescent="0.2">
      <c r="A837" s="6" t="s">
        <v>68</v>
      </c>
      <c r="B837" s="11"/>
      <c r="C837" s="36">
        <v>3</v>
      </c>
      <c r="D837" s="10">
        <f t="shared" si="37"/>
        <v>3</v>
      </c>
      <c r="E837" s="66">
        <v>46062</v>
      </c>
    </row>
    <row r="838" spans="1:6" ht="14.25" thickBot="1" x14ac:dyDescent="0.2">
      <c r="A838" s="5" t="s">
        <v>5</v>
      </c>
      <c r="B838" s="13">
        <f>SUM(B814:B837)</f>
        <v>31</v>
      </c>
      <c r="C838" s="13">
        <f>SUM(C814:C837)</f>
        <v>15</v>
      </c>
      <c r="D838" s="14">
        <f t="shared" si="37"/>
        <v>46</v>
      </c>
    </row>
    <row r="839" spans="1:6" ht="14.25" thickBot="1" x14ac:dyDescent="0.2">
      <c r="A839" s="21" t="s">
        <v>6</v>
      </c>
      <c r="B839" s="22">
        <f>B813-B838</f>
        <v>4</v>
      </c>
      <c r="C839" s="22">
        <f>C813-C838</f>
        <v>5</v>
      </c>
      <c r="D839" s="20">
        <f>D813-D838</f>
        <v>9</v>
      </c>
    </row>
    <row r="841" spans="1:6" x14ac:dyDescent="0.15">
      <c r="D841" t="s">
        <v>64</v>
      </c>
    </row>
    <row r="842" spans="1:6" ht="19.5" thickBot="1" x14ac:dyDescent="0.25">
      <c r="A842" s="2" t="s">
        <v>51</v>
      </c>
      <c r="B842" s="3"/>
      <c r="C842" s="3"/>
      <c r="D842" s="3"/>
    </row>
    <row r="843" spans="1:6" ht="14.25" thickBot="1" x14ac:dyDescent="0.2">
      <c r="A843" s="4" t="s">
        <v>1</v>
      </c>
      <c r="B843" s="5" t="s">
        <v>25</v>
      </c>
      <c r="C843" s="4" t="s">
        <v>26</v>
      </c>
      <c r="D843" s="4" t="s">
        <v>2</v>
      </c>
    </row>
    <row r="844" spans="1:6" ht="14.25" thickBot="1" x14ac:dyDescent="0.2">
      <c r="A844" s="4" t="s">
        <v>6</v>
      </c>
      <c r="B844" s="45">
        <f>B839</f>
        <v>4</v>
      </c>
      <c r="C844" s="46">
        <f>C839</f>
        <v>5</v>
      </c>
      <c r="D844" s="14">
        <f t="shared" ref="D844:D880" si="38">SUM(B844:C844)</f>
        <v>9</v>
      </c>
    </row>
    <row r="845" spans="1:6" x14ac:dyDescent="0.15">
      <c r="A845" s="8" t="s">
        <v>3</v>
      </c>
      <c r="B845" s="15">
        <v>10</v>
      </c>
      <c r="C845" s="12">
        <v>5</v>
      </c>
      <c r="D845" s="7">
        <f t="shared" ref="D845:D848" si="39">SUM(B845:C845)</f>
        <v>15</v>
      </c>
      <c r="E845" s="26">
        <v>46069</v>
      </c>
    </row>
    <row r="846" spans="1:6" x14ac:dyDescent="0.15">
      <c r="A846" s="8" t="s">
        <v>43</v>
      </c>
      <c r="B846" s="15">
        <v>0</v>
      </c>
      <c r="C846" s="12">
        <v>0</v>
      </c>
      <c r="D846" s="7">
        <f t="shared" si="39"/>
        <v>0</v>
      </c>
      <c r="E846" s="66">
        <v>46071</v>
      </c>
    </row>
    <row r="847" spans="1:6" x14ac:dyDescent="0.15">
      <c r="A847" s="8" t="s">
        <v>3</v>
      </c>
      <c r="B847" s="15">
        <v>15</v>
      </c>
      <c r="C847" s="12">
        <v>5</v>
      </c>
      <c r="D847" s="7">
        <f t="shared" si="39"/>
        <v>20</v>
      </c>
      <c r="E847" s="26">
        <v>46120</v>
      </c>
    </row>
    <row r="848" spans="1:6" x14ac:dyDescent="0.15">
      <c r="A848" s="8" t="s">
        <v>3</v>
      </c>
      <c r="B848" s="15">
        <v>5</v>
      </c>
      <c r="C848" s="12">
        <v>5</v>
      </c>
      <c r="D848" s="7">
        <f t="shared" si="39"/>
        <v>10</v>
      </c>
      <c r="E848" s="26">
        <v>46149</v>
      </c>
      <c r="F848" s="28"/>
    </row>
    <row r="849" spans="1:5" x14ac:dyDescent="0.15">
      <c r="A849" s="8" t="s">
        <v>3</v>
      </c>
      <c r="B849" s="15">
        <v>10</v>
      </c>
      <c r="C849" s="12">
        <v>10</v>
      </c>
      <c r="D849" s="7">
        <f t="shared" si="38"/>
        <v>20</v>
      </c>
      <c r="E849" s="26">
        <v>46155</v>
      </c>
    </row>
    <row r="850" spans="1:5" x14ac:dyDescent="0.15">
      <c r="A850" s="8" t="s">
        <v>3</v>
      </c>
      <c r="B850" s="15"/>
      <c r="C850" s="12"/>
      <c r="D850" s="7">
        <f t="shared" si="38"/>
        <v>0</v>
      </c>
    </row>
    <row r="851" spans="1:5" x14ac:dyDescent="0.15">
      <c r="A851" s="8" t="s">
        <v>3</v>
      </c>
      <c r="B851" s="15"/>
      <c r="C851" s="12"/>
      <c r="D851" s="7">
        <f t="shared" si="38"/>
        <v>0</v>
      </c>
    </row>
    <row r="852" spans="1:5" x14ac:dyDescent="0.15">
      <c r="A852" s="8" t="s">
        <v>3</v>
      </c>
      <c r="B852" s="15"/>
      <c r="C852" s="12"/>
      <c r="D852" s="7">
        <f t="shared" si="38"/>
        <v>0</v>
      </c>
    </row>
    <row r="853" spans="1:5" x14ac:dyDescent="0.15">
      <c r="A853" s="8" t="s">
        <v>3</v>
      </c>
      <c r="B853" s="31"/>
      <c r="C853" s="40"/>
      <c r="D853" s="10">
        <f t="shared" si="38"/>
        <v>0</v>
      </c>
    </row>
    <row r="854" spans="1:5" ht="14.25" thickBot="1" x14ac:dyDescent="0.2">
      <c r="A854" s="8" t="s">
        <v>3</v>
      </c>
      <c r="B854" s="31"/>
      <c r="C854" s="40"/>
      <c r="D854" s="17">
        <f t="shared" si="38"/>
        <v>0</v>
      </c>
    </row>
    <row r="855" spans="1:5" ht="14.25" thickBot="1" x14ac:dyDescent="0.2">
      <c r="A855" s="18" t="s">
        <v>4</v>
      </c>
      <c r="B855" s="19">
        <f>SUM(B844:B854)</f>
        <v>44</v>
      </c>
      <c r="C855" s="19">
        <f>SUM(C844:C854)</f>
        <v>30</v>
      </c>
      <c r="D855" s="20">
        <f t="shared" si="38"/>
        <v>74</v>
      </c>
    </row>
    <row r="856" spans="1:5" x14ac:dyDescent="0.15">
      <c r="A856" s="6" t="s">
        <v>10</v>
      </c>
      <c r="B856" s="11">
        <v>1</v>
      </c>
      <c r="C856" s="36"/>
      <c r="D856" s="10">
        <f t="shared" si="38"/>
        <v>1</v>
      </c>
      <c r="E856" s="66">
        <v>46072</v>
      </c>
    </row>
    <row r="857" spans="1:5" x14ac:dyDescent="0.15">
      <c r="A857" s="6" t="s">
        <v>10</v>
      </c>
      <c r="B857" s="11">
        <v>1</v>
      </c>
      <c r="C857" s="36"/>
      <c r="D857" s="10">
        <f t="shared" si="38"/>
        <v>1</v>
      </c>
      <c r="E857" s="66">
        <v>46079</v>
      </c>
    </row>
    <row r="858" spans="1:5" x14ac:dyDescent="0.15">
      <c r="A858" s="6" t="s">
        <v>10</v>
      </c>
      <c r="B858" s="11"/>
      <c r="C858" s="36">
        <v>1</v>
      </c>
      <c r="D858" s="10">
        <f t="shared" si="38"/>
        <v>1</v>
      </c>
      <c r="E858" s="66">
        <v>46083</v>
      </c>
    </row>
    <row r="859" spans="1:5" x14ac:dyDescent="0.15">
      <c r="A859" s="6" t="s">
        <v>10</v>
      </c>
      <c r="B859" s="11">
        <v>2</v>
      </c>
      <c r="C859" s="36"/>
      <c r="D859" s="10">
        <f t="shared" si="38"/>
        <v>2</v>
      </c>
      <c r="E859" s="66">
        <v>46090</v>
      </c>
    </row>
    <row r="860" spans="1:5" x14ac:dyDescent="0.15">
      <c r="A860" s="6" t="s">
        <v>10</v>
      </c>
      <c r="B860" s="11">
        <v>1</v>
      </c>
      <c r="C860" s="36"/>
      <c r="D860" s="10">
        <f t="shared" si="38"/>
        <v>1</v>
      </c>
      <c r="E860" s="66">
        <v>46091</v>
      </c>
    </row>
    <row r="861" spans="1:5" x14ac:dyDescent="0.15">
      <c r="A861" s="6" t="s">
        <v>10</v>
      </c>
      <c r="B861" s="11">
        <v>1</v>
      </c>
      <c r="C861" s="36"/>
      <c r="D861" s="10">
        <f t="shared" si="38"/>
        <v>1</v>
      </c>
      <c r="E861" s="66">
        <v>46092</v>
      </c>
    </row>
    <row r="862" spans="1:5" x14ac:dyDescent="0.15">
      <c r="A862" s="6" t="s">
        <v>10</v>
      </c>
      <c r="B862" s="11"/>
      <c r="C862" s="36">
        <v>1</v>
      </c>
      <c r="D862" s="10">
        <f t="shared" si="38"/>
        <v>1</v>
      </c>
      <c r="E862" s="66">
        <v>46093</v>
      </c>
    </row>
    <row r="863" spans="1:5" x14ac:dyDescent="0.15">
      <c r="A863" s="6" t="s">
        <v>10</v>
      </c>
      <c r="B863" s="11">
        <v>5</v>
      </c>
      <c r="C863" s="36">
        <v>2</v>
      </c>
      <c r="D863" s="10">
        <f t="shared" si="38"/>
        <v>7</v>
      </c>
      <c r="E863" s="66">
        <v>46104</v>
      </c>
    </row>
    <row r="864" spans="1:5" x14ac:dyDescent="0.15">
      <c r="A864" s="6" t="s">
        <v>10</v>
      </c>
      <c r="B864" s="11">
        <v>1</v>
      </c>
      <c r="C864" s="36"/>
      <c r="D864" s="10">
        <f>SUM(B864:C864)</f>
        <v>1</v>
      </c>
      <c r="E864" s="66">
        <v>46112</v>
      </c>
    </row>
    <row r="865" spans="1:5" x14ac:dyDescent="0.15">
      <c r="A865" s="6" t="s">
        <v>10</v>
      </c>
      <c r="B865" s="11"/>
      <c r="C865" s="36">
        <v>1</v>
      </c>
      <c r="D865" s="10">
        <f t="shared" si="38"/>
        <v>1</v>
      </c>
      <c r="E865" s="66">
        <v>46113</v>
      </c>
    </row>
    <row r="866" spans="1:5" x14ac:dyDescent="0.15">
      <c r="A866" s="6" t="s">
        <v>10</v>
      </c>
      <c r="B866" s="11"/>
      <c r="C866" s="36">
        <v>2</v>
      </c>
      <c r="D866" s="10">
        <f t="shared" si="38"/>
        <v>2</v>
      </c>
      <c r="E866" s="66">
        <v>46119</v>
      </c>
    </row>
    <row r="867" spans="1:5" x14ac:dyDescent="0.15">
      <c r="A867" s="6" t="s">
        <v>10</v>
      </c>
      <c r="B867" s="11">
        <v>3</v>
      </c>
      <c r="C867" s="36"/>
      <c r="D867" s="10">
        <f t="shared" si="38"/>
        <v>3</v>
      </c>
      <c r="E867" s="66">
        <v>46120</v>
      </c>
    </row>
    <row r="868" spans="1:5" x14ac:dyDescent="0.15">
      <c r="A868" s="6" t="s">
        <v>10</v>
      </c>
      <c r="B868" s="11">
        <v>1</v>
      </c>
      <c r="C868" s="36">
        <v>1</v>
      </c>
      <c r="D868" s="10">
        <f t="shared" si="38"/>
        <v>2</v>
      </c>
      <c r="E868" s="66">
        <v>46125</v>
      </c>
    </row>
    <row r="869" spans="1:5" x14ac:dyDescent="0.15">
      <c r="A869" s="6" t="s">
        <v>10</v>
      </c>
      <c r="B869" s="11">
        <v>2</v>
      </c>
      <c r="C869" s="36">
        <v>1</v>
      </c>
      <c r="D869" s="10">
        <f t="shared" si="38"/>
        <v>3</v>
      </c>
      <c r="E869" s="66">
        <v>46132</v>
      </c>
    </row>
    <row r="870" spans="1:5" x14ac:dyDescent="0.15">
      <c r="A870" s="6" t="s">
        <v>10</v>
      </c>
      <c r="B870" s="11">
        <v>1</v>
      </c>
      <c r="C870" s="36"/>
      <c r="D870" s="10">
        <f t="shared" si="38"/>
        <v>1</v>
      </c>
      <c r="E870" s="66">
        <v>46135</v>
      </c>
    </row>
    <row r="871" spans="1:5" x14ac:dyDescent="0.15">
      <c r="A871" s="6" t="s">
        <v>10</v>
      </c>
      <c r="B871" s="11"/>
      <c r="C871" s="36">
        <v>3</v>
      </c>
      <c r="D871" s="10">
        <f t="shared" si="38"/>
        <v>3</v>
      </c>
      <c r="E871" s="66">
        <v>46139</v>
      </c>
    </row>
    <row r="872" spans="1:5" x14ac:dyDescent="0.15">
      <c r="A872" s="6" t="s">
        <v>10</v>
      </c>
      <c r="B872" s="11">
        <v>1</v>
      </c>
      <c r="C872" s="36">
        <v>1</v>
      </c>
      <c r="D872" s="10">
        <f t="shared" si="38"/>
        <v>2</v>
      </c>
      <c r="E872" s="66">
        <v>46142</v>
      </c>
    </row>
    <row r="873" spans="1:5" x14ac:dyDescent="0.15">
      <c r="A873" s="6" t="s">
        <v>10</v>
      </c>
      <c r="B873" s="11">
        <v>2</v>
      </c>
      <c r="C873" s="36">
        <v>2</v>
      </c>
      <c r="D873" s="10">
        <f t="shared" si="38"/>
        <v>4</v>
      </c>
      <c r="E873" s="66">
        <v>46143</v>
      </c>
    </row>
    <row r="874" spans="1:5" x14ac:dyDescent="0.15">
      <c r="A874" s="6" t="s">
        <v>10</v>
      </c>
      <c r="B874" s="11">
        <v>3</v>
      </c>
      <c r="C874" s="36">
        <v>2</v>
      </c>
      <c r="D874" s="10">
        <f t="shared" si="38"/>
        <v>5</v>
      </c>
      <c r="E874" s="66">
        <v>46149</v>
      </c>
    </row>
    <row r="875" spans="1:5" x14ac:dyDescent="0.15">
      <c r="A875" s="6" t="s">
        <v>10</v>
      </c>
      <c r="B875" s="11">
        <v>1</v>
      </c>
      <c r="C875" s="36">
        <v>1</v>
      </c>
      <c r="D875" s="10">
        <f t="shared" si="38"/>
        <v>2</v>
      </c>
      <c r="E875" s="66">
        <v>46150</v>
      </c>
    </row>
    <row r="876" spans="1:5" x14ac:dyDescent="0.15">
      <c r="A876" s="6" t="s">
        <v>10</v>
      </c>
      <c r="B876" s="11">
        <v>1</v>
      </c>
      <c r="C876" s="36"/>
      <c r="D876" s="10">
        <f t="shared" si="38"/>
        <v>1</v>
      </c>
      <c r="E876" s="66">
        <v>46153</v>
      </c>
    </row>
    <row r="877" spans="1:5" x14ac:dyDescent="0.15">
      <c r="A877" s="6" t="s">
        <v>10</v>
      </c>
      <c r="B877" s="11">
        <v>1</v>
      </c>
      <c r="C877" s="36"/>
      <c r="D877" s="10">
        <f t="shared" si="38"/>
        <v>1</v>
      </c>
      <c r="E877" s="66">
        <v>46161</v>
      </c>
    </row>
    <row r="878" spans="1:5" x14ac:dyDescent="0.15">
      <c r="A878" s="6" t="s">
        <v>10</v>
      </c>
      <c r="B878" s="11"/>
      <c r="C878" s="36">
        <v>2</v>
      </c>
      <c r="D878" s="10">
        <f t="shared" si="38"/>
        <v>2</v>
      </c>
      <c r="E878" s="66">
        <v>46162</v>
      </c>
    </row>
    <row r="879" spans="1:5" ht="14.25" thickBot="1" x14ac:dyDescent="0.2">
      <c r="A879" s="6" t="s">
        <v>10</v>
      </c>
      <c r="B879" s="11">
        <v>2</v>
      </c>
      <c r="C879" s="36"/>
      <c r="D879" s="10">
        <f t="shared" si="38"/>
        <v>2</v>
      </c>
      <c r="E879" s="66">
        <v>46164</v>
      </c>
    </row>
    <row r="880" spans="1:5" ht="14.25" thickBot="1" x14ac:dyDescent="0.2">
      <c r="A880" s="5" t="s">
        <v>5</v>
      </c>
      <c r="B880" s="13">
        <f>SUM(B856:B879)</f>
        <v>30</v>
      </c>
      <c r="C880" s="13">
        <f>SUM(C856:C879)</f>
        <v>20</v>
      </c>
      <c r="D880" s="14">
        <f t="shared" si="38"/>
        <v>50</v>
      </c>
    </row>
    <row r="881" spans="1:4" ht="14.25" thickBot="1" x14ac:dyDescent="0.2">
      <c r="A881" s="21" t="s">
        <v>6</v>
      </c>
      <c r="B881" s="22">
        <f>B855-B880</f>
        <v>14</v>
      </c>
      <c r="C881" s="22">
        <f>C855-C880</f>
        <v>10</v>
      </c>
      <c r="D881" s="20">
        <f>D855-D880</f>
        <v>24</v>
      </c>
    </row>
    <row r="883" spans="1:4" x14ac:dyDescent="0.15">
      <c r="D883" t="s">
        <v>64</v>
      </c>
    </row>
    <row r="884" spans="1:4" ht="19.5" thickBot="1" x14ac:dyDescent="0.25">
      <c r="A884" s="2" t="s">
        <v>51</v>
      </c>
      <c r="B884" s="3"/>
      <c r="C884" s="3"/>
      <c r="D884" s="3"/>
    </row>
    <row r="885" spans="1:4" ht="14.25" thickBot="1" x14ac:dyDescent="0.2">
      <c r="A885" s="4" t="s">
        <v>1</v>
      </c>
      <c r="B885" s="5" t="s">
        <v>25</v>
      </c>
      <c r="C885" s="4" t="s">
        <v>26</v>
      </c>
      <c r="D885" s="4" t="s">
        <v>2</v>
      </c>
    </row>
    <row r="886" spans="1:4" ht="14.25" thickBot="1" x14ac:dyDescent="0.2">
      <c r="A886" s="4" t="s">
        <v>6</v>
      </c>
      <c r="B886" s="45">
        <f>B881</f>
        <v>14</v>
      </c>
      <c r="C886" s="46">
        <f>C881</f>
        <v>10</v>
      </c>
      <c r="D886" s="14">
        <f t="shared" ref="D886:D919" si="40">SUM(B886:C886)</f>
        <v>24</v>
      </c>
    </row>
    <row r="887" spans="1:4" x14ac:dyDescent="0.15">
      <c r="A887" s="8" t="s">
        <v>3</v>
      </c>
      <c r="B887" s="15"/>
      <c r="C887" s="12"/>
      <c r="D887" s="7">
        <f t="shared" ref="D887:D892" si="41">SUM(B887:C887)</f>
        <v>0</v>
      </c>
    </row>
    <row r="888" spans="1:4" x14ac:dyDescent="0.15">
      <c r="A888" s="8" t="s">
        <v>3</v>
      </c>
      <c r="B888" s="15"/>
      <c r="C888" s="12"/>
      <c r="D888" s="7">
        <f t="shared" si="41"/>
        <v>0</v>
      </c>
    </row>
    <row r="889" spans="1:4" x14ac:dyDescent="0.15">
      <c r="A889" s="8" t="s">
        <v>3</v>
      </c>
      <c r="B889" s="15"/>
      <c r="C889" s="12"/>
      <c r="D889" s="7">
        <f t="shared" si="41"/>
        <v>0</v>
      </c>
    </row>
    <row r="890" spans="1:4" x14ac:dyDescent="0.15">
      <c r="A890" s="8" t="s">
        <v>3</v>
      </c>
      <c r="B890" s="15"/>
      <c r="C890" s="12"/>
      <c r="D890" s="7">
        <f t="shared" si="41"/>
        <v>0</v>
      </c>
    </row>
    <row r="891" spans="1:4" x14ac:dyDescent="0.15">
      <c r="A891" s="8" t="s">
        <v>3</v>
      </c>
      <c r="B891" s="15"/>
      <c r="C891" s="12"/>
      <c r="D891" s="7">
        <f t="shared" si="41"/>
        <v>0</v>
      </c>
    </row>
    <row r="892" spans="1:4" x14ac:dyDescent="0.15">
      <c r="A892" s="8" t="s">
        <v>3</v>
      </c>
      <c r="B892" s="15"/>
      <c r="C892" s="12"/>
      <c r="D892" s="7">
        <f t="shared" si="41"/>
        <v>0</v>
      </c>
    </row>
    <row r="893" spans="1:4" x14ac:dyDescent="0.15">
      <c r="A893" s="8" t="s">
        <v>3</v>
      </c>
      <c r="B893" s="15"/>
      <c r="C893" s="12"/>
      <c r="D893" s="7">
        <f t="shared" si="40"/>
        <v>0</v>
      </c>
    </row>
    <row r="894" spans="1:4" x14ac:dyDescent="0.15">
      <c r="A894" s="8" t="s">
        <v>3</v>
      </c>
      <c r="B894" s="15"/>
      <c r="C894" s="12"/>
      <c r="D894" s="7">
        <f t="shared" si="40"/>
        <v>0</v>
      </c>
    </row>
    <row r="895" spans="1:4" x14ac:dyDescent="0.15">
      <c r="A895" s="8" t="s">
        <v>3</v>
      </c>
      <c r="B895" s="31"/>
      <c r="C895" s="40"/>
      <c r="D895" s="10">
        <f t="shared" si="40"/>
        <v>0</v>
      </c>
    </row>
    <row r="896" spans="1:4" ht="14.25" thickBot="1" x14ac:dyDescent="0.2">
      <c r="A896" s="8" t="s">
        <v>3</v>
      </c>
      <c r="B896" s="31"/>
      <c r="C896" s="40"/>
      <c r="D896" s="17">
        <f t="shared" si="40"/>
        <v>0</v>
      </c>
    </row>
    <row r="897" spans="1:5" ht="14.25" thickBot="1" x14ac:dyDescent="0.2">
      <c r="A897" s="18" t="s">
        <v>4</v>
      </c>
      <c r="B897" s="19">
        <f>SUM(B886:B896)</f>
        <v>14</v>
      </c>
      <c r="C897" s="19">
        <f>SUM(C886:C896)</f>
        <v>10</v>
      </c>
      <c r="D897" s="20">
        <f t="shared" si="40"/>
        <v>24</v>
      </c>
    </row>
    <row r="898" spans="1:5" x14ac:dyDescent="0.15">
      <c r="A898" s="6" t="s">
        <v>10</v>
      </c>
      <c r="B898" s="11">
        <v>1</v>
      </c>
      <c r="C898" s="36"/>
      <c r="D898" s="10">
        <f t="shared" si="40"/>
        <v>1</v>
      </c>
      <c r="E898" s="66">
        <v>46167</v>
      </c>
    </row>
    <row r="899" spans="1:5" x14ac:dyDescent="0.15">
      <c r="A899" s="6" t="s">
        <v>10</v>
      </c>
      <c r="B899" s="11">
        <v>1</v>
      </c>
      <c r="C899" s="36">
        <v>1</v>
      </c>
      <c r="D899" s="10">
        <f t="shared" si="40"/>
        <v>2</v>
      </c>
      <c r="E899" s="66">
        <v>46169</v>
      </c>
    </row>
    <row r="900" spans="1:5" x14ac:dyDescent="0.15">
      <c r="A900" s="6" t="s">
        <v>10</v>
      </c>
      <c r="B900" s="11">
        <v>1</v>
      </c>
      <c r="C900" s="36">
        <v>1</v>
      </c>
      <c r="D900" s="10">
        <f t="shared" si="40"/>
        <v>2</v>
      </c>
      <c r="E900" s="66">
        <v>46174</v>
      </c>
    </row>
    <row r="901" spans="1:5" x14ac:dyDescent="0.15">
      <c r="A901" s="6" t="s">
        <v>10</v>
      </c>
      <c r="B901" s="11">
        <v>1</v>
      </c>
      <c r="C901" s="36">
        <v>1</v>
      </c>
      <c r="D901" s="10">
        <f t="shared" si="40"/>
        <v>2</v>
      </c>
      <c r="E901" s="66">
        <v>46181</v>
      </c>
    </row>
    <row r="902" spans="1:5" x14ac:dyDescent="0.15">
      <c r="A902" s="6" t="s">
        <v>10</v>
      </c>
      <c r="B902" s="11">
        <v>1</v>
      </c>
      <c r="C902" s="36"/>
      <c r="D902" s="10">
        <f t="shared" si="40"/>
        <v>1</v>
      </c>
      <c r="E902" s="66">
        <v>46188</v>
      </c>
    </row>
    <row r="903" spans="1:5" x14ac:dyDescent="0.15">
      <c r="A903" s="6"/>
      <c r="B903" s="11"/>
      <c r="C903" s="36"/>
      <c r="D903" s="10">
        <f t="shared" si="40"/>
        <v>0</v>
      </c>
    </row>
    <row r="904" spans="1:5" x14ac:dyDescent="0.15">
      <c r="A904" s="6"/>
      <c r="B904" s="11"/>
      <c r="C904" s="36"/>
      <c r="D904" s="10">
        <f t="shared" si="40"/>
        <v>0</v>
      </c>
    </row>
    <row r="905" spans="1:5" x14ac:dyDescent="0.15">
      <c r="A905" s="6"/>
      <c r="B905" s="11"/>
      <c r="C905" s="36"/>
      <c r="D905" s="10">
        <f t="shared" si="40"/>
        <v>0</v>
      </c>
    </row>
    <row r="906" spans="1:5" x14ac:dyDescent="0.15">
      <c r="A906" s="6"/>
      <c r="B906" s="11"/>
      <c r="C906" s="36"/>
      <c r="D906" s="10">
        <f t="shared" si="40"/>
        <v>0</v>
      </c>
    </row>
    <row r="907" spans="1:5" x14ac:dyDescent="0.15">
      <c r="A907" s="6"/>
      <c r="B907" s="11"/>
      <c r="C907" s="36"/>
      <c r="D907" s="10">
        <f t="shared" si="40"/>
        <v>0</v>
      </c>
    </row>
    <row r="908" spans="1:5" x14ac:dyDescent="0.15">
      <c r="A908" s="6"/>
      <c r="B908" s="11"/>
      <c r="C908" s="36"/>
      <c r="D908" s="10">
        <f t="shared" si="40"/>
        <v>0</v>
      </c>
    </row>
    <row r="909" spans="1:5" x14ac:dyDescent="0.15">
      <c r="A909" s="6"/>
      <c r="B909" s="11"/>
      <c r="C909" s="36"/>
      <c r="D909" s="10">
        <f t="shared" si="40"/>
        <v>0</v>
      </c>
    </row>
    <row r="910" spans="1:5" x14ac:dyDescent="0.15">
      <c r="A910" s="6"/>
      <c r="B910" s="11"/>
      <c r="C910" s="36"/>
      <c r="D910" s="10">
        <f t="shared" si="40"/>
        <v>0</v>
      </c>
    </row>
    <row r="911" spans="1:5" x14ac:dyDescent="0.15">
      <c r="A911" s="6"/>
      <c r="B911" s="11"/>
      <c r="C911" s="36"/>
      <c r="D911" s="10">
        <f t="shared" si="40"/>
        <v>0</v>
      </c>
    </row>
    <row r="912" spans="1:5" x14ac:dyDescent="0.15">
      <c r="A912" s="6"/>
      <c r="B912" s="11"/>
      <c r="C912" s="36"/>
      <c r="D912" s="10">
        <f t="shared" si="40"/>
        <v>0</v>
      </c>
    </row>
    <row r="913" spans="1:4" x14ac:dyDescent="0.15">
      <c r="A913" s="6"/>
      <c r="B913" s="11"/>
      <c r="C913" s="36"/>
      <c r="D913" s="10">
        <f t="shared" si="40"/>
        <v>0</v>
      </c>
    </row>
    <row r="914" spans="1:4" x14ac:dyDescent="0.15">
      <c r="A914" s="6"/>
      <c r="B914" s="11"/>
      <c r="C914" s="36"/>
      <c r="D914" s="10">
        <f t="shared" si="40"/>
        <v>0</v>
      </c>
    </row>
    <row r="915" spans="1:4" x14ac:dyDescent="0.15">
      <c r="A915" s="6"/>
      <c r="B915" s="11"/>
      <c r="C915" s="36"/>
      <c r="D915" s="10">
        <f t="shared" si="40"/>
        <v>0</v>
      </c>
    </row>
    <row r="916" spans="1:4" x14ac:dyDescent="0.15">
      <c r="A916" s="6"/>
      <c r="B916" s="11"/>
      <c r="C916" s="36"/>
      <c r="D916" s="10">
        <f t="shared" si="40"/>
        <v>0</v>
      </c>
    </row>
    <row r="917" spans="1:4" x14ac:dyDescent="0.15">
      <c r="A917" s="6"/>
      <c r="B917" s="11"/>
      <c r="C917" s="36"/>
      <c r="D917" s="10">
        <f t="shared" si="40"/>
        <v>0</v>
      </c>
    </row>
    <row r="918" spans="1:4" x14ac:dyDescent="0.15">
      <c r="A918" s="6"/>
      <c r="B918" s="11"/>
      <c r="C918" s="36"/>
      <c r="D918" s="10">
        <f t="shared" si="40"/>
        <v>0</v>
      </c>
    </row>
    <row r="919" spans="1:4" x14ac:dyDescent="0.15">
      <c r="A919" s="6"/>
      <c r="B919" s="11"/>
      <c r="C919" s="36"/>
      <c r="D919" s="10">
        <f t="shared" si="40"/>
        <v>0</v>
      </c>
    </row>
    <row r="920" spans="1:4" x14ac:dyDescent="0.15">
      <c r="A920" s="6"/>
      <c r="B920" s="11"/>
      <c r="C920" s="36"/>
      <c r="D920" s="10">
        <f t="shared" ref="D920:D922" si="42">SUM(B920:C920)</f>
        <v>0</v>
      </c>
    </row>
    <row r="921" spans="1:4" ht="14.25" thickBot="1" x14ac:dyDescent="0.2">
      <c r="A921" s="6"/>
      <c r="B921" s="11"/>
      <c r="C921" s="36"/>
      <c r="D921" s="10">
        <f t="shared" si="42"/>
        <v>0</v>
      </c>
    </row>
    <row r="922" spans="1:4" ht="14.25" thickBot="1" x14ac:dyDescent="0.2">
      <c r="A922" s="5" t="s">
        <v>5</v>
      </c>
      <c r="B922" s="13">
        <f>SUM(B898:B921)</f>
        <v>5</v>
      </c>
      <c r="C922" s="13">
        <f>SUM(C898:C921)</f>
        <v>3</v>
      </c>
      <c r="D922" s="14">
        <f t="shared" si="42"/>
        <v>8</v>
      </c>
    </row>
    <row r="923" spans="1:4" ht="14.25" thickBot="1" x14ac:dyDescent="0.2">
      <c r="A923" s="21" t="s">
        <v>6</v>
      </c>
      <c r="B923" s="22">
        <f>B897-B922</f>
        <v>9</v>
      </c>
      <c r="C923" s="22">
        <f>C897-C922</f>
        <v>7</v>
      </c>
      <c r="D923" s="20">
        <f>D897-D922</f>
        <v>16</v>
      </c>
    </row>
  </sheetData>
  <phoneticPr fontId="9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F85"/>
  <sheetViews>
    <sheetView workbookViewId="0">
      <selection activeCell="K43" sqref="K43"/>
    </sheetView>
  </sheetViews>
  <sheetFormatPr defaultRowHeight="13.5" x14ac:dyDescent="0.15"/>
  <cols>
    <col min="1" max="1" width="20" customWidth="1"/>
    <col min="2" max="2" width="12.5" customWidth="1"/>
    <col min="3" max="3" width="9" customWidth="1"/>
    <col min="4" max="4" width="10.25" bestFit="1" customWidth="1"/>
  </cols>
  <sheetData>
    <row r="1" spans="1:5" ht="21.75" customHeight="1" x14ac:dyDescent="0.15">
      <c r="A1" s="32"/>
      <c r="C1">
        <v>2430</v>
      </c>
    </row>
    <row r="2" spans="1:5" ht="19.5" thickBot="1" x14ac:dyDescent="0.25">
      <c r="A2" s="2" t="s">
        <v>28</v>
      </c>
      <c r="B2" s="3"/>
      <c r="C2" s="3"/>
      <c r="D2" s="1"/>
    </row>
    <row r="3" spans="1:5" ht="14.25" thickBot="1" x14ac:dyDescent="0.2">
      <c r="A3" s="4" t="s">
        <v>0</v>
      </c>
      <c r="B3" s="70" t="s">
        <v>25</v>
      </c>
      <c r="C3" s="71"/>
      <c r="D3" s="1"/>
    </row>
    <row r="4" spans="1:5" ht="14.25" thickBot="1" x14ac:dyDescent="0.2">
      <c r="A4" s="4" t="s">
        <v>1</v>
      </c>
      <c r="B4" s="5" t="s">
        <v>9</v>
      </c>
      <c r="C4" s="4" t="s">
        <v>2</v>
      </c>
      <c r="D4" s="1"/>
    </row>
    <row r="5" spans="1:5" x14ac:dyDescent="0.15">
      <c r="A5" s="8" t="s">
        <v>7</v>
      </c>
      <c r="B5" s="29">
        <v>1</v>
      </c>
      <c r="C5" s="7">
        <f t="shared" ref="C5:C41" si="0">SUM(B5:B5)</f>
        <v>1</v>
      </c>
      <c r="D5" s="26">
        <v>44441</v>
      </c>
    </row>
    <row r="6" spans="1:5" x14ac:dyDescent="0.15">
      <c r="A6" s="8" t="s">
        <v>3</v>
      </c>
      <c r="B6" s="29">
        <v>3</v>
      </c>
      <c r="C6" s="7">
        <f t="shared" si="0"/>
        <v>3</v>
      </c>
      <c r="D6" s="26">
        <v>44449</v>
      </c>
    </row>
    <row r="7" spans="1:5" x14ac:dyDescent="0.15">
      <c r="A7" s="8" t="s">
        <v>3</v>
      </c>
      <c r="B7" s="15">
        <v>3</v>
      </c>
      <c r="C7" s="7">
        <f t="shared" si="0"/>
        <v>3</v>
      </c>
      <c r="D7" s="23">
        <v>44467</v>
      </c>
      <c r="E7" s="28"/>
    </row>
    <row r="8" spans="1:5" x14ac:dyDescent="0.15">
      <c r="A8" s="8" t="s">
        <v>3</v>
      </c>
      <c r="B8" s="15">
        <v>2</v>
      </c>
      <c r="C8" s="7">
        <f t="shared" si="0"/>
        <v>2</v>
      </c>
      <c r="D8" s="23">
        <v>44475</v>
      </c>
    </row>
    <row r="9" spans="1:5" x14ac:dyDescent="0.15">
      <c r="A9" s="8" t="s">
        <v>3</v>
      </c>
      <c r="B9" s="15">
        <v>5</v>
      </c>
      <c r="C9" s="7">
        <f t="shared" si="0"/>
        <v>5</v>
      </c>
      <c r="D9" s="23">
        <v>44509</v>
      </c>
    </row>
    <row r="10" spans="1:5" x14ac:dyDescent="0.15">
      <c r="A10" s="8" t="s">
        <v>3</v>
      </c>
      <c r="B10" s="15">
        <v>3</v>
      </c>
      <c r="C10" s="7">
        <f t="shared" si="0"/>
        <v>3</v>
      </c>
      <c r="D10" s="23">
        <v>44524</v>
      </c>
    </row>
    <row r="11" spans="1:5" x14ac:dyDescent="0.15">
      <c r="A11" s="8" t="s">
        <v>3</v>
      </c>
      <c r="B11" s="29">
        <v>10</v>
      </c>
      <c r="C11" s="10">
        <f t="shared" si="0"/>
        <v>10</v>
      </c>
      <c r="D11" s="26">
        <v>44532</v>
      </c>
    </row>
    <row r="12" spans="1:5" x14ac:dyDescent="0.15">
      <c r="A12" s="55" t="s">
        <v>48</v>
      </c>
      <c r="B12" s="65">
        <v>0</v>
      </c>
      <c r="C12" s="59">
        <f t="shared" si="0"/>
        <v>0</v>
      </c>
      <c r="D12" s="60">
        <v>44798</v>
      </c>
    </row>
    <row r="13" spans="1:5" x14ac:dyDescent="0.15">
      <c r="A13" s="8" t="s">
        <v>3</v>
      </c>
      <c r="B13" s="30"/>
      <c r="C13" s="7">
        <f t="shared" si="0"/>
        <v>0</v>
      </c>
      <c r="D13" s="23"/>
    </row>
    <row r="14" spans="1:5" x14ac:dyDescent="0.15">
      <c r="A14" s="8" t="s">
        <v>3</v>
      </c>
      <c r="B14" s="30"/>
      <c r="C14" s="7">
        <f t="shared" si="0"/>
        <v>0</v>
      </c>
      <c r="D14" s="25"/>
    </row>
    <row r="15" spans="1:5" ht="14.25" thickBot="1" x14ac:dyDescent="0.2">
      <c r="A15" s="9" t="s">
        <v>3</v>
      </c>
      <c r="B15" s="31"/>
      <c r="C15" s="17">
        <f t="shared" si="0"/>
        <v>0</v>
      </c>
      <c r="D15" s="23"/>
    </row>
    <row r="16" spans="1:5" ht="14.25" thickBot="1" x14ac:dyDescent="0.2">
      <c r="A16" s="18" t="s">
        <v>4</v>
      </c>
      <c r="B16" s="19">
        <f>SUM(B5:B15)</f>
        <v>27</v>
      </c>
      <c r="C16" s="20">
        <f t="shared" si="0"/>
        <v>27</v>
      </c>
      <c r="D16" s="1"/>
    </row>
    <row r="17" spans="1:4" x14ac:dyDescent="0.15">
      <c r="A17" s="6" t="s">
        <v>10</v>
      </c>
      <c r="B17" s="11">
        <v>1</v>
      </c>
      <c r="C17" s="7">
        <f t="shared" si="0"/>
        <v>1</v>
      </c>
      <c r="D17" s="23">
        <v>44445</v>
      </c>
    </row>
    <row r="18" spans="1:4" x14ac:dyDescent="0.15">
      <c r="A18" s="6" t="s">
        <v>20</v>
      </c>
      <c r="B18" s="11">
        <v>1</v>
      </c>
      <c r="C18" s="7">
        <f t="shared" si="0"/>
        <v>1</v>
      </c>
      <c r="D18" s="23">
        <v>44449</v>
      </c>
    </row>
    <row r="19" spans="1:4" x14ac:dyDescent="0.15">
      <c r="A19" s="6" t="s">
        <v>10</v>
      </c>
      <c r="B19" s="11">
        <v>1</v>
      </c>
      <c r="C19" s="7">
        <f t="shared" si="0"/>
        <v>1</v>
      </c>
      <c r="D19" s="23">
        <v>44463</v>
      </c>
    </row>
    <row r="20" spans="1:4" x14ac:dyDescent="0.15">
      <c r="A20" s="6" t="s">
        <v>10</v>
      </c>
      <c r="B20" s="11">
        <v>2</v>
      </c>
      <c r="C20" s="7">
        <f t="shared" si="0"/>
        <v>2</v>
      </c>
      <c r="D20" s="23">
        <v>44467</v>
      </c>
    </row>
    <row r="21" spans="1:4" x14ac:dyDescent="0.15">
      <c r="A21" s="6" t="s">
        <v>10</v>
      </c>
      <c r="B21" s="11">
        <v>1</v>
      </c>
      <c r="C21" s="7">
        <f t="shared" si="0"/>
        <v>1</v>
      </c>
      <c r="D21" s="23">
        <v>44471</v>
      </c>
    </row>
    <row r="22" spans="1:4" x14ac:dyDescent="0.15">
      <c r="A22" s="6" t="s">
        <v>10</v>
      </c>
      <c r="B22" s="11">
        <v>1</v>
      </c>
      <c r="C22" s="10">
        <f t="shared" si="0"/>
        <v>1</v>
      </c>
      <c r="D22" s="23">
        <v>44494</v>
      </c>
    </row>
    <row r="23" spans="1:4" x14ac:dyDescent="0.15">
      <c r="A23" s="6" t="s">
        <v>10</v>
      </c>
      <c r="B23" s="11">
        <v>1</v>
      </c>
      <c r="C23" s="10">
        <f t="shared" si="0"/>
        <v>1</v>
      </c>
      <c r="D23" s="23">
        <v>44495</v>
      </c>
    </row>
    <row r="24" spans="1:4" x14ac:dyDescent="0.15">
      <c r="A24" s="6" t="s">
        <v>10</v>
      </c>
      <c r="B24" s="11">
        <v>1</v>
      </c>
      <c r="C24" s="10">
        <f t="shared" si="0"/>
        <v>1</v>
      </c>
      <c r="D24" s="23">
        <v>44504</v>
      </c>
    </row>
    <row r="25" spans="1:4" x14ac:dyDescent="0.15">
      <c r="A25" s="6" t="s">
        <v>10</v>
      </c>
      <c r="B25" s="11">
        <v>2</v>
      </c>
      <c r="C25" s="10">
        <f t="shared" si="0"/>
        <v>2</v>
      </c>
      <c r="D25" s="23">
        <v>44509</v>
      </c>
    </row>
    <row r="26" spans="1:4" x14ac:dyDescent="0.15">
      <c r="A26" s="6" t="s">
        <v>10</v>
      </c>
      <c r="B26" s="11">
        <v>1</v>
      </c>
      <c r="C26" s="10">
        <f t="shared" si="0"/>
        <v>1</v>
      </c>
      <c r="D26" s="23">
        <v>44511</v>
      </c>
    </row>
    <row r="27" spans="1:4" x14ac:dyDescent="0.15">
      <c r="A27" s="6" t="s">
        <v>10</v>
      </c>
      <c r="B27" s="11">
        <v>1</v>
      </c>
      <c r="C27" s="10">
        <f t="shared" si="0"/>
        <v>1</v>
      </c>
      <c r="D27" s="23">
        <v>44520</v>
      </c>
    </row>
    <row r="28" spans="1:4" x14ac:dyDescent="0.15">
      <c r="A28" s="6" t="s">
        <v>10</v>
      </c>
      <c r="B28" s="11">
        <f>1+1</f>
        <v>2</v>
      </c>
      <c r="C28" s="10">
        <f t="shared" si="0"/>
        <v>2</v>
      </c>
      <c r="D28" s="23">
        <v>44524</v>
      </c>
    </row>
    <row r="29" spans="1:4" x14ac:dyDescent="0.15">
      <c r="A29" s="6" t="s">
        <v>10</v>
      </c>
      <c r="B29" s="11">
        <f>1+1</f>
        <v>2</v>
      </c>
      <c r="C29" s="10">
        <f t="shared" si="0"/>
        <v>2</v>
      </c>
      <c r="D29" s="23">
        <v>44529</v>
      </c>
    </row>
    <row r="30" spans="1:4" x14ac:dyDescent="0.15">
      <c r="A30" s="6" t="s">
        <v>10</v>
      </c>
      <c r="B30" s="11">
        <v>1</v>
      </c>
      <c r="C30" s="10">
        <f t="shared" si="0"/>
        <v>1</v>
      </c>
      <c r="D30" s="23">
        <v>44582</v>
      </c>
    </row>
    <row r="31" spans="1:4" x14ac:dyDescent="0.15">
      <c r="A31" s="6" t="s">
        <v>10</v>
      </c>
      <c r="B31" s="11">
        <v>1</v>
      </c>
      <c r="C31" s="10">
        <f t="shared" si="0"/>
        <v>1</v>
      </c>
      <c r="D31" s="23">
        <v>44586</v>
      </c>
    </row>
    <row r="32" spans="1:4" x14ac:dyDescent="0.15">
      <c r="A32" s="6" t="s">
        <v>10</v>
      </c>
      <c r="B32" s="11">
        <f>1+1</f>
        <v>2</v>
      </c>
      <c r="C32" s="10">
        <f t="shared" si="0"/>
        <v>2</v>
      </c>
      <c r="D32" s="23">
        <v>44636</v>
      </c>
    </row>
    <row r="33" spans="1:6" x14ac:dyDescent="0.15">
      <c r="A33" s="6" t="s">
        <v>10</v>
      </c>
      <c r="B33" s="11">
        <v>2</v>
      </c>
      <c r="C33" s="10">
        <f t="shared" si="0"/>
        <v>2</v>
      </c>
      <c r="D33" s="23">
        <v>44697</v>
      </c>
    </row>
    <row r="34" spans="1:6" x14ac:dyDescent="0.15">
      <c r="A34" s="6" t="s">
        <v>10</v>
      </c>
      <c r="B34" s="11">
        <v>1</v>
      </c>
      <c r="C34" s="10">
        <f t="shared" si="0"/>
        <v>1</v>
      </c>
      <c r="D34" s="23">
        <v>44714</v>
      </c>
    </row>
    <row r="35" spans="1:6" x14ac:dyDescent="0.15">
      <c r="A35" s="6" t="s">
        <v>10</v>
      </c>
      <c r="B35" s="11">
        <v>1</v>
      </c>
      <c r="C35" s="10">
        <f t="shared" si="0"/>
        <v>1</v>
      </c>
      <c r="D35" s="23">
        <v>44781</v>
      </c>
    </row>
    <row r="36" spans="1:6" x14ac:dyDescent="0.15">
      <c r="A36" s="6" t="s">
        <v>10</v>
      </c>
      <c r="B36" s="11">
        <v>1</v>
      </c>
      <c r="C36" s="10">
        <f t="shared" si="0"/>
        <v>1</v>
      </c>
      <c r="D36" s="23">
        <v>44795</v>
      </c>
    </row>
    <row r="37" spans="1:6" x14ac:dyDescent="0.15">
      <c r="A37" s="6" t="s">
        <v>10</v>
      </c>
      <c r="B37" s="11">
        <v>1</v>
      </c>
      <c r="C37" s="10">
        <f t="shared" si="0"/>
        <v>1</v>
      </c>
      <c r="D37" s="23">
        <v>44816</v>
      </c>
    </row>
    <row r="38" spans="1:6" x14ac:dyDescent="0.15">
      <c r="A38" s="27"/>
      <c r="B38" s="11"/>
      <c r="C38" s="10">
        <f t="shared" si="0"/>
        <v>0</v>
      </c>
      <c r="D38" s="23"/>
      <c r="E38" s="28"/>
      <c r="F38" s="28"/>
    </row>
    <row r="39" spans="1:6" x14ac:dyDescent="0.15">
      <c r="A39" s="12"/>
      <c r="B39" s="11"/>
      <c r="C39" s="10">
        <f t="shared" si="0"/>
        <v>0</v>
      </c>
      <c r="D39" s="23"/>
      <c r="E39" s="28"/>
    </row>
    <row r="40" spans="1:6" ht="14.25" thickBot="1" x14ac:dyDescent="0.2">
      <c r="A40" s="24"/>
      <c r="B40" s="11"/>
      <c r="C40" s="10">
        <f t="shared" si="0"/>
        <v>0</v>
      </c>
      <c r="D40" s="23"/>
      <c r="E40" s="28"/>
    </row>
    <row r="41" spans="1:6" ht="14.25" thickBot="1" x14ac:dyDescent="0.2">
      <c r="A41" s="5" t="s">
        <v>5</v>
      </c>
      <c r="B41" s="13">
        <f>SUM(B17:B40)</f>
        <v>27</v>
      </c>
      <c r="C41" s="14">
        <f t="shared" si="0"/>
        <v>27</v>
      </c>
      <c r="D41" s="1"/>
    </row>
    <row r="42" spans="1:6" ht="14.25" thickBot="1" x14ac:dyDescent="0.2">
      <c r="A42" s="21" t="s">
        <v>6</v>
      </c>
      <c r="B42" s="22">
        <f>B16-B41</f>
        <v>0</v>
      </c>
      <c r="C42" s="20">
        <f t="shared" ref="C42" si="1">C16-C41</f>
        <v>0</v>
      </c>
      <c r="D42" s="1"/>
    </row>
    <row r="44" spans="1:6" ht="21" x14ac:dyDescent="0.15">
      <c r="A44" s="32"/>
      <c r="C44">
        <v>2430</v>
      </c>
    </row>
    <row r="45" spans="1:6" ht="19.5" thickBot="1" x14ac:dyDescent="0.25">
      <c r="A45" s="2" t="s">
        <v>28</v>
      </c>
      <c r="B45" s="3"/>
      <c r="C45" s="3"/>
      <c r="D45" s="1"/>
    </row>
    <row r="46" spans="1:6" ht="14.25" thickBot="1" x14ac:dyDescent="0.2">
      <c r="A46" s="4" t="s">
        <v>0</v>
      </c>
      <c r="B46" s="70" t="s">
        <v>25</v>
      </c>
      <c r="C46" s="71"/>
      <c r="D46" s="1"/>
    </row>
    <row r="47" spans="1:6" ht="14.25" thickBot="1" x14ac:dyDescent="0.2">
      <c r="A47" s="4" t="s">
        <v>1</v>
      </c>
      <c r="B47" s="5" t="s">
        <v>9</v>
      </c>
      <c r="C47" s="4" t="s">
        <v>2</v>
      </c>
      <c r="D47" s="1"/>
    </row>
    <row r="48" spans="1:6" x14ac:dyDescent="0.15">
      <c r="A48" s="8" t="s">
        <v>6</v>
      </c>
      <c r="B48" s="16">
        <f>B42</f>
        <v>0</v>
      </c>
      <c r="C48" s="7">
        <f t="shared" ref="C48:C84" si="2">SUM(B48:B48)</f>
        <v>0</v>
      </c>
      <c r="D48" s="23"/>
    </row>
    <row r="49" spans="1:5" x14ac:dyDescent="0.15">
      <c r="A49" s="8" t="s">
        <v>3</v>
      </c>
      <c r="B49" s="15"/>
      <c r="C49" s="7">
        <f t="shared" si="2"/>
        <v>0</v>
      </c>
      <c r="D49" s="23"/>
    </row>
    <row r="50" spans="1:5" x14ac:dyDescent="0.15">
      <c r="A50" s="8" t="s">
        <v>3</v>
      </c>
      <c r="B50" s="15"/>
      <c r="C50" s="7">
        <f t="shared" si="2"/>
        <v>0</v>
      </c>
      <c r="D50" s="23"/>
      <c r="E50" s="28"/>
    </row>
    <row r="51" spans="1:5" x14ac:dyDescent="0.15">
      <c r="A51" s="8" t="s">
        <v>3</v>
      </c>
      <c r="B51" s="15"/>
      <c r="C51" s="7">
        <f t="shared" si="2"/>
        <v>0</v>
      </c>
      <c r="D51" s="23"/>
      <c r="E51" s="28"/>
    </row>
    <row r="52" spans="1:5" x14ac:dyDescent="0.15">
      <c r="A52" s="8" t="s">
        <v>3</v>
      </c>
      <c r="B52" s="15"/>
      <c r="C52" s="7">
        <f t="shared" si="2"/>
        <v>0</v>
      </c>
      <c r="D52" s="23"/>
      <c r="E52" s="28"/>
    </row>
    <row r="53" spans="1:5" x14ac:dyDescent="0.15">
      <c r="A53" s="8" t="s">
        <v>3</v>
      </c>
      <c r="B53" s="15"/>
      <c r="C53" s="7">
        <f t="shared" si="2"/>
        <v>0</v>
      </c>
      <c r="D53" s="23"/>
    </row>
    <row r="54" spans="1:5" x14ac:dyDescent="0.15">
      <c r="A54" s="8" t="s">
        <v>3</v>
      </c>
      <c r="B54" s="30"/>
      <c r="C54" s="7">
        <f t="shared" si="2"/>
        <v>0</v>
      </c>
      <c r="D54" s="23"/>
    </row>
    <row r="55" spans="1:5" x14ac:dyDescent="0.15">
      <c r="A55" s="8" t="s">
        <v>3</v>
      </c>
      <c r="B55" s="30"/>
      <c r="C55" s="7">
        <f t="shared" si="2"/>
        <v>0</v>
      </c>
      <c r="D55" s="23"/>
    </row>
    <row r="56" spans="1:5" x14ac:dyDescent="0.15">
      <c r="A56" s="8" t="s">
        <v>3</v>
      </c>
      <c r="B56" s="30"/>
      <c r="C56" s="7">
        <f t="shared" si="2"/>
        <v>0</v>
      </c>
      <c r="D56" s="23"/>
    </row>
    <row r="57" spans="1:5" x14ac:dyDescent="0.15">
      <c r="A57" s="8" t="s">
        <v>3</v>
      </c>
      <c r="B57" s="31"/>
      <c r="C57" s="10">
        <f t="shared" si="2"/>
        <v>0</v>
      </c>
      <c r="D57" s="23"/>
    </row>
    <row r="58" spans="1:5" ht="14.25" thickBot="1" x14ac:dyDescent="0.2">
      <c r="A58" s="8" t="s">
        <v>3</v>
      </c>
      <c r="B58" s="31"/>
      <c r="C58" s="17">
        <f t="shared" si="2"/>
        <v>0</v>
      </c>
      <c r="D58" s="23"/>
    </row>
    <row r="59" spans="1:5" ht="14.25" thickBot="1" x14ac:dyDescent="0.2">
      <c r="A59" s="18" t="s">
        <v>4</v>
      </c>
      <c r="B59" s="19">
        <f>SUM(B48:B58)</f>
        <v>0</v>
      </c>
      <c r="C59" s="20">
        <f t="shared" si="2"/>
        <v>0</v>
      </c>
      <c r="D59" s="1"/>
    </row>
    <row r="60" spans="1:5" x14ac:dyDescent="0.15">
      <c r="A60" s="6"/>
      <c r="B60" s="11"/>
      <c r="C60" s="7">
        <f t="shared" si="2"/>
        <v>0</v>
      </c>
      <c r="D60" s="23"/>
    </row>
    <row r="61" spans="1:5" x14ac:dyDescent="0.15">
      <c r="A61" s="6"/>
      <c r="B61" s="11"/>
      <c r="C61" s="7">
        <f t="shared" si="2"/>
        <v>0</v>
      </c>
      <c r="D61" s="23"/>
    </row>
    <row r="62" spans="1:5" x14ac:dyDescent="0.15">
      <c r="A62" s="6"/>
      <c r="B62" s="11"/>
      <c r="C62" s="7">
        <f t="shared" si="2"/>
        <v>0</v>
      </c>
      <c r="D62" s="23"/>
    </row>
    <row r="63" spans="1:5" x14ac:dyDescent="0.15">
      <c r="A63" s="6"/>
      <c r="B63" s="11"/>
      <c r="C63" s="7">
        <f t="shared" si="2"/>
        <v>0</v>
      </c>
      <c r="D63" s="23"/>
    </row>
    <row r="64" spans="1:5" x14ac:dyDescent="0.15">
      <c r="A64" s="6"/>
      <c r="B64" s="11"/>
      <c r="C64" s="7">
        <f t="shared" si="2"/>
        <v>0</v>
      </c>
      <c r="D64" s="23"/>
    </row>
    <row r="65" spans="1:4" x14ac:dyDescent="0.15">
      <c r="A65" s="33"/>
      <c r="B65" s="11"/>
      <c r="C65" s="10">
        <f t="shared" si="2"/>
        <v>0</v>
      </c>
      <c r="D65" s="23"/>
    </row>
    <row r="66" spans="1:4" x14ac:dyDescent="0.15">
      <c r="A66" s="6"/>
      <c r="B66" s="11"/>
      <c r="C66" s="10">
        <f t="shared" si="2"/>
        <v>0</v>
      </c>
      <c r="D66" s="23"/>
    </row>
    <row r="67" spans="1:4" x14ac:dyDescent="0.15">
      <c r="A67" s="6"/>
      <c r="B67" s="11"/>
      <c r="C67" s="10">
        <f t="shared" si="2"/>
        <v>0</v>
      </c>
      <c r="D67" s="23"/>
    </row>
    <row r="68" spans="1:4" x14ac:dyDescent="0.15">
      <c r="A68" s="33"/>
      <c r="B68" s="11"/>
      <c r="C68" s="10">
        <f t="shared" si="2"/>
        <v>0</v>
      </c>
      <c r="D68" s="23"/>
    </row>
    <row r="69" spans="1:4" x14ac:dyDescent="0.15">
      <c r="A69" s="6"/>
      <c r="B69" s="11"/>
      <c r="C69" s="10">
        <f t="shared" si="2"/>
        <v>0</v>
      </c>
      <c r="D69" s="23"/>
    </row>
    <row r="70" spans="1:4" x14ac:dyDescent="0.15">
      <c r="A70" s="6"/>
      <c r="B70" s="11"/>
      <c r="C70" s="10">
        <f t="shared" si="2"/>
        <v>0</v>
      </c>
      <c r="D70" s="23"/>
    </row>
    <row r="71" spans="1:4" x14ac:dyDescent="0.15">
      <c r="A71" s="6"/>
      <c r="B71" s="11"/>
      <c r="C71" s="10">
        <f t="shared" si="2"/>
        <v>0</v>
      </c>
      <c r="D71" s="23"/>
    </row>
    <row r="72" spans="1:4" x14ac:dyDescent="0.15">
      <c r="A72" s="6"/>
      <c r="B72" s="11"/>
      <c r="C72" s="10">
        <f t="shared" si="2"/>
        <v>0</v>
      </c>
      <c r="D72" s="23"/>
    </row>
    <row r="73" spans="1:4" x14ac:dyDescent="0.15">
      <c r="A73" s="6"/>
      <c r="B73" s="11"/>
      <c r="C73" s="10">
        <f t="shared" si="2"/>
        <v>0</v>
      </c>
      <c r="D73" s="23"/>
    </row>
    <row r="74" spans="1:4" x14ac:dyDescent="0.15">
      <c r="A74" s="6"/>
      <c r="B74" s="11"/>
      <c r="C74" s="10">
        <f t="shared" si="2"/>
        <v>0</v>
      </c>
      <c r="D74" s="23"/>
    </row>
    <row r="75" spans="1:4" x14ac:dyDescent="0.15">
      <c r="A75" s="33"/>
      <c r="B75" s="11"/>
      <c r="C75" s="10">
        <f t="shared" si="2"/>
        <v>0</v>
      </c>
      <c r="D75" s="23"/>
    </row>
    <row r="76" spans="1:4" x14ac:dyDescent="0.15">
      <c r="A76" s="6"/>
      <c r="B76" s="11"/>
      <c r="C76" s="10">
        <f t="shared" si="2"/>
        <v>0</v>
      </c>
      <c r="D76" s="23"/>
    </row>
    <row r="77" spans="1:4" x14ac:dyDescent="0.15">
      <c r="A77" s="6"/>
      <c r="B77" s="11"/>
      <c r="C77" s="10">
        <f t="shared" si="2"/>
        <v>0</v>
      </c>
      <c r="D77" s="23"/>
    </row>
    <row r="78" spans="1:4" x14ac:dyDescent="0.15">
      <c r="A78" s="6"/>
      <c r="B78" s="11"/>
      <c r="C78" s="10">
        <f t="shared" si="2"/>
        <v>0</v>
      </c>
      <c r="D78" s="23"/>
    </row>
    <row r="79" spans="1:4" x14ac:dyDescent="0.15">
      <c r="A79" s="6"/>
      <c r="B79" s="11"/>
      <c r="C79" s="10">
        <f t="shared" si="2"/>
        <v>0</v>
      </c>
      <c r="D79" s="23"/>
    </row>
    <row r="80" spans="1:4" x14ac:dyDescent="0.15">
      <c r="A80" s="6"/>
      <c r="B80" s="11"/>
      <c r="C80" s="10">
        <f t="shared" si="2"/>
        <v>0</v>
      </c>
      <c r="D80" s="23"/>
    </row>
    <row r="81" spans="1:4" x14ac:dyDescent="0.15">
      <c r="A81" s="6"/>
      <c r="B81" s="11"/>
      <c r="C81" s="10">
        <f t="shared" si="2"/>
        <v>0</v>
      </c>
      <c r="D81" s="25"/>
    </row>
    <row r="82" spans="1:4" x14ac:dyDescent="0.15">
      <c r="A82" s="6"/>
      <c r="B82" s="11"/>
      <c r="C82" s="10">
        <f t="shared" si="2"/>
        <v>0</v>
      </c>
      <c r="D82" s="23"/>
    </row>
    <row r="83" spans="1:4" ht="14.25" thickBot="1" x14ac:dyDescent="0.2">
      <c r="A83" s="6"/>
      <c r="B83" s="11"/>
      <c r="C83" s="10">
        <f t="shared" si="2"/>
        <v>0</v>
      </c>
      <c r="D83" s="23"/>
    </row>
    <row r="84" spans="1:4" ht="14.25" thickBot="1" x14ac:dyDescent="0.2">
      <c r="A84" s="5" t="s">
        <v>5</v>
      </c>
      <c r="B84" s="13">
        <f>SUM(B60:B83)</f>
        <v>0</v>
      </c>
      <c r="C84" s="14">
        <f t="shared" si="2"/>
        <v>0</v>
      </c>
      <c r="D84" s="1"/>
    </row>
    <row r="85" spans="1:4" ht="14.25" thickBot="1" x14ac:dyDescent="0.2">
      <c r="A85" s="21" t="s">
        <v>6</v>
      </c>
      <c r="B85" s="22">
        <f>B59-B84</f>
        <v>0</v>
      </c>
      <c r="C85" s="20">
        <f t="shared" ref="C85" si="3">C59-C84</f>
        <v>0</v>
      </c>
      <c r="D85" s="1"/>
    </row>
  </sheetData>
  <mergeCells count="2">
    <mergeCell ref="B3:C3"/>
    <mergeCell ref="B46:C46"/>
  </mergeCells>
  <phoneticPr fontId="9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G85"/>
  <sheetViews>
    <sheetView topLeftCell="A50" workbookViewId="0">
      <selection activeCell="E75" sqref="E75"/>
    </sheetView>
  </sheetViews>
  <sheetFormatPr defaultRowHeight="13.5" x14ac:dyDescent="0.15"/>
  <cols>
    <col min="1" max="1" width="16" customWidth="1"/>
    <col min="2" max="3" width="7.75" customWidth="1"/>
    <col min="4" max="4" width="9" customWidth="1"/>
    <col min="5" max="5" width="10.25" bestFit="1" customWidth="1"/>
  </cols>
  <sheetData>
    <row r="1" spans="1:6" ht="21.75" customHeight="1" x14ac:dyDescent="0.15">
      <c r="A1" s="32"/>
    </row>
    <row r="2" spans="1:6" ht="19.5" thickBot="1" x14ac:dyDescent="0.25">
      <c r="A2" s="2" t="s">
        <v>29</v>
      </c>
      <c r="B2" s="3"/>
      <c r="C2" s="3"/>
      <c r="D2" s="3"/>
      <c r="E2" s="1"/>
    </row>
    <row r="3" spans="1:6" ht="14.25" thickBot="1" x14ac:dyDescent="0.2">
      <c r="A3" s="4" t="s">
        <v>0</v>
      </c>
      <c r="B3" s="70" t="s">
        <v>8</v>
      </c>
      <c r="C3" s="70"/>
      <c r="D3" s="71"/>
      <c r="E3" s="1">
        <v>1620</v>
      </c>
    </row>
    <row r="4" spans="1:6" ht="14.25" thickBot="1" x14ac:dyDescent="0.2">
      <c r="A4" s="4" t="s">
        <v>1</v>
      </c>
      <c r="B4" s="5" t="s">
        <v>18</v>
      </c>
      <c r="C4" s="4" t="s">
        <v>17</v>
      </c>
      <c r="D4" s="4" t="s">
        <v>2</v>
      </c>
      <c r="E4" s="1"/>
    </row>
    <row r="5" spans="1:6" x14ac:dyDescent="0.15">
      <c r="A5" s="8" t="s">
        <v>7</v>
      </c>
      <c r="B5" s="29">
        <v>5</v>
      </c>
      <c r="C5" s="41">
        <v>2</v>
      </c>
      <c r="D5" s="7">
        <f t="shared" ref="D5:D41" si="0">SUM(B5:C5)</f>
        <v>7</v>
      </c>
      <c r="E5" s="26">
        <v>44449</v>
      </c>
    </row>
    <row r="6" spans="1:6" x14ac:dyDescent="0.15">
      <c r="A6" s="8" t="s">
        <v>3</v>
      </c>
      <c r="B6" s="29">
        <v>1</v>
      </c>
      <c r="C6" s="41"/>
      <c r="D6" s="7">
        <f t="shared" si="0"/>
        <v>1</v>
      </c>
      <c r="E6" s="26">
        <v>44489</v>
      </c>
    </row>
    <row r="7" spans="1:6" x14ac:dyDescent="0.15">
      <c r="A7" s="8" t="s">
        <v>3</v>
      </c>
      <c r="B7" s="15">
        <v>1</v>
      </c>
      <c r="C7" s="12"/>
      <c r="D7" s="7">
        <f t="shared" si="0"/>
        <v>1</v>
      </c>
      <c r="E7" s="23">
        <v>44509</v>
      </c>
      <c r="F7" s="28"/>
    </row>
    <row r="8" spans="1:6" x14ac:dyDescent="0.15">
      <c r="A8" s="8" t="s">
        <v>3</v>
      </c>
      <c r="B8" s="15">
        <v>5</v>
      </c>
      <c r="C8" s="12">
        <v>5</v>
      </c>
      <c r="D8" s="7">
        <f t="shared" si="0"/>
        <v>10</v>
      </c>
      <c r="E8" s="23">
        <v>44202</v>
      </c>
    </row>
    <row r="9" spans="1:6" x14ac:dyDescent="0.15">
      <c r="A9" s="8" t="s">
        <v>3</v>
      </c>
      <c r="B9" s="15">
        <v>0</v>
      </c>
      <c r="C9" s="12"/>
      <c r="D9" s="7">
        <f t="shared" si="0"/>
        <v>0</v>
      </c>
      <c r="E9" s="23">
        <v>44614</v>
      </c>
      <c r="F9" s="51"/>
    </row>
    <row r="10" spans="1:6" x14ac:dyDescent="0.15">
      <c r="A10" s="8" t="s">
        <v>3</v>
      </c>
      <c r="B10" s="15"/>
      <c r="C10" s="12">
        <v>5</v>
      </c>
      <c r="D10" s="7">
        <f t="shared" si="0"/>
        <v>5</v>
      </c>
      <c r="E10" s="23">
        <v>44630</v>
      </c>
    </row>
    <row r="11" spans="1:6" x14ac:dyDescent="0.15">
      <c r="A11" s="8" t="s">
        <v>3</v>
      </c>
      <c r="B11" s="29"/>
      <c r="C11" s="41"/>
      <c r="D11" s="10">
        <f t="shared" si="0"/>
        <v>0</v>
      </c>
      <c r="E11" s="28"/>
      <c r="F11" s="28"/>
    </row>
    <row r="12" spans="1:6" x14ac:dyDescent="0.15">
      <c r="A12" s="8" t="s">
        <v>3</v>
      </c>
      <c r="B12" s="30"/>
      <c r="C12" s="41"/>
      <c r="D12" s="7">
        <f t="shared" si="0"/>
        <v>0</v>
      </c>
      <c r="E12" s="23"/>
      <c r="F12" s="28"/>
    </row>
    <row r="13" spans="1:6" x14ac:dyDescent="0.15">
      <c r="A13" s="8" t="s">
        <v>3</v>
      </c>
      <c r="B13" s="30"/>
      <c r="C13" s="41"/>
      <c r="D13" s="7">
        <f t="shared" si="0"/>
        <v>0</v>
      </c>
      <c r="E13" s="23"/>
      <c r="F13" s="28"/>
    </row>
    <row r="14" spans="1:6" x14ac:dyDescent="0.15">
      <c r="A14" s="8" t="s">
        <v>3</v>
      </c>
      <c r="B14" s="30"/>
      <c r="C14" s="41"/>
      <c r="D14" s="7">
        <f t="shared" si="0"/>
        <v>0</v>
      </c>
      <c r="E14" s="25"/>
    </row>
    <row r="15" spans="1:6" ht="14.25" thickBot="1" x14ac:dyDescent="0.2">
      <c r="A15" s="9" t="s">
        <v>3</v>
      </c>
      <c r="B15" s="31"/>
      <c r="C15" s="40"/>
      <c r="D15" s="17">
        <f t="shared" si="0"/>
        <v>0</v>
      </c>
      <c r="E15" s="23"/>
    </row>
    <row r="16" spans="1:6" ht="14.25" thickBot="1" x14ac:dyDescent="0.2">
      <c r="A16" s="18" t="s">
        <v>4</v>
      </c>
      <c r="B16" s="19">
        <f>SUM(B5:B15)</f>
        <v>12</v>
      </c>
      <c r="C16" s="19">
        <f>SUM(C5:C15)</f>
        <v>12</v>
      </c>
      <c r="D16" s="20">
        <f t="shared" si="0"/>
        <v>24</v>
      </c>
      <c r="E16" s="1"/>
    </row>
    <row r="17" spans="1:5" x14ac:dyDescent="0.15">
      <c r="A17" s="6" t="s">
        <v>10</v>
      </c>
      <c r="B17" s="11">
        <v>2</v>
      </c>
      <c r="C17" s="36"/>
      <c r="D17" s="7">
        <f t="shared" si="0"/>
        <v>2</v>
      </c>
      <c r="E17" s="23">
        <v>44449</v>
      </c>
    </row>
    <row r="18" spans="1:5" x14ac:dyDescent="0.15">
      <c r="A18" s="6" t="s">
        <v>10</v>
      </c>
      <c r="B18" s="11">
        <v>1</v>
      </c>
      <c r="C18" s="36"/>
      <c r="D18" s="7">
        <f t="shared" si="0"/>
        <v>1</v>
      </c>
      <c r="E18" s="23">
        <v>44480</v>
      </c>
    </row>
    <row r="19" spans="1:5" x14ac:dyDescent="0.15">
      <c r="A19" s="6" t="s">
        <v>10</v>
      </c>
      <c r="B19" s="11">
        <v>2</v>
      </c>
      <c r="C19" s="36"/>
      <c r="D19" s="7">
        <f t="shared" si="0"/>
        <v>2</v>
      </c>
      <c r="E19" s="23">
        <v>44504</v>
      </c>
    </row>
    <row r="20" spans="1:5" x14ac:dyDescent="0.15">
      <c r="A20" s="6" t="s">
        <v>10</v>
      </c>
      <c r="B20" s="11">
        <v>1</v>
      </c>
      <c r="C20" s="36"/>
      <c r="D20" s="7">
        <f t="shared" si="0"/>
        <v>1</v>
      </c>
      <c r="E20" s="23">
        <v>44511</v>
      </c>
    </row>
    <row r="21" spans="1:5" x14ac:dyDescent="0.15">
      <c r="A21" s="6" t="s">
        <v>10</v>
      </c>
      <c r="B21" s="11">
        <v>1</v>
      </c>
      <c r="C21" s="36"/>
      <c r="D21" s="7">
        <f t="shared" si="0"/>
        <v>1</v>
      </c>
      <c r="E21" s="23">
        <v>44522</v>
      </c>
    </row>
    <row r="22" spans="1:5" x14ac:dyDescent="0.15">
      <c r="A22" s="6" t="s">
        <v>10</v>
      </c>
      <c r="B22" s="11"/>
      <c r="C22" s="36">
        <v>2</v>
      </c>
      <c r="D22" s="10">
        <f t="shared" si="0"/>
        <v>2</v>
      </c>
      <c r="E22" s="23">
        <v>44551</v>
      </c>
    </row>
    <row r="23" spans="1:5" x14ac:dyDescent="0.15">
      <c r="A23" s="6" t="s">
        <v>10</v>
      </c>
      <c r="B23" s="11"/>
      <c r="C23" s="36">
        <v>1</v>
      </c>
      <c r="D23" s="10">
        <f t="shared" si="0"/>
        <v>1</v>
      </c>
      <c r="E23" s="23">
        <v>44576</v>
      </c>
    </row>
    <row r="24" spans="1:5" x14ac:dyDescent="0.15">
      <c r="A24" s="6" t="s">
        <v>10</v>
      </c>
      <c r="B24" s="11">
        <v>2</v>
      </c>
      <c r="C24" s="36"/>
      <c r="D24" s="10">
        <f t="shared" si="0"/>
        <v>2</v>
      </c>
      <c r="E24" s="23">
        <v>44588</v>
      </c>
    </row>
    <row r="25" spans="1:5" x14ac:dyDescent="0.15">
      <c r="A25" s="6" t="s">
        <v>10</v>
      </c>
      <c r="B25" s="11"/>
      <c r="C25" s="36">
        <v>1</v>
      </c>
      <c r="D25" s="10">
        <f t="shared" si="0"/>
        <v>1</v>
      </c>
      <c r="E25" s="23">
        <v>44599</v>
      </c>
    </row>
    <row r="26" spans="1:5" x14ac:dyDescent="0.15">
      <c r="A26" s="6" t="s">
        <v>10</v>
      </c>
      <c r="B26" s="11">
        <v>2</v>
      </c>
      <c r="C26" s="36"/>
      <c r="D26" s="10">
        <f t="shared" si="0"/>
        <v>2</v>
      </c>
      <c r="E26" s="23">
        <v>44610</v>
      </c>
    </row>
    <row r="27" spans="1:5" x14ac:dyDescent="0.15">
      <c r="A27" s="6" t="s">
        <v>10</v>
      </c>
      <c r="B27" s="11">
        <v>1</v>
      </c>
      <c r="C27" s="36"/>
      <c r="D27" s="10">
        <f t="shared" si="0"/>
        <v>1</v>
      </c>
      <c r="E27" s="23">
        <v>44613</v>
      </c>
    </row>
    <row r="28" spans="1:5" x14ac:dyDescent="0.15">
      <c r="A28" s="6" t="s">
        <v>10</v>
      </c>
      <c r="B28" s="11"/>
      <c r="C28" s="36">
        <v>3</v>
      </c>
      <c r="D28" s="10">
        <f t="shared" si="0"/>
        <v>3</v>
      </c>
      <c r="E28" s="23">
        <v>44625</v>
      </c>
    </row>
    <row r="29" spans="1:5" x14ac:dyDescent="0.15">
      <c r="A29" s="6" t="s">
        <v>10</v>
      </c>
      <c r="B29" s="11"/>
      <c r="C29" s="36">
        <v>1</v>
      </c>
      <c r="D29" s="10">
        <f t="shared" si="0"/>
        <v>1</v>
      </c>
      <c r="E29" s="23">
        <v>44676</v>
      </c>
    </row>
    <row r="30" spans="1:5" x14ac:dyDescent="0.15">
      <c r="A30" s="6" t="s">
        <v>10</v>
      </c>
      <c r="B30" s="11"/>
      <c r="C30" s="36">
        <v>1</v>
      </c>
      <c r="D30" s="10">
        <f t="shared" si="0"/>
        <v>1</v>
      </c>
      <c r="E30" s="23">
        <v>44681</v>
      </c>
    </row>
    <row r="31" spans="1:5" x14ac:dyDescent="0.15">
      <c r="A31" s="6" t="s">
        <v>10</v>
      </c>
      <c r="B31" s="11"/>
      <c r="C31" s="36">
        <v>2</v>
      </c>
      <c r="D31" s="10">
        <f t="shared" si="0"/>
        <v>2</v>
      </c>
      <c r="E31" s="23">
        <v>44688</v>
      </c>
    </row>
    <row r="32" spans="1:5" x14ac:dyDescent="0.15">
      <c r="A32" s="6" t="s">
        <v>10</v>
      </c>
      <c r="B32" s="11"/>
      <c r="C32" s="36">
        <v>1</v>
      </c>
      <c r="D32" s="10">
        <f t="shared" si="0"/>
        <v>1</v>
      </c>
      <c r="E32" s="23">
        <v>44718</v>
      </c>
    </row>
    <row r="33" spans="1:7" x14ac:dyDescent="0.15">
      <c r="A33" s="6"/>
      <c r="B33" s="11"/>
      <c r="C33" s="36"/>
      <c r="D33" s="10">
        <f t="shared" si="0"/>
        <v>0</v>
      </c>
      <c r="E33" s="23"/>
    </row>
    <row r="34" spans="1:7" x14ac:dyDescent="0.15">
      <c r="A34" s="6"/>
      <c r="B34" s="11"/>
      <c r="C34" s="36"/>
      <c r="D34" s="10">
        <f t="shared" si="0"/>
        <v>0</v>
      </c>
      <c r="E34" s="23"/>
    </row>
    <row r="35" spans="1:7" x14ac:dyDescent="0.15">
      <c r="A35" s="6"/>
      <c r="B35" s="11"/>
      <c r="C35" s="36"/>
      <c r="D35" s="10">
        <f t="shared" si="0"/>
        <v>0</v>
      </c>
      <c r="E35" s="23"/>
    </row>
    <row r="36" spans="1:7" x14ac:dyDescent="0.15">
      <c r="A36" s="6"/>
      <c r="B36" s="11"/>
      <c r="C36" s="36"/>
      <c r="D36" s="10">
        <f t="shared" si="0"/>
        <v>0</v>
      </c>
      <c r="E36" s="23"/>
    </row>
    <row r="37" spans="1:7" x14ac:dyDescent="0.15">
      <c r="A37" s="12"/>
      <c r="B37" s="11"/>
      <c r="C37" s="36"/>
      <c r="D37" s="10">
        <f t="shared" si="0"/>
        <v>0</v>
      </c>
      <c r="E37" s="23"/>
    </row>
    <row r="38" spans="1:7" x14ac:dyDescent="0.15">
      <c r="A38" s="27"/>
      <c r="B38" s="11"/>
      <c r="C38" s="36"/>
      <c r="D38" s="10">
        <f t="shared" si="0"/>
        <v>0</v>
      </c>
      <c r="E38" s="23"/>
      <c r="F38" s="28"/>
      <c r="G38" s="28"/>
    </row>
    <row r="39" spans="1:7" x14ac:dyDescent="0.15">
      <c r="A39" s="12"/>
      <c r="B39" s="11"/>
      <c r="C39" s="36"/>
      <c r="D39" s="10">
        <f t="shared" si="0"/>
        <v>0</v>
      </c>
      <c r="E39" s="23"/>
      <c r="F39" s="28"/>
    </row>
    <row r="40" spans="1:7" ht="14.25" thickBot="1" x14ac:dyDescent="0.2">
      <c r="A40" s="24"/>
      <c r="B40" s="11"/>
      <c r="C40" s="36"/>
      <c r="D40" s="10">
        <f t="shared" si="0"/>
        <v>0</v>
      </c>
      <c r="E40" s="23"/>
      <c r="F40" s="28"/>
    </row>
    <row r="41" spans="1:7" ht="14.25" thickBot="1" x14ac:dyDescent="0.2">
      <c r="A41" s="5" t="s">
        <v>5</v>
      </c>
      <c r="B41" s="13">
        <f>SUM(B17:B40)</f>
        <v>12</v>
      </c>
      <c r="C41" s="13">
        <f>SUM(C17:C40)</f>
        <v>12</v>
      </c>
      <c r="D41" s="14">
        <f t="shared" si="0"/>
        <v>24</v>
      </c>
      <c r="E41" s="1"/>
    </row>
    <row r="42" spans="1:7" ht="14.25" thickBot="1" x14ac:dyDescent="0.2">
      <c r="A42" s="21" t="s">
        <v>6</v>
      </c>
      <c r="B42" s="22">
        <f>B16-B41</f>
        <v>0</v>
      </c>
      <c r="C42" s="22">
        <f>C16-C41</f>
        <v>0</v>
      </c>
      <c r="D42" s="20">
        <f>D16-D41</f>
        <v>0</v>
      </c>
      <c r="E42" s="1"/>
    </row>
    <row r="44" spans="1:7" ht="21" x14ac:dyDescent="0.15">
      <c r="A44" s="32"/>
    </row>
    <row r="45" spans="1:7" ht="19.5" thickBot="1" x14ac:dyDescent="0.25">
      <c r="A45" s="2" t="s">
        <v>29</v>
      </c>
      <c r="B45" s="3"/>
      <c r="C45" s="3"/>
      <c r="D45" s="3"/>
      <c r="E45" s="1"/>
    </row>
    <row r="46" spans="1:7" ht="14.25" thickBot="1" x14ac:dyDescent="0.2">
      <c r="A46" s="4" t="s">
        <v>0</v>
      </c>
      <c r="B46" s="70" t="s">
        <v>8</v>
      </c>
      <c r="C46" s="70"/>
      <c r="D46" s="71"/>
      <c r="E46" s="1">
        <v>1620</v>
      </c>
    </row>
    <row r="47" spans="1:7" ht="14.25" thickBot="1" x14ac:dyDescent="0.2">
      <c r="A47" s="4" t="s">
        <v>1</v>
      </c>
      <c r="B47" s="5" t="s">
        <v>18</v>
      </c>
      <c r="C47" s="4" t="s">
        <v>17</v>
      </c>
      <c r="D47" s="4" t="s">
        <v>2</v>
      </c>
      <c r="E47" s="1"/>
    </row>
    <row r="48" spans="1:7" x14ac:dyDescent="0.15">
      <c r="A48" s="8" t="s">
        <v>6</v>
      </c>
      <c r="B48" s="16">
        <f>B42</f>
        <v>0</v>
      </c>
      <c r="C48" s="6">
        <f>C42</f>
        <v>0</v>
      </c>
      <c r="D48" s="7">
        <f t="shared" ref="D48:D84" si="1">SUM(B48:C48)</f>
        <v>0</v>
      </c>
      <c r="E48" s="23"/>
    </row>
    <row r="49" spans="1:6" x14ac:dyDescent="0.15">
      <c r="A49" s="8" t="s">
        <v>3</v>
      </c>
      <c r="B49" s="29">
        <v>5</v>
      </c>
      <c r="C49" s="41">
        <v>5</v>
      </c>
      <c r="D49" s="10">
        <f t="shared" si="1"/>
        <v>10</v>
      </c>
      <c r="E49" s="26">
        <v>44767</v>
      </c>
    </row>
    <row r="50" spans="1:6" x14ac:dyDescent="0.15">
      <c r="A50" s="55" t="s">
        <v>48</v>
      </c>
      <c r="B50" s="58">
        <v>0</v>
      </c>
      <c r="C50" s="55">
        <v>0</v>
      </c>
      <c r="D50" s="59">
        <f t="shared" si="1"/>
        <v>0</v>
      </c>
      <c r="E50" s="60">
        <v>44798</v>
      </c>
      <c r="F50" s="28"/>
    </row>
    <row r="51" spans="1:6" x14ac:dyDescent="0.15">
      <c r="A51" s="8" t="s">
        <v>3</v>
      </c>
      <c r="B51" s="15">
        <v>3</v>
      </c>
      <c r="C51" s="12"/>
      <c r="D51" s="7">
        <f t="shared" si="1"/>
        <v>3</v>
      </c>
      <c r="E51" s="23">
        <v>44858</v>
      </c>
      <c r="F51" s="28"/>
    </row>
    <row r="52" spans="1:6" x14ac:dyDescent="0.15">
      <c r="A52" s="8" t="s">
        <v>3</v>
      </c>
      <c r="B52" s="15">
        <v>1</v>
      </c>
      <c r="C52" s="12">
        <v>2</v>
      </c>
      <c r="D52" s="7">
        <f t="shared" si="1"/>
        <v>3</v>
      </c>
      <c r="E52" s="23">
        <v>44897</v>
      </c>
      <c r="F52" s="28"/>
    </row>
    <row r="53" spans="1:6" x14ac:dyDescent="0.15">
      <c r="A53" s="8" t="s">
        <v>43</v>
      </c>
      <c r="B53" s="15">
        <v>0</v>
      </c>
      <c r="C53" s="12">
        <v>0</v>
      </c>
      <c r="D53" s="7">
        <f t="shared" si="1"/>
        <v>0</v>
      </c>
      <c r="E53" s="23">
        <v>45161</v>
      </c>
    </row>
    <row r="54" spans="1:6" x14ac:dyDescent="0.15">
      <c r="A54" s="8" t="s">
        <v>3</v>
      </c>
      <c r="B54" s="30"/>
      <c r="C54" s="41"/>
      <c r="D54" s="7">
        <f t="shared" si="1"/>
        <v>0</v>
      </c>
      <c r="E54" s="23"/>
    </row>
    <row r="55" spans="1:6" x14ac:dyDescent="0.15">
      <c r="A55" s="8" t="s">
        <v>3</v>
      </c>
      <c r="B55" s="30"/>
      <c r="C55" s="41"/>
      <c r="D55" s="7">
        <f t="shared" si="1"/>
        <v>0</v>
      </c>
      <c r="E55" s="23"/>
    </row>
    <row r="56" spans="1:6" x14ac:dyDescent="0.15">
      <c r="A56" s="8" t="s">
        <v>3</v>
      </c>
      <c r="B56" s="30"/>
      <c r="C56" s="41"/>
      <c r="D56" s="7">
        <f t="shared" si="1"/>
        <v>0</v>
      </c>
      <c r="E56" s="23"/>
    </row>
    <row r="57" spans="1:6" x14ac:dyDescent="0.15">
      <c r="A57" s="8" t="s">
        <v>3</v>
      </c>
      <c r="B57" s="31"/>
      <c r="C57" s="40"/>
      <c r="D57" s="10">
        <f t="shared" si="1"/>
        <v>0</v>
      </c>
      <c r="E57" s="23"/>
    </row>
    <row r="58" spans="1:6" ht="14.25" thickBot="1" x14ac:dyDescent="0.2">
      <c r="A58" s="8" t="s">
        <v>3</v>
      </c>
      <c r="B58" s="31"/>
      <c r="C58" s="40"/>
      <c r="D58" s="17">
        <f t="shared" si="1"/>
        <v>0</v>
      </c>
      <c r="E58" s="23"/>
    </row>
    <row r="59" spans="1:6" ht="14.25" thickBot="1" x14ac:dyDescent="0.2">
      <c r="A59" s="18" t="s">
        <v>4</v>
      </c>
      <c r="B59" s="19">
        <f>SUM(B48:B58)</f>
        <v>9</v>
      </c>
      <c r="C59" s="19">
        <f>SUM(C48:C58)</f>
        <v>7</v>
      </c>
      <c r="D59" s="20">
        <f t="shared" si="1"/>
        <v>16</v>
      </c>
      <c r="E59" s="1"/>
    </row>
    <row r="60" spans="1:6" x14ac:dyDescent="0.15">
      <c r="A60" s="6" t="s">
        <v>10</v>
      </c>
      <c r="B60" s="11">
        <v>2</v>
      </c>
      <c r="C60" s="36"/>
      <c r="D60" s="7">
        <f t="shared" si="1"/>
        <v>2</v>
      </c>
      <c r="E60" s="23">
        <v>44809</v>
      </c>
    </row>
    <row r="61" spans="1:6" x14ac:dyDescent="0.15">
      <c r="A61" s="6" t="s">
        <v>10</v>
      </c>
      <c r="B61" s="11"/>
      <c r="C61" s="36">
        <v>1</v>
      </c>
      <c r="D61" s="7">
        <f t="shared" si="1"/>
        <v>1</v>
      </c>
      <c r="E61" s="23">
        <v>44816</v>
      </c>
    </row>
    <row r="62" spans="1:6" x14ac:dyDescent="0.15">
      <c r="A62" s="6" t="s">
        <v>10</v>
      </c>
      <c r="B62" s="11">
        <v>1</v>
      </c>
      <c r="C62" s="36"/>
      <c r="D62" s="7">
        <f t="shared" si="1"/>
        <v>1</v>
      </c>
      <c r="E62" s="23">
        <v>44845</v>
      </c>
    </row>
    <row r="63" spans="1:6" x14ac:dyDescent="0.15">
      <c r="A63" s="6" t="s">
        <v>10</v>
      </c>
      <c r="B63" s="11">
        <v>1</v>
      </c>
      <c r="C63" s="36"/>
      <c r="D63" s="7">
        <f t="shared" si="1"/>
        <v>1</v>
      </c>
      <c r="E63" s="23">
        <v>44847</v>
      </c>
    </row>
    <row r="64" spans="1:6" x14ac:dyDescent="0.15">
      <c r="A64" s="6" t="s">
        <v>10</v>
      </c>
      <c r="B64" s="11">
        <v>1</v>
      </c>
      <c r="C64" s="36"/>
      <c r="D64" s="7">
        <f t="shared" si="1"/>
        <v>1</v>
      </c>
      <c r="E64" s="23">
        <v>44865</v>
      </c>
    </row>
    <row r="65" spans="1:5" x14ac:dyDescent="0.15">
      <c r="A65" s="6" t="s">
        <v>10</v>
      </c>
      <c r="B65" s="11"/>
      <c r="C65" s="36">
        <v>1</v>
      </c>
      <c r="D65" s="10">
        <f t="shared" si="1"/>
        <v>1</v>
      </c>
      <c r="E65" s="23">
        <v>44872</v>
      </c>
    </row>
    <row r="66" spans="1:5" x14ac:dyDescent="0.15">
      <c r="A66" s="6" t="s">
        <v>10</v>
      </c>
      <c r="B66" s="11">
        <v>1</v>
      </c>
      <c r="C66" s="36"/>
      <c r="D66" s="10">
        <f t="shared" si="1"/>
        <v>1</v>
      </c>
      <c r="E66" s="23">
        <v>44898</v>
      </c>
    </row>
    <row r="67" spans="1:5" x14ac:dyDescent="0.15">
      <c r="A67" s="6" t="s">
        <v>10</v>
      </c>
      <c r="B67" s="11">
        <v>1</v>
      </c>
      <c r="C67" s="36"/>
      <c r="D67" s="10">
        <f t="shared" si="1"/>
        <v>1</v>
      </c>
      <c r="E67" s="23">
        <v>44957</v>
      </c>
    </row>
    <row r="68" spans="1:5" x14ac:dyDescent="0.15">
      <c r="A68" s="6" t="s">
        <v>10</v>
      </c>
      <c r="B68" s="11">
        <v>2</v>
      </c>
      <c r="C68" s="36"/>
      <c r="D68" s="10">
        <f t="shared" si="1"/>
        <v>2</v>
      </c>
      <c r="E68" s="23">
        <v>44963</v>
      </c>
    </row>
    <row r="69" spans="1:5" x14ac:dyDescent="0.15">
      <c r="A69" s="6" t="s">
        <v>10</v>
      </c>
      <c r="B69" s="11"/>
      <c r="C69" s="36">
        <v>2</v>
      </c>
      <c r="D69" s="10">
        <f t="shared" si="1"/>
        <v>2</v>
      </c>
      <c r="E69" s="23">
        <v>45026</v>
      </c>
    </row>
    <row r="70" spans="1:5" x14ac:dyDescent="0.15">
      <c r="A70" s="6" t="s">
        <v>10</v>
      </c>
      <c r="B70" s="11"/>
      <c r="C70" s="36">
        <v>1</v>
      </c>
      <c r="D70" s="10">
        <f t="shared" si="1"/>
        <v>1</v>
      </c>
      <c r="E70" s="23">
        <v>45036</v>
      </c>
    </row>
    <row r="71" spans="1:5" x14ac:dyDescent="0.15">
      <c r="A71" s="6" t="s">
        <v>10</v>
      </c>
      <c r="B71" s="11"/>
      <c r="C71" s="36">
        <v>2</v>
      </c>
      <c r="D71" s="10">
        <f t="shared" si="1"/>
        <v>2</v>
      </c>
      <c r="E71" s="23">
        <v>45341</v>
      </c>
    </row>
    <row r="72" spans="1:5" x14ac:dyDescent="0.15">
      <c r="A72" s="6" t="s">
        <v>10</v>
      </c>
      <c r="B72" s="11">
        <v>1</v>
      </c>
      <c r="C72" s="36"/>
      <c r="D72" s="10">
        <f t="shared" si="1"/>
        <v>1</v>
      </c>
      <c r="E72" s="23">
        <v>46121</v>
      </c>
    </row>
    <row r="73" spans="1:5" x14ac:dyDescent="0.15">
      <c r="A73" s="6" t="s">
        <v>10</v>
      </c>
      <c r="B73" s="11">
        <v>1</v>
      </c>
      <c r="C73" s="36"/>
      <c r="D73" s="10">
        <f t="shared" si="1"/>
        <v>1</v>
      </c>
      <c r="E73" s="23">
        <v>46125</v>
      </c>
    </row>
    <row r="74" spans="1:5" x14ac:dyDescent="0.15">
      <c r="A74" s="6"/>
      <c r="B74" s="11"/>
      <c r="C74" s="36"/>
      <c r="D74" s="10">
        <f t="shared" si="1"/>
        <v>0</v>
      </c>
      <c r="E74" s="23"/>
    </row>
    <row r="75" spans="1:5" x14ac:dyDescent="0.15">
      <c r="A75" s="33"/>
      <c r="B75" s="11"/>
      <c r="C75" s="36"/>
      <c r="D75" s="10">
        <f t="shared" si="1"/>
        <v>0</v>
      </c>
      <c r="E75" s="23"/>
    </row>
    <row r="76" spans="1:5" x14ac:dyDescent="0.15">
      <c r="A76" s="6"/>
      <c r="B76" s="11"/>
      <c r="C76" s="36"/>
      <c r="D76" s="10">
        <f t="shared" si="1"/>
        <v>0</v>
      </c>
      <c r="E76" s="23"/>
    </row>
    <row r="77" spans="1:5" x14ac:dyDescent="0.15">
      <c r="A77" s="6"/>
      <c r="B77" s="11"/>
      <c r="C77" s="36"/>
      <c r="D77" s="10">
        <f t="shared" si="1"/>
        <v>0</v>
      </c>
      <c r="E77" s="23"/>
    </row>
    <row r="78" spans="1:5" x14ac:dyDescent="0.15">
      <c r="A78" s="6"/>
      <c r="B78" s="11"/>
      <c r="C78" s="36"/>
      <c r="D78" s="10">
        <f t="shared" si="1"/>
        <v>0</v>
      </c>
      <c r="E78" s="23"/>
    </row>
    <row r="79" spans="1:5" x14ac:dyDescent="0.15">
      <c r="A79" s="6"/>
      <c r="B79" s="11"/>
      <c r="C79" s="36"/>
      <c r="D79" s="10">
        <f t="shared" si="1"/>
        <v>0</v>
      </c>
      <c r="E79" s="23"/>
    </row>
    <row r="80" spans="1:5" x14ac:dyDescent="0.15">
      <c r="A80" s="6"/>
      <c r="B80" s="11"/>
      <c r="C80" s="36"/>
      <c r="D80" s="10">
        <f t="shared" si="1"/>
        <v>0</v>
      </c>
      <c r="E80" s="23"/>
    </row>
    <row r="81" spans="1:5" x14ac:dyDescent="0.15">
      <c r="A81" s="6"/>
      <c r="B81" s="11"/>
      <c r="C81" s="36"/>
      <c r="D81" s="10">
        <f t="shared" si="1"/>
        <v>0</v>
      </c>
      <c r="E81" s="25"/>
    </row>
    <row r="82" spans="1:5" x14ac:dyDescent="0.15">
      <c r="A82" s="6"/>
      <c r="B82" s="11"/>
      <c r="C82" s="36"/>
      <c r="D82" s="10">
        <f t="shared" si="1"/>
        <v>0</v>
      </c>
      <c r="E82" s="23"/>
    </row>
    <row r="83" spans="1:5" ht="14.25" thickBot="1" x14ac:dyDescent="0.2">
      <c r="A83" s="6"/>
      <c r="B83" s="11"/>
      <c r="C83" s="36"/>
      <c r="D83" s="10">
        <f t="shared" si="1"/>
        <v>0</v>
      </c>
      <c r="E83" s="23"/>
    </row>
    <row r="84" spans="1:5" ht="14.25" thickBot="1" x14ac:dyDescent="0.2">
      <c r="A84" s="5" t="s">
        <v>5</v>
      </c>
      <c r="B84" s="13">
        <f>SUM(B60:B83)</f>
        <v>11</v>
      </c>
      <c r="C84" s="13">
        <f>SUM(C60:C83)</f>
        <v>7</v>
      </c>
      <c r="D84" s="14">
        <f t="shared" si="1"/>
        <v>18</v>
      </c>
      <c r="E84" s="1"/>
    </row>
    <row r="85" spans="1:5" ht="14.25" thickBot="1" x14ac:dyDescent="0.2">
      <c r="A85" s="21" t="s">
        <v>6</v>
      </c>
      <c r="B85" s="22">
        <f>B59-B84</f>
        <v>-2</v>
      </c>
      <c r="C85" s="22">
        <f>C59-C84</f>
        <v>0</v>
      </c>
      <c r="D85" s="20">
        <f>D59-D84</f>
        <v>-2</v>
      </c>
      <c r="E85" s="1"/>
    </row>
  </sheetData>
  <mergeCells count="2">
    <mergeCell ref="B3:D3"/>
    <mergeCell ref="B46:D46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生理用パジャマズボン</vt:lpstr>
      <vt:lpstr>女性用オーバーパンツ</vt:lpstr>
      <vt:lpstr>防水シーツ（中国製）</vt:lpstr>
      <vt:lpstr>防水シーツ（日本製）</vt:lpstr>
      <vt:lpstr>紳士用防水ズボン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2026-06-15T05:25:24Z</dcterms:modified>
</cp:coreProperties>
</file>