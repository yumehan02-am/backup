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川本産業㈱（ニシキ）\"/>
    </mc:Choice>
  </mc:AlternateContent>
  <xr:revisionPtr revIDLastSave="0" documentId="13_ncr:1_{F78904D5-51F5-46F6-8040-6CA27035620E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花柄軽失禁パット" sheetId="6" r:id="rId1"/>
    <sheet name="ﾃﾞﾗｯｸｽ安心ﾊﾟﾝﾂ200" sheetId="3" r:id="rId2"/>
    <sheet name="ﾃﾞﾗｯｸｽ安心ﾊﾟﾝﾂ300" sheetId="4" r:id="rId3"/>
    <sheet name="ニットトランクス140" sheetId="5" r:id="rId4"/>
    <sheet name="ふんどしメンズ" sheetId="8" r:id="rId5"/>
    <sheet name="ゆるねるレギンス" sheetId="7" r:id="rId6"/>
    <sheet name="腰ｺﾞﾑ150" sheetId="2" r:id="rId7"/>
    <sheet name="腰ｺﾞﾑ100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6" i="4" l="1"/>
  <c r="L236" i="4"/>
  <c r="K233" i="4"/>
  <c r="K265" i="4"/>
  <c r="J265" i="4"/>
  <c r="I265" i="4"/>
  <c r="H265" i="4"/>
  <c r="L265" i="4" s="1"/>
  <c r="F265" i="4"/>
  <c r="E265" i="4"/>
  <c r="D265" i="4"/>
  <c r="C265" i="4"/>
  <c r="L264" i="4"/>
  <c r="G264" i="4"/>
  <c r="M264" i="4" s="1"/>
  <c r="L263" i="4"/>
  <c r="G263" i="4"/>
  <c r="M263" i="4" s="1"/>
  <c r="L262" i="4"/>
  <c r="G262" i="4"/>
  <c r="M262" i="4" s="1"/>
  <c r="L261" i="4"/>
  <c r="G261" i="4"/>
  <c r="M261" i="4" s="1"/>
  <c r="L260" i="4"/>
  <c r="G260" i="4"/>
  <c r="M260" i="4" s="1"/>
  <c r="L259" i="4"/>
  <c r="G259" i="4"/>
  <c r="M259" i="4" s="1"/>
  <c r="L258" i="4"/>
  <c r="G258" i="4"/>
  <c r="M258" i="4" s="1"/>
  <c r="L257" i="4"/>
  <c r="G257" i="4"/>
  <c r="M257" i="4" s="1"/>
  <c r="L256" i="4"/>
  <c r="G256" i="4"/>
  <c r="M256" i="4" s="1"/>
  <c r="L255" i="4"/>
  <c r="G255" i="4"/>
  <c r="M255" i="4" s="1"/>
  <c r="L254" i="4"/>
  <c r="G254" i="4"/>
  <c r="M254" i="4" s="1"/>
  <c r="L253" i="4"/>
  <c r="G253" i="4"/>
  <c r="M253" i="4" s="1"/>
  <c r="L252" i="4"/>
  <c r="G252" i="4"/>
  <c r="M252" i="4" s="1"/>
  <c r="L251" i="4"/>
  <c r="G251" i="4"/>
  <c r="M251" i="4" s="1"/>
  <c r="L250" i="4"/>
  <c r="G250" i="4"/>
  <c r="M250" i="4" s="1"/>
  <c r="L249" i="4"/>
  <c r="G249" i="4"/>
  <c r="M249" i="4" s="1"/>
  <c r="L248" i="4"/>
  <c r="G248" i="4"/>
  <c r="M248" i="4" s="1"/>
  <c r="L247" i="4"/>
  <c r="G247" i="4"/>
  <c r="M247" i="4" s="1"/>
  <c r="L246" i="4"/>
  <c r="G246" i="4"/>
  <c r="M246" i="4" s="1"/>
  <c r="L245" i="4"/>
  <c r="G245" i="4"/>
  <c r="M245" i="4" s="1"/>
  <c r="L244" i="4"/>
  <c r="G244" i="4"/>
  <c r="L243" i="4"/>
  <c r="G243" i="4"/>
  <c r="M243" i="4" s="1"/>
  <c r="L242" i="4"/>
  <c r="G242" i="4"/>
  <c r="M242" i="4" s="1"/>
  <c r="L241" i="4"/>
  <c r="G241" i="4"/>
  <c r="L240" i="4"/>
  <c r="G240" i="4"/>
  <c r="M240" i="4" s="1"/>
  <c r="L238" i="4"/>
  <c r="G238" i="4"/>
  <c r="M238" i="4" s="1"/>
  <c r="L237" i="4"/>
  <c r="G237" i="4"/>
  <c r="M237" i="4" s="1"/>
  <c r="L235" i="4"/>
  <c r="G235" i="4"/>
  <c r="L234" i="4"/>
  <c r="G234" i="4"/>
  <c r="M233" i="4"/>
  <c r="L233" i="4"/>
  <c r="K239" i="4"/>
  <c r="K266" i="4" s="1"/>
  <c r="J233" i="4"/>
  <c r="J239" i="4" s="1"/>
  <c r="J266" i="4" s="1"/>
  <c r="I233" i="4"/>
  <c r="I239" i="4" s="1"/>
  <c r="H233" i="4"/>
  <c r="H239" i="4" s="1"/>
  <c r="G233" i="4"/>
  <c r="F233" i="4"/>
  <c r="F239" i="4" s="1"/>
  <c r="F266" i="4" s="1"/>
  <c r="E233" i="4"/>
  <c r="E239" i="4" s="1"/>
  <c r="D233" i="4"/>
  <c r="D239" i="4" s="1"/>
  <c r="D266" i="4" s="1"/>
  <c r="C233" i="4"/>
  <c r="C239" i="4" s="1"/>
  <c r="K265" i="3"/>
  <c r="J265" i="3"/>
  <c r="I265" i="3"/>
  <c r="H265" i="3"/>
  <c r="L265" i="3" s="1"/>
  <c r="F265" i="3"/>
  <c r="E265" i="3"/>
  <c r="D265" i="3"/>
  <c r="C265" i="3"/>
  <c r="G265" i="3" s="1"/>
  <c r="M264" i="3"/>
  <c r="L264" i="3"/>
  <c r="G264" i="3"/>
  <c r="L263" i="3"/>
  <c r="G263" i="3"/>
  <c r="L262" i="3"/>
  <c r="G262" i="3"/>
  <c r="L261" i="3"/>
  <c r="G261" i="3"/>
  <c r="L260" i="3"/>
  <c r="G260" i="3"/>
  <c r="L259" i="3"/>
  <c r="G259" i="3"/>
  <c r="L258" i="3"/>
  <c r="G258" i="3"/>
  <c r="L257" i="3"/>
  <c r="G257" i="3"/>
  <c r="L256" i="3"/>
  <c r="G256" i="3"/>
  <c r="L255" i="3"/>
  <c r="G255" i="3"/>
  <c r="L254" i="3"/>
  <c r="G254" i="3"/>
  <c r="L253" i="3"/>
  <c r="G253" i="3"/>
  <c r="L252" i="3"/>
  <c r="G252" i="3"/>
  <c r="L251" i="3"/>
  <c r="G251" i="3"/>
  <c r="L250" i="3"/>
  <c r="G250" i="3"/>
  <c r="L249" i="3"/>
  <c r="G249" i="3"/>
  <c r="L248" i="3"/>
  <c r="G248" i="3"/>
  <c r="L247" i="3"/>
  <c r="G247" i="3"/>
  <c r="L246" i="3"/>
  <c r="G246" i="3"/>
  <c r="L245" i="3"/>
  <c r="G245" i="3"/>
  <c r="L244" i="3"/>
  <c r="G244" i="3"/>
  <c r="L243" i="3"/>
  <c r="G243" i="3"/>
  <c r="L242" i="3"/>
  <c r="G242" i="3"/>
  <c r="L241" i="3"/>
  <c r="G241" i="3"/>
  <c r="L240" i="3"/>
  <c r="G240" i="3"/>
  <c r="K239" i="3"/>
  <c r="K266" i="3" s="1"/>
  <c r="I239" i="3"/>
  <c r="I266" i="3" s="1"/>
  <c r="H239" i="3"/>
  <c r="F239" i="3"/>
  <c r="F266" i="3" s="1"/>
  <c r="E239" i="3"/>
  <c r="E266" i="3" s="1"/>
  <c r="D239" i="3"/>
  <c r="D266" i="3" s="1"/>
  <c r="C239" i="3"/>
  <c r="C266" i="3" s="1"/>
  <c r="L238" i="3"/>
  <c r="G238" i="3"/>
  <c r="L237" i="3"/>
  <c r="G237" i="3"/>
  <c r="L236" i="3"/>
  <c r="G236" i="3"/>
  <c r="L235" i="3"/>
  <c r="G235" i="3"/>
  <c r="L234" i="3"/>
  <c r="G234" i="3"/>
  <c r="K233" i="3"/>
  <c r="I233" i="3"/>
  <c r="H233" i="3"/>
  <c r="G233" i="3"/>
  <c r="F233" i="3"/>
  <c r="E233" i="3"/>
  <c r="D233" i="3"/>
  <c r="C233" i="3"/>
  <c r="H207" i="3"/>
  <c r="G202" i="4"/>
  <c r="L202" i="4"/>
  <c r="G203" i="4"/>
  <c r="L203" i="4"/>
  <c r="G204" i="4"/>
  <c r="L204" i="4"/>
  <c r="G205" i="4"/>
  <c r="M205" i="4" s="1"/>
  <c r="L205" i="4"/>
  <c r="G206" i="4"/>
  <c r="L206" i="4"/>
  <c r="M206" i="4" s="1"/>
  <c r="G207" i="4"/>
  <c r="L207" i="4"/>
  <c r="G208" i="4"/>
  <c r="L208" i="4"/>
  <c r="G209" i="4"/>
  <c r="G210" i="4"/>
  <c r="G211" i="4"/>
  <c r="K227" i="4"/>
  <c r="J227" i="4"/>
  <c r="I227" i="4"/>
  <c r="H227" i="4"/>
  <c r="F227" i="4"/>
  <c r="E227" i="4"/>
  <c r="D227" i="4"/>
  <c r="C227" i="4"/>
  <c r="L226" i="4"/>
  <c r="G226" i="4"/>
  <c r="M226" i="4" s="1"/>
  <c r="L225" i="4"/>
  <c r="G225" i="4"/>
  <c r="L224" i="4"/>
  <c r="G224" i="4"/>
  <c r="M224" i="4" s="1"/>
  <c r="L223" i="4"/>
  <c r="G223" i="4"/>
  <c r="M223" i="4" s="1"/>
  <c r="L222" i="4"/>
  <c r="G222" i="4"/>
  <c r="L221" i="4"/>
  <c r="G221" i="4"/>
  <c r="M221" i="4" s="1"/>
  <c r="L220" i="4"/>
  <c r="G220" i="4"/>
  <c r="L219" i="4"/>
  <c r="G219" i="4"/>
  <c r="L218" i="4"/>
  <c r="G218" i="4"/>
  <c r="M218" i="4" s="1"/>
  <c r="L217" i="4"/>
  <c r="G217" i="4"/>
  <c r="M217" i="4" s="1"/>
  <c r="L216" i="4"/>
  <c r="G216" i="4"/>
  <c r="L215" i="4"/>
  <c r="G215" i="4"/>
  <c r="M215" i="4" s="1"/>
  <c r="L214" i="4"/>
  <c r="G214" i="4"/>
  <c r="M214" i="4" s="1"/>
  <c r="L213" i="4"/>
  <c r="G213" i="4"/>
  <c r="L212" i="4"/>
  <c r="G212" i="4"/>
  <c r="L211" i="4"/>
  <c r="M211" i="4" s="1"/>
  <c r="L210" i="4"/>
  <c r="L209" i="4"/>
  <c r="L200" i="4"/>
  <c r="G200" i="4"/>
  <c r="L199" i="4"/>
  <c r="G199" i="4"/>
  <c r="M199" i="4" s="1"/>
  <c r="L198" i="4"/>
  <c r="G198" i="4"/>
  <c r="L197" i="4"/>
  <c r="G197" i="4"/>
  <c r="L196" i="4"/>
  <c r="G196" i="4"/>
  <c r="G202" i="3"/>
  <c r="L202" i="3"/>
  <c r="M202" i="3" s="1"/>
  <c r="G203" i="3"/>
  <c r="L203" i="3"/>
  <c r="M203" i="3"/>
  <c r="G204" i="3"/>
  <c r="L204" i="3"/>
  <c r="G205" i="3"/>
  <c r="L205" i="3"/>
  <c r="M205" i="3"/>
  <c r="G206" i="3"/>
  <c r="L206" i="3"/>
  <c r="M206" i="3" s="1"/>
  <c r="G207" i="3"/>
  <c r="L207" i="3"/>
  <c r="M207" i="3" s="1"/>
  <c r="G208" i="3"/>
  <c r="L208" i="3"/>
  <c r="K227" i="3"/>
  <c r="J227" i="3"/>
  <c r="I227" i="3"/>
  <c r="H227" i="3"/>
  <c r="F227" i="3"/>
  <c r="E227" i="3"/>
  <c r="D227" i="3"/>
  <c r="C227" i="3"/>
  <c r="L226" i="3"/>
  <c r="G226" i="3"/>
  <c r="L225" i="3"/>
  <c r="G225" i="3"/>
  <c r="L224" i="3"/>
  <c r="G224" i="3"/>
  <c r="M224" i="3" s="1"/>
  <c r="L223" i="3"/>
  <c r="G223" i="3"/>
  <c r="L222" i="3"/>
  <c r="G222" i="3"/>
  <c r="M222" i="3" s="1"/>
  <c r="L221" i="3"/>
  <c r="G221" i="3"/>
  <c r="L220" i="3"/>
  <c r="G220" i="3"/>
  <c r="M220" i="3" s="1"/>
  <c r="L219" i="3"/>
  <c r="G219" i="3"/>
  <c r="L218" i="3"/>
  <c r="G218" i="3"/>
  <c r="L217" i="3"/>
  <c r="G217" i="3"/>
  <c r="M217" i="3" s="1"/>
  <c r="L216" i="3"/>
  <c r="G216" i="3"/>
  <c r="L215" i="3"/>
  <c r="G215" i="3"/>
  <c r="M215" i="3" s="1"/>
  <c r="L214" i="3"/>
  <c r="G214" i="3"/>
  <c r="M214" i="3" s="1"/>
  <c r="L213" i="3"/>
  <c r="G213" i="3"/>
  <c r="L212" i="3"/>
  <c r="G212" i="3"/>
  <c r="L211" i="3"/>
  <c r="G211" i="3"/>
  <c r="M211" i="3" s="1"/>
  <c r="L210" i="3"/>
  <c r="G210" i="3"/>
  <c r="M210" i="3" s="1"/>
  <c r="L209" i="3"/>
  <c r="G209" i="3"/>
  <c r="M209" i="3" s="1"/>
  <c r="L200" i="3"/>
  <c r="G200" i="3"/>
  <c r="L199" i="3"/>
  <c r="G199" i="3"/>
  <c r="L198" i="3"/>
  <c r="G198" i="3"/>
  <c r="L197" i="3"/>
  <c r="G197" i="3"/>
  <c r="L196" i="3"/>
  <c r="G196" i="3"/>
  <c r="K195" i="3"/>
  <c r="K201" i="3" s="1"/>
  <c r="J195" i="3"/>
  <c r="J201" i="3" s="1"/>
  <c r="J228" i="3" s="1"/>
  <c r="J233" i="3" s="1"/>
  <c r="J239" i="3" s="1"/>
  <c r="I195" i="3"/>
  <c r="I201" i="3" s="1"/>
  <c r="G195" i="3"/>
  <c r="F195" i="3"/>
  <c r="F201" i="3" s="1"/>
  <c r="E195" i="3"/>
  <c r="E201" i="3" s="1"/>
  <c r="D195" i="3"/>
  <c r="D201" i="3" s="1"/>
  <c r="C195" i="3"/>
  <c r="C201" i="3" s="1"/>
  <c r="F152" i="3"/>
  <c r="E152" i="3"/>
  <c r="D152" i="3"/>
  <c r="F151" i="3"/>
  <c r="E151" i="3"/>
  <c r="D151" i="3"/>
  <c r="C151" i="3"/>
  <c r="C152" i="3" s="1"/>
  <c r="F114" i="3"/>
  <c r="E114" i="3"/>
  <c r="D114" i="3"/>
  <c r="C114" i="3"/>
  <c r="F113" i="3"/>
  <c r="E113" i="3"/>
  <c r="D113" i="3"/>
  <c r="C113" i="3"/>
  <c r="I76" i="3"/>
  <c r="K75" i="3"/>
  <c r="K76" i="3" s="1"/>
  <c r="J75" i="3"/>
  <c r="L75" i="3" s="1"/>
  <c r="I75" i="3"/>
  <c r="H75" i="3"/>
  <c r="H76" i="3" s="1"/>
  <c r="D76" i="3"/>
  <c r="F75" i="3"/>
  <c r="F76" i="3" s="1"/>
  <c r="E75" i="3"/>
  <c r="E76" i="3" s="1"/>
  <c r="D75" i="3"/>
  <c r="C75" i="3"/>
  <c r="C76" i="3" s="1"/>
  <c r="F38" i="3"/>
  <c r="F37" i="3"/>
  <c r="E37" i="3"/>
  <c r="E38" i="3" s="1"/>
  <c r="D37" i="3"/>
  <c r="D38" i="3" s="1"/>
  <c r="C37" i="3"/>
  <c r="C38" i="3" s="1"/>
  <c r="C43" i="3" s="1"/>
  <c r="C49" i="3" s="1"/>
  <c r="K11" i="3"/>
  <c r="J11" i="3"/>
  <c r="I11" i="3"/>
  <c r="H11" i="3"/>
  <c r="F11" i="3"/>
  <c r="E11" i="3"/>
  <c r="D11" i="3"/>
  <c r="C11" i="3"/>
  <c r="G11" i="3" s="1"/>
  <c r="F11" i="4"/>
  <c r="E11" i="4"/>
  <c r="D11" i="4"/>
  <c r="C11" i="4"/>
  <c r="K11" i="4"/>
  <c r="J11" i="4"/>
  <c r="I11" i="4"/>
  <c r="H11" i="4"/>
  <c r="F37" i="4"/>
  <c r="F38" i="4" s="1"/>
  <c r="E37" i="4"/>
  <c r="D37" i="4"/>
  <c r="D38" i="4" s="1"/>
  <c r="C37" i="4"/>
  <c r="F75" i="4"/>
  <c r="E75" i="4"/>
  <c r="D75" i="4"/>
  <c r="C75" i="4"/>
  <c r="F113" i="4"/>
  <c r="E113" i="4"/>
  <c r="D113" i="4"/>
  <c r="C113" i="4"/>
  <c r="F151" i="4"/>
  <c r="E151" i="4"/>
  <c r="G151" i="4" s="1"/>
  <c r="D151" i="4"/>
  <c r="C151" i="4"/>
  <c r="F189" i="4"/>
  <c r="E189" i="4"/>
  <c r="D189" i="4"/>
  <c r="C189" i="4"/>
  <c r="L5" i="4"/>
  <c r="G5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2" i="4"/>
  <c r="L161" i="4"/>
  <c r="L160" i="4"/>
  <c r="L159" i="4"/>
  <c r="L158" i="4"/>
  <c r="M166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4" i="4"/>
  <c r="L123" i="4"/>
  <c r="L122" i="4"/>
  <c r="L121" i="4"/>
  <c r="L120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6" i="4"/>
  <c r="L85" i="4"/>
  <c r="L84" i="4"/>
  <c r="L83" i="4"/>
  <c r="L82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8" i="4"/>
  <c r="L47" i="4"/>
  <c r="L46" i="4"/>
  <c r="L45" i="4"/>
  <c r="L44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0" i="4"/>
  <c r="L9" i="4"/>
  <c r="L8" i="4"/>
  <c r="L7" i="4"/>
  <c r="L6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8" i="4"/>
  <c r="G47" i="4"/>
  <c r="G46" i="4"/>
  <c r="G45" i="4"/>
  <c r="G44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6" i="4"/>
  <c r="G85" i="4"/>
  <c r="G84" i="4"/>
  <c r="G83" i="4"/>
  <c r="G82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M137" i="4" s="1"/>
  <c r="G136" i="4"/>
  <c r="G135" i="4"/>
  <c r="G134" i="4"/>
  <c r="G133" i="4"/>
  <c r="G132" i="4"/>
  <c r="G131" i="4"/>
  <c r="G130" i="4"/>
  <c r="G129" i="4"/>
  <c r="G128" i="4"/>
  <c r="G127" i="4"/>
  <c r="G126" i="4"/>
  <c r="G124" i="4"/>
  <c r="G123" i="4"/>
  <c r="G122" i="4"/>
  <c r="G121" i="4"/>
  <c r="G120" i="4"/>
  <c r="G159" i="4"/>
  <c r="G160" i="4"/>
  <c r="G161" i="4"/>
  <c r="G162" i="4"/>
  <c r="G164" i="4"/>
  <c r="G165" i="4"/>
  <c r="G166" i="4"/>
  <c r="G167" i="4"/>
  <c r="G168" i="4"/>
  <c r="G169" i="4"/>
  <c r="M169" i="4" s="1"/>
  <c r="G170" i="4"/>
  <c r="G171" i="4"/>
  <c r="G172" i="4"/>
  <c r="G173" i="4"/>
  <c r="G174" i="4"/>
  <c r="G175" i="4"/>
  <c r="G176" i="4"/>
  <c r="G177" i="4"/>
  <c r="G178" i="4"/>
  <c r="G179" i="4"/>
  <c r="G180" i="4"/>
  <c r="G181" i="4"/>
  <c r="M181" i="4" s="1"/>
  <c r="G182" i="4"/>
  <c r="G183" i="4"/>
  <c r="G184" i="4"/>
  <c r="G185" i="4"/>
  <c r="G186" i="4"/>
  <c r="G187" i="4"/>
  <c r="G188" i="4"/>
  <c r="M175" i="4"/>
  <c r="M187" i="4"/>
  <c r="G158" i="4"/>
  <c r="H189" i="4"/>
  <c r="H151" i="4"/>
  <c r="H113" i="4"/>
  <c r="H75" i="4"/>
  <c r="H37" i="4"/>
  <c r="H38" i="4" s="1"/>
  <c r="H43" i="4" s="1"/>
  <c r="H49" i="4" s="1"/>
  <c r="H76" i="4" s="1"/>
  <c r="H81" i="4" s="1"/>
  <c r="H87" i="4" s="1"/>
  <c r="L5" i="3"/>
  <c r="G5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0" i="3"/>
  <c r="G9" i="3"/>
  <c r="G8" i="3"/>
  <c r="G7" i="3"/>
  <c r="G6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8" i="3"/>
  <c r="L47" i="3"/>
  <c r="L46" i="3"/>
  <c r="L45" i="3"/>
  <c r="L44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8" i="3"/>
  <c r="G47" i="3"/>
  <c r="G46" i="3"/>
  <c r="G45" i="3"/>
  <c r="G4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6" i="3"/>
  <c r="L85" i="3"/>
  <c r="L84" i="3"/>
  <c r="L83" i="3"/>
  <c r="L82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6" i="3"/>
  <c r="G85" i="3"/>
  <c r="G84" i="3"/>
  <c r="G83" i="3"/>
  <c r="G82" i="3"/>
  <c r="L120" i="3"/>
  <c r="L121" i="3"/>
  <c r="L122" i="3"/>
  <c r="L123" i="3"/>
  <c r="L124" i="3"/>
  <c r="L126" i="3"/>
  <c r="L127" i="3"/>
  <c r="L128" i="3"/>
  <c r="L129" i="3"/>
  <c r="L130" i="3"/>
  <c r="M130" i="3" s="1"/>
  <c r="L131" i="3"/>
  <c r="L132" i="3"/>
  <c r="L133" i="3"/>
  <c r="L134" i="3"/>
  <c r="L135" i="3"/>
  <c r="L136" i="3"/>
  <c r="M136" i="3" s="1"/>
  <c r="L137" i="3"/>
  <c r="L138" i="3"/>
  <c r="L139" i="3"/>
  <c r="L140" i="3"/>
  <c r="L141" i="3"/>
  <c r="M141" i="3" s="1"/>
  <c r="L142" i="3"/>
  <c r="L143" i="3"/>
  <c r="L144" i="3"/>
  <c r="L145" i="3"/>
  <c r="L146" i="3"/>
  <c r="L147" i="3"/>
  <c r="M147" i="3" s="1"/>
  <c r="L148" i="3"/>
  <c r="M148" i="3" s="1"/>
  <c r="L149" i="3"/>
  <c r="L150" i="3"/>
  <c r="L151" i="3"/>
  <c r="G150" i="3"/>
  <c r="G149" i="3"/>
  <c r="G148" i="3"/>
  <c r="G147" i="3"/>
  <c r="G146" i="3"/>
  <c r="G145" i="3"/>
  <c r="M145" i="3" s="1"/>
  <c r="G144" i="3"/>
  <c r="G143" i="3"/>
  <c r="G142" i="3"/>
  <c r="G141" i="3"/>
  <c r="G140" i="3"/>
  <c r="G139" i="3"/>
  <c r="G138" i="3"/>
  <c r="G137" i="3"/>
  <c r="G136" i="3"/>
  <c r="G135" i="3"/>
  <c r="G134" i="3"/>
  <c r="G133" i="3"/>
  <c r="M133" i="3" s="1"/>
  <c r="G132" i="3"/>
  <c r="G131" i="3"/>
  <c r="G130" i="3"/>
  <c r="G129" i="3"/>
  <c r="G128" i="3"/>
  <c r="G127" i="3"/>
  <c r="G126" i="3"/>
  <c r="G124" i="3"/>
  <c r="G123" i="3"/>
  <c r="G122" i="3"/>
  <c r="G121" i="3"/>
  <c r="G120" i="3"/>
  <c r="L162" i="3"/>
  <c r="L164" i="3"/>
  <c r="L165" i="3"/>
  <c r="L166" i="3"/>
  <c r="L167" i="3"/>
  <c r="L168" i="3"/>
  <c r="L169" i="3"/>
  <c r="L170" i="3"/>
  <c r="L171" i="3"/>
  <c r="M171" i="3" s="1"/>
  <c r="L172" i="3"/>
  <c r="L173" i="3"/>
  <c r="L174" i="3"/>
  <c r="M174" i="3" s="1"/>
  <c r="L175" i="3"/>
  <c r="L176" i="3"/>
  <c r="L177" i="3"/>
  <c r="L178" i="3"/>
  <c r="L179" i="3"/>
  <c r="M179" i="3" s="1"/>
  <c r="L180" i="3"/>
  <c r="M180" i="3" s="1"/>
  <c r="L181" i="3"/>
  <c r="L182" i="3"/>
  <c r="L183" i="3"/>
  <c r="L184" i="3"/>
  <c r="L185" i="3"/>
  <c r="L186" i="3"/>
  <c r="M186" i="3" s="1"/>
  <c r="L187" i="3"/>
  <c r="L188" i="3"/>
  <c r="M182" i="3"/>
  <c r="M176" i="3"/>
  <c r="G162" i="3"/>
  <c r="G164" i="3"/>
  <c r="G165" i="3"/>
  <c r="G166" i="3"/>
  <c r="G167" i="3"/>
  <c r="G168" i="3"/>
  <c r="G169" i="3"/>
  <c r="M169" i="3" s="1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M177" i="3"/>
  <c r="M183" i="3"/>
  <c r="G161" i="3"/>
  <c r="M161" i="3" s="1"/>
  <c r="M159" i="3"/>
  <c r="M160" i="3"/>
  <c r="M158" i="3"/>
  <c r="L161" i="3"/>
  <c r="L160" i="3"/>
  <c r="L159" i="3"/>
  <c r="L158" i="3"/>
  <c r="G159" i="3"/>
  <c r="G160" i="3"/>
  <c r="G158" i="3"/>
  <c r="H37" i="3"/>
  <c r="H38" i="3" s="1"/>
  <c r="H43" i="3" s="1"/>
  <c r="H49" i="3" s="1"/>
  <c r="H113" i="3"/>
  <c r="H151" i="3"/>
  <c r="H189" i="3"/>
  <c r="L189" i="3" s="1"/>
  <c r="C189" i="3"/>
  <c r="K189" i="4"/>
  <c r="J189" i="4"/>
  <c r="I189" i="4"/>
  <c r="K189" i="3"/>
  <c r="J189" i="3"/>
  <c r="I189" i="3"/>
  <c r="F189" i="3"/>
  <c r="E189" i="3"/>
  <c r="D189" i="3"/>
  <c r="D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0" i="6"/>
  <c r="E199" i="6"/>
  <c r="E198" i="6"/>
  <c r="E197" i="6"/>
  <c r="E196" i="6"/>
  <c r="D195" i="6"/>
  <c r="D201" i="6" s="1"/>
  <c r="D228" i="6" s="1"/>
  <c r="C176" i="6"/>
  <c r="M127" i="3"/>
  <c r="M131" i="3"/>
  <c r="K151" i="3"/>
  <c r="J151" i="3"/>
  <c r="I151" i="3"/>
  <c r="M150" i="3"/>
  <c r="M139" i="3"/>
  <c r="C166" i="6"/>
  <c r="E166" i="6" s="1"/>
  <c r="E164" i="6"/>
  <c r="E165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59" i="6"/>
  <c r="E160" i="6"/>
  <c r="E188" i="6"/>
  <c r="E187" i="6"/>
  <c r="E162" i="6"/>
  <c r="E161" i="6"/>
  <c r="E158" i="6"/>
  <c r="K151" i="4"/>
  <c r="J151" i="4"/>
  <c r="I151" i="4"/>
  <c r="M146" i="4"/>
  <c r="I266" i="4" l="1"/>
  <c r="M244" i="4"/>
  <c r="M236" i="4"/>
  <c r="M241" i="4"/>
  <c r="G265" i="4"/>
  <c r="M265" i="4" s="1"/>
  <c r="M235" i="4"/>
  <c r="M234" i="4"/>
  <c r="E266" i="4"/>
  <c r="L239" i="4"/>
  <c r="H266" i="4"/>
  <c r="L266" i="4" s="1"/>
  <c r="C266" i="4"/>
  <c r="G239" i="4"/>
  <c r="M226" i="3"/>
  <c r="H266" i="3"/>
  <c r="J266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34" i="3"/>
  <c r="M235" i="3"/>
  <c r="M236" i="3"/>
  <c r="M237" i="3"/>
  <c r="M238" i="3"/>
  <c r="G266" i="3"/>
  <c r="M265" i="3"/>
  <c r="L239" i="3"/>
  <c r="G239" i="3"/>
  <c r="M225" i="3"/>
  <c r="M223" i="3"/>
  <c r="M220" i="4"/>
  <c r="M221" i="3"/>
  <c r="M219" i="3"/>
  <c r="M218" i="3"/>
  <c r="M216" i="3"/>
  <c r="M213" i="3"/>
  <c r="L151" i="4"/>
  <c r="M212" i="4"/>
  <c r="M212" i="3"/>
  <c r="K228" i="3"/>
  <c r="M209" i="4"/>
  <c r="M210" i="4"/>
  <c r="M180" i="4"/>
  <c r="M200" i="4"/>
  <c r="M208" i="4"/>
  <c r="M171" i="4"/>
  <c r="M183" i="4"/>
  <c r="G37" i="4"/>
  <c r="L11" i="4"/>
  <c r="M198" i="4"/>
  <c r="M207" i="4"/>
  <c r="L189" i="4"/>
  <c r="M213" i="4"/>
  <c r="M216" i="4"/>
  <c r="M219" i="4"/>
  <c r="M222" i="4"/>
  <c r="M225" i="4"/>
  <c r="M203" i="4"/>
  <c r="M202" i="4"/>
  <c r="M204" i="4"/>
  <c r="M208" i="3"/>
  <c r="E228" i="3"/>
  <c r="L227" i="4"/>
  <c r="M197" i="4"/>
  <c r="M196" i="4"/>
  <c r="G227" i="4"/>
  <c r="M204" i="3"/>
  <c r="I228" i="3"/>
  <c r="M196" i="3"/>
  <c r="M197" i="3"/>
  <c r="M198" i="3"/>
  <c r="M199" i="3"/>
  <c r="M200" i="3"/>
  <c r="D228" i="3"/>
  <c r="F228" i="3"/>
  <c r="G227" i="3"/>
  <c r="L227" i="3"/>
  <c r="C228" i="3"/>
  <c r="G201" i="3"/>
  <c r="G189" i="3"/>
  <c r="M189" i="3" s="1"/>
  <c r="G151" i="3"/>
  <c r="M151" i="3" s="1"/>
  <c r="J76" i="3"/>
  <c r="G37" i="3"/>
  <c r="H114" i="4"/>
  <c r="H119" i="4" s="1"/>
  <c r="E38" i="4"/>
  <c r="C38" i="4"/>
  <c r="G75" i="4"/>
  <c r="G113" i="4"/>
  <c r="G189" i="4"/>
  <c r="M162" i="3"/>
  <c r="M172" i="4"/>
  <c r="M177" i="4"/>
  <c r="M184" i="4"/>
  <c r="M178" i="4"/>
  <c r="M174" i="4"/>
  <c r="M168" i="4"/>
  <c r="M133" i="4"/>
  <c r="M127" i="4"/>
  <c r="M162" i="4"/>
  <c r="M158" i="4"/>
  <c r="M132" i="4"/>
  <c r="M135" i="4"/>
  <c r="M138" i="4"/>
  <c r="M141" i="4"/>
  <c r="M147" i="4"/>
  <c r="M150" i="4"/>
  <c r="M129" i="4"/>
  <c r="M126" i="4"/>
  <c r="M167" i="4"/>
  <c r="M170" i="4"/>
  <c r="M173" i="4"/>
  <c r="M176" i="4"/>
  <c r="M179" i="4"/>
  <c r="M182" i="4"/>
  <c r="M185" i="4"/>
  <c r="M188" i="4"/>
  <c r="M160" i="4"/>
  <c r="M186" i="4"/>
  <c r="M161" i="4"/>
  <c r="M128" i="4"/>
  <c r="M142" i="3"/>
  <c r="M129" i="3"/>
  <c r="M135" i="3"/>
  <c r="M138" i="3"/>
  <c r="M144" i="3"/>
  <c r="M122" i="3"/>
  <c r="M121" i="3"/>
  <c r="M128" i="3"/>
  <c r="M185" i="3"/>
  <c r="M173" i="3"/>
  <c r="M172" i="3"/>
  <c r="M167" i="3"/>
  <c r="M188" i="3"/>
  <c r="M166" i="3"/>
  <c r="M165" i="3"/>
  <c r="M124" i="3"/>
  <c r="M168" i="3"/>
  <c r="M137" i="3"/>
  <c r="M140" i="3"/>
  <c r="M143" i="3"/>
  <c r="M146" i="3"/>
  <c r="M149" i="3"/>
  <c r="M126" i="3"/>
  <c r="M175" i="3"/>
  <c r="M178" i="3"/>
  <c r="M181" i="3"/>
  <c r="M184" i="3"/>
  <c r="M187" i="3"/>
  <c r="M170" i="3"/>
  <c r="M165" i="4"/>
  <c r="M164" i="4"/>
  <c r="M164" i="3"/>
  <c r="M159" i="4"/>
  <c r="M149" i="4"/>
  <c r="C227" i="6"/>
  <c r="E227" i="6" s="1"/>
  <c r="M134" i="3"/>
  <c r="M144" i="4"/>
  <c r="M143" i="4"/>
  <c r="M132" i="3"/>
  <c r="M140" i="4"/>
  <c r="M123" i="3"/>
  <c r="M120" i="3"/>
  <c r="C189" i="6"/>
  <c r="M136" i="4"/>
  <c r="M139" i="4"/>
  <c r="M142" i="4"/>
  <c r="M145" i="4"/>
  <c r="M148" i="4"/>
  <c r="D189" i="6"/>
  <c r="M130" i="4"/>
  <c r="M134" i="4"/>
  <c r="M131" i="4"/>
  <c r="M120" i="4"/>
  <c r="M121" i="4"/>
  <c r="M122" i="4"/>
  <c r="M123" i="4"/>
  <c r="M124" i="4"/>
  <c r="C147" i="6"/>
  <c r="D138" i="6"/>
  <c r="D134" i="6"/>
  <c r="L266" i="3" l="1"/>
  <c r="M266" i="3" s="1"/>
  <c r="G266" i="4"/>
  <c r="M266" i="4"/>
  <c r="M239" i="4"/>
  <c r="M239" i="3"/>
  <c r="H125" i="4"/>
  <c r="H152" i="4" s="1"/>
  <c r="H157" i="4" s="1"/>
  <c r="M227" i="4"/>
  <c r="G228" i="3"/>
  <c r="M227" i="3"/>
  <c r="H81" i="3"/>
  <c r="H87" i="3" s="1"/>
  <c r="H114" i="3" s="1"/>
  <c r="C81" i="3"/>
  <c r="H119" i="3"/>
  <c r="G38" i="4"/>
  <c r="G43" i="4" s="1"/>
  <c r="C43" i="4"/>
  <c r="C49" i="4" s="1"/>
  <c r="M189" i="4"/>
  <c r="E189" i="6"/>
  <c r="M151" i="4"/>
  <c r="M56" i="4"/>
  <c r="M88" i="4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20" i="6"/>
  <c r="E121" i="6"/>
  <c r="E122" i="6"/>
  <c r="C151" i="6"/>
  <c r="E150" i="6"/>
  <c r="E149" i="6"/>
  <c r="E124" i="6"/>
  <c r="E123" i="6"/>
  <c r="M88" i="3"/>
  <c r="K113" i="3"/>
  <c r="J113" i="3"/>
  <c r="I113" i="3"/>
  <c r="H163" i="4" l="1"/>
  <c r="H190" i="4" s="1"/>
  <c r="H195" i="4" s="1"/>
  <c r="H201" i="4" s="1"/>
  <c r="H228" i="4" s="1"/>
  <c r="C87" i="3"/>
  <c r="C119" i="3" s="1"/>
  <c r="C125" i="3" s="1"/>
  <c r="H125" i="3"/>
  <c r="H152" i="3" s="1"/>
  <c r="H157" i="3" s="1"/>
  <c r="H163" i="3" s="1"/>
  <c r="H190" i="3" s="1"/>
  <c r="H195" i="3" s="1"/>
  <c r="H201" i="3" s="1"/>
  <c r="C76" i="4"/>
  <c r="M100" i="3"/>
  <c r="M103" i="3"/>
  <c r="M106" i="3"/>
  <c r="M109" i="3"/>
  <c r="M90" i="3"/>
  <c r="M96" i="3"/>
  <c r="M112" i="3"/>
  <c r="M82" i="3"/>
  <c r="M89" i="3"/>
  <c r="M94" i="3"/>
  <c r="M93" i="3"/>
  <c r="M84" i="3"/>
  <c r="M97" i="3"/>
  <c r="D151" i="6"/>
  <c r="E151" i="6" s="1"/>
  <c r="M99" i="3"/>
  <c r="M102" i="3"/>
  <c r="M105" i="3"/>
  <c r="M108" i="3"/>
  <c r="M111" i="3"/>
  <c r="M92" i="3"/>
  <c r="M83" i="3"/>
  <c r="M91" i="3"/>
  <c r="M98" i="3"/>
  <c r="M101" i="3"/>
  <c r="M104" i="3"/>
  <c r="M107" i="3"/>
  <c r="M110" i="3"/>
  <c r="M95" i="3"/>
  <c r="M85" i="3"/>
  <c r="M86" i="3"/>
  <c r="K113" i="4"/>
  <c r="J113" i="4"/>
  <c r="I113" i="4"/>
  <c r="L113" i="4" l="1"/>
  <c r="H228" i="3"/>
  <c r="L228" i="3" s="1"/>
  <c r="L201" i="3"/>
  <c r="M201" i="3" s="1"/>
  <c r="C157" i="3"/>
  <c r="C163" i="3" s="1"/>
  <c r="C190" i="3" s="1"/>
  <c r="C81" i="4"/>
  <c r="M94" i="4"/>
  <c r="M97" i="4"/>
  <c r="M100" i="4"/>
  <c r="M103" i="4"/>
  <c r="M106" i="4"/>
  <c r="M109" i="4"/>
  <c r="M91" i="4"/>
  <c r="M92" i="4"/>
  <c r="M84" i="4"/>
  <c r="M113" i="3"/>
  <c r="M83" i="4"/>
  <c r="M90" i="4"/>
  <c r="M112" i="4"/>
  <c r="M85" i="4"/>
  <c r="M95" i="4"/>
  <c r="M98" i="4"/>
  <c r="M101" i="4"/>
  <c r="M104" i="4"/>
  <c r="M107" i="4"/>
  <c r="M110" i="4"/>
  <c r="M82" i="4"/>
  <c r="M89" i="4"/>
  <c r="M93" i="4"/>
  <c r="M86" i="4"/>
  <c r="M96" i="4"/>
  <c r="M99" i="4"/>
  <c r="M102" i="4"/>
  <c r="M105" i="4"/>
  <c r="M108" i="4"/>
  <c r="M111" i="4"/>
  <c r="D105" i="6"/>
  <c r="D89" i="6"/>
  <c r="E88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82" i="6"/>
  <c r="E83" i="6"/>
  <c r="C113" i="6"/>
  <c r="E112" i="6"/>
  <c r="E111" i="6"/>
  <c r="E110" i="6"/>
  <c r="E86" i="6"/>
  <c r="E85" i="6"/>
  <c r="E84" i="6"/>
  <c r="M228" i="3" l="1"/>
  <c r="M233" i="3" s="1"/>
  <c r="L233" i="3"/>
  <c r="C87" i="4"/>
  <c r="C114" i="4" s="1"/>
  <c r="C119" i="4" s="1"/>
  <c r="M113" i="4"/>
  <c r="D113" i="6"/>
  <c r="E113" i="6" s="1"/>
  <c r="E89" i="6"/>
  <c r="E19" i="7"/>
  <c r="H19" i="7"/>
  <c r="H51" i="7"/>
  <c r="E51" i="7"/>
  <c r="C125" i="4" l="1"/>
  <c r="C152" i="4" s="1"/>
  <c r="C157" i="4" s="1"/>
  <c r="I19" i="7"/>
  <c r="I51" i="7"/>
  <c r="E45" i="6"/>
  <c r="C163" i="4" l="1"/>
  <c r="C190" i="4" s="1"/>
  <c r="C195" i="4" s="1"/>
  <c r="C201" i="4" s="1"/>
  <c r="H10" i="7"/>
  <c r="E10" i="7"/>
  <c r="C228" i="4" l="1"/>
  <c r="I10" i="7"/>
  <c r="E37" i="8"/>
  <c r="C36" i="6"/>
  <c r="E75" i="8"/>
  <c r="D75" i="8"/>
  <c r="C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8" i="8"/>
  <c r="F47" i="8"/>
  <c r="F46" i="8"/>
  <c r="F45" i="8"/>
  <c r="F44" i="8"/>
  <c r="D37" i="8"/>
  <c r="C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E11" i="8"/>
  <c r="D11" i="8"/>
  <c r="C11" i="8"/>
  <c r="F10" i="8"/>
  <c r="F9" i="8"/>
  <c r="F8" i="8"/>
  <c r="F7" i="8"/>
  <c r="F6" i="8"/>
  <c r="F5" i="8"/>
  <c r="E38" i="8" l="1"/>
  <c r="E43" i="8" s="1"/>
  <c r="E49" i="8" s="1"/>
  <c r="E76" i="8" s="1"/>
  <c r="F37" i="8"/>
  <c r="C38" i="8"/>
  <c r="D38" i="8"/>
  <c r="D43" i="8" s="1"/>
  <c r="D49" i="8" s="1"/>
  <c r="D76" i="8" s="1"/>
  <c r="F75" i="8"/>
  <c r="F11" i="8"/>
  <c r="D26" i="6"/>
  <c r="D37" i="6" s="1"/>
  <c r="G75" i="7"/>
  <c r="F75" i="7"/>
  <c r="D75" i="7"/>
  <c r="C75" i="7"/>
  <c r="H74" i="7"/>
  <c r="E74" i="7"/>
  <c r="H73" i="7"/>
  <c r="E73" i="7"/>
  <c r="H72" i="7"/>
  <c r="E72" i="7"/>
  <c r="H71" i="7"/>
  <c r="E71" i="7"/>
  <c r="H70" i="7"/>
  <c r="E70" i="7"/>
  <c r="H69" i="7"/>
  <c r="E69" i="7"/>
  <c r="H68" i="7"/>
  <c r="E68" i="7"/>
  <c r="H67" i="7"/>
  <c r="E67" i="7"/>
  <c r="H66" i="7"/>
  <c r="E66" i="7"/>
  <c r="H65" i="7"/>
  <c r="E65" i="7"/>
  <c r="H64" i="7"/>
  <c r="E64" i="7"/>
  <c r="H63" i="7"/>
  <c r="E63" i="7"/>
  <c r="H62" i="7"/>
  <c r="E62" i="7"/>
  <c r="H61" i="7"/>
  <c r="E61" i="7"/>
  <c r="H60" i="7"/>
  <c r="E60" i="7"/>
  <c r="H59" i="7"/>
  <c r="E59" i="7"/>
  <c r="H58" i="7"/>
  <c r="E58" i="7"/>
  <c r="H57" i="7"/>
  <c r="E57" i="7"/>
  <c r="H56" i="7"/>
  <c r="E56" i="7"/>
  <c r="H55" i="7"/>
  <c r="E55" i="7"/>
  <c r="H54" i="7"/>
  <c r="E54" i="7"/>
  <c r="H53" i="7"/>
  <c r="E53" i="7"/>
  <c r="H52" i="7"/>
  <c r="E52" i="7"/>
  <c r="H50" i="7"/>
  <c r="E50" i="7"/>
  <c r="H48" i="7"/>
  <c r="E48" i="7"/>
  <c r="H47" i="7"/>
  <c r="E47" i="7"/>
  <c r="H46" i="7"/>
  <c r="E46" i="7"/>
  <c r="H45" i="7"/>
  <c r="E45" i="7"/>
  <c r="H44" i="7"/>
  <c r="E44" i="7"/>
  <c r="G37" i="7"/>
  <c r="F37" i="7"/>
  <c r="D37" i="7"/>
  <c r="C37" i="7"/>
  <c r="H36" i="7"/>
  <c r="E36" i="7"/>
  <c r="H35" i="7"/>
  <c r="E35" i="7"/>
  <c r="H34" i="7"/>
  <c r="E34" i="7"/>
  <c r="H33" i="7"/>
  <c r="E33" i="7"/>
  <c r="H32" i="7"/>
  <c r="E32" i="7"/>
  <c r="H31" i="7"/>
  <c r="E31" i="7"/>
  <c r="H30" i="7"/>
  <c r="E30" i="7"/>
  <c r="H29" i="7"/>
  <c r="E29" i="7"/>
  <c r="H28" i="7"/>
  <c r="E28" i="7"/>
  <c r="H27" i="7"/>
  <c r="E27" i="7"/>
  <c r="H26" i="7"/>
  <c r="E26" i="7"/>
  <c r="H25" i="7"/>
  <c r="E25" i="7"/>
  <c r="H24" i="7"/>
  <c r="E24" i="7"/>
  <c r="H23" i="7"/>
  <c r="E23" i="7"/>
  <c r="H22" i="7"/>
  <c r="E22" i="7"/>
  <c r="H21" i="7"/>
  <c r="E21" i="7"/>
  <c r="H20" i="7"/>
  <c r="E20" i="7"/>
  <c r="H18" i="7"/>
  <c r="E18" i="7"/>
  <c r="H17" i="7"/>
  <c r="E17" i="7"/>
  <c r="H16" i="7"/>
  <c r="E16" i="7"/>
  <c r="H15" i="7"/>
  <c r="E15" i="7"/>
  <c r="H14" i="7"/>
  <c r="E14" i="7"/>
  <c r="H13" i="7"/>
  <c r="E13" i="7"/>
  <c r="H12" i="7"/>
  <c r="E12" i="7"/>
  <c r="G11" i="7"/>
  <c r="F11" i="7"/>
  <c r="D11" i="7"/>
  <c r="C11" i="7"/>
  <c r="H9" i="7"/>
  <c r="E9" i="7"/>
  <c r="H8" i="7"/>
  <c r="E8" i="7"/>
  <c r="H7" i="7"/>
  <c r="E7" i="7"/>
  <c r="H6" i="7"/>
  <c r="E6" i="7"/>
  <c r="H5" i="7"/>
  <c r="E5" i="7"/>
  <c r="D75" i="6"/>
  <c r="C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8" i="6"/>
  <c r="E47" i="6"/>
  <c r="E46" i="6"/>
  <c r="E44" i="6"/>
  <c r="C37" i="6"/>
  <c r="E36" i="6"/>
  <c r="E35" i="6"/>
  <c r="E34" i="6"/>
  <c r="E33" i="6"/>
  <c r="E32" i="6"/>
  <c r="E31" i="6"/>
  <c r="E30" i="6"/>
  <c r="E29" i="6"/>
  <c r="E28" i="6"/>
  <c r="E27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D11" i="6"/>
  <c r="C11" i="6"/>
  <c r="E10" i="6"/>
  <c r="E9" i="6"/>
  <c r="E8" i="6"/>
  <c r="E7" i="6"/>
  <c r="E6" i="6"/>
  <c r="E5" i="6"/>
  <c r="G38" i="7" l="1"/>
  <c r="G43" i="7" s="1"/>
  <c r="G49" i="7" s="1"/>
  <c r="G76" i="7" s="1"/>
  <c r="F38" i="8"/>
  <c r="C43" i="8"/>
  <c r="C49" i="8" s="1"/>
  <c r="I8" i="7"/>
  <c r="I22" i="7"/>
  <c r="I25" i="7"/>
  <c r="I31" i="7"/>
  <c r="I34" i="7"/>
  <c r="I61" i="7"/>
  <c r="I64" i="7"/>
  <c r="I67" i="7"/>
  <c r="I70" i="7"/>
  <c r="I73" i="7"/>
  <c r="H75" i="7"/>
  <c r="E26" i="6"/>
  <c r="I23" i="7"/>
  <c r="I26" i="7"/>
  <c r="I29" i="7"/>
  <c r="I32" i="7"/>
  <c r="I35" i="7"/>
  <c r="I46" i="7"/>
  <c r="I50" i="7"/>
  <c r="I53" i="7"/>
  <c r="I56" i="7"/>
  <c r="I74" i="7"/>
  <c r="I33" i="7"/>
  <c r="C38" i="7"/>
  <c r="C43" i="7" s="1"/>
  <c r="C49" i="7" s="1"/>
  <c r="C76" i="7" s="1"/>
  <c r="D38" i="7"/>
  <c r="D43" i="7" s="1"/>
  <c r="D49" i="7" s="1"/>
  <c r="D76" i="7" s="1"/>
  <c r="I13" i="7"/>
  <c r="I71" i="7"/>
  <c r="I7" i="7"/>
  <c r="I12" i="7"/>
  <c r="I15" i="7"/>
  <c r="I36" i="7"/>
  <c r="I44" i="7"/>
  <c r="I47" i="7"/>
  <c r="I57" i="7"/>
  <c r="I60" i="7"/>
  <c r="I63" i="7"/>
  <c r="I69" i="7"/>
  <c r="I72" i="7"/>
  <c r="H37" i="7"/>
  <c r="I5" i="7"/>
  <c r="I6" i="7"/>
  <c r="I9" i="7"/>
  <c r="I14" i="7"/>
  <c r="I17" i="7"/>
  <c r="I20" i="7"/>
  <c r="E37" i="7"/>
  <c r="I45" i="7"/>
  <c r="I52" i="7"/>
  <c r="I55" i="7"/>
  <c r="I58" i="7"/>
  <c r="E75" i="7"/>
  <c r="I21" i="7"/>
  <c r="I24" i="7"/>
  <c r="I27" i="7"/>
  <c r="I30" i="7"/>
  <c r="I59" i="7"/>
  <c r="I62" i="7"/>
  <c r="I65" i="7"/>
  <c r="I68" i="7"/>
  <c r="F38" i="7"/>
  <c r="F43" i="7" s="1"/>
  <c r="F49" i="7" s="1"/>
  <c r="I18" i="7"/>
  <c r="E11" i="7"/>
  <c r="I16" i="7"/>
  <c r="I28" i="7"/>
  <c r="I48" i="7"/>
  <c r="I54" i="7"/>
  <c r="I66" i="7"/>
  <c r="H11" i="7"/>
  <c r="C38" i="6"/>
  <c r="C43" i="6" s="1"/>
  <c r="D38" i="6"/>
  <c r="D43" i="6" s="1"/>
  <c r="D49" i="6" s="1"/>
  <c r="D76" i="6" s="1"/>
  <c r="D81" i="6" s="1"/>
  <c r="E37" i="6"/>
  <c r="E75" i="6"/>
  <c r="E11" i="6"/>
  <c r="E75" i="5"/>
  <c r="D75" i="5"/>
  <c r="C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8" i="5"/>
  <c r="F47" i="5"/>
  <c r="F46" i="5"/>
  <c r="F45" i="5"/>
  <c r="F44" i="5"/>
  <c r="E37" i="5"/>
  <c r="D37" i="5"/>
  <c r="C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E11" i="5"/>
  <c r="D11" i="5"/>
  <c r="C11" i="5"/>
  <c r="F10" i="5"/>
  <c r="F9" i="5"/>
  <c r="F8" i="5"/>
  <c r="F7" i="5"/>
  <c r="F6" i="5"/>
  <c r="F5" i="5"/>
  <c r="K75" i="4"/>
  <c r="J75" i="4"/>
  <c r="I75" i="4"/>
  <c r="K37" i="4"/>
  <c r="J37" i="4"/>
  <c r="I37" i="4"/>
  <c r="K37" i="3"/>
  <c r="J37" i="3"/>
  <c r="I37" i="3"/>
  <c r="E75" i="2"/>
  <c r="D75" i="2"/>
  <c r="C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8" i="2"/>
  <c r="F47" i="2"/>
  <c r="F46" i="2"/>
  <c r="F45" i="2"/>
  <c r="F44" i="2"/>
  <c r="E37" i="2"/>
  <c r="D37" i="2"/>
  <c r="C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E11" i="2"/>
  <c r="D11" i="2"/>
  <c r="C11" i="2"/>
  <c r="F10" i="2"/>
  <c r="F9" i="2"/>
  <c r="F8" i="2"/>
  <c r="F7" i="2"/>
  <c r="F6" i="2"/>
  <c r="F5" i="2"/>
  <c r="F6" i="1"/>
  <c r="F7" i="1"/>
  <c r="F8" i="1"/>
  <c r="F9" i="1"/>
  <c r="F10" i="1"/>
  <c r="F5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44" i="1"/>
  <c r="F45" i="1"/>
  <c r="F46" i="1"/>
  <c r="F47" i="1"/>
  <c r="F48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E75" i="1"/>
  <c r="D75" i="1"/>
  <c r="C75" i="1"/>
  <c r="F74" i="1"/>
  <c r="F73" i="1"/>
  <c r="F72" i="1"/>
  <c r="F71" i="1"/>
  <c r="F70" i="1"/>
  <c r="F69" i="1"/>
  <c r="F68" i="1"/>
  <c r="C11" i="1"/>
  <c r="D11" i="1"/>
  <c r="E11" i="1"/>
  <c r="F31" i="1"/>
  <c r="F32" i="1"/>
  <c r="F33" i="1"/>
  <c r="F34" i="1"/>
  <c r="F35" i="1"/>
  <c r="F36" i="1"/>
  <c r="C37" i="1"/>
  <c r="D37" i="1"/>
  <c r="E37" i="1"/>
  <c r="L75" i="4" l="1"/>
  <c r="L37" i="4"/>
  <c r="D87" i="6"/>
  <c r="I75" i="7"/>
  <c r="F43" i="8"/>
  <c r="C76" i="8"/>
  <c r="F76" i="8" s="1"/>
  <c r="F49" i="8"/>
  <c r="M45" i="3"/>
  <c r="M52" i="3"/>
  <c r="M58" i="3"/>
  <c r="M64" i="3"/>
  <c r="M51" i="4"/>
  <c r="M63" i="4"/>
  <c r="D43" i="4"/>
  <c r="D49" i="4" s="1"/>
  <c r="M50" i="4"/>
  <c r="M62" i="4"/>
  <c r="M68" i="4"/>
  <c r="M74" i="4"/>
  <c r="E38" i="7"/>
  <c r="E43" i="7" s="1"/>
  <c r="M70" i="3"/>
  <c r="M69" i="4"/>
  <c r="M17" i="3"/>
  <c r="M50" i="3"/>
  <c r="M74" i="3"/>
  <c r="M7" i="4"/>
  <c r="M17" i="4"/>
  <c r="E49" i="7"/>
  <c r="M35" i="3"/>
  <c r="M46" i="3"/>
  <c r="M53" i="3"/>
  <c r="M55" i="3"/>
  <c r="M61" i="3"/>
  <c r="M67" i="3"/>
  <c r="M73" i="3"/>
  <c r="M14" i="4"/>
  <c r="M18" i="4"/>
  <c r="M30" i="4"/>
  <c r="M36" i="4"/>
  <c r="M53" i="4"/>
  <c r="M59" i="4"/>
  <c r="M65" i="4"/>
  <c r="M71" i="4"/>
  <c r="D38" i="2"/>
  <c r="D43" i="2" s="1"/>
  <c r="D49" i="2" s="1"/>
  <c r="D76" i="2" s="1"/>
  <c r="E43" i="4"/>
  <c r="E49" i="4" s="1"/>
  <c r="F43" i="4"/>
  <c r="F49" i="4" s="1"/>
  <c r="F75" i="1"/>
  <c r="M16" i="3"/>
  <c r="M22" i="3"/>
  <c r="M28" i="3"/>
  <c r="M34" i="3"/>
  <c r="M19" i="4"/>
  <c r="M25" i="4"/>
  <c r="E76" i="7"/>
  <c r="M23" i="3"/>
  <c r="C38" i="2"/>
  <c r="C43" i="2" s="1"/>
  <c r="C49" i="2" s="1"/>
  <c r="C76" i="2" s="1"/>
  <c r="M23" i="4"/>
  <c r="M45" i="4"/>
  <c r="M6" i="4"/>
  <c r="M6" i="3"/>
  <c r="F37" i="2"/>
  <c r="M33" i="4"/>
  <c r="E43" i="3"/>
  <c r="I38" i="4"/>
  <c r="M44" i="4"/>
  <c r="M47" i="4"/>
  <c r="M54" i="4"/>
  <c r="M29" i="3"/>
  <c r="J38" i="4"/>
  <c r="J43" i="4" s="1"/>
  <c r="J49" i="4" s="1"/>
  <c r="J76" i="4" s="1"/>
  <c r="J81" i="4" s="1"/>
  <c r="D38" i="5"/>
  <c r="D43" i="5" s="1"/>
  <c r="D49" i="5" s="1"/>
  <c r="D76" i="5" s="1"/>
  <c r="M27" i="4"/>
  <c r="M8" i="3"/>
  <c r="M12" i="3"/>
  <c r="M18" i="3"/>
  <c r="M24" i="3"/>
  <c r="M30" i="3"/>
  <c r="M36" i="3"/>
  <c r="M59" i="3"/>
  <c r="M71" i="3"/>
  <c r="M26" i="4"/>
  <c r="M29" i="4"/>
  <c r="M32" i="4"/>
  <c r="M35" i="4"/>
  <c r="M48" i="4"/>
  <c r="M61" i="4"/>
  <c r="M73" i="4"/>
  <c r="M10" i="3"/>
  <c r="M44" i="3"/>
  <c r="M47" i="3"/>
  <c r="M51" i="3"/>
  <c r="M57" i="3"/>
  <c r="M8" i="4"/>
  <c r="M12" i="4"/>
  <c r="M15" i="3"/>
  <c r="M21" i="3"/>
  <c r="M27" i="3"/>
  <c r="M33" i="3"/>
  <c r="M62" i="3"/>
  <c r="M65" i="3"/>
  <c r="M68" i="3"/>
  <c r="M57" i="4"/>
  <c r="M60" i="4"/>
  <c r="C38" i="5"/>
  <c r="C43" i="5" s="1"/>
  <c r="C49" i="5" s="1"/>
  <c r="C76" i="5" s="1"/>
  <c r="M7" i="3"/>
  <c r="F43" i="3"/>
  <c r="M63" i="3"/>
  <c r="M69" i="3"/>
  <c r="K38" i="4"/>
  <c r="K43" i="4" s="1"/>
  <c r="K49" i="4" s="1"/>
  <c r="K76" i="4" s="1"/>
  <c r="K81" i="4" s="1"/>
  <c r="M20" i="4"/>
  <c r="M31" i="4"/>
  <c r="M55" i="4"/>
  <c r="M66" i="4"/>
  <c r="I37" i="7"/>
  <c r="F75" i="2"/>
  <c r="M9" i="3"/>
  <c r="M13" i="3"/>
  <c r="M19" i="3"/>
  <c r="M25" i="3"/>
  <c r="M31" i="3"/>
  <c r="M15" i="4"/>
  <c r="M67" i="4"/>
  <c r="E38" i="2"/>
  <c r="E43" i="2" s="1"/>
  <c r="E49" i="2" s="1"/>
  <c r="E76" i="2" s="1"/>
  <c r="I38" i="3"/>
  <c r="M14" i="3"/>
  <c r="M20" i="3"/>
  <c r="M26" i="3"/>
  <c r="M32" i="3"/>
  <c r="M56" i="3"/>
  <c r="M9" i="4"/>
  <c r="M13" i="4"/>
  <c r="M21" i="4"/>
  <c r="M24" i="4"/>
  <c r="E38" i="5"/>
  <c r="E43" i="5" s="1"/>
  <c r="E49" i="5" s="1"/>
  <c r="I11" i="7"/>
  <c r="H38" i="7"/>
  <c r="H43" i="7" s="1"/>
  <c r="F76" i="7"/>
  <c r="H76" i="7" s="1"/>
  <c r="H49" i="7"/>
  <c r="M72" i="4"/>
  <c r="J38" i="3"/>
  <c r="J43" i="3" s="1"/>
  <c r="M60" i="3"/>
  <c r="M72" i="3"/>
  <c r="M22" i="4"/>
  <c r="M34" i="4"/>
  <c r="M58" i="4"/>
  <c r="M70" i="4"/>
  <c r="F37" i="5"/>
  <c r="F75" i="5"/>
  <c r="M48" i="3"/>
  <c r="M54" i="3"/>
  <c r="M66" i="3"/>
  <c r="M5" i="4"/>
  <c r="M10" i="4"/>
  <c r="M16" i="4"/>
  <c r="M28" i="4"/>
  <c r="M46" i="4"/>
  <c r="M52" i="4"/>
  <c r="M64" i="4"/>
  <c r="E38" i="6"/>
  <c r="C49" i="6"/>
  <c r="E43" i="6"/>
  <c r="M5" i="3"/>
  <c r="F11" i="5"/>
  <c r="K38" i="3"/>
  <c r="K43" i="3" s="1"/>
  <c r="F11" i="2"/>
  <c r="D38" i="1"/>
  <c r="D43" i="1" s="1"/>
  <c r="D49" i="1" s="1"/>
  <c r="D76" i="1" s="1"/>
  <c r="F37" i="1"/>
  <c r="E38" i="1"/>
  <c r="E43" i="1" s="1"/>
  <c r="E49" i="1" s="1"/>
  <c r="E76" i="1" s="1"/>
  <c r="F11" i="1"/>
  <c r="C38" i="1"/>
  <c r="C43" i="1" s="1"/>
  <c r="K87" i="4" l="1"/>
  <c r="K114" i="4" s="1"/>
  <c r="K119" i="4" s="1"/>
  <c r="J87" i="4"/>
  <c r="J114" i="4" s="1"/>
  <c r="J119" i="4" s="1"/>
  <c r="I43" i="3"/>
  <c r="L38" i="3"/>
  <c r="L43" i="3" s="1"/>
  <c r="K49" i="3"/>
  <c r="K81" i="3" s="1"/>
  <c r="K87" i="3" s="1"/>
  <c r="K114" i="3" s="1"/>
  <c r="K119" i="3" s="1"/>
  <c r="K125" i="3" s="1"/>
  <c r="K152" i="3" s="1"/>
  <c r="K157" i="3" s="1"/>
  <c r="K163" i="3" s="1"/>
  <c r="K190" i="3" s="1"/>
  <c r="J81" i="3"/>
  <c r="J87" i="3" s="1"/>
  <c r="J49" i="3"/>
  <c r="D43" i="3"/>
  <c r="G38" i="3"/>
  <c r="G43" i="3" s="1"/>
  <c r="F49" i="3"/>
  <c r="F81" i="3" s="1"/>
  <c r="F87" i="3" s="1"/>
  <c r="F119" i="3" s="1"/>
  <c r="F125" i="3" s="1"/>
  <c r="F157" i="3" s="1"/>
  <c r="F163" i="3" s="1"/>
  <c r="F190" i="3" s="1"/>
  <c r="E49" i="3"/>
  <c r="E81" i="3" s="1"/>
  <c r="E87" i="3" s="1"/>
  <c r="E119" i="3" s="1"/>
  <c r="E125" i="3" s="1"/>
  <c r="E157" i="3" s="1"/>
  <c r="E163" i="3" s="1"/>
  <c r="E190" i="3" s="1"/>
  <c r="I43" i="4"/>
  <c r="I49" i="4" s="1"/>
  <c r="L49" i="4" s="1"/>
  <c r="L38" i="4"/>
  <c r="L43" i="4" s="1"/>
  <c r="F76" i="4"/>
  <c r="F81" i="4" s="1"/>
  <c r="E76" i="4"/>
  <c r="E81" i="4" s="1"/>
  <c r="D76" i="4"/>
  <c r="G49" i="4"/>
  <c r="D114" i="6"/>
  <c r="D119" i="6" s="1"/>
  <c r="I49" i="7"/>
  <c r="F49" i="5"/>
  <c r="I76" i="7"/>
  <c r="E76" i="5"/>
  <c r="F76" i="5" s="1"/>
  <c r="F49" i="2"/>
  <c r="F76" i="2"/>
  <c r="M37" i="4"/>
  <c r="F43" i="2"/>
  <c r="M11" i="4"/>
  <c r="M37" i="3"/>
  <c r="F38" i="5"/>
  <c r="F38" i="2"/>
  <c r="M11" i="3"/>
  <c r="F43" i="5"/>
  <c r="M75" i="3"/>
  <c r="I38" i="7"/>
  <c r="I43" i="7" s="1"/>
  <c r="M75" i="4"/>
  <c r="C76" i="6"/>
  <c r="E49" i="6"/>
  <c r="C49" i="1"/>
  <c r="F43" i="1"/>
  <c r="I76" i="4"/>
  <c r="L76" i="4" s="1"/>
  <c r="L81" i="4" s="1"/>
  <c r="F38" i="1"/>
  <c r="F87" i="4" l="1"/>
  <c r="F114" i="4" s="1"/>
  <c r="F119" i="4" s="1"/>
  <c r="J125" i="4"/>
  <c r="J152" i="4" s="1"/>
  <c r="J157" i="4" s="1"/>
  <c r="J163" i="4" s="1"/>
  <c r="J190" i="4" s="1"/>
  <c r="J195" i="4" s="1"/>
  <c r="J201" i="4" s="1"/>
  <c r="J228" i="4" s="1"/>
  <c r="K125" i="4"/>
  <c r="K152" i="4" s="1"/>
  <c r="K157" i="4" s="1"/>
  <c r="G76" i="4"/>
  <c r="G81" i="4" s="1"/>
  <c r="E87" i="4"/>
  <c r="E114" i="4" s="1"/>
  <c r="E119" i="4" s="1"/>
  <c r="I49" i="3"/>
  <c r="L49" i="3" s="1"/>
  <c r="D49" i="3"/>
  <c r="G49" i="3" s="1"/>
  <c r="J114" i="3"/>
  <c r="J119" i="3" s="1"/>
  <c r="J125" i="3" s="1"/>
  <c r="J152" i="3" s="1"/>
  <c r="J157" i="3" s="1"/>
  <c r="J163" i="3" s="1"/>
  <c r="J190" i="3" s="1"/>
  <c r="D81" i="4"/>
  <c r="D87" i="4" s="1"/>
  <c r="D125" i="6"/>
  <c r="I81" i="4"/>
  <c r="E76" i="6"/>
  <c r="C81" i="6"/>
  <c r="M49" i="4"/>
  <c r="M38" i="4"/>
  <c r="M43" i="4" s="1"/>
  <c r="M38" i="3"/>
  <c r="M43" i="3" s="1"/>
  <c r="F49" i="1"/>
  <c r="C76" i="1"/>
  <c r="F76" i="1" s="1"/>
  <c r="K163" i="4" l="1"/>
  <c r="K190" i="4" s="1"/>
  <c r="K195" i="4" s="1"/>
  <c r="K201" i="4" s="1"/>
  <c r="K228" i="4" s="1"/>
  <c r="E125" i="4"/>
  <c r="E152" i="4" s="1"/>
  <c r="E157" i="4" s="1"/>
  <c r="F125" i="4"/>
  <c r="F152" i="4" s="1"/>
  <c r="F157" i="4" s="1"/>
  <c r="I87" i="4"/>
  <c r="L87" i="4" s="1"/>
  <c r="M49" i="3"/>
  <c r="D114" i="4"/>
  <c r="G87" i="4"/>
  <c r="D152" i="6"/>
  <c r="D157" i="6" s="1"/>
  <c r="D163" i="6" s="1"/>
  <c r="D190" i="6" s="1"/>
  <c r="M76" i="4"/>
  <c r="M81" i="4" s="1"/>
  <c r="I114" i="4"/>
  <c r="L114" i="4" s="1"/>
  <c r="L119" i="4" s="1"/>
  <c r="C87" i="6"/>
  <c r="E81" i="6"/>
  <c r="F163" i="4" l="1"/>
  <c r="F190" i="4" s="1"/>
  <c r="F195" i="4" s="1"/>
  <c r="F201" i="4" s="1"/>
  <c r="F228" i="4" s="1"/>
  <c r="E163" i="4"/>
  <c r="E190" i="4" s="1"/>
  <c r="E195" i="4" s="1"/>
  <c r="E201" i="4" s="1"/>
  <c r="E228" i="4" s="1"/>
  <c r="M87" i="4"/>
  <c r="L76" i="3"/>
  <c r="L81" i="3" s="1"/>
  <c r="I81" i="3"/>
  <c r="I87" i="3" s="1"/>
  <c r="G76" i="3"/>
  <c r="D81" i="3"/>
  <c r="D87" i="3" s="1"/>
  <c r="G114" i="4"/>
  <c r="G119" i="4" s="1"/>
  <c r="D119" i="4"/>
  <c r="D125" i="4" s="1"/>
  <c r="I119" i="4"/>
  <c r="C114" i="6"/>
  <c r="E87" i="6"/>
  <c r="I125" i="4" l="1"/>
  <c r="L125" i="4" s="1"/>
  <c r="I114" i="3"/>
  <c r="L87" i="3"/>
  <c r="G87" i="3"/>
  <c r="M87" i="3" s="1"/>
  <c r="G81" i="3"/>
  <c r="M76" i="3"/>
  <c r="M81" i="3" s="1"/>
  <c r="D152" i="4"/>
  <c r="G125" i="4"/>
  <c r="I152" i="4"/>
  <c r="L152" i="4" s="1"/>
  <c r="L157" i="4" s="1"/>
  <c r="M114" i="4"/>
  <c r="M119" i="4" s="1"/>
  <c r="E114" i="6"/>
  <c r="C119" i="6"/>
  <c r="M125" i="4" l="1"/>
  <c r="I119" i="3"/>
  <c r="I125" i="3" s="1"/>
  <c r="L114" i="3"/>
  <c r="L119" i="3" s="1"/>
  <c r="D119" i="3"/>
  <c r="D125" i="3" s="1"/>
  <c r="G114" i="3"/>
  <c r="G152" i="4"/>
  <c r="G157" i="4" s="1"/>
  <c r="D157" i="4"/>
  <c r="D163" i="4" s="1"/>
  <c r="I157" i="4"/>
  <c r="C125" i="6"/>
  <c r="E119" i="6"/>
  <c r="I163" i="4" l="1"/>
  <c r="L163" i="4" s="1"/>
  <c r="I152" i="3"/>
  <c r="L125" i="3"/>
  <c r="G119" i="3"/>
  <c r="M114" i="3"/>
  <c r="M119" i="3" s="1"/>
  <c r="G125" i="3"/>
  <c r="M125" i="3" s="1"/>
  <c r="M152" i="4"/>
  <c r="M157" i="4" s="1"/>
  <c r="D190" i="4"/>
  <c r="G163" i="4"/>
  <c r="I190" i="4"/>
  <c r="C152" i="6"/>
  <c r="E125" i="6"/>
  <c r="M163" i="4" l="1"/>
  <c r="G190" i="4"/>
  <c r="G195" i="4" s="1"/>
  <c r="D195" i="4"/>
  <c r="D201" i="4" s="1"/>
  <c r="L190" i="4"/>
  <c r="L195" i="4" s="1"/>
  <c r="I195" i="4"/>
  <c r="I201" i="4" s="1"/>
  <c r="L152" i="3"/>
  <c r="L157" i="3" s="1"/>
  <c r="I157" i="3"/>
  <c r="I163" i="3" s="1"/>
  <c r="G152" i="3"/>
  <c r="D157" i="3"/>
  <c r="D163" i="3" s="1"/>
  <c r="E152" i="6"/>
  <c r="C157" i="6"/>
  <c r="M190" i="4" l="1"/>
  <c r="M195" i="4" s="1"/>
  <c r="D228" i="4"/>
  <c r="G228" i="4" s="1"/>
  <c r="G201" i="4"/>
  <c r="I228" i="4"/>
  <c r="L228" i="4" s="1"/>
  <c r="M228" i="4" s="1"/>
  <c r="L201" i="4"/>
  <c r="M201" i="4" s="1"/>
  <c r="L163" i="3"/>
  <c r="I190" i="3"/>
  <c r="L190" i="3" s="1"/>
  <c r="L195" i="3" s="1"/>
  <c r="G157" i="3"/>
  <c r="M152" i="3"/>
  <c r="M157" i="3" s="1"/>
  <c r="G163" i="3"/>
  <c r="M163" i="3" s="1"/>
  <c r="D190" i="3"/>
  <c r="G190" i="3" s="1"/>
  <c r="C163" i="6"/>
  <c r="E157" i="6"/>
  <c r="M190" i="3" l="1"/>
  <c r="M195" i="3" s="1"/>
  <c r="E163" i="6"/>
  <c r="C190" i="6"/>
  <c r="E190" i="6" l="1"/>
  <c r="C195" i="6"/>
  <c r="C201" i="6" l="1"/>
  <c r="E195" i="6"/>
  <c r="E201" i="6" l="1"/>
  <c r="C228" i="6"/>
  <c r="E228" i="6" s="1"/>
</calcChain>
</file>

<file path=xl/sharedStrings.xml><?xml version="1.0" encoding="utf-8"?>
<sst xmlns="http://schemas.openxmlformats.org/spreadsheetml/2006/main" count="910" uniqueCount="58">
  <si>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</si>
  <si>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</si>
  <si>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</si>
  <si>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</si>
  <si>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初回</t>
    <rPh sb="0" eb="2">
      <t>ショカイ</t>
    </rPh>
    <phoneticPr fontId="2"/>
  </si>
  <si>
    <t>計</t>
    <rPh sb="0" eb="1">
      <t>ケイ</t>
    </rPh>
    <phoneticPr fontId="2"/>
  </si>
  <si>
    <t>ベージュ</t>
    <phoneticPr fontId="2"/>
  </si>
  <si>
    <t>腰ゴムショーツ100cc＜夢販在庫＞　H441</t>
    <rPh sb="0" eb="1">
      <t>コシ</t>
    </rPh>
    <rPh sb="13" eb="17">
      <t>ユメハンザイコ</t>
    </rPh>
    <phoneticPr fontId="2"/>
  </si>
  <si>
    <t>M</t>
    <phoneticPr fontId="2"/>
  </si>
  <si>
    <t>L</t>
    <phoneticPr fontId="2"/>
  </si>
  <si>
    <t>LL</t>
    <phoneticPr fontId="2"/>
  </si>
  <si>
    <t>腰ゴムショーツ150cc＜夢販在庫＞　H451</t>
    <rPh sb="0" eb="1">
      <t>コシ</t>
    </rPh>
    <rPh sb="13" eb="17">
      <t>ユメハンザイコ</t>
    </rPh>
    <phoneticPr fontId="2"/>
  </si>
  <si>
    <t>ピンク</t>
    <phoneticPr fontId="2"/>
  </si>
  <si>
    <t>デラックス安心パンツ200cc＜夢販在庫＞</t>
    <rPh sb="5" eb="7">
      <t>アンシン</t>
    </rPh>
    <rPh sb="16" eb="20">
      <t>ユメハンザイコ</t>
    </rPh>
    <phoneticPr fontId="2"/>
  </si>
  <si>
    <t>デラックス安心パンツ300cc＜夢販在庫＞</t>
    <rPh sb="5" eb="7">
      <t>アンシン</t>
    </rPh>
    <rPh sb="16" eb="20">
      <t>ユメハンザイコ</t>
    </rPh>
    <phoneticPr fontId="2"/>
  </si>
  <si>
    <t>10CC</t>
    <phoneticPr fontId="2"/>
  </si>
  <si>
    <t>20CC</t>
    <phoneticPr fontId="2"/>
  </si>
  <si>
    <t>軽失禁パット＜夢販在庫＞　H1021　H1022</t>
    <rPh sb="0" eb="3">
      <t>ケイシッキン</t>
    </rPh>
    <rPh sb="7" eb="11">
      <t>ユメハンザイコ</t>
    </rPh>
    <phoneticPr fontId="2"/>
  </si>
  <si>
    <t>紳士グレー　H490～</t>
    <rPh sb="0" eb="2">
      <t>シンシ</t>
    </rPh>
    <phoneticPr fontId="2"/>
  </si>
  <si>
    <t>婦人ベージュ　H493～</t>
    <rPh sb="0" eb="2">
      <t>フジン</t>
    </rPh>
    <phoneticPr fontId="2"/>
  </si>
  <si>
    <t>紳士グレー　H495～</t>
    <rPh sb="0" eb="2">
      <t>シンシ</t>
    </rPh>
    <phoneticPr fontId="2"/>
  </si>
  <si>
    <t>婦人ベージュ　H494～</t>
    <rPh sb="0" eb="2">
      <t>フジン</t>
    </rPh>
    <phoneticPr fontId="2"/>
  </si>
  <si>
    <t>ネット</t>
    <phoneticPr fontId="2"/>
  </si>
  <si>
    <t>ゆるねるレギンス</t>
    <phoneticPr fontId="2"/>
  </si>
  <si>
    <t>グレー</t>
    <phoneticPr fontId="2"/>
  </si>
  <si>
    <t>ネイビー</t>
    <phoneticPr fontId="2"/>
  </si>
  <si>
    <t>M-L</t>
    <phoneticPr fontId="2"/>
  </si>
  <si>
    <t>L-LL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</si>
  <si>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</si>
  <si>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</si>
  <si>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</si>
  <si>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</si>
  <si>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ふんどしメンズ＜夢販在庫＞　C4520C</t>
    <rPh sb="8" eb="12">
      <t>ユメハンザイコ</t>
    </rPh>
    <phoneticPr fontId="2"/>
  </si>
  <si>
    <t>ネット</t>
    <phoneticPr fontId="2"/>
  </si>
  <si>
    <t>追加</t>
    <rPh sb="0" eb="2">
      <t>ツイカ</t>
    </rPh>
    <phoneticPr fontId="2"/>
  </si>
  <si>
    <t>棚卸</t>
    <rPh sb="0" eb="2">
      <t>タナオロシ</t>
    </rPh>
    <phoneticPr fontId="2"/>
  </si>
  <si>
    <t>M-L</t>
  </si>
  <si>
    <t>L-LL</t>
  </si>
  <si>
    <t>ネット</t>
    <phoneticPr fontId="2"/>
  </si>
  <si>
    <t>ネット返品</t>
    <rPh sb="3" eb="5">
      <t>ヘンピン</t>
    </rPh>
    <phoneticPr fontId="2"/>
  </si>
  <si>
    <t>ニットトランクス140cc＜夢販在庫＞　C489</t>
    <rPh sb="14" eb="18">
      <t>ユメハンザイコ</t>
    </rPh>
    <phoneticPr fontId="2"/>
  </si>
  <si>
    <t>2410→2450</t>
    <phoneticPr fontId="2"/>
  </si>
  <si>
    <t>在庫確認</t>
    <rPh sb="0" eb="4">
      <t>ザイコカクニン</t>
    </rPh>
    <phoneticPr fontId="2"/>
  </si>
  <si>
    <t>2030、2070</t>
    <phoneticPr fontId="2"/>
  </si>
  <si>
    <t>2410→M/L2440 LL2450</t>
    <phoneticPr fontId="2"/>
  </si>
  <si>
    <t>2060、2070</t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</si>
  <si>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</si>
  <si>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</si>
  <si>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在庫確認</t>
    <rPh sb="0" eb="4">
      <t>ザイコカクニン</t>
    </rPh>
    <phoneticPr fontId="2"/>
  </si>
  <si>
    <t>在庫確認</t>
    <rPh sb="0" eb="4">
      <t>ザイコカクニン</t>
    </rPh>
    <phoneticPr fontId="2"/>
  </si>
  <si>
    <t>S</t>
    <phoneticPr fontId="2"/>
  </si>
  <si>
    <t>在庫確認</t>
    <rPh sb="0" eb="4">
      <t>ザイコカクニン</t>
    </rPh>
    <phoneticPr fontId="2"/>
  </si>
  <si>
    <t>在庫確認</t>
    <rPh sb="0" eb="4">
      <t>ザイコカクニン</t>
    </rPh>
    <phoneticPr fontId="2"/>
  </si>
  <si>
    <t>在庫確認</t>
    <rPh sb="0" eb="4">
      <t>ザイコカクニン</t>
    </rPh>
    <phoneticPr fontId="2"/>
  </si>
  <si>
    <t>追加</t>
    <rPh sb="0" eb="2">
      <t>ツイカ</t>
    </rPh>
    <phoneticPr fontId="2"/>
  </si>
  <si>
    <t>追加</t>
    <rPh sb="0" eb="2">
      <t>ツイカ</t>
    </rPh>
    <phoneticPr fontId="2"/>
  </si>
  <si>
    <t>×欠品入荷未定</t>
    <rPh sb="1" eb="3">
      <t>ケッピン</t>
    </rPh>
    <rPh sb="3" eb="7">
      <t>ニュウカミテイ</t>
    </rPh>
    <phoneticPr fontId="2"/>
  </si>
  <si>
    <t>未定</t>
    <rPh sb="0" eb="2">
      <t>ミテイ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</si>
</sst>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56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1" fillId="0" borderId="11" xfId="0" applyFont="1" applyBorder="1"/>
    <xf numFmtId="0" fontId="1" fillId="0" borderId="9" xfId="0" applyFont="1" applyBorder="1"/>
    <xf numFmtId="0" fontId="1" fillId="0" borderId="12" xfId="0" applyFont="1" applyBorder="1"/>
    <xf numFmtId="56" fontId="0" fillId="0" borderId="0" xfId="0" applyNumberFormat="1"/>
    <xf numFmtId="0" fontId="3" fillId="0" borderId="10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3" xfId="0" applyFont="1" applyBorder="1" applyAlignment="1">
      <alignment horizontal="center"/>
    </xf>
    <xf numFmtId="0" fontId="0" fillId="0" borderId="15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56" fontId="3" fillId="0" borderId="13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0" fontId="0" fillId="0" borderId="13" xfId="0" applyBorder="1"/>
    <xf numFmtId="0" fontId="0" fillId="0" borderId="14" xfId="0" applyBorder="1"/>
    <xf numFmtId="56" fontId="0" fillId="0" borderId="0" xfId="0" applyNumberFormat="1" applyAlignment="1">
      <alignment horizontal="right"/>
    </xf>
    <xf numFmtId="56" fontId="1" fillId="0" borderId="0" xfId="0" applyNumberFormat="1" applyFont="1"/>
    <xf numFmtId="56" fontId="0" fillId="0" borderId="13" xfId="0" applyNumberFormat="1" applyBorder="1" applyAlignment="1">
      <alignment horizontal="center"/>
    </xf>
    <xf numFmtId="0" fontId="0" fillId="0" borderId="21" xfId="0" applyBorder="1"/>
    <xf numFmtId="0" fontId="3" fillId="0" borderId="21" xfId="0" applyFont="1" applyBorder="1"/>
    <xf numFmtId="0" fontId="0" fillId="0" borderId="25" xfId="0" applyBorder="1"/>
    <xf numFmtId="0" fontId="3" fillId="0" borderId="25" xfId="0" applyFont="1" applyBorder="1"/>
    <xf numFmtId="0" fontId="0" fillId="0" borderId="26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3" fillId="0" borderId="23" xfId="0" applyFont="1" applyBorder="1"/>
    <xf numFmtId="0" fontId="1" fillId="0" borderId="28" xfId="0" applyFont="1" applyBorder="1"/>
    <xf numFmtId="0" fontId="0" fillId="0" borderId="23" xfId="0" applyBorder="1"/>
    <xf numFmtId="0" fontId="0" fillId="0" borderId="30" xfId="0" applyBorder="1"/>
    <xf numFmtId="0" fontId="0" fillId="0" borderId="31" xfId="0" applyBorder="1"/>
    <xf numFmtId="0" fontId="3" fillId="0" borderId="27" xfId="0" applyFont="1" applyBorder="1"/>
    <xf numFmtId="0" fontId="3" fillId="0" borderId="24" xfId="0" applyFont="1" applyBorder="1"/>
    <xf numFmtId="3" fontId="0" fillId="2" borderId="0" xfId="0" applyNumberFormat="1" applyFill="1"/>
    <xf numFmtId="0" fontId="0" fillId="0" borderId="27" xfId="0" applyBorder="1"/>
    <xf numFmtId="0" fontId="0" fillId="0" borderId="24" xfId="0" applyBorder="1"/>
    <xf numFmtId="56" fontId="0" fillId="0" borderId="10" xfId="0" applyNumberForma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10" xfId="0" applyFont="1" applyBorder="1"/>
    <xf numFmtId="56" fontId="6" fillId="0" borderId="0" xfId="0" applyNumberFormat="1" applyFont="1"/>
    <xf numFmtId="0" fontId="6" fillId="0" borderId="28" xfId="0" applyFont="1" applyBorder="1"/>
    <xf numFmtId="0" fontId="0" fillId="7" borderId="9" xfId="0" applyFill="1" applyBorder="1"/>
    <xf numFmtId="0" fontId="0" fillId="7" borderId="7" xfId="0" applyFill="1" applyBorder="1"/>
    <xf numFmtId="56" fontId="0" fillId="0" borderId="17" xfId="0" applyNumberFormat="1" applyBorder="1" applyAlignment="1">
      <alignment horizontal="center"/>
    </xf>
    <xf numFmtId="49" fontId="0" fillId="2" borderId="0" xfId="0" applyNumberFormat="1" applyFill="1"/>
    <xf numFmtId="0" fontId="3" fillId="0" borderId="5" xfId="0" applyFont="1" applyBorder="1"/>
    <xf numFmtId="0" fontId="0" fillId="8" borderId="12" xfId="0" applyFill="1" applyBorder="1"/>
    <xf numFmtId="0" fontId="7" fillId="2" borderId="0" xfId="0" applyFont="1" applyFill="1"/>
    <xf numFmtId="0" fontId="0" fillId="7" borderId="12" xfId="0" applyFill="1" applyBorder="1"/>
    <xf numFmtId="0" fontId="3" fillId="7" borderId="15" xfId="0" applyFont="1" applyFill="1" applyBorder="1"/>
    <xf numFmtId="0" fontId="3" fillId="7" borderId="7" xfId="0" applyFont="1" applyFill="1" applyBorder="1"/>
    <xf numFmtId="0" fontId="0" fillId="0" borderId="33" xfId="0" applyBorder="1" applyAlignment="1">
      <alignment horizontal="center"/>
    </xf>
    <xf numFmtId="0" fontId="3" fillId="0" borderId="34" xfId="0" applyFont="1" applyBorder="1"/>
    <xf numFmtId="0" fontId="0" fillId="0" borderId="35" xfId="0" applyBorder="1"/>
    <xf numFmtId="0" fontId="3" fillId="0" borderId="32" xfId="0" applyFont="1" applyBorder="1"/>
    <xf numFmtId="0" fontId="1" fillId="0" borderId="35" xfId="0" applyFont="1" applyBorder="1"/>
    <xf numFmtId="0" fontId="0" fillId="0" borderId="36" xfId="0" applyBorder="1"/>
    <xf numFmtId="0" fontId="0" fillId="0" borderId="32" xfId="0" applyBorder="1"/>
    <xf numFmtId="56" fontId="3" fillId="0" borderId="9" xfId="0" applyNumberFormat="1" applyFont="1" applyBorder="1" applyAlignment="1">
      <alignment horizontal="center"/>
    </xf>
    <xf numFmtId="0" fontId="3" fillId="0" borderId="36" xfId="0" applyFont="1" applyBorder="1"/>
    <xf numFmtId="0" fontId="3" fillId="0" borderId="15" xfId="0" applyFont="1" applyBorder="1"/>
    <xf numFmtId="0" fontId="3" fillId="0" borderId="29" xfId="0" applyFont="1" applyBorder="1"/>
    <xf numFmtId="0" fontId="3" fillId="0" borderId="6" xfId="0" applyFont="1" applyBorder="1"/>
    <xf numFmtId="0" fontId="3" fillId="0" borderId="0" xfId="0" applyFont="1"/>
    <xf numFmtId="0" fontId="0" fillId="9" borderId="35" xfId="0" applyFill="1" applyBorder="1"/>
    <xf numFmtId="0" fontId="0" fillId="0" borderId="0" xfId="0" applyAlignment="1">
      <alignment horizontal="left"/>
    </xf>
    <xf numFmtId="0" fontId="0" fillId="7" borderId="28" xfId="0" applyFill="1" applyBorder="1"/>
    <xf numFmtId="0" fontId="5" fillId="5" borderId="21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6" borderId="18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28"/>
  <sheetViews>
    <sheetView topLeftCell="A198" zoomScaleNormal="100" workbookViewId="0">
      <selection activeCell="B214" sqref="B214"/>
    </sheetView>
  </sheetViews>
  <sheetFormatPr defaultRowHeight="13.5" x14ac:dyDescent="0.15"/>
  <cols>
    <col min="2" max="2" width="22.75" style="1" customWidth="1"/>
    <col min="3" max="4" width="11.75" customWidth="1"/>
    <col min="5" max="5" width="11.375" customWidth="1"/>
    <col min="6" max="6" width="9.25" bestFit="1" customWidth="1"/>
  </cols>
  <sheetData>
    <row r="2" spans="2:6" ht="19.5" thickBot="1" x14ac:dyDescent="0.25">
      <c r="B2" s="36" t="s">
        <v>17</v>
      </c>
      <c r="C2" s="35"/>
      <c r="D2" s="35"/>
      <c r="E2" s="35"/>
      <c r="F2" s="56"/>
    </row>
    <row r="3" spans="2:6" ht="14.25" thickBot="1" x14ac:dyDescent="0.2">
      <c r="B3" s="34"/>
      <c r="C3" s="99"/>
      <c r="D3" s="100"/>
      <c r="E3" s="101"/>
    </row>
    <row r="4" spans="2:6" s="1" customFormat="1" ht="14.25" thickBot="1" x14ac:dyDescent="0.2">
      <c r="B4" s="32"/>
      <c r="C4" s="33" t="s">
        <v>15</v>
      </c>
      <c r="D4" s="32" t="s">
        <v>16</v>
      </c>
      <c r="E4" s="7" t="s">
        <v>5</v>
      </c>
    </row>
    <row r="5" spans="2:6" ht="14.25" customHeight="1" x14ac:dyDescent="0.15">
      <c r="B5" s="41" t="s">
        <v>4</v>
      </c>
      <c r="C5" s="38">
        <v>10</v>
      </c>
      <c r="D5" s="37">
        <v>10</v>
      </c>
      <c r="E5" s="13">
        <f t="shared" ref="E5:E38" si="0">SUM(C5:D5)</f>
        <v>20</v>
      </c>
      <c r="F5" s="20">
        <v>44595</v>
      </c>
    </row>
    <row r="6" spans="2:6" x14ac:dyDescent="0.15">
      <c r="B6" s="29" t="s">
        <v>3</v>
      </c>
      <c r="C6" s="16">
        <v>10</v>
      </c>
      <c r="D6" s="15">
        <v>10</v>
      </c>
      <c r="E6" s="13">
        <f t="shared" si="0"/>
        <v>20</v>
      </c>
      <c r="F6" s="20">
        <v>44630</v>
      </c>
    </row>
    <row r="7" spans="2:6" x14ac:dyDescent="0.15">
      <c r="B7" s="29" t="s">
        <v>3</v>
      </c>
      <c r="C7" s="16"/>
      <c r="D7" s="15">
        <v>10</v>
      </c>
      <c r="E7" s="13">
        <f t="shared" si="0"/>
        <v>10</v>
      </c>
      <c r="F7" s="20">
        <v>44691</v>
      </c>
    </row>
    <row r="8" spans="2:6" x14ac:dyDescent="0.15">
      <c r="B8" s="29" t="s">
        <v>3</v>
      </c>
      <c r="C8" s="16"/>
      <c r="D8" s="15"/>
      <c r="E8" s="13">
        <f t="shared" si="0"/>
        <v>0</v>
      </c>
      <c r="F8" s="20"/>
    </row>
    <row r="9" spans="2:6" x14ac:dyDescent="0.15">
      <c r="B9" s="29" t="s">
        <v>3</v>
      </c>
      <c r="C9" s="16"/>
      <c r="D9" s="15"/>
      <c r="E9" s="13">
        <f t="shared" si="0"/>
        <v>0</v>
      </c>
      <c r="F9" s="20"/>
    </row>
    <row r="10" spans="2:6" ht="14.25" thickBot="1" x14ac:dyDescent="0.2">
      <c r="B10" s="28" t="s">
        <v>3</v>
      </c>
      <c r="C10" s="27"/>
      <c r="D10" s="10"/>
      <c r="E10" s="13">
        <f t="shared" si="0"/>
        <v>0</v>
      </c>
      <c r="F10" s="20"/>
    </row>
    <row r="11" spans="2:6" ht="14.25" thickBot="1" x14ac:dyDescent="0.2">
      <c r="B11" s="26" t="s">
        <v>2</v>
      </c>
      <c r="C11" s="24">
        <f>SUM(C5:C10)</f>
        <v>20</v>
      </c>
      <c r="D11" s="24">
        <f>SUM(D5:D10)</f>
        <v>30</v>
      </c>
      <c r="E11" s="24">
        <f t="shared" si="0"/>
        <v>50</v>
      </c>
    </row>
    <row r="12" spans="2:6" x14ac:dyDescent="0.15">
      <c r="B12" s="41" t="s">
        <v>22</v>
      </c>
      <c r="C12" s="38"/>
      <c r="D12" s="37">
        <v>1</v>
      </c>
      <c r="E12" s="13">
        <f t="shared" si="0"/>
        <v>1</v>
      </c>
      <c r="F12" s="20">
        <v>44599</v>
      </c>
    </row>
    <row r="13" spans="2:6" x14ac:dyDescent="0.15">
      <c r="B13" s="12" t="s">
        <v>22</v>
      </c>
      <c r="C13" s="16">
        <v>1</v>
      </c>
      <c r="D13" s="15">
        <v>1</v>
      </c>
      <c r="E13" s="13">
        <f t="shared" si="0"/>
        <v>2</v>
      </c>
      <c r="F13" s="20">
        <v>44601</v>
      </c>
    </row>
    <row r="14" spans="2:6" x14ac:dyDescent="0.15">
      <c r="B14" s="12" t="s">
        <v>22</v>
      </c>
      <c r="C14" s="16"/>
      <c r="D14" s="15">
        <v>1</v>
      </c>
      <c r="E14" s="13">
        <f t="shared" si="0"/>
        <v>1</v>
      </c>
      <c r="F14" s="20">
        <v>44613</v>
      </c>
    </row>
    <row r="15" spans="2:6" x14ac:dyDescent="0.15">
      <c r="B15" s="12" t="s">
        <v>22</v>
      </c>
      <c r="C15" s="16">
        <v>1</v>
      </c>
      <c r="D15" s="15"/>
      <c r="E15" s="13">
        <f t="shared" si="0"/>
        <v>1</v>
      </c>
      <c r="F15" s="20">
        <v>44616</v>
      </c>
    </row>
    <row r="16" spans="2:6" x14ac:dyDescent="0.15">
      <c r="B16" s="12" t="s">
        <v>22</v>
      </c>
      <c r="C16" s="16">
        <v>3</v>
      </c>
      <c r="D16" s="15">
        <v>1</v>
      </c>
      <c r="E16" s="13">
        <f t="shared" si="0"/>
        <v>4</v>
      </c>
      <c r="F16" s="20">
        <v>44617</v>
      </c>
    </row>
    <row r="17" spans="2:6" x14ac:dyDescent="0.15">
      <c r="B17" s="12" t="s">
        <v>22</v>
      </c>
      <c r="C17" s="16"/>
      <c r="D17" s="15">
        <v>1</v>
      </c>
      <c r="E17" s="13">
        <f t="shared" si="0"/>
        <v>1</v>
      </c>
      <c r="F17" s="20">
        <v>44623</v>
      </c>
    </row>
    <row r="18" spans="2:6" x14ac:dyDescent="0.15">
      <c r="B18" s="12" t="s">
        <v>22</v>
      </c>
      <c r="C18" s="16"/>
      <c r="D18" s="15">
        <v>2</v>
      </c>
      <c r="E18" s="13">
        <f t="shared" si="0"/>
        <v>2</v>
      </c>
      <c r="F18" s="20">
        <v>44628</v>
      </c>
    </row>
    <row r="19" spans="2:6" x14ac:dyDescent="0.15">
      <c r="B19" s="12" t="s">
        <v>22</v>
      </c>
      <c r="C19" s="19"/>
      <c r="D19" s="18">
        <v>1</v>
      </c>
      <c r="E19" s="13">
        <f t="shared" si="0"/>
        <v>1</v>
      </c>
      <c r="F19" s="20">
        <v>44630</v>
      </c>
    </row>
    <row r="20" spans="2:6" x14ac:dyDescent="0.15">
      <c r="B20" s="12" t="s">
        <v>22</v>
      </c>
      <c r="C20" s="19">
        <v>1</v>
      </c>
      <c r="D20" s="18"/>
      <c r="E20" s="13">
        <f t="shared" si="0"/>
        <v>1</v>
      </c>
      <c r="F20" s="20">
        <v>44642</v>
      </c>
    </row>
    <row r="21" spans="2:6" x14ac:dyDescent="0.15">
      <c r="B21" s="12" t="s">
        <v>22</v>
      </c>
      <c r="C21" s="16"/>
      <c r="D21" s="15">
        <v>1</v>
      </c>
      <c r="E21" s="13">
        <f t="shared" si="0"/>
        <v>1</v>
      </c>
      <c r="F21" s="20">
        <v>44649</v>
      </c>
    </row>
    <row r="22" spans="2:6" x14ac:dyDescent="0.15">
      <c r="B22" s="12" t="s">
        <v>22</v>
      </c>
      <c r="C22" s="19">
        <v>1</v>
      </c>
      <c r="D22" s="18"/>
      <c r="E22" s="13">
        <f t="shared" si="0"/>
        <v>1</v>
      </c>
      <c r="F22" s="40">
        <v>44651</v>
      </c>
    </row>
    <row r="23" spans="2:6" x14ac:dyDescent="0.15">
      <c r="B23" s="12" t="s">
        <v>22</v>
      </c>
      <c r="C23" s="19"/>
      <c r="D23" s="18">
        <v>1</v>
      </c>
      <c r="E23" s="13">
        <f t="shared" si="0"/>
        <v>1</v>
      </c>
      <c r="F23" s="40">
        <v>44655</v>
      </c>
    </row>
    <row r="24" spans="2:6" x14ac:dyDescent="0.15">
      <c r="B24" s="12" t="s">
        <v>22</v>
      </c>
      <c r="C24" s="16"/>
      <c r="D24" s="15">
        <v>1</v>
      </c>
      <c r="E24" s="13">
        <f t="shared" si="0"/>
        <v>1</v>
      </c>
      <c r="F24" s="20">
        <v>44662</v>
      </c>
    </row>
    <row r="25" spans="2:6" x14ac:dyDescent="0.15">
      <c r="B25" s="12" t="s">
        <v>22</v>
      </c>
      <c r="C25" s="19">
        <v>1</v>
      </c>
      <c r="D25" s="18">
        <v>1</v>
      </c>
      <c r="E25" s="13">
        <f t="shared" si="0"/>
        <v>2</v>
      </c>
      <c r="F25" s="40">
        <v>44669</v>
      </c>
    </row>
    <row r="26" spans="2:6" x14ac:dyDescent="0.15">
      <c r="B26" s="12" t="s">
        <v>22</v>
      </c>
      <c r="C26" s="19"/>
      <c r="D26" s="18">
        <f>2+1</f>
        <v>3</v>
      </c>
      <c r="E26" s="13">
        <f t="shared" si="0"/>
        <v>3</v>
      </c>
      <c r="F26" s="40">
        <v>44679</v>
      </c>
    </row>
    <row r="27" spans="2:6" x14ac:dyDescent="0.15">
      <c r="B27" s="12" t="s">
        <v>22</v>
      </c>
      <c r="C27" s="19"/>
      <c r="D27" s="18">
        <v>1</v>
      </c>
      <c r="E27" s="13">
        <f t="shared" si="0"/>
        <v>1</v>
      </c>
      <c r="F27" s="40">
        <v>44688</v>
      </c>
    </row>
    <row r="28" spans="2:6" x14ac:dyDescent="0.15">
      <c r="B28" s="12" t="s">
        <v>22</v>
      </c>
      <c r="C28" s="19"/>
      <c r="D28" s="18">
        <v>1</v>
      </c>
      <c r="E28" s="13">
        <f t="shared" si="0"/>
        <v>1</v>
      </c>
      <c r="F28" s="40">
        <v>44690</v>
      </c>
    </row>
    <row r="29" spans="2:6" x14ac:dyDescent="0.15">
      <c r="B29" s="12" t="s">
        <v>22</v>
      </c>
      <c r="C29" s="19"/>
      <c r="D29" s="18">
        <v>1</v>
      </c>
      <c r="E29" s="13">
        <f t="shared" si="0"/>
        <v>1</v>
      </c>
      <c r="F29" s="40">
        <v>44691</v>
      </c>
    </row>
    <row r="30" spans="2:6" x14ac:dyDescent="0.15">
      <c r="B30" s="12" t="s">
        <v>22</v>
      </c>
      <c r="C30" s="19"/>
      <c r="D30" s="18">
        <v>1</v>
      </c>
      <c r="E30" s="13">
        <f t="shared" si="0"/>
        <v>1</v>
      </c>
      <c r="F30" s="40">
        <v>44699</v>
      </c>
    </row>
    <row r="31" spans="2:6" x14ac:dyDescent="0.15">
      <c r="B31" s="12" t="s">
        <v>22</v>
      </c>
      <c r="C31" s="16">
        <v>1</v>
      </c>
      <c r="D31" s="15">
        <v>1</v>
      </c>
      <c r="E31" s="13">
        <f t="shared" si="0"/>
        <v>2</v>
      </c>
      <c r="F31" s="39">
        <v>44704</v>
      </c>
    </row>
    <row r="32" spans="2:6" x14ac:dyDescent="0.15">
      <c r="B32" s="12" t="s">
        <v>22</v>
      </c>
      <c r="C32" s="16"/>
      <c r="D32" s="15">
        <v>2</v>
      </c>
      <c r="E32" s="13">
        <f t="shared" si="0"/>
        <v>2</v>
      </c>
      <c r="F32" s="39">
        <v>44706</v>
      </c>
    </row>
    <row r="33" spans="2:6" x14ac:dyDescent="0.15">
      <c r="B33" s="12" t="s">
        <v>22</v>
      </c>
      <c r="C33" s="16">
        <v>1</v>
      </c>
      <c r="D33" s="15"/>
      <c r="E33" s="13">
        <f t="shared" si="0"/>
        <v>1</v>
      </c>
      <c r="F33" s="39">
        <v>44707</v>
      </c>
    </row>
    <row r="34" spans="2:6" x14ac:dyDescent="0.15">
      <c r="B34" s="12" t="s">
        <v>22</v>
      </c>
      <c r="C34" s="16">
        <v>1</v>
      </c>
      <c r="D34" s="15"/>
      <c r="E34" s="13">
        <f t="shared" si="0"/>
        <v>1</v>
      </c>
      <c r="F34" s="39">
        <v>44740</v>
      </c>
    </row>
    <row r="35" spans="2:6" x14ac:dyDescent="0.15">
      <c r="B35" s="12" t="s">
        <v>22</v>
      </c>
      <c r="C35" s="16"/>
      <c r="D35" s="15">
        <v>1</v>
      </c>
      <c r="E35" s="13">
        <f t="shared" si="0"/>
        <v>1</v>
      </c>
      <c r="F35" s="39">
        <v>44748</v>
      </c>
    </row>
    <row r="36" spans="2:6" ht="14.25" thickBot="1" x14ac:dyDescent="0.2">
      <c r="B36" s="12" t="s">
        <v>22</v>
      </c>
      <c r="C36" s="11">
        <f>1+1</f>
        <v>2</v>
      </c>
      <c r="D36" s="10"/>
      <c r="E36" s="8">
        <f t="shared" si="0"/>
        <v>2</v>
      </c>
      <c r="F36" s="39">
        <v>44767</v>
      </c>
    </row>
    <row r="37" spans="2:6" ht="14.25" thickBot="1" x14ac:dyDescent="0.2">
      <c r="B37" s="7" t="s">
        <v>1</v>
      </c>
      <c r="C37" s="6">
        <f>SUM(C12:C36)</f>
        <v>13</v>
      </c>
      <c r="D37" s="5">
        <f>SUM(D12:D36)</f>
        <v>23</v>
      </c>
      <c r="E37" s="5">
        <f t="shared" si="0"/>
        <v>36</v>
      </c>
    </row>
    <row r="38" spans="2:6" ht="14.25" thickBot="1" x14ac:dyDescent="0.2">
      <c r="B38" s="4" t="s">
        <v>0</v>
      </c>
      <c r="C38" s="3">
        <f>+C11-C37</f>
        <v>7</v>
      </c>
      <c r="D38" s="2">
        <f>+D11-D37</f>
        <v>7</v>
      </c>
      <c r="E38" s="2">
        <f t="shared" si="0"/>
        <v>14</v>
      </c>
    </row>
    <row r="40" spans="2:6" ht="19.5" thickBot="1" x14ac:dyDescent="0.25">
      <c r="B40" s="36" t="s">
        <v>17</v>
      </c>
      <c r="C40" s="35"/>
      <c r="D40" s="35"/>
      <c r="E40" s="35"/>
      <c r="F40" s="56">
        <v>390445</v>
      </c>
    </row>
    <row r="41" spans="2:6" ht="14.25" thickBot="1" x14ac:dyDescent="0.2">
      <c r="B41" s="34"/>
      <c r="C41" s="99"/>
      <c r="D41" s="100"/>
      <c r="E41" s="101"/>
    </row>
    <row r="42" spans="2:6" s="1" customFormat="1" ht="14.25" thickBot="1" x14ac:dyDescent="0.2">
      <c r="B42" s="32"/>
      <c r="C42" s="33" t="s">
        <v>15</v>
      </c>
      <c r="D42" s="32" t="s">
        <v>16</v>
      </c>
      <c r="E42" s="31" t="s">
        <v>5</v>
      </c>
    </row>
    <row r="43" spans="2:6" ht="14.25" customHeight="1" x14ac:dyDescent="0.15">
      <c r="B43" s="30" t="s">
        <v>0</v>
      </c>
      <c r="C43" s="23">
        <f>C38</f>
        <v>7</v>
      </c>
      <c r="D43" s="22">
        <f>D38</f>
        <v>7</v>
      </c>
      <c r="E43" s="22">
        <f t="shared" ref="E43:E76" si="1">SUM(C43:D43)</f>
        <v>14</v>
      </c>
      <c r="F43" s="20"/>
    </row>
    <row r="44" spans="2:6" x14ac:dyDescent="0.15">
      <c r="B44" s="60" t="s">
        <v>35</v>
      </c>
      <c r="C44" s="61">
        <v>0</v>
      </c>
      <c r="D44" s="62">
        <v>0</v>
      </c>
      <c r="E44" s="64">
        <f t="shared" si="1"/>
        <v>0</v>
      </c>
      <c r="F44" s="65">
        <v>44796</v>
      </c>
    </row>
    <row r="45" spans="2:6" x14ac:dyDescent="0.15">
      <c r="B45" s="29" t="s">
        <v>3</v>
      </c>
      <c r="C45" s="16">
        <v>5</v>
      </c>
      <c r="D45" s="15">
        <v>20</v>
      </c>
      <c r="E45" s="13">
        <f t="shared" ref="E45" si="2">SUM(C45:D45)</f>
        <v>25</v>
      </c>
      <c r="F45" s="20">
        <v>44797</v>
      </c>
    </row>
    <row r="46" spans="2:6" x14ac:dyDescent="0.15">
      <c r="B46" s="29" t="s">
        <v>3</v>
      </c>
      <c r="C46" s="16"/>
      <c r="D46" s="15">
        <v>20</v>
      </c>
      <c r="E46" s="13">
        <f t="shared" si="1"/>
        <v>20</v>
      </c>
      <c r="F46" s="20">
        <v>44960</v>
      </c>
    </row>
    <row r="47" spans="2:6" x14ac:dyDescent="0.15">
      <c r="B47" s="29" t="s">
        <v>3</v>
      </c>
      <c r="C47" s="16"/>
      <c r="D47" s="15"/>
      <c r="E47" s="13">
        <f t="shared" si="1"/>
        <v>0</v>
      </c>
      <c r="F47" s="20"/>
    </row>
    <row r="48" spans="2:6" ht="14.25" thickBot="1" x14ac:dyDescent="0.2">
      <c r="B48" s="28" t="s">
        <v>3</v>
      </c>
      <c r="C48" s="27"/>
      <c r="D48" s="10"/>
      <c r="E48" s="8">
        <f t="shared" si="1"/>
        <v>0</v>
      </c>
      <c r="F48" s="20"/>
    </row>
    <row r="49" spans="2:6" ht="14.25" thickBot="1" x14ac:dyDescent="0.2">
      <c r="B49" s="26" t="s">
        <v>2</v>
      </c>
      <c r="C49" s="24">
        <f>SUM(C43:C48)</f>
        <v>12</v>
      </c>
      <c r="D49" s="24">
        <f>SUM(D43:D48)</f>
        <v>47</v>
      </c>
      <c r="E49" s="24">
        <f t="shared" si="1"/>
        <v>59</v>
      </c>
    </row>
    <row r="50" spans="2:6" x14ac:dyDescent="0.15">
      <c r="B50" s="12" t="s">
        <v>22</v>
      </c>
      <c r="C50" s="38">
        <v>1</v>
      </c>
      <c r="D50" s="37"/>
      <c r="E50" s="13">
        <f t="shared" si="1"/>
        <v>1</v>
      </c>
      <c r="F50" s="20">
        <v>44776</v>
      </c>
    </row>
    <row r="51" spans="2:6" x14ac:dyDescent="0.15">
      <c r="B51" s="12" t="s">
        <v>22</v>
      </c>
      <c r="C51" s="16"/>
      <c r="D51" s="15">
        <v>1</v>
      </c>
      <c r="E51" s="13">
        <f t="shared" si="1"/>
        <v>1</v>
      </c>
      <c r="F51" s="20">
        <v>44781</v>
      </c>
    </row>
    <row r="52" spans="2:6" x14ac:dyDescent="0.15">
      <c r="B52" s="12" t="s">
        <v>22</v>
      </c>
      <c r="C52" s="16">
        <v>1</v>
      </c>
      <c r="D52" s="15">
        <v>2</v>
      </c>
      <c r="E52" s="13">
        <f t="shared" si="1"/>
        <v>3</v>
      </c>
      <c r="F52" s="20">
        <v>44790</v>
      </c>
    </row>
    <row r="53" spans="2:6" x14ac:dyDescent="0.15">
      <c r="B53" s="12" t="s">
        <v>22</v>
      </c>
      <c r="C53" s="16"/>
      <c r="D53" s="15">
        <v>4</v>
      </c>
      <c r="E53" s="13">
        <f t="shared" si="1"/>
        <v>4</v>
      </c>
      <c r="F53" s="20">
        <v>44791</v>
      </c>
    </row>
    <row r="54" spans="2:6" x14ac:dyDescent="0.15">
      <c r="B54" s="12" t="s">
        <v>22</v>
      </c>
      <c r="C54" s="16"/>
      <c r="D54" s="15">
        <v>1</v>
      </c>
      <c r="E54" s="13">
        <f t="shared" si="1"/>
        <v>1</v>
      </c>
      <c r="F54" s="20">
        <v>44799</v>
      </c>
    </row>
    <row r="55" spans="2:6" x14ac:dyDescent="0.15">
      <c r="B55" s="12" t="s">
        <v>22</v>
      </c>
      <c r="C55" s="16"/>
      <c r="D55" s="15">
        <v>3</v>
      </c>
      <c r="E55" s="13">
        <f t="shared" si="1"/>
        <v>3</v>
      </c>
      <c r="F55" s="20">
        <v>44816</v>
      </c>
    </row>
    <row r="56" spans="2:6" x14ac:dyDescent="0.15">
      <c r="B56" s="12" t="s">
        <v>22</v>
      </c>
      <c r="C56" s="16"/>
      <c r="D56" s="15">
        <v>1</v>
      </c>
      <c r="E56" s="13">
        <f t="shared" si="1"/>
        <v>1</v>
      </c>
      <c r="F56" s="20">
        <v>44817</v>
      </c>
    </row>
    <row r="57" spans="2:6" x14ac:dyDescent="0.15">
      <c r="B57" s="12" t="s">
        <v>22</v>
      </c>
      <c r="C57" s="19"/>
      <c r="D57" s="18">
        <v>1</v>
      </c>
      <c r="E57" s="13">
        <f t="shared" si="1"/>
        <v>1</v>
      </c>
      <c r="F57" s="20">
        <v>44837</v>
      </c>
    </row>
    <row r="58" spans="2:6" x14ac:dyDescent="0.15">
      <c r="B58" s="12" t="s">
        <v>22</v>
      </c>
      <c r="C58" s="19"/>
      <c r="D58" s="18">
        <v>1</v>
      </c>
      <c r="E58" s="13">
        <f t="shared" si="1"/>
        <v>1</v>
      </c>
      <c r="F58" s="20">
        <v>44845</v>
      </c>
    </row>
    <row r="59" spans="2:6" x14ac:dyDescent="0.15">
      <c r="B59" s="12" t="s">
        <v>22</v>
      </c>
      <c r="C59" s="16"/>
      <c r="D59" s="15">
        <v>1</v>
      </c>
      <c r="E59" s="13">
        <f t="shared" si="1"/>
        <v>1</v>
      </c>
      <c r="F59" s="20">
        <v>44867</v>
      </c>
    </row>
    <row r="60" spans="2:6" x14ac:dyDescent="0.15">
      <c r="B60" s="12" t="s">
        <v>22</v>
      </c>
      <c r="C60" s="19"/>
      <c r="D60" s="18">
        <v>1</v>
      </c>
      <c r="E60" s="13">
        <f t="shared" si="1"/>
        <v>1</v>
      </c>
      <c r="F60" s="40">
        <v>44874</v>
      </c>
    </row>
    <row r="61" spans="2:6" x14ac:dyDescent="0.15">
      <c r="B61" s="12" t="s">
        <v>22</v>
      </c>
      <c r="C61" s="19"/>
      <c r="D61" s="18">
        <v>1</v>
      </c>
      <c r="E61" s="13">
        <f t="shared" si="1"/>
        <v>1</v>
      </c>
      <c r="F61" s="40">
        <v>44879</v>
      </c>
    </row>
    <row r="62" spans="2:6" x14ac:dyDescent="0.15">
      <c r="B62" s="12" t="s">
        <v>22</v>
      </c>
      <c r="C62" s="16"/>
      <c r="D62" s="15">
        <v>1</v>
      </c>
      <c r="E62" s="13">
        <f t="shared" si="1"/>
        <v>1</v>
      </c>
      <c r="F62" s="20">
        <v>44884</v>
      </c>
    </row>
    <row r="63" spans="2:6" x14ac:dyDescent="0.15">
      <c r="B63" s="12" t="s">
        <v>22</v>
      </c>
      <c r="C63" s="19"/>
      <c r="D63" s="18">
        <v>1</v>
      </c>
      <c r="E63" s="13">
        <f t="shared" si="1"/>
        <v>1</v>
      </c>
      <c r="F63" s="40">
        <v>44889</v>
      </c>
    </row>
    <row r="64" spans="2:6" x14ac:dyDescent="0.15">
      <c r="B64" s="12" t="s">
        <v>22</v>
      </c>
      <c r="C64" s="19">
        <v>3</v>
      </c>
      <c r="D64" s="18">
        <v>1</v>
      </c>
      <c r="E64" s="13">
        <f t="shared" si="1"/>
        <v>4</v>
      </c>
      <c r="F64" s="40">
        <v>44901</v>
      </c>
    </row>
    <row r="65" spans="1:6" x14ac:dyDescent="0.15">
      <c r="B65" s="12" t="s">
        <v>22</v>
      </c>
      <c r="C65" s="19"/>
      <c r="D65" s="18">
        <v>1</v>
      </c>
      <c r="E65" s="13">
        <f t="shared" si="1"/>
        <v>1</v>
      </c>
      <c r="F65" s="40">
        <v>44908</v>
      </c>
    </row>
    <row r="66" spans="1:6" x14ac:dyDescent="0.15">
      <c r="B66" s="12" t="s">
        <v>22</v>
      </c>
      <c r="C66" s="19"/>
      <c r="D66" s="18">
        <v>1</v>
      </c>
      <c r="E66" s="13">
        <f t="shared" si="1"/>
        <v>1</v>
      </c>
      <c r="F66" s="40">
        <v>44918</v>
      </c>
    </row>
    <row r="67" spans="1:6" x14ac:dyDescent="0.15">
      <c r="B67" s="12" t="s">
        <v>22</v>
      </c>
      <c r="C67" s="19"/>
      <c r="D67" s="18">
        <v>1</v>
      </c>
      <c r="E67" s="13">
        <f t="shared" si="1"/>
        <v>1</v>
      </c>
      <c r="F67" s="40">
        <v>44931</v>
      </c>
    </row>
    <row r="68" spans="1:6" x14ac:dyDescent="0.15">
      <c r="B68" s="12" t="s">
        <v>22</v>
      </c>
      <c r="C68" s="19"/>
      <c r="D68" s="18">
        <v>1</v>
      </c>
      <c r="E68" s="13">
        <f t="shared" si="1"/>
        <v>1</v>
      </c>
      <c r="F68" s="40">
        <v>44938</v>
      </c>
    </row>
    <row r="69" spans="1:6" x14ac:dyDescent="0.15">
      <c r="B69" s="12" t="s">
        <v>22</v>
      </c>
      <c r="C69" s="16"/>
      <c r="D69" s="15">
        <v>1</v>
      </c>
      <c r="E69" s="13">
        <f t="shared" si="1"/>
        <v>1</v>
      </c>
      <c r="F69" s="39">
        <v>44943</v>
      </c>
    </row>
    <row r="70" spans="1:6" x14ac:dyDescent="0.15">
      <c r="B70" s="12" t="s">
        <v>22</v>
      </c>
      <c r="C70" s="16"/>
      <c r="D70" s="15">
        <v>1</v>
      </c>
      <c r="E70" s="13">
        <f t="shared" si="1"/>
        <v>1</v>
      </c>
      <c r="F70" s="39">
        <v>44949</v>
      </c>
    </row>
    <row r="71" spans="1:6" x14ac:dyDescent="0.15">
      <c r="B71" s="12" t="s">
        <v>22</v>
      </c>
      <c r="C71" s="16">
        <v>1</v>
      </c>
      <c r="D71" s="15"/>
      <c r="E71" s="13">
        <f t="shared" si="1"/>
        <v>1</v>
      </c>
      <c r="F71" s="39">
        <v>44952</v>
      </c>
    </row>
    <row r="72" spans="1:6" x14ac:dyDescent="0.15">
      <c r="B72" s="12" t="s">
        <v>22</v>
      </c>
      <c r="C72" s="16"/>
      <c r="D72" s="15">
        <v>1</v>
      </c>
      <c r="E72" s="13">
        <f t="shared" si="1"/>
        <v>1</v>
      </c>
      <c r="F72" s="39">
        <v>44953</v>
      </c>
    </row>
    <row r="73" spans="1:6" x14ac:dyDescent="0.15">
      <c r="B73" s="12" t="s">
        <v>22</v>
      </c>
      <c r="C73" s="16">
        <v>1</v>
      </c>
      <c r="D73" s="15"/>
      <c r="E73" s="13">
        <f t="shared" si="1"/>
        <v>1</v>
      </c>
      <c r="F73" s="39">
        <v>44958</v>
      </c>
    </row>
    <row r="74" spans="1:6" ht="14.25" thickBot="1" x14ac:dyDescent="0.2">
      <c r="B74" s="12" t="s">
        <v>22</v>
      </c>
      <c r="C74" s="11">
        <v>1</v>
      </c>
      <c r="D74" s="10"/>
      <c r="E74" s="8">
        <f t="shared" si="1"/>
        <v>1</v>
      </c>
      <c r="F74" s="39">
        <v>44959</v>
      </c>
    </row>
    <row r="75" spans="1:6" ht="14.25" thickBot="1" x14ac:dyDescent="0.2">
      <c r="B75" s="7" t="s">
        <v>1</v>
      </c>
      <c r="C75" s="6">
        <f>SUM(C50:C74)</f>
        <v>8</v>
      </c>
      <c r="D75" s="5">
        <f>SUM(D50:D74)</f>
        <v>27</v>
      </c>
      <c r="E75" s="5">
        <f t="shared" si="1"/>
        <v>35</v>
      </c>
    </row>
    <row r="76" spans="1:6" ht="14.25" thickBot="1" x14ac:dyDescent="0.2">
      <c r="B76" s="4" t="s">
        <v>0</v>
      </c>
      <c r="C76" s="3">
        <f>+C49-C75</f>
        <v>4</v>
      </c>
      <c r="D76" s="2">
        <f>+D49-D75</f>
        <v>20</v>
      </c>
      <c r="E76" s="2">
        <f t="shared" si="1"/>
        <v>24</v>
      </c>
    </row>
    <row r="78" spans="1:6" ht="19.5" thickBot="1" x14ac:dyDescent="0.25">
      <c r="B78" s="36" t="s">
        <v>17</v>
      </c>
      <c r="C78" s="35"/>
      <c r="D78" s="35"/>
      <c r="E78" s="35"/>
      <c r="F78" s="56">
        <v>390445</v>
      </c>
    </row>
    <row r="79" spans="1:6" ht="14.25" thickBot="1" x14ac:dyDescent="0.2">
      <c r="B79" s="34"/>
      <c r="C79" s="99"/>
      <c r="D79" s="100"/>
      <c r="E79" s="101"/>
    </row>
    <row r="80" spans="1:6" ht="14.25" thickBot="1" x14ac:dyDescent="0.2">
      <c r="A80" s="1"/>
      <c r="B80" s="32"/>
      <c r="C80" s="33" t="s">
        <v>15</v>
      </c>
      <c r="D80" s="32" t="s">
        <v>16</v>
      </c>
      <c r="E80" s="31" t="s">
        <v>5</v>
      </c>
      <c r="F80" s="1"/>
    </row>
    <row r="81" spans="2:6" x14ac:dyDescent="0.15">
      <c r="B81" s="30" t="s">
        <v>0</v>
      </c>
      <c r="C81" s="23">
        <f>C76</f>
        <v>4</v>
      </c>
      <c r="D81" s="22">
        <f>D76</f>
        <v>20</v>
      </c>
      <c r="E81" s="22">
        <f t="shared" ref="E81:E114" si="3">SUM(C81:D81)</f>
        <v>24</v>
      </c>
      <c r="F81" s="20"/>
    </row>
    <row r="82" spans="2:6" x14ac:dyDescent="0.15">
      <c r="B82" s="29" t="s">
        <v>3</v>
      </c>
      <c r="C82" s="16">
        <v>5</v>
      </c>
      <c r="D82" s="15">
        <v>10</v>
      </c>
      <c r="E82" s="13">
        <f t="shared" ref="E82:E83" si="4">SUM(C82:D82)</f>
        <v>15</v>
      </c>
      <c r="F82" s="20">
        <v>44973</v>
      </c>
    </row>
    <row r="83" spans="2:6" x14ac:dyDescent="0.15">
      <c r="B83" s="29" t="s">
        <v>3</v>
      </c>
      <c r="C83" s="16">
        <v>10</v>
      </c>
      <c r="D83" s="15">
        <v>20</v>
      </c>
      <c r="E83" s="13">
        <f t="shared" si="4"/>
        <v>30</v>
      </c>
      <c r="F83" s="20">
        <v>45035</v>
      </c>
    </row>
    <row r="84" spans="2:6" x14ac:dyDescent="0.15">
      <c r="B84" s="29" t="s">
        <v>3</v>
      </c>
      <c r="C84" s="16"/>
      <c r="D84" s="15"/>
      <c r="E84" s="13">
        <f t="shared" si="3"/>
        <v>0</v>
      </c>
      <c r="F84" s="20"/>
    </row>
    <row r="85" spans="2:6" x14ac:dyDescent="0.15">
      <c r="B85" s="29" t="s">
        <v>3</v>
      </c>
      <c r="C85" s="16"/>
      <c r="D85" s="15"/>
      <c r="E85" s="13">
        <f t="shared" si="3"/>
        <v>0</v>
      </c>
      <c r="F85" s="20"/>
    </row>
    <row r="86" spans="2:6" ht="14.25" thickBot="1" x14ac:dyDescent="0.2">
      <c r="B86" s="28" t="s">
        <v>3</v>
      </c>
      <c r="C86" s="27"/>
      <c r="D86" s="10"/>
      <c r="E86" s="8">
        <f t="shared" si="3"/>
        <v>0</v>
      </c>
      <c r="F86" s="20"/>
    </row>
    <row r="87" spans="2:6" ht="14.25" thickBot="1" x14ac:dyDescent="0.2">
      <c r="B87" s="26" t="s">
        <v>2</v>
      </c>
      <c r="C87" s="24">
        <f>SUM(C81:C86)</f>
        <v>19</v>
      </c>
      <c r="D87" s="24">
        <f>SUM(D81:D86)</f>
        <v>50</v>
      </c>
      <c r="E87" s="24">
        <f t="shared" si="3"/>
        <v>69</v>
      </c>
    </row>
    <row r="88" spans="2:6" x14ac:dyDescent="0.15">
      <c r="B88" s="12" t="s">
        <v>22</v>
      </c>
      <c r="C88" s="16"/>
      <c r="D88" s="15">
        <v>1</v>
      </c>
      <c r="E88" s="13">
        <f t="shared" ref="E88:E109" si="5">SUM(C88:D88)</f>
        <v>1</v>
      </c>
      <c r="F88" s="39">
        <v>44960</v>
      </c>
    </row>
    <row r="89" spans="2:6" x14ac:dyDescent="0.15">
      <c r="B89" s="12" t="s">
        <v>22</v>
      </c>
      <c r="C89" s="16"/>
      <c r="D89" s="15">
        <f>2+1</f>
        <v>3</v>
      </c>
      <c r="E89" s="13">
        <f t="shared" si="5"/>
        <v>3</v>
      </c>
      <c r="F89" s="39">
        <v>44963</v>
      </c>
    </row>
    <row r="90" spans="2:6" x14ac:dyDescent="0.15">
      <c r="B90" s="12" t="s">
        <v>22</v>
      </c>
      <c r="C90" s="16"/>
      <c r="D90" s="15">
        <v>2</v>
      </c>
      <c r="E90" s="13">
        <f t="shared" si="5"/>
        <v>2</v>
      </c>
      <c r="F90" s="39">
        <v>44970</v>
      </c>
    </row>
    <row r="91" spans="2:6" x14ac:dyDescent="0.15">
      <c r="B91" s="12" t="s">
        <v>22</v>
      </c>
      <c r="C91" s="16">
        <v>1</v>
      </c>
      <c r="D91" s="15"/>
      <c r="E91" s="13">
        <f t="shared" si="5"/>
        <v>1</v>
      </c>
      <c r="F91" s="39">
        <v>44971</v>
      </c>
    </row>
    <row r="92" spans="2:6" x14ac:dyDescent="0.15">
      <c r="B92" s="12" t="s">
        <v>22</v>
      </c>
      <c r="C92" s="16"/>
      <c r="D92" s="15">
        <v>1</v>
      </c>
      <c r="E92" s="13">
        <f t="shared" si="5"/>
        <v>1</v>
      </c>
      <c r="F92" s="39">
        <v>44973</v>
      </c>
    </row>
    <row r="93" spans="2:6" x14ac:dyDescent="0.15">
      <c r="B93" s="12" t="s">
        <v>22</v>
      </c>
      <c r="C93" s="16">
        <v>1</v>
      </c>
      <c r="D93" s="15">
        <v>2</v>
      </c>
      <c r="E93" s="13">
        <f t="shared" si="5"/>
        <v>3</v>
      </c>
      <c r="F93" s="39">
        <v>44979</v>
      </c>
    </row>
    <row r="94" spans="2:6" x14ac:dyDescent="0.15">
      <c r="B94" s="12" t="s">
        <v>22</v>
      </c>
      <c r="C94" s="16"/>
      <c r="D94" s="15">
        <v>2</v>
      </c>
      <c r="E94" s="13">
        <f t="shared" si="5"/>
        <v>2</v>
      </c>
      <c r="F94" s="39">
        <v>44987</v>
      </c>
    </row>
    <row r="95" spans="2:6" x14ac:dyDescent="0.15">
      <c r="B95" s="12" t="s">
        <v>22</v>
      </c>
      <c r="C95" s="16">
        <v>1</v>
      </c>
      <c r="D95" s="15"/>
      <c r="E95" s="13">
        <f t="shared" si="5"/>
        <v>1</v>
      </c>
      <c r="F95" s="39">
        <v>44991</v>
      </c>
    </row>
    <row r="96" spans="2:6" x14ac:dyDescent="0.15">
      <c r="B96" s="12" t="s">
        <v>22</v>
      </c>
      <c r="C96" s="16"/>
      <c r="D96" s="15">
        <v>2</v>
      </c>
      <c r="E96" s="13">
        <f t="shared" si="5"/>
        <v>2</v>
      </c>
      <c r="F96" s="39">
        <v>44994</v>
      </c>
    </row>
    <row r="97" spans="2:6" x14ac:dyDescent="0.15">
      <c r="B97" s="12" t="s">
        <v>22</v>
      </c>
      <c r="C97" s="16"/>
      <c r="D97" s="15">
        <v>1</v>
      </c>
      <c r="E97" s="13">
        <f t="shared" si="5"/>
        <v>1</v>
      </c>
      <c r="F97" s="39">
        <v>44995</v>
      </c>
    </row>
    <row r="98" spans="2:6" x14ac:dyDescent="0.15">
      <c r="B98" s="12" t="s">
        <v>22</v>
      </c>
      <c r="C98" s="16">
        <v>1</v>
      </c>
      <c r="D98" s="15">
        <v>2</v>
      </c>
      <c r="E98" s="13">
        <f t="shared" si="5"/>
        <v>3</v>
      </c>
      <c r="F98" s="39">
        <v>44998</v>
      </c>
    </row>
    <row r="99" spans="2:6" x14ac:dyDescent="0.15">
      <c r="B99" s="12" t="s">
        <v>22</v>
      </c>
      <c r="C99" s="16"/>
      <c r="D99" s="15">
        <v>1</v>
      </c>
      <c r="E99" s="13">
        <f t="shared" si="5"/>
        <v>1</v>
      </c>
      <c r="F99" s="39">
        <v>45000</v>
      </c>
    </row>
    <row r="100" spans="2:6" x14ac:dyDescent="0.15">
      <c r="B100" s="12" t="s">
        <v>22</v>
      </c>
      <c r="C100" s="16">
        <v>1</v>
      </c>
      <c r="D100" s="15"/>
      <c r="E100" s="13">
        <f t="shared" si="5"/>
        <v>1</v>
      </c>
      <c r="F100" s="39">
        <v>45001</v>
      </c>
    </row>
    <row r="101" spans="2:6" x14ac:dyDescent="0.15">
      <c r="B101" s="12" t="s">
        <v>22</v>
      </c>
      <c r="C101" s="16"/>
      <c r="D101" s="15">
        <v>1</v>
      </c>
      <c r="E101" s="13">
        <f t="shared" si="5"/>
        <v>1</v>
      </c>
      <c r="F101" s="39">
        <v>45002</v>
      </c>
    </row>
    <row r="102" spans="2:6" x14ac:dyDescent="0.15">
      <c r="B102" s="12" t="s">
        <v>22</v>
      </c>
      <c r="C102" s="16">
        <v>1</v>
      </c>
      <c r="D102" s="15">
        <v>1</v>
      </c>
      <c r="E102" s="13">
        <f t="shared" si="5"/>
        <v>2</v>
      </c>
      <c r="F102" s="39">
        <v>45003</v>
      </c>
    </row>
    <row r="103" spans="2:6" x14ac:dyDescent="0.15">
      <c r="B103" s="12" t="s">
        <v>22</v>
      </c>
      <c r="C103" s="16"/>
      <c r="D103" s="15">
        <v>1</v>
      </c>
      <c r="E103" s="13">
        <f t="shared" si="5"/>
        <v>1</v>
      </c>
      <c r="F103" s="39">
        <v>45005</v>
      </c>
    </row>
    <row r="104" spans="2:6" x14ac:dyDescent="0.15">
      <c r="B104" s="12" t="s">
        <v>22</v>
      </c>
      <c r="C104" s="16">
        <v>1</v>
      </c>
      <c r="D104" s="15">
        <v>1</v>
      </c>
      <c r="E104" s="13">
        <f t="shared" si="5"/>
        <v>2</v>
      </c>
      <c r="F104" s="39">
        <v>45007</v>
      </c>
    </row>
    <row r="105" spans="2:6" x14ac:dyDescent="0.15">
      <c r="B105" s="12" t="s">
        <v>22</v>
      </c>
      <c r="C105" s="16"/>
      <c r="D105" s="15">
        <f>2+2</f>
        <v>4</v>
      </c>
      <c r="E105" s="13">
        <f t="shared" si="5"/>
        <v>4</v>
      </c>
      <c r="F105" s="39">
        <v>45012</v>
      </c>
    </row>
    <row r="106" spans="2:6" x14ac:dyDescent="0.15">
      <c r="B106" s="12" t="s">
        <v>22</v>
      </c>
      <c r="C106" s="16"/>
      <c r="D106" s="15">
        <v>1</v>
      </c>
      <c r="E106" s="13">
        <f t="shared" si="5"/>
        <v>1</v>
      </c>
      <c r="F106" s="39">
        <v>45016</v>
      </c>
    </row>
    <row r="107" spans="2:6" x14ac:dyDescent="0.15">
      <c r="B107" s="12" t="s">
        <v>22</v>
      </c>
      <c r="C107" s="16"/>
      <c r="D107" s="15">
        <v>1</v>
      </c>
      <c r="E107" s="13">
        <f t="shared" si="5"/>
        <v>1</v>
      </c>
      <c r="F107" s="39">
        <v>45022</v>
      </c>
    </row>
    <row r="108" spans="2:6" x14ac:dyDescent="0.15">
      <c r="B108" s="12" t="s">
        <v>22</v>
      </c>
      <c r="C108" s="16">
        <v>1</v>
      </c>
      <c r="D108" s="15"/>
      <c r="E108" s="13">
        <f t="shared" si="5"/>
        <v>1</v>
      </c>
      <c r="F108" s="39">
        <v>45030</v>
      </c>
    </row>
    <row r="109" spans="2:6" x14ac:dyDescent="0.15">
      <c r="B109" s="12" t="s">
        <v>22</v>
      </c>
      <c r="C109" s="16"/>
      <c r="D109" s="15">
        <v>1</v>
      </c>
      <c r="E109" s="13">
        <f t="shared" si="5"/>
        <v>1</v>
      </c>
      <c r="F109" s="39">
        <v>45033</v>
      </c>
    </row>
    <row r="110" spans="2:6" x14ac:dyDescent="0.15">
      <c r="B110" s="12" t="s">
        <v>22</v>
      </c>
      <c r="C110" s="16">
        <v>1</v>
      </c>
      <c r="D110" s="15"/>
      <c r="E110" s="13">
        <f t="shared" si="3"/>
        <v>1</v>
      </c>
      <c r="F110" s="39">
        <v>45061</v>
      </c>
    </row>
    <row r="111" spans="2:6" x14ac:dyDescent="0.15">
      <c r="B111" s="12" t="s">
        <v>22</v>
      </c>
      <c r="C111" s="16">
        <v>1</v>
      </c>
      <c r="D111" s="15"/>
      <c r="E111" s="13">
        <f t="shared" si="3"/>
        <v>1</v>
      </c>
      <c r="F111" s="39">
        <v>45062</v>
      </c>
    </row>
    <row r="112" spans="2:6" ht="14.25" thickBot="1" x14ac:dyDescent="0.2">
      <c r="B112" s="12" t="s">
        <v>22</v>
      </c>
      <c r="C112" s="11"/>
      <c r="D112" s="10">
        <v>1</v>
      </c>
      <c r="E112" s="8">
        <f t="shared" si="3"/>
        <v>1</v>
      </c>
      <c r="F112" s="39">
        <v>45068</v>
      </c>
    </row>
    <row r="113" spans="1:6" ht="14.25" thickBot="1" x14ac:dyDescent="0.2">
      <c r="B113" s="7" t="s">
        <v>1</v>
      </c>
      <c r="C113" s="6">
        <f>SUM(C88:C112)</f>
        <v>10</v>
      </c>
      <c r="D113" s="5">
        <f>SUM(D88:D112)</f>
        <v>29</v>
      </c>
      <c r="E113" s="5">
        <f t="shared" si="3"/>
        <v>39</v>
      </c>
    </row>
    <row r="114" spans="1:6" ht="14.25" thickBot="1" x14ac:dyDescent="0.2">
      <c r="B114" s="4" t="s">
        <v>0</v>
      </c>
      <c r="C114" s="3">
        <f>+C87-C113</f>
        <v>9</v>
      </c>
      <c r="D114" s="2">
        <f>+D87-D113</f>
        <v>21</v>
      </c>
      <c r="E114" s="2">
        <f t="shared" si="3"/>
        <v>30</v>
      </c>
    </row>
    <row r="116" spans="1:6" ht="19.5" thickBot="1" x14ac:dyDescent="0.25">
      <c r="B116" s="36" t="s">
        <v>17</v>
      </c>
      <c r="C116" s="35"/>
      <c r="D116" s="35"/>
      <c r="E116" s="35"/>
      <c r="F116" s="56">
        <v>390445</v>
      </c>
    </row>
    <row r="117" spans="1:6" ht="14.25" thickBot="1" x14ac:dyDescent="0.2">
      <c r="B117" s="34"/>
      <c r="C117" s="99"/>
      <c r="D117" s="100"/>
      <c r="E117" s="101"/>
    </row>
    <row r="118" spans="1:6" ht="14.25" thickBot="1" x14ac:dyDescent="0.2">
      <c r="A118" s="1"/>
      <c r="B118" s="32"/>
      <c r="C118" s="33" t="s">
        <v>15</v>
      </c>
      <c r="D118" s="32" t="s">
        <v>16</v>
      </c>
      <c r="E118" s="31" t="s">
        <v>5</v>
      </c>
      <c r="F118" s="1"/>
    </row>
    <row r="119" spans="1:6" x14ac:dyDescent="0.15">
      <c r="B119" s="30" t="s">
        <v>0</v>
      </c>
      <c r="C119" s="23">
        <f>C114</f>
        <v>9</v>
      </c>
      <c r="D119" s="22">
        <f>D114</f>
        <v>21</v>
      </c>
      <c r="E119" s="22">
        <f t="shared" ref="E119:E152" si="6">SUM(C119:D119)</f>
        <v>30</v>
      </c>
      <c r="F119" s="20"/>
    </row>
    <row r="120" spans="1:6" x14ac:dyDescent="0.15">
      <c r="B120" s="29" t="s">
        <v>3</v>
      </c>
      <c r="C120" s="16"/>
      <c r="D120" s="15"/>
      <c r="E120" s="13">
        <f t="shared" ref="E120:E122" si="7">SUM(C120:D120)</f>
        <v>0</v>
      </c>
      <c r="F120" s="20"/>
    </row>
    <row r="121" spans="1:6" x14ac:dyDescent="0.15">
      <c r="B121" s="29" t="s">
        <v>42</v>
      </c>
      <c r="C121" s="16">
        <v>0</v>
      </c>
      <c r="D121" s="15">
        <v>0</v>
      </c>
      <c r="E121" s="13">
        <f t="shared" si="7"/>
        <v>0</v>
      </c>
      <c r="F121" s="20">
        <v>45161</v>
      </c>
    </row>
    <row r="122" spans="1:6" x14ac:dyDescent="0.15">
      <c r="B122" s="29" t="s">
        <v>3</v>
      </c>
      <c r="C122" s="16">
        <v>10</v>
      </c>
      <c r="D122" s="15"/>
      <c r="E122" s="13">
        <f t="shared" si="7"/>
        <v>10</v>
      </c>
      <c r="F122" s="20">
        <v>45174</v>
      </c>
    </row>
    <row r="123" spans="1:6" x14ac:dyDescent="0.15">
      <c r="B123" s="29" t="s">
        <v>3</v>
      </c>
      <c r="C123" s="16">
        <v>10</v>
      </c>
      <c r="D123" s="15"/>
      <c r="E123" s="13">
        <f t="shared" si="6"/>
        <v>10</v>
      </c>
      <c r="F123" s="20">
        <v>45266</v>
      </c>
    </row>
    <row r="124" spans="1:6" ht="14.25" thickBot="1" x14ac:dyDescent="0.2">
      <c r="B124" s="28" t="s">
        <v>3</v>
      </c>
      <c r="C124" s="27"/>
      <c r="D124" s="10"/>
      <c r="E124" s="8">
        <f t="shared" si="6"/>
        <v>0</v>
      </c>
      <c r="F124" s="20"/>
    </row>
    <row r="125" spans="1:6" ht="14.25" thickBot="1" x14ac:dyDescent="0.2">
      <c r="B125" s="26" t="s">
        <v>2</v>
      </c>
      <c r="C125" s="24">
        <f>SUM(C119:C124)</f>
        <v>29</v>
      </c>
      <c r="D125" s="24">
        <f>SUM(D119:D124)</f>
        <v>21</v>
      </c>
      <c r="E125" s="24">
        <f t="shared" si="6"/>
        <v>50</v>
      </c>
    </row>
    <row r="126" spans="1:6" x14ac:dyDescent="0.15">
      <c r="B126" s="12" t="s">
        <v>22</v>
      </c>
      <c r="C126" s="16"/>
      <c r="D126" s="15">
        <v>1</v>
      </c>
      <c r="E126" s="13">
        <f t="shared" ref="E126:E148" si="8">SUM(C126:D126)</f>
        <v>1</v>
      </c>
      <c r="F126" s="39">
        <v>45069</v>
      </c>
    </row>
    <row r="127" spans="1:6" x14ac:dyDescent="0.15">
      <c r="B127" s="12" t="s">
        <v>22</v>
      </c>
      <c r="C127" s="16"/>
      <c r="D127" s="15">
        <v>1</v>
      </c>
      <c r="E127" s="13">
        <f t="shared" si="8"/>
        <v>1</v>
      </c>
      <c r="F127" s="39">
        <v>45072</v>
      </c>
    </row>
    <row r="128" spans="1:6" x14ac:dyDescent="0.15">
      <c r="B128" s="12" t="s">
        <v>22</v>
      </c>
      <c r="C128" s="16"/>
      <c r="D128" s="15">
        <v>1</v>
      </c>
      <c r="E128" s="13">
        <f t="shared" si="8"/>
        <v>1</v>
      </c>
      <c r="F128" s="39">
        <v>45080</v>
      </c>
    </row>
    <row r="129" spans="2:6" x14ac:dyDescent="0.15">
      <c r="B129" s="12" t="s">
        <v>22</v>
      </c>
      <c r="C129" s="16"/>
      <c r="D129" s="15">
        <v>1</v>
      </c>
      <c r="E129" s="13">
        <f t="shared" si="8"/>
        <v>1</v>
      </c>
      <c r="F129" s="39">
        <v>45083</v>
      </c>
    </row>
    <row r="130" spans="2:6" x14ac:dyDescent="0.15">
      <c r="B130" s="12" t="s">
        <v>22</v>
      </c>
      <c r="C130" s="16"/>
      <c r="D130" s="15">
        <v>1</v>
      </c>
      <c r="E130" s="13">
        <f t="shared" si="8"/>
        <v>1</v>
      </c>
      <c r="F130" s="39">
        <v>45084</v>
      </c>
    </row>
    <row r="131" spans="2:6" x14ac:dyDescent="0.15">
      <c r="B131" s="12" t="s">
        <v>22</v>
      </c>
      <c r="C131" s="16"/>
      <c r="D131" s="15">
        <v>1</v>
      </c>
      <c r="E131" s="13">
        <f t="shared" si="8"/>
        <v>1</v>
      </c>
      <c r="F131" s="39">
        <v>45092</v>
      </c>
    </row>
    <row r="132" spans="2:6" x14ac:dyDescent="0.15">
      <c r="B132" s="12" t="s">
        <v>22</v>
      </c>
      <c r="C132" s="16">
        <v>4</v>
      </c>
      <c r="D132" s="15"/>
      <c r="E132" s="13">
        <f t="shared" si="8"/>
        <v>4</v>
      </c>
      <c r="F132" s="39">
        <v>45094</v>
      </c>
    </row>
    <row r="133" spans="2:6" x14ac:dyDescent="0.15">
      <c r="B133" s="12" t="s">
        <v>22</v>
      </c>
      <c r="C133" s="16">
        <v>1</v>
      </c>
      <c r="D133" s="15">
        <v>1</v>
      </c>
      <c r="E133" s="13">
        <f t="shared" si="8"/>
        <v>2</v>
      </c>
      <c r="F133" s="39">
        <v>45096</v>
      </c>
    </row>
    <row r="134" spans="2:6" x14ac:dyDescent="0.15">
      <c r="B134" s="12" t="s">
        <v>22</v>
      </c>
      <c r="C134" s="16"/>
      <c r="D134" s="15">
        <f>5+1</f>
        <v>6</v>
      </c>
      <c r="E134" s="13">
        <f t="shared" si="8"/>
        <v>6</v>
      </c>
      <c r="F134" s="39">
        <v>45103</v>
      </c>
    </row>
    <row r="135" spans="2:6" x14ac:dyDescent="0.15">
      <c r="B135" s="12" t="s">
        <v>22</v>
      </c>
      <c r="C135" s="16"/>
      <c r="D135" s="15">
        <v>1</v>
      </c>
      <c r="E135" s="13">
        <f t="shared" si="8"/>
        <v>1</v>
      </c>
      <c r="F135" s="39">
        <v>45110</v>
      </c>
    </row>
    <row r="136" spans="2:6" x14ac:dyDescent="0.15">
      <c r="B136" s="12" t="s">
        <v>22</v>
      </c>
      <c r="C136" s="16"/>
      <c r="D136" s="15">
        <v>2</v>
      </c>
      <c r="E136" s="13">
        <f t="shared" si="8"/>
        <v>2</v>
      </c>
      <c r="F136" s="39">
        <v>45112</v>
      </c>
    </row>
    <row r="137" spans="2:6" x14ac:dyDescent="0.15">
      <c r="B137" s="12" t="s">
        <v>22</v>
      </c>
      <c r="C137" s="16">
        <v>1</v>
      </c>
      <c r="D137" s="15"/>
      <c r="E137" s="13">
        <f t="shared" si="8"/>
        <v>1</v>
      </c>
      <c r="F137" s="39">
        <v>45113</v>
      </c>
    </row>
    <row r="138" spans="2:6" x14ac:dyDescent="0.15">
      <c r="B138" s="12" t="s">
        <v>22</v>
      </c>
      <c r="C138" s="16">
        <v>1</v>
      </c>
      <c r="D138" s="15">
        <f>1+1</f>
        <v>2</v>
      </c>
      <c r="E138" s="13">
        <f t="shared" si="8"/>
        <v>3</v>
      </c>
      <c r="F138" s="39">
        <v>45125</v>
      </c>
    </row>
    <row r="139" spans="2:6" x14ac:dyDescent="0.15">
      <c r="B139" s="12" t="s">
        <v>22</v>
      </c>
      <c r="C139" s="16">
        <v>1</v>
      </c>
      <c r="D139" s="15"/>
      <c r="E139" s="13">
        <f t="shared" si="8"/>
        <v>1</v>
      </c>
      <c r="F139" s="39">
        <v>45133</v>
      </c>
    </row>
    <row r="140" spans="2:6" x14ac:dyDescent="0.15">
      <c r="B140" s="12" t="s">
        <v>22</v>
      </c>
      <c r="C140" s="16"/>
      <c r="D140" s="15">
        <v>1</v>
      </c>
      <c r="E140" s="13">
        <f t="shared" si="8"/>
        <v>1</v>
      </c>
      <c r="F140" s="39">
        <v>45134</v>
      </c>
    </row>
    <row r="141" spans="2:6" x14ac:dyDescent="0.15">
      <c r="B141" s="12" t="s">
        <v>22</v>
      </c>
      <c r="C141" s="16"/>
      <c r="D141" s="15">
        <v>2</v>
      </c>
      <c r="E141" s="13">
        <f t="shared" si="8"/>
        <v>2</v>
      </c>
      <c r="F141" s="39">
        <v>45145</v>
      </c>
    </row>
    <row r="142" spans="2:6" x14ac:dyDescent="0.15">
      <c r="B142" s="12" t="s">
        <v>22</v>
      </c>
      <c r="C142" s="16">
        <v>1</v>
      </c>
      <c r="D142" s="15"/>
      <c r="E142" s="13">
        <f t="shared" si="8"/>
        <v>1</v>
      </c>
      <c r="F142" s="39">
        <v>45215</v>
      </c>
    </row>
    <row r="143" spans="2:6" x14ac:dyDescent="0.15">
      <c r="B143" s="12" t="s">
        <v>22</v>
      </c>
      <c r="C143" s="16">
        <v>1</v>
      </c>
      <c r="D143" s="15"/>
      <c r="E143" s="13">
        <f t="shared" si="8"/>
        <v>1</v>
      </c>
      <c r="F143" s="39">
        <v>45222</v>
      </c>
    </row>
    <row r="144" spans="2:6" x14ac:dyDescent="0.15">
      <c r="B144" s="12" t="s">
        <v>22</v>
      </c>
      <c r="C144" s="16">
        <v>1</v>
      </c>
      <c r="D144" s="15"/>
      <c r="E144" s="13">
        <f t="shared" si="8"/>
        <v>1</v>
      </c>
      <c r="F144" s="39">
        <v>45243</v>
      </c>
    </row>
    <row r="145" spans="1:6" x14ac:dyDescent="0.15">
      <c r="B145" s="12" t="s">
        <v>22</v>
      </c>
      <c r="C145" s="16">
        <v>1</v>
      </c>
      <c r="D145" s="15"/>
      <c r="E145" s="13">
        <f t="shared" si="8"/>
        <v>1</v>
      </c>
      <c r="F145" s="39">
        <v>45254</v>
      </c>
    </row>
    <row r="146" spans="1:6" x14ac:dyDescent="0.15">
      <c r="B146" s="12" t="s">
        <v>22</v>
      </c>
      <c r="C146" s="16">
        <v>1</v>
      </c>
      <c r="D146" s="15"/>
      <c r="E146" s="13">
        <f t="shared" si="8"/>
        <v>1</v>
      </c>
      <c r="F146" s="39">
        <v>45257</v>
      </c>
    </row>
    <row r="147" spans="1:6" x14ac:dyDescent="0.15">
      <c r="B147" s="12" t="s">
        <v>22</v>
      </c>
      <c r="C147" s="16">
        <f>1+1</f>
        <v>2</v>
      </c>
      <c r="D147" s="15"/>
      <c r="E147" s="13">
        <f t="shared" si="8"/>
        <v>2</v>
      </c>
      <c r="F147" s="39">
        <v>45259</v>
      </c>
    </row>
    <row r="148" spans="1:6" x14ac:dyDescent="0.15">
      <c r="B148" s="12" t="s">
        <v>22</v>
      </c>
      <c r="C148" s="16">
        <v>1</v>
      </c>
      <c r="D148" s="15"/>
      <c r="E148" s="13">
        <f t="shared" si="8"/>
        <v>1</v>
      </c>
      <c r="F148" s="39">
        <v>45261</v>
      </c>
    </row>
    <row r="149" spans="1:6" x14ac:dyDescent="0.15">
      <c r="B149" s="12" t="s">
        <v>22</v>
      </c>
      <c r="C149" s="16">
        <v>1</v>
      </c>
      <c r="D149" s="15"/>
      <c r="E149" s="13">
        <f t="shared" si="6"/>
        <v>1</v>
      </c>
      <c r="F149" s="39">
        <v>45262</v>
      </c>
    </row>
    <row r="150" spans="1:6" ht="14.25" thickBot="1" x14ac:dyDescent="0.2">
      <c r="B150" s="12" t="s">
        <v>22</v>
      </c>
      <c r="C150" s="11">
        <v>1</v>
      </c>
      <c r="D150" s="10"/>
      <c r="E150" s="8">
        <f t="shared" si="6"/>
        <v>1</v>
      </c>
      <c r="F150" s="39">
        <v>45265</v>
      </c>
    </row>
    <row r="151" spans="1:6" ht="14.25" thickBot="1" x14ac:dyDescent="0.2">
      <c r="B151" s="7" t="s">
        <v>1</v>
      </c>
      <c r="C151" s="6">
        <f>SUM(C126:C150)</f>
        <v>18</v>
      </c>
      <c r="D151" s="5">
        <f>SUM(D126:D150)</f>
        <v>21</v>
      </c>
      <c r="E151" s="5">
        <f t="shared" si="6"/>
        <v>39</v>
      </c>
    </row>
    <row r="152" spans="1:6" ht="14.25" thickBot="1" x14ac:dyDescent="0.2">
      <c r="B152" s="4" t="s">
        <v>0</v>
      </c>
      <c r="C152" s="3">
        <f>+C125-C151</f>
        <v>11</v>
      </c>
      <c r="D152" s="2">
        <f>+D125-D151</f>
        <v>0</v>
      </c>
      <c r="E152" s="2">
        <f t="shared" si="6"/>
        <v>11</v>
      </c>
    </row>
    <row r="154" spans="1:6" ht="19.5" thickBot="1" x14ac:dyDescent="0.25">
      <c r="B154" s="36" t="s">
        <v>17</v>
      </c>
      <c r="C154" s="35"/>
      <c r="D154" s="35"/>
      <c r="E154" s="35"/>
      <c r="F154" s="56">
        <v>390445</v>
      </c>
    </row>
    <row r="155" spans="1:6" ht="14.25" thickBot="1" x14ac:dyDescent="0.2">
      <c r="B155" s="34"/>
      <c r="C155" s="99"/>
      <c r="D155" s="100"/>
      <c r="E155" s="101"/>
    </row>
    <row r="156" spans="1:6" ht="14.25" thickBot="1" x14ac:dyDescent="0.2">
      <c r="A156" s="1"/>
      <c r="B156" s="32"/>
      <c r="C156" s="33" t="s">
        <v>15</v>
      </c>
      <c r="D156" s="32" t="s">
        <v>16</v>
      </c>
      <c r="E156" s="31" t="s">
        <v>5</v>
      </c>
      <c r="F156" s="1"/>
    </row>
    <row r="157" spans="1:6" x14ac:dyDescent="0.15">
      <c r="B157" s="30" t="s">
        <v>0</v>
      </c>
      <c r="C157" s="23">
        <f>C152</f>
        <v>11</v>
      </c>
      <c r="D157" s="22">
        <f>D152</f>
        <v>0</v>
      </c>
      <c r="E157" s="22">
        <f t="shared" ref="E157:E190" si="9">SUM(C157:D157)</f>
        <v>11</v>
      </c>
      <c r="F157" s="20"/>
    </row>
    <row r="158" spans="1:6" x14ac:dyDescent="0.15">
      <c r="B158" s="29" t="s">
        <v>3</v>
      </c>
      <c r="C158" s="16">
        <v>5</v>
      </c>
      <c r="D158" s="15"/>
      <c r="E158" s="13">
        <f t="shared" si="9"/>
        <v>5</v>
      </c>
      <c r="F158" s="20">
        <v>45343</v>
      </c>
    </row>
    <row r="159" spans="1:6" x14ac:dyDescent="0.15">
      <c r="B159" s="29" t="s">
        <v>3</v>
      </c>
      <c r="C159" s="16">
        <v>5</v>
      </c>
      <c r="D159" s="15"/>
      <c r="E159" s="13">
        <f t="shared" ref="E159:E160" si="10">SUM(C159:D159)</f>
        <v>5</v>
      </c>
      <c r="F159" s="20">
        <v>45448</v>
      </c>
    </row>
    <row r="160" spans="1:6" x14ac:dyDescent="0.15">
      <c r="B160" s="29" t="s">
        <v>3</v>
      </c>
      <c r="C160" s="16">
        <v>5</v>
      </c>
      <c r="D160" s="15"/>
      <c r="E160" s="13">
        <f t="shared" si="10"/>
        <v>5</v>
      </c>
      <c r="F160" s="20">
        <v>45477</v>
      </c>
    </row>
    <row r="161" spans="2:6" x14ac:dyDescent="0.15">
      <c r="B161" s="29" t="s">
        <v>42</v>
      </c>
      <c r="C161" s="16">
        <v>1</v>
      </c>
      <c r="D161" s="15">
        <v>0</v>
      </c>
      <c r="E161" s="13">
        <f t="shared" si="9"/>
        <v>1</v>
      </c>
      <c r="F161" s="20">
        <v>45530</v>
      </c>
    </row>
    <row r="162" spans="2:6" ht="14.25" thickBot="1" x14ac:dyDescent="0.2">
      <c r="B162" s="28" t="s">
        <v>3</v>
      </c>
      <c r="C162" s="27">
        <v>5</v>
      </c>
      <c r="D162" s="10"/>
      <c r="E162" s="8">
        <f t="shared" si="9"/>
        <v>5</v>
      </c>
      <c r="F162" s="20">
        <v>45555</v>
      </c>
    </row>
    <row r="163" spans="2:6" ht="14.25" thickBot="1" x14ac:dyDescent="0.2">
      <c r="B163" s="26" t="s">
        <v>2</v>
      </c>
      <c r="C163" s="24">
        <f>SUM(C157:C162)</f>
        <v>32</v>
      </c>
      <c r="D163" s="24">
        <f>SUM(D157:D162)</f>
        <v>0</v>
      </c>
      <c r="E163" s="24">
        <f t="shared" si="9"/>
        <v>32</v>
      </c>
    </row>
    <row r="164" spans="2:6" x14ac:dyDescent="0.15">
      <c r="B164" s="12" t="s">
        <v>22</v>
      </c>
      <c r="C164" s="16">
        <v>1</v>
      </c>
      <c r="D164" s="15"/>
      <c r="E164" s="13">
        <f t="shared" ref="E164:E186" si="11">SUM(C164:D164)</f>
        <v>1</v>
      </c>
      <c r="F164" s="39">
        <v>45273</v>
      </c>
    </row>
    <row r="165" spans="2:6" x14ac:dyDescent="0.15">
      <c r="B165" s="12" t="s">
        <v>22</v>
      </c>
      <c r="C165" s="16">
        <v>1</v>
      </c>
      <c r="D165" s="15"/>
      <c r="E165" s="13">
        <f t="shared" si="11"/>
        <v>1</v>
      </c>
      <c r="F165" s="39">
        <v>45278</v>
      </c>
    </row>
    <row r="166" spans="2:6" x14ac:dyDescent="0.15">
      <c r="B166" s="12" t="s">
        <v>22</v>
      </c>
      <c r="C166" s="16">
        <f>1+1</f>
        <v>2</v>
      </c>
      <c r="D166" s="15"/>
      <c r="E166" s="13">
        <f t="shared" si="11"/>
        <v>2</v>
      </c>
      <c r="F166" s="39">
        <v>45285</v>
      </c>
    </row>
    <row r="167" spans="2:6" x14ac:dyDescent="0.15">
      <c r="B167" s="12" t="s">
        <v>22</v>
      </c>
      <c r="C167" s="16">
        <v>1</v>
      </c>
      <c r="D167" s="15"/>
      <c r="E167" s="13">
        <f t="shared" si="11"/>
        <v>1</v>
      </c>
      <c r="F167" s="39">
        <v>45300</v>
      </c>
    </row>
    <row r="168" spans="2:6" x14ac:dyDescent="0.15">
      <c r="B168" s="12" t="s">
        <v>22</v>
      </c>
      <c r="C168" s="16">
        <v>1</v>
      </c>
      <c r="D168" s="15"/>
      <c r="E168" s="13">
        <f t="shared" si="11"/>
        <v>1</v>
      </c>
      <c r="F168" s="39">
        <v>45301</v>
      </c>
    </row>
    <row r="169" spans="2:6" x14ac:dyDescent="0.15">
      <c r="B169" s="12" t="s">
        <v>22</v>
      </c>
      <c r="C169" s="16">
        <v>1</v>
      </c>
      <c r="D169" s="15"/>
      <c r="E169" s="13">
        <f t="shared" si="11"/>
        <v>1</v>
      </c>
      <c r="F169" s="39">
        <v>45302</v>
      </c>
    </row>
    <row r="170" spans="2:6" x14ac:dyDescent="0.15">
      <c r="B170" s="12" t="s">
        <v>22</v>
      </c>
      <c r="C170" s="16">
        <v>1</v>
      </c>
      <c r="D170" s="15"/>
      <c r="E170" s="13">
        <f t="shared" si="11"/>
        <v>1</v>
      </c>
      <c r="F170" s="39">
        <v>45369</v>
      </c>
    </row>
    <row r="171" spans="2:6" x14ac:dyDescent="0.15">
      <c r="B171" s="12" t="s">
        <v>22</v>
      </c>
      <c r="C171" s="16">
        <v>1</v>
      </c>
      <c r="D171" s="15"/>
      <c r="E171" s="13">
        <f t="shared" si="11"/>
        <v>1</v>
      </c>
      <c r="F171" s="39">
        <v>45376</v>
      </c>
    </row>
    <row r="172" spans="2:6" x14ac:dyDescent="0.15">
      <c r="B172" s="12" t="s">
        <v>22</v>
      </c>
      <c r="C172" s="16">
        <v>1</v>
      </c>
      <c r="D172" s="15"/>
      <c r="E172" s="13">
        <f t="shared" si="11"/>
        <v>1</v>
      </c>
      <c r="F172" s="39">
        <v>45380</v>
      </c>
    </row>
    <row r="173" spans="2:6" x14ac:dyDescent="0.15">
      <c r="B173" s="12" t="s">
        <v>22</v>
      </c>
      <c r="C173" s="16">
        <v>1</v>
      </c>
      <c r="D173" s="15"/>
      <c r="E173" s="13">
        <f t="shared" si="11"/>
        <v>1</v>
      </c>
      <c r="F173" s="39">
        <v>45390</v>
      </c>
    </row>
    <row r="174" spans="2:6" x14ac:dyDescent="0.15">
      <c r="B174" s="12" t="s">
        <v>22</v>
      </c>
      <c r="C174" s="16">
        <v>1</v>
      </c>
      <c r="D174" s="15"/>
      <c r="E174" s="13">
        <f t="shared" si="11"/>
        <v>1</v>
      </c>
      <c r="F174" s="39">
        <v>45401</v>
      </c>
    </row>
    <row r="175" spans="2:6" x14ac:dyDescent="0.15">
      <c r="B175" s="12" t="s">
        <v>22</v>
      </c>
      <c r="C175" s="16">
        <v>1</v>
      </c>
      <c r="D175" s="15"/>
      <c r="E175" s="13">
        <f t="shared" si="11"/>
        <v>1</v>
      </c>
      <c r="F175" s="39">
        <v>45427</v>
      </c>
    </row>
    <row r="176" spans="2:6" x14ac:dyDescent="0.15">
      <c r="B176" s="12" t="s">
        <v>22</v>
      </c>
      <c r="C176" s="16">
        <f>1+1</f>
        <v>2</v>
      </c>
      <c r="D176" s="15"/>
      <c r="E176" s="13">
        <f t="shared" si="11"/>
        <v>2</v>
      </c>
      <c r="F176" s="39">
        <v>45439</v>
      </c>
    </row>
    <row r="177" spans="2:6" x14ac:dyDescent="0.15">
      <c r="B177" s="12" t="s">
        <v>22</v>
      </c>
      <c r="C177" s="16">
        <v>1</v>
      </c>
      <c r="D177" s="15"/>
      <c r="E177" s="13">
        <f t="shared" si="11"/>
        <v>1</v>
      </c>
      <c r="F177" s="39">
        <v>45447</v>
      </c>
    </row>
    <row r="178" spans="2:6" x14ac:dyDescent="0.15">
      <c r="B178" s="12" t="s">
        <v>22</v>
      </c>
      <c r="C178" s="16">
        <v>1</v>
      </c>
      <c r="D178" s="15"/>
      <c r="E178" s="13">
        <f t="shared" si="11"/>
        <v>1</v>
      </c>
      <c r="F178" s="39">
        <v>45456</v>
      </c>
    </row>
    <row r="179" spans="2:6" x14ac:dyDescent="0.15">
      <c r="B179" s="12" t="s">
        <v>22</v>
      </c>
      <c r="C179" s="16">
        <v>1</v>
      </c>
      <c r="D179" s="15"/>
      <c r="E179" s="13">
        <f t="shared" si="11"/>
        <v>1</v>
      </c>
      <c r="F179" s="39">
        <v>45458</v>
      </c>
    </row>
    <row r="180" spans="2:6" x14ac:dyDescent="0.15">
      <c r="B180" s="12" t="s">
        <v>22</v>
      </c>
      <c r="C180" s="16">
        <v>1</v>
      </c>
      <c r="D180" s="15"/>
      <c r="E180" s="13">
        <f t="shared" si="11"/>
        <v>1</v>
      </c>
      <c r="F180" s="39">
        <v>45463</v>
      </c>
    </row>
    <row r="181" spans="2:6" x14ac:dyDescent="0.15">
      <c r="B181" s="12" t="s">
        <v>22</v>
      </c>
      <c r="C181" s="16">
        <v>1</v>
      </c>
      <c r="D181" s="15"/>
      <c r="E181" s="13">
        <f t="shared" si="11"/>
        <v>1</v>
      </c>
      <c r="F181" s="39">
        <v>45484</v>
      </c>
    </row>
    <row r="182" spans="2:6" x14ac:dyDescent="0.15">
      <c r="B182" s="12" t="s">
        <v>22</v>
      </c>
      <c r="C182" s="16">
        <v>2</v>
      </c>
      <c r="D182" s="15"/>
      <c r="E182" s="13">
        <f t="shared" si="11"/>
        <v>2</v>
      </c>
      <c r="F182" s="39">
        <v>45495</v>
      </c>
    </row>
    <row r="183" spans="2:6" x14ac:dyDescent="0.15">
      <c r="B183" s="12" t="s">
        <v>22</v>
      </c>
      <c r="C183" s="16">
        <v>1</v>
      </c>
      <c r="D183" s="15"/>
      <c r="E183" s="13">
        <f t="shared" si="11"/>
        <v>1</v>
      </c>
      <c r="F183" s="39">
        <v>45499</v>
      </c>
    </row>
    <row r="184" spans="2:6" x14ac:dyDescent="0.15">
      <c r="B184" s="12" t="s">
        <v>22</v>
      </c>
      <c r="C184" s="16">
        <v>1</v>
      </c>
      <c r="D184" s="15"/>
      <c r="E184" s="13">
        <f t="shared" si="11"/>
        <v>1</v>
      </c>
      <c r="F184" s="39">
        <v>45505</v>
      </c>
    </row>
    <row r="185" spans="2:6" x14ac:dyDescent="0.15">
      <c r="B185" s="12" t="s">
        <v>22</v>
      </c>
      <c r="C185" s="16">
        <v>1</v>
      </c>
      <c r="D185" s="15"/>
      <c r="E185" s="13">
        <f t="shared" si="11"/>
        <v>1</v>
      </c>
      <c r="F185" s="39">
        <v>45510</v>
      </c>
    </row>
    <row r="186" spans="2:6" x14ac:dyDescent="0.15">
      <c r="B186" s="12" t="s">
        <v>22</v>
      </c>
      <c r="C186" s="16">
        <v>1</v>
      </c>
      <c r="D186" s="15"/>
      <c r="E186" s="13">
        <f t="shared" si="11"/>
        <v>1</v>
      </c>
      <c r="F186" s="39">
        <v>45512</v>
      </c>
    </row>
    <row r="187" spans="2:6" x14ac:dyDescent="0.15">
      <c r="B187" s="12" t="s">
        <v>22</v>
      </c>
      <c r="C187" s="16">
        <v>1</v>
      </c>
      <c r="D187" s="15"/>
      <c r="E187" s="13">
        <f t="shared" si="9"/>
        <v>1</v>
      </c>
      <c r="F187" s="39">
        <v>45535</v>
      </c>
    </row>
    <row r="188" spans="2:6" ht="14.25" thickBot="1" x14ac:dyDescent="0.2">
      <c r="B188" s="12" t="s">
        <v>22</v>
      </c>
      <c r="C188" s="11">
        <v>1</v>
      </c>
      <c r="D188" s="10"/>
      <c r="E188" s="8">
        <f t="shared" si="9"/>
        <v>1</v>
      </c>
      <c r="F188" s="39">
        <v>45570</v>
      </c>
    </row>
    <row r="189" spans="2:6" ht="14.25" thickBot="1" x14ac:dyDescent="0.2">
      <c r="B189" s="7" t="s">
        <v>1</v>
      </c>
      <c r="C189" s="6">
        <f>SUM(C164:C188)</f>
        <v>28</v>
      </c>
      <c r="D189" s="5">
        <f>SUM(D164:D188)</f>
        <v>0</v>
      </c>
      <c r="E189" s="5">
        <f t="shared" si="9"/>
        <v>28</v>
      </c>
    </row>
    <row r="190" spans="2:6" ht="14.25" thickBot="1" x14ac:dyDescent="0.2">
      <c r="B190" s="4" t="s">
        <v>0</v>
      </c>
      <c r="C190" s="3">
        <f>+C163-C189</f>
        <v>4</v>
      </c>
      <c r="D190" s="2">
        <f>+D163-D189</f>
        <v>0</v>
      </c>
      <c r="E190" s="2">
        <f t="shared" si="9"/>
        <v>4</v>
      </c>
    </row>
    <row r="192" spans="2:6" ht="18" thickBot="1" x14ac:dyDescent="0.25">
      <c r="B192" s="73" t="s">
        <v>17</v>
      </c>
      <c r="C192" s="35"/>
      <c r="D192" s="35"/>
      <c r="E192" s="35">
        <v>390</v>
      </c>
    </row>
    <row r="193" spans="1:6" ht="14.25" thickBot="1" x14ac:dyDescent="0.2">
      <c r="B193" s="34"/>
      <c r="C193" s="99"/>
      <c r="D193" s="100"/>
      <c r="E193" s="101"/>
    </row>
    <row r="194" spans="1:6" ht="14.25" thickBot="1" x14ac:dyDescent="0.2">
      <c r="A194" s="1"/>
      <c r="B194" s="32"/>
      <c r="C194" s="33" t="s">
        <v>15</v>
      </c>
      <c r="D194" s="32" t="s">
        <v>16</v>
      </c>
      <c r="E194" s="31" t="s">
        <v>5</v>
      </c>
    </row>
    <row r="195" spans="1:6" x14ac:dyDescent="0.15">
      <c r="B195" s="30" t="s">
        <v>0</v>
      </c>
      <c r="C195" s="23">
        <f>C190</f>
        <v>4</v>
      </c>
      <c r="D195" s="22">
        <f>D190</f>
        <v>0</v>
      </c>
      <c r="E195" s="22">
        <f t="shared" ref="E195:E228" si="12">SUM(C195:D195)</f>
        <v>4</v>
      </c>
    </row>
    <row r="196" spans="1:6" x14ac:dyDescent="0.15">
      <c r="B196" s="29" t="s">
        <v>3</v>
      </c>
      <c r="C196" s="16">
        <v>10</v>
      </c>
      <c r="D196" s="15"/>
      <c r="E196" s="13">
        <f t="shared" si="12"/>
        <v>10</v>
      </c>
      <c r="F196" s="20">
        <v>45589</v>
      </c>
    </row>
    <row r="197" spans="1:6" x14ac:dyDescent="0.15">
      <c r="B197" s="29" t="s">
        <v>3</v>
      </c>
      <c r="C197" s="74"/>
      <c r="D197" s="67"/>
      <c r="E197" s="13">
        <f t="shared" si="12"/>
        <v>0</v>
      </c>
      <c r="F197" s="20"/>
    </row>
    <row r="198" spans="1:6" x14ac:dyDescent="0.15">
      <c r="B198" s="29" t="s">
        <v>3</v>
      </c>
      <c r="C198" s="74"/>
      <c r="D198" s="67"/>
      <c r="E198" s="13">
        <f t="shared" si="12"/>
        <v>0</v>
      </c>
    </row>
    <row r="199" spans="1:6" x14ac:dyDescent="0.15">
      <c r="B199" s="29" t="s">
        <v>3</v>
      </c>
      <c r="C199" s="74"/>
      <c r="D199" s="67"/>
      <c r="E199" s="13">
        <f t="shared" si="12"/>
        <v>0</v>
      </c>
    </row>
    <row r="200" spans="1:6" ht="14.25" thickBot="1" x14ac:dyDescent="0.2">
      <c r="B200" s="29" t="s">
        <v>3</v>
      </c>
      <c r="C200" s="75"/>
      <c r="D200" s="76"/>
      <c r="E200" s="71">
        <f t="shared" si="12"/>
        <v>0</v>
      </c>
    </row>
    <row r="201" spans="1:6" ht="14.25" thickBot="1" x14ac:dyDescent="0.2">
      <c r="B201" s="26" t="s">
        <v>2</v>
      </c>
      <c r="C201" s="24">
        <f>SUM(C195:C200)</f>
        <v>14</v>
      </c>
      <c r="D201" s="24">
        <f>SUM(D195:D200)</f>
        <v>0</v>
      </c>
      <c r="E201" s="24">
        <f t="shared" si="12"/>
        <v>14</v>
      </c>
    </row>
    <row r="202" spans="1:6" x14ac:dyDescent="0.15">
      <c r="B202" s="12" t="s">
        <v>22</v>
      </c>
      <c r="C202" s="16">
        <v>1</v>
      </c>
      <c r="D202" s="15"/>
      <c r="E202" s="13">
        <f t="shared" si="12"/>
        <v>1</v>
      </c>
      <c r="F202" s="20">
        <v>45572</v>
      </c>
    </row>
    <row r="203" spans="1:6" x14ac:dyDescent="0.15">
      <c r="B203" s="12" t="s">
        <v>22</v>
      </c>
      <c r="C203" s="16">
        <v>1</v>
      </c>
      <c r="D203" s="15"/>
      <c r="E203" s="13">
        <f t="shared" si="12"/>
        <v>1</v>
      </c>
      <c r="F203" s="20">
        <v>45580</v>
      </c>
    </row>
    <row r="204" spans="1:6" x14ac:dyDescent="0.15">
      <c r="B204" s="12" t="s">
        <v>22</v>
      </c>
      <c r="C204" s="16">
        <v>1</v>
      </c>
      <c r="D204" s="15"/>
      <c r="E204" s="13">
        <f t="shared" si="12"/>
        <v>1</v>
      </c>
      <c r="F204" s="20">
        <v>45582</v>
      </c>
    </row>
    <row r="205" spans="1:6" x14ac:dyDescent="0.15">
      <c r="B205" s="12" t="s">
        <v>22</v>
      </c>
      <c r="C205" s="16">
        <v>1</v>
      </c>
      <c r="D205" s="15"/>
      <c r="E205" s="13">
        <f t="shared" si="12"/>
        <v>1</v>
      </c>
      <c r="F205" s="20">
        <v>45601</v>
      </c>
    </row>
    <row r="206" spans="1:6" x14ac:dyDescent="0.15">
      <c r="B206" s="12" t="s">
        <v>22</v>
      </c>
      <c r="C206" s="16">
        <v>2</v>
      </c>
      <c r="D206" s="15"/>
      <c r="E206" s="13">
        <f t="shared" si="12"/>
        <v>2</v>
      </c>
      <c r="F206" s="20">
        <v>45602</v>
      </c>
    </row>
    <row r="207" spans="1:6" x14ac:dyDescent="0.15">
      <c r="B207" s="12" t="s">
        <v>22</v>
      </c>
      <c r="C207" s="16">
        <v>1</v>
      </c>
      <c r="D207" s="15"/>
      <c r="E207" s="13">
        <f t="shared" si="12"/>
        <v>1</v>
      </c>
      <c r="F207" s="20">
        <v>45604</v>
      </c>
    </row>
    <row r="208" spans="1:6" x14ac:dyDescent="0.15">
      <c r="B208" s="12" t="s">
        <v>22</v>
      </c>
      <c r="C208" s="16">
        <v>1</v>
      </c>
      <c r="D208" s="15"/>
      <c r="E208" s="13">
        <f t="shared" si="12"/>
        <v>1</v>
      </c>
      <c r="F208" s="20">
        <v>45607</v>
      </c>
    </row>
    <row r="209" spans="2:6" x14ac:dyDescent="0.15">
      <c r="B209" s="12" t="s">
        <v>22</v>
      </c>
      <c r="C209" s="16">
        <v>2</v>
      </c>
      <c r="D209" s="15"/>
      <c r="E209" s="13">
        <f t="shared" si="12"/>
        <v>2</v>
      </c>
      <c r="F209" s="20">
        <v>45635</v>
      </c>
    </row>
    <row r="210" spans="2:6" x14ac:dyDescent="0.15">
      <c r="B210" s="12" t="s">
        <v>22</v>
      </c>
      <c r="C210" s="16">
        <v>1</v>
      </c>
      <c r="D210" s="15"/>
      <c r="E210" s="13">
        <f t="shared" si="12"/>
        <v>1</v>
      </c>
      <c r="F210" s="20">
        <v>45636</v>
      </c>
    </row>
    <row r="211" spans="2:6" x14ac:dyDescent="0.15">
      <c r="B211" s="12" t="s">
        <v>22</v>
      </c>
      <c r="C211" s="16">
        <v>1</v>
      </c>
      <c r="D211" s="15"/>
      <c r="E211" s="13">
        <f t="shared" si="12"/>
        <v>1</v>
      </c>
      <c r="F211" s="20">
        <v>45650</v>
      </c>
    </row>
    <row r="212" spans="2:6" x14ac:dyDescent="0.15">
      <c r="B212" s="12" t="s">
        <v>22</v>
      </c>
      <c r="C212" s="16">
        <v>1</v>
      </c>
      <c r="D212" s="15"/>
      <c r="E212" s="13">
        <f t="shared" si="12"/>
        <v>1</v>
      </c>
      <c r="F212" s="20">
        <v>45671</v>
      </c>
    </row>
    <row r="213" spans="2:6" x14ac:dyDescent="0.15">
      <c r="B213" s="12" t="s">
        <v>53</v>
      </c>
      <c r="C213" s="16">
        <v>1</v>
      </c>
      <c r="D213" s="15"/>
      <c r="E213" s="13">
        <f t="shared" si="12"/>
        <v>1</v>
      </c>
      <c r="F213" s="20">
        <v>45894</v>
      </c>
    </row>
    <row r="214" spans="2:6" x14ac:dyDescent="0.15">
      <c r="B214" s="12"/>
      <c r="C214" s="16"/>
      <c r="D214" s="15"/>
      <c r="E214" s="13">
        <f t="shared" si="12"/>
        <v>0</v>
      </c>
    </row>
    <row r="215" spans="2:6" x14ac:dyDescent="0.15">
      <c r="B215" s="12"/>
      <c r="C215" s="16"/>
      <c r="D215" s="15"/>
      <c r="E215" s="13">
        <f t="shared" si="12"/>
        <v>0</v>
      </c>
    </row>
    <row r="216" spans="2:6" x14ac:dyDescent="0.15">
      <c r="B216" s="12"/>
      <c r="C216" s="16"/>
      <c r="D216" s="15"/>
      <c r="E216" s="13">
        <f t="shared" si="12"/>
        <v>0</v>
      </c>
    </row>
    <row r="217" spans="2:6" x14ac:dyDescent="0.15">
      <c r="B217" s="12"/>
      <c r="C217" s="16"/>
      <c r="D217" s="15"/>
      <c r="E217" s="13">
        <f t="shared" si="12"/>
        <v>0</v>
      </c>
    </row>
    <row r="218" spans="2:6" x14ac:dyDescent="0.15">
      <c r="B218" s="12"/>
      <c r="C218" s="16"/>
      <c r="D218" s="15"/>
      <c r="E218" s="13">
        <f t="shared" si="12"/>
        <v>0</v>
      </c>
    </row>
    <row r="219" spans="2:6" x14ac:dyDescent="0.15">
      <c r="B219" s="12"/>
      <c r="C219" s="16"/>
      <c r="D219" s="15"/>
      <c r="E219" s="13">
        <f t="shared" si="12"/>
        <v>0</v>
      </c>
    </row>
    <row r="220" spans="2:6" x14ac:dyDescent="0.15">
      <c r="B220" s="12"/>
      <c r="C220" s="16"/>
      <c r="D220" s="15"/>
      <c r="E220" s="13">
        <f t="shared" si="12"/>
        <v>0</v>
      </c>
    </row>
    <row r="221" spans="2:6" x14ac:dyDescent="0.15">
      <c r="B221" s="12"/>
      <c r="C221" s="16"/>
      <c r="D221" s="15"/>
      <c r="E221" s="13">
        <f t="shared" si="12"/>
        <v>0</v>
      </c>
    </row>
    <row r="222" spans="2:6" x14ac:dyDescent="0.15">
      <c r="B222" s="12"/>
      <c r="C222" s="16"/>
      <c r="D222" s="15"/>
      <c r="E222" s="13">
        <f t="shared" si="12"/>
        <v>0</v>
      </c>
    </row>
    <row r="223" spans="2:6" x14ac:dyDescent="0.15">
      <c r="B223" s="12"/>
      <c r="C223" s="16"/>
      <c r="D223" s="15"/>
      <c r="E223" s="13">
        <f t="shared" si="12"/>
        <v>0</v>
      </c>
    </row>
    <row r="224" spans="2:6" x14ac:dyDescent="0.15">
      <c r="B224" s="12"/>
      <c r="C224" s="16"/>
      <c r="D224" s="15"/>
      <c r="E224" s="13">
        <f t="shared" si="12"/>
        <v>0</v>
      </c>
    </row>
    <row r="225" spans="2:5" x14ac:dyDescent="0.15">
      <c r="B225" s="12"/>
      <c r="C225" s="16"/>
      <c r="D225" s="15"/>
      <c r="E225" s="13">
        <f t="shared" si="12"/>
        <v>0</v>
      </c>
    </row>
    <row r="226" spans="2:5" ht="14.25" thickBot="1" x14ac:dyDescent="0.2">
      <c r="B226" s="12"/>
      <c r="C226" s="11"/>
      <c r="D226" s="10"/>
      <c r="E226" s="8">
        <f t="shared" si="12"/>
        <v>0</v>
      </c>
    </row>
    <row r="227" spans="2:5" ht="14.25" thickBot="1" x14ac:dyDescent="0.2">
      <c r="B227" s="7" t="s">
        <v>1</v>
      </c>
      <c r="C227" s="6">
        <f>SUM(C202:C226)</f>
        <v>14</v>
      </c>
      <c r="D227" s="5">
        <f>SUM(D202:D226)</f>
        <v>0</v>
      </c>
      <c r="E227" s="5">
        <f t="shared" si="12"/>
        <v>14</v>
      </c>
    </row>
    <row r="228" spans="2:5" ht="14.25" thickBot="1" x14ac:dyDescent="0.2">
      <c r="B228" s="4" t="s">
        <v>0</v>
      </c>
      <c r="C228" s="3">
        <f>+C201-C227</f>
        <v>0</v>
      </c>
      <c r="D228" s="2">
        <f>+D201-D227</f>
        <v>0</v>
      </c>
      <c r="E228" s="2">
        <f t="shared" si="12"/>
        <v>0</v>
      </c>
    </row>
  </sheetData>
  <mergeCells count="6">
    <mergeCell ref="C193:E193"/>
    <mergeCell ref="C3:E3"/>
    <mergeCell ref="C41:E41"/>
    <mergeCell ref="C79:E79"/>
    <mergeCell ref="C117:E117"/>
    <mergeCell ref="C155:E155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266"/>
  <sheetViews>
    <sheetView tabSelected="1" topLeftCell="A226" zoomScale="90" zoomScaleNormal="90" workbookViewId="0">
      <selection activeCell="N248" sqref="N248"/>
    </sheetView>
  </sheetViews>
  <sheetFormatPr defaultRowHeight="13.5" x14ac:dyDescent="0.15"/>
  <cols>
    <col min="2" max="2" width="22.75" style="1" customWidth="1"/>
    <col min="3" max="3" width="6.875" style="1" customWidth="1"/>
    <col min="4" max="13" width="6.875" customWidth="1"/>
    <col min="14" max="14" width="9.25" bestFit="1" customWidth="1"/>
  </cols>
  <sheetData>
    <row r="2" spans="2:14" ht="19.5" thickBot="1" x14ac:dyDescent="0.25">
      <c r="B2" s="36" t="s">
        <v>13</v>
      </c>
      <c r="C2" s="36"/>
      <c r="D2" s="35"/>
      <c r="E2" s="35"/>
      <c r="F2" s="35"/>
      <c r="G2" s="35"/>
      <c r="H2" s="35"/>
      <c r="I2" s="35"/>
      <c r="J2" s="35">
        <v>2030</v>
      </c>
      <c r="K2" s="35"/>
      <c r="L2" s="35"/>
      <c r="M2" s="35"/>
    </row>
    <row r="3" spans="2:14" ht="14.25" thickBot="1" x14ac:dyDescent="0.2">
      <c r="B3" s="7"/>
      <c r="C3" s="93" t="s">
        <v>18</v>
      </c>
      <c r="D3" s="94"/>
      <c r="E3" s="94"/>
      <c r="F3" s="94"/>
      <c r="G3" s="95"/>
      <c r="H3" s="96" t="s">
        <v>19</v>
      </c>
      <c r="I3" s="97"/>
      <c r="J3" s="97"/>
      <c r="K3" s="97"/>
      <c r="L3" s="98"/>
      <c r="M3" s="5"/>
    </row>
    <row r="4" spans="2:14" s="1" customFormat="1" ht="14.25" thickBot="1" x14ac:dyDescent="0.2">
      <c r="B4" s="32"/>
      <c r="C4" s="77" t="s">
        <v>50</v>
      </c>
      <c r="D4" s="33" t="s">
        <v>8</v>
      </c>
      <c r="E4" s="46" t="s">
        <v>9</v>
      </c>
      <c r="F4" s="31" t="s">
        <v>10</v>
      </c>
      <c r="G4" s="7" t="s">
        <v>5</v>
      </c>
      <c r="H4" s="77" t="s">
        <v>50</v>
      </c>
      <c r="I4" s="33" t="s">
        <v>8</v>
      </c>
      <c r="J4" s="46" t="s">
        <v>9</v>
      </c>
      <c r="K4" s="31" t="s">
        <v>10</v>
      </c>
      <c r="L4" s="7" t="s">
        <v>5</v>
      </c>
      <c r="M4" s="7" t="s">
        <v>5</v>
      </c>
    </row>
    <row r="5" spans="2:14" ht="14.25" customHeight="1" x14ac:dyDescent="0.15">
      <c r="B5" s="41" t="s">
        <v>4</v>
      </c>
      <c r="C5" s="78">
        <v>0</v>
      </c>
      <c r="D5" s="38">
        <v>2</v>
      </c>
      <c r="E5" s="57">
        <v>2</v>
      </c>
      <c r="F5" s="58">
        <v>2</v>
      </c>
      <c r="G5" s="13">
        <f>SUM(C5:F5)</f>
        <v>6</v>
      </c>
      <c r="H5" s="78">
        <v>0</v>
      </c>
      <c r="I5" s="38">
        <v>2</v>
      </c>
      <c r="J5" s="57">
        <v>2</v>
      </c>
      <c r="K5" s="58">
        <v>2</v>
      </c>
      <c r="L5" s="13">
        <f>SUM(H5:K5)</f>
        <v>6</v>
      </c>
      <c r="M5" s="13">
        <f>G5+L5</f>
        <v>12</v>
      </c>
      <c r="N5" s="20">
        <v>44595</v>
      </c>
    </row>
    <row r="6" spans="2:14" x14ac:dyDescent="0.15">
      <c r="B6" s="29" t="s">
        <v>3</v>
      </c>
      <c r="C6" s="79"/>
      <c r="D6" s="16"/>
      <c r="E6" s="47"/>
      <c r="F6" s="14"/>
      <c r="G6" s="13">
        <f>SUM(C6:F6)</f>
        <v>0</v>
      </c>
      <c r="H6" s="79"/>
      <c r="I6" s="16">
        <v>2</v>
      </c>
      <c r="J6" s="47"/>
      <c r="K6" s="14">
        <v>2</v>
      </c>
      <c r="L6" s="13">
        <f>SUM(H6:K6)</f>
        <v>4</v>
      </c>
      <c r="M6" s="13">
        <f t="shared" ref="M6:M38" si="0">G6+L6</f>
        <v>4</v>
      </c>
      <c r="N6" s="20">
        <v>44630</v>
      </c>
    </row>
    <row r="7" spans="2:14" x14ac:dyDescent="0.15">
      <c r="B7" s="29" t="s">
        <v>3</v>
      </c>
      <c r="C7" s="79"/>
      <c r="D7" s="16"/>
      <c r="E7" s="47">
        <v>2</v>
      </c>
      <c r="F7" s="14"/>
      <c r="G7" s="13">
        <f t="shared" ref="G7:G8" si="1">SUM(C7:F7)</f>
        <v>2</v>
      </c>
      <c r="H7" s="79"/>
      <c r="I7" s="16"/>
      <c r="J7" s="47"/>
      <c r="K7" s="14"/>
      <c r="L7" s="13">
        <f t="shared" ref="L7:L8" si="2">SUM(H7:K7)</f>
        <v>0</v>
      </c>
      <c r="M7" s="13">
        <f t="shared" si="0"/>
        <v>2</v>
      </c>
      <c r="N7" s="20">
        <v>44713</v>
      </c>
    </row>
    <row r="8" spans="2:14" x14ac:dyDescent="0.15">
      <c r="B8" s="29" t="s">
        <v>3</v>
      </c>
      <c r="C8" s="79"/>
      <c r="D8" s="16"/>
      <c r="E8" s="47"/>
      <c r="F8" s="14"/>
      <c r="G8" s="13">
        <f t="shared" si="1"/>
        <v>0</v>
      </c>
      <c r="H8" s="79"/>
      <c r="I8" s="16"/>
      <c r="J8" s="47">
        <v>1</v>
      </c>
      <c r="K8" s="14"/>
      <c r="L8" s="13">
        <f t="shared" si="2"/>
        <v>1</v>
      </c>
      <c r="M8" s="13">
        <f t="shared" si="0"/>
        <v>1</v>
      </c>
      <c r="N8" s="20">
        <v>44722</v>
      </c>
    </row>
    <row r="9" spans="2:14" x14ac:dyDescent="0.15">
      <c r="B9" s="29" t="s">
        <v>3</v>
      </c>
      <c r="C9" s="79"/>
      <c r="D9" s="16"/>
      <c r="E9" s="47"/>
      <c r="F9" s="14">
        <v>2</v>
      </c>
      <c r="G9" s="13">
        <f>SUM(C9:F9)</f>
        <v>2</v>
      </c>
      <c r="H9" s="79"/>
      <c r="I9" s="16"/>
      <c r="J9" s="47"/>
      <c r="K9" s="14"/>
      <c r="L9" s="13">
        <f>SUM(H9:K9)</f>
        <v>0</v>
      </c>
      <c r="M9" s="13">
        <f t="shared" si="0"/>
        <v>2</v>
      </c>
      <c r="N9" s="20">
        <v>44727</v>
      </c>
    </row>
    <row r="10" spans="2:14" ht="14.25" thickBot="1" x14ac:dyDescent="0.2">
      <c r="B10" s="28" t="s">
        <v>3</v>
      </c>
      <c r="C10" s="79"/>
      <c r="D10" s="27"/>
      <c r="E10" s="48"/>
      <c r="F10" s="9"/>
      <c r="G10" s="13">
        <f t="shared" ref="G10:G38" si="3">SUM(C10:F10)</f>
        <v>0</v>
      </c>
      <c r="H10" s="79"/>
      <c r="I10" s="27"/>
      <c r="J10" s="48">
        <v>1</v>
      </c>
      <c r="K10" s="9"/>
      <c r="L10" s="13">
        <f t="shared" ref="L10:L38" si="4">SUM(H10:K10)</f>
        <v>1</v>
      </c>
      <c r="M10" s="8">
        <f t="shared" si="0"/>
        <v>1</v>
      </c>
      <c r="N10" s="20">
        <v>44797</v>
      </c>
    </row>
    <row r="11" spans="2:14" ht="14.25" thickBot="1" x14ac:dyDescent="0.2">
      <c r="B11" s="26" t="s">
        <v>2</v>
      </c>
      <c r="C11" s="80">
        <f>SUM(C5:C10)</f>
        <v>0</v>
      </c>
      <c r="D11" s="25">
        <f>SUM(D5:D10)</f>
        <v>2</v>
      </c>
      <c r="E11" s="49">
        <f>SUM(E5:E10)</f>
        <v>4</v>
      </c>
      <c r="F11" s="25">
        <f>SUM(F5:F10)</f>
        <v>4</v>
      </c>
      <c r="G11" s="24">
        <f t="shared" si="3"/>
        <v>10</v>
      </c>
      <c r="H11" s="80">
        <f>SUM(H5:H10)</f>
        <v>0</v>
      </c>
      <c r="I11" s="25">
        <f>SUM(I5:I10)</f>
        <v>4</v>
      </c>
      <c r="J11" s="49">
        <f>SUM(J5:J10)</f>
        <v>4</v>
      </c>
      <c r="K11" s="25">
        <f>SUM(K5:K10)</f>
        <v>4</v>
      </c>
      <c r="L11" s="24">
        <f t="shared" si="4"/>
        <v>12</v>
      </c>
      <c r="M11" s="24">
        <f t="shared" si="0"/>
        <v>22</v>
      </c>
    </row>
    <row r="12" spans="2:14" x14ac:dyDescent="0.15">
      <c r="B12" s="41" t="s">
        <v>29</v>
      </c>
      <c r="C12" s="81"/>
      <c r="D12" s="52"/>
      <c r="E12" s="53"/>
      <c r="F12" s="14"/>
      <c r="G12" s="13">
        <f t="shared" si="3"/>
        <v>0</v>
      </c>
      <c r="H12" s="81"/>
      <c r="I12" s="52">
        <v>2</v>
      </c>
      <c r="J12" s="53"/>
      <c r="K12" s="14"/>
      <c r="L12" s="13">
        <f t="shared" si="4"/>
        <v>2</v>
      </c>
      <c r="M12" s="13">
        <f t="shared" si="0"/>
        <v>2</v>
      </c>
      <c r="N12" s="20">
        <v>44620</v>
      </c>
    </row>
    <row r="13" spans="2:14" x14ac:dyDescent="0.15">
      <c r="B13" s="12" t="s">
        <v>22</v>
      </c>
      <c r="C13" s="81"/>
      <c r="D13" s="16"/>
      <c r="E13" s="47"/>
      <c r="F13" s="14"/>
      <c r="G13" s="13">
        <f t="shared" si="3"/>
        <v>0</v>
      </c>
      <c r="H13" s="81"/>
      <c r="I13" s="16"/>
      <c r="J13" s="47"/>
      <c r="K13" s="14">
        <v>1</v>
      </c>
      <c r="L13" s="13">
        <f t="shared" si="4"/>
        <v>1</v>
      </c>
      <c r="M13" s="13">
        <f t="shared" si="0"/>
        <v>1</v>
      </c>
      <c r="N13" s="20">
        <v>44676</v>
      </c>
    </row>
    <row r="14" spans="2:14" x14ac:dyDescent="0.15">
      <c r="B14" s="12" t="s">
        <v>22</v>
      </c>
      <c r="C14" s="81"/>
      <c r="D14" s="16"/>
      <c r="E14" s="47"/>
      <c r="F14" s="14"/>
      <c r="G14" s="13">
        <f t="shared" si="3"/>
        <v>0</v>
      </c>
      <c r="H14" s="81"/>
      <c r="I14" s="16"/>
      <c r="J14" s="47"/>
      <c r="K14" s="14">
        <v>1</v>
      </c>
      <c r="L14" s="13">
        <f t="shared" si="4"/>
        <v>1</v>
      </c>
      <c r="M14" s="13">
        <f t="shared" si="0"/>
        <v>1</v>
      </c>
      <c r="N14" s="20">
        <v>44677</v>
      </c>
    </row>
    <row r="15" spans="2:14" x14ac:dyDescent="0.15">
      <c r="B15" s="12" t="s">
        <v>22</v>
      </c>
      <c r="C15" s="81"/>
      <c r="D15" s="16"/>
      <c r="E15" s="47">
        <v>1</v>
      </c>
      <c r="F15" s="14"/>
      <c r="G15" s="13">
        <f t="shared" si="3"/>
        <v>1</v>
      </c>
      <c r="H15" s="81"/>
      <c r="I15" s="16"/>
      <c r="J15" s="47"/>
      <c r="K15" s="14"/>
      <c r="L15" s="13">
        <f t="shared" si="4"/>
        <v>0</v>
      </c>
      <c r="M15" s="13">
        <f t="shared" si="0"/>
        <v>1</v>
      </c>
      <c r="N15" s="20">
        <v>44687</v>
      </c>
    </row>
    <row r="16" spans="2:14" x14ac:dyDescent="0.15">
      <c r="B16" s="12" t="s">
        <v>22</v>
      </c>
      <c r="C16" s="81"/>
      <c r="D16" s="16"/>
      <c r="E16" s="47">
        <v>1</v>
      </c>
      <c r="F16" s="14"/>
      <c r="G16" s="13">
        <f t="shared" si="3"/>
        <v>1</v>
      </c>
      <c r="H16" s="81"/>
      <c r="I16" s="16"/>
      <c r="J16" s="47"/>
      <c r="K16" s="14"/>
      <c r="L16" s="13">
        <f t="shared" si="4"/>
        <v>0</v>
      </c>
      <c r="M16" s="13">
        <f t="shared" si="0"/>
        <v>1</v>
      </c>
      <c r="N16" s="20">
        <v>44713</v>
      </c>
    </row>
    <row r="17" spans="2:14" x14ac:dyDescent="0.15">
      <c r="B17" s="12" t="s">
        <v>22</v>
      </c>
      <c r="C17" s="81"/>
      <c r="D17" s="16"/>
      <c r="E17" s="47"/>
      <c r="F17" s="14">
        <v>2</v>
      </c>
      <c r="G17" s="13">
        <f t="shared" si="3"/>
        <v>2</v>
      </c>
      <c r="H17" s="81"/>
      <c r="I17" s="16"/>
      <c r="J17" s="47">
        <v>1</v>
      </c>
      <c r="K17" s="14"/>
      <c r="L17" s="13">
        <f t="shared" si="4"/>
        <v>1</v>
      </c>
      <c r="M17" s="13">
        <f t="shared" si="0"/>
        <v>3</v>
      </c>
      <c r="N17" s="20">
        <v>44714</v>
      </c>
    </row>
    <row r="18" spans="2:14" x14ac:dyDescent="0.15">
      <c r="B18" s="12" t="s">
        <v>22</v>
      </c>
      <c r="C18" s="81"/>
      <c r="D18" s="16"/>
      <c r="E18" s="47"/>
      <c r="F18" s="14"/>
      <c r="G18" s="13">
        <f t="shared" si="3"/>
        <v>0</v>
      </c>
      <c r="H18" s="81"/>
      <c r="I18" s="16"/>
      <c r="J18" s="47">
        <v>1</v>
      </c>
      <c r="K18" s="14"/>
      <c r="L18" s="13">
        <f t="shared" si="4"/>
        <v>1</v>
      </c>
      <c r="M18" s="13">
        <f t="shared" si="0"/>
        <v>1</v>
      </c>
      <c r="N18" s="20">
        <v>44779</v>
      </c>
    </row>
    <row r="19" spans="2:14" x14ac:dyDescent="0.15">
      <c r="B19" s="12"/>
      <c r="C19" s="81"/>
      <c r="D19" s="19"/>
      <c r="E19" s="50"/>
      <c r="F19" s="17"/>
      <c r="G19" s="13">
        <f t="shared" si="3"/>
        <v>0</v>
      </c>
      <c r="H19" s="81"/>
      <c r="I19" s="19"/>
      <c r="J19" s="50"/>
      <c r="K19" s="17"/>
      <c r="L19" s="13">
        <f t="shared" si="4"/>
        <v>0</v>
      </c>
      <c r="M19" s="13">
        <f t="shared" si="0"/>
        <v>0</v>
      </c>
    </row>
    <row r="20" spans="2:14" x14ac:dyDescent="0.15">
      <c r="B20" s="12"/>
      <c r="C20" s="81"/>
      <c r="D20" s="19"/>
      <c r="E20" s="50"/>
      <c r="F20" s="17"/>
      <c r="G20" s="13">
        <f t="shared" si="3"/>
        <v>0</v>
      </c>
      <c r="H20" s="81"/>
      <c r="I20" s="19"/>
      <c r="J20" s="50"/>
      <c r="K20" s="17"/>
      <c r="L20" s="13">
        <f t="shared" si="4"/>
        <v>0</v>
      </c>
      <c r="M20" s="13">
        <f t="shared" si="0"/>
        <v>0</v>
      </c>
    </row>
    <row r="21" spans="2:14" x14ac:dyDescent="0.15">
      <c r="B21" s="12"/>
      <c r="C21" s="81"/>
      <c r="D21" s="16"/>
      <c r="E21" s="47"/>
      <c r="F21" s="14"/>
      <c r="G21" s="13">
        <f t="shared" si="3"/>
        <v>0</v>
      </c>
      <c r="H21" s="81"/>
      <c r="I21" s="16"/>
      <c r="J21" s="47"/>
      <c r="K21" s="14"/>
      <c r="L21" s="13">
        <f t="shared" si="4"/>
        <v>0</v>
      </c>
      <c r="M21" s="13">
        <f t="shared" si="0"/>
        <v>0</v>
      </c>
    </row>
    <row r="22" spans="2:14" x14ac:dyDescent="0.15">
      <c r="B22" s="12"/>
      <c r="C22" s="81"/>
      <c r="D22" s="19"/>
      <c r="E22" s="50"/>
      <c r="F22" s="17"/>
      <c r="G22" s="13">
        <f t="shared" si="3"/>
        <v>0</v>
      </c>
      <c r="H22" s="81"/>
      <c r="I22" s="19"/>
      <c r="J22" s="50"/>
      <c r="K22" s="17"/>
      <c r="L22" s="13">
        <f t="shared" si="4"/>
        <v>0</v>
      </c>
      <c r="M22" s="13">
        <f t="shared" si="0"/>
        <v>0</v>
      </c>
    </row>
    <row r="23" spans="2:14" x14ac:dyDescent="0.15">
      <c r="B23" s="12"/>
      <c r="C23" s="81"/>
      <c r="D23" s="19"/>
      <c r="E23" s="50"/>
      <c r="F23" s="17"/>
      <c r="G23" s="13">
        <f t="shared" si="3"/>
        <v>0</v>
      </c>
      <c r="H23" s="81"/>
      <c r="I23" s="19"/>
      <c r="J23" s="50"/>
      <c r="K23" s="17"/>
      <c r="L23" s="13">
        <f t="shared" si="4"/>
        <v>0</v>
      </c>
      <c r="M23" s="13">
        <f t="shared" si="0"/>
        <v>0</v>
      </c>
    </row>
    <row r="24" spans="2:14" x14ac:dyDescent="0.15">
      <c r="B24" s="12"/>
      <c r="C24" s="79"/>
      <c r="D24" s="16"/>
      <c r="E24" s="47"/>
      <c r="F24" s="14"/>
      <c r="G24" s="13">
        <f t="shared" si="3"/>
        <v>0</v>
      </c>
      <c r="H24" s="79"/>
      <c r="I24" s="16"/>
      <c r="J24" s="47"/>
      <c r="K24" s="14"/>
      <c r="L24" s="13">
        <f t="shared" si="4"/>
        <v>0</v>
      </c>
      <c r="M24" s="13">
        <f t="shared" si="0"/>
        <v>0</v>
      </c>
    </row>
    <row r="25" spans="2:14" x14ac:dyDescent="0.15">
      <c r="B25" s="12"/>
      <c r="C25" s="81"/>
      <c r="D25" s="19"/>
      <c r="E25" s="50"/>
      <c r="F25" s="17"/>
      <c r="G25" s="13">
        <f t="shared" si="3"/>
        <v>0</v>
      </c>
      <c r="H25" s="81"/>
      <c r="I25" s="19"/>
      <c r="J25" s="50"/>
      <c r="K25" s="17"/>
      <c r="L25" s="13">
        <f t="shared" si="4"/>
        <v>0</v>
      </c>
      <c r="M25" s="13">
        <f t="shared" si="0"/>
        <v>0</v>
      </c>
    </row>
    <row r="26" spans="2:14" x14ac:dyDescent="0.15">
      <c r="B26" s="12"/>
      <c r="C26" s="81"/>
      <c r="D26" s="19"/>
      <c r="E26" s="50"/>
      <c r="F26" s="17"/>
      <c r="G26" s="13">
        <f t="shared" si="3"/>
        <v>0</v>
      </c>
      <c r="H26" s="81"/>
      <c r="I26" s="19"/>
      <c r="J26" s="50"/>
      <c r="K26" s="17"/>
      <c r="L26" s="13">
        <f t="shared" si="4"/>
        <v>0</v>
      </c>
      <c r="M26" s="13">
        <f t="shared" si="0"/>
        <v>0</v>
      </c>
    </row>
    <row r="27" spans="2:14" x14ac:dyDescent="0.15">
      <c r="B27" s="12"/>
      <c r="C27" s="81"/>
      <c r="D27" s="19"/>
      <c r="E27" s="50"/>
      <c r="F27" s="17"/>
      <c r="G27" s="13">
        <f t="shared" si="3"/>
        <v>0</v>
      </c>
      <c r="H27" s="81"/>
      <c r="I27" s="19"/>
      <c r="J27" s="50"/>
      <c r="K27" s="17"/>
      <c r="L27" s="13">
        <f t="shared" si="4"/>
        <v>0</v>
      </c>
      <c r="M27" s="13">
        <f t="shared" si="0"/>
        <v>0</v>
      </c>
    </row>
    <row r="28" spans="2:14" x14ac:dyDescent="0.15">
      <c r="B28" s="12"/>
      <c r="C28" s="81"/>
      <c r="D28" s="19"/>
      <c r="E28" s="50"/>
      <c r="F28" s="17"/>
      <c r="G28" s="13">
        <f t="shared" si="3"/>
        <v>0</v>
      </c>
      <c r="H28" s="81"/>
      <c r="I28" s="19"/>
      <c r="J28" s="50"/>
      <c r="K28" s="17"/>
      <c r="L28" s="13">
        <f t="shared" si="4"/>
        <v>0</v>
      </c>
      <c r="M28" s="13">
        <f t="shared" si="0"/>
        <v>0</v>
      </c>
    </row>
    <row r="29" spans="2:14" x14ac:dyDescent="0.15">
      <c r="B29" s="12"/>
      <c r="C29" s="81"/>
      <c r="D29" s="19"/>
      <c r="E29" s="50"/>
      <c r="F29" s="17"/>
      <c r="G29" s="13">
        <f t="shared" si="3"/>
        <v>0</v>
      </c>
      <c r="H29" s="81"/>
      <c r="I29" s="19"/>
      <c r="J29" s="50"/>
      <c r="K29" s="17"/>
      <c r="L29" s="13">
        <f t="shared" si="4"/>
        <v>0</v>
      </c>
      <c r="M29" s="13">
        <f t="shared" si="0"/>
        <v>0</v>
      </c>
    </row>
    <row r="30" spans="2:14" x14ac:dyDescent="0.15">
      <c r="B30" s="12"/>
      <c r="C30" s="81"/>
      <c r="D30" s="19"/>
      <c r="E30" s="50"/>
      <c r="F30" s="17"/>
      <c r="G30" s="13">
        <f t="shared" si="3"/>
        <v>0</v>
      </c>
      <c r="H30" s="81"/>
      <c r="I30" s="19"/>
      <c r="J30" s="50"/>
      <c r="K30" s="17"/>
      <c r="L30" s="13">
        <f t="shared" si="4"/>
        <v>0</v>
      </c>
      <c r="M30" s="13">
        <f t="shared" si="0"/>
        <v>0</v>
      </c>
    </row>
    <row r="31" spans="2:14" x14ac:dyDescent="0.15">
      <c r="B31" s="12"/>
      <c r="C31" s="79"/>
      <c r="D31" s="16"/>
      <c r="E31" s="47"/>
      <c r="F31" s="14"/>
      <c r="G31" s="13">
        <f t="shared" si="3"/>
        <v>0</v>
      </c>
      <c r="H31" s="79"/>
      <c r="I31" s="16"/>
      <c r="J31" s="47"/>
      <c r="K31" s="14"/>
      <c r="L31" s="13">
        <f t="shared" si="4"/>
        <v>0</v>
      </c>
      <c r="M31" s="13">
        <f t="shared" si="0"/>
        <v>0</v>
      </c>
    </row>
    <row r="32" spans="2:14" x14ac:dyDescent="0.15">
      <c r="B32" s="12"/>
      <c r="C32" s="79"/>
      <c r="D32" s="16"/>
      <c r="E32" s="47"/>
      <c r="F32" s="14"/>
      <c r="G32" s="13">
        <f t="shared" si="3"/>
        <v>0</v>
      </c>
      <c r="H32" s="79"/>
      <c r="I32" s="16"/>
      <c r="J32" s="47"/>
      <c r="K32" s="14"/>
      <c r="L32" s="13">
        <f t="shared" si="4"/>
        <v>0</v>
      </c>
      <c r="M32" s="13">
        <f t="shared" si="0"/>
        <v>0</v>
      </c>
    </row>
    <row r="33" spans="2:14" x14ac:dyDescent="0.15">
      <c r="B33" s="12"/>
      <c r="C33" s="79"/>
      <c r="D33" s="16"/>
      <c r="E33" s="47"/>
      <c r="F33" s="14"/>
      <c r="G33" s="13">
        <f t="shared" si="3"/>
        <v>0</v>
      </c>
      <c r="H33" s="79"/>
      <c r="I33" s="16"/>
      <c r="J33" s="47"/>
      <c r="K33" s="14"/>
      <c r="L33" s="13">
        <f t="shared" si="4"/>
        <v>0</v>
      </c>
      <c r="M33" s="13">
        <f t="shared" si="0"/>
        <v>0</v>
      </c>
    </row>
    <row r="34" spans="2:14" x14ac:dyDescent="0.15">
      <c r="B34" s="12"/>
      <c r="C34" s="79"/>
      <c r="D34" s="16"/>
      <c r="E34" s="47"/>
      <c r="F34" s="14"/>
      <c r="G34" s="13">
        <f t="shared" si="3"/>
        <v>0</v>
      </c>
      <c r="H34" s="79"/>
      <c r="I34" s="16"/>
      <c r="J34" s="47"/>
      <c r="K34" s="14"/>
      <c r="L34" s="13">
        <f t="shared" si="4"/>
        <v>0</v>
      </c>
      <c r="M34" s="13">
        <f t="shared" si="0"/>
        <v>0</v>
      </c>
    </row>
    <row r="35" spans="2:14" x14ac:dyDescent="0.15">
      <c r="B35" s="12"/>
      <c r="C35" s="79"/>
      <c r="D35" s="16"/>
      <c r="E35" s="47"/>
      <c r="F35" s="14"/>
      <c r="G35" s="13">
        <f t="shared" si="3"/>
        <v>0</v>
      </c>
      <c r="H35" s="79"/>
      <c r="I35" s="16"/>
      <c r="J35" s="47"/>
      <c r="K35" s="14"/>
      <c r="L35" s="13">
        <f t="shared" si="4"/>
        <v>0</v>
      </c>
      <c r="M35" s="13">
        <f t="shared" si="0"/>
        <v>0</v>
      </c>
    </row>
    <row r="36" spans="2:14" ht="14.25" thickBot="1" x14ac:dyDescent="0.2">
      <c r="B36" s="12"/>
      <c r="C36" s="82"/>
      <c r="D36" s="27"/>
      <c r="E36" s="48"/>
      <c r="F36" s="9"/>
      <c r="G36" s="8">
        <f t="shared" si="3"/>
        <v>0</v>
      </c>
      <c r="H36" s="82"/>
      <c r="I36" s="27"/>
      <c r="J36" s="48"/>
      <c r="K36" s="9"/>
      <c r="L36" s="8">
        <f t="shared" si="4"/>
        <v>0</v>
      </c>
      <c r="M36" s="8">
        <f t="shared" si="0"/>
        <v>0</v>
      </c>
    </row>
    <row r="37" spans="2:14" ht="14.25" thickBot="1" x14ac:dyDescent="0.2">
      <c r="B37" s="7" t="s">
        <v>1</v>
      </c>
      <c r="C37" s="83">
        <f>SUM(C12:C36)</f>
        <v>0</v>
      </c>
      <c r="D37" s="6">
        <f>SUM(D12:D36)</f>
        <v>0</v>
      </c>
      <c r="E37" s="51">
        <f>SUM(E12:E36)</f>
        <v>2</v>
      </c>
      <c r="F37" s="44">
        <f>SUM(F12:F36)</f>
        <v>2</v>
      </c>
      <c r="G37" s="5">
        <f t="shared" si="3"/>
        <v>4</v>
      </c>
      <c r="H37" s="83">
        <f>SUM(H12:H36)</f>
        <v>0</v>
      </c>
      <c r="I37" s="6">
        <f>SUM(I12:I36)</f>
        <v>2</v>
      </c>
      <c r="J37" s="51">
        <f>SUM(J12:J36)</f>
        <v>2</v>
      </c>
      <c r="K37" s="44">
        <f>SUM(K12:K36)</f>
        <v>2</v>
      </c>
      <c r="L37" s="5">
        <f t="shared" si="4"/>
        <v>6</v>
      </c>
      <c r="M37" s="5">
        <f t="shared" si="0"/>
        <v>10</v>
      </c>
    </row>
    <row r="38" spans="2:14" ht="14.25" thickBot="1" x14ac:dyDescent="0.2">
      <c r="B38" s="4" t="s">
        <v>0</v>
      </c>
      <c r="C38" s="80">
        <f>+C11-C37</f>
        <v>0</v>
      </c>
      <c r="D38" s="25">
        <f>+D11-D37</f>
        <v>2</v>
      </c>
      <c r="E38" s="49">
        <f>+E11-E37</f>
        <v>2</v>
      </c>
      <c r="F38" s="45">
        <f>+F11-F37</f>
        <v>2</v>
      </c>
      <c r="G38" s="24">
        <f t="shared" si="3"/>
        <v>6</v>
      </c>
      <c r="H38" s="80">
        <f>+H11-H37</f>
        <v>0</v>
      </c>
      <c r="I38" s="25">
        <f>+I11-I37</f>
        <v>2</v>
      </c>
      <c r="J38" s="49">
        <f>+J11-J37</f>
        <v>2</v>
      </c>
      <c r="K38" s="45">
        <f>+K11-K37</f>
        <v>2</v>
      </c>
      <c r="L38" s="24">
        <f t="shared" si="4"/>
        <v>6</v>
      </c>
      <c r="M38" s="24">
        <f t="shared" si="0"/>
        <v>12</v>
      </c>
    </row>
    <row r="40" spans="2:14" ht="19.5" thickBot="1" x14ac:dyDescent="0.25">
      <c r="B40" s="36" t="s">
        <v>13</v>
      </c>
      <c r="C40" s="36"/>
      <c r="D40" s="35"/>
      <c r="E40" s="35"/>
      <c r="F40" s="35"/>
      <c r="G40" s="35"/>
      <c r="H40" s="35"/>
      <c r="I40" s="35"/>
      <c r="J40" s="35">
        <v>2030</v>
      </c>
      <c r="K40" s="35"/>
      <c r="L40" s="35"/>
      <c r="M40" s="35"/>
    </row>
    <row r="41" spans="2:14" ht="14.25" thickBot="1" x14ac:dyDescent="0.2">
      <c r="B41" s="7"/>
      <c r="C41" s="93" t="s">
        <v>18</v>
      </c>
      <c r="D41" s="94"/>
      <c r="E41" s="94"/>
      <c r="F41" s="94"/>
      <c r="G41" s="95"/>
      <c r="H41" s="96" t="s">
        <v>19</v>
      </c>
      <c r="I41" s="97"/>
      <c r="J41" s="97"/>
      <c r="K41" s="97"/>
      <c r="L41" s="98"/>
      <c r="M41" s="5"/>
    </row>
    <row r="42" spans="2:14" s="1" customFormat="1" ht="14.25" thickBot="1" x14ac:dyDescent="0.2">
      <c r="B42" s="32"/>
      <c r="C42" s="77" t="s">
        <v>50</v>
      </c>
      <c r="D42" s="33" t="s">
        <v>8</v>
      </c>
      <c r="E42" s="46" t="s">
        <v>9</v>
      </c>
      <c r="F42" s="31" t="s">
        <v>10</v>
      </c>
      <c r="G42" s="7" t="s">
        <v>5</v>
      </c>
      <c r="H42" s="77" t="s">
        <v>50</v>
      </c>
      <c r="I42" s="33" t="s">
        <v>8</v>
      </c>
      <c r="J42" s="46" t="s">
        <v>9</v>
      </c>
      <c r="K42" s="31" t="s">
        <v>10</v>
      </c>
      <c r="L42" s="7" t="s">
        <v>5</v>
      </c>
      <c r="M42" s="7" t="s">
        <v>5</v>
      </c>
    </row>
    <row r="43" spans="2:14" ht="14.25" customHeight="1" x14ac:dyDescent="0.15">
      <c r="B43" s="30" t="s">
        <v>0</v>
      </c>
      <c r="C43" s="78">
        <f>C38</f>
        <v>0</v>
      </c>
      <c r="D43" s="23">
        <f>D38</f>
        <v>2</v>
      </c>
      <c r="E43" s="54">
        <f t="shared" ref="E43:M43" si="5">E38</f>
        <v>2</v>
      </c>
      <c r="F43" s="55">
        <f t="shared" si="5"/>
        <v>2</v>
      </c>
      <c r="G43" s="21">
        <f>G38</f>
        <v>6</v>
      </c>
      <c r="H43" s="78">
        <f>H38</f>
        <v>0</v>
      </c>
      <c r="I43" s="23">
        <f t="shared" si="5"/>
        <v>2</v>
      </c>
      <c r="J43" s="54">
        <f t="shared" si="5"/>
        <v>2</v>
      </c>
      <c r="K43" s="55">
        <f t="shared" si="5"/>
        <v>2</v>
      </c>
      <c r="L43" s="21">
        <f>L38</f>
        <v>6</v>
      </c>
      <c r="M43" s="21">
        <f t="shared" si="5"/>
        <v>12</v>
      </c>
    </row>
    <row r="44" spans="2:14" x14ac:dyDescent="0.15">
      <c r="B44" s="60" t="s">
        <v>35</v>
      </c>
      <c r="C44" s="79"/>
      <c r="D44" s="61">
        <v>0</v>
      </c>
      <c r="E44" s="66">
        <v>0</v>
      </c>
      <c r="F44" s="63">
        <v>0</v>
      </c>
      <c r="G44" s="13">
        <f>SUM(C44:F44)</f>
        <v>0</v>
      </c>
      <c r="H44" s="79"/>
      <c r="I44" s="61">
        <v>0</v>
      </c>
      <c r="J44" s="66">
        <v>0</v>
      </c>
      <c r="K44" s="63">
        <v>0</v>
      </c>
      <c r="L44" s="13">
        <f>SUM(H44:K44)</f>
        <v>0</v>
      </c>
      <c r="M44" s="64">
        <f t="shared" ref="M44:M76" si="6">G44+L44</f>
        <v>0</v>
      </c>
      <c r="N44" s="65">
        <v>44797</v>
      </c>
    </row>
    <row r="45" spans="2:14" x14ac:dyDescent="0.15">
      <c r="B45" s="29" t="s">
        <v>3</v>
      </c>
      <c r="C45" s="79"/>
      <c r="D45" s="16"/>
      <c r="E45" s="47">
        <v>1</v>
      </c>
      <c r="F45" s="14">
        <v>1</v>
      </c>
      <c r="G45" s="13">
        <f t="shared" ref="G45:G46" si="7">SUM(C45:F45)</f>
        <v>2</v>
      </c>
      <c r="H45" s="79"/>
      <c r="I45" s="16"/>
      <c r="J45" s="47"/>
      <c r="K45" s="14"/>
      <c r="L45" s="13">
        <f t="shared" ref="L45:L46" si="8">SUM(H45:K45)</f>
        <v>0</v>
      </c>
      <c r="M45" s="13">
        <f t="shared" si="6"/>
        <v>2</v>
      </c>
      <c r="N45" s="20">
        <v>44832</v>
      </c>
    </row>
    <row r="46" spans="2:14" x14ac:dyDescent="0.15">
      <c r="B46" s="29" t="s">
        <v>3</v>
      </c>
      <c r="C46" s="79"/>
      <c r="D46" s="16"/>
      <c r="E46" s="47"/>
      <c r="F46" s="14"/>
      <c r="G46" s="13">
        <f t="shared" si="7"/>
        <v>0</v>
      </c>
      <c r="H46" s="79"/>
      <c r="I46" s="16"/>
      <c r="J46" s="47">
        <v>1</v>
      </c>
      <c r="K46" s="14"/>
      <c r="L46" s="13">
        <f t="shared" si="8"/>
        <v>1</v>
      </c>
      <c r="M46" s="13">
        <f t="shared" si="6"/>
        <v>1</v>
      </c>
      <c r="N46" s="20">
        <v>44867</v>
      </c>
    </row>
    <row r="47" spans="2:14" x14ac:dyDescent="0.15">
      <c r="B47" s="29" t="s">
        <v>3</v>
      </c>
      <c r="C47" s="79"/>
      <c r="D47" s="16"/>
      <c r="E47" s="47">
        <v>2</v>
      </c>
      <c r="F47" s="14">
        <v>1</v>
      </c>
      <c r="G47" s="13">
        <f>SUM(C47:F47)</f>
        <v>3</v>
      </c>
      <c r="H47" s="79"/>
      <c r="I47" s="16"/>
      <c r="J47" s="47">
        <v>1</v>
      </c>
      <c r="K47" s="14"/>
      <c r="L47" s="13">
        <f>SUM(H47:K47)</f>
        <v>1</v>
      </c>
      <c r="M47" s="13">
        <f t="shared" si="6"/>
        <v>4</v>
      </c>
      <c r="N47" s="20">
        <v>44959</v>
      </c>
    </row>
    <row r="48" spans="2:14" ht="14.25" thickBot="1" x14ac:dyDescent="0.2">
      <c r="B48" s="28" t="s">
        <v>3</v>
      </c>
      <c r="C48" s="79"/>
      <c r="D48" s="27"/>
      <c r="E48" s="48"/>
      <c r="F48" s="9"/>
      <c r="G48" s="13">
        <f t="shared" ref="G48:G76" si="9">SUM(C48:F48)</f>
        <v>0</v>
      </c>
      <c r="H48" s="79"/>
      <c r="I48" s="27">
        <v>1</v>
      </c>
      <c r="J48" s="48"/>
      <c r="K48" s="9"/>
      <c r="L48" s="13">
        <f t="shared" ref="L48:L76" si="10">SUM(H48:K48)</f>
        <v>1</v>
      </c>
      <c r="M48" s="8">
        <f t="shared" si="6"/>
        <v>1</v>
      </c>
      <c r="N48" s="20">
        <v>45035</v>
      </c>
    </row>
    <row r="49" spans="2:14" ht="14.25" thickBot="1" x14ac:dyDescent="0.2">
      <c r="B49" s="26" t="s">
        <v>2</v>
      </c>
      <c r="C49" s="80">
        <f>SUM(C43:C48)</f>
        <v>0</v>
      </c>
      <c r="D49" s="25">
        <f>SUM(D43:D48)</f>
        <v>2</v>
      </c>
      <c r="E49" s="49">
        <f>SUM(E43:E48)</f>
        <v>5</v>
      </c>
      <c r="F49" s="25">
        <f>SUM(F43:F48)</f>
        <v>4</v>
      </c>
      <c r="G49" s="24">
        <f t="shared" si="9"/>
        <v>11</v>
      </c>
      <c r="H49" s="80">
        <f>SUM(H43:H48)</f>
        <v>0</v>
      </c>
      <c r="I49" s="25">
        <f>SUM(I43:I48)</f>
        <v>3</v>
      </c>
      <c r="J49" s="49">
        <f>SUM(J43:J48)</f>
        <v>4</v>
      </c>
      <c r="K49" s="25">
        <f>SUM(K43:K48)</f>
        <v>2</v>
      </c>
      <c r="L49" s="24">
        <f t="shared" si="10"/>
        <v>9</v>
      </c>
      <c r="M49" s="24">
        <f t="shared" si="6"/>
        <v>20</v>
      </c>
    </row>
    <row r="50" spans="2:14" x14ac:dyDescent="0.15">
      <c r="B50" s="12" t="s">
        <v>22</v>
      </c>
      <c r="C50" s="81"/>
      <c r="D50" s="52"/>
      <c r="E50" s="53"/>
      <c r="F50" s="14">
        <v>1</v>
      </c>
      <c r="G50" s="13">
        <f t="shared" si="9"/>
        <v>1</v>
      </c>
      <c r="H50" s="81"/>
      <c r="I50" s="52"/>
      <c r="J50" s="53"/>
      <c r="K50" s="14"/>
      <c r="L50" s="13">
        <f t="shared" si="10"/>
        <v>0</v>
      </c>
      <c r="M50" s="13">
        <f t="shared" si="6"/>
        <v>1</v>
      </c>
      <c r="N50" s="20">
        <v>44819</v>
      </c>
    </row>
    <row r="51" spans="2:14" x14ac:dyDescent="0.15">
      <c r="B51" s="12" t="s">
        <v>22</v>
      </c>
      <c r="C51" s="81"/>
      <c r="D51" s="16"/>
      <c r="E51" s="47">
        <v>1</v>
      </c>
      <c r="F51" s="14"/>
      <c r="G51" s="13">
        <f t="shared" si="9"/>
        <v>1</v>
      </c>
      <c r="H51" s="81"/>
      <c r="I51" s="16"/>
      <c r="J51" s="47"/>
      <c r="K51" s="14"/>
      <c r="L51" s="13">
        <f t="shared" si="10"/>
        <v>0</v>
      </c>
      <c r="M51" s="13">
        <f t="shared" si="6"/>
        <v>1</v>
      </c>
      <c r="N51" s="20">
        <v>44830</v>
      </c>
    </row>
    <row r="52" spans="2:14" x14ac:dyDescent="0.15">
      <c r="B52" s="12" t="s">
        <v>22</v>
      </c>
      <c r="C52" s="81"/>
      <c r="D52" s="16"/>
      <c r="E52" s="47"/>
      <c r="F52" s="14"/>
      <c r="G52" s="13">
        <f t="shared" si="9"/>
        <v>0</v>
      </c>
      <c r="H52" s="81"/>
      <c r="I52" s="16"/>
      <c r="J52" s="47">
        <v>1</v>
      </c>
      <c r="K52" s="14"/>
      <c r="L52" s="13">
        <f t="shared" si="10"/>
        <v>1</v>
      </c>
      <c r="M52" s="13">
        <f t="shared" si="6"/>
        <v>1</v>
      </c>
      <c r="N52" s="20">
        <v>44860</v>
      </c>
    </row>
    <row r="53" spans="2:14" x14ac:dyDescent="0.15">
      <c r="B53" s="12" t="s">
        <v>22</v>
      </c>
      <c r="C53" s="81"/>
      <c r="D53" s="16"/>
      <c r="E53" s="47"/>
      <c r="F53" s="14"/>
      <c r="G53" s="13">
        <f t="shared" si="9"/>
        <v>0</v>
      </c>
      <c r="H53" s="81"/>
      <c r="I53" s="16"/>
      <c r="J53" s="47">
        <v>1</v>
      </c>
      <c r="K53" s="14"/>
      <c r="L53" s="13">
        <f t="shared" si="10"/>
        <v>1</v>
      </c>
      <c r="M53" s="13">
        <f t="shared" si="6"/>
        <v>1</v>
      </c>
      <c r="N53" s="20">
        <v>44909</v>
      </c>
    </row>
    <row r="54" spans="2:14" x14ac:dyDescent="0.15">
      <c r="B54" s="12" t="s">
        <v>22</v>
      </c>
      <c r="C54" s="81"/>
      <c r="D54" s="16"/>
      <c r="E54" s="47">
        <v>1</v>
      </c>
      <c r="F54" s="14"/>
      <c r="G54" s="13">
        <f t="shared" si="9"/>
        <v>1</v>
      </c>
      <c r="H54" s="81"/>
      <c r="I54" s="16"/>
      <c r="J54" s="47"/>
      <c r="K54" s="14"/>
      <c r="L54" s="13">
        <f t="shared" si="10"/>
        <v>0</v>
      </c>
      <c r="M54" s="13">
        <f t="shared" si="6"/>
        <v>1</v>
      </c>
      <c r="N54" s="20">
        <v>44931</v>
      </c>
    </row>
    <row r="55" spans="2:14" x14ac:dyDescent="0.15">
      <c r="B55" s="12" t="s">
        <v>22</v>
      </c>
      <c r="C55" s="81"/>
      <c r="D55" s="16"/>
      <c r="E55" s="47"/>
      <c r="F55" s="14">
        <v>1</v>
      </c>
      <c r="G55" s="13">
        <f t="shared" si="9"/>
        <v>1</v>
      </c>
      <c r="H55" s="81"/>
      <c r="I55" s="16"/>
      <c r="J55" s="47"/>
      <c r="K55" s="14"/>
      <c r="L55" s="13">
        <f t="shared" si="10"/>
        <v>0</v>
      </c>
      <c r="M55" s="13">
        <f t="shared" si="6"/>
        <v>1</v>
      </c>
      <c r="N55" s="20">
        <v>44945</v>
      </c>
    </row>
    <row r="56" spans="2:14" x14ac:dyDescent="0.15">
      <c r="B56" s="12" t="s">
        <v>22</v>
      </c>
      <c r="C56" s="81"/>
      <c r="D56" s="16"/>
      <c r="E56" s="47">
        <v>1</v>
      </c>
      <c r="F56" s="14"/>
      <c r="G56" s="13">
        <f t="shared" si="9"/>
        <v>1</v>
      </c>
      <c r="H56" s="81"/>
      <c r="I56" s="16"/>
      <c r="J56" s="47"/>
      <c r="K56" s="14"/>
      <c r="L56" s="13">
        <f t="shared" si="10"/>
        <v>0</v>
      </c>
      <c r="M56" s="13">
        <f t="shared" si="6"/>
        <v>1</v>
      </c>
      <c r="N56" s="20">
        <v>44950</v>
      </c>
    </row>
    <row r="57" spans="2:14" x14ac:dyDescent="0.15">
      <c r="B57" s="12" t="s">
        <v>39</v>
      </c>
      <c r="C57" s="81"/>
      <c r="D57" s="19"/>
      <c r="E57" s="50"/>
      <c r="F57" s="17">
        <v>-1</v>
      </c>
      <c r="G57" s="13">
        <f t="shared" si="9"/>
        <v>-1</v>
      </c>
      <c r="H57" s="81"/>
      <c r="I57" s="19"/>
      <c r="J57" s="50"/>
      <c r="K57" s="17"/>
      <c r="L57" s="13">
        <f t="shared" si="10"/>
        <v>0</v>
      </c>
      <c r="M57" s="13">
        <f t="shared" si="6"/>
        <v>-1</v>
      </c>
      <c r="N57" s="20">
        <v>44953</v>
      </c>
    </row>
    <row r="58" spans="2:14" x14ac:dyDescent="0.15">
      <c r="B58" s="12" t="s">
        <v>22</v>
      </c>
      <c r="C58" s="81"/>
      <c r="D58" s="19"/>
      <c r="E58" s="50"/>
      <c r="F58" s="17"/>
      <c r="G58" s="13">
        <f t="shared" si="9"/>
        <v>0</v>
      </c>
      <c r="H58" s="81"/>
      <c r="I58" s="19">
        <v>1</v>
      </c>
      <c r="J58" s="50"/>
      <c r="K58" s="17"/>
      <c r="L58" s="13">
        <f t="shared" si="10"/>
        <v>1</v>
      </c>
      <c r="M58" s="13">
        <f t="shared" si="6"/>
        <v>1</v>
      </c>
      <c r="N58" s="20">
        <v>44981</v>
      </c>
    </row>
    <row r="59" spans="2:14" x14ac:dyDescent="0.15">
      <c r="B59" s="12" t="s">
        <v>22</v>
      </c>
      <c r="C59" s="81"/>
      <c r="D59" s="16"/>
      <c r="E59" s="47"/>
      <c r="F59" s="14"/>
      <c r="G59" s="13">
        <f t="shared" si="9"/>
        <v>0</v>
      </c>
      <c r="H59" s="81"/>
      <c r="I59" s="16">
        <v>1</v>
      </c>
      <c r="J59" s="47"/>
      <c r="K59" s="14"/>
      <c r="L59" s="13">
        <f t="shared" si="10"/>
        <v>1</v>
      </c>
      <c r="M59" s="13">
        <f t="shared" si="6"/>
        <v>1</v>
      </c>
      <c r="N59" s="20">
        <v>45056</v>
      </c>
    </row>
    <row r="60" spans="2:14" x14ac:dyDescent="0.15">
      <c r="B60" s="12"/>
      <c r="C60" s="81"/>
      <c r="D60" s="19"/>
      <c r="E60" s="50"/>
      <c r="F60" s="17"/>
      <c r="G60" s="13">
        <f t="shared" si="9"/>
        <v>0</v>
      </c>
      <c r="H60" s="81"/>
      <c r="I60" s="19"/>
      <c r="J60" s="50"/>
      <c r="K60" s="17"/>
      <c r="L60" s="13">
        <f t="shared" si="10"/>
        <v>0</v>
      </c>
      <c r="M60" s="13">
        <f t="shared" si="6"/>
        <v>0</v>
      </c>
    </row>
    <row r="61" spans="2:14" x14ac:dyDescent="0.15">
      <c r="B61" s="12"/>
      <c r="C61" s="81"/>
      <c r="D61" s="19"/>
      <c r="E61" s="50"/>
      <c r="F61" s="17"/>
      <c r="G61" s="13">
        <f t="shared" si="9"/>
        <v>0</v>
      </c>
      <c r="H61" s="81"/>
      <c r="I61" s="19"/>
      <c r="J61" s="50"/>
      <c r="K61" s="17"/>
      <c r="L61" s="13">
        <f t="shared" si="10"/>
        <v>0</v>
      </c>
      <c r="M61" s="13">
        <f t="shared" si="6"/>
        <v>0</v>
      </c>
    </row>
    <row r="62" spans="2:14" x14ac:dyDescent="0.15">
      <c r="B62" s="12"/>
      <c r="C62" s="79"/>
      <c r="D62" s="16"/>
      <c r="E62" s="47"/>
      <c r="F62" s="14"/>
      <c r="G62" s="13">
        <f t="shared" si="9"/>
        <v>0</v>
      </c>
      <c r="H62" s="79"/>
      <c r="I62" s="16"/>
      <c r="J62" s="47"/>
      <c r="K62" s="14"/>
      <c r="L62" s="13">
        <f t="shared" si="10"/>
        <v>0</v>
      </c>
      <c r="M62" s="13">
        <f t="shared" si="6"/>
        <v>0</v>
      </c>
    </row>
    <row r="63" spans="2:14" x14ac:dyDescent="0.15">
      <c r="B63" s="12"/>
      <c r="C63" s="81"/>
      <c r="D63" s="19"/>
      <c r="E63" s="50"/>
      <c r="F63" s="17"/>
      <c r="G63" s="13">
        <f t="shared" si="9"/>
        <v>0</v>
      </c>
      <c r="H63" s="81"/>
      <c r="I63" s="19"/>
      <c r="J63" s="50"/>
      <c r="K63" s="17"/>
      <c r="L63" s="13">
        <f t="shared" si="10"/>
        <v>0</v>
      </c>
      <c r="M63" s="13">
        <f t="shared" si="6"/>
        <v>0</v>
      </c>
    </row>
    <row r="64" spans="2:14" x14ac:dyDescent="0.15">
      <c r="B64" s="12"/>
      <c r="C64" s="81"/>
      <c r="D64" s="19"/>
      <c r="E64" s="50"/>
      <c r="F64" s="17"/>
      <c r="G64" s="13">
        <f t="shared" si="9"/>
        <v>0</v>
      </c>
      <c r="H64" s="81"/>
      <c r="I64" s="19"/>
      <c r="J64" s="50"/>
      <c r="K64" s="17"/>
      <c r="L64" s="13">
        <f t="shared" si="10"/>
        <v>0</v>
      </c>
      <c r="M64" s="13">
        <f t="shared" si="6"/>
        <v>0</v>
      </c>
    </row>
    <row r="65" spans="1:13" x14ac:dyDescent="0.15">
      <c r="B65" s="12"/>
      <c r="C65" s="81"/>
      <c r="D65" s="19"/>
      <c r="E65" s="50"/>
      <c r="F65" s="17"/>
      <c r="G65" s="13">
        <f t="shared" si="9"/>
        <v>0</v>
      </c>
      <c r="H65" s="81"/>
      <c r="I65" s="19"/>
      <c r="J65" s="50"/>
      <c r="K65" s="17"/>
      <c r="L65" s="13">
        <f t="shared" si="10"/>
        <v>0</v>
      </c>
      <c r="M65" s="13">
        <f t="shared" si="6"/>
        <v>0</v>
      </c>
    </row>
    <row r="66" spans="1:13" x14ac:dyDescent="0.15">
      <c r="B66" s="12"/>
      <c r="C66" s="81"/>
      <c r="D66" s="19"/>
      <c r="E66" s="50"/>
      <c r="F66" s="17"/>
      <c r="G66" s="13">
        <f t="shared" si="9"/>
        <v>0</v>
      </c>
      <c r="H66" s="81"/>
      <c r="I66" s="19"/>
      <c r="J66" s="50"/>
      <c r="K66" s="17"/>
      <c r="L66" s="13">
        <f t="shared" si="10"/>
        <v>0</v>
      </c>
      <c r="M66" s="13">
        <f t="shared" si="6"/>
        <v>0</v>
      </c>
    </row>
    <row r="67" spans="1:13" x14ac:dyDescent="0.15">
      <c r="B67" s="12"/>
      <c r="C67" s="81"/>
      <c r="D67" s="19"/>
      <c r="E67" s="50"/>
      <c r="F67" s="17"/>
      <c r="G67" s="13">
        <f t="shared" si="9"/>
        <v>0</v>
      </c>
      <c r="H67" s="81"/>
      <c r="I67" s="19"/>
      <c r="J67" s="50"/>
      <c r="K67" s="17"/>
      <c r="L67" s="13">
        <f t="shared" si="10"/>
        <v>0</v>
      </c>
      <c r="M67" s="13">
        <f t="shared" si="6"/>
        <v>0</v>
      </c>
    </row>
    <row r="68" spans="1:13" x14ac:dyDescent="0.15">
      <c r="B68" s="12"/>
      <c r="C68" s="81"/>
      <c r="D68" s="19"/>
      <c r="E68" s="50"/>
      <c r="F68" s="17"/>
      <c r="G68" s="13">
        <f t="shared" si="9"/>
        <v>0</v>
      </c>
      <c r="H68" s="81"/>
      <c r="I68" s="19"/>
      <c r="J68" s="50"/>
      <c r="K68" s="17"/>
      <c r="L68" s="13">
        <f t="shared" si="10"/>
        <v>0</v>
      </c>
      <c r="M68" s="13">
        <f t="shared" si="6"/>
        <v>0</v>
      </c>
    </row>
    <row r="69" spans="1:13" x14ac:dyDescent="0.15">
      <c r="B69" s="12"/>
      <c r="C69" s="79"/>
      <c r="D69" s="16"/>
      <c r="E69" s="47"/>
      <c r="F69" s="14"/>
      <c r="G69" s="13">
        <f t="shared" si="9"/>
        <v>0</v>
      </c>
      <c r="H69" s="79"/>
      <c r="I69" s="16"/>
      <c r="J69" s="47"/>
      <c r="K69" s="14"/>
      <c r="L69" s="13">
        <f t="shared" si="10"/>
        <v>0</v>
      </c>
      <c r="M69" s="13">
        <f t="shared" si="6"/>
        <v>0</v>
      </c>
    </row>
    <row r="70" spans="1:13" x14ac:dyDescent="0.15">
      <c r="B70" s="12"/>
      <c r="C70" s="79"/>
      <c r="D70" s="16"/>
      <c r="E70" s="47"/>
      <c r="F70" s="14"/>
      <c r="G70" s="13">
        <f t="shared" si="9"/>
        <v>0</v>
      </c>
      <c r="H70" s="79"/>
      <c r="I70" s="16"/>
      <c r="J70" s="47"/>
      <c r="K70" s="14"/>
      <c r="L70" s="13">
        <f t="shared" si="10"/>
        <v>0</v>
      </c>
      <c r="M70" s="13">
        <f t="shared" si="6"/>
        <v>0</v>
      </c>
    </row>
    <row r="71" spans="1:13" x14ac:dyDescent="0.15">
      <c r="B71" s="12"/>
      <c r="C71" s="79"/>
      <c r="D71" s="16"/>
      <c r="E71" s="47"/>
      <c r="F71" s="14"/>
      <c r="G71" s="13">
        <f t="shared" si="9"/>
        <v>0</v>
      </c>
      <c r="H71" s="79"/>
      <c r="I71" s="16"/>
      <c r="J71" s="47"/>
      <c r="K71" s="14"/>
      <c r="L71" s="13">
        <f t="shared" si="10"/>
        <v>0</v>
      </c>
      <c r="M71" s="13">
        <f t="shared" si="6"/>
        <v>0</v>
      </c>
    </row>
    <row r="72" spans="1:13" x14ac:dyDescent="0.15">
      <c r="B72" s="12"/>
      <c r="C72" s="79"/>
      <c r="D72" s="16"/>
      <c r="E72" s="47"/>
      <c r="F72" s="14"/>
      <c r="G72" s="13">
        <f t="shared" si="9"/>
        <v>0</v>
      </c>
      <c r="H72" s="79"/>
      <c r="I72" s="16"/>
      <c r="J72" s="47"/>
      <c r="K72" s="14"/>
      <c r="L72" s="13">
        <f t="shared" si="10"/>
        <v>0</v>
      </c>
      <c r="M72" s="13">
        <f t="shared" si="6"/>
        <v>0</v>
      </c>
    </row>
    <row r="73" spans="1:13" x14ac:dyDescent="0.15">
      <c r="B73" s="12"/>
      <c r="C73" s="79"/>
      <c r="D73" s="16"/>
      <c r="E73" s="47"/>
      <c r="F73" s="14"/>
      <c r="G73" s="13">
        <f t="shared" si="9"/>
        <v>0</v>
      </c>
      <c r="H73" s="79"/>
      <c r="I73" s="16"/>
      <c r="J73" s="47"/>
      <c r="K73" s="14"/>
      <c r="L73" s="13">
        <f t="shared" si="10"/>
        <v>0</v>
      </c>
      <c r="M73" s="13">
        <f t="shared" si="6"/>
        <v>0</v>
      </c>
    </row>
    <row r="74" spans="1:13" ht="14.25" thickBot="1" x14ac:dyDescent="0.2">
      <c r="B74" s="12"/>
      <c r="C74" s="82"/>
      <c r="D74" s="27"/>
      <c r="E74" s="48"/>
      <c r="F74" s="9"/>
      <c r="G74" s="8">
        <f t="shared" si="9"/>
        <v>0</v>
      </c>
      <c r="H74" s="82"/>
      <c r="I74" s="27"/>
      <c r="J74" s="48"/>
      <c r="K74" s="9"/>
      <c r="L74" s="8">
        <f t="shared" si="10"/>
        <v>0</v>
      </c>
      <c r="M74" s="8">
        <f t="shared" si="6"/>
        <v>0</v>
      </c>
    </row>
    <row r="75" spans="1:13" ht="14.25" thickBot="1" x14ac:dyDescent="0.2">
      <c r="B75" s="7" t="s">
        <v>1</v>
      </c>
      <c r="C75" s="83">
        <f>SUM(C50:C74)</f>
        <v>0</v>
      </c>
      <c r="D75" s="6">
        <f>SUM(D50:D74)</f>
        <v>0</v>
      </c>
      <c r="E75" s="51">
        <f>SUM(E50:E74)</f>
        <v>3</v>
      </c>
      <c r="F75" s="44">
        <f>SUM(F50:F74)</f>
        <v>1</v>
      </c>
      <c r="G75" s="5">
        <f t="shared" si="9"/>
        <v>4</v>
      </c>
      <c r="H75" s="83">
        <f>SUM(H50:H74)</f>
        <v>0</v>
      </c>
      <c r="I75" s="6">
        <f>SUM(I50:I74)</f>
        <v>2</v>
      </c>
      <c r="J75" s="51">
        <f>SUM(J50:J74)</f>
        <v>2</v>
      </c>
      <c r="K75" s="44">
        <f>SUM(K50:K74)</f>
        <v>0</v>
      </c>
      <c r="L75" s="5">
        <f t="shared" si="10"/>
        <v>4</v>
      </c>
      <c r="M75" s="5">
        <f t="shared" si="6"/>
        <v>8</v>
      </c>
    </row>
    <row r="76" spans="1:13" ht="14.25" thickBot="1" x14ac:dyDescent="0.2">
      <c r="B76" s="4" t="s">
        <v>0</v>
      </c>
      <c r="C76" s="80">
        <f>+C49-C75</f>
        <v>0</v>
      </c>
      <c r="D76" s="25">
        <f>+D49-D75</f>
        <v>2</v>
      </c>
      <c r="E76" s="49">
        <f>+E49-E75</f>
        <v>2</v>
      </c>
      <c r="F76" s="45">
        <f>+F49-F75</f>
        <v>3</v>
      </c>
      <c r="G76" s="24">
        <f t="shared" si="9"/>
        <v>7</v>
      </c>
      <c r="H76" s="80">
        <f>+H49-H75</f>
        <v>0</v>
      </c>
      <c r="I76" s="25">
        <f>+I49-I75</f>
        <v>1</v>
      </c>
      <c r="J76" s="49">
        <f>+J49-J75</f>
        <v>2</v>
      </c>
      <c r="K76" s="45">
        <f>+K49-K75</f>
        <v>2</v>
      </c>
      <c r="L76" s="24">
        <f t="shared" si="10"/>
        <v>5</v>
      </c>
      <c r="M76" s="24">
        <f t="shared" si="6"/>
        <v>12</v>
      </c>
    </row>
    <row r="78" spans="1:13" ht="19.5" thickBot="1" x14ac:dyDescent="0.25">
      <c r="B78" s="36" t="s">
        <v>13</v>
      </c>
      <c r="C78" s="36"/>
      <c r="D78" s="35"/>
      <c r="E78" s="35"/>
      <c r="F78" s="35"/>
      <c r="G78" s="35"/>
      <c r="H78" s="35"/>
      <c r="I78" s="35"/>
      <c r="J78" s="70" t="s">
        <v>43</v>
      </c>
      <c r="K78" s="35"/>
      <c r="L78" s="56"/>
      <c r="M78" s="35"/>
    </row>
    <row r="79" spans="1:13" ht="14.25" thickBot="1" x14ac:dyDescent="0.2">
      <c r="B79" s="7"/>
      <c r="C79" s="93" t="s">
        <v>18</v>
      </c>
      <c r="D79" s="94"/>
      <c r="E79" s="94"/>
      <c r="F79" s="94"/>
      <c r="G79" s="95"/>
      <c r="H79" s="96" t="s">
        <v>19</v>
      </c>
      <c r="I79" s="97"/>
      <c r="J79" s="97"/>
      <c r="K79" s="97"/>
      <c r="L79" s="98"/>
      <c r="M79" s="5"/>
    </row>
    <row r="80" spans="1:13" ht="14.25" thickBot="1" x14ac:dyDescent="0.2">
      <c r="A80" s="1"/>
      <c r="B80" s="32"/>
      <c r="C80" s="77" t="s">
        <v>50</v>
      </c>
      <c r="D80" s="33" t="s">
        <v>8</v>
      </c>
      <c r="E80" s="46" t="s">
        <v>9</v>
      </c>
      <c r="F80" s="31" t="s">
        <v>10</v>
      </c>
      <c r="G80" s="7" t="s">
        <v>5</v>
      </c>
      <c r="H80" s="77" t="s">
        <v>50</v>
      </c>
      <c r="I80" s="33" t="s">
        <v>8</v>
      </c>
      <c r="J80" s="46" t="s">
        <v>9</v>
      </c>
      <c r="K80" s="31" t="s">
        <v>10</v>
      </c>
      <c r="L80" s="7" t="s">
        <v>5</v>
      </c>
      <c r="M80" s="7" t="s">
        <v>5</v>
      </c>
    </row>
    <row r="81" spans="2:14" x14ac:dyDescent="0.15">
      <c r="B81" s="30" t="s">
        <v>0</v>
      </c>
      <c r="C81" s="78">
        <f>C76</f>
        <v>0</v>
      </c>
      <c r="D81" s="23">
        <f>D76</f>
        <v>2</v>
      </c>
      <c r="E81" s="54">
        <f t="shared" ref="E81:M81" si="11">E76</f>
        <v>2</v>
      </c>
      <c r="F81" s="55">
        <f t="shared" si="11"/>
        <v>3</v>
      </c>
      <c r="G81" s="21">
        <f>G76</f>
        <v>7</v>
      </c>
      <c r="H81" s="78">
        <f>H76</f>
        <v>0</v>
      </c>
      <c r="I81" s="23">
        <f t="shared" si="11"/>
        <v>1</v>
      </c>
      <c r="J81" s="54">
        <f t="shared" si="11"/>
        <v>2</v>
      </c>
      <c r="K81" s="55">
        <f t="shared" si="11"/>
        <v>2</v>
      </c>
      <c r="L81" s="21">
        <f>L76</f>
        <v>5</v>
      </c>
      <c r="M81" s="21">
        <f t="shared" si="11"/>
        <v>12</v>
      </c>
    </row>
    <row r="82" spans="2:14" x14ac:dyDescent="0.15">
      <c r="B82" s="29" t="s">
        <v>3</v>
      </c>
      <c r="C82" s="79"/>
      <c r="D82" s="16"/>
      <c r="E82" s="47"/>
      <c r="F82" s="14"/>
      <c r="G82" s="13">
        <f>SUM(C82:F82)</f>
        <v>0</v>
      </c>
      <c r="H82" s="79"/>
      <c r="I82" s="16">
        <v>1</v>
      </c>
      <c r="J82" s="47"/>
      <c r="K82" s="14"/>
      <c r="L82" s="13">
        <f>SUM(H82:K82)</f>
        <v>1</v>
      </c>
      <c r="M82" s="13">
        <f t="shared" ref="M82:M84" si="12">G82+L82</f>
        <v>1</v>
      </c>
      <c r="N82" s="20">
        <v>45059</v>
      </c>
    </row>
    <row r="83" spans="2:14" x14ac:dyDescent="0.15">
      <c r="B83" s="29" t="s">
        <v>3</v>
      </c>
      <c r="C83" s="79"/>
      <c r="D83" s="16"/>
      <c r="E83" s="47"/>
      <c r="F83" s="14"/>
      <c r="G83" s="13">
        <f t="shared" ref="G83:G84" si="13">SUM(C83:F83)</f>
        <v>0</v>
      </c>
      <c r="H83" s="79"/>
      <c r="I83" s="16">
        <v>2</v>
      </c>
      <c r="J83" s="47"/>
      <c r="K83" s="14"/>
      <c r="L83" s="13">
        <f t="shared" ref="L83:L84" si="14">SUM(H83:K83)</f>
        <v>2</v>
      </c>
      <c r="M83" s="13">
        <f t="shared" si="12"/>
        <v>2</v>
      </c>
      <c r="N83" s="20">
        <v>45140</v>
      </c>
    </row>
    <row r="84" spans="2:14" x14ac:dyDescent="0.15">
      <c r="B84" s="29" t="s">
        <v>42</v>
      </c>
      <c r="C84" s="79"/>
      <c r="D84" s="16"/>
      <c r="E84" s="47">
        <v>1</v>
      </c>
      <c r="F84" s="14">
        <v>-1</v>
      </c>
      <c r="G84" s="13">
        <f t="shared" si="13"/>
        <v>0</v>
      </c>
      <c r="H84" s="79"/>
      <c r="I84" s="16"/>
      <c r="J84" s="47"/>
      <c r="K84" s="14"/>
      <c r="L84" s="13">
        <f t="shared" si="14"/>
        <v>0</v>
      </c>
      <c r="M84" s="13">
        <f t="shared" si="12"/>
        <v>0</v>
      </c>
      <c r="N84" s="20">
        <v>45162</v>
      </c>
    </row>
    <row r="85" spans="2:14" x14ac:dyDescent="0.15">
      <c r="B85" s="29" t="s">
        <v>3</v>
      </c>
      <c r="C85" s="79"/>
      <c r="D85" s="16"/>
      <c r="E85" s="47"/>
      <c r="F85" s="14"/>
      <c r="G85" s="13">
        <f>SUM(C85:F85)</f>
        <v>0</v>
      </c>
      <c r="H85" s="79"/>
      <c r="I85" s="16">
        <v>2</v>
      </c>
      <c r="J85" s="47">
        <v>2</v>
      </c>
      <c r="K85" s="14"/>
      <c r="L85" s="13">
        <f>SUM(H85:K85)</f>
        <v>4</v>
      </c>
      <c r="M85" s="13">
        <f t="shared" ref="M85:M114" si="15">G85+L85</f>
        <v>4</v>
      </c>
      <c r="N85" s="20">
        <v>45232</v>
      </c>
    </row>
    <row r="86" spans="2:14" ht="14.25" thickBot="1" x14ac:dyDescent="0.2">
      <c r="B86" s="28" t="s">
        <v>3</v>
      </c>
      <c r="C86" s="79"/>
      <c r="D86" s="27"/>
      <c r="E86" s="48"/>
      <c r="F86" s="9"/>
      <c r="G86" s="13">
        <f t="shared" ref="G86:G114" si="16">SUM(C86:F86)</f>
        <v>0</v>
      </c>
      <c r="H86" s="79"/>
      <c r="I86" s="27"/>
      <c r="J86" s="48"/>
      <c r="K86" s="9">
        <v>2</v>
      </c>
      <c r="L86" s="13">
        <f t="shared" ref="L86:L114" si="17">SUM(H86:K86)</f>
        <v>2</v>
      </c>
      <c r="M86" s="8">
        <f t="shared" si="15"/>
        <v>2</v>
      </c>
      <c r="N86" s="20">
        <v>45266</v>
      </c>
    </row>
    <row r="87" spans="2:14" ht="14.25" thickBot="1" x14ac:dyDescent="0.2">
      <c r="B87" s="26" t="s">
        <v>2</v>
      </c>
      <c r="C87" s="80">
        <f>SUM(C81:C86)</f>
        <v>0</v>
      </c>
      <c r="D87" s="25">
        <f>SUM(D81:D86)</f>
        <v>2</v>
      </c>
      <c r="E87" s="49">
        <f>SUM(E81:E86)</f>
        <v>3</v>
      </c>
      <c r="F87" s="25">
        <f>SUM(F81:F86)</f>
        <v>2</v>
      </c>
      <c r="G87" s="24">
        <f t="shared" si="16"/>
        <v>7</v>
      </c>
      <c r="H87" s="80">
        <f>SUM(H81:H86)</f>
        <v>0</v>
      </c>
      <c r="I87" s="25">
        <f>SUM(I81:I86)</f>
        <v>6</v>
      </c>
      <c r="J87" s="49">
        <f>SUM(J81:J86)</f>
        <v>4</v>
      </c>
      <c r="K87" s="25">
        <f>SUM(K81:K86)</f>
        <v>4</v>
      </c>
      <c r="L87" s="24">
        <f t="shared" si="17"/>
        <v>14</v>
      </c>
      <c r="M87" s="24">
        <f t="shared" si="15"/>
        <v>21</v>
      </c>
    </row>
    <row r="88" spans="2:14" x14ac:dyDescent="0.15">
      <c r="B88" s="12" t="s">
        <v>22</v>
      </c>
      <c r="C88" s="81"/>
      <c r="D88" s="19"/>
      <c r="E88" s="50"/>
      <c r="F88" s="17"/>
      <c r="G88" s="13">
        <f t="shared" si="16"/>
        <v>0</v>
      </c>
      <c r="H88" s="81"/>
      <c r="I88" s="19">
        <v>2</v>
      </c>
      <c r="J88" s="50"/>
      <c r="K88" s="17"/>
      <c r="L88" s="13">
        <f t="shared" si="17"/>
        <v>2</v>
      </c>
      <c r="M88" s="13">
        <f t="shared" ref="M88:M97" si="18">G88+L88</f>
        <v>2</v>
      </c>
      <c r="N88" s="20">
        <v>45138</v>
      </c>
    </row>
    <row r="89" spans="2:14" x14ac:dyDescent="0.15">
      <c r="B89" s="12" t="s">
        <v>22</v>
      </c>
      <c r="C89" s="81"/>
      <c r="D89" s="19"/>
      <c r="E89" s="50"/>
      <c r="F89" s="17"/>
      <c r="G89" s="13">
        <f t="shared" si="16"/>
        <v>0</v>
      </c>
      <c r="H89" s="81"/>
      <c r="I89" s="19"/>
      <c r="J89" s="50">
        <v>1</v>
      </c>
      <c r="K89" s="17"/>
      <c r="L89" s="13">
        <f t="shared" si="17"/>
        <v>1</v>
      </c>
      <c r="M89" s="13">
        <f t="shared" si="18"/>
        <v>1</v>
      </c>
      <c r="N89" s="20">
        <v>45159</v>
      </c>
    </row>
    <row r="90" spans="2:14" x14ac:dyDescent="0.15">
      <c r="B90" s="12" t="s">
        <v>22</v>
      </c>
      <c r="C90" s="81"/>
      <c r="D90" s="19"/>
      <c r="E90" s="50"/>
      <c r="F90" s="17"/>
      <c r="G90" s="13">
        <f t="shared" si="16"/>
        <v>0</v>
      </c>
      <c r="H90" s="81"/>
      <c r="I90" s="19">
        <v>2</v>
      </c>
      <c r="J90" s="50">
        <v>1</v>
      </c>
      <c r="K90" s="17"/>
      <c r="L90" s="13">
        <f t="shared" si="17"/>
        <v>3</v>
      </c>
      <c r="M90" s="13">
        <f t="shared" si="18"/>
        <v>3</v>
      </c>
      <c r="N90" s="20">
        <v>45188</v>
      </c>
    </row>
    <row r="91" spans="2:14" x14ac:dyDescent="0.15">
      <c r="B91" s="12" t="s">
        <v>22</v>
      </c>
      <c r="C91" s="81"/>
      <c r="D91" s="19"/>
      <c r="E91" s="50"/>
      <c r="F91" s="17"/>
      <c r="G91" s="13">
        <f t="shared" si="16"/>
        <v>0</v>
      </c>
      <c r="H91" s="81"/>
      <c r="I91" s="19"/>
      <c r="J91" s="50"/>
      <c r="K91" s="17">
        <v>1</v>
      </c>
      <c r="L91" s="13">
        <f t="shared" si="17"/>
        <v>1</v>
      </c>
      <c r="M91" s="13">
        <f t="shared" si="18"/>
        <v>1</v>
      </c>
      <c r="N91" s="20">
        <v>45209</v>
      </c>
    </row>
    <row r="92" spans="2:14" x14ac:dyDescent="0.15">
      <c r="B92" s="12" t="s">
        <v>22</v>
      </c>
      <c r="C92" s="81"/>
      <c r="D92" s="19"/>
      <c r="E92" s="50"/>
      <c r="F92" s="17"/>
      <c r="G92" s="13">
        <f t="shared" si="16"/>
        <v>0</v>
      </c>
      <c r="H92" s="81"/>
      <c r="I92" s="19"/>
      <c r="J92" s="50"/>
      <c r="K92" s="17">
        <v>1</v>
      </c>
      <c r="L92" s="13">
        <f t="shared" si="17"/>
        <v>1</v>
      </c>
      <c r="M92" s="13">
        <f t="shared" si="18"/>
        <v>1</v>
      </c>
      <c r="N92" s="20">
        <v>45261</v>
      </c>
    </row>
    <row r="93" spans="2:14" x14ac:dyDescent="0.15">
      <c r="B93" s="12" t="s">
        <v>22</v>
      </c>
      <c r="C93" s="81"/>
      <c r="D93" s="19"/>
      <c r="E93" s="50"/>
      <c r="F93" s="17"/>
      <c r="G93" s="13">
        <f t="shared" si="16"/>
        <v>0</v>
      </c>
      <c r="H93" s="81"/>
      <c r="I93" s="19">
        <v>1</v>
      </c>
      <c r="J93" s="50"/>
      <c r="K93" s="17"/>
      <c r="L93" s="13">
        <f t="shared" si="17"/>
        <v>1</v>
      </c>
      <c r="M93" s="13">
        <f t="shared" si="18"/>
        <v>1</v>
      </c>
      <c r="N93" s="20">
        <v>45297</v>
      </c>
    </row>
    <row r="94" spans="2:14" x14ac:dyDescent="0.15">
      <c r="B94" s="12" t="s">
        <v>22</v>
      </c>
      <c r="C94" s="81"/>
      <c r="D94" s="19"/>
      <c r="E94" s="50"/>
      <c r="F94" s="17">
        <v>2</v>
      </c>
      <c r="G94" s="13">
        <f t="shared" si="16"/>
        <v>2</v>
      </c>
      <c r="H94" s="81"/>
      <c r="I94" s="19"/>
      <c r="J94" s="50"/>
      <c r="K94" s="17"/>
      <c r="L94" s="13">
        <f t="shared" si="17"/>
        <v>0</v>
      </c>
      <c r="M94" s="13">
        <f t="shared" si="18"/>
        <v>2</v>
      </c>
      <c r="N94" s="20">
        <v>45309</v>
      </c>
    </row>
    <row r="95" spans="2:14" x14ac:dyDescent="0.15">
      <c r="B95" s="12" t="s">
        <v>22</v>
      </c>
      <c r="C95" s="81"/>
      <c r="D95" s="19"/>
      <c r="E95" s="50"/>
      <c r="F95" s="17"/>
      <c r="G95" s="13">
        <f t="shared" si="16"/>
        <v>0</v>
      </c>
      <c r="H95" s="81"/>
      <c r="I95" s="19">
        <v>1</v>
      </c>
      <c r="J95" s="50"/>
      <c r="K95" s="17"/>
      <c r="L95" s="13">
        <f t="shared" si="17"/>
        <v>1</v>
      </c>
      <c r="M95" s="13">
        <f t="shared" si="18"/>
        <v>1</v>
      </c>
      <c r="N95" s="20">
        <v>45351</v>
      </c>
    </row>
    <row r="96" spans="2:14" x14ac:dyDescent="0.15">
      <c r="B96" s="12"/>
      <c r="C96" s="81"/>
      <c r="D96" s="19"/>
      <c r="E96" s="50"/>
      <c r="F96" s="17"/>
      <c r="G96" s="13">
        <f t="shared" si="16"/>
        <v>0</v>
      </c>
      <c r="H96" s="81"/>
      <c r="I96" s="19"/>
      <c r="J96" s="50"/>
      <c r="K96" s="17"/>
      <c r="L96" s="13">
        <f t="shared" si="17"/>
        <v>0</v>
      </c>
      <c r="M96" s="13">
        <f t="shared" si="18"/>
        <v>0</v>
      </c>
    </row>
    <row r="97" spans="2:13" x14ac:dyDescent="0.15">
      <c r="B97" s="12"/>
      <c r="C97" s="81"/>
      <c r="D97" s="19"/>
      <c r="E97" s="50"/>
      <c r="F97" s="17"/>
      <c r="G97" s="13">
        <f t="shared" si="16"/>
        <v>0</v>
      </c>
      <c r="H97" s="81"/>
      <c r="I97" s="19"/>
      <c r="J97" s="50"/>
      <c r="K97" s="17"/>
      <c r="L97" s="13">
        <f t="shared" si="17"/>
        <v>0</v>
      </c>
      <c r="M97" s="13">
        <f t="shared" si="18"/>
        <v>0</v>
      </c>
    </row>
    <row r="98" spans="2:13" x14ac:dyDescent="0.15">
      <c r="B98" s="12"/>
      <c r="C98" s="81"/>
      <c r="D98" s="19"/>
      <c r="E98" s="50"/>
      <c r="F98" s="17"/>
      <c r="G98" s="13">
        <f t="shared" si="16"/>
        <v>0</v>
      </c>
      <c r="H98" s="81"/>
      <c r="I98" s="19"/>
      <c r="J98" s="50"/>
      <c r="K98" s="17"/>
      <c r="L98" s="13">
        <f t="shared" si="17"/>
        <v>0</v>
      </c>
      <c r="M98" s="13">
        <f t="shared" si="15"/>
        <v>0</v>
      </c>
    </row>
    <row r="99" spans="2:13" x14ac:dyDescent="0.15">
      <c r="B99" s="12"/>
      <c r="C99" s="81"/>
      <c r="D99" s="19"/>
      <c r="E99" s="50"/>
      <c r="F99" s="17"/>
      <c r="G99" s="13">
        <f t="shared" si="16"/>
        <v>0</v>
      </c>
      <c r="H99" s="81"/>
      <c r="I99" s="19"/>
      <c r="J99" s="50"/>
      <c r="K99" s="17"/>
      <c r="L99" s="13">
        <f t="shared" si="17"/>
        <v>0</v>
      </c>
      <c r="M99" s="13">
        <f t="shared" si="15"/>
        <v>0</v>
      </c>
    </row>
    <row r="100" spans="2:13" x14ac:dyDescent="0.15">
      <c r="B100" s="12"/>
      <c r="C100" s="79"/>
      <c r="D100" s="16"/>
      <c r="E100" s="47"/>
      <c r="F100" s="14"/>
      <c r="G100" s="13">
        <f t="shared" si="16"/>
        <v>0</v>
      </c>
      <c r="H100" s="79"/>
      <c r="I100" s="16"/>
      <c r="J100" s="47"/>
      <c r="K100" s="14"/>
      <c r="L100" s="13">
        <f t="shared" si="17"/>
        <v>0</v>
      </c>
      <c r="M100" s="13">
        <f t="shared" si="15"/>
        <v>0</v>
      </c>
    </row>
    <row r="101" spans="2:13" x14ac:dyDescent="0.15">
      <c r="B101" s="12"/>
      <c r="C101" s="81"/>
      <c r="D101" s="19"/>
      <c r="E101" s="50"/>
      <c r="F101" s="17"/>
      <c r="G101" s="13">
        <f t="shared" si="16"/>
        <v>0</v>
      </c>
      <c r="H101" s="81"/>
      <c r="I101" s="19"/>
      <c r="J101" s="50"/>
      <c r="K101" s="17"/>
      <c r="L101" s="13">
        <f t="shared" si="17"/>
        <v>0</v>
      </c>
      <c r="M101" s="13">
        <f t="shared" si="15"/>
        <v>0</v>
      </c>
    </row>
    <row r="102" spans="2:13" x14ac:dyDescent="0.15">
      <c r="B102" s="12"/>
      <c r="C102" s="81"/>
      <c r="D102" s="19"/>
      <c r="E102" s="50"/>
      <c r="F102" s="17"/>
      <c r="G102" s="13">
        <f t="shared" si="16"/>
        <v>0</v>
      </c>
      <c r="H102" s="81"/>
      <c r="I102" s="19"/>
      <c r="J102" s="50"/>
      <c r="K102" s="17"/>
      <c r="L102" s="13">
        <f t="shared" si="17"/>
        <v>0</v>
      </c>
      <c r="M102" s="13">
        <f t="shared" si="15"/>
        <v>0</v>
      </c>
    </row>
    <row r="103" spans="2:13" x14ac:dyDescent="0.15">
      <c r="B103" s="12"/>
      <c r="C103" s="81"/>
      <c r="D103" s="19"/>
      <c r="E103" s="50"/>
      <c r="F103" s="17"/>
      <c r="G103" s="13">
        <f t="shared" si="16"/>
        <v>0</v>
      </c>
      <c r="H103" s="81"/>
      <c r="I103" s="19"/>
      <c r="J103" s="50"/>
      <c r="K103" s="17"/>
      <c r="L103" s="13">
        <f t="shared" si="17"/>
        <v>0</v>
      </c>
      <c r="M103" s="13">
        <f t="shared" si="15"/>
        <v>0</v>
      </c>
    </row>
    <row r="104" spans="2:13" x14ac:dyDescent="0.15">
      <c r="B104" s="12"/>
      <c r="C104" s="81"/>
      <c r="D104" s="19"/>
      <c r="E104" s="50"/>
      <c r="F104" s="17"/>
      <c r="G104" s="13">
        <f t="shared" si="16"/>
        <v>0</v>
      </c>
      <c r="H104" s="81"/>
      <c r="I104" s="19"/>
      <c r="J104" s="50"/>
      <c r="K104" s="17"/>
      <c r="L104" s="13">
        <f t="shared" si="17"/>
        <v>0</v>
      </c>
      <c r="M104" s="13">
        <f t="shared" si="15"/>
        <v>0</v>
      </c>
    </row>
    <row r="105" spans="2:13" x14ac:dyDescent="0.15">
      <c r="B105" s="12"/>
      <c r="C105" s="81"/>
      <c r="D105" s="19"/>
      <c r="E105" s="50"/>
      <c r="F105" s="17"/>
      <c r="G105" s="13">
        <f t="shared" si="16"/>
        <v>0</v>
      </c>
      <c r="H105" s="81"/>
      <c r="I105" s="19"/>
      <c r="J105" s="50"/>
      <c r="K105" s="17"/>
      <c r="L105" s="13">
        <f t="shared" si="17"/>
        <v>0</v>
      </c>
      <c r="M105" s="13">
        <f t="shared" si="15"/>
        <v>0</v>
      </c>
    </row>
    <row r="106" spans="2:13" x14ac:dyDescent="0.15">
      <c r="B106" s="12"/>
      <c r="C106" s="81"/>
      <c r="D106" s="19"/>
      <c r="E106" s="50"/>
      <c r="F106" s="17"/>
      <c r="G106" s="13">
        <f t="shared" si="16"/>
        <v>0</v>
      </c>
      <c r="H106" s="81"/>
      <c r="I106" s="19"/>
      <c r="J106" s="50"/>
      <c r="K106" s="17"/>
      <c r="L106" s="13">
        <f t="shared" si="17"/>
        <v>0</v>
      </c>
      <c r="M106" s="13">
        <f t="shared" si="15"/>
        <v>0</v>
      </c>
    </row>
    <row r="107" spans="2:13" x14ac:dyDescent="0.15">
      <c r="B107" s="12"/>
      <c r="C107" s="79"/>
      <c r="D107" s="16"/>
      <c r="E107" s="47"/>
      <c r="F107" s="14"/>
      <c r="G107" s="13">
        <f t="shared" si="16"/>
        <v>0</v>
      </c>
      <c r="H107" s="79"/>
      <c r="I107" s="16"/>
      <c r="J107" s="47"/>
      <c r="K107" s="14"/>
      <c r="L107" s="13">
        <f t="shared" si="17"/>
        <v>0</v>
      </c>
      <c r="M107" s="13">
        <f t="shared" si="15"/>
        <v>0</v>
      </c>
    </row>
    <row r="108" spans="2:13" x14ac:dyDescent="0.15">
      <c r="B108" s="12"/>
      <c r="C108" s="79"/>
      <c r="D108" s="16"/>
      <c r="E108" s="47"/>
      <c r="F108" s="14"/>
      <c r="G108" s="13">
        <f t="shared" si="16"/>
        <v>0</v>
      </c>
      <c r="H108" s="79"/>
      <c r="I108" s="16"/>
      <c r="J108" s="47"/>
      <c r="K108" s="14"/>
      <c r="L108" s="13">
        <f t="shared" si="17"/>
        <v>0</v>
      </c>
      <c r="M108" s="13">
        <f t="shared" si="15"/>
        <v>0</v>
      </c>
    </row>
    <row r="109" spans="2:13" x14ac:dyDescent="0.15">
      <c r="B109" s="12"/>
      <c r="C109" s="79"/>
      <c r="D109" s="16"/>
      <c r="E109" s="47"/>
      <c r="F109" s="14"/>
      <c r="G109" s="13">
        <f t="shared" si="16"/>
        <v>0</v>
      </c>
      <c r="H109" s="79"/>
      <c r="I109" s="16"/>
      <c r="J109" s="47"/>
      <c r="K109" s="14"/>
      <c r="L109" s="13">
        <f t="shared" si="17"/>
        <v>0</v>
      </c>
      <c r="M109" s="13">
        <f t="shared" si="15"/>
        <v>0</v>
      </c>
    </row>
    <row r="110" spans="2:13" x14ac:dyDescent="0.15">
      <c r="B110" s="12"/>
      <c r="C110" s="79"/>
      <c r="D110" s="16"/>
      <c r="E110" s="47"/>
      <c r="F110" s="14"/>
      <c r="G110" s="13">
        <f t="shared" si="16"/>
        <v>0</v>
      </c>
      <c r="H110" s="79"/>
      <c r="I110" s="16"/>
      <c r="J110" s="47"/>
      <c r="K110" s="14"/>
      <c r="L110" s="13">
        <f t="shared" si="17"/>
        <v>0</v>
      </c>
      <c r="M110" s="13">
        <f t="shared" si="15"/>
        <v>0</v>
      </c>
    </row>
    <row r="111" spans="2:13" x14ac:dyDescent="0.15">
      <c r="B111" s="12"/>
      <c r="C111" s="79"/>
      <c r="D111" s="16"/>
      <c r="E111" s="47"/>
      <c r="F111" s="14"/>
      <c r="G111" s="13">
        <f t="shared" si="16"/>
        <v>0</v>
      </c>
      <c r="H111" s="79"/>
      <c r="I111" s="16"/>
      <c r="J111" s="47"/>
      <c r="K111" s="14"/>
      <c r="L111" s="13">
        <f t="shared" si="17"/>
        <v>0</v>
      </c>
      <c r="M111" s="13">
        <f t="shared" si="15"/>
        <v>0</v>
      </c>
    </row>
    <row r="112" spans="2:13" ht="14.25" thickBot="1" x14ac:dyDescent="0.2">
      <c r="B112" s="12"/>
      <c r="C112" s="82"/>
      <c r="D112" s="27"/>
      <c r="E112" s="48"/>
      <c r="F112" s="9"/>
      <c r="G112" s="8">
        <f t="shared" si="16"/>
        <v>0</v>
      </c>
      <c r="H112" s="82"/>
      <c r="I112" s="27"/>
      <c r="J112" s="48"/>
      <c r="K112" s="9"/>
      <c r="L112" s="8">
        <f t="shared" si="17"/>
        <v>0</v>
      </c>
      <c r="M112" s="8">
        <f t="shared" si="15"/>
        <v>0</v>
      </c>
    </row>
    <row r="113" spans="1:14" ht="14.25" thickBot="1" x14ac:dyDescent="0.2">
      <c r="B113" s="7" t="s">
        <v>1</v>
      </c>
      <c r="C113" s="83">
        <f>SUM(C88:C112)</f>
        <v>0</v>
      </c>
      <c r="D113" s="6">
        <f>SUM(D88:D112)</f>
        <v>0</v>
      </c>
      <c r="E113" s="51">
        <f>SUM(E88:E112)</f>
        <v>0</v>
      </c>
      <c r="F113" s="44">
        <f>SUM(F88:F112)</f>
        <v>2</v>
      </c>
      <c r="G113" s="5">
        <f t="shared" si="16"/>
        <v>2</v>
      </c>
      <c r="H113" s="83">
        <f>SUM(H88:H112)</f>
        <v>0</v>
      </c>
      <c r="I113" s="6">
        <f>SUM(I88:I112)</f>
        <v>6</v>
      </c>
      <c r="J113" s="51">
        <f>SUM(J88:J112)</f>
        <v>2</v>
      </c>
      <c r="K113" s="44">
        <f>SUM(K88:K112)</f>
        <v>2</v>
      </c>
      <c r="L113" s="5">
        <f t="shared" si="17"/>
        <v>10</v>
      </c>
      <c r="M113" s="5">
        <f t="shared" si="15"/>
        <v>12</v>
      </c>
    </row>
    <row r="114" spans="1:14" ht="14.25" thickBot="1" x14ac:dyDescent="0.2">
      <c r="B114" s="4" t="s">
        <v>0</v>
      </c>
      <c r="C114" s="80">
        <f>+C87-C113</f>
        <v>0</v>
      </c>
      <c r="D114" s="25">
        <f>+D87-D113</f>
        <v>2</v>
      </c>
      <c r="E114" s="49">
        <f>+E87-E113</f>
        <v>3</v>
      </c>
      <c r="F114" s="45">
        <f>+F87-F113</f>
        <v>0</v>
      </c>
      <c r="G114" s="24">
        <f t="shared" si="16"/>
        <v>5</v>
      </c>
      <c r="H114" s="80">
        <f>+H87-H113</f>
        <v>0</v>
      </c>
      <c r="I114" s="25">
        <f>+I87-I113</f>
        <v>0</v>
      </c>
      <c r="J114" s="49">
        <f>+J87-J113</f>
        <v>2</v>
      </c>
      <c r="K114" s="45">
        <f>+K87-K113</f>
        <v>2</v>
      </c>
      <c r="L114" s="24">
        <f t="shared" si="17"/>
        <v>4</v>
      </c>
      <c r="M114" s="24">
        <f t="shared" si="15"/>
        <v>9</v>
      </c>
    </row>
    <row r="116" spans="1:14" ht="19.5" thickBot="1" x14ac:dyDescent="0.25">
      <c r="B116" s="36" t="s">
        <v>13</v>
      </c>
      <c r="C116" s="36"/>
      <c r="D116" s="35"/>
      <c r="E116" s="35"/>
      <c r="F116" s="35"/>
      <c r="G116" s="35"/>
      <c r="H116" s="35"/>
      <c r="I116" s="35"/>
      <c r="J116" s="70" t="s">
        <v>45</v>
      </c>
      <c r="K116" s="35"/>
      <c r="L116" s="56"/>
      <c r="M116" s="35"/>
    </row>
    <row r="117" spans="1:14" ht="14.25" thickBot="1" x14ac:dyDescent="0.2">
      <c r="B117" s="7"/>
      <c r="C117" s="93" t="s">
        <v>18</v>
      </c>
      <c r="D117" s="94"/>
      <c r="E117" s="94"/>
      <c r="F117" s="94"/>
      <c r="G117" s="95"/>
      <c r="H117" s="96" t="s">
        <v>19</v>
      </c>
      <c r="I117" s="97"/>
      <c r="J117" s="97"/>
      <c r="K117" s="97"/>
      <c r="L117" s="98"/>
      <c r="M117" s="5"/>
    </row>
    <row r="118" spans="1:14" ht="14.25" thickBot="1" x14ac:dyDescent="0.2">
      <c r="A118" s="1"/>
      <c r="B118" s="32"/>
      <c r="C118" s="77" t="s">
        <v>50</v>
      </c>
      <c r="D118" s="33" t="s">
        <v>8</v>
      </c>
      <c r="E118" s="46" t="s">
        <v>9</v>
      </c>
      <c r="F118" s="31" t="s">
        <v>10</v>
      </c>
      <c r="G118" s="7" t="s">
        <v>5</v>
      </c>
      <c r="H118" s="77" t="s">
        <v>50</v>
      </c>
      <c r="I118" s="33" t="s">
        <v>8</v>
      </c>
      <c r="J118" s="46" t="s">
        <v>9</v>
      </c>
      <c r="K118" s="31" t="s">
        <v>10</v>
      </c>
      <c r="L118" s="7" t="s">
        <v>5</v>
      </c>
      <c r="M118" s="7" t="s">
        <v>5</v>
      </c>
    </row>
    <row r="119" spans="1:14" x14ac:dyDescent="0.15">
      <c r="B119" s="30" t="s">
        <v>0</v>
      </c>
      <c r="C119" s="78">
        <f>C114</f>
        <v>0</v>
      </c>
      <c r="D119" s="23">
        <f>D114</f>
        <v>2</v>
      </c>
      <c r="E119" s="54">
        <f t="shared" ref="E119:M119" si="19">E114</f>
        <v>3</v>
      </c>
      <c r="F119" s="55">
        <f t="shared" si="19"/>
        <v>0</v>
      </c>
      <c r="G119" s="21">
        <f>G114</f>
        <v>5</v>
      </c>
      <c r="H119" s="78">
        <f>H114</f>
        <v>0</v>
      </c>
      <c r="I119" s="23">
        <f t="shared" si="19"/>
        <v>0</v>
      </c>
      <c r="J119" s="54">
        <f t="shared" si="19"/>
        <v>2</v>
      </c>
      <c r="K119" s="55">
        <f t="shared" si="19"/>
        <v>2</v>
      </c>
      <c r="L119" s="21">
        <f t="shared" si="19"/>
        <v>4</v>
      </c>
      <c r="M119" s="21">
        <f t="shared" si="19"/>
        <v>9</v>
      </c>
    </row>
    <row r="120" spans="1:14" x14ac:dyDescent="0.15">
      <c r="B120" s="29" t="s">
        <v>3</v>
      </c>
      <c r="C120" s="79"/>
      <c r="D120" s="16"/>
      <c r="E120" s="47"/>
      <c r="F120" s="14">
        <v>2</v>
      </c>
      <c r="G120" s="13">
        <f>SUM(C120:F120)</f>
        <v>2</v>
      </c>
      <c r="H120" s="79"/>
      <c r="I120" s="16">
        <v>1</v>
      </c>
      <c r="J120" s="47"/>
      <c r="K120" s="14"/>
      <c r="L120" s="13">
        <f t="shared" ref="L120" si="20">SUM(I120:K120)</f>
        <v>1</v>
      </c>
      <c r="M120" s="13">
        <f t="shared" ref="M120:M152" si="21">G120+L120</f>
        <v>3</v>
      </c>
      <c r="N120" s="20">
        <v>45336</v>
      </c>
    </row>
    <row r="121" spans="1:14" x14ac:dyDescent="0.15">
      <c r="B121" s="29" t="s">
        <v>3</v>
      </c>
      <c r="C121" s="79"/>
      <c r="D121" s="16"/>
      <c r="E121" s="47"/>
      <c r="F121" s="14"/>
      <c r="G121" s="13">
        <f t="shared" ref="G121:G122" si="22">SUM(C121:F121)</f>
        <v>0</v>
      </c>
      <c r="H121" s="79"/>
      <c r="I121" s="16">
        <v>1</v>
      </c>
      <c r="J121" s="47"/>
      <c r="K121" s="14"/>
      <c r="L121" s="13">
        <f t="shared" ref="L121:L124" si="23">SUM(I121:K121)</f>
        <v>1</v>
      </c>
      <c r="M121" s="13">
        <f t="shared" ref="M121:M124" si="24">G121+L121</f>
        <v>1</v>
      </c>
      <c r="N121" s="20">
        <v>45358</v>
      </c>
    </row>
    <row r="122" spans="1:14" x14ac:dyDescent="0.15">
      <c r="B122" s="29" t="s">
        <v>3</v>
      </c>
      <c r="C122" s="79"/>
      <c r="D122" s="16"/>
      <c r="E122" s="47"/>
      <c r="F122" s="14"/>
      <c r="G122" s="13">
        <f t="shared" si="22"/>
        <v>0</v>
      </c>
      <c r="H122" s="79"/>
      <c r="I122" s="16">
        <v>3</v>
      </c>
      <c r="J122" s="47"/>
      <c r="K122" s="14"/>
      <c r="L122" s="13">
        <f t="shared" si="23"/>
        <v>3</v>
      </c>
      <c r="M122" s="13">
        <f t="shared" si="24"/>
        <v>3</v>
      </c>
      <c r="N122" s="20">
        <v>45386</v>
      </c>
    </row>
    <row r="123" spans="1:14" x14ac:dyDescent="0.15">
      <c r="B123" s="29" t="s">
        <v>3</v>
      </c>
      <c r="C123" s="79"/>
      <c r="D123" s="16"/>
      <c r="E123" s="47">
        <v>1</v>
      </c>
      <c r="F123" s="14"/>
      <c r="G123" s="13">
        <f>SUM(C123:F123)</f>
        <v>1</v>
      </c>
      <c r="H123" s="79"/>
      <c r="I123" s="16">
        <v>4</v>
      </c>
      <c r="J123" s="47"/>
      <c r="K123" s="14"/>
      <c r="L123" s="13">
        <f t="shared" si="23"/>
        <v>4</v>
      </c>
      <c r="M123" s="13">
        <f t="shared" si="24"/>
        <v>5</v>
      </c>
      <c r="N123" s="20">
        <v>45421</v>
      </c>
    </row>
    <row r="124" spans="1:14" ht="14.25" thickBot="1" x14ac:dyDescent="0.2">
      <c r="B124" s="29" t="s">
        <v>3</v>
      </c>
      <c r="C124" s="79"/>
      <c r="D124" s="16"/>
      <c r="E124" s="47">
        <v>3</v>
      </c>
      <c r="F124" s="14"/>
      <c r="G124" s="13">
        <f t="shared" ref="G124:G152" si="25">SUM(C124:F124)</f>
        <v>3</v>
      </c>
      <c r="H124" s="79"/>
      <c r="I124" s="16"/>
      <c r="J124" s="47"/>
      <c r="K124" s="14"/>
      <c r="L124" s="13">
        <f t="shared" si="23"/>
        <v>0</v>
      </c>
      <c r="M124" s="13">
        <f t="shared" si="24"/>
        <v>3</v>
      </c>
      <c r="N124" s="20">
        <v>45489</v>
      </c>
    </row>
    <row r="125" spans="1:14" ht="14.25" thickBot="1" x14ac:dyDescent="0.2">
      <c r="B125" s="26" t="s">
        <v>2</v>
      </c>
      <c r="C125" s="80">
        <f>SUM(C119:C124)</f>
        <v>0</v>
      </c>
      <c r="D125" s="25">
        <f>SUM(D119:D124)</f>
        <v>2</v>
      </c>
      <c r="E125" s="49">
        <f>SUM(E119:E124)</f>
        <v>7</v>
      </c>
      <c r="F125" s="25">
        <f>SUM(F119:F124)</f>
        <v>2</v>
      </c>
      <c r="G125" s="24">
        <f t="shared" si="25"/>
        <v>11</v>
      </c>
      <c r="H125" s="80">
        <f>SUM(H119:H124)</f>
        <v>0</v>
      </c>
      <c r="I125" s="25">
        <f>SUM(I119:I124)</f>
        <v>9</v>
      </c>
      <c r="J125" s="49">
        <f>SUM(J119:J124)</f>
        <v>2</v>
      </c>
      <c r="K125" s="25">
        <f>SUM(K119:K124)</f>
        <v>2</v>
      </c>
      <c r="L125" s="24">
        <f>SUM(I125:K125)</f>
        <v>13</v>
      </c>
      <c r="M125" s="24">
        <f t="shared" si="21"/>
        <v>24</v>
      </c>
    </row>
    <row r="126" spans="1:14" x14ac:dyDescent="0.15">
      <c r="B126" s="12" t="s">
        <v>22</v>
      </c>
      <c r="C126" s="81"/>
      <c r="D126" s="19"/>
      <c r="E126" s="50"/>
      <c r="F126" s="17"/>
      <c r="G126" s="13">
        <f t="shared" si="25"/>
        <v>0</v>
      </c>
      <c r="H126" s="81"/>
      <c r="I126" s="19">
        <v>1</v>
      </c>
      <c r="J126" s="50"/>
      <c r="K126" s="17"/>
      <c r="L126" s="13">
        <f t="shared" ref="L126:L132" si="26">SUM(I126:K126)</f>
        <v>1</v>
      </c>
      <c r="M126" s="13">
        <f t="shared" ref="M126:M132" si="27">G126+L126</f>
        <v>1</v>
      </c>
      <c r="N126" s="20">
        <v>45376</v>
      </c>
    </row>
    <row r="127" spans="1:14" x14ac:dyDescent="0.15">
      <c r="B127" s="12" t="s">
        <v>22</v>
      </c>
      <c r="C127" s="81"/>
      <c r="D127" s="19"/>
      <c r="E127" s="50"/>
      <c r="F127" s="17"/>
      <c r="G127" s="13">
        <f t="shared" si="25"/>
        <v>0</v>
      </c>
      <c r="H127" s="81"/>
      <c r="I127" s="19">
        <v>2</v>
      </c>
      <c r="J127" s="50"/>
      <c r="K127" s="17"/>
      <c r="L127" s="13">
        <f t="shared" si="26"/>
        <v>2</v>
      </c>
      <c r="M127" s="13">
        <f t="shared" si="27"/>
        <v>2</v>
      </c>
      <c r="N127" s="20">
        <v>45386</v>
      </c>
    </row>
    <row r="128" spans="1:14" x14ac:dyDescent="0.15">
      <c r="B128" s="12" t="s">
        <v>22</v>
      </c>
      <c r="C128" s="81"/>
      <c r="D128" s="19"/>
      <c r="E128" s="50"/>
      <c r="F128" s="17"/>
      <c r="G128" s="13">
        <f t="shared" si="25"/>
        <v>0</v>
      </c>
      <c r="H128" s="81"/>
      <c r="I128" s="19">
        <v>1</v>
      </c>
      <c r="J128" s="50"/>
      <c r="K128" s="17"/>
      <c r="L128" s="13">
        <f t="shared" si="26"/>
        <v>1</v>
      </c>
      <c r="M128" s="13">
        <f t="shared" si="27"/>
        <v>1</v>
      </c>
      <c r="N128" s="20">
        <v>45387</v>
      </c>
    </row>
    <row r="129" spans="2:14" x14ac:dyDescent="0.15">
      <c r="B129" s="12" t="s">
        <v>22</v>
      </c>
      <c r="C129" s="81"/>
      <c r="D129" s="19"/>
      <c r="E129" s="50">
        <v>2</v>
      </c>
      <c r="F129" s="17"/>
      <c r="G129" s="13">
        <f t="shared" si="25"/>
        <v>2</v>
      </c>
      <c r="H129" s="81"/>
      <c r="I129" s="19"/>
      <c r="J129" s="50"/>
      <c r="K129" s="17"/>
      <c r="L129" s="13">
        <f t="shared" si="26"/>
        <v>0</v>
      </c>
      <c r="M129" s="13">
        <f t="shared" si="27"/>
        <v>2</v>
      </c>
      <c r="N129" s="20">
        <v>45393</v>
      </c>
    </row>
    <row r="130" spans="2:14" x14ac:dyDescent="0.15">
      <c r="B130" s="12" t="s">
        <v>22</v>
      </c>
      <c r="C130" s="81"/>
      <c r="D130" s="19"/>
      <c r="E130" s="50"/>
      <c r="F130" s="17"/>
      <c r="G130" s="13">
        <f t="shared" si="25"/>
        <v>0</v>
      </c>
      <c r="H130" s="81"/>
      <c r="I130" s="19">
        <v>1</v>
      </c>
      <c r="J130" s="50"/>
      <c r="K130" s="17"/>
      <c r="L130" s="13">
        <f t="shared" si="26"/>
        <v>1</v>
      </c>
      <c r="M130" s="13">
        <f t="shared" si="27"/>
        <v>1</v>
      </c>
      <c r="N130" s="20">
        <v>45408</v>
      </c>
    </row>
    <row r="131" spans="2:14" x14ac:dyDescent="0.15">
      <c r="B131" s="12" t="s">
        <v>22</v>
      </c>
      <c r="C131" s="81"/>
      <c r="D131" s="19"/>
      <c r="E131" s="50"/>
      <c r="F131" s="17"/>
      <c r="G131" s="13">
        <f t="shared" si="25"/>
        <v>0</v>
      </c>
      <c r="H131" s="81"/>
      <c r="I131" s="19">
        <v>2</v>
      </c>
      <c r="J131" s="50"/>
      <c r="K131" s="17"/>
      <c r="L131" s="13">
        <f t="shared" si="26"/>
        <v>2</v>
      </c>
      <c r="M131" s="13">
        <f t="shared" si="27"/>
        <v>2</v>
      </c>
      <c r="N131" s="20">
        <v>45421</v>
      </c>
    </row>
    <row r="132" spans="2:14" x14ac:dyDescent="0.15">
      <c r="B132" s="12" t="s">
        <v>22</v>
      </c>
      <c r="C132" s="81"/>
      <c r="D132" s="19"/>
      <c r="E132" s="50">
        <v>3</v>
      </c>
      <c r="F132" s="17"/>
      <c r="G132" s="13">
        <f t="shared" si="25"/>
        <v>3</v>
      </c>
      <c r="H132" s="81"/>
      <c r="I132" s="19"/>
      <c r="J132" s="50"/>
      <c r="K132" s="17"/>
      <c r="L132" s="13">
        <f t="shared" si="26"/>
        <v>0</v>
      </c>
      <c r="M132" s="13">
        <f t="shared" si="27"/>
        <v>3</v>
      </c>
      <c r="N132" s="20">
        <v>45491</v>
      </c>
    </row>
    <row r="133" spans="2:14" x14ac:dyDescent="0.15">
      <c r="B133" s="12" t="s">
        <v>22</v>
      </c>
      <c r="C133" s="81"/>
      <c r="D133" s="19"/>
      <c r="E133" s="50">
        <v>1</v>
      </c>
      <c r="F133" s="17"/>
      <c r="G133" s="13">
        <f t="shared" si="25"/>
        <v>1</v>
      </c>
      <c r="H133" s="81"/>
      <c r="I133" s="19"/>
      <c r="J133" s="50"/>
      <c r="K133" s="17"/>
      <c r="L133" s="13">
        <f t="shared" ref="L133:L152" si="28">SUM(I133:K133)</f>
        <v>0</v>
      </c>
      <c r="M133" s="13">
        <f t="shared" si="21"/>
        <v>1</v>
      </c>
      <c r="N133" s="20">
        <v>45503</v>
      </c>
    </row>
    <row r="134" spans="2:14" x14ac:dyDescent="0.15">
      <c r="B134" s="12" t="s">
        <v>49</v>
      </c>
      <c r="C134" s="81"/>
      <c r="D134" s="19">
        <v>0</v>
      </c>
      <c r="E134" s="50">
        <v>0</v>
      </c>
      <c r="F134" s="17">
        <v>0</v>
      </c>
      <c r="G134" s="13">
        <f t="shared" si="25"/>
        <v>0</v>
      </c>
      <c r="H134" s="81"/>
      <c r="I134" s="19">
        <v>0</v>
      </c>
      <c r="J134" s="50">
        <v>0</v>
      </c>
      <c r="K134" s="17">
        <v>0</v>
      </c>
      <c r="L134" s="13">
        <f t="shared" si="28"/>
        <v>0</v>
      </c>
      <c r="M134" s="13">
        <f t="shared" si="21"/>
        <v>0</v>
      </c>
      <c r="N134" s="20">
        <v>45531</v>
      </c>
    </row>
    <row r="135" spans="2:14" x14ac:dyDescent="0.15">
      <c r="B135" s="12" t="s">
        <v>22</v>
      </c>
      <c r="C135" s="81"/>
      <c r="D135" s="19"/>
      <c r="E135" s="50"/>
      <c r="F135" s="17">
        <v>1</v>
      </c>
      <c r="G135" s="13">
        <f t="shared" si="25"/>
        <v>1</v>
      </c>
      <c r="H135" s="81"/>
      <c r="I135" s="19"/>
      <c r="J135" s="50"/>
      <c r="K135" s="17"/>
      <c r="L135" s="13">
        <f t="shared" si="28"/>
        <v>0</v>
      </c>
      <c r="M135" s="13">
        <f t="shared" si="21"/>
        <v>1</v>
      </c>
      <c r="N135" s="20">
        <v>45553</v>
      </c>
    </row>
    <row r="136" spans="2:14" x14ac:dyDescent="0.15">
      <c r="B136" s="12"/>
      <c r="C136" s="81"/>
      <c r="D136" s="19"/>
      <c r="E136" s="50"/>
      <c r="F136" s="17"/>
      <c r="G136" s="13">
        <f t="shared" si="25"/>
        <v>0</v>
      </c>
      <c r="H136" s="81"/>
      <c r="I136" s="19"/>
      <c r="J136" s="50"/>
      <c r="K136" s="17"/>
      <c r="L136" s="13">
        <f t="shared" si="28"/>
        <v>0</v>
      </c>
      <c r="M136" s="13">
        <f t="shared" si="21"/>
        <v>0</v>
      </c>
    </row>
    <row r="137" spans="2:14" x14ac:dyDescent="0.15">
      <c r="B137" s="12"/>
      <c r="C137" s="81"/>
      <c r="D137" s="19"/>
      <c r="E137" s="50"/>
      <c r="F137" s="17"/>
      <c r="G137" s="13">
        <f t="shared" si="25"/>
        <v>0</v>
      </c>
      <c r="H137" s="81"/>
      <c r="I137" s="19"/>
      <c r="J137" s="50"/>
      <c r="K137" s="17"/>
      <c r="L137" s="13">
        <f t="shared" si="28"/>
        <v>0</v>
      </c>
      <c r="M137" s="13">
        <f t="shared" si="21"/>
        <v>0</v>
      </c>
    </row>
    <row r="138" spans="2:14" x14ac:dyDescent="0.15">
      <c r="B138" s="12"/>
      <c r="C138" s="79"/>
      <c r="D138" s="16"/>
      <c r="E138" s="47"/>
      <c r="F138" s="14"/>
      <c r="G138" s="13">
        <f t="shared" si="25"/>
        <v>0</v>
      </c>
      <c r="H138" s="79"/>
      <c r="I138" s="16"/>
      <c r="J138" s="47"/>
      <c r="K138" s="14"/>
      <c r="L138" s="13">
        <f t="shared" si="28"/>
        <v>0</v>
      </c>
      <c r="M138" s="13">
        <f t="shared" si="21"/>
        <v>0</v>
      </c>
    </row>
    <row r="139" spans="2:14" x14ac:dyDescent="0.15">
      <c r="B139" s="12"/>
      <c r="C139" s="81"/>
      <c r="D139" s="19"/>
      <c r="E139" s="50"/>
      <c r="F139" s="17"/>
      <c r="G139" s="13">
        <f t="shared" si="25"/>
        <v>0</v>
      </c>
      <c r="H139" s="81"/>
      <c r="I139" s="19"/>
      <c r="J139" s="50"/>
      <c r="K139" s="17"/>
      <c r="L139" s="13">
        <f t="shared" si="28"/>
        <v>0</v>
      </c>
      <c r="M139" s="13">
        <f t="shared" si="21"/>
        <v>0</v>
      </c>
    </row>
    <row r="140" spans="2:14" x14ac:dyDescent="0.15">
      <c r="B140" s="12"/>
      <c r="C140" s="81"/>
      <c r="D140" s="19"/>
      <c r="E140" s="50"/>
      <c r="F140" s="17"/>
      <c r="G140" s="13">
        <f t="shared" si="25"/>
        <v>0</v>
      </c>
      <c r="H140" s="81"/>
      <c r="I140" s="19"/>
      <c r="J140" s="50"/>
      <c r="K140" s="17"/>
      <c r="L140" s="13">
        <f t="shared" si="28"/>
        <v>0</v>
      </c>
      <c r="M140" s="13">
        <f t="shared" si="21"/>
        <v>0</v>
      </c>
    </row>
    <row r="141" spans="2:14" x14ac:dyDescent="0.15">
      <c r="B141" s="12"/>
      <c r="C141" s="81"/>
      <c r="D141" s="19"/>
      <c r="E141" s="50"/>
      <c r="F141" s="17"/>
      <c r="G141" s="13">
        <f t="shared" si="25"/>
        <v>0</v>
      </c>
      <c r="H141" s="81"/>
      <c r="I141" s="19"/>
      <c r="J141" s="50"/>
      <c r="K141" s="17"/>
      <c r="L141" s="13">
        <f t="shared" si="28"/>
        <v>0</v>
      </c>
      <c r="M141" s="13">
        <f t="shared" si="21"/>
        <v>0</v>
      </c>
    </row>
    <row r="142" spans="2:14" x14ac:dyDescent="0.15">
      <c r="B142" s="12"/>
      <c r="C142" s="81"/>
      <c r="D142" s="19"/>
      <c r="E142" s="50"/>
      <c r="F142" s="17"/>
      <c r="G142" s="13">
        <f t="shared" si="25"/>
        <v>0</v>
      </c>
      <c r="H142" s="81"/>
      <c r="I142" s="19"/>
      <c r="J142" s="50"/>
      <c r="K142" s="17"/>
      <c r="L142" s="13">
        <f t="shared" si="28"/>
        <v>0</v>
      </c>
      <c r="M142" s="13">
        <f t="shared" si="21"/>
        <v>0</v>
      </c>
    </row>
    <row r="143" spans="2:14" x14ac:dyDescent="0.15">
      <c r="B143" s="12"/>
      <c r="C143" s="81"/>
      <c r="D143" s="19"/>
      <c r="E143" s="50"/>
      <c r="F143" s="17"/>
      <c r="G143" s="13">
        <f t="shared" si="25"/>
        <v>0</v>
      </c>
      <c r="H143" s="81"/>
      <c r="I143" s="19"/>
      <c r="J143" s="50"/>
      <c r="K143" s="17"/>
      <c r="L143" s="13">
        <f t="shared" si="28"/>
        <v>0</v>
      </c>
      <c r="M143" s="13">
        <f t="shared" si="21"/>
        <v>0</v>
      </c>
    </row>
    <row r="144" spans="2:14" x14ac:dyDescent="0.15">
      <c r="B144" s="12"/>
      <c r="C144" s="81"/>
      <c r="D144" s="19"/>
      <c r="E144" s="50"/>
      <c r="F144" s="17"/>
      <c r="G144" s="13">
        <f t="shared" si="25"/>
        <v>0</v>
      </c>
      <c r="H144" s="81"/>
      <c r="I144" s="19"/>
      <c r="J144" s="50"/>
      <c r="K144" s="17"/>
      <c r="L144" s="13">
        <f t="shared" si="28"/>
        <v>0</v>
      </c>
      <c r="M144" s="13">
        <f t="shared" si="21"/>
        <v>0</v>
      </c>
    </row>
    <row r="145" spans="1:14" x14ac:dyDescent="0.15">
      <c r="B145" s="12"/>
      <c r="C145" s="79"/>
      <c r="D145" s="16"/>
      <c r="E145" s="47"/>
      <c r="F145" s="14"/>
      <c r="G145" s="13">
        <f t="shared" si="25"/>
        <v>0</v>
      </c>
      <c r="H145" s="79"/>
      <c r="I145" s="16"/>
      <c r="J145" s="47"/>
      <c r="K145" s="14"/>
      <c r="L145" s="13">
        <f t="shared" si="28"/>
        <v>0</v>
      </c>
      <c r="M145" s="13">
        <f t="shared" si="21"/>
        <v>0</v>
      </c>
    </row>
    <row r="146" spans="1:14" x14ac:dyDescent="0.15">
      <c r="B146" s="12"/>
      <c r="C146" s="79"/>
      <c r="D146" s="16"/>
      <c r="E146" s="47"/>
      <c r="F146" s="14"/>
      <c r="G146" s="13">
        <f t="shared" si="25"/>
        <v>0</v>
      </c>
      <c r="H146" s="79"/>
      <c r="I146" s="16"/>
      <c r="J146" s="47"/>
      <c r="K146" s="14"/>
      <c r="L146" s="13">
        <f t="shared" si="28"/>
        <v>0</v>
      </c>
      <c r="M146" s="13">
        <f t="shared" si="21"/>
        <v>0</v>
      </c>
    </row>
    <row r="147" spans="1:14" x14ac:dyDescent="0.15">
      <c r="B147" s="12"/>
      <c r="C147" s="79"/>
      <c r="D147" s="16"/>
      <c r="E147" s="47"/>
      <c r="F147" s="14"/>
      <c r="G147" s="13">
        <f t="shared" si="25"/>
        <v>0</v>
      </c>
      <c r="H147" s="79"/>
      <c r="I147" s="16"/>
      <c r="J147" s="47"/>
      <c r="K147" s="14"/>
      <c r="L147" s="13">
        <f t="shared" si="28"/>
        <v>0</v>
      </c>
      <c r="M147" s="13">
        <f t="shared" si="21"/>
        <v>0</v>
      </c>
    </row>
    <row r="148" spans="1:14" x14ac:dyDescent="0.15">
      <c r="B148" s="12"/>
      <c r="C148" s="79"/>
      <c r="D148" s="16"/>
      <c r="E148" s="47"/>
      <c r="F148" s="14"/>
      <c r="G148" s="13">
        <f t="shared" si="25"/>
        <v>0</v>
      </c>
      <c r="H148" s="79"/>
      <c r="I148" s="16"/>
      <c r="J148" s="47"/>
      <c r="K148" s="14"/>
      <c r="L148" s="13">
        <f t="shared" si="28"/>
        <v>0</v>
      </c>
      <c r="M148" s="13">
        <f t="shared" si="21"/>
        <v>0</v>
      </c>
    </row>
    <row r="149" spans="1:14" x14ac:dyDescent="0.15">
      <c r="B149" s="12"/>
      <c r="C149" s="79"/>
      <c r="D149" s="16"/>
      <c r="E149" s="47"/>
      <c r="F149" s="14"/>
      <c r="G149" s="13">
        <f t="shared" si="25"/>
        <v>0</v>
      </c>
      <c r="H149" s="79"/>
      <c r="I149" s="16"/>
      <c r="J149" s="47"/>
      <c r="K149" s="14"/>
      <c r="L149" s="13">
        <f t="shared" si="28"/>
        <v>0</v>
      </c>
      <c r="M149" s="13">
        <f t="shared" si="21"/>
        <v>0</v>
      </c>
    </row>
    <row r="150" spans="1:14" ht="14.25" thickBot="1" x14ac:dyDescent="0.2">
      <c r="B150" s="12"/>
      <c r="C150" s="82"/>
      <c r="D150" s="27"/>
      <c r="E150" s="48"/>
      <c r="F150" s="9"/>
      <c r="G150" s="8">
        <f t="shared" si="25"/>
        <v>0</v>
      </c>
      <c r="H150" s="82"/>
      <c r="I150" s="27"/>
      <c r="J150" s="48"/>
      <c r="K150" s="9"/>
      <c r="L150" s="8">
        <f t="shared" si="28"/>
        <v>0</v>
      </c>
      <c r="M150" s="8">
        <f t="shared" si="21"/>
        <v>0</v>
      </c>
    </row>
    <row r="151" spans="1:14" ht="14.25" thickBot="1" x14ac:dyDescent="0.2">
      <c r="B151" s="7" t="s">
        <v>1</v>
      </c>
      <c r="C151" s="83">
        <f>SUM(C126:C150)</f>
        <v>0</v>
      </c>
      <c r="D151" s="6">
        <f>SUM(D126:D150)</f>
        <v>0</v>
      </c>
      <c r="E151" s="51">
        <f>SUM(E126:E150)</f>
        <v>6</v>
      </c>
      <c r="F151" s="44">
        <f>SUM(F126:F150)</f>
        <v>1</v>
      </c>
      <c r="G151" s="5">
        <f t="shared" si="25"/>
        <v>7</v>
      </c>
      <c r="H151" s="83">
        <f>SUM(H126:H150)</f>
        <v>0</v>
      </c>
      <c r="I151" s="6">
        <f>SUM(I126:I150)</f>
        <v>7</v>
      </c>
      <c r="J151" s="51">
        <f>SUM(J126:J150)</f>
        <v>0</v>
      </c>
      <c r="K151" s="44">
        <f>SUM(K126:K150)</f>
        <v>0</v>
      </c>
      <c r="L151" s="5">
        <f t="shared" si="28"/>
        <v>7</v>
      </c>
      <c r="M151" s="5">
        <f t="shared" si="21"/>
        <v>14</v>
      </c>
    </row>
    <row r="152" spans="1:14" ht="14.25" thickBot="1" x14ac:dyDescent="0.2">
      <c r="B152" s="4" t="s">
        <v>0</v>
      </c>
      <c r="C152" s="80">
        <f>+C125-C151</f>
        <v>0</v>
      </c>
      <c r="D152" s="25">
        <f>+D125-D151</f>
        <v>2</v>
      </c>
      <c r="E152" s="49">
        <f>+E125-E151</f>
        <v>1</v>
      </c>
      <c r="F152" s="45">
        <f>+F125-F151</f>
        <v>1</v>
      </c>
      <c r="G152" s="24">
        <f t="shared" si="25"/>
        <v>4</v>
      </c>
      <c r="H152" s="80">
        <f>+H125-H151</f>
        <v>0</v>
      </c>
      <c r="I152" s="25">
        <f>+I125-I151</f>
        <v>2</v>
      </c>
      <c r="J152" s="49">
        <f>+J125-J151</f>
        <v>2</v>
      </c>
      <c r="K152" s="45">
        <f>+K125-K151</f>
        <v>2</v>
      </c>
      <c r="L152" s="24">
        <f t="shared" si="28"/>
        <v>6</v>
      </c>
      <c r="M152" s="24">
        <f t="shared" si="21"/>
        <v>10</v>
      </c>
    </row>
    <row r="154" spans="1:14" ht="19.5" thickBot="1" x14ac:dyDescent="0.25">
      <c r="B154" s="36" t="s">
        <v>13</v>
      </c>
      <c r="C154" s="36"/>
      <c r="D154" s="35"/>
      <c r="E154" s="35"/>
      <c r="F154" s="35"/>
      <c r="G154" s="35"/>
      <c r="H154" s="35"/>
      <c r="I154" s="35"/>
      <c r="J154" s="70" t="s">
        <v>45</v>
      </c>
      <c r="K154" s="35"/>
      <c r="L154" s="56"/>
      <c r="M154" s="35"/>
    </row>
    <row r="155" spans="1:14" ht="14.25" thickBot="1" x14ac:dyDescent="0.2">
      <c r="B155" s="7"/>
      <c r="C155" s="93" t="s">
        <v>18</v>
      </c>
      <c r="D155" s="94"/>
      <c r="E155" s="94"/>
      <c r="F155" s="94"/>
      <c r="G155" s="95"/>
      <c r="H155" s="96" t="s">
        <v>19</v>
      </c>
      <c r="I155" s="97"/>
      <c r="J155" s="97"/>
      <c r="K155" s="97"/>
      <c r="L155" s="98"/>
      <c r="M155" s="5"/>
    </row>
    <row r="156" spans="1:14" ht="14.25" thickBot="1" x14ac:dyDescent="0.2">
      <c r="A156" s="1"/>
      <c r="B156" s="32"/>
      <c r="C156" s="77" t="s">
        <v>50</v>
      </c>
      <c r="D156" s="33" t="s">
        <v>8</v>
      </c>
      <c r="E156" s="46" t="s">
        <v>9</v>
      </c>
      <c r="F156" s="31" t="s">
        <v>10</v>
      </c>
      <c r="G156" s="7" t="s">
        <v>5</v>
      </c>
      <c r="H156" s="77" t="s">
        <v>50</v>
      </c>
      <c r="I156" s="33" t="s">
        <v>8</v>
      </c>
      <c r="J156" s="46" t="s">
        <v>9</v>
      </c>
      <c r="K156" s="31" t="s">
        <v>10</v>
      </c>
      <c r="L156" s="7" t="s">
        <v>5</v>
      </c>
      <c r="M156" s="7" t="s">
        <v>5</v>
      </c>
    </row>
    <row r="157" spans="1:14" x14ac:dyDescent="0.15">
      <c r="B157" s="30" t="s">
        <v>0</v>
      </c>
      <c r="C157" s="78">
        <f>C152</f>
        <v>0</v>
      </c>
      <c r="D157" s="23">
        <f>D152</f>
        <v>2</v>
      </c>
      <c r="E157" s="54">
        <f t="shared" ref="E157:M157" si="29">E152</f>
        <v>1</v>
      </c>
      <c r="F157" s="55">
        <f t="shared" si="29"/>
        <v>1</v>
      </c>
      <c r="G157" s="21">
        <f>G152</f>
        <v>4</v>
      </c>
      <c r="H157" s="78">
        <f>H152</f>
        <v>0</v>
      </c>
      <c r="I157" s="23">
        <f t="shared" si="29"/>
        <v>2</v>
      </c>
      <c r="J157" s="54">
        <f t="shared" si="29"/>
        <v>2</v>
      </c>
      <c r="K157" s="55">
        <f t="shared" si="29"/>
        <v>2</v>
      </c>
      <c r="L157" s="21">
        <f t="shared" si="29"/>
        <v>6</v>
      </c>
      <c r="M157" s="21">
        <f t="shared" si="29"/>
        <v>10</v>
      </c>
    </row>
    <row r="158" spans="1:14" x14ac:dyDescent="0.15">
      <c r="B158" s="29" t="s">
        <v>3</v>
      </c>
      <c r="C158" s="79"/>
      <c r="D158" s="16"/>
      <c r="E158" s="47">
        <v>1</v>
      </c>
      <c r="F158" s="14">
        <v>1</v>
      </c>
      <c r="G158" s="13">
        <f>SUM(C158:F158)</f>
        <v>2</v>
      </c>
      <c r="H158" s="79"/>
      <c r="I158" s="72"/>
      <c r="J158" s="47"/>
      <c r="K158" s="14"/>
      <c r="L158" s="13">
        <f>SUM(H158:K158)</f>
        <v>0</v>
      </c>
      <c r="M158" s="13">
        <f>G158+L158</f>
        <v>2</v>
      </c>
      <c r="N158" s="20">
        <v>45555</v>
      </c>
    </row>
    <row r="159" spans="1:14" x14ac:dyDescent="0.15">
      <c r="B159" s="29" t="s">
        <v>3</v>
      </c>
      <c r="C159" s="79"/>
      <c r="D159" s="16">
        <v>2</v>
      </c>
      <c r="E159" s="47"/>
      <c r="F159" s="14"/>
      <c r="G159" s="13">
        <f t="shared" ref="G159:G160" si="30">SUM(C159:F159)</f>
        <v>2</v>
      </c>
      <c r="H159" s="79"/>
      <c r="I159" s="72"/>
      <c r="J159" s="47"/>
      <c r="K159" s="14"/>
      <c r="L159" s="13">
        <f t="shared" ref="L159:L190" si="31">SUM(H159:K159)</f>
        <v>0</v>
      </c>
      <c r="M159" s="13">
        <f t="shared" ref="M159:M162" si="32">G159+L159</f>
        <v>2</v>
      </c>
      <c r="N159" s="20">
        <v>45589</v>
      </c>
    </row>
    <row r="160" spans="1:14" x14ac:dyDescent="0.15">
      <c r="B160" s="29" t="s">
        <v>3</v>
      </c>
      <c r="C160" s="79"/>
      <c r="D160" s="16"/>
      <c r="E160" s="47"/>
      <c r="F160" s="14"/>
      <c r="G160" s="13">
        <f t="shared" si="30"/>
        <v>0</v>
      </c>
      <c r="H160" s="79"/>
      <c r="I160" s="72"/>
      <c r="J160" s="47">
        <v>2</v>
      </c>
      <c r="K160" s="14"/>
      <c r="L160" s="13">
        <f t="shared" si="31"/>
        <v>2</v>
      </c>
      <c r="M160" s="13">
        <f t="shared" si="32"/>
        <v>2</v>
      </c>
      <c r="N160" s="20">
        <v>45603</v>
      </c>
    </row>
    <row r="161" spans="2:14" x14ac:dyDescent="0.15">
      <c r="B161" s="29" t="s">
        <v>3</v>
      </c>
      <c r="C161" s="79"/>
      <c r="D161" s="16"/>
      <c r="E161" s="47"/>
      <c r="F161" s="14"/>
      <c r="G161" s="13">
        <f>SUM(C161:F161)</f>
        <v>0</v>
      </c>
      <c r="H161" s="79"/>
      <c r="I161" s="72"/>
      <c r="J161" s="47">
        <v>2</v>
      </c>
      <c r="K161" s="14"/>
      <c r="L161" s="13">
        <f t="shared" si="31"/>
        <v>2</v>
      </c>
      <c r="M161" s="13">
        <f t="shared" si="32"/>
        <v>2</v>
      </c>
      <c r="N161" s="20">
        <v>45651</v>
      </c>
    </row>
    <row r="162" spans="2:14" ht="14.25" thickBot="1" x14ac:dyDescent="0.2">
      <c r="B162" s="29" t="s">
        <v>3</v>
      </c>
      <c r="C162" s="79">
        <v>1</v>
      </c>
      <c r="D162" s="16"/>
      <c r="E162" s="47"/>
      <c r="F162" s="14"/>
      <c r="G162" s="13">
        <f t="shared" ref="G162:G190" si="33">SUM(C162:F162)</f>
        <v>1</v>
      </c>
      <c r="H162" s="79">
        <v>2</v>
      </c>
      <c r="I162" s="72"/>
      <c r="J162" s="47"/>
      <c r="K162" s="14"/>
      <c r="L162" s="13">
        <f t="shared" si="31"/>
        <v>2</v>
      </c>
      <c r="M162" s="13">
        <f t="shared" si="32"/>
        <v>3</v>
      </c>
      <c r="N162" s="20">
        <v>45651</v>
      </c>
    </row>
    <row r="163" spans="2:14" ht="14.25" thickBot="1" x14ac:dyDescent="0.2">
      <c r="B163" s="26" t="s">
        <v>2</v>
      </c>
      <c r="C163" s="80">
        <f>SUM(C157:C162)</f>
        <v>1</v>
      </c>
      <c r="D163" s="25">
        <f>SUM(D157:D162)</f>
        <v>4</v>
      </c>
      <c r="E163" s="49">
        <f>SUM(E157:E162)</f>
        <v>2</v>
      </c>
      <c r="F163" s="25">
        <f>SUM(F157:F162)</f>
        <v>2</v>
      </c>
      <c r="G163" s="24">
        <f t="shared" si="33"/>
        <v>9</v>
      </c>
      <c r="H163" s="80">
        <f>SUM(H157:H162)</f>
        <v>2</v>
      </c>
      <c r="I163" s="25">
        <f>SUM(I157:I162)</f>
        <v>2</v>
      </c>
      <c r="J163" s="49">
        <f>SUM(J157:J162)</f>
        <v>6</v>
      </c>
      <c r="K163" s="25">
        <f>SUM(K157:K162)</f>
        <v>2</v>
      </c>
      <c r="L163" s="24">
        <f t="shared" si="31"/>
        <v>12</v>
      </c>
      <c r="M163" s="24">
        <f t="shared" ref="M163:M190" si="34">G163+L163</f>
        <v>21</v>
      </c>
    </row>
    <row r="164" spans="2:14" x14ac:dyDescent="0.15">
      <c r="B164" s="12" t="s">
        <v>22</v>
      </c>
      <c r="C164" s="81"/>
      <c r="D164" s="19">
        <v>1</v>
      </c>
      <c r="E164" s="50"/>
      <c r="F164" s="17"/>
      <c r="G164" s="13">
        <f t="shared" si="33"/>
        <v>1</v>
      </c>
      <c r="H164" s="81"/>
      <c r="I164" s="19">
        <v>1</v>
      </c>
      <c r="J164" s="50"/>
      <c r="K164" s="17"/>
      <c r="L164" s="13">
        <f t="shared" si="31"/>
        <v>1</v>
      </c>
      <c r="M164" s="13">
        <f t="shared" ref="M164:M173" si="35">G164+L164</f>
        <v>2</v>
      </c>
      <c r="N164" s="20">
        <v>45580</v>
      </c>
    </row>
    <row r="165" spans="2:14" x14ac:dyDescent="0.15">
      <c r="B165" s="12" t="s">
        <v>22</v>
      </c>
      <c r="C165" s="81"/>
      <c r="D165" s="19"/>
      <c r="E165" s="50"/>
      <c r="F165" s="17"/>
      <c r="G165" s="13">
        <f t="shared" si="33"/>
        <v>0</v>
      </c>
      <c r="H165" s="81"/>
      <c r="I165" s="19"/>
      <c r="J165" s="50">
        <v>2</v>
      </c>
      <c r="K165" s="17"/>
      <c r="L165" s="13">
        <f t="shared" si="31"/>
        <v>2</v>
      </c>
      <c r="M165" s="13">
        <f t="shared" si="35"/>
        <v>2</v>
      </c>
      <c r="N165" s="20">
        <v>45593</v>
      </c>
    </row>
    <row r="166" spans="2:14" x14ac:dyDescent="0.15">
      <c r="B166" s="12" t="s">
        <v>22</v>
      </c>
      <c r="C166" s="81"/>
      <c r="D166" s="19"/>
      <c r="E166" s="50"/>
      <c r="F166" s="17"/>
      <c r="G166" s="13">
        <f t="shared" si="33"/>
        <v>0</v>
      </c>
      <c r="H166" s="81"/>
      <c r="I166" s="19"/>
      <c r="J166" s="50">
        <v>2</v>
      </c>
      <c r="K166" s="17"/>
      <c r="L166" s="13">
        <f t="shared" si="31"/>
        <v>2</v>
      </c>
      <c r="M166" s="13">
        <f t="shared" si="35"/>
        <v>2</v>
      </c>
      <c r="N166" s="20">
        <v>45635</v>
      </c>
    </row>
    <row r="167" spans="2:14" x14ac:dyDescent="0.15">
      <c r="B167" s="12" t="s">
        <v>22</v>
      </c>
      <c r="C167" s="81"/>
      <c r="D167" s="19"/>
      <c r="E167" s="50"/>
      <c r="F167" s="17"/>
      <c r="G167" s="13">
        <f t="shared" si="33"/>
        <v>0</v>
      </c>
      <c r="H167" s="81">
        <v>2</v>
      </c>
      <c r="I167" s="19"/>
      <c r="J167" s="50"/>
      <c r="K167" s="17"/>
      <c r="L167" s="13">
        <f t="shared" si="31"/>
        <v>2</v>
      </c>
      <c r="M167" s="13">
        <f t="shared" si="35"/>
        <v>2</v>
      </c>
      <c r="N167" s="20">
        <v>45652</v>
      </c>
    </row>
    <row r="168" spans="2:14" x14ac:dyDescent="0.15">
      <c r="B168" s="12" t="s">
        <v>22</v>
      </c>
      <c r="C168" s="81"/>
      <c r="D168" s="19">
        <v>1</v>
      </c>
      <c r="E168" s="50"/>
      <c r="F168" s="17"/>
      <c r="G168" s="13">
        <f t="shared" si="33"/>
        <v>1</v>
      </c>
      <c r="H168" s="81"/>
      <c r="I168" s="19"/>
      <c r="J168" s="50"/>
      <c r="K168" s="17"/>
      <c r="L168" s="13">
        <f t="shared" si="31"/>
        <v>0</v>
      </c>
      <c r="M168" s="13">
        <f t="shared" si="35"/>
        <v>1</v>
      </c>
      <c r="N168" s="20">
        <v>45678</v>
      </c>
    </row>
    <row r="169" spans="2:14" x14ac:dyDescent="0.15">
      <c r="B169" s="12" t="s">
        <v>22</v>
      </c>
      <c r="C169" s="81"/>
      <c r="D169" s="19"/>
      <c r="E169" s="50">
        <v>1</v>
      </c>
      <c r="F169" s="17"/>
      <c r="G169" s="13">
        <f t="shared" si="33"/>
        <v>1</v>
      </c>
      <c r="H169" s="81"/>
      <c r="I169" s="19"/>
      <c r="J169" s="50"/>
      <c r="K169" s="17"/>
      <c r="L169" s="13">
        <f t="shared" si="31"/>
        <v>0</v>
      </c>
      <c r="M169" s="13">
        <f t="shared" si="35"/>
        <v>1</v>
      </c>
      <c r="N169" s="20">
        <v>45688</v>
      </c>
    </row>
    <row r="170" spans="2:14" x14ac:dyDescent="0.15">
      <c r="B170" s="12" t="s">
        <v>22</v>
      </c>
      <c r="C170" s="81"/>
      <c r="D170" s="19"/>
      <c r="E170" s="50"/>
      <c r="F170" s="17">
        <v>1</v>
      </c>
      <c r="G170" s="13">
        <f t="shared" si="33"/>
        <v>1</v>
      </c>
      <c r="H170" s="81"/>
      <c r="I170" s="19">
        <v>1</v>
      </c>
      <c r="J170" s="50"/>
      <c r="K170" s="17"/>
      <c r="L170" s="13">
        <f t="shared" si="31"/>
        <v>1</v>
      </c>
      <c r="M170" s="13">
        <f t="shared" si="35"/>
        <v>2</v>
      </c>
      <c r="N170" s="20">
        <v>45709</v>
      </c>
    </row>
    <row r="171" spans="2:14" x14ac:dyDescent="0.15">
      <c r="B171" s="12" t="s">
        <v>22</v>
      </c>
      <c r="C171" s="81"/>
      <c r="D171" s="19"/>
      <c r="E171" s="50"/>
      <c r="F171" s="17"/>
      <c r="G171" s="13">
        <f t="shared" si="33"/>
        <v>0</v>
      </c>
      <c r="H171" s="81">
        <v>2</v>
      </c>
      <c r="I171" s="19"/>
      <c r="J171" s="50"/>
      <c r="K171" s="17"/>
      <c r="L171" s="13">
        <f t="shared" si="31"/>
        <v>2</v>
      </c>
      <c r="M171" s="13">
        <f t="shared" si="35"/>
        <v>2</v>
      </c>
      <c r="N171" s="20">
        <v>45715</v>
      </c>
    </row>
    <row r="172" spans="2:14" x14ac:dyDescent="0.15">
      <c r="B172" s="12"/>
      <c r="C172" s="81"/>
      <c r="D172" s="19"/>
      <c r="E172" s="50"/>
      <c r="F172" s="17"/>
      <c r="G172" s="13">
        <f t="shared" si="33"/>
        <v>0</v>
      </c>
      <c r="H172" s="81"/>
      <c r="I172" s="19"/>
      <c r="J172" s="50"/>
      <c r="K172" s="17"/>
      <c r="L172" s="13">
        <f t="shared" si="31"/>
        <v>0</v>
      </c>
      <c r="M172" s="13">
        <f t="shared" si="35"/>
        <v>0</v>
      </c>
    </row>
    <row r="173" spans="2:14" x14ac:dyDescent="0.15">
      <c r="B173" s="12"/>
      <c r="C173" s="81"/>
      <c r="D173" s="19"/>
      <c r="E173" s="50"/>
      <c r="F173" s="17"/>
      <c r="G173" s="13">
        <f t="shared" si="33"/>
        <v>0</v>
      </c>
      <c r="H173" s="81"/>
      <c r="I173" s="19"/>
      <c r="J173" s="50"/>
      <c r="K173" s="17"/>
      <c r="L173" s="13">
        <f t="shared" si="31"/>
        <v>0</v>
      </c>
      <c r="M173" s="13">
        <f t="shared" si="35"/>
        <v>0</v>
      </c>
    </row>
    <row r="174" spans="2:14" x14ac:dyDescent="0.15">
      <c r="B174" s="12"/>
      <c r="C174" s="81"/>
      <c r="D174" s="19"/>
      <c r="E174" s="50"/>
      <c r="F174" s="17"/>
      <c r="G174" s="13">
        <f t="shared" si="33"/>
        <v>0</v>
      </c>
      <c r="H174" s="81"/>
      <c r="I174" s="19"/>
      <c r="J174" s="50"/>
      <c r="K174" s="17"/>
      <c r="L174" s="13">
        <f t="shared" si="31"/>
        <v>0</v>
      </c>
      <c r="M174" s="13">
        <f t="shared" si="34"/>
        <v>0</v>
      </c>
    </row>
    <row r="175" spans="2:14" x14ac:dyDescent="0.15">
      <c r="B175" s="12"/>
      <c r="C175" s="81"/>
      <c r="D175" s="19"/>
      <c r="E175" s="50"/>
      <c r="F175" s="17"/>
      <c r="G175" s="13">
        <f t="shared" si="33"/>
        <v>0</v>
      </c>
      <c r="H175" s="81"/>
      <c r="I175" s="19"/>
      <c r="J175" s="50"/>
      <c r="K175" s="17"/>
      <c r="L175" s="13">
        <f t="shared" si="31"/>
        <v>0</v>
      </c>
      <c r="M175" s="13">
        <f t="shared" si="34"/>
        <v>0</v>
      </c>
    </row>
    <row r="176" spans="2:14" x14ac:dyDescent="0.15">
      <c r="B176" s="12"/>
      <c r="C176" s="79"/>
      <c r="D176" s="16"/>
      <c r="E176" s="47"/>
      <c r="F176" s="14"/>
      <c r="G176" s="13">
        <f t="shared" si="33"/>
        <v>0</v>
      </c>
      <c r="H176" s="79"/>
      <c r="I176" s="16"/>
      <c r="J176" s="47"/>
      <c r="K176" s="14"/>
      <c r="L176" s="13">
        <f t="shared" si="31"/>
        <v>0</v>
      </c>
      <c r="M176" s="13">
        <f t="shared" si="34"/>
        <v>0</v>
      </c>
    </row>
    <row r="177" spans="2:14" x14ac:dyDescent="0.15">
      <c r="B177" s="12"/>
      <c r="C177" s="81"/>
      <c r="D177" s="19"/>
      <c r="E177" s="50"/>
      <c r="F177" s="17"/>
      <c r="G177" s="13">
        <f t="shared" si="33"/>
        <v>0</v>
      </c>
      <c r="H177" s="81"/>
      <c r="I177" s="19"/>
      <c r="J177" s="50"/>
      <c r="K177" s="17"/>
      <c r="L177" s="13">
        <f t="shared" si="31"/>
        <v>0</v>
      </c>
      <c r="M177" s="13">
        <f t="shared" si="34"/>
        <v>0</v>
      </c>
    </row>
    <row r="178" spans="2:14" x14ac:dyDescent="0.15">
      <c r="B178" s="12"/>
      <c r="C178" s="81"/>
      <c r="D178" s="19"/>
      <c r="E178" s="50"/>
      <c r="F178" s="17"/>
      <c r="G178" s="13">
        <f t="shared" si="33"/>
        <v>0</v>
      </c>
      <c r="H178" s="81"/>
      <c r="I178" s="19"/>
      <c r="J178" s="50"/>
      <c r="K178" s="17"/>
      <c r="L178" s="13">
        <f t="shared" si="31"/>
        <v>0</v>
      </c>
      <c r="M178" s="13">
        <f t="shared" si="34"/>
        <v>0</v>
      </c>
    </row>
    <row r="179" spans="2:14" x14ac:dyDescent="0.15">
      <c r="B179" s="12"/>
      <c r="C179" s="81"/>
      <c r="D179" s="19"/>
      <c r="E179" s="50"/>
      <c r="F179" s="17"/>
      <c r="G179" s="13">
        <f t="shared" si="33"/>
        <v>0</v>
      </c>
      <c r="H179" s="81"/>
      <c r="I179" s="19"/>
      <c r="J179" s="50"/>
      <c r="K179" s="17"/>
      <c r="L179" s="13">
        <f t="shared" si="31"/>
        <v>0</v>
      </c>
      <c r="M179" s="13">
        <f t="shared" si="34"/>
        <v>0</v>
      </c>
    </row>
    <row r="180" spans="2:14" x14ac:dyDescent="0.15">
      <c r="B180" s="12"/>
      <c r="C180" s="81"/>
      <c r="D180" s="19"/>
      <c r="E180" s="50"/>
      <c r="F180" s="17"/>
      <c r="G180" s="13">
        <f t="shared" si="33"/>
        <v>0</v>
      </c>
      <c r="H180" s="81"/>
      <c r="I180" s="19"/>
      <c r="J180" s="50"/>
      <c r="K180" s="17"/>
      <c r="L180" s="13">
        <f t="shared" si="31"/>
        <v>0</v>
      </c>
      <c r="M180" s="13">
        <f t="shared" si="34"/>
        <v>0</v>
      </c>
    </row>
    <row r="181" spans="2:14" x14ac:dyDescent="0.15">
      <c r="B181" s="12"/>
      <c r="C181" s="81"/>
      <c r="D181" s="19"/>
      <c r="E181" s="50"/>
      <c r="F181" s="17"/>
      <c r="G181" s="13">
        <f t="shared" si="33"/>
        <v>0</v>
      </c>
      <c r="H181" s="81"/>
      <c r="I181" s="19"/>
      <c r="J181" s="50"/>
      <c r="K181" s="17"/>
      <c r="L181" s="13">
        <f t="shared" si="31"/>
        <v>0</v>
      </c>
      <c r="M181" s="13">
        <f t="shared" si="34"/>
        <v>0</v>
      </c>
    </row>
    <row r="182" spans="2:14" x14ac:dyDescent="0.15">
      <c r="B182" s="12"/>
      <c r="C182" s="81"/>
      <c r="D182" s="19"/>
      <c r="E182" s="50"/>
      <c r="F182" s="17"/>
      <c r="G182" s="13">
        <f t="shared" si="33"/>
        <v>0</v>
      </c>
      <c r="H182" s="81"/>
      <c r="I182" s="19"/>
      <c r="J182" s="50"/>
      <c r="K182" s="17"/>
      <c r="L182" s="13">
        <f t="shared" si="31"/>
        <v>0</v>
      </c>
      <c r="M182" s="13">
        <f t="shared" si="34"/>
        <v>0</v>
      </c>
    </row>
    <row r="183" spans="2:14" x14ac:dyDescent="0.15">
      <c r="B183" s="12"/>
      <c r="C183" s="79"/>
      <c r="D183" s="16"/>
      <c r="E183" s="47"/>
      <c r="F183" s="14"/>
      <c r="G183" s="13">
        <f t="shared" si="33"/>
        <v>0</v>
      </c>
      <c r="H183" s="79"/>
      <c r="I183" s="16"/>
      <c r="J183" s="47"/>
      <c r="K183" s="14"/>
      <c r="L183" s="13">
        <f t="shared" si="31"/>
        <v>0</v>
      </c>
      <c r="M183" s="13">
        <f t="shared" si="34"/>
        <v>0</v>
      </c>
    </row>
    <row r="184" spans="2:14" x14ac:dyDescent="0.15">
      <c r="B184" s="12"/>
      <c r="C184" s="79"/>
      <c r="D184" s="16"/>
      <c r="E184" s="47"/>
      <c r="F184" s="14"/>
      <c r="G184" s="13">
        <f t="shared" si="33"/>
        <v>0</v>
      </c>
      <c r="H184" s="79"/>
      <c r="I184" s="16"/>
      <c r="J184" s="47"/>
      <c r="K184" s="14"/>
      <c r="L184" s="13">
        <f t="shared" si="31"/>
        <v>0</v>
      </c>
      <c r="M184" s="13">
        <f t="shared" si="34"/>
        <v>0</v>
      </c>
    </row>
    <row r="185" spans="2:14" x14ac:dyDescent="0.15">
      <c r="B185" s="12"/>
      <c r="C185" s="79"/>
      <c r="D185" s="16"/>
      <c r="E185" s="47"/>
      <c r="F185" s="14"/>
      <c r="G185" s="13">
        <f t="shared" si="33"/>
        <v>0</v>
      </c>
      <c r="H185" s="79"/>
      <c r="I185" s="16"/>
      <c r="J185" s="47"/>
      <c r="K185" s="14"/>
      <c r="L185" s="13">
        <f t="shared" si="31"/>
        <v>0</v>
      </c>
      <c r="M185" s="13">
        <f t="shared" si="34"/>
        <v>0</v>
      </c>
    </row>
    <row r="186" spans="2:14" x14ac:dyDescent="0.15">
      <c r="B186" s="12"/>
      <c r="C186" s="79"/>
      <c r="D186" s="16"/>
      <c r="E186" s="47"/>
      <c r="F186" s="14"/>
      <c r="G186" s="13">
        <f t="shared" si="33"/>
        <v>0</v>
      </c>
      <c r="H186" s="79"/>
      <c r="I186" s="16"/>
      <c r="J186" s="47"/>
      <c r="K186" s="14"/>
      <c r="L186" s="13">
        <f t="shared" si="31"/>
        <v>0</v>
      </c>
      <c r="M186" s="13">
        <f t="shared" si="34"/>
        <v>0</v>
      </c>
    </row>
    <row r="187" spans="2:14" x14ac:dyDescent="0.15">
      <c r="B187" s="12"/>
      <c r="C187" s="79"/>
      <c r="D187" s="16"/>
      <c r="E187" s="47"/>
      <c r="F187" s="14"/>
      <c r="G187" s="13">
        <f t="shared" si="33"/>
        <v>0</v>
      </c>
      <c r="H187" s="79"/>
      <c r="I187" s="16"/>
      <c r="J187" s="47"/>
      <c r="K187" s="14"/>
      <c r="L187" s="13">
        <f t="shared" si="31"/>
        <v>0</v>
      </c>
      <c r="M187" s="13">
        <f t="shared" si="34"/>
        <v>0</v>
      </c>
    </row>
    <row r="188" spans="2:14" ht="14.25" thickBot="1" x14ac:dyDescent="0.2">
      <c r="B188" s="84"/>
      <c r="C188" s="85"/>
      <c r="D188" s="86"/>
      <c r="E188" s="87"/>
      <c r="F188" s="88"/>
      <c r="G188" s="71">
        <f t="shared" si="33"/>
        <v>0</v>
      </c>
      <c r="H188" s="85">
        <v>-2</v>
      </c>
      <c r="I188" s="86"/>
      <c r="J188" s="87"/>
      <c r="K188" s="88"/>
      <c r="L188" s="71">
        <f t="shared" si="31"/>
        <v>-2</v>
      </c>
      <c r="M188" s="71">
        <f t="shared" si="34"/>
        <v>-2</v>
      </c>
      <c r="N188" s="89"/>
    </row>
    <row r="189" spans="2:14" ht="14.25" thickBot="1" x14ac:dyDescent="0.2">
      <c r="B189" s="7" t="s">
        <v>1</v>
      </c>
      <c r="C189" s="83">
        <f>SUM(C164:C188)</f>
        <v>0</v>
      </c>
      <c r="D189" s="6">
        <f>SUM(D164:D188)</f>
        <v>2</v>
      </c>
      <c r="E189" s="51">
        <f>SUM(E164:E188)</f>
        <v>1</v>
      </c>
      <c r="F189" s="44">
        <f>SUM(F164:F188)</f>
        <v>1</v>
      </c>
      <c r="G189" s="5">
        <f t="shared" si="33"/>
        <v>4</v>
      </c>
      <c r="H189" s="83">
        <f>SUM(H164:H188)</f>
        <v>2</v>
      </c>
      <c r="I189" s="6">
        <f>SUM(I164:I188)</f>
        <v>2</v>
      </c>
      <c r="J189" s="51">
        <f>SUM(J164:J188)</f>
        <v>4</v>
      </c>
      <c r="K189" s="44">
        <f>SUM(K164:K188)</f>
        <v>0</v>
      </c>
      <c r="L189" s="5">
        <f t="shared" si="31"/>
        <v>8</v>
      </c>
      <c r="M189" s="5">
        <f t="shared" si="34"/>
        <v>12</v>
      </c>
    </row>
    <row r="190" spans="2:14" ht="14.25" thickBot="1" x14ac:dyDescent="0.2">
      <c r="B190" s="4" t="s">
        <v>0</v>
      </c>
      <c r="C190" s="80">
        <f>+C163-C189</f>
        <v>1</v>
      </c>
      <c r="D190" s="25">
        <f>+D163-D189</f>
        <v>2</v>
      </c>
      <c r="E190" s="49">
        <f>+E163-E189</f>
        <v>1</v>
      </c>
      <c r="F190" s="45">
        <f>+F163-F189</f>
        <v>1</v>
      </c>
      <c r="G190" s="24">
        <f t="shared" si="33"/>
        <v>5</v>
      </c>
      <c r="H190" s="80">
        <f>+H163-H189</f>
        <v>0</v>
      </c>
      <c r="I190" s="25">
        <f>+I163-I189</f>
        <v>0</v>
      </c>
      <c r="J190" s="49">
        <f>+J163-J189</f>
        <v>2</v>
      </c>
      <c r="K190" s="45">
        <f>+K163-K189</f>
        <v>2</v>
      </c>
      <c r="L190" s="24">
        <f t="shared" si="31"/>
        <v>4</v>
      </c>
      <c r="M190" s="24">
        <f t="shared" si="34"/>
        <v>9</v>
      </c>
    </row>
    <row r="192" spans="2:14" ht="19.5" thickBot="1" x14ac:dyDescent="0.25">
      <c r="B192" s="36" t="s">
        <v>13</v>
      </c>
      <c r="C192" s="36"/>
      <c r="D192" s="35"/>
      <c r="E192" s="35"/>
      <c r="F192" s="35"/>
      <c r="G192" s="35"/>
      <c r="H192" s="35"/>
      <c r="I192" s="35"/>
      <c r="J192" s="70" t="s">
        <v>45</v>
      </c>
      <c r="K192" s="35"/>
      <c r="L192" s="56"/>
      <c r="M192" s="35"/>
    </row>
    <row r="193" spans="2:14" ht="14.25" thickBot="1" x14ac:dyDescent="0.2">
      <c r="B193" s="7"/>
      <c r="C193" s="93" t="s">
        <v>18</v>
      </c>
      <c r="D193" s="94"/>
      <c r="E193" s="94"/>
      <c r="F193" s="94"/>
      <c r="G193" s="95"/>
      <c r="H193" s="96" t="s">
        <v>19</v>
      </c>
      <c r="I193" s="97"/>
      <c r="J193" s="97"/>
      <c r="K193" s="97"/>
      <c r="L193" s="98"/>
      <c r="M193" s="5"/>
    </row>
    <row r="194" spans="2:14" ht="14.25" thickBot="1" x14ac:dyDescent="0.2">
      <c r="B194" s="32"/>
      <c r="C194" s="77" t="s">
        <v>50</v>
      </c>
      <c r="D194" s="33" t="s">
        <v>8</v>
      </c>
      <c r="E194" s="46" t="s">
        <v>9</v>
      </c>
      <c r="F194" s="31" t="s">
        <v>10</v>
      </c>
      <c r="G194" s="7" t="s">
        <v>5</v>
      </c>
      <c r="H194" s="77" t="s">
        <v>50</v>
      </c>
      <c r="I194" s="33" t="s">
        <v>8</v>
      </c>
      <c r="J194" s="46" t="s">
        <v>9</v>
      </c>
      <c r="K194" s="31" t="s">
        <v>10</v>
      </c>
      <c r="L194" s="7" t="s">
        <v>5</v>
      </c>
      <c r="M194" s="7" t="s">
        <v>5</v>
      </c>
    </row>
    <row r="195" spans="2:14" x14ac:dyDescent="0.15">
      <c r="B195" s="30" t="s">
        <v>0</v>
      </c>
      <c r="C195" s="78">
        <f>C190</f>
        <v>1</v>
      </c>
      <c r="D195" s="23">
        <f>D190</f>
        <v>2</v>
      </c>
      <c r="E195" s="54">
        <f t="shared" ref="E195:F195" si="36">E190</f>
        <v>1</v>
      </c>
      <c r="F195" s="55">
        <f t="shared" si="36"/>
        <v>1</v>
      </c>
      <c r="G195" s="21">
        <f>G190</f>
        <v>5</v>
      </c>
      <c r="H195" s="78">
        <f>H190</f>
        <v>0</v>
      </c>
      <c r="I195" s="23">
        <f t="shared" ref="I195:M195" si="37">I190</f>
        <v>0</v>
      </c>
      <c r="J195" s="54">
        <f t="shared" si="37"/>
        <v>2</v>
      </c>
      <c r="K195" s="55">
        <f t="shared" si="37"/>
        <v>2</v>
      </c>
      <c r="L195" s="21">
        <f t="shared" si="37"/>
        <v>4</v>
      </c>
      <c r="M195" s="21">
        <f t="shared" si="37"/>
        <v>9</v>
      </c>
    </row>
    <row r="196" spans="2:14" x14ac:dyDescent="0.15">
      <c r="B196" s="29" t="s">
        <v>3</v>
      </c>
      <c r="C196" s="90"/>
      <c r="D196" s="16"/>
      <c r="E196" s="47">
        <v>2</v>
      </c>
      <c r="F196" s="14">
        <v>2</v>
      </c>
      <c r="G196" s="13">
        <f>SUM(C196:F196)</f>
        <v>4</v>
      </c>
      <c r="H196" s="79">
        <v>2</v>
      </c>
      <c r="I196" s="72">
        <v>6</v>
      </c>
      <c r="J196" s="47"/>
      <c r="K196" s="14"/>
      <c r="L196" s="13">
        <f>SUM(H196:K196)</f>
        <v>8</v>
      </c>
      <c r="M196" s="13">
        <f>G196+L196</f>
        <v>12</v>
      </c>
      <c r="N196" s="20">
        <v>45715</v>
      </c>
    </row>
    <row r="197" spans="2:14" x14ac:dyDescent="0.15">
      <c r="B197" s="29" t="s">
        <v>3</v>
      </c>
      <c r="C197" s="90"/>
      <c r="D197" s="16"/>
      <c r="E197" s="47"/>
      <c r="F197" s="14"/>
      <c r="G197" s="13">
        <f t="shared" ref="G197:G198" si="38">SUM(C197:F197)</f>
        <v>0</v>
      </c>
      <c r="H197" s="79">
        <v>1</v>
      </c>
      <c r="I197" s="72"/>
      <c r="J197" s="47"/>
      <c r="K197" s="14"/>
      <c r="L197" s="13">
        <f t="shared" ref="L197:L228" si="39">SUM(H197:K197)</f>
        <v>1</v>
      </c>
      <c r="M197" s="13">
        <f t="shared" ref="M197:M228" si="40">G197+L197</f>
        <v>1</v>
      </c>
      <c r="N197" s="20">
        <v>45734</v>
      </c>
    </row>
    <row r="198" spans="2:14" x14ac:dyDescent="0.15">
      <c r="B198" s="29" t="s">
        <v>3</v>
      </c>
      <c r="C198" s="90"/>
      <c r="D198" s="16">
        <v>1</v>
      </c>
      <c r="E198" s="47"/>
      <c r="F198" s="14"/>
      <c r="G198" s="13">
        <f t="shared" si="38"/>
        <v>1</v>
      </c>
      <c r="H198" s="79"/>
      <c r="I198" s="72"/>
      <c r="J198" s="47">
        <v>3</v>
      </c>
      <c r="K198" s="14"/>
      <c r="L198" s="13">
        <f t="shared" si="39"/>
        <v>3</v>
      </c>
      <c r="M198" s="13">
        <f t="shared" si="40"/>
        <v>4</v>
      </c>
      <c r="N198" s="20">
        <v>45750</v>
      </c>
    </row>
    <row r="199" spans="2:14" x14ac:dyDescent="0.15">
      <c r="B199" s="29" t="s">
        <v>3</v>
      </c>
      <c r="C199" s="90"/>
      <c r="D199" s="16"/>
      <c r="E199" s="47">
        <v>3</v>
      </c>
      <c r="F199" s="14"/>
      <c r="G199" s="13">
        <f>SUM(C199:F199)</f>
        <v>3</v>
      </c>
      <c r="H199" s="79"/>
      <c r="I199" s="72"/>
      <c r="J199" s="47">
        <v>3</v>
      </c>
      <c r="K199" s="14"/>
      <c r="L199" s="13">
        <f t="shared" si="39"/>
        <v>3</v>
      </c>
      <c r="M199" s="13">
        <f t="shared" si="40"/>
        <v>6</v>
      </c>
      <c r="N199" s="20">
        <v>45863</v>
      </c>
    </row>
    <row r="200" spans="2:14" ht="14.25" thickBot="1" x14ac:dyDescent="0.2">
      <c r="B200" s="29" t="s">
        <v>3</v>
      </c>
      <c r="C200" s="90"/>
      <c r="D200" s="16">
        <v>5</v>
      </c>
      <c r="E200" s="47"/>
      <c r="F200" s="14"/>
      <c r="G200" s="13">
        <f t="shared" ref="G200:G228" si="41">SUM(C200:F200)</f>
        <v>5</v>
      </c>
      <c r="H200" s="79"/>
      <c r="I200" s="72"/>
      <c r="J200" s="47"/>
      <c r="K200" s="14"/>
      <c r="L200" s="13">
        <f t="shared" si="39"/>
        <v>0</v>
      </c>
      <c r="M200" s="13">
        <f t="shared" si="40"/>
        <v>5</v>
      </c>
      <c r="N200" s="20">
        <v>45917</v>
      </c>
    </row>
    <row r="201" spans="2:14" ht="14.25" thickBot="1" x14ac:dyDescent="0.2">
      <c r="B201" s="26" t="s">
        <v>2</v>
      </c>
      <c r="C201" s="80">
        <f>SUM(C195:C200)</f>
        <v>1</v>
      </c>
      <c r="D201" s="25">
        <f>SUM(D195:D200)</f>
        <v>8</v>
      </c>
      <c r="E201" s="49">
        <f>SUM(E195:E200)</f>
        <v>6</v>
      </c>
      <c r="F201" s="25">
        <f>SUM(F195:F200)</f>
        <v>3</v>
      </c>
      <c r="G201" s="24">
        <f t="shared" si="41"/>
        <v>18</v>
      </c>
      <c r="H201" s="80">
        <f>SUM(H195:H200)</f>
        <v>3</v>
      </c>
      <c r="I201" s="25">
        <f>SUM(I195:I200)</f>
        <v>6</v>
      </c>
      <c r="J201" s="49">
        <f>SUM(J195:J200)</f>
        <v>8</v>
      </c>
      <c r="K201" s="25">
        <f>SUM(K195:K200)</f>
        <v>2</v>
      </c>
      <c r="L201" s="24">
        <f t="shared" si="39"/>
        <v>19</v>
      </c>
      <c r="M201" s="24">
        <f t="shared" si="40"/>
        <v>37</v>
      </c>
    </row>
    <row r="202" spans="2:14" x14ac:dyDescent="0.15">
      <c r="B202" s="12" t="s">
        <v>22</v>
      </c>
      <c r="C202" s="81"/>
      <c r="D202" s="19"/>
      <c r="E202" s="50"/>
      <c r="F202" s="17"/>
      <c r="G202" s="13">
        <f t="shared" ref="G202:G208" si="42">SUM(C202:F202)</f>
        <v>0</v>
      </c>
      <c r="H202" s="81"/>
      <c r="I202" s="19">
        <v>1</v>
      </c>
      <c r="J202" s="50"/>
      <c r="K202" s="17"/>
      <c r="L202" s="13">
        <f t="shared" ref="L202:L208" si="43">SUM(H202:K202)</f>
        <v>1</v>
      </c>
      <c r="M202" s="13">
        <f t="shared" ref="M202:M208" si="44">G202+L202</f>
        <v>1</v>
      </c>
      <c r="N202" s="20">
        <v>45723</v>
      </c>
    </row>
    <row r="203" spans="2:14" x14ac:dyDescent="0.15">
      <c r="B203" s="12" t="s">
        <v>22</v>
      </c>
      <c r="C203" s="81"/>
      <c r="D203" s="19"/>
      <c r="E203" s="50"/>
      <c r="F203" s="17"/>
      <c r="G203" s="13">
        <f t="shared" si="42"/>
        <v>0</v>
      </c>
      <c r="H203" s="81"/>
      <c r="I203" s="19"/>
      <c r="J203" s="50">
        <v>1</v>
      </c>
      <c r="K203" s="17"/>
      <c r="L203" s="13">
        <f t="shared" si="43"/>
        <v>1</v>
      </c>
      <c r="M203" s="13">
        <f t="shared" si="44"/>
        <v>1</v>
      </c>
      <c r="N203" s="20">
        <v>45740</v>
      </c>
    </row>
    <row r="204" spans="2:14" x14ac:dyDescent="0.15">
      <c r="B204" s="12" t="s">
        <v>22</v>
      </c>
      <c r="C204" s="81"/>
      <c r="D204" s="19">
        <v>1</v>
      </c>
      <c r="E204" s="50"/>
      <c r="F204" s="17"/>
      <c r="G204" s="13">
        <f t="shared" si="42"/>
        <v>1</v>
      </c>
      <c r="H204" s="81"/>
      <c r="I204" s="19"/>
      <c r="J204" s="50"/>
      <c r="K204" s="17"/>
      <c r="L204" s="13">
        <f t="shared" si="43"/>
        <v>0</v>
      </c>
      <c r="M204" s="13">
        <f t="shared" si="44"/>
        <v>1</v>
      </c>
      <c r="N204" s="20">
        <v>45741</v>
      </c>
    </row>
    <row r="205" spans="2:14" x14ac:dyDescent="0.15">
      <c r="B205" s="12" t="s">
        <v>22</v>
      </c>
      <c r="C205" s="81"/>
      <c r="D205" s="19"/>
      <c r="E205" s="50"/>
      <c r="F205" s="17"/>
      <c r="G205" s="13">
        <f t="shared" si="42"/>
        <v>0</v>
      </c>
      <c r="H205" s="81"/>
      <c r="I205" s="19"/>
      <c r="J205" s="50">
        <v>2</v>
      </c>
      <c r="K205" s="17"/>
      <c r="L205" s="13">
        <f t="shared" si="43"/>
        <v>2</v>
      </c>
      <c r="M205" s="13">
        <f t="shared" si="44"/>
        <v>2</v>
      </c>
      <c r="N205" s="20">
        <v>45750</v>
      </c>
    </row>
    <row r="206" spans="2:14" x14ac:dyDescent="0.15">
      <c r="B206" s="12" t="s">
        <v>22</v>
      </c>
      <c r="C206" s="81"/>
      <c r="D206" s="19"/>
      <c r="E206" s="50"/>
      <c r="F206" s="17"/>
      <c r="G206" s="13">
        <f t="shared" si="42"/>
        <v>0</v>
      </c>
      <c r="H206" s="81">
        <v>1</v>
      </c>
      <c r="I206" s="19"/>
      <c r="J206" s="50"/>
      <c r="K206" s="17"/>
      <c r="L206" s="13">
        <f t="shared" si="43"/>
        <v>1</v>
      </c>
      <c r="M206" s="13">
        <f t="shared" si="44"/>
        <v>1</v>
      </c>
      <c r="N206" s="20">
        <v>45807</v>
      </c>
    </row>
    <row r="207" spans="2:14" x14ac:dyDescent="0.15">
      <c r="B207" s="12" t="s">
        <v>22</v>
      </c>
      <c r="C207" s="81"/>
      <c r="D207" s="19"/>
      <c r="E207" s="50"/>
      <c r="F207" s="17"/>
      <c r="G207" s="13">
        <f t="shared" si="42"/>
        <v>0</v>
      </c>
      <c r="H207" s="81">
        <f>-1+1</f>
        <v>0</v>
      </c>
      <c r="I207" s="19"/>
      <c r="J207" s="50"/>
      <c r="K207" s="17"/>
      <c r="L207" s="13">
        <f t="shared" si="43"/>
        <v>0</v>
      </c>
      <c r="M207" s="13">
        <f t="shared" si="44"/>
        <v>0</v>
      </c>
      <c r="N207" s="20">
        <v>45817</v>
      </c>
    </row>
    <row r="208" spans="2:14" x14ac:dyDescent="0.15">
      <c r="B208" s="12" t="s">
        <v>22</v>
      </c>
      <c r="C208" s="81"/>
      <c r="D208" s="19"/>
      <c r="E208" s="50">
        <v>2</v>
      </c>
      <c r="F208" s="17"/>
      <c r="G208" s="13">
        <f t="shared" si="42"/>
        <v>2</v>
      </c>
      <c r="H208" s="81"/>
      <c r="I208" s="19"/>
      <c r="J208" s="50"/>
      <c r="K208" s="17"/>
      <c r="L208" s="13">
        <f t="shared" si="43"/>
        <v>0</v>
      </c>
      <c r="M208" s="13">
        <f t="shared" si="44"/>
        <v>2</v>
      </c>
      <c r="N208" s="20">
        <v>45829</v>
      </c>
    </row>
    <row r="209" spans="2:14" x14ac:dyDescent="0.15">
      <c r="B209" s="12" t="s">
        <v>22</v>
      </c>
      <c r="C209" s="81"/>
      <c r="D209" s="19"/>
      <c r="E209" s="50">
        <v>1</v>
      </c>
      <c r="F209" s="17"/>
      <c r="G209" s="13">
        <f t="shared" si="41"/>
        <v>1</v>
      </c>
      <c r="H209" s="81"/>
      <c r="I209" s="19"/>
      <c r="J209" s="50"/>
      <c r="K209" s="17"/>
      <c r="L209" s="13">
        <f t="shared" si="39"/>
        <v>0</v>
      </c>
      <c r="M209" s="13">
        <f t="shared" si="40"/>
        <v>1</v>
      </c>
      <c r="N209" s="20">
        <v>45852</v>
      </c>
    </row>
    <row r="210" spans="2:14" x14ac:dyDescent="0.15">
      <c r="B210" s="12" t="s">
        <v>22</v>
      </c>
      <c r="C210" s="81"/>
      <c r="D210" s="19"/>
      <c r="E210" s="50"/>
      <c r="F210" s="17"/>
      <c r="G210" s="13">
        <f t="shared" si="41"/>
        <v>0</v>
      </c>
      <c r="H210" s="81"/>
      <c r="I210" s="19"/>
      <c r="J210" s="50">
        <v>1</v>
      </c>
      <c r="K210" s="17"/>
      <c r="L210" s="13">
        <f t="shared" si="39"/>
        <v>1</v>
      </c>
      <c r="M210" s="13">
        <f t="shared" si="40"/>
        <v>1</v>
      </c>
      <c r="N210" s="20">
        <v>45860</v>
      </c>
    </row>
    <row r="211" spans="2:14" x14ac:dyDescent="0.15">
      <c r="B211" s="12" t="s">
        <v>22</v>
      </c>
      <c r="C211" s="81"/>
      <c r="D211" s="19"/>
      <c r="E211" s="50">
        <v>1</v>
      </c>
      <c r="F211" s="17"/>
      <c r="G211" s="13">
        <f t="shared" si="41"/>
        <v>1</v>
      </c>
      <c r="H211" s="81"/>
      <c r="I211" s="19"/>
      <c r="J211" s="50"/>
      <c r="K211" s="17"/>
      <c r="L211" s="13">
        <f t="shared" si="39"/>
        <v>0</v>
      </c>
      <c r="M211" s="13">
        <f t="shared" si="40"/>
        <v>1</v>
      </c>
      <c r="N211" s="20">
        <v>45867</v>
      </c>
    </row>
    <row r="212" spans="2:14" x14ac:dyDescent="0.15">
      <c r="B212" s="12" t="s">
        <v>22</v>
      </c>
      <c r="C212" s="81"/>
      <c r="D212" s="19"/>
      <c r="E212" s="50"/>
      <c r="F212" s="17"/>
      <c r="G212" s="13">
        <f t="shared" si="41"/>
        <v>0</v>
      </c>
      <c r="H212" s="81"/>
      <c r="I212" s="19">
        <v>2</v>
      </c>
      <c r="J212" s="50">
        <v>1</v>
      </c>
      <c r="K212" s="17">
        <v>1</v>
      </c>
      <c r="L212" s="13">
        <f t="shared" si="39"/>
        <v>4</v>
      </c>
      <c r="M212" s="13">
        <f t="shared" si="40"/>
        <v>4</v>
      </c>
      <c r="N212" s="20">
        <v>45887</v>
      </c>
    </row>
    <row r="213" spans="2:14" x14ac:dyDescent="0.15">
      <c r="B213" s="12" t="s">
        <v>52</v>
      </c>
      <c r="C213" s="81"/>
      <c r="D213" s="19">
        <v>0</v>
      </c>
      <c r="E213" s="50">
        <v>0</v>
      </c>
      <c r="F213" s="17">
        <v>-1</v>
      </c>
      <c r="G213" s="13">
        <f t="shared" si="41"/>
        <v>-1</v>
      </c>
      <c r="H213" s="81">
        <v>0</v>
      </c>
      <c r="I213" s="19">
        <v>1</v>
      </c>
      <c r="J213" s="50">
        <v>0</v>
      </c>
      <c r="K213" s="17">
        <v>0</v>
      </c>
      <c r="L213" s="13">
        <f t="shared" si="39"/>
        <v>1</v>
      </c>
      <c r="M213" s="13">
        <f t="shared" si="40"/>
        <v>0</v>
      </c>
      <c r="N213" s="20">
        <v>45890</v>
      </c>
    </row>
    <row r="214" spans="2:14" x14ac:dyDescent="0.15">
      <c r="B214" s="12" t="s">
        <v>22</v>
      </c>
      <c r="C214" s="79"/>
      <c r="D214" s="16">
        <v>1</v>
      </c>
      <c r="E214" s="47"/>
      <c r="F214" s="14"/>
      <c r="G214" s="13">
        <f t="shared" si="41"/>
        <v>1</v>
      </c>
      <c r="H214" s="79"/>
      <c r="I214" s="16"/>
      <c r="J214" s="47"/>
      <c r="K214" s="14"/>
      <c r="L214" s="13">
        <f t="shared" si="39"/>
        <v>0</v>
      </c>
      <c r="M214" s="13">
        <f t="shared" si="40"/>
        <v>1</v>
      </c>
      <c r="N214" s="20">
        <v>45903</v>
      </c>
    </row>
    <row r="215" spans="2:14" x14ac:dyDescent="0.15">
      <c r="B215" s="12" t="s">
        <v>22</v>
      </c>
      <c r="C215" s="81"/>
      <c r="D215" s="19">
        <v>1</v>
      </c>
      <c r="E215" s="50"/>
      <c r="F215" s="17"/>
      <c r="G215" s="13">
        <f t="shared" si="41"/>
        <v>1</v>
      </c>
      <c r="H215" s="81"/>
      <c r="I215" s="19"/>
      <c r="J215" s="50"/>
      <c r="K215" s="17"/>
      <c r="L215" s="13">
        <f t="shared" si="39"/>
        <v>0</v>
      </c>
      <c r="M215" s="13">
        <f t="shared" si="40"/>
        <v>1</v>
      </c>
      <c r="N215" s="20">
        <v>45910</v>
      </c>
    </row>
    <row r="216" spans="2:14" x14ac:dyDescent="0.15">
      <c r="B216" s="12" t="s">
        <v>22</v>
      </c>
      <c r="C216" s="81"/>
      <c r="D216" s="19"/>
      <c r="E216" s="50"/>
      <c r="F216" s="17"/>
      <c r="G216" s="13">
        <f t="shared" si="41"/>
        <v>0</v>
      </c>
      <c r="H216" s="81">
        <v>1</v>
      </c>
      <c r="I216" s="19"/>
      <c r="J216" s="50"/>
      <c r="K216" s="17"/>
      <c r="L216" s="13">
        <f t="shared" si="39"/>
        <v>1</v>
      </c>
      <c r="M216" s="13">
        <f t="shared" si="40"/>
        <v>1</v>
      </c>
      <c r="N216" s="20">
        <v>45933</v>
      </c>
    </row>
    <row r="217" spans="2:14" x14ac:dyDescent="0.15">
      <c r="B217" s="12" t="s">
        <v>22</v>
      </c>
      <c r="C217" s="81"/>
      <c r="D217" s="19"/>
      <c r="E217" s="50"/>
      <c r="F217" s="17"/>
      <c r="G217" s="13">
        <f t="shared" si="41"/>
        <v>0</v>
      </c>
      <c r="H217" s="81"/>
      <c r="I217" s="19"/>
      <c r="J217" s="50">
        <v>1</v>
      </c>
      <c r="K217" s="17"/>
      <c r="L217" s="13">
        <f t="shared" si="39"/>
        <v>1</v>
      </c>
      <c r="M217" s="13">
        <f t="shared" si="40"/>
        <v>1</v>
      </c>
      <c r="N217" s="20">
        <v>45951</v>
      </c>
    </row>
    <row r="218" spans="2:14" x14ac:dyDescent="0.15">
      <c r="B218" s="12" t="s">
        <v>22</v>
      </c>
      <c r="C218" s="81"/>
      <c r="D218" s="19"/>
      <c r="E218" s="50"/>
      <c r="F218" s="17"/>
      <c r="G218" s="13">
        <f t="shared" si="41"/>
        <v>0</v>
      </c>
      <c r="H218" s="81"/>
      <c r="I218" s="19"/>
      <c r="J218" s="50">
        <v>2</v>
      </c>
      <c r="K218" s="17"/>
      <c r="L218" s="13">
        <f t="shared" si="39"/>
        <v>2</v>
      </c>
      <c r="M218" s="13">
        <f t="shared" si="40"/>
        <v>2</v>
      </c>
      <c r="N218" s="20">
        <v>45954</v>
      </c>
    </row>
    <row r="219" spans="2:14" x14ac:dyDescent="0.15">
      <c r="B219" s="12" t="s">
        <v>22</v>
      </c>
      <c r="C219" s="81"/>
      <c r="D219" s="19"/>
      <c r="E219" s="50"/>
      <c r="F219" s="17"/>
      <c r="G219" s="13">
        <f t="shared" si="41"/>
        <v>0</v>
      </c>
      <c r="H219" s="81">
        <v>1</v>
      </c>
      <c r="I219" s="19"/>
      <c r="J219" s="50"/>
      <c r="K219" s="17"/>
      <c r="L219" s="13">
        <f t="shared" si="39"/>
        <v>1</v>
      </c>
      <c r="M219" s="13">
        <f t="shared" si="40"/>
        <v>1</v>
      </c>
      <c r="N219" s="20">
        <v>45973</v>
      </c>
    </row>
    <row r="220" spans="2:14" x14ac:dyDescent="0.15">
      <c r="B220" s="12" t="s">
        <v>22</v>
      </c>
      <c r="C220" s="81"/>
      <c r="D220" s="19"/>
      <c r="E220" s="50"/>
      <c r="F220" s="17"/>
      <c r="G220" s="13">
        <f t="shared" si="41"/>
        <v>0</v>
      </c>
      <c r="H220" s="81"/>
      <c r="I220" s="19">
        <v>1</v>
      </c>
      <c r="J220" s="50"/>
      <c r="K220" s="17"/>
      <c r="L220" s="13">
        <f t="shared" si="39"/>
        <v>1</v>
      </c>
      <c r="M220" s="13">
        <f t="shared" si="40"/>
        <v>1</v>
      </c>
      <c r="N220" s="20">
        <v>45987</v>
      </c>
    </row>
    <row r="221" spans="2:14" x14ac:dyDescent="0.15">
      <c r="B221" s="12" t="s">
        <v>55</v>
      </c>
      <c r="C221" s="79"/>
      <c r="D221" s="16"/>
      <c r="E221" s="47"/>
      <c r="F221" s="14"/>
      <c r="G221" s="13">
        <f t="shared" si="41"/>
        <v>0</v>
      </c>
      <c r="H221" s="79">
        <v>-5</v>
      </c>
      <c r="I221" s="16"/>
      <c r="J221" s="47">
        <v>-5</v>
      </c>
      <c r="K221" s="14"/>
      <c r="L221" s="13">
        <f t="shared" si="39"/>
        <v>-10</v>
      </c>
      <c r="M221" s="13">
        <f t="shared" si="40"/>
        <v>-10</v>
      </c>
      <c r="N221" s="20">
        <v>45997</v>
      </c>
    </row>
    <row r="222" spans="2:14" x14ac:dyDescent="0.15">
      <c r="B222" s="12" t="s">
        <v>22</v>
      </c>
      <c r="C222" s="79"/>
      <c r="D222" s="16">
        <v>1</v>
      </c>
      <c r="E222" s="47"/>
      <c r="F222" s="14"/>
      <c r="G222" s="13">
        <f t="shared" si="41"/>
        <v>1</v>
      </c>
      <c r="H222" s="79"/>
      <c r="I222" s="16"/>
      <c r="J222" s="47"/>
      <c r="K222" s="14"/>
      <c r="L222" s="13">
        <f t="shared" si="39"/>
        <v>0</v>
      </c>
      <c r="M222" s="13">
        <f t="shared" si="40"/>
        <v>1</v>
      </c>
      <c r="N222" s="20">
        <v>45999</v>
      </c>
    </row>
    <row r="223" spans="2:14" x14ac:dyDescent="0.15">
      <c r="B223" s="12" t="s">
        <v>42</v>
      </c>
      <c r="C223" s="79"/>
      <c r="D223" s="16"/>
      <c r="E223" s="47"/>
      <c r="F223" s="14"/>
      <c r="G223" s="13">
        <f t="shared" si="41"/>
        <v>0</v>
      </c>
      <c r="H223" s="79">
        <v>-1</v>
      </c>
      <c r="I223" s="16">
        <v>1</v>
      </c>
      <c r="J223" s="47"/>
      <c r="K223" s="14"/>
      <c r="L223" s="13">
        <f t="shared" si="39"/>
        <v>0</v>
      </c>
      <c r="M223" s="13">
        <f t="shared" si="40"/>
        <v>0</v>
      </c>
      <c r="N223" s="20">
        <v>45999</v>
      </c>
    </row>
    <row r="224" spans="2:14" x14ac:dyDescent="0.15">
      <c r="B224" s="12" t="s">
        <v>22</v>
      </c>
      <c r="C224" s="79"/>
      <c r="D224" s="16"/>
      <c r="E224" s="47"/>
      <c r="F224" s="14"/>
      <c r="G224" s="13">
        <f t="shared" si="41"/>
        <v>0</v>
      </c>
      <c r="H224" s="79">
        <v>1</v>
      </c>
      <c r="I224" s="16"/>
      <c r="J224" s="47"/>
      <c r="K224" s="14"/>
      <c r="L224" s="13">
        <f t="shared" si="39"/>
        <v>1</v>
      </c>
      <c r="M224" s="13">
        <f t="shared" si="40"/>
        <v>1</v>
      </c>
      <c r="N224" s="20">
        <v>46013</v>
      </c>
    </row>
    <row r="225" spans="2:14" x14ac:dyDescent="0.15">
      <c r="B225" s="12" t="s">
        <v>22</v>
      </c>
      <c r="C225" s="79"/>
      <c r="D225" s="16"/>
      <c r="E225" s="47"/>
      <c r="F225" s="14"/>
      <c r="G225" s="13">
        <f t="shared" si="41"/>
        <v>0</v>
      </c>
      <c r="H225" s="79">
        <v>1</v>
      </c>
      <c r="I225" s="16"/>
      <c r="J225" s="47"/>
      <c r="K225" s="14"/>
      <c r="L225" s="13">
        <f t="shared" si="39"/>
        <v>1</v>
      </c>
      <c r="M225" s="13">
        <f t="shared" si="40"/>
        <v>1</v>
      </c>
      <c r="N225" s="20">
        <v>46027</v>
      </c>
    </row>
    <row r="226" spans="2:14" ht="14.25" thickBot="1" x14ac:dyDescent="0.2">
      <c r="B226" s="12" t="s">
        <v>22</v>
      </c>
      <c r="C226" s="82"/>
      <c r="D226" s="27"/>
      <c r="E226" s="48"/>
      <c r="F226" s="9"/>
      <c r="G226" s="8">
        <f t="shared" si="41"/>
        <v>0</v>
      </c>
      <c r="H226" s="82"/>
      <c r="I226" s="27"/>
      <c r="J226" s="48">
        <v>1</v>
      </c>
      <c r="K226" s="9"/>
      <c r="L226" s="8">
        <f t="shared" si="39"/>
        <v>1</v>
      </c>
      <c r="M226" s="8">
        <f t="shared" si="40"/>
        <v>1</v>
      </c>
      <c r="N226" s="20">
        <v>46032</v>
      </c>
    </row>
    <row r="227" spans="2:14" ht="14.25" thickBot="1" x14ac:dyDescent="0.2">
      <c r="B227" s="7" t="s">
        <v>1</v>
      </c>
      <c r="C227" s="83">
        <f>SUM(C202:C226)</f>
        <v>0</v>
      </c>
      <c r="D227" s="6">
        <f>SUM(D202:D226)</f>
        <v>4</v>
      </c>
      <c r="E227" s="51">
        <f>SUM(E202:E226)</f>
        <v>4</v>
      </c>
      <c r="F227" s="44">
        <f>SUM(F202:F226)</f>
        <v>-1</v>
      </c>
      <c r="G227" s="5">
        <f t="shared" si="41"/>
        <v>7</v>
      </c>
      <c r="H227" s="83">
        <f>SUM(H202:H226)</f>
        <v>-1</v>
      </c>
      <c r="I227" s="6">
        <f>SUM(I202:I226)</f>
        <v>6</v>
      </c>
      <c r="J227" s="51">
        <f>SUM(J202:J226)</f>
        <v>4</v>
      </c>
      <c r="K227" s="44">
        <f>SUM(K202:K226)</f>
        <v>1</v>
      </c>
      <c r="L227" s="5">
        <f t="shared" si="39"/>
        <v>10</v>
      </c>
      <c r="M227" s="5">
        <f t="shared" si="40"/>
        <v>17</v>
      </c>
    </row>
    <row r="228" spans="2:14" ht="14.25" thickBot="1" x14ac:dyDescent="0.2">
      <c r="B228" s="4" t="s">
        <v>0</v>
      </c>
      <c r="C228" s="80">
        <f>+C201-C227</f>
        <v>1</v>
      </c>
      <c r="D228" s="25">
        <f>+D201-D227</f>
        <v>4</v>
      </c>
      <c r="E228" s="49">
        <f>+E201-E227</f>
        <v>2</v>
      </c>
      <c r="F228" s="45">
        <f>+F201-F227</f>
        <v>4</v>
      </c>
      <c r="G228" s="24">
        <f t="shared" si="41"/>
        <v>11</v>
      </c>
      <c r="H228" s="80">
        <f>+H201-H227</f>
        <v>4</v>
      </c>
      <c r="I228" s="25">
        <f>+I201-I227</f>
        <v>0</v>
      </c>
      <c r="J228" s="49">
        <f>+J201-J227</f>
        <v>4</v>
      </c>
      <c r="K228" s="45">
        <f>+K201-K227</f>
        <v>1</v>
      </c>
      <c r="L228" s="24">
        <f t="shared" si="39"/>
        <v>9</v>
      </c>
      <c r="M228" s="24">
        <f t="shared" si="40"/>
        <v>20</v>
      </c>
    </row>
    <row r="230" spans="2:14" ht="19.5" thickBot="1" x14ac:dyDescent="0.25">
      <c r="B230" s="36" t="s">
        <v>13</v>
      </c>
      <c r="C230" s="36"/>
      <c r="D230" s="35"/>
      <c r="E230" s="35"/>
      <c r="F230" s="35"/>
      <c r="G230" s="35"/>
      <c r="H230" s="35"/>
      <c r="I230" s="35"/>
      <c r="J230" s="70" t="s">
        <v>45</v>
      </c>
      <c r="K230" s="35"/>
      <c r="L230" s="56"/>
      <c r="M230" s="35"/>
    </row>
    <row r="231" spans="2:14" ht="14.25" thickBot="1" x14ac:dyDescent="0.2">
      <c r="B231" s="7"/>
      <c r="C231" s="93" t="s">
        <v>18</v>
      </c>
      <c r="D231" s="94"/>
      <c r="E231" s="94"/>
      <c r="F231" s="94"/>
      <c r="G231" s="95"/>
      <c r="H231" s="96" t="s">
        <v>19</v>
      </c>
      <c r="I231" s="97"/>
      <c r="J231" s="97"/>
      <c r="K231" s="97"/>
      <c r="L231" s="98"/>
      <c r="M231" s="5"/>
    </row>
    <row r="232" spans="2:14" ht="14.25" thickBot="1" x14ac:dyDescent="0.2">
      <c r="B232" s="32"/>
      <c r="C232" s="77" t="s">
        <v>50</v>
      </c>
      <c r="D232" s="33" t="s">
        <v>8</v>
      </c>
      <c r="E232" s="46" t="s">
        <v>9</v>
      </c>
      <c r="F232" s="31" t="s">
        <v>10</v>
      </c>
      <c r="G232" s="7" t="s">
        <v>5</v>
      </c>
      <c r="H232" s="77" t="s">
        <v>50</v>
      </c>
      <c r="I232" s="33" t="s">
        <v>8</v>
      </c>
      <c r="J232" s="46" t="s">
        <v>9</v>
      </c>
      <c r="K232" s="31" t="s">
        <v>10</v>
      </c>
      <c r="L232" s="7" t="s">
        <v>5</v>
      </c>
      <c r="M232" s="7" t="s">
        <v>5</v>
      </c>
    </row>
    <row r="233" spans="2:14" x14ac:dyDescent="0.15">
      <c r="B233" s="30" t="s">
        <v>0</v>
      </c>
      <c r="C233" s="78">
        <f>C228</f>
        <v>1</v>
      </c>
      <c r="D233" s="23">
        <f>D228</f>
        <v>4</v>
      </c>
      <c r="E233" s="54">
        <f t="shared" ref="E233:F233" si="45">E228</f>
        <v>2</v>
      </c>
      <c r="F233" s="55">
        <f t="shared" si="45"/>
        <v>4</v>
      </c>
      <c r="G233" s="21">
        <f>G228</f>
        <v>11</v>
      </c>
      <c r="H233" s="78">
        <f>H228</f>
        <v>4</v>
      </c>
      <c r="I233" s="23">
        <f t="shared" ref="I233:M233" si="46">I228</f>
        <v>0</v>
      </c>
      <c r="J233" s="54">
        <f t="shared" si="46"/>
        <v>4</v>
      </c>
      <c r="K233" s="55">
        <f t="shared" si="46"/>
        <v>1</v>
      </c>
      <c r="L233" s="21">
        <f t="shared" si="46"/>
        <v>9</v>
      </c>
      <c r="M233" s="21">
        <f t="shared" si="46"/>
        <v>20</v>
      </c>
    </row>
    <row r="234" spans="2:14" x14ac:dyDescent="0.15">
      <c r="B234" s="29" t="s">
        <v>3</v>
      </c>
      <c r="C234" s="90"/>
      <c r="D234" s="16"/>
      <c r="E234" s="47"/>
      <c r="F234" s="14"/>
      <c r="G234" s="13">
        <f>SUM(C234:F234)</f>
        <v>0</v>
      </c>
      <c r="H234" s="79"/>
      <c r="I234" s="72"/>
      <c r="J234" s="47"/>
      <c r="K234" s="14"/>
      <c r="L234" s="13">
        <f>SUM(H234:K234)</f>
        <v>0</v>
      </c>
      <c r="M234" s="13">
        <f>G234+L234</f>
        <v>0</v>
      </c>
    </row>
    <row r="235" spans="2:14" x14ac:dyDescent="0.15">
      <c r="B235" s="29" t="s">
        <v>3</v>
      </c>
      <c r="C235" s="90"/>
      <c r="D235" s="16"/>
      <c r="E235" s="47"/>
      <c r="F235" s="14"/>
      <c r="G235" s="13">
        <f t="shared" ref="G235:G236" si="47">SUM(C235:F235)</f>
        <v>0</v>
      </c>
      <c r="H235" s="79"/>
      <c r="I235" s="72"/>
      <c r="J235" s="47"/>
      <c r="K235" s="14"/>
      <c r="L235" s="13">
        <f t="shared" ref="L235:L266" si="48">SUM(H235:K235)</f>
        <v>0</v>
      </c>
      <c r="M235" s="13">
        <f t="shared" ref="M235:M266" si="49">G235+L235</f>
        <v>0</v>
      </c>
    </row>
    <row r="236" spans="2:14" x14ac:dyDescent="0.15">
      <c r="B236" s="29" t="s">
        <v>3</v>
      </c>
      <c r="C236" s="90"/>
      <c r="D236" s="16"/>
      <c r="E236" s="47"/>
      <c r="F236" s="14"/>
      <c r="G236" s="13">
        <f t="shared" si="47"/>
        <v>0</v>
      </c>
      <c r="H236" s="79"/>
      <c r="I236" s="72"/>
      <c r="J236" s="47"/>
      <c r="K236" s="14"/>
      <c r="L236" s="13">
        <f t="shared" si="48"/>
        <v>0</v>
      </c>
      <c r="M236" s="13">
        <f t="shared" si="49"/>
        <v>0</v>
      </c>
    </row>
    <row r="237" spans="2:14" x14ac:dyDescent="0.15">
      <c r="B237" s="29" t="s">
        <v>3</v>
      </c>
      <c r="C237" s="90"/>
      <c r="D237" s="16"/>
      <c r="E237" s="47"/>
      <c r="F237" s="14"/>
      <c r="G237" s="13">
        <f>SUM(C237:F237)</f>
        <v>0</v>
      </c>
      <c r="H237" s="79"/>
      <c r="I237" s="72"/>
      <c r="J237" s="47"/>
      <c r="K237" s="14"/>
      <c r="L237" s="13">
        <f t="shared" si="48"/>
        <v>0</v>
      </c>
      <c r="M237" s="13">
        <f t="shared" si="49"/>
        <v>0</v>
      </c>
    </row>
    <row r="238" spans="2:14" ht="14.25" thickBot="1" x14ac:dyDescent="0.2">
      <c r="B238" s="29" t="s">
        <v>3</v>
      </c>
      <c r="C238" s="90"/>
      <c r="D238" s="16"/>
      <c r="E238" s="47"/>
      <c r="F238" s="14"/>
      <c r="G238" s="13">
        <f t="shared" ref="G238:G266" si="50">SUM(C238:F238)</f>
        <v>0</v>
      </c>
      <c r="H238" s="79"/>
      <c r="I238" s="72"/>
      <c r="J238" s="47"/>
      <c r="K238" s="14"/>
      <c r="L238" s="13">
        <f t="shared" si="48"/>
        <v>0</v>
      </c>
      <c r="M238" s="13">
        <f t="shared" si="49"/>
        <v>0</v>
      </c>
    </row>
    <row r="239" spans="2:14" ht="14.25" thickBot="1" x14ac:dyDescent="0.2">
      <c r="B239" s="26" t="s">
        <v>2</v>
      </c>
      <c r="C239" s="80">
        <f>SUM(C233:C238)</f>
        <v>1</v>
      </c>
      <c r="D239" s="25">
        <f>SUM(D233:D238)</f>
        <v>4</v>
      </c>
      <c r="E239" s="49">
        <f>SUM(E233:E238)</f>
        <v>2</v>
      </c>
      <c r="F239" s="25">
        <f>SUM(F233:F238)</f>
        <v>4</v>
      </c>
      <c r="G239" s="24">
        <f t="shared" si="50"/>
        <v>11</v>
      </c>
      <c r="H239" s="80">
        <f>SUM(H233:H238)</f>
        <v>4</v>
      </c>
      <c r="I239" s="25">
        <f>SUM(I233:I238)</f>
        <v>0</v>
      </c>
      <c r="J239" s="49">
        <f>SUM(J233:J238)</f>
        <v>4</v>
      </c>
      <c r="K239" s="25">
        <f>SUM(K233:K238)</f>
        <v>1</v>
      </c>
      <c r="L239" s="24">
        <f t="shared" si="48"/>
        <v>9</v>
      </c>
      <c r="M239" s="24">
        <f t="shared" si="49"/>
        <v>20</v>
      </c>
    </row>
    <row r="240" spans="2:14" x14ac:dyDescent="0.15">
      <c r="B240" s="12" t="s">
        <v>22</v>
      </c>
      <c r="C240" s="81"/>
      <c r="D240" s="19"/>
      <c r="E240" s="50"/>
      <c r="F240" s="17"/>
      <c r="G240" s="13">
        <f t="shared" si="50"/>
        <v>0</v>
      </c>
      <c r="H240" s="81">
        <v>1</v>
      </c>
      <c r="I240" s="19"/>
      <c r="J240" s="50">
        <v>1</v>
      </c>
      <c r="K240" s="17"/>
      <c r="L240" s="13">
        <f t="shared" si="48"/>
        <v>2</v>
      </c>
      <c r="M240" s="13">
        <f t="shared" si="49"/>
        <v>2</v>
      </c>
      <c r="N240" s="20">
        <v>46104</v>
      </c>
    </row>
    <row r="241" spans="2:14" x14ac:dyDescent="0.15">
      <c r="B241" s="12" t="s">
        <v>22</v>
      </c>
      <c r="C241" s="81"/>
      <c r="D241" s="19"/>
      <c r="E241" s="50"/>
      <c r="F241" s="17"/>
      <c r="G241" s="13">
        <f t="shared" si="50"/>
        <v>0</v>
      </c>
      <c r="H241" s="81"/>
      <c r="I241" s="19"/>
      <c r="J241" s="50"/>
      <c r="K241" s="17">
        <v>1</v>
      </c>
      <c r="L241" s="13">
        <f t="shared" si="48"/>
        <v>1</v>
      </c>
      <c r="M241" s="13">
        <f t="shared" si="49"/>
        <v>1</v>
      </c>
      <c r="N241" s="20">
        <v>46155</v>
      </c>
    </row>
    <row r="242" spans="2:14" x14ac:dyDescent="0.15">
      <c r="B242" s="12" t="s">
        <v>22</v>
      </c>
      <c r="C242" s="81"/>
      <c r="D242" s="19"/>
      <c r="E242" s="50"/>
      <c r="F242" s="17"/>
      <c r="G242" s="13">
        <f t="shared" si="50"/>
        <v>0</v>
      </c>
      <c r="H242" s="81">
        <v>1</v>
      </c>
      <c r="I242" s="19"/>
      <c r="J242" s="50"/>
      <c r="K242" s="17"/>
      <c r="L242" s="13">
        <f t="shared" si="48"/>
        <v>1</v>
      </c>
      <c r="M242" s="13">
        <f t="shared" si="49"/>
        <v>1</v>
      </c>
      <c r="N242" s="20">
        <v>46156</v>
      </c>
    </row>
    <row r="243" spans="2:14" x14ac:dyDescent="0.15">
      <c r="B243" s="12" t="s">
        <v>22</v>
      </c>
      <c r="C243" s="81"/>
      <c r="D243" s="19"/>
      <c r="E243" s="50">
        <v>2</v>
      </c>
      <c r="F243" s="17"/>
      <c r="G243" s="13">
        <f t="shared" si="50"/>
        <v>2</v>
      </c>
      <c r="H243" s="81"/>
      <c r="I243" s="19"/>
      <c r="J243" s="50"/>
      <c r="K243" s="17"/>
      <c r="L243" s="13">
        <f t="shared" si="48"/>
        <v>0</v>
      </c>
      <c r="M243" s="13">
        <f t="shared" si="49"/>
        <v>2</v>
      </c>
      <c r="N243" s="20">
        <v>46175</v>
      </c>
    </row>
    <row r="244" spans="2:14" x14ac:dyDescent="0.15">
      <c r="B244" s="12" t="s">
        <v>22</v>
      </c>
      <c r="C244" s="81"/>
      <c r="D244" s="19"/>
      <c r="E244" s="50"/>
      <c r="F244" s="17"/>
      <c r="G244" s="13">
        <f t="shared" si="50"/>
        <v>0</v>
      </c>
      <c r="H244" s="81"/>
      <c r="I244" s="19"/>
      <c r="J244" s="50">
        <v>2</v>
      </c>
      <c r="K244" s="17"/>
      <c r="L244" s="13">
        <f t="shared" si="48"/>
        <v>2</v>
      </c>
      <c r="M244" s="13">
        <f t="shared" si="49"/>
        <v>2</v>
      </c>
      <c r="N244" s="20">
        <v>46188</v>
      </c>
    </row>
    <row r="245" spans="2:14" x14ac:dyDescent="0.15">
      <c r="B245" s="12"/>
      <c r="C245" s="81"/>
      <c r="D245" s="19"/>
      <c r="E245" s="50"/>
      <c r="F245" s="17"/>
      <c r="G245" s="13">
        <f t="shared" si="50"/>
        <v>0</v>
      </c>
      <c r="H245" s="81"/>
      <c r="I245" s="19"/>
      <c r="J245" s="50"/>
      <c r="K245" s="17"/>
      <c r="L245" s="13">
        <f t="shared" si="48"/>
        <v>0</v>
      </c>
      <c r="M245" s="13">
        <f t="shared" si="49"/>
        <v>0</v>
      </c>
    </row>
    <row r="246" spans="2:14" x14ac:dyDescent="0.15">
      <c r="B246" s="12"/>
      <c r="C246" s="81"/>
      <c r="D246" s="19"/>
      <c r="E246" s="50"/>
      <c r="F246" s="17"/>
      <c r="G246" s="13">
        <f t="shared" si="50"/>
        <v>0</v>
      </c>
      <c r="H246" s="81"/>
      <c r="I246" s="19"/>
      <c r="J246" s="50"/>
      <c r="K246" s="17"/>
      <c r="L246" s="13">
        <f t="shared" si="48"/>
        <v>0</v>
      </c>
      <c r="M246" s="13">
        <f t="shared" si="49"/>
        <v>0</v>
      </c>
    </row>
    <row r="247" spans="2:14" x14ac:dyDescent="0.15">
      <c r="B247" s="12"/>
      <c r="C247" s="81"/>
      <c r="D247" s="19"/>
      <c r="E247" s="50"/>
      <c r="F247" s="17"/>
      <c r="G247" s="13">
        <f t="shared" si="50"/>
        <v>0</v>
      </c>
      <c r="H247" s="81"/>
      <c r="I247" s="19"/>
      <c r="J247" s="50"/>
      <c r="K247" s="17"/>
      <c r="L247" s="13">
        <f t="shared" si="48"/>
        <v>0</v>
      </c>
      <c r="M247" s="13">
        <f t="shared" si="49"/>
        <v>0</v>
      </c>
    </row>
    <row r="248" spans="2:14" x14ac:dyDescent="0.15">
      <c r="B248" s="12"/>
      <c r="C248" s="81"/>
      <c r="D248" s="19"/>
      <c r="E248" s="50"/>
      <c r="F248" s="17"/>
      <c r="G248" s="13">
        <f t="shared" si="50"/>
        <v>0</v>
      </c>
      <c r="H248" s="81"/>
      <c r="I248" s="19"/>
      <c r="J248" s="50"/>
      <c r="K248" s="17"/>
      <c r="L248" s="13">
        <f t="shared" si="48"/>
        <v>0</v>
      </c>
      <c r="M248" s="13">
        <f t="shared" si="49"/>
        <v>0</v>
      </c>
    </row>
    <row r="249" spans="2:14" x14ac:dyDescent="0.15">
      <c r="B249" s="12"/>
      <c r="C249" s="81"/>
      <c r="D249" s="19"/>
      <c r="E249" s="50"/>
      <c r="F249" s="17"/>
      <c r="G249" s="13">
        <f t="shared" si="50"/>
        <v>0</v>
      </c>
      <c r="H249" s="81"/>
      <c r="I249" s="19"/>
      <c r="J249" s="50"/>
      <c r="K249" s="17"/>
      <c r="L249" s="13">
        <f t="shared" si="48"/>
        <v>0</v>
      </c>
      <c r="M249" s="13">
        <f t="shared" si="49"/>
        <v>0</v>
      </c>
    </row>
    <row r="250" spans="2:14" x14ac:dyDescent="0.15">
      <c r="B250" s="12"/>
      <c r="C250" s="81"/>
      <c r="D250" s="19"/>
      <c r="E250" s="50"/>
      <c r="F250" s="17"/>
      <c r="G250" s="13">
        <f t="shared" si="50"/>
        <v>0</v>
      </c>
      <c r="H250" s="81"/>
      <c r="I250" s="19"/>
      <c r="J250" s="50"/>
      <c r="K250" s="17"/>
      <c r="L250" s="13">
        <f t="shared" si="48"/>
        <v>0</v>
      </c>
      <c r="M250" s="13">
        <f t="shared" si="49"/>
        <v>0</v>
      </c>
    </row>
    <row r="251" spans="2:14" x14ac:dyDescent="0.15">
      <c r="B251" s="12"/>
      <c r="C251" s="81"/>
      <c r="D251" s="19"/>
      <c r="E251" s="50"/>
      <c r="F251" s="17"/>
      <c r="G251" s="13">
        <f t="shared" si="50"/>
        <v>0</v>
      </c>
      <c r="H251" s="81"/>
      <c r="I251" s="19"/>
      <c r="J251" s="50"/>
      <c r="K251" s="17"/>
      <c r="L251" s="13">
        <f t="shared" si="48"/>
        <v>0</v>
      </c>
      <c r="M251" s="13">
        <f t="shared" si="49"/>
        <v>0</v>
      </c>
    </row>
    <row r="252" spans="2:14" x14ac:dyDescent="0.15">
      <c r="B252" s="12"/>
      <c r="C252" s="79"/>
      <c r="D252" s="16"/>
      <c r="E252" s="47"/>
      <c r="F252" s="14"/>
      <c r="G252" s="13">
        <f t="shared" si="50"/>
        <v>0</v>
      </c>
      <c r="H252" s="79"/>
      <c r="I252" s="16"/>
      <c r="J252" s="47"/>
      <c r="K252" s="14"/>
      <c r="L252" s="13">
        <f t="shared" si="48"/>
        <v>0</v>
      </c>
      <c r="M252" s="13">
        <f t="shared" si="49"/>
        <v>0</v>
      </c>
    </row>
    <row r="253" spans="2:14" x14ac:dyDescent="0.15">
      <c r="B253" s="12"/>
      <c r="C253" s="81"/>
      <c r="D253" s="19"/>
      <c r="E253" s="50"/>
      <c r="F253" s="17"/>
      <c r="G253" s="13">
        <f t="shared" si="50"/>
        <v>0</v>
      </c>
      <c r="H253" s="81"/>
      <c r="I253" s="19"/>
      <c r="J253" s="50"/>
      <c r="K253" s="17"/>
      <c r="L253" s="13">
        <f t="shared" si="48"/>
        <v>0</v>
      </c>
      <c r="M253" s="13">
        <f t="shared" si="49"/>
        <v>0</v>
      </c>
    </row>
    <row r="254" spans="2:14" x14ac:dyDescent="0.15">
      <c r="B254" s="12"/>
      <c r="C254" s="81"/>
      <c r="D254" s="19"/>
      <c r="E254" s="50"/>
      <c r="F254" s="17"/>
      <c r="G254" s="13">
        <f t="shared" si="50"/>
        <v>0</v>
      </c>
      <c r="H254" s="81"/>
      <c r="I254" s="19"/>
      <c r="J254" s="50"/>
      <c r="K254" s="17"/>
      <c r="L254" s="13">
        <f t="shared" si="48"/>
        <v>0</v>
      </c>
      <c r="M254" s="13">
        <f t="shared" si="49"/>
        <v>0</v>
      </c>
    </row>
    <row r="255" spans="2:14" x14ac:dyDescent="0.15">
      <c r="B255" s="12"/>
      <c r="C255" s="81"/>
      <c r="D255" s="19"/>
      <c r="E255" s="50"/>
      <c r="F255" s="17"/>
      <c r="G255" s="13">
        <f t="shared" si="50"/>
        <v>0</v>
      </c>
      <c r="H255" s="81"/>
      <c r="I255" s="19"/>
      <c r="J255" s="50"/>
      <c r="K255" s="17"/>
      <c r="L255" s="13">
        <f t="shared" si="48"/>
        <v>0</v>
      </c>
      <c r="M255" s="13">
        <f t="shared" si="49"/>
        <v>0</v>
      </c>
    </row>
    <row r="256" spans="2:14" x14ac:dyDescent="0.15">
      <c r="B256" s="12"/>
      <c r="C256" s="81"/>
      <c r="D256" s="19"/>
      <c r="E256" s="50"/>
      <c r="F256" s="17"/>
      <c r="G256" s="13">
        <f t="shared" si="50"/>
        <v>0</v>
      </c>
      <c r="H256" s="81"/>
      <c r="I256" s="19"/>
      <c r="J256" s="50"/>
      <c r="K256" s="17"/>
      <c r="L256" s="13">
        <f t="shared" si="48"/>
        <v>0</v>
      </c>
      <c r="M256" s="13">
        <f t="shared" si="49"/>
        <v>0</v>
      </c>
    </row>
    <row r="257" spans="2:13" x14ac:dyDescent="0.15">
      <c r="B257" s="12"/>
      <c r="C257" s="81"/>
      <c r="D257" s="19"/>
      <c r="E257" s="50"/>
      <c r="F257" s="17"/>
      <c r="G257" s="13">
        <f t="shared" si="50"/>
        <v>0</v>
      </c>
      <c r="H257" s="81"/>
      <c r="I257" s="19"/>
      <c r="J257" s="50"/>
      <c r="K257" s="17"/>
      <c r="L257" s="13">
        <f t="shared" si="48"/>
        <v>0</v>
      </c>
      <c r="M257" s="13">
        <f t="shared" si="49"/>
        <v>0</v>
      </c>
    </row>
    <row r="258" spans="2:13" x14ac:dyDescent="0.15">
      <c r="B258" s="12"/>
      <c r="C258" s="81"/>
      <c r="D258" s="19"/>
      <c r="E258" s="50"/>
      <c r="F258" s="17"/>
      <c r="G258" s="13">
        <f t="shared" si="50"/>
        <v>0</v>
      </c>
      <c r="H258" s="81"/>
      <c r="I258" s="19"/>
      <c r="J258" s="50"/>
      <c r="K258" s="17"/>
      <c r="L258" s="13">
        <f t="shared" si="48"/>
        <v>0</v>
      </c>
      <c r="M258" s="13">
        <f t="shared" si="49"/>
        <v>0</v>
      </c>
    </row>
    <row r="259" spans="2:13" x14ac:dyDescent="0.15">
      <c r="B259" s="12"/>
      <c r="C259" s="79"/>
      <c r="D259" s="16"/>
      <c r="E259" s="47"/>
      <c r="F259" s="14"/>
      <c r="G259" s="13">
        <f t="shared" si="50"/>
        <v>0</v>
      </c>
      <c r="H259" s="79"/>
      <c r="I259" s="16"/>
      <c r="J259" s="47"/>
      <c r="K259" s="14"/>
      <c r="L259" s="13">
        <f t="shared" si="48"/>
        <v>0</v>
      </c>
      <c r="M259" s="13">
        <f t="shared" si="49"/>
        <v>0</v>
      </c>
    </row>
    <row r="260" spans="2:13" x14ac:dyDescent="0.15">
      <c r="B260" s="12"/>
      <c r="C260" s="79"/>
      <c r="D260" s="16"/>
      <c r="E260" s="47"/>
      <c r="F260" s="14"/>
      <c r="G260" s="13">
        <f t="shared" si="50"/>
        <v>0</v>
      </c>
      <c r="H260" s="79"/>
      <c r="I260" s="16"/>
      <c r="J260" s="47"/>
      <c r="K260" s="14"/>
      <c r="L260" s="13">
        <f t="shared" si="48"/>
        <v>0</v>
      </c>
      <c r="M260" s="13">
        <f t="shared" si="49"/>
        <v>0</v>
      </c>
    </row>
    <row r="261" spans="2:13" x14ac:dyDescent="0.15">
      <c r="B261" s="12"/>
      <c r="C261" s="79"/>
      <c r="D261" s="16"/>
      <c r="E261" s="47"/>
      <c r="F261" s="14"/>
      <c r="G261" s="13">
        <f t="shared" si="50"/>
        <v>0</v>
      </c>
      <c r="H261" s="79"/>
      <c r="I261" s="16"/>
      <c r="J261" s="47"/>
      <c r="K261" s="14"/>
      <c r="L261" s="13">
        <f t="shared" si="48"/>
        <v>0</v>
      </c>
      <c r="M261" s="13">
        <f t="shared" si="49"/>
        <v>0</v>
      </c>
    </row>
    <row r="262" spans="2:13" x14ac:dyDescent="0.15">
      <c r="B262" s="12"/>
      <c r="C262" s="79"/>
      <c r="D262" s="16"/>
      <c r="E262" s="47"/>
      <c r="F262" s="14"/>
      <c r="G262" s="13">
        <f t="shared" si="50"/>
        <v>0</v>
      </c>
      <c r="H262" s="79"/>
      <c r="I262" s="16"/>
      <c r="J262" s="47"/>
      <c r="K262" s="14"/>
      <c r="L262" s="13">
        <f t="shared" si="48"/>
        <v>0</v>
      </c>
      <c r="M262" s="13">
        <f t="shared" si="49"/>
        <v>0</v>
      </c>
    </row>
    <row r="263" spans="2:13" x14ac:dyDescent="0.15">
      <c r="B263" s="12"/>
      <c r="C263" s="79"/>
      <c r="D263" s="16"/>
      <c r="E263" s="47"/>
      <c r="F263" s="14"/>
      <c r="G263" s="13">
        <f t="shared" si="50"/>
        <v>0</v>
      </c>
      <c r="H263" s="79"/>
      <c r="I263" s="16"/>
      <c r="J263" s="47"/>
      <c r="K263" s="14"/>
      <c r="L263" s="13">
        <f t="shared" si="48"/>
        <v>0</v>
      </c>
      <c r="M263" s="13">
        <f t="shared" si="49"/>
        <v>0</v>
      </c>
    </row>
    <row r="264" spans="2:13" ht="14.25" thickBot="1" x14ac:dyDescent="0.2">
      <c r="B264" s="12"/>
      <c r="C264" s="82"/>
      <c r="D264" s="27"/>
      <c r="E264" s="48"/>
      <c r="F264" s="9"/>
      <c r="G264" s="8">
        <f t="shared" si="50"/>
        <v>0</v>
      </c>
      <c r="H264" s="82"/>
      <c r="I264" s="27"/>
      <c r="J264" s="48"/>
      <c r="K264" s="9"/>
      <c r="L264" s="8">
        <f t="shared" si="48"/>
        <v>0</v>
      </c>
      <c r="M264" s="8">
        <f t="shared" si="49"/>
        <v>0</v>
      </c>
    </row>
    <row r="265" spans="2:13" ht="14.25" thickBot="1" x14ac:dyDescent="0.2">
      <c r="B265" s="7" t="s">
        <v>1</v>
      </c>
      <c r="C265" s="83">
        <f>SUM(C240:C264)</f>
        <v>0</v>
      </c>
      <c r="D265" s="6">
        <f>SUM(D240:D264)</f>
        <v>0</v>
      </c>
      <c r="E265" s="51">
        <f>SUM(E240:E264)</f>
        <v>2</v>
      </c>
      <c r="F265" s="44">
        <f>SUM(F240:F264)</f>
        <v>0</v>
      </c>
      <c r="G265" s="5">
        <f t="shared" si="50"/>
        <v>2</v>
      </c>
      <c r="H265" s="83">
        <f>SUM(H240:H264)</f>
        <v>2</v>
      </c>
      <c r="I265" s="6">
        <f>SUM(I240:I264)</f>
        <v>0</v>
      </c>
      <c r="J265" s="51">
        <f>SUM(J240:J264)</f>
        <v>3</v>
      </c>
      <c r="K265" s="44">
        <f>SUM(K240:K264)</f>
        <v>1</v>
      </c>
      <c r="L265" s="5">
        <f t="shared" si="48"/>
        <v>6</v>
      </c>
      <c r="M265" s="5">
        <f t="shared" si="49"/>
        <v>8</v>
      </c>
    </row>
    <row r="266" spans="2:13" ht="14.25" thickBot="1" x14ac:dyDescent="0.2">
      <c r="B266" s="4" t="s">
        <v>0</v>
      </c>
      <c r="C266" s="80">
        <f>+C239-C265</f>
        <v>1</v>
      </c>
      <c r="D266" s="25">
        <f>+D239-D265</f>
        <v>4</v>
      </c>
      <c r="E266" s="49">
        <f>+E239-E265</f>
        <v>0</v>
      </c>
      <c r="F266" s="45">
        <f>+F239-F265</f>
        <v>4</v>
      </c>
      <c r="G266" s="24">
        <f t="shared" si="50"/>
        <v>9</v>
      </c>
      <c r="H266" s="80">
        <f>+H239-H265</f>
        <v>2</v>
      </c>
      <c r="I266" s="25">
        <f>+I239-I265</f>
        <v>0</v>
      </c>
      <c r="J266" s="49">
        <f>+J239-J265</f>
        <v>1</v>
      </c>
      <c r="K266" s="45">
        <f>+K239-K265</f>
        <v>0</v>
      </c>
      <c r="L266" s="24">
        <f t="shared" si="48"/>
        <v>3</v>
      </c>
      <c r="M266" s="24">
        <f t="shared" si="49"/>
        <v>12</v>
      </c>
    </row>
  </sheetData>
  <mergeCells count="14">
    <mergeCell ref="C231:G231"/>
    <mergeCell ref="H231:L231"/>
    <mergeCell ref="C193:G193"/>
    <mergeCell ref="H193:L193"/>
    <mergeCell ref="C41:G41"/>
    <mergeCell ref="H41:L41"/>
    <mergeCell ref="C3:G3"/>
    <mergeCell ref="H3:L3"/>
    <mergeCell ref="C155:G155"/>
    <mergeCell ref="H155:L155"/>
    <mergeCell ref="C117:G117"/>
    <mergeCell ref="H117:L117"/>
    <mergeCell ref="C79:G79"/>
    <mergeCell ref="H79:L79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267"/>
  <sheetViews>
    <sheetView topLeftCell="A231" zoomScaleNormal="100" workbookViewId="0">
      <selection activeCell="N247" sqref="N247"/>
    </sheetView>
  </sheetViews>
  <sheetFormatPr defaultRowHeight="13.5" x14ac:dyDescent="0.15"/>
  <cols>
    <col min="2" max="2" width="22.75" style="1" customWidth="1"/>
    <col min="3" max="3" width="6.875" style="1" customWidth="1"/>
    <col min="4" max="7" width="7" customWidth="1"/>
    <col min="8" max="8" width="6.875" style="1" customWidth="1"/>
    <col min="9" max="13" width="7" customWidth="1"/>
    <col min="14" max="14" width="9.25" bestFit="1" customWidth="1"/>
  </cols>
  <sheetData>
    <row r="2" spans="2:14" ht="19.5" thickBot="1" x14ac:dyDescent="0.25">
      <c r="B2" s="36" t="s">
        <v>14</v>
      </c>
      <c r="C2" s="36"/>
      <c r="D2" s="35"/>
      <c r="E2" s="35"/>
      <c r="F2" s="35"/>
      <c r="G2" s="35"/>
      <c r="H2" s="36"/>
      <c r="I2" s="35"/>
      <c r="J2" s="35">
        <v>2410</v>
      </c>
      <c r="K2" s="35"/>
      <c r="L2" s="35"/>
      <c r="M2" s="35"/>
    </row>
    <row r="3" spans="2:14" ht="14.25" thickBot="1" x14ac:dyDescent="0.2">
      <c r="B3" s="7"/>
      <c r="C3" s="93" t="s">
        <v>20</v>
      </c>
      <c r="D3" s="94"/>
      <c r="E3" s="94"/>
      <c r="F3" s="94"/>
      <c r="G3" s="95"/>
      <c r="H3" s="96" t="s">
        <v>21</v>
      </c>
      <c r="I3" s="97"/>
      <c r="J3" s="97"/>
      <c r="K3" s="97"/>
      <c r="L3" s="98"/>
      <c r="M3" s="5"/>
    </row>
    <row r="4" spans="2:14" s="1" customFormat="1" ht="14.25" thickBot="1" x14ac:dyDescent="0.2">
      <c r="B4" s="32"/>
      <c r="C4" s="77" t="s">
        <v>50</v>
      </c>
      <c r="D4" s="33" t="s">
        <v>8</v>
      </c>
      <c r="E4" s="46" t="s">
        <v>9</v>
      </c>
      <c r="F4" s="31" t="s">
        <v>10</v>
      </c>
      <c r="G4" s="7" t="s">
        <v>5</v>
      </c>
      <c r="H4" s="77" t="s">
        <v>50</v>
      </c>
      <c r="I4" s="33" t="s">
        <v>8</v>
      </c>
      <c r="J4" s="46" t="s">
        <v>9</v>
      </c>
      <c r="K4" s="31" t="s">
        <v>10</v>
      </c>
      <c r="L4" s="7" t="s">
        <v>5</v>
      </c>
      <c r="M4" s="7" t="s">
        <v>5</v>
      </c>
    </row>
    <row r="5" spans="2:14" ht="14.25" customHeight="1" x14ac:dyDescent="0.15">
      <c r="B5" s="41" t="s">
        <v>4</v>
      </c>
      <c r="C5" s="78">
        <v>0</v>
      </c>
      <c r="D5" s="38">
        <v>2</v>
      </c>
      <c r="E5" s="57">
        <v>2</v>
      </c>
      <c r="F5" s="58">
        <v>2</v>
      </c>
      <c r="G5" s="21">
        <f>SUM(C5:F5)</f>
        <v>6</v>
      </c>
      <c r="H5" s="78">
        <v>0</v>
      </c>
      <c r="I5" s="38">
        <v>2</v>
      </c>
      <c r="J5" s="57">
        <v>2</v>
      </c>
      <c r="K5" s="58">
        <v>2</v>
      </c>
      <c r="L5" s="21">
        <f>SUM(H5:K5)</f>
        <v>6</v>
      </c>
      <c r="M5" s="13">
        <f>G5+L5</f>
        <v>12</v>
      </c>
      <c r="N5" s="20">
        <v>44595</v>
      </c>
    </row>
    <row r="6" spans="2:14" x14ac:dyDescent="0.15">
      <c r="B6" s="29" t="s">
        <v>3</v>
      </c>
      <c r="C6" s="79"/>
      <c r="D6" s="16"/>
      <c r="E6" s="47"/>
      <c r="F6" s="14"/>
      <c r="G6" s="13">
        <f>SUM(C6:F6)</f>
        <v>0</v>
      </c>
      <c r="H6" s="79"/>
      <c r="I6" s="16">
        <v>2</v>
      </c>
      <c r="J6" s="47"/>
      <c r="K6" s="14"/>
      <c r="L6" s="13">
        <f>SUM(H6:K6)</f>
        <v>2</v>
      </c>
      <c r="M6" s="13">
        <f t="shared" ref="M6:M38" si="0">G6+L6</f>
        <v>2</v>
      </c>
      <c r="N6" s="20">
        <v>44630</v>
      </c>
    </row>
    <row r="7" spans="2:14" x14ac:dyDescent="0.15">
      <c r="B7" s="29" t="s">
        <v>3</v>
      </c>
      <c r="C7" s="79"/>
      <c r="D7" s="16">
        <v>3</v>
      </c>
      <c r="E7" s="47"/>
      <c r="F7" s="14"/>
      <c r="G7" s="13">
        <f t="shared" ref="G7:G38" si="1">SUM(C7:F7)</f>
        <v>3</v>
      </c>
      <c r="H7" s="79"/>
      <c r="I7" s="16">
        <v>3</v>
      </c>
      <c r="J7" s="47"/>
      <c r="K7" s="14"/>
      <c r="L7" s="13">
        <f t="shared" ref="L7:L38" si="2">SUM(H7:K7)</f>
        <v>3</v>
      </c>
      <c r="M7" s="13">
        <f t="shared" si="0"/>
        <v>6</v>
      </c>
      <c r="N7" s="20">
        <v>44691</v>
      </c>
    </row>
    <row r="8" spans="2:14" x14ac:dyDescent="0.15">
      <c r="B8" s="29" t="s">
        <v>3</v>
      </c>
      <c r="C8" s="79"/>
      <c r="D8" s="16"/>
      <c r="E8" s="47"/>
      <c r="F8" s="14">
        <v>1</v>
      </c>
      <c r="G8" s="13">
        <f t="shared" si="1"/>
        <v>1</v>
      </c>
      <c r="H8" s="79"/>
      <c r="I8" s="16"/>
      <c r="J8" s="47"/>
      <c r="K8" s="14"/>
      <c r="L8" s="13">
        <f t="shared" si="2"/>
        <v>0</v>
      </c>
      <c r="M8" s="13">
        <f t="shared" si="0"/>
        <v>1</v>
      </c>
      <c r="N8" s="20">
        <v>44713</v>
      </c>
    </row>
    <row r="9" spans="2:14" x14ac:dyDescent="0.15">
      <c r="B9" s="29" t="s">
        <v>3</v>
      </c>
      <c r="C9" s="79"/>
      <c r="D9" s="16"/>
      <c r="E9" s="47"/>
      <c r="F9" s="14"/>
      <c r="G9" s="13">
        <f t="shared" si="1"/>
        <v>0</v>
      </c>
      <c r="H9" s="79"/>
      <c r="I9" s="16"/>
      <c r="J9" s="47">
        <v>1</v>
      </c>
      <c r="K9" s="14"/>
      <c r="L9" s="13">
        <f t="shared" si="2"/>
        <v>1</v>
      </c>
      <c r="M9" s="13">
        <f t="shared" si="0"/>
        <v>1</v>
      </c>
      <c r="N9" s="20">
        <v>44722</v>
      </c>
    </row>
    <row r="10" spans="2:14" ht="14.25" thickBot="1" x14ac:dyDescent="0.2">
      <c r="B10" s="28" t="s">
        <v>3</v>
      </c>
      <c r="C10" s="79"/>
      <c r="D10" s="27"/>
      <c r="E10" s="48"/>
      <c r="F10" s="9"/>
      <c r="G10" s="13">
        <f t="shared" si="1"/>
        <v>0</v>
      </c>
      <c r="H10" s="79"/>
      <c r="I10" s="27"/>
      <c r="J10" s="48">
        <v>2</v>
      </c>
      <c r="K10" s="9"/>
      <c r="L10" s="13">
        <f t="shared" si="2"/>
        <v>2</v>
      </c>
      <c r="M10" s="8">
        <f t="shared" si="0"/>
        <v>2</v>
      </c>
      <c r="N10" s="20">
        <v>44768</v>
      </c>
    </row>
    <row r="11" spans="2:14" ht="14.25" thickBot="1" x14ac:dyDescent="0.2">
      <c r="B11" s="26" t="s">
        <v>2</v>
      </c>
      <c r="C11" s="80">
        <f>SUM(C5:C10)</f>
        <v>0</v>
      </c>
      <c r="D11" s="25">
        <f>SUM(D5:D10)</f>
        <v>5</v>
      </c>
      <c r="E11" s="49">
        <f>SUM(E5:E10)</f>
        <v>2</v>
      </c>
      <c r="F11" s="25">
        <f>SUM(F5:F10)</f>
        <v>3</v>
      </c>
      <c r="G11" s="24">
        <f t="shared" si="1"/>
        <v>10</v>
      </c>
      <c r="H11" s="80">
        <f>SUM(H5:H10)</f>
        <v>0</v>
      </c>
      <c r="I11" s="25">
        <f>SUM(I5:I10)</f>
        <v>7</v>
      </c>
      <c r="J11" s="49">
        <f>SUM(J5:J10)</f>
        <v>5</v>
      </c>
      <c r="K11" s="25">
        <f>SUM(K5:K10)</f>
        <v>2</v>
      </c>
      <c r="L11" s="24">
        <f t="shared" si="2"/>
        <v>14</v>
      </c>
      <c r="M11" s="24">
        <f t="shared" si="0"/>
        <v>24</v>
      </c>
    </row>
    <row r="12" spans="2:14" x14ac:dyDescent="0.15">
      <c r="B12" s="41" t="s">
        <v>28</v>
      </c>
      <c r="C12" s="81"/>
      <c r="D12" s="52"/>
      <c r="E12" s="53"/>
      <c r="F12" s="14"/>
      <c r="G12" s="13">
        <f t="shared" si="1"/>
        <v>0</v>
      </c>
      <c r="H12" s="81"/>
      <c r="I12" s="52">
        <v>2</v>
      </c>
      <c r="J12" s="53"/>
      <c r="K12" s="14"/>
      <c r="L12" s="13">
        <f t="shared" si="2"/>
        <v>2</v>
      </c>
      <c r="M12" s="13">
        <f t="shared" si="0"/>
        <v>2</v>
      </c>
      <c r="N12" s="20">
        <v>44620</v>
      </c>
    </row>
    <row r="13" spans="2:14" x14ac:dyDescent="0.15">
      <c r="B13" s="59" t="s">
        <v>22</v>
      </c>
      <c r="C13" s="81"/>
      <c r="D13" s="16"/>
      <c r="E13" s="47"/>
      <c r="F13" s="14"/>
      <c r="G13" s="13">
        <f t="shared" si="1"/>
        <v>0</v>
      </c>
      <c r="H13" s="81"/>
      <c r="I13" s="16">
        <v>1</v>
      </c>
      <c r="J13" s="47"/>
      <c r="K13" s="14"/>
      <c r="L13" s="13">
        <f t="shared" si="2"/>
        <v>1</v>
      </c>
      <c r="M13" s="13">
        <f t="shared" si="0"/>
        <v>1</v>
      </c>
      <c r="N13" s="20">
        <v>44649</v>
      </c>
    </row>
    <row r="14" spans="2:14" x14ac:dyDescent="0.15">
      <c r="B14" s="12" t="s">
        <v>22</v>
      </c>
      <c r="C14" s="81"/>
      <c r="D14" s="16"/>
      <c r="E14" s="47"/>
      <c r="F14" s="14"/>
      <c r="G14" s="13">
        <f t="shared" si="1"/>
        <v>0</v>
      </c>
      <c r="H14" s="81"/>
      <c r="I14" s="16">
        <v>1</v>
      </c>
      <c r="J14" s="47"/>
      <c r="K14" s="14"/>
      <c r="L14" s="13">
        <f t="shared" si="2"/>
        <v>1</v>
      </c>
      <c r="M14" s="13">
        <f t="shared" si="0"/>
        <v>1</v>
      </c>
      <c r="N14" s="20">
        <v>44669</v>
      </c>
    </row>
    <row r="15" spans="2:14" x14ac:dyDescent="0.15">
      <c r="B15" s="12" t="s">
        <v>22</v>
      </c>
      <c r="C15" s="81"/>
      <c r="D15" s="16">
        <v>2</v>
      </c>
      <c r="E15" s="47"/>
      <c r="F15" s="14"/>
      <c r="G15" s="13">
        <f t="shared" si="1"/>
        <v>2</v>
      </c>
      <c r="H15" s="81"/>
      <c r="I15" s="16"/>
      <c r="J15" s="47"/>
      <c r="K15" s="14"/>
      <c r="L15" s="13">
        <f t="shared" si="2"/>
        <v>0</v>
      </c>
      <c r="M15" s="13">
        <f t="shared" si="0"/>
        <v>2</v>
      </c>
      <c r="N15" s="20">
        <v>44676</v>
      </c>
    </row>
    <row r="16" spans="2:14" x14ac:dyDescent="0.15">
      <c r="B16" s="12" t="s">
        <v>22</v>
      </c>
      <c r="C16" s="81"/>
      <c r="D16" s="16"/>
      <c r="E16" s="47"/>
      <c r="F16" s="14">
        <v>1</v>
      </c>
      <c r="G16" s="13">
        <f t="shared" si="1"/>
        <v>1</v>
      </c>
      <c r="H16" s="81"/>
      <c r="I16" s="16"/>
      <c r="J16" s="47"/>
      <c r="K16" s="14"/>
      <c r="L16" s="13">
        <f t="shared" si="2"/>
        <v>0</v>
      </c>
      <c r="M16" s="13">
        <f t="shared" si="0"/>
        <v>1</v>
      </c>
      <c r="N16" s="20">
        <v>44690</v>
      </c>
    </row>
    <row r="17" spans="2:14" x14ac:dyDescent="0.15">
      <c r="B17" s="12" t="s">
        <v>22</v>
      </c>
      <c r="C17" s="81"/>
      <c r="D17" s="16"/>
      <c r="E17" s="47"/>
      <c r="F17" s="14"/>
      <c r="G17" s="13">
        <f t="shared" si="1"/>
        <v>0</v>
      </c>
      <c r="H17" s="81"/>
      <c r="I17" s="16">
        <v>1</v>
      </c>
      <c r="J17" s="47"/>
      <c r="K17" s="14"/>
      <c r="L17" s="13">
        <f t="shared" si="2"/>
        <v>1</v>
      </c>
      <c r="M17" s="13">
        <f t="shared" si="0"/>
        <v>1</v>
      </c>
      <c r="N17" s="20">
        <v>44692</v>
      </c>
    </row>
    <row r="18" spans="2:14" x14ac:dyDescent="0.15">
      <c r="B18" s="12" t="s">
        <v>22</v>
      </c>
      <c r="C18" s="81"/>
      <c r="D18" s="16"/>
      <c r="E18" s="47"/>
      <c r="F18" s="14"/>
      <c r="G18" s="13">
        <f t="shared" si="1"/>
        <v>0</v>
      </c>
      <c r="H18" s="81"/>
      <c r="I18" s="16"/>
      <c r="J18" s="47">
        <v>1</v>
      </c>
      <c r="K18" s="14"/>
      <c r="L18" s="13">
        <f t="shared" si="2"/>
        <v>1</v>
      </c>
      <c r="M18" s="13">
        <f t="shared" si="0"/>
        <v>1</v>
      </c>
      <c r="N18" s="20">
        <v>44718</v>
      </c>
    </row>
    <row r="19" spans="2:14" x14ac:dyDescent="0.15">
      <c r="B19" s="12" t="s">
        <v>22</v>
      </c>
      <c r="C19" s="81"/>
      <c r="D19" s="19"/>
      <c r="E19" s="50"/>
      <c r="F19" s="17"/>
      <c r="G19" s="13">
        <f t="shared" si="1"/>
        <v>0</v>
      </c>
      <c r="H19" s="81"/>
      <c r="I19" s="19"/>
      <c r="J19" s="50">
        <v>1</v>
      </c>
      <c r="K19" s="17"/>
      <c r="L19" s="13">
        <f t="shared" si="2"/>
        <v>1</v>
      </c>
      <c r="M19" s="13">
        <f t="shared" si="0"/>
        <v>1</v>
      </c>
      <c r="N19" s="20">
        <v>44748</v>
      </c>
    </row>
    <row r="20" spans="2:14" x14ac:dyDescent="0.15">
      <c r="B20" s="12" t="s">
        <v>22</v>
      </c>
      <c r="C20" s="81"/>
      <c r="D20" s="19"/>
      <c r="E20" s="50"/>
      <c r="F20" s="17"/>
      <c r="G20" s="13">
        <f t="shared" si="1"/>
        <v>0</v>
      </c>
      <c r="H20" s="81"/>
      <c r="I20" s="19"/>
      <c r="J20" s="50">
        <v>1</v>
      </c>
      <c r="K20" s="17"/>
      <c r="L20" s="13">
        <f t="shared" si="2"/>
        <v>1</v>
      </c>
      <c r="M20" s="13">
        <f t="shared" si="0"/>
        <v>1</v>
      </c>
      <c r="N20" s="20">
        <v>44764</v>
      </c>
    </row>
    <row r="21" spans="2:14" x14ac:dyDescent="0.15">
      <c r="B21" s="12" t="s">
        <v>22</v>
      </c>
      <c r="C21" s="81"/>
      <c r="D21" s="16"/>
      <c r="E21" s="47"/>
      <c r="F21" s="14"/>
      <c r="G21" s="13">
        <f t="shared" si="1"/>
        <v>0</v>
      </c>
      <c r="H21" s="81"/>
      <c r="I21" s="16"/>
      <c r="J21" s="47"/>
      <c r="K21" s="14">
        <v>1</v>
      </c>
      <c r="L21" s="13">
        <f t="shared" si="2"/>
        <v>1</v>
      </c>
      <c r="M21" s="13">
        <f t="shared" si="0"/>
        <v>1</v>
      </c>
      <c r="N21" s="20">
        <v>44768</v>
      </c>
    </row>
    <row r="22" spans="2:14" x14ac:dyDescent="0.15">
      <c r="B22" s="12" t="s">
        <v>34</v>
      </c>
      <c r="C22" s="81"/>
      <c r="D22" s="16"/>
      <c r="E22" s="47"/>
      <c r="F22" s="14"/>
      <c r="G22" s="13">
        <f t="shared" si="1"/>
        <v>0</v>
      </c>
      <c r="H22" s="81"/>
      <c r="I22" s="16"/>
      <c r="J22" s="47"/>
      <c r="K22" s="14">
        <v>-1</v>
      </c>
      <c r="L22" s="13">
        <f t="shared" si="2"/>
        <v>-1</v>
      </c>
      <c r="M22" s="13">
        <f t="shared" si="0"/>
        <v>-1</v>
      </c>
      <c r="N22" s="20">
        <v>44775</v>
      </c>
    </row>
    <row r="23" spans="2:14" x14ac:dyDescent="0.15">
      <c r="B23" s="12"/>
      <c r="C23" s="81"/>
      <c r="D23" s="16"/>
      <c r="E23" s="47"/>
      <c r="F23" s="14"/>
      <c r="G23" s="13">
        <f t="shared" si="1"/>
        <v>0</v>
      </c>
      <c r="H23" s="81"/>
      <c r="I23" s="16"/>
      <c r="J23" s="47"/>
      <c r="K23" s="14"/>
      <c r="L23" s="13">
        <f t="shared" si="2"/>
        <v>0</v>
      </c>
      <c r="M23" s="13">
        <f t="shared" si="0"/>
        <v>0</v>
      </c>
    </row>
    <row r="24" spans="2:14" x14ac:dyDescent="0.15">
      <c r="B24" s="12"/>
      <c r="C24" s="79"/>
      <c r="D24" s="16"/>
      <c r="E24" s="47"/>
      <c r="F24" s="14"/>
      <c r="G24" s="13">
        <f t="shared" si="1"/>
        <v>0</v>
      </c>
      <c r="H24" s="79"/>
      <c r="I24" s="16"/>
      <c r="J24" s="47"/>
      <c r="K24" s="14"/>
      <c r="L24" s="13">
        <f t="shared" si="2"/>
        <v>0</v>
      </c>
      <c r="M24" s="13">
        <f t="shared" si="0"/>
        <v>0</v>
      </c>
    </row>
    <row r="25" spans="2:14" x14ac:dyDescent="0.15">
      <c r="B25" s="12"/>
      <c r="C25" s="81"/>
      <c r="D25" s="19"/>
      <c r="E25" s="50"/>
      <c r="F25" s="17"/>
      <c r="G25" s="13">
        <f t="shared" si="1"/>
        <v>0</v>
      </c>
      <c r="H25" s="81"/>
      <c r="I25" s="19"/>
      <c r="J25" s="50"/>
      <c r="K25" s="17"/>
      <c r="L25" s="13">
        <f t="shared" si="2"/>
        <v>0</v>
      </c>
      <c r="M25" s="13">
        <f t="shared" si="0"/>
        <v>0</v>
      </c>
    </row>
    <row r="26" spans="2:14" x14ac:dyDescent="0.15">
      <c r="B26" s="12"/>
      <c r="C26" s="81"/>
      <c r="D26" s="19"/>
      <c r="E26" s="50"/>
      <c r="F26" s="17"/>
      <c r="G26" s="13">
        <f t="shared" si="1"/>
        <v>0</v>
      </c>
      <c r="H26" s="81"/>
      <c r="I26" s="19"/>
      <c r="J26" s="50"/>
      <c r="K26" s="17"/>
      <c r="L26" s="13">
        <f t="shared" si="2"/>
        <v>0</v>
      </c>
      <c r="M26" s="13">
        <f t="shared" si="0"/>
        <v>0</v>
      </c>
    </row>
    <row r="27" spans="2:14" x14ac:dyDescent="0.15">
      <c r="B27" s="12"/>
      <c r="C27" s="81"/>
      <c r="D27" s="19"/>
      <c r="E27" s="50"/>
      <c r="F27" s="17"/>
      <c r="G27" s="13">
        <f t="shared" si="1"/>
        <v>0</v>
      </c>
      <c r="H27" s="81"/>
      <c r="I27" s="19"/>
      <c r="J27" s="50"/>
      <c r="K27" s="17"/>
      <c r="L27" s="13">
        <f t="shared" si="2"/>
        <v>0</v>
      </c>
      <c r="M27" s="13">
        <f t="shared" si="0"/>
        <v>0</v>
      </c>
    </row>
    <row r="28" spans="2:14" x14ac:dyDescent="0.15">
      <c r="B28" s="12"/>
      <c r="C28" s="81"/>
      <c r="D28" s="19"/>
      <c r="E28" s="50"/>
      <c r="F28" s="17"/>
      <c r="G28" s="13">
        <f t="shared" si="1"/>
        <v>0</v>
      </c>
      <c r="H28" s="81"/>
      <c r="I28" s="19"/>
      <c r="J28" s="50"/>
      <c r="K28" s="17"/>
      <c r="L28" s="13">
        <f t="shared" si="2"/>
        <v>0</v>
      </c>
      <c r="M28" s="13">
        <f t="shared" si="0"/>
        <v>0</v>
      </c>
    </row>
    <row r="29" spans="2:14" x14ac:dyDescent="0.15">
      <c r="B29" s="12"/>
      <c r="C29" s="81"/>
      <c r="D29" s="19"/>
      <c r="E29" s="50"/>
      <c r="F29" s="17"/>
      <c r="G29" s="13">
        <f t="shared" si="1"/>
        <v>0</v>
      </c>
      <c r="H29" s="81"/>
      <c r="I29" s="19"/>
      <c r="J29" s="50"/>
      <c r="K29" s="17"/>
      <c r="L29" s="13">
        <f t="shared" si="2"/>
        <v>0</v>
      </c>
      <c r="M29" s="13">
        <f t="shared" si="0"/>
        <v>0</v>
      </c>
    </row>
    <row r="30" spans="2:14" x14ac:dyDescent="0.15">
      <c r="B30" s="12"/>
      <c r="C30" s="81"/>
      <c r="D30" s="19"/>
      <c r="E30" s="50"/>
      <c r="F30" s="17"/>
      <c r="G30" s="13">
        <f t="shared" si="1"/>
        <v>0</v>
      </c>
      <c r="H30" s="81"/>
      <c r="I30" s="19"/>
      <c r="J30" s="50"/>
      <c r="K30" s="17"/>
      <c r="L30" s="13">
        <f t="shared" si="2"/>
        <v>0</v>
      </c>
      <c r="M30" s="13">
        <f t="shared" si="0"/>
        <v>0</v>
      </c>
    </row>
    <row r="31" spans="2:14" x14ac:dyDescent="0.15">
      <c r="B31" s="12"/>
      <c r="C31" s="79"/>
      <c r="D31" s="16"/>
      <c r="E31" s="47"/>
      <c r="F31" s="14"/>
      <c r="G31" s="13">
        <f t="shared" si="1"/>
        <v>0</v>
      </c>
      <c r="H31" s="79"/>
      <c r="I31" s="16"/>
      <c r="J31" s="47"/>
      <c r="K31" s="14"/>
      <c r="L31" s="13">
        <f t="shared" si="2"/>
        <v>0</v>
      </c>
      <c r="M31" s="13">
        <f t="shared" si="0"/>
        <v>0</v>
      </c>
    </row>
    <row r="32" spans="2:14" x14ac:dyDescent="0.15">
      <c r="B32" s="12"/>
      <c r="C32" s="79"/>
      <c r="D32" s="16"/>
      <c r="E32" s="47"/>
      <c r="F32" s="14"/>
      <c r="G32" s="13">
        <f t="shared" si="1"/>
        <v>0</v>
      </c>
      <c r="H32" s="79"/>
      <c r="I32" s="16"/>
      <c r="J32" s="47"/>
      <c r="K32" s="14"/>
      <c r="L32" s="13">
        <f t="shared" si="2"/>
        <v>0</v>
      </c>
      <c r="M32" s="13">
        <f t="shared" si="0"/>
        <v>0</v>
      </c>
    </row>
    <row r="33" spans="2:14" x14ac:dyDescent="0.15">
      <c r="B33" s="12"/>
      <c r="C33" s="79"/>
      <c r="D33" s="16"/>
      <c r="E33" s="47"/>
      <c r="F33" s="14"/>
      <c r="G33" s="13">
        <f t="shared" si="1"/>
        <v>0</v>
      </c>
      <c r="H33" s="79"/>
      <c r="I33" s="16"/>
      <c r="J33" s="47"/>
      <c r="K33" s="14"/>
      <c r="L33" s="13">
        <f t="shared" si="2"/>
        <v>0</v>
      </c>
      <c r="M33" s="13">
        <f t="shared" si="0"/>
        <v>0</v>
      </c>
    </row>
    <row r="34" spans="2:14" x14ac:dyDescent="0.15">
      <c r="B34" s="12"/>
      <c r="C34" s="79"/>
      <c r="D34" s="16"/>
      <c r="E34" s="47"/>
      <c r="F34" s="14"/>
      <c r="G34" s="13">
        <f t="shared" si="1"/>
        <v>0</v>
      </c>
      <c r="H34" s="79"/>
      <c r="I34" s="16"/>
      <c r="J34" s="47"/>
      <c r="K34" s="14"/>
      <c r="L34" s="13">
        <f t="shared" si="2"/>
        <v>0</v>
      </c>
      <c r="M34" s="13">
        <f t="shared" si="0"/>
        <v>0</v>
      </c>
    </row>
    <row r="35" spans="2:14" x14ac:dyDescent="0.15">
      <c r="B35" s="12"/>
      <c r="C35" s="79"/>
      <c r="D35" s="16"/>
      <c r="E35" s="47"/>
      <c r="F35" s="14"/>
      <c r="G35" s="13">
        <f t="shared" si="1"/>
        <v>0</v>
      </c>
      <c r="H35" s="79"/>
      <c r="I35" s="16"/>
      <c r="J35" s="47"/>
      <c r="K35" s="14"/>
      <c r="L35" s="13">
        <f t="shared" si="2"/>
        <v>0</v>
      </c>
      <c r="M35" s="13">
        <f t="shared" si="0"/>
        <v>0</v>
      </c>
    </row>
    <row r="36" spans="2:14" ht="14.25" thickBot="1" x14ac:dyDescent="0.2">
      <c r="B36" s="12"/>
      <c r="C36" s="82"/>
      <c r="D36" s="27"/>
      <c r="E36" s="48"/>
      <c r="F36" s="9"/>
      <c r="G36" s="8">
        <f t="shared" si="1"/>
        <v>0</v>
      </c>
      <c r="H36" s="82"/>
      <c r="I36" s="27"/>
      <c r="J36" s="48"/>
      <c r="K36" s="9"/>
      <c r="L36" s="8">
        <f t="shared" si="2"/>
        <v>0</v>
      </c>
      <c r="M36" s="8">
        <f t="shared" si="0"/>
        <v>0</v>
      </c>
    </row>
    <row r="37" spans="2:14" ht="14.25" thickBot="1" x14ac:dyDescent="0.2">
      <c r="B37" s="7" t="s">
        <v>1</v>
      </c>
      <c r="C37" s="83">
        <f>SUM(C12:C36)</f>
        <v>0</v>
      </c>
      <c r="D37" s="6">
        <f>SUM(D12:D36)</f>
        <v>2</v>
      </c>
      <c r="E37" s="51">
        <f>SUM(E12:E36)</f>
        <v>0</v>
      </c>
      <c r="F37" s="44">
        <f>SUM(F12:F36)</f>
        <v>1</v>
      </c>
      <c r="G37" s="5">
        <f t="shared" si="1"/>
        <v>3</v>
      </c>
      <c r="H37" s="83">
        <f>SUM(H12:H36)</f>
        <v>0</v>
      </c>
      <c r="I37" s="6">
        <f>SUM(I12:I36)</f>
        <v>5</v>
      </c>
      <c r="J37" s="51">
        <f>SUM(J12:J36)</f>
        <v>3</v>
      </c>
      <c r="K37" s="44">
        <f>SUM(K12:K36)</f>
        <v>0</v>
      </c>
      <c r="L37" s="5">
        <f t="shared" si="2"/>
        <v>8</v>
      </c>
      <c r="M37" s="5">
        <f t="shared" si="0"/>
        <v>11</v>
      </c>
    </row>
    <row r="38" spans="2:14" ht="14.25" thickBot="1" x14ac:dyDescent="0.2">
      <c r="B38" s="4" t="s">
        <v>0</v>
      </c>
      <c r="C38" s="80">
        <f>+C11-C37</f>
        <v>0</v>
      </c>
      <c r="D38" s="25">
        <f>+D11-D37</f>
        <v>3</v>
      </c>
      <c r="E38" s="49">
        <f>+E11-E37</f>
        <v>2</v>
      </c>
      <c r="F38" s="45">
        <f>+F11-F37</f>
        <v>2</v>
      </c>
      <c r="G38" s="24">
        <f t="shared" si="1"/>
        <v>7</v>
      </c>
      <c r="H38" s="80">
        <f>+H11-H37</f>
        <v>0</v>
      </c>
      <c r="I38" s="25">
        <f>+I11-I37</f>
        <v>2</v>
      </c>
      <c r="J38" s="49">
        <f>+J11-J37</f>
        <v>2</v>
      </c>
      <c r="K38" s="45">
        <f>+K11-K37</f>
        <v>2</v>
      </c>
      <c r="L38" s="24">
        <f t="shared" si="2"/>
        <v>6</v>
      </c>
      <c r="M38" s="24">
        <f t="shared" si="0"/>
        <v>13</v>
      </c>
    </row>
    <row r="40" spans="2:14" ht="19.5" thickBot="1" x14ac:dyDescent="0.25">
      <c r="B40" s="36" t="s">
        <v>14</v>
      </c>
      <c r="C40" s="36"/>
      <c r="D40" s="35"/>
      <c r="E40" s="35"/>
      <c r="F40" s="35"/>
      <c r="G40" s="35"/>
      <c r="H40" s="36"/>
      <c r="I40" s="35"/>
      <c r="J40" s="35">
        <v>2410</v>
      </c>
      <c r="K40" s="35"/>
      <c r="L40" s="35"/>
      <c r="M40" s="35"/>
    </row>
    <row r="41" spans="2:14" ht="14.25" thickBot="1" x14ac:dyDescent="0.2">
      <c r="B41" s="7"/>
      <c r="C41" s="93" t="s">
        <v>20</v>
      </c>
      <c r="D41" s="94"/>
      <c r="E41" s="94"/>
      <c r="F41" s="94"/>
      <c r="G41" s="95"/>
      <c r="H41" s="96" t="s">
        <v>21</v>
      </c>
      <c r="I41" s="97"/>
      <c r="J41" s="97"/>
      <c r="K41" s="97"/>
      <c r="L41" s="98"/>
      <c r="M41" s="5"/>
    </row>
    <row r="42" spans="2:14" s="1" customFormat="1" ht="14.25" thickBot="1" x14ac:dyDescent="0.2">
      <c r="B42" s="32"/>
      <c r="C42" s="77" t="s">
        <v>50</v>
      </c>
      <c r="D42" s="33" t="s">
        <v>8</v>
      </c>
      <c r="E42" s="46" t="s">
        <v>9</v>
      </c>
      <c r="F42" s="31" t="s">
        <v>10</v>
      </c>
      <c r="G42" s="7" t="s">
        <v>5</v>
      </c>
      <c r="H42" s="77" t="s">
        <v>50</v>
      </c>
      <c r="I42" s="33" t="s">
        <v>8</v>
      </c>
      <c r="J42" s="46" t="s">
        <v>9</v>
      </c>
      <c r="K42" s="31" t="s">
        <v>10</v>
      </c>
      <c r="L42" s="7" t="s">
        <v>5</v>
      </c>
      <c r="M42" s="7" t="s">
        <v>5</v>
      </c>
    </row>
    <row r="43" spans="2:14" ht="14.25" customHeight="1" x14ac:dyDescent="0.15">
      <c r="B43" s="30" t="s">
        <v>0</v>
      </c>
      <c r="C43" s="78">
        <f>C38</f>
        <v>0</v>
      </c>
      <c r="D43" s="23">
        <f>D38</f>
        <v>3</v>
      </c>
      <c r="E43" s="54">
        <f t="shared" ref="E43:M43" si="3">E38</f>
        <v>2</v>
      </c>
      <c r="F43" s="55">
        <f t="shared" si="3"/>
        <v>2</v>
      </c>
      <c r="G43" s="21">
        <f>G38</f>
        <v>7</v>
      </c>
      <c r="H43" s="78">
        <f>H38</f>
        <v>0</v>
      </c>
      <c r="I43" s="23">
        <f t="shared" si="3"/>
        <v>2</v>
      </c>
      <c r="J43" s="54">
        <f t="shared" si="3"/>
        <v>2</v>
      </c>
      <c r="K43" s="55">
        <f t="shared" si="3"/>
        <v>2</v>
      </c>
      <c r="L43" s="21">
        <f>L38</f>
        <v>6</v>
      </c>
      <c r="M43" s="21">
        <f t="shared" si="3"/>
        <v>13</v>
      </c>
    </row>
    <row r="44" spans="2:14" x14ac:dyDescent="0.15">
      <c r="B44" s="60" t="s">
        <v>35</v>
      </c>
      <c r="C44" s="79"/>
      <c r="D44" s="61">
        <v>0</v>
      </c>
      <c r="E44" s="66">
        <v>0</v>
      </c>
      <c r="F44" s="63">
        <v>0</v>
      </c>
      <c r="G44" s="13">
        <f>SUM(C44:F44)</f>
        <v>0</v>
      </c>
      <c r="H44" s="79"/>
      <c r="I44" s="61">
        <v>0</v>
      </c>
      <c r="J44" s="66">
        <v>0</v>
      </c>
      <c r="K44" s="63">
        <v>0</v>
      </c>
      <c r="L44" s="13">
        <f>SUM(H44:K44)</f>
        <v>0</v>
      </c>
      <c r="M44" s="64">
        <f t="shared" ref="M44:M76" si="4">G44+L44</f>
        <v>0</v>
      </c>
      <c r="N44" s="65">
        <v>44797</v>
      </c>
    </row>
    <row r="45" spans="2:14" x14ac:dyDescent="0.15">
      <c r="B45" s="29" t="s">
        <v>3</v>
      </c>
      <c r="C45" s="79"/>
      <c r="D45" s="16"/>
      <c r="E45" s="47"/>
      <c r="F45" s="14"/>
      <c r="G45" s="13">
        <f t="shared" ref="G45:G76" si="5">SUM(C45:F45)</f>
        <v>0</v>
      </c>
      <c r="H45" s="79"/>
      <c r="I45" s="16">
        <v>1</v>
      </c>
      <c r="J45" s="47"/>
      <c r="K45" s="14">
        <v>2</v>
      </c>
      <c r="L45" s="13">
        <f t="shared" ref="L45:L76" si="6">SUM(H45:K45)</f>
        <v>3</v>
      </c>
      <c r="M45" s="13">
        <f t="shared" si="4"/>
        <v>3</v>
      </c>
      <c r="N45" s="20">
        <v>44832</v>
      </c>
    </row>
    <row r="46" spans="2:14" x14ac:dyDescent="0.15">
      <c r="B46" s="29" t="s">
        <v>3</v>
      </c>
      <c r="C46" s="79"/>
      <c r="D46" s="16"/>
      <c r="E46" s="47"/>
      <c r="F46" s="14"/>
      <c r="G46" s="13">
        <f t="shared" si="5"/>
        <v>0</v>
      </c>
      <c r="H46" s="79"/>
      <c r="I46" s="16">
        <v>1</v>
      </c>
      <c r="J46" s="47"/>
      <c r="K46" s="14"/>
      <c r="L46" s="13">
        <f t="shared" si="6"/>
        <v>1</v>
      </c>
      <c r="M46" s="13">
        <f t="shared" si="4"/>
        <v>1</v>
      </c>
      <c r="N46" s="20">
        <v>44858</v>
      </c>
    </row>
    <row r="47" spans="2:14" x14ac:dyDescent="0.15">
      <c r="B47" s="29" t="s">
        <v>3</v>
      </c>
      <c r="C47" s="79"/>
      <c r="D47" s="16"/>
      <c r="E47" s="47">
        <v>1</v>
      </c>
      <c r="F47" s="14"/>
      <c r="G47" s="13">
        <f t="shared" si="5"/>
        <v>1</v>
      </c>
      <c r="H47" s="79"/>
      <c r="I47" s="16"/>
      <c r="J47" s="47"/>
      <c r="K47" s="14"/>
      <c r="L47" s="13">
        <f t="shared" si="6"/>
        <v>0</v>
      </c>
      <c r="M47" s="13">
        <f t="shared" si="4"/>
        <v>1</v>
      </c>
      <c r="N47" s="20">
        <v>44959</v>
      </c>
    </row>
    <row r="48" spans="2:14" ht="14.25" thickBot="1" x14ac:dyDescent="0.2">
      <c r="B48" s="28" t="s">
        <v>3</v>
      </c>
      <c r="C48" s="79"/>
      <c r="D48" s="27"/>
      <c r="E48" s="48"/>
      <c r="F48" s="9"/>
      <c r="G48" s="13">
        <f t="shared" si="5"/>
        <v>0</v>
      </c>
      <c r="H48" s="79"/>
      <c r="I48" s="27"/>
      <c r="J48" s="48">
        <v>2</v>
      </c>
      <c r="K48" s="9"/>
      <c r="L48" s="13">
        <f t="shared" si="6"/>
        <v>2</v>
      </c>
      <c r="M48" s="8">
        <f t="shared" si="4"/>
        <v>2</v>
      </c>
      <c r="N48" s="20">
        <v>44973</v>
      </c>
    </row>
    <row r="49" spans="2:14" ht="14.25" thickBot="1" x14ac:dyDescent="0.2">
      <c r="B49" s="26" t="s">
        <v>2</v>
      </c>
      <c r="C49" s="80">
        <f>SUM(C43:C48)</f>
        <v>0</v>
      </c>
      <c r="D49" s="25">
        <f>SUM(D43:D48)</f>
        <v>3</v>
      </c>
      <c r="E49" s="49">
        <f>SUM(E43:E48)</f>
        <v>3</v>
      </c>
      <c r="F49" s="25">
        <f>SUM(F43:F48)</f>
        <v>2</v>
      </c>
      <c r="G49" s="24">
        <f t="shared" si="5"/>
        <v>8</v>
      </c>
      <c r="H49" s="80">
        <f>SUM(H43:H48)</f>
        <v>0</v>
      </c>
      <c r="I49" s="25">
        <f>SUM(I43:I48)</f>
        <v>4</v>
      </c>
      <c r="J49" s="49">
        <f>SUM(J43:J48)</f>
        <v>4</v>
      </c>
      <c r="K49" s="25">
        <f>SUM(K43:K48)</f>
        <v>4</v>
      </c>
      <c r="L49" s="24">
        <f t="shared" si="6"/>
        <v>12</v>
      </c>
      <c r="M49" s="24">
        <f t="shared" si="4"/>
        <v>20</v>
      </c>
    </row>
    <row r="50" spans="2:14" x14ac:dyDescent="0.15">
      <c r="B50" s="12" t="s">
        <v>22</v>
      </c>
      <c r="C50" s="81"/>
      <c r="D50" s="52"/>
      <c r="E50" s="53"/>
      <c r="F50" s="14"/>
      <c r="G50" s="13">
        <f t="shared" si="5"/>
        <v>0</v>
      </c>
      <c r="H50" s="81"/>
      <c r="I50" s="52">
        <v>1</v>
      </c>
      <c r="J50" s="53"/>
      <c r="K50" s="14">
        <v>2</v>
      </c>
      <c r="L50" s="13">
        <f t="shared" si="6"/>
        <v>3</v>
      </c>
      <c r="M50" s="13">
        <f t="shared" si="4"/>
        <v>3</v>
      </c>
      <c r="N50" s="20">
        <v>44820</v>
      </c>
    </row>
    <row r="51" spans="2:14" x14ac:dyDescent="0.15">
      <c r="B51" s="12" t="s">
        <v>22</v>
      </c>
      <c r="C51" s="81"/>
      <c r="D51" s="16"/>
      <c r="E51" s="47"/>
      <c r="F51" s="14"/>
      <c r="G51" s="13">
        <f t="shared" si="5"/>
        <v>0</v>
      </c>
      <c r="H51" s="81"/>
      <c r="I51" s="16">
        <v>1</v>
      </c>
      <c r="J51" s="47"/>
      <c r="K51" s="14"/>
      <c r="L51" s="13">
        <f t="shared" si="6"/>
        <v>1</v>
      </c>
      <c r="M51" s="13">
        <f t="shared" si="4"/>
        <v>1</v>
      </c>
      <c r="N51" s="20">
        <v>44847</v>
      </c>
    </row>
    <row r="52" spans="2:14" x14ac:dyDescent="0.15">
      <c r="B52" s="12" t="s">
        <v>22</v>
      </c>
      <c r="C52" s="81"/>
      <c r="D52" s="16"/>
      <c r="E52" s="47">
        <v>1</v>
      </c>
      <c r="F52" s="14"/>
      <c r="G52" s="13">
        <f t="shared" si="5"/>
        <v>1</v>
      </c>
      <c r="H52" s="81"/>
      <c r="I52" s="16"/>
      <c r="J52" s="47"/>
      <c r="K52" s="14"/>
      <c r="L52" s="13">
        <f t="shared" si="6"/>
        <v>0</v>
      </c>
      <c r="M52" s="13">
        <f t="shared" si="4"/>
        <v>1</v>
      </c>
      <c r="N52" s="20">
        <v>44931</v>
      </c>
    </row>
    <row r="53" spans="2:14" x14ac:dyDescent="0.15">
      <c r="B53" s="12" t="s">
        <v>22</v>
      </c>
      <c r="C53" s="81"/>
      <c r="D53" s="16"/>
      <c r="E53" s="47"/>
      <c r="F53" s="14"/>
      <c r="G53" s="13">
        <f t="shared" si="5"/>
        <v>0</v>
      </c>
      <c r="H53" s="81"/>
      <c r="I53" s="16"/>
      <c r="J53" s="47">
        <v>1</v>
      </c>
      <c r="K53" s="14"/>
      <c r="L53" s="13">
        <f t="shared" si="6"/>
        <v>1</v>
      </c>
      <c r="M53" s="13">
        <f t="shared" si="4"/>
        <v>1</v>
      </c>
      <c r="N53" s="20">
        <v>44971</v>
      </c>
    </row>
    <row r="54" spans="2:14" x14ac:dyDescent="0.15">
      <c r="B54" s="12" t="s">
        <v>22</v>
      </c>
      <c r="C54" s="81"/>
      <c r="D54" s="16"/>
      <c r="E54" s="47"/>
      <c r="F54" s="14"/>
      <c r="G54" s="13">
        <f t="shared" si="5"/>
        <v>0</v>
      </c>
      <c r="H54" s="81"/>
      <c r="I54" s="16">
        <v>1</v>
      </c>
      <c r="J54" s="47"/>
      <c r="K54" s="14"/>
      <c r="L54" s="13">
        <f t="shared" si="6"/>
        <v>1</v>
      </c>
      <c r="M54" s="13">
        <f t="shared" si="4"/>
        <v>1</v>
      </c>
      <c r="N54" s="20">
        <v>44998</v>
      </c>
    </row>
    <row r="55" spans="2:14" x14ac:dyDescent="0.15">
      <c r="B55" s="12" t="s">
        <v>22</v>
      </c>
      <c r="C55" s="81"/>
      <c r="D55" s="16"/>
      <c r="E55" s="47"/>
      <c r="F55" s="14"/>
      <c r="G55" s="13">
        <f t="shared" si="5"/>
        <v>0</v>
      </c>
      <c r="H55" s="81"/>
      <c r="I55" s="16"/>
      <c r="J55" s="47"/>
      <c r="K55" s="14">
        <v>1</v>
      </c>
      <c r="L55" s="13">
        <f t="shared" si="6"/>
        <v>1</v>
      </c>
      <c r="M55" s="13">
        <f t="shared" si="4"/>
        <v>1</v>
      </c>
      <c r="N55" s="20">
        <v>45015</v>
      </c>
    </row>
    <row r="56" spans="2:14" x14ac:dyDescent="0.15">
      <c r="B56" s="12"/>
      <c r="C56" s="81"/>
      <c r="D56" s="19"/>
      <c r="E56" s="50"/>
      <c r="F56" s="17"/>
      <c r="G56" s="13">
        <f t="shared" si="5"/>
        <v>0</v>
      </c>
      <c r="H56" s="81"/>
      <c r="I56" s="19"/>
      <c r="J56" s="50"/>
      <c r="K56" s="17"/>
      <c r="L56" s="13">
        <f t="shared" si="6"/>
        <v>0</v>
      </c>
      <c r="M56" s="13">
        <f t="shared" ref="M56" si="7">G56+L56</f>
        <v>0</v>
      </c>
    </row>
    <row r="57" spans="2:14" x14ac:dyDescent="0.15">
      <c r="B57" s="12"/>
      <c r="C57" s="81"/>
      <c r="D57" s="19"/>
      <c r="E57" s="50"/>
      <c r="F57" s="17"/>
      <c r="G57" s="13">
        <f t="shared" si="5"/>
        <v>0</v>
      </c>
      <c r="H57" s="81"/>
      <c r="I57" s="19"/>
      <c r="J57" s="50"/>
      <c r="K57" s="17"/>
      <c r="L57" s="13">
        <f t="shared" si="6"/>
        <v>0</v>
      </c>
      <c r="M57" s="13">
        <f t="shared" si="4"/>
        <v>0</v>
      </c>
    </row>
    <row r="58" spans="2:14" x14ac:dyDescent="0.15">
      <c r="B58" s="12"/>
      <c r="C58" s="81"/>
      <c r="D58" s="19"/>
      <c r="E58" s="50"/>
      <c r="F58" s="17"/>
      <c r="G58" s="13">
        <f t="shared" si="5"/>
        <v>0</v>
      </c>
      <c r="H58" s="81"/>
      <c r="I58" s="19"/>
      <c r="J58" s="50"/>
      <c r="K58" s="17"/>
      <c r="L58" s="13">
        <f t="shared" si="6"/>
        <v>0</v>
      </c>
      <c r="M58" s="13">
        <f t="shared" si="4"/>
        <v>0</v>
      </c>
    </row>
    <row r="59" spans="2:14" x14ac:dyDescent="0.15">
      <c r="B59" s="12"/>
      <c r="C59" s="81"/>
      <c r="D59" s="16"/>
      <c r="E59" s="47"/>
      <c r="F59" s="14"/>
      <c r="G59" s="13">
        <f t="shared" si="5"/>
        <v>0</v>
      </c>
      <c r="H59" s="81"/>
      <c r="I59" s="16"/>
      <c r="J59" s="47"/>
      <c r="K59" s="14"/>
      <c r="L59" s="13">
        <f t="shared" si="6"/>
        <v>0</v>
      </c>
      <c r="M59" s="13">
        <f t="shared" si="4"/>
        <v>0</v>
      </c>
    </row>
    <row r="60" spans="2:14" x14ac:dyDescent="0.15">
      <c r="B60" s="12"/>
      <c r="C60" s="81"/>
      <c r="D60" s="19"/>
      <c r="E60" s="50"/>
      <c r="F60" s="17"/>
      <c r="G60" s="13">
        <f t="shared" si="5"/>
        <v>0</v>
      </c>
      <c r="H60" s="81"/>
      <c r="I60" s="19"/>
      <c r="J60" s="50"/>
      <c r="K60" s="17"/>
      <c r="L60" s="13">
        <f t="shared" si="6"/>
        <v>0</v>
      </c>
      <c r="M60" s="13">
        <f t="shared" si="4"/>
        <v>0</v>
      </c>
    </row>
    <row r="61" spans="2:14" x14ac:dyDescent="0.15">
      <c r="B61" s="12"/>
      <c r="C61" s="81"/>
      <c r="D61" s="19"/>
      <c r="E61" s="50"/>
      <c r="F61" s="17"/>
      <c r="G61" s="13">
        <f t="shared" si="5"/>
        <v>0</v>
      </c>
      <c r="H61" s="81"/>
      <c r="I61" s="19"/>
      <c r="J61" s="50"/>
      <c r="K61" s="17"/>
      <c r="L61" s="13">
        <f t="shared" si="6"/>
        <v>0</v>
      </c>
      <c r="M61" s="13">
        <f t="shared" si="4"/>
        <v>0</v>
      </c>
    </row>
    <row r="62" spans="2:14" x14ac:dyDescent="0.15">
      <c r="B62" s="12"/>
      <c r="C62" s="79"/>
      <c r="D62" s="16"/>
      <c r="E62" s="47"/>
      <c r="F62" s="14"/>
      <c r="G62" s="13">
        <f t="shared" si="5"/>
        <v>0</v>
      </c>
      <c r="H62" s="79"/>
      <c r="I62" s="16"/>
      <c r="J62" s="47"/>
      <c r="K62" s="14"/>
      <c r="L62" s="13">
        <f t="shared" si="6"/>
        <v>0</v>
      </c>
      <c r="M62" s="13">
        <f t="shared" si="4"/>
        <v>0</v>
      </c>
    </row>
    <row r="63" spans="2:14" x14ac:dyDescent="0.15">
      <c r="B63" s="12"/>
      <c r="C63" s="81"/>
      <c r="D63" s="19"/>
      <c r="E63" s="50"/>
      <c r="F63" s="17"/>
      <c r="G63" s="13">
        <f t="shared" si="5"/>
        <v>0</v>
      </c>
      <c r="H63" s="81"/>
      <c r="I63" s="19"/>
      <c r="J63" s="50"/>
      <c r="K63" s="17"/>
      <c r="L63" s="13">
        <f t="shared" si="6"/>
        <v>0</v>
      </c>
      <c r="M63" s="13">
        <f t="shared" si="4"/>
        <v>0</v>
      </c>
    </row>
    <row r="64" spans="2:14" x14ac:dyDescent="0.15">
      <c r="B64" s="12"/>
      <c r="C64" s="81"/>
      <c r="D64" s="19"/>
      <c r="E64" s="50"/>
      <c r="F64" s="17"/>
      <c r="G64" s="13">
        <f t="shared" si="5"/>
        <v>0</v>
      </c>
      <c r="H64" s="81"/>
      <c r="I64" s="19"/>
      <c r="J64" s="50"/>
      <c r="K64" s="17"/>
      <c r="L64" s="13">
        <f t="shared" si="6"/>
        <v>0</v>
      </c>
      <c r="M64" s="13">
        <f t="shared" si="4"/>
        <v>0</v>
      </c>
    </row>
    <row r="65" spans="1:13" x14ac:dyDescent="0.15">
      <c r="B65" s="12"/>
      <c r="C65" s="81"/>
      <c r="D65" s="19"/>
      <c r="E65" s="50"/>
      <c r="F65" s="17"/>
      <c r="G65" s="13">
        <f t="shared" si="5"/>
        <v>0</v>
      </c>
      <c r="H65" s="81"/>
      <c r="I65" s="19"/>
      <c r="J65" s="50"/>
      <c r="K65" s="17"/>
      <c r="L65" s="13">
        <f t="shared" si="6"/>
        <v>0</v>
      </c>
      <c r="M65" s="13">
        <f t="shared" si="4"/>
        <v>0</v>
      </c>
    </row>
    <row r="66" spans="1:13" x14ac:dyDescent="0.15">
      <c r="B66" s="12"/>
      <c r="C66" s="81"/>
      <c r="D66" s="19"/>
      <c r="E66" s="50"/>
      <c r="F66" s="17"/>
      <c r="G66" s="13">
        <f t="shared" si="5"/>
        <v>0</v>
      </c>
      <c r="H66" s="81"/>
      <c r="I66" s="19"/>
      <c r="J66" s="50"/>
      <c r="K66" s="17"/>
      <c r="L66" s="13">
        <f t="shared" si="6"/>
        <v>0</v>
      </c>
      <c r="M66" s="13">
        <f t="shared" si="4"/>
        <v>0</v>
      </c>
    </row>
    <row r="67" spans="1:13" x14ac:dyDescent="0.15">
      <c r="B67" s="12"/>
      <c r="C67" s="81"/>
      <c r="D67" s="19"/>
      <c r="E67" s="50"/>
      <c r="F67" s="17"/>
      <c r="G67" s="13">
        <f t="shared" si="5"/>
        <v>0</v>
      </c>
      <c r="H67" s="81"/>
      <c r="I67" s="19"/>
      <c r="J67" s="50"/>
      <c r="K67" s="17"/>
      <c r="L67" s="13">
        <f t="shared" si="6"/>
        <v>0</v>
      </c>
      <c r="M67" s="13">
        <f t="shared" si="4"/>
        <v>0</v>
      </c>
    </row>
    <row r="68" spans="1:13" x14ac:dyDescent="0.15">
      <c r="B68" s="12"/>
      <c r="C68" s="81"/>
      <c r="D68" s="19"/>
      <c r="E68" s="50"/>
      <c r="F68" s="17"/>
      <c r="G68" s="13">
        <f t="shared" si="5"/>
        <v>0</v>
      </c>
      <c r="H68" s="81"/>
      <c r="I68" s="19"/>
      <c r="J68" s="50"/>
      <c r="K68" s="17"/>
      <c r="L68" s="13">
        <f t="shared" si="6"/>
        <v>0</v>
      </c>
      <c r="M68" s="13">
        <f t="shared" si="4"/>
        <v>0</v>
      </c>
    </row>
    <row r="69" spans="1:13" x14ac:dyDescent="0.15">
      <c r="B69" s="12"/>
      <c r="C69" s="79"/>
      <c r="D69" s="16"/>
      <c r="E69" s="47"/>
      <c r="F69" s="14"/>
      <c r="G69" s="13">
        <f t="shared" si="5"/>
        <v>0</v>
      </c>
      <c r="H69" s="79"/>
      <c r="I69" s="16"/>
      <c r="J69" s="47"/>
      <c r="K69" s="14"/>
      <c r="L69" s="13">
        <f t="shared" si="6"/>
        <v>0</v>
      </c>
      <c r="M69" s="13">
        <f t="shared" si="4"/>
        <v>0</v>
      </c>
    </row>
    <row r="70" spans="1:13" x14ac:dyDescent="0.15">
      <c r="B70" s="12"/>
      <c r="C70" s="79"/>
      <c r="D70" s="16"/>
      <c r="E70" s="47"/>
      <c r="F70" s="14"/>
      <c r="G70" s="13">
        <f t="shared" si="5"/>
        <v>0</v>
      </c>
      <c r="H70" s="79"/>
      <c r="I70" s="16"/>
      <c r="J70" s="47"/>
      <c r="K70" s="14"/>
      <c r="L70" s="13">
        <f t="shared" si="6"/>
        <v>0</v>
      </c>
      <c r="M70" s="13">
        <f t="shared" si="4"/>
        <v>0</v>
      </c>
    </row>
    <row r="71" spans="1:13" x14ac:dyDescent="0.15">
      <c r="B71" s="12"/>
      <c r="C71" s="79"/>
      <c r="D71" s="16"/>
      <c r="E71" s="47"/>
      <c r="F71" s="14"/>
      <c r="G71" s="13">
        <f t="shared" si="5"/>
        <v>0</v>
      </c>
      <c r="H71" s="79"/>
      <c r="I71" s="16"/>
      <c r="J71" s="47"/>
      <c r="K71" s="14"/>
      <c r="L71" s="13">
        <f t="shared" si="6"/>
        <v>0</v>
      </c>
      <c r="M71" s="13">
        <f t="shared" si="4"/>
        <v>0</v>
      </c>
    </row>
    <row r="72" spans="1:13" x14ac:dyDescent="0.15">
      <c r="B72" s="12"/>
      <c r="C72" s="79"/>
      <c r="D72" s="16"/>
      <c r="E72" s="47"/>
      <c r="F72" s="14"/>
      <c r="G72" s="13">
        <f t="shared" si="5"/>
        <v>0</v>
      </c>
      <c r="H72" s="79"/>
      <c r="I72" s="16"/>
      <c r="J72" s="47"/>
      <c r="K72" s="14"/>
      <c r="L72" s="13">
        <f t="shared" si="6"/>
        <v>0</v>
      </c>
      <c r="M72" s="13">
        <f t="shared" si="4"/>
        <v>0</v>
      </c>
    </row>
    <row r="73" spans="1:13" x14ac:dyDescent="0.15">
      <c r="B73" s="12"/>
      <c r="C73" s="79"/>
      <c r="D73" s="16"/>
      <c r="E73" s="47"/>
      <c r="F73" s="14"/>
      <c r="G73" s="13">
        <f t="shared" si="5"/>
        <v>0</v>
      </c>
      <c r="H73" s="79"/>
      <c r="I73" s="16"/>
      <c r="J73" s="47"/>
      <c r="K73" s="14"/>
      <c r="L73" s="13">
        <f t="shared" si="6"/>
        <v>0</v>
      </c>
      <c r="M73" s="13">
        <f t="shared" si="4"/>
        <v>0</v>
      </c>
    </row>
    <row r="74" spans="1:13" ht="14.25" thickBot="1" x14ac:dyDescent="0.2">
      <c r="B74" s="12"/>
      <c r="C74" s="82"/>
      <c r="D74" s="27"/>
      <c r="E74" s="48"/>
      <c r="F74" s="9"/>
      <c r="G74" s="8">
        <f t="shared" si="5"/>
        <v>0</v>
      </c>
      <c r="H74" s="82"/>
      <c r="I74" s="27"/>
      <c r="J74" s="48"/>
      <c r="K74" s="9"/>
      <c r="L74" s="8">
        <f t="shared" si="6"/>
        <v>0</v>
      </c>
      <c r="M74" s="8">
        <f t="shared" si="4"/>
        <v>0</v>
      </c>
    </row>
    <row r="75" spans="1:13" ht="14.25" thickBot="1" x14ac:dyDescent="0.2">
      <c r="B75" s="7" t="s">
        <v>1</v>
      </c>
      <c r="C75" s="83">
        <f>SUM(C50:C74)</f>
        <v>0</v>
      </c>
      <c r="D75" s="6">
        <f>SUM(D50:D74)</f>
        <v>0</v>
      </c>
      <c r="E75" s="51">
        <f>SUM(E50:E74)</f>
        <v>1</v>
      </c>
      <c r="F75" s="44">
        <f>SUM(F50:F74)</f>
        <v>0</v>
      </c>
      <c r="G75" s="5">
        <f t="shared" si="5"/>
        <v>1</v>
      </c>
      <c r="H75" s="83">
        <f>SUM(H50:H74)</f>
        <v>0</v>
      </c>
      <c r="I75" s="6">
        <f>SUM(I50:I74)</f>
        <v>3</v>
      </c>
      <c r="J75" s="51">
        <f>SUM(J50:J74)</f>
        <v>1</v>
      </c>
      <c r="K75" s="44">
        <f>SUM(K50:K74)</f>
        <v>3</v>
      </c>
      <c r="L75" s="5">
        <f t="shared" si="6"/>
        <v>7</v>
      </c>
      <c r="M75" s="5">
        <f t="shared" si="4"/>
        <v>8</v>
      </c>
    </row>
    <row r="76" spans="1:13" ht="14.25" thickBot="1" x14ac:dyDescent="0.2">
      <c r="B76" s="4" t="s">
        <v>0</v>
      </c>
      <c r="C76" s="80">
        <f>+C49-C75</f>
        <v>0</v>
      </c>
      <c r="D76" s="25">
        <f>+D49-D75</f>
        <v>3</v>
      </c>
      <c r="E76" s="49">
        <f>+E49-E75</f>
        <v>2</v>
      </c>
      <c r="F76" s="45">
        <f>+F49-F75</f>
        <v>2</v>
      </c>
      <c r="G76" s="24">
        <f t="shared" si="5"/>
        <v>7</v>
      </c>
      <c r="H76" s="80">
        <f>+H49-H75</f>
        <v>0</v>
      </c>
      <c r="I76" s="25">
        <f>+I49-I75</f>
        <v>1</v>
      </c>
      <c r="J76" s="49">
        <f>+J49-J75</f>
        <v>3</v>
      </c>
      <c r="K76" s="45">
        <f>+K49-K75</f>
        <v>1</v>
      </c>
      <c r="L76" s="24">
        <f t="shared" si="6"/>
        <v>5</v>
      </c>
      <c r="M76" s="24">
        <f t="shared" si="4"/>
        <v>12</v>
      </c>
    </row>
    <row r="78" spans="1:13" ht="19.5" thickBot="1" x14ac:dyDescent="0.25">
      <c r="B78" s="36" t="s">
        <v>14</v>
      </c>
      <c r="C78" s="36"/>
      <c r="D78" s="35"/>
      <c r="E78" s="35"/>
      <c r="F78" s="35"/>
      <c r="G78" s="35"/>
      <c r="H78" s="36"/>
      <c r="I78" s="35"/>
      <c r="J78" s="35" t="s">
        <v>41</v>
      </c>
      <c r="K78" s="35"/>
      <c r="L78" s="35"/>
      <c r="M78" s="35"/>
    </row>
    <row r="79" spans="1:13" ht="14.25" thickBot="1" x14ac:dyDescent="0.2">
      <c r="B79" s="7"/>
      <c r="C79" s="93" t="s">
        <v>20</v>
      </c>
      <c r="D79" s="94"/>
      <c r="E79" s="94"/>
      <c r="F79" s="94"/>
      <c r="G79" s="95"/>
      <c r="H79" s="96" t="s">
        <v>21</v>
      </c>
      <c r="I79" s="97"/>
      <c r="J79" s="97"/>
      <c r="K79" s="97"/>
      <c r="L79" s="98"/>
      <c r="M79" s="5"/>
    </row>
    <row r="80" spans="1:13" ht="14.25" thickBot="1" x14ac:dyDescent="0.2">
      <c r="A80" s="1"/>
      <c r="B80" s="32"/>
      <c r="C80" s="77" t="s">
        <v>50</v>
      </c>
      <c r="D80" s="33" t="s">
        <v>8</v>
      </c>
      <c r="E80" s="46" t="s">
        <v>9</v>
      </c>
      <c r="F80" s="31" t="s">
        <v>10</v>
      </c>
      <c r="G80" s="7" t="s">
        <v>5</v>
      </c>
      <c r="H80" s="77" t="s">
        <v>50</v>
      </c>
      <c r="I80" s="33" t="s">
        <v>8</v>
      </c>
      <c r="J80" s="46" t="s">
        <v>9</v>
      </c>
      <c r="K80" s="31" t="s">
        <v>10</v>
      </c>
      <c r="L80" s="7" t="s">
        <v>5</v>
      </c>
      <c r="M80" s="7" t="s">
        <v>5</v>
      </c>
    </row>
    <row r="81" spans="2:14" x14ac:dyDescent="0.15">
      <c r="B81" s="30" t="s">
        <v>0</v>
      </c>
      <c r="C81" s="78">
        <f>C76</f>
        <v>0</v>
      </c>
      <c r="D81" s="23">
        <f>D76</f>
        <v>3</v>
      </c>
      <c r="E81" s="54">
        <f t="shared" ref="E81:M81" si="8">E76</f>
        <v>2</v>
      </c>
      <c r="F81" s="55">
        <f t="shared" si="8"/>
        <v>2</v>
      </c>
      <c r="G81" s="21">
        <f>G76</f>
        <v>7</v>
      </c>
      <c r="H81" s="78">
        <f>H76</f>
        <v>0</v>
      </c>
      <c r="I81" s="23">
        <f t="shared" si="8"/>
        <v>1</v>
      </c>
      <c r="J81" s="54">
        <f t="shared" si="8"/>
        <v>3</v>
      </c>
      <c r="K81" s="55">
        <f t="shared" si="8"/>
        <v>1</v>
      </c>
      <c r="L81" s="21">
        <f>L76</f>
        <v>5</v>
      </c>
      <c r="M81" s="21">
        <f t="shared" si="8"/>
        <v>12</v>
      </c>
    </row>
    <row r="82" spans="2:14" x14ac:dyDescent="0.15">
      <c r="B82" s="29" t="s">
        <v>3</v>
      </c>
      <c r="C82" s="79"/>
      <c r="D82" s="16"/>
      <c r="E82" s="47"/>
      <c r="F82" s="14"/>
      <c r="G82" s="13">
        <f>SUM(C82:F82)</f>
        <v>0</v>
      </c>
      <c r="H82" s="79"/>
      <c r="I82" s="16">
        <v>1</v>
      </c>
      <c r="J82" s="47"/>
      <c r="K82" s="14">
        <v>1</v>
      </c>
      <c r="L82" s="13">
        <f>SUM(H82:K82)</f>
        <v>2</v>
      </c>
      <c r="M82" s="13">
        <f t="shared" ref="M82:M84" si="9">G82+L82</f>
        <v>2</v>
      </c>
      <c r="N82" s="20">
        <v>45035</v>
      </c>
    </row>
    <row r="83" spans="2:14" x14ac:dyDescent="0.15">
      <c r="B83" s="29" t="s">
        <v>3</v>
      </c>
      <c r="C83" s="79"/>
      <c r="D83" s="16"/>
      <c r="E83" s="47"/>
      <c r="F83" s="14"/>
      <c r="G83" s="13">
        <f t="shared" ref="G83:G114" si="10">SUM(C83:F83)</f>
        <v>0</v>
      </c>
      <c r="H83" s="79"/>
      <c r="I83" s="16">
        <v>3</v>
      </c>
      <c r="J83" s="47"/>
      <c r="K83" s="14"/>
      <c r="L83" s="13">
        <f t="shared" ref="L83:L114" si="11">SUM(H83:K83)</f>
        <v>3</v>
      </c>
      <c r="M83" s="13">
        <f t="shared" si="9"/>
        <v>3</v>
      </c>
      <c r="N83" s="20">
        <v>45092</v>
      </c>
    </row>
    <row r="84" spans="2:14" x14ac:dyDescent="0.15">
      <c r="B84" s="29" t="s">
        <v>3</v>
      </c>
      <c r="C84" s="79"/>
      <c r="D84" s="16"/>
      <c r="E84" s="47"/>
      <c r="F84" s="14">
        <v>1</v>
      </c>
      <c r="G84" s="13">
        <f t="shared" si="10"/>
        <v>1</v>
      </c>
      <c r="H84" s="79"/>
      <c r="I84" s="16"/>
      <c r="J84" s="47"/>
      <c r="K84" s="14"/>
      <c r="L84" s="13">
        <f t="shared" si="11"/>
        <v>0</v>
      </c>
      <c r="M84" s="13">
        <f t="shared" si="9"/>
        <v>1</v>
      </c>
      <c r="N84" s="20">
        <v>45140</v>
      </c>
    </row>
    <row r="85" spans="2:14" x14ac:dyDescent="0.15">
      <c r="B85" s="29" t="s">
        <v>42</v>
      </c>
      <c r="C85" s="79"/>
      <c r="D85" s="16"/>
      <c r="E85" s="47">
        <v>1</v>
      </c>
      <c r="F85" s="14">
        <v>-1</v>
      </c>
      <c r="G85" s="13">
        <f t="shared" si="10"/>
        <v>0</v>
      </c>
      <c r="H85" s="79"/>
      <c r="I85" s="16"/>
      <c r="J85" s="47"/>
      <c r="K85" s="14"/>
      <c r="L85" s="13">
        <f t="shared" si="11"/>
        <v>0</v>
      </c>
      <c r="M85" s="13">
        <f t="shared" ref="M85:M114" si="12">G85+L85</f>
        <v>0</v>
      </c>
      <c r="N85" s="20">
        <v>45162</v>
      </c>
    </row>
    <row r="86" spans="2:14" ht="14.25" thickBot="1" x14ac:dyDescent="0.2">
      <c r="B86" s="28" t="s">
        <v>3</v>
      </c>
      <c r="C86" s="79"/>
      <c r="D86" s="27"/>
      <c r="E86" s="48"/>
      <c r="F86" s="9"/>
      <c r="G86" s="13">
        <f t="shared" si="10"/>
        <v>0</v>
      </c>
      <c r="H86" s="79"/>
      <c r="I86" s="27"/>
      <c r="J86" s="48"/>
      <c r="K86" s="9">
        <v>2</v>
      </c>
      <c r="L86" s="13">
        <f t="shared" si="11"/>
        <v>2</v>
      </c>
      <c r="M86" s="8">
        <f t="shared" si="12"/>
        <v>2</v>
      </c>
      <c r="N86" s="20">
        <v>45232</v>
      </c>
    </row>
    <row r="87" spans="2:14" ht="14.25" thickBot="1" x14ac:dyDescent="0.2">
      <c r="B87" s="26" t="s">
        <v>2</v>
      </c>
      <c r="C87" s="80">
        <f>SUM(C81:C86)</f>
        <v>0</v>
      </c>
      <c r="D87" s="25">
        <f>SUM(D81:D86)</f>
        <v>3</v>
      </c>
      <c r="E87" s="49">
        <f>SUM(E81:E86)</f>
        <v>3</v>
      </c>
      <c r="F87" s="25">
        <f>SUM(F81:F86)</f>
        <v>2</v>
      </c>
      <c r="G87" s="24">
        <f t="shared" si="10"/>
        <v>8</v>
      </c>
      <c r="H87" s="80">
        <f>SUM(H81:H86)</f>
        <v>0</v>
      </c>
      <c r="I87" s="25">
        <f>SUM(I81:I86)</f>
        <v>5</v>
      </c>
      <c r="J87" s="49">
        <f>SUM(J81:J86)</f>
        <v>3</v>
      </c>
      <c r="K87" s="25">
        <f>SUM(K81:K86)</f>
        <v>4</v>
      </c>
      <c r="L87" s="24">
        <f t="shared" si="11"/>
        <v>12</v>
      </c>
      <c r="M87" s="24">
        <f t="shared" si="12"/>
        <v>20</v>
      </c>
    </row>
    <row r="88" spans="2:14" x14ac:dyDescent="0.15">
      <c r="B88" s="12" t="s">
        <v>22</v>
      </c>
      <c r="C88" s="81"/>
      <c r="D88" s="16"/>
      <c r="E88" s="47"/>
      <c r="F88" s="14"/>
      <c r="G88" s="13">
        <f t="shared" si="10"/>
        <v>0</v>
      </c>
      <c r="H88" s="81"/>
      <c r="I88" s="16">
        <v>1</v>
      </c>
      <c r="J88" s="47"/>
      <c r="K88" s="14"/>
      <c r="L88" s="13">
        <f t="shared" si="11"/>
        <v>1</v>
      </c>
      <c r="M88" s="13">
        <f t="shared" si="12"/>
        <v>1</v>
      </c>
      <c r="N88" s="20">
        <v>45090</v>
      </c>
    </row>
    <row r="89" spans="2:14" x14ac:dyDescent="0.15">
      <c r="B89" s="12" t="s">
        <v>22</v>
      </c>
      <c r="C89" s="81"/>
      <c r="D89" s="16"/>
      <c r="E89" s="47"/>
      <c r="F89" s="14">
        <v>1</v>
      </c>
      <c r="G89" s="13">
        <f t="shared" si="10"/>
        <v>1</v>
      </c>
      <c r="H89" s="81"/>
      <c r="I89" s="16"/>
      <c r="J89" s="47"/>
      <c r="K89" s="14"/>
      <c r="L89" s="13">
        <f t="shared" si="11"/>
        <v>0</v>
      </c>
      <c r="M89" s="13">
        <f t="shared" ref="M89:M93" si="13">G89+L89</f>
        <v>1</v>
      </c>
      <c r="N89" s="20">
        <v>45131</v>
      </c>
    </row>
    <row r="90" spans="2:14" x14ac:dyDescent="0.15">
      <c r="B90" s="12" t="s">
        <v>22</v>
      </c>
      <c r="C90" s="81"/>
      <c r="D90" s="16"/>
      <c r="E90" s="47"/>
      <c r="F90" s="14"/>
      <c r="G90" s="13">
        <f t="shared" si="10"/>
        <v>0</v>
      </c>
      <c r="H90" s="81"/>
      <c r="I90" s="16"/>
      <c r="J90" s="47"/>
      <c r="K90" s="14">
        <v>1</v>
      </c>
      <c r="L90" s="13">
        <f t="shared" si="11"/>
        <v>1</v>
      </c>
      <c r="M90" s="13">
        <f t="shared" si="13"/>
        <v>1</v>
      </c>
      <c r="N90" s="20">
        <v>45170</v>
      </c>
    </row>
    <row r="91" spans="2:14" x14ac:dyDescent="0.15">
      <c r="B91" s="12" t="s">
        <v>22</v>
      </c>
      <c r="C91" s="81"/>
      <c r="D91" s="16"/>
      <c r="E91" s="47"/>
      <c r="F91" s="14"/>
      <c r="G91" s="13">
        <f t="shared" si="10"/>
        <v>0</v>
      </c>
      <c r="H91" s="81"/>
      <c r="I91" s="16"/>
      <c r="J91" s="47">
        <v>1</v>
      </c>
      <c r="K91" s="14"/>
      <c r="L91" s="13">
        <f t="shared" si="11"/>
        <v>1</v>
      </c>
      <c r="M91" s="13">
        <f t="shared" si="13"/>
        <v>1</v>
      </c>
      <c r="N91" s="20">
        <v>45173</v>
      </c>
    </row>
    <row r="92" spans="2:14" x14ac:dyDescent="0.15">
      <c r="B92" s="12" t="s">
        <v>22</v>
      </c>
      <c r="C92" s="81"/>
      <c r="D92" s="16">
        <v>1</v>
      </c>
      <c r="E92" s="47"/>
      <c r="F92" s="14"/>
      <c r="G92" s="13">
        <f t="shared" si="10"/>
        <v>1</v>
      </c>
      <c r="H92" s="81"/>
      <c r="I92" s="16"/>
      <c r="J92" s="47"/>
      <c r="K92" s="14"/>
      <c r="L92" s="13">
        <f t="shared" si="11"/>
        <v>0</v>
      </c>
      <c r="M92" s="13">
        <f t="shared" si="13"/>
        <v>1</v>
      </c>
      <c r="N92" s="20">
        <v>45194</v>
      </c>
    </row>
    <row r="93" spans="2:14" x14ac:dyDescent="0.15">
      <c r="B93" s="12" t="s">
        <v>22</v>
      </c>
      <c r="C93" s="81"/>
      <c r="D93" s="16"/>
      <c r="E93" s="47"/>
      <c r="F93" s="14"/>
      <c r="G93" s="13">
        <f t="shared" si="10"/>
        <v>0</v>
      </c>
      <c r="H93" s="81"/>
      <c r="I93" s="16">
        <v>1</v>
      </c>
      <c r="J93" s="47"/>
      <c r="K93" s="14"/>
      <c r="L93" s="13">
        <f t="shared" si="11"/>
        <v>1</v>
      </c>
      <c r="M93" s="13">
        <f t="shared" si="13"/>
        <v>1</v>
      </c>
      <c r="N93" s="20">
        <v>45197</v>
      </c>
    </row>
    <row r="94" spans="2:14" x14ac:dyDescent="0.15">
      <c r="B94" s="12" t="s">
        <v>22</v>
      </c>
      <c r="C94" s="81"/>
      <c r="D94" s="16"/>
      <c r="E94" s="47"/>
      <c r="F94" s="14"/>
      <c r="G94" s="13">
        <f t="shared" si="10"/>
        <v>0</v>
      </c>
      <c r="H94" s="81"/>
      <c r="I94" s="16">
        <v>1</v>
      </c>
      <c r="J94" s="47"/>
      <c r="K94" s="14">
        <v>1</v>
      </c>
      <c r="L94" s="13">
        <f t="shared" si="11"/>
        <v>2</v>
      </c>
      <c r="M94" s="13">
        <f t="shared" si="12"/>
        <v>2</v>
      </c>
      <c r="N94" s="20">
        <v>45201</v>
      </c>
    </row>
    <row r="95" spans="2:14" x14ac:dyDescent="0.15">
      <c r="B95" s="12" t="s">
        <v>22</v>
      </c>
      <c r="C95" s="81"/>
      <c r="D95" s="19"/>
      <c r="E95" s="50">
        <v>1</v>
      </c>
      <c r="F95" s="17"/>
      <c r="G95" s="13">
        <f t="shared" si="10"/>
        <v>1</v>
      </c>
      <c r="H95" s="81"/>
      <c r="I95" s="19"/>
      <c r="J95" s="50"/>
      <c r="K95" s="17"/>
      <c r="L95" s="13">
        <f t="shared" si="11"/>
        <v>0</v>
      </c>
      <c r="M95" s="13">
        <f t="shared" si="12"/>
        <v>1</v>
      </c>
      <c r="N95" s="20">
        <v>45209</v>
      </c>
    </row>
    <row r="96" spans="2:14" x14ac:dyDescent="0.15">
      <c r="B96" s="12" t="s">
        <v>22</v>
      </c>
      <c r="C96" s="81"/>
      <c r="D96" s="19"/>
      <c r="E96" s="50"/>
      <c r="F96" s="17"/>
      <c r="G96" s="13">
        <f t="shared" si="10"/>
        <v>0</v>
      </c>
      <c r="H96" s="81"/>
      <c r="I96" s="19"/>
      <c r="J96" s="50">
        <v>1</v>
      </c>
      <c r="K96" s="17"/>
      <c r="L96" s="13">
        <f t="shared" si="11"/>
        <v>1</v>
      </c>
      <c r="M96" s="13">
        <f t="shared" si="12"/>
        <v>1</v>
      </c>
      <c r="N96" s="20">
        <v>45229</v>
      </c>
    </row>
    <row r="97" spans="2:13" x14ac:dyDescent="0.15">
      <c r="B97" s="12"/>
      <c r="C97" s="81"/>
      <c r="D97" s="16"/>
      <c r="E97" s="47"/>
      <c r="F97" s="14"/>
      <c r="G97" s="13">
        <f t="shared" si="10"/>
        <v>0</v>
      </c>
      <c r="H97" s="81"/>
      <c r="I97" s="16"/>
      <c r="J97" s="47"/>
      <c r="K97" s="14"/>
      <c r="L97" s="13">
        <f t="shared" si="11"/>
        <v>0</v>
      </c>
      <c r="M97" s="13">
        <f t="shared" si="12"/>
        <v>0</v>
      </c>
    </row>
    <row r="98" spans="2:13" x14ac:dyDescent="0.15">
      <c r="B98" s="12"/>
      <c r="C98" s="81"/>
      <c r="D98" s="19"/>
      <c r="E98" s="50"/>
      <c r="F98" s="17"/>
      <c r="G98" s="13">
        <f t="shared" si="10"/>
        <v>0</v>
      </c>
      <c r="H98" s="81"/>
      <c r="I98" s="19"/>
      <c r="J98" s="50"/>
      <c r="K98" s="17"/>
      <c r="L98" s="13">
        <f t="shared" si="11"/>
        <v>0</v>
      </c>
      <c r="M98" s="13">
        <f t="shared" si="12"/>
        <v>0</v>
      </c>
    </row>
    <row r="99" spans="2:13" x14ac:dyDescent="0.15">
      <c r="B99" s="12"/>
      <c r="C99" s="81"/>
      <c r="D99" s="19"/>
      <c r="E99" s="50"/>
      <c r="F99" s="17"/>
      <c r="G99" s="13">
        <f t="shared" si="10"/>
        <v>0</v>
      </c>
      <c r="H99" s="81"/>
      <c r="I99" s="19"/>
      <c r="J99" s="50"/>
      <c r="K99" s="17"/>
      <c r="L99" s="13">
        <f t="shared" si="11"/>
        <v>0</v>
      </c>
      <c r="M99" s="13">
        <f t="shared" si="12"/>
        <v>0</v>
      </c>
    </row>
    <row r="100" spans="2:13" x14ac:dyDescent="0.15">
      <c r="B100" s="12"/>
      <c r="C100" s="79"/>
      <c r="D100" s="16"/>
      <c r="E100" s="47"/>
      <c r="F100" s="14"/>
      <c r="G100" s="13">
        <f t="shared" si="10"/>
        <v>0</v>
      </c>
      <c r="H100" s="79"/>
      <c r="I100" s="16"/>
      <c r="J100" s="47"/>
      <c r="K100" s="14"/>
      <c r="L100" s="13">
        <f t="shared" si="11"/>
        <v>0</v>
      </c>
      <c r="M100" s="13">
        <f t="shared" si="12"/>
        <v>0</v>
      </c>
    </row>
    <row r="101" spans="2:13" x14ac:dyDescent="0.15">
      <c r="B101" s="12"/>
      <c r="C101" s="81"/>
      <c r="D101" s="19"/>
      <c r="E101" s="50"/>
      <c r="F101" s="17"/>
      <c r="G101" s="13">
        <f t="shared" si="10"/>
        <v>0</v>
      </c>
      <c r="H101" s="81"/>
      <c r="I101" s="19"/>
      <c r="J101" s="50"/>
      <c r="K101" s="17"/>
      <c r="L101" s="13">
        <f t="shared" si="11"/>
        <v>0</v>
      </c>
      <c r="M101" s="13">
        <f t="shared" si="12"/>
        <v>0</v>
      </c>
    </row>
    <row r="102" spans="2:13" x14ac:dyDescent="0.15">
      <c r="B102" s="12"/>
      <c r="C102" s="81"/>
      <c r="D102" s="19"/>
      <c r="E102" s="50"/>
      <c r="F102" s="17"/>
      <c r="G102" s="13">
        <f t="shared" si="10"/>
        <v>0</v>
      </c>
      <c r="H102" s="81"/>
      <c r="I102" s="19"/>
      <c r="J102" s="50"/>
      <c r="K102" s="17"/>
      <c r="L102" s="13">
        <f t="shared" si="11"/>
        <v>0</v>
      </c>
      <c r="M102" s="13">
        <f t="shared" si="12"/>
        <v>0</v>
      </c>
    </row>
    <row r="103" spans="2:13" x14ac:dyDescent="0.15">
      <c r="B103" s="12"/>
      <c r="C103" s="81"/>
      <c r="D103" s="19"/>
      <c r="E103" s="50"/>
      <c r="F103" s="17"/>
      <c r="G103" s="13">
        <f t="shared" si="10"/>
        <v>0</v>
      </c>
      <c r="H103" s="81"/>
      <c r="I103" s="19"/>
      <c r="J103" s="50"/>
      <c r="K103" s="17"/>
      <c r="L103" s="13">
        <f t="shared" si="11"/>
        <v>0</v>
      </c>
      <c r="M103" s="13">
        <f t="shared" si="12"/>
        <v>0</v>
      </c>
    </row>
    <row r="104" spans="2:13" x14ac:dyDescent="0.15">
      <c r="B104" s="12"/>
      <c r="C104" s="81"/>
      <c r="D104" s="19"/>
      <c r="E104" s="50"/>
      <c r="F104" s="17"/>
      <c r="G104" s="13">
        <f t="shared" si="10"/>
        <v>0</v>
      </c>
      <c r="H104" s="81"/>
      <c r="I104" s="19"/>
      <c r="J104" s="50"/>
      <c r="K104" s="17"/>
      <c r="L104" s="13">
        <f t="shared" si="11"/>
        <v>0</v>
      </c>
      <c r="M104" s="13">
        <f t="shared" si="12"/>
        <v>0</v>
      </c>
    </row>
    <row r="105" spans="2:13" x14ac:dyDescent="0.15">
      <c r="B105" s="12"/>
      <c r="C105" s="81"/>
      <c r="D105" s="19"/>
      <c r="E105" s="50"/>
      <c r="F105" s="17"/>
      <c r="G105" s="13">
        <f t="shared" si="10"/>
        <v>0</v>
      </c>
      <c r="H105" s="81"/>
      <c r="I105" s="19"/>
      <c r="J105" s="50"/>
      <c r="K105" s="17"/>
      <c r="L105" s="13">
        <f t="shared" si="11"/>
        <v>0</v>
      </c>
      <c r="M105" s="13">
        <f t="shared" si="12"/>
        <v>0</v>
      </c>
    </row>
    <row r="106" spans="2:13" x14ac:dyDescent="0.15">
      <c r="B106" s="12"/>
      <c r="C106" s="81"/>
      <c r="D106" s="19"/>
      <c r="E106" s="50"/>
      <c r="F106" s="17"/>
      <c r="G106" s="13">
        <f t="shared" si="10"/>
        <v>0</v>
      </c>
      <c r="H106" s="81"/>
      <c r="I106" s="19"/>
      <c r="J106" s="50"/>
      <c r="K106" s="17"/>
      <c r="L106" s="13">
        <f t="shared" si="11"/>
        <v>0</v>
      </c>
      <c r="M106" s="13">
        <f t="shared" si="12"/>
        <v>0</v>
      </c>
    </row>
    <row r="107" spans="2:13" x14ac:dyDescent="0.15">
      <c r="B107" s="12"/>
      <c r="C107" s="79"/>
      <c r="D107" s="16"/>
      <c r="E107" s="47"/>
      <c r="F107" s="14"/>
      <c r="G107" s="13">
        <f t="shared" si="10"/>
        <v>0</v>
      </c>
      <c r="H107" s="79"/>
      <c r="I107" s="16"/>
      <c r="J107" s="47"/>
      <c r="K107" s="14"/>
      <c r="L107" s="13">
        <f t="shared" si="11"/>
        <v>0</v>
      </c>
      <c r="M107" s="13">
        <f t="shared" si="12"/>
        <v>0</v>
      </c>
    </row>
    <row r="108" spans="2:13" x14ac:dyDescent="0.15">
      <c r="B108" s="12"/>
      <c r="C108" s="79"/>
      <c r="D108" s="16"/>
      <c r="E108" s="47"/>
      <c r="F108" s="14"/>
      <c r="G108" s="13">
        <f t="shared" si="10"/>
        <v>0</v>
      </c>
      <c r="H108" s="79"/>
      <c r="I108" s="16"/>
      <c r="J108" s="47"/>
      <c r="K108" s="14"/>
      <c r="L108" s="13">
        <f t="shared" si="11"/>
        <v>0</v>
      </c>
      <c r="M108" s="13">
        <f t="shared" si="12"/>
        <v>0</v>
      </c>
    </row>
    <row r="109" spans="2:13" x14ac:dyDescent="0.15">
      <c r="B109" s="12"/>
      <c r="C109" s="79"/>
      <c r="D109" s="16"/>
      <c r="E109" s="47"/>
      <c r="F109" s="14"/>
      <c r="G109" s="13">
        <f t="shared" si="10"/>
        <v>0</v>
      </c>
      <c r="H109" s="79"/>
      <c r="I109" s="16"/>
      <c r="J109" s="47"/>
      <c r="K109" s="14"/>
      <c r="L109" s="13">
        <f t="shared" si="11"/>
        <v>0</v>
      </c>
      <c r="M109" s="13">
        <f t="shared" si="12"/>
        <v>0</v>
      </c>
    </row>
    <row r="110" spans="2:13" x14ac:dyDescent="0.15">
      <c r="B110" s="12"/>
      <c r="C110" s="79"/>
      <c r="D110" s="16"/>
      <c r="E110" s="47"/>
      <c r="F110" s="14"/>
      <c r="G110" s="13">
        <f t="shared" si="10"/>
        <v>0</v>
      </c>
      <c r="H110" s="79"/>
      <c r="I110" s="16"/>
      <c r="J110" s="47"/>
      <c r="K110" s="14"/>
      <c r="L110" s="13">
        <f t="shared" si="11"/>
        <v>0</v>
      </c>
      <c r="M110" s="13">
        <f t="shared" si="12"/>
        <v>0</v>
      </c>
    </row>
    <row r="111" spans="2:13" x14ac:dyDescent="0.15">
      <c r="B111" s="12"/>
      <c r="C111" s="79"/>
      <c r="D111" s="16"/>
      <c r="E111" s="47"/>
      <c r="F111" s="14"/>
      <c r="G111" s="13">
        <f t="shared" si="10"/>
        <v>0</v>
      </c>
      <c r="H111" s="79"/>
      <c r="I111" s="16"/>
      <c r="J111" s="47"/>
      <c r="K111" s="14"/>
      <c r="L111" s="13">
        <f t="shared" si="11"/>
        <v>0</v>
      </c>
      <c r="M111" s="13">
        <f t="shared" si="12"/>
        <v>0</v>
      </c>
    </row>
    <row r="112" spans="2:13" ht="14.25" thickBot="1" x14ac:dyDescent="0.2">
      <c r="B112" s="12"/>
      <c r="C112" s="82"/>
      <c r="D112" s="27"/>
      <c r="E112" s="48"/>
      <c r="F112" s="9"/>
      <c r="G112" s="8">
        <f t="shared" si="10"/>
        <v>0</v>
      </c>
      <c r="H112" s="82"/>
      <c r="I112" s="27"/>
      <c r="J112" s="48"/>
      <c r="K112" s="9"/>
      <c r="L112" s="8">
        <f t="shared" si="11"/>
        <v>0</v>
      </c>
      <c r="M112" s="8">
        <f t="shared" si="12"/>
        <v>0</v>
      </c>
    </row>
    <row r="113" spans="1:14" ht="14.25" thickBot="1" x14ac:dyDescent="0.2">
      <c r="B113" s="7" t="s">
        <v>1</v>
      </c>
      <c r="C113" s="83">
        <f>SUM(C88:C112)</f>
        <v>0</v>
      </c>
      <c r="D113" s="6">
        <f>SUM(D88:D112)</f>
        <v>1</v>
      </c>
      <c r="E113" s="51">
        <f>SUM(E88:E112)</f>
        <v>1</v>
      </c>
      <c r="F113" s="44">
        <f>SUM(F88:F112)</f>
        <v>1</v>
      </c>
      <c r="G113" s="5">
        <f t="shared" si="10"/>
        <v>3</v>
      </c>
      <c r="H113" s="83">
        <f>SUM(H88:H112)</f>
        <v>0</v>
      </c>
      <c r="I113" s="6">
        <f>SUM(I88:I112)</f>
        <v>3</v>
      </c>
      <c r="J113" s="51">
        <f>SUM(J88:J112)</f>
        <v>2</v>
      </c>
      <c r="K113" s="44">
        <f>SUM(K88:K112)</f>
        <v>2</v>
      </c>
      <c r="L113" s="5">
        <f t="shared" si="11"/>
        <v>7</v>
      </c>
      <c r="M113" s="5">
        <f t="shared" si="12"/>
        <v>10</v>
      </c>
    </row>
    <row r="114" spans="1:14" ht="14.25" thickBot="1" x14ac:dyDescent="0.2">
      <c r="B114" s="4" t="s">
        <v>0</v>
      </c>
      <c r="C114" s="80">
        <f>+C87-C113</f>
        <v>0</v>
      </c>
      <c r="D114" s="25">
        <f>+D87-D113</f>
        <v>2</v>
      </c>
      <c r="E114" s="49">
        <f>+E87-E113</f>
        <v>2</v>
      </c>
      <c r="F114" s="45">
        <f>+F87-F113</f>
        <v>1</v>
      </c>
      <c r="G114" s="24">
        <f t="shared" si="10"/>
        <v>5</v>
      </c>
      <c r="H114" s="80">
        <f>+H87-H113</f>
        <v>0</v>
      </c>
      <c r="I114" s="25">
        <f>+I87-I113</f>
        <v>2</v>
      </c>
      <c r="J114" s="49">
        <f>+J87-J113</f>
        <v>1</v>
      </c>
      <c r="K114" s="45">
        <f>+K87-K113</f>
        <v>2</v>
      </c>
      <c r="L114" s="24">
        <f t="shared" si="11"/>
        <v>5</v>
      </c>
      <c r="M114" s="24">
        <f t="shared" si="12"/>
        <v>10</v>
      </c>
    </row>
    <row r="116" spans="1:14" ht="19.5" thickBot="1" x14ac:dyDescent="0.25">
      <c r="B116" s="36" t="s">
        <v>14</v>
      </c>
      <c r="C116" s="36"/>
      <c r="D116" s="35"/>
      <c r="E116" s="35"/>
      <c r="F116" s="35"/>
      <c r="G116" s="35"/>
      <c r="H116" s="36"/>
      <c r="I116" s="35"/>
      <c r="J116" s="35" t="s">
        <v>44</v>
      </c>
      <c r="K116" s="35"/>
      <c r="L116" s="35"/>
      <c r="M116" s="35"/>
    </row>
    <row r="117" spans="1:14" ht="14.25" thickBot="1" x14ac:dyDescent="0.2">
      <c r="B117" s="7"/>
      <c r="C117" s="93" t="s">
        <v>20</v>
      </c>
      <c r="D117" s="94"/>
      <c r="E117" s="94"/>
      <c r="F117" s="94"/>
      <c r="G117" s="95"/>
      <c r="H117" s="96" t="s">
        <v>21</v>
      </c>
      <c r="I117" s="97"/>
      <c r="J117" s="97"/>
      <c r="K117" s="97"/>
      <c r="L117" s="98"/>
      <c r="M117" s="5"/>
    </row>
    <row r="118" spans="1:14" ht="14.25" thickBot="1" x14ac:dyDescent="0.2">
      <c r="A118" s="1"/>
      <c r="B118" s="32"/>
      <c r="C118" s="77" t="s">
        <v>50</v>
      </c>
      <c r="D118" s="33" t="s">
        <v>8</v>
      </c>
      <c r="E118" s="46" t="s">
        <v>9</v>
      </c>
      <c r="F118" s="31" t="s">
        <v>10</v>
      </c>
      <c r="G118" s="7" t="s">
        <v>5</v>
      </c>
      <c r="H118" s="77" t="s">
        <v>50</v>
      </c>
      <c r="I118" s="33" t="s">
        <v>8</v>
      </c>
      <c r="J118" s="46" t="s">
        <v>9</v>
      </c>
      <c r="K118" s="31" t="s">
        <v>10</v>
      </c>
      <c r="L118" s="7" t="s">
        <v>5</v>
      </c>
      <c r="M118" s="7" t="s">
        <v>5</v>
      </c>
    </row>
    <row r="119" spans="1:14" x14ac:dyDescent="0.15">
      <c r="B119" s="30" t="s">
        <v>0</v>
      </c>
      <c r="C119" s="78">
        <f>C114</f>
        <v>0</v>
      </c>
      <c r="D119" s="23">
        <f>D114</f>
        <v>2</v>
      </c>
      <c r="E119" s="54">
        <f t="shared" ref="E119:M119" si="14">E114</f>
        <v>2</v>
      </c>
      <c r="F119" s="55">
        <f t="shared" si="14"/>
        <v>1</v>
      </c>
      <c r="G119" s="21">
        <f>G114</f>
        <v>5</v>
      </c>
      <c r="H119" s="78">
        <f>H114</f>
        <v>0</v>
      </c>
      <c r="I119" s="23">
        <f t="shared" si="14"/>
        <v>2</v>
      </c>
      <c r="J119" s="54">
        <f t="shared" si="14"/>
        <v>1</v>
      </c>
      <c r="K119" s="55">
        <f t="shared" si="14"/>
        <v>2</v>
      </c>
      <c r="L119" s="21">
        <f>L114</f>
        <v>5</v>
      </c>
      <c r="M119" s="21">
        <f t="shared" si="14"/>
        <v>10</v>
      </c>
    </row>
    <row r="120" spans="1:14" x14ac:dyDescent="0.15">
      <c r="B120" s="29" t="s">
        <v>3</v>
      </c>
      <c r="C120" s="79"/>
      <c r="D120" s="16"/>
      <c r="E120" s="47"/>
      <c r="F120" s="14">
        <v>1</v>
      </c>
      <c r="G120" s="13">
        <f>SUM(C120:F120)</f>
        <v>1</v>
      </c>
      <c r="H120" s="79"/>
      <c r="I120" s="16"/>
      <c r="J120" s="47">
        <v>3</v>
      </c>
      <c r="K120" s="14"/>
      <c r="L120" s="13">
        <f>SUM(H120:K120)</f>
        <v>3</v>
      </c>
      <c r="M120" s="13">
        <f t="shared" ref="M120:M152" si="15">G120+L120</f>
        <v>4</v>
      </c>
      <c r="N120" s="20">
        <v>45266</v>
      </c>
    </row>
    <row r="121" spans="1:14" x14ac:dyDescent="0.15">
      <c r="B121" s="29" t="s">
        <v>3</v>
      </c>
      <c r="C121" s="79"/>
      <c r="D121" s="16"/>
      <c r="E121" s="47"/>
      <c r="F121" s="14">
        <v>1</v>
      </c>
      <c r="G121" s="13">
        <f t="shared" ref="G121:G152" si="16">SUM(C121:F121)</f>
        <v>1</v>
      </c>
      <c r="H121" s="79"/>
      <c r="I121" s="16">
        <v>1</v>
      </c>
      <c r="J121" s="47"/>
      <c r="K121" s="14"/>
      <c r="L121" s="13">
        <f t="shared" ref="L121:L152" si="17">SUM(H121:K121)</f>
        <v>1</v>
      </c>
      <c r="M121" s="13">
        <f t="shared" si="15"/>
        <v>2</v>
      </c>
      <c r="N121" s="20">
        <v>45336</v>
      </c>
    </row>
    <row r="122" spans="1:14" x14ac:dyDescent="0.15">
      <c r="B122" s="29" t="s">
        <v>3</v>
      </c>
      <c r="C122" s="79"/>
      <c r="D122" s="16"/>
      <c r="E122" s="47"/>
      <c r="F122" s="14"/>
      <c r="G122" s="13">
        <f t="shared" si="16"/>
        <v>0</v>
      </c>
      <c r="H122" s="79"/>
      <c r="I122" s="16">
        <v>1</v>
      </c>
      <c r="J122" s="47">
        <v>3</v>
      </c>
      <c r="K122" s="14"/>
      <c r="L122" s="13">
        <f t="shared" si="17"/>
        <v>4</v>
      </c>
      <c r="M122" s="13">
        <f t="shared" si="15"/>
        <v>4</v>
      </c>
      <c r="N122" s="20">
        <v>45378</v>
      </c>
    </row>
    <row r="123" spans="1:14" x14ac:dyDescent="0.15">
      <c r="B123" s="29" t="s">
        <v>3</v>
      </c>
      <c r="C123" s="79"/>
      <c r="D123" s="16"/>
      <c r="E123" s="47"/>
      <c r="F123" s="14"/>
      <c r="G123" s="13">
        <f t="shared" si="16"/>
        <v>0</v>
      </c>
      <c r="H123" s="79"/>
      <c r="I123" s="16"/>
      <c r="J123" s="47">
        <v>1</v>
      </c>
      <c r="K123" s="14"/>
      <c r="L123" s="13">
        <f t="shared" si="17"/>
        <v>1</v>
      </c>
      <c r="M123" s="13">
        <f t="shared" si="15"/>
        <v>1</v>
      </c>
      <c r="N123" s="20">
        <v>45386</v>
      </c>
    </row>
    <row r="124" spans="1:14" ht="14.25" thickBot="1" x14ac:dyDescent="0.2">
      <c r="B124" s="28" t="s">
        <v>3</v>
      </c>
      <c r="C124" s="79"/>
      <c r="D124" s="27"/>
      <c r="E124" s="48">
        <v>2</v>
      </c>
      <c r="F124" s="9"/>
      <c r="G124" s="13">
        <f t="shared" si="16"/>
        <v>2</v>
      </c>
      <c r="H124" s="79"/>
      <c r="I124" s="27">
        <v>2</v>
      </c>
      <c r="J124" s="48"/>
      <c r="K124" s="9">
        <v>2</v>
      </c>
      <c r="L124" s="13">
        <f t="shared" si="17"/>
        <v>4</v>
      </c>
      <c r="M124" s="8">
        <f t="shared" si="15"/>
        <v>6</v>
      </c>
      <c r="N124" s="20">
        <v>45421</v>
      </c>
    </row>
    <row r="125" spans="1:14" ht="14.25" thickBot="1" x14ac:dyDescent="0.2">
      <c r="B125" s="26" t="s">
        <v>2</v>
      </c>
      <c r="C125" s="80">
        <f>SUM(C119:C124)</f>
        <v>0</v>
      </c>
      <c r="D125" s="25">
        <f>SUM(D119:D124)</f>
        <v>2</v>
      </c>
      <c r="E125" s="49">
        <f>SUM(E119:E124)</f>
        <v>4</v>
      </c>
      <c r="F125" s="25">
        <f>SUM(F119:F124)</f>
        <v>3</v>
      </c>
      <c r="G125" s="24">
        <f t="shared" si="16"/>
        <v>9</v>
      </c>
      <c r="H125" s="80">
        <f>SUM(H119:H124)</f>
        <v>0</v>
      </c>
      <c r="I125" s="25">
        <f>SUM(I119:I124)</f>
        <v>6</v>
      </c>
      <c r="J125" s="49">
        <f>SUM(J119:J124)</f>
        <v>8</v>
      </c>
      <c r="K125" s="25">
        <f>SUM(K119:K124)</f>
        <v>4</v>
      </c>
      <c r="L125" s="24">
        <f t="shared" si="17"/>
        <v>18</v>
      </c>
      <c r="M125" s="24">
        <f t="shared" si="15"/>
        <v>27</v>
      </c>
    </row>
    <row r="126" spans="1:14" x14ac:dyDescent="0.15">
      <c r="B126" s="12" t="s">
        <v>22</v>
      </c>
      <c r="C126" s="81"/>
      <c r="D126" s="16"/>
      <c r="E126" s="47"/>
      <c r="F126" s="14"/>
      <c r="G126" s="13">
        <f t="shared" si="16"/>
        <v>0</v>
      </c>
      <c r="H126" s="81"/>
      <c r="I126" s="16"/>
      <c r="J126" s="47">
        <v>2</v>
      </c>
      <c r="K126" s="14"/>
      <c r="L126" s="13">
        <f t="shared" si="17"/>
        <v>2</v>
      </c>
      <c r="M126" s="13">
        <f t="shared" ref="M126:M134" si="18">G126+L126</f>
        <v>2</v>
      </c>
      <c r="N126" s="20">
        <v>45265</v>
      </c>
    </row>
    <row r="127" spans="1:14" x14ac:dyDescent="0.15">
      <c r="B127" s="12" t="s">
        <v>22</v>
      </c>
      <c r="C127" s="81"/>
      <c r="D127" s="16"/>
      <c r="E127" s="47"/>
      <c r="F127" s="14"/>
      <c r="G127" s="13">
        <f t="shared" si="16"/>
        <v>0</v>
      </c>
      <c r="H127" s="81"/>
      <c r="I127" s="16">
        <v>1</v>
      </c>
      <c r="J127" s="47"/>
      <c r="K127" s="14"/>
      <c r="L127" s="13">
        <f t="shared" si="17"/>
        <v>1</v>
      </c>
      <c r="M127" s="13">
        <f t="shared" si="18"/>
        <v>1</v>
      </c>
      <c r="N127" s="20">
        <v>45314</v>
      </c>
    </row>
    <row r="128" spans="1:14" x14ac:dyDescent="0.15">
      <c r="B128" s="12" t="s">
        <v>22</v>
      </c>
      <c r="C128" s="81"/>
      <c r="D128" s="16"/>
      <c r="E128" s="47"/>
      <c r="F128" s="14"/>
      <c r="G128" s="13">
        <f t="shared" si="16"/>
        <v>0</v>
      </c>
      <c r="H128" s="81"/>
      <c r="I128" s="16">
        <v>1</v>
      </c>
      <c r="J128" s="47"/>
      <c r="K128" s="14"/>
      <c r="L128" s="13">
        <f t="shared" si="17"/>
        <v>1</v>
      </c>
      <c r="M128" s="13">
        <f t="shared" si="18"/>
        <v>1</v>
      </c>
      <c r="N128" s="20">
        <v>45362</v>
      </c>
    </row>
    <row r="129" spans="2:14" x14ac:dyDescent="0.15">
      <c r="B129" s="12" t="s">
        <v>22</v>
      </c>
      <c r="C129" s="81"/>
      <c r="D129" s="16"/>
      <c r="E129" s="47"/>
      <c r="F129" s="14"/>
      <c r="G129" s="13">
        <f t="shared" si="16"/>
        <v>0</v>
      </c>
      <c r="H129" s="81"/>
      <c r="I129" s="16"/>
      <c r="J129" s="47">
        <v>2</v>
      </c>
      <c r="K129" s="14"/>
      <c r="L129" s="13">
        <f t="shared" si="17"/>
        <v>2</v>
      </c>
      <c r="M129" s="13">
        <f t="shared" si="18"/>
        <v>2</v>
      </c>
      <c r="N129" s="20">
        <v>45366</v>
      </c>
    </row>
    <row r="130" spans="2:14" x14ac:dyDescent="0.15">
      <c r="B130" s="12" t="s">
        <v>22</v>
      </c>
      <c r="C130" s="81"/>
      <c r="D130" s="16"/>
      <c r="E130" s="47"/>
      <c r="F130" s="14"/>
      <c r="G130" s="13">
        <f t="shared" si="16"/>
        <v>0</v>
      </c>
      <c r="H130" s="81"/>
      <c r="I130" s="16"/>
      <c r="J130" s="47">
        <v>1</v>
      </c>
      <c r="K130" s="14"/>
      <c r="L130" s="13">
        <f t="shared" si="17"/>
        <v>1</v>
      </c>
      <c r="M130" s="13">
        <f t="shared" si="18"/>
        <v>1</v>
      </c>
      <c r="N130" s="20">
        <v>45376</v>
      </c>
    </row>
    <row r="131" spans="2:14" x14ac:dyDescent="0.15">
      <c r="B131" s="12" t="s">
        <v>22</v>
      </c>
      <c r="C131" s="81"/>
      <c r="D131" s="16"/>
      <c r="E131" s="47"/>
      <c r="F131" s="14"/>
      <c r="G131" s="13">
        <f t="shared" si="16"/>
        <v>0</v>
      </c>
      <c r="H131" s="81"/>
      <c r="I131" s="16"/>
      <c r="J131" s="47">
        <v>1</v>
      </c>
      <c r="K131" s="14"/>
      <c r="L131" s="13">
        <f t="shared" si="17"/>
        <v>1</v>
      </c>
      <c r="M131" s="13">
        <f t="shared" si="18"/>
        <v>1</v>
      </c>
      <c r="N131" s="20">
        <v>7</v>
      </c>
    </row>
    <row r="132" spans="2:14" x14ac:dyDescent="0.15">
      <c r="B132" s="12" t="s">
        <v>22</v>
      </c>
      <c r="C132" s="81"/>
      <c r="D132" s="16"/>
      <c r="E132" s="47">
        <v>2</v>
      </c>
      <c r="F132" s="14"/>
      <c r="G132" s="13">
        <f t="shared" si="16"/>
        <v>2</v>
      </c>
      <c r="H132" s="81"/>
      <c r="I132" s="16"/>
      <c r="J132" s="47"/>
      <c r="K132" s="14"/>
      <c r="L132" s="13">
        <f t="shared" si="17"/>
        <v>0</v>
      </c>
      <c r="M132" s="13">
        <f t="shared" si="18"/>
        <v>2</v>
      </c>
      <c r="N132" s="20">
        <v>45397</v>
      </c>
    </row>
    <row r="133" spans="2:14" x14ac:dyDescent="0.15">
      <c r="B133" s="12" t="s">
        <v>22</v>
      </c>
      <c r="C133" s="81"/>
      <c r="D133" s="16"/>
      <c r="E133" s="47"/>
      <c r="F133" s="14"/>
      <c r="G133" s="13">
        <f t="shared" si="16"/>
        <v>0</v>
      </c>
      <c r="H133" s="81"/>
      <c r="I133" s="16"/>
      <c r="J133" s="47"/>
      <c r="K133" s="14">
        <v>1</v>
      </c>
      <c r="L133" s="13">
        <f t="shared" si="17"/>
        <v>1</v>
      </c>
      <c r="M133" s="13">
        <f t="shared" si="18"/>
        <v>1</v>
      </c>
      <c r="N133" s="20">
        <v>45404</v>
      </c>
    </row>
    <row r="134" spans="2:14" x14ac:dyDescent="0.15">
      <c r="B134" s="12" t="s">
        <v>22</v>
      </c>
      <c r="C134" s="81"/>
      <c r="D134" s="16"/>
      <c r="E134" s="47"/>
      <c r="F134" s="14"/>
      <c r="G134" s="13">
        <f t="shared" si="16"/>
        <v>0</v>
      </c>
      <c r="H134" s="81"/>
      <c r="I134" s="16"/>
      <c r="J134" s="47"/>
      <c r="K134" s="14">
        <v>1</v>
      </c>
      <c r="L134" s="13">
        <f t="shared" si="17"/>
        <v>1</v>
      </c>
      <c r="M134" s="13">
        <f t="shared" si="18"/>
        <v>1</v>
      </c>
      <c r="N134" s="20">
        <v>45406</v>
      </c>
    </row>
    <row r="135" spans="2:14" x14ac:dyDescent="0.15">
      <c r="B135" s="12" t="s">
        <v>22</v>
      </c>
      <c r="C135" s="81"/>
      <c r="D135" s="16"/>
      <c r="E135" s="47"/>
      <c r="F135" s="14"/>
      <c r="G135" s="13">
        <f t="shared" si="16"/>
        <v>0</v>
      </c>
      <c r="H135" s="81"/>
      <c r="I135" s="16">
        <v>2</v>
      </c>
      <c r="J135" s="47"/>
      <c r="K135" s="14"/>
      <c r="L135" s="13">
        <f t="shared" si="17"/>
        <v>2</v>
      </c>
      <c r="M135" s="13">
        <f t="shared" si="15"/>
        <v>2</v>
      </c>
      <c r="N135" s="20">
        <v>45421</v>
      </c>
    </row>
    <row r="136" spans="2:14" x14ac:dyDescent="0.15">
      <c r="B136" s="12" t="s">
        <v>22</v>
      </c>
      <c r="C136" s="81"/>
      <c r="D136" s="19">
        <v>1</v>
      </c>
      <c r="E136" s="50"/>
      <c r="F136" s="17"/>
      <c r="G136" s="13">
        <f t="shared" si="16"/>
        <v>1</v>
      </c>
      <c r="H136" s="81"/>
      <c r="I136" s="19"/>
      <c r="J136" s="50"/>
      <c r="K136" s="17"/>
      <c r="L136" s="13">
        <f t="shared" si="17"/>
        <v>0</v>
      </c>
      <c r="M136" s="13">
        <f t="shared" si="15"/>
        <v>1</v>
      </c>
      <c r="N136" s="20">
        <v>45432</v>
      </c>
    </row>
    <row r="137" spans="2:14" x14ac:dyDescent="0.15">
      <c r="B137" s="12" t="s">
        <v>22</v>
      </c>
      <c r="C137" s="81"/>
      <c r="D137" s="19"/>
      <c r="E137" s="50">
        <v>1</v>
      </c>
      <c r="F137" s="17"/>
      <c r="G137" s="13">
        <f t="shared" si="16"/>
        <v>1</v>
      </c>
      <c r="H137" s="81"/>
      <c r="I137" s="19"/>
      <c r="J137" s="50"/>
      <c r="K137" s="17"/>
      <c r="L137" s="13">
        <f t="shared" si="17"/>
        <v>0</v>
      </c>
      <c r="M137" s="13">
        <f t="shared" si="15"/>
        <v>1</v>
      </c>
      <c r="N137" s="20">
        <v>45439</v>
      </c>
    </row>
    <row r="138" spans="2:14" x14ac:dyDescent="0.15">
      <c r="B138" s="12" t="s">
        <v>47</v>
      </c>
      <c r="C138" s="79"/>
      <c r="D138" s="16">
        <v>-2</v>
      </c>
      <c r="E138" s="47">
        <v>-2</v>
      </c>
      <c r="F138" s="14"/>
      <c r="G138" s="13">
        <f t="shared" si="16"/>
        <v>-4</v>
      </c>
      <c r="H138" s="79"/>
      <c r="I138" s="16"/>
      <c r="J138" s="47"/>
      <c r="K138" s="14"/>
      <c r="L138" s="13">
        <f t="shared" si="17"/>
        <v>0</v>
      </c>
      <c r="M138" s="13">
        <f t="shared" si="15"/>
        <v>-4</v>
      </c>
      <c r="N138" s="20">
        <v>45448</v>
      </c>
    </row>
    <row r="139" spans="2:14" x14ac:dyDescent="0.15">
      <c r="B139" s="12" t="s">
        <v>22</v>
      </c>
      <c r="C139" s="81"/>
      <c r="D139" s="19"/>
      <c r="E139" s="50"/>
      <c r="F139" s="17"/>
      <c r="G139" s="13">
        <f t="shared" si="16"/>
        <v>0</v>
      </c>
      <c r="H139" s="81"/>
      <c r="I139" s="19"/>
      <c r="J139" s="50">
        <v>1</v>
      </c>
      <c r="K139" s="17"/>
      <c r="L139" s="13">
        <f t="shared" si="17"/>
        <v>1</v>
      </c>
      <c r="M139" s="13">
        <f t="shared" si="15"/>
        <v>1</v>
      </c>
      <c r="N139" s="20">
        <v>45446</v>
      </c>
    </row>
    <row r="140" spans="2:14" x14ac:dyDescent="0.15">
      <c r="B140" s="12" t="s">
        <v>22</v>
      </c>
      <c r="C140" s="81"/>
      <c r="D140" s="19"/>
      <c r="E140" s="50"/>
      <c r="F140" s="17"/>
      <c r="G140" s="13">
        <f t="shared" si="16"/>
        <v>0</v>
      </c>
      <c r="H140" s="81"/>
      <c r="I140" s="19">
        <v>1</v>
      </c>
      <c r="J140" s="50"/>
      <c r="K140" s="17"/>
      <c r="L140" s="13">
        <f t="shared" si="17"/>
        <v>1</v>
      </c>
      <c r="M140" s="13">
        <f t="shared" si="15"/>
        <v>1</v>
      </c>
      <c r="N140" s="20">
        <v>45467</v>
      </c>
    </row>
    <row r="141" spans="2:14" x14ac:dyDescent="0.15">
      <c r="B141" s="12" t="s">
        <v>22</v>
      </c>
      <c r="C141" s="81"/>
      <c r="D141" s="19"/>
      <c r="E141" s="50"/>
      <c r="F141" s="17">
        <v>1</v>
      </c>
      <c r="G141" s="13">
        <f t="shared" si="16"/>
        <v>1</v>
      </c>
      <c r="H141" s="81"/>
      <c r="I141" s="19"/>
      <c r="J141" s="50"/>
      <c r="K141" s="17"/>
      <c r="L141" s="13">
        <f t="shared" si="17"/>
        <v>0</v>
      </c>
      <c r="M141" s="13">
        <f t="shared" si="15"/>
        <v>1</v>
      </c>
      <c r="N141" s="20">
        <v>45469</v>
      </c>
    </row>
    <row r="142" spans="2:14" x14ac:dyDescent="0.15">
      <c r="B142" s="12" t="s">
        <v>3</v>
      </c>
      <c r="C142" s="81"/>
      <c r="D142" s="16"/>
      <c r="E142" s="47"/>
      <c r="F142" s="14"/>
      <c r="G142" s="13">
        <f t="shared" si="16"/>
        <v>0</v>
      </c>
      <c r="H142" s="81"/>
      <c r="I142" s="16">
        <v>-2</v>
      </c>
      <c r="J142" s="47">
        <v>-2</v>
      </c>
      <c r="K142" s="14"/>
      <c r="L142" s="13">
        <f t="shared" si="17"/>
        <v>-4</v>
      </c>
      <c r="M142" s="13">
        <f t="shared" si="15"/>
        <v>-4</v>
      </c>
      <c r="N142" s="20">
        <v>45477</v>
      </c>
    </row>
    <row r="143" spans="2:14" x14ac:dyDescent="0.15">
      <c r="B143" s="12" t="s">
        <v>22</v>
      </c>
      <c r="C143" s="81"/>
      <c r="D143" s="19"/>
      <c r="E143" s="50"/>
      <c r="F143" s="17"/>
      <c r="G143" s="13">
        <f t="shared" si="16"/>
        <v>0</v>
      </c>
      <c r="H143" s="81"/>
      <c r="I143" s="19">
        <v>1</v>
      </c>
      <c r="J143" s="50"/>
      <c r="K143" s="17"/>
      <c r="L143" s="13">
        <f t="shared" si="17"/>
        <v>1</v>
      </c>
      <c r="M143" s="13">
        <f t="shared" si="15"/>
        <v>1</v>
      </c>
      <c r="N143" s="20">
        <v>45489</v>
      </c>
    </row>
    <row r="144" spans="2:14" x14ac:dyDescent="0.15">
      <c r="B144" s="12" t="s">
        <v>48</v>
      </c>
      <c r="C144" s="81"/>
      <c r="D144" s="19">
        <v>-1</v>
      </c>
      <c r="E144" s="50"/>
      <c r="F144" s="17"/>
      <c r="G144" s="13">
        <f t="shared" si="16"/>
        <v>-1</v>
      </c>
      <c r="H144" s="81"/>
      <c r="I144" s="19">
        <v>0</v>
      </c>
      <c r="J144" s="50">
        <v>-1</v>
      </c>
      <c r="K144" s="17">
        <v>0</v>
      </c>
      <c r="L144" s="13">
        <f t="shared" si="17"/>
        <v>-1</v>
      </c>
      <c r="M144" s="13">
        <f t="shared" si="15"/>
        <v>-2</v>
      </c>
      <c r="N144" s="20">
        <v>45531</v>
      </c>
    </row>
    <row r="145" spans="1:14" x14ac:dyDescent="0.15">
      <c r="B145" s="12" t="s">
        <v>22</v>
      </c>
      <c r="C145" s="79"/>
      <c r="D145" s="16"/>
      <c r="E145" s="47"/>
      <c r="F145" s="14"/>
      <c r="G145" s="13">
        <f t="shared" si="16"/>
        <v>0</v>
      </c>
      <c r="H145" s="79"/>
      <c r="I145" s="16"/>
      <c r="J145" s="47"/>
      <c r="K145" s="14">
        <v>1</v>
      </c>
      <c r="L145" s="13">
        <f t="shared" si="17"/>
        <v>1</v>
      </c>
      <c r="M145" s="13">
        <f t="shared" si="15"/>
        <v>1</v>
      </c>
      <c r="N145" s="20">
        <v>45546</v>
      </c>
    </row>
    <row r="146" spans="1:14" x14ac:dyDescent="0.15">
      <c r="B146" s="12" t="s">
        <v>22</v>
      </c>
      <c r="C146" s="79"/>
      <c r="D146" s="16"/>
      <c r="E146" s="47"/>
      <c r="F146" s="14"/>
      <c r="G146" s="13">
        <f t="shared" si="16"/>
        <v>0</v>
      </c>
      <c r="H146" s="79"/>
      <c r="I146" s="16"/>
      <c r="J146" s="47">
        <v>1</v>
      </c>
      <c r="K146" s="14"/>
      <c r="L146" s="13">
        <f t="shared" si="17"/>
        <v>1</v>
      </c>
      <c r="M146" s="13">
        <f t="shared" si="15"/>
        <v>1</v>
      </c>
      <c r="N146" s="20">
        <v>45554</v>
      </c>
    </row>
    <row r="147" spans="1:14" x14ac:dyDescent="0.15">
      <c r="B147" s="12" t="s">
        <v>22</v>
      </c>
      <c r="C147" s="79"/>
      <c r="D147" s="16"/>
      <c r="E147" s="47">
        <v>1</v>
      </c>
      <c r="F147" s="14"/>
      <c r="G147" s="13">
        <f t="shared" si="16"/>
        <v>1</v>
      </c>
      <c r="H147" s="79"/>
      <c r="I147" s="16"/>
      <c r="J147" s="47"/>
      <c r="K147" s="14"/>
      <c r="L147" s="13">
        <f t="shared" si="17"/>
        <v>0</v>
      </c>
      <c r="M147" s="13">
        <f t="shared" si="15"/>
        <v>1</v>
      </c>
      <c r="N147" s="20">
        <v>45559</v>
      </c>
    </row>
    <row r="148" spans="1:14" x14ac:dyDescent="0.15">
      <c r="B148" s="12" t="s">
        <v>22</v>
      </c>
      <c r="C148" s="79"/>
      <c r="D148" s="16"/>
      <c r="E148" s="47">
        <v>1</v>
      </c>
      <c r="F148" s="14"/>
      <c r="G148" s="13">
        <f t="shared" si="16"/>
        <v>1</v>
      </c>
      <c r="H148" s="79"/>
      <c r="I148" s="16"/>
      <c r="J148" s="47"/>
      <c r="K148" s="14"/>
      <c r="L148" s="13">
        <f t="shared" si="17"/>
        <v>0</v>
      </c>
      <c r="M148" s="13">
        <f t="shared" si="15"/>
        <v>1</v>
      </c>
      <c r="N148" s="20">
        <v>45565</v>
      </c>
    </row>
    <row r="149" spans="1:14" x14ac:dyDescent="0.15">
      <c r="B149" s="12" t="s">
        <v>22</v>
      </c>
      <c r="C149" s="79"/>
      <c r="D149" s="16"/>
      <c r="E149" s="47"/>
      <c r="F149" s="14"/>
      <c r="G149" s="13">
        <f t="shared" si="16"/>
        <v>0</v>
      </c>
      <c r="H149" s="79"/>
      <c r="I149" s="16">
        <v>2</v>
      </c>
      <c r="J149" s="47"/>
      <c r="K149" s="14"/>
      <c r="L149" s="13">
        <f t="shared" si="17"/>
        <v>2</v>
      </c>
      <c r="M149" s="13">
        <f t="shared" si="15"/>
        <v>2</v>
      </c>
      <c r="N149" s="20">
        <v>45572</v>
      </c>
    </row>
    <row r="150" spans="1:14" ht="14.25" thickBot="1" x14ac:dyDescent="0.2">
      <c r="B150" s="12"/>
      <c r="C150" s="82"/>
      <c r="D150" s="27"/>
      <c r="E150" s="48"/>
      <c r="F150" s="9"/>
      <c r="G150" s="8">
        <f t="shared" si="16"/>
        <v>0</v>
      </c>
      <c r="H150" s="82"/>
      <c r="I150" s="27"/>
      <c r="J150" s="48"/>
      <c r="K150" s="9"/>
      <c r="L150" s="8">
        <f t="shared" si="17"/>
        <v>0</v>
      </c>
      <c r="M150" s="8">
        <f t="shared" si="15"/>
        <v>0</v>
      </c>
    </row>
    <row r="151" spans="1:14" ht="14.25" thickBot="1" x14ac:dyDescent="0.2">
      <c r="B151" s="7" t="s">
        <v>1</v>
      </c>
      <c r="C151" s="83">
        <f>SUM(C126:C150)</f>
        <v>0</v>
      </c>
      <c r="D151" s="6">
        <f>SUM(D126:D150)</f>
        <v>-2</v>
      </c>
      <c r="E151" s="51">
        <f>SUM(E126:E150)</f>
        <v>3</v>
      </c>
      <c r="F151" s="44">
        <f>SUM(F126:F150)</f>
        <v>1</v>
      </c>
      <c r="G151" s="5">
        <f t="shared" si="16"/>
        <v>2</v>
      </c>
      <c r="H151" s="83">
        <f>SUM(H126:H150)</f>
        <v>0</v>
      </c>
      <c r="I151" s="6">
        <f>SUM(I126:I150)</f>
        <v>6</v>
      </c>
      <c r="J151" s="51">
        <f>SUM(J126:J150)</f>
        <v>5</v>
      </c>
      <c r="K151" s="44">
        <f>SUM(K126:K150)</f>
        <v>3</v>
      </c>
      <c r="L151" s="5">
        <f t="shared" si="17"/>
        <v>14</v>
      </c>
      <c r="M151" s="5">
        <f t="shared" si="15"/>
        <v>16</v>
      </c>
    </row>
    <row r="152" spans="1:14" ht="14.25" thickBot="1" x14ac:dyDescent="0.2">
      <c r="B152" s="4" t="s">
        <v>0</v>
      </c>
      <c r="C152" s="80">
        <f>+C125-C151</f>
        <v>0</v>
      </c>
      <c r="D152" s="25">
        <f>+D125-D151</f>
        <v>4</v>
      </c>
      <c r="E152" s="49">
        <f>+E125-E151</f>
        <v>1</v>
      </c>
      <c r="F152" s="45">
        <f>+F125-F151</f>
        <v>2</v>
      </c>
      <c r="G152" s="24">
        <f t="shared" si="16"/>
        <v>7</v>
      </c>
      <c r="H152" s="80">
        <f>+H125-H151</f>
        <v>0</v>
      </c>
      <c r="I152" s="25">
        <f>+I125-I151</f>
        <v>0</v>
      </c>
      <c r="J152" s="49">
        <f>+J125-J151</f>
        <v>3</v>
      </c>
      <c r="K152" s="45">
        <f>+K125-K151</f>
        <v>1</v>
      </c>
      <c r="L152" s="24">
        <f t="shared" si="17"/>
        <v>4</v>
      </c>
      <c r="M152" s="24">
        <f t="shared" si="15"/>
        <v>11</v>
      </c>
    </row>
    <row r="154" spans="1:14" ht="19.5" thickBot="1" x14ac:dyDescent="0.25">
      <c r="B154" s="36" t="s">
        <v>14</v>
      </c>
      <c r="C154" s="36"/>
      <c r="D154" s="35"/>
      <c r="E154" s="35"/>
      <c r="F154" s="35"/>
      <c r="G154" s="35"/>
      <c r="H154" s="36"/>
      <c r="I154" s="35"/>
      <c r="J154" s="35" t="s">
        <v>44</v>
      </c>
      <c r="K154" s="35"/>
      <c r="L154" s="35"/>
      <c r="M154" s="35"/>
    </row>
    <row r="155" spans="1:14" ht="14.25" thickBot="1" x14ac:dyDescent="0.2">
      <c r="B155" s="7"/>
      <c r="C155" s="93" t="s">
        <v>20</v>
      </c>
      <c r="D155" s="94"/>
      <c r="E155" s="94"/>
      <c r="F155" s="94"/>
      <c r="G155" s="95"/>
      <c r="H155" s="96" t="s">
        <v>21</v>
      </c>
      <c r="I155" s="97"/>
      <c r="J155" s="97"/>
      <c r="K155" s="97"/>
      <c r="L155" s="98"/>
      <c r="M155" s="5"/>
    </row>
    <row r="156" spans="1:14" ht="14.25" thickBot="1" x14ac:dyDescent="0.2">
      <c r="A156" s="1"/>
      <c r="B156" s="32"/>
      <c r="C156" s="77" t="s">
        <v>50</v>
      </c>
      <c r="D156" s="33" t="s">
        <v>8</v>
      </c>
      <c r="E156" s="46" t="s">
        <v>9</v>
      </c>
      <c r="F156" s="31" t="s">
        <v>10</v>
      </c>
      <c r="G156" s="7" t="s">
        <v>5</v>
      </c>
      <c r="H156" s="77" t="s">
        <v>50</v>
      </c>
      <c r="I156" s="33" t="s">
        <v>8</v>
      </c>
      <c r="J156" s="46" t="s">
        <v>9</v>
      </c>
      <c r="K156" s="31" t="s">
        <v>10</v>
      </c>
      <c r="L156" s="7" t="s">
        <v>5</v>
      </c>
      <c r="M156" s="7" t="s">
        <v>5</v>
      </c>
    </row>
    <row r="157" spans="1:14" x14ac:dyDescent="0.15">
      <c r="B157" s="30" t="s">
        <v>0</v>
      </c>
      <c r="C157" s="78">
        <f>C152</f>
        <v>0</v>
      </c>
      <c r="D157" s="23">
        <f>D152</f>
        <v>4</v>
      </c>
      <c r="E157" s="54">
        <f t="shared" ref="E157:M157" si="19">E152</f>
        <v>1</v>
      </c>
      <c r="F157" s="55">
        <f t="shared" si="19"/>
        <v>2</v>
      </c>
      <c r="G157" s="21">
        <f>G152</f>
        <v>7</v>
      </c>
      <c r="H157" s="78">
        <f>H152</f>
        <v>0</v>
      </c>
      <c r="I157" s="23">
        <f t="shared" si="19"/>
        <v>0</v>
      </c>
      <c r="J157" s="54">
        <f t="shared" si="19"/>
        <v>3</v>
      </c>
      <c r="K157" s="55">
        <f t="shared" si="19"/>
        <v>1</v>
      </c>
      <c r="L157" s="21">
        <f>L152</f>
        <v>4</v>
      </c>
      <c r="M157" s="21">
        <f t="shared" si="19"/>
        <v>11</v>
      </c>
    </row>
    <row r="158" spans="1:14" x14ac:dyDescent="0.15">
      <c r="B158" s="29" t="s">
        <v>3</v>
      </c>
      <c r="C158" s="79"/>
      <c r="D158" s="16"/>
      <c r="E158" s="47"/>
      <c r="F158" s="14"/>
      <c r="G158" s="13">
        <f>SUM(C158:F158)</f>
        <v>0</v>
      </c>
      <c r="H158" s="79"/>
      <c r="I158" s="16"/>
      <c r="J158" s="47"/>
      <c r="K158" s="14">
        <v>1</v>
      </c>
      <c r="L158" s="13">
        <f>SUM(H158:K158)</f>
        <v>1</v>
      </c>
      <c r="M158" s="13">
        <f t="shared" ref="M158:M160" si="20">G158+L158</f>
        <v>1</v>
      </c>
      <c r="N158" s="20">
        <v>45555</v>
      </c>
    </row>
    <row r="159" spans="1:14" x14ac:dyDescent="0.15">
      <c r="B159" s="29" t="s">
        <v>3</v>
      </c>
      <c r="C159" s="79"/>
      <c r="D159" s="16"/>
      <c r="E159" s="47">
        <v>2</v>
      </c>
      <c r="F159" s="14"/>
      <c r="G159" s="13">
        <f t="shared" ref="G159:G190" si="21">SUM(C159:F159)</f>
        <v>2</v>
      </c>
      <c r="H159" s="79"/>
      <c r="I159" s="16">
        <v>3</v>
      </c>
      <c r="J159" s="47"/>
      <c r="K159" s="14"/>
      <c r="L159" s="13">
        <f t="shared" ref="L159:L190" si="22">SUM(H159:K159)</f>
        <v>3</v>
      </c>
      <c r="M159" s="13">
        <f t="shared" si="20"/>
        <v>5</v>
      </c>
      <c r="N159" s="20">
        <v>45573</v>
      </c>
    </row>
    <row r="160" spans="1:14" x14ac:dyDescent="0.15">
      <c r="B160" s="29" t="s">
        <v>3</v>
      </c>
      <c r="C160" s="79"/>
      <c r="D160" s="16"/>
      <c r="E160" s="47"/>
      <c r="F160" s="14">
        <v>2</v>
      </c>
      <c r="G160" s="13">
        <f t="shared" si="21"/>
        <v>2</v>
      </c>
      <c r="H160" s="79"/>
      <c r="I160" s="16">
        <v>2</v>
      </c>
      <c r="J160" s="47"/>
      <c r="K160" s="14"/>
      <c r="L160" s="13">
        <f t="shared" si="22"/>
        <v>2</v>
      </c>
      <c r="M160" s="13">
        <f t="shared" si="20"/>
        <v>4</v>
      </c>
      <c r="N160" s="20">
        <v>45715</v>
      </c>
    </row>
    <row r="161" spans="2:14" x14ac:dyDescent="0.15">
      <c r="B161" s="29" t="s">
        <v>3</v>
      </c>
      <c r="C161" s="79">
        <v>1</v>
      </c>
      <c r="D161" s="16"/>
      <c r="E161" s="47"/>
      <c r="F161" s="14"/>
      <c r="G161" s="13">
        <f t="shared" si="21"/>
        <v>1</v>
      </c>
      <c r="H161" s="79"/>
      <c r="I161" s="16"/>
      <c r="J161" s="47"/>
      <c r="K161" s="14"/>
      <c r="L161" s="13">
        <f t="shared" si="22"/>
        <v>0</v>
      </c>
      <c r="M161" s="13">
        <f t="shared" ref="M161:M190" si="23">G161+L161</f>
        <v>1</v>
      </c>
      <c r="N161" s="20">
        <v>45734</v>
      </c>
    </row>
    <row r="162" spans="2:14" ht="14.25" thickBot="1" x14ac:dyDescent="0.2">
      <c r="B162" s="29" t="s">
        <v>42</v>
      </c>
      <c r="C162" s="79"/>
      <c r="D162" s="16"/>
      <c r="E162" s="47"/>
      <c r="F162" s="14"/>
      <c r="G162" s="13">
        <f t="shared" si="21"/>
        <v>0</v>
      </c>
      <c r="H162" s="79">
        <v>2</v>
      </c>
      <c r="I162" s="16"/>
      <c r="J162" s="47">
        <v>1</v>
      </c>
      <c r="K162" s="14">
        <v>-1</v>
      </c>
      <c r="L162" s="13">
        <f t="shared" si="22"/>
        <v>2</v>
      </c>
      <c r="M162" s="13">
        <f t="shared" ref="M162" si="24">G162+L162</f>
        <v>2</v>
      </c>
      <c r="N162" s="20"/>
    </row>
    <row r="163" spans="2:14" ht="14.25" thickBot="1" x14ac:dyDescent="0.2">
      <c r="B163" s="26" t="s">
        <v>2</v>
      </c>
      <c r="C163" s="80">
        <f>SUM(C157:C162)</f>
        <v>1</v>
      </c>
      <c r="D163" s="25">
        <f>SUM(D157:D162)</f>
        <v>4</v>
      </c>
      <c r="E163" s="49">
        <f>SUM(E157:E162)</f>
        <v>3</v>
      </c>
      <c r="F163" s="25">
        <f>SUM(F157:F162)</f>
        <v>4</v>
      </c>
      <c r="G163" s="24">
        <f t="shared" si="21"/>
        <v>12</v>
      </c>
      <c r="H163" s="80">
        <f>SUM(H157:H162)</f>
        <v>2</v>
      </c>
      <c r="I163" s="25">
        <f>SUM(I157:I162)</f>
        <v>5</v>
      </c>
      <c r="J163" s="49">
        <f>SUM(J157:J162)</f>
        <v>4</v>
      </c>
      <c r="K163" s="25">
        <f>SUM(K157:K162)</f>
        <v>1</v>
      </c>
      <c r="L163" s="24">
        <f t="shared" si="22"/>
        <v>12</v>
      </c>
      <c r="M163" s="24">
        <f t="shared" si="23"/>
        <v>24</v>
      </c>
    </row>
    <row r="164" spans="2:14" x14ac:dyDescent="0.15">
      <c r="B164" s="12" t="s">
        <v>22</v>
      </c>
      <c r="C164" s="81"/>
      <c r="D164" s="16"/>
      <c r="E164" s="47"/>
      <c r="F164" s="14"/>
      <c r="G164" s="13">
        <f t="shared" si="21"/>
        <v>0</v>
      </c>
      <c r="H164" s="81"/>
      <c r="I164" s="16">
        <v>1</v>
      </c>
      <c r="J164" s="47"/>
      <c r="K164" s="14"/>
      <c r="L164" s="13">
        <f t="shared" si="22"/>
        <v>1</v>
      </c>
      <c r="M164" s="13">
        <f t="shared" si="23"/>
        <v>1</v>
      </c>
      <c r="N164" s="20">
        <v>45594</v>
      </c>
    </row>
    <row r="165" spans="2:14" x14ac:dyDescent="0.15">
      <c r="B165" s="12" t="s">
        <v>22</v>
      </c>
      <c r="C165" s="81"/>
      <c r="D165" s="16"/>
      <c r="E165" s="47"/>
      <c r="F165" s="14"/>
      <c r="G165" s="13">
        <f t="shared" si="21"/>
        <v>0</v>
      </c>
      <c r="H165" s="81"/>
      <c r="I165" s="16"/>
      <c r="J165" s="47">
        <v>1</v>
      </c>
      <c r="K165" s="14"/>
      <c r="L165" s="13">
        <f t="shared" si="22"/>
        <v>1</v>
      </c>
      <c r="M165" s="13">
        <f t="shared" si="23"/>
        <v>1</v>
      </c>
      <c r="N165" s="20">
        <v>45637</v>
      </c>
    </row>
    <row r="166" spans="2:14" x14ac:dyDescent="0.15">
      <c r="B166" s="12" t="s">
        <v>22</v>
      </c>
      <c r="C166" s="81"/>
      <c r="D166" s="16"/>
      <c r="E166" s="47"/>
      <c r="F166" s="14">
        <v>1</v>
      </c>
      <c r="G166" s="13">
        <f t="shared" si="21"/>
        <v>1</v>
      </c>
      <c r="H166" s="81"/>
      <c r="I166" s="16"/>
      <c r="J166" s="47"/>
      <c r="K166" s="14"/>
      <c r="L166" s="13">
        <f t="shared" si="22"/>
        <v>0</v>
      </c>
      <c r="M166" s="13">
        <f t="shared" si="23"/>
        <v>1</v>
      </c>
      <c r="N166" s="20">
        <v>45651</v>
      </c>
    </row>
    <row r="167" spans="2:14" x14ac:dyDescent="0.15">
      <c r="B167" s="12" t="s">
        <v>22</v>
      </c>
      <c r="C167" s="81"/>
      <c r="D167" s="16">
        <v>2</v>
      </c>
      <c r="E167" s="47"/>
      <c r="F167" s="14"/>
      <c r="G167" s="13">
        <f t="shared" si="21"/>
        <v>2</v>
      </c>
      <c r="H167" s="81"/>
      <c r="I167" s="16">
        <v>1</v>
      </c>
      <c r="J167" s="47"/>
      <c r="K167" s="14"/>
      <c r="L167" s="13">
        <f t="shared" si="22"/>
        <v>1</v>
      </c>
      <c r="M167" s="13">
        <f t="shared" si="23"/>
        <v>3</v>
      </c>
      <c r="N167" s="20">
        <v>45684</v>
      </c>
    </row>
    <row r="168" spans="2:14" x14ac:dyDescent="0.15">
      <c r="B168" s="12" t="s">
        <v>22</v>
      </c>
      <c r="C168" s="81"/>
      <c r="D168" s="16"/>
      <c r="E168" s="47"/>
      <c r="F168" s="14"/>
      <c r="G168" s="13">
        <f t="shared" si="21"/>
        <v>0</v>
      </c>
      <c r="H168" s="81">
        <v>1</v>
      </c>
      <c r="I168" s="16"/>
      <c r="J168" s="47"/>
      <c r="K168" s="14"/>
      <c r="L168" s="13">
        <f t="shared" si="22"/>
        <v>1</v>
      </c>
      <c r="M168" s="13">
        <f t="shared" si="23"/>
        <v>1</v>
      </c>
      <c r="N168" s="20">
        <v>45693</v>
      </c>
    </row>
    <row r="169" spans="2:14" x14ac:dyDescent="0.15">
      <c r="B169" s="12" t="s">
        <v>22</v>
      </c>
      <c r="C169" s="81"/>
      <c r="D169" s="16"/>
      <c r="E169" s="47">
        <v>1</v>
      </c>
      <c r="F169" s="14"/>
      <c r="G169" s="13">
        <f t="shared" si="21"/>
        <v>1</v>
      </c>
      <c r="H169" s="81"/>
      <c r="I169" s="16"/>
      <c r="J169" s="47"/>
      <c r="K169" s="14"/>
      <c r="L169" s="13">
        <f t="shared" si="22"/>
        <v>0</v>
      </c>
      <c r="M169" s="13">
        <f t="shared" si="23"/>
        <v>1</v>
      </c>
      <c r="N169" s="20">
        <v>45722</v>
      </c>
    </row>
    <row r="170" spans="2:14" x14ac:dyDescent="0.15">
      <c r="B170" s="12" t="s">
        <v>22</v>
      </c>
      <c r="C170" s="81"/>
      <c r="D170" s="16">
        <v>1</v>
      </c>
      <c r="E170" s="47"/>
      <c r="F170" s="14"/>
      <c r="G170" s="13">
        <f t="shared" si="21"/>
        <v>1</v>
      </c>
      <c r="H170" s="81">
        <v>1</v>
      </c>
      <c r="I170" s="16"/>
      <c r="J170" s="47"/>
      <c r="K170" s="14"/>
      <c r="L170" s="13">
        <f t="shared" si="22"/>
        <v>1</v>
      </c>
      <c r="M170" s="13">
        <f t="shared" si="23"/>
        <v>2</v>
      </c>
      <c r="N170" s="20">
        <v>45741</v>
      </c>
    </row>
    <row r="171" spans="2:14" x14ac:dyDescent="0.15">
      <c r="B171" s="12" t="s">
        <v>22</v>
      </c>
      <c r="C171" s="81"/>
      <c r="D171" s="16"/>
      <c r="E171" s="47"/>
      <c r="F171" s="14"/>
      <c r="G171" s="13">
        <f t="shared" si="21"/>
        <v>0</v>
      </c>
      <c r="H171" s="81"/>
      <c r="I171" s="16"/>
      <c r="J171" s="47"/>
      <c r="K171" s="14"/>
      <c r="L171" s="13">
        <f t="shared" si="22"/>
        <v>0</v>
      </c>
      <c r="M171" s="13">
        <f t="shared" si="23"/>
        <v>0</v>
      </c>
    </row>
    <row r="172" spans="2:14" x14ac:dyDescent="0.15">
      <c r="B172" s="12"/>
      <c r="C172" s="81"/>
      <c r="D172" s="16"/>
      <c r="E172" s="47"/>
      <c r="F172" s="14"/>
      <c r="G172" s="13">
        <f t="shared" si="21"/>
        <v>0</v>
      </c>
      <c r="H172" s="81"/>
      <c r="I172" s="16"/>
      <c r="J172" s="47"/>
      <c r="K172" s="14"/>
      <c r="L172" s="13">
        <f t="shared" si="22"/>
        <v>0</v>
      </c>
      <c r="M172" s="13">
        <f t="shared" si="23"/>
        <v>0</v>
      </c>
    </row>
    <row r="173" spans="2:14" x14ac:dyDescent="0.15">
      <c r="B173" s="12"/>
      <c r="C173" s="81"/>
      <c r="D173" s="16"/>
      <c r="E173" s="47"/>
      <c r="F173" s="14"/>
      <c r="G173" s="13">
        <f t="shared" si="21"/>
        <v>0</v>
      </c>
      <c r="H173" s="81"/>
      <c r="I173" s="16"/>
      <c r="J173" s="47"/>
      <c r="K173" s="14"/>
      <c r="L173" s="13">
        <f t="shared" si="22"/>
        <v>0</v>
      </c>
      <c r="M173" s="13">
        <f t="shared" si="23"/>
        <v>0</v>
      </c>
    </row>
    <row r="174" spans="2:14" x14ac:dyDescent="0.15">
      <c r="B174" s="12"/>
      <c r="C174" s="81"/>
      <c r="D174" s="19"/>
      <c r="E174" s="50"/>
      <c r="F174" s="17"/>
      <c r="G174" s="13">
        <f t="shared" si="21"/>
        <v>0</v>
      </c>
      <c r="H174" s="81"/>
      <c r="I174" s="19"/>
      <c r="J174" s="50"/>
      <c r="K174" s="17"/>
      <c r="L174" s="13">
        <f t="shared" si="22"/>
        <v>0</v>
      </c>
      <c r="M174" s="13">
        <f t="shared" si="23"/>
        <v>0</v>
      </c>
    </row>
    <row r="175" spans="2:14" x14ac:dyDescent="0.15">
      <c r="B175" s="12"/>
      <c r="C175" s="81"/>
      <c r="D175" s="19"/>
      <c r="E175" s="50"/>
      <c r="F175" s="17"/>
      <c r="G175" s="13">
        <f t="shared" si="21"/>
        <v>0</v>
      </c>
      <c r="H175" s="81"/>
      <c r="I175" s="19"/>
      <c r="J175" s="50"/>
      <c r="K175" s="17"/>
      <c r="L175" s="13">
        <f t="shared" si="22"/>
        <v>0</v>
      </c>
      <c r="M175" s="13">
        <f t="shared" si="23"/>
        <v>0</v>
      </c>
    </row>
    <row r="176" spans="2:14" x14ac:dyDescent="0.15">
      <c r="B176" s="12"/>
      <c r="C176" s="79"/>
      <c r="D176" s="16"/>
      <c r="E176" s="47"/>
      <c r="F176" s="14"/>
      <c r="G176" s="13">
        <f t="shared" si="21"/>
        <v>0</v>
      </c>
      <c r="H176" s="79"/>
      <c r="I176" s="16"/>
      <c r="J176" s="47"/>
      <c r="K176" s="14"/>
      <c r="L176" s="13">
        <f t="shared" si="22"/>
        <v>0</v>
      </c>
      <c r="M176" s="13">
        <f t="shared" si="23"/>
        <v>0</v>
      </c>
    </row>
    <row r="177" spans="2:13" x14ac:dyDescent="0.15">
      <c r="B177" s="12"/>
      <c r="C177" s="81"/>
      <c r="D177" s="19"/>
      <c r="E177" s="50"/>
      <c r="F177" s="17"/>
      <c r="G177" s="13">
        <f t="shared" si="21"/>
        <v>0</v>
      </c>
      <c r="H177" s="81"/>
      <c r="I177" s="19"/>
      <c r="J177" s="50"/>
      <c r="K177" s="17"/>
      <c r="L177" s="13">
        <f t="shared" si="22"/>
        <v>0</v>
      </c>
      <c r="M177" s="13">
        <f t="shared" si="23"/>
        <v>0</v>
      </c>
    </row>
    <row r="178" spans="2:13" x14ac:dyDescent="0.15">
      <c r="B178" s="12"/>
      <c r="C178" s="81"/>
      <c r="D178" s="19"/>
      <c r="E178" s="50"/>
      <c r="F178" s="17"/>
      <c r="G178" s="13">
        <f t="shared" si="21"/>
        <v>0</v>
      </c>
      <c r="H178" s="81"/>
      <c r="I178" s="19"/>
      <c r="J178" s="50"/>
      <c r="K178" s="17"/>
      <c r="L178" s="13">
        <f t="shared" si="22"/>
        <v>0</v>
      </c>
      <c r="M178" s="13">
        <f t="shared" si="23"/>
        <v>0</v>
      </c>
    </row>
    <row r="179" spans="2:13" x14ac:dyDescent="0.15">
      <c r="B179" s="12"/>
      <c r="C179" s="81"/>
      <c r="D179" s="19"/>
      <c r="E179" s="50"/>
      <c r="F179" s="17"/>
      <c r="G179" s="13">
        <f t="shared" si="21"/>
        <v>0</v>
      </c>
      <c r="H179" s="81"/>
      <c r="I179" s="19"/>
      <c r="J179" s="50"/>
      <c r="K179" s="17"/>
      <c r="L179" s="13">
        <f t="shared" si="22"/>
        <v>0</v>
      </c>
      <c r="M179" s="13">
        <f t="shared" si="23"/>
        <v>0</v>
      </c>
    </row>
    <row r="180" spans="2:13" x14ac:dyDescent="0.15">
      <c r="B180" s="12"/>
      <c r="C180" s="81"/>
      <c r="D180" s="16"/>
      <c r="E180" s="47"/>
      <c r="F180" s="14"/>
      <c r="G180" s="13">
        <f t="shared" si="21"/>
        <v>0</v>
      </c>
      <c r="H180" s="81"/>
      <c r="I180" s="16"/>
      <c r="J180" s="47"/>
      <c r="K180" s="14"/>
      <c r="L180" s="13">
        <f t="shared" si="22"/>
        <v>0</v>
      </c>
      <c r="M180" s="13">
        <f t="shared" si="23"/>
        <v>0</v>
      </c>
    </row>
    <row r="181" spans="2:13" x14ac:dyDescent="0.15">
      <c r="B181" s="12"/>
      <c r="C181" s="81"/>
      <c r="D181" s="19"/>
      <c r="E181" s="50"/>
      <c r="F181" s="17"/>
      <c r="G181" s="13">
        <f t="shared" si="21"/>
        <v>0</v>
      </c>
      <c r="H181" s="81"/>
      <c r="I181" s="19"/>
      <c r="J181" s="50"/>
      <c r="K181" s="17"/>
      <c r="L181" s="13">
        <f t="shared" si="22"/>
        <v>0</v>
      </c>
      <c r="M181" s="13">
        <f t="shared" si="23"/>
        <v>0</v>
      </c>
    </row>
    <row r="182" spans="2:13" x14ac:dyDescent="0.15">
      <c r="B182" s="12"/>
      <c r="C182" s="81"/>
      <c r="D182" s="19"/>
      <c r="E182" s="50"/>
      <c r="F182" s="17"/>
      <c r="G182" s="13">
        <f t="shared" si="21"/>
        <v>0</v>
      </c>
      <c r="H182" s="81"/>
      <c r="I182" s="19"/>
      <c r="J182" s="50"/>
      <c r="K182" s="17"/>
      <c r="L182" s="13">
        <f t="shared" si="22"/>
        <v>0</v>
      </c>
      <c r="M182" s="13">
        <f t="shared" si="23"/>
        <v>0</v>
      </c>
    </row>
    <row r="183" spans="2:13" x14ac:dyDescent="0.15">
      <c r="B183" s="12"/>
      <c r="C183" s="79"/>
      <c r="D183" s="16"/>
      <c r="E183" s="47"/>
      <c r="F183" s="14"/>
      <c r="G183" s="13">
        <f t="shared" si="21"/>
        <v>0</v>
      </c>
      <c r="H183" s="79"/>
      <c r="I183" s="16"/>
      <c r="J183" s="47"/>
      <c r="K183" s="14"/>
      <c r="L183" s="13">
        <f t="shared" si="22"/>
        <v>0</v>
      </c>
      <c r="M183" s="13">
        <f t="shared" si="23"/>
        <v>0</v>
      </c>
    </row>
    <row r="184" spans="2:13" x14ac:dyDescent="0.15">
      <c r="B184" s="12"/>
      <c r="C184" s="79"/>
      <c r="D184" s="16"/>
      <c r="E184" s="47"/>
      <c r="F184" s="14"/>
      <c r="G184" s="13">
        <f t="shared" si="21"/>
        <v>0</v>
      </c>
      <c r="H184" s="79"/>
      <c r="I184" s="16"/>
      <c r="J184" s="47"/>
      <c r="K184" s="14"/>
      <c r="L184" s="13">
        <f t="shared" si="22"/>
        <v>0</v>
      </c>
      <c r="M184" s="13">
        <f t="shared" si="23"/>
        <v>0</v>
      </c>
    </row>
    <row r="185" spans="2:13" x14ac:dyDescent="0.15">
      <c r="B185" s="12"/>
      <c r="C185" s="79"/>
      <c r="D185" s="16"/>
      <c r="E185" s="47"/>
      <c r="F185" s="14"/>
      <c r="G185" s="13">
        <f t="shared" si="21"/>
        <v>0</v>
      </c>
      <c r="H185" s="79"/>
      <c r="I185" s="16"/>
      <c r="J185" s="47"/>
      <c r="K185" s="14"/>
      <c r="L185" s="13">
        <f t="shared" si="22"/>
        <v>0</v>
      </c>
      <c r="M185" s="13">
        <f t="shared" si="23"/>
        <v>0</v>
      </c>
    </row>
    <row r="186" spans="2:13" x14ac:dyDescent="0.15">
      <c r="B186" s="12"/>
      <c r="C186" s="79"/>
      <c r="D186" s="16"/>
      <c r="E186" s="47"/>
      <c r="F186" s="14"/>
      <c r="G186" s="13">
        <f t="shared" si="21"/>
        <v>0</v>
      </c>
      <c r="H186" s="79"/>
      <c r="I186" s="16"/>
      <c r="J186" s="47"/>
      <c r="K186" s="14"/>
      <c r="L186" s="13">
        <f t="shared" si="22"/>
        <v>0</v>
      </c>
      <c r="M186" s="13">
        <f t="shared" si="23"/>
        <v>0</v>
      </c>
    </row>
    <row r="187" spans="2:13" x14ac:dyDescent="0.15">
      <c r="B187" s="12"/>
      <c r="C187" s="79"/>
      <c r="D187" s="16"/>
      <c r="E187" s="47"/>
      <c r="F187" s="14"/>
      <c r="G187" s="13">
        <f t="shared" si="21"/>
        <v>0</v>
      </c>
      <c r="H187" s="79"/>
      <c r="I187" s="16"/>
      <c r="J187" s="47"/>
      <c r="K187" s="14"/>
      <c r="L187" s="13">
        <f t="shared" si="22"/>
        <v>0</v>
      </c>
      <c r="M187" s="13">
        <f t="shared" si="23"/>
        <v>0</v>
      </c>
    </row>
    <row r="188" spans="2:13" ht="14.25" thickBot="1" x14ac:dyDescent="0.2">
      <c r="B188" s="12"/>
      <c r="C188" s="82"/>
      <c r="D188" s="27"/>
      <c r="E188" s="48"/>
      <c r="F188" s="9"/>
      <c r="G188" s="8">
        <f t="shared" si="21"/>
        <v>0</v>
      </c>
      <c r="H188" s="82"/>
      <c r="I188" s="27"/>
      <c r="J188" s="48"/>
      <c r="K188" s="9"/>
      <c r="L188" s="8">
        <f t="shared" si="22"/>
        <v>0</v>
      </c>
      <c r="M188" s="8">
        <f t="shared" si="23"/>
        <v>0</v>
      </c>
    </row>
    <row r="189" spans="2:13" ht="14.25" thickBot="1" x14ac:dyDescent="0.2">
      <c r="B189" s="7" t="s">
        <v>1</v>
      </c>
      <c r="C189" s="83">
        <f>SUM(C164:C188)</f>
        <v>0</v>
      </c>
      <c r="D189" s="6">
        <f>SUM(D164:D188)</f>
        <v>3</v>
      </c>
      <c r="E189" s="51">
        <f>SUM(E164:E188)</f>
        <v>1</v>
      </c>
      <c r="F189" s="44">
        <f>SUM(F164:F188)</f>
        <v>1</v>
      </c>
      <c r="G189" s="5">
        <f t="shared" si="21"/>
        <v>5</v>
      </c>
      <c r="H189" s="83">
        <f>SUM(H164:H188)</f>
        <v>2</v>
      </c>
      <c r="I189" s="6">
        <f>SUM(I164:I188)</f>
        <v>2</v>
      </c>
      <c r="J189" s="51">
        <f>SUM(J164:J188)</f>
        <v>1</v>
      </c>
      <c r="K189" s="44">
        <f>SUM(K164:K188)</f>
        <v>0</v>
      </c>
      <c r="L189" s="5">
        <f t="shared" si="22"/>
        <v>5</v>
      </c>
      <c r="M189" s="5">
        <f t="shared" si="23"/>
        <v>10</v>
      </c>
    </row>
    <row r="190" spans="2:13" ht="14.25" thickBot="1" x14ac:dyDescent="0.2">
      <c r="B190" s="4" t="s">
        <v>0</v>
      </c>
      <c r="C190" s="80">
        <f>+C163-C189</f>
        <v>1</v>
      </c>
      <c r="D190" s="25">
        <f>+D163-D189</f>
        <v>1</v>
      </c>
      <c r="E190" s="49">
        <f>+E163-E189</f>
        <v>2</v>
      </c>
      <c r="F190" s="45">
        <f>+F163-F189</f>
        <v>3</v>
      </c>
      <c r="G190" s="24">
        <f t="shared" si="21"/>
        <v>7</v>
      </c>
      <c r="H190" s="80">
        <f>+H163-H189</f>
        <v>0</v>
      </c>
      <c r="I190" s="25">
        <f>+I163-I189</f>
        <v>3</v>
      </c>
      <c r="J190" s="49">
        <f>+J163-J189</f>
        <v>3</v>
      </c>
      <c r="K190" s="45">
        <f>+K163-K189</f>
        <v>1</v>
      </c>
      <c r="L190" s="24">
        <f t="shared" si="22"/>
        <v>7</v>
      </c>
      <c r="M190" s="24">
        <f t="shared" si="23"/>
        <v>14</v>
      </c>
    </row>
    <row r="192" spans="2:13" ht="19.5" thickBot="1" x14ac:dyDescent="0.25">
      <c r="B192" s="36" t="s">
        <v>14</v>
      </c>
      <c r="C192" s="36"/>
      <c r="D192" s="35"/>
      <c r="E192" s="35"/>
      <c r="F192" s="35"/>
      <c r="G192" s="35"/>
      <c r="H192" s="36"/>
      <c r="I192" s="35"/>
      <c r="J192" s="35" t="s">
        <v>44</v>
      </c>
      <c r="K192" s="35"/>
      <c r="L192" s="35"/>
      <c r="M192" s="35"/>
    </row>
    <row r="193" spans="2:14" ht="14.25" thickBot="1" x14ac:dyDescent="0.2">
      <c r="B193" s="7"/>
      <c r="C193" s="93" t="s">
        <v>20</v>
      </c>
      <c r="D193" s="94"/>
      <c r="E193" s="94"/>
      <c r="F193" s="94"/>
      <c r="G193" s="95"/>
      <c r="H193" s="96" t="s">
        <v>21</v>
      </c>
      <c r="I193" s="97"/>
      <c r="J193" s="97"/>
      <c r="K193" s="97"/>
      <c r="L193" s="98"/>
      <c r="M193" s="5"/>
    </row>
    <row r="194" spans="2:14" ht="14.25" thickBot="1" x14ac:dyDescent="0.2">
      <c r="B194" s="32"/>
      <c r="C194" s="77" t="s">
        <v>50</v>
      </c>
      <c r="D194" s="33" t="s">
        <v>8</v>
      </c>
      <c r="E194" s="46" t="s">
        <v>9</v>
      </c>
      <c r="F194" s="31" t="s">
        <v>10</v>
      </c>
      <c r="G194" s="7" t="s">
        <v>5</v>
      </c>
      <c r="H194" s="77" t="s">
        <v>50</v>
      </c>
      <c r="I194" s="33" t="s">
        <v>8</v>
      </c>
      <c r="J194" s="46" t="s">
        <v>9</v>
      </c>
      <c r="K194" s="31" t="s">
        <v>10</v>
      </c>
      <c r="L194" s="7" t="s">
        <v>5</v>
      </c>
      <c r="M194" s="7" t="s">
        <v>5</v>
      </c>
    </row>
    <row r="195" spans="2:14" x14ac:dyDescent="0.15">
      <c r="B195" s="30" t="s">
        <v>0</v>
      </c>
      <c r="C195" s="78">
        <f>C190</f>
        <v>1</v>
      </c>
      <c r="D195" s="23">
        <f>D190</f>
        <v>1</v>
      </c>
      <c r="E195" s="54">
        <f t="shared" ref="E195:F195" si="25">E190</f>
        <v>2</v>
      </c>
      <c r="F195" s="55">
        <f t="shared" si="25"/>
        <v>3</v>
      </c>
      <c r="G195" s="21">
        <f>G190</f>
        <v>7</v>
      </c>
      <c r="H195" s="78">
        <f>H190</f>
        <v>0</v>
      </c>
      <c r="I195" s="23">
        <f t="shared" ref="I195:K195" si="26">I190</f>
        <v>3</v>
      </c>
      <c r="J195" s="54">
        <f t="shared" si="26"/>
        <v>3</v>
      </c>
      <c r="K195" s="55">
        <f t="shared" si="26"/>
        <v>1</v>
      </c>
      <c r="L195" s="21">
        <f>L190</f>
        <v>7</v>
      </c>
      <c r="M195" s="21">
        <f t="shared" ref="M195" si="27">M190</f>
        <v>14</v>
      </c>
    </row>
    <row r="196" spans="2:14" x14ac:dyDescent="0.15">
      <c r="B196" s="29" t="s">
        <v>3</v>
      </c>
      <c r="C196" s="79">
        <v>1</v>
      </c>
      <c r="D196" s="16">
        <v>1</v>
      </c>
      <c r="E196" s="47"/>
      <c r="F196" s="14"/>
      <c r="G196" s="13">
        <f>SUM(C196:F196)</f>
        <v>2</v>
      </c>
      <c r="H196" s="79">
        <v>1</v>
      </c>
      <c r="I196" s="16"/>
      <c r="J196" s="47"/>
      <c r="K196" s="14"/>
      <c r="L196" s="13">
        <f>SUM(H196:K196)</f>
        <v>1</v>
      </c>
      <c r="M196" s="13">
        <f t="shared" ref="M196:M228" si="28">G196+L196</f>
        <v>3</v>
      </c>
      <c r="N196" s="20">
        <v>45750</v>
      </c>
    </row>
    <row r="197" spans="2:14" x14ac:dyDescent="0.15">
      <c r="B197" s="29" t="s">
        <v>3</v>
      </c>
      <c r="C197" s="79"/>
      <c r="D197" s="16"/>
      <c r="E197" s="47"/>
      <c r="F197" s="14"/>
      <c r="G197" s="13">
        <f t="shared" ref="G197:G228" si="29">SUM(C197:F197)</f>
        <v>0</v>
      </c>
      <c r="H197" s="79">
        <v>2</v>
      </c>
      <c r="I197" s="16"/>
      <c r="J197" s="47"/>
      <c r="K197" s="14">
        <v>3</v>
      </c>
      <c r="L197" s="13">
        <f t="shared" ref="L197:L228" si="30">SUM(H197:K197)</f>
        <v>5</v>
      </c>
      <c r="M197" s="13">
        <f t="shared" si="28"/>
        <v>5</v>
      </c>
      <c r="N197" s="20">
        <v>45764</v>
      </c>
    </row>
    <row r="198" spans="2:14" x14ac:dyDescent="0.15">
      <c r="B198" s="29" t="s">
        <v>3</v>
      </c>
      <c r="C198" s="79"/>
      <c r="D198" s="16"/>
      <c r="E198" s="47"/>
      <c r="F198" s="14"/>
      <c r="G198" s="13">
        <f t="shared" si="29"/>
        <v>0</v>
      </c>
      <c r="H198" s="79"/>
      <c r="I198" s="16"/>
      <c r="J198" s="47"/>
      <c r="K198" s="14">
        <v>2</v>
      </c>
      <c r="L198" s="13">
        <f t="shared" si="30"/>
        <v>2</v>
      </c>
      <c r="M198" s="13">
        <f t="shared" si="28"/>
        <v>2</v>
      </c>
      <c r="N198" s="20">
        <v>45812</v>
      </c>
    </row>
    <row r="199" spans="2:14" x14ac:dyDescent="0.15">
      <c r="B199" s="29" t="s">
        <v>3</v>
      </c>
      <c r="C199" s="79"/>
      <c r="D199" s="16"/>
      <c r="E199" s="47"/>
      <c r="F199" s="14"/>
      <c r="G199" s="13">
        <f t="shared" si="29"/>
        <v>0</v>
      </c>
      <c r="H199" s="79"/>
      <c r="I199" s="16"/>
      <c r="J199" s="47">
        <v>2</v>
      </c>
      <c r="K199" s="14">
        <v>2</v>
      </c>
      <c r="L199" s="13">
        <f t="shared" si="30"/>
        <v>4</v>
      </c>
      <c r="M199" s="13">
        <f t="shared" si="28"/>
        <v>4</v>
      </c>
      <c r="N199" s="20">
        <v>45828</v>
      </c>
    </row>
    <row r="200" spans="2:14" ht="14.25" thickBot="1" x14ac:dyDescent="0.2">
      <c r="B200" s="29" t="s">
        <v>3</v>
      </c>
      <c r="C200" s="79"/>
      <c r="D200" s="16"/>
      <c r="E200" s="47">
        <v>2</v>
      </c>
      <c r="F200" s="14"/>
      <c r="G200" s="13">
        <f t="shared" si="29"/>
        <v>2</v>
      </c>
      <c r="H200" s="79"/>
      <c r="I200" s="16"/>
      <c r="J200" s="47"/>
      <c r="K200" s="14">
        <v>2</v>
      </c>
      <c r="L200" s="13">
        <f t="shared" si="30"/>
        <v>2</v>
      </c>
      <c r="M200" s="13">
        <f t="shared" si="28"/>
        <v>4</v>
      </c>
      <c r="N200" s="20">
        <v>45863</v>
      </c>
    </row>
    <row r="201" spans="2:14" ht="14.25" thickBot="1" x14ac:dyDescent="0.2">
      <c r="B201" s="26" t="s">
        <v>2</v>
      </c>
      <c r="C201" s="80">
        <f>SUM(C195:C200)</f>
        <v>2</v>
      </c>
      <c r="D201" s="25">
        <f>SUM(D195:D200)</f>
        <v>2</v>
      </c>
      <c r="E201" s="49">
        <f>SUM(E195:E200)</f>
        <v>4</v>
      </c>
      <c r="F201" s="25">
        <f>SUM(F195:F200)</f>
        <v>3</v>
      </c>
      <c r="G201" s="24">
        <f t="shared" si="29"/>
        <v>11</v>
      </c>
      <c r="H201" s="80">
        <f>SUM(H195:H200)</f>
        <v>3</v>
      </c>
      <c r="I201" s="25">
        <f>SUM(I195:I200)</f>
        <v>3</v>
      </c>
      <c r="J201" s="49">
        <f>SUM(J195:J200)</f>
        <v>5</v>
      </c>
      <c r="K201" s="25">
        <f>SUM(K195:K200)</f>
        <v>10</v>
      </c>
      <c r="L201" s="24">
        <f t="shared" si="30"/>
        <v>21</v>
      </c>
      <c r="M201" s="24">
        <f t="shared" si="28"/>
        <v>32</v>
      </c>
    </row>
    <row r="202" spans="2:14" x14ac:dyDescent="0.15">
      <c r="B202" s="12" t="s">
        <v>22</v>
      </c>
      <c r="C202" s="81"/>
      <c r="D202" s="16"/>
      <c r="E202" s="47"/>
      <c r="F202" s="14"/>
      <c r="G202" s="13">
        <f t="shared" ref="G202:G208" si="31">SUM(C202:F202)</f>
        <v>0</v>
      </c>
      <c r="H202" s="81"/>
      <c r="I202" s="16"/>
      <c r="J202" s="47"/>
      <c r="K202" s="14">
        <v>2</v>
      </c>
      <c r="L202" s="13">
        <f t="shared" ref="L202:L208" si="32">SUM(H202:K202)</f>
        <v>2</v>
      </c>
      <c r="M202" s="13">
        <f t="shared" ref="M202:M208" si="33">G202+L202</f>
        <v>2</v>
      </c>
      <c r="N202" s="20">
        <v>45764</v>
      </c>
    </row>
    <row r="203" spans="2:14" x14ac:dyDescent="0.15">
      <c r="B203" s="12" t="s">
        <v>22</v>
      </c>
      <c r="C203" s="81"/>
      <c r="D203" s="16"/>
      <c r="E203" s="47"/>
      <c r="F203" s="14">
        <v>1</v>
      </c>
      <c r="G203" s="13">
        <f t="shared" si="31"/>
        <v>1</v>
      </c>
      <c r="H203" s="81"/>
      <c r="I203" s="16"/>
      <c r="J203" s="47"/>
      <c r="K203" s="14">
        <v>1</v>
      </c>
      <c r="L203" s="13">
        <f t="shared" si="32"/>
        <v>1</v>
      </c>
      <c r="M203" s="13">
        <f t="shared" si="33"/>
        <v>2</v>
      </c>
      <c r="N203" s="20">
        <v>45796</v>
      </c>
    </row>
    <row r="204" spans="2:14" x14ac:dyDescent="0.15">
      <c r="B204" s="12" t="s">
        <v>22</v>
      </c>
      <c r="C204" s="81"/>
      <c r="D204" s="16"/>
      <c r="E204" s="47"/>
      <c r="F204" s="14"/>
      <c r="G204" s="13">
        <f t="shared" si="31"/>
        <v>0</v>
      </c>
      <c r="H204" s="81"/>
      <c r="I204" s="16"/>
      <c r="J204" s="47"/>
      <c r="K204" s="14">
        <v>1</v>
      </c>
      <c r="L204" s="13">
        <f t="shared" si="32"/>
        <v>1</v>
      </c>
      <c r="M204" s="13">
        <f t="shared" si="33"/>
        <v>1</v>
      </c>
      <c r="N204" s="20">
        <v>45797</v>
      </c>
    </row>
    <row r="205" spans="2:14" x14ac:dyDescent="0.15">
      <c r="B205" s="12" t="s">
        <v>22</v>
      </c>
      <c r="C205" s="81"/>
      <c r="D205" s="16"/>
      <c r="E205" s="47"/>
      <c r="F205" s="14"/>
      <c r="G205" s="13">
        <f t="shared" si="31"/>
        <v>0</v>
      </c>
      <c r="H205" s="81"/>
      <c r="I205" s="16">
        <v>1</v>
      </c>
      <c r="J205" s="47"/>
      <c r="K205" s="14"/>
      <c r="L205" s="13">
        <f t="shared" si="32"/>
        <v>1</v>
      </c>
      <c r="M205" s="13">
        <f t="shared" si="33"/>
        <v>1</v>
      </c>
      <c r="N205" s="20">
        <v>45803</v>
      </c>
    </row>
    <row r="206" spans="2:14" x14ac:dyDescent="0.15">
      <c r="B206" s="12" t="s">
        <v>22</v>
      </c>
      <c r="C206" s="81"/>
      <c r="D206" s="16"/>
      <c r="E206" s="47"/>
      <c r="F206" s="14"/>
      <c r="G206" s="13">
        <f t="shared" si="31"/>
        <v>0</v>
      </c>
      <c r="H206" s="81"/>
      <c r="I206" s="16"/>
      <c r="J206" s="47"/>
      <c r="K206" s="14">
        <v>1</v>
      </c>
      <c r="L206" s="13">
        <f t="shared" si="32"/>
        <v>1</v>
      </c>
      <c r="M206" s="13">
        <f t="shared" si="33"/>
        <v>1</v>
      </c>
      <c r="N206" s="20">
        <v>45812</v>
      </c>
    </row>
    <row r="207" spans="2:14" x14ac:dyDescent="0.15">
      <c r="B207" s="12" t="s">
        <v>22</v>
      </c>
      <c r="C207" s="81"/>
      <c r="D207" s="16"/>
      <c r="E207" s="47"/>
      <c r="F207" s="14"/>
      <c r="G207" s="13">
        <f>SUM(C207:F207)</f>
        <v>0</v>
      </c>
      <c r="H207" s="81"/>
      <c r="I207" s="16"/>
      <c r="J207" s="47">
        <v>2</v>
      </c>
      <c r="K207" s="14"/>
      <c r="L207" s="13">
        <f t="shared" si="32"/>
        <v>2</v>
      </c>
      <c r="M207" s="13">
        <f t="shared" si="33"/>
        <v>2</v>
      </c>
      <c r="N207" s="20">
        <v>45824</v>
      </c>
    </row>
    <row r="208" spans="2:14" x14ac:dyDescent="0.15">
      <c r="B208" s="12" t="s">
        <v>22</v>
      </c>
      <c r="C208" s="81"/>
      <c r="D208" s="16"/>
      <c r="E208" s="47">
        <v>1</v>
      </c>
      <c r="F208" s="14"/>
      <c r="G208" s="13">
        <f t="shared" si="31"/>
        <v>1</v>
      </c>
      <c r="H208" s="81"/>
      <c r="I208" s="16"/>
      <c r="J208" s="47"/>
      <c r="K208" s="14"/>
      <c r="L208" s="13">
        <f t="shared" si="32"/>
        <v>0</v>
      </c>
      <c r="M208" s="13">
        <f t="shared" si="33"/>
        <v>1</v>
      </c>
      <c r="N208" s="20">
        <v>45831</v>
      </c>
    </row>
    <row r="209" spans="2:14" x14ac:dyDescent="0.15">
      <c r="B209" s="12" t="s">
        <v>22</v>
      </c>
      <c r="C209" s="81"/>
      <c r="D209" s="16"/>
      <c r="E209" s="47"/>
      <c r="F209" s="14"/>
      <c r="G209" s="13">
        <f t="shared" si="29"/>
        <v>0</v>
      </c>
      <c r="H209" s="81"/>
      <c r="I209" s="16"/>
      <c r="J209" s="47"/>
      <c r="K209" s="14">
        <v>2</v>
      </c>
      <c r="L209" s="13">
        <f t="shared" si="30"/>
        <v>2</v>
      </c>
      <c r="M209" s="13">
        <f t="shared" si="28"/>
        <v>2</v>
      </c>
      <c r="N209" s="20">
        <v>45857</v>
      </c>
    </row>
    <row r="210" spans="2:14" x14ac:dyDescent="0.15">
      <c r="B210" s="12" t="s">
        <v>22</v>
      </c>
      <c r="C210" s="81"/>
      <c r="D210" s="16"/>
      <c r="E210" s="47"/>
      <c r="F210" s="14"/>
      <c r="G210" s="13">
        <f t="shared" si="29"/>
        <v>0</v>
      </c>
      <c r="H210" s="81"/>
      <c r="I210" s="16">
        <v>1</v>
      </c>
      <c r="J210" s="47"/>
      <c r="K210" s="14"/>
      <c r="L210" s="13">
        <f t="shared" si="30"/>
        <v>1</v>
      </c>
      <c r="M210" s="13">
        <f t="shared" si="28"/>
        <v>1</v>
      </c>
      <c r="N210" s="20">
        <v>45866</v>
      </c>
    </row>
    <row r="211" spans="2:14" x14ac:dyDescent="0.15">
      <c r="B211" s="12" t="s">
        <v>22</v>
      </c>
      <c r="C211" s="81"/>
      <c r="D211" s="16"/>
      <c r="E211" s="47"/>
      <c r="F211" s="14"/>
      <c r="G211" s="13">
        <f t="shared" si="29"/>
        <v>0</v>
      </c>
      <c r="H211" s="81"/>
      <c r="I211" s="16"/>
      <c r="J211" s="47"/>
      <c r="K211" s="14">
        <v>1</v>
      </c>
      <c r="L211" s="13">
        <f t="shared" si="30"/>
        <v>1</v>
      </c>
      <c r="M211" s="13">
        <f t="shared" si="28"/>
        <v>1</v>
      </c>
      <c r="N211" s="20">
        <v>45873</v>
      </c>
    </row>
    <row r="212" spans="2:14" x14ac:dyDescent="0.15">
      <c r="B212" s="12" t="s">
        <v>22</v>
      </c>
      <c r="C212" s="81"/>
      <c r="D212" s="19"/>
      <c r="E212" s="50"/>
      <c r="F212" s="17"/>
      <c r="G212" s="13">
        <f t="shared" si="29"/>
        <v>0</v>
      </c>
      <c r="H212" s="81"/>
      <c r="I212" s="19">
        <v>1</v>
      </c>
      <c r="J212" s="50"/>
      <c r="K212" s="17"/>
      <c r="L212" s="13">
        <f t="shared" si="30"/>
        <v>1</v>
      </c>
      <c r="M212" s="13">
        <f t="shared" si="28"/>
        <v>1</v>
      </c>
      <c r="N212" s="20">
        <v>45888</v>
      </c>
    </row>
    <row r="213" spans="2:14" x14ac:dyDescent="0.15">
      <c r="B213" s="12" t="s">
        <v>51</v>
      </c>
      <c r="C213" s="79">
        <v>0</v>
      </c>
      <c r="D213" s="16">
        <v>0</v>
      </c>
      <c r="E213" s="47">
        <v>0</v>
      </c>
      <c r="F213" s="14">
        <v>1</v>
      </c>
      <c r="G213" s="13">
        <f t="shared" si="29"/>
        <v>1</v>
      </c>
      <c r="H213" s="79">
        <v>1</v>
      </c>
      <c r="I213" s="16">
        <v>-1</v>
      </c>
      <c r="J213" s="47">
        <v>0</v>
      </c>
      <c r="K213" s="14">
        <v>-1</v>
      </c>
      <c r="L213" s="13">
        <f t="shared" si="30"/>
        <v>-1</v>
      </c>
      <c r="M213" s="13">
        <f t="shared" si="28"/>
        <v>0</v>
      </c>
      <c r="N213" s="20">
        <v>45890</v>
      </c>
    </row>
    <row r="214" spans="2:14" x14ac:dyDescent="0.15">
      <c r="B214" s="12" t="s">
        <v>54</v>
      </c>
      <c r="C214" s="79"/>
      <c r="D214" s="16"/>
      <c r="E214" s="47"/>
      <c r="F214" s="14">
        <v>-2</v>
      </c>
      <c r="G214" s="13">
        <f t="shared" si="29"/>
        <v>-2</v>
      </c>
      <c r="H214" s="79"/>
      <c r="I214" s="16"/>
      <c r="J214" s="47"/>
      <c r="K214" s="14"/>
      <c r="L214" s="13">
        <f t="shared" si="30"/>
        <v>0</v>
      </c>
      <c r="M214" s="13">
        <f t="shared" si="28"/>
        <v>-2</v>
      </c>
      <c r="N214" s="20">
        <v>45917</v>
      </c>
    </row>
    <row r="215" spans="2:14" x14ac:dyDescent="0.15">
      <c r="B215" s="12" t="s">
        <v>22</v>
      </c>
      <c r="C215" s="81"/>
      <c r="D215" s="19">
        <v>1</v>
      </c>
      <c r="E215" s="50"/>
      <c r="F215" s="17"/>
      <c r="G215" s="13">
        <f t="shared" si="29"/>
        <v>1</v>
      </c>
      <c r="H215" s="81"/>
      <c r="I215" s="19"/>
      <c r="J215" s="50"/>
      <c r="K215" s="17"/>
      <c r="L215" s="13">
        <f t="shared" si="30"/>
        <v>0</v>
      </c>
      <c r="M215" s="13">
        <f t="shared" si="28"/>
        <v>1</v>
      </c>
      <c r="N215" s="20">
        <v>45953</v>
      </c>
    </row>
    <row r="216" spans="2:14" x14ac:dyDescent="0.15">
      <c r="B216" s="12" t="s">
        <v>22</v>
      </c>
      <c r="C216" s="81"/>
      <c r="D216" s="19">
        <v>1</v>
      </c>
      <c r="E216" s="50"/>
      <c r="F216" s="17"/>
      <c r="G216" s="13">
        <f t="shared" si="29"/>
        <v>1</v>
      </c>
      <c r="H216" s="81"/>
      <c r="I216" s="19"/>
      <c r="J216" s="50"/>
      <c r="K216" s="17"/>
      <c r="L216" s="13">
        <f t="shared" si="30"/>
        <v>0</v>
      </c>
      <c r="M216" s="13">
        <f t="shared" si="28"/>
        <v>1</v>
      </c>
      <c r="N216" s="20">
        <v>45975</v>
      </c>
    </row>
    <row r="217" spans="2:14" x14ac:dyDescent="0.15">
      <c r="B217" s="12" t="s">
        <v>22</v>
      </c>
      <c r="C217" s="79"/>
      <c r="D217" s="16"/>
      <c r="E217" s="47"/>
      <c r="F217" s="14"/>
      <c r="G217" s="13">
        <f t="shared" si="29"/>
        <v>0</v>
      </c>
      <c r="H217" s="79">
        <v>1</v>
      </c>
      <c r="I217" s="16"/>
      <c r="J217" s="47"/>
      <c r="K217" s="14"/>
      <c r="L217" s="13">
        <f t="shared" si="30"/>
        <v>1</v>
      </c>
      <c r="M217" s="13">
        <f t="shared" si="28"/>
        <v>1</v>
      </c>
      <c r="N217" s="20">
        <v>45994</v>
      </c>
    </row>
    <row r="218" spans="2:14" x14ac:dyDescent="0.15">
      <c r="B218" s="12" t="s">
        <v>55</v>
      </c>
      <c r="C218" s="79"/>
      <c r="D218" s="16">
        <v>-2</v>
      </c>
      <c r="E218" s="47"/>
      <c r="F218" s="14"/>
      <c r="G218" s="13">
        <f t="shared" si="29"/>
        <v>-2</v>
      </c>
      <c r="H218" s="79"/>
      <c r="I218" s="16"/>
      <c r="J218" s="47"/>
      <c r="K218" s="14"/>
      <c r="L218" s="13">
        <f t="shared" si="30"/>
        <v>0</v>
      </c>
      <c r="M218" s="13">
        <f t="shared" si="28"/>
        <v>-2</v>
      </c>
      <c r="N218" s="20">
        <v>45997</v>
      </c>
    </row>
    <row r="219" spans="2:14" x14ac:dyDescent="0.15">
      <c r="B219" s="12" t="s">
        <v>22</v>
      </c>
      <c r="C219" s="79"/>
      <c r="D219" s="16"/>
      <c r="E219" s="47"/>
      <c r="F219" s="14"/>
      <c r="G219" s="13">
        <f t="shared" si="29"/>
        <v>0</v>
      </c>
      <c r="H219" s="79">
        <v>1</v>
      </c>
      <c r="I219" s="16"/>
      <c r="J219" s="47"/>
      <c r="K219" s="14"/>
      <c r="L219" s="13">
        <f t="shared" si="30"/>
        <v>1</v>
      </c>
      <c r="M219" s="13">
        <f t="shared" si="28"/>
        <v>1</v>
      </c>
      <c r="N219" s="20">
        <v>45997</v>
      </c>
    </row>
    <row r="220" spans="2:14" x14ac:dyDescent="0.15">
      <c r="B220" s="12" t="s">
        <v>42</v>
      </c>
      <c r="C220" s="79">
        <v>-1</v>
      </c>
      <c r="D220" s="16"/>
      <c r="E220" s="47"/>
      <c r="F220" s="14"/>
      <c r="G220" s="13">
        <f t="shared" si="29"/>
        <v>-1</v>
      </c>
      <c r="H220" s="79"/>
      <c r="I220" s="16"/>
      <c r="J220" s="47"/>
      <c r="K220" s="14"/>
      <c r="L220" s="13">
        <f t="shared" si="30"/>
        <v>0</v>
      </c>
      <c r="M220" s="13">
        <f t="shared" si="28"/>
        <v>-1</v>
      </c>
    </row>
    <row r="221" spans="2:14" x14ac:dyDescent="0.15">
      <c r="B221" s="12" t="s">
        <v>22</v>
      </c>
      <c r="C221" s="79"/>
      <c r="D221" s="16">
        <v>1</v>
      </c>
      <c r="E221" s="47"/>
      <c r="F221" s="14">
        <v>3</v>
      </c>
      <c r="G221" s="13">
        <f t="shared" si="29"/>
        <v>4</v>
      </c>
      <c r="H221" s="79"/>
      <c r="I221" s="16"/>
      <c r="J221" s="47"/>
      <c r="K221" s="14"/>
      <c r="L221" s="13">
        <f t="shared" si="30"/>
        <v>0</v>
      </c>
      <c r="M221" s="13">
        <f t="shared" si="28"/>
        <v>4</v>
      </c>
      <c r="N221" s="20">
        <v>46035</v>
      </c>
    </row>
    <row r="222" spans="2:14" x14ac:dyDescent="0.15">
      <c r="B222" s="12" t="s">
        <v>3</v>
      </c>
      <c r="C222" s="79"/>
      <c r="D222" s="16"/>
      <c r="E222" s="47"/>
      <c r="F222" s="14">
        <v>-3</v>
      </c>
      <c r="G222" s="13">
        <f t="shared" si="29"/>
        <v>-3</v>
      </c>
      <c r="H222" s="79">
        <v>-2</v>
      </c>
      <c r="I222" s="16">
        <v>-2</v>
      </c>
      <c r="J222" s="47"/>
      <c r="K222" s="14"/>
      <c r="L222" s="13">
        <f t="shared" si="30"/>
        <v>-4</v>
      </c>
      <c r="M222" s="13">
        <f t="shared" si="28"/>
        <v>-7</v>
      </c>
      <c r="N222" s="20">
        <v>46038</v>
      </c>
    </row>
    <row r="223" spans="2:14" x14ac:dyDescent="0.15">
      <c r="B223" s="12" t="s">
        <v>22</v>
      </c>
      <c r="C223" s="79"/>
      <c r="D223" s="16"/>
      <c r="E223" s="47"/>
      <c r="F223" s="14"/>
      <c r="G223" s="13">
        <f t="shared" si="29"/>
        <v>0</v>
      </c>
      <c r="H223" s="79"/>
      <c r="I223" s="16"/>
      <c r="J223" s="47">
        <v>2</v>
      </c>
      <c r="K223" s="14"/>
      <c r="L223" s="13">
        <f t="shared" si="30"/>
        <v>2</v>
      </c>
      <c r="M223" s="13">
        <f t="shared" si="28"/>
        <v>2</v>
      </c>
      <c r="N223" s="20">
        <v>46045</v>
      </c>
    </row>
    <row r="224" spans="2:14" x14ac:dyDescent="0.15">
      <c r="B224" s="12" t="s">
        <v>22</v>
      </c>
      <c r="C224" s="79"/>
      <c r="D224" s="16"/>
      <c r="E224" s="47"/>
      <c r="F224" s="14"/>
      <c r="G224" s="13">
        <f t="shared" si="29"/>
        <v>0</v>
      </c>
      <c r="H224" s="79"/>
      <c r="I224" s="16">
        <v>1</v>
      </c>
      <c r="J224" s="47"/>
      <c r="K224" s="14"/>
      <c r="L224" s="13">
        <f t="shared" si="30"/>
        <v>1</v>
      </c>
      <c r="M224" s="13">
        <f t="shared" si="28"/>
        <v>1</v>
      </c>
      <c r="N224" s="20">
        <v>46062</v>
      </c>
    </row>
    <row r="225" spans="2:14" x14ac:dyDescent="0.15">
      <c r="B225" s="12"/>
      <c r="C225" s="79"/>
      <c r="D225" s="16"/>
      <c r="E225" s="47"/>
      <c r="F225" s="14"/>
      <c r="G225" s="13">
        <f t="shared" si="29"/>
        <v>0</v>
      </c>
      <c r="H225" s="79"/>
      <c r="I225" s="16"/>
      <c r="J225" s="47"/>
      <c r="K225" s="14"/>
      <c r="L225" s="13">
        <f t="shared" si="30"/>
        <v>0</v>
      </c>
      <c r="M225" s="13">
        <f t="shared" si="28"/>
        <v>0</v>
      </c>
    </row>
    <row r="226" spans="2:14" ht="14.25" thickBot="1" x14ac:dyDescent="0.2">
      <c r="B226" s="12"/>
      <c r="C226" s="82"/>
      <c r="D226" s="27"/>
      <c r="E226" s="48"/>
      <c r="F226" s="9"/>
      <c r="G226" s="8">
        <f t="shared" si="29"/>
        <v>0</v>
      </c>
      <c r="H226" s="82"/>
      <c r="I226" s="27"/>
      <c r="J226" s="48"/>
      <c r="K226" s="9"/>
      <c r="L226" s="8">
        <f t="shared" si="30"/>
        <v>0</v>
      </c>
      <c r="M226" s="8">
        <f t="shared" si="28"/>
        <v>0</v>
      </c>
    </row>
    <row r="227" spans="2:14" ht="14.25" thickBot="1" x14ac:dyDescent="0.2">
      <c r="B227" s="7" t="s">
        <v>1</v>
      </c>
      <c r="C227" s="83">
        <f>SUM(C202:C226)</f>
        <v>-1</v>
      </c>
      <c r="D227" s="6">
        <f>SUM(D202:D226)</f>
        <v>1</v>
      </c>
      <c r="E227" s="51">
        <f>SUM(E202:E226)</f>
        <v>1</v>
      </c>
      <c r="F227" s="44">
        <f>SUM(F202:F226)</f>
        <v>0</v>
      </c>
      <c r="G227" s="5">
        <f t="shared" si="29"/>
        <v>1</v>
      </c>
      <c r="H227" s="83">
        <f>SUM(H202:H226)</f>
        <v>1</v>
      </c>
      <c r="I227" s="6">
        <f>SUM(I202:I226)</f>
        <v>1</v>
      </c>
      <c r="J227" s="51">
        <f>SUM(J202:J226)</f>
        <v>4</v>
      </c>
      <c r="K227" s="44">
        <f>SUM(K202:K226)</f>
        <v>7</v>
      </c>
      <c r="L227" s="5">
        <f t="shared" si="30"/>
        <v>13</v>
      </c>
      <c r="M227" s="5">
        <f t="shared" si="28"/>
        <v>14</v>
      </c>
    </row>
    <row r="228" spans="2:14" ht="14.25" thickBot="1" x14ac:dyDescent="0.2">
      <c r="B228" s="4" t="s">
        <v>0</v>
      </c>
      <c r="C228" s="80">
        <f>+C201-C227</f>
        <v>3</v>
      </c>
      <c r="D228" s="25">
        <f>+D201-D227</f>
        <v>1</v>
      </c>
      <c r="E228" s="49">
        <f>+E201-E227</f>
        <v>3</v>
      </c>
      <c r="F228" s="45">
        <f>+F201-F227</f>
        <v>3</v>
      </c>
      <c r="G228" s="24">
        <f t="shared" si="29"/>
        <v>10</v>
      </c>
      <c r="H228" s="80">
        <f>+H201-H227</f>
        <v>2</v>
      </c>
      <c r="I228" s="25">
        <f>+I201-I227</f>
        <v>2</v>
      </c>
      <c r="J228" s="49">
        <f>+J201-J227</f>
        <v>1</v>
      </c>
      <c r="K228" s="45">
        <f>+K201-K227</f>
        <v>3</v>
      </c>
      <c r="L228" s="24">
        <f t="shared" si="30"/>
        <v>8</v>
      </c>
      <c r="M228" s="24">
        <f t="shared" si="28"/>
        <v>18</v>
      </c>
    </row>
    <row r="229" spans="2:14" x14ac:dyDescent="0.15">
      <c r="D229" s="91" t="s">
        <v>56</v>
      </c>
    </row>
    <row r="230" spans="2:14" ht="19.5" thickBot="1" x14ac:dyDescent="0.25">
      <c r="B230" s="36" t="s">
        <v>14</v>
      </c>
      <c r="C230" s="36"/>
      <c r="D230" s="35"/>
      <c r="E230" s="35"/>
      <c r="F230" s="35"/>
      <c r="G230" s="35"/>
      <c r="H230" s="36"/>
      <c r="I230" s="35"/>
      <c r="J230" s="35" t="s">
        <v>44</v>
      </c>
      <c r="K230" s="35"/>
      <c r="L230" s="35"/>
      <c r="M230" s="35"/>
    </row>
    <row r="231" spans="2:14" ht="14.25" thickBot="1" x14ac:dyDescent="0.2">
      <c r="B231" s="7"/>
      <c r="C231" s="93" t="s">
        <v>20</v>
      </c>
      <c r="D231" s="94"/>
      <c r="E231" s="94"/>
      <c r="F231" s="94"/>
      <c r="G231" s="95"/>
      <c r="H231" s="96" t="s">
        <v>21</v>
      </c>
      <c r="I231" s="97"/>
      <c r="J231" s="97"/>
      <c r="K231" s="97"/>
      <c r="L231" s="98"/>
      <c r="M231" s="5"/>
    </row>
    <row r="232" spans="2:14" ht="14.25" thickBot="1" x14ac:dyDescent="0.2">
      <c r="B232" s="32"/>
      <c r="C232" s="77" t="s">
        <v>50</v>
      </c>
      <c r="D232" s="33" t="s">
        <v>8</v>
      </c>
      <c r="E232" s="46" t="s">
        <v>9</v>
      </c>
      <c r="F232" s="31" t="s">
        <v>10</v>
      </c>
      <c r="G232" s="7" t="s">
        <v>5</v>
      </c>
      <c r="H232" s="77" t="s">
        <v>50</v>
      </c>
      <c r="I232" s="33" t="s">
        <v>8</v>
      </c>
      <c r="J232" s="46" t="s">
        <v>9</v>
      </c>
      <c r="K232" s="31" t="s">
        <v>10</v>
      </c>
      <c r="L232" s="7" t="s">
        <v>5</v>
      </c>
      <c r="M232" s="7" t="s">
        <v>5</v>
      </c>
    </row>
    <row r="233" spans="2:14" x14ac:dyDescent="0.15">
      <c r="B233" s="30" t="s">
        <v>0</v>
      </c>
      <c r="C233" s="78">
        <f>C228</f>
        <v>3</v>
      </c>
      <c r="D233" s="23">
        <f>D228</f>
        <v>1</v>
      </c>
      <c r="E233" s="54">
        <f t="shared" ref="E233:F233" si="34">E228</f>
        <v>3</v>
      </c>
      <c r="F233" s="55">
        <f t="shared" si="34"/>
        <v>3</v>
      </c>
      <c r="G233" s="21">
        <f>G228</f>
        <v>10</v>
      </c>
      <c r="H233" s="78">
        <f>H228</f>
        <v>2</v>
      </c>
      <c r="I233" s="23">
        <f t="shared" ref="I233:K233" si="35">I228</f>
        <v>2</v>
      </c>
      <c r="J233" s="54">
        <f t="shared" si="35"/>
        <v>1</v>
      </c>
      <c r="K233" s="54">
        <f t="shared" si="35"/>
        <v>3</v>
      </c>
      <c r="L233" s="21">
        <f>L228</f>
        <v>8</v>
      </c>
      <c r="M233" s="21">
        <f t="shared" ref="M233" si="36">M228</f>
        <v>18</v>
      </c>
    </row>
    <row r="234" spans="2:14" x14ac:dyDescent="0.15">
      <c r="B234" s="29" t="s">
        <v>3</v>
      </c>
      <c r="C234" s="79"/>
      <c r="D234" s="16">
        <v>2</v>
      </c>
      <c r="E234" s="47"/>
      <c r="F234" s="14"/>
      <c r="G234" s="13">
        <f>SUM(C234:F234)</f>
        <v>2</v>
      </c>
      <c r="H234" s="79"/>
      <c r="I234" s="16"/>
      <c r="J234" s="92" t="s">
        <v>57</v>
      </c>
      <c r="K234" s="14"/>
      <c r="L234" s="13">
        <f>SUM(H234:K234)</f>
        <v>0</v>
      </c>
      <c r="M234" s="13">
        <f t="shared" ref="M234:M266" si="37">G234+L234</f>
        <v>2</v>
      </c>
      <c r="N234" s="20">
        <v>46069</v>
      </c>
    </row>
    <row r="235" spans="2:14" x14ac:dyDescent="0.15">
      <c r="B235" s="29" t="s">
        <v>42</v>
      </c>
      <c r="C235" s="79"/>
      <c r="D235" s="16">
        <v>2</v>
      </c>
      <c r="E235" s="47"/>
      <c r="F235" s="14"/>
      <c r="G235" s="13">
        <f t="shared" ref="G235:G244" si="38">SUM(C235:F235)</f>
        <v>2</v>
      </c>
      <c r="H235" s="79"/>
      <c r="I235" s="16">
        <v>-2</v>
      </c>
      <c r="J235" s="92"/>
      <c r="K235" s="14"/>
      <c r="L235" s="13">
        <f t="shared" ref="L235:L266" si="39">SUM(H235:K235)</f>
        <v>-2</v>
      </c>
      <c r="M235" s="13">
        <f t="shared" si="37"/>
        <v>0</v>
      </c>
      <c r="N235" s="20">
        <v>46077</v>
      </c>
    </row>
    <row r="236" spans="2:14" x14ac:dyDescent="0.15">
      <c r="B236" s="29" t="s">
        <v>3</v>
      </c>
      <c r="C236" s="79"/>
      <c r="D236" s="16"/>
      <c r="E236" s="47"/>
      <c r="F236" s="14"/>
      <c r="G236" s="13">
        <f t="shared" ref="G236" si="40">SUM(C236:F236)</f>
        <v>0</v>
      </c>
      <c r="H236" s="79">
        <v>2</v>
      </c>
      <c r="I236" s="16"/>
      <c r="J236" s="92"/>
      <c r="K236" s="14"/>
      <c r="L236" s="13">
        <f t="shared" ref="L236" si="41">SUM(H236:K236)</f>
        <v>2</v>
      </c>
      <c r="M236" s="13">
        <f t="shared" ref="M236" si="42">G236+L236</f>
        <v>2</v>
      </c>
      <c r="N236" s="20">
        <v>46149</v>
      </c>
    </row>
    <row r="237" spans="2:14" x14ac:dyDescent="0.15">
      <c r="B237" s="29" t="s">
        <v>3</v>
      </c>
      <c r="C237" s="79"/>
      <c r="D237" s="16"/>
      <c r="E237" s="47"/>
      <c r="F237" s="14"/>
      <c r="G237" s="13">
        <f t="shared" si="38"/>
        <v>0</v>
      </c>
      <c r="H237" s="79"/>
      <c r="I237" s="16"/>
      <c r="J237" s="92"/>
      <c r="K237" s="14"/>
      <c r="L237" s="13">
        <f t="shared" si="39"/>
        <v>0</v>
      </c>
      <c r="M237" s="13">
        <f t="shared" si="37"/>
        <v>0</v>
      </c>
    </row>
    <row r="238" spans="2:14" ht="14.25" thickBot="1" x14ac:dyDescent="0.2">
      <c r="B238" s="29" t="s">
        <v>3</v>
      </c>
      <c r="C238" s="79"/>
      <c r="D238" s="16"/>
      <c r="E238" s="47"/>
      <c r="F238" s="14"/>
      <c r="G238" s="13">
        <f t="shared" si="38"/>
        <v>0</v>
      </c>
      <c r="H238" s="79"/>
      <c r="I238" s="16"/>
      <c r="J238" s="92"/>
      <c r="K238" s="14"/>
      <c r="L238" s="13">
        <f t="shared" si="39"/>
        <v>0</v>
      </c>
      <c r="M238" s="13">
        <f t="shared" si="37"/>
        <v>0</v>
      </c>
    </row>
    <row r="239" spans="2:14" ht="14.25" thickBot="1" x14ac:dyDescent="0.2">
      <c r="B239" s="26" t="s">
        <v>2</v>
      </c>
      <c r="C239" s="80">
        <f>SUM(C233:C238)</f>
        <v>3</v>
      </c>
      <c r="D239" s="25">
        <f>SUM(D233:D238)</f>
        <v>5</v>
      </c>
      <c r="E239" s="49">
        <f>SUM(E233:E238)</f>
        <v>3</v>
      </c>
      <c r="F239" s="25">
        <f>SUM(F233:F238)</f>
        <v>3</v>
      </c>
      <c r="G239" s="24">
        <f t="shared" si="38"/>
        <v>14</v>
      </c>
      <c r="H239" s="80">
        <f>SUM(H233:H238)</f>
        <v>4</v>
      </c>
      <c r="I239" s="25">
        <f>SUM(I233:I238)</f>
        <v>0</v>
      </c>
      <c r="J239" s="49">
        <f>SUM(J233:J238)</f>
        <v>1</v>
      </c>
      <c r="K239" s="25">
        <f>SUM(K233:K238)</f>
        <v>3</v>
      </c>
      <c r="L239" s="24">
        <f t="shared" si="39"/>
        <v>8</v>
      </c>
      <c r="M239" s="24">
        <f t="shared" si="37"/>
        <v>22</v>
      </c>
    </row>
    <row r="240" spans="2:14" x14ac:dyDescent="0.15">
      <c r="B240" s="12" t="s">
        <v>22</v>
      </c>
      <c r="C240" s="81"/>
      <c r="D240" s="16"/>
      <c r="E240" s="47">
        <v>1</v>
      </c>
      <c r="F240" s="14"/>
      <c r="G240" s="13">
        <f t="shared" si="38"/>
        <v>1</v>
      </c>
      <c r="H240" s="81"/>
      <c r="I240" s="16"/>
      <c r="J240" s="47"/>
      <c r="K240" s="14"/>
      <c r="L240" s="13">
        <f t="shared" si="39"/>
        <v>0</v>
      </c>
      <c r="M240" s="13">
        <f t="shared" si="37"/>
        <v>1</v>
      </c>
      <c r="N240" s="20">
        <v>46083</v>
      </c>
    </row>
    <row r="241" spans="2:14" x14ac:dyDescent="0.15">
      <c r="B241" s="12" t="s">
        <v>22</v>
      </c>
      <c r="C241" s="81"/>
      <c r="D241" s="16"/>
      <c r="E241" s="47"/>
      <c r="F241" s="14"/>
      <c r="G241" s="13">
        <f t="shared" si="38"/>
        <v>0</v>
      </c>
      <c r="H241" s="81"/>
      <c r="I241" s="16"/>
      <c r="J241" s="47">
        <v>1</v>
      </c>
      <c r="K241" s="14"/>
      <c r="L241" s="13">
        <f t="shared" si="39"/>
        <v>1</v>
      </c>
      <c r="M241" s="13">
        <f t="shared" si="37"/>
        <v>1</v>
      </c>
      <c r="N241" s="20">
        <v>46087</v>
      </c>
    </row>
    <row r="242" spans="2:14" x14ac:dyDescent="0.15">
      <c r="B242" s="12" t="s">
        <v>22</v>
      </c>
      <c r="C242" s="81"/>
      <c r="D242" s="16"/>
      <c r="E242" s="47">
        <v>2</v>
      </c>
      <c r="F242" s="14"/>
      <c r="G242" s="13">
        <f t="shared" si="38"/>
        <v>2</v>
      </c>
      <c r="H242" s="81"/>
      <c r="I242" s="16"/>
      <c r="J242" s="47"/>
      <c r="K242" s="14"/>
      <c r="L242" s="13">
        <f t="shared" si="39"/>
        <v>0</v>
      </c>
      <c r="M242" s="13">
        <f t="shared" si="37"/>
        <v>2</v>
      </c>
      <c r="N242" s="20">
        <v>46097</v>
      </c>
    </row>
    <row r="243" spans="2:14" x14ac:dyDescent="0.15">
      <c r="B243" s="12" t="s">
        <v>22</v>
      </c>
      <c r="C243" s="81">
        <v>2</v>
      </c>
      <c r="D243" s="16"/>
      <c r="E243" s="47"/>
      <c r="F243" s="14"/>
      <c r="G243" s="13">
        <f t="shared" si="38"/>
        <v>2</v>
      </c>
      <c r="H243" s="81"/>
      <c r="I243" s="16"/>
      <c r="J243" s="47"/>
      <c r="K243" s="14"/>
      <c r="L243" s="13">
        <f t="shared" si="39"/>
        <v>0</v>
      </c>
      <c r="M243" s="13">
        <f t="shared" si="37"/>
        <v>2</v>
      </c>
      <c r="N243" s="20">
        <v>46140</v>
      </c>
    </row>
    <row r="244" spans="2:14" x14ac:dyDescent="0.15">
      <c r="B244" s="12" t="s">
        <v>22</v>
      </c>
      <c r="C244" s="81"/>
      <c r="D244" s="16"/>
      <c r="E244" s="47"/>
      <c r="F244" s="14"/>
      <c r="G244" s="13">
        <f t="shared" si="38"/>
        <v>0</v>
      </c>
      <c r="H244" s="81"/>
      <c r="I244" s="16">
        <v>1</v>
      </c>
      <c r="J244" s="47"/>
      <c r="K244" s="14"/>
      <c r="L244" s="13">
        <f t="shared" si="39"/>
        <v>1</v>
      </c>
      <c r="M244" s="13">
        <f t="shared" si="37"/>
        <v>1</v>
      </c>
      <c r="N244" s="20">
        <v>46168</v>
      </c>
    </row>
    <row r="245" spans="2:14" x14ac:dyDescent="0.15">
      <c r="B245" s="12"/>
      <c r="C245" s="81"/>
      <c r="D245" s="16"/>
      <c r="E245" s="47"/>
      <c r="F245" s="14"/>
      <c r="G245" s="13">
        <f>SUM(C245:F245)</f>
        <v>0</v>
      </c>
      <c r="H245" s="81"/>
      <c r="I245" s="16"/>
      <c r="J245" s="47"/>
      <c r="K245" s="14"/>
      <c r="L245" s="13">
        <f t="shared" si="39"/>
        <v>0</v>
      </c>
      <c r="M245" s="13">
        <f t="shared" si="37"/>
        <v>0</v>
      </c>
    </row>
    <row r="246" spans="2:14" x14ac:dyDescent="0.15">
      <c r="B246" s="12"/>
      <c r="C246" s="81"/>
      <c r="D246" s="16"/>
      <c r="E246" s="47"/>
      <c r="F246" s="14"/>
      <c r="G246" s="13">
        <f t="shared" ref="G246:G266" si="43">SUM(C246:F246)</f>
        <v>0</v>
      </c>
      <c r="H246" s="81"/>
      <c r="I246" s="16"/>
      <c r="J246" s="47"/>
      <c r="K246" s="14"/>
      <c r="L246" s="13">
        <f t="shared" si="39"/>
        <v>0</v>
      </c>
      <c r="M246" s="13">
        <f t="shared" si="37"/>
        <v>0</v>
      </c>
    </row>
    <row r="247" spans="2:14" x14ac:dyDescent="0.15">
      <c r="B247" s="12"/>
      <c r="C247" s="81"/>
      <c r="D247" s="16"/>
      <c r="E247" s="47"/>
      <c r="F247" s="14"/>
      <c r="G247" s="13">
        <f t="shared" si="43"/>
        <v>0</v>
      </c>
      <c r="H247" s="81"/>
      <c r="I247" s="16"/>
      <c r="J247" s="47"/>
      <c r="K247" s="14"/>
      <c r="L247" s="13">
        <f t="shared" si="39"/>
        <v>0</v>
      </c>
      <c r="M247" s="13">
        <f t="shared" si="37"/>
        <v>0</v>
      </c>
    </row>
    <row r="248" spans="2:14" x14ac:dyDescent="0.15">
      <c r="B248" s="12"/>
      <c r="C248" s="81"/>
      <c r="D248" s="16"/>
      <c r="E248" s="47"/>
      <c r="F248" s="14"/>
      <c r="G248" s="13">
        <f t="shared" si="43"/>
        <v>0</v>
      </c>
      <c r="H248" s="81"/>
      <c r="I248" s="16"/>
      <c r="J248" s="47"/>
      <c r="K248" s="14"/>
      <c r="L248" s="13">
        <f t="shared" si="39"/>
        <v>0</v>
      </c>
      <c r="M248" s="13">
        <f t="shared" si="37"/>
        <v>0</v>
      </c>
    </row>
    <row r="249" spans="2:14" x14ac:dyDescent="0.15">
      <c r="B249" s="12"/>
      <c r="C249" s="81"/>
      <c r="D249" s="16"/>
      <c r="E249" s="47"/>
      <c r="F249" s="14"/>
      <c r="G249" s="13">
        <f t="shared" si="43"/>
        <v>0</v>
      </c>
      <c r="H249" s="81"/>
      <c r="I249" s="16"/>
      <c r="J249" s="47"/>
      <c r="K249" s="14"/>
      <c r="L249" s="13">
        <f t="shared" si="39"/>
        <v>0</v>
      </c>
      <c r="M249" s="13">
        <f t="shared" si="37"/>
        <v>0</v>
      </c>
    </row>
    <row r="250" spans="2:14" x14ac:dyDescent="0.15">
      <c r="B250" s="12"/>
      <c r="C250" s="81"/>
      <c r="D250" s="19"/>
      <c r="E250" s="50"/>
      <c r="F250" s="17"/>
      <c r="G250" s="13">
        <f t="shared" si="43"/>
        <v>0</v>
      </c>
      <c r="H250" s="81"/>
      <c r="I250" s="19"/>
      <c r="J250" s="50"/>
      <c r="K250" s="17"/>
      <c r="L250" s="13">
        <f t="shared" si="39"/>
        <v>0</v>
      </c>
      <c r="M250" s="13">
        <f t="shared" si="37"/>
        <v>0</v>
      </c>
    </row>
    <row r="251" spans="2:14" x14ac:dyDescent="0.15">
      <c r="B251" s="12"/>
      <c r="C251" s="79"/>
      <c r="D251" s="16"/>
      <c r="E251" s="47"/>
      <c r="F251" s="14"/>
      <c r="G251" s="13">
        <f t="shared" si="43"/>
        <v>0</v>
      </c>
      <c r="H251" s="79"/>
      <c r="I251" s="16"/>
      <c r="J251" s="47"/>
      <c r="K251" s="14"/>
      <c r="L251" s="13">
        <f t="shared" si="39"/>
        <v>0</v>
      </c>
      <c r="M251" s="13">
        <f t="shared" si="37"/>
        <v>0</v>
      </c>
    </row>
    <row r="252" spans="2:14" x14ac:dyDescent="0.15">
      <c r="B252" s="12"/>
      <c r="C252" s="79"/>
      <c r="D252" s="16"/>
      <c r="E252" s="47"/>
      <c r="F252" s="14"/>
      <c r="G252" s="13">
        <f t="shared" si="43"/>
        <v>0</v>
      </c>
      <c r="H252" s="79"/>
      <c r="I252" s="16"/>
      <c r="J252" s="47"/>
      <c r="K252" s="14"/>
      <c r="L252" s="13">
        <f t="shared" si="39"/>
        <v>0</v>
      </c>
      <c r="M252" s="13">
        <f t="shared" si="37"/>
        <v>0</v>
      </c>
    </row>
    <row r="253" spans="2:14" x14ac:dyDescent="0.15">
      <c r="B253" s="12"/>
      <c r="C253" s="81"/>
      <c r="D253" s="19"/>
      <c r="E253" s="50"/>
      <c r="F253" s="17"/>
      <c r="G253" s="13">
        <f t="shared" si="43"/>
        <v>0</v>
      </c>
      <c r="H253" s="81"/>
      <c r="I253" s="19"/>
      <c r="J253" s="50"/>
      <c r="K253" s="17"/>
      <c r="L253" s="13">
        <f t="shared" si="39"/>
        <v>0</v>
      </c>
      <c r="M253" s="13">
        <f t="shared" si="37"/>
        <v>0</v>
      </c>
    </row>
    <row r="254" spans="2:14" x14ac:dyDescent="0.15">
      <c r="B254" s="12"/>
      <c r="C254" s="81"/>
      <c r="D254" s="19"/>
      <c r="E254" s="50"/>
      <c r="F254" s="17"/>
      <c r="G254" s="13">
        <f t="shared" si="43"/>
        <v>0</v>
      </c>
      <c r="H254" s="81"/>
      <c r="I254" s="19"/>
      <c r="J254" s="50"/>
      <c r="K254" s="17"/>
      <c r="L254" s="13">
        <f t="shared" si="39"/>
        <v>0</v>
      </c>
      <c r="M254" s="13">
        <f t="shared" si="37"/>
        <v>0</v>
      </c>
    </row>
    <row r="255" spans="2:14" x14ac:dyDescent="0.15">
      <c r="B255" s="12"/>
      <c r="C255" s="79"/>
      <c r="D255" s="16"/>
      <c r="E255" s="47"/>
      <c r="F255" s="14"/>
      <c r="G255" s="13">
        <f t="shared" si="43"/>
        <v>0</v>
      </c>
      <c r="H255" s="79"/>
      <c r="I255" s="16"/>
      <c r="J255" s="47"/>
      <c r="K255" s="14"/>
      <c r="L255" s="13">
        <f t="shared" si="39"/>
        <v>0</v>
      </c>
      <c r="M255" s="13">
        <f t="shared" si="37"/>
        <v>0</v>
      </c>
    </row>
    <row r="256" spans="2:14" x14ac:dyDescent="0.15">
      <c r="B256" s="12"/>
      <c r="C256" s="79"/>
      <c r="D256" s="16"/>
      <c r="E256" s="47"/>
      <c r="F256" s="14"/>
      <c r="G256" s="13">
        <f t="shared" si="43"/>
        <v>0</v>
      </c>
      <c r="H256" s="79"/>
      <c r="I256" s="16"/>
      <c r="J256" s="47"/>
      <c r="K256" s="14"/>
      <c r="L256" s="13">
        <f t="shared" si="39"/>
        <v>0</v>
      </c>
      <c r="M256" s="13">
        <f t="shared" si="37"/>
        <v>0</v>
      </c>
    </row>
    <row r="257" spans="2:13" x14ac:dyDescent="0.15">
      <c r="B257" s="12"/>
      <c r="C257" s="79"/>
      <c r="D257" s="16"/>
      <c r="E257" s="47"/>
      <c r="F257" s="14"/>
      <c r="G257" s="13">
        <f t="shared" si="43"/>
        <v>0</v>
      </c>
      <c r="H257" s="79"/>
      <c r="I257" s="16"/>
      <c r="J257" s="47"/>
      <c r="K257" s="14"/>
      <c r="L257" s="13">
        <f t="shared" si="39"/>
        <v>0</v>
      </c>
      <c r="M257" s="13">
        <f t="shared" si="37"/>
        <v>0</v>
      </c>
    </row>
    <row r="258" spans="2:13" x14ac:dyDescent="0.15">
      <c r="B258" s="12"/>
      <c r="C258" s="79"/>
      <c r="D258" s="16"/>
      <c r="E258" s="47"/>
      <c r="F258" s="14"/>
      <c r="G258" s="13">
        <f t="shared" si="43"/>
        <v>0</v>
      </c>
      <c r="H258" s="79"/>
      <c r="I258" s="16"/>
      <c r="J258" s="47"/>
      <c r="K258" s="14"/>
      <c r="L258" s="13">
        <f t="shared" si="39"/>
        <v>0</v>
      </c>
      <c r="M258" s="13">
        <f t="shared" si="37"/>
        <v>0</v>
      </c>
    </row>
    <row r="259" spans="2:13" x14ac:dyDescent="0.15">
      <c r="B259" s="12"/>
      <c r="C259" s="79"/>
      <c r="D259" s="16"/>
      <c r="E259" s="47"/>
      <c r="F259" s="14"/>
      <c r="G259" s="13">
        <f t="shared" si="43"/>
        <v>0</v>
      </c>
      <c r="H259" s="79"/>
      <c r="I259" s="16"/>
      <c r="J259" s="47"/>
      <c r="K259" s="14"/>
      <c r="L259" s="13">
        <f t="shared" si="39"/>
        <v>0</v>
      </c>
      <c r="M259" s="13">
        <f t="shared" si="37"/>
        <v>0</v>
      </c>
    </row>
    <row r="260" spans="2:13" x14ac:dyDescent="0.15">
      <c r="B260" s="12"/>
      <c r="C260" s="79"/>
      <c r="D260" s="16"/>
      <c r="E260" s="47"/>
      <c r="F260" s="14"/>
      <c r="G260" s="13">
        <f t="shared" si="43"/>
        <v>0</v>
      </c>
      <c r="H260" s="79"/>
      <c r="I260" s="16"/>
      <c r="J260" s="47"/>
      <c r="K260" s="14"/>
      <c r="L260" s="13">
        <f t="shared" si="39"/>
        <v>0</v>
      </c>
      <c r="M260" s="13">
        <f t="shared" si="37"/>
        <v>0</v>
      </c>
    </row>
    <row r="261" spans="2:13" x14ac:dyDescent="0.15">
      <c r="B261" s="12"/>
      <c r="C261" s="79"/>
      <c r="D261" s="16"/>
      <c r="E261" s="47"/>
      <c r="F261" s="14"/>
      <c r="G261" s="13">
        <f t="shared" si="43"/>
        <v>0</v>
      </c>
      <c r="H261" s="79"/>
      <c r="I261" s="16"/>
      <c r="J261" s="47"/>
      <c r="K261" s="14"/>
      <c r="L261" s="13">
        <f t="shared" si="39"/>
        <v>0</v>
      </c>
      <c r="M261" s="13">
        <f t="shared" si="37"/>
        <v>0</v>
      </c>
    </row>
    <row r="262" spans="2:13" x14ac:dyDescent="0.15">
      <c r="B262" s="12"/>
      <c r="C262" s="79"/>
      <c r="D262" s="16"/>
      <c r="E262" s="47"/>
      <c r="F262" s="14"/>
      <c r="G262" s="13">
        <f t="shared" si="43"/>
        <v>0</v>
      </c>
      <c r="H262" s="79"/>
      <c r="I262" s="16"/>
      <c r="J262" s="47"/>
      <c r="K262" s="14"/>
      <c r="L262" s="13">
        <f t="shared" si="39"/>
        <v>0</v>
      </c>
      <c r="M262" s="13">
        <f t="shared" si="37"/>
        <v>0</v>
      </c>
    </row>
    <row r="263" spans="2:13" x14ac:dyDescent="0.15">
      <c r="B263" s="12"/>
      <c r="C263" s="79"/>
      <c r="D263" s="16"/>
      <c r="E263" s="47"/>
      <c r="F263" s="14"/>
      <c r="G263" s="13">
        <f t="shared" si="43"/>
        <v>0</v>
      </c>
      <c r="H263" s="79"/>
      <c r="I263" s="16"/>
      <c r="J263" s="47"/>
      <c r="K263" s="14"/>
      <c r="L263" s="13">
        <f t="shared" si="39"/>
        <v>0</v>
      </c>
      <c r="M263" s="13">
        <f t="shared" si="37"/>
        <v>0</v>
      </c>
    </row>
    <row r="264" spans="2:13" ht="14.25" thickBot="1" x14ac:dyDescent="0.2">
      <c r="B264" s="12"/>
      <c r="C264" s="82"/>
      <c r="D264" s="27"/>
      <c r="E264" s="48"/>
      <c r="F264" s="9"/>
      <c r="G264" s="8">
        <f t="shared" si="43"/>
        <v>0</v>
      </c>
      <c r="H264" s="82"/>
      <c r="I264" s="27"/>
      <c r="J264" s="48"/>
      <c r="K264" s="9"/>
      <c r="L264" s="8">
        <f t="shared" si="39"/>
        <v>0</v>
      </c>
      <c r="M264" s="8">
        <f t="shared" si="37"/>
        <v>0</v>
      </c>
    </row>
    <row r="265" spans="2:13" ht="14.25" thickBot="1" x14ac:dyDescent="0.2">
      <c r="B265" s="7" t="s">
        <v>1</v>
      </c>
      <c r="C265" s="83">
        <f>SUM(C240:C264)</f>
        <v>2</v>
      </c>
      <c r="D265" s="6">
        <f>SUM(D240:D264)</f>
        <v>0</v>
      </c>
      <c r="E265" s="51">
        <f>SUM(E240:E264)</f>
        <v>3</v>
      </c>
      <c r="F265" s="44">
        <f>SUM(F240:F264)</f>
        <v>0</v>
      </c>
      <c r="G265" s="5">
        <f t="shared" si="43"/>
        <v>5</v>
      </c>
      <c r="H265" s="83">
        <f>SUM(H240:H264)</f>
        <v>0</v>
      </c>
      <c r="I265" s="6">
        <f>SUM(I240:I264)</f>
        <v>1</v>
      </c>
      <c r="J265" s="51">
        <f>SUM(J240:J264)</f>
        <v>1</v>
      </c>
      <c r="K265" s="44">
        <f>SUM(K240:K264)</f>
        <v>0</v>
      </c>
      <c r="L265" s="5">
        <f t="shared" si="39"/>
        <v>2</v>
      </c>
      <c r="M265" s="5">
        <f t="shared" si="37"/>
        <v>7</v>
      </c>
    </row>
    <row r="266" spans="2:13" ht="14.25" thickBot="1" x14ac:dyDescent="0.2">
      <c r="B266" s="4" t="s">
        <v>0</v>
      </c>
      <c r="C266" s="80">
        <f>+C239-C265</f>
        <v>1</v>
      </c>
      <c r="D266" s="25">
        <f>+D239-D265</f>
        <v>5</v>
      </c>
      <c r="E266" s="49">
        <f>+E239-E265</f>
        <v>0</v>
      </c>
      <c r="F266" s="45">
        <f>+F239-F265</f>
        <v>3</v>
      </c>
      <c r="G266" s="24">
        <f t="shared" si="43"/>
        <v>9</v>
      </c>
      <c r="H266" s="80">
        <f>+H239-H265</f>
        <v>4</v>
      </c>
      <c r="I266" s="25">
        <f>+I239-I265</f>
        <v>-1</v>
      </c>
      <c r="J266" s="49">
        <f>+J239-J265</f>
        <v>0</v>
      </c>
      <c r="K266" s="45">
        <f>+K239-K265</f>
        <v>3</v>
      </c>
      <c r="L266" s="24">
        <f t="shared" si="39"/>
        <v>6</v>
      </c>
      <c r="M266" s="24">
        <f t="shared" si="37"/>
        <v>15</v>
      </c>
    </row>
    <row r="267" spans="2:13" x14ac:dyDescent="0.15">
      <c r="D267" s="91" t="s">
        <v>56</v>
      </c>
    </row>
  </sheetData>
  <mergeCells count="14">
    <mergeCell ref="C231:G231"/>
    <mergeCell ref="H231:L231"/>
    <mergeCell ref="C193:G193"/>
    <mergeCell ref="H193:L193"/>
    <mergeCell ref="C41:G41"/>
    <mergeCell ref="H41:L41"/>
    <mergeCell ref="C3:G3"/>
    <mergeCell ref="H3:L3"/>
    <mergeCell ref="C155:G155"/>
    <mergeCell ref="H155:L155"/>
    <mergeCell ref="C117:G117"/>
    <mergeCell ref="H117:L117"/>
    <mergeCell ref="C79:G79"/>
    <mergeCell ref="H79:L79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76"/>
  <sheetViews>
    <sheetView topLeftCell="A3" zoomScaleNormal="100" workbookViewId="0">
      <selection activeCell="G19" sqref="G19"/>
    </sheetView>
  </sheetViews>
  <sheetFormatPr defaultRowHeight="13.5" x14ac:dyDescent="0.15"/>
  <cols>
    <col min="2" max="2" width="22.75" style="1" customWidth="1"/>
    <col min="3" max="5" width="11.75" customWidth="1"/>
    <col min="6" max="6" width="11.375" customWidth="1"/>
    <col min="7" max="7" width="9.25" bestFit="1" customWidth="1"/>
  </cols>
  <sheetData>
    <row r="2" spans="2:7" ht="19.5" thickBot="1" x14ac:dyDescent="0.25">
      <c r="B2" s="36" t="s">
        <v>40</v>
      </c>
      <c r="C2" s="35"/>
      <c r="D2" s="35"/>
      <c r="E2" s="35"/>
      <c r="F2" s="35">
        <v>1940</v>
      </c>
      <c r="G2" s="35"/>
    </row>
    <row r="3" spans="2:7" ht="14.25" thickBot="1" x14ac:dyDescent="0.2">
      <c r="B3" s="34"/>
      <c r="C3" s="99"/>
      <c r="D3" s="100"/>
      <c r="E3" s="100"/>
      <c r="F3" s="101"/>
    </row>
    <row r="4" spans="2:7" s="1" customFormat="1" ht="14.25" thickBot="1" x14ac:dyDescent="0.2">
      <c r="B4" s="32"/>
      <c r="C4" s="33" t="s">
        <v>8</v>
      </c>
      <c r="D4" s="32" t="s">
        <v>9</v>
      </c>
      <c r="E4" s="31" t="s">
        <v>10</v>
      </c>
      <c r="F4" s="7" t="s">
        <v>5</v>
      </c>
    </row>
    <row r="5" spans="2:7" ht="14.25" customHeight="1" x14ac:dyDescent="0.15">
      <c r="B5" s="41" t="s">
        <v>4</v>
      </c>
      <c r="C5" s="38">
        <v>2</v>
      </c>
      <c r="D5" s="37">
        <v>2</v>
      </c>
      <c r="E5" s="37">
        <v>2</v>
      </c>
      <c r="F5" s="13">
        <f t="shared" ref="F5:F10" si="0">SUM(C5:E5)</f>
        <v>6</v>
      </c>
      <c r="G5" s="20">
        <v>44595</v>
      </c>
    </row>
    <row r="6" spans="2:7" x14ac:dyDescent="0.15">
      <c r="B6" s="60" t="s">
        <v>35</v>
      </c>
      <c r="C6" s="61">
        <v>0</v>
      </c>
      <c r="D6" s="62">
        <v>0</v>
      </c>
      <c r="E6" s="63">
        <v>0</v>
      </c>
      <c r="F6" s="64">
        <f t="shared" si="0"/>
        <v>0</v>
      </c>
      <c r="G6" s="65">
        <v>44797</v>
      </c>
    </row>
    <row r="7" spans="2:7" x14ac:dyDescent="0.15">
      <c r="B7" s="29" t="s">
        <v>3</v>
      </c>
      <c r="C7" s="16">
        <v>2</v>
      </c>
      <c r="D7" s="15"/>
      <c r="E7" s="14"/>
      <c r="F7" s="13">
        <f t="shared" si="0"/>
        <v>2</v>
      </c>
      <c r="G7" s="20">
        <v>45035</v>
      </c>
    </row>
    <row r="8" spans="2:7" x14ac:dyDescent="0.15">
      <c r="B8" s="29" t="s">
        <v>42</v>
      </c>
      <c r="C8" s="16">
        <v>0</v>
      </c>
      <c r="D8" s="15">
        <v>0</v>
      </c>
      <c r="E8" s="14">
        <v>0</v>
      </c>
      <c r="F8" s="13">
        <f t="shared" si="0"/>
        <v>0</v>
      </c>
      <c r="G8" s="20">
        <v>45162</v>
      </c>
    </row>
    <row r="9" spans="2:7" x14ac:dyDescent="0.15">
      <c r="B9" s="29" t="s">
        <v>42</v>
      </c>
      <c r="C9" s="16">
        <v>0</v>
      </c>
      <c r="D9" s="15">
        <v>0</v>
      </c>
      <c r="E9" s="14">
        <v>0</v>
      </c>
      <c r="F9" s="13">
        <f t="shared" si="0"/>
        <v>0</v>
      </c>
      <c r="G9" s="20">
        <v>45531</v>
      </c>
    </row>
    <row r="10" spans="2:7" ht="14.25" thickBot="1" x14ac:dyDescent="0.2">
      <c r="B10" s="29" t="s">
        <v>42</v>
      </c>
      <c r="C10" s="27">
        <v>0</v>
      </c>
      <c r="D10" s="10">
        <v>0</v>
      </c>
      <c r="E10" s="9">
        <v>0</v>
      </c>
      <c r="F10" s="13">
        <f t="shared" si="0"/>
        <v>0</v>
      </c>
      <c r="G10" s="20">
        <v>45890</v>
      </c>
    </row>
    <row r="11" spans="2:7" ht="14.25" thickBot="1" x14ac:dyDescent="0.2">
      <c r="B11" s="26" t="s">
        <v>2</v>
      </c>
      <c r="C11" s="24">
        <f>SUM(C5:C10)</f>
        <v>4</v>
      </c>
      <c r="D11" s="24">
        <f>SUM(D5:D10)</f>
        <v>2</v>
      </c>
      <c r="E11" s="25">
        <f>SUM(E5:E10)</f>
        <v>2</v>
      </c>
      <c r="F11" s="24">
        <f>SUM(C11:E11)</f>
        <v>8</v>
      </c>
    </row>
    <row r="12" spans="2:7" x14ac:dyDescent="0.15">
      <c r="B12" s="69" t="s">
        <v>38</v>
      </c>
      <c r="C12" s="38">
        <v>2</v>
      </c>
      <c r="D12" s="37"/>
      <c r="E12" s="14"/>
      <c r="F12" s="13">
        <f t="shared" ref="F12:F29" si="1">SUM(C12:E12)</f>
        <v>2</v>
      </c>
      <c r="G12" s="20">
        <v>44942</v>
      </c>
    </row>
    <row r="13" spans="2:7" x14ac:dyDescent="0.15">
      <c r="B13" s="12" t="s">
        <v>22</v>
      </c>
      <c r="C13" s="16"/>
      <c r="D13" s="15"/>
      <c r="E13" s="14">
        <v>1</v>
      </c>
      <c r="F13" s="13">
        <f t="shared" si="1"/>
        <v>1</v>
      </c>
      <c r="G13" s="20">
        <v>45005</v>
      </c>
    </row>
    <row r="14" spans="2:7" x14ac:dyDescent="0.15">
      <c r="B14" s="12" t="s">
        <v>22</v>
      </c>
      <c r="C14" s="16">
        <v>2</v>
      </c>
      <c r="D14" s="15"/>
      <c r="E14" s="14"/>
      <c r="F14" s="13">
        <f t="shared" si="1"/>
        <v>2</v>
      </c>
      <c r="G14" s="20">
        <v>45035</v>
      </c>
    </row>
    <row r="15" spans="2:7" x14ac:dyDescent="0.15">
      <c r="B15" s="12" t="s">
        <v>22</v>
      </c>
      <c r="C15" s="16"/>
      <c r="D15" s="15"/>
      <c r="E15" s="14">
        <v>1</v>
      </c>
      <c r="F15" s="13">
        <f t="shared" si="1"/>
        <v>1</v>
      </c>
      <c r="G15" s="20">
        <v>45609</v>
      </c>
    </row>
    <row r="16" spans="2:7" x14ac:dyDescent="0.15">
      <c r="B16" s="12" t="s">
        <v>22</v>
      </c>
      <c r="C16" s="16"/>
      <c r="D16" s="15">
        <v>1</v>
      </c>
      <c r="E16" s="14"/>
      <c r="F16" s="13">
        <f t="shared" si="1"/>
        <v>1</v>
      </c>
      <c r="G16" s="20">
        <v>45966</v>
      </c>
    </row>
    <row r="17" spans="2:7" x14ac:dyDescent="0.15">
      <c r="B17" s="12" t="s">
        <v>22</v>
      </c>
      <c r="C17" s="16"/>
      <c r="D17" s="15">
        <v>1</v>
      </c>
      <c r="E17" s="14"/>
      <c r="F17" s="13">
        <f t="shared" si="1"/>
        <v>1</v>
      </c>
      <c r="G17" s="20">
        <v>45981</v>
      </c>
    </row>
    <row r="18" spans="2:7" x14ac:dyDescent="0.15">
      <c r="B18" s="12"/>
      <c r="C18" s="16"/>
      <c r="D18" s="15"/>
      <c r="E18" s="14"/>
      <c r="F18" s="13">
        <f t="shared" si="1"/>
        <v>0</v>
      </c>
      <c r="G18" s="20"/>
    </row>
    <row r="19" spans="2:7" x14ac:dyDescent="0.15">
      <c r="B19" s="12"/>
      <c r="C19" s="19"/>
      <c r="D19" s="18"/>
      <c r="E19" s="17"/>
      <c r="F19" s="13">
        <f t="shared" si="1"/>
        <v>0</v>
      </c>
      <c r="G19" s="20"/>
    </row>
    <row r="20" spans="2:7" x14ac:dyDescent="0.15">
      <c r="B20" s="12"/>
      <c r="C20" s="19"/>
      <c r="D20" s="18"/>
      <c r="E20" s="17"/>
      <c r="F20" s="13">
        <f t="shared" si="1"/>
        <v>0</v>
      </c>
      <c r="G20" s="20"/>
    </row>
    <row r="21" spans="2:7" x14ac:dyDescent="0.15">
      <c r="B21" s="12"/>
      <c r="C21" s="16"/>
      <c r="D21" s="15"/>
      <c r="E21" s="14"/>
      <c r="F21" s="13">
        <f t="shared" si="1"/>
        <v>0</v>
      </c>
      <c r="G21" s="20"/>
    </row>
    <row r="22" spans="2:7" x14ac:dyDescent="0.15">
      <c r="B22" s="12"/>
      <c r="C22" s="19"/>
      <c r="D22" s="18"/>
      <c r="E22" s="17"/>
      <c r="F22" s="13">
        <f t="shared" si="1"/>
        <v>0</v>
      </c>
      <c r="G22" s="40"/>
    </row>
    <row r="23" spans="2:7" x14ac:dyDescent="0.15">
      <c r="B23" s="12"/>
      <c r="C23" s="19"/>
      <c r="D23" s="18"/>
      <c r="E23" s="17"/>
      <c r="F23" s="13">
        <f t="shared" si="1"/>
        <v>0</v>
      </c>
      <c r="G23" s="40"/>
    </row>
    <row r="24" spans="2:7" x14ac:dyDescent="0.15">
      <c r="B24" s="12"/>
      <c r="C24" s="16"/>
      <c r="D24" s="15"/>
      <c r="E24" s="14"/>
      <c r="F24" s="13">
        <f t="shared" si="1"/>
        <v>0</v>
      </c>
      <c r="G24" s="20"/>
    </row>
    <row r="25" spans="2:7" x14ac:dyDescent="0.15">
      <c r="B25" s="12"/>
      <c r="C25" s="19"/>
      <c r="D25" s="18"/>
      <c r="E25" s="17"/>
      <c r="F25" s="13">
        <f t="shared" si="1"/>
        <v>0</v>
      </c>
      <c r="G25" s="40"/>
    </row>
    <row r="26" spans="2:7" x14ac:dyDescent="0.15">
      <c r="B26" s="12"/>
      <c r="C26" s="19"/>
      <c r="D26" s="18"/>
      <c r="E26" s="17"/>
      <c r="F26" s="13">
        <f t="shared" si="1"/>
        <v>0</v>
      </c>
      <c r="G26" s="40"/>
    </row>
    <row r="27" spans="2:7" x14ac:dyDescent="0.15">
      <c r="B27" s="12"/>
      <c r="C27" s="19"/>
      <c r="D27" s="18"/>
      <c r="E27" s="17"/>
      <c r="F27" s="13">
        <f t="shared" si="1"/>
        <v>0</v>
      </c>
      <c r="G27" s="40"/>
    </row>
    <row r="28" spans="2:7" x14ac:dyDescent="0.15">
      <c r="B28" s="12"/>
      <c r="C28" s="19"/>
      <c r="D28" s="18"/>
      <c r="E28" s="17"/>
      <c r="F28" s="13">
        <f t="shared" si="1"/>
        <v>0</v>
      </c>
      <c r="G28" s="40"/>
    </row>
    <row r="29" spans="2:7" x14ac:dyDescent="0.15">
      <c r="B29" s="12"/>
      <c r="C29" s="19"/>
      <c r="D29" s="18"/>
      <c r="E29" s="17"/>
      <c r="F29" s="13">
        <f t="shared" si="1"/>
        <v>0</v>
      </c>
      <c r="G29" s="40"/>
    </row>
    <row r="30" spans="2:7" x14ac:dyDescent="0.15">
      <c r="B30" s="12"/>
      <c r="C30" s="19"/>
      <c r="D30" s="18"/>
      <c r="E30" s="17"/>
      <c r="F30" s="13">
        <f t="shared" ref="F30:F38" si="2">SUM(C30:E30)</f>
        <v>0</v>
      </c>
      <c r="G30" s="40"/>
    </row>
    <row r="31" spans="2:7" x14ac:dyDescent="0.15">
      <c r="B31" s="12"/>
      <c r="C31" s="16"/>
      <c r="D31" s="15"/>
      <c r="E31" s="14"/>
      <c r="F31" s="13">
        <f t="shared" si="2"/>
        <v>0</v>
      </c>
      <c r="G31" s="39"/>
    </row>
    <row r="32" spans="2:7" x14ac:dyDescent="0.15">
      <c r="B32" s="12"/>
      <c r="C32" s="16"/>
      <c r="D32" s="15"/>
      <c r="E32" s="14"/>
      <c r="F32" s="13">
        <f t="shared" si="2"/>
        <v>0</v>
      </c>
      <c r="G32" s="39"/>
    </row>
    <row r="33" spans="2:7" x14ac:dyDescent="0.15">
      <c r="B33" s="12"/>
      <c r="C33" s="16"/>
      <c r="D33" s="15"/>
      <c r="E33" s="14"/>
      <c r="F33" s="13">
        <f t="shared" si="2"/>
        <v>0</v>
      </c>
      <c r="G33" s="39"/>
    </row>
    <row r="34" spans="2:7" x14ac:dyDescent="0.15">
      <c r="B34" s="12"/>
      <c r="C34" s="16"/>
      <c r="D34" s="15"/>
      <c r="E34" s="14"/>
      <c r="F34" s="13">
        <f t="shared" si="2"/>
        <v>0</v>
      </c>
      <c r="G34" s="39"/>
    </row>
    <row r="35" spans="2:7" x14ac:dyDescent="0.15">
      <c r="B35" s="12"/>
      <c r="C35" s="16"/>
      <c r="D35" s="15"/>
      <c r="E35" s="14"/>
      <c r="F35" s="13">
        <f t="shared" si="2"/>
        <v>0</v>
      </c>
      <c r="G35" s="39"/>
    </row>
    <row r="36" spans="2:7" ht="14.25" thickBot="1" x14ac:dyDescent="0.2">
      <c r="B36" s="12"/>
      <c r="C36" s="11"/>
      <c r="D36" s="10"/>
      <c r="E36" s="9"/>
      <c r="F36" s="8">
        <f t="shared" si="2"/>
        <v>0</v>
      </c>
      <c r="G36" s="39"/>
    </row>
    <row r="37" spans="2:7" ht="14.25" thickBot="1" x14ac:dyDescent="0.2">
      <c r="B37" s="7" t="s">
        <v>1</v>
      </c>
      <c r="C37" s="6">
        <f>SUM(C12:C36)</f>
        <v>4</v>
      </c>
      <c r="D37" s="5">
        <f>SUM(D12:D36)</f>
        <v>2</v>
      </c>
      <c r="E37" s="5">
        <f>SUM(E12:E36)</f>
        <v>2</v>
      </c>
      <c r="F37" s="5">
        <f t="shared" si="2"/>
        <v>8</v>
      </c>
    </row>
    <row r="38" spans="2:7" ht="14.25" thickBot="1" x14ac:dyDescent="0.2">
      <c r="B38" s="4" t="s">
        <v>0</v>
      </c>
      <c r="C38" s="3">
        <f>+C11-C37</f>
        <v>0</v>
      </c>
      <c r="D38" s="2">
        <f>+D11-D37</f>
        <v>0</v>
      </c>
      <c r="E38" s="2">
        <f>+E11-E37</f>
        <v>0</v>
      </c>
      <c r="F38" s="2">
        <f t="shared" si="2"/>
        <v>0</v>
      </c>
    </row>
    <row r="40" spans="2:7" ht="19.5" thickBot="1" x14ac:dyDescent="0.25">
      <c r="B40" s="36" t="s">
        <v>40</v>
      </c>
      <c r="C40" s="35"/>
      <c r="D40" s="35"/>
      <c r="E40" s="35"/>
      <c r="F40" s="35">
        <v>1940</v>
      </c>
      <c r="G40" s="35"/>
    </row>
    <row r="41" spans="2:7" ht="14.25" thickBot="1" x14ac:dyDescent="0.2">
      <c r="B41" s="34"/>
      <c r="C41" s="99"/>
      <c r="D41" s="100"/>
      <c r="E41" s="100"/>
      <c r="F41" s="101"/>
    </row>
    <row r="42" spans="2:7" s="1" customFormat="1" ht="14.25" thickBot="1" x14ac:dyDescent="0.2">
      <c r="B42" s="32"/>
      <c r="C42" s="33" t="s">
        <v>8</v>
      </c>
      <c r="D42" s="32" t="s">
        <v>9</v>
      </c>
      <c r="E42" s="31" t="s">
        <v>10</v>
      </c>
      <c r="F42" s="31" t="s">
        <v>5</v>
      </c>
    </row>
    <row r="43" spans="2:7" ht="14.25" customHeight="1" x14ac:dyDescent="0.15">
      <c r="B43" s="30" t="s">
        <v>0</v>
      </c>
      <c r="C43" s="23">
        <f>C38</f>
        <v>0</v>
      </c>
      <c r="D43" s="22">
        <f>D38</f>
        <v>0</v>
      </c>
      <c r="E43" s="22">
        <f>E38</f>
        <v>0</v>
      </c>
      <c r="F43" s="22">
        <f>SUM(C43:E43)</f>
        <v>0</v>
      </c>
      <c r="G43" s="20"/>
    </row>
    <row r="44" spans="2:7" x14ac:dyDescent="0.15">
      <c r="B44" s="29" t="s">
        <v>3</v>
      </c>
      <c r="C44" s="16"/>
      <c r="D44" s="15"/>
      <c r="E44" s="14"/>
      <c r="F44" s="13">
        <f t="shared" ref="F44:F47" si="3">SUM(C44:E44)</f>
        <v>0</v>
      </c>
      <c r="G44" s="20"/>
    </row>
    <row r="45" spans="2:7" x14ac:dyDescent="0.15">
      <c r="B45" s="29" t="s">
        <v>3</v>
      </c>
      <c r="C45" s="16"/>
      <c r="D45" s="15"/>
      <c r="E45" s="14"/>
      <c r="F45" s="13">
        <f t="shared" si="3"/>
        <v>0</v>
      </c>
      <c r="G45" s="20"/>
    </row>
    <row r="46" spans="2:7" x14ac:dyDescent="0.15">
      <c r="B46" s="29" t="s">
        <v>3</v>
      </c>
      <c r="C46" s="16"/>
      <c r="D46" s="15"/>
      <c r="E46" s="14"/>
      <c r="F46" s="13">
        <f t="shared" si="3"/>
        <v>0</v>
      </c>
      <c r="G46" s="20"/>
    </row>
    <row r="47" spans="2:7" x14ac:dyDescent="0.15">
      <c r="B47" s="29" t="s">
        <v>3</v>
      </c>
      <c r="C47" s="16"/>
      <c r="D47" s="15"/>
      <c r="E47" s="14"/>
      <c r="F47" s="13">
        <f t="shared" si="3"/>
        <v>0</v>
      </c>
      <c r="G47" s="20"/>
    </row>
    <row r="48" spans="2:7" ht="14.25" thickBot="1" x14ac:dyDescent="0.2">
      <c r="B48" s="28" t="s">
        <v>3</v>
      </c>
      <c r="C48" s="27"/>
      <c r="D48" s="10"/>
      <c r="E48" s="9"/>
      <c r="F48" s="8">
        <f>SUM(C48:E48)</f>
        <v>0</v>
      </c>
      <c r="G48" s="20"/>
    </row>
    <row r="49" spans="2:7" ht="14.25" thickBot="1" x14ac:dyDescent="0.2">
      <c r="B49" s="26" t="s">
        <v>2</v>
      </c>
      <c r="C49" s="24">
        <f>SUM(C43:C48)</f>
        <v>0</v>
      </c>
      <c r="D49" s="24">
        <f>SUM(D43:D48)</f>
        <v>0</v>
      </c>
      <c r="E49" s="25">
        <f>SUM(E43:E48)</f>
        <v>0</v>
      </c>
      <c r="F49" s="24">
        <f>SUM(C49:E49)</f>
        <v>0</v>
      </c>
    </row>
    <row r="50" spans="2:7" x14ac:dyDescent="0.15">
      <c r="B50" s="41"/>
      <c r="C50" s="38"/>
      <c r="D50" s="37"/>
      <c r="E50" s="14"/>
      <c r="F50" s="13">
        <f t="shared" ref="F50:F67" si="4">SUM(C50:E50)</f>
        <v>0</v>
      </c>
      <c r="G50" s="20"/>
    </row>
    <row r="51" spans="2:7" x14ac:dyDescent="0.15">
      <c r="B51" s="12"/>
      <c r="C51" s="16"/>
      <c r="D51" s="15"/>
      <c r="E51" s="14"/>
      <c r="F51" s="13">
        <f t="shared" si="4"/>
        <v>0</v>
      </c>
      <c r="G51" s="20"/>
    </row>
    <row r="52" spans="2:7" x14ac:dyDescent="0.15">
      <c r="B52" s="12"/>
      <c r="C52" s="16"/>
      <c r="D52" s="15"/>
      <c r="E52" s="14"/>
      <c r="F52" s="13">
        <f t="shared" si="4"/>
        <v>0</v>
      </c>
      <c r="G52" s="20"/>
    </row>
    <row r="53" spans="2:7" x14ac:dyDescent="0.15">
      <c r="B53" s="12"/>
      <c r="C53" s="16"/>
      <c r="D53" s="15"/>
      <c r="E53" s="14"/>
      <c r="F53" s="13">
        <f t="shared" si="4"/>
        <v>0</v>
      </c>
      <c r="G53" s="20"/>
    </row>
    <row r="54" spans="2:7" x14ac:dyDescent="0.15">
      <c r="B54" s="12"/>
      <c r="C54" s="16"/>
      <c r="D54" s="15"/>
      <c r="E54" s="14"/>
      <c r="F54" s="13">
        <f t="shared" si="4"/>
        <v>0</v>
      </c>
      <c r="G54" s="20"/>
    </row>
    <row r="55" spans="2:7" x14ac:dyDescent="0.15">
      <c r="B55" s="12"/>
      <c r="C55" s="16"/>
      <c r="D55" s="15"/>
      <c r="E55" s="14"/>
      <c r="F55" s="13">
        <f t="shared" si="4"/>
        <v>0</v>
      </c>
      <c r="G55" s="20"/>
    </row>
    <row r="56" spans="2:7" x14ac:dyDescent="0.15">
      <c r="B56" s="12"/>
      <c r="C56" s="16"/>
      <c r="D56" s="15"/>
      <c r="E56" s="14"/>
      <c r="F56" s="13">
        <f t="shared" si="4"/>
        <v>0</v>
      </c>
      <c r="G56" s="20"/>
    </row>
    <row r="57" spans="2:7" x14ac:dyDescent="0.15">
      <c r="B57" s="12"/>
      <c r="C57" s="19"/>
      <c r="D57" s="18"/>
      <c r="E57" s="17"/>
      <c r="F57" s="13">
        <f t="shared" si="4"/>
        <v>0</v>
      </c>
      <c r="G57" s="20"/>
    </row>
    <row r="58" spans="2:7" x14ac:dyDescent="0.15">
      <c r="B58" s="12"/>
      <c r="C58" s="19"/>
      <c r="D58" s="18"/>
      <c r="E58" s="17"/>
      <c r="F58" s="13">
        <f t="shared" si="4"/>
        <v>0</v>
      </c>
      <c r="G58" s="20"/>
    </row>
    <row r="59" spans="2:7" x14ac:dyDescent="0.15">
      <c r="B59" s="12"/>
      <c r="C59" s="16"/>
      <c r="D59" s="15"/>
      <c r="E59" s="14"/>
      <c r="F59" s="13">
        <f t="shared" si="4"/>
        <v>0</v>
      </c>
      <c r="G59" s="20"/>
    </row>
    <row r="60" spans="2:7" x14ac:dyDescent="0.15">
      <c r="B60" s="12"/>
      <c r="C60" s="19"/>
      <c r="D60" s="18"/>
      <c r="E60" s="17"/>
      <c r="F60" s="13">
        <f t="shared" si="4"/>
        <v>0</v>
      </c>
      <c r="G60" s="40"/>
    </row>
    <row r="61" spans="2:7" x14ac:dyDescent="0.15">
      <c r="B61" s="12"/>
      <c r="C61" s="19"/>
      <c r="D61" s="18"/>
      <c r="E61" s="17"/>
      <c r="F61" s="13">
        <f t="shared" si="4"/>
        <v>0</v>
      </c>
      <c r="G61" s="40"/>
    </row>
    <row r="62" spans="2:7" x14ac:dyDescent="0.15">
      <c r="B62" s="12"/>
      <c r="C62" s="16"/>
      <c r="D62" s="15"/>
      <c r="E62" s="14"/>
      <c r="F62" s="13">
        <f t="shared" si="4"/>
        <v>0</v>
      </c>
      <c r="G62" s="20"/>
    </row>
    <row r="63" spans="2:7" x14ac:dyDescent="0.15">
      <c r="B63" s="12"/>
      <c r="C63" s="19"/>
      <c r="D63" s="18"/>
      <c r="E63" s="17"/>
      <c r="F63" s="13">
        <f t="shared" si="4"/>
        <v>0</v>
      </c>
      <c r="G63" s="40"/>
    </row>
    <row r="64" spans="2:7" x14ac:dyDescent="0.15">
      <c r="B64" s="12"/>
      <c r="C64" s="19"/>
      <c r="D64" s="18"/>
      <c r="E64" s="17"/>
      <c r="F64" s="13">
        <f t="shared" si="4"/>
        <v>0</v>
      </c>
      <c r="G64" s="40"/>
    </row>
    <row r="65" spans="2:7" x14ac:dyDescent="0.15">
      <c r="B65" s="12"/>
      <c r="C65" s="19"/>
      <c r="D65" s="18"/>
      <c r="E65" s="17"/>
      <c r="F65" s="13">
        <f t="shared" si="4"/>
        <v>0</v>
      </c>
      <c r="G65" s="40"/>
    </row>
    <row r="66" spans="2:7" x14ac:dyDescent="0.15">
      <c r="B66" s="12"/>
      <c r="C66" s="19"/>
      <c r="D66" s="18"/>
      <c r="E66" s="17"/>
      <c r="F66" s="13">
        <f t="shared" si="4"/>
        <v>0</v>
      </c>
      <c r="G66" s="40"/>
    </row>
    <row r="67" spans="2:7" x14ac:dyDescent="0.15">
      <c r="B67" s="12"/>
      <c r="C67" s="19"/>
      <c r="D67" s="18"/>
      <c r="E67" s="17"/>
      <c r="F67" s="13">
        <f t="shared" si="4"/>
        <v>0</v>
      </c>
      <c r="G67" s="40"/>
    </row>
    <row r="68" spans="2:7" x14ac:dyDescent="0.15">
      <c r="B68" s="12"/>
      <c r="C68" s="19"/>
      <c r="D68" s="18"/>
      <c r="E68" s="17"/>
      <c r="F68" s="13">
        <f t="shared" ref="F68:F76" si="5">SUM(C68:E68)</f>
        <v>0</v>
      </c>
      <c r="G68" s="40"/>
    </row>
    <row r="69" spans="2:7" x14ac:dyDescent="0.15">
      <c r="B69" s="12"/>
      <c r="C69" s="16"/>
      <c r="D69" s="15"/>
      <c r="E69" s="14"/>
      <c r="F69" s="13">
        <f t="shared" si="5"/>
        <v>0</v>
      </c>
      <c r="G69" s="39"/>
    </row>
    <row r="70" spans="2:7" x14ac:dyDescent="0.15">
      <c r="B70" s="12"/>
      <c r="C70" s="16"/>
      <c r="D70" s="15"/>
      <c r="E70" s="14"/>
      <c r="F70" s="13">
        <f t="shared" si="5"/>
        <v>0</v>
      </c>
      <c r="G70" s="39"/>
    </row>
    <row r="71" spans="2:7" x14ac:dyDescent="0.15">
      <c r="B71" s="12"/>
      <c r="C71" s="16"/>
      <c r="D71" s="15"/>
      <c r="E71" s="14"/>
      <c r="F71" s="13">
        <f t="shared" si="5"/>
        <v>0</v>
      </c>
      <c r="G71" s="39"/>
    </row>
    <row r="72" spans="2:7" x14ac:dyDescent="0.15">
      <c r="B72" s="12"/>
      <c r="C72" s="16"/>
      <c r="D72" s="15"/>
      <c r="E72" s="14"/>
      <c r="F72" s="13">
        <f t="shared" si="5"/>
        <v>0</v>
      </c>
      <c r="G72" s="39"/>
    </row>
    <row r="73" spans="2:7" x14ac:dyDescent="0.15">
      <c r="B73" s="12"/>
      <c r="C73" s="16"/>
      <c r="D73" s="15"/>
      <c r="E73" s="14"/>
      <c r="F73" s="13">
        <f t="shared" si="5"/>
        <v>0</v>
      </c>
      <c r="G73" s="39"/>
    </row>
    <row r="74" spans="2:7" ht="14.25" thickBot="1" x14ac:dyDescent="0.2">
      <c r="B74" s="12"/>
      <c r="C74" s="11"/>
      <c r="D74" s="10"/>
      <c r="E74" s="9"/>
      <c r="F74" s="8">
        <f t="shared" si="5"/>
        <v>0</v>
      </c>
      <c r="G74" s="39"/>
    </row>
    <row r="75" spans="2:7" ht="14.25" thickBot="1" x14ac:dyDescent="0.2">
      <c r="B75" s="7" t="s">
        <v>1</v>
      </c>
      <c r="C75" s="6">
        <f>SUM(C50:C74)</f>
        <v>0</v>
      </c>
      <c r="D75" s="5">
        <f>SUM(D50:D74)</f>
        <v>0</v>
      </c>
      <c r="E75" s="5">
        <f>SUM(E50:E74)</f>
        <v>0</v>
      </c>
      <c r="F75" s="5">
        <f t="shared" si="5"/>
        <v>0</v>
      </c>
    </row>
    <row r="76" spans="2:7" ht="14.25" thickBot="1" x14ac:dyDescent="0.2">
      <c r="B76" s="4" t="s">
        <v>0</v>
      </c>
      <c r="C76" s="3">
        <f>+C49-C75</f>
        <v>0</v>
      </c>
      <c r="D76" s="2">
        <f>+D49-D75</f>
        <v>0</v>
      </c>
      <c r="E76" s="2">
        <f>+E49-E75</f>
        <v>0</v>
      </c>
      <c r="F76" s="2">
        <f t="shared" si="5"/>
        <v>0</v>
      </c>
    </row>
  </sheetData>
  <mergeCells count="2">
    <mergeCell ref="C3:F3"/>
    <mergeCell ref="C41:F41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 tint="0.499984740745262"/>
  </sheetPr>
  <dimension ref="B2:G76"/>
  <sheetViews>
    <sheetView topLeftCell="A9" zoomScaleNormal="100" workbookViewId="0">
      <selection activeCell="F213" sqref="F213"/>
    </sheetView>
  </sheetViews>
  <sheetFormatPr defaultRowHeight="13.5" x14ac:dyDescent="0.15"/>
  <cols>
    <col min="2" max="2" width="22.75" style="1" customWidth="1"/>
    <col min="3" max="5" width="11.75" customWidth="1"/>
    <col min="6" max="6" width="11.375" customWidth="1"/>
    <col min="7" max="7" width="9.25" bestFit="1" customWidth="1"/>
  </cols>
  <sheetData>
    <row r="2" spans="2:7" ht="19.5" thickBot="1" x14ac:dyDescent="0.25">
      <c r="B2" s="36" t="s">
        <v>32</v>
      </c>
      <c r="C2" s="35"/>
      <c r="D2" s="35"/>
      <c r="E2" s="35"/>
      <c r="F2" s="35"/>
      <c r="G2" s="35"/>
    </row>
    <row r="3" spans="2:7" ht="14.25" thickBot="1" x14ac:dyDescent="0.2">
      <c r="B3" s="34"/>
      <c r="C3" s="99"/>
      <c r="D3" s="100"/>
      <c r="E3" s="100"/>
      <c r="F3" s="101"/>
    </row>
    <row r="4" spans="2:7" s="1" customFormat="1" ht="14.25" thickBot="1" x14ac:dyDescent="0.2">
      <c r="B4" s="32"/>
      <c r="C4" s="33" t="s">
        <v>8</v>
      </c>
      <c r="D4" s="32" t="s">
        <v>9</v>
      </c>
      <c r="E4" s="31" t="s">
        <v>10</v>
      </c>
      <c r="F4" s="7" t="s">
        <v>5</v>
      </c>
    </row>
    <row r="5" spans="2:7" ht="14.25" customHeight="1" x14ac:dyDescent="0.15">
      <c r="B5" s="41" t="s">
        <v>4</v>
      </c>
      <c r="C5" s="38">
        <v>1</v>
      </c>
      <c r="D5" s="37">
        <v>1</v>
      </c>
      <c r="E5" s="37">
        <v>2</v>
      </c>
      <c r="F5" s="13">
        <f t="shared" ref="F5:F10" si="0">SUM(C5:E5)</f>
        <v>4</v>
      </c>
      <c r="G5" s="20">
        <v>44768</v>
      </c>
    </row>
    <row r="6" spans="2:7" x14ac:dyDescent="0.15">
      <c r="B6" s="29" t="s">
        <v>3</v>
      </c>
      <c r="C6" s="16">
        <v>1</v>
      </c>
      <c r="D6" s="15">
        <v>1</v>
      </c>
      <c r="E6" s="14">
        <v>3</v>
      </c>
      <c r="F6" s="13">
        <f t="shared" si="0"/>
        <v>5</v>
      </c>
      <c r="G6" s="20">
        <v>44777</v>
      </c>
    </row>
    <row r="7" spans="2:7" x14ac:dyDescent="0.15">
      <c r="B7" s="60" t="s">
        <v>35</v>
      </c>
      <c r="C7" s="61">
        <v>0</v>
      </c>
      <c r="D7" s="62">
        <v>0</v>
      </c>
      <c r="E7" s="63">
        <v>0</v>
      </c>
      <c r="F7" s="64">
        <f t="shared" si="0"/>
        <v>0</v>
      </c>
      <c r="G7" s="65">
        <v>44796</v>
      </c>
    </row>
    <row r="8" spans="2:7" x14ac:dyDescent="0.15">
      <c r="B8" s="29" t="s">
        <v>3</v>
      </c>
      <c r="C8" s="16">
        <v>1</v>
      </c>
      <c r="D8" s="67"/>
      <c r="E8" s="14">
        <v>2</v>
      </c>
      <c r="F8" s="13">
        <f t="shared" si="0"/>
        <v>3</v>
      </c>
      <c r="G8" s="20">
        <v>44845</v>
      </c>
    </row>
    <row r="9" spans="2:7" x14ac:dyDescent="0.15">
      <c r="B9" s="29" t="s">
        <v>3</v>
      </c>
      <c r="C9" s="16"/>
      <c r="D9" s="67"/>
      <c r="E9" s="14"/>
      <c r="F9" s="13">
        <f t="shared" si="0"/>
        <v>0</v>
      </c>
      <c r="G9" s="20"/>
    </row>
    <row r="10" spans="2:7" ht="14.25" thickBot="1" x14ac:dyDescent="0.2">
      <c r="B10" s="28" t="s">
        <v>3</v>
      </c>
      <c r="C10" s="27"/>
      <c r="D10" s="68"/>
      <c r="E10" s="9"/>
      <c r="F10" s="13">
        <f t="shared" si="0"/>
        <v>0</v>
      </c>
      <c r="G10" s="20"/>
    </row>
    <row r="11" spans="2:7" ht="14.25" thickBot="1" x14ac:dyDescent="0.2">
      <c r="B11" s="26" t="s">
        <v>2</v>
      </c>
      <c r="C11" s="24">
        <f>SUM(C5:C10)</f>
        <v>3</v>
      </c>
      <c r="D11" s="24">
        <f>SUM(D5:D10)</f>
        <v>2</v>
      </c>
      <c r="E11" s="25">
        <f>SUM(E5:E10)</f>
        <v>7</v>
      </c>
      <c r="F11" s="24">
        <f>SUM(C11:E11)</f>
        <v>12</v>
      </c>
    </row>
    <row r="12" spans="2:7" x14ac:dyDescent="0.15">
      <c r="B12" s="41" t="s">
        <v>33</v>
      </c>
      <c r="C12" s="38"/>
      <c r="D12" s="37"/>
      <c r="E12" s="14">
        <v>1</v>
      </c>
      <c r="F12" s="13">
        <f t="shared" ref="F12:F38" si="1">SUM(C12:E12)</f>
        <v>1</v>
      </c>
      <c r="G12" s="20">
        <v>44768</v>
      </c>
    </row>
    <row r="13" spans="2:7" x14ac:dyDescent="0.15">
      <c r="B13" s="12" t="s">
        <v>22</v>
      </c>
      <c r="C13" s="16"/>
      <c r="D13" s="15"/>
      <c r="E13" s="14">
        <v>2</v>
      </c>
      <c r="F13" s="13">
        <f t="shared" si="1"/>
        <v>2</v>
      </c>
      <c r="G13" s="20">
        <v>44777</v>
      </c>
    </row>
    <row r="14" spans="2:7" x14ac:dyDescent="0.15">
      <c r="B14" s="12" t="s">
        <v>22</v>
      </c>
      <c r="C14" s="16"/>
      <c r="D14" s="15">
        <v>1</v>
      </c>
      <c r="E14" s="14"/>
      <c r="F14" s="13">
        <f t="shared" si="1"/>
        <v>1</v>
      </c>
      <c r="G14" s="20">
        <v>44810</v>
      </c>
    </row>
    <row r="15" spans="2:7" x14ac:dyDescent="0.15">
      <c r="B15" s="12" t="s">
        <v>22</v>
      </c>
      <c r="C15" s="16">
        <v>1</v>
      </c>
      <c r="D15" s="15"/>
      <c r="E15" s="14"/>
      <c r="F15" s="13">
        <f t="shared" si="1"/>
        <v>1</v>
      </c>
      <c r="G15" s="20">
        <v>44830</v>
      </c>
    </row>
    <row r="16" spans="2:7" x14ac:dyDescent="0.15">
      <c r="B16" s="12" t="s">
        <v>22</v>
      </c>
      <c r="C16" s="16"/>
      <c r="D16" s="15"/>
      <c r="E16" s="14">
        <v>2</v>
      </c>
      <c r="F16" s="13">
        <f t="shared" si="1"/>
        <v>2</v>
      </c>
      <c r="G16" s="20">
        <v>44837</v>
      </c>
    </row>
    <row r="17" spans="2:7" x14ac:dyDescent="0.15">
      <c r="B17" s="12" t="s">
        <v>22</v>
      </c>
      <c r="C17" s="16"/>
      <c r="D17" s="15">
        <v>1</v>
      </c>
      <c r="E17" s="14"/>
      <c r="F17" s="13">
        <f t="shared" si="1"/>
        <v>1</v>
      </c>
      <c r="G17" s="20">
        <v>44893</v>
      </c>
    </row>
    <row r="18" spans="2:7" x14ac:dyDescent="0.15">
      <c r="B18" s="12" t="s">
        <v>22</v>
      </c>
      <c r="C18" s="16"/>
      <c r="D18" s="15"/>
      <c r="E18" s="14">
        <v>1</v>
      </c>
      <c r="F18" s="13">
        <f t="shared" si="1"/>
        <v>1</v>
      </c>
      <c r="G18" s="20">
        <v>44998</v>
      </c>
    </row>
    <row r="19" spans="2:7" x14ac:dyDescent="0.15">
      <c r="B19" s="12" t="s">
        <v>22</v>
      </c>
      <c r="C19" s="19"/>
      <c r="D19" s="18"/>
      <c r="E19" s="17">
        <v>1</v>
      </c>
      <c r="F19" s="13">
        <f t="shared" si="1"/>
        <v>1</v>
      </c>
      <c r="G19" s="20">
        <v>45042</v>
      </c>
    </row>
    <row r="20" spans="2:7" x14ac:dyDescent="0.15">
      <c r="B20" s="12" t="s">
        <v>22</v>
      </c>
      <c r="C20" s="19">
        <v>2</v>
      </c>
      <c r="D20" s="18"/>
      <c r="E20" s="17"/>
      <c r="F20" s="13">
        <f t="shared" si="1"/>
        <v>2</v>
      </c>
      <c r="G20" s="20">
        <v>45054</v>
      </c>
    </row>
    <row r="21" spans="2:7" x14ac:dyDescent="0.15">
      <c r="B21" s="12"/>
      <c r="C21" s="16"/>
      <c r="D21" s="15"/>
      <c r="E21" s="14"/>
      <c r="F21" s="13">
        <f t="shared" si="1"/>
        <v>0</v>
      </c>
      <c r="G21" s="20"/>
    </row>
    <row r="22" spans="2:7" x14ac:dyDescent="0.15">
      <c r="B22" s="12"/>
      <c r="C22" s="19"/>
      <c r="D22" s="18"/>
      <c r="E22" s="17"/>
      <c r="F22" s="13">
        <f t="shared" si="1"/>
        <v>0</v>
      </c>
      <c r="G22" s="40"/>
    </row>
    <row r="23" spans="2:7" x14ac:dyDescent="0.15">
      <c r="B23" s="12"/>
      <c r="C23" s="19"/>
      <c r="D23" s="18"/>
      <c r="E23" s="17"/>
      <c r="F23" s="13">
        <f t="shared" si="1"/>
        <v>0</v>
      </c>
      <c r="G23" s="40"/>
    </row>
    <row r="24" spans="2:7" x14ac:dyDescent="0.15">
      <c r="B24" s="12"/>
      <c r="C24" s="16"/>
      <c r="D24" s="15"/>
      <c r="E24" s="14"/>
      <c r="F24" s="13">
        <f t="shared" si="1"/>
        <v>0</v>
      </c>
      <c r="G24" s="20"/>
    </row>
    <row r="25" spans="2:7" x14ac:dyDescent="0.15">
      <c r="B25" s="12"/>
      <c r="C25" s="19"/>
      <c r="D25" s="18"/>
      <c r="E25" s="17"/>
      <c r="F25" s="13">
        <f t="shared" si="1"/>
        <v>0</v>
      </c>
      <c r="G25" s="40"/>
    </row>
    <row r="26" spans="2:7" x14ac:dyDescent="0.15">
      <c r="B26" s="12"/>
      <c r="C26" s="19"/>
      <c r="D26" s="18"/>
      <c r="E26" s="17"/>
      <c r="F26" s="13">
        <f t="shared" si="1"/>
        <v>0</v>
      </c>
      <c r="G26" s="40"/>
    </row>
    <row r="27" spans="2:7" x14ac:dyDescent="0.15">
      <c r="B27" s="12"/>
      <c r="C27" s="19"/>
      <c r="D27" s="18"/>
      <c r="E27" s="17"/>
      <c r="F27" s="13">
        <f t="shared" si="1"/>
        <v>0</v>
      </c>
      <c r="G27" s="40"/>
    </row>
    <row r="28" spans="2:7" x14ac:dyDescent="0.15">
      <c r="B28" s="12"/>
      <c r="C28" s="19"/>
      <c r="D28" s="18"/>
      <c r="E28" s="17"/>
      <c r="F28" s="13">
        <f t="shared" si="1"/>
        <v>0</v>
      </c>
      <c r="G28" s="40"/>
    </row>
    <row r="29" spans="2:7" x14ac:dyDescent="0.15">
      <c r="B29" s="12"/>
      <c r="C29" s="19"/>
      <c r="D29" s="18"/>
      <c r="E29" s="17"/>
      <c r="F29" s="13">
        <f t="shared" si="1"/>
        <v>0</v>
      </c>
      <c r="G29" s="40"/>
    </row>
    <row r="30" spans="2:7" x14ac:dyDescent="0.15">
      <c r="B30" s="12"/>
      <c r="C30" s="19"/>
      <c r="D30" s="18"/>
      <c r="E30" s="17"/>
      <c r="F30" s="13">
        <f t="shared" si="1"/>
        <v>0</v>
      </c>
      <c r="G30" s="40"/>
    </row>
    <row r="31" spans="2:7" x14ac:dyDescent="0.15">
      <c r="B31" s="12"/>
      <c r="C31" s="16"/>
      <c r="D31" s="15"/>
      <c r="E31" s="14"/>
      <c r="F31" s="13">
        <f t="shared" si="1"/>
        <v>0</v>
      </c>
      <c r="G31" s="39"/>
    </row>
    <row r="32" spans="2:7" x14ac:dyDescent="0.15">
      <c r="B32" s="12"/>
      <c r="C32" s="16"/>
      <c r="D32" s="15"/>
      <c r="E32" s="14"/>
      <c r="F32" s="13">
        <f t="shared" si="1"/>
        <v>0</v>
      </c>
      <c r="G32" s="39"/>
    </row>
    <row r="33" spans="2:7" x14ac:dyDescent="0.15">
      <c r="B33" s="12"/>
      <c r="C33" s="16"/>
      <c r="D33" s="15"/>
      <c r="E33" s="14"/>
      <c r="F33" s="13">
        <f t="shared" si="1"/>
        <v>0</v>
      </c>
      <c r="G33" s="39"/>
    </row>
    <row r="34" spans="2:7" x14ac:dyDescent="0.15">
      <c r="B34" s="12"/>
      <c r="C34" s="16"/>
      <c r="D34" s="15"/>
      <c r="E34" s="14"/>
      <c r="F34" s="13">
        <f t="shared" si="1"/>
        <v>0</v>
      </c>
      <c r="G34" s="39"/>
    </row>
    <row r="35" spans="2:7" x14ac:dyDescent="0.15">
      <c r="B35" s="12"/>
      <c r="C35" s="16"/>
      <c r="D35" s="15"/>
      <c r="E35" s="14"/>
      <c r="F35" s="13">
        <f t="shared" si="1"/>
        <v>0</v>
      </c>
      <c r="G35" s="39"/>
    </row>
    <row r="36" spans="2:7" ht="14.25" thickBot="1" x14ac:dyDescent="0.2">
      <c r="B36" s="12"/>
      <c r="C36" s="11"/>
      <c r="D36" s="10"/>
      <c r="E36" s="9"/>
      <c r="F36" s="8">
        <f t="shared" si="1"/>
        <v>0</v>
      </c>
      <c r="G36" s="39"/>
    </row>
    <row r="37" spans="2:7" ht="14.25" thickBot="1" x14ac:dyDescent="0.2">
      <c r="B37" s="7" t="s">
        <v>1</v>
      </c>
      <c r="C37" s="6">
        <f>SUM(C12:C36)</f>
        <v>3</v>
      </c>
      <c r="D37" s="5">
        <f>SUM(D12:D36)</f>
        <v>2</v>
      </c>
      <c r="E37" s="5">
        <f>SUM(E12:E36)</f>
        <v>7</v>
      </c>
      <c r="F37" s="5">
        <f t="shared" si="1"/>
        <v>12</v>
      </c>
    </row>
    <row r="38" spans="2:7" ht="14.25" thickBot="1" x14ac:dyDescent="0.2">
      <c r="B38" s="4" t="s">
        <v>0</v>
      </c>
      <c r="C38" s="3">
        <f>+C11-C37</f>
        <v>0</v>
      </c>
      <c r="D38" s="2">
        <f>+D11-D37</f>
        <v>0</v>
      </c>
      <c r="E38" s="2">
        <f>+E11-E37</f>
        <v>0</v>
      </c>
      <c r="F38" s="2">
        <f t="shared" si="1"/>
        <v>0</v>
      </c>
    </row>
    <row r="40" spans="2:7" ht="19.5" thickBot="1" x14ac:dyDescent="0.25">
      <c r="B40" s="36" t="s">
        <v>32</v>
      </c>
      <c r="C40" s="35"/>
      <c r="D40" s="35"/>
      <c r="E40" s="35"/>
      <c r="F40" s="35"/>
      <c r="G40" s="35"/>
    </row>
    <row r="41" spans="2:7" ht="14.25" thickBot="1" x14ac:dyDescent="0.2">
      <c r="B41" s="34"/>
      <c r="C41" s="99"/>
      <c r="D41" s="100"/>
      <c r="E41" s="100"/>
      <c r="F41" s="101"/>
    </row>
    <row r="42" spans="2:7" s="1" customFormat="1" ht="14.25" thickBot="1" x14ac:dyDescent="0.2">
      <c r="B42" s="32"/>
      <c r="C42" s="33" t="s">
        <v>8</v>
      </c>
      <c r="D42" s="32" t="s">
        <v>9</v>
      </c>
      <c r="E42" s="31" t="s">
        <v>10</v>
      </c>
      <c r="F42" s="31" t="s">
        <v>5</v>
      </c>
    </row>
    <row r="43" spans="2:7" ht="14.25" customHeight="1" x14ac:dyDescent="0.15">
      <c r="B43" s="30" t="s">
        <v>0</v>
      </c>
      <c r="C43" s="23">
        <f>C38</f>
        <v>0</v>
      </c>
      <c r="D43" s="22">
        <f>D38</f>
        <v>0</v>
      </c>
      <c r="E43" s="22">
        <f>E38</f>
        <v>0</v>
      </c>
      <c r="F43" s="22">
        <f>SUM(C43:E43)</f>
        <v>0</v>
      </c>
      <c r="G43" s="20"/>
    </row>
    <row r="44" spans="2:7" x14ac:dyDescent="0.15">
      <c r="B44" s="29" t="s">
        <v>3</v>
      </c>
      <c r="C44" s="16"/>
      <c r="D44" s="15"/>
      <c r="E44" s="14"/>
      <c r="F44" s="13">
        <f t="shared" ref="F44:F47" si="2">SUM(C44:E44)</f>
        <v>0</v>
      </c>
      <c r="G44" s="20"/>
    </row>
    <row r="45" spans="2:7" x14ac:dyDescent="0.15">
      <c r="B45" s="29" t="s">
        <v>3</v>
      </c>
      <c r="C45" s="16"/>
      <c r="D45" s="15"/>
      <c r="E45" s="14"/>
      <c r="F45" s="13">
        <f t="shared" si="2"/>
        <v>0</v>
      </c>
      <c r="G45" s="20"/>
    </row>
    <row r="46" spans="2:7" x14ac:dyDescent="0.15">
      <c r="B46" s="29" t="s">
        <v>3</v>
      </c>
      <c r="C46" s="16"/>
      <c r="D46" s="15"/>
      <c r="E46" s="14"/>
      <c r="F46" s="13">
        <f t="shared" si="2"/>
        <v>0</v>
      </c>
      <c r="G46" s="20"/>
    </row>
    <row r="47" spans="2:7" x14ac:dyDescent="0.15">
      <c r="B47" s="29" t="s">
        <v>3</v>
      </c>
      <c r="C47" s="16"/>
      <c r="D47" s="15"/>
      <c r="E47" s="14"/>
      <c r="F47" s="13">
        <f t="shared" si="2"/>
        <v>0</v>
      </c>
      <c r="G47" s="20"/>
    </row>
    <row r="48" spans="2:7" ht="14.25" thickBot="1" x14ac:dyDescent="0.2">
      <c r="B48" s="28" t="s">
        <v>3</v>
      </c>
      <c r="C48" s="27"/>
      <c r="D48" s="10"/>
      <c r="E48" s="9"/>
      <c r="F48" s="8">
        <f>SUM(C48:E48)</f>
        <v>0</v>
      </c>
      <c r="G48" s="20"/>
    </row>
    <row r="49" spans="2:7" ht="14.25" thickBot="1" x14ac:dyDescent="0.2">
      <c r="B49" s="26" t="s">
        <v>2</v>
      </c>
      <c r="C49" s="24">
        <f>SUM(C43:C48)</f>
        <v>0</v>
      </c>
      <c r="D49" s="24">
        <f>SUM(D43:D48)</f>
        <v>0</v>
      </c>
      <c r="E49" s="25">
        <f>SUM(E43:E48)</f>
        <v>0</v>
      </c>
      <c r="F49" s="24">
        <f>SUM(C49:E49)</f>
        <v>0</v>
      </c>
    </row>
    <row r="50" spans="2:7" x14ac:dyDescent="0.15">
      <c r="B50" s="41"/>
      <c r="C50" s="38"/>
      <c r="D50" s="37"/>
      <c r="E50" s="14"/>
      <c r="F50" s="13">
        <f t="shared" ref="F50:F76" si="3">SUM(C50:E50)</f>
        <v>0</v>
      </c>
      <c r="G50" s="20"/>
    </row>
    <row r="51" spans="2:7" x14ac:dyDescent="0.15">
      <c r="B51" s="12"/>
      <c r="C51" s="16"/>
      <c r="D51" s="15"/>
      <c r="E51" s="14"/>
      <c r="F51" s="13">
        <f t="shared" si="3"/>
        <v>0</v>
      </c>
      <c r="G51" s="20"/>
    </row>
    <row r="52" spans="2:7" x14ac:dyDescent="0.15">
      <c r="B52" s="12"/>
      <c r="C52" s="16"/>
      <c r="D52" s="15"/>
      <c r="E52" s="14"/>
      <c r="F52" s="13">
        <f t="shared" si="3"/>
        <v>0</v>
      </c>
      <c r="G52" s="20"/>
    </row>
    <row r="53" spans="2:7" x14ac:dyDescent="0.15">
      <c r="B53" s="12"/>
      <c r="C53" s="16"/>
      <c r="D53" s="15"/>
      <c r="E53" s="14"/>
      <c r="F53" s="13">
        <f t="shared" si="3"/>
        <v>0</v>
      </c>
      <c r="G53" s="20"/>
    </row>
    <row r="54" spans="2:7" x14ac:dyDescent="0.15">
      <c r="B54" s="12"/>
      <c r="C54" s="16"/>
      <c r="D54" s="15"/>
      <c r="E54" s="14"/>
      <c r="F54" s="13">
        <f t="shared" si="3"/>
        <v>0</v>
      </c>
      <c r="G54" s="20"/>
    </row>
    <row r="55" spans="2:7" x14ac:dyDescent="0.15">
      <c r="B55" s="12"/>
      <c r="C55" s="16"/>
      <c r="D55" s="15"/>
      <c r="E55" s="14"/>
      <c r="F55" s="13">
        <f t="shared" si="3"/>
        <v>0</v>
      </c>
      <c r="G55" s="20"/>
    </row>
    <row r="56" spans="2:7" x14ac:dyDescent="0.15">
      <c r="B56" s="12"/>
      <c r="C56" s="16"/>
      <c r="D56" s="15"/>
      <c r="E56" s="14"/>
      <c r="F56" s="13">
        <f t="shared" si="3"/>
        <v>0</v>
      </c>
      <c r="G56" s="20"/>
    </row>
    <row r="57" spans="2:7" x14ac:dyDescent="0.15">
      <c r="B57" s="12"/>
      <c r="C57" s="19"/>
      <c r="D57" s="18"/>
      <c r="E57" s="17"/>
      <c r="F57" s="13">
        <f t="shared" si="3"/>
        <v>0</v>
      </c>
      <c r="G57" s="20"/>
    </row>
    <row r="58" spans="2:7" x14ac:dyDescent="0.15">
      <c r="B58" s="12"/>
      <c r="C58" s="19"/>
      <c r="D58" s="18"/>
      <c r="E58" s="17"/>
      <c r="F58" s="13">
        <f t="shared" si="3"/>
        <v>0</v>
      </c>
      <c r="G58" s="20"/>
    </row>
    <row r="59" spans="2:7" x14ac:dyDescent="0.15">
      <c r="B59" s="12"/>
      <c r="C59" s="16"/>
      <c r="D59" s="15"/>
      <c r="E59" s="14"/>
      <c r="F59" s="13">
        <f t="shared" si="3"/>
        <v>0</v>
      </c>
      <c r="G59" s="20"/>
    </row>
    <row r="60" spans="2:7" x14ac:dyDescent="0.15">
      <c r="B60" s="12"/>
      <c r="C60" s="19"/>
      <c r="D60" s="18"/>
      <c r="E60" s="17"/>
      <c r="F60" s="13">
        <f t="shared" si="3"/>
        <v>0</v>
      </c>
      <c r="G60" s="40"/>
    </row>
    <row r="61" spans="2:7" x14ac:dyDescent="0.15">
      <c r="B61" s="12"/>
      <c r="C61" s="19"/>
      <c r="D61" s="18"/>
      <c r="E61" s="17"/>
      <c r="F61" s="13">
        <f t="shared" si="3"/>
        <v>0</v>
      </c>
      <c r="G61" s="40"/>
    </row>
    <row r="62" spans="2:7" x14ac:dyDescent="0.15">
      <c r="B62" s="12"/>
      <c r="C62" s="16"/>
      <c r="D62" s="15"/>
      <c r="E62" s="14"/>
      <c r="F62" s="13">
        <f t="shared" si="3"/>
        <v>0</v>
      </c>
      <c r="G62" s="20"/>
    </row>
    <row r="63" spans="2:7" x14ac:dyDescent="0.15">
      <c r="B63" s="12"/>
      <c r="C63" s="19"/>
      <c r="D63" s="18"/>
      <c r="E63" s="17"/>
      <c r="F63" s="13">
        <f t="shared" si="3"/>
        <v>0</v>
      </c>
      <c r="G63" s="40"/>
    </row>
    <row r="64" spans="2:7" x14ac:dyDescent="0.15">
      <c r="B64" s="12"/>
      <c r="C64" s="19"/>
      <c r="D64" s="18"/>
      <c r="E64" s="17"/>
      <c r="F64" s="13">
        <f t="shared" si="3"/>
        <v>0</v>
      </c>
      <c r="G64" s="40"/>
    </row>
    <row r="65" spans="2:7" x14ac:dyDescent="0.15">
      <c r="B65" s="12"/>
      <c r="C65" s="19"/>
      <c r="D65" s="18"/>
      <c r="E65" s="17"/>
      <c r="F65" s="13">
        <f t="shared" si="3"/>
        <v>0</v>
      </c>
      <c r="G65" s="40"/>
    </row>
    <row r="66" spans="2:7" x14ac:dyDescent="0.15">
      <c r="B66" s="12"/>
      <c r="C66" s="19"/>
      <c r="D66" s="18"/>
      <c r="E66" s="17"/>
      <c r="F66" s="13">
        <f t="shared" si="3"/>
        <v>0</v>
      </c>
      <c r="G66" s="40"/>
    </row>
    <row r="67" spans="2:7" x14ac:dyDescent="0.15">
      <c r="B67" s="12"/>
      <c r="C67" s="19"/>
      <c r="D67" s="18"/>
      <c r="E67" s="17"/>
      <c r="F67" s="13">
        <f t="shared" si="3"/>
        <v>0</v>
      </c>
      <c r="G67" s="40"/>
    </row>
    <row r="68" spans="2:7" x14ac:dyDescent="0.15">
      <c r="B68" s="12"/>
      <c r="C68" s="19"/>
      <c r="D68" s="18"/>
      <c r="E68" s="17"/>
      <c r="F68" s="13">
        <f t="shared" si="3"/>
        <v>0</v>
      </c>
      <c r="G68" s="40"/>
    </row>
    <row r="69" spans="2:7" x14ac:dyDescent="0.15">
      <c r="B69" s="12"/>
      <c r="C69" s="16"/>
      <c r="D69" s="15"/>
      <c r="E69" s="14"/>
      <c r="F69" s="13">
        <f t="shared" si="3"/>
        <v>0</v>
      </c>
      <c r="G69" s="39"/>
    </row>
    <row r="70" spans="2:7" x14ac:dyDescent="0.15">
      <c r="B70" s="12"/>
      <c r="C70" s="16"/>
      <c r="D70" s="15"/>
      <c r="E70" s="14"/>
      <c r="F70" s="13">
        <f t="shared" si="3"/>
        <v>0</v>
      </c>
      <c r="G70" s="39"/>
    </row>
    <row r="71" spans="2:7" x14ac:dyDescent="0.15">
      <c r="B71" s="12"/>
      <c r="C71" s="16"/>
      <c r="D71" s="15"/>
      <c r="E71" s="14"/>
      <c r="F71" s="13">
        <f t="shared" si="3"/>
        <v>0</v>
      </c>
      <c r="G71" s="39"/>
    </row>
    <row r="72" spans="2:7" x14ac:dyDescent="0.15">
      <c r="B72" s="12"/>
      <c r="C72" s="16"/>
      <c r="D72" s="15"/>
      <c r="E72" s="14"/>
      <c r="F72" s="13">
        <f t="shared" si="3"/>
        <v>0</v>
      </c>
      <c r="G72" s="39"/>
    </row>
    <row r="73" spans="2:7" x14ac:dyDescent="0.15">
      <c r="B73" s="12"/>
      <c r="C73" s="16"/>
      <c r="D73" s="15"/>
      <c r="E73" s="14"/>
      <c r="F73" s="13">
        <f t="shared" si="3"/>
        <v>0</v>
      </c>
      <c r="G73" s="39"/>
    </row>
    <row r="74" spans="2:7" ht="14.25" thickBot="1" x14ac:dyDescent="0.2">
      <c r="B74" s="12"/>
      <c r="C74" s="11"/>
      <c r="D74" s="10"/>
      <c r="E74" s="9"/>
      <c r="F74" s="8">
        <f t="shared" si="3"/>
        <v>0</v>
      </c>
      <c r="G74" s="39"/>
    </row>
    <row r="75" spans="2:7" ht="14.25" thickBot="1" x14ac:dyDescent="0.2">
      <c r="B75" s="7" t="s">
        <v>1</v>
      </c>
      <c r="C75" s="6">
        <f>SUM(C50:C74)</f>
        <v>0</v>
      </c>
      <c r="D75" s="5">
        <f>SUM(D50:D74)</f>
        <v>0</v>
      </c>
      <c r="E75" s="5">
        <f>SUM(E50:E74)</f>
        <v>0</v>
      </c>
      <c r="F75" s="5">
        <f t="shared" si="3"/>
        <v>0</v>
      </c>
    </row>
    <row r="76" spans="2:7" ht="14.25" thickBot="1" x14ac:dyDescent="0.2">
      <c r="B76" s="4" t="s">
        <v>0</v>
      </c>
      <c r="C76" s="3">
        <f>+C49-C75</f>
        <v>0</v>
      </c>
      <c r="D76" s="2">
        <f>+D49-D75</f>
        <v>0</v>
      </c>
      <c r="E76" s="2">
        <f>+E49-E75</f>
        <v>0</v>
      </c>
      <c r="F76" s="2">
        <f t="shared" si="3"/>
        <v>0</v>
      </c>
    </row>
  </sheetData>
  <mergeCells count="2">
    <mergeCell ref="C3:F3"/>
    <mergeCell ref="C41:F41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0.499984740745262"/>
  </sheetPr>
  <dimension ref="B2:J76"/>
  <sheetViews>
    <sheetView topLeftCell="A52" zoomScaleNormal="100" workbookViewId="0">
      <selection activeCell="F213" sqref="F213"/>
    </sheetView>
  </sheetViews>
  <sheetFormatPr defaultRowHeight="13.5" x14ac:dyDescent="0.15"/>
  <cols>
    <col min="2" max="2" width="22.75" style="1" customWidth="1"/>
    <col min="3" max="9" width="7" customWidth="1"/>
    <col min="10" max="10" width="9.25" bestFit="1" customWidth="1"/>
  </cols>
  <sheetData>
    <row r="2" spans="2:10" ht="19.5" thickBot="1" x14ac:dyDescent="0.25">
      <c r="B2" s="36" t="s">
        <v>23</v>
      </c>
      <c r="C2" s="35"/>
      <c r="D2" s="35"/>
      <c r="E2" s="35"/>
      <c r="F2" s="35"/>
      <c r="G2" s="35"/>
      <c r="H2" s="35"/>
      <c r="I2" s="35">
        <v>1380</v>
      </c>
    </row>
    <row r="3" spans="2:10" ht="14.25" thickBot="1" x14ac:dyDescent="0.2">
      <c r="B3" s="7"/>
      <c r="C3" s="102" t="s">
        <v>24</v>
      </c>
      <c r="D3" s="102"/>
      <c r="E3" s="103"/>
      <c r="F3" s="104" t="s">
        <v>25</v>
      </c>
      <c r="G3" s="104"/>
      <c r="H3" s="105"/>
      <c r="I3" s="5"/>
    </row>
    <row r="4" spans="2:10" s="1" customFormat="1" ht="14.25" thickBot="1" x14ac:dyDescent="0.2">
      <c r="B4" s="32"/>
      <c r="C4" s="33" t="s">
        <v>26</v>
      </c>
      <c r="D4" s="46" t="s">
        <v>27</v>
      </c>
      <c r="E4" s="7" t="s">
        <v>5</v>
      </c>
      <c r="F4" s="33" t="s">
        <v>26</v>
      </c>
      <c r="G4" s="46" t="s">
        <v>27</v>
      </c>
      <c r="H4" s="7" t="s">
        <v>5</v>
      </c>
      <c r="I4" s="7" t="s">
        <v>5</v>
      </c>
    </row>
    <row r="5" spans="2:10" ht="14.25" customHeight="1" x14ac:dyDescent="0.15">
      <c r="B5" s="41" t="s">
        <v>4</v>
      </c>
      <c r="C5" s="38">
        <v>0</v>
      </c>
      <c r="D5" s="57">
        <v>0</v>
      </c>
      <c r="E5" s="13">
        <f t="shared" ref="E5:E38" si="0">SUM(C5:D5)</f>
        <v>0</v>
      </c>
      <c r="F5" s="38">
        <v>0</v>
      </c>
      <c r="G5" s="57">
        <v>2</v>
      </c>
      <c r="H5" s="13">
        <f t="shared" ref="H5:H38" si="1">SUM(F5:G5)</f>
        <v>2</v>
      </c>
      <c r="I5" s="13">
        <f t="shared" ref="I5:I38" si="2">E5+H5</f>
        <v>2</v>
      </c>
      <c r="J5" s="20">
        <v>44606</v>
      </c>
    </row>
    <row r="6" spans="2:10" x14ac:dyDescent="0.15">
      <c r="B6" s="29" t="s">
        <v>3</v>
      </c>
      <c r="C6" s="16"/>
      <c r="D6" s="47"/>
      <c r="E6" s="13">
        <f t="shared" si="0"/>
        <v>0</v>
      </c>
      <c r="F6" s="16">
        <v>1</v>
      </c>
      <c r="G6" s="47"/>
      <c r="H6" s="13">
        <f t="shared" si="1"/>
        <v>1</v>
      </c>
      <c r="I6" s="13">
        <f t="shared" si="2"/>
        <v>1</v>
      </c>
      <c r="J6" s="20">
        <v>44616</v>
      </c>
    </row>
    <row r="7" spans="2:10" x14ac:dyDescent="0.15">
      <c r="B7" s="29" t="s">
        <v>3</v>
      </c>
      <c r="C7" s="16">
        <v>1</v>
      </c>
      <c r="D7" s="47"/>
      <c r="E7" s="13">
        <f t="shared" si="0"/>
        <v>1</v>
      </c>
      <c r="F7" s="16"/>
      <c r="G7" s="47"/>
      <c r="H7" s="13">
        <f t="shared" si="1"/>
        <v>0</v>
      </c>
      <c r="I7" s="13">
        <f t="shared" si="2"/>
        <v>1</v>
      </c>
      <c r="J7" s="20">
        <v>44750</v>
      </c>
    </row>
    <row r="8" spans="2:10" x14ac:dyDescent="0.15">
      <c r="B8" s="29" t="s">
        <v>3</v>
      </c>
      <c r="C8" s="16">
        <v>1</v>
      </c>
      <c r="D8" s="47">
        <v>2</v>
      </c>
      <c r="E8" s="13">
        <f t="shared" si="0"/>
        <v>3</v>
      </c>
      <c r="F8" s="16">
        <v>1</v>
      </c>
      <c r="G8" s="47">
        <v>1</v>
      </c>
      <c r="H8" s="13">
        <f t="shared" si="1"/>
        <v>2</v>
      </c>
      <c r="I8" s="13">
        <f t="shared" si="2"/>
        <v>5</v>
      </c>
      <c r="J8" s="20">
        <v>44775</v>
      </c>
    </row>
    <row r="9" spans="2:10" x14ac:dyDescent="0.15">
      <c r="B9" s="60" t="s">
        <v>35</v>
      </c>
      <c r="C9" s="61">
        <v>0</v>
      </c>
      <c r="D9" s="66">
        <v>0</v>
      </c>
      <c r="E9" s="64">
        <f t="shared" si="0"/>
        <v>0</v>
      </c>
      <c r="F9" s="61">
        <v>0</v>
      </c>
      <c r="G9" s="66">
        <v>0</v>
      </c>
      <c r="H9" s="64">
        <f t="shared" si="1"/>
        <v>0</v>
      </c>
      <c r="I9" s="64">
        <f t="shared" si="2"/>
        <v>0</v>
      </c>
      <c r="J9" s="65">
        <v>44796</v>
      </c>
    </row>
    <row r="10" spans="2:10" ht="14.25" thickBot="1" x14ac:dyDescent="0.2">
      <c r="B10" s="29" t="s">
        <v>3</v>
      </c>
      <c r="C10" s="16"/>
      <c r="D10" s="47">
        <v>1</v>
      </c>
      <c r="E10" s="13">
        <f t="shared" ref="E10" si="3">SUM(C10:D10)</f>
        <v>1</v>
      </c>
      <c r="F10" s="16"/>
      <c r="G10" s="47"/>
      <c r="H10" s="13">
        <f t="shared" ref="H10" si="4">SUM(F10:G10)</f>
        <v>0</v>
      </c>
      <c r="I10" s="13">
        <f t="shared" ref="I10" si="5">E10+H10</f>
        <v>1</v>
      </c>
      <c r="J10" s="20">
        <v>44798</v>
      </c>
    </row>
    <row r="11" spans="2:10" ht="14.25" thickBot="1" x14ac:dyDescent="0.2">
      <c r="B11" s="26" t="s">
        <v>2</v>
      </c>
      <c r="C11" s="43">
        <f>SUM(C5:C10)</f>
        <v>2</v>
      </c>
      <c r="D11" s="49">
        <f>SUM(D5:D10)</f>
        <v>3</v>
      </c>
      <c r="E11" s="24">
        <f t="shared" si="0"/>
        <v>5</v>
      </c>
      <c r="F11" s="43">
        <f>SUM(F5:F10)</f>
        <v>2</v>
      </c>
      <c r="G11" s="49">
        <f>SUM(G5:G10)</f>
        <v>3</v>
      </c>
      <c r="H11" s="24">
        <f t="shared" si="1"/>
        <v>5</v>
      </c>
      <c r="I11" s="24">
        <f t="shared" si="2"/>
        <v>10</v>
      </c>
    </row>
    <row r="12" spans="2:10" x14ac:dyDescent="0.15">
      <c r="B12" s="41" t="s">
        <v>22</v>
      </c>
      <c r="C12" s="52"/>
      <c r="D12" s="53"/>
      <c r="E12" s="13">
        <f t="shared" si="0"/>
        <v>0</v>
      </c>
      <c r="F12" s="52"/>
      <c r="G12" s="53">
        <v>2</v>
      </c>
      <c r="H12" s="13">
        <f t="shared" si="1"/>
        <v>2</v>
      </c>
      <c r="I12" s="13">
        <f t="shared" si="2"/>
        <v>2</v>
      </c>
      <c r="J12" s="20">
        <v>44607</v>
      </c>
    </row>
    <row r="13" spans="2:10" x14ac:dyDescent="0.15">
      <c r="B13" s="12" t="s">
        <v>22</v>
      </c>
      <c r="C13" s="16"/>
      <c r="D13" s="47"/>
      <c r="E13" s="13">
        <f t="shared" si="0"/>
        <v>0</v>
      </c>
      <c r="F13" s="16">
        <v>1</v>
      </c>
      <c r="G13" s="47"/>
      <c r="H13" s="13">
        <f t="shared" si="1"/>
        <v>1</v>
      </c>
      <c r="I13" s="13">
        <f t="shared" si="2"/>
        <v>1</v>
      </c>
      <c r="J13" s="20">
        <v>44616</v>
      </c>
    </row>
    <row r="14" spans="2:10" x14ac:dyDescent="0.15">
      <c r="B14" s="12" t="s">
        <v>22</v>
      </c>
      <c r="C14" s="16">
        <v>1</v>
      </c>
      <c r="D14" s="47"/>
      <c r="E14" s="13">
        <f t="shared" si="0"/>
        <v>1</v>
      </c>
      <c r="F14" s="16"/>
      <c r="G14" s="47"/>
      <c r="H14" s="13">
        <f t="shared" si="1"/>
        <v>0</v>
      </c>
      <c r="I14" s="13">
        <f t="shared" si="2"/>
        <v>1</v>
      </c>
      <c r="J14" s="20">
        <v>44750</v>
      </c>
    </row>
    <row r="15" spans="2:10" x14ac:dyDescent="0.15">
      <c r="B15" s="12" t="s">
        <v>22</v>
      </c>
      <c r="C15" s="16"/>
      <c r="D15" s="47">
        <v>1</v>
      </c>
      <c r="E15" s="13">
        <f t="shared" si="0"/>
        <v>1</v>
      </c>
      <c r="F15" s="16"/>
      <c r="G15" s="47"/>
      <c r="H15" s="13">
        <f t="shared" si="1"/>
        <v>0</v>
      </c>
      <c r="I15" s="13">
        <f t="shared" si="2"/>
        <v>1</v>
      </c>
      <c r="J15" s="20">
        <v>44776</v>
      </c>
    </row>
    <row r="16" spans="2:10" x14ac:dyDescent="0.15">
      <c r="B16" s="12" t="s">
        <v>22</v>
      </c>
      <c r="C16" s="16"/>
      <c r="D16" s="47">
        <v>1</v>
      </c>
      <c r="E16" s="13">
        <f t="shared" si="0"/>
        <v>1</v>
      </c>
      <c r="F16" s="16"/>
      <c r="G16" s="47"/>
      <c r="H16" s="13">
        <f t="shared" si="1"/>
        <v>0</v>
      </c>
      <c r="I16" s="13">
        <f t="shared" si="2"/>
        <v>1</v>
      </c>
      <c r="J16" s="20">
        <v>44791</v>
      </c>
    </row>
    <row r="17" spans="2:10" x14ac:dyDescent="0.15">
      <c r="B17" s="12" t="s">
        <v>22</v>
      </c>
      <c r="C17" s="16">
        <v>1</v>
      </c>
      <c r="D17" s="47"/>
      <c r="E17" s="13">
        <f t="shared" si="0"/>
        <v>1</v>
      </c>
      <c r="F17" s="16"/>
      <c r="G17" s="47"/>
      <c r="H17" s="13">
        <f t="shared" si="1"/>
        <v>0</v>
      </c>
      <c r="I17" s="13">
        <f t="shared" si="2"/>
        <v>1</v>
      </c>
      <c r="J17" s="20">
        <v>44793</v>
      </c>
    </row>
    <row r="18" spans="2:10" x14ac:dyDescent="0.15">
      <c r="B18" s="12" t="s">
        <v>22</v>
      </c>
      <c r="C18" s="16"/>
      <c r="D18" s="47">
        <v>1</v>
      </c>
      <c r="E18" s="13">
        <f t="shared" si="0"/>
        <v>1</v>
      </c>
      <c r="F18" s="16"/>
      <c r="G18" s="47"/>
      <c r="H18" s="13">
        <f t="shared" si="1"/>
        <v>0</v>
      </c>
      <c r="I18" s="13">
        <f t="shared" si="2"/>
        <v>1</v>
      </c>
      <c r="J18" s="20">
        <v>44802</v>
      </c>
    </row>
    <row r="19" spans="2:10" x14ac:dyDescent="0.15">
      <c r="B19" s="12"/>
      <c r="C19" s="19"/>
      <c r="D19" s="50"/>
      <c r="E19" s="13">
        <f t="shared" ref="E19" si="6">SUM(C19:D19)</f>
        <v>0</v>
      </c>
      <c r="F19" s="19"/>
      <c r="G19" s="50"/>
      <c r="H19" s="13">
        <f t="shared" ref="H19" si="7">SUM(F19:G19)</f>
        <v>0</v>
      </c>
      <c r="I19" s="13">
        <f t="shared" ref="I19" si="8">E19+H19</f>
        <v>0</v>
      </c>
    </row>
    <row r="20" spans="2:10" x14ac:dyDescent="0.15">
      <c r="B20" s="12"/>
      <c r="C20" s="19"/>
      <c r="D20" s="50"/>
      <c r="E20" s="13">
        <f t="shared" si="0"/>
        <v>0</v>
      </c>
      <c r="F20" s="19"/>
      <c r="G20" s="50"/>
      <c r="H20" s="13">
        <f t="shared" si="1"/>
        <v>0</v>
      </c>
      <c r="I20" s="13">
        <f t="shared" si="2"/>
        <v>0</v>
      </c>
    </row>
    <row r="21" spans="2:10" x14ac:dyDescent="0.15">
      <c r="B21" s="12"/>
      <c r="C21" s="16"/>
      <c r="D21" s="47"/>
      <c r="E21" s="13">
        <f t="shared" si="0"/>
        <v>0</v>
      </c>
      <c r="F21" s="16"/>
      <c r="G21" s="47"/>
      <c r="H21" s="13">
        <f t="shared" si="1"/>
        <v>0</v>
      </c>
      <c r="I21" s="13">
        <f t="shared" si="2"/>
        <v>0</v>
      </c>
    </row>
    <row r="22" spans="2:10" x14ac:dyDescent="0.15">
      <c r="B22" s="12"/>
      <c r="C22" s="19"/>
      <c r="D22" s="50"/>
      <c r="E22" s="13">
        <f t="shared" si="0"/>
        <v>0</v>
      </c>
      <c r="F22" s="19"/>
      <c r="G22" s="50"/>
      <c r="H22" s="13">
        <f t="shared" si="1"/>
        <v>0</v>
      </c>
      <c r="I22" s="13">
        <f t="shared" si="2"/>
        <v>0</v>
      </c>
    </row>
    <row r="23" spans="2:10" x14ac:dyDescent="0.15">
      <c r="B23" s="12"/>
      <c r="C23" s="19"/>
      <c r="D23" s="50"/>
      <c r="E23" s="13">
        <f t="shared" si="0"/>
        <v>0</v>
      </c>
      <c r="F23" s="19"/>
      <c r="G23" s="50"/>
      <c r="H23" s="13">
        <f t="shared" si="1"/>
        <v>0</v>
      </c>
      <c r="I23" s="13">
        <f t="shared" si="2"/>
        <v>0</v>
      </c>
    </row>
    <row r="24" spans="2:10" x14ac:dyDescent="0.15">
      <c r="B24" s="12"/>
      <c r="C24" s="16"/>
      <c r="D24" s="47"/>
      <c r="E24" s="13">
        <f t="shared" si="0"/>
        <v>0</v>
      </c>
      <c r="F24" s="16"/>
      <c r="G24" s="47"/>
      <c r="H24" s="13">
        <f t="shared" si="1"/>
        <v>0</v>
      </c>
      <c r="I24" s="13">
        <f t="shared" si="2"/>
        <v>0</v>
      </c>
    </row>
    <row r="25" spans="2:10" x14ac:dyDescent="0.15">
      <c r="B25" s="12"/>
      <c r="C25" s="19"/>
      <c r="D25" s="50"/>
      <c r="E25" s="13">
        <f t="shared" si="0"/>
        <v>0</v>
      </c>
      <c r="F25" s="19"/>
      <c r="G25" s="50"/>
      <c r="H25" s="13">
        <f t="shared" si="1"/>
        <v>0</v>
      </c>
      <c r="I25" s="13">
        <f t="shared" si="2"/>
        <v>0</v>
      </c>
    </row>
    <row r="26" spans="2:10" x14ac:dyDescent="0.15">
      <c r="B26" s="12"/>
      <c r="C26" s="19"/>
      <c r="D26" s="50"/>
      <c r="E26" s="13">
        <f t="shared" si="0"/>
        <v>0</v>
      </c>
      <c r="F26" s="19"/>
      <c r="G26" s="50"/>
      <c r="H26" s="13">
        <f t="shared" si="1"/>
        <v>0</v>
      </c>
      <c r="I26" s="13">
        <f t="shared" si="2"/>
        <v>0</v>
      </c>
    </row>
    <row r="27" spans="2:10" x14ac:dyDescent="0.15">
      <c r="B27" s="12"/>
      <c r="C27" s="19"/>
      <c r="D27" s="50"/>
      <c r="E27" s="13">
        <f t="shared" si="0"/>
        <v>0</v>
      </c>
      <c r="F27" s="19"/>
      <c r="G27" s="50"/>
      <c r="H27" s="13">
        <f t="shared" si="1"/>
        <v>0</v>
      </c>
      <c r="I27" s="13">
        <f t="shared" si="2"/>
        <v>0</v>
      </c>
    </row>
    <row r="28" spans="2:10" x14ac:dyDescent="0.15">
      <c r="B28" s="12"/>
      <c r="C28" s="19"/>
      <c r="D28" s="50"/>
      <c r="E28" s="13">
        <f t="shared" si="0"/>
        <v>0</v>
      </c>
      <c r="F28" s="19"/>
      <c r="G28" s="50"/>
      <c r="H28" s="13">
        <f t="shared" si="1"/>
        <v>0</v>
      </c>
      <c r="I28" s="13">
        <f t="shared" si="2"/>
        <v>0</v>
      </c>
    </row>
    <row r="29" spans="2:10" x14ac:dyDescent="0.15">
      <c r="B29" s="12"/>
      <c r="C29" s="19"/>
      <c r="D29" s="50"/>
      <c r="E29" s="13">
        <f t="shared" si="0"/>
        <v>0</v>
      </c>
      <c r="F29" s="19"/>
      <c r="G29" s="50"/>
      <c r="H29" s="13">
        <f t="shared" si="1"/>
        <v>0</v>
      </c>
      <c r="I29" s="13">
        <f t="shared" si="2"/>
        <v>0</v>
      </c>
    </row>
    <row r="30" spans="2:10" x14ac:dyDescent="0.15">
      <c r="B30" s="12"/>
      <c r="C30" s="19"/>
      <c r="D30" s="50"/>
      <c r="E30" s="13">
        <f t="shared" si="0"/>
        <v>0</v>
      </c>
      <c r="F30" s="19"/>
      <c r="G30" s="50"/>
      <c r="H30" s="13">
        <f t="shared" si="1"/>
        <v>0</v>
      </c>
      <c r="I30" s="13">
        <f t="shared" si="2"/>
        <v>0</v>
      </c>
    </row>
    <row r="31" spans="2:10" x14ac:dyDescent="0.15">
      <c r="B31" s="12"/>
      <c r="C31" s="16"/>
      <c r="D31" s="47"/>
      <c r="E31" s="13">
        <f t="shared" si="0"/>
        <v>0</v>
      </c>
      <c r="F31" s="16"/>
      <c r="G31" s="47"/>
      <c r="H31" s="13">
        <f t="shared" si="1"/>
        <v>0</v>
      </c>
      <c r="I31" s="13">
        <f t="shared" si="2"/>
        <v>0</v>
      </c>
    </row>
    <row r="32" spans="2:10" x14ac:dyDescent="0.15">
      <c r="B32" s="12"/>
      <c r="C32" s="16"/>
      <c r="D32" s="47"/>
      <c r="E32" s="13">
        <f t="shared" si="0"/>
        <v>0</v>
      </c>
      <c r="F32" s="16"/>
      <c r="G32" s="47"/>
      <c r="H32" s="13">
        <f t="shared" si="1"/>
        <v>0</v>
      </c>
      <c r="I32" s="13">
        <f t="shared" si="2"/>
        <v>0</v>
      </c>
    </row>
    <row r="33" spans="2:10" x14ac:dyDescent="0.15">
      <c r="B33" s="12"/>
      <c r="C33" s="16"/>
      <c r="D33" s="47"/>
      <c r="E33" s="13">
        <f t="shared" si="0"/>
        <v>0</v>
      </c>
      <c r="F33" s="16"/>
      <c r="G33" s="47"/>
      <c r="H33" s="13">
        <f t="shared" si="1"/>
        <v>0</v>
      </c>
      <c r="I33" s="13">
        <f t="shared" si="2"/>
        <v>0</v>
      </c>
    </row>
    <row r="34" spans="2:10" x14ac:dyDescent="0.15">
      <c r="B34" s="12"/>
      <c r="C34" s="16"/>
      <c r="D34" s="47"/>
      <c r="E34" s="13">
        <f t="shared" si="0"/>
        <v>0</v>
      </c>
      <c r="F34" s="16"/>
      <c r="G34" s="47"/>
      <c r="H34" s="13">
        <f t="shared" si="1"/>
        <v>0</v>
      </c>
      <c r="I34" s="13">
        <f t="shared" si="2"/>
        <v>0</v>
      </c>
    </row>
    <row r="35" spans="2:10" x14ac:dyDescent="0.15">
      <c r="B35" s="12"/>
      <c r="C35" s="16"/>
      <c r="D35" s="47"/>
      <c r="E35" s="13">
        <f t="shared" si="0"/>
        <v>0</v>
      </c>
      <c r="F35" s="16"/>
      <c r="G35" s="47"/>
      <c r="H35" s="13">
        <f t="shared" si="1"/>
        <v>0</v>
      </c>
      <c r="I35" s="13">
        <f t="shared" si="2"/>
        <v>0</v>
      </c>
    </row>
    <row r="36" spans="2:10" ht="14.25" thickBot="1" x14ac:dyDescent="0.2">
      <c r="B36" s="12"/>
      <c r="C36" s="27"/>
      <c r="D36" s="48"/>
      <c r="E36" s="8">
        <f t="shared" si="0"/>
        <v>0</v>
      </c>
      <c r="F36" s="27"/>
      <c r="G36" s="48"/>
      <c r="H36" s="8">
        <f t="shared" si="1"/>
        <v>0</v>
      </c>
      <c r="I36" s="8">
        <f t="shared" si="2"/>
        <v>0</v>
      </c>
    </row>
    <row r="37" spans="2:10" ht="14.25" thickBot="1" x14ac:dyDescent="0.2">
      <c r="B37" s="7" t="s">
        <v>1</v>
      </c>
      <c r="C37" s="42">
        <f>SUM(C12:C36)</f>
        <v>2</v>
      </c>
      <c r="D37" s="51">
        <f>SUM(D12:D36)</f>
        <v>3</v>
      </c>
      <c r="E37" s="5">
        <f t="shared" si="0"/>
        <v>5</v>
      </c>
      <c r="F37" s="6">
        <f>SUM(F12:F36)</f>
        <v>1</v>
      </c>
      <c r="G37" s="51">
        <f>SUM(G12:G36)</f>
        <v>2</v>
      </c>
      <c r="H37" s="5">
        <f t="shared" si="1"/>
        <v>3</v>
      </c>
      <c r="I37" s="5">
        <f t="shared" si="2"/>
        <v>8</v>
      </c>
    </row>
    <row r="38" spans="2:10" ht="14.25" thickBot="1" x14ac:dyDescent="0.2">
      <c r="B38" s="4" t="s">
        <v>0</v>
      </c>
      <c r="C38" s="43">
        <f>+C11-C37</f>
        <v>0</v>
      </c>
      <c r="D38" s="49">
        <f>+D11-D37</f>
        <v>0</v>
      </c>
      <c r="E38" s="24">
        <f t="shared" si="0"/>
        <v>0</v>
      </c>
      <c r="F38" s="25">
        <f>+F11-F37</f>
        <v>1</v>
      </c>
      <c r="G38" s="49">
        <f>+G11-G37</f>
        <v>1</v>
      </c>
      <c r="H38" s="24">
        <f t="shared" si="1"/>
        <v>2</v>
      </c>
      <c r="I38" s="24">
        <f t="shared" si="2"/>
        <v>2</v>
      </c>
    </row>
    <row r="40" spans="2:10" ht="19.5" thickBot="1" x14ac:dyDescent="0.25">
      <c r="B40" s="36" t="s">
        <v>23</v>
      </c>
      <c r="C40" s="35"/>
      <c r="D40" s="35"/>
      <c r="E40" s="35"/>
      <c r="F40" s="35"/>
      <c r="G40" s="35"/>
      <c r="H40" s="35"/>
      <c r="I40" s="35">
        <v>1380</v>
      </c>
    </row>
    <row r="41" spans="2:10" ht="14.25" thickBot="1" x14ac:dyDescent="0.2">
      <c r="B41" s="7"/>
      <c r="C41" s="102" t="s">
        <v>24</v>
      </c>
      <c r="D41" s="102"/>
      <c r="E41" s="103"/>
      <c r="F41" s="104" t="s">
        <v>25</v>
      </c>
      <c r="G41" s="104"/>
      <c r="H41" s="105"/>
      <c r="I41" s="5"/>
    </row>
    <row r="42" spans="2:10" s="1" customFormat="1" ht="14.25" thickBot="1" x14ac:dyDescent="0.2">
      <c r="B42" s="32"/>
      <c r="C42" s="33" t="s">
        <v>36</v>
      </c>
      <c r="D42" s="46" t="s">
        <v>37</v>
      </c>
      <c r="E42" s="7" t="s">
        <v>5</v>
      </c>
      <c r="F42" s="33" t="s">
        <v>36</v>
      </c>
      <c r="G42" s="46" t="s">
        <v>37</v>
      </c>
      <c r="H42" s="7" t="s">
        <v>5</v>
      </c>
      <c r="I42" s="7" t="s">
        <v>5</v>
      </c>
    </row>
    <row r="43" spans="2:10" ht="14.25" customHeight="1" x14ac:dyDescent="0.15">
      <c r="B43" s="30" t="s">
        <v>0</v>
      </c>
      <c r="C43" s="23">
        <f>C38</f>
        <v>0</v>
      </c>
      <c r="D43" s="54">
        <f t="shared" ref="D43:I43" si="9">D38</f>
        <v>0</v>
      </c>
      <c r="E43" s="21">
        <f t="shared" si="9"/>
        <v>0</v>
      </c>
      <c r="F43" s="23">
        <f t="shared" si="9"/>
        <v>1</v>
      </c>
      <c r="G43" s="54">
        <f t="shared" si="9"/>
        <v>1</v>
      </c>
      <c r="H43" s="21">
        <f t="shared" si="9"/>
        <v>2</v>
      </c>
      <c r="I43" s="21">
        <f t="shared" si="9"/>
        <v>2</v>
      </c>
    </row>
    <row r="44" spans="2:10" x14ac:dyDescent="0.15">
      <c r="B44" s="29" t="s">
        <v>3</v>
      </c>
      <c r="C44" s="16">
        <v>1</v>
      </c>
      <c r="D44" s="47">
        <v>1</v>
      </c>
      <c r="E44" s="13">
        <f t="shared" ref="E44:E76" si="10">SUM(C44:D44)</f>
        <v>2</v>
      </c>
      <c r="F44" s="16"/>
      <c r="G44" s="47"/>
      <c r="H44" s="13">
        <f t="shared" ref="H44:H76" si="11">SUM(F44:G44)</f>
        <v>0</v>
      </c>
      <c r="I44" s="13">
        <f t="shared" ref="I44:I76" si="12">E44+H44</f>
        <v>2</v>
      </c>
      <c r="J44" s="20">
        <v>44816</v>
      </c>
    </row>
    <row r="45" spans="2:10" x14ac:dyDescent="0.15">
      <c r="B45" s="29" t="s">
        <v>3</v>
      </c>
      <c r="C45" s="16">
        <v>2</v>
      </c>
      <c r="D45" s="47">
        <v>3</v>
      </c>
      <c r="E45" s="13">
        <f t="shared" si="10"/>
        <v>5</v>
      </c>
      <c r="F45" s="16"/>
      <c r="G45" s="47"/>
      <c r="H45" s="13">
        <f t="shared" si="11"/>
        <v>0</v>
      </c>
      <c r="I45" s="13">
        <f t="shared" si="12"/>
        <v>5</v>
      </c>
      <c r="J45" s="20">
        <v>44832</v>
      </c>
    </row>
    <row r="46" spans="2:10" x14ac:dyDescent="0.15">
      <c r="B46" s="29" t="s">
        <v>3</v>
      </c>
      <c r="C46" s="16">
        <v>1</v>
      </c>
      <c r="D46" s="47"/>
      <c r="E46" s="13">
        <f t="shared" si="10"/>
        <v>1</v>
      </c>
      <c r="F46" s="16"/>
      <c r="G46" s="47"/>
      <c r="H46" s="13">
        <f t="shared" si="11"/>
        <v>0</v>
      </c>
      <c r="I46" s="13">
        <f t="shared" si="12"/>
        <v>1</v>
      </c>
      <c r="J46" s="20">
        <v>44838</v>
      </c>
    </row>
    <row r="47" spans="2:10" x14ac:dyDescent="0.15">
      <c r="B47" s="29" t="s">
        <v>3</v>
      </c>
      <c r="C47" s="16">
        <v>1</v>
      </c>
      <c r="D47" s="47"/>
      <c r="E47" s="13">
        <f t="shared" si="10"/>
        <v>1</v>
      </c>
      <c r="F47" s="16"/>
      <c r="G47" s="47"/>
      <c r="H47" s="13">
        <f t="shared" si="11"/>
        <v>0</v>
      </c>
      <c r="I47" s="13">
        <f t="shared" si="12"/>
        <v>1</v>
      </c>
      <c r="J47" s="20">
        <v>44845</v>
      </c>
    </row>
    <row r="48" spans="2:10" ht="14.25" thickBot="1" x14ac:dyDescent="0.2">
      <c r="B48" s="28" t="s">
        <v>42</v>
      </c>
      <c r="C48" s="27">
        <v>0</v>
      </c>
      <c r="D48" s="48"/>
      <c r="E48" s="8">
        <f t="shared" si="10"/>
        <v>0</v>
      </c>
      <c r="F48" s="27"/>
      <c r="G48" s="48"/>
      <c r="H48" s="8">
        <f t="shared" si="11"/>
        <v>0</v>
      </c>
      <c r="I48" s="8">
        <f t="shared" si="12"/>
        <v>0</v>
      </c>
      <c r="J48" s="20">
        <v>45161</v>
      </c>
    </row>
    <row r="49" spans="2:10" ht="14.25" thickBot="1" x14ac:dyDescent="0.2">
      <c r="B49" s="26" t="s">
        <v>2</v>
      </c>
      <c r="C49" s="43">
        <f>SUM(C43:C48)</f>
        <v>5</v>
      </c>
      <c r="D49" s="49">
        <f>SUM(D43:D48)</f>
        <v>4</v>
      </c>
      <c r="E49" s="24">
        <f t="shared" si="10"/>
        <v>9</v>
      </c>
      <c r="F49" s="43">
        <f>SUM(F43:F48)</f>
        <v>1</v>
      </c>
      <c r="G49" s="49">
        <f>SUM(G43:G48)</f>
        <v>1</v>
      </c>
      <c r="H49" s="24">
        <f t="shared" si="11"/>
        <v>2</v>
      </c>
      <c r="I49" s="24">
        <f t="shared" si="12"/>
        <v>11</v>
      </c>
    </row>
    <row r="50" spans="2:10" x14ac:dyDescent="0.15">
      <c r="B50" s="12" t="s">
        <v>22</v>
      </c>
      <c r="C50" s="52">
        <v>1</v>
      </c>
      <c r="D50" s="53"/>
      <c r="E50" s="13">
        <f t="shared" si="10"/>
        <v>1</v>
      </c>
      <c r="F50" s="52"/>
      <c r="G50" s="53"/>
      <c r="H50" s="13">
        <f t="shared" si="11"/>
        <v>0</v>
      </c>
      <c r="I50" s="13">
        <f t="shared" si="12"/>
        <v>1</v>
      </c>
      <c r="J50" s="20">
        <v>44816</v>
      </c>
    </row>
    <row r="51" spans="2:10" x14ac:dyDescent="0.15">
      <c r="B51" s="12" t="s">
        <v>22</v>
      </c>
      <c r="C51" s="19">
        <v>1</v>
      </c>
      <c r="D51" s="50"/>
      <c r="E51" s="13">
        <f t="shared" si="10"/>
        <v>1</v>
      </c>
      <c r="F51" s="19"/>
      <c r="G51" s="50"/>
      <c r="H51" s="13">
        <f t="shared" si="11"/>
        <v>0</v>
      </c>
      <c r="I51" s="13">
        <f t="shared" si="12"/>
        <v>1</v>
      </c>
      <c r="J51" s="20">
        <v>44832</v>
      </c>
    </row>
    <row r="52" spans="2:10" x14ac:dyDescent="0.15">
      <c r="B52" s="12" t="s">
        <v>22</v>
      </c>
      <c r="C52" s="16"/>
      <c r="D52" s="47">
        <v>2</v>
      </c>
      <c r="E52" s="13">
        <f t="shared" si="10"/>
        <v>2</v>
      </c>
      <c r="F52" s="16"/>
      <c r="G52" s="47"/>
      <c r="H52" s="13">
        <f t="shared" si="11"/>
        <v>0</v>
      </c>
      <c r="I52" s="13">
        <f t="shared" si="12"/>
        <v>2</v>
      </c>
      <c r="J52" s="20">
        <v>44838</v>
      </c>
    </row>
    <row r="53" spans="2:10" x14ac:dyDescent="0.15">
      <c r="B53" s="12" t="s">
        <v>22</v>
      </c>
      <c r="C53" s="16">
        <v>1</v>
      </c>
      <c r="D53" s="47"/>
      <c r="E53" s="13">
        <f t="shared" si="10"/>
        <v>1</v>
      </c>
      <c r="F53" s="16"/>
      <c r="G53" s="47"/>
      <c r="H53" s="13">
        <f t="shared" si="11"/>
        <v>0</v>
      </c>
      <c r="I53" s="13">
        <f t="shared" si="12"/>
        <v>1</v>
      </c>
      <c r="J53" s="20">
        <v>44839</v>
      </c>
    </row>
    <row r="54" spans="2:10" x14ac:dyDescent="0.15">
      <c r="B54" s="12" t="s">
        <v>22</v>
      </c>
      <c r="C54" s="16"/>
      <c r="D54" s="47"/>
      <c r="E54" s="13">
        <f t="shared" si="10"/>
        <v>0</v>
      </c>
      <c r="F54" s="16">
        <v>1</v>
      </c>
      <c r="G54" s="47"/>
      <c r="H54" s="13">
        <f t="shared" si="11"/>
        <v>1</v>
      </c>
      <c r="I54" s="13">
        <f t="shared" si="12"/>
        <v>1</v>
      </c>
      <c r="J54" s="20">
        <v>44889</v>
      </c>
    </row>
    <row r="55" spans="2:10" x14ac:dyDescent="0.15">
      <c r="B55" s="12" t="s">
        <v>22</v>
      </c>
      <c r="C55" s="16"/>
      <c r="D55" s="47"/>
      <c r="E55" s="13">
        <f t="shared" si="10"/>
        <v>0</v>
      </c>
      <c r="F55" s="16"/>
      <c r="G55" s="47">
        <v>1</v>
      </c>
      <c r="H55" s="13">
        <f t="shared" si="11"/>
        <v>1</v>
      </c>
      <c r="I55" s="13">
        <f t="shared" si="12"/>
        <v>1</v>
      </c>
      <c r="J55" s="20">
        <v>44893</v>
      </c>
    </row>
    <row r="56" spans="2:10" x14ac:dyDescent="0.15">
      <c r="B56" s="12" t="s">
        <v>22</v>
      </c>
      <c r="C56" s="16">
        <v>1</v>
      </c>
      <c r="D56" s="47"/>
      <c r="E56" s="13">
        <f t="shared" si="10"/>
        <v>1</v>
      </c>
      <c r="F56" s="16"/>
      <c r="G56" s="47"/>
      <c r="H56" s="13">
        <f t="shared" si="11"/>
        <v>0</v>
      </c>
      <c r="I56" s="13">
        <f t="shared" si="12"/>
        <v>1</v>
      </c>
      <c r="J56" s="20">
        <v>44909</v>
      </c>
    </row>
    <row r="57" spans="2:10" x14ac:dyDescent="0.15">
      <c r="B57" s="12" t="s">
        <v>22</v>
      </c>
      <c r="C57" s="19"/>
      <c r="D57" s="50">
        <v>1</v>
      </c>
      <c r="E57" s="13">
        <f t="shared" si="10"/>
        <v>1</v>
      </c>
      <c r="F57" s="19"/>
      <c r="G57" s="50"/>
      <c r="H57" s="13">
        <f t="shared" si="11"/>
        <v>0</v>
      </c>
      <c r="I57" s="13">
        <f t="shared" si="12"/>
        <v>1</v>
      </c>
      <c r="J57" s="20">
        <v>44910</v>
      </c>
    </row>
    <row r="58" spans="2:10" x14ac:dyDescent="0.15">
      <c r="B58" s="12" t="s">
        <v>22</v>
      </c>
      <c r="C58" s="19"/>
      <c r="D58" s="50">
        <v>1</v>
      </c>
      <c r="E58" s="13">
        <f t="shared" si="10"/>
        <v>1</v>
      </c>
      <c r="F58" s="19"/>
      <c r="G58" s="50"/>
      <c r="H58" s="13">
        <f t="shared" si="11"/>
        <v>0</v>
      </c>
      <c r="I58" s="13">
        <f t="shared" si="12"/>
        <v>1</v>
      </c>
      <c r="J58" s="20">
        <v>44931</v>
      </c>
    </row>
    <row r="59" spans="2:10" x14ac:dyDescent="0.15">
      <c r="B59" s="12" t="s">
        <v>22</v>
      </c>
      <c r="C59" s="16">
        <v>1</v>
      </c>
      <c r="D59" s="47"/>
      <c r="E59" s="13">
        <f t="shared" si="10"/>
        <v>1</v>
      </c>
      <c r="F59" s="16"/>
      <c r="G59" s="47"/>
      <c r="H59" s="13">
        <f t="shared" si="11"/>
        <v>0</v>
      </c>
      <c r="I59" s="13">
        <f t="shared" si="12"/>
        <v>1</v>
      </c>
      <c r="J59" s="20">
        <v>45174</v>
      </c>
    </row>
    <row r="60" spans="2:10" x14ac:dyDescent="0.15">
      <c r="B60" s="12" t="s">
        <v>46</v>
      </c>
      <c r="C60" s="16">
        <v>-1</v>
      </c>
      <c r="D60" s="47"/>
      <c r="E60" s="13">
        <f t="shared" si="10"/>
        <v>-1</v>
      </c>
      <c r="F60" s="16"/>
      <c r="G60" s="47"/>
      <c r="H60" s="13">
        <f t="shared" si="11"/>
        <v>0</v>
      </c>
      <c r="I60" s="13">
        <f t="shared" si="12"/>
        <v>-1</v>
      </c>
      <c r="J60" s="20">
        <v>45421</v>
      </c>
    </row>
    <row r="61" spans="2:10" x14ac:dyDescent="0.15">
      <c r="B61" s="12" t="s">
        <v>22</v>
      </c>
      <c r="C61" s="16">
        <v>1</v>
      </c>
      <c r="D61" s="47"/>
      <c r="E61" s="13">
        <f t="shared" si="10"/>
        <v>1</v>
      </c>
      <c r="F61" s="16"/>
      <c r="G61" s="47"/>
      <c r="H61" s="13">
        <f t="shared" si="11"/>
        <v>0</v>
      </c>
      <c r="I61" s="13">
        <f t="shared" si="12"/>
        <v>1</v>
      </c>
      <c r="J61" s="20">
        <v>45421</v>
      </c>
    </row>
    <row r="62" spans="2:10" x14ac:dyDescent="0.15">
      <c r="B62" s="12"/>
      <c r="C62" s="16"/>
      <c r="D62" s="47"/>
      <c r="E62" s="13">
        <f t="shared" si="10"/>
        <v>0</v>
      </c>
      <c r="F62" s="16"/>
      <c r="G62" s="47"/>
      <c r="H62" s="13">
        <f t="shared" si="11"/>
        <v>0</v>
      </c>
      <c r="I62" s="13">
        <f t="shared" si="12"/>
        <v>0</v>
      </c>
    </row>
    <row r="63" spans="2:10" x14ac:dyDescent="0.15">
      <c r="B63" s="12"/>
      <c r="C63" s="19"/>
      <c r="D63" s="50"/>
      <c r="E63" s="13">
        <f t="shared" si="10"/>
        <v>0</v>
      </c>
      <c r="F63" s="19"/>
      <c r="G63" s="50"/>
      <c r="H63" s="13">
        <f t="shared" si="11"/>
        <v>0</v>
      </c>
      <c r="I63" s="13">
        <f t="shared" si="12"/>
        <v>0</v>
      </c>
    </row>
    <row r="64" spans="2:10" x14ac:dyDescent="0.15">
      <c r="B64" s="12"/>
      <c r="C64" s="19"/>
      <c r="D64" s="50"/>
      <c r="E64" s="13">
        <f t="shared" si="10"/>
        <v>0</v>
      </c>
      <c r="F64" s="19"/>
      <c r="G64" s="50"/>
      <c r="H64" s="13">
        <f t="shared" si="11"/>
        <v>0</v>
      </c>
      <c r="I64" s="13">
        <f t="shared" si="12"/>
        <v>0</v>
      </c>
    </row>
    <row r="65" spans="2:9" x14ac:dyDescent="0.15">
      <c r="B65" s="12"/>
      <c r="C65" s="19"/>
      <c r="D65" s="50"/>
      <c r="E65" s="13">
        <f t="shared" si="10"/>
        <v>0</v>
      </c>
      <c r="F65" s="19"/>
      <c r="G65" s="50"/>
      <c r="H65" s="13">
        <f t="shared" si="11"/>
        <v>0</v>
      </c>
      <c r="I65" s="13">
        <f t="shared" si="12"/>
        <v>0</v>
      </c>
    </row>
    <row r="66" spans="2:9" x14ac:dyDescent="0.15">
      <c r="B66" s="12"/>
      <c r="C66" s="19"/>
      <c r="D66" s="50"/>
      <c r="E66" s="13">
        <f t="shared" si="10"/>
        <v>0</v>
      </c>
      <c r="F66" s="19"/>
      <c r="G66" s="50"/>
      <c r="H66" s="13">
        <f t="shared" si="11"/>
        <v>0</v>
      </c>
      <c r="I66" s="13">
        <f t="shared" si="12"/>
        <v>0</v>
      </c>
    </row>
    <row r="67" spans="2:9" x14ac:dyDescent="0.15">
      <c r="B67" s="12"/>
      <c r="C67" s="19"/>
      <c r="D67" s="50"/>
      <c r="E67" s="13">
        <f t="shared" si="10"/>
        <v>0</v>
      </c>
      <c r="F67" s="19"/>
      <c r="G67" s="50"/>
      <c r="H67" s="13">
        <f t="shared" si="11"/>
        <v>0</v>
      </c>
      <c r="I67" s="13">
        <f t="shared" si="12"/>
        <v>0</v>
      </c>
    </row>
    <row r="68" spans="2:9" x14ac:dyDescent="0.15">
      <c r="B68" s="12"/>
      <c r="C68" s="19"/>
      <c r="D68" s="50"/>
      <c r="E68" s="13">
        <f t="shared" si="10"/>
        <v>0</v>
      </c>
      <c r="F68" s="19"/>
      <c r="G68" s="50"/>
      <c r="H68" s="13">
        <f t="shared" si="11"/>
        <v>0</v>
      </c>
      <c r="I68" s="13">
        <f t="shared" si="12"/>
        <v>0</v>
      </c>
    </row>
    <row r="69" spans="2:9" x14ac:dyDescent="0.15">
      <c r="B69" s="12"/>
      <c r="C69" s="16"/>
      <c r="D69" s="47"/>
      <c r="E69" s="13">
        <f t="shared" si="10"/>
        <v>0</v>
      </c>
      <c r="F69" s="16"/>
      <c r="G69" s="47"/>
      <c r="H69" s="13">
        <f t="shared" si="11"/>
        <v>0</v>
      </c>
      <c r="I69" s="13">
        <f t="shared" si="12"/>
        <v>0</v>
      </c>
    </row>
    <row r="70" spans="2:9" x14ac:dyDescent="0.15">
      <c r="B70" s="12"/>
      <c r="C70" s="16"/>
      <c r="D70" s="47"/>
      <c r="E70" s="13">
        <f t="shared" si="10"/>
        <v>0</v>
      </c>
      <c r="F70" s="16"/>
      <c r="G70" s="47"/>
      <c r="H70" s="13">
        <f t="shared" si="11"/>
        <v>0</v>
      </c>
      <c r="I70" s="13">
        <f t="shared" si="12"/>
        <v>0</v>
      </c>
    </row>
    <row r="71" spans="2:9" x14ac:dyDescent="0.15">
      <c r="B71" s="12"/>
      <c r="C71" s="16"/>
      <c r="D71" s="47"/>
      <c r="E71" s="13">
        <f t="shared" si="10"/>
        <v>0</v>
      </c>
      <c r="F71" s="16"/>
      <c r="G71" s="47"/>
      <c r="H71" s="13">
        <f t="shared" si="11"/>
        <v>0</v>
      </c>
      <c r="I71" s="13">
        <f t="shared" si="12"/>
        <v>0</v>
      </c>
    </row>
    <row r="72" spans="2:9" x14ac:dyDescent="0.15">
      <c r="B72" s="12"/>
      <c r="C72" s="16"/>
      <c r="D72" s="47"/>
      <c r="E72" s="13">
        <f t="shared" si="10"/>
        <v>0</v>
      </c>
      <c r="F72" s="16"/>
      <c r="G72" s="47"/>
      <c r="H72" s="13">
        <f t="shared" si="11"/>
        <v>0</v>
      </c>
      <c r="I72" s="13">
        <f t="shared" si="12"/>
        <v>0</v>
      </c>
    </row>
    <row r="73" spans="2:9" x14ac:dyDescent="0.15">
      <c r="B73" s="12"/>
      <c r="C73" s="16"/>
      <c r="D73" s="47"/>
      <c r="E73" s="13">
        <f t="shared" si="10"/>
        <v>0</v>
      </c>
      <c r="F73" s="16"/>
      <c r="G73" s="47"/>
      <c r="H73" s="13">
        <f t="shared" si="11"/>
        <v>0</v>
      </c>
      <c r="I73" s="13">
        <f t="shared" si="12"/>
        <v>0</v>
      </c>
    </row>
    <row r="74" spans="2:9" ht="14.25" thickBot="1" x14ac:dyDescent="0.2">
      <c r="B74" s="12"/>
      <c r="C74" s="27"/>
      <c r="D74" s="48"/>
      <c r="E74" s="8">
        <f t="shared" si="10"/>
        <v>0</v>
      </c>
      <c r="F74" s="27"/>
      <c r="G74" s="48"/>
      <c r="H74" s="8">
        <f t="shared" si="11"/>
        <v>0</v>
      </c>
      <c r="I74" s="8">
        <f t="shared" si="12"/>
        <v>0</v>
      </c>
    </row>
    <row r="75" spans="2:9" ht="14.25" thickBot="1" x14ac:dyDescent="0.2">
      <c r="B75" s="7" t="s">
        <v>1</v>
      </c>
      <c r="C75" s="42">
        <f>SUM(C50:C74)</f>
        <v>5</v>
      </c>
      <c r="D75" s="51">
        <f>SUM(D50:D74)</f>
        <v>4</v>
      </c>
      <c r="E75" s="5">
        <f t="shared" si="10"/>
        <v>9</v>
      </c>
      <c r="F75" s="6">
        <f>SUM(F50:F74)</f>
        <v>1</v>
      </c>
      <c r="G75" s="51">
        <f>SUM(G50:G74)</f>
        <v>1</v>
      </c>
      <c r="H75" s="5">
        <f t="shared" si="11"/>
        <v>2</v>
      </c>
      <c r="I75" s="5">
        <f t="shared" si="12"/>
        <v>11</v>
      </c>
    </row>
    <row r="76" spans="2:9" ht="14.25" thickBot="1" x14ac:dyDescent="0.2">
      <c r="B76" s="4" t="s">
        <v>0</v>
      </c>
      <c r="C76" s="43">
        <f>+C49-C75</f>
        <v>0</v>
      </c>
      <c r="D76" s="49">
        <f>+D49-D75</f>
        <v>0</v>
      </c>
      <c r="E76" s="24">
        <f t="shared" si="10"/>
        <v>0</v>
      </c>
      <c r="F76" s="25">
        <f>+F49-F75</f>
        <v>0</v>
      </c>
      <c r="G76" s="49">
        <f>+G49-G75</f>
        <v>0</v>
      </c>
      <c r="H76" s="24">
        <f t="shared" si="11"/>
        <v>0</v>
      </c>
      <c r="I76" s="24">
        <f t="shared" si="12"/>
        <v>0</v>
      </c>
    </row>
  </sheetData>
  <mergeCells count="4">
    <mergeCell ref="C3:E3"/>
    <mergeCell ref="F3:H3"/>
    <mergeCell ref="C41:E41"/>
    <mergeCell ref="F41:H41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499984740745262"/>
  </sheetPr>
  <dimension ref="B2:G76"/>
  <sheetViews>
    <sheetView topLeftCell="A13" zoomScaleNormal="100" workbookViewId="0">
      <selection activeCell="F213" sqref="F213"/>
    </sheetView>
  </sheetViews>
  <sheetFormatPr defaultRowHeight="13.5" x14ac:dyDescent="0.15"/>
  <cols>
    <col min="2" max="2" width="22.75" style="1" customWidth="1"/>
    <col min="3" max="5" width="11.75" customWidth="1"/>
    <col min="6" max="6" width="11.375" customWidth="1"/>
    <col min="7" max="7" width="9.25" bestFit="1" customWidth="1"/>
  </cols>
  <sheetData>
    <row r="2" spans="2:7" ht="19.5" thickBot="1" x14ac:dyDescent="0.25">
      <c r="B2" s="36" t="s">
        <v>11</v>
      </c>
      <c r="C2" s="35"/>
      <c r="D2" s="35"/>
      <c r="E2" s="35"/>
      <c r="F2" s="35"/>
      <c r="G2" s="35"/>
    </row>
    <row r="3" spans="2:7" ht="14.25" thickBot="1" x14ac:dyDescent="0.2">
      <c r="B3" s="34"/>
      <c r="C3" s="96" t="s">
        <v>6</v>
      </c>
      <c r="D3" s="97"/>
      <c r="E3" s="97"/>
      <c r="F3" s="106"/>
    </row>
    <row r="4" spans="2:7" s="1" customFormat="1" ht="14.25" thickBot="1" x14ac:dyDescent="0.2">
      <c r="B4" s="32"/>
      <c r="C4" s="33" t="s">
        <v>8</v>
      </c>
      <c r="D4" s="32" t="s">
        <v>9</v>
      </c>
      <c r="E4" s="31" t="s">
        <v>10</v>
      </c>
      <c r="F4" s="7" t="s">
        <v>5</v>
      </c>
    </row>
    <row r="5" spans="2:7" ht="14.25" customHeight="1" x14ac:dyDescent="0.15">
      <c r="B5" s="41" t="s">
        <v>4</v>
      </c>
      <c r="C5" s="38">
        <v>1</v>
      </c>
      <c r="D5" s="37">
        <v>1</v>
      </c>
      <c r="E5" s="37">
        <v>2</v>
      </c>
      <c r="F5" s="13">
        <f t="shared" ref="F5:F10" si="0">SUM(C5:E5)</f>
        <v>4</v>
      </c>
      <c r="G5" s="20">
        <v>44595</v>
      </c>
    </row>
    <row r="6" spans="2:7" x14ac:dyDescent="0.15">
      <c r="B6" s="29" t="s">
        <v>3</v>
      </c>
      <c r="C6" s="16">
        <v>1</v>
      </c>
      <c r="D6" s="15">
        <v>1</v>
      </c>
      <c r="E6" s="14"/>
      <c r="F6" s="13">
        <f t="shared" si="0"/>
        <v>2</v>
      </c>
      <c r="G6" s="20">
        <v>44609</v>
      </c>
    </row>
    <row r="7" spans="2:7" x14ac:dyDescent="0.15">
      <c r="B7" s="29" t="s">
        <v>3</v>
      </c>
      <c r="C7" s="16">
        <v>5</v>
      </c>
      <c r="D7" s="15">
        <v>3</v>
      </c>
      <c r="E7" s="14">
        <v>4</v>
      </c>
      <c r="F7" s="13">
        <f t="shared" si="0"/>
        <v>12</v>
      </c>
      <c r="G7" s="20">
        <v>44653</v>
      </c>
    </row>
    <row r="8" spans="2:7" x14ac:dyDescent="0.15">
      <c r="B8" s="60" t="s">
        <v>35</v>
      </c>
      <c r="C8" s="61">
        <v>0</v>
      </c>
      <c r="D8" s="62">
        <v>0</v>
      </c>
      <c r="E8" s="63">
        <v>0</v>
      </c>
      <c r="F8" s="64">
        <f t="shared" si="0"/>
        <v>0</v>
      </c>
      <c r="G8" s="65">
        <v>44797</v>
      </c>
    </row>
    <row r="9" spans="2:7" x14ac:dyDescent="0.15">
      <c r="B9" s="29" t="s">
        <v>42</v>
      </c>
      <c r="C9" s="16">
        <v>0</v>
      </c>
      <c r="D9" s="15">
        <v>0</v>
      </c>
      <c r="E9" s="14">
        <v>0</v>
      </c>
      <c r="F9" s="13">
        <f t="shared" si="0"/>
        <v>0</v>
      </c>
      <c r="G9" s="20">
        <v>45162</v>
      </c>
    </row>
    <row r="10" spans="2:7" ht="14.25" thickBot="1" x14ac:dyDescent="0.2">
      <c r="B10" s="29" t="s">
        <v>42</v>
      </c>
      <c r="C10" s="27">
        <v>0</v>
      </c>
      <c r="D10" s="10">
        <v>0</v>
      </c>
      <c r="E10" s="9">
        <v>0</v>
      </c>
      <c r="F10" s="13">
        <f t="shared" si="0"/>
        <v>0</v>
      </c>
      <c r="G10" s="20">
        <v>45531</v>
      </c>
    </row>
    <row r="11" spans="2:7" ht="14.25" thickBot="1" x14ac:dyDescent="0.2">
      <c r="B11" s="26" t="s">
        <v>2</v>
      </c>
      <c r="C11" s="24">
        <f>SUM(C5:C10)</f>
        <v>7</v>
      </c>
      <c r="D11" s="24">
        <f>SUM(D5:D10)</f>
        <v>5</v>
      </c>
      <c r="E11" s="25">
        <f>SUM(E5:E10)</f>
        <v>6</v>
      </c>
      <c r="F11" s="24">
        <f>SUM(C11:E11)</f>
        <v>18</v>
      </c>
    </row>
    <row r="12" spans="2:7" x14ac:dyDescent="0.15">
      <c r="B12" s="41" t="s">
        <v>30</v>
      </c>
      <c r="C12" s="38">
        <v>1</v>
      </c>
      <c r="D12" s="37"/>
      <c r="E12" s="14"/>
      <c r="F12" s="13">
        <f t="shared" ref="F12:F29" si="1">SUM(C12:E12)</f>
        <v>1</v>
      </c>
      <c r="G12" s="20">
        <v>44625</v>
      </c>
    </row>
    <row r="13" spans="2:7" x14ac:dyDescent="0.15">
      <c r="B13" s="12" t="s">
        <v>22</v>
      </c>
      <c r="C13" s="16"/>
      <c r="D13" s="15"/>
      <c r="E13" s="14">
        <v>1</v>
      </c>
      <c r="F13" s="13">
        <f t="shared" si="1"/>
        <v>1</v>
      </c>
      <c r="G13" s="20">
        <v>44627</v>
      </c>
    </row>
    <row r="14" spans="2:7" x14ac:dyDescent="0.15">
      <c r="B14" s="12" t="s">
        <v>22</v>
      </c>
      <c r="C14" s="16">
        <v>1</v>
      </c>
      <c r="D14" s="15"/>
      <c r="E14" s="14"/>
      <c r="F14" s="13">
        <f t="shared" si="1"/>
        <v>1</v>
      </c>
      <c r="G14" s="20">
        <v>44648</v>
      </c>
    </row>
    <row r="15" spans="2:7" x14ac:dyDescent="0.15">
      <c r="B15" s="12" t="s">
        <v>22</v>
      </c>
      <c r="C15" s="16"/>
      <c r="D15" s="15"/>
      <c r="E15" s="14">
        <v>2</v>
      </c>
      <c r="F15" s="13">
        <f t="shared" si="1"/>
        <v>2</v>
      </c>
      <c r="G15" s="20">
        <v>44656</v>
      </c>
    </row>
    <row r="16" spans="2:7" x14ac:dyDescent="0.15">
      <c r="B16" s="12" t="s">
        <v>22</v>
      </c>
      <c r="C16" s="16"/>
      <c r="D16" s="15"/>
      <c r="E16" s="14">
        <v>1</v>
      </c>
      <c r="F16" s="13">
        <f t="shared" si="1"/>
        <v>1</v>
      </c>
      <c r="G16" s="20">
        <v>44936</v>
      </c>
    </row>
    <row r="17" spans="2:7" x14ac:dyDescent="0.15">
      <c r="B17" s="12" t="s">
        <v>22</v>
      </c>
      <c r="C17" s="16">
        <v>2</v>
      </c>
      <c r="D17" s="15"/>
      <c r="E17" s="14"/>
      <c r="F17" s="13">
        <f t="shared" si="1"/>
        <v>2</v>
      </c>
      <c r="G17" s="20">
        <v>45421</v>
      </c>
    </row>
    <row r="18" spans="2:7" x14ac:dyDescent="0.15">
      <c r="B18" s="12" t="s">
        <v>22</v>
      </c>
      <c r="C18" s="16"/>
      <c r="D18" s="15"/>
      <c r="E18" s="14">
        <v>1</v>
      </c>
      <c r="F18" s="13">
        <f t="shared" si="1"/>
        <v>1</v>
      </c>
      <c r="G18" s="20">
        <v>45552</v>
      </c>
    </row>
    <row r="19" spans="2:7" x14ac:dyDescent="0.15">
      <c r="B19" s="12" t="s">
        <v>22</v>
      </c>
      <c r="C19" s="19">
        <v>2</v>
      </c>
      <c r="D19" s="18"/>
      <c r="E19" s="17"/>
      <c r="F19" s="13">
        <f t="shared" si="1"/>
        <v>2</v>
      </c>
      <c r="G19" s="20">
        <v>45650</v>
      </c>
    </row>
    <row r="20" spans="2:7" x14ac:dyDescent="0.15">
      <c r="B20" s="12" t="s">
        <v>22</v>
      </c>
      <c r="C20" s="19">
        <v>1</v>
      </c>
      <c r="D20" s="18">
        <v>5</v>
      </c>
      <c r="E20" s="17"/>
      <c r="F20" s="13">
        <f t="shared" si="1"/>
        <v>6</v>
      </c>
      <c r="G20" s="20">
        <v>45803</v>
      </c>
    </row>
    <row r="21" spans="2:7" x14ac:dyDescent="0.15">
      <c r="B21" s="12" t="s">
        <v>22</v>
      </c>
      <c r="C21" s="16"/>
      <c r="D21" s="15"/>
      <c r="E21" s="14">
        <v>1</v>
      </c>
      <c r="F21" s="13">
        <f t="shared" si="1"/>
        <v>1</v>
      </c>
      <c r="G21" s="20">
        <v>45835</v>
      </c>
    </row>
    <row r="22" spans="2:7" x14ac:dyDescent="0.15">
      <c r="B22" s="12"/>
      <c r="C22" s="19"/>
      <c r="D22" s="18"/>
      <c r="E22" s="17"/>
      <c r="F22" s="13">
        <f t="shared" si="1"/>
        <v>0</v>
      </c>
      <c r="G22" s="40"/>
    </row>
    <row r="23" spans="2:7" x14ac:dyDescent="0.15">
      <c r="B23" s="12"/>
      <c r="C23" s="19"/>
      <c r="D23" s="18"/>
      <c r="E23" s="17"/>
      <c r="F23" s="13">
        <f t="shared" si="1"/>
        <v>0</v>
      </c>
      <c r="G23" s="40"/>
    </row>
    <row r="24" spans="2:7" x14ac:dyDescent="0.15">
      <c r="B24" s="12"/>
      <c r="C24" s="16"/>
      <c r="D24" s="15"/>
      <c r="E24" s="14"/>
      <c r="F24" s="13">
        <f t="shared" si="1"/>
        <v>0</v>
      </c>
      <c r="G24" s="20"/>
    </row>
    <row r="25" spans="2:7" x14ac:dyDescent="0.15">
      <c r="B25" s="12"/>
      <c r="C25" s="19"/>
      <c r="D25" s="18"/>
      <c r="E25" s="17"/>
      <c r="F25" s="13">
        <f t="shared" si="1"/>
        <v>0</v>
      </c>
      <c r="G25" s="40"/>
    </row>
    <row r="26" spans="2:7" x14ac:dyDescent="0.15">
      <c r="B26" s="12"/>
      <c r="C26" s="19"/>
      <c r="D26" s="18"/>
      <c r="E26" s="17"/>
      <c r="F26" s="13">
        <f t="shared" si="1"/>
        <v>0</v>
      </c>
      <c r="G26" s="40"/>
    </row>
    <row r="27" spans="2:7" x14ac:dyDescent="0.15">
      <c r="B27" s="12"/>
      <c r="C27" s="19"/>
      <c r="D27" s="18"/>
      <c r="E27" s="17"/>
      <c r="F27" s="13">
        <f t="shared" si="1"/>
        <v>0</v>
      </c>
      <c r="G27" s="40"/>
    </row>
    <row r="28" spans="2:7" x14ac:dyDescent="0.15">
      <c r="B28" s="12"/>
      <c r="C28" s="19"/>
      <c r="D28" s="18"/>
      <c r="E28" s="17"/>
      <c r="F28" s="13">
        <f t="shared" si="1"/>
        <v>0</v>
      </c>
      <c r="G28" s="40"/>
    </row>
    <row r="29" spans="2:7" x14ac:dyDescent="0.15">
      <c r="B29" s="12"/>
      <c r="C29" s="19"/>
      <c r="D29" s="18"/>
      <c r="E29" s="17"/>
      <c r="F29" s="13">
        <f t="shared" si="1"/>
        <v>0</v>
      </c>
      <c r="G29" s="40"/>
    </row>
    <row r="30" spans="2:7" x14ac:dyDescent="0.15">
      <c r="B30" s="12"/>
      <c r="C30" s="19"/>
      <c r="D30" s="18"/>
      <c r="E30" s="17"/>
      <c r="F30" s="13">
        <f t="shared" ref="F30:F38" si="2">SUM(C30:E30)</f>
        <v>0</v>
      </c>
      <c r="G30" s="40"/>
    </row>
    <row r="31" spans="2:7" x14ac:dyDescent="0.15">
      <c r="B31" s="12"/>
      <c r="C31" s="16"/>
      <c r="D31" s="15"/>
      <c r="E31" s="14"/>
      <c r="F31" s="13">
        <f t="shared" si="2"/>
        <v>0</v>
      </c>
      <c r="G31" s="39"/>
    </row>
    <row r="32" spans="2:7" x14ac:dyDescent="0.15">
      <c r="B32" s="12"/>
      <c r="C32" s="16"/>
      <c r="D32" s="15"/>
      <c r="E32" s="14"/>
      <c r="F32" s="13">
        <f t="shared" si="2"/>
        <v>0</v>
      </c>
      <c r="G32" s="39"/>
    </row>
    <row r="33" spans="2:7" x14ac:dyDescent="0.15">
      <c r="B33" s="12"/>
      <c r="C33" s="16"/>
      <c r="D33" s="15"/>
      <c r="E33" s="14"/>
      <c r="F33" s="13">
        <f t="shared" si="2"/>
        <v>0</v>
      </c>
      <c r="G33" s="39"/>
    </row>
    <row r="34" spans="2:7" x14ac:dyDescent="0.15">
      <c r="B34" s="12"/>
      <c r="C34" s="16"/>
      <c r="D34" s="15"/>
      <c r="E34" s="14"/>
      <c r="F34" s="13">
        <f t="shared" si="2"/>
        <v>0</v>
      </c>
      <c r="G34" s="39"/>
    </row>
    <row r="35" spans="2:7" x14ac:dyDescent="0.15">
      <c r="B35" s="12"/>
      <c r="C35" s="16"/>
      <c r="D35" s="15"/>
      <c r="E35" s="14"/>
      <c r="F35" s="13">
        <f t="shared" si="2"/>
        <v>0</v>
      </c>
      <c r="G35" s="39"/>
    </row>
    <row r="36" spans="2:7" ht="14.25" thickBot="1" x14ac:dyDescent="0.2">
      <c r="B36" s="12"/>
      <c r="C36" s="11"/>
      <c r="D36" s="10"/>
      <c r="E36" s="9"/>
      <c r="F36" s="8">
        <f t="shared" si="2"/>
        <v>0</v>
      </c>
      <c r="G36" s="39"/>
    </row>
    <row r="37" spans="2:7" ht="14.25" thickBot="1" x14ac:dyDescent="0.2">
      <c r="B37" s="7" t="s">
        <v>1</v>
      </c>
      <c r="C37" s="6">
        <f>SUM(C12:C36)</f>
        <v>7</v>
      </c>
      <c r="D37" s="5">
        <f>SUM(D12:D36)</f>
        <v>5</v>
      </c>
      <c r="E37" s="5">
        <f>SUM(E12:E36)</f>
        <v>6</v>
      </c>
      <c r="F37" s="5">
        <f t="shared" si="2"/>
        <v>18</v>
      </c>
    </row>
    <row r="38" spans="2:7" ht="14.25" thickBot="1" x14ac:dyDescent="0.2">
      <c r="B38" s="4" t="s">
        <v>0</v>
      </c>
      <c r="C38" s="3">
        <f>+C11-C37</f>
        <v>0</v>
      </c>
      <c r="D38" s="2">
        <f>+D11-D37</f>
        <v>0</v>
      </c>
      <c r="E38" s="2">
        <f>+E11-E37</f>
        <v>0</v>
      </c>
      <c r="F38" s="2">
        <f t="shared" si="2"/>
        <v>0</v>
      </c>
    </row>
    <row r="40" spans="2:7" ht="19.5" thickBot="1" x14ac:dyDescent="0.25">
      <c r="B40" s="36" t="s">
        <v>11</v>
      </c>
      <c r="C40" s="35"/>
      <c r="D40" s="35"/>
      <c r="E40" s="35"/>
      <c r="F40" s="35"/>
      <c r="G40" s="35"/>
    </row>
    <row r="41" spans="2:7" ht="14.25" thickBot="1" x14ac:dyDescent="0.2">
      <c r="B41" s="34"/>
      <c r="C41" s="96" t="s">
        <v>6</v>
      </c>
      <c r="D41" s="97"/>
      <c r="E41" s="97"/>
      <c r="F41" s="106"/>
    </row>
    <row r="42" spans="2:7" s="1" customFormat="1" ht="14.25" thickBot="1" x14ac:dyDescent="0.2">
      <c r="B42" s="32"/>
      <c r="C42" s="33" t="s">
        <v>8</v>
      </c>
      <c r="D42" s="32" t="s">
        <v>9</v>
      </c>
      <c r="E42" s="31" t="s">
        <v>10</v>
      </c>
      <c r="F42" s="31" t="s">
        <v>5</v>
      </c>
    </row>
    <row r="43" spans="2:7" ht="14.25" customHeight="1" x14ac:dyDescent="0.15">
      <c r="B43" s="30" t="s">
        <v>0</v>
      </c>
      <c r="C43" s="23">
        <f>C38</f>
        <v>0</v>
      </c>
      <c r="D43" s="22">
        <f>D38</f>
        <v>0</v>
      </c>
      <c r="E43" s="22">
        <f>E38</f>
        <v>0</v>
      </c>
      <c r="F43" s="22">
        <f>SUM(C43:E43)</f>
        <v>0</v>
      </c>
      <c r="G43" s="20"/>
    </row>
    <row r="44" spans="2:7" x14ac:dyDescent="0.15">
      <c r="B44" s="29" t="s">
        <v>3</v>
      </c>
      <c r="C44" s="16"/>
      <c r="D44" s="15"/>
      <c r="E44" s="14"/>
      <c r="F44" s="13">
        <f t="shared" ref="F44:F47" si="3">SUM(C44:E44)</f>
        <v>0</v>
      </c>
      <c r="G44" s="20"/>
    </row>
    <row r="45" spans="2:7" x14ac:dyDescent="0.15">
      <c r="B45" s="29" t="s">
        <v>3</v>
      </c>
      <c r="C45" s="16"/>
      <c r="D45" s="15"/>
      <c r="E45" s="14"/>
      <c r="F45" s="13">
        <f t="shared" si="3"/>
        <v>0</v>
      </c>
      <c r="G45" s="20"/>
    </row>
    <row r="46" spans="2:7" x14ac:dyDescent="0.15">
      <c r="B46" s="29" t="s">
        <v>3</v>
      </c>
      <c r="C46" s="16"/>
      <c r="D46" s="15"/>
      <c r="E46" s="14"/>
      <c r="F46" s="13">
        <f t="shared" si="3"/>
        <v>0</v>
      </c>
      <c r="G46" s="20"/>
    </row>
    <row r="47" spans="2:7" x14ac:dyDescent="0.15">
      <c r="B47" s="29" t="s">
        <v>3</v>
      </c>
      <c r="C47" s="16"/>
      <c r="D47" s="15"/>
      <c r="E47" s="14"/>
      <c r="F47" s="13">
        <f t="shared" si="3"/>
        <v>0</v>
      </c>
      <c r="G47" s="20"/>
    </row>
    <row r="48" spans="2:7" ht="14.25" thickBot="1" x14ac:dyDescent="0.2">
      <c r="B48" s="28" t="s">
        <v>3</v>
      </c>
      <c r="C48" s="27"/>
      <c r="D48" s="10"/>
      <c r="E48" s="9"/>
      <c r="F48" s="8">
        <f>SUM(C48:E48)</f>
        <v>0</v>
      </c>
      <c r="G48" s="20"/>
    </row>
    <row r="49" spans="2:7" ht="14.25" thickBot="1" x14ac:dyDescent="0.2">
      <c r="B49" s="26" t="s">
        <v>2</v>
      </c>
      <c r="C49" s="24">
        <f>SUM(C43:C48)</f>
        <v>0</v>
      </c>
      <c r="D49" s="24">
        <f>SUM(D43:D48)</f>
        <v>0</v>
      </c>
      <c r="E49" s="25">
        <f>SUM(E43:E48)</f>
        <v>0</v>
      </c>
      <c r="F49" s="24">
        <f>SUM(C49:E49)</f>
        <v>0</v>
      </c>
    </row>
    <row r="50" spans="2:7" x14ac:dyDescent="0.15">
      <c r="B50" s="41"/>
      <c r="C50" s="38"/>
      <c r="D50" s="37"/>
      <c r="E50" s="14"/>
      <c r="F50" s="13">
        <f t="shared" ref="F50:F67" si="4">SUM(C50:E50)</f>
        <v>0</v>
      </c>
      <c r="G50" s="20"/>
    </row>
    <row r="51" spans="2:7" x14ac:dyDescent="0.15">
      <c r="B51" s="12"/>
      <c r="C51" s="16"/>
      <c r="D51" s="15"/>
      <c r="E51" s="14"/>
      <c r="F51" s="13">
        <f t="shared" si="4"/>
        <v>0</v>
      </c>
      <c r="G51" s="20"/>
    </row>
    <row r="52" spans="2:7" x14ac:dyDescent="0.15">
      <c r="B52" s="12"/>
      <c r="C52" s="16"/>
      <c r="D52" s="15"/>
      <c r="E52" s="14"/>
      <c r="F52" s="13">
        <f t="shared" si="4"/>
        <v>0</v>
      </c>
      <c r="G52" s="20"/>
    </row>
    <row r="53" spans="2:7" x14ac:dyDescent="0.15">
      <c r="B53" s="12"/>
      <c r="C53" s="16"/>
      <c r="D53" s="15"/>
      <c r="E53" s="14"/>
      <c r="F53" s="13">
        <f t="shared" si="4"/>
        <v>0</v>
      </c>
      <c r="G53" s="20"/>
    </row>
    <row r="54" spans="2:7" x14ac:dyDescent="0.15">
      <c r="B54" s="12"/>
      <c r="C54" s="16"/>
      <c r="D54" s="15"/>
      <c r="E54" s="14"/>
      <c r="F54" s="13">
        <f t="shared" si="4"/>
        <v>0</v>
      </c>
      <c r="G54" s="20"/>
    </row>
    <row r="55" spans="2:7" x14ac:dyDescent="0.15">
      <c r="B55" s="12"/>
      <c r="C55" s="16"/>
      <c r="D55" s="15"/>
      <c r="E55" s="14"/>
      <c r="F55" s="13">
        <f t="shared" si="4"/>
        <v>0</v>
      </c>
      <c r="G55" s="20"/>
    </row>
    <row r="56" spans="2:7" x14ac:dyDescent="0.15">
      <c r="B56" s="12"/>
      <c r="C56" s="16"/>
      <c r="D56" s="15"/>
      <c r="E56" s="14"/>
      <c r="F56" s="13">
        <f t="shared" si="4"/>
        <v>0</v>
      </c>
      <c r="G56" s="20"/>
    </row>
    <row r="57" spans="2:7" x14ac:dyDescent="0.15">
      <c r="B57" s="12"/>
      <c r="C57" s="19"/>
      <c r="D57" s="18"/>
      <c r="E57" s="17"/>
      <c r="F57" s="13">
        <f t="shared" si="4"/>
        <v>0</v>
      </c>
      <c r="G57" s="20"/>
    </row>
    <row r="58" spans="2:7" x14ac:dyDescent="0.15">
      <c r="B58" s="12"/>
      <c r="C58" s="19"/>
      <c r="D58" s="18"/>
      <c r="E58" s="17"/>
      <c r="F58" s="13">
        <f t="shared" si="4"/>
        <v>0</v>
      </c>
      <c r="G58" s="20"/>
    </row>
    <row r="59" spans="2:7" x14ac:dyDescent="0.15">
      <c r="B59" s="12"/>
      <c r="C59" s="16"/>
      <c r="D59" s="15"/>
      <c r="E59" s="14"/>
      <c r="F59" s="13">
        <f t="shared" si="4"/>
        <v>0</v>
      </c>
      <c r="G59" s="20"/>
    </row>
    <row r="60" spans="2:7" x14ac:dyDescent="0.15">
      <c r="B60" s="12"/>
      <c r="C60" s="19"/>
      <c r="D60" s="18"/>
      <c r="E60" s="17"/>
      <c r="F60" s="13">
        <f t="shared" si="4"/>
        <v>0</v>
      </c>
      <c r="G60" s="40"/>
    </row>
    <row r="61" spans="2:7" x14ac:dyDescent="0.15">
      <c r="B61" s="12"/>
      <c r="C61" s="19"/>
      <c r="D61" s="18"/>
      <c r="E61" s="17"/>
      <c r="F61" s="13">
        <f t="shared" si="4"/>
        <v>0</v>
      </c>
      <c r="G61" s="40"/>
    </row>
    <row r="62" spans="2:7" x14ac:dyDescent="0.15">
      <c r="B62" s="12"/>
      <c r="C62" s="16"/>
      <c r="D62" s="15"/>
      <c r="E62" s="14"/>
      <c r="F62" s="13">
        <f t="shared" si="4"/>
        <v>0</v>
      </c>
      <c r="G62" s="20"/>
    </row>
    <row r="63" spans="2:7" x14ac:dyDescent="0.15">
      <c r="B63" s="12"/>
      <c r="C63" s="19"/>
      <c r="D63" s="18"/>
      <c r="E63" s="17"/>
      <c r="F63" s="13">
        <f t="shared" si="4"/>
        <v>0</v>
      </c>
      <c r="G63" s="40"/>
    </row>
    <row r="64" spans="2:7" x14ac:dyDescent="0.15">
      <c r="B64" s="12"/>
      <c r="C64" s="19"/>
      <c r="D64" s="18"/>
      <c r="E64" s="17"/>
      <c r="F64" s="13">
        <f t="shared" si="4"/>
        <v>0</v>
      </c>
      <c r="G64" s="40"/>
    </row>
    <row r="65" spans="2:7" x14ac:dyDescent="0.15">
      <c r="B65" s="12"/>
      <c r="C65" s="19"/>
      <c r="D65" s="18"/>
      <c r="E65" s="17"/>
      <c r="F65" s="13">
        <f t="shared" si="4"/>
        <v>0</v>
      </c>
      <c r="G65" s="40"/>
    </row>
    <row r="66" spans="2:7" x14ac:dyDescent="0.15">
      <c r="B66" s="12"/>
      <c r="C66" s="19"/>
      <c r="D66" s="18"/>
      <c r="E66" s="17"/>
      <c r="F66" s="13">
        <f t="shared" si="4"/>
        <v>0</v>
      </c>
      <c r="G66" s="40"/>
    </row>
    <row r="67" spans="2:7" x14ac:dyDescent="0.15">
      <c r="B67" s="12"/>
      <c r="C67" s="19"/>
      <c r="D67" s="18"/>
      <c r="E67" s="17"/>
      <c r="F67" s="13">
        <f t="shared" si="4"/>
        <v>0</v>
      </c>
      <c r="G67" s="40"/>
    </row>
    <row r="68" spans="2:7" x14ac:dyDescent="0.15">
      <c r="B68" s="12"/>
      <c r="C68" s="19"/>
      <c r="D68" s="18"/>
      <c r="E68" s="17"/>
      <c r="F68" s="13">
        <f t="shared" ref="F68:F76" si="5">SUM(C68:E68)</f>
        <v>0</v>
      </c>
      <c r="G68" s="40"/>
    </row>
    <row r="69" spans="2:7" x14ac:dyDescent="0.15">
      <c r="B69" s="12"/>
      <c r="C69" s="16"/>
      <c r="D69" s="15"/>
      <c r="E69" s="14"/>
      <c r="F69" s="13">
        <f t="shared" si="5"/>
        <v>0</v>
      </c>
      <c r="G69" s="39"/>
    </row>
    <row r="70" spans="2:7" x14ac:dyDescent="0.15">
      <c r="B70" s="12"/>
      <c r="C70" s="16"/>
      <c r="D70" s="15"/>
      <c r="E70" s="14"/>
      <c r="F70" s="13">
        <f t="shared" si="5"/>
        <v>0</v>
      </c>
      <c r="G70" s="39"/>
    </row>
    <row r="71" spans="2:7" x14ac:dyDescent="0.15">
      <c r="B71" s="12"/>
      <c r="C71" s="16"/>
      <c r="D71" s="15"/>
      <c r="E71" s="14"/>
      <c r="F71" s="13">
        <f t="shared" si="5"/>
        <v>0</v>
      </c>
      <c r="G71" s="39"/>
    </row>
    <row r="72" spans="2:7" x14ac:dyDescent="0.15">
      <c r="B72" s="12"/>
      <c r="C72" s="16"/>
      <c r="D72" s="15"/>
      <c r="E72" s="14"/>
      <c r="F72" s="13">
        <f t="shared" si="5"/>
        <v>0</v>
      </c>
      <c r="G72" s="39"/>
    </row>
    <row r="73" spans="2:7" x14ac:dyDescent="0.15">
      <c r="B73" s="12"/>
      <c r="C73" s="16"/>
      <c r="D73" s="15"/>
      <c r="E73" s="14"/>
      <c r="F73" s="13">
        <f t="shared" si="5"/>
        <v>0</v>
      </c>
      <c r="G73" s="39"/>
    </row>
    <row r="74" spans="2:7" ht="14.25" thickBot="1" x14ac:dyDescent="0.2">
      <c r="B74" s="12"/>
      <c r="C74" s="11"/>
      <c r="D74" s="10"/>
      <c r="E74" s="9"/>
      <c r="F74" s="8">
        <f t="shared" si="5"/>
        <v>0</v>
      </c>
      <c r="G74" s="39"/>
    </row>
    <row r="75" spans="2:7" ht="14.25" thickBot="1" x14ac:dyDescent="0.2">
      <c r="B75" s="7" t="s">
        <v>1</v>
      </c>
      <c r="C75" s="6">
        <f>SUM(C50:C74)</f>
        <v>0</v>
      </c>
      <c r="D75" s="5">
        <f>SUM(D50:D74)</f>
        <v>0</v>
      </c>
      <c r="E75" s="5">
        <f>SUM(E50:E74)</f>
        <v>0</v>
      </c>
      <c r="F75" s="5">
        <f t="shared" si="5"/>
        <v>0</v>
      </c>
    </row>
    <row r="76" spans="2:7" ht="14.25" thickBot="1" x14ac:dyDescent="0.2">
      <c r="B76" s="4" t="s">
        <v>0</v>
      </c>
      <c r="C76" s="3">
        <f>+C49-C75</f>
        <v>0</v>
      </c>
      <c r="D76" s="2">
        <f>+D49-D75</f>
        <v>0</v>
      </c>
      <c r="E76" s="2">
        <f>+E49-E75</f>
        <v>0</v>
      </c>
      <c r="F76" s="2">
        <f t="shared" si="5"/>
        <v>0</v>
      </c>
    </row>
  </sheetData>
  <mergeCells count="2">
    <mergeCell ref="C3:F3"/>
    <mergeCell ref="C41:F41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0.499984740745262"/>
  </sheetPr>
  <dimension ref="B2:G76"/>
  <sheetViews>
    <sheetView topLeftCell="A5" zoomScaleNormal="100" workbookViewId="0">
      <selection activeCell="F213" sqref="F213"/>
    </sheetView>
  </sheetViews>
  <sheetFormatPr defaultRowHeight="13.5" x14ac:dyDescent="0.15"/>
  <cols>
    <col min="2" max="2" width="22.75" style="1" customWidth="1"/>
    <col min="3" max="5" width="11.75" customWidth="1"/>
    <col min="6" max="6" width="11.375" customWidth="1"/>
    <col min="7" max="7" width="9.25" bestFit="1" customWidth="1"/>
  </cols>
  <sheetData>
    <row r="2" spans="2:7" ht="19.5" thickBot="1" x14ac:dyDescent="0.25">
      <c r="B2" s="36" t="s">
        <v>7</v>
      </c>
      <c r="C2" s="35"/>
      <c r="D2" s="35"/>
      <c r="E2" s="35"/>
      <c r="F2" s="35">
        <v>1305</v>
      </c>
      <c r="G2" s="35"/>
    </row>
    <row r="3" spans="2:7" ht="14.25" thickBot="1" x14ac:dyDescent="0.2">
      <c r="B3" s="34"/>
      <c r="C3" s="107" t="s">
        <v>12</v>
      </c>
      <c r="D3" s="108"/>
      <c r="E3" s="108"/>
      <c r="F3" s="109"/>
    </row>
    <row r="4" spans="2:7" s="1" customFormat="1" ht="14.25" thickBot="1" x14ac:dyDescent="0.2">
      <c r="B4" s="32"/>
      <c r="C4" s="33" t="s">
        <v>8</v>
      </c>
      <c r="D4" s="32" t="s">
        <v>9</v>
      </c>
      <c r="E4" s="31" t="s">
        <v>10</v>
      </c>
      <c r="F4" s="7" t="s">
        <v>5</v>
      </c>
    </row>
    <row r="5" spans="2:7" ht="14.25" customHeight="1" x14ac:dyDescent="0.15">
      <c r="B5" s="41" t="s">
        <v>4</v>
      </c>
      <c r="C5" s="38"/>
      <c r="D5" s="37">
        <v>2</v>
      </c>
      <c r="E5" s="37">
        <v>2</v>
      </c>
      <c r="F5" s="13">
        <f t="shared" ref="F5:F10" si="0">SUM(C5:E5)</f>
        <v>4</v>
      </c>
      <c r="G5" s="20">
        <v>44595</v>
      </c>
    </row>
    <row r="6" spans="2:7" x14ac:dyDescent="0.15">
      <c r="B6" s="29" t="s">
        <v>3</v>
      </c>
      <c r="C6" s="16"/>
      <c r="D6" s="15"/>
      <c r="E6" s="14">
        <v>1</v>
      </c>
      <c r="F6" s="13">
        <f t="shared" si="0"/>
        <v>1</v>
      </c>
      <c r="G6" s="20">
        <v>45285</v>
      </c>
    </row>
    <row r="7" spans="2:7" x14ac:dyDescent="0.15">
      <c r="B7" s="29" t="s">
        <v>3</v>
      </c>
      <c r="C7" s="16"/>
      <c r="D7" s="15"/>
      <c r="E7" s="14"/>
      <c r="F7" s="13">
        <f t="shared" si="0"/>
        <v>0</v>
      </c>
      <c r="G7" s="20"/>
    </row>
    <row r="8" spans="2:7" x14ac:dyDescent="0.15">
      <c r="B8" s="29" t="s">
        <v>3</v>
      </c>
      <c r="C8" s="16"/>
      <c r="D8" s="15"/>
      <c r="E8" s="14"/>
      <c r="F8" s="13">
        <f t="shared" si="0"/>
        <v>0</v>
      </c>
      <c r="G8" s="20"/>
    </row>
    <row r="9" spans="2:7" x14ac:dyDescent="0.15">
      <c r="B9" s="29" t="s">
        <v>3</v>
      </c>
      <c r="C9" s="16"/>
      <c r="D9" s="15"/>
      <c r="E9" s="14"/>
      <c r="F9" s="13">
        <f t="shared" si="0"/>
        <v>0</v>
      </c>
      <c r="G9" s="20"/>
    </row>
    <row r="10" spans="2:7" ht="14.25" thickBot="1" x14ac:dyDescent="0.2">
      <c r="B10" s="28" t="s">
        <v>3</v>
      </c>
      <c r="C10" s="27"/>
      <c r="D10" s="10"/>
      <c r="E10" s="9"/>
      <c r="F10" s="13">
        <f t="shared" si="0"/>
        <v>0</v>
      </c>
      <c r="G10" s="20"/>
    </row>
    <row r="11" spans="2:7" ht="14.25" thickBot="1" x14ac:dyDescent="0.2">
      <c r="B11" s="26" t="s">
        <v>2</v>
      </c>
      <c r="C11" s="24">
        <f>SUM(C5:C10)</f>
        <v>0</v>
      </c>
      <c r="D11" s="24">
        <f>SUM(D5:D10)</f>
        <v>2</v>
      </c>
      <c r="E11" s="25">
        <f>SUM(E5:E10)</f>
        <v>3</v>
      </c>
      <c r="F11" s="24">
        <f>SUM(C11:E11)</f>
        <v>5</v>
      </c>
    </row>
    <row r="12" spans="2:7" x14ac:dyDescent="0.15">
      <c r="B12" s="41" t="s">
        <v>31</v>
      </c>
      <c r="C12" s="38"/>
      <c r="D12" s="37"/>
      <c r="E12" s="14">
        <v>2</v>
      </c>
      <c r="F12" s="13">
        <f t="shared" ref="F12:F29" si="1">SUM(C12:E12)</f>
        <v>2</v>
      </c>
      <c r="G12" s="20">
        <v>44637</v>
      </c>
    </row>
    <row r="13" spans="2:7" x14ac:dyDescent="0.15">
      <c r="B13" s="59" t="s">
        <v>22</v>
      </c>
      <c r="C13" s="16"/>
      <c r="D13" s="15">
        <v>2</v>
      </c>
      <c r="E13" s="14"/>
      <c r="F13" s="13">
        <f t="shared" si="1"/>
        <v>2</v>
      </c>
      <c r="G13" s="20">
        <v>44650</v>
      </c>
    </row>
    <row r="14" spans="2:7" x14ac:dyDescent="0.15">
      <c r="B14" s="59" t="s">
        <v>22</v>
      </c>
      <c r="C14" s="16"/>
      <c r="D14" s="15"/>
      <c r="E14" s="14">
        <v>1</v>
      </c>
      <c r="F14" s="13">
        <f t="shared" si="1"/>
        <v>1</v>
      </c>
      <c r="G14" s="20">
        <v>45285</v>
      </c>
    </row>
    <row r="15" spans="2:7" x14ac:dyDescent="0.15">
      <c r="B15" s="12"/>
      <c r="C15" s="16"/>
      <c r="D15" s="15"/>
      <c r="E15" s="14"/>
      <c r="F15" s="13">
        <f t="shared" si="1"/>
        <v>0</v>
      </c>
      <c r="G15" s="20"/>
    </row>
    <row r="16" spans="2:7" x14ac:dyDescent="0.15">
      <c r="B16" s="12"/>
      <c r="C16" s="16"/>
      <c r="D16" s="15"/>
      <c r="E16" s="14"/>
      <c r="F16" s="13">
        <f t="shared" si="1"/>
        <v>0</v>
      </c>
      <c r="G16" s="20"/>
    </row>
    <row r="17" spans="2:7" x14ac:dyDescent="0.15">
      <c r="B17" s="12"/>
      <c r="C17" s="16"/>
      <c r="D17" s="15"/>
      <c r="E17" s="14"/>
      <c r="F17" s="13">
        <f t="shared" si="1"/>
        <v>0</v>
      </c>
      <c r="G17" s="20"/>
    </row>
    <row r="18" spans="2:7" x14ac:dyDescent="0.15">
      <c r="B18" s="12"/>
      <c r="C18" s="16"/>
      <c r="D18" s="15"/>
      <c r="E18" s="14"/>
      <c r="F18" s="13">
        <f t="shared" si="1"/>
        <v>0</v>
      </c>
      <c r="G18" s="20"/>
    </row>
    <row r="19" spans="2:7" x14ac:dyDescent="0.15">
      <c r="B19" s="12"/>
      <c r="C19" s="19"/>
      <c r="D19" s="18"/>
      <c r="E19" s="17"/>
      <c r="F19" s="13">
        <f t="shared" si="1"/>
        <v>0</v>
      </c>
      <c r="G19" s="20"/>
    </row>
    <row r="20" spans="2:7" x14ac:dyDescent="0.15">
      <c r="B20" s="12"/>
      <c r="C20" s="19"/>
      <c r="D20" s="18"/>
      <c r="E20" s="17"/>
      <c r="F20" s="13">
        <f t="shared" si="1"/>
        <v>0</v>
      </c>
      <c r="G20" s="20"/>
    </row>
    <row r="21" spans="2:7" x14ac:dyDescent="0.15">
      <c r="B21" s="12"/>
      <c r="C21" s="16"/>
      <c r="D21" s="15"/>
      <c r="E21" s="14"/>
      <c r="F21" s="13">
        <f t="shared" si="1"/>
        <v>0</v>
      </c>
      <c r="G21" s="20"/>
    </row>
    <row r="22" spans="2:7" x14ac:dyDescent="0.15">
      <c r="B22" s="12"/>
      <c r="C22" s="19"/>
      <c r="D22" s="18"/>
      <c r="E22" s="17"/>
      <c r="F22" s="13">
        <f t="shared" si="1"/>
        <v>0</v>
      </c>
      <c r="G22" s="40"/>
    </row>
    <row r="23" spans="2:7" x14ac:dyDescent="0.15">
      <c r="B23" s="12"/>
      <c r="C23" s="19"/>
      <c r="D23" s="18"/>
      <c r="E23" s="17"/>
      <c r="F23" s="13">
        <f t="shared" si="1"/>
        <v>0</v>
      </c>
      <c r="G23" s="40"/>
    </row>
    <row r="24" spans="2:7" x14ac:dyDescent="0.15">
      <c r="B24" s="12"/>
      <c r="C24" s="16"/>
      <c r="D24" s="15"/>
      <c r="E24" s="14"/>
      <c r="F24" s="13">
        <f t="shared" si="1"/>
        <v>0</v>
      </c>
      <c r="G24" s="20"/>
    </row>
    <row r="25" spans="2:7" x14ac:dyDescent="0.15">
      <c r="B25" s="12"/>
      <c r="C25" s="19"/>
      <c r="D25" s="18"/>
      <c r="E25" s="17"/>
      <c r="F25" s="13">
        <f t="shared" si="1"/>
        <v>0</v>
      </c>
      <c r="G25" s="40"/>
    </row>
    <row r="26" spans="2:7" x14ac:dyDescent="0.15">
      <c r="B26" s="12"/>
      <c r="C26" s="19"/>
      <c r="D26" s="18"/>
      <c r="E26" s="17"/>
      <c r="F26" s="13">
        <f t="shared" si="1"/>
        <v>0</v>
      </c>
      <c r="G26" s="40"/>
    </row>
    <row r="27" spans="2:7" x14ac:dyDescent="0.15">
      <c r="B27" s="12"/>
      <c r="C27" s="19"/>
      <c r="D27" s="18"/>
      <c r="E27" s="17"/>
      <c r="F27" s="13">
        <f t="shared" si="1"/>
        <v>0</v>
      </c>
      <c r="G27" s="40"/>
    </row>
    <row r="28" spans="2:7" x14ac:dyDescent="0.15">
      <c r="B28" s="12"/>
      <c r="C28" s="19"/>
      <c r="D28" s="18"/>
      <c r="E28" s="17"/>
      <c r="F28" s="13">
        <f t="shared" si="1"/>
        <v>0</v>
      </c>
      <c r="G28" s="40"/>
    </row>
    <row r="29" spans="2:7" x14ac:dyDescent="0.15">
      <c r="B29" s="12"/>
      <c r="C29" s="19"/>
      <c r="D29" s="18"/>
      <c r="E29" s="17"/>
      <c r="F29" s="13">
        <f t="shared" si="1"/>
        <v>0</v>
      </c>
      <c r="G29" s="40"/>
    </row>
    <row r="30" spans="2:7" x14ac:dyDescent="0.15">
      <c r="B30" s="12"/>
      <c r="C30" s="19"/>
      <c r="D30" s="18"/>
      <c r="E30" s="17"/>
      <c r="F30" s="13">
        <f t="shared" ref="F30:F38" si="2">SUM(C30:E30)</f>
        <v>0</v>
      </c>
      <c r="G30" s="40"/>
    </row>
    <row r="31" spans="2:7" x14ac:dyDescent="0.15">
      <c r="B31" s="12"/>
      <c r="C31" s="16"/>
      <c r="D31" s="15"/>
      <c r="E31" s="14"/>
      <c r="F31" s="13">
        <f t="shared" si="2"/>
        <v>0</v>
      </c>
      <c r="G31" s="39"/>
    </row>
    <row r="32" spans="2:7" x14ac:dyDescent="0.15">
      <c r="B32" s="12"/>
      <c r="C32" s="16"/>
      <c r="D32" s="15"/>
      <c r="E32" s="14"/>
      <c r="F32" s="13">
        <f t="shared" si="2"/>
        <v>0</v>
      </c>
      <c r="G32" s="39"/>
    </row>
    <row r="33" spans="2:7" x14ac:dyDescent="0.15">
      <c r="B33" s="12"/>
      <c r="C33" s="16"/>
      <c r="D33" s="15"/>
      <c r="E33" s="14"/>
      <c r="F33" s="13">
        <f t="shared" si="2"/>
        <v>0</v>
      </c>
      <c r="G33" s="39"/>
    </row>
    <row r="34" spans="2:7" x14ac:dyDescent="0.15">
      <c r="B34" s="12"/>
      <c r="C34" s="16"/>
      <c r="D34" s="15"/>
      <c r="E34" s="14"/>
      <c r="F34" s="13">
        <f t="shared" si="2"/>
        <v>0</v>
      </c>
      <c r="G34" s="39"/>
    </row>
    <row r="35" spans="2:7" x14ac:dyDescent="0.15">
      <c r="B35" s="12"/>
      <c r="C35" s="16"/>
      <c r="D35" s="15"/>
      <c r="E35" s="14"/>
      <c r="F35" s="13">
        <f t="shared" si="2"/>
        <v>0</v>
      </c>
      <c r="G35" s="39"/>
    </row>
    <row r="36" spans="2:7" ht="14.25" thickBot="1" x14ac:dyDescent="0.2">
      <c r="B36" s="12"/>
      <c r="C36" s="11"/>
      <c r="D36" s="10"/>
      <c r="E36" s="9"/>
      <c r="F36" s="8">
        <f t="shared" si="2"/>
        <v>0</v>
      </c>
      <c r="G36" s="39"/>
    </row>
    <row r="37" spans="2:7" ht="14.25" thickBot="1" x14ac:dyDescent="0.2">
      <c r="B37" s="7" t="s">
        <v>1</v>
      </c>
      <c r="C37" s="6">
        <f>SUM(C12:C36)</f>
        <v>0</v>
      </c>
      <c r="D37" s="5">
        <f>SUM(D12:D36)</f>
        <v>2</v>
      </c>
      <c r="E37" s="5">
        <f>SUM(E12:E36)</f>
        <v>3</v>
      </c>
      <c r="F37" s="5">
        <f t="shared" si="2"/>
        <v>5</v>
      </c>
    </row>
    <row r="38" spans="2:7" ht="14.25" thickBot="1" x14ac:dyDescent="0.2">
      <c r="B38" s="4" t="s">
        <v>0</v>
      </c>
      <c r="C38" s="3">
        <f>+C11-C37</f>
        <v>0</v>
      </c>
      <c r="D38" s="2">
        <f>+D11-D37</f>
        <v>0</v>
      </c>
      <c r="E38" s="2">
        <f>+E11-E37</f>
        <v>0</v>
      </c>
      <c r="F38" s="2">
        <f t="shared" si="2"/>
        <v>0</v>
      </c>
    </row>
    <row r="40" spans="2:7" ht="19.5" thickBot="1" x14ac:dyDescent="0.25">
      <c r="B40" s="36" t="s">
        <v>7</v>
      </c>
      <c r="C40" s="35"/>
      <c r="D40" s="35"/>
      <c r="E40" s="35"/>
      <c r="F40" s="35">
        <v>1305</v>
      </c>
      <c r="G40" s="35"/>
    </row>
    <row r="41" spans="2:7" ht="14.25" thickBot="1" x14ac:dyDescent="0.2">
      <c r="B41" s="34"/>
      <c r="C41" s="107" t="s">
        <v>12</v>
      </c>
      <c r="D41" s="108"/>
      <c r="E41" s="108"/>
      <c r="F41" s="109"/>
    </row>
    <row r="42" spans="2:7" s="1" customFormat="1" ht="14.25" thickBot="1" x14ac:dyDescent="0.2">
      <c r="B42" s="32"/>
      <c r="C42" s="33" t="s">
        <v>8</v>
      </c>
      <c r="D42" s="32" t="s">
        <v>9</v>
      </c>
      <c r="E42" s="31" t="s">
        <v>10</v>
      </c>
      <c r="F42" s="31" t="s">
        <v>5</v>
      </c>
    </row>
    <row r="43" spans="2:7" ht="14.25" customHeight="1" x14ac:dyDescent="0.15">
      <c r="B43" s="30" t="s">
        <v>0</v>
      </c>
      <c r="C43" s="23">
        <f>C38</f>
        <v>0</v>
      </c>
      <c r="D43" s="22">
        <f>D38</f>
        <v>0</v>
      </c>
      <c r="E43" s="22">
        <f>E38</f>
        <v>0</v>
      </c>
      <c r="F43" s="22">
        <f>SUM(C43:E43)</f>
        <v>0</v>
      </c>
      <c r="G43" s="20"/>
    </row>
    <row r="44" spans="2:7" x14ac:dyDescent="0.15">
      <c r="B44" s="29" t="s">
        <v>3</v>
      </c>
      <c r="C44" s="16"/>
      <c r="D44" s="15"/>
      <c r="E44" s="14"/>
      <c r="F44" s="13">
        <f t="shared" ref="F44:F47" si="3">SUM(C44:E44)</f>
        <v>0</v>
      </c>
      <c r="G44" s="20"/>
    </row>
    <row r="45" spans="2:7" x14ac:dyDescent="0.15">
      <c r="B45" s="29" t="s">
        <v>3</v>
      </c>
      <c r="C45" s="16"/>
      <c r="D45" s="15"/>
      <c r="E45" s="14"/>
      <c r="F45" s="13">
        <f t="shared" si="3"/>
        <v>0</v>
      </c>
      <c r="G45" s="20"/>
    </row>
    <row r="46" spans="2:7" x14ac:dyDescent="0.15">
      <c r="B46" s="29" t="s">
        <v>3</v>
      </c>
      <c r="C46" s="16"/>
      <c r="D46" s="15"/>
      <c r="E46" s="14"/>
      <c r="F46" s="13">
        <f t="shared" si="3"/>
        <v>0</v>
      </c>
      <c r="G46" s="20"/>
    </row>
    <row r="47" spans="2:7" x14ac:dyDescent="0.15">
      <c r="B47" s="29" t="s">
        <v>3</v>
      </c>
      <c r="C47" s="16"/>
      <c r="D47" s="15"/>
      <c r="E47" s="14"/>
      <c r="F47" s="13">
        <f t="shared" si="3"/>
        <v>0</v>
      </c>
      <c r="G47" s="20"/>
    </row>
    <row r="48" spans="2:7" ht="14.25" thickBot="1" x14ac:dyDescent="0.2">
      <c r="B48" s="28" t="s">
        <v>3</v>
      </c>
      <c r="C48" s="27"/>
      <c r="D48" s="10"/>
      <c r="E48" s="9"/>
      <c r="F48" s="8">
        <f>SUM(C48:E48)</f>
        <v>0</v>
      </c>
      <c r="G48" s="20"/>
    </row>
    <row r="49" spans="2:7" ht="14.25" thickBot="1" x14ac:dyDescent="0.2">
      <c r="B49" s="26" t="s">
        <v>2</v>
      </c>
      <c r="C49" s="24">
        <f>SUM(C43:C48)</f>
        <v>0</v>
      </c>
      <c r="D49" s="24">
        <f>SUM(D43:D48)</f>
        <v>0</v>
      </c>
      <c r="E49" s="25">
        <f>SUM(E43:E48)</f>
        <v>0</v>
      </c>
      <c r="F49" s="24">
        <f>SUM(C49:E49)</f>
        <v>0</v>
      </c>
    </row>
    <row r="50" spans="2:7" x14ac:dyDescent="0.15">
      <c r="B50" s="41"/>
      <c r="C50" s="38"/>
      <c r="D50" s="37"/>
      <c r="E50" s="14"/>
      <c r="F50" s="13">
        <f t="shared" ref="F50:F67" si="4">SUM(C50:E50)</f>
        <v>0</v>
      </c>
      <c r="G50" s="20"/>
    </row>
    <row r="51" spans="2:7" x14ac:dyDescent="0.15">
      <c r="B51" s="12"/>
      <c r="C51" s="16"/>
      <c r="D51" s="15"/>
      <c r="E51" s="14"/>
      <c r="F51" s="13">
        <f t="shared" si="4"/>
        <v>0</v>
      </c>
      <c r="G51" s="20"/>
    </row>
    <row r="52" spans="2:7" x14ac:dyDescent="0.15">
      <c r="B52" s="12"/>
      <c r="C52" s="16"/>
      <c r="D52" s="15"/>
      <c r="E52" s="14"/>
      <c r="F52" s="13">
        <f t="shared" si="4"/>
        <v>0</v>
      </c>
      <c r="G52" s="20"/>
    </row>
    <row r="53" spans="2:7" x14ac:dyDescent="0.15">
      <c r="B53" s="12"/>
      <c r="C53" s="16"/>
      <c r="D53" s="15"/>
      <c r="E53" s="14"/>
      <c r="F53" s="13">
        <f t="shared" si="4"/>
        <v>0</v>
      </c>
      <c r="G53" s="20"/>
    </row>
    <row r="54" spans="2:7" x14ac:dyDescent="0.15">
      <c r="B54" s="12"/>
      <c r="C54" s="16"/>
      <c r="D54" s="15"/>
      <c r="E54" s="14"/>
      <c r="F54" s="13">
        <f t="shared" si="4"/>
        <v>0</v>
      </c>
      <c r="G54" s="20"/>
    </row>
    <row r="55" spans="2:7" x14ac:dyDescent="0.15">
      <c r="B55" s="12"/>
      <c r="C55" s="16"/>
      <c r="D55" s="15"/>
      <c r="E55" s="14"/>
      <c r="F55" s="13">
        <f t="shared" si="4"/>
        <v>0</v>
      </c>
      <c r="G55" s="20"/>
    </row>
    <row r="56" spans="2:7" x14ac:dyDescent="0.15">
      <c r="B56" s="12"/>
      <c r="C56" s="16"/>
      <c r="D56" s="15"/>
      <c r="E56" s="14"/>
      <c r="F56" s="13">
        <f t="shared" si="4"/>
        <v>0</v>
      </c>
      <c r="G56" s="20"/>
    </row>
    <row r="57" spans="2:7" x14ac:dyDescent="0.15">
      <c r="B57" s="12"/>
      <c r="C57" s="19"/>
      <c r="D57" s="18"/>
      <c r="E57" s="17"/>
      <c r="F57" s="13">
        <f t="shared" si="4"/>
        <v>0</v>
      </c>
      <c r="G57" s="20"/>
    </row>
    <row r="58" spans="2:7" x14ac:dyDescent="0.15">
      <c r="B58" s="12"/>
      <c r="C58" s="19"/>
      <c r="D58" s="18"/>
      <c r="E58" s="17"/>
      <c r="F58" s="13">
        <f t="shared" si="4"/>
        <v>0</v>
      </c>
      <c r="G58" s="20"/>
    </row>
    <row r="59" spans="2:7" x14ac:dyDescent="0.15">
      <c r="B59" s="12"/>
      <c r="C59" s="16"/>
      <c r="D59" s="15"/>
      <c r="E59" s="14"/>
      <c r="F59" s="13">
        <f t="shared" si="4"/>
        <v>0</v>
      </c>
      <c r="G59" s="20"/>
    </row>
    <row r="60" spans="2:7" x14ac:dyDescent="0.15">
      <c r="B60" s="12"/>
      <c r="C60" s="19"/>
      <c r="D60" s="18"/>
      <c r="E60" s="17"/>
      <c r="F60" s="13">
        <f t="shared" si="4"/>
        <v>0</v>
      </c>
      <c r="G60" s="40"/>
    </row>
    <row r="61" spans="2:7" x14ac:dyDescent="0.15">
      <c r="B61" s="12"/>
      <c r="C61" s="19"/>
      <c r="D61" s="18"/>
      <c r="E61" s="17"/>
      <c r="F61" s="13">
        <f t="shared" si="4"/>
        <v>0</v>
      </c>
      <c r="G61" s="40"/>
    </row>
    <row r="62" spans="2:7" x14ac:dyDescent="0.15">
      <c r="B62" s="12"/>
      <c r="C62" s="16"/>
      <c r="D62" s="15"/>
      <c r="E62" s="14"/>
      <c r="F62" s="13">
        <f t="shared" si="4"/>
        <v>0</v>
      </c>
      <c r="G62" s="20"/>
    </row>
    <row r="63" spans="2:7" x14ac:dyDescent="0.15">
      <c r="B63" s="12"/>
      <c r="C63" s="19"/>
      <c r="D63" s="18"/>
      <c r="E63" s="17"/>
      <c r="F63" s="13">
        <f t="shared" si="4"/>
        <v>0</v>
      </c>
      <c r="G63" s="40"/>
    </row>
    <row r="64" spans="2:7" x14ac:dyDescent="0.15">
      <c r="B64" s="12"/>
      <c r="C64" s="19"/>
      <c r="D64" s="18"/>
      <c r="E64" s="17"/>
      <c r="F64" s="13">
        <f t="shared" si="4"/>
        <v>0</v>
      </c>
      <c r="G64" s="40"/>
    </row>
    <row r="65" spans="2:7" x14ac:dyDescent="0.15">
      <c r="B65" s="12"/>
      <c r="C65" s="19"/>
      <c r="D65" s="18"/>
      <c r="E65" s="17"/>
      <c r="F65" s="13">
        <f t="shared" si="4"/>
        <v>0</v>
      </c>
      <c r="G65" s="40"/>
    </row>
    <row r="66" spans="2:7" x14ac:dyDescent="0.15">
      <c r="B66" s="12"/>
      <c r="C66" s="19"/>
      <c r="D66" s="18"/>
      <c r="E66" s="17"/>
      <c r="F66" s="13">
        <f t="shared" si="4"/>
        <v>0</v>
      </c>
      <c r="G66" s="40"/>
    </row>
    <row r="67" spans="2:7" x14ac:dyDescent="0.15">
      <c r="B67" s="12"/>
      <c r="C67" s="19"/>
      <c r="D67" s="18"/>
      <c r="E67" s="17"/>
      <c r="F67" s="13">
        <f t="shared" si="4"/>
        <v>0</v>
      </c>
      <c r="G67" s="40"/>
    </row>
    <row r="68" spans="2:7" x14ac:dyDescent="0.15">
      <c r="B68" s="12"/>
      <c r="C68" s="19"/>
      <c r="D68" s="18"/>
      <c r="E68" s="17"/>
      <c r="F68" s="13">
        <f t="shared" ref="F68:F76" si="5">SUM(C68:E68)</f>
        <v>0</v>
      </c>
      <c r="G68" s="40"/>
    </row>
    <row r="69" spans="2:7" x14ac:dyDescent="0.15">
      <c r="B69" s="12"/>
      <c r="C69" s="16"/>
      <c r="D69" s="15"/>
      <c r="E69" s="14"/>
      <c r="F69" s="13">
        <f t="shared" si="5"/>
        <v>0</v>
      </c>
      <c r="G69" s="39"/>
    </row>
    <row r="70" spans="2:7" x14ac:dyDescent="0.15">
      <c r="B70" s="12"/>
      <c r="C70" s="16"/>
      <c r="D70" s="15"/>
      <c r="E70" s="14"/>
      <c r="F70" s="13">
        <f t="shared" si="5"/>
        <v>0</v>
      </c>
      <c r="G70" s="39"/>
    </row>
    <row r="71" spans="2:7" x14ac:dyDescent="0.15">
      <c r="B71" s="12"/>
      <c r="C71" s="16"/>
      <c r="D71" s="15"/>
      <c r="E71" s="14"/>
      <c r="F71" s="13">
        <f t="shared" si="5"/>
        <v>0</v>
      </c>
      <c r="G71" s="39"/>
    </row>
    <row r="72" spans="2:7" x14ac:dyDescent="0.15">
      <c r="B72" s="12"/>
      <c r="C72" s="16"/>
      <c r="D72" s="15"/>
      <c r="E72" s="14"/>
      <c r="F72" s="13">
        <f t="shared" si="5"/>
        <v>0</v>
      </c>
      <c r="G72" s="39"/>
    </row>
    <row r="73" spans="2:7" x14ac:dyDescent="0.15">
      <c r="B73" s="12"/>
      <c r="C73" s="16"/>
      <c r="D73" s="15"/>
      <c r="E73" s="14"/>
      <c r="F73" s="13">
        <f t="shared" si="5"/>
        <v>0</v>
      </c>
      <c r="G73" s="39"/>
    </row>
    <row r="74" spans="2:7" ht="14.25" thickBot="1" x14ac:dyDescent="0.2">
      <c r="B74" s="12"/>
      <c r="C74" s="11"/>
      <c r="D74" s="10"/>
      <c r="E74" s="9"/>
      <c r="F74" s="8">
        <f t="shared" si="5"/>
        <v>0</v>
      </c>
      <c r="G74" s="39"/>
    </row>
    <row r="75" spans="2:7" ht="14.25" thickBot="1" x14ac:dyDescent="0.2">
      <c r="B75" s="7" t="s">
        <v>1</v>
      </c>
      <c r="C75" s="6">
        <f>SUM(C50:C74)</f>
        <v>0</v>
      </c>
      <c r="D75" s="5">
        <f>SUM(D50:D74)</f>
        <v>0</v>
      </c>
      <c r="E75" s="5">
        <f>SUM(E50:E74)</f>
        <v>0</v>
      </c>
      <c r="F75" s="5">
        <f t="shared" si="5"/>
        <v>0</v>
      </c>
    </row>
    <row r="76" spans="2:7" ht="14.25" thickBot="1" x14ac:dyDescent="0.2">
      <c r="B76" s="4" t="s">
        <v>0</v>
      </c>
      <c r="C76" s="3">
        <f>+C49-C75</f>
        <v>0</v>
      </c>
      <c r="D76" s="2">
        <f>+D49-D75</f>
        <v>0</v>
      </c>
      <c r="E76" s="2">
        <f>+E49-E75</f>
        <v>0</v>
      </c>
      <c r="F76" s="2">
        <f t="shared" si="5"/>
        <v>0</v>
      </c>
    </row>
  </sheetData>
  <mergeCells count="2">
    <mergeCell ref="C3:F3"/>
    <mergeCell ref="C41:F41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花柄軽失禁パット</vt:lpstr>
      <vt:lpstr>ﾃﾞﾗｯｸｽ安心ﾊﾟﾝﾂ200</vt:lpstr>
      <vt:lpstr>ﾃﾞﾗｯｸｽ安心ﾊﾟﾝﾂ300</vt:lpstr>
      <vt:lpstr>ニットトランクス140</vt:lpstr>
      <vt:lpstr>ふんどしメンズ</vt:lpstr>
      <vt:lpstr>ゆるねるレギンス</vt:lpstr>
      <vt:lpstr>腰ｺﾞﾑ150</vt:lpstr>
      <vt:lpstr>腰ｺﾞﾑ100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村田敦彦</cp:lastModifiedBy>
  <dcterms:created xsi:type="dcterms:W3CDTF">2021-12-21T06:46:09Z</dcterms:created>
  <dcterms:modified xsi:type="dcterms:W3CDTF">2026-06-15T04:31:44Z</dcterms:modified>
</cp:coreProperties>
</file>