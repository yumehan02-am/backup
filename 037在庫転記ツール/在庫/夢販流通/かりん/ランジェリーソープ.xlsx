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55BB1D76-D693-464E-A5F8-A08C395ED8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ソープ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6" i="2" l="1"/>
  <c r="D521" i="2"/>
  <c r="F521" i="2"/>
  <c r="D522" i="2"/>
  <c r="F522" i="2"/>
  <c r="D523" i="2"/>
  <c r="F523" i="2"/>
  <c r="G523" i="2" s="1"/>
  <c r="D524" i="2"/>
  <c r="G524" i="2" s="1"/>
  <c r="F524" i="2"/>
  <c r="D525" i="2"/>
  <c r="F525" i="2"/>
  <c r="F526" i="2"/>
  <c r="D527" i="2"/>
  <c r="F527" i="2"/>
  <c r="G527" i="2"/>
  <c r="F528" i="2"/>
  <c r="G528" i="2" s="1"/>
  <c r="D528" i="2"/>
  <c r="D530" i="2"/>
  <c r="G530" i="2" s="1"/>
  <c r="F530" i="2"/>
  <c r="D531" i="2"/>
  <c r="G531" i="2" s="1"/>
  <c r="F531" i="2"/>
  <c r="D532" i="2"/>
  <c r="G532" i="2" s="1"/>
  <c r="F532" i="2"/>
  <c r="D533" i="2"/>
  <c r="F533" i="2"/>
  <c r="G533" i="2"/>
  <c r="D534" i="2"/>
  <c r="G534" i="2" s="1"/>
  <c r="F534" i="2"/>
  <c r="D535" i="2"/>
  <c r="F535" i="2"/>
  <c r="G535" i="2" s="1"/>
  <c r="D536" i="2"/>
  <c r="G536" i="2" s="1"/>
  <c r="F536" i="2"/>
  <c r="D537" i="2"/>
  <c r="F537" i="2"/>
  <c r="G537" i="2" s="1"/>
  <c r="D538" i="2"/>
  <c r="G538" i="2" s="1"/>
  <c r="F538" i="2"/>
  <c r="D539" i="2"/>
  <c r="F539" i="2"/>
  <c r="G539" i="2"/>
  <c r="D540" i="2"/>
  <c r="G540" i="2" s="1"/>
  <c r="F540" i="2"/>
  <c r="D541" i="2"/>
  <c r="G541" i="2" s="1"/>
  <c r="F541" i="2"/>
  <c r="D542" i="2"/>
  <c r="G542" i="2" s="1"/>
  <c r="F542" i="2"/>
  <c r="D543" i="2"/>
  <c r="F543" i="2"/>
  <c r="G543" i="2"/>
  <c r="D544" i="2"/>
  <c r="G544" i="2" s="1"/>
  <c r="F544" i="2"/>
  <c r="D545" i="2"/>
  <c r="F545" i="2"/>
  <c r="G545" i="2" s="1"/>
  <c r="D546" i="2"/>
  <c r="F546" i="2"/>
  <c r="D547" i="2"/>
  <c r="F547" i="2"/>
  <c r="G547" i="2" s="1"/>
  <c r="D548" i="2"/>
  <c r="F548" i="2"/>
  <c r="D549" i="2"/>
  <c r="F549" i="2"/>
  <c r="G549" i="2" s="1"/>
  <c r="D550" i="2"/>
  <c r="F550" i="2"/>
  <c r="D551" i="2"/>
  <c r="F551" i="2"/>
  <c r="G551" i="2"/>
  <c r="D552" i="2"/>
  <c r="G552" i="2" s="1"/>
  <c r="F552" i="2"/>
  <c r="D553" i="2"/>
  <c r="F553" i="2"/>
  <c r="G553" i="2"/>
  <c r="E556" i="2"/>
  <c r="C556" i="2"/>
  <c r="F555" i="2"/>
  <c r="G555" i="2" s="1"/>
  <c r="D555" i="2"/>
  <c r="G554" i="2"/>
  <c r="F554" i="2"/>
  <c r="D554" i="2"/>
  <c r="E529" i="2"/>
  <c r="E520" i="2"/>
  <c r="F520" i="2" s="1"/>
  <c r="D469" i="2"/>
  <c r="E513" i="2"/>
  <c r="C513" i="2"/>
  <c r="F512" i="2"/>
  <c r="D512" i="2"/>
  <c r="G512" i="2" s="1"/>
  <c r="F511" i="2"/>
  <c r="D511" i="2"/>
  <c r="G511" i="2" s="1"/>
  <c r="F510" i="2"/>
  <c r="D510" i="2"/>
  <c r="G510" i="2" s="1"/>
  <c r="F509" i="2"/>
  <c r="D509" i="2"/>
  <c r="G509" i="2" s="1"/>
  <c r="F508" i="2"/>
  <c r="D508" i="2"/>
  <c r="G508" i="2" s="1"/>
  <c r="F507" i="2"/>
  <c r="D507" i="2"/>
  <c r="F506" i="2"/>
  <c r="D506" i="2"/>
  <c r="F505" i="2"/>
  <c r="D505" i="2"/>
  <c r="F504" i="2"/>
  <c r="D504" i="2"/>
  <c r="F503" i="2"/>
  <c r="D503" i="2"/>
  <c r="G503" i="2" s="1"/>
  <c r="F502" i="2"/>
  <c r="D502" i="2"/>
  <c r="G502" i="2" s="1"/>
  <c r="F501" i="2"/>
  <c r="D501" i="2"/>
  <c r="G501" i="2" s="1"/>
  <c r="F500" i="2"/>
  <c r="D500" i="2"/>
  <c r="G500" i="2" s="1"/>
  <c r="F499" i="2"/>
  <c r="D499" i="2"/>
  <c r="G499" i="2" s="1"/>
  <c r="F498" i="2"/>
  <c r="D498" i="2"/>
  <c r="G498" i="2" s="1"/>
  <c r="F497" i="2"/>
  <c r="D497" i="2"/>
  <c r="G497" i="2" s="1"/>
  <c r="F496" i="2"/>
  <c r="D496" i="2"/>
  <c r="F495" i="2"/>
  <c r="D495" i="2"/>
  <c r="F494" i="2"/>
  <c r="D494" i="2"/>
  <c r="F493" i="2"/>
  <c r="D493" i="2"/>
  <c r="F492" i="2"/>
  <c r="D492" i="2"/>
  <c r="F491" i="2"/>
  <c r="D491" i="2"/>
  <c r="G491" i="2" s="1"/>
  <c r="F490" i="2"/>
  <c r="D490" i="2"/>
  <c r="F489" i="2"/>
  <c r="D489" i="2"/>
  <c r="G489" i="2" s="1"/>
  <c r="F488" i="2"/>
  <c r="D488" i="2"/>
  <c r="G488" i="2" s="1"/>
  <c r="F487" i="2"/>
  <c r="D487" i="2"/>
  <c r="F485" i="2"/>
  <c r="D485" i="2"/>
  <c r="G485" i="2" s="1"/>
  <c r="F484" i="2"/>
  <c r="D484" i="2"/>
  <c r="G484" i="2" s="1"/>
  <c r="F483" i="2"/>
  <c r="D483" i="2"/>
  <c r="F482" i="2"/>
  <c r="D482" i="2"/>
  <c r="G482" i="2" s="1"/>
  <c r="F481" i="2"/>
  <c r="D481" i="2"/>
  <c r="F480" i="2"/>
  <c r="D480" i="2"/>
  <c r="F479" i="2"/>
  <c r="D479" i="2"/>
  <c r="F478" i="2"/>
  <c r="D478" i="2"/>
  <c r="E470" i="2"/>
  <c r="C470" i="2"/>
  <c r="F469" i="2"/>
  <c r="G469" i="2" s="1"/>
  <c r="F468" i="2"/>
  <c r="D468" i="2"/>
  <c r="F467" i="2"/>
  <c r="D467" i="2"/>
  <c r="F466" i="2"/>
  <c r="D466" i="2"/>
  <c r="G466" i="2" s="1"/>
  <c r="F465" i="2"/>
  <c r="D465" i="2"/>
  <c r="F464" i="2"/>
  <c r="D464" i="2"/>
  <c r="F463" i="2"/>
  <c r="D463" i="2"/>
  <c r="F462" i="2"/>
  <c r="D462" i="2"/>
  <c r="G462" i="2" s="1"/>
  <c r="F461" i="2"/>
  <c r="D461" i="2"/>
  <c r="G461" i="2" s="1"/>
  <c r="F460" i="2"/>
  <c r="D460" i="2"/>
  <c r="F459" i="2"/>
  <c r="D459" i="2"/>
  <c r="F458" i="2"/>
  <c r="D458" i="2"/>
  <c r="G458" i="2" s="1"/>
  <c r="F457" i="2"/>
  <c r="D457" i="2"/>
  <c r="F456" i="2"/>
  <c r="D456" i="2"/>
  <c r="F455" i="2"/>
  <c r="D455" i="2"/>
  <c r="F454" i="2"/>
  <c r="D454" i="2"/>
  <c r="G454" i="2" s="1"/>
  <c r="F453" i="2"/>
  <c r="D453" i="2"/>
  <c r="F452" i="2"/>
  <c r="D452" i="2"/>
  <c r="G452" i="2" s="1"/>
  <c r="F451" i="2"/>
  <c r="G451" i="2" s="1"/>
  <c r="D451" i="2"/>
  <c r="F450" i="2"/>
  <c r="D450" i="2"/>
  <c r="G450" i="2" s="1"/>
  <c r="F449" i="2"/>
  <c r="D449" i="2"/>
  <c r="G449" i="2" s="1"/>
  <c r="F448" i="2"/>
  <c r="D448" i="2"/>
  <c r="G448" i="2" s="1"/>
  <c r="F447" i="2"/>
  <c r="D447" i="2"/>
  <c r="F446" i="2"/>
  <c r="D446" i="2"/>
  <c r="G446" i="2" s="1"/>
  <c r="F445" i="2"/>
  <c r="D445" i="2"/>
  <c r="F444" i="2"/>
  <c r="D444" i="2"/>
  <c r="E443" i="2"/>
  <c r="F442" i="2"/>
  <c r="G442" i="2" s="1"/>
  <c r="D442" i="2"/>
  <c r="F441" i="2"/>
  <c r="D441" i="2"/>
  <c r="G441" i="2" s="1"/>
  <c r="F440" i="2"/>
  <c r="D440" i="2"/>
  <c r="F439" i="2"/>
  <c r="D439" i="2"/>
  <c r="G439" i="2" s="1"/>
  <c r="F438" i="2"/>
  <c r="D438" i="2"/>
  <c r="F437" i="2"/>
  <c r="D437" i="2"/>
  <c r="G437" i="2" s="1"/>
  <c r="F436" i="2"/>
  <c r="D436" i="2"/>
  <c r="G436" i="2" s="1"/>
  <c r="F435" i="2"/>
  <c r="D435" i="2"/>
  <c r="F434" i="2"/>
  <c r="E434" i="2"/>
  <c r="C434" i="2"/>
  <c r="C443" i="2" s="1"/>
  <c r="E427" i="2"/>
  <c r="C427" i="2"/>
  <c r="F426" i="2"/>
  <c r="D426" i="2"/>
  <c r="G426" i="2" s="1"/>
  <c r="F425" i="2"/>
  <c r="D425" i="2"/>
  <c r="G425" i="2" s="1"/>
  <c r="F424" i="2"/>
  <c r="D424" i="2"/>
  <c r="G424" i="2" s="1"/>
  <c r="F423" i="2"/>
  <c r="D423" i="2"/>
  <c r="F422" i="2"/>
  <c r="D422" i="2"/>
  <c r="G422" i="2" s="1"/>
  <c r="F421" i="2"/>
  <c r="D421" i="2"/>
  <c r="G421" i="2" s="1"/>
  <c r="F420" i="2"/>
  <c r="D420" i="2"/>
  <c r="G420" i="2" s="1"/>
  <c r="F419" i="2"/>
  <c r="D419" i="2"/>
  <c r="G419" i="2" s="1"/>
  <c r="F418" i="2"/>
  <c r="D418" i="2"/>
  <c r="F417" i="2"/>
  <c r="D417" i="2"/>
  <c r="G417" i="2" s="1"/>
  <c r="F416" i="2"/>
  <c r="D416" i="2"/>
  <c r="F415" i="2"/>
  <c r="D415" i="2"/>
  <c r="G415" i="2" s="1"/>
  <c r="F414" i="2"/>
  <c r="D414" i="2"/>
  <c r="G414" i="2" s="1"/>
  <c r="F413" i="2"/>
  <c r="D413" i="2"/>
  <c r="G413" i="2" s="1"/>
  <c r="F412" i="2"/>
  <c r="D412" i="2"/>
  <c r="F411" i="2"/>
  <c r="D411" i="2"/>
  <c r="G411" i="2" s="1"/>
  <c r="F410" i="2"/>
  <c r="D410" i="2"/>
  <c r="G410" i="2" s="1"/>
  <c r="F409" i="2"/>
  <c r="D409" i="2"/>
  <c r="G409" i="2" s="1"/>
  <c r="F408" i="2"/>
  <c r="D408" i="2"/>
  <c r="G408" i="2" s="1"/>
  <c r="F407" i="2"/>
  <c r="D407" i="2"/>
  <c r="G407" i="2" s="1"/>
  <c r="F406" i="2"/>
  <c r="D406" i="2"/>
  <c r="G406" i="2" s="1"/>
  <c r="F405" i="2"/>
  <c r="D405" i="2"/>
  <c r="F404" i="2"/>
  <c r="D404" i="2"/>
  <c r="F403" i="2"/>
  <c r="D403" i="2"/>
  <c r="G403" i="2" s="1"/>
  <c r="F402" i="2"/>
  <c r="D402" i="2"/>
  <c r="G402" i="2" s="1"/>
  <c r="F401" i="2"/>
  <c r="D401" i="2"/>
  <c r="F399" i="2"/>
  <c r="D399" i="2"/>
  <c r="G399" i="2" s="1"/>
  <c r="F398" i="2"/>
  <c r="D398" i="2"/>
  <c r="G398" i="2" s="1"/>
  <c r="F397" i="2"/>
  <c r="D397" i="2"/>
  <c r="G397" i="2" s="1"/>
  <c r="F396" i="2"/>
  <c r="D396" i="2"/>
  <c r="G396" i="2" s="1"/>
  <c r="F395" i="2"/>
  <c r="D395" i="2"/>
  <c r="F394" i="2"/>
  <c r="D394" i="2"/>
  <c r="G394" i="2" s="1"/>
  <c r="F393" i="2"/>
  <c r="D393" i="2"/>
  <c r="F392" i="2"/>
  <c r="D392" i="2"/>
  <c r="D349" i="2"/>
  <c r="F349" i="2"/>
  <c r="D350" i="2"/>
  <c r="F350" i="2"/>
  <c r="D351" i="2"/>
  <c r="F351" i="2"/>
  <c r="D352" i="2"/>
  <c r="F352" i="2"/>
  <c r="G352" i="2" s="1"/>
  <c r="E384" i="2"/>
  <c r="C384" i="2"/>
  <c r="F383" i="2"/>
  <c r="D383" i="2"/>
  <c r="F382" i="2"/>
  <c r="D382" i="2"/>
  <c r="G382" i="2" s="1"/>
  <c r="F381" i="2"/>
  <c r="D381" i="2"/>
  <c r="G381" i="2" s="1"/>
  <c r="F380" i="2"/>
  <c r="D380" i="2"/>
  <c r="F379" i="2"/>
  <c r="D379" i="2"/>
  <c r="G379" i="2" s="1"/>
  <c r="F378" i="2"/>
  <c r="D378" i="2"/>
  <c r="F377" i="2"/>
  <c r="D377" i="2"/>
  <c r="F376" i="2"/>
  <c r="D376" i="2"/>
  <c r="F375" i="2"/>
  <c r="D375" i="2"/>
  <c r="F374" i="2"/>
  <c r="D374" i="2"/>
  <c r="F373" i="2"/>
  <c r="D373" i="2"/>
  <c r="F372" i="2"/>
  <c r="D372" i="2"/>
  <c r="F371" i="2"/>
  <c r="D371" i="2"/>
  <c r="F370" i="2"/>
  <c r="D370" i="2"/>
  <c r="F369" i="2"/>
  <c r="D369" i="2"/>
  <c r="F368" i="2"/>
  <c r="D368" i="2"/>
  <c r="F367" i="2"/>
  <c r="D367" i="2"/>
  <c r="F366" i="2"/>
  <c r="D366" i="2"/>
  <c r="F365" i="2"/>
  <c r="D365" i="2"/>
  <c r="F364" i="2"/>
  <c r="D364" i="2"/>
  <c r="F363" i="2"/>
  <c r="D363" i="2"/>
  <c r="F362" i="2"/>
  <c r="D362" i="2"/>
  <c r="F361" i="2"/>
  <c r="D361" i="2"/>
  <c r="F360" i="2"/>
  <c r="D360" i="2"/>
  <c r="F359" i="2"/>
  <c r="D359" i="2"/>
  <c r="F358" i="2"/>
  <c r="D358" i="2"/>
  <c r="F356" i="2"/>
  <c r="D356" i="2"/>
  <c r="G356" i="2" s="1"/>
  <c r="F355" i="2"/>
  <c r="D355" i="2"/>
  <c r="G355" i="2" s="1"/>
  <c r="F354" i="2"/>
  <c r="D354" i="2"/>
  <c r="G354" i="2" s="1"/>
  <c r="F353" i="2"/>
  <c r="D353" i="2"/>
  <c r="G353" i="2" s="1"/>
  <c r="G550" i="2" l="1"/>
  <c r="G548" i="2"/>
  <c r="G526" i="2"/>
  <c r="G546" i="2"/>
  <c r="G525" i="2"/>
  <c r="F556" i="2"/>
  <c r="E557" i="2"/>
  <c r="G522" i="2"/>
  <c r="G521" i="2"/>
  <c r="F529" i="2"/>
  <c r="D556" i="2"/>
  <c r="G507" i="2"/>
  <c r="G506" i="2"/>
  <c r="G505" i="2"/>
  <c r="G504" i="2"/>
  <c r="G483" i="2"/>
  <c r="G481" i="2"/>
  <c r="G496" i="2"/>
  <c r="G480" i="2"/>
  <c r="G495" i="2"/>
  <c r="G494" i="2"/>
  <c r="G479" i="2"/>
  <c r="G492" i="2"/>
  <c r="G493" i="2"/>
  <c r="D513" i="2"/>
  <c r="F513" i="2"/>
  <c r="G478" i="2"/>
  <c r="G487" i="2"/>
  <c r="G468" i="2"/>
  <c r="G467" i="2"/>
  <c r="G440" i="2"/>
  <c r="G464" i="2"/>
  <c r="G460" i="2"/>
  <c r="G456" i="2"/>
  <c r="G438" i="2"/>
  <c r="G453" i="2"/>
  <c r="F443" i="2"/>
  <c r="G435" i="2"/>
  <c r="G445" i="2"/>
  <c r="E471" i="2"/>
  <c r="E477" i="2" s="1"/>
  <c r="G465" i="2"/>
  <c r="F470" i="2"/>
  <c r="G457" i="2"/>
  <c r="G455" i="2"/>
  <c r="G459" i="2"/>
  <c r="C471" i="2"/>
  <c r="C477" i="2" s="1"/>
  <c r="G463" i="2"/>
  <c r="D434" i="2"/>
  <c r="G444" i="2"/>
  <c r="D470" i="2"/>
  <c r="G423" i="2"/>
  <c r="G395" i="2"/>
  <c r="G418" i="2"/>
  <c r="G416" i="2"/>
  <c r="G412" i="2"/>
  <c r="G393" i="2"/>
  <c r="G405" i="2"/>
  <c r="G392" i="2"/>
  <c r="G383" i="2"/>
  <c r="G380" i="2"/>
  <c r="G351" i="2"/>
  <c r="G350" i="2"/>
  <c r="G349" i="2"/>
  <c r="D384" i="2"/>
  <c r="F384" i="2"/>
  <c r="D427" i="2"/>
  <c r="F427" i="2"/>
  <c r="G401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58" i="2"/>
  <c r="D331" i="2"/>
  <c r="D315" i="2"/>
  <c r="F315" i="2"/>
  <c r="D316" i="2"/>
  <c r="F316" i="2"/>
  <c r="D317" i="2"/>
  <c r="F317" i="2"/>
  <c r="D318" i="2"/>
  <c r="F318" i="2"/>
  <c r="D319" i="2"/>
  <c r="F319" i="2"/>
  <c r="D320" i="2"/>
  <c r="F320" i="2"/>
  <c r="D321" i="2"/>
  <c r="F321" i="2"/>
  <c r="D322" i="2"/>
  <c r="F322" i="2"/>
  <c r="D323" i="2"/>
  <c r="F323" i="2"/>
  <c r="D324" i="2"/>
  <c r="F324" i="2"/>
  <c r="D325" i="2"/>
  <c r="F325" i="2"/>
  <c r="D326" i="2"/>
  <c r="F326" i="2"/>
  <c r="D327" i="2"/>
  <c r="F327" i="2"/>
  <c r="D328" i="2"/>
  <c r="F328" i="2"/>
  <c r="D329" i="2"/>
  <c r="F329" i="2"/>
  <c r="D330" i="2"/>
  <c r="F330" i="2"/>
  <c r="F331" i="2"/>
  <c r="D332" i="2"/>
  <c r="F332" i="2"/>
  <c r="D333" i="2"/>
  <c r="F333" i="2"/>
  <c r="D334" i="2"/>
  <c r="F334" i="2"/>
  <c r="D335" i="2"/>
  <c r="F335" i="2"/>
  <c r="D306" i="2"/>
  <c r="F306" i="2"/>
  <c r="D307" i="2"/>
  <c r="F307" i="2"/>
  <c r="D308" i="2"/>
  <c r="F308" i="2"/>
  <c r="D309" i="2"/>
  <c r="F309" i="2"/>
  <c r="E341" i="2"/>
  <c r="C341" i="2"/>
  <c r="F340" i="2"/>
  <c r="D340" i="2"/>
  <c r="F339" i="2"/>
  <c r="D339" i="2"/>
  <c r="F338" i="2"/>
  <c r="D338" i="2"/>
  <c r="F337" i="2"/>
  <c r="D337" i="2"/>
  <c r="F336" i="2"/>
  <c r="D336" i="2"/>
  <c r="G336" i="2" s="1"/>
  <c r="F313" i="2"/>
  <c r="D313" i="2"/>
  <c r="F312" i="2"/>
  <c r="D312" i="2"/>
  <c r="F311" i="2"/>
  <c r="D311" i="2"/>
  <c r="F310" i="2"/>
  <c r="D310" i="2"/>
  <c r="F557" i="2" l="1"/>
  <c r="G556" i="2"/>
  <c r="G513" i="2"/>
  <c r="F477" i="2"/>
  <c r="F486" i="2" s="1"/>
  <c r="F514" i="2" s="1"/>
  <c r="E486" i="2"/>
  <c r="E514" i="2" s="1"/>
  <c r="C486" i="2"/>
  <c r="C514" i="2" s="1"/>
  <c r="C520" i="2" s="1"/>
  <c r="D477" i="2"/>
  <c r="F471" i="2"/>
  <c r="G470" i="2"/>
  <c r="D443" i="2"/>
  <c r="D471" i="2" s="1"/>
  <c r="G434" i="2"/>
  <c r="G443" i="2" s="1"/>
  <c r="G333" i="2"/>
  <c r="G322" i="2"/>
  <c r="G329" i="2"/>
  <c r="G321" i="2"/>
  <c r="G317" i="2"/>
  <c r="G427" i="2"/>
  <c r="G384" i="2"/>
  <c r="G310" i="2"/>
  <c r="G338" i="2"/>
  <c r="G325" i="2"/>
  <c r="G320" i="2"/>
  <c r="G312" i="2"/>
  <c r="G340" i="2"/>
  <c r="G335" i="2"/>
  <c r="G309" i="2"/>
  <c r="G331" i="2"/>
  <c r="G323" i="2"/>
  <c r="G327" i="2"/>
  <c r="G311" i="2"/>
  <c r="G313" i="2"/>
  <c r="G308" i="2"/>
  <c r="G319" i="2"/>
  <c r="G330" i="2"/>
  <c r="G328" i="2"/>
  <c r="F341" i="2"/>
  <c r="G315" i="2"/>
  <c r="D341" i="2"/>
  <c r="G306" i="2"/>
  <c r="G307" i="2"/>
  <c r="G334" i="2"/>
  <c r="G326" i="2"/>
  <c r="G318" i="2"/>
  <c r="G337" i="2"/>
  <c r="G339" i="2"/>
  <c r="G332" i="2"/>
  <c r="G324" i="2"/>
  <c r="G316" i="2"/>
  <c r="D263" i="2"/>
  <c r="F263" i="2"/>
  <c r="D264" i="2"/>
  <c r="F264" i="2"/>
  <c r="D265" i="2"/>
  <c r="F265" i="2"/>
  <c r="D266" i="2"/>
  <c r="F266" i="2"/>
  <c r="D267" i="2"/>
  <c r="F267" i="2"/>
  <c r="D268" i="2"/>
  <c r="F268" i="2"/>
  <c r="D272" i="2"/>
  <c r="F272" i="2"/>
  <c r="D273" i="2"/>
  <c r="F273" i="2"/>
  <c r="D274" i="2"/>
  <c r="F274" i="2"/>
  <c r="D275" i="2"/>
  <c r="F275" i="2"/>
  <c r="D276" i="2"/>
  <c r="F276" i="2"/>
  <c r="D277" i="2"/>
  <c r="F277" i="2"/>
  <c r="D278" i="2"/>
  <c r="F278" i="2"/>
  <c r="D279" i="2"/>
  <c r="F279" i="2"/>
  <c r="D280" i="2"/>
  <c r="F280" i="2"/>
  <c r="D281" i="2"/>
  <c r="F281" i="2"/>
  <c r="D282" i="2"/>
  <c r="F282" i="2"/>
  <c r="D283" i="2"/>
  <c r="F283" i="2"/>
  <c r="D284" i="2"/>
  <c r="F284" i="2"/>
  <c r="D285" i="2"/>
  <c r="F285" i="2"/>
  <c r="D286" i="2"/>
  <c r="F286" i="2"/>
  <c r="D287" i="2"/>
  <c r="F287" i="2"/>
  <c r="D288" i="2"/>
  <c r="F288" i="2"/>
  <c r="D289" i="2"/>
  <c r="F289" i="2"/>
  <c r="D290" i="2"/>
  <c r="F290" i="2"/>
  <c r="D291" i="2"/>
  <c r="F291" i="2"/>
  <c r="D292" i="2"/>
  <c r="F292" i="2"/>
  <c r="D293" i="2"/>
  <c r="F293" i="2"/>
  <c r="D294" i="2"/>
  <c r="F294" i="2"/>
  <c r="E298" i="2"/>
  <c r="C298" i="2"/>
  <c r="F297" i="2"/>
  <c r="D297" i="2"/>
  <c r="F296" i="2"/>
  <c r="D296" i="2"/>
  <c r="F295" i="2"/>
  <c r="D295" i="2"/>
  <c r="F270" i="2"/>
  <c r="D270" i="2"/>
  <c r="F269" i="2"/>
  <c r="D269" i="2"/>
  <c r="D520" i="2" l="1"/>
  <c r="C529" i="2"/>
  <c r="C557" i="2" s="1"/>
  <c r="D486" i="2"/>
  <c r="D514" i="2" s="1"/>
  <c r="G477" i="2"/>
  <c r="G486" i="2" s="1"/>
  <c r="G514" i="2" s="1"/>
  <c r="G471" i="2"/>
  <c r="G274" i="2"/>
  <c r="G341" i="2"/>
  <c r="G273" i="2"/>
  <c r="G278" i="2"/>
  <c r="G288" i="2"/>
  <c r="G290" i="2"/>
  <c r="G265" i="2"/>
  <c r="G276" i="2"/>
  <c r="G294" i="2"/>
  <c r="G266" i="2"/>
  <c r="G292" i="2"/>
  <c r="G296" i="2"/>
  <c r="G293" i="2"/>
  <c r="G291" i="2"/>
  <c r="G286" i="2"/>
  <c r="G284" i="2"/>
  <c r="G282" i="2"/>
  <c r="G280" i="2"/>
  <c r="G285" i="2"/>
  <c r="G283" i="2"/>
  <c r="G281" i="2"/>
  <c r="G279" i="2"/>
  <c r="G272" i="2"/>
  <c r="G263" i="2"/>
  <c r="G269" i="2"/>
  <c r="D298" i="2"/>
  <c r="G289" i="2"/>
  <c r="G277" i="2"/>
  <c r="G264" i="2"/>
  <c r="G270" i="2"/>
  <c r="G295" i="2"/>
  <c r="G297" i="2"/>
  <c r="G287" i="2"/>
  <c r="G275" i="2"/>
  <c r="G268" i="2"/>
  <c r="G267" i="2"/>
  <c r="F298" i="2"/>
  <c r="F222" i="2"/>
  <c r="D222" i="2"/>
  <c r="D529" i="2" l="1"/>
  <c r="D557" i="2" s="1"/>
  <c r="G520" i="2"/>
  <c r="G529" i="2" s="1"/>
  <c r="G557" i="2" s="1"/>
  <c r="G298" i="2"/>
  <c r="G222" i="2"/>
  <c r="D203" i="2"/>
  <c r="D246" i="2"/>
  <c r="D247" i="2"/>
  <c r="E255" i="2"/>
  <c r="C255" i="2"/>
  <c r="F254" i="2"/>
  <c r="D254" i="2"/>
  <c r="F253" i="2"/>
  <c r="D253" i="2"/>
  <c r="F252" i="2"/>
  <c r="D252" i="2"/>
  <c r="F251" i="2"/>
  <c r="D251" i="2"/>
  <c r="F250" i="2"/>
  <c r="D250" i="2"/>
  <c r="F249" i="2"/>
  <c r="D249" i="2"/>
  <c r="F248" i="2"/>
  <c r="D248" i="2"/>
  <c r="F247" i="2"/>
  <c r="F246" i="2"/>
  <c r="F245" i="2"/>
  <c r="D245" i="2"/>
  <c r="F244" i="2"/>
  <c r="D244" i="2"/>
  <c r="F243" i="2"/>
  <c r="D243" i="2"/>
  <c r="F242" i="2"/>
  <c r="D242" i="2"/>
  <c r="F241" i="2"/>
  <c r="D241" i="2"/>
  <c r="F240" i="2"/>
  <c r="D240" i="2"/>
  <c r="F239" i="2"/>
  <c r="D239" i="2"/>
  <c r="F238" i="2"/>
  <c r="D238" i="2"/>
  <c r="F237" i="2"/>
  <c r="D237" i="2"/>
  <c r="F236" i="2"/>
  <c r="D236" i="2"/>
  <c r="F235" i="2"/>
  <c r="D235" i="2"/>
  <c r="F234" i="2"/>
  <c r="D234" i="2"/>
  <c r="F233" i="2"/>
  <c r="D233" i="2"/>
  <c r="F232" i="2"/>
  <c r="D232" i="2"/>
  <c r="F231" i="2"/>
  <c r="D231" i="2"/>
  <c r="F230" i="2"/>
  <c r="D230" i="2"/>
  <c r="F229" i="2"/>
  <c r="D229" i="2"/>
  <c r="F227" i="2"/>
  <c r="D227" i="2"/>
  <c r="F226" i="2"/>
  <c r="D226" i="2"/>
  <c r="F225" i="2"/>
  <c r="D225" i="2"/>
  <c r="F224" i="2"/>
  <c r="D224" i="2"/>
  <c r="F223" i="2"/>
  <c r="D223" i="2"/>
  <c r="F221" i="2"/>
  <c r="D221" i="2"/>
  <c r="F220" i="2"/>
  <c r="D220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D186" i="2"/>
  <c r="E212" i="2"/>
  <c r="C212" i="2"/>
  <c r="D211" i="2"/>
  <c r="D210" i="2"/>
  <c r="D209" i="2"/>
  <c r="D208" i="2"/>
  <c r="D207" i="2"/>
  <c r="D206" i="2"/>
  <c r="D205" i="2"/>
  <c r="D204" i="2"/>
  <c r="D202" i="2"/>
  <c r="D201" i="2"/>
  <c r="D200" i="2"/>
  <c r="G200" i="2" s="1"/>
  <c r="D199" i="2"/>
  <c r="G199" i="2" s="1"/>
  <c r="D198" i="2"/>
  <c r="D197" i="2"/>
  <c r="D196" i="2"/>
  <c r="D195" i="2"/>
  <c r="D194" i="2"/>
  <c r="D193" i="2"/>
  <c r="G193" i="2" s="1"/>
  <c r="D192" i="2"/>
  <c r="D191" i="2"/>
  <c r="D190" i="2"/>
  <c r="D189" i="2"/>
  <c r="D188" i="2"/>
  <c r="G188" i="2" s="1"/>
  <c r="D187" i="2"/>
  <c r="G187" i="2" s="1"/>
  <c r="F184" i="2"/>
  <c r="D184" i="2"/>
  <c r="F183" i="2"/>
  <c r="D183" i="2"/>
  <c r="F182" i="2"/>
  <c r="D182" i="2"/>
  <c r="F181" i="2"/>
  <c r="D181" i="2"/>
  <c r="F180" i="2"/>
  <c r="D180" i="2"/>
  <c r="F179" i="2"/>
  <c r="D179" i="2"/>
  <c r="F178" i="2"/>
  <c r="D178" i="2"/>
  <c r="F177" i="2"/>
  <c r="D177" i="2"/>
  <c r="F134" i="2"/>
  <c r="D134" i="2"/>
  <c r="E169" i="2"/>
  <c r="C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F141" i="2"/>
  <c r="D141" i="2"/>
  <c r="F140" i="2"/>
  <c r="D140" i="2"/>
  <c r="F139" i="2"/>
  <c r="D139" i="2"/>
  <c r="F138" i="2"/>
  <c r="D138" i="2"/>
  <c r="F137" i="2"/>
  <c r="D137" i="2"/>
  <c r="F136" i="2"/>
  <c r="D136" i="2"/>
  <c r="F135" i="2"/>
  <c r="D135" i="2"/>
  <c r="G189" i="2" l="1"/>
  <c r="G195" i="2"/>
  <c r="G201" i="2"/>
  <c r="G196" i="2"/>
  <c r="G191" i="2"/>
  <c r="G197" i="2"/>
  <c r="G241" i="2"/>
  <c r="G243" i="2"/>
  <c r="G252" i="2"/>
  <c r="G203" i="2"/>
  <c r="G245" i="2"/>
  <c r="G240" i="2"/>
  <c r="G159" i="2"/>
  <c r="G147" i="2"/>
  <c r="G227" i="2"/>
  <c r="G230" i="2"/>
  <c r="G232" i="2"/>
  <c r="G146" i="2"/>
  <c r="G154" i="2"/>
  <c r="G158" i="2"/>
  <c r="G166" i="2"/>
  <c r="G226" i="2"/>
  <c r="G247" i="2"/>
  <c r="G237" i="2"/>
  <c r="G239" i="2"/>
  <c r="G251" i="2"/>
  <c r="G205" i="2"/>
  <c r="G209" i="2"/>
  <c r="G254" i="2"/>
  <c r="G238" i="2"/>
  <c r="G148" i="2"/>
  <c r="G152" i="2"/>
  <c r="G160" i="2"/>
  <c r="G164" i="2"/>
  <c r="G186" i="2"/>
  <c r="G223" i="2"/>
  <c r="G225" i="2"/>
  <c r="G236" i="2"/>
  <c r="G249" i="2"/>
  <c r="G253" i="2"/>
  <c r="G221" i="2"/>
  <c r="G234" i="2"/>
  <c r="G229" i="2"/>
  <c r="G246" i="2"/>
  <c r="G231" i="2"/>
  <c r="G235" i="2"/>
  <c r="G242" i="2"/>
  <c r="G244" i="2"/>
  <c r="G248" i="2"/>
  <c r="G250" i="2"/>
  <c r="G233" i="2"/>
  <c r="D255" i="2"/>
  <c r="G220" i="2"/>
  <c r="G224" i="2"/>
  <c r="F255" i="2"/>
  <c r="G206" i="2"/>
  <c r="G181" i="2"/>
  <c r="G183" i="2"/>
  <c r="G182" i="2"/>
  <c r="G204" i="2"/>
  <c r="G179" i="2"/>
  <c r="G198" i="2"/>
  <c r="G134" i="2"/>
  <c r="G184" i="2"/>
  <c r="G190" i="2"/>
  <c r="G194" i="2"/>
  <c r="F169" i="2"/>
  <c r="G153" i="2"/>
  <c r="G165" i="2"/>
  <c r="G177" i="2"/>
  <c r="G202" i="2"/>
  <c r="G149" i="2"/>
  <c r="G155" i="2"/>
  <c r="G161" i="2"/>
  <c r="G167" i="2"/>
  <c r="G144" i="2"/>
  <c r="G150" i="2"/>
  <c r="G156" i="2"/>
  <c r="G162" i="2"/>
  <c r="G168" i="2"/>
  <c r="G145" i="2"/>
  <c r="G151" i="2"/>
  <c r="G157" i="2"/>
  <c r="G163" i="2"/>
  <c r="G210" i="2"/>
  <c r="G211" i="2"/>
  <c r="F212" i="2"/>
  <c r="G207" i="2"/>
  <c r="G192" i="2"/>
  <c r="G208" i="2"/>
  <c r="D212" i="2"/>
  <c r="G178" i="2"/>
  <c r="G180" i="2"/>
  <c r="G139" i="2"/>
  <c r="G141" i="2"/>
  <c r="G140" i="2"/>
  <c r="D169" i="2"/>
  <c r="G143" i="2"/>
  <c r="G135" i="2"/>
  <c r="G136" i="2"/>
  <c r="G137" i="2"/>
  <c r="G138" i="2"/>
  <c r="D104" i="2"/>
  <c r="G255" i="2" l="1"/>
  <c r="G169" i="2"/>
  <c r="G212" i="2"/>
  <c r="F126" i="2"/>
  <c r="E126" i="2"/>
  <c r="C126" i="2"/>
  <c r="D125" i="2"/>
  <c r="G125" i="2" s="1"/>
  <c r="D124" i="2"/>
  <c r="G124" i="2" s="1"/>
  <c r="D123" i="2"/>
  <c r="G123" i="2" s="1"/>
  <c r="D122" i="2"/>
  <c r="G122" i="2" s="1"/>
  <c r="D121" i="2"/>
  <c r="G121" i="2" s="1"/>
  <c r="D120" i="2"/>
  <c r="G120" i="2" s="1"/>
  <c r="D119" i="2"/>
  <c r="G119" i="2" s="1"/>
  <c r="D118" i="2"/>
  <c r="G118" i="2" s="1"/>
  <c r="D117" i="2"/>
  <c r="G117" i="2" s="1"/>
  <c r="D116" i="2"/>
  <c r="G116" i="2" s="1"/>
  <c r="D115" i="2"/>
  <c r="G115" i="2" s="1"/>
  <c r="D114" i="2"/>
  <c r="G114" i="2" s="1"/>
  <c r="D113" i="2"/>
  <c r="G113" i="2" s="1"/>
  <c r="D112" i="2"/>
  <c r="G112" i="2" s="1"/>
  <c r="D111" i="2"/>
  <c r="G111" i="2" s="1"/>
  <c r="D110" i="2"/>
  <c r="G110" i="2" s="1"/>
  <c r="D109" i="2"/>
  <c r="G109" i="2" s="1"/>
  <c r="D108" i="2"/>
  <c r="G108" i="2" s="1"/>
  <c r="D107" i="2"/>
  <c r="G107" i="2" s="1"/>
  <c r="D106" i="2"/>
  <c r="G106" i="2" s="1"/>
  <c r="D105" i="2"/>
  <c r="G105" i="2" s="1"/>
  <c r="G104" i="2"/>
  <c r="D103" i="2"/>
  <c r="G103" i="2" s="1"/>
  <c r="D102" i="2"/>
  <c r="G102" i="2" s="1"/>
  <c r="D101" i="2"/>
  <c r="D100" i="2"/>
  <c r="G100" i="2" s="1"/>
  <c r="F98" i="2"/>
  <c r="D98" i="2"/>
  <c r="F97" i="2"/>
  <c r="D97" i="2"/>
  <c r="F96" i="2"/>
  <c r="D96" i="2"/>
  <c r="F95" i="2"/>
  <c r="D95" i="2"/>
  <c r="F94" i="2"/>
  <c r="D94" i="2"/>
  <c r="F93" i="2"/>
  <c r="D93" i="2"/>
  <c r="F92" i="2"/>
  <c r="D92" i="2"/>
  <c r="F91" i="2"/>
  <c r="D91" i="2"/>
  <c r="G93" i="2" l="1"/>
  <c r="D126" i="2"/>
  <c r="G126" i="2" s="1"/>
  <c r="G92" i="2"/>
  <c r="G95" i="2"/>
  <c r="G98" i="2"/>
  <c r="G101" i="2"/>
  <c r="G96" i="2"/>
  <c r="G91" i="2"/>
  <c r="G97" i="2"/>
  <c r="G94" i="2"/>
  <c r="C13" i="2"/>
  <c r="C40" i="2"/>
  <c r="C83" i="2"/>
  <c r="F5" i="2"/>
  <c r="F6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8" i="2"/>
  <c r="D49" i="2"/>
  <c r="D50" i="2"/>
  <c r="D51" i="2"/>
  <c r="D52" i="2"/>
  <c r="D53" i="2"/>
  <c r="D54" i="2"/>
  <c r="D55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F4" i="2"/>
  <c r="F7" i="2"/>
  <c r="F8" i="2"/>
  <c r="F9" i="2"/>
  <c r="F10" i="2"/>
  <c r="F11" i="2"/>
  <c r="F12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8" i="2"/>
  <c r="F49" i="2"/>
  <c r="F50" i="2"/>
  <c r="F51" i="2"/>
  <c r="F52" i="2"/>
  <c r="F53" i="2"/>
  <c r="F54" i="2"/>
  <c r="F55" i="2"/>
  <c r="F83" i="2"/>
  <c r="G25" i="2" l="1"/>
  <c r="G37" i="2"/>
  <c r="G39" i="2"/>
  <c r="G9" i="2"/>
  <c r="G5" i="2"/>
  <c r="G38" i="2"/>
  <c r="G11" i="2"/>
  <c r="G23" i="2"/>
  <c r="G8" i="2"/>
  <c r="G28" i="2"/>
  <c r="G31" i="2"/>
  <c r="G30" i="2"/>
  <c r="G7" i="2"/>
  <c r="G20" i="2"/>
  <c r="G19" i="2"/>
  <c r="D83" i="2"/>
  <c r="G36" i="2"/>
  <c r="G16" i="2"/>
  <c r="F13" i="2"/>
  <c r="G6" i="2"/>
  <c r="C41" i="2"/>
  <c r="C47" i="2" s="1"/>
  <c r="C56" i="2" s="1"/>
  <c r="C84" i="2" s="1"/>
  <c r="C90" i="2" s="1"/>
  <c r="G15" i="2"/>
  <c r="G34" i="2"/>
  <c r="G32" i="2"/>
  <c r="G26" i="2"/>
  <c r="G24" i="2"/>
  <c r="G22" i="2"/>
  <c r="G18" i="2"/>
  <c r="G35" i="2"/>
  <c r="G33" i="2"/>
  <c r="G29" i="2"/>
  <c r="G27" i="2"/>
  <c r="G17" i="2"/>
  <c r="G12" i="2"/>
  <c r="G10" i="2"/>
  <c r="F40" i="2"/>
  <c r="D40" i="2"/>
  <c r="D13" i="2"/>
  <c r="G14" i="2"/>
  <c r="G21" i="2"/>
  <c r="G4" i="2"/>
  <c r="E83" i="2"/>
  <c r="E13" i="2"/>
  <c r="E40" i="2"/>
  <c r="G81" i="2"/>
  <c r="G82" i="2"/>
  <c r="G77" i="2"/>
  <c r="G67" i="2"/>
  <c r="G65" i="2"/>
  <c r="G61" i="2"/>
  <c r="G73" i="2"/>
  <c r="C99" i="2" l="1"/>
  <c r="C127" i="2" s="1"/>
  <c r="C133" i="2" s="1"/>
  <c r="D90" i="2"/>
  <c r="F41" i="2"/>
  <c r="G13" i="2"/>
  <c r="D41" i="2"/>
  <c r="G40" i="2"/>
  <c r="G52" i="2"/>
  <c r="G63" i="2"/>
  <c r="G71" i="2"/>
  <c r="G75" i="2"/>
  <c r="G54" i="2"/>
  <c r="G83" i="2"/>
  <c r="G69" i="2"/>
  <c r="E41" i="2"/>
  <c r="E47" i="2" s="1"/>
  <c r="F47" i="2" s="1"/>
  <c r="F56" i="2" s="1"/>
  <c r="F84" i="2" s="1"/>
  <c r="G50" i="2"/>
  <c r="G80" i="2"/>
  <c r="G62" i="2"/>
  <c r="G72" i="2"/>
  <c r="G76" i="2"/>
  <c r="G58" i="2"/>
  <c r="G51" i="2"/>
  <c r="G53" i="2"/>
  <c r="G55" i="2"/>
  <c r="G60" i="2"/>
  <c r="G48" i="2"/>
  <c r="G57" i="2"/>
  <c r="G66" i="2"/>
  <c r="G70" i="2"/>
  <c r="G79" i="2"/>
  <c r="G49" i="2"/>
  <c r="G64" i="2"/>
  <c r="G74" i="2"/>
  <c r="G78" i="2"/>
  <c r="G59" i="2"/>
  <c r="G68" i="2"/>
  <c r="C142" i="2" l="1"/>
  <c r="C170" i="2" s="1"/>
  <c r="C176" i="2" s="1"/>
  <c r="D133" i="2"/>
  <c r="D99" i="2"/>
  <c r="D127" i="2" s="1"/>
  <c r="G41" i="2"/>
  <c r="D47" i="2"/>
  <c r="D56" i="2" s="1"/>
  <c r="D84" i="2" s="1"/>
  <c r="E56" i="2"/>
  <c r="E84" i="2" s="1"/>
  <c r="E90" i="2" s="1"/>
  <c r="C185" i="2" l="1"/>
  <c r="C213" i="2" s="1"/>
  <c r="C219" i="2" s="1"/>
  <c r="D176" i="2"/>
  <c r="D142" i="2"/>
  <c r="D170" i="2" s="1"/>
  <c r="E99" i="2"/>
  <c r="E127" i="2" s="1"/>
  <c r="E133" i="2" s="1"/>
  <c r="F90" i="2"/>
  <c r="G47" i="2"/>
  <c r="G56" i="2" s="1"/>
  <c r="G84" i="2" s="1"/>
  <c r="D219" i="2" l="1"/>
  <c r="C228" i="2"/>
  <c r="C256" i="2" s="1"/>
  <c r="C262" i="2" s="1"/>
  <c r="D185" i="2"/>
  <c r="D213" i="2" s="1"/>
  <c r="E142" i="2"/>
  <c r="E170" i="2" s="1"/>
  <c r="E176" i="2" s="1"/>
  <c r="F133" i="2"/>
  <c r="F99" i="2"/>
  <c r="F127" i="2" s="1"/>
  <c r="G90" i="2"/>
  <c r="G99" i="2" s="1"/>
  <c r="G127" i="2" s="1"/>
  <c r="C271" i="2" l="1"/>
  <c r="C299" i="2" s="1"/>
  <c r="C305" i="2" s="1"/>
  <c r="D262" i="2"/>
  <c r="D228" i="2"/>
  <c r="D256" i="2" s="1"/>
  <c r="E185" i="2"/>
  <c r="E213" i="2" s="1"/>
  <c r="E219" i="2" s="1"/>
  <c r="F176" i="2"/>
  <c r="F142" i="2"/>
  <c r="F170" i="2" s="1"/>
  <c r="G133" i="2"/>
  <c r="G142" i="2" s="1"/>
  <c r="G170" i="2" s="1"/>
  <c r="C314" i="2" l="1"/>
  <c r="C342" i="2" s="1"/>
  <c r="C348" i="2" s="1"/>
  <c r="D305" i="2"/>
  <c r="D271" i="2"/>
  <c r="D299" i="2" s="1"/>
  <c r="E228" i="2"/>
  <c r="E256" i="2" s="1"/>
  <c r="E262" i="2" s="1"/>
  <c r="F219" i="2"/>
  <c r="F185" i="2"/>
  <c r="F213" i="2" s="1"/>
  <c r="G176" i="2"/>
  <c r="G185" i="2" s="1"/>
  <c r="G213" i="2" s="1"/>
  <c r="C357" i="2" l="1"/>
  <c r="C385" i="2" s="1"/>
  <c r="C391" i="2" s="1"/>
  <c r="D348" i="2"/>
  <c r="D314" i="2"/>
  <c r="D342" i="2" s="1"/>
  <c r="E271" i="2"/>
  <c r="E299" i="2" s="1"/>
  <c r="E305" i="2" s="1"/>
  <c r="F262" i="2"/>
  <c r="F228" i="2"/>
  <c r="F256" i="2" s="1"/>
  <c r="G219" i="2"/>
  <c r="G228" i="2" s="1"/>
  <c r="G256" i="2" s="1"/>
  <c r="D357" i="2" l="1"/>
  <c r="D385" i="2" s="1"/>
  <c r="C400" i="2"/>
  <c r="C428" i="2" s="1"/>
  <c r="D391" i="2"/>
  <c r="E314" i="2"/>
  <c r="E342" i="2" s="1"/>
  <c r="E348" i="2" s="1"/>
  <c r="F305" i="2"/>
  <c r="F271" i="2"/>
  <c r="F299" i="2" s="1"/>
  <c r="G262" i="2"/>
  <c r="G271" i="2" s="1"/>
  <c r="G299" i="2" s="1"/>
  <c r="D400" i="2" l="1"/>
  <c r="D428" i="2" s="1"/>
  <c r="E357" i="2"/>
  <c r="E385" i="2" s="1"/>
  <c r="E391" i="2" s="1"/>
  <c r="F348" i="2"/>
  <c r="F314" i="2"/>
  <c r="F342" i="2" s="1"/>
  <c r="G305" i="2"/>
  <c r="G314" i="2" s="1"/>
  <c r="G342" i="2" s="1"/>
  <c r="F357" i="2" l="1"/>
  <c r="F385" i="2" s="1"/>
  <c r="G348" i="2"/>
  <c r="G357" i="2" s="1"/>
  <c r="G385" i="2" s="1"/>
  <c r="E400" i="2"/>
  <c r="E428" i="2" s="1"/>
  <c r="F391" i="2"/>
  <c r="F400" i="2" l="1"/>
  <c r="F428" i="2" s="1"/>
  <c r="G391" i="2"/>
  <c r="G400" i="2" s="1"/>
  <c r="G428" i="2" s="1"/>
</calcChain>
</file>

<file path=xl/sharedStrings.xml><?xml version="1.0" encoding="utf-8"?>
<sst xmlns="http://schemas.openxmlformats.org/spreadsheetml/2006/main" count="579" uniqueCount="77">
  <si>
    <t>カラー</t>
  </si>
  <si>
    <t>合計</t>
    <rPh sb="0" eb="2">
      <t>ゴウケイ</t>
    </rPh>
    <phoneticPr fontId="4"/>
  </si>
  <si>
    <t>計</t>
    <rPh sb="0" eb="1">
      <t>ケイ</t>
    </rPh>
    <phoneticPr fontId="4"/>
  </si>
  <si>
    <t>総在庫</t>
    <rPh sb="0" eb="1">
      <t>ソウ</t>
    </rPh>
    <rPh sb="1" eb="3">
      <t>ザイコ</t>
    </rPh>
    <phoneticPr fontId="4"/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</si>
  <si>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</si>
  <si>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</si>
  <si>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追加</t>
    <rPh sb="0" eb="2">
      <t>ツイカ</t>
    </rPh>
    <phoneticPr fontId="1"/>
  </si>
  <si>
    <t>ブラデリスランジェリーソープ</t>
    <phoneticPr fontId="1"/>
  </si>
  <si>
    <t>16オンス</t>
    <phoneticPr fontId="1"/>
  </si>
  <si>
    <t>35オンス</t>
    <phoneticPr fontId="1"/>
  </si>
  <si>
    <t>在庫</t>
    <rPh sb="0" eb="2">
      <t>ザイコ</t>
    </rPh>
    <phoneticPr fontId="1"/>
  </si>
  <si>
    <t>Ａｍａｚｏｎ</t>
    <phoneticPr fontId="1"/>
  </si>
  <si>
    <t>Ａｍａｚｏｎ</t>
    <phoneticPr fontId="1"/>
  </si>
  <si>
    <t>Ａｍａｚｏｎ</t>
    <phoneticPr fontId="1"/>
  </si>
  <si>
    <t>Ａｍａｚｏｎ</t>
    <phoneticPr fontId="1"/>
  </si>
  <si>
    <t>ネット</t>
    <phoneticPr fontId="1"/>
  </si>
  <si>
    <t>Ａｍａｚｏｎ</t>
    <phoneticPr fontId="1"/>
  </si>
  <si>
    <t>Ａｍａｚｏｎ</t>
    <phoneticPr fontId="1"/>
  </si>
  <si>
    <t>Ａｍａｚｏｎ</t>
    <phoneticPr fontId="1"/>
  </si>
  <si>
    <t>Ａｍａｚｏｎ</t>
    <phoneticPr fontId="1"/>
  </si>
  <si>
    <t>ネット</t>
    <phoneticPr fontId="1"/>
  </si>
  <si>
    <t>Ａｍａｚｏｎ</t>
    <phoneticPr fontId="1"/>
  </si>
  <si>
    <t>Ａｍａｚｏｎ</t>
    <phoneticPr fontId="1"/>
  </si>
  <si>
    <t>Ａｍａｚｏｎ</t>
    <phoneticPr fontId="1"/>
  </si>
  <si>
    <t>Ａｍａｚｏｎ</t>
    <phoneticPr fontId="1"/>
  </si>
  <si>
    <t>Ａｍａｚｏｎ</t>
    <phoneticPr fontId="1"/>
  </si>
  <si>
    <t>Ａｍａｚｏｎ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</si>
  <si>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</si>
  <si>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</si>
  <si>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</si>
  <si>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</si>
  <si>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</si>
  <si>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</si>
  <si>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</si>
  <si>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</si>
  <si>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</si>
  <si>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</si>
  <si>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</si>
  <si>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</si>
  <si>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</si>
  <si>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</si>
  <si>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ネット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</si>
  <si>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</si>
  <si>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</si>
  <si>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</si>
  <si>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</si>
  <si>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</si>
  <si>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ネット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</si>
  <si>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</si>
  <si>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</si>
  <si>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</si>
  <si>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</si>
  <si>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</si>
  <si>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</si>
  <si>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</si>
  <si>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ネット</t>
    <phoneticPr fontId="1"/>
  </si>
  <si>
    <t>Amazon</t>
    <phoneticPr fontId="1"/>
  </si>
  <si>
    <t>Amazon</t>
    <phoneticPr fontId="1"/>
  </si>
  <si>
    <t>棚卸</t>
    <rPh sb="0" eb="2">
      <t>タナオロシ</t>
    </rPh>
    <phoneticPr fontId="1"/>
  </si>
  <si>
    <t>Amazon</t>
    <phoneticPr fontId="1"/>
  </si>
  <si>
    <t>Amazon</t>
    <phoneticPr fontId="1"/>
  </si>
  <si>
    <t>Amazon</t>
    <phoneticPr fontId="1"/>
  </si>
  <si>
    <t>ネット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</si>
  <si>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</si>
  <si>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</si>
  <si>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</si>
  <si>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</si>
  <si>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</si>
  <si>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Amazon返却</t>
    <rPh sb="6" eb="8">
      <t>ヘンキャク</t>
    </rPh>
    <phoneticPr fontId="1"/>
  </si>
  <si>
    <t>Amazon返却</t>
    <rPh sb="6" eb="8">
      <t>ヘンキャク</t>
    </rPh>
    <phoneticPr fontId="1"/>
  </si>
  <si>
    <t>Amazon</t>
    <phoneticPr fontId="1"/>
  </si>
  <si>
    <t>Amazon</t>
    <phoneticPr fontId="1"/>
  </si>
  <si>
    <t>在庫確認</t>
    <rPh sb="0" eb="4">
      <t>ザイコカクニン</t>
    </rPh>
    <phoneticPr fontId="1"/>
  </si>
  <si>
    <t>ネット</t>
    <phoneticPr fontId="1"/>
  </si>
  <si>
    <t>Amazon</t>
    <phoneticPr fontId="1"/>
  </si>
  <si>
    <t>Amazon</t>
    <phoneticPr fontId="1"/>
  </si>
  <si>
    <t>Amazon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</si>
</sst>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9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1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56" fontId="6" fillId="0" borderId="6" xfId="1" applyNumberFormat="1" applyFont="1" applyBorder="1" applyAlignment="1">
      <alignment horizontal="center" vertical="center"/>
    </xf>
    <xf numFmtId="0" fontId="6" fillId="0" borderId="4" xfId="1" applyFont="1" applyBorder="1"/>
    <xf numFmtId="56" fontId="2" fillId="0" borderId="8" xfId="1" applyNumberFormat="1" applyBorder="1" applyAlignment="1">
      <alignment horizontal="center" vertical="center"/>
    </xf>
    <xf numFmtId="0" fontId="2" fillId="0" borderId="9" xfId="1" applyBorder="1"/>
    <xf numFmtId="0" fontId="2" fillId="0" borderId="10" xfId="1" applyBorder="1"/>
    <xf numFmtId="0" fontId="2" fillId="0" borderId="11" xfId="1" applyBorder="1" applyAlignment="1">
      <alignment horizontal="center" vertical="center"/>
    </xf>
    <xf numFmtId="56" fontId="7" fillId="0" borderId="0" xfId="0" applyNumberFormat="1" applyFont="1">
      <alignment vertical="center"/>
    </xf>
    <xf numFmtId="0" fontId="2" fillId="0" borderId="12" xfId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2" fillId="0" borderId="5" xfId="1" applyBorder="1"/>
    <xf numFmtId="0" fontId="2" fillId="0" borderId="18" xfId="1" applyBorder="1"/>
    <xf numFmtId="0" fontId="6" fillId="0" borderId="6" xfId="1" applyFont="1" applyBorder="1" applyAlignment="1">
      <alignment horizontal="center" vertical="center"/>
    </xf>
    <xf numFmtId="0" fontId="6" fillId="0" borderId="19" xfId="1" applyFont="1" applyBorder="1"/>
    <xf numFmtId="0" fontId="2" fillId="0" borderId="13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2" xfId="1" applyBorder="1"/>
    <xf numFmtId="0" fontId="2" fillId="0" borderId="20" xfId="1" applyBorder="1"/>
    <xf numFmtId="0" fontId="2" fillId="0" borderId="1" xfId="1" applyBorder="1"/>
    <xf numFmtId="0" fontId="8" fillId="0" borderId="6" xfId="1" applyFont="1" applyBorder="1" applyAlignment="1">
      <alignment horizontal="center" vertical="center"/>
    </xf>
    <xf numFmtId="0" fontId="8" fillId="0" borderId="4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2" fillId="0" borderId="11" xfId="1" applyBorder="1"/>
    <xf numFmtId="0" fontId="2" fillId="0" borderId="24" xfId="1" applyBorder="1"/>
    <xf numFmtId="0" fontId="2" fillId="0" borderId="25" xfId="1" applyBorder="1"/>
    <xf numFmtId="0" fontId="6" fillId="0" borderId="1" xfId="1" applyFont="1" applyBorder="1"/>
    <xf numFmtId="0" fontId="8" fillId="0" borderId="1" xfId="1" applyFont="1" applyBorder="1"/>
    <xf numFmtId="0" fontId="9" fillId="0" borderId="13" xfId="1" applyFont="1" applyBorder="1" applyAlignment="1">
      <alignment horizontal="center" vertical="center"/>
    </xf>
    <xf numFmtId="0" fontId="6" fillId="0" borderId="26" xfId="1" applyFont="1" applyBorder="1"/>
    <xf numFmtId="0" fontId="8" fillId="0" borderId="6" xfId="1" applyFont="1" applyBorder="1"/>
    <xf numFmtId="0" fontId="8" fillId="0" borderId="19" xfId="1" applyFont="1" applyBorder="1"/>
    <xf numFmtId="56" fontId="5" fillId="0" borderId="6" xfId="1" applyNumberFormat="1" applyFont="1" applyBorder="1" applyAlignment="1">
      <alignment horizontal="center" vertical="center"/>
    </xf>
    <xf numFmtId="0" fontId="5" fillId="0" borderId="4" xfId="1" applyFont="1" applyBorder="1"/>
    <xf numFmtId="0" fontId="5" fillId="0" borderId="7" xfId="1" applyFont="1" applyBorder="1"/>
    <xf numFmtId="56" fontId="10" fillId="0" borderId="0" xfId="0" applyNumberFormat="1" applyFont="1">
      <alignment vertical="center"/>
    </xf>
    <xf numFmtId="0" fontId="2" fillId="0" borderId="3" xfId="1" applyBorder="1"/>
    <xf numFmtId="0" fontId="7" fillId="0" borderId="0" xfId="0" applyFont="1">
      <alignment vertical="center"/>
    </xf>
    <xf numFmtId="56" fontId="0" fillId="0" borderId="0" xfId="0" applyNumberFormat="1">
      <alignment vertical="center"/>
    </xf>
    <xf numFmtId="0" fontId="11" fillId="0" borderId="13" xfId="1" applyFont="1" applyBorder="1" applyAlignment="1">
      <alignment horizontal="center" vertical="center"/>
    </xf>
    <xf numFmtId="0" fontId="11" fillId="0" borderId="15" xfId="1" applyFont="1" applyBorder="1"/>
    <xf numFmtId="0" fontId="11" fillId="0" borderId="13" xfId="1" applyFont="1" applyBorder="1"/>
    <xf numFmtId="0" fontId="11" fillId="0" borderId="16" xfId="1" applyFont="1" applyBorder="1"/>
    <xf numFmtId="56" fontId="12" fillId="0" borderId="0" xfId="0" applyNumberFormat="1" applyFont="1">
      <alignment vertical="center"/>
    </xf>
    <xf numFmtId="0" fontId="2" fillId="0" borderId="4" xfId="1" applyBorder="1"/>
    <xf numFmtId="0" fontId="2" fillId="0" borderId="19" xfId="1" applyBorder="1"/>
    <xf numFmtId="0" fontId="13" fillId="0" borderId="0" xfId="0" applyFont="1">
      <alignment vertical="center"/>
    </xf>
    <xf numFmtId="0" fontId="14" fillId="0" borderId="13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7"/>
  <sheetViews>
    <sheetView tabSelected="1" topLeftCell="A521" zoomScaleNormal="100" workbookViewId="0">
      <selection activeCell="C551" sqref="C551"/>
    </sheetView>
  </sheetViews>
  <sheetFormatPr defaultRowHeight="13.5" x14ac:dyDescent="0.15"/>
  <cols>
    <col min="1" max="1" width="4.125" customWidth="1"/>
    <col min="2" max="2" width="17.75" customWidth="1"/>
    <col min="3" max="3" width="14.5" customWidth="1"/>
    <col min="4" max="4" width="5.5" bestFit="1" customWidth="1"/>
    <col min="5" max="5" width="13.375" customWidth="1"/>
    <col min="6" max="6" width="4.5" bestFit="1" customWidth="1"/>
    <col min="7" max="7" width="9.25" customWidth="1"/>
    <col min="8" max="8" width="9.25" bestFit="1" customWidth="1"/>
    <col min="12" max="12" width="9.25" bestFit="1" customWidth="1"/>
    <col min="14" max="14" width="12.75" bestFit="1" customWidth="1"/>
  </cols>
  <sheetData>
    <row r="1" spans="2:8" ht="19.5" thickBot="1" x14ac:dyDescent="0.25">
      <c r="B1" s="1" t="s">
        <v>7</v>
      </c>
      <c r="C1" s="2"/>
      <c r="D1" s="2"/>
      <c r="E1" s="2"/>
      <c r="F1" s="2"/>
      <c r="G1" s="2"/>
    </row>
    <row r="2" spans="2:8" ht="14.25" thickBot="1" x14ac:dyDescent="0.2">
      <c r="B2" s="3" t="s">
        <v>0</v>
      </c>
      <c r="C2" s="57" t="s">
        <v>8</v>
      </c>
      <c r="D2" s="58"/>
      <c r="E2" s="57" t="s">
        <v>9</v>
      </c>
      <c r="F2" s="58"/>
      <c r="G2" s="59" t="s">
        <v>1</v>
      </c>
    </row>
    <row r="3" spans="2:8" ht="14.25" thickBot="1" x14ac:dyDescent="0.2">
      <c r="B3" s="3"/>
      <c r="C3" s="4"/>
      <c r="D3" s="3" t="s">
        <v>2</v>
      </c>
      <c r="E3" s="4"/>
      <c r="F3" s="3" t="s">
        <v>2</v>
      </c>
      <c r="G3" s="60"/>
    </row>
    <row r="4" spans="2:8" ht="14.25" thickBot="1" x14ac:dyDescent="0.2">
      <c r="B4" s="41" t="s">
        <v>10</v>
      </c>
      <c r="C4" s="42">
        <v>72</v>
      </c>
      <c r="D4" s="43">
        <f t="shared" ref="D4:D12" si="0">SUM(C4:C4)</f>
        <v>72</v>
      </c>
      <c r="E4" s="42">
        <v>84</v>
      </c>
      <c r="F4" s="43">
        <f t="shared" ref="F4:F12" si="1">SUM(E4:E4)</f>
        <v>84</v>
      </c>
      <c r="G4" s="43">
        <f t="shared" ref="G4:G12" si="2">D4+F4</f>
        <v>156</v>
      </c>
      <c r="H4" s="44">
        <v>44076</v>
      </c>
    </row>
    <row r="5" spans="2:8" x14ac:dyDescent="0.15">
      <c r="B5" s="7" t="s">
        <v>6</v>
      </c>
      <c r="C5" s="8">
        <v>192</v>
      </c>
      <c r="D5" s="45">
        <f t="shared" si="0"/>
        <v>192</v>
      </c>
      <c r="E5" s="9">
        <v>96</v>
      </c>
      <c r="F5" s="45">
        <f t="shared" si="1"/>
        <v>96</v>
      </c>
      <c r="G5" s="45">
        <f t="shared" si="2"/>
        <v>288</v>
      </c>
      <c r="H5" s="11">
        <v>44079</v>
      </c>
    </row>
    <row r="6" spans="2:8" x14ac:dyDescent="0.15">
      <c r="B6" s="7" t="s">
        <v>6</v>
      </c>
      <c r="C6" s="12">
        <v>192</v>
      </c>
      <c r="D6" s="13">
        <f t="shared" si="0"/>
        <v>192</v>
      </c>
      <c r="E6" s="14">
        <v>48</v>
      </c>
      <c r="F6" s="13">
        <f t="shared" si="1"/>
        <v>48</v>
      </c>
      <c r="G6" s="13">
        <f t="shared" si="2"/>
        <v>240</v>
      </c>
      <c r="H6" s="11">
        <v>44089</v>
      </c>
    </row>
    <row r="7" spans="2:8" x14ac:dyDescent="0.15">
      <c r="B7" s="7" t="s">
        <v>6</v>
      </c>
      <c r="C7" s="12">
        <v>60</v>
      </c>
      <c r="D7" s="13">
        <f t="shared" si="0"/>
        <v>60</v>
      </c>
      <c r="E7" s="14">
        <v>60</v>
      </c>
      <c r="F7" s="13">
        <f t="shared" si="1"/>
        <v>60</v>
      </c>
      <c r="G7" s="13">
        <f t="shared" si="2"/>
        <v>120</v>
      </c>
      <c r="H7" s="11">
        <v>44151</v>
      </c>
    </row>
    <row r="8" spans="2:8" x14ac:dyDescent="0.15">
      <c r="B8" s="7" t="s">
        <v>6</v>
      </c>
      <c r="C8" s="12">
        <v>204</v>
      </c>
      <c r="D8" s="13">
        <f t="shared" si="0"/>
        <v>204</v>
      </c>
      <c r="E8" s="14"/>
      <c r="F8" s="13">
        <f t="shared" si="1"/>
        <v>0</v>
      </c>
      <c r="G8" s="13">
        <f t="shared" si="2"/>
        <v>204</v>
      </c>
      <c r="H8" s="11">
        <v>44170</v>
      </c>
    </row>
    <row r="9" spans="2:8" x14ac:dyDescent="0.15">
      <c r="B9" s="7" t="s">
        <v>6</v>
      </c>
      <c r="C9" s="12">
        <v>204</v>
      </c>
      <c r="D9" s="13">
        <f t="shared" si="0"/>
        <v>204</v>
      </c>
      <c r="E9" s="14"/>
      <c r="F9" s="13">
        <f t="shared" si="1"/>
        <v>0</v>
      </c>
      <c r="G9" s="13">
        <f t="shared" si="2"/>
        <v>204</v>
      </c>
      <c r="H9" s="11">
        <v>43840</v>
      </c>
    </row>
    <row r="10" spans="2:8" x14ac:dyDescent="0.15">
      <c r="B10" s="7" t="s">
        <v>6</v>
      </c>
      <c r="C10" s="12"/>
      <c r="D10" s="13">
        <f t="shared" si="0"/>
        <v>0</v>
      </c>
      <c r="E10" s="14">
        <v>204</v>
      </c>
      <c r="F10" s="13">
        <f t="shared" si="1"/>
        <v>204</v>
      </c>
      <c r="G10" s="13">
        <f t="shared" si="2"/>
        <v>204</v>
      </c>
      <c r="H10" s="11">
        <v>44224</v>
      </c>
    </row>
    <row r="11" spans="2:8" x14ac:dyDescent="0.15">
      <c r="B11" s="7" t="s">
        <v>6</v>
      </c>
      <c r="C11" s="15">
        <v>204</v>
      </c>
      <c r="D11" s="13">
        <f t="shared" si="0"/>
        <v>204</v>
      </c>
      <c r="E11" s="16"/>
      <c r="F11" s="13">
        <f t="shared" si="1"/>
        <v>0</v>
      </c>
      <c r="G11" s="13">
        <f t="shared" si="2"/>
        <v>204</v>
      </c>
      <c r="H11" s="11">
        <v>44259</v>
      </c>
    </row>
    <row r="12" spans="2:8" ht="14.25" thickBot="1" x14ac:dyDescent="0.2">
      <c r="B12" s="7" t="s">
        <v>6</v>
      </c>
      <c r="C12" s="17">
        <v>12</v>
      </c>
      <c r="D12" s="18">
        <f t="shared" si="0"/>
        <v>12</v>
      </c>
      <c r="E12" s="19"/>
      <c r="F12" s="18">
        <f t="shared" si="1"/>
        <v>0</v>
      </c>
      <c r="G12" s="18">
        <f t="shared" si="2"/>
        <v>12</v>
      </c>
      <c r="H12" s="11"/>
    </row>
    <row r="13" spans="2:8" ht="14.25" thickBot="1" x14ac:dyDescent="0.2">
      <c r="B13" s="20" t="s">
        <v>3</v>
      </c>
      <c r="C13" s="6">
        <f t="shared" ref="C13:G13" si="3">SUM(C4:C12)</f>
        <v>1140</v>
      </c>
      <c r="D13" s="21">
        <f t="shared" si="3"/>
        <v>1140</v>
      </c>
      <c r="E13" s="6">
        <f t="shared" si="3"/>
        <v>492</v>
      </c>
      <c r="F13" s="21">
        <f t="shared" si="3"/>
        <v>492</v>
      </c>
      <c r="G13" s="21">
        <f t="shared" si="3"/>
        <v>1632</v>
      </c>
    </row>
    <row r="14" spans="2:8" x14ac:dyDescent="0.15">
      <c r="B14" s="10" t="s">
        <v>11</v>
      </c>
      <c r="C14" s="15">
        <v>48</v>
      </c>
      <c r="D14" s="13">
        <f t="shared" ref="D14:D39" si="4">SUM(C14:C14)</f>
        <v>48</v>
      </c>
      <c r="E14" s="16">
        <v>24</v>
      </c>
      <c r="F14" s="13">
        <f t="shared" ref="F14:F39" si="5">SUM(E14:E14)</f>
        <v>24</v>
      </c>
      <c r="G14" s="13">
        <f t="shared" ref="G14:G40" si="6">D14+F14</f>
        <v>72</v>
      </c>
      <c r="H14" s="11">
        <v>44076</v>
      </c>
    </row>
    <row r="15" spans="2:8" x14ac:dyDescent="0.15">
      <c r="B15" s="10" t="s">
        <v>11</v>
      </c>
      <c r="C15" s="12">
        <v>48</v>
      </c>
      <c r="D15" s="13">
        <f t="shared" si="4"/>
        <v>48</v>
      </c>
      <c r="E15" s="14">
        <v>48</v>
      </c>
      <c r="F15" s="13">
        <f t="shared" si="5"/>
        <v>48</v>
      </c>
      <c r="G15" s="13">
        <f t="shared" si="6"/>
        <v>96</v>
      </c>
      <c r="H15" s="11">
        <v>44079</v>
      </c>
    </row>
    <row r="16" spans="2:8" x14ac:dyDescent="0.15">
      <c r="B16" s="10" t="s">
        <v>11</v>
      </c>
      <c r="C16" s="12">
        <v>48</v>
      </c>
      <c r="D16" s="13">
        <f t="shared" si="4"/>
        <v>48</v>
      </c>
      <c r="E16" s="14">
        <v>24</v>
      </c>
      <c r="F16" s="13">
        <f t="shared" si="5"/>
        <v>24</v>
      </c>
      <c r="G16" s="13">
        <f t="shared" si="6"/>
        <v>72</v>
      </c>
      <c r="H16" s="11">
        <v>44088</v>
      </c>
    </row>
    <row r="17" spans="2:8" x14ac:dyDescent="0.15">
      <c r="B17" s="10" t="s">
        <v>11</v>
      </c>
      <c r="C17" s="12">
        <v>48</v>
      </c>
      <c r="D17" s="13">
        <f t="shared" si="4"/>
        <v>48</v>
      </c>
      <c r="E17" s="14"/>
      <c r="F17" s="13">
        <f t="shared" si="5"/>
        <v>0</v>
      </c>
      <c r="G17" s="13">
        <f t="shared" si="6"/>
        <v>48</v>
      </c>
      <c r="H17" s="11">
        <v>44089</v>
      </c>
    </row>
    <row r="18" spans="2:8" x14ac:dyDescent="0.15">
      <c r="B18" s="10" t="s">
        <v>11</v>
      </c>
      <c r="C18" s="12">
        <v>48</v>
      </c>
      <c r="D18" s="13">
        <f t="shared" si="4"/>
        <v>48</v>
      </c>
      <c r="E18" s="14">
        <v>48</v>
      </c>
      <c r="F18" s="13">
        <f t="shared" si="5"/>
        <v>48</v>
      </c>
      <c r="G18" s="13">
        <f t="shared" si="6"/>
        <v>96</v>
      </c>
      <c r="H18" s="11">
        <v>44110</v>
      </c>
    </row>
    <row r="19" spans="2:8" x14ac:dyDescent="0.15">
      <c r="B19" s="10" t="s">
        <v>11</v>
      </c>
      <c r="C19" s="12">
        <v>48</v>
      </c>
      <c r="D19" s="13">
        <f t="shared" si="4"/>
        <v>48</v>
      </c>
      <c r="E19" s="14">
        <v>48</v>
      </c>
      <c r="F19" s="13">
        <f t="shared" si="5"/>
        <v>48</v>
      </c>
      <c r="G19" s="13">
        <f t="shared" si="6"/>
        <v>96</v>
      </c>
      <c r="H19" s="11">
        <v>44124</v>
      </c>
    </row>
    <row r="20" spans="2:8" x14ac:dyDescent="0.15">
      <c r="B20" s="10" t="s">
        <v>11</v>
      </c>
      <c r="C20" s="12">
        <v>48</v>
      </c>
      <c r="D20" s="13">
        <f t="shared" si="4"/>
        <v>48</v>
      </c>
      <c r="E20" s="14">
        <v>24</v>
      </c>
      <c r="F20" s="13">
        <f t="shared" si="5"/>
        <v>24</v>
      </c>
      <c r="G20" s="13">
        <f t="shared" si="6"/>
        <v>72</v>
      </c>
      <c r="H20" s="11">
        <v>44140</v>
      </c>
    </row>
    <row r="21" spans="2:8" x14ac:dyDescent="0.15">
      <c r="B21" s="10" t="s">
        <v>11</v>
      </c>
      <c r="C21" s="12">
        <v>60</v>
      </c>
      <c r="D21" s="13">
        <f t="shared" si="4"/>
        <v>60</v>
      </c>
      <c r="E21" s="14">
        <v>24</v>
      </c>
      <c r="F21" s="13">
        <f t="shared" si="5"/>
        <v>24</v>
      </c>
      <c r="G21" s="13">
        <f t="shared" si="6"/>
        <v>84</v>
      </c>
      <c r="H21" s="11">
        <v>44154</v>
      </c>
    </row>
    <row r="22" spans="2:8" x14ac:dyDescent="0.15">
      <c r="B22" s="10" t="s">
        <v>11</v>
      </c>
      <c r="C22" s="12">
        <v>60</v>
      </c>
      <c r="D22" s="13">
        <f t="shared" si="4"/>
        <v>60</v>
      </c>
      <c r="E22" s="14">
        <v>24</v>
      </c>
      <c r="F22" s="13">
        <f t="shared" si="5"/>
        <v>24</v>
      </c>
      <c r="G22" s="13">
        <f t="shared" si="6"/>
        <v>84</v>
      </c>
      <c r="H22" s="11">
        <v>44169</v>
      </c>
    </row>
    <row r="23" spans="2:8" x14ac:dyDescent="0.15">
      <c r="B23" s="10" t="s">
        <v>11</v>
      </c>
      <c r="C23" s="15">
        <v>60</v>
      </c>
      <c r="D23" s="13">
        <f t="shared" si="4"/>
        <v>60</v>
      </c>
      <c r="E23" s="16">
        <v>24</v>
      </c>
      <c r="F23" s="13">
        <f t="shared" si="5"/>
        <v>24</v>
      </c>
      <c r="G23" s="13">
        <f t="shared" si="6"/>
        <v>84</v>
      </c>
      <c r="H23" s="11">
        <v>44544</v>
      </c>
    </row>
    <row r="24" spans="2:8" x14ac:dyDescent="0.15">
      <c r="B24" s="10" t="s">
        <v>11</v>
      </c>
      <c r="C24" s="12">
        <v>60</v>
      </c>
      <c r="D24" s="13">
        <f t="shared" si="4"/>
        <v>60</v>
      </c>
      <c r="E24" s="14"/>
      <c r="F24" s="13">
        <f t="shared" si="5"/>
        <v>0</v>
      </c>
      <c r="G24" s="13">
        <f t="shared" si="6"/>
        <v>60</v>
      </c>
      <c r="H24" s="11">
        <v>44545</v>
      </c>
    </row>
    <row r="25" spans="2:8" x14ac:dyDescent="0.15">
      <c r="B25" s="10" t="s">
        <v>11</v>
      </c>
      <c r="C25" s="12">
        <v>60</v>
      </c>
      <c r="D25" s="13">
        <f t="shared" si="4"/>
        <v>60</v>
      </c>
      <c r="E25" s="14"/>
      <c r="F25" s="13">
        <f t="shared" si="5"/>
        <v>0</v>
      </c>
      <c r="G25" s="13">
        <f t="shared" si="6"/>
        <v>60</v>
      </c>
      <c r="H25" s="11">
        <v>44202</v>
      </c>
    </row>
    <row r="26" spans="2:8" x14ac:dyDescent="0.15">
      <c r="B26" s="10" t="s">
        <v>11</v>
      </c>
      <c r="C26" s="12">
        <v>60</v>
      </c>
      <c r="D26" s="13">
        <f t="shared" si="4"/>
        <v>60</v>
      </c>
      <c r="E26" s="14"/>
      <c r="F26" s="13">
        <f t="shared" si="5"/>
        <v>0</v>
      </c>
      <c r="G26" s="13">
        <f t="shared" si="6"/>
        <v>60</v>
      </c>
      <c r="H26" s="11">
        <v>44217</v>
      </c>
    </row>
    <row r="27" spans="2:8" x14ac:dyDescent="0.15">
      <c r="B27" s="10" t="s">
        <v>11</v>
      </c>
      <c r="C27" s="12">
        <v>36</v>
      </c>
      <c r="D27" s="13">
        <f t="shared" si="4"/>
        <v>36</v>
      </c>
      <c r="E27" s="14">
        <v>62</v>
      </c>
      <c r="F27" s="13">
        <f t="shared" si="5"/>
        <v>62</v>
      </c>
      <c r="G27" s="13">
        <f t="shared" si="6"/>
        <v>98</v>
      </c>
      <c r="H27" s="11">
        <v>44224</v>
      </c>
    </row>
    <row r="28" spans="2:8" x14ac:dyDescent="0.15">
      <c r="B28" s="10" t="s">
        <v>11</v>
      </c>
      <c r="C28" s="12">
        <v>60</v>
      </c>
      <c r="D28" s="13">
        <f t="shared" si="4"/>
        <v>60</v>
      </c>
      <c r="E28" s="14"/>
      <c r="F28" s="13">
        <f t="shared" si="5"/>
        <v>0</v>
      </c>
      <c r="G28" s="13">
        <f t="shared" si="6"/>
        <v>60</v>
      </c>
      <c r="H28" s="11">
        <v>44230</v>
      </c>
    </row>
    <row r="29" spans="2:8" x14ac:dyDescent="0.15">
      <c r="B29" s="10" t="s">
        <v>11</v>
      </c>
      <c r="C29" s="12"/>
      <c r="D29" s="13">
        <f t="shared" si="4"/>
        <v>0</v>
      </c>
      <c r="E29" s="14">
        <v>28</v>
      </c>
      <c r="F29" s="13">
        <f t="shared" si="5"/>
        <v>28</v>
      </c>
      <c r="G29" s="13">
        <f t="shared" si="6"/>
        <v>28</v>
      </c>
      <c r="H29" s="11">
        <v>44235</v>
      </c>
    </row>
    <row r="30" spans="2:8" x14ac:dyDescent="0.15">
      <c r="B30" s="10" t="s">
        <v>12</v>
      </c>
      <c r="C30" s="12">
        <v>48</v>
      </c>
      <c r="D30" s="13">
        <f t="shared" si="4"/>
        <v>48</v>
      </c>
      <c r="E30" s="14"/>
      <c r="F30" s="13">
        <f t="shared" si="5"/>
        <v>0</v>
      </c>
      <c r="G30" s="13">
        <f t="shared" si="6"/>
        <v>48</v>
      </c>
      <c r="H30" s="11">
        <v>44250</v>
      </c>
    </row>
    <row r="31" spans="2:8" x14ac:dyDescent="0.15">
      <c r="B31" s="10" t="s">
        <v>12</v>
      </c>
      <c r="C31" s="12">
        <v>60</v>
      </c>
      <c r="D31" s="13">
        <f t="shared" si="4"/>
        <v>60</v>
      </c>
      <c r="E31" s="14"/>
      <c r="F31" s="13">
        <f t="shared" si="5"/>
        <v>0</v>
      </c>
      <c r="G31" s="13">
        <f t="shared" si="6"/>
        <v>60</v>
      </c>
      <c r="H31" s="11">
        <v>44259</v>
      </c>
    </row>
    <row r="32" spans="2:8" x14ac:dyDescent="0.15">
      <c r="B32" s="10" t="s">
        <v>13</v>
      </c>
      <c r="C32" s="12"/>
      <c r="D32" s="13">
        <f t="shared" si="4"/>
        <v>0</v>
      </c>
      <c r="E32" s="14">
        <v>24</v>
      </c>
      <c r="F32" s="13">
        <f t="shared" si="5"/>
        <v>24</v>
      </c>
      <c r="G32" s="13">
        <f t="shared" si="6"/>
        <v>24</v>
      </c>
      <c r="H32" s="11">
        <v>44272</v>
      </c>
    </row>
    <row r="33" spans="2:8" x14ac:dyDescent="0.15">
      <c r="B33" s="10" t="s">
        <v>14</v>
      </c>
      <c r="C33" s="12">
        <v>60</v>
      </c>
      <c r="D33" s="13">
        <f t="shared" si="4"/>
        <v>60</v>
      </c>
      <c r="E33" s="14"/>
      <c r="F33" s="13">
        <f t="shared" si="5"/>
        <v>0</v>
      </c>
      <c r="G33" s="13">
        <f t="shared" si="6"/>
        <v>60</v>
      </c>
      <c r="H33" s="11">
        <v>44278</v>
      </c>
    </row>
    <row r="34" spans="2:8" x14ac:dyDescent="0.15">
      <c r="B34" s="10" t="s">
        <v>14</v>
      </c>
      <c r="C34" s="12">
        <v>24</v>
      </c>
      <c r="D34" s="13">
        <f t="shared" si="4"/>
        <v>24</v>
      </c>
      <c r="E34" s="14">
        <v>8</v>
      </c>
      <c r="F34" s="13">
        <f t="shared" si="5"/>
        <v>8</v>
      </c>
      <c r="G34" s="13">
        <f t="shared" si="6"/>
        <v>32</v>
      </c>
      <c r="H34" s="11">
        <v>44285</v>
      </c>
    </row>
    <row r="35" spans="2:8" x14ac:dyDescent="0.15">
      <c r="B35" s="10" t="s">
        <v>11</v>
      </c>
      <c r="C35" s="15">
        <v>48</v>
      </c>
      <c r="D35" s="13">
        <f t="shared" si="4"/>
        <v>48</v>
      </c>
      <c r="E35" s="16"/>
      <c r="F35" s="13">
        <f t="shared" si="5"/>
        <v>0</v>
      </c>
      <c r="G35" s="13">
        <f t="shared" si="6"/>
        <v>48</v>
      </c>
      <c r="H35" s="11">
        <v>44292</v>
      </c>
    </row>
    <row r="36" spans="2:8" x14ac:dyDescent="0.15">
      <c r="B36" s="10" t="s">
        <v>16</v>
      </c>
      <c r="C36" s="12"/>
      <c r="D36" s="13">
        <f t="shared" si="4"/>
        <v>0</v>
      </c>
      <c r="E36" s="14">
        <v>28</v>
      </c>
      <c r="F36" s="13">
        <f t="shared" si="5"/>
        <v>28</v>
      </c>
      <c r="G36" s="13">
        <f t="shared" si="6"/>
        <v>28</v>
      </c>
      <c r="H36" s="11">
        <v>44299</v>
      </c>
    </row>
    <row r="37" spans="2:8" x14ac:dyDescent="0.15">
      <c r="B37" s="37" t="s">
        <v>15</v>
      </c>
      <c r="C37" s="12">
        <v>1</v>
      </c>
      <c r="D37" s="13">
        <f t="shared" si="4"/>
        <v>1</v>
      </c>
      <c r="E37" s="14"/>
      <c r="F37" s="13">
        <f t="shared" si="5"/>
        <v>0</v>
      </c>
      <c r="G37" s="13">
        <f t="shared" si="6"/>
        <v>1</v>
      </c>
      <c r="H37" s="11">
        <v>44298</v>
      </c>
    </row>
    <row r="38" spans="2:8" x14ac:dyDescent="0.15">
      <c r="B38" s="22" t="s">
        <v>17</v>
      </c>
      <c r="C38" s="12">
        <v>59</v>
      </c>
      <c r="D38" s="13">
        <f t="shared" si="4"/>
        <v>59</v>
      </c>
      <c r="E38" s="14"/>
      <c r="F38" s="13">
        <f t="shared" si="5"/>
        <v>0</v>
      </c>
      <c r="G38" s="13">
        <f t="shared" si="6"/>
        <v>59</v>
      </c>
      <c r="H38" s="11">
        <v>44307</v>
      </c>
    </row>
    <row r="39" spans="2:8" ht="14.25" thickBot="1" x14ac:dyDescent="0.2">
      <c r="B39" s="22" t="s">
        <v>18</v>
      </c>
      <c r="C39" s="15"/>
      <c r="D39" s="13">
        <f t="shared" si="4"/>
        <v>0</v>
      </c>
      <c r="E39" s="16">
        <v>30</v>
      </c>
      <c r="F39" s="13">
        <f t="shared" si="5"/>
        <v>30</v>
      </c>
      <c r="G39" s="13">
        <f t="shared" si="6"/>
        <v>30</v>
      </c>
      <c r="H39" s="11">
        <v>44314</v>
      </c>
    </row>
    <row r="40" spans="2:8" ht="14.25" thickBot="1" x14ac:dyDescent="0.2">
      <c r="B40" s="23" t="s">
        <v>4</v>
      </c>
      <c r="C40" s="24">
        <f t="shared" ref="C40:F40" si="7">SUM(C14:C39)</f>
        <v>1092</v>
      </c>
      <c r="D40" s="25">
        <f t="shared" si="7"/>
        <v>1092</v>
      </c>
      <c r="E40" s="24">
        <f t="shared" si="7"/>
        <v>468</v>
      </c>
      <c r="F40" s="25">
        <f t="shared" si="7"/>
        <v>468</v>
      </c>
      <c r="G40" s="26">
        <f t="shared" si="6"/>
        <v>1560</v>
      </c>
    </row>
    <row r="41" spans="2:8" ht="14.25" thickBot="1" x14ac:dyDescent="0.2">
      <c r="B41" s="27" t="s">
        <v>5</v>
      </c>
      <c r="C41" s="28">
        <f t="shared" ref="C41:G41" si="8">C13-C40</f>
        <v>48</v>
      </c>
      <c r="D41" s="29">
        <f t="shared" si="8"/>
        <v>48</v>
      </c>
      <c r="E41" s="28">
        <f t="shared" si="8"/>
        <v>24</v>
      </c>
      <c r="F41" s="30">
        <f t="shared" si="8"/>
        <v>24</v>
      </c>
      <c r="G41" s="31">
        <f t="shared" si="8"/>
        <v>72</v>
      </c>
    </row>
    <row r="44" spans="2:8" ht="19.5" thickBot="1" x14ac:dyDescent="0.25">
      <c r="B44" s="1" t="s">
        <v>7</v>
      </c>
      <c r="C44" s="2"/>
      <c r="D44" s="2"/>
      <c r="E44" s="2"/>
      <c r="F44" s="2"/>
      <c r="G44" s="2"/>
    </row>
    <row r="45" spans="2:8" ht="14.25" thickBot="1" x14ac:dyDescent="0.2">
      <c r="B45" s="3" t="s">
        <v>0</v>
      </c>
      <c r="C45" s="57" t="s">
        <v>8</v>
      </c>
      <c r="D45" s="58"/>
      <c r="E45" s="57" t="s">
        <v>9</v>
      </c>
      <c r="F45" s="58"/>
      <c r="G45" s="59" t="s">
        <v>1</v>
      </c>
    </row>
    <row r="46" spans="2:8" ht="14.25" thickBot="1" x14ac:dyDescent="0.2">
      <c r="B46" s="3"/>
      <c r="C46" s="4"/>
      <c r="D46" s="3" t="s">
        <v>2</v>
      </c>
      <c r="E46" s="4"/>
      <c r="F46" s="3" t="s">
        <v>2</v>
      </c>
      <c r="G46" s="60"/>
    </row>
    <row r="47" spans="2:8" ht="14.25" thickBot="1" x14ac:dyDescent="0.2">
      <c r="B47" s="5" t="s">
        <v>5</v>
      </c>
      <c r="C47" s="6">
        <f>C41</f>
        <v>48</v>
      </c>
      <c r="D47" s="35">
        <f t="shared" ref="D47:D55" si="9">SUM(C47:C47)</f>
        <v>48</v>
      </c>
      <c r="E47" s="6">
        <f>E41</f>
        <v>24</v>
      </c>
      <c r="F47" s="35">
        <f t="shared" ref="F47:F55" si="10">SUM(E47:E47)</f>
        <v>24</v>
      </c>
      <c r="G47" s="35">
        <f t="shared" ref="G47:G55" si="11">D47+F47</f>
        <v>72</v>
      </c>
    </row>
    <row r="48" spans="2:8" x14ac:dyDescent="0.15">
      <c r="B48" s="22" t="s">
        <v>6</v>
      </c>
      <c r="C48" s="8">
        <v>156</v>
      </c>
      <c r="D48" s="32">
        <f t="shared" si="9"/>
        <v>156</v>
      </c>
      <c r="E48" s="9">
        <v>48</v>
      </c>
      <c r="F48" s="32">
        <f t="shared" si="10"/>
        <v>48</v>
      </c>
      <c r="G48" s="32">
        <f t="shared" si="11"/>
        <v>204</v>
      </c>
      <c r="H48" s="11">
        <v>44314</v>
      </c>
    </row>
    <row r="49" spans="2:9" x14ac:dyDescent="0.15">
      <c r="B49" s="22" t="s">
        <v>6</v>
      </c>
      <c r="C49" s="15">
        <v>156</v>
      </c>
      <c r="D49" s="13">
        <f t="shared" si="9"/>
        <v>156</v>
      </c>
      <c r="E49" s="16">
        <v>40</v>
      </c>
      <c r="F49" s="13">
        <f t="shared" si="10"/>
        <v>40</v>
      </c>
      <c r="G49" s="13">
        <f t="shared" si="11"/>
        <v>196</v>
      </c>
      <c r="H49" s="11">
        <v>44356</v>
      </c>
      <c r="I49" s="46"/>
    </row>
    <row r="50" spans="2:9" x14ac:dyDescent="0.15">
      <c r="B50" s="22" t="s">
        <v>6</v>
      </c>
      <c r="C50" s="12">
        <v>180</v>
      </c>
      <c r="D50" s="13">
        <f t="shared" si="9"/>
        <v>180</v>
      </c>
      <c r="E50" s="14">
        <v>48</v>
      </c>
      <c r="F50" s="13">
        <f t="shared" si="10"/>
        <v>48</v>
      </c>
      <c r="G50" s="13">
        <f t="shared" si="11"/>
        <v>228</v>
      </c>
      <c r="H50" s="11">
        <v>44371</v>
      </c>
    </row>
    <row r="51" spans="2:9" x14ac:dyDescent="0.15">
      <c r="B51" s="22" t="s">
        <v>6</v>
      </c>
      <c r="C51" s="12">
        <v>120</v>
      </c>
      <c r="D51" s="13">
        <f t="shared" si="9"/>
        <v>120</v>
      </c>
      <c r="E51" s="14">
        <v>72</v>
      </c>
      <c r="F51" s="13">
        <f t="shared" si="10"/>
        <v>72</v>
      </c>
      <c r="G51" s="13">
        <f t="shared" si="11"/>
        <v>192</v>
      </c>
      <c r="H51" s="11">
        <v>44412</v>
      </c>
    </row>
    <row r="52" spans="2:9" x14ac:dyDescent="0.15">
      <c r="B52" s="22" t="s">
        <v>6</v>
      </c>
      <c r="C52" s="12">
        <v>144</v>
      </c>
      <c r="D52" s="13">
        <f t="shared" si="9"/>
        <v>144</v>
      </c>
      <c r="E52" s="14">
        <v>48</v>
      </c>
      <c r="F52" s="13">
        <f t="shared" si="10"/>
        <v>48</v>
      </c>
      <c r="G52" s="13">
        <f t="shared" si="11"/>
        <v>192</v>
      </c>
      <c r="H52" s="11">
        <v>44447</v>
      </c>
    </row>
    <row r="53" spans="2:9" x14ac:dyDescent="0.15">
      <c r="B53" s="22" t="s">
        <v>6</v>
      </c>
      <c r="C53" s="12"/>
      <c r="D53" s="13">
        <f t="shared" si="9"/>
        <v>0</v>
      </c>
      <c r="E53" s="14"/>
      <c r="F53" s="13">
        <f t="shared" si="10"/>
        <v>0</v>
      </c>
      <c r="G53" s="13">
        <f t="shared" si="11"/>
        <v>0</v>
      </c>
      <c r="H53" s="11"/>
    </row>
    <row r="54" spans="2:9" x14ac:dyDescent="0.15">
      <c r="B54" s="22" t="s">
        <v>6</v>
      </c>
      <c r="C54" s="33"/>
      <c r="D54" s="32">
        <f t="shared" si="9"/>
        <v>0</v>
      </c>
      <c r="E54" s="34"/>
      <c r="F54" s="32">
        <f t="shared" si="10"/>
        <v>0</v>
      </c>
      <c r="G54" s="32">
        <f t="shared" si="11"/>
        <v>0</v>
      </c>
      <c r="H54" s="11"/>
    </row>
    <row r="55" spans="2:9" ht="14.25" thickBot="1" x14ac:dyDescent="0.2">
      <c r="B55" s="22" t="s">
        <v>6</v>
      </c>
      <c r="C55" s="17"/>
      <c r="D55" s="18">
        <f t="shared" si="9"/>
        <v>0</v>
      </c>
      <c r="E55" s="19"/>
      <c r="F55" s="18">
        <f t="shared" si="10"/>
        <v>0</v>
      </c>
      <c r="G55" s="18">
        <f t="shared" si="11"/>
        <v>0</v>
      </c>
      <c r="H55" s="11"/>
    </row>
    <row r="56" spans="2:9" ht="14.25" thickBot="1" x14ac:dyDescent="0.2">
      <c r="B56" s="20" t="s">
        <v>3</v>
      </c>
      <c r="C56" s="6">
        <f t="shared" ref="C56:G56" si="12">SUM(C47:C55)</f>
        <v>804</v>
      </c>
      <c r="D56" s="21">
        <f t="shared" si="12"/>
        <v>804</v>
      </c>
      <c r="E56" s="6">
        <f t="shared" si="12"/>
        <v>280</v>
      </c>
      <c r="F56" s="21">
        <f t="shared" si="12"/>
        <v>280</v>
      </c>
      <c r="G56" s="21">
        <f t="shared" si="12"/>
        <v>1084</v>
      </c>
    </row>
    <row r="57" spans="2:9" x14ac:dyDescent="0.15">
      <c r="B57" s="37" t="s">
        <v>19</v>
      </c>
      <c r="C57" s="12">
        <v>60</v>
      </c>
      <c r="D57" s="13">
        <f t="shared" ref="D57:D82" si="13">SUM(C57:C57)</f>
        <v>60</v>
      </c>
      <c r="E57" s="14"/>
      <c r="F57" s="13"/>
      <c r="G57" s="13">
        <f t="shared" ref="G57:G83" si="14">D57+F57</f>
        <v>60</v>
      </c>
      <c r="H57" s="11">
        <v>44316</v>
      </c>
    </row>
    <row r="58" spans="2:9" x14ac:dyDescent="0.15">
      <c r="B58" s="37" t="s">
        <v>11</v>
      </c>
      <c r="C58" s="12">
        <v>24</v>
      </c>
      <c r="D58" s="13">
        <f t="shared" si="13"/>
        <v>24</v>
      </c>
      <c r="E58" s="14">
        <v>12</v>
      </c>
      <c r="F58" s="13"/>
      <c r="G58" s="13">
        <f t="shared" si="14"/>
        <v>24</v>
      </c>
      <c r="H58" s="11">
        <v>44327</v>
      </c>
    </row>
    <row r="59" spans="2:9" x14ac:dyDescent="0.15">
      <c r="B59" s="37" t="s">
        <v>21</v>
      </c>
      <c r="C59" s="15">
        <v>30</v>
      </c>
      <c r="D59" s="13">
        <f t="shared" si="13"/>
        <v>30</v>
      </c>
      <c r="E59" s="16">
        <v>12</v>
      </c>
      <c r="F59" s="13"/>
      <c r="G59" s="13">
        <f t="shared" si="14"/>
        <v>30</v>
      </c>
      <c r="H59" s="11">
        <v>44336</v>
      </c>
    </row>
    <row r="60" spans="2:9" x14ac:dyDescent="0.15">
      <c r="B60" s="37" t="s">
        <v>20</v>
      </c>
      <c r="C60" s="12">
        <v>1</v>
      </c>
      <c r="D60" s="13">
        <f t="shared" si="13"/>
        <v>1</v>
      </c>
      <c r="E60" s="14"/>
      <c r="F60" s="13"/>
      <c r="G60" s="13">
        <f t="shared" si="14"/>
        <v>1</v>
      </c>
      <c r="H60" s="11">
        <v>44341</v>
      </c>
    </row>
    <row r="61" spans="2:9" x14ac:dyDescent="0.15">
      <c r="B61" s="37" t="s">
        <v>11</v>
      </c>
      <c r="C61" s="12">
        <v>29</v>
      </c>
      <c r="D61" s="13">
        <f t="shared" si="13"/>
        <v>29</v>
      </c>
      <c r="E61" s="14">
        <v>14</v>
      </c>
      <c r="F61" s="13"/>
      <c r="G61" s="13">
        <f t="shared" si="14"/>
        <v>29</v>
      </c>
      <c r="H61" s="11">
        <v>44346</v>
      </c>
    </row>
    <row r="62" spans="2:9" x14ac:dyDescent="0.15">
      <c r="B62" s="37" t="s">
        <v>11</v>
      </c>
      <c r="C62" s="12">
        <v>48</v>
      </c>
      <c r="D62" s="13">
        <f t="shared" si="13"/>
        <v>48</v>
      </c>
      <c r="E62" s="14"/>
      <c r="F62" s="13"/>
      <c r="G62" s="13">
        <f t="shared" si="14"/>
        <v>48</v>
      </c>
      <c r="H62" s="11">
        <v>44352</v>
      </c>
    </row>
    <row r="63" spans="2:9" x14ac:dyDescent="0.15">
      <c r="B63" s="37" t="s">
        <v>11</v>
      </c>
      <c r="C63" s="12"/>
      <c r="D63" s="13">
        <f t="shared" si="13"/>
        <v>0</v>
      </c>
      <c r="E63" s="14">
        <v>24</v>
      </c>
      <c r="F63" s="13"/>
      <c r="G63" s="13">
        <f t="shared" si="14"/>
        <v>0</v>
      </c>
      <c r="H63" s="11">
        <v>44357</v>
      </c>
      <c r="I63" s="46"/>
    </row>
    <row r="64" spans="2:9" x14ac:dyDescent="0.15">
      <c r="B64" s="37" t="s">
        <v>22</v>
      </c>
      <c r="C64" s="12">
        <v>60</v>
      </c>
      <c r="D64" s="13">
        <f t="shared" si="13"/>
        <v>60</v>
      </c>
      <c r="E64" s="14"/>
      <c r="F64" s="13"/>
      <c r="G64" s="13">
        <f t="shared" si="14"/>
        <v>60</v>
      </c>
      <c r="H64" s="11">
        <v>44357</v>
      </c>
      <c r="I64" s="46"/>
    </row>
    <row r="65" spans="2:8" x14ac:dyDescent="0.15">
      <c r="B65" s="37" t="s">
        <v>11</v>
      </c>
      <c r="C65" s="15">
        <v>24</v>
      </c>
      <c r="D65" s="13">
        <f t="shared" si="13"/>
        <v>24</v>
      </c>
      <c r="E65" s="16">
        <v>12</v>
      </c>
      <c r="F65" s="13"/>
      <c r="G65" s="13">
        <f t="shared" si="14"/>
        <v>24</v>
      </c>
      <c r="H65" s="11">
        <v>44366</v>
      </c>
    </row>
    <row r="66" spans="2:8" x14ac:dyDescent="0.15">
      <c r="B66" s="37" t="s">
        <v>11</v>
      </c>
      <c r="C66" s="15">
        <v>24</v>
      </c>
      <c r="D66" s="13">
        <f t="shared" si="13"/>
        <v>24</v>
      </c>
      <c r="E66" s="16">
        <v>12</v>
      </c>
      <c r="F66" s="13"/>
      <c r="G66" s="13">
        <f t="shared" si="14"/>
        <v>24</v>
      </c>
      <c r="H66" s="11">
        <v>44368</v>
      </c>
    </row>
    <row r="67" spans="2:8" x14ac:dyDescent="0.15">
      <c r="B67" s="37" t="s">
        <v>11</v>
      </c>
      <c r="C67" s="12">
        <v>48</v>
      </c>
      <c r="D67" s="13">
        <f t="shared" si="13"/>
        <v>48</v>
      </c>
      <c r="E67" s="14"/>
      <c r="F67" s="13"/>
      <c r="G67" s="13">
        <f t="shared" si="14"/>
        <v>48</v>
      </c>
      <c r="H67" s="11">
        <v>44372</v>
      </c>
    </row>
    <row r="68" spans="2:8" x14ac:dyDescent="0.15">
      <c r="B68" s="37" t="s">
        <v>23</v>
      </c>
      <c r="C68" s="12">
        <v>30</v>
      </c>
      <c r="D68" s="13">
        <f t="shared" si="13"/>
        <v>30</v>
      </c>
      <c r="E68" s="14">
        <v>12</v>
      </c>
      <c r="F68" s="13"/>
      <c r="G68" s="13">
        <f t="shared" si="14"/>
        <v>30</v>
      </c>
      <c r="H68" s="11">
        <v>44378</v>
      </c>
    </row>
    <row r="69" spans="2:8" x14ac:dyDescent="0.15">
      <c r="B69" s="37" t="s">
        <v>15</v>
      </c>
      <c r="C69" s="12">
        <v>1</v>
      </c>
      <c r="D69" s="13">
        <f t="shared" si="13"/>
        <v>1</v>
      </c>
      <c r="E69" s="14"/>
      <c r="F69" s="13"/>
      <c r="G69" s="13">
        <f t="shared" si="14"/>
        <v>1</v>
      </c>
      <c r="H69" s="11">
        <v>44380</v>
      </c>
    </row>
    <row r="70" spans="2:8" x14ac:dyDescent="0.15">
      <c r="B70" s="37" t="s">
        <v>24</v>
      </c>
      <c r="C70" s="12">
        <v>29</v>
      </c>
      <c r="D70" s="13">
        <f t="shared" si="13"/>
        <v>29</v>
      </c>
      <c r="E70" s="14">
        <v>12</v>
      </c>
      <c r="F70" s="13"/>
      <c r="G70" s="13">
        <f t="shared" si="14"/>
        <v>29</v>
      </c>
      <c r="H70" s="11">
        <v>44385</v>
      </c>
    </row>
    <row r="71" spans="2:8" x14ac:dyDescent="0.15">
      <c r="B71" s="37" t="s">
        <v>24</v>
      </c>
      <c r="C71" s="12">
        <v>30</v>
      </c>
      <c r="D71" s="13">
        <f t="shared" si="13"/>
        <v>30</v>
      </c>
      <c r="E71" s="14">
        <v>12</v>
      </c>
      <c r="F71" s="13"/>
      <c r="G71" s="13">
        <f t="shared" si="14"/>
        <v>30</v>
      </c>
      <c r="H71" s="11">
        <v>44391</v>
      </c>
    </row>
    <row r="72" spans="2:8" x14ac:dyDescent="0.15">
      <c r="B72" s="37" t="s">
        <v>25</v>
      </c>
      <c r="C72" s="12">
        <v>36</v>
      </c>
      <c r="D72" s="13">
        <f t="shared" si="13"/>
        <v>36</v>
      </c>
      <c r="E72" s="14">
        <v>14</v>
      </c>
      <c r="F72" s="13"/>
      <c r="G72" s="13">
        <f t="shared" si="14"/>
        <v>36</v>
      </c>
      <c r="H72" s="11">
        <v>44394</v>
      </c>
    </row>
    <row r="73" spans="2:8" x14ac:dyDescent="0.15">
      <c r="B73" s="37" t="s">
        <v>11</v>
      </c>
      <c r="C73" s="12">
        <v>20</v>
      </c>
      <c r="D73" s="13">
        <f t="shared" si="13"/>
        <v>20</v>
      </c>
      <c r="E73" s="14">
        <v>24</v>
      </c>
      <c r="F73" s="13"/>
      <c r="G73" s="13">
        <f t="shared" si="14"/>
        <v>20</v>
      </c>
      <c r="H73" s="11">
        <v>44406</v>
      </c>
    </row>
    <row r="74" spans="2:8" x14ac:dyDescent="0.15">
      <c r="B74" s="37" t="s">
        <v>26</v>
      </c>
      <c r="C74" s="12">
        <v>16</v>
      </c>
      <c r="D74" s="13">
        <f t="shared" si="13"/>
        <v>16</v>
      </c>
      <c r="E74" s="14"/>
      <c r="F74" s="13"/>
      <c r="G74" s="13">
        <f t="shared" si="14"/>
        <v>16</v>
      </c>
      <c r="H74" s="11">
        <v>44408</v>
      </c>
    </row>
    <row r="75" spans="2:8" x14ac:dyDescent="0.15">
      <c r="B75" s="37" t="s">
        <v>11</v>
      </c>
      <c r="C75" s="12">
        <v>16</v>
      </c>
      <c r="D75" s="13">
        <f t="shared" si="13"/>
        <v>16</v>
      </c>
      <c r="E75" s="14"/>
      <c r="F75" s="13"/>
      <c r="G75" s="13">
        <f t="shared" si="14"/>
        <v>16</v>
      </c>
      <c r="H75" s="11">
        <v>44411</v>
      </c>
    </row>
    <row r="76" spans="2:8" x14ac:dyDescent="0.15">
      <c r="B76" s="10" t="s">
        <v>27</v>
      </c>
      <c r="C76" s="12">
        <v>60</v>
      </c>
      <c r="D76" s="13">
        <f t="shared" si="13"/>
        <v>60</v>
      </c>
      <c r="E76" s="14">
        <v>24</v>
      </c>
      <c r="F76" s="13"/>
      <c r="G76" s="13">
        <f t="shared" si="14"/>
        <v>60</v>
      </c>
      <c r="H76" s="11">
        <v>44413</v>
      </c>
    </row>
    <row r="77" spans="2:8" x14ac:dyDescent="0.15">
      <c r="B77" s="10" t="s">
        <v>28</v>
      </c>
      <c r="C77" s="12"/>
      <c r="D77" s="13">
        <f t="shared" si="13"/>
        <v>0</v>
      </c>
      <c r="E77" s="14">
        <v>24</v>
      </c>
      <c r="F77" s="13"/>
      <c r="G77" s="13">
        <f t="shared" si="14"/>
        <v>0</v>
      </c>
      <c r="H77" s="11">
        <v>44426</v>
      </c>
    </row>
    <row r="78" spans="2:8" x14ac:dyDescent="0.15">
      <c r="B78" s="10" t="s">
        <v>27</v>
      </c>
      <c r="C78" s="15">
        <v>60</v>
      </c>
      <c r="D78" s="13">
        <f t="shared" si="13"/>
        <v>60</v>
      </c>
      <c r="E78" s="16"/>
      <c r="F78" s="13"/>
      <c r="G78" s="13">
        <f t="shared" si="14"/>
        <v>60</v>
      </c>
      <c r="H78" s="11">
        <v>44429</v>
      </c>
    </row>
    <row r="79" spans="2:8" x14ac:dyDescent="0.15">
      <c r="B79" s="10" t="s">
        <v>29</v>
      </c>
      <c r="C79" s="12">
        <v>12</v>
      </c>
      <c r="D79" s="13">
        <f t="shared" si="13"/>
        <v>12</v>
      </c>
      <c r="E79" s="14">
        <v>12</v>
      </c>
      <c r="F79" s="13"/>
      <c r="G79" s="13">
        <f t="shared" si="14"/>
        <v>12</v>
      </c>
      <c r="H79" s="11">
        <v>44434</v>
      </c>
    </row>
    <row r="80" spans="2:8" x14ac:dyDescent="0.15">
      <c r="B80" s="10" t="s">
        <v>27</v>
      </c>
      <c r="C80" s="12"/>
      <c r="D80" s="13">
        <f t="shared" si="13"/>
        <v>0</v>
      </c>
      <c r="E80" s="14">
        <v>12</v>
      </c>
      <c r="F80" s="13"/>
      <c r="G80" s="13">
        <f t="shared" si="14"/>
        <v>0</v>
      </c>
      <c r="H80" s="11">
        <v>44441</v>
      </c>
    </row>
    <row r="81" spans="2:9" x14ac:dyDescent="0.15">
      <c r="B81" s="10" t="s">
        <v>27</v>
      </c>
      <c r="C81" s="15">
        <v>60</v>
      </c>
      <c r="D81" s="13">
        <f t="shared" si="13"/>
        <v>60</v>
      </c>
      <c r="E81" s="16"/>
      <c r="F81" s="13"/>
      <c r="G81" s="13">
        <f t="shared" si="14"/>
        <v>60</v>
      </c>
      <c r="H81" s="11">
        <v>44448</v>
      </c>
    </row>
    <row r="82" spans="2:9" ht="14.25" thickBot="1" x14ac:dyDescent="0.2">
      <c r="B82" s="10" t="s">
        <v>27</v>
      </c>
      <c r="C82" s="15">
        <v>24</v>
      </c>
      <c r="D82" s="13">
        <f t="shared" si="13"/>
        <v>24</v>
      </c>
      <c r="E82" s="16">
        <v>12</v>
      </c>
      <c r="F82" s="13"/>
      <c r="G82" s="13">
        <f t="shared" si="14"/>
        <v>24</v>
      </c>
      <c r="H82" s="11">
        <v>44454</v>
      </c>
    </row>
    <row r="83" spans="2:9" ht="14.25" thickBot="1" x14ac:dyDescent="0.2">
      <c r="B83" s="23" t="s">
        <v>4</v>
      </c>
      <c r="C83" s="38">
        <f t="shared" ref="C83:F83" si="15">SUM(C57:C82)</f>
        <v>742</v>
      </c>
      <c r="D83" s="35">
        <f t="shared" si="15"/>
        <v>742</v>
      </c>
      <c r="E83" s="38">
        <f t="shared" si="15"/>
        <v>244</v>
      </c>
      <c r="F83" s="35">
        <f t="shared" si="15"/>
        <v>0</v>
      </c>
      <c r="G83" s="35">
        <f t="shared" si="14"/>
        <v>742</v>
      </c>
    </row>
    <row r="84" spans="2:9" ht="14.25" thickBot="1" x14ac:dyDescent="0.2">
      <c r="B84" s="27" t="s">
        <v>5</v>
      </c>
      <c r="C84" s="39">
        <f t="shared" ref="C84:G84" si="16">C56-C83</f>
        <v>62</v>
      </c>
      <c r="D84" s="40">
        <f t="shared" si="16"/>
        <v>62</v>
      </c>
      <c r="E84" s="39">
        <f t="shared" si="16"/>
        <v>36</v>
      </c>
      <c r="F84" s="40">
        <f t="shared" si="16"/>
        <v>280</v>
      </c>
      <c r="G84" s="36">
        <f t="shared" si="16"/>
        <v>342</v>
      </c>
    </row>
    <row r="87" spans="2:9" ht="19.5" thickBot="1" x14ac:dyDescent="0.25">
      <c r="B87" s="1" t="s">
        <v>7</v>
      </c>
      <c r="C87" s="2"/>
      <c r="D87" s="2"/>
      <c r="E87" s="2"/>
      <c r="F87" s="2"/>
      <c r="G87" s="2"/>
    </row>
    <row r="88" spans="2:9" ht="14.25" thickBot="1" x14ac:dyDescent="0.2">
      <c r="B88" s="3" t="s">
        <v>0</v>
      </c>
      <c r="C88" s="57" t="s">
        <v>8</v>
      </c>
      <c r="D88" s="58"/>
      <c r="E88" s="57" t="s">
        <v>9</v>
      </c>
      <c r="F88" s="58"/>
      <c r="G88" s="59" t="s">
        <v>1</v>
      </c>
    </row>
    <row r="89" spans="2:9" ht="14.25" thickBot="1" x14ac:dyDescent="0.2">
      <c r="B89" s="3"/>
      <c r="C89" s="4"/>
      <c r="D89" s="3" t="s">
        <v>2</v>
      </c>
      <c r="E89" s="4"/>
      <c r="F89" s="3" t="s">
        <v>2</v>
      </c>
      <c r="G89" s="60"/>
    </row>
    <row r="90" spans="2:9" ht="14.25" thickBot="1" x14ac:dyDescent="0.2">
      <c r="B90" s="5" t="s">
        <v>5</v>
      </c>
      <c r="C90" s="6">
        <f>C84</f>
        <v>62</v>
      </c>
      <c r="D90" s="35">
        <f t="shared" ref="D90:D98" si="17">SUM(C90:C90)</f>
        <v>62</v>
      </c>
      <c r="E90" s="6">
        <f>E84</f>
        <v>36</v>
      </c>
      <c r="F90" s="35">
        <f t="shared" ref="F90:F98" si="18">SUM(E90:E90)</f>
        <v>36</v>
      </c>
      <c r="G90" s="35">
        <f t="shared" ref="G90:G98" si="19">D90+F90</f>
        <v>98</v>
      </c>
    </row>
    <row r="91" spans="2:9" x14ac:dyDescent="0.15">
      <c r="B91" s="22" t="s">
        <v>6</v>
      </c>
      <c r="C91" s="8">
        <v>144</v>
      </c>
      <c r="D91" s="32">
        <f t="shared" si="17"/>
        <v>144</v>
      </c>
      <c r="E91" s="9">
        <v>36</v>
      </c>
      <c r="F91" s="32">
        <f t="shared" si="18"/>
        <v>36</v>
      </c>
      <c r="G91" s="32">
        <f t="shared" si="19"/>
        <v>180</v>
      </c>
      <c r="H91" s="11">
        <v>44477</v>
      </c>
      <c r="I91" s="46"/>
    </row>
    <row r="92" spans="2:9" x14ac:dyDescent="0.15">
      <c r="B92" s="22" t="s">
        <v>6</v>
      </c>
      <c r="C92" s="15">
        <v>132</v>
      </c>
      <c r="D92" s="13">
        <f t="shared" si="17"/>
        <v>132</v>
      </c>
      <c r="E92" s="16">
        <v>48</v>
      </c>
      <c r="F92" s="13">
        <f t="shared" si="18"/>
        <v>48</v>
      </c>
      <c r="G92" s="13">
        <f t="shared" si="19"/>
        <v>180</v>
      </c>
      <c r="H92" s="11">
        <v>44509</v>
      </c>
      <c r="I92" s="46"/>
    </row>
    <row r="93" spans="2:9" x14ac:dyDescent="0.15">
      <c r="B93" s="22" t="s">
        <v>6</v>
      </c>
      <c r="C93" s="12">
        <v>156</v>
      </c>
      <c r="D93" s="13">
        <f t="shared" si="17"/>
        <v>156</v>
      </c>
      <c r="E93" s="14">
        <v>48</v>
      </c>
      <c r="F93" s="13">
        <f t="shared" si="18"/>
        <v>48</v>
      </c>
      <c r="G93" s="13">
        <f t="shared" si="19"/>
        <v>204</v>
      </c>
      <c r="H93" s="11">
        <v>44526</v>
      </c>
    </row>
    <row r="94" spans="2:9" x14ac:dyDescent="0.15">
      <c r="B94" s="22" t="s">
        <v>6</v>
      </c>
      <c r="C94" s="12"/>
      <c r="D94" s="13">
        <f t="shared" si="17"/>
        <v>0</v>
      </c>
      <c r="E94" s="14">
        <v>48</v>
      </c>
      <c r="F94" s="13">
        <f t="shared" si="18"/>
        <v>48</v>
      </c>
      <c r="G94" s="13">
        <f t="shared" si="19"/>
        <v>48</v>
      </c>
      <c r="H94" s="11">
        <v>44553</v>
      </c>
    </row>
    <row r="95" spans="2:9" x14ac:dyDescent="0.15">
      <c r="B95" s="22" t="s">
        <v>6</v>
      </c>
      <c r="C95" s="12"/>
      <c r="D95" s="13">
        <f t="shared" si="17"/>
        <v>0</v>
      </c>
      <c r="E95" s="14"/>
      <c r="F95" s="13">
        <f t="shared" si="18"/>
        <v>0</v>
      </c>
      <c r="G95" s="13">
        <f t="shared" si="19"/>
        <v>0</v>
      </c>
      <c r="H95" s="11"/>
    </row>
    <row r="96" spans="2:9" x14ac:dyDescent="0.15">
      <c r="B96" s="22" t="s">
        <v>6</v>
      </c>
      <c r="C96" s="12"/>
      <c r="D96" s="13">
        <f t="shared" si="17"/>
        <v>0</v>
      </c>
      <c r="E96" s="14"/>
      <c r="F96" s="13">
        <f t="shared" si="18"/>
        <v>0</v>
      </c>
      <c r="G96" s="13">
        <f t="shared" si="19"/>
        <v>0</v>
      </c>
      <c r="H96" s="11"/>
    </row>
    <row r="97" spans="2:9" x14ac:dyDescent="0.15">
      <c r="B97" s="22" t="s">
        <v>6</v>
      </c>
      <c r="C97" s="33"/>
      <c r="D97" s="32">
        <f t="shared" si="17"/>
        <v>0</v>
      </c>
      <c r="E97" s="34"/>
      <c r="F97" s="32">
        <f t="shared" si="18"/>
        <v>0</v>
      </c>
      <c r="G97" s="32">
        <f t="shared" si="19"/>
        <v>0</v>
      </c>
      <c r="H97" s="11"/>
    </row>
    <row r="98" spans="2:9" ht="14.25" thickBot="1" x14ac:dyDescent="0.2">
      <c r="B98" s="22" t="s">
        <v>6</v>
      </c>
      <c r="C98" s="17"/>
      <c r="D98" s="18">
        <f t="shared" si="17"/>
        <v>0</v>
      </c>
      <c r="E98" s="19"/>
      <c r="F98" s="18">
        <f t="shared" si="18"/>
        <v>0</v>
      </c>
      <c r="G98" s="18">
        <f t="shared" si="19"/>
        <v>0</v>
      </c>
      <c r="H98" s="11"/>
    </row>
    <row r="99" spans="2:9" ht="14.25" thickBot="1" x14ac:dyDescent="0.2">
      <c r="B99" s="20" t="s">
        <v>3</v>
      </c>
      <c r="C99" s="6">
        <f t="shared" ref="C99:G99" si="20">SUM(C90:C98)</f>
        <v>494</v>
      </c>
      <c r="D99" s="21">
        <f t="shared" si="20"/>
        <v>494</v>
      </c>
      <c r="E99" s="6">
        <f t="shared" si="20"/>
        <v>216</v>
      </c>
      <c r="F99" s="21">
        <f t="shared" si="20"/>
        <v>216</v>
      </c>
      <c r="G99" s="21">
        <f t="shared" si="20"/>
        <v>710</v>
      </c>
    </row>
    <row r="100" spans="2:9" x14ac:dyDescent="0.15">
      <c r="B100" s="37" t="s">
        <v>30</v>
      </c>
      <c r="C100" s="12">
        <v>24</v>
      </c>
      <c r="D100" s="13">
        <f t="shared" ref="D100:D125" si="21">SUM(C100:C100)</f>
        <v>24</v>
      </c>
      <c r="E100" s="14"/>
      <c r="F100" s="13"/>
      <c r="G100" s="13">
        <f t="shared" ref="G100:G126" si="22">D100+F100</f>
        <v>24</v>
      </c>
      <c r="H100" s="11">
        <v>44467</v>
      </c>
    </row>
    <row r="101" spans="2:9" x14ac:dyDescent="0.15">
      <c r="B101" s="37" t="s">
        <v>31</v>
      </c>
      <c r="C101" s="12">
        <v>24</v>
      </c>
      <c r="D101" s="13">
        <f t="shared" si="21"/>
        <v>24</v>
      </c>
      <c r="E101" s="14"/>
      <c r="F101" s="13"/>
      <c r="G101" s="13">
        <f t="shared" si="22"/>
        <v>24</v>
      </c>
      <c r="H101" s="11">
        <v>44474</v>
      </c>
    </row>
    <row r="102" spans="2:9" x14ac:dyDescent="0.15">
      <c r="B102" s="37" t="s">
        <v>27</v>
      </c>
      <c r="C102" s="15"/>
      <c r="D102" s="13">
        <f t="shared" si="21"/>
        <v>0</v>
      </c>
      <c r="E102" s="16">
        <v>12</v>
      </c>
      <c r="F102" s="13"/>
      <c r="G102" s="13">
        <f t="shared" si="22"/>
        <v>0</v>
      </c>
      <c r="H102" s="11">
        <v>44481</v>
      </c>
    </row>
    <row r="103" spans="2:9" x14ac:dyDescent="0.15">
      <c r="B103" s="37" t="s">
        <v>32</v>
      </c>
      <c r="C103" s="12">
        <v>24</v>
      </c>
      <c r="D103" s="13">
        <f t="shared" si="21"/>
        <v>24</v>
      </c>
      <c r="E103" s="14">
        <v>12</v>
      </c>
      <c r="F103" s="13"/>
      <c r="G103" s="13">
        <f t="shared" si="22"/>
        <v>24</v>
      </c>
      <c r="H103" s="11">
        <v>44481</v>
      </c>
    </row>
    <row r="104" spans="2:9" x14ac:dyDescent="0.15">
      <c r="B104" s="37" t="s">
        <v>27</v>
      </c>
      <c r="C104" s="12">
        <v>12</v>
      </c>
      <c r="D104" s="13">
        <f t="shared" si="21"/>
        <v>12</v>
      </c>
      <c r="E104" s="14">
        <v>12</v>
      </c>
      <c r="F104" s="13"/>
      <c r="G104" s="13">
        <f t="shared" si="22"/>
        <v>12</v>
      </c>
      <c r="H104" s="11">
        <v>44490</v>
      </c>
    </row>
    <row r="105" spans="2:9" x14ac:dyDescent="0.15">
      <c r="B105" s="37" t="s">
        <v>33</v>
      </c>
      <c r="C105" s="12">
        <v>53</v>
      </c>
      <c r="D105" s="13">
        <f t="shared" si="21"/>
        <v>53</v>
      </c>
      <c r="E105" s="14"/>
      <c r="F105" s="13"/>
      <c r="G105" s="13">
        <f t="shared" si="22"/>
        <v>53</v>
      </c>
      <c r="H105" s="11">
        <v>44497</v>
      </c>
      <c r="I105" s="46"/>
    </row>
    <row r="106" spans="2:9" x14ac:dyDescent="0.15">
      <c r="B106" s="37" t="s">
        <v>34</v>
      </c>
      <c r="C106" s="12">
        <v>12</v>
      </c>
      <c r="D106" s="13">
        <f t="shared" si="21"/>
        <v>12</v>
      </c>
      <c r="E106" s="14">
        <v>12</v>
      </c>
      <c r="F106" s="13"/>
      <c r="G106" s="13">
        <f t="shared" si="22"/>
        <v>12</v>
      </c>
      <c r="H106" s="11">
        <v>44500</v>
      </c>
      <c r="I106" s="46"/>
    </row>
    <row r="107" spans="2:9" x14ac:dyDescent="0.15">
      <c r="B107" s="37" t="s">
        <v>35</v>
      </c>
      <c r="C107" s="12">
        <v>24</v>
      </c>
      <c r="D107" s="13">
        <f t="shared" si="21"/>
        <v>24</v>
      </c>
      <c r="E107" s="14">
        <v>11</v>
      </c>
      <c r="F107" s="13"/>
      <c r="G107" s="13">
        <f t="shared" si="22"/>
        <v>24</v>
      </c>
      <c r="H107" s="11">
        <v>44503</v>
      </c>
    </row>
    <row r="108" spans="2:9" x14ac:dyDescent="0.15">
      <c r="B108" s="37" t="s">
        <v>36</v>
      </c>
      <c r="C108" s="15">
        <v>24</v>
      </c>
      <c r="D108" s="13">
        <f t="shared" si="21"/>
        <v>24</v>
      </c>
      <c r="E108" s="16"/>
      <c r="F108" s="13"/>
      <c r="G108" s="13">
        <f t="shared" si="22"/>
        <v>24</v>
      </c>
      <c r="H108" s="11">
        <v>44503</v>
      </c>
    </row>
    <row r="109" spans="2:9" x14ac:dyDescent="0.15">
      <c r="B109" s="37" t="s">
        <v>27</v>
      </c>
      <c r="C109" s="15">
        <v>8</v>
      </c>
      <c r="D109" s="13">
        <f t="shared" si="21"/>
        <v>8</v>
      </c>
      <c r="E109" s="16">
        <v>12</v>
      </c>
      <c r="F109" s="13"/>
      <c r="G109" s="13">
        <f t="shared" si="22"/>
        <v>8</v>
      </c>
      <c r="H109" s="11">
        <v>44508</v>
      </c>
    </row>
    <row r="110" spans="2:9" x14ac:dyDescent="0.15">
      <c r="B110" s="37" t="s">
        <v>37</v>
      </c>
      <c r="C110" s="12">
        <v>48</v>
      </c>
      <c r="D110" s="13">
        <f t="shared" si="21"/>
        <v>48</v>
      </c>
      <c r="E110" s="14">
        <v>23</v>
      </c>
      <c r="F110" s="13"/>
      <c r="G110" s="13">
        <f t="shared" si="22"/>
        <v>48</v>
      </c>
      <c r="H110" s="11">
        <v>44510</v>
      </c>
    </row>
    <row r="111" spans="2:9" x14ac:dyDescent="0.15">
      <c r="B111" s="37" t="s">
        <v>27</v>
      </c>
      <c r="C111" s="12">
        <v>30</v>
      </c>
      <c r="D111" s="13">
        <f t="shared" si="21"/>
        <v>30</v>
      </c>
      <c r="E111" s="14"/>
      <c r="F111" s="13"/>
      <c r="G111" s="13">
        <f t="shared" si="22"/>
        <v>30</v>
      </c>
      <c r="H111" s="11">
        <v>44516</v>
      </c>
    </row>
    <row r="112" spans="2:9" x14ac:dyDescent="0.15">
      <c r="B112" s="37" t="s">
        <v>27</v>
      </c>
      <c r="C112" s="12">
        <v>40</v>
      </c>
      <c r="D112" s="13">
        <f t="shared" si="21"/>
        <v>40</v>
      </c>
      <c r="E112" s="14"/>
      <c r="F112" s="13"/>
      <c r="G112" s="13">
        <f t="shared" si="22"/>
        <v>40</v>
      </c>
      <c r="H112" s="11">
        <v>44523</v>
      </c>
    </row>
    <row r="113" spans="2:8" x14ac:dyDescent="0.15">
      <c r="B113" s="37" t="s">
        <v>27</v>
      </c>
      <c r="C113" s="12"/>
      <c r="D113" s="13">
        <f t="shared" si="21"/>
        <v>0</v>
      </c>
      <c r="E113" s="14">
        <v>20</v>
      </c>
      <c r="F113" s="13"/>
      <c r="G113" s="13">
        <f t="shared" si="22"/>
        <v>0</v>
      </c>
      <c r="H113" s="11">
        <v>44523</v>
      </c>
    </row>
    <row r="114" spans="2:8" x14ac:dyDescent="0.15">
      <c r="B114" s="37" t="s">
        <v>38</v>
      </c>
      <c r="C114" s="12"/>
      <c r="D114" s="13">
        <f t="shared" si="21"/>
        <v>0</v>
      </c>
      <c r="E114" s="14">
        <v>22</v>
      </c>
      <c r="F114" s="13"/>
      <c r="G114" s="13">
        <f t="shared" si="22"/>
        <v>0</v>
      </c>
      <c r="H114" s="11">
        <v>44531</v>
      </c>
    </row>
    <row r="115" spans="2:8" x14ac:dyDescent="0.15">
      <c r="B115" s="37" t="s">
        <v>39</v>
      </c>
      <c r="C115" s="12"/>
      <c r="D115" s="13">
        <f t="shared" si="21"/>
        <v>0</v>
      </c>
      <c r="E115" s="14">
        <v>22</v>
      </c>
      <c r="F115" s="13"/>
      <c r="G115" s="13">
        <f t="shared" si="22"/>
        <v>0</v>
      </c>
      <c r="H115" s="11">
        <v>44531</v>
      </c>
    </row>
    <row r="116" spans="2:8" x14ac:dyDescent="0.15">
      <c r="B116" s="37" t="s">
        <v>40</v>
      </c>
      <c r="C116" s="12">
        <v>44</v>
      </c>
      <c r="D116" s="13">
        <f t="shared" si="21"/>
        <v>44</v>
      </c>
      <c r="E116" s="14"/>
      <c r="F116" s="13"/>
      <c r="G116" s="13">
        <f t="shared" si="22"/>
        <v>44</v>
      </c>
      <c r="H116" s="11">
        <v>44531</v>
      </c>
    </row>
    <row r="117" spans="2:8" x14ac:dyDescent="0.15">
      <c r="B117" s="37" t="s">
        <v>42</v>
      </c>
      <c r="C117" s="12">
        <v>44</v>
      </c>
      <c r="D117" s="13">
        <f t="shared" si="21"/>
        <v>44</v>
      </c>
      <c r="E117" s="14"/>
      <c r="F117" s="13"/>
      <c r="G117" s="13">
        <f t="shared" si="22"/>
        <v>44</v>
      </c>
      <c r="H117" s="11">
        <v>44531</v>
      </c>
    </row>
    <row r="118" spans="2:8" x14ac:dyDescent="0.15">
      <c r="B118" s="37" t="s">
        <v>41</v>
      </c>
      <c r="C118" s="12">
        <v>3</v>
      </c>
      <c r="D118" s="13">
        <f t="shared" si="21"/>
        <v>3</v>
      </c>
      <c r="E118" s="14"/>
      <c r="F118" s="13"/>
      <c r="G118" s="13">
        <f t="shared" si="22"/>
        <v>3</v>
      </c>
      <c r="H118" s="11">
        <v>44536</v>
      </c>
    </row>
    <row r="119" spans="2:8" x14ac:dyDescent="0.15">
      <c r="B119" s="10" t="s">
        <v>43</v>
      </c>
      <c r="C119" s="12">
        <v>6</v>
      </c>
      <c r="D119" s="13">
        <f t="shared" si="21"/>
        <v>6</v>
      </c>
      <c r="E119" s="14">
        <v>10</v>
      </c>
      <c r="F119" s="13"/>
      <c r="G119" s="13">
        <f t="shared" si="22"/>
        <v>6</v>
      </c>
      <c r="H119" s="11">
        <v>44546</v>
      </c>
    </row>
    <row r="120" spans="2:8" x14ac:dyDescent="0.15">
      <c r="B120" s="10" t="s">
        <v>27</v>
      </c>
      <c r="C120" s="12">
        <v>36</v>
      </c>
      <c r="D120" s="13">
        <f t="shared" si="21"/>
        <v>36</v>
      </c>
      <c r="E120" s="14"/>
      <c r="F120" s="13"/>
      <c r="G120" s="13">
        <f t="shared" si="22"/>
        <v>36</v>
      </c>
      <c r="H120" s="11">
        <v>44548</v>
      </c>
    </row>
    <row r="121" spans="2:8" x14ac:dyDescent="0.15">
      <c r="B121" s="37" t="s">
        <v>15</v>
      </c>
      <c r="C121" s="15"/>
      <c r="D121" s="13">
        <f t="shared" si="21"/>
        <v>0</v>
      </c>
      <c r="E121" s="16">
        <v>1</v>
      </c>
      <c r="F121" s="13"/>
      <c r="G121" s="13">
        <f t="shared" si="22"/>
        <v>0</v>
      </c>
      <c r="H121" s="11">
        <v>44553</v>
      </c>
    </row>
    <row r="122" spans="2:8" x14ac:dyDescent="0.15">
      <c r="B122" s="10" t="s">
        <v>44</v>
      </c>
      <c r="C122" s="12"/>
      <c r="D122" s="13">
        <f t="shared" si="21"/>
        <v>0</v>
      </c>
      <c r="E122" s="14"/>
      <c r="F122" s="13"/>
      <c r="G122" s="13">
        <f t="shared" si="22"/>
        <v>0</v>
      </c>
      <c r="H122" s="11">
        <v>44555</v>
      </c>
    </row>
    <row r="123" spans="2:8" x14ac:dyDescent="0.15">
      <c r="B123" s="10" t="s">
        <v>45</v>
      </c>
      <c r="C123" s="12">
        <v>20</v>
      </c>
      <c r="D123" s="13">
        <f t="shared" si="21"/>
        <v>20</v>
      </c>
      <c r="E123" s="14">
        <v>10</v>
      </c>
      <c r="F123" s="13"/>
      <c r="G123" s="13">
        <f t="shared" si="22"/>
        <v>20</v>
      </c>
      <c r="H123" s="11">
        <v>44558</v>
      </c>
    </row>
    <row r="124" spans="2:8" x14ac:dyDescent="0.15">
      <c r="B124" s="10" t="s">
        <v>45</v>
      </c>
      <c r="C124" s="15">
        <v>18</v>
      </c>
      <c r="D124" s="13">
        <f t="shared" si="21"/>
        <v>18</v>
      </c>
      <c r="E124" s="16"/>
      <c r="F124" s="13"/>
      <c r="G124" s="13">
        <f t="shared" si="22"/>
        <v>18</v>
      </c>
      <c r="H124" s="11">
        <v>44568</v>
      </c>
    </row>
    <row r="125" spans="2:8" ht="14.25" thickBot="1" x14ac:dyDescent="0.2">
      <c r="B125" s="10" t="s">
        <v>27</v>
      </c>
      <c r="C125" s="15"/>
      <c r="D125" s="13">
        <f t="shared" si="21"/>
        <v>0</v>
      </c>
      <c r="E125" s="16">
        <v>13</v>
      </c>
      <c r="F125" s="13"/>
      <c r="G125" s="13">
        <f t="shared" si="22"/>
        <v>0</v>
      </c>
      <c r="H125" s="11">
        <v>44569</v>
      </c>
    </row>
    <row r="126" spans="2:8" ht="14.25" thickBot="1" x14ac:dyDescent="0.2">
      <c r="B126" s="23" t="s">
        <v>4</v>
      </c>
      <c r="C126" s="38">
        <f t="shared" ref="C126:F126" si="23">SUM(C100:C125)</f>
        <v>494</v>
      </c>
      <c r="D126" s="35">
        <f t="shared" si="23"/>
        <v>494</v>
      </c>
      <c r="E126" s="38">
        <f t="shared" si="23"/>
        <v>192</v>
      </c>
      <c r="F126" s="35">
        <f t="shared" si="23"/>
        <v>0</v>
      </c>
      <c r="G126" s="35">
        <f t="shared" si="22"/>
        <v>494</v>
      </c>
    </row>
    <row r="127" spans="2:8" ht="14.25" thickBot="1" x14ac:dyDescent="0.2">
      <c r="B127" s="27" t="s">
        <v>5</v>
      </c>
      <c r="C127" s="39">
        <f t="shared" ref="C127:G127" si="24">C99-C126</f>
        <v>0</v>
      </c>
      <c r="D127" s="40">
        <f t="shared" si="24"/>
        <v>0</v>
      </c>
      <c r="E127" s="39">
        <f t="shared" si="24"/>
        <v>24</v>
      </c>
      <c r="F127" s="40">
        <f t="shared" si="24"/>
        <v>216</v>
      </c>
      <c r="G127" s="36">
        <f t="shared" si="24"/>
        <v>216</v>
      </c>
    </row>
    <row r="130" spans="2:9" ht="19.5" thickBot="1" x14ac:dyDescent="0.25">
      <c r="B130" s="1" t="s">
        <v>7</v>
      </c>
      <c r="C130" s="2"/>
      <c r="D130" s="2"/>
      <c r="E130" s="2"/>
      <c r="F130" s="2"/>
      <c r="G130" s="2"/>
    </row>
    <row r="131" spans="2:9" ht="14.25" thickBot="1" x14ac:dyDescent="0.2">
      <c r="B131" s="3" t="s">
        <v>0</v>
      </c>
      <c r="C131" s="57" t="s">
        <v>8</v>
      </c>
      <c r="D131" s="58"/>
      <c r="E131" s="57" t="s">
        <v>9</v>
      </c>
      <c r="F131" s="58"/>
      <c r="G131" s="59" t="s">
        <v>1</v>
      </c>
    </row>
    <row r="132" spans="2:9" ht="14.25" thickBot="1" x14ac:dyDescent="0.2">
      <c r="B132" s="3"/>
      <c r="C132" s="4"/>
      <c r="D132" s="3" t="s">
        <v>2</v>
      </c>
      <c r="E132" s="4"/>
      <c r="F132" s="3" t="s">
        <v>2</v>
      </c>
      <c r="G132" s="60"/>
    </row>
    <row r="133" spans="2:9" ht="14.25" thickBot="1" x14ac:dyDescent="0.2">
      <c r="B133" s="5" t="s">
        <v>5</v>
      </c>
      <c r="C133" s="6">
        <f>C127</f>
        <v>0</v>
      </c>
      <c r="D133" s="35">
        <f t="shared" ref="D133:D141" si="25">SUM(C133:C133)</f>
        <v>0</v>
      </c>
      <c r="E133" s="6">
        <f>E127</f>
        <v>24</v>
      </c>
      <c r="F133" s="35">
        <f t="shared" ref="F133:F141" si="26">SUM(E133:E133)</f>
        <v>24</v>
      </c>
      <c r="G133" s="35">
        <f t="shared" ref="G133:G141" si="27">D133+F133</f>
        <v>24</v>
      </c>
    </row>
    <row r="134" spans="2:9" x14ac:dyDescent="0.15">
      <c r="B134" s="22" t="s">
        <v>6</v>
      </c>
      <c r="C134" s="12">
        <v>156</v>
      </c>
      <c r="D134" s="13">
        <f t="shared" si="25"/>
        <v>156</v>
      </c>
      <c r="E134" s="14">
        <v>48</v>
      </c>
      <c r="F134" s="13">
        <f t="shared" si="26"/>
        <v>48</v>
      </c>
      <c r="G134" s="13">
        <f t="shared" si="27"/>
        <v>204</v>
      </c>
      <c r="H134" s="11">
        <v>44572</v>
      </c>
    </row>
    <row r="135" spans="2:9" x14ac:dyDescent="0.15">
      <c r="B135" s="22" t="s">
        <v>6</v>
      </c>
      <c r="C135" s="15">
        <v>156</v>
      </c>
      <c r="D135" s="13">
        <f t="shared" si="25"/>
        <v>156</v>
      </c>
      <c r="E135" s="16">
        <v>24</v>
      </c>
      <c r="F135" s="13">
        <f t="shared" si="26"/>
        <v>24</v>
      </c>
      <c r="G135" s="13">
        <f t="shared" si="27"/>
        <v>180</v>
      </c>
      <c r="H135" s="11">
        <v>44591</v>
      </c>
    </row>
    <row r="136" spans="2:9" x14ac:dyDescent="0.15">
      <c r="B136" s="22" t="s">
        <v>6</v>
      </c>
      <c r="C136" s="12">
        <v>132</v>
      </c>
      <c r="D136" s="13">
        <f t="shared" si="25"/>
        <v>132</v>
      </c>
      <c r="E136" s="14">
        <v>60</v>
      </c>
      <c r="F136" s="13">
        <f t="shared" si="26"/>
        <v>60</v>
      </c>
      <c r="G136" s="13">
        <f t="shared" si="27"/>
        <v>192</v>
      </c>
      <c r="H136" s="11">
        <v>44621</v>
      </c>
    </row>
    <row r="137" spans="2:9" x14ac:dyDescent="0.15">
      <c r="B137" s="22" t="s">
        <v>6</v>
      </c>
      <c r="C137" s="12">
        <v>156</v>
      </c>
      <c r="D137" s="13">
        <f t="shared" si="25"/>
        <v>156</v>
      </c>
      <c r="E137" s="14"/>
      <c r="F137" s="13">
        <f t="shared" si="26"/>
        <v>0</v>
      </c>
      <c r="G137" s="13">
        <f t="shared" si="27"/>
        <v>156</v>
      </c>
      <c r="H137" s="11">
        <v>44648</v>
      </c>
    </row>
    <row r="138" spans="2:9" x14ac:dyDescent="0.15">
      <c r="B138" s="22" t="s">
        <v>6</v>
      </c>
      <c r="C138" s="12"/>
      <c r="D138" s="13">
        <f t="shared" si="25"/>
        <v>0</v>
      </c>
      <c r="E138" s="14"/>
      <c r="F138" s="13">
        <f t="shared" si="26"/>
        <v>0</v>
      </c>
      <c r="G138" s="13">
        <f t="shared" si="27"/>
        <v>0</v>
      </c>
      <c r="H138" s="46"/>
      <c r="I138" s="46"/>
    </row>
    <row r="139" spans="2:9" x14ac:dyDescent="0.15">
      <c r="B139" s="22" t="s">
        <v>6</v>
      </c>
      <c r="C139" s="12"/>
      <c r="D139" s="13">
        <f t="shared" si="25"/>
        <v>0</v>
      </c>
      <c r="E139" s="14"/>
      <c r="F139" s="13">
        <f t="shared" si="26"/>
        <v>0</v>
      </c>
      <c r="G139" s="13">
        <f t="shared" si="27"/>
        <v>0</v>
      </c>
    </row>
    <row r="140" spans="2:9" x14ac:dyDescent="0.15">
      <c r="B140" s="22" t="s">
        <v>6</v>
      </c>
      <c r="C140" s="33"/>
      <c r="D140" s="32">
        <f t="shared" si="25"/>
        <v>0</v>
      </c>
      <c r="E140" s="34"/>
      <c r="F140" s="32">
        <f t="shared" si="26"/>
        <v>0</v>
      </c>
      <c r="G140" s="32">
        <f t="shared" si="27"/>
        <v>0</v>
      </c>
    </row>
    <row r="141" spans="2:9" ht="14.25" thickBot="1" x14ac:dyDescent="0.2">
      <c r="B141" s="22" t="s">
        <v>6</v>
      </c>
      <c r="C141" s="17"/>
      <c r="D141" s="18">
        <f t="shared" si="25"/>
        <v>0</v>
      </c>
      <c r="E141" s="19"/>
      <c r="F141" s="18">
        <f t="shared" si="26"/>
        <v>0</v>
      </c>
      <c r="G141" s="18">
        <f t="shared" si="27"/>
        <v>0</v>
      </c>
    </row>
    <row r="142" spans="2:9" ht="14.25" thickBot="1" x14ac:dyDescent="0.2">
      <c r="B142" s="20" t="s">
        <v>3</v>
      </c>
      <c r="C142" s="6">
        <f t="shared" ref="C142:G142" si="28">SUM(C133:C141)</f>
        <v>600</v>
      </c>
      <c r="D142" s="21">
        <f t="shared" si="28"/>
        <v>600</v>
      </c>
      <c r="E142" s="6">
        <f t="shared" si="28"/>
        <v>156</v>
      </c>
      <c r="F142" s="21">
        <f t="shared" si="28"/>
        <v>156</v>
      </c>
      <c r="G142" s="21">
        <f t="shared" si="28"/>
        <v>756</v>
      </c>
    </row>
    <row r="143" spans="2:9" x14ac:dyDescent="0.15">
      <c r="B143" s="37" t="s">
        <v>46</v>
      </c>
      <c r="C143" s="12">
        <v>36</v>
      </c>
      <c r="D143" s="13">
        <f t="shared" ref="D143:F168" si="29">SUM(C143:C143)</f>
        <v>36</v>
      </c>
      <c r="E143" s="14"/>
      <c r="F143" s="13">
        <f t="shared" si="29"/>
        <v>0</v>
      </c>
      <c r="G143" s="13">
        <f t="shared" ref="G143:G169" si="30">D143+F143</f>
        <v>36</v>
      </c>
      <c r="H143" s="11">
        <v>44573</v>
      </c>
    </row>
    <row r="144" spans="2:9" x14ac:dyDescent="0.15">
      <c r="B144" s="37" t="s">
        <v>47</v>
      </c>
      <c r="C144" s="12">
        <v>1</v>
      </c>
      <c r="D144" s="13">
        <f t="shared" si="29"/>
        <v>1</v>
      </c>
      <c r="E144" s="14"/>
      <c r="F144" s="13">
        <f t="shared" si="29"/>
        <v>0</v>
      </c>
      <c r="G144" s="13">
        <f t="shared" si="30"/>
        <v>1</v>
      </c>
      <c r="H144" s="11">
        <v>44572</v>
      </c>
    </row>
    <row r="145" spans="2:8" x14ac:dyDescent="0.15">
      <c r="B145" s="37" t="s">
        <v>27</v>
      </c>
      <c r="C145" s="15">
        <v>38</v>
      </c>
      <c r="D145" s="13">
        <f t="shared" si="29"/>
        <v>38</v>
      </c>
      <c r="E145" s="16"/>
      <c r="F145" s="13">
        <f t="shared" si="29"/>
        <v>0</v>
      </c>
      <c r="G145" s="13">
        <f t="shared" si="30"/>
        <v>38</v>
      </c>
      <c r="H145" s="11">
        <v>44573</v>
      </c>
    </row>
    <row r="146" spans="2:8" x14ac:dyDescent="0.15">
      <c r="B146" s="37" t="s">
        <v>15</v>
      </c>
      <c r="C146" s="12">
        <v>1</v>
      </c>
      <c r="D146" s="13">
        <f t="shared" si="29"/>
        <v>1</v>
      </c>
      <c r="E146" s="14"/>
      <c r="F146" s="13">
        <f t="shared" si="29"/>
        <v>0</v>
      </c>
      <c r="G146" s="13">
        <f t="shared" si="30"/>
        <v>1</v>
      </c>
      <c r="H146" s="11">
        <v>44573</v>
      </c>
    </row>
    <row r="147" spans="2:8" x14ac:dyDescent="0.15">
      <c r="B147" s="37" t="s">
        <v>48</v>
      </c>
      <c r="C147" s="12"/>
      <c r="D147" s="13">
        <f t="shared" si="29"/>
        <v>0</v>
      </c>
      <c r="E147" s="14">
        <v>14</v>
      </c>
      <c r="F147" s="13">
        <f t="shared" si="29"/>
        <v>14</v>
      </c>
      <c r="G147" s="13">
        <f t="shared" si="30"/>
        <v>14</v>
      </c>
      <c r="H147" s="11">
        <v>44574</v>
      </c>
    </row>
    <row r="148" spans="2:8" x14ac:dyDescent="0.15">
      <c r="B148" s="37" t="s">
        <v>49</v>
      </c>
      <c r="C148" s="12">
        <v>30</v>
      </c>
      <c r="D148" s="13">
        <f t="shared" si="29"/>
        <v>30</v>
      </c>
      <c r="E148" s="14"/>
      <c r="F148" s="13">
        <f t="shared" si="29"/>
        <v>0</v>
      </c>
      <c r="G148" s="13">
        <f t="shared" si="30"/>
        <v>30</v>
      </c>
      <c r="H148" s="11">
        <v>44586</v>
      </c>
    </row>
    <row r="149" spans="2:8" x14ac:dyDescent="0.15">
      <c r="B149" s="37" t="s">
        <v>27</v>
      </c>
      <c r="C149" s="12"/>
      <c r="D149" s="13">
        <f t="shared" si="29"/>
        <v>0</v>
      </c>
      <c r="E149" s="14">
        <v>12</v>
      </c>
      <c r="F149" s="13">
        <f t="shared" si="29"/>
        <v>12</v>
      </c>
      <c r="G149" s="13">
        <f t="shared" si="30"/>
        <v>12</v>
      </c>
      <c r="H149" s="11">
        <v>44586</v>
      </c>
    </row>
    <row r="150" spans="2:8" x14ac:dyDescent="0.15">
      <c r="B150" s="37" t="s">
        <v>27</v>
      </c>
      <c r="C150" s="12">
        <v>32</v>
      </c>
      <c r="D150" s="13">
        <f t="shared" si="29"/>
        <v>32</v>
      </c>
      <c r="E150" s="14">
        <v>12</v>
      </c>
      <c r="F150" s="13">
        <f t="shared" si="29"/>
        <v>12</v>
      </c>
      <c r="G150" s="13">
        <f t="shared" si="30"/>
        <v>44</v>
      </c>
      <c r="H150" s="11">
        <v>44589</v>
      </c>
    </row>
    <row r="151" spans="2:8" x14ac:dyDescent="0.15">
      <c r="B151" s="37" t="s">
        <v>27</v>
      </c>
      <c r="C151" s="15">
        <v>32</v>
      </c>
      <c r="D151" s="13">
        <f t="shared" si="29"/>
        <v>32</v>
      </c>
      <c r="E151" s="16">
        <v>13</v>
      </c>
      <c r="F151" s="13">
        <f t="shared" si="29"/>
        <v>13</v>
      </c>
      <c r="G151" s="13">
        <f t="shared" si="30"/>
        <v>45</v>
      </c>
      <c r="H151" s="11">
        <v>44593</v>
      </c>
    </row>
    <row r="152" spans="2:8" x14ac:dyDescent="0.15">
      <c r="B152" s="37" t="s">
        <v>27</v>
      </c>
      <c r="C152" s="15">
        <v>32</v>
      </c>
      <c r="D152" s="13">
        <f t="shared" si="29"/>
        <v>32</v>
      </c>
      <c r="E152" s="16"/>
      <c r="F152" s="13">
        <f t="shared" si="29"/>
        <v>0</v>
      </c>
      <c r="G152" s="13">
        <f t="shared" si="30"/>
        <v>32</v>
      </c>
      <c r="H152" s="11">
        <v>44600</v>
      </c>
    </row>
    <row r="153" spans="2:8" x14ac:dyDescent="0.15">
      <c r="B153" s="37" t="s">
        <v>27</v>
      </c>
      <c r="C153" s="12"/>
      <c r="D153" s="13">
        <f t="shared" si="29"/>
        <v>0</v>
      </c>
      <c r="E153" s="14">
        <v>16</v>
      </c>
      <c r="F153" s="13">
        <f t="shared" si="29"/>
        <v>16</v>
      </c>
      <c r="G153" s="13">
        <f t="shared" si="30"/>
        <v>16</v>
      </c>
      <c r="H153" s="11">
        <v>44601</v>
      </c>
    </row>
    <row r="154" spans="2:8" x14ac:dyDescent="0.15">
      <c r="B154" s="37" t="s">
        <v>27</v>
      </c>
      <c r="C154" s="12">
        <v>32</v>
      </c>
      <c r="D154" s="13">
        <f t="shared" si="29"/>
        <v>32</v>
      </c>
      <c r="E154" s="14"/>
      <c r="F154" s="13">
        <f t="shared" si="29"/>
        <v>0</v>
      </c>
      <c r="G154" s="13">
        <f t="shared" si="30"/>
        <v>32</v>
      </c>
      <c r="H154" s="11">
        <v>44608</v>
      </c>
    </row>
    <row r="155" spans="2:8" x14ac:dyDescent="0.15">
      <c r="B155" s="37" t="s">
        <v>27</v>
      </c>
      <c r="C155" s="12"/>
      <c r="D155" s="13">
        <f t="shared" si="29"/>
        <v>0</v>
      </c>
      <c r="E155" s="14">
        <v>15</v>
      </c>
      <c r="F155" s="13">
        <f t="shared" si="29"/>
        <v>15</v>
      </c>
      <c r="G155" s="13">
        <f t="shared" si="30"/>
        <v>15</v>
      </c>
      <c r="H155" s="11">
        <v>44611</v>
      </c>
    </row>
    <row r="156" spans="2:8" x14ac:dyDescent="0.15">
      <c r="B156" s="37" t="s">
        <v>27</v>
      </c>
      <c r="C156" s="12">
        <v>32</v>
      </c>
      <c r="D156" s="13">
        <f t="shared" si="29"/>
        <v>32</v>
      </c>
      <c r="E156" s="14"/>
      <c r="F156" s="13">
        <f t="shared" si="29"/>
        <v>0</v>
      </c>
      <c r="G156" s="13">
        <f t="shared" si="30"/>
        <v>32</v>
      </c>
      <c r="H156" s="11">
        <v>44615</v>
      </c>
    </row>
    <row r="157" spans="2:8" x14ac:dyDescent="0.15">
      <c r="B157" s="37" t="s">
        <v>27</v>
      </c>
      <c r="C157" s="12"/>
      <c r="D157" s="13">
        <f t="shared" si="29"/>
        <v>0</v>
      </c>
      <c r="E157" s="14">
        <v>14</v>
      </c>
      <c r="F157" s="13">
        <f t="shared" si="29"/>
        <v>14</v>
      </c>
      <c r="G157" s="13">
        <f t="shared" si="30"/>
        <v>14</v>
      </c>
      <c r="H157" s="11">
        <v>44615</v>
      </c>
    </row>
    <row r="158" spans="2:8" x14ac:dyDescent="0.15">
      <c r="B158" s="37" t="s">
        <v>27</v>
      </c>
      <c r="C158" s="12">
        <v>32</v>
      </c>
      <c r="D158" s="13">
        <f t="shared" si="29"/>
        <v>32</v>
      </c>
      <c r="E158" s="14"/>
      <c r="F158" s="13">
        <f t="shared" si="29"/>
        <v>0</v>
      </c>
      <c r="G158" s="13">
        <f t="shared" si="30"/>
        <v>32</v>
      </c>
      <c r="H158" s="11">
        <v>44623</v>
      </c>
    </row>
    <row r="159" spans="2:8" x14ac:dyDescent="0.15">
      <c r="B159" s="37" t="s">
        <v>27</v>
      </c>
      <c r="C159" s="12">
        <v>32</v>
      </c>
      <c r="D159" s="13">
        <f t="shared" si="29"/>
        <v>32</v>
      </c>
      <c r="E159" s="14"/>
      <c r="F159" s="13">
        <f t="shared" si="29"/>
        <v>0</v>
      </c>
      <c r="G159" s="13">
        <f t="shared" si="30"/>
        <v>32</v>
      </c>
      <c r="H159" s="11">
        <v>44630</v>
      </c>
    </row>
    <row r="160" spans="2:8" x14ac:dyDescent="0.15">
      <c r="B160" s="37" t="s">
        <v>27</v>
      </c>
      <c r="C160" s="12"/>
      <c r="D160" s="13">
        <f t="shared" si="29"/>
        <v>0</v>
      </c>
      <c r="E160" s="14">
        <v>16</v>
      </c>
      <c r="F160" s="13">
        <f t="shared" si="29"/>
        <v>16</v>
      </c>
      <c r="G160" s="13">
        <f t="shared" si="30"/>
        <v>16</v>
      </c>
      <c r="H160" s="11">
        <v>44631</v>
      </c>
    </row>
    <row r="161" spans="2:9" x14ac:dyDescent="0.15">
      <c r="B161" s="37" t="s">
        <v>27</v>
      </c>
      <c r="C161" s="12">
        <v>32</v>
      </c>
      <c r="D161" s="13">
        <f t="shared" si="29"/>
        <v>32</v>
      </c>
      <c r="E161" s="14"/>
      <c r="F161" s="13">
        <f t="shared" si="29"/>
        <v>0</v>
      </c>
      <c r="G161" s="13">
        <f t="shared" si="30"/>
        <v>32</v>
      </c>
      <c r="H161" s="11">
        <v>44635</v>
      </c>
    </row>
    <row r="162" spans="2:9" x14ac:dyDescent="0.15">
      <c r="B162" s="37" t="s">
        <v>27</v>
      </c>
      <c r="C162" s="12"/>
      <c r="D162" s="13">
        <f t="shared" si="29"/>
        <v>0</v>
      </c>
      <c r="E162" s="14">
        <v>10</v>
      </c>
      <c r="F162" s="13">
        <f t="shared" si="29"/>
        <v>10</v>
      </c>
      <c r="G162" s="13">
        <f t="shared" si="30"/>
        <v>10</v>
      </c>
      <c r="H162" s="11">
        <v>44639</v>
      </c>
    </row>
    <row r="163" spans="2:9" x14ac:dyDescent="0.15">
      <c r="B163" s="37" t="s">
        <v>27</v>
      </c>
      <c r="C163" s="12">
        <v>32</v>
      </c>
      <c r="D163" s="13">
        <f t="shared" si="29"/>
        <v>32</v>
      </c>
      <c r="E163" s="14"/>
      <c r="F163" s="13">
        <f t="shared" si="29"/>
        <v>0</v>
      </c>
      <c r="G163" s="13">
        <f t="shared" si="30"/>
        <v>32</v>
      </c>
      <c r="H163" s="11">
        <v>44643</v>
      </c>
    </row>
    <row r="164" spans="2:9" x14ac:dyDescent="0.15">
      <c r="B164" s="37" t="s">
        <v>27</v>
      </c>
      <c r="C164" s="15">
        <v>32</v>
      </c>
      <c r="D164" s="13">
        <f t="shared" si="29"/>
        <v>32</v>
      </c>
      <c r="E164" s="16"/>
      <c r="F164" s="13">
        <f t="shared" si="29"/>
        <v>0</v>
      </c>
      <c r="G164" s="13">
        <f t="shared" si="30"/>
        <v>32</v>
      </c>
      <c r="H164" s="11">
        <v>44650</v>
      </c>
    </row>
    <row r="165" spans="2:9" x14ac:dyDescent="0.15">
      <c r="B165" s="37" t="s">
        <v>27</v>
      </c>
      <c r="C165" s="12">
        <v>32</v>
      </c>
      <c r="D165" s="13">
        <f t="shared" si="29"/>
        <v>32</v>
      </c>
      <c r="E165" s="14"/>
      <c r="F165" s="13">
        <f t="shared" si="29"/>
        <v>0</v>
      </c>
      <c r="G165" s="13">
        <f t="shared" si="30"/>
        <v>32</v>
      </c>
      <c r="H165" s="11">
        <v>44653</v>
      </c>
    </row>
    <row r="166" spans="2:9" x14ac:dyDescent="0.15">
      <c r="B166" s="37" t="s">
        <v>27</v>
      </c>
      <c r="C166" s="12"/>
      <c r="D166" s="13">
        <f t="shared" si="29"/>
        <v>0</v>
      </c>
      <c r="E166" s="14">
        <v>12</v>
      </c>
      <c r="F166" s="13">
        <f t="shared" si="29"/>
        <v>12</v>
      </c>
      <c r="G166" s="13">
        <f t="shared" si="30"/>
        <v>12</v>
      </c>
      <c r="H166" s="11">
        <v>44656</v>
      </c>
    </row>
    <row r="167" spans="2:9" x14ac:dyDescent="0.15">
      <c r="B167" s="37" t="s">
        <v>27</v>
      </c>
      <c r="C167" s="15">
        <v>32</v>
      </c>
      <c r="D167" s="13">
        <f t="shared" si="29"/>
        <v>32</v>
      </c>
      <c r="E167" s="16"/>
      <c r="F167" s="13">
        <f t="shared" si="29"/>
        <v>0</v>
      </c>
      <c r="G167" s="13">
        <f t="shared" si="30"/>
        <v>32</v>
      </c>
      <c r="H167" s="11">
        <v>44663</v>
      </c>
      <c r="I167" s="46"/>
    </row>
    <row r="168" spans="2:9" ht="14.25" thickBot="1" x14ac:dyDescent="0.2">
      <c r="B168" s="37" t="s">
        <v>27</v>
      </c>
      <c r="C168" s="15">
        <v>32</v>
      </c>
      <c r="D168" s="13">
        <f t="shared" si="29"/>
        <v>32</v>
      </c>
      <c r="E168" s="16"/>
      <c r="F168" s="13">
        <f t="shared" si="29"/>
        <v>0</v>
      </c>
      <c r="G168" s="13">
        <f t="shared" si="30"/>
        <v>32</v>
      </c>
      <c r="H168" s="47">
        <v>44665</v>
      </c>
    </row>
    <row r="169" spans="2:9" ht="14.25" thickBot="1" x14ac:dyDescent="0.2">
      <c r="B169" s="23" t="s">
        <v>4</v>
      </c>
      <c r="C169" s="38">
        <f t="shared" ref="C169:E169" si="31">SUM(C143:C168)</f>
        <v>522</v>
      </c>
      <c r="D169" s="35">
        <f t="shared" si="31"/>
        <v>522</v>
      </c>
      <c r="E169" s="38">
        <f t="shared" si="31"/>
        <v>134</v>
      </c>
      <c r="F169" s="35">
        <f t="shared" ref="F169" si="32">SUM(F143:F168)</f>
        <v>134</v>
      </c>
      <c r="G169" s="35">
        <f t="shared" si="30"/>
        <v>656</v>
      </c>
    </row>
    <row r="170" spans="2:9" ht="14.25" thickBot="1" x14ac:dyDescent="0.2">
      <c r="B170" s="27" t="s">
        <v>5</v>
      </c>
      <c r="C170" s="39">
        <f t="shared" ref="C170:G170" si="33">C142-C169</f>
        <v>78</v>
      </c>
      <c r="D170" s="40">
        <f t="shared" si="33"/>
        <v>78</v>
      </c>
      <c r="E170" s="39">
        <f t="shared" si="33"/>
        <v>22</v>
      </c>
      <c r="F170" s="40">
        <f t="shared" ref="F170" si="34">F142-F169</f>
        <v>22</v>
      </c>
      <c r="G170" s="36">
        <f t="shared" si="33"/>
        <v>100</v>
      </c>
    </row>
    <row r="173" spans="2:9" ht="19.5" thickBot="1" x14ac:dyDescent="0.25">
      <c r="B173" s="1" t="s">
        <v>7</v>
      </c>
      <c r="C173" s="2"/>
      <c r="D173" s="2"/>
      <c r="E173" s="2"/>
      <c r="F173" s="2"/>
      <c r="G173" s="2"/>
    </row>
    <row r="174" spans="2:9" ht="14.25" thickBot="1" x14ac:dyDescent="0.2">
      <c r="B174" s="3" t="s">
        <v>0</v>
      </c>
      <c r="C174" s="57" t="s">
        <v>8</v>
      </c>
      <c r="D174" s="58"/>
      <c r="E174" s="57" t="s">
        <v>9</v>
      </c>
      <c r="F174" s="58"/>
      <c r="G174" s="59" t="s">
        <v>1</v>
      </c>
    </row>
    <row r="175" spans="2:9" ht="14.25" thickBot="1" x14ac:dyDescent="0.2">
      <c r="B175" s="3"/>
      <c r="C175" s="4"/>
      <c r="D175" s="3" t="s">
        <v>2</v>
      </c>
      <c r="E175" s="4"/>
      <c r="F175" s="3" t="s">
        <v>2</v>
      </c>
      <c r="G175" s="60"/>
    </row>
    <row r="176" spans="2:9" ht="14.25" thickBot="1" x14ac:dyDescent="0.2">
      <c r="B176" s="5" t="s">
        <v>5</v>
      </c>
      <c r="C176" s="6">
        <f>C170</f>
        <v>78</v>
      </c>
      <c r="D176" s="35">
        <f t="shared" ref="D176:D184" si="35">SUM(C176:C176)</f>
        <v>78</v>
      </c>
      <c r="E176" s="6">
        <f>E170</f>
        <v>22</v>
      </c>
      <c r="F176" s="35">
        <f t="shared" ref="F176:F184" si="36">SUM(E176:E176)</f>
        <v>22</v>
      </c>
      <c r="G176" s="35">
        <f t="shared" ref="G176:G184" si="37">D176+F176</f>
        <v>100</v>
      </c>
    </row>
    <row r="177" spans="2:9" x14ac:dyDescent="0.15">
      <c r="B177" s="22" t="s">
        <v>6</v>
      </c>
      <c r="C177" s="12">
        <v>132</v>
      </c>
      <c r="D177" s="13">
        <f t="shared" si="35"/>
        <v>132</v>
      </c>
      <c r="E177" s="14">
        <v>48</v>
      </c>
      <c r="F177" s="13">
        <f t="shared" si="36"/>
        <v>48</v>
      </c>
      <c r="G177" s="13">
        <f t="shared" si="37"/>
        <v>180</v>
      </c>
      <c r="H177" s="11">
        <v>44691</v>
      </c>
    </row>
    <row r="178" spans="2:9" x14ac:dyDescent="0.15">
      <c r="B178" s="22" t="s">
        <v>6</v>
      </c>
      <c r="C178" s="15">
        <v>108</v>
      </c>
      <c r="D178" s="13">
        <f t="shared" si="35"/>
        <v>108</v>
      </c>
      <c r="E178" s="16"/>
      <c r="F178" s="13">
        <f t="shared" si="36"/>
        <v>0</v>
      </c>
      <c r="G178" s="13">
        <f t="shared" si="37"/>
        <v>108</v>
      </c>
      <c r="H178" s="11">
        <v>44712</v>
      </c>
      <c r="I178" s="46"/>
    </row>
    <row r="179" spans="2:9" x14ac:dyDescent="0.15">
      <c r="B179" s="22" t="s">
        <v>6</v>
      </c>
      <c r="C179" s="12">
        <v>132</v>
      </c>
      <c r="D179" s="13">
        <f t="shared" si="35"/>
        <v>132</v>
      </c>
      <c r="E179" s="14">
        <v>48</v>
      </c>
      <c r="F179" s="13">
        <f t="shared" si="36"/>
        <v>48</v>
      </c>
      <c r="G179" s="13">
        <f t="shared" si="37"/>
        <v>180</v>
      </c>
      <c r="H179" s="11">
        <v>44734</v>
      </c>
    </row>
    <row r="180" spans="2:9" x14ac:dyDescent="0.15">
      <c r="B180" s="22" t="s">
        <v>6</v>
      </c>
      <c r="C180" s="12"/>
      <c r="D180" s="13">
        <f t="shared" si="35"/>
        <v>0</v>
      </c>
      <c r="E180" s="14">
        <v>64</v>
      </c>
      <c r="F180" s="13">
        <f t="shared" si="36"/>
        <v>64</v>
      </c>
      <c r="G180" s="13">
        <f t="shared" si="37"/>
        <v>64</v>
      </c>
      <c r="H180" s="11">
        <v>44740</v>
      </c>
    </row>
    <row r="181" spans="2:9" x14ac:dyDescent="0.15">
      <c r="B181" s="22" t="s">
        <v>6</v>
      </c>
      <c r="C181" s="12"/>
      <c r="D181" s="13">
        <f t="shared" si="35"/>
        <v>0</v>
      </c>
      <c r="E181" s="14"/>
      <c r="F181" s="13">
        <f t="shared" si="36"/>
        <v>0</v>
      </c>
      <c r="G181" s="13">
        <f t="shared" si="37"/>
        <v>0</v>
      </c>
      <c r="H181" s="46"/>
    </row>
    <row r="182" spans="2:9" x14ac:dyDescent="0.15">
      <c r="B182" s="22" t="s">
        <v>6</v>
      </c>
      <c r="C182" s="12"/>
      <c r="D182" s="13">
        <f t="shared" si="35"/>
        <v>0</v>
      </c>
      <c r="E182" s="14"/>
      <c r="F182" s="13">
        <f t="shared" si="36"/>
        <v>0</v>
      </c>
      <c r="G182" s="13">
        <f t="shared" si="37"/>
        <v>0</v>
      </c>
    </row>
    <row r="183" spans="2:9" x14ac:dyDescent="0.15">
      <c r="B183" s="22" t="s">
        <v>6</v>
      </c>
      <c r="C183" s="33"/>
      <c r="D183" s="32">
        <f t="shared" si="35"/>
        <v>0</v>
      </c>
      <c r="E183" s="34"/>
      <c r="F183" s="32">
        <f t="shared" si="36"/>
        <v>0</v>
      </c>
      <c r="G183" s="32">
        <f t="shared" si="37"/>
        <v>0</v>
      </c>
    </row>
    <row r="184" spans="2:9" ht="14.25" thickBot="1" x14ac:dyDescent="0.2">
      <c r="B184" s="22" t="s">
        <v>6</v>
      </c>
      <c r="C184" s="17"/>
      <c r="D184" s="18">
        <f t="shared" si="35"/>
        <v>0</v>
      </c>
      <c r="E184" s="19"/>
      <c r="F184" s="18">
        <f t="shared" si="36"/>
        <v>0</v>
      </c>
      <c r="G184" s="18">
        <f t="shared" si="37"/>
        <v>0</v>
      </c>
    </row>
    <row r="185" spans="2:9" ht="14.25" thickBot="1" x14ac:dyDescent="0.2">
      <c r="B185" s="20" t="s">
        <v>3</v>
      </c>
      <c r="C185" s="6">
        <f t="shared" ref="C185:G185" si="38">SUM(C176:C184)</f>
        <v>450</v>
      </c>
      <c r="D185" s="21">
        <f t="shared" si="38"/>
        <v>450</v>
      </c>
      <c r="E185" s="6">
        <f t="shared" si="38"/>
        <v>182</v>
      </c>
      <c r="F185" s="21">
        <f t="shared" si="38"/>
        <v>182</v>
      </c>
      <c r="G185" s="21">
        <f t="shared" si="38"/>
        <v>632</v>
      </c>
    </row>
    <row r="186" spans="2:9" x14ac:dyDescent="0.15">
      <c r="B186" s="37" t="s">
        <v>50</v>
      </c>
      <c r="C186" s="12"/>
      <c r="D186" s="13">
        <f t="shared" ref="D186:F211" si="39">SUM(C186:C186)</f>
        <v>0</v>
      </c>
      <c r="E186" s="14">
        <v>12</v>
      </c>
      <c r="F186" s="13">
        <f t="shared" si="39"/>
        <v>12</v>
      </c>
      <c r="G186" s="13">
        <f t="shared" ref="G186:G212" si="40">D186+F186</f>
        <v>12</v>
      </c>
      <c r="H186" s="11">
        <v>44667</v>
      </c>
    </row>
    <row r="187" spans="2:9" x14ac:dyDescent="0.15">
      <c r="B187" s="37" t="s">
        <v>27</v>
      </c>
      <c r="C187" s="12">
        <v>32</v>
      </c>
      <c r="D187" s="13">
        <f t="shared" si="39"/>
        <v>32</v>
      </c>
      <c r="E187" s="14"/>
      <c r="F187" s="13">
        <f t="shared" si="39"/>
        <v>0</v>
      </c>
      <c r="G187" s="13">
        <f t="shared" si="40"/>
        <v>32</v>
      </c>
      <c r="H187" s="11">
        <v>44672</v>
      </c>
      <c r="I187" s="46"/>
    </row>
    <row r="188" spans="2:9" x14ac:dyDescent="0.15">
      <c r="B188" s="37" t="s">
        <v>27</v>
      </c>
      <c r="C188" s="15"/>
      <c r="D188" s="13">
        <f t="shared" si="39"/>
        <v>0</v>
      </c>
      <c r="E188" s="16">
        <v>10</v>
      </c>
      <c r="F188" s="13">
        <f t="shared" si="39"/>
        <v>10</v>
      </c>
      <c r="G188" s="13">
        <f t="shared" si="40"/>
        <v>10</v>
      </c>
      <c r="H188" s="11">
        <v>44678</v>
      </c>
    </row>
    <row r="189" spans="2:9" x14ac:dyDescent="0.15">
      <c r="B189" s="37" t="s">
        <v>27</v>
      </c>
      <c r="C189" s="12">
        <v>32</v>
      </c>
      <c r="D189" s="13">
        <f t="shared" si="39"/>
        <v>32</v>
      </c>
      <c r="E189" s="14"/>
      <c r="F189" s="13">
        <f t="shared" si="39"/>
        <v>0</v>
      </c>
      <c r="G189" s="13">
        <f t="shared" si="40"/>
        <v>32</v>
      </c>
      <c r="H189" s="11">
        <v>44679</v>
      </c>
    </row>
    <row r="190" spans="2:9" x14ac:dyDescent="0.15">
      <c r="B190" s="37" t="s">
        <v>27</v>
      </c>
      <c r="C190" s="12">
        <v>12</v>
      </c>
      <c r="D190" s="13">
        <f t="shared" si="39"/>
        <v>12</v>
      </c>
      <c r="E190" s="14"/>
      <c r="F190" s="13">
        <f t="shared" si="39"/>
        <v>0</v>
      </c>
      <c r="G190" s="13">
        <f t="shared" si="40"/>
        <v>12</v>
      </c>
      <c r="H190" s="11">
        <v>44682</v>
      </c>
    </row>
    <row r="191" spans="2:9" x14ac:dyDescent="0.15">
      <c r="B191" s="37" t="s">
        <v>15</v>
      </c>
      <c r="C191" s="12"/>
      <c r="D191" s="13">
        <f t="shared" si="39"/>
        <v>0</v>
      </c>
      <c r="E191" s="14">
        <v>1</v>
      </c>
      <c r="F191" s="13">
        <f t="shared" si="39"/>
        <v>1</v>
      </c>
      <c r="G191" s="13">
        <f t="shared" si="40"/>
        <v>1</v>
      </c>
      <c r="H191" s="11">
        <v>44691</v>
      </c>
    </row>
    <row r="192" spans="2:9" x14ac:dyDescent="0.15">
      <c r="B192" s="37" t="s">
        <v>51</v>
      </c>
      <c r="C192" s="12"/>
      <c r="D192" s="13">
        <f t="shared" si="39"/>
        <v>0</v>
      </c>
      <c r="E192" s="14">
        <v>12</v>
      </c>
      <c r="F192" s="13">
        <f t="shared" si="39"/>
        <v>12</v>
      </c>
      <c r="G192" s="13">
        <f t="shared" si="40"/>
        <v>12</v>
      </c>
      <c r="H192" s="11">
        <v>44692</v>
      </c>
    </row>
    <row r="193" spans="2:8" x14ac:dyDescent="0.15">
      <c r="B193" s="37" t="s">
        <v>27</v>
      </c>
      <c r="C193" s="12">
        <v>32</v>
      </c>
      <c r="D193" s="13">
        <f t="shared" si="39"/>
        <v>32</v>
      </c>
      <c r="E193" s="14"/>
      <c r="F193" s="13">
        <f t="shared" si="39"/>
        <v>0</v>
      </c>
      <c r="G193" s="13">
        <f t="shared" si="40"/>
        <v>32</v>
      </c>
      <c r="H193" s="11">
        <v>44695</v>
      </c>
    </row>
    <row r="194" spans="2:8" x14ac:dyDescent="0.15">
      <c r="B194" s="37" t="s">
        <v>27</v>
      </c>
      <c r="C194" s="12">
        <v>32</v>
      </c>
      <c r="D194" s="13">
        <f t="shared" si="39"/>
        <v>32</v>
      </c>
      <c r="E194" s="16"/>
      <c r="F194" s="13">
        <f t="shared" si="39"/>
        <v>0</v>
      </c>
      <c r="G194" s="13">
        <f t="shared" si="40"/>
        <v>32</v>
      </c>
      <c r="H194" s="11">
        <v>44702</v>
      </c>
    </row>
    <row r="195" spans="2:8" x14ac:dyDescent="0.15">
      <c r="B195" s="37" t="s">
        <v>27</v>
      </c>
      <c r="C195" s="15">
        <v>32</v>
      </c>
      <c r="D195" s="13">
        <f t="shared" si="39"/>
        <v>32</v>
      </c>
      <c r="E195" s="16"/>
      <c r="F195" s="13">
        <f t="shared" si="39"/>
        <v>0</v>
      </c>
      <c r="G195" s="13">
        <f t="shared" si="40"/>
        <v>32</v>
      </c>
      <c r="H195" s="11">
        <v>44707</v>
      </c>
    </row>
    <row r="196" spans="2:8" x14ac:dyDescent="0.15">
      <c r="B196" s="37" t="s">
        <v>27</v>
      </c>
      <c r="C196" s="12">
        <v>32</v>
      </c>
      <c r="D196" s="13">
        <f t="shared" si="39"/>
        <v>32</v>
      </c>
      <c r="E196" s="14"/>
      <c r="F196" s="13">
        <f t="shared" si="39"/>
        <v>0</v>
      </c>
      <c r="G196" s="13">
        <f t="shared" si="40"/>
        <v>32</v>
      </c>
      <c r="H196" s="11">
        <v>44713</v>
      </c>
    </row>
    <row r="197" spans="2:8" x14ac:dyDescent="0.15">
      <c r="B197" s="37" t="s">
        <v>27</v>
      </c>
      <c r="C197" s="12">
        <v>16</v>
      </c>
      <c r="D197" s="13">
        <f t="shared" si="39"/>
        <v>16</v>
      </c>
      <c r="E197" s="14"/>
      <c r="F197" s="13">
        <f t="shared" si="39"/>
        <v>0</v>
      </c>
      <c r="G197" s="13">
        <f t="shared" si="40"/>
        <v>16</v>
      </c>
      <c r="H197" s="11">
        <v>44716</v>
      </c>
    </row>
    <row r="198" spans="2:8" x14ac:dyDescent="0.15">
      <c r="B198" s="37" t="s">
        <v>27</v>
      </c>
      <c r="C198" s="12">
        <v>16</v>
      </c>
      <c r="D198" s="13">
        <f t="shared" si="39"/>
        <v>16</v>
      </c>
      <c r="E198" s="14">
        <v>5</v>
      </c>
      <c r="F198" s="13">
        <f t="shared" si="39"/>
        <v>5</v>
      </c>
      <c r="G198" s="13">
        <f t="shared" si="40"/>
        <v>21</v>
      </c>
      <c r="H198" s="11">
        <v>44717</v>
      </c>
    </row>
    <row r="199" spans="2:8" x14ac:dyDescent="0.15">
      <c r="B199" s="37" t="s">
        <v>27</v>
      </c>
      <c r="C199" s="12">
        <v>32</v>
      </c>
      <c r="D199" s="13">
        <f t="shared" si="39"/>
        <v>32</v>
      </c>
      <c r="E199" s="14"/>
      <c r="F199" s="13">
        <f t="shared" si="39"/>
        <v>0</v>
      </c>
      <c r="G199" s="13">
        <f t="shared" si="40"/>
        <v>32</v>
      </c>
      <c r="H199" s="11">
        <v>44721</v>
      </c>
    </row>
    <row r="200" spans="2:8" x14ac:dyDescent="0.15">
      <c r="B200" s="37" t="s">
        <v>15</v>
      </c>
      <c r="C200" s="12">
        <v>1</v>
      </c>
      <c r="D200" s="13">
        <f t="shared" si="39"/>
        <v>1</v>
      </c>
      <c r="E200" s="14"/>
      <c r="F200" s="13">
        <f t="shared" si="39"/>
        <v>0</v>
      </c>
      <c r="G200" s="13">
        <f t="shared" si="40"/>
        <v>1</v>
      </c>
      <c r="H200" s="11">
        <v>44721</v>
      </c>
    </row>
    <row r="201" spans="2:8" x14ac:dyDescent="0.15">
      <c r="B201" s="37" t="s">
        <v>52</v>
      </c>
      <c r="C201" s="12"/>
      <c r="D201" s="13">
        <f t="shared" si="39"/>
        <v>0</v>
      </c>
      <c r="E201" s="14">
        <v>12</v>
      </c>
      <c r="F201" s="13">
        <f t="shared" si="39"/>
        <v>12</v>
      </c>
      <c r="G201" s="13">
        <f t="shared" si="40"/>
        <v>12</v>
      </c>
      <c r="H201" s="11">
        <v>44727</v>
      </c>
    </row>
    <row r="202" spans="2:8" x14ac:dyDescent="0.15">
      <c r="B202" s="37" t="s">
        <v>27</v>
      </c>
      <c r="C202" s="12"/>
      <c r="D202" s="13">
        <f t="shared" si="39"/>
        <v>0</v>
      </c>
      <c r="E202" s="14">
        <v>16</v>
      </c>
      <c r="F202" s="13">
        <f t="shared" si="39"/>
        <v>16</v>
      </c>
      <c r="G202" s="13">
        <f t="shared" si="40"/>
        <v>16</v>
      </c>
      <c r="H202" s="11">
        <v>44730</v>
      </c>
    </row>
    <row r="203" spans="2:8" x14ac:dyDescent="0.15">
      <c r="B203" s="37" t="s">
        <v>27</v>
      </c>
      <c r="C203" s="12">
        <v>28</v>
      </c>
      <c r="D203" s="13">
        <f t="shared" si="39"/>
        <v>28</v>
      </c>
      <c r="E203" s="14">
        <v>2</v>
      </c>
      <c r="F203" s="13">
        <f t="shared" si="39"/>
        <v>2</v>
      </c>
      <c r="G203" s="13">
        <f t="shared" si="40"/>
        <v>30</v>
      </c>
      <c r="H203" s="11">
        <v>44733</v>
      </c>
    </row>
    <row r="204" spans="2:8" x14ac:dyDescent="0.15">
      <c r="B204" s="37" t="s">
        <v>27</v>
      </c>
      <c r="C204" s="12"/>
      <c r="D204" s="13">
        <f t="shared" si="39"/>
        <v>0</v>
      </c>
      <c r="E204" s="14">
        <v>12</v>
      </c>
      <c r="F204" s="13">
        <f t="shared" si="39"/>
        <v>12</v>
      </c>
      <c r="G204" s="13">
        <f t="shared" si="40"/>
        <v>12</v>
      </c>
      <c r="H204" s="11">
        <v>44734</v>
      </c>
    </row>
    <row r="205" spans="2:8" x14ac:dyDescent="0.15">
      <c r="B205" s="37" t="s">
        <v>53</v>
      </c>
      <c r="C205" s="12">
        <v>28</v>
      </c>
      <c r="D205" s="13">
        <f t="shared" si="39"/>
        <v>28</v>
      </c>
      <c r="E205" s="14">
        <v>12</v>
      </c>
      <c r="F205" s="13">
        <f t="shared" si="39"/>
        <v>12</v>
      </c>
      <c r="G205" s="13">
        <f t="shared" si="40"/>
        <v>40</v>
      </c>
      <c r="H205" s="11">
        <v>44737</v>
      </c>
    </row>
    <row r="206" spans="2:8" x14ac:dyDescent="0.15">
      <c r="B206" s="37" t="s">
        <v>27</v>
      </c>
      <c r="C206" s="12"/>
      <c r="D206" s="13">
        <f t="shared" si="39"/>
        <v>0</v>
      </c>
      <c r="E206" s="14">
        <v>12</v>
      </c>
      <c r="F206" s="13">
        <f t="shared" si="39"/>
        <v>12</v>
      </c>
      <c r="G206" s="13">
        <f t="shared" si="40"/>
        <v>12</v>
      </c>
      <c r="H206" s="11">
        <v>44741</v>
      </c>
    </row>
    <row r="207" spans="2:8" x14ac:dyDescent="0.15">
      <c r="B207" s="37" t="s">
        <v>27</v>
      </c>
      <c r="C207" s="15"/>
      <c r="D207" s="13">
        <f t="shared" si="39"/>
        <v>0</v>
      </c>
      <c r="E207" s="16">
        <v>12</v>
      </c>
      <c r="F207" s="13">
        <f t="shared" si="39"/>
        <v>12</v>
      </c>
      <c r="G207" s="13">
        <f t="shared" si="40"/>
        <v>12</v>
      </c>
      <c r="H207" s="11">
        <v>44741</v>
      </c>
    </row>
    <row r="208" spans="2:8" x14ac:dyDescent="0.15">
      <c r="B208" s="37" t="s">
        <v>27</v>
      </c>
      <c r="C208" s="12">
        <v>16</v>
      </c>
      <c r="D208" s="13">
        <f t="shared" si="39"/>
        <v>16</v>
      </c>
      <c r="E208" s="14"/>
      <c r="F208" s="13">
        <f t="shared" si="39"/>
        <v>0</v>
      </c>
      <c r="G208" s="13">
        <f t="shared" si="40"/>
        <v>16</v>
      </c>
      <c r="H208" s="11">
        <v>44744</v>
      </c>
    </row>
    <row r="209" spans="2:8" x14ac:dyDescent="0.15">
      <c r="B209" s="37" t="s">
        <v>27</v>
      </c>
      <c r="C209" s="12"/>
      <c r="D209" s="13">
        <f t="shared" si="39"/>
        <v>0</v>
      </c>
      <c r="E209" s="14">
        <v>17</v>
      </c>
      <c r="F209" s="13">
        <f t="shared" si="39"/>
        <v>17</v>
      </c>
      <c r="G209" s="13">
        <f t="shared" si="40"/>
        <v>17</v>
      </c>
      <c r="H209" s="11">
        <v>44745</v>
      </c>
    </row>
    <row r="210" spans="2:8" x14ac:dyDescent="0.15">
      <c r="B210" s="37" t="s">
        <v>54</v>
      </c>
      <c r="C210" s="15">
        <v>36</v>
      </c>
      <c r="D210" s="13">
        <f t="shared" si="39"/>
        <v>36</v>
      </c>
      <c r="E210" s="16"/>
      <c r="F210" s="13">
        <f t="shared" si="39"/>
        <v>0</v>
      </c>
      <c r="G210" s="13">
        <f t="shared" si="40"/>
        <v>36</v>
      </c>
      <c r="H210" s="11">
        <v>44755</v>
      </c>
    </row>
    <row r="211" spans="2:8" ht="14.25" thickBot="1" x14ac:dyDescent="0.2">
      <c r="B211" s="37" t="s">
        <v>27</v>
      </c>
      <c r="C211" s="15">
        <v>36</v>
      </c>
      <c r="D211" s="13">
        <f t="shared" si="39"/>
        <v>36</v>
      </c>
      <c r="E211" s="16"/>
      <c r="F211" s="13">
        <f t="shared" si="39"/>
        <v>0</v>
      </c>
      <c r="G211" s="13">
        <f t="shared" si="40"/>
        <v>36</v>
      </c>
      <c r="H211" s="11">
        <v>44755</v>
      </c>
    </row>
    <row r="212" spans="2:8" ht="14.25" thickBot="1" x14ac:dyDescent="0.2">
      <c r="B212" s="23" t="s">
        <v>4</v>
      </c>
      <c r="C212" s="38">
        <f t="shared" ref="C212:E212" si="41">SUM(C186:C211)</f>
        <v>413</v>
      </c>
      <c r="D212" s="35">
        <f t="shared" si="41"/>
        <v>413</v>
      </c>
      <c r="E212" s="38">
        <f t="shared" si="41"/>
        <v>135</v>
      </c>
      <c r="F212" s="35">
        <f t="shared" ref="F212" si="42">SUM(F186:F211)</f>
        <v>135</v>
      </c>
      <c r="G212" s="35">
        <f t="shared" si="40"/>
        <v>548</v>
      </c>
    </row>
    <row r="213" spans="2:8" ht="14.25" thickBot="1" x14ac:dyDescent="0.2">
      <c r="B213" s="27" t="s">
        <v>5</v>
      </c>
      <c r="C213" s="39">
        <f t="shared" ref="C213:G213" si="43">C185-C212</f>
        <v>37</v>
      </c>
      <c r="D213" s="40">
        <f t="shared" si="43"/>
        <v>37</v>
      </c>
      <c r="E213" s="39">
        <f t="shared" si="43"/>
        <v>47</v>
      </c>
      <c r="F213" s="40">
        <f t="shared" ref="F213" si="44">F185-F212</f>
        <v>47</v>
      </c>
      <c r="G213" s="36">
        <f t="shared" si="43"/>
        <v>84</v>
      </c>
    </row>
    <row r="216" spans="2:8" ht="19.5" thickBot="1" x14ac:dyDescent="0.25">
      <c r="B216" s="1" t="s">
        <v>7</v>
      </c>
      <c r="C216" s="2"/>
      <c r="D216" s="2"/>
      <c r="E216" s="2"/>
      <c r="F216" s="2"/>
      <c r="G216" s="2"/>
    </row>
    <row r="217" spans="2:8" ht="14.25" thickBot="1" x14ac:dyDescent="0.2">
      <c r="B217" s="3" t="s">
        <v>0</v>
      </c>
      <c r="C217" s="57" t="s">
        <v>8</v>
      </c>
      <c r="D217" s="58"/>
      <c r="E217" s="57" t="s">
        <v>9</v>
      </c>
      <c r="F217" s="58"/>
      <c r="G217" s="59" t="s">
        <v>1</v>
      </c>
    </row>
    <row r="218" spans="2:8" ht="14.25" thickBot="1" x14ac:dyDescent="0.2">
      <c r="B218" s="3"/>
      <c r="C218" s="4"/>
      <c r="D218" s="3" t="s">
        <v>2</v>
      </c>
      <c r="E218" s="4"/>
      <c r="F218" s="3" t="s">
        <v>2</v>
      </c>
      <c r="G218" s="60"/>
    </row>
    <row r="219" spans="2:8" ht="14.25" thickBot="1" x14ac:dyDescent="0.2">
      <c r="B219" s="5" t="s">
        <v>5</v>
      </c>
      <c r="C219" s="6">
        <f>C213</f>
        <v>37</v>
      </c>
      <c r="D219" s="35">
        <f t="shared" ref="D219:D227" si="45">SUM(C219:C219)</f>
        <v>37</v>
      </c>
      <c r="E219" s="6">
        <f>E213</f>
        <v>47</v>
      </c>
      <c r="F219" s="35">
        <f t="shared" ref="F219:F227" si="46">SUM(E219:E219)</f>
        <v>47</v>
      </c>
      <c r="G219" s="35">
        <f t="shared" ref="G219:G227" si="47">D219+F219</f>
        <v>84</v>
      </c>
    </row>
    <row r="220" spans="2:8" x14ac:dyDescent="0.15">
      <c r="B220" s="22" t="s">
        <v>6</v>
      </c>
      <c r="C220" s="12">
        <v>144</v>
      </c>
      <c r="D220" s="13">
        <f t="shared" si="45"/>
        <v>144</v>
      </c>
      <c r="E220" s="14"/>
      <c r="F220" s="13">
        <f t="shared" si="46"/>
        <v>0</v>
      </c>
      <c r="G220" s="13">
        <f t="shared" si="47"/>
        <v>144</v>
      </c>
      <c r="H220" s="11">
        <v>44767</v>
      </c>
    </row>
    <row r="221" spans="2:8" x14ac:dyDescent="0.15">
      <c r="B221" s="48" t="s">
        <v>58</v>
      </c>
      <c r="C221" s="49">
        <v>0</v>
      </c>
      <c r="D221" s="50">
        <f t="shared" si="45"/>
        <v>0</v>
      </c>
      <c r="E221" s="51">
        <v>0</v>
      </c>
      <c r="F221" s="50">
        <f t="shared" si="46"/>
        <v>0</v>
      </c>
      <c r="G221" s="50">
        <f t="shared" si="47"/>
        <v>0</v>
      </c>
      <c r="H221" s="52">
        <v>44796</v>
      </c>
    </row>
    <row r="222" spans="2:8" x14ac:dyDescent="0.15">
      <c r="B222" s="22" t="s">
        <v>6</v>
      </c>
      <c r="C222" s="15">
        <v>144</v>
      </c>
      <c r="D222" s="13">
        <f t="shared" ref="D222" si="48">SUM(C222:C222)</f>
        <v>144</v>
      </c>
      <c r="E222" s="16">
        <v>48</v>
      </c>
      <c r="F222" s="13">
        <f t="shared" ref="F222" si="49">SUM(E222:E222)</f>
        <v>48</v>
      </c>
      <c r="G222" s="13">
        <f t="shared" ref="G222" si="50">D222+F222</f>
        <v>192</v>
      </c>
      <c r="H222" s="11">
        <v>44797</v>
      </c>
    </row>
    <row r="223" spans="2:8" x14ac:dyDescent="0.15">
      <c r="B223" s="22" t="s">
        <v>6</v>
      </c>
      <c r="C223" s="12">
        <v>72</v>
      </c>
      <c r="D223" s="13">
        <f t="shared" si="45"/>
        <v>72</v>
      </c>
      <c r="E223" s="14">
        <v>60</v>
      </c>
      <c r="F223" s="13">
        <f t="shared" si="46"/>
        <v>60</v>
      </c>
      <c r="G223" s="13">
        <f t="shared" si="47"/>
        <v>132</v>
      </c>
      <c r="H223" s="11">
        <v>44810</v>
      </c>
    </row>
    <row r="224" spans="2:8" x14ac:dyDescent="0.15">
      <c r="B224" s="22" t="s">
        <v>6</v>
      </c>
      <c r="C224" s="12">
        <v>144</v>
      </c>
      <c r="D224" s="13">
        <f t="shared" si="45"/>
        <v>144</v>
      </c>
      <c r="E224" s="14">
        <v>48</v>
      </c>
      <c r="F224" s="13">
        <f t="shared" si="46"/>
        <v>48</v>
      </c>
      <c r="G224" s="13">
        <f t="shared" si="47"/>
        <v>192</v>
      </c>
      <c r="H224" s="11">
        <v>44831</v>
      </c>
    </row>
    <row r="225" spans="2:9" x14ac:dyDescent="0.15">
      <c r="B225" s="22" t="s">
        <v>6</v>
      </c>
      <c r="C225" s="12">
        <v>156</v>
      </c>
      <c r="D225" s="13">
        <f t="shared" si="45"/>
        <v>156</v>
      </c>
      <c r="E225" s="14">
        <v>24</v>
      </c>
      <c r="F225" s="13">
        <f t="shared" si="46"/>
        <v>24</v>
      </c>
      <c r="G225" s="13">
        <f t="shared" si="47"/>
        <v>180</v>
      </c>
      <c r="H225" s="11">
        <v>44859</v>
      </c>
    </row>
    <row r="226" spans="2:9" x14ac:dyDescent="0.15">
      <c r="B226" s="22" t="s">
        <v>6</v>
      </c>
      <c r="C226" s="33"/>
      <c r="D226" s="32">
        <f t="shared" si="45"/>
        <v>0</v>
      </c>
      <c r="E226" s="34"/>
      <c r="F226" s="32">
        <f t="shared" si="46"/>
        <v>0</v>
      </c>
      <c r="G226" s="32">
        <f t="shared" si="47"/>
        <v>0</v>
      </c>
    </row>
    <row r="227" spans="2:9" ht="14.25" thickBot="1" x14ac:dyDescent="0.2">
      <c r="B227" s="22" t="s">
        <v>6</v>
      </c>
      <c r="C227" s="17"/>
      <c r="D227" s="18">
        <f t="shared" si="45"/>
        <v>0</v>
      </c>
      <c r="E227" s="19"/>
      <c r="F227" s="18">
        <f t="shared" si="46"/>
        <v>0</v>
      </c>
      <c r="G227" s="18">
        <f t="shared" si="47"/>
        <v>0</v>
      </c>
    </row>
    <row r="228" spans="2:9" ht="14.25" thickBot="1" x14ac:dyDescent="0.2">
      <c r="B228" s="20" t="s">
        <v>3</v>
      </c>
      <c r="C228" s="6">
        <f t="shared" ref="C228:G228" si="51">SUM(C219:C227)</f>
        <v>697</v>
      </c>
      <c r="D228" s="21">
        <f t="shared" si="51"/>
        <v>697</v>
      </c>
      <c r="E228" s="6">
        <f t="shared" si="51"/>
        <v>227</v>
      </c>
      <c r="F228" s="21">
        <f t="shared" si="51"/>
        <v>227</v>
      </c>
      <c r="G228" s="21">
        <f t="shared" si="51"/>
        <v>924</v>
      </c>
    </row>
    <row r="229" spans="2:9" x14ac:dyDescent="0.15">
      <c r="B229" s="37" t="s">
        <v>27</v>
      </c>
      <c r="C229" s="12">
        <v>34</v>
      </c>
      <c r="D229" s="13">
        <f t="shared" ref="D229:D247" si="52">SUM(C229:C229)</f>
        <v>34</v>
      </c>
      <c r="E229" s="14">
        <v>18</v>
      </c>
      <c r="F229" s="13">
        <f t="shared" ref="F229:F254" si="53">SUM(E229:E229)</f>
        <v>18</v>
      </c>
      <c r="G229" s="13">
        <f t="shared" ref="G229:G255" si="54">D229+F229</f>
        <v>52</v>
      </c>
      <c r="H229" s="11">
        <v>44764</v>
      </c>
    </row>
    <row r="230" spans="2:9" x14ac:dyDescent="0.15">
      <c r="B230" s="37" t="s">
        <v>55</v>
      </c>
      <c r="C230" s="12">
        <v>1</v>
      </c>
      <c r="D230" s="13">
        <f t="shared" si="52"/>
        <v>1</v>
      </c>
      <c r="E230" s="14"/>
      <c r="F230" s="13">
        <f t="shared" si="53"/>
        <v>0</v>
      </c>
      <c r="G230" s="13">
        <f t="shared" si="54"/>
        <v>1</v>
      </c>
      <c r="H230" s="11">
        <v>44767</v>
      </c>
    </row>
    <row r="231" spans="2:9" x14ac:dyDescent="0.15">
      <c r="B231" s="37" t="s">
        <v>56</v>
      </c>
      <c r="C231" s="15">
        <v>16</v>
      </c>
      <c r="D231" s="13">
        <f t="shared" si="52"/>
        <v>16</v>
      </c>
      <c r="E231" s="16"/>
      <c r="F231" s="13">
        <f t="shared" si="53"/>
        <v>0</v>
      </c>
      <c r="G231" s="13">
        <f t="shared" si="54"/>
        <v>16</v>
      </c>
      <c r="H231" s="11">
        <v>44770</v>
      </c>
    </row>
    <row r="232" spans="2:9" x14ac:dyDescent="0.15">
      <c r="B232" s="37" t="s">
        <v>27</v>
      </c>
      <c r="C232" s="12">
        <v>27</v>
      </c>
      <c r="D232" s="13">
        <f t="shared" si="52"/>
        <v>27</v>
      </c>
      <c r="E232" s="14">
        <v>5</v>
      </c>
      <c r="F232" s="13">
        <f t="shared" si="53"/>
        <v>5</v>
      </c>
      <c r="G232" s="13">
        <f t="shared" si="54"/>
        <v>32</v>
      </c>
      <c r="H232" s="11">
        <v>44770</v>
      </c>
      <c r="I232" s="46"/>
    </row>
    <row r="233" spans="2:9" x14ac:dyDescent="0.15">
      <c r="B233" s="37" t="s">
        <v>27</v>
      </c>
      <c r="C233" s="12">
        <v>26</v>
      </c>
      <c r="D233" s="13">
        <f t="shared" si="52"/>
        <v>26</v>
      </c>
      <c r="E233" s="14">
        <v>5</v>
      </c>
      <c r="F233" s="13">
        <f t="shared" si="53"/>
        <v>5</v>
      </c>
      <c r="G233" s="13">
        <f t="shared" si="54"/>
        <v>31</v>
      </c>
      <c r="H233" s="11">
        <v>44771</v>
      </c>
    </row>
    <row r="234" spans="2:9" x14ac:dyDescent="0.15">
      <c r="B234" s="37" t="s">
        <v>27</v>
      </c>
      <c r="C234" s="12"/>
      <c r="D234" s="13">
        <f t="shared" si="52"/>
        <v>0</v>
      </c>
      <c r="E234" s="14">
        <v>17</v>
      </c>
      <c r="F234" s="13">
        <f t="shared" si="53"/>
        <v>17</v>
      </c>
      <c r="G234" s="13">
        <f t="shared" si="54"/>
        <v>17</v>
      </c>
      <c r="H234" s="11">
        <v>44782</v>
      </c>
    </row>
    <row r="235" spans="2:9" x14ac:dyDescent="0.15">
      <c r="B235" s="37" t="s">
        <v>57</v>
      </c>
      <c r="C235" s="12">
        <v>36</v>
      </c>
      <c r="D235" s="13">
        <f t="shared" si="52"/>
        <v>36</v>
      </c>
      <c r="E235" s="14"/>
      <c r="F235" s="13">
        <f t="shared" si="53"/>
        <v>0</v>
      </c>
      <c r="G235" s="13">
        <f t="shared" si="54"/>
        <v>36</v>
      </c>
      <c r="H235" s="11">
        <v>44783</v>
      </c>
      <c r="I235" s="46"/>
    </row>
    <row r="236" spans="2:9" x14ac:dyDescent="0.15">
      <c r="B236" s="37" t="s">
        <v>27</v>
      </c>
      <c r="C236" s="12">
        <v>36</v>
      </c>
      <c r="D236" s="13">
        <f t="shared" si="52"/>
        <v>36</v>
      </c>
      <c r="E236" s="14"/>
      <c r="F236" s="13">
        <f t="shared" si="53"/>
        <v>0</v>
      </c>
      <c r="G236" s="13">
        <f t="shared" si="54"/>
        <v>36</v>
      </c>
      <c r="H236" s="11">
        <v>44792</v>
      </c>
    </row>
    <row r="237" spans="2:9" x14ac:dyDescent="0.15">
      <c r="B237" s="37" t="s">
        <v>27</v>
      </c>
      <c r="C237" s="12">
        <v>38</v>
      </c>
      <c r="D237" s="13">
        <f t="shared" si="52"/>
        <v>38</v>
      </c>
      <c r="E237" s="16">
        <v>18</v>
      </c>
      <c r="F237" s="13">
        <f t="shared" si="53"/>
        <v>18</v>
      </c>
      <c r="G237" s="13">
        <f t="shared" si="54"/>
        <v>56</v>
      </c>
      <c r="H237" s="11">
        <v>44799</v>
      </c>
    </row>
    <row r="238" spans="2:9" x14ac:dyDescent="0.15">
      <c r="B238" s="37" t="s">
        <v>27</v>
      </c>
      <c r="C238" s="15">
        <v>38</v>
      </c>
      <c r="D238" s="13">
        <f t="shared" si="52"/>
        <v>38</v>
      </c>
      <c r="E238" s="16">
        <v>16</v>
      </c>
      <c r="F238" s="13">
        <f t="shared" si="53"/>
        <v>16</v>
      </c>
      <c r="G238" s="13">
        <f t="shared" si="54"/>
        <v>54</v>
      </c>
      <c r="H238" s="11">
        <v>44800</v>
      </c>
    </row>
    <row r="239" spans="2:9" x14ac:dyDescent="0.15">
      <c r="B239" s="37" t="s">
        <v>27</v>
      </c>
      <c r="C239" s="12"/>
      <c r="D239" s="13">
        <f t="shared" si="52"/>
        <v>0</v>
      </c>
      <c r="E239" s="14">
        <v>16</v>
      </c>
      <c r="F239" s="13">
        <f t="shared" si="53"/>
        <v>16</v>
      </c>
      <c r="G239" s="13">
        <f t="shared" si="54"/>
        <v>16</v>
      </c>
      <c r="H239" s="11">
        <v>44806</v>
      </c>
    </row>
    <row r="240" spans="2:9" x14ac:dyDescent="0.15">
      <c r="B240" s="37" t="s">
        <v>27</v>
      </c>
      <c r="C240" s="12">
        <v>36</v>
      </c>
      <c r="D240" s="13">
        <f t="shared" si="52"/>
        <v>36</v>
      </c>
      <c r="E240" s="14">
        <v>18</v>
      </c>
      <c r="F240" s="13">
        <f t="shared" si="53"/>
        <v>18</v>
      </c>
      <c r="G240" s="13">
        <f t="shared" si="54"/>
        <v>54</v>
      </c>
      <c r="H240" s="11">
        <v>44810</v>
      </c>
    </row>
    <row r="241" spans="2:8" x14ac:dyDescent="0.15">
      <c r="B241" s="37" t="s">
        <v>27</v>
      </c>
      <c r="C241" s="12">
        <v>36</v>
      </c>
      <c r="D241" s="13">
        <f t="shared" si="52"/>
        <v>36</v>
      </c>
      <c r="E241" s="14"/>
      <c r="F241" s="13">
        <f t="shared" si="53"/>
        <v>0</v>
      </c>
      <c r="G241" s="13">
        <f t="shared" si="54"/>
        <v>36</v>
      </c>
      <c r="H241" s="11">
        <v>44817</v>
      </c>
    </row>
    <row r="242" spans="2:8" x14ac:dyDescent="0.15">
      <c r="B242" s="37" t="s">
        <v>27</v>
      </c>
      <c r="C242" s="12">
        <v>36</v>
      </c>
      <c r="D242" s="13">
        <f t="shared" si="52"/>
        <v>36</v>
      </c>
      <c r="E242" s="14">
        <v>18</v>
      </c>
      <c r="F242" s="13">
        <f t="shared" si="53"/>
        <v>18</v>
      </c>
      <c r="G242" s="13">
        <f t="shared" si="54"/>
        <v>54</v>
      </c>
      <c r="H242" s="11">
        <v>44822</v>
      </c>
    </row>
    <row r="243" spans="2:8" x14ac:dyDescent="0.15">
      <c r="B243" s="37" t="s">
        <v>27</v>
      </c>
      <c r="C243" s="12">
        <v>36</v>
      </c>
      <c r="D243" s="13">
        <f t="shared" si="52"/>
        <v>36</v>
      </c>
      <c r="E243" s="14">
        <v>18</v>
      </c>
      <c r="F243" s="13">
        <f t="shared" si="53"/>
        <v>18</v>
      </c>
      <c r="G243" s="13">
        <f t="shared" si="54"/>
        <v>54</v>
      </c>
      <c r="H243" s="11">
        <v>44832</v>
      </c>
    </row>
    <row r="244" spans="2:8" x14ac:dyDescent="0.15">
      <c r="B244" s="37" t="s">
        <v>27</v>
      </c>
      <c r="C244" s="12">
        <v>36</v>
      </c>
      <c r="D244" s="13">
        <f t="shared" si="52"/>
        <v>36</v>
      </c>
      <c r="E244" s="14"/>
      <c r="F244" s="13">
        <f t="shared" si="53"/>
        <v>0</v>
      </c>
      <c r="G244" s="13">
        <f t="shared" si="54"/>
        <v>36</v>
      </c>
      <c r="H244" s="11">
        <v>44842</v>
      </c>
    </row>
    <row r="245" spans="2:8" x14ac:dyDescent="0.15">
      <c r="B245" s="37" t="s">
        <v>27</v>
      </c>
      <c r="C245" s="12">
        <v>36</v>
      </c>
      <c r="D245" s="13">
        <f t="shared" si="52"/>
        <v>36</v>
      </c>
      <c r="E245" s="14">
        <v>18</v>
      </c>
      <c r="F245" s="13">
        <f t="shared" si="53"/>
        <v>18</v>
      </c>
      <c r="G245" s="13">
        <f t="shared" si="54"/>
        <v>54</v>
      </c>
      <c r="H245" s="11">
        <v>44847</v>
      </c>
    </row>
    <row r="246" spans="2:8" x14ac:dyDescent="0.15">
      <c r="B246" s="37" t="s">
        <v>27</v>
      </c>
      <c r="C246" s="12">
        <v>38</v>
      </c>
      <c r="D246" s="13">
        <f t="shared" si="52"/>
        <v>38</v>
      </c>
      <c r="E246" s="14"/>
      <c r="F246" s="13">
        <f t="shared" si="53"/>
        <v>0</v>
      </c>
      <c r="G246" s="13">
        <f t="shared" si="54"/>
        <v>38</v>
      </c>
      <c r="H246" s="11">
        <v>44852</v>
      </c>
    </row>
    <row r="247" spans="2:8" x14ac:dyDescent="0.15">
      <c r="B247" s="37" t="s">
        <v>27</v>
      </c>
      <c r="C247" s="12">
        <v>35</v>
      </c>
      <c r="D247" s="13">
        <f t="shared" si="52"/>
        <v>35</v>
      </c>
      <c r="E247" s="14"/>
      <c r="F247" s="13">
        <f t="shared" si="53"/>
        <v>0</v>
      </c>
      <c r="G247" s="13">
        <f t="shared" si="54"/>
        <v>35</v>
      </c>
      <c r="H247" s="11">
        <v>44859</v>
      </c>
    </row>
    <row r="248" spans="2:8" x14ac:dyDescent="0.15">
      <c r="B248" s="37" t="s">
        <v>27</v>
      </c>
      <c r="C248" s="12"/>
      <c r="D248" s="13">
        <f t="shared" ref="D248:D254" si="55">SUM(C248:C248)</f>
        <v>0</v>
      </c>
      <c r="E248" s="14">
        <v>18</v>
      </c>
      <c r="F248" s="13">
        <f t="shared" si="53"/>
        <v>18</v>
      </c>
      <c r="G248" s="13">
        <f t="shared" si="54"/>
        <v>18</v>
      </c>
      <c r="H248" s="11">
        <v>44863</v>
      </c>
    </row>
    <row r="249" spans="2:8" x14ac:dyDescent="0.15">
      <c r="B249" s="37" t="s">
        <v>27</v>
      </c>
      <c r="C249" s="12">
        <v>36</v>
      </c>
      <c r="D249" s="13">
        <f t="shared" si="55"/>
        <v>36</v>
      </c>
      <c r="E249" s="14"/>
      <c r="F249" s="13">
        <f t="shared" si="53"/>
        <v>0</v>
      </c>
      <c r="G249" s="13">
        <f t="shared" si="54"/>
        <v>36</v>
      </c>
      <c r="H249" s="11">
        <v>44863</v>
      </c>
    </row>
    <row r="250" spans="2:8" x14ac:dyDescent="0.15">
      <c r="B250" s="37" t="s">
        <v>27</v>
      </c>
      <c r="C250" s="15">
        <v>36</v>
      </c>
      <c r="D250" s="13">
        <f t="shared" si="55"/>
        <v>36</v>
      </c>
      <c r="E250" s="16"/>
      <c r="F250" s="13">
        <f t="shared" si="53"/>
        <v>0</v>
      </c>
      <c r="G250" s="13">
        <f t="shared" si="54"/>
        <v>36</v>
      </c>
      <c r="H250" s="11">
        <v>44870</v>
      </c>
    </row>
    <row r="251" spans="2:8" x14ac:dyDescent="0.15">
      <c r="B251" s="37" t="s">
        <v>27</v>
      </c>
      <c r="C251" s="12"/>
      <c r="D251" s="13">
        <f t="shared" si="55"/>
        <v>0</v>
      </c>
      <c r="E251" s="14">
        <v>18</v>
      </c>
      <c r="F251" s="13">
        <f t="shared" si="53"/>
        <v>18</v>
      </c>
      <c r="G251" s="13">
        <f t="shared" si="54"/>
        <v>18</v>
      </c>
      <c r="H251" s="11">
        <v>44874</v>
      </c>
    </row>
    <row r="252" spans="2:8" x14ac:dyDescent="0.15">
      <c r="B252" s="37" t="s">
        <v>27</v>
      </c>
      <c r="C252" s="12">
        <v>32</v>
      </c>
      <c r="D252" s="13">
        <f t="shared" si="55"/>
        <v>32</v>
      </c>
      <c r="E252" s="14"/>
      <c r="F252" s="13">
        <f t="shared" si="53"/>
        <v>0</v>
      </c>
      <c r="G252" s="13">
        <f t="shared" si="54"/>
        <v>32</v>
      </c>
      <c r="H252" s="11">
        <v>44881</v>
      </c>
    </row>
    <row r="253" spans="2:8" x14ac:dyDescent="0.15">
      <c r="B253" s="37" t="s">
        <v>27</v>
      </c>
      <c r="C253" s="15">
        <v>32</v>
      </c>
      <c r="D253" s="13">
        <f t="shared" si="55"/>
        <v>32</v>
      </c>
      <c r="E253" s="16"/>
      <c r="F253" s="13">
        <f t="shared" si="53"/>
        <v>0</v>
      </c>
      <c r="G253" s="13">
        <f t="shared" si="54"/>
        <v>32</v>
      </c>
      <c r="H253" s="11">
        <v>44884</v>
      </c>
    </row>
    <row r="254" spans="2:8" ht="14.25" thickBot="1" x14ac:dyDescent="0.2">
      <c r="B254" s="37"/>
      <c r="C254" s="15"/>
      <c r="D254" s="13">
        <f t="shared" si="55"/>
        <v>0</v>
      </c>
      <c r="E254" s="16"/>
      <c r="F254" s="13">
        <f t="shared" si="53"/>
        <v>0</v>
      </c>
      <c r="G254" s="13">
        <f t="shared" si="54"/>
        <v>0</v>
      </c>
      <c r="H254" s="11"/>
    </row>
    <row r="255" spans="2:8" ht="14.25" thickBot="1" x14ac:dyDescent="0.2">
      <c r="B255" s="23" t="s">
        <v>4</v>
      </c>
      <c r="C255" s="38">
        <f t="shared" ref="C255:F255" si="56">SUM(C229:C254)</f>
        <v>677</v>
      </c>
      <c r="D255" s="35">
        <f t="shared" si="56"/>
        <v>677</v>
      </c>
      <c r="E255" s="38">
        <f t="shared" si="56"/>
        <v>203</v>
      </c>
      <c r="F255" s="35">
        <f t="shared" si="56"/>
        <v>203</v>
      </c>
      <c r="G255" s="35">
        <f t="shared" si="54"/>
        <v>880</v>
      </c>
    </row>
    <row r="256" spans="2:8" ht="14.25" thickBot="1" x14ac:dyDescent="0.2">
      <c r="B256" s="27" t="s">
        <v>5</v>
      </c>
      <c r="C256" s="39">
        <f t="shared" ref="C256:G256" si="57">C228-C255</f>
        <v>20</v>
      </c>
      <c r="D256" s="40">
        <f t="shared" si="57"/>
        <v>20</v>
      </c>
      <c r="E256" s="39">
        <f t="shared" si="57"/>
        <v>24</v>
      </c>
      <c r="F256" s="40">
        <f t="shared" si="57"/>
        <v>24</v>
      </c>
      <c r="G256" s="36">
        <f t="shared" si="57"/>
        <v>44</v>
      </c>
    </row>
    <row r="259" spans="2:8" ht="19.5" thickBot="1" x14ac:dyDescent="0.25">
      <c r="B259" s="1" t="s">
        <v>7</v>
      </c>
      <c r="C259" s="2"/>
      <c r="D259" s="2"/>
      <c r="E259" s="2"/>
      <c r="F259" s="2"/>
      <c r="G259" s="2"/>
    </row>
    <row r="260" spans="2:8" ht="14.25" thickBot="1" x14ac:dyDescent="0.2">
      <c r="B260" s="3" t="s">
        <v>0</v>
      </c>
      <c r="C260" s="57" t="s">
        <v>8</v>
      </c>
      <c r="D260" s="58"/>
      <c r="E260" s="57" t="s">
        <v>9</v>
      </c>
      <c r="F260" s="58"/>
      <c r="G260" s="59" t="s">
        <v>1</v>
      </c>
    </row>
    <row r="261" spans="2:8" ht="14.25" thickBot="1" x14ac:dyDescent="0.2">
      <c r="B261" s="3"/>
      <c r="C261" s="4"/>
      <c r="D261" s="3" t="s">
        <v>2</v>
      </c>
      <c r="E261" s="4"/>
      <c r="F261" s="3" t="s">
        <v>2</v>
      </c>
      <c r="G261" s="60"/>
    </row>
    <row r="262" spans="2:8" ht="14.25" thickBot="1" x14ac:dyDescent="0.2">
      <c r="B262" s="5" t="s">
        <v>5</v>
      </c>
      <c r="C262" s="6">
        <f>C256</f>
        <v>20</v>
      </c>
      <c r="D262" s="35">
        <f t="shared" ref="D262:D270" si="58">SUM(C262:C262)</f>
        <v>20</v>
      </c>
      <c r="E262" s="6">
        <f>E256</f>
        <v>24</v>
      </c>
      <c r="F262" s="35">
        <f t="shared" ref="F262:F270" si="59">SUM(E262:E262)</f>
        <v>24</v>
      </c>
      <c r="G262" s="35">
        <f t="shared" ref="G262:G270" si="60">D262+F262</f>
        <v>44</v>
      </c>
    </row>
    <row r="263" spans="2:8" x14ac:dyDescent="0.15">
      <c r="B263" s="22" t="s">
        <v>6</v>
      </c>
      <c r="C263" s="12">
        <v>156</v>
      </c>
      <c r="D263" s="13">
        <f t="shared" si="58"/>
        <v>156</v>
      </c>
      <c r="E263" s="14">
        <v>36</v>
      </c>
      <c r="F263" s="13">
        <f t="shared" si="59"/>
        <v>36</v>
      </c>
      <c r="G263" s="13">
        <f t="shared" si="60"/>
        <v>192</v>
      </c>
      <c r="H263" s="11">
        <v>44890</v>
      </c>
    </row>
    <row r="264" spans="2:8" x14ac:dyDescent="0.15">
      <c r="B264" s="22" t="s">
        <v>6</v>
      </c>
      <c r="C264" s="15">
        <v>180</v>
      </c>
      <c r="D264" s="13">
        <f t="shared" si="58"/>
        <v>180</v>
      </c>
      <c r="E264" s="16">
        <v>30</v>
      </c>
      <c r="F264" s="13">
        <f t="shared" si="59"/>
        <v>30</v>
      </c>
      <c r="G264" s="13">
        <f t="shared" si="60"/>
        <v>210</v>
      </c>
      <c r="H264" s="11">
        <v>44904</v>
      </c>
    </row>
    <row r="265" spans="2:8" x14ac:dyDescent="0.15">
      <c r="B265" s="22" t="s">
        <v>6</v>
      </c>
      <c r="C265" s="15">
        <v>156</v>
      </c>
      <c r="D265" s="13">
        <f t="shared" si="58"/>
        <v>156</v>
      </c>
      <c r="E265" s="16">
        <v>36</v>
      </c>
      <c r="F265" s="13">
        <f t="shared" si="59"/>
        <v>36</v>
      </c>
      <c r="G265" s="13">
        <f t="shared" si="60"/>
        <v>192</v>
      </c>
      <c r="H265" s="11">
        <v>44938</v>
      </c>
    </row>
    <row r="266" spans="2:8" x14ac:dyDescent="0.15">
      <c r="B266" s="22" t="s">
        <v>6</v>
      </c>
      <c r="C266" s="12">
        <v>196</v>
      </c>
      <c r="D266" s="13">
        <f t="shared" si="58"/>
        <v>196</v>
      </c>
      <c r="E266" s="14"/>
      <c r="F266" s="13">
        <f t="shared" si="59"/>
        <v>0</v>
      </c>
      <c r="G266" s="13">
        <f t="shared" si="60"/>
        <v>196</v>
      </c>
      <c r="H266" s="11">
        <v>44964</v>
      </c>
    </row>
    <row r="267" spans="2:8" x14ac:dyDescent="0.15">
      <c r="B267" s="22" t="s">
        <v>6</v>
      </c>
      <c r="C267" s="12"/>
      <c r="D267" s="13">
        <f t="shared" si="58"/>
        <v>0</v>
      </c>
      <c r="E267" s="14"/>
      <c r="F267" s="13">
        <f t="shared" si="59"/>
        <v>0</v>
      </c>
      <c r="G267" s="13">
        <f t="shared" si="60"/>
        <v>0</v>
      </c>
    </row>
    <row r="268" spans="2:8" x14ac:dyDescent="0.15">
      <c r="B268" s="22" t="s">
        <v>6</v>
      </c>
      <c r="C268" s="12"/>
      <c r="D268" s="13">
        <f t="shared" si="58"/>
        <v>0</v>
      </c>
      <c r="E268" s="14"/>
      <c r="F268" s="13">
        <f t="shared" si="59"/>
        <v>0</v>
      </c>
      <c r="G268" s="13">
        <f t="shared" si="60"/>
        <v>0</v>
      </c>
    </row>
    <row r="269" spans="2:8" x14ac:dyDescent="0.15">
      <c r="B269" s="22" t="s">
        <v>6</v>
      </c>
      <c r="C269" s="33"/>
      <c r="D269" s="32">
        <f t="shared" si="58"/>
        <v>0</v>
      </c>
      <c r="E269" s="34"/>
      <c r="F269" s="32">
        <f t="shared" si="59"/>
        <v>0</v>
      </c>
      <c r="G269" s="32">
        <f t="shared" si="60"/>
        <v>0</v>
      </c>
    </row>
    <row r="270" spans="2:8" ht="14.25" thickBot="1" x14ac:dyDescent="0.2">
      <c r="B270" s="22" t="s">
        <v>6</v>
      </c>
      <c r="C270" s="17"/>
      <c r="D270" s="18">
        <f t="shared" si="58"/>
        <v>0</v>
      </c>
      <c r="E270" s="19"/>
      <c r="F270" s="18">
        <f t="shared" si="59"/>
        <v>0</v>
      </c>
      <c r="G270" s="18">
        <f t="shared" si="60"/>
        <v>0</v>
      </c>
    </row>
    <row r="271" spans="2:8" ht="14.25" thickBot="1" x14ac:dyDescent="0.2">
      <c r="B271" s="20" t="s">
        <v>3</v>
      </c>
      <c r="C271" s="6">
        <f t="shared" ref="C271:G271" si="61">SUM(C262:C270)</f>
        <v>708</v>
      </c>
      <c r="D271" s="21">
        <f t="shared" si="61"/>
        <v>708</v>
      </c>
      <c r="E271" s="6">
        <f t="shared" si="61"/>
        <v>126</v>
      </c>
      <c r="F271" s="21">
        <f t="shared" si="61"/>
        <v>126</v>
      </c>
      <c r="G271" s="21">
        <f t="shared" si="61"/>
        <v>834</v>
      </c>
    </row>
    <row r="272" spans="2:8" x14ac:dyDescent="0.15">
      <c r="B272" s="37" t="s">
        <v>59</v>
      </c>
      <c r="C272" s="12">
        <v>32</v>
      </c>
      <c r="D272" s="13">
        <f t="shared" ref="D272:D294" si="62">SUM(C272:C272)</f>
        <v>32</v>
      </c>
      <c r="E272" s="14"/>
      <c r="F272" s="13">
        <f t="shared" ref="F272:F294" si="63">SUM(E272:E272)</f>
        <v>0</v>
      </c>
      <c r="G272" s="13">
        <f t="shared" ref="G272:G294" si="64">D272+F272</f>
        <v>32</v>
      </c>
      <c r="H272" s="11">
        <v>44891</v>
      </c>
    </row>
    <row r="273" spans="2:8" x14ac:dyDescent="0.15">
      <c r="B273" s="37" t="s">
        <v>27</v>
      </c>
      <c r="C273" s="12">
        <v>36</v>
      </c>
      <c r="D273" s="13">
        <f t="shared" si="62"/>
        <v>36</v>
      </c>
      <c r="E273" s="14">
        <v>12</v>
      </c>
      <c r="F273" s="13">
        <f t="shared" si="63"/>
        <v>12</v>
      </c>
      <c r="G273" s="13">
        <f t="shared" si="64"/>
        <v>48</v>
      </c>
      <c r="H273" s="11">
        <v>44895</v>
      </c>
    </row>
    <row r="274" spans="2:8" x14ac:dyDescent="0.15">
      <c r="B274" s="37" t="s">
        <v>27</v>
      </c>
      <c r="C274" s="12">
        <v>32</v>
      </c>
      <c r="D274" s="13">
        <f t="shared" si="62"/>
        <v>32</v>
      </c>
      <c r="E274" s="14"/>
      <c r="F274" s="13">
        <f t="shared" si="63"/>
        <v>0</v>
      </c>
      <c r="G274" s="13">
        <f t="shared" si="64"/>
        <v>32</v>
      </c>
      <c r="H274" s="47">
        <v>44898</v>
      </c>
    </row>
    <row r="275" spans="2:8" x14ac:dyDescent="0.15">
      <c r="B275" s="37" t="s">
        <v>27</v>
      </c>
      <c r="C275" s="12">
        <v>32</v>
      </c>
      <c r="D275" s="13">
        <f t="shared" si="62"/>
        <v>32</v>
      </c>
      <c r="E275" s="14"/>
      <c r="F275" s="13">
        <f t="shared" si="63"/>
        <v>0</v>
      </c>
      <c r="G275" s="13">
        <f t="shared" si="64"/>
        <v>32</v>
      </c>
      <c r="H275" s="11">
        <v>44901</v>
      </c>
    </row>
    <row r="276" spans="2:8" x14ac:dyDescent="0.15">
      <c r="B276" s="37" t="s">
        <v>27</v>
      </c>
      <c r="C276" s="12"/>
      <c r="D276" s="13">
        <f t="shared" si="62"/>
        <v>0</v>
      </c>
      <c r="E276" s="14">
        <v>12</v>
      </c>
      <c r="F276" s="13">
        <f t="shared" si="63"/>
        <v>12</v>
      </c>
      <c r="G276" s="13">
        <f t="shared" si="64"/>
        <v>12</v>
      </c>
      <c r="H276" s="11">
        <v>44903</v>
      </c>
    </row>
    <row r="277" spans="2:8" x14ac:dyDescent="0.15">
      <c r="B277" s="37" t="s">
        <v>27</v>
      </c>
      <c r="C277" s="12">
        <v>32</v>
      </c>
      <c r="D277" s="13">
        <f t="shared" si="62"/>
        <v>32</v>
      </c>
      <c r="E277" s="14"/>
      <c r="F277" s="13">
        <f t="shared" si="63"/>
        <v>0</v>
      </c>
      <c r="G277" s="13">
        <f t="shared" si="64"/>
        <v>32</v>
      </c>
      <c r="H277" s="11">
        <v>44904</v>
      </c>
    </row>
    <row r="278" spans="2:8" x14ac:dyDescent="0.15">
      <c r="B278" s="37" t="s">
        <v>27</v>
      </c>
      <c r="C278" s="12">
        <v>32</v>
      </c>
      <c r="D278" s="13">
        <f t="shared" si="62"/>
        <v>32</v>
      </c>
      <c r="E278" s="14"/>
      <c r="F278" s="13">
        <f t="shared" si="63"/>
        <v>0</v>
      </c>
      <c r="G278" s="13">
        <f t="shared" si="64"/>
        <v>32</v>
      </c>
      <c r="H278" s="11">
        <v>44909</v>
      </c>
    </row>
    <row r="279" spans="2:8" x14ac:dyDescent="0.15">
      <c r="B279" s="37" t="s">
        <v>27</v>
      </c>
      <c r="C279" s="12">
        <v>32</v>
      </c>
      <c r="D279" s="13">
        <f t="shared" si="62"/>
        <v>32</v>
      </c>
      <c r="E279" s="14">
        <v>10</v>
      </c>
      <c r="F279" s="13">
        <f t="shared" si="63"/>
        <v>10</v>
      </c>
      <c r="G279" s="13">
        <f t="shared" si="64"/>
        <v>42</v>
      </c>
      <c r="H279" s="11">
        <v>44916</v>
      </c>
    </row>
    <row r="280" spans="2:8" x14ac:dyDescent="0.15">
      <c r="B280" s="37" t="s">
        <v>27</v>
      </c>
      <c r="C280" s="12">
        <v>40</v>
      </c>
      <c r="D280" s="13">
        <f t="shared" si="62"/>
        <v>40</v>
      </c>
      <c r="E280" s="14"/>
      <c r="F280" s="13">
        <f t="shared" si="63"/>
        <v>0</v>
      </c>
      <c r="G280" s="13">
        <f t="shared" si="64"/>
        <v>40</v>
      </c>
      <c r="H280" s="47">
        <v>45282</v>
      </c>
    </row>
    <row r="281" spans="2:8" x14ac:dyDescent="0.15">
      <c r="B281" s="37" t="s">
        <v>27</v>
      </c>
      <c r="C281" s="12">
        <v>32</v>
      </c>
      <c r="D281" s="13">
        <f t="shared" si="62"/>
        <v>32</v>
      </c>
      <c r="E281" s="14"/>
      <c r="F281" s="13">
        <f t="shared" si="63"/>
        <v>0</v>
      </c>
      <c r="G281" s="13">
        <f t="shared" si="64"/>
        <v>32</v>
      </c>
      <c r="H281" s="11">
        <v>44932</v>
      </c>
    </row>
    <row r="282" spans="2:8" x14ac:dyDescent="0.15">
      <c r="B282" s="37" t="s">
        <v>27</v>
      </c>
      <c r="C282" s="12">
        <v>16</v>
      </c>
      <c r="D282" s="13">
        <f t="shared" si="62"/>
        <v>16</v>
      </c>
      <c r="E282" s="14">
        <v>10</v>
      </c>
      <c r="F282" s="13">
        <f t="shared" si="63"/>
        <v>10</v>
      </c>
      <c r="G282" s="13">
        <f t="shared" si="64"/>
        <v>26</v>
      </c>
      <c r="H282" s="11">
        <v>44933</v>
      </c>
    </row>
    <row r="283" spans="2:8" x14ac:dyDescent="0.15">
      <c r="B283" s="37" t="s">
        <v>60</v>
      </c>
      <c r="C283" s="12">
        <v>32</v>
      </c>
      <c r="D283" s="13">
        <f t="shared" si="62"/>
        <v>32</v>
      </c>
      <c r="E283" s="14"/>
      <c r="F283" s="13">
        <f t="shared" si="63"/>
        <v>0</v>
      </c>
      <c r="G283" s="13">
        <f t="shared" si="64"/>
        <v>32</v>
      </c>
      <c r="H283" s="11">
        <v>44939</v>
      </c>
    </row>
    <row r="284" spans="2:8" x14ac:dyDescent="0.15">
      <c r="B284" s="37" t="s">
        <v>27</v>
      </c>
      <c r="C284" s="12"/>
      <c r="D284" s="13">
        <f t="shared" si="62"/>
        <v>0</v>
      </c>
      <c r="E284" s="14">
        <v>18</v>
      </c>
      <c r="F284" s="13">
        <f t="shared" si="63"/>
        <v>18</v>
      </c>
      <c r="G284" s="13">
        <f t="shared" si="64"/>
        <v>18</v>
      </c>
      <c r="H284" s="11">
        <v>44939</v>
      </c>
    </row>
    <row r="285" spans="2:8" x14ac:dyDescent="0.15">
      <c r="B285" s="37" t="s">
        <v>27</v>
      </c>
      <c r="C285" s="12">
        <v>32</v>
      </c>
      <c r="D285" s="13">
        <f t="shared" si="62"/>
        <v>32</v>
      </c>
      <c r="E285" s="14"/>
      <c r="F285" s="13">
        <f t="shared" si="63"/>
        <v>0</v>
      </c>
      <c r="G285" s="13">
        <f t="shared" si="64"/>
        <v>32</v>
      </c>
      <c r="H285" s="11">
        <v>44939</v>
      </c>
    </row>
    <row r="286" spans="2:8" x14ac:dyDescent="0.15">
      <c r="B286" s="37" t="s">
        <v>27</v>
      </c>
      <c r="C286" s="12">
        <v>32</v>
      </c>
      <c r="D286" s="13">
        <f t="shared" si="62"/>
        <v>32</v>
      </c>
      <c r="E286" s="14"/>
      <c r="F286" s="13">
        <f t="shared" si="63"/>
        <v>0</v>
      </c>
      <c r="G286" s="13">
        <f t="shared" si="64"/>
        <v>32</v>
      </c>
      <c r="H286" s="11">
        <v>44947</v>
      </c>
    </row>
    <row r="287" spans="2:8" x14ac:dyDescent="0.15">
      <c r="B287" s="37" t="s">
        <v>27</v>
      </c>
      <c r="C287" s="12"/>
      <c r="D287" s="13">
        <f t="shared" si="62"/>
        <v>0</v>
      </c>
      <c r="E287" s="14">
        <v>18</v>
      </c>
      <c r="F287" s="13">
        <f t="shared" si="63"/>
        <v>18</v>
      </c>
      <c r="G287" s="13">
        <f t="shared" si="64"/>
        <v>18</v>
      </c>
      <c r="H287" s="11">
        <v>44947</v>
      </c>
    </row>
    <row r="288" spans="2:8" x14ac:dyDescent="0.15">
      <c r="B288" s="37" t="s">
        <v>27</v>
      </c>
      <c r="C288" s="12">
        <v>38</v>
      </c>
      <c r="D288" s="13">
        <f t="shared" si="62"/>
        <v>38</v>
      </c>
      <c r="E288" s="14"/>
      <c r="F288" s="13">
        <f t="shared" si="63"/>
        <v>0</v>
      </c>
      <c r="G288" s="13">
        <f t="shared" si="64"/>
        <v>38</v>
      </c>
      <c r="H288" s="11">
        <v>44954</v>
      </c>
    </row>
    <row r="289" spans="2:8" x14ac:dyDescent="0.15">
      <c r="B289" s="37" t="s">
        <v>27</v>
      </c>
      <c r="C289" s="12">
        <v>56</v>
      </c>
      <c r="D289" s="13">
        <f t="shared" si="62"/>
        <v>56</v>
      </c>
      <c r="E289" s="14"/>
      <c r="F289" s="13">
        <f t="shared" si="63"/>
        <v>0</v>
      </c>
      <c r="G289" s="13">
        <f t="shared" si="64"/>
        <v>56</v>
      </c>
      <c r="H289" s="11">
        <v>44960</v>
      </c>
    </row>
    <row r="290" spans="2:8" x14ac:dyDescent="0.15">
      <c r="B290" s="37" t="s">
        <v>27</v>
      </c>
      <c r="C290" s="12">
        <v>56</v>
      </c>
      <c r="D290" s="13">
        <f t="shared" si="62"/>
        <v>56</v>
      </c>
      <c r="E290" s="14"/>
      <c r="F290" s="13">
        <f t="shared" si="63"/>
        <v>0</v>
      </c>
      <c r="G290" s="13">
        <f t="shared" si="64"/>
        <v>56</v>
      </c>
      <c r="H290" s="11">
        <v>44964</v>
      </c>
    </row>
    <row r="291" spans="2:8" x14ac:dyDescent="0.15">
      <c r="B291" s="37" t="s">
        <v>27</v>
      </c>
      <c r="C291" s="12"/>
      <c r="D291" s="13">
        <f t="shared" si="62"/>
        <v>0</v>
      </c>
      <c r="E291" s="14">
        <v>16</v>
      </c>
      <c r="F291" s="13">
        <f t="shared" si="63"/>
        <v>16</v>
      </c>
      <c r="G291" s="13">
        <f t="shared" si="64"/>
        <v>16</v>
      </c>
      <c r="H291" s="11">
        <v>44965</v>
      </c>
    </row>
    <row r="292" spans="2:8" x14ac:dyDescent="0.15">
      <c r="B292" s="37" t="s">
        <v>27</v>
      </c>
      <c r="C292" s="12">
        <v>16</v>
      </c>
      <c r="D292" s="13">
        <f t="shared" si="62"/>
        <v>16</v>
      </c>
      <c r="E292" s="14"/>
      <c r="F292" s="13">
        <f t="shared" si="63"/>
        <v>0</v>
      </c>
      <c r="G292" s="13">
        <f t="shared" si="64"/>
        <v>16</v>
      </c>
      <c r="H292" s="11">
        <v>44971</v>
      </c>
    </row>
    <row r="293" spans="2:8" x14ac:dyDescent="0.15">
      <c r="B293" s="37" t="s">
        <v>27</v>
      </c>
      <c r="C293" s="12">
        <v>16</v>
      </c>
      <c r="D293" s="13">
        <f t="shared" si="62"/>
        <v>16</v>
      </c>
      <c r="E293" s="14"/>
      <c r="F293" s="13">
        <f t="shared" si="63"/>
        <v>0</v>
      </c>
      <c r="G293" s="13">
        <f t="shared" si="64"/>
        <v>16</v>
      </c>
      <c r="H293" s="11">
        <v>44973</v>
      </c>
    </row>
    <row r="294" spans="2:8" x14ac:dyDescent="0.15">
      <c r="B294" s="37" t="s">
        <v>27</v>
      </c>
      <c r="C294" s="12">
        <v>32</v>
      </c>
      <c r="D294" s="13">
        <f t="shared" si="62"/>
        <v>32</v>
      </c>
      <c r="E294" s="14"/>
      <c r="F294" s="13">
        <f t="shared" si="63"/>
        <v>0</v>
      </c>
      <c r="G294" s="13">
        <f t="shared" si="64"/>
        <v>32</v>
      </c>
      <c r="H294" s="11">
        <v>44983</v>
      </c>
    </row>
    <row r="295" spans="2:8" x14ac:dyDescent="0.15">
      <c r="B295" s="37" t="s">
        <v>27</v>
      </c>
      <c r="C295" s="12">
        <v>32</v>
      </c>
      <c r="D295" s="13">
        <f t="shared" ref="D295:D297" si="65">SUM(C295:C295)</f>
        <v>32</v>
      </c>
      <c r="E295" s="14"/>
      <c r="F295" s="13">
        <f t="shared" ref="F295:F297" si="66">SUM(E295:E295)</f>
        <v>0</v>
      </c>
      <c r="G295" s="13">
        <f t="shared" ref="G295:G298" si="67">D295+F295</f>
        <v>32</v>
      </c>
      <c r="H295" s="11">
        <v>44993</v>
      </c>
    </row>
    <row r="296" spans="2:8" x14ac:dyDescent="0.15">
      <c r="B296" s="37" t="s">
        <v>27</v>
      </c>
      <c r="C296" s="15">
        <v>32</v>
      </c>
      <c r="D296" s="13">
        <f t="shared" si="65"/>
        <v>32</v>
      </c>
      <c r="E296" s="16"/>
      <c r="F296" s="13">
        <f t="shared" si="66"/>
        <v>0</v>
      </c>
      <c r="G296" s="13">
        <f t="shared" si="67"/>
        <v>32</v>
      </c>
      <c r="H296" s="11">
        <v>44993</v>
      </c>
    </row>
    <row r="297" spans="2:8" ht="14.25" thickBot="1" x14ac:dyDescent="0.2">
      <c r="B297" s="37" t="s">
        <v>27</v>
      </c>
      <c r="C297" s="15"/>
      <c r="D297" s="13">
        <f t="shared" si="65"/>
        <v>0</v>
      </c>
      <c r="E297" s="16">
        <v>24</v>
      </c>
      <c r="F297" s="13">
        <f t="shared" si="66"/>
        <v>24</v>
      </c>
      <c r="G297" s="13">
        <f t="shared" si="67"/>
        <v>24</v>
      </c>
      <c r="H297" s="11">
        <v>44993</v>
      </c>
    </row>
    <row r="298" spans="2:8" ht="14.25" thickBot="1" x14ac:dyDescent="0.2">
      <c r="B298" s="23" t="s">
        <v>4</v>
      </c>
      <c r="C298" s="38">
        <f t="shared" ref="C298:F298" si="68">SUM(C272:C297)</f>
        <v>690</v>
      </c>
      <c r="D298" s="35">
        <f t="shared" si="68"/>
        <v>690</v>
      </c>
      <c r="E298" s="38">
        <f t="shared" si="68"/>
        <v>120</v>
      </c>
      <c r="F298" s="35">
        <f t="shared" si="68"/>
        <v>120</v>
      </c>
      <c r="G298" s="35">
        <f t="shared" si="67"/>
        <v>810</v>
      </c>
    </row>
    <row r="299" spans="2:8" ht="14.25" thickBot="1" x14ac:dyDescent="0.2">
      <c r="B299" s="27" t="s">
        <v>5</v>
      </c>
      <c r="C299" s="39">
        <f t="shared" ref="C299:G299" si="69">C271-C298</f>
        <v>18</v>
      </c>
      <c r="D299" s="40">
        <f t="shared" si="69"/>
        <v>18</v>
      </c>
      <c r="E299" s="39">
        <f t="shared" si="69"/>
        <v>6</v>
      </c>
      <c r="F299" s="40">
        <f t="shared" si="69"/>
        <v>6</v>
      </c>
      <c r="G299" s="36">
        <f t="shared" si="69"/>
        <v>24</v>
      </c>
    </row>
    <row r="302" spans="2:8" ht="19.5" thickBot="1" x14ac:dyDescent="0.25">
      <c r="B302" s="1" t="s">
        <v>7</v>
      </c>
      <c r="C302" s="2"/>
      <c r="D302" s="2"/>
      <c r="E302" s="2"/>
      <c r="F302" s="2"/>
      <c r="G302" s="2"/>
    </row>
    <row r="303" spans="2:8" ht="14.25" thickBot="1" x14ac:dyDescent="0.2">
      <c r="B303" s="3" t="s">
        <v>0</v>
      </c>
      <c r="C303" s="57" t="s">
        <v>8</v>
      </c>
      <c r="D303" s="58"/>
      <c r="E303" s="57" t="s">
        <v>9</v>
      </c>
      <c r="F303" s="58"/>
      <c r="G303" s="59" t="s">
        <v>1</v>
      </c>
    </row>
    <row r="304" spans="2:8" ht="14.25" thickBot="1" x14ac:dyDescent="0.2">
      <c r="B304" s="3"/>
      <c r="C304" s="4"/>
      <c r="D304" s="3" t="s">
        <v>2</v>
      </c>
      <c r="E304" s="4"/>
      <c r="F304" s="3" t="s">
        <v>2</v>
      </c>
      <c r="G304" s="60"/>
    </row>
    <row r="305" spans="2:8" ht="14.25" thickBot="1" x14ac:dyDescent="0.2">
      <c r="B305" s="5" t="s">
        <v>5</v>
      </c>
      <c r="C305" s="6">
        <f>C299</f>
        <v>18</v>
      </c>
      <c r="D305" s="35">
        <f t="shared" ref="D305:D313" si="70">SUM(C305:C305)</f>
        <v>18</v>
      </c>
      <c r="E305" s="6">
        <f>E299</f>
        <v>6</v>
      </c>
      <c r="F305" s="35">
        <f t="shared" ref="F305:F313" si="71">SUM(E305:E305)</f>
        <v>6</v>
      </c>
      <c r="G305" s="35">
        <f t="shared" ref="G305:G313" si="72">D305+F305</f>
        <v>24</v>
      </c>
    </row>
    <row r="306" spans="2:8" x14ac:dyDescent="0.15">
      <c r="B306" s="22" t="s">
        <v>6</v>
      </c>
      <c r="C306" s="12">
        <v>156</v>
      </c>
      <c r="D306" s="13">
        <f t="shared" ref="D306:D309" si="73">SUM(C306:C306)</f>
        <v>156</v>
      </c>
      <c r="E306" s="14">
        <v>36</v>
      </c>
      <c r="F306" s="13">
        <f t="shared" ref="F306:F309" si="74">SUM(E306:E306)</f>
        <v>36</v>
      </c>
      <c r="G306" s="13">
        <f t="shared" ref="G306:G309" si="75">D306+F306</f>
        <v>192</v>
      </c>
      <c r="H306" s="11">
        <v>44998</v>
      </c>
    </row>
    <row r="307" spans="2:8" x14ac:dyDescent="0.15">
      <c r="B307" s="22" t="s">
        <v>6</v>
      </c>
      <c r="C307" s="12">
        <v>184</v>
      </c>
      <c r="D307" s="13">
        <f t="shared" si="73"/>
        <v>184</v>
      </c>
      <c r="E307" s="14">
        <v>48</v>
      </c>
      <c r="F307" s="13">
        <f t="shared" si="74"/>
        <v>48</v>
      </c>
      <c r="G307" s="13">
        <f t="shared" si="75"/>
        <v>232</v>
      </c>
      <c r="H307" s="11">
        <v>45021</v>
      </c>
    </row>
    <row r="308" spans="2:8" x14ac:dyDescent="0.15">
      <c r="B308" s="22" t="s">
        <v>6</v>
      </c>
      <c r="C308" s="12">
        <v>200</v>
      </c>
      <c r="D308" s="13">
        <f t="shared" si="73"/>
        <v>200</v>
      </c>
      <c r="E308" s="14">
        <v>20</v>
      </c>
      <c r="F308" s="13">
        <f t="shared" si="74"/>
        <v>20</v>
      </c>
      <c r="G308" s="13">
        <f t="shared" si="75"/>
        <v>220</v>
      </c>
      <c r="H308" s="11">
        <v>45057</v>
      </c>
    </row>
    <row r="309" spans="2:8" x14ac:dyDescent="0.15">
      <c r="B309" s="22" t="s">
        <v>6</v>
      </c>
      <c r="C309" s="12">
        <v>150</v>
      </c>
      <c r="D309" s="13">
        <f t="shared" si="73"/>
        <v>150</v>
      </c>
      <c r="E309" s="14">
        <v>30</v>
      </c>
      <c r="F309" s="13">
        <f t="shared" si="74"/>
        <v>30</v>
      </c>
      <c r="G309" s="13">
        <f t="shared" si="75"/>
        <v>180</v>
      </c>
      <c r="H309" s="11">
        <v>45083</v>
      </c>
    </row>
    <row r="310" spans="2:8" x14ac:dyDescent="0.15">
      <c r="B310" s="22" t="s">
        <v>6</v>
      </c>
      <c r="C310" s="12"/>
      <c r="D310" s="13">
        <f t="shared" si="70"/>
        <v>0</v>
      </c>
      <c r="E310" s="14"/>
      <c r="F310" s="13">
        <f t="shared" si="71"/>
        <v>0</v>
      </c>
      <c r="G310" s="13">
        <f t="shared" si="72"/>
        <v>0</v>
      </c>
    </row>
    <row r="311" spans="2:8" x14ac:dyDescent="0.15">
      <c r="B311" s="22" t="s">
        <v>6</v>
      </c>
      <c r="C311" s="12"/>
      <c r="D311" s="13">
        <f t="shared" si="70"/>
        <v>0</v>
      </c>
      <c r="E311" s="14"/>
      <c r="F311" s="13">
        <f t="shared" si="71"/>
        <v>0</v>
      </c>
      <c r="G311" s="13">
        <f t="shared" si="72"/>
        <v>0</v>
      </c>
    </row>
    <row r="312" spans="2:8" x14ac:dyDescent="0.15">
      <c r="B312" s="22" t="s">
        <v>6</v>
      </c>
      <c r="C312" s="33"/>
      <c r="D312" s="32">
        <f t="shared" si="70"/>
        <v>0</v>
      </c>
      <c r="E312" s="34"/>
      <c r="F312" s="32">
        <f t="shared" si="71"/>
        <v>0</v>
      </c>
      <c r="G312" s="32">
        <f t="shared" si="72"/>
        <v>0</v>
      </c>
    </row>
    <row r="313" spans="2:8" ht="14.25" thickBot="1" x14ac:dyDescent="0.2">
      <c r="B313" s="22" t="s">
        <v>6</v>
      </c>
      <c r="C313" s="17"/>
      <c r="D313" s="18">
        <f t="shared" si="70"/>
        <v>0</v>
      </c>
      <c r="E313" s="19"/>
      <c r="F313" s="18">
        <f t="shared" si="71"/>
        <v>0</v>
      </c>
      <c r="G313" s="18">
        <f t="shared" si="72"/>
        <v>0</v>
      </c>
    </row>
    <row r="314" spans="2:8" ht="14.25" thickBot="1" x14ac:dyDescent="0.2">
      <c r="B314" s="20" t="s">
        <v>3</v>
      </c>
      <c r="C314" s="6">
        <f t="shared" ref="C314:G314" si="76">SUM(C305:C313)</f>
        <v>708</v>
      </c>
      <c r="D314" s="21">
        <f t="shared" si="76"/>
        <v>708</v>
      </c>
      <c r="E314" s="6">
        <f t="shared" si="76"/>
        <v>140</v>
      </c>
      <c r="F314" s="21">
        <f t="shared" si="76"/>
        <v>140</v>
      </c>
      <c r="G314" s="21">
        <f t="shared" si="76"/>
        <v>848</v>
      </c>
    </row>
    <row r="315" spans="2:8" x14ac:dyDescent="0.15">
      <c r="B315" s="37" t="s">
        <v>61</v>
      </c>
      <c r="C315" s="12">
        <v>32</v>
      </c>
      <c r="D315" s="13">
        <f t="shared" ref="D315:D335" si="77">SUM(C315:C315)</f>
        <v>32</v>
      </c>
      <c r="E315" s="14">
        <v>20</v>
      </c>
      <c r="F315" s="13">
        <f t="shared" ref="F315:F335" si="78">SUM(E315:E315)</f>
        <v>20</v>
      </c>
      <c r="G315" s="13">
        <f t="shared" ref="G315:G335" si="79">D315+F315</f>
        <v>52</v>
      </c>
      <c r="H315" s="11">
        <v>45007</v>
      </c>
    </row>
    <row r="316" spans="2:8" x14ac:dyDescent="0.15">
      <c r="B316" s="37" t="s">
        <v>27</v>
      </c>
      <c r="C316" s="12">
        <v>32</v>
      </c>
      <c r="D316" s="13">
        <f t="shared" si="77"/>
        <v>32</v>
      </c>
      <c r="E316" s="14">
        <v>12</v>
      </c>
      <c r="F316" s="13">
        <f t="shared" si="78"/>
        <v>12</v>
      </c>
      <c r="G316" s="13">
        <f t="shared" si="79"/>
        <v>44</v>
      </c>
      <c r="H316" s="11">
        <v>45012</v>
      </c>
    </row>
    <row r="317" spans="2:8" x14ac:dyDescent="0.15">
      <c r="B317" s="37" t="s">
        <v>27</v>
      </c>
      <c r="C317" s="12">
        <v>32</v>
      </c>
      <c r="D317" s="13">
        <f t="shared" si="77"/>
        <v>32</v>
      </c>
      <c r="E317" s="14"/>
      <c r="F317" s="13">
        <f t="shared" si="78"/>
        <v>0</v>
      </c>
      <c r="G317" s="13">
        <f t="shared" si="79"/>
        <v>32</v>
      </c>
      <c r="H317" s="11">
        <v>45019</v>
      </c>
    </row>
    <row r="318" spans="2:8" x14ac:dyDescent="0.15">
      <c r="B318" s="37" t="s">
        <v>27</v>
      </c>
      <c r="C318" s="12">
        <v>32</v>
      </c>
      <c r="D318" s="13">
        <f t="shared" si="77"/>
        <v>32</v>
      </c>
      <c r="E318" s="14"/>
      <c r="F318" s="13">
        <f t="shared" si="78"/>
        <v>0</v>
      </c>
      <c r="G318" s="13">
        <f t="shared" si="79"/>
        <v>32</v>
      </c>
      <c r="H318" s="11">
        <v>45019</v>
      </c>
    </row>
    <row r="319" spans="2:8" x14ac:dyDescent="0.15">
      <c r="B319" s="37" t="s">
        <v>27</v>
      </c>
      <c r="C319" s="12"/>
      <c r="D319" s="13">
        <f t="shared" si="77"/>
        <v>0</v>
      </c>
      <c r="E319" s="14">
        <v>15</v>
      </c>
      <c r="F319" s="13">
        <f t="shared" si="78"/>
        <v>15</v>
      </c>
      <c r="G319" s="13">
        <f t="shared" si="79"/>
        <v>15</v>
      </c>
      <c r="H319" s="11">
        <v>45026</v>
      </c>
    </row>
    <row r="320" spans="2:8" x14ac:dyDescent="0.15">
      <c r="B320" s="37" t="s">
        <v>27</v>
      </c>
      <c r="C320" s="12">
        <v>22</v>
      </c>
      <c r="D320" s="13">
        <f t="shared" si="77"/>
        <v>22</v>
      </c>
      <c r="E320" s="14">
        <v>6</v>
      </c>
      <c r="F320" s="13">
        <f t="shared" si="78"/>
        <v>6</v>
      </c>
      <c r="G320" s="13">
        <f t="shared" si="79"/>
        <v>28</v>
      </c>
      <c r="H320" s="11">
        <v>45027</v>
      </c>
    </row>
    <row r="321" spans="2:9" x14ac:dyDescent="0.15">
      <c r="B321" s="37" t="s">
        <v>27</v>
      </c>
      <c r="C321" s="12">
        <v>32</v>
      </c>
      <c r="D321" s="13">
        <f t="shared" si="77"/>
        <v>32</v>
      </c>
      <c r="E321" s="14"/>
      <c r="F321" s="13">
        <f t="shared" si="78"/>
        <v>0</v>
      </c>
      <c r="G321" s="13">
        <f t="shared" si="79"/>
        <v>32</v>
      </c>
      <c r="H321" s="11">
        <v>45034</v>
      </c>
    </row>
    <row r="322" spans="2:9" x14ac:dyDescent="0.15">
      <c r="B322" s="37" t="s">
        <v>27</v>
      </c>
      <c r="C322" s="12">
        <v>32</v>
      </c>
      <c r="D322" s="13">
        <f t="shared" si="77"/>
        <v>32</v>
      </c>
      <c r="E322" s="14"/>
      <c r="F322" s="13">
        <f t="shared" si="78"/>
        <v>0</v>
      </c>
      <c r="G322" s="13">
        <f t="shared" si="79"/>
        <v>32</v>
      </c>
      <c r="H322" s="11">
        <v>45034</v>
      </c>
    </row>
    <row r="323" spans="2:9" x14ac:dyDescent="0.15">
      <c r="B323" s="37" t="s">
        <v>27</v>
      </c>
      <c r="C323" s="12">
        <v>32</v>
      </c>
      <c r="D323" s="13">
        <f t="shared" si="77"/>
        <v>32</v>
      </c>
      <c r="E323" s="14">
        <v>12</v>
      </c>
      <c r="F323" s="13">
        <f t="shared" si="78"/>
        <v>12</v>
      </c>
      <c r="G323" s="13">
        <f t="shared" si="79"/>
        <v>44</v>
      </c>
      <c r="H323" s="11">
        <v>45035</v>
      </c>
    </row>
    <row r="324" spans="2:9" x14ac:dyDescent="0.15">
      <c r="B324" s="37" t="s">
        <v>27</v>
      </c>
      <c r="C324" s="12">
        <v>32</v>
      </c>
      <c r="D324" s="13">
        <f t="shared" si="77"/>
        <v>32</v>
      </c>
      <c r="E324" s="14"/>
      <c r="F324" s="13">
        <f t="shared" si="78"/>
        <v>0</v>
      </c>
      <c r="G324" s="13">
        <f t="shared" si="79"/>
        <v>32</v>
      </c>
      <c r="H324" s="11">
        <v>45041</v>
      </c>
    </row>
    <row r="325" spans="2:9" x14ac:dyDescent="0.15">
      <c r="B325" s="37" t="s">
        <v>27</v>
      </c>
      <c r="C325" s="12">
        <v>32</v>
      </c>
      <c r="D325" s="13">
        <f t="shared" si="77"/>
        <v>32</v>
      </c>
      <c r="E325" s="14"/>
      <c r="F325" s="13">
        <f t="shared" si="78"/>
        <v>0</v>
      </c>
      <c r="G325" s="13">
        <f t="shared" si="79"/>
        <v>32</v>
      </c>
      <c r="H325" s="11">
        <v>45047</v>
      </c>
      <c r="I325" s="46"/>
    </row>
    <row r="326" spans="2:9" x14ac:dyDescent="0.15">
      <c r="B326" s="37" t="s">
        <v>27</v>
      </c>
      <c r="C326" s="12">
        <v>32</v>
      </c>
      <c r="D326" s="13">
        <f t="shared" si="77"/>
        <v>32</v>
      </c>
      <c r="E326" s="14"/>
      <c r="F326" s="13">
        <f t="shared" si="78"/>
        <v>0</v>
      </c>
      <c r="G326" s="13">
        <f t="shared" si="79"/>
        <v>32</v>
      </c>
      <c r="H326" s="11">
        <v>45055</v>
      </c>
      <c r="I326" s="46"/>
    </row>
    <row r="327" spans="2:9" x14ac:dyDescent="0.15">
      <c r="B327" s="37" t="s">
        <v>27</v>
      </c>
      <c r="C327" s="12">
        <v>16</v>
      </c>
      <c r="D327" s="13">
        <f t="shared" si="77"/>
        <v>16</v>
      </c>
      <c r="E327" s="14"/>
      <c r="F327" s="13">
        <f t="shared" si="78"/>
        <v>0</v>
      </c>
      <c r="G327" s="13">
        <f t="shared" si="79"/>
        <v>16</v>
      </c>
      <c r="H327" s="11">
        <v>45055</v>
      </c>
    </row>
    <row r="328" spans="2:9" x14ac:dyDescent="0.15">
      <c r="B328" s="37" t="s">
        <v>27</v>
      </c>
      <c r="C328" s="12"/>
      <c r="D328" s="13">
        <f t="shared" si="77"/>
        <v>0</v>
      </c>
      <c r="E328" s="14">
        <v>16</v>
      </c>
      <c r="F328" s="13">
        <f t="shared" si="78"/>
        <v>16</v>
      </c>
      <c r="G328" s="13">
        <f t="shared" si="79"/>
        <v>16</v>
      </c>
      <c r="H328" s="11">
        <v>45065</v>
      </c>
    </row>
    <row r="329" spans="2:9" x14ac:dyDescent="0.15">
      <c r="B329" s="37" t="s">
        <v>27</v>
      </c>
      <c r="C329" s="12">
        <v>32</v>
      </c>
      <c r="D329" s="13">
        <f t="shared" si="77"/>
        <v>32</v>
      </c>
      <c r="E329" s="14"/>
      <c r="F329" s="13">
        <f t="shared" si="78"/>
        <v>0</v>
      </c>
      <c r="G329" s="13">
        <f t="shared" si="79"/>
        <v>32</v>
      </c>
      <c r="H329" s="11">
        <v>45065</v>
      </c>
    </row>
    <row r="330" spans="2:9" x14ac:dyDescent="0.15">
      <c r="B330" s="37" t="s">
        <v>27</v>
      </c>
      <c r="C330" s="12">
        <v>32</v>
      </c>
      <c r="D330" s="13">
        <f t="shared" si="77"/>
        <v>32</v>
      </c>
      <c r="E330" s="14"/>
      <c r="F330" s="13">
        <f t="shared" si="78"/>
        <v>0</v>
      </c>
      <c r="G330" s="13">
        <f t="shared" si="79"/>
        <v>32</v>
      </c>
      <c r="H330" s="11">
        <v>45065</v>
      </c>
      <c r="I330" s="46"/>
    </row>
    <row r="331" spans="2:9" x14ac:dyDescent="0.15">
      <c r="B331" s="37" t="s">
        <v>27</v>
      </c>
      <c r="C331" s="12">
        <v>16</v>
      </c>
      <c r="D331" s="13">
        <f t="shared" si="77"/>
        <v>16</v>
      </c>
      <c r="E331" s="14">
        <v>10</v>
      </c>
      <c r="F331" s="13">
        <f t="shared" si="78"/>
        <v>10</v>
      </c>
      <c r="G331" s="13">
        <f t="shared" si="79"/>
        <v>26</v>
      </c>
      <c r="H331" s="11">
        <v>45066</v>
      </c>
      <c r="I331" s="46"/>
    </row>
    <row r="332" spans="2:9" x14ac:dyDescent="0.15">
      <c r="B332" s="37" t="s">
        <v>27</v>
      </c>
      <c r="C332" s="12">
        <v>32</v>
      </c>
      <c r="D332" s="13">
        <f t="shared" si="77"/>
        <v>32</v>
      </c>
      <c r="E332" s="14"/>
      <c r="F332" s="13">
        <f t="shared" si="78"/>
        <v>0</v>
      </c>
      <c r="G332" s="13">
        <f t="shared" si="79"/>
        <v>32</v>
      </c>
      <c r="H332" s="11">
        <v>45070</v>
      </c>
    </row>
    <row r="333" spans="2:9" x14ac:dyDescent="0.15">
      <c r="B333" s="37" t="s">
        <v>27</v>
      </c>
      <c r="C333" s="12"/>
      <c r="D333" s="13">
        <f t="shared" si="77"/>
        <v>0</v>
      </c>
      <c r="E333" s="14">
        <v>16</v>
      </c>
      <c r="F333" s="13">
        <f t="shared" si="78"/>
        <v>16</v>
      </c>
      <c r="G333" s="13">
        <f t="shared" si="79"/>
        <v>16</v>
      </c>
      <c r="H333" s="11">
        <v>45072</v>
      </c>
    </row>
    <row r="334" spans="2:9" x14ac:dyDescent="0.15">
      <c r="B334" s="37" t="s">
        <v>27</v>
      </c>
      <c r="C334" s="12">
        <v>32</v>
      </c>
      <c r="D334" s="13">
        <f t="shared" si="77"/>
        <v>32</v>
      </c>
      <c r="E334" s="14"/>
      <c r="F334" s="13">
        <f t="shared" si="78"/>
        <v>0</v>
      </c>
      <c r="G334" s="13">
        <f t="shared" si="79"/>
        <v>32</v>
      </c>
      <c r="H334" s="47">
        <v>45077</v>
      </c>
    </row>
    <row r="335" spans="2:9" x14ac:dyDescent="0.15">
      <c r="B335" s="37" t="s">
        <v>27</v>
      </c>
      <c r="C335" s="12">
        <v>32</v>
      </c>
      <c r="D335" s="13">
        <f t="shared" si="77"/>
        <v>32</v>
      </c>
      <c r="E335" s="14"/>
      <c r="F335" s="13">
        <f t="shared" si="78"/>
        <v>0</v>
      </c>
      <c r="G335" s="13">
        <f t="shared" si="79"/>
        <v>32</v>
      </c>
      <c r="H335" s="11">
        <v>45083</v>
      </c>
    </row>
    <row r="336" spans="2:9" x14ac:dyDescent="0.15">
      <c r="B336" s="37" t="s">
        <v>62</v>
      </c>
      <c r="C336" s="12">
        <v>3</v>
      </c>
      <c r="D336" s="13">
        <f t="shared" ref="D336:D340" si="80">SUM(C336:C336)</f>
        <v>3</v>
      </c>
      <c r="E336" s="14"/>
      <c r="F336" s="13">
        <f t="shared" ref="F336:F340" si="81">SUM(E336:E336)</f>
        <v>0</v>
      </c>
      <c r="G336" s="13">
        <f t="shared" ref="G336:G341" si="82">D336+F336</f>
        <v>3</v>
      </c>
      <c r="H336" s="47">
        <v>45089</v>
      </c>
    </row>
    <row r="337" spans="2:9" x14ac:dyDescent="0.15">
      <c r="B337" s="37" t="s">
        <v>63</v>
      </c>
      <c r="C337" s="12">
        <v>32</v>
      </c>
      <c r="D337" s="13">
        <f t="shared" si="80"/>
        <v>32</v>
      </c>
      <c r="E337" s="14"/>
      <c r="F337" s="13">
        <f t="shared" si="81"/>
        <v>0</v>
      </c>
      <c r="G337" s="13">
        <f t="shared" si="82"/>
        <v>32</v>
      </c>
      <c r="H337" s="11">
        <v>45091</v>
      </c>
    </row>
    <row r="338" spans="2:9" x14ac:dyDescent="0.15">
      <c r="B338" s="37" t="s">
        <v>15</v>
      </c>
      <c r="C338" s="12">
        <v>1</v>
      </c>
      <c r="D338" s="13">
        <f t="shared" si="80"/>
        <v>1</v>
      </c>
      <c r="E338" s="14"/>
      <c r="F338" s="13">
        <f t="shared" si="81"/>
        <v>0</v>
      </c>
      <c r="G338" s="13">
        <f t="shared" si="82"/>
        <v>1</v>
      </c>
      <c r="H338" s="47">
        <v>45090</v>
      </c>
    </row>
    <row r="339" spans="2:9" x14ac:dyDescent="0.15">
      <c r="B339" s="37" t="s">
        <v>64</v>
      </c>
      <c r="C339" s="15">
        <v>32</v>
      </c>
      <c r="D339" s="13">
        <f t="shared" si="80"/>
        <v>32</v>
      </c>
      <c r="E339" s="16"/>
      <c r="F339" s="13">
        <f t="shared" si="81"/>
        <v>0</v>
      </c>
      <c r="G339" s="13">
        <f t="shared" si="82"/>
        <v>32</v>
      </c>
      <c r="H339" s="11">
        <v>45096</v>
      </c>
    </row>
    <row r="340" spans="2:9" ht="14.25" thickBot="1" x14ac:dyDescent="0.2">
      <c r="B340" s="37" t="s">
        <v>27</v>
      </c>
      <c r="C340" s="15">
        <v>32</v>
      </c>
      <c r="D340" s="13">
        <f t="shared" si="80"/>
        <v>32</v>
      </c>
      <c r="E340" s="16"/>
      <c r="F340" s="13">
        <f t="shared" si="81"/>
        <v>0</v>
      </c>
      <c r="G340" s="13">
        <f t="shared" si="82"/>
        <v>32</v>
      </c>
      <c r="H340" s="11">
        <v>45098</v>
      </c>
    </row>
    <row r="341" spans="2:9" ht="14.25" thickBot="1" x14ac:dyDescent="0.2">
      <c r="B341" s="23" t="s">
        <v>4</v>
      </c>
      <c r="C341" s="38">
        <f t="shared" ref="C341:F341" si="83">SUM(C315:C340)</f>
        <v>634</v>
      </c>
      <c r="D341" s="35">
        <f t="shared" si="83"/>
        <v>634</v>
      </c>
      <c r="E341" s="38">
        <f t="shared" si="83"/>
        <v>107</v>
      </c>
      <c r="F341" s="35">
        <f t="shared" si="83"/>
        <v>107</v>
      </c>
      <c r="G341" s="35">
        <f t="shared" si="82"/>
        <v>741</v>
      </c>
    </row>
    <row r="342" spans="2:9" ht="14.25" thickBot="1" x14ac:dyDescent="0.2">
      <c r="B342" s="27" t="s">
        <v>5</v>
      </c>
      <c r="C342" s="39">
        <f t="shared" ref="C342:G342" si="84">C314-C341</f>
        <v>74</v>
      </c>
      <c r="D342" s="40">
        <f t="shared" si="84"/>
        <v>74</v>
      </c>
      <c r="E342" s="39">
        <f t="shared" si="84"/>
        <v>33</v>
      </c>
      <c r="F342" s="40">
        <f t="shared" si="84"/>
        <v>33</v>
      </c>
      <c r="G342" s="36">
        <f t="shared" si="84"/>
        <v>107</v>
      </c>
    </row>
    <row r="345" spans="2:9" ht="19.5" thickBot="1" x14ac:dyDescent="0.25">
      <c r="B345" s="1" t="s">
        <v>7</v>
      </c>
      <c r="C345" s="2"/>
      <c r="D345" s="2"/>
      <c r="E345" s="2"/>
      <c r="F345" s="2"/>
      <c r="G345" s="2"/>
    </row>
    <row r="346" spans="2:9" ht="14.25" thickBot="1" x14ac:dyDescent="0.2">
      <c r="B346" s="3" t="s">
        <v>0</v>
      </c>
      <c r="C346" s="57" t="s">
        <v>8</v>
      </c>
      <c r="D346" s="58"/>
      <c r="E346" s="57" t="s">
        <v>9</v>
      </c>
      <c r="F346" s="58"/>
      <c r="G346" s="59" t="s">
        <v>1</v>
      </c>
    </row>
    <row r="347" spans="2:9" ht="14.25" thickBot="1" x14ac:dyDescent="0.2">
      <c r="B347" s="3"/>
      <c r="C347" s="4"/>
      <c r="D347" s="3" t="s">
        <v>2</v>
      </c>
      <c r="E347" s="4"/>
      <c r="F347" s="3" t="s">
        <v>2</v>
      </c>
      <c r="G347" s="60"/>
    </row>
    <row r="348" spans="2:9" ht="14.25" thickBot="1" x14ac:dyDescent="0.2">
      <c r="B348" s="5" t="s">
        <v>5</v>
      </c>
      <c r="C348" s="6">
        <f>C342</f>
        <v>74</v>
      </c>
      <c r="D348" s="35">
        <f t="shared" ref="D348:D356" si="85">SUM(C348:C348)</f>
        <v>74</v>
      </c>
      <c r="E348" s="6">
        <f>E342</f>
        <v>33</v>
      </c>
      <c r="F348" s="35">
        <f t="shared" ref="F348:F356" si="86">SUM(E348:E348)</f>
        <v>33</v>
      </c>
      <c r="G348" s="35">
        <f t="shared" ref="G348:G356" si="87">D348+F348</f>
        <v>107</v>
      </c>
    </row>
    <row r="349" spans="2:9" x14ac:dyDescent="0.15">
      <c r="B349" s="22" t="s">
        <v>6</v>
      </c>
      <c r="C349" s="12">
        <v>200</v>
      </c>
      <c r="D349" s="13">
        <f t="shared" ref="D349:D352" si="88">SUM(C349:C349)</f>
        <v>200</v>
      </c>
      <c r="E349" s="14">
        <v>40</v>
      </c>
      <c r="F349" s="13">
        <f t="shared" ref="F349:F352" si="89">SUM(E349:E349)</f>
        <v>40</v>
      </c>
      <c r="G349" s="13">
        <f t="shared" ref="G349:G352" si="90">D349+F349</f>
        <v>240</v>
      </c>
      <c r="H349" s="11">
        <v>45117</v>
      </c>
      <c r="I349" s="46"/>
    </row>
    <row r="350" spans="2:9" x14ac:dyDescent="0.15">
      <c r="B350" s="22" t="s">
        <v>6</v>
      </c>
      <c r="C350" s="12">
        <v>250</v>
      </c>
      <c r="D350" s="13">
        <f t="shared" si="88"/>
        <v>250</v>
      </c>
      <c r="E350" s="14">
        <v>30</v>
      </c>
      <c r="F350" s="13">
        <f t="shared" si="89"/>
        <v>30</v>
      </c>
      <c r="G350" s="13">
        <f t="shared" si="90"/>
        <v>280</v>
      </c>
      <c r="H350" s="11">
        <v>45136</v>
      </c>
      <c r="I350" s="46"/>
    </row>
    <row r="351" spans="2:9" x14ac:dyDescent="0.15">
      <c r="B351" s="22" t="s">
        <v>6</v>
      </c>
      <c r="C351" s="12"/>
      <c r="D351" s="13">
        <f t="shared" si="88"/>
        <v>0</v>
      </c>
      <c r="E351" s="14"/>
      <c r="F351" s="13">
        <f t="shared" si="89"/>
        <v>0</v>
      </c>
      <c r="G351" s="13">
        <f t="shared" si="90"/>
        <v>0</v>
      </c>
    </row>
    <row r="352" spans="2:9" x14ac:dyDescent="0.15">
      <c r="B352" s="22" t="s">
        <v>6</v>
      </c>
      <c r="C352" s="12"/>
      <c r="D352" s="13">
        <f t="shared" si="88"/>
        <v>0</v>
      </c>
      <c r="E352" s="14"/>
      <c r="F352" s="13">
        <f t="shared" si="89"/>
        <v>0</v>
      </c>
      <c r="G352" s="13">
        <f t="shared" si="90"/>
        <v>0</v>
      </c>
    </row>
    <row r="353" spans="2:8" x14ac:dyDescent="0.15">
      <c r="B353" s="22" t="s">
        <v>6</v>
      </c>
      <c r="C353" s="12"/>
      <c r="D353" s="13">
        <f t="shared" si="85"/>
        <v>0</v>
      </c>
      <c r="E353" s="14"/>
      <c r="F353" s="13">
        <f t="shared" si="86"/>
        <v>0</v>
      </c>
      <c r="G353" s="13">
        <f t="shared" si="87"/>
        <v>0</v>
      </c>
    </row>
    <row r="354" spans="2:8" x14ac:dyDescent="0.15">
      <c r="B354" s="22" t="s">
        <v>6</v>
      </c>
      <c r="C354" s="12"/>
      <c r="D354" s="13">
        <f t="shared" si="85"/>
        <v>0</v>
      </c>
      <c r="E354" s="14"/>
      <c r="F354" s="13">
        <f t="shared" si="86"/>
        <v>0</v>
      </c>
      <c r="G354" s="13">
        <f t="shared" si="87"/>
        <v>0</v>
      </c>
    </row>
    <row r="355" spans="2:8" x14ac:dyDescent="0.15">
      <c r="B355" s="22" t="s">
        <v>6</v>
      </c>
      <c r="C355" s="33"/>
      <c r="D355" s="32">
        <f t="shared" si="85"/>
        <v>0</v>
      </c>
      <c r="E355" s="34"/>
      <c r="F355" s="32">
        <f t="shared" si="86"/>
        <v>0</v>
      </c>
      <c r="G355" s="32">
        <f t="shared" si="87"/>
        <v>0</v>
      </c>
    </row>
    <row r="356" spans="2:8" ht="14.25" thickBot="1" x14ac:dyDescent="0.2">
      <c r="B356" s="22" t="s">
        <v>6</v>
      </c>
      <c r="C356" s="17"/>
      <c r="D356" s="18">
        <f t="shared" si="85"/>
        <v>0</v>
      </c>
      <c r="E356" s="19"/>
      <c r="F356" s="18">
        <f t="shared" si="86"/>
        <v>0</v>
      </c>
      <c r="G356" s="18">
        <f t="shared" si="87"/>
        <v>0</v>
      </c>
    </row>
    <row r="357" spans="2:8" ht="14.25" thickBot="1" x14ac:dyDescent="0.2">
      <c r="B357" s="20" t="s">
        <v>3</v>
      </c>
      <c r="C357" s="6">
        <f t="shared" ref="C357:G357" si="91">SUM(C348:C356)</f>
        <v>524</v>
      </c>
      <c r="D357" s="21">
        <f t="shared" si="91"/>
        <v>524</v>
      </c>
      <c r="E357" s="6">
        <f t="shared" si="91"/>
        <v>103</v>
      </c>
      <c r="F357" s="21">
        <f t="shared" si="91"/>
        <v>103</v>
      </c>
      <c r="G357" s="21">
        <f t="shared" si="91"/>
        <v>627</v>
      </c>
    </row>
    <row r="358" spans="2:8" x14ac:dyDescent="0.15">
      <c r="B358" s="37" t="s">
        <v>15</v>
      </c>
      <c r="C358" s="12">
        <v>1</v>
      </c>
      <c r="D358" s="13">
        <f t="shared" ref="D358:D383" si="92">SUM(C358:C358)</f>
        <v>1</v>
      </c>
      <c r="E358" s="14">
        <v>1</v>
      </c>
      <c r="F358" s="13">
        <f t="shared" ref="F358:F383" si="93">SUM(E358:E358)</f>
        <v>1</v>
      </c>
      <c r="G358" s="13">
        <f t="shared" ref="G358:G384" si="94">D358+F358</f>
        <v>2</v>
      </c>
      <c r="H358" s="47">
        <v>45103</v>
      </c>
    </row>
    <row r="359" spans="2:8" x14ac:dyDescent="0.15">
      <c r="B359" s="37" t="s">
        <v>65</v>
      </c>
      <c r="C359" s="12"/>
      <c r="D359" s="13">
        <f t="shared" si="92"/>
        <v>0</v>
      </c>
      <c r="E359" s="14">
        <v>10</v>
      </c>
      <c r="F359" s="13">
        <f t="shared" si="93"/>
        <v>10</v>
      </c>
      <c r="G359" s="13">
        <f t="shared" si="94"/>
        <v>10</v>
      </c>
      <c r="H359" s="11">
        <v>45105</v>
      </c>
    </row>
    <row r="360" spans="2:8" x14ac:dyDescent="0.15">
      <c r="B360" s="37" t="s">
        <v>27</v>
      </c>
      <c r="C360" s="12"/>
      <c r="D360" s="13">
        <f t="shared" si="92"/>
        <v>0</v>
      </c>
      <c r="E360" s="14">
        <v>15</v>
      </c>
      <c r="F360" s="13">
        <f t="shared" si="93"/>
        <v>15</v>
      </c>
      <c r="G360" s="13">
        <f t="shared" si="94"/>
        <v>15</v>
      </c>
      <c r="H360" s="47">
        <v>45107</v>
      </c>
    </row>
    <row r="361" spans="2:8" x14ac:dyDescent="0.15">
      <c r="B361" s="37" t="s">
        <v>27</v>
      </c>
      <c r="C361" s="12">
        <v>32</v>
      </c>
      <c r="D361" s="13">
        <f t="shared" si="92"/>
        <v>32</v>
      </c>
      <c r="E361" s="14"/>
      <c r="F361" s="13">
        <f t="shared" si="93"/>
        <v>0</v>
      </c>
      <c r="G361" s="13">
        <f t="shared" si="94"/>
        <v>32</v>
      </c>
      <c r="H361" s="11">
        <v>45113</v>
      </c>
    </row>
    <row r="362" spans="2:8" x14ac:dyDescent="0.15">
      <c r="B362" s="37" t="s">
        <v>15</v>
      </c>
      <c r="C362" s="12">
        <v>2</v>
      </c>
      <c r="D362" s="13">
        <f t="shared" si="92"/>
        <v>2</v>
      </c>
      <c r="E362" s="14"/>
      <c r="F362" s="13">
        <f t="shared" si="93"/>
        <v>0</v>
      </c>
      <c r="G362" s="13">
        <f t="shared" si="94"/>
        <v>2</v>
      </c>
      <c r="H362" s="11">
        <v>45113</v>
      </c>
    </row>
    <row r="363" spans="2:8" x14ac:dyDescent="0.15">
      <c r="B363" s="37" t="s">
        <v>27</v>
      </c>
      <c r="C363" s="12">
        <v>36</v>
      </c>
      <c r="D363" s="13">
        <f t="shared" si="92"/>
        <v>36</v>
      </c>
      <c r="E363" s="14"/>
      <c r="F363" s="13">
        <f t="shared" si="93"/>
        <v>0</v>
      </c>
      <c r="G363" s="13">
        <f t="shared" si="94"/>
        <v>36</v>
      </c>
      <c r="H363" s="11">
        <v>45115</v>
      </c>
    </row>
    <row r="364" spans="2:8" x14ac:dyDescent="0.15">
      <c r="B364" s="37" t="s">
        <v>15</v>
      </c>
      <c r="C364" s="12">
        <v>6</v>
      </c>
      <c r="D364" s="13">
        <f t="shared" si="92"/>
        <v>6</v>
      </c>
      <c r="E364" s="14"/>
      <c r="F364" s="13">
        <f t="shared" si="93"/>
        <v>0</v>
      </c>
      <c r="G364" s="13">
        <f t="shared" si="94"/>
        <v>6</v>
      </c>
      <c r="H364" s="47">
        <v>45118</v>
      </c>
    </row>
    <row r="365" spans="2:8" x14ac:dyDescent="0.15">
      <c r="B365" s="37" t="s">
        <v>66</v>
      </c>
      <c r="C365" s="12">
        <v>36</v>
      </c>
      <c r="D365" s="13">
        <f t="shared" si="92"/>
        <v>36</v>
      </c>
      <c r="E365" s="14"/>
      <c r="F365" s="13">
        <f t="shared" si="93"/>
        <v>0</v>
      </c>
      <c r="G365" s="13">
        <f t="shared" si="94"/>
        <v>36</v>
      </c>
      <c r="H365" s="11">
        <v>45119</v>
      </c>
    </row>
    <row r="366" spans="2:8" x14ac:dyDescent="0.15">
      <c r="B366" s="37" t="s">
        <v>67</v>
      </c>
      <c r="C366" s="12"/>
      <c r="D366" s="13">
        <f t="shared" si="92"/>
        <v>0</v>
      </c>
      <c r="E366" s="14">
        <v>10</v>
      </c>
      <c r="F366" s="13">
        <f t="shared" si="93"/>
        <v>10</v>
      </c>
      <c r="G366" s="13">
        <f t="shared" si="94"/>
        <v>10</v>
      </c>
      <c r="H366" s="11">
        <v>45121</v>
      </c>
    </row>
    <row r="367" spans="2:8" x14ac:dyDescent="0.15">
      <c r="B367" s="37" t="s">
        <v>27</v>
      </c>
      <c r="C367" s="12">
        <v>36</v>
      </c>
      <c r="D367" s="13">
        <f t="shared" si="92"/>
        <v>36</v>
      </c>
      <c r="E367" s="14"/>
      <c r="F367" s="13">
        <f t="shared" si="93"/>
        <v>0</v>
      </c>
      <c r="G367" s="13">
        <f t="shared" si="94"/>
        <v>36</v>
      </c>
      <c r="H367" s="47">
        <v>45126</v>
      </c>
    </row>
    <row r="368" spans="2:8" x14ac:dyDescent="0.15">
      <c r="B368" s="37" t="s">
        <v>27</v>
      </c>
      <c r="C368" s="12">
        <v>36</v>
      </c>
      <c r="D368" s="13">
        <f t="shared" si="92"/>
        <v>36</v>
      </c>
      <c r="E368" s="14"/>
      <c r="F368" s="13">
        <f t="shared" si="93"/>
        <v>0</v>
      </c>
      <c r="G368" s="13">
        <f t="shared" si="94"/>
        <v>36</v>
      </c>
      <c r="H368" s="11">
        <v>45127</v>
      </c>
    </row>
    <row r="369" spans="2:8" x14ac:dyDescent="0.15">
      <c r="B369" s="37" t="s">
        <v>27</v>
      </c>
      <c r="C369" s="12">
        <v>36</v>
      </c>
      <c r="D369" s="13">
        <f t="shared" si="92"/>
        <v>36</v>
      </c>
      <c r="E369" s="14"/>
      <c r="F369" s="13">
        <f t="shared" si="93"/>
        <v>0</v>
      </c>
      <c r="G369" s="13">
        <f t="shared" si="94"/>
        <v>36</v>
      </c>
      <c r="H369" s="11">
        <v>45127</v>
      </c>
    </row>
    <row r="370" spans="2:8" x14ac:dyDescent="0.15">
      <c r="B370" s="37" t="s">
        <v>27</v>
      </c>
      <c r="C370" s="12"/>
      <c r="D370" s="13">
        <f t="shared" si="92"/>
        <v>0</v>
      </c>
      <c r="E370" s="14">
        <v>18</v>
      </c>
      <c r="F370" s="13">
        <f t="shared" si="93"/>
        <v>18</v>
      </c>
      <c r="G370" s="13">
        <f t="shared" si="94"/>
        <v>18</v>
      </c>
      <c r="H370" s="11">
        <v>45128</v>
      </c>
    </row>
    <row r="371" spans="2:8" x14ac:dyDescent="0.15">
      <c r="B371" s="37" t="s">
        <v>27</v>
      </c>
      <c r="C371" s="12">
        <v>32</v>
      </c>
      <c r="D371" s="13">
        <f t="shared" si="92"/>
        <v>32</v>
      </c>
      <c r="E371" s="14"/>
      <c r="F371" s="13">
        <f t="shared" si="93"/>
        <v>0</v>
      </c>
      <c r="G371" s="13">
        <f t="shared" si="94"/>
        <v>32</v>
      </c>
      <c r="H371" s="11">
        <v>45135</v>
      </c>
    </row>
    <row r="372" spans="2:8" x14ac:dyDescent="0.15">
      <c r="B372" s="37" t="s">
        <v>27</v>
      </c>
      <c r="C372" s="12">
        <v>32</v>
      </c>
      <c r="D372" s="13">
        <f t="shared" si="92"/>
        <v>32</v>
      </c>
      <c r="E372" s="14"/>
      <c r="F372" s="13">
        <f t="shared" si="93"/>
        <v>0</v>
      </c>
      <c r="G372" s="13">
        <f t="shared" si="94"/>
        <v>32</v>
      </c>
      <c r="H372" s="11">
        <v>45139</v>
      </c>
    </row>
    <row r="373" spans="2:8" x14ac:dyDescent="0.15">
      <c r="B373" s="37" t="s">
        <v>27</v>
      </c>
      <c r="C373" s="12"/>
      <c r="D373" s="13">
        <f t="shared" si="92"/>
        <v>0</v>
      </c>
      <c r="E373" s="14">
        <v>18</v>
      </c>
      <c r="F373" s="13">
        <f t="shared" si="93"/>
        <v>18</v>
      </c>
      <c r="G373" s="13">
        <f t="shared" si="94"/>
        <v>18</v>
      </c>
      <c r="H373" s="47">
        <v>45140</v>
      </c>
    </row>
    <row r="374" spans="2:8" x14ac:dyDescent="0.15">
      <c r="B374" s="37" t="s">
        <v>27</v>
      </c>
      <c r="C374" s="12">
        <v>32</v>
      </c>
      <c r="D374" s="13">
        <f t="shared" si="92"/>
        <v>32</v>
      </c>
      <c r="E374" s="14"/>
      <c r="F374" s="13">
        <f t="shared" si="93"/>
        <v>0</v>
      </c>
      <c r="G374" s="13">
        <f t="shared" si="94"/>
        <v>32</v>
      </c>
      <c r="H374" s="11">
        <v>45141</v>
      </c>
    </row>
    <row r="375" spans="2:8" x14ac:dyDescent="0.15">
      <c r="B375" s="37" t="s">
        <v>27</v>
      </c>
      <c r="C375" s="12">
        <v>36</v>
      </c>
      <c r="D375" s="13">
        <f t="shared" si="92"/>
        <v>36</v>
      </c>
      <c r="E375" s="14"/>
      <c r="F375" s="13">
        <f t="shared" si="93"/>
        <v>0</v>
      </c>
      <c r="G375" s="13">
        <f t="shared" si="94"/>
        <v>36</v>
      </c>
      <c r="H375" s="11">
        <v>45141</v>
      </c>
    </row>
    <row r="376" spans="2:8" x14ac:dyDescent="0.15">
      <c r="B376" s="37" t="s">
        <v>27</v>
      </c>
      <c r="C376" s="12">
        <v>36</v>
      </c>
      <c r="D376" s="13">
        <f t="shared" si="92"/>
        <v>36</v>
      </c>
      <c r="E376" s="14"/>
      <c r="F376" s="13">
        <f t="shared" si="93"/>
        <v>0</v>
      </c>
      <c r="G376" s="13">
        <f t="shared" si="94"/>
        <v>36</v>
      </c>
      <c r="H376" s="11">
        <v>45148</v>
      </c>
    </row>
    <row r="377" spans="2:8" x14ac:dyDescent="0.15">
      <c r="B377" s="37" t="s">
        <v>27</v>
      </c>
      <c r="C377" s="12">
        <v>36</v>
      </c>
      <c r="D377" s="13">
        <f t="shared" si="92"/>
        <v>36</v>
      </c>
      <c r="E377" s="14"/>
      <c r="F377" s="13">
        <f t="shared" si="93"/>
        <v>0</v>
      </c>
      <c r="G377" s="13">
        <f t="shared" si="94"/>
        <v>36</v>
      </c>
      <c r="H377" s="11">
        <v>45156</v>
      </c>
    </row>
    <row r="378" spans="2:8" x14ac:dyDescent="0.15">
      <c r="B378" s="37" t="s">
        <v>27</v>
      </c>
      <c r="C378" s="12"/>
      <c r="D378" s="13">
        <f t="shared" si="92"/>
        <v>0</v>
      </c>
      <c r="E378" s="14">
        <v>18</v>
      </c>
      <c r="F378" s="13">
        <f t="shared" si="93"/>
        <v>18</v>
      </c>
      <c r="G378" s="13">
        <f t="shared" si="94"/>
        <v>18</v>
      </c>
      <c r="H378" s="11">
        <v>45156</v>
      </c>
    </row>
    <row r="379" spans="2:8" x14ac:dyDescent="0.15">
      <c r="B379" s="37" t="s">
        <v>27</v>
      </c>
      <c r="C379" s="12">
        <v>36</v>
      </c>
      <c r="D379" s="13">
        <f t="shared" si="92"/>
        <v>36</v>
      </c>
      <c r="E379" s="14"/>
      <c r="F379" s="13">
        <f t="shared" si="93"/>
        <v>0</v>
      </c>
      <c r="G379" s="13">
        <f t="shared" si="94"/>
        <v>36</v>
      </c>
      <c r="H379" s="11">
        <v>45160</v>
      </c>
    </row>
    <row r="380" spans="2:8" x14ac:dyDescent="0.15">
      <c r="B380" s="37" t="s">
        <v>27</v>
      </c>
      <c r="C380" s="12">
        <v>12</v>
      </c>
      <c r="D380" s="13">
        <f t="shared" si="92"/>
        <v>12</v>
      </c>
      <c r="E380" s="14">
        <v>10</v>
      </c>
      <c r="F380" s="13">
        <f t="shared" si="93"/>
        <v>10</v>
      </c>
      <c r="G380" s="13">
        <f t="shared" si="94"/>
        <v>22</v>
      </c>
      <c r="H380" s="11">
        <v>45164</v>
      </c>
    </row>
    <row r="381" spans="2:8" x14ac:dyDescent="0.15">
      <c r="B381" s="37" t="s">
        <v>68</v>
      </c>
      <c r="C381" s="12"/>
      <c r="D381" s="13">
        <f t="shared" si="92"/>
        <v>0</v>
      </c>
      <c r="E381" s="14">
        <v>-4</v>
      </c>
      <c r="F381" s="13">
        <f t="shared" si="93"/>
        <v>-4</v>
      </c>
      <c r="G381" s="13">
        <f t="shared" si="94"/>
        <v>-4</v>
      </c>
      <c r="H381" s="11">
        <v>45164</v>
      </c>
    </row>
    <row r="382" spans="2:8" x14ac:dyDescent="0.15">
      <c r="B382" s="37" t="s">
        <v>68</v>
      </c>
      <c r="C382" s="15"/>
      <c r="D382" s="13">
        <f t="shared" si="92"/>
        <v>0</v>
      </c>
      <c r="E382" s="16">
        <v>-1</v>
      </c>
      <c r="F382" s="13">
        <f t="shared" si="93"/>
        <v>-1</v>
      </c>
      <c r="G382" s="13">
        <f t="shared" si="94"/>
        <v>-1</v>
      </c>
      <c r="H382" s="47">
        <v>45166</v>
      </c>
    </row>
    <row r="383" spans="2:8" ht="14.25" thickBot="1" x14ac:dyDescent="0.2">
      <c r="B383" s="37" t="s">
        <v>69</v>
      </c>
      <c r="C383" s="15"/>
      <c r="D383" s="13">
        <f t="shared" si="92"/>
        <v>0</v>
      </c>
      <c r="E383" s="16">
        <v>-7</v>
      </c>
      <c r="F383" s="13">
        <f t="shared" si="93"/>
        <v>-7</v>
      </c>
      <c r="G383" s="13">
        <f t="shared" si="94"/>
        <v>-7</v>
      </c>
      <c r="H383" s="47">
        <v>45169</v>
      </c>
    </row>
    <row r="384" spans="2:8" ht="14.25" thickBot="1" x14ac:dyDescent="0.2">
      <c r="B384" s="23" t="s">
        <v>4</v>
      </c>
      <c r="C384" s="38">
        <f t="shared" ref="C384:F384" si="95">SUM(C358:C383)</f>
        <v>473</v>
      </c>
      <c r="D384" s="35">
        <f t="shared" si="95"/>
        <v>473</v>
      </c>
      <c r="E384" s="38">
        <f t="shared" si="95"/>
        <v>88</v>
      </c>
      <c r="F384" s="35">
        <f t="shared" si="95"/>
        <v>88</v>
      </c>
      <c r="G384" s="35">
        <f t="shared" si="94"/>
        <v>561</v>
      </c>
    </row>
    <row r="385" spans="2:8" ht="14.25" thickBot="1" x14ac:dyDescent="0.2">
      <c r="B385" s="27" t="s">
        <v>5</v>
      </c>
      <c r="C385" s="39">
        <f t="shared" ref="C385:G385" si="96">C357-C384</f>
        <v>51</v>
      </c>
      <c r="D385" s="40">
        <f t="shared" si="96"/>
        <v>51</v>
      </c>
      <c r="E385" s="39">
        <f t="shared" si="96"/>
        <v>15</v>
      </c>
      <c r="F385" s="40">
        <f t="shared" si="96"/>
        <v>15</v>
      </c>
      <c r="G385" s="36">
        <f t="shared" si="96"/>
        <v>66</v>
      </c>
    </row>
    <row r="388" spans="2:8" ht="19.5" thickBot="1" x14ac:dyDescent="0.25">
      <c r="B388" s="1" t="s">
        <v>7</v>
      </c>
      <c r="C388" s="2"/>
      <c r="D388" s="2"/>
      <c r="E388" s="2"/>
      <c r="F388" s="2"/>
      <c r="G388" s="2"/>
    </row>
    <row r="389" spans="2:8" ht="14.25" thickBot="1" x14ac:dyDescent="0.2">
      <c r="B389" s="3" t="s">
        <v>0</v>
      </c>
      <c r="C389" s="57" t="s">
        <v>8</v>
      </c>
      <c r="D389" s="58"/>
      <c r="E389" s="57" t="s">
        <v>9</v>
      </c>
      <c r="F389" s="58"/>
      <c r="G389" s="59" t="s">
        <v>1</v>
      </c>
    </row>
    <row r="390" spans="2:8" ht="14.25" thickBot="1" x14ac:dyDescent="0.2">
      <c r="B390" s="3"/>
      <c r="C390" s="4"/>
      <c r="D390" s="3" t="s">
        <v>2</v>
      </c>
      <c r="E390" s="4"/>
      <c r="F390" s="3" t="s">
        <v>2</v>
      </c>
      <c r="G390" s="60"/>
    </row>
    <row r="391" spans="2:8" ht="14.25" thickBot="1" x14ac:dyDescent="0.2">
      <c r="B391" s="5" t="s">
        <v>5</v>
      </c>
      <c r="C391" s="6">
        <f>C385</f>
        <v>51</v>
      </c>
      <c r="D391" s="35">
        <f t="shared" ref="D391:D399" si="97">SUM(C391:C391)</f>
        <v>51</v>
      </c>
      <c r="E391" s="6">
        <f>E385</f>
        <v>15</v>
      </c>
      <c r="F391" s="35">
        <f t="shared" ref="F391:F399" si="98">SUM(E391:E391)</f>
        <v>15</v>
      </c>
      <c r="G391" s="35">
        <f t="shared" ref="G391:G399" si="99">D391+F391</f>
        <v>66</v>
      </c>
    </row>
    <row r="392" spans="2:8" x14ac:dyDescent="0.15">
      <c r="B392" s="22" t="s">
        <v>6</v>
      </c>
      <c r="C392" s="12">
        <v>300</v>
      </c>
      <c r="D392" s="13">
        <f t="shared" si="97"/>
        <v>300</v>
      </c>
      <c r="E392" s="14">
        <v>50</v>
      </c>
      <c r="F392" s="13">
        <f t="shared" si="98"/>
        <v>50</v>
      </c>
      <c r="G392" s="13">
        <f t="shared" si="99"/>
        <v>350</v>
      </c>
      <c r="H392" s="11">
        <v>45177</v>
      </c>
    </row>
    <row r="393" spans="2:8" x14ac:dyDescent="0.15">
      <c r="B393" s="22" t="s">
        <v>6</v>
      </c>
      <c r="C393" s="12">
        <v>200</v>
      </c>
      <c r="D393" s="13">
        <f t="shared" si="97"/>
        <v>200</v>
      </c>
      <c r="E393" s="14">
        <v>20</v>
      </c>
      <c r="F393" s="13">
        <f t="shared" si="98"/>
        <v>20</v>
      </c>
      <c r="G393" s="13">
        <f t="shared" si="99"/>
        <v>220</v>
      </c>
      <c r="H393" s="11">
        <v>45203</v>
      </c>
    </row>
    <row r="394" spans="2:8" x14ac:dyDescent="0.15">
      <c r="B394" s="22" t="s">
        <v>6</v>
      </c>
      <c r="C394" s="12">
        <v>200</v>
      </c>
      <c r="D394" s="13">
        <f t="shared" si="97"/>
        <v>200</v>
      </c>
      <c r="E394" s="14">
        <v>40</v>
      </c>
      <c r="F394" s="13">
        <f t="shared" si="98"/>
        <v>40</v>
      </c>
      <c r="G394" s="13">
        <f t="shared" si="99"/>
        <v>240</v>
      </c>
      <c r="H394" s="11">
        <v>45240</v>
      </c>
    </row>
    <row r="395" spans="2:8" x14ac:dyDescent="0.15">
      <c r="B395" s="22" t="s">
        <v>6</v>
      </c>
      <c r="C395" s="12"/>
      <c r="D395" s="13">
        <f t="shared" si="97"/>
        <v>0</v>
      </c>
      <c r="E395" s="14">
        <v>40</v>
      </c>
      <c r="F395" s="13">
        <f t="shared" si="98"/>
        <v>40</v>
      </c>
      <c r="G395" s="13">
        <f t="shared" si="99"/>
        <v>40</v>
      </c>
      <c r="H395" s="11">
        <v>45260</v>
      </c>
    </row>
    <row r="396" spans="2:8" x14ac:dyDescent="0.15">
      <c r="B396" s="22" t="s">
        <v>6</v>
      </c>
      <c r="C396" s="12"/>
      <c r="D396" s="13">
        <f t="shared" si="97"/>
        <v>0</v>
      </c>
      <c r="E396" s="14"/>
      <c r="F396" s="13">
        <f t="shared" si="98"/>
        <v>0</v>
      </c>
      <c r="G396" s="13">
        <f t="shared" si="99"/>
        <v>0</v>
      </c>
    </row>
    <row r="397" spans="2:8" x14ac:dyDescent="0.15">
      <c r="B397" s="22" t="s">
        <v>6</v>
      </c>
      <c r="C397" s="12"/>
      <c r="D397" s="13">
        <f t="shared" si="97"/>
        <v>0</v>
      </c>
      <c r="E397" s="14"/>
      <c r="F397" s="13">
        <f t="shared" si="98"/>
        <v>0</v>
      </c>
      <c r="G397" s="13">
        <f t="shared" si="99"/>
        <v>0</v>
      </c>
    </row>
    <row r="398" spans="2:8" x14ac:dyDescent="0.15">
      <c r="B398" s="22" t="s">
        <v>6</v>
      </c>
      <c r="C398" s="33"/>
      <c r="D398" s="32">
        <f t="shared" si="97"/>
        <v>0</v>
      </c>
      <c r="E398" s="34"/>
      <c r="F398" s="32">
        <f t="shared" si="98"/>
        <v>0</v>
      </c>
      <c r="G398" s="32">
        <f t="shared" si="99"/>
        <v>0</v>
      </c>
    </row>
    <row r="399" spans="2:8" ht="14.25" thickBot="1" x14ac:dyDescent="0.2">
      <c r="B399" s="22" t="s">
        <v>6</v>
      </c>
      <c r="C399" s="17"/>
      <c r="D399" s="18">
        <f t="shared" si="97"/>
        <v>0</v>
      </c>
      <c r="E399" s="19"/>
      <c r="F399" s="18">
        <f t="shared" si="98"/>
        <v>0</v>
      </c>
      <c r="G399" s="18">
        <f t="shared" si="99"/>
        <v>0</v>
      </c>
    </row>
    <row r="400" spans="2:8" ht="14.25" thickBot="1" x14ac:dyDescent="0.2">
      <c r="B400" s="23" t="s">
        <v>3</v>
      </c>
      <c r="C400" s="53">
        <f t="shared" ref="C400:G400" si="100">SUM(C391:C399)</f>
        <v>751</v>
      </c>
      <c r="D400" s="54">
        <f t="shared" si="100"/>
        <v>751</v>
      </c>
      <c r="E400" s="53">
        <f t="shared" si="100"/>
        <v>165</v>
      </c>
      <c r="F400" s="54">
        <f t="shared" si="100"/>
        <v>165</v>
      </c>
      <c r="G400" s="54">
        <f t="shared" si="100"/>
        <v>916</v>
      </c>
      <c r="H400" s="46"/>
    </row>
    <row r="401" spans="1:8" x14ac:dyDescent="0.15">
      <c r="B401" s="37" t="s">
        <v>70</v>
      </c>
      <c r="C401" s="12">
        <v>38</v>
      </c>
      <c r="D401" s="13">
        <f t="shared" ref="D401:D426" si="101">SUM(C401:C401)</f>
        <v>38</v>
      </c>
      <c r="E401" s="14"/>
      <c r="F401" s="13">
        <f t="shared" ref="F401:F426" si="102">SUM(E401:E401)</f>
        <v>0</v>
      </c>
      <c r="G401" s="13">
        <f t="shared" ref="G401:G427" si="103">D401+F401</f>
        <v>38</v>
      </c>
      <c r="H401" s="11">
        <v>45174</v>
      </c>
    </row>
    <row r="402" spans="1:8" x14ac:dyDescent="0.15">
      <c r="B402" s="37" t="s">
        <v>70</v>
      </c>
      <c r="C402" s="12">
        <v>12</v>
      </c>
      <c r="D402" s="13">
        <f t="shared" si="101"/>
        <v>12</v>
      </c>
      <c r="E402" s="14">
        <v>12</v>
      </c>
      <c r="F402" s="13">
        <f t="shared" si="102"/>
        <v>12</v>
      </c>
      <c r="G402" s="13">
        <f t="shared" si="103"/>
        <v>24</v>
      </c>
      <c r="H402" s="11">
        <v>45174</v>
      </c>
    </row>
    <row r="403" spans="1:8" x14ac:dyDescent="0.15">
      <c r="B403" s="37" t="s">
        <v>27</v>
      </c>
      <c r="C403" s="12">
        <v>1</v>
      </c>
      <c r="D403" s="13">
        <f t="shared" si="101"/>
        <v>1</v>
      </c>
      <c r="E403" s="14">
        <v>3</v>
      </c>
      <c r="F403" s="13">
        <f t="shared" si="102"/>
        <v>3</v>
      </c>
      <c r="G403" s="13">
        <f t="shared" si="103"/>
        <v>4</v>
      </c>
      <c r="H403" s="11">
        <v>45177</v>
      </c>
    </row>
    <row r="404" spans="1:8" x14ac:dyDescent="0.15">
      <c r="B404" s="37" t="s">
        <v>27</v>
      </c>
      <c r="C404" s="12">
        <v>76</v>
      </c>
      <c r="D404" s="13">
        <f t="shared" si="101"/>
        <v>76</v>
      </c>
      <c r="E404" s="14"/>
      <c r="F404" s="13">
        <f t="shared" si="102"/>
        <v>0</v>
      </c>
      <c r="G404" s="13"/>
      <c r="H404" s="11">
        <v>45178</v>
      </c>
    </row>
    <row r="405" spans="1:8" x14ac:dyDescent="0.15">
      <c r="B405" s="37" t="s">
        <v>27</v>
      </c>
      <c r="C405" s="12"/>
      <c r="D405" s="13">
        <f t="shared" si="101"/>
        <v>0</v>
      </c>
      <c r="E405" s="14">
        <v>17</v>
      </c>
      <c r="F405" s="13">
        <f t="shared" si="102"/>
        <v>17</v>
      </c>
      <c r="G405" s="13">
        <f t="shared" si="103"/>
        <v>17</v>
      </c>
      <c r="H405" s="11">
        <v>45182</v>
      </c>
    </row>
    <row r="406" spans="1:8" x14ac:dyDescent="0.15">
      <c r="B406" s="37" t="s">
        <v>27</v>
      </c>
      <c r="C406" s="12">
        <v>38</v>
      </c>
      <c r="D406" s="13">
        <f t="shared" si="101"/>
        <v>38</v>
      </c>
      <c r="E406" s="14"/>
      <c r="F406" s="13">
        <f t="shared" si="102"/>
        <v>0</v>
      </c>
      <c r="G406" s="13">
        <f t="shared" si="103"/>
        <v>38</v>
      </c>
      <c r="H406" s="11">
        <v>45184</v>
      </c>
    </row>
    <row r="407" spans="1:8" x14ac:dyDescent="0.15">
      <c r="B407" s="37" t="s">
        <v>27</v>
      </c>
      <c r="C407" s="12">
        <v>38</v>
      </c>
      <c r="D407" s="13">
        <f t="shared" si="101"/>
        <v>38</v>
      </c>
      <c r="E407" s="14"/>
      <c r="F407" s="13">
        <f t="shared" si="102"/>
        <v>0</v>
      </c>
      <c r="G407" s="13">
        <f t="shared" si="103"/>
        <v>38</v>
      </c>
      <c r="H407" s="11">
        <v>45189</v>
      </c>
    </row>
    <row r="408" spans="1:8" x14ac:dyDescent="0.15">
      <c r="B408" s="37" t="s">
        <v>27</v>
      </c>
      <c r="C408" s="12">
        <v>36</v>
      </c>
      <c r="D408" s="13">
        <f t="shared" si="101"/>
        <v>36</v>
      </c>
      <c r="E408" s="14"/>
      <c r="F408" s="13">
        <f t="shared" si="102"/>
        <v>0</v>
      </c>
      <c r="G408" s="13">
        <f t="shared" si="103"/>
        <v>36</v>
      </c>
      <c r="H408" s="11">
        <v>45191</v>
      </c>
    </row>
    <row r="409" spans="1:8" x14ac:dyDescent="0.15">
      <c r="B409" s="37" t="s">
        <v>27</v>
      </c>
      <c r="C409" s="12">
        <v>36</v>
      </c>
      <c r="D409" s="13">
        <f t="shared" si="101"/>
        <v>36</v>
      </c>
      <c r="E409" s="14"/>
      <c r="F409" s="13">
        <f t="shared" si="102"/>
        <v>0</v>
      </c>
      <c r="G409" s="13">
        <f t="shared" si="103"/>
        <v>36</v>
      </c>
      <c r="H409" s="11">
        <v>45198</v>
      </c>
    </row>
    <row r="410" spans="1:8" x14ac:dyDescent="0.15">
      <c r="B410" s="37" t="s">
        <v>27</v>
      </c>
      <c r="C410" s="12">
        <v>36</v>
      </c>
      <c r="D410" s="13">
        <f t="shared" si="101"/>
        <v>36</v>
      </c>
      <c r="E410" s="14"/>
      <c r="F410" s="13">
        <f t="shared" si="102"/>
        <v>0</v>
      </c>
      <c r="G410" s="13">
        <f t="shared" si="103"/>
        <v>36</v>
      </c>
      <c r="H410" s="11">
        <v>45201</v>
      </c>
    </row>
    <row r="411" spans="1:8" x14ac:dyDescent="0.15">
      <c r="A411" s="55"/>
      <c r="B411" s="56" t="s">
        <v>27</v>
      </c>
      <c r="C411" s="12">
        <v>36</v>
      </c>
      <c r="D411" s="13">
        <f t="shared" si="101"/>
        <v>36</v>
      </c>
      <c r="E411" s="14"/>
      <c r="F411" s="13">
        <f t="shared" si="102"/>
        <v>0</v>
      </c>
      <c r="G411" s="13">
        <f t="shared" si="103"/>
        <v>36</v>
      </c>
      <c r="H411" s="11">
        <v>45210</v>
      </c>
    </row>
    <row r="412" spans="1:8" x14ac:dyDescent="0.15">
      <c r="A412" s="46"/>
      <c r="B412" s="56" t="s">
        <v>27</v>
      </c>
      <c r="C412" s="12"/>
      <c r="D412" s="13">
        <f t="shared" si="101"/>
        <v>0</v>
      </c>
      <c r="E412" s="14">
        <v>18</v>
      </c>
      <c r="F412" s="13">
        <f t="shared" si="102"/>
        <v>18</v>
      </c>
      <c r="G412" s="13">
        <f t="shared" si="103"/>
        <v>18</v>
      </c>
      <c r="H412" s="11">
        <v>45212</v>
      </c>
    </row>
    <row r="413" spans="1:8" x14ac:dyDescent="0.15">
      <c r="B413" s="37" t="s">
        <v>27</v>
      </c>
      <c r="C413" s="12">
        <v>32</v>
      </c>
      <c r="D413" s="13">
        <f t="shared" si="101"/>
        <v>32</v>
      </c>
      <c r="E413" s="14"/>
      <c r="F413" s="13">
        <f t="shared" si="102"/>
        <v>0</v>
      </c>
      <c r="G413" s="13">
        <f t="shared" si="103"/>
        <v>32</v>
      </c>
      <c r="H413" s="11">
        <v>45216</v>
      </c>
    </row>
    <row r="414" spans="1:8" x14ac:dyDescent="0.15">
      <c r="B414" s="37" t="s">
        <v>27</v>
      </c>
      <c r="C414" s="12">
        <v>38</v>
      </c>
      <c r="D414" s="13">
        <f t="shared" si="101"/>
        <v>38</v>
      </c>
      <c r="E414" s="14"/>
      <c r="F414" s="13">
        <f t="shared" si="102"/>
        <v>0</v>
      </c>
      <c r="G414" s="13">
        <f t="shared" si="103"/>
        <v>38</v>
      </c>
      <c r="H414" s="11">
        <v>45222</v>
      </c>
    </row>
    <row r="415" spans="1:8" x14ac:dyDescent="0.15">
      <c r="B415" s="37" t="s">
        <v>27</v>
      </c>
      <c r="C415" s="12">
        <v>38</v>
      </c>
      <c r="D415" s="13">
        <f t="shared" si="101"/>
        <v>38</v>
      </c>
      <c r="E415" s="14"/>
      <c r="F415" s="13">
        <f t="shared" si="102"/>
        <v>0</v>
      </c>
      <c r="G415" s="13">
        <f t="shared" si="103"/>
        <v>38</v>
      </c>
      <c r="H415" s="11">
        <v>45225</v>
      </c>
    </row>
    <row r="416" spans="1:8" x14ac:dyDescent="0.15">
      <c r="B416" s="37" t="s">
        <v>27</v>
      </c>
      <c r="C416" s="12">
        <v>38</v>
      </c>
      <c r="D416" s="13">
        <f t="shared" si="101"/>
        <v>38</v>
      </c>
      <c r="E416" s="14">
        <v>18</v>
      </c>
      <c r="F416" s="13">
        <f t="shared" si="102"/>
        <v>18</v>
      </c>
      <c r="G416" s="13">
        <f t="shared" si="103"/>
        <v>56</v>
      </c>
      <c r="H416" s="11">
        <v>45237</v>
      </c>
    </row>
    <row r="417" spans="2:9" x14ac:dyDescent="0.15">
      <c r="B417" s="37" t="s">
        <v>27</v>
      </c>
      <c r="C417" s="12">
        <v>38</v>
      </c>
      <c r="D417" s="13">
        <f t="shared" si="101"/>
        <v>38</v>
      </c>
      <c r="E417" s="14"/>
      <c r="F417" s="13">
        <f t="shared" si="102"/>
        <v>0</v>
      </c>
      <c r="G417" s="13">
        <f t="shared" si="103"/>
        <v>38</v>
      </c>
      <c r="H417" s="11">
        <v>45239</v>
      </c>
      <c r="I417" s="46"/>
    </row>
    <row r="418" spans="2:9" x14ac:dyDescent="0.15">
      <c r="B418" s="37" t="s">
        <v>27</v>
      </c>
      <c r="C418" s="12">
        <v>6</v>
      </c>
      <c r="D418" s="13">
        <f t="shared" si="101"/>
        <v>6</v>
      </c>
      <c r="E418" s="14">
        <v>15</v>
      </c>
      <c r="F418" s="13">
        <f t="shared" si="102"/>
        <v>15</v>
      </c>
      <c r="G418" s="13">
        <f t="shared" si="103"/>
        <v>21</v>
      </c>
      <c r="H418" s="11">
        <v>45239</v>
      </c>
    </row>
    <row r="419" spans="2:9" x14ac:dyDescent="0.15">
      <c r="B419" s="37" t="s">
        <v>27</v>
      </c>
      <c r="C419" s="12"/>
      <c r="D419" s="13">
        <f t="shared" si="101"/>
        <v>0</v>
      </c>
      <c r="E419" s="14">
        <v>18</v>
      </c>
      <c r="F419" s="13">
        <f t="shared" si="102"/>
        <v>18</v>
      </c>
      <c r="G419" s="13">
        <f t="shared" si="103"/>
        <v>18</v>
      </c>
      <c r="H419" s="11">
        <v>45246</v>
      </c>
    </row>
    <row r="420" spans="2:9" x14ac:dyDescent="0.15">
      <c r="B420" s="37" t="s">
        <v>27</v>
      </c>
      <c r="C420" s="12"/>
      <c r="D420" s="13">
        <f t="shared" si="101"/>
        <v>0</v>
      </c>
      <c r="E420" s="14">
        <v>18</v>
      </c>
      <c r="F420" s="13">
        <f t="shared" si="102"/>
        <v>18</v>
      </c>
      <c r="G420" s="13">
        <f t="shared" si="103"/>
        <v>18</v>
      </c>
      <c r="H420" s="11">
        <v>45250</v>
      </c>
    </row>
    <row r="421" spans="2:9" x14ac:dyDescent="0.15">
      <c r="B421" s="37" t="s">
        <v>27</v>
      </c>
      <c r="C421" s="12">
        <v>38</v>
      </c>
      <c r="D421" s="13">
        <f t="shared" si="101"/>
        <v>38</v>
      </c>
      <c r="E421" s="14"/>
      <c r="F421" s="13">
        <f t="shared" si="102"/>
        <v>0</v>
      </c>
      <c r="G421" s="13">
        <f t="shared" si="103"/>
        <v>38</v>
      </c>
      <c r="H421" s="11">
        <v>45254</v>
      </c>
    </row>
    <row r="422" spans="2:9" x14ac:dyDescent="0.15">
      <c r="B422" s="37" t="s">
        <v>27</v>
      </c>
      <c r="C422" s="12">
        <v>26</v>
      </c>
      <c r="D422" s="13">
        <f t="shared" si="101"/>
        <v>26</v>
      </c>
      <c r="E422" s="14">
        <v>5</v>
      </c>
      <c r="F422" s="13">
        <f t="shared" si="102"/>
        <v>5</v>
      </c>
      <c r="G422" s="13">
        <f t="shared" si="103"/>
        <v>31</v>
      </c>
      <c r="H422" s="11">
        <v>45258</v>
      </c>
    </row>
    <row r="423" spans="2:9" x14ac:dyDescent="0.15">
      <c r="B423" s="37" t="s">
        <v>27</v>
      </c>
      <c r="C423" s="12">
        <v>16</v>
      </c>
      <c r="D423" s="13">
        <f t="shared" si="101"/>
        <v>16</v>
      </c>
      <c r="E423" s="14">
        <v>10</v>
      </c>
      <c r="F423" s="13">
        <f t="shared" si="102"/>
        <v>10</v>
      </c>
      <c r="G423" s="13">
        <f t="shared" si="103"/>
        <v>26</v>
      </c>
      <c r="H423" s="11">
        <v>45261</v>
      </c>
    </row>
    <row r="424" spans="2:9" x14ac:dyDescent="0.15">
      <c r="B424" s="37" t="s">
        <v>27</v>
      </c>
      <c r="C424" s="12">
        <v>38</v>
      </c>
      <c r="D424" s="13">
        <f t="shared" si="101"/>
        <v>38</v>
      </c>
      <c r="E424" s="14"/>
      <c r="F424" s="13">
        <f t="shared" si="102"/>
        <v>0</v>
      </c>
      <c r="G424" s="13">
        <f t="shared" si="103"/>
        <v>38</v>
      </c>
      <c r="H424" s="11">
        <v>45270</v>
      </c>
    </row>
    <row r="425" spans="2:9" x14ac:dyDescent="0.15">
      <c r="B425" s="37" t="s">
        <v>27</v>
      </c>
      <c r="C425" s="15">
        <v>38</v>
      </c>
      <c r="D425" s="13">
        <f t="shared" si="101"/>
        <v>38</v>
      </c>
      <c r="E425" s="16"/>
      <c r="F425" s="13">
        <f t="shared" si="102"/>
        <v>0</v>
      </c>
      <c r="G425" s="13">
        <f t="shared" si="103"/>
        <v>38</v>
      </c>
      <c r="H425" s="11">
        <v>45274</v>
      </c>
      <c r="I425" s="46"/>
    </row>
    <row r="426" spans="2:9" ht="14.25" thickBot="1" x14ac:dyDescent="0.2">
      <c r="B426" s="37" t="s">
        <v>27</v>
      </c>
      <c r="C426" s="15">
        <v>38</v>
      </c>
      <c r="D426" s="13">
        <f t="shared" si="101"/>
        <v>38</v>
      </c>
      <c r="E426" s="16"/>
      <c r="F426" s="13">
        <f t="shared" si="102"/>
        <v>0</v>
      </c>
      <c r="G426" s="13">
        <f t="shared" si="103"/>
        <v>38</v>
      </c>
      <c r="H426" s="11">
        <v>45274</v>
      </c>
      <c r="I426" s="46"/>
    </row>
    <row r="427" spans="2:9" ht="14.25" thickBot="1" x14ac:dyDescent="0.2">
      <c r="B427" s="23" t="s">
        <v>4</v>
      </c>
      <c r="C427" s="38">
        <f t="shared" ref="C427:F427" si="104">SUM(C401:C426)</f>
        <v>731</v>
      </c>
      <c r="D427" s="35">
        <f t="shared" si="104"/>
        <v>731</v>
      </c>
      <c r="E427" s="38">
        <f t="shared" si="104"/>
        <v>134</v>
      </c>
      <c r="F427" s="35">
        <f t="shared" si="104"/>
        <v>134</v>
      </c>
      <c r="G427" s="35">
        <f t="shared" si="103"/>
        <v>865</v>
      </c>
    </row>
    <row r="428" spans="2:9" ht="14.25" thickBot="1" x14ac:dyDescent="0.2">
      <c r="B428" s="27" t="s">
        <v>5</v>
      </c>
      <c r="C428" s="39">
        <f t="shared" ref="C428:G428" si="105">C400-C427</f>
        <v>20</v>
      </c>
      <c r="D428" s="40">
        <f t="shared" si="105"/>
        <v>20</v>
      </c>
      <c r="E428" s="39">
        <f t="shared" si="105"/>
        <v>31</v>
      </c>
      <c r="F428" s="40">
        <f t="shared" si="105"/>
        <v>31</v>
      </c>
      <c r="G428" s="36">
        <f t="shared" si="105"/>
        <v>51</v>
      </c>
    </row>
    <row r="431" spans="2:9" ht="19.5" thickBot="1" x14ac:dyDescent="0.25">
      <c r="B431" s="1" t="s">
        <v>7</v>
      </c>
      <c r="C431" s="2"/>
      <c r="D431" s="2"/>
      <c r="E431" s="2"/>
      <c r="F431" s="2"/>
      <c r="G431" s="2"/>
    </row>
    <row r="432" spans="2:9" ht="14.25" thickBot="1" x14ac:dyDescent="0.2">
      <c r="B432" s="3" t="s">
        <v>0</v>
      </c>
      <c r="C432" s="57" t="s">
        <v>8</v>
      </c>
      <c r="D432" s="58"/>
      <c r="E432" s="57" t="s">
        <v>9</v>
      </c>
      <c r="F432" s="58"/>
      <c r="G432" s="59" t="s">
        <v>1</v>
      </c>
    </row>
    <row r="433" spans="2:9" ht="14.25" thickBot="1" x14ac:dyDescent="0.2">
      <c r="B433" s="3"/>
      <c r="C433" s="4"/>
      <c r="D433" s="3" t="s">
        <v>2</v>
      </c>
      <c r="E433" s="4"/>
      <c r="F433" s="3" t="s">
        <v>2</v>
      </c>
      <c r="G433" s="60"/>
    </row>
    <row r="434" spans="2:9" ht="14.25" thickBot="1" x14ac:dyDescent="0.2">
      <c r="B434" s="5" t="s">
        <v>5</v>
      </c>
      <c r="C434" s="6">
        <f>C428</f>
        <v>20</v>
      </c>
      <c r="D434" s="35">
        <f t="shared" ref="D434:D442" si="106">SUM(C434:C434)</f>
        <v>20</v>
      </c>
      <c r="E434" s="6">
        <f>E428</f>
        <v>31</v>
      </c>
      <c r="F434" s="35">
        <f t="shared" ref="F434:F442" si="107">SUM(E434:E434)</f>
        <v>31</v>
      </c>
      <c r="G434" s="35">
        <f t="shared" ref="G434:G442" si="108">D434+F434</f>
        <v>51</v>
      </c>
    </row>
    <row r="435" spans="2:9" x14ac:dyDescent="0.15">
      <c r="B435" s="22" t="s">
        <v>6</v>
      </c>
      <c r="C435" s="12">
        <v>200</v>
      </c>
      <c r="D435" s="13">
        <f t="shared" si="106"/>
        <v>200</v>
      </c>
      <c r="E435" s="14">
        <v>40</v>
      </c>
      <c r="F435" s="13">
        <f t="shared" si="107"/>
        <v>40</v>
      </c>
      <c r="G435" s="13">
        <f t="shared" si="108"/>
        <v>240</v>
      </c>
      <c r="H435" s="11">
        <v>45282</v>
      </c>
    </row>
    <row r="436" spans="2:9" x14ac:dyDescent="0.15">
      <c r="B436" s="22" t="s">
        <v>6</v>
      </c>
      <c r="C436" s="12"/>
      <c r="D436" s="13">
        <f t="shared" si="106"/>
        <v>0</v>
      </c>
      <c r="E436" s="14"/>
      <c r="F436" s="13">
        <f t="shared" si="107"/>
        <v>0</v>
      </c>
      <c r="G436" s="13">
        <f t="shared" si="108"/>
        <v>0</v>
      </c>
      <c r="H436" s="11"/>
    </row>
    <row r="437" spans="2:9" x14ac:dyDescent="0.15">
      <c r="B437" s="22" t="s">
        <v>6</v>
      </c>
      <c r="C437" s="12">
        <v>200</v>
      </c>
      <c r="D437" s="13">
        <f t="shared" si="106"/>
        <v>200</v>
      </c>
      <c r="E437" s="14"/>
      <c r="F437" s="13">
        <f t="shared" si="107"/>
        <v>0</v>
      </c>
      <c r="G437" s="13">
        <f t="shared" si="108"/>
        <v>200</v>
      </c>
      <c r="H437" s="11">
        <v>45317</v>
      </c>
    </row>
    <row r="438" spans="2:9" x14ac:dyDescent="0.15">
      <c r="B438" s="22" t="s">
        <v>6</v>
      </c>
      <c r="C438" s="12">
        <v>180</v>
      </c>
      <c r="D438" s="13">
        <f t="shared" si="106"/>
        <v>180</v>
      </c>
      <c r="E438" s="14">
        <v>20</v>
      </c>
      <c r="F438" s="13">
        <f t="shared" si="107"/>
        <v>20</v>
      </c>
      <c r="G438" s="13">
        <f t="shared" si="108"/>
        <v>200</v>
      </c>
      <c r="H438" s="11">
        <v>45376</v>
      </c>
    </row>
    <row r="439" spans="2:9" x14ac:dyDescent="0.15">
      <c r="B439" s="22" t="s">
        <v>6</v>
      </c>
      <c r="C439" s="12">
        <v>180</v>
      </c>
      <c r="D439" s="13">
        <f t="shared" si="106"/>
        <v>180</v>
      </c>
      <c r="E439" s="14">
        <v>20</v>
      </c>
      <c r="F439" s="13">
        <f t="shared" si="107"/>
        <v>20</v>
      </c>
      <c r="G439" s="13">
        <f t="shared" si="108"/>
        <v>200</v>
      </c>
      <c r="H439" s="11">
        <v>45398</v>
      </c>
    </row>
    <row r="440" spans="2:9" x14ac:dyDescent="0.15">
      <c r="B440" s="22" t="s">
        <v>6</v>
      </c>
      <c r="C440" s="12"/>
      <c r="D440" s="13">
        <f t="shared" si="106"/>
        <v>0</v>
      </c>
      <c r="E440" s="14">
        <v>50</v>
      </c>
      <c r="F440" s="13">
        <f t="shared" si="107"/>
        <v>50</v>
      </c>
      <c r="G440" s="13">
        <f t="shared" si="108"/>
        <v>50</v>
      </c>
      <c r="H440" s="11">
        <v>45414</v>
      </c>
    </row>
    <row r="441" spans="2:9" x14ac:dyDescent="0.15">
      <c r="B441" s="22" t="s">
        <v>6</v>
      </c>
      <c r="C441" s="33">
        <v>100</v>
      </c>
      <c r="D441" s="32">
        <f t="shared" si="106"/>
        <v>100</v>
      </c>
      <c r="E441" s="34"/>
      <c r="F441" s="32">
        <f t="shared" si="107"/>
        <v>0</v>
      </c>
      <c r="G441" s="32">
        <f t="shared" si="108"/>
        <v>100</v>
      </c>
      <c r="H441" s="11">
        <v>45434</v>
      </c>
    </row>
    <row r="442" spans="2:9" ht="14.25" thickBot="1" x14ac:dyDescent="0.2">
      <c r="B442" s="22" t="s">
        <v>6</v>
      </c>
      <c r="C442" s="17"/>
      <c r="D442" s="18">
        <f t="shared" si="106"/>
        <v>0</v>
      </c>
      <c r="E442" s="19"/>
      <c r="F442" s="18">
        <f t="shared" si="107"/>
        <v>0</v>
      </c>
      <c r="G442" s="18">
        <f t="shared" si="108"/>
        <v>0</v>
      </c>
    </row>
    <row r="443" spans="2:9" ht="14.25" thickBot="1" x14ac:dyDescent="0.2">
      <c r="B443" s="23" t="s">
        <v>3</v>
      </c>
      <c r="C443" s="53">
        <f t="shared" ref="C443:G443" si="109">SUM(C434:C442)</f>
        <v>880</v>
      </c>
      <c r="D443" s="54">
        <f t="shared" si="109"/>
        <v>880</v>
      </c>
      <c r="E443" s="53">
        <f t="shared" si="109"/>
        <v>161</v>
      </c>
      <c r="F443" s="54">
        <f t="shared" si="109"/>
        <v>161</v>
      </c>
      <c r="G443" s="54">
        <f t="shared" si="109"/>
        <v>1041</v>
      </c>
      <c r="H443" s="46"/>
    </row>
    <row r="444" spans="2:9" x14ac:dyDescent="0.15">
      <c r="B444" s="37" t="s">
        <v>27</v>
      </c>
      <c r="C444" s="12">
        <v>18</v>
      </c>
      <c r="D444" s="13">
        <f t="shared" ref="D444:D469" si="110">SUM(C444:C444)</f>
        <v>18</v>
      </c>
      <c r="E444" s="14">
        <v>10</v>
      </c>
      <c r="F444" s="13">
        <f t="shared" ref="F444:F469" si="111">SUM(E444:E444)</f>
        <v>10</v>
      </c>
      <c r="G444" s="13">
        <f t="shared" ref="G444:G446" si="112">D444+F444</f>
        <v>28</v>
      </c>
      <c r="H444" s="11">
        <v>45274</v>
      </c>
      <c r="I444" s="46"/>
    </row>
    <row r="445" spans="2:9" x14ac:dyDescent="0.15">
      <c r="B445" s="37" t="s">
        <v>27</v>
      </c>
      <c r="C445" s="12"/>
      <c r="D445" s="13">
        <f t="shared" si="110"/>
        <v>0</v>
      </c>
      <c r="E445" s="14">
        <v>19</v>
      </c>
      <c r="F445" s="13">
        <f t="shared" si="111"/>
        <v>19</v>
      </c>
      <c r="G445" s="13">
        <f t="shared" si="112"/>
        <v>19</v>
      </c>
      <c r="H445" s="11">
        <v>45274</v>
      </c>
      <c r="I445" s="46"/>
    </row>
    <row r="446" spans="2:9" x14ac:dyDescent="0.15">
      <c r="B446" s="37" t="s">
        <v>27</v>
      </c>
      <c r="C446" s="12">
        <v>38</v>
      </c>
      <c r="D446" s="13">
        <f t="shared" si="110"/>
        <v>38</v>
      </c>
      <c r="E446" s="14"/>
      <c r="F446" s="13">
        <f t="shared" si="111"/>
        <v>0</v>
      </c>
      <c r="G446" s="13">
        <f t="shared" si="112"/>
        <v>38</v>
      </c>
      <c r="H446" s="11">
        <v>45283</v>
      </c>
    </row>
    <row r="447" spans="2:9" x14ac:dyDescent="0.15">
      <c r="B447" s="37" t="s">
        <v>27</v>
      </c>
      <c r="C447" s="12">
        <v>40</v>
      </c>
      <c r="D447" s="13">
        <f t="shared" si="110"/>
        <v>40</v>
      </c>
      <c r="E447" s="14"/>
      <c r="F447" s="13">
        <f t="shared" si="111"/>
        <v>0</v>
      </c>
      <c r="G447" s="13"/>
      <c r="H447" s="11">
        <v>45283</v>
      </c>
    </row>
    <row r="448" spans="2:9" x14ac:dyDescent="0.15">
      <c r="B448" s="37" t="s">
        <v>27</v>
      </c>
      <c r="C448" s="12">
        <v>36</v>
      </c>
      <c r="D448" s="13">
        <f t="shared" si="110"/>
        <v>36</v>
      </c>
      <c r="E448" s="14"/>
      <c r="F448" s="13">
        <f t="shared" si="111"/>
        <v>0</v>
      </c>
      <c r="G448" s="13">
        <f t="shared" ref="G448:G470" si="113">D448+F448</f>
        <v>36</v>
      </c>
      <c r="H448" s="11">
        <v>45301</v>
      </c>
    </row>
    <row r="449" spans="1:9" x14ac:dyDescent="0.15">
      <c r="B449" s="37" t="s">
        <v>27</v>
      </c>
      <c r="C449" s="12">
        <v>38</v>
      </c>
      <c r="D449" s="13">
        <f t="shared" si="110"/>
        <v>38</v>
      </c>
      <c r="E449" s="14"/>
      <c r="F449" s="13">
        <f t="shared" si="111"/>
        <v>0</v>
      </c>
      <c r="G449" s="13">
        <f t="shared" si="113"/>
        <v>38</v>
      </c>
      <c r="H449" s="11">
        <v>45310</v>
      </c>
    </row>
    <row r="450" spans="1:9" x14ac:dyDescent="0.15">
      <c r="B450" s="37" t="s">
        <v>27</v>
      </c>
      <c r="C450" s="12">
        <v>38</v>
      </c>
      <c r="D450" s="13">
        <f t="shared" si="110"/>
        <v>38</v>
      </c>
      <c r="E450" s="14"/>
      <c r="F450" s="13">
        <f t="shared" si="111"/>
        <v>0</v>
      </c>
      <c r="G450" s="13">
        <f t="shared" si="113"/>
        <v>38</v>
      </c>
      <c r="H450" s="11">
        <v>45315</v>
      </c>
    </row>
    <row r="451" spans="1:9" x14ac:dyDescent="0.15">
      <c r="B451" s="37" t="s">
        <v>27</v>
      </c>
      <c r="C451" s="12">
        <v>76</v>
      </c>
      <c r="D451" s="13">
        <f t="shared" si="110"/>
        <v>76</v>
      </c>
      <c r="E451" s="14"/>
      <c r="F451" s="13">
        <f t="shared" si="111"/>
        <v>0</v>
      </c>
      <c r="G451" s="13">
        <f t="shared" si="113"/>
        <v>76</v>
      </c>
      <c r="H451" s="11">
        <v>45328</v>
      </c>
    </row>
    <row r="452" spans="1:9" x14ac:dyDescent="0.15">
      <c r="B452" s="37" t="s">
        <v>27</v>
      </c>
      <c r="C452" s="12">
        <v>38</v>
      </c>
      <c r="D452" s="13">
        <f t="shared" si="110"/>
        <v>38</v>
      </c>
      <c r="E452" s="14"/>
      <c r="F452" s="13">
        <f t="shared" si="111"/>
        <v>0</v>
      </c>
      <c r="G452" s="13">
        <f t="shared" si="113"/>
        <v>38</v>
      </c>
      <c r="H452" s="11">
        <v>45341</v>
      </c>
    </row>
    <row r="453" spans="1:9" x14ac:dyDescent="0.15">
      <c r="B453" s="37" t="s">
        <v>27</v>
      </c>
      <c r="C453" s="12">
        <v>38</v>
      </c>
      <c r="D453" s="13">
        <f t="shared" si="110"/>
        <v>38</v>
      </c>
      <c r="E453" s="14">
        <v>18</v>
      </c>
      <c r="F453" s="13">
        <f t="shared" si="111"/>
        <v>18</v>
      </c>
      <c r="G453" s="13">
        <f t="shared" si="113"/>
        <v>56</v>
      </c>
      <c r="H453" s="11">
        <v>45356</v>
      </c>
    </row>
    <row r="454" spans="1:9" x14ac:dyDescent="0.15">
      <c r="A454" s="55"/>
      <c r="B454" s="37" t="s">
        <v>27</v>
      </c>
      <c r="C454" s="12">
        <v>38</v>
      </c>
      <c r="D454" s="13">
        <f t="shared" si="110"/>
        <v>38</v>
      </c>
      <c r="E454" s="14"/>
      <c r="F454" s="13">
        <f t="shared" si="111"/>
        <v>0</v>
      </c>
      <c r="G454" s="13">
        <f t="shared" si="113"/>
        <v>38</v>
      </c>
      <c r="H454" s="11">
        <v>45359</v>
      </c>
      <c r="I454" s="46"/>
    </row>
    <row r="455" spans="1:9" x14ac:dyDescent="0.15">
      <c r="A455" s="46"/>
      <c r="B455" s="37" t="s">
        <v>27</v>
      </c>
      <c r="C455" s="12">
        <v>22</v>
      </c>
      <c r="D455" s="13">
        <f t="shared" si="110"/>
        <v>22</v>
      </c>
      <c r="E455" s="14">
        <v>8</v>
      </c>
      <c r="F455" s="13">
        <f t="shared" si="111"/>
        <v>8</v>
      </c>
      <c r="G455" s="13">
        <f t="shared" si="113"/>
        <v>30</v>
      </c>
      <c r="H455" s="11">
        <v>45370</v>
      </c>
    </row>
    <row r="456" spans="1:9" x14ac:dyDescent="0.15">
      <c r="B456" s="37" t="s">
        <v>27</v>
      </c>
      <c r="C456" s="12">
        <v>38</v>
      </c>
      <c r="D456" s="13">
        <f t="shared" si="110"/>
        <v>38</v>
      </c>
      <c r="E456" s="14"/>
      <c r="F456" s="13">
        <f t="shared" si="111"/>
        <v>0</v>
      </c>
      <c r="G456" s="13">
        <f t="shared" si="113"/>
        <v>38</v>
      </c>
      <c r="H456" s="11">
        <v>45376</v>
      </c>
    </row>
    <row r="457" spans="1:9" x14ac:dyDescent="0.15">
      <c r="B457" s="37" t="s">
        <v>27</v>
      </c>
      <c r="C457" s="12">
        <v>38</v>
      </c>
      <c r="D457" s="13">
        <f t="shared" si="110"/>
        <v>38</v>
      </c>
      <c r="E457" s="14"/>
      <c r="F457" s="13">
        <f t="shared" si="111"/>
        <v>0</v>
      </c>
      <c r="G457" s="13">
        <f t="shared" si="113"/>
        <v>38</v>
      </c>
      <c r="H457" s="11">
        <v>45378</v>
      </c>
      <c r="I457" s="46"/>
    </row>
    <row r="458" spans="1:9" x14ac:dyDescent="0.15">
      <c r="B458" s="37" t="s">
        <v>27</v>
      </c>
      <c r="C458" s="12">
        <v>38</v>
      </c>
      <c r="D458" s="13">
        <f t="shared" si="110"/>
        <v>38</v>
      </c>
      <c r="E458" s="14"/>
      <c r="F458" s="13">
        <f t="shared" si="111"/>
        <v>0</v>
      </c>
      <c r="G458" s="13">
        <f t="shared" si="113"/>
        <v>38</v>
      </c>
      <c r="H458" s="11">
        <v>45385</v>
      </c>
    </row>
    <row r="459" spans="1:9" x14ac:dyDescent="0.15">
      <c r="B459" s="37" t="s">
        <v>27</v>
      </c>
      <c r="C459" s="12">
        <v>38</v>
      </c>
      <c r="D459" s="13">
        <f t="shared" si="110"/>
        <v>38</v>
      </c>
      <c r="E459" s="14"/>
      <c r="F459" s="13">
        <f t="shared" si="111"/>
        <v>0</v>
      </c>
      <c r="G459" s="13">
        <f t="shared" si="113"/>
        <v>38</v>
      </c>
      <c r="H459" s="11">
        <v>45392</v>
      </c>
    </row>
    <row r="460" spans="1:9" x14ac:dyDescent="0.15">
      <c r="B460" s="37" t="s">
        <v>27</v>
      </c>
      <c r="C460" s="12">
        <v>18</v>
      </c>
      <c r="D460" s="13">
        <f t="shared" si="110"/>
        <v>18</v>
      </c>
      <c r="E460" s="14">
        <v>10</v>
      </c>
      <c r="F460" s="13">
        <f t="shared" si="111"/>
        <v>10</v>
      </c>
      <c r="G460" s="13">
        <f t="shared" si="113"/>
        <v>28</v>
      </c>
      <c r="H460" s="11">
        <v>45398</v>
      </c>
    </row>
    <row r="461" spans="1:9" x14ac:dyDescent="0.15">
      <c r="B461" s="37" t="s">
        <v>27</v>
      </c>
      <c r="C461" s="12">
        <v>38</v>
      </c>
      <c r="D461" s="13">
        <f t="shared" si="110"/>
        <v>38</v>
      </c>
      <c r="E461" s="14"/>
      <c r="F461" s="13">
        <f t="shared" si="111"/>
        <v>0</v>
      </c>
      <c r="G461" s="13">
        <f t="shared" si="113"/>
        <v>38</v>
      </c>
      <c r="H461" s="11">
        <v>45401</v>
      </c>
    </row>
    <row r="462" spans="1:9" x14ac:dyDescent="0.15">
      <c r="B462" s="37" t="s">
        <v>27</v>
      </c>
      <c r="C462" s="12"/>
      <c r="D462" s="13">
        <f t="shared" si="110"/>
        <v>0</v>
      </c>
      <c r="E462" s="14">
        <v>18</v>
      </c>
      <c r="F462" s="13">
        <f t="shared" si="111"/>
        <v>18</v>
      </c>
      <c r="G462" s="13">
        <f t="shared" si="113"/>
        <v>18</v>
      </c>
      <c r="H462" s="11">
        <v>45405</v>
      </c>
    </row>
    <row r="463" spans="1:9" x14ac:dyDescent="0.15">
      <c r="B463" s="37" t="s">
        <v>27</v>
      </c>
      <c r="C463" s="12"/>
      <c r="D463" s="13">
        <f t="shared" si="110"/>
        <v>0</v>
      </c>
      <c r="E463" s="14">
        <v>19</v>
      </c>
      <c r="F463" s="13">
        <f t="shared" si="111"/>
        <v>19</v>
      </c>
      <c r="G463" s="13">
        <f t="shared" si="113"/>
        <v>19</v>
      </c>
      <c r="H463" s="11">
        <v>45408</v>
      </c>
      <c r="I463" s="46"/>
    </row>
    <row r="464" spans="1:9" x14ac:dyDescent="0.15">
      <c r="B464" s="37" t="s">
        <v>27</v>
      </c>
      <c r="C464" s="12">
        <v>22</v>
      </c>
      <c r="D464" s="13">
        <f t="shared" si="110"/>
        <v>22</v>
      </c>
      <c r="E464" s="14">
        <v>8</v>
      </c>
      <c r="F464" s="13">
        <f t="shared" si="111"/>
        <v>8</v>
      </c>
      <c r="G464" s="13">
        <f t="shared" si="113"/>
        <v>30</v>
      </c>
      <c r="H464" s="11">
        <v>45408</v>
      </c>
      <c r="I464" s="46"/>
    </row>
    <row r="465" spans="2:8" x14ac:dyDescent="0.15">
      <c r="B465" s="37" t="s">
        <v>27</v>
      </c>
      <c r="C465" s="12">
        <v>76</v>
      </c>
      <c r="D465" s="13">
        <f t="shared" si="110"/>
        <v>76</v>
      </c>
      <c r="E465" s="14"/>
      <c r="F465" s="13">
        <f t="shared" si="111"/>
        <v>0</v>
      </c>
      <c r="G465" s="13">
        <f t="shared" si="113"/>
        <v>76</v>
      </c>
      <c r="H465" s="11">
        <v>45422</v>
      </c>
    </row>
    <row r="466" spans="2:8" x14ac:dyDescent="0.15">
      <c r="B466" s="37" t="s">
        <v>27</v>
      </c>
      <c r="C466" s="12">
        <v>36</v>
      </c>
      <c r="D466" s="13">
        <f t="shared" si="110"/>
        <v>36</v>
      </c>
      <c r="E466" s="14"/>
      <c r="F466" s="13">
        <f t="shared" si="111"/>
        <v>0</v>
      </c>
      <c r="G466" s="13">
        <f t="shared" si="113"/>
        <v>36</v>
      </c>
      <c r="H466" s="11">
        <v>45430</v>
      </c>
    </row>
    <row r="467" spans="2:8" x14ac:dyDescent="0.15">
      <c r="B467" s="37" t="s">
        <v>27</v>
      </c>
      <c r="C467" s="12">
        <v>36</v>
      </c>
      <c r="D467" s="13">
        <f t="shared" si="110"/>
        <v>36</v>
      </c>
      <c r="E467" s="14"/>
      <c r="F467" s="13">
        <f t="shared" si="111"/>
        <v>0</v>
      </c>
      <c r="G467" s="13">
        <f t="shared" si="113"/>
        <v>36</v>
      </c>
      <c r="H467" s="11">
        <v>45440</v>
      </c>
    </row>
    <row r="468" spans="2:8" x14ac:dyDescent="0.15">
      <c r="B468" s="37" t="s">
        <v>27</v>
      </c>
      <c r="C468" s="15">
        <v>56</v>
      </c>
      <c r="D468" s="13">
        <f t="shared" si="110"/>
        <v>56</v>
      </c>
      <c r="E468" s="16">
        <v>10</v>
      </c>
      <c r="F468" s="13">
        <f t="shared" si="111"/>
        <v>10</v>
      </c>
      <c r="G468" s="13">
        <f t="shared" si="113"/>
        <v>66</v>
      </c>
      <c r="H468" s="11">
        <v>45450</v>
      </c>
    </row>
    <row r="469" spans="2:8" ht="14.25" thickBot="1" x14ac:dyDescent="0.2">
      <c r="B469" s="37" t="s">
        <v>27</v>
      </c>
      <c r="C469" s="15">
        <v>25</v>
      </c>
      <c r="D469" s="13">
        <f t="shared" si="110"/>
        <v>25</v>
      </c>
      <c r="E469" s="16">
        <v>5</v>
      </c>
      <c r="F469" s="13">
        <f t="shared" si="111"/>
        <v>5</v>
      </c>
      <c r="G469" s="13">
        <f t="shared" si="113"/>
        <v>30</v>
      </c>
      <c r="H469" s="11">
        <v>45458</v>
      </c>
    </row>
    <row r="470" spans="2:8" ht="14.25" thickBot="1" x14ac:dyDescent="0.2">
      <c r="B470" s="23" t="s">
        <v>4</v>
      </c>
      <c r="C470" s="38">
        <f t="shared" ref="C470:F470" si="114">SUM(C444:C469)</f>
        <v>879</v>
      </c>
      <c r="D470" s="35">
        <f t="shared" si="114"/>
        <v>879</v>
      </c>
      <c r="E470" s="38">
        <f t="shared" si="114"/>
        <v>125</v>
      </c>
      <c r="F470" s="35">
        <f t="shared" si="114"/>
        <v>125</v>
      </c>
      <c r="G470" s="35">
        <f t="shared" si="113"/>
        <v>1004</v>
      </c>
    </row>
    <row r="471" spans="2:8" ht="14.25" thickBot="1" x14ac:dyDescent="0.2">
      <c r="B471" s="27" t="s">
        <v>5</v>
      </c>
      <c r="C471" s="39">
        <f t="shared" ref="C471:G471" si="115">C443-C470</f>
        <v>1</v>
      </c>
      <c r="D471" s="40">
        <f t="shared" si="115"/>
        <v>1</v>
      </c>
      <c r="E471" s="39">
        <f t="shared" si="115"/>
        <v>36</v>
      </c>
      <c r="F471" s="40">
        <f t="shared" si="115"/>
        <v>36</v>
      </c>
      <c r="G471" s="36">
        <f t="shared" si="115"/>
        <v>37</v>
      </c>
    </row>
    <row r="474" spans="2:8" ht="19.5" thickBot="1" x14ac:dyDescent="0.25">
      <c r="B474" s="1" t="s">
        <v>7</v>
      </c>
      <c r="C474" s="2"/>
      <c r="D474" s="2"/>
      <c r="E474" s="2"/>
      <c r="F474" s="2"/>
      <c r="G474" s="2"/>
    </row>
    <row r="475" spans="2:8" ht="14.25" thickBot="1" x14ac:dyDescent="0.2">
      <c r="B475" s="3" t="s">
        <v>0</v>
      </c>
      <c r="C475" s="57" t="s">
        <v>8</v>
      </c>
      <c r="D475" s="58"/>
      <c r="E475" s="57" t="s">
        <v>9</v>
      </c>
      <c r="F475" s="58"/>
      <c r="G475" s="59" t="s">
        <v>1</v>
      </c>
    </row>
    <row r="476" spans="2:8" ht="14.25" thickBot="1" x14ac:dyDescent="0.2">
      <c r="B476" s="3"/>
      <c r="C476" s="4"/>
      <c r="D476" s="3" t="s">
        <v>2</v>
      </c>
      <c r="E476" s="4"/>
      <c r="F476" s="3" t="s">
        <v>2</v>
      </c>
      <c r="G476" s="60"/>
    </row>
    <row r="477" spans="2:8" ht="14.25" thickBot="1" x14ac:dyDescent="0.2">
      <c r="B477" s="5" t="s">
        <v>5</v>
      </c>
      <c r="C477" s="6">
        <f>C471</f>
        <v>1</v>
      </c>
      <c r="D477" s="35">
        <f t="shared" ref="D477:D485" si="116">SUM(C477:C477)</f>
        <v>1</v>
      </c>
      <c r="E477" s="6">
        <f>E471</f>
        <v>36</v>
      </c>
      <c r="F477" s="35">
        <f t="shared" ref="F477:F485" si="117">SUM(E477:E477)</f>
        <v>36</v>
      </c>
      <c r="G477" s="35">
        <f t="shared" ref="G477:G485" si="118">D477+F477</f>
        <v>37</v>
      </c>
    </row>
    <row r="478" spans="2:8" x14ac:dyDescent="0.15">
      <c r="B478" s="22" t="s">
        <v>6</v>
      </c>
      <c r="C478" s="12">
        <v>200</v>
      </c>
      <c r="D478" s="13">
        <f t="shared" si="116"/>
        <v>200</v>
      </c>
      <c r="E478" s="14">
        <v>20</v>
      </c>
      <c r="F478" s="13">
        <f t="shared" si="117"/>
        <v>20</v>
      </c>
      <c r="G478" s="13">
        <f t="shared" si="118"/>
        <v>220</v>
      </c>
      <c r="H478" s="11">
        <v>45468</v>
      </c>
    </row>
    <row r="479" spans="2:8" x14ac:dyDescent="0.15">
      <c r="B479" s="22" t="s">
        <v>6</v>
      </c>
      <c r="C479" s="12">
        <v>200</v>
      </c>
      <c r="D479" s="13">
        <f t="shared" si="116"/>
        <v>200</v>
      </c>
      <c r="E479" s="14">
        <v>20</v>
      </c>
      <c r="F479" s="13">
        <f t="shared" si="117"/>
        <v>20</v>
      </c>
      <c r="G479" s="13">
        <f t="shared" si="118"/>
        <v>220</v>
      </c>
      <c r="H479" s="11">
        <v>45499</v>
      </c>
    </row>
    <row r="480" spans="2:8" x14ac:dyDescent="0.15">
      <c r="B480" s="22" t="s">
        <v>6</v>
      </c>
      <c r="C480" s="12">
        <v>100</v>
      </c>
      <c r="D480" s="13">
        <f t="shared" si="116"/>
        <v>100</v>
      </c>
      <c r="E480" s="14">
        <v>50</v>
      </c>
      <c r="F480" s="13">
        <f t="shared" si="117"/>
        <v>50</v>
      </c>
      <c r="G480" s="13">
        <f t="shared" si="118"/>
        <v>150</v>
      </c>
      <c r="H480" s="11">
        <v>45510</v>
      </c>
    </row>
    <row r="481" spans="2:8" x14ac:dyDescent="0.15">
      <c r="B481" s="22" t="s">
        <v>72</v>
      </c>
      <c r="C481" s="12">
        <v>0</v>
      </c>
      <c r="D481" s="13">
        <f t="shared" si="116"/>
        <v>0</v>
      </c>
      <c r="E481" s="14">
        <v>0</v>
      </c>
      <c r="F481" s="13">
        <f t="shared" si="117"/>
        <v>0</v>
      </c>
      <c r="G481" s="13">
        <f t="shared" si="118"/>
        <v>0</v>
      </c>
      <c r="H481" s="47">
        <v>45530</v>
      </c>
    </row>
    <row r="482" spans="2:8" x14ac:dyDescent="0.15">
      <c r="B482" s="22" t="s">
        <v>6</v>
      </c>
      <c r="C482" s="12">
        <v>200</v>
      </c>
      <c r="D482" s="13">
        <f t="shared" si="116"/>
        <v>200</v>
      </c>
      <c r="E482" s="14"/>
      <c r="F482" s="13">
        <f t="shared" si="117"/>
        <v>0</v>
      </c>
      <c r="G482" s="13">
        <f t="shared" si="118"/>
        <v>200</v>
      </c>
      <c r="H482" s="11">
        <v>45559</v>
      </c>
    </row>
    <row r="483" spans="2:8" x14ac:dyDescent="0.15">
      <c r="B483" s="22" t="s">
        <v>6</v>
      </c>
      <c r="C483" s="12">
        <v>200</v>
      </c>
      <c r="D483" s="13">
        <f t="shared" si="116"/>
        <v>200</v>
      </c>
      <c r="E483" s="14">
        <v>0</v>
      </c>
      <c r="F483" s="13">
        <f t="shared" si="117"/>
        <v>0</v>
      </c>
      <c r="G483" s="13">
        <f t="shared" si="118"/>
        <v>200</v>
      </c>
      <c r="H483" s="11">
        <v>45587</v>
      </c>
    </row>
    <row r="484" spans="2:8" x14ac:dyDescent="0.15">
      <c r="B484" s="22" t="s">
        <v>6</v>
      </c>
      <c r="C484" s="33"/>
      <c r="D484" s="32">
        <f t="shared" si="116"/>
        <v>0</v>
      </c>
      <c r="E484" s="34"/>
      <c r="F484" s="32">
        <f t="shared" si="117"/>
        <v>0</v>
      </c>
      <c r="G484" s="32">
        <f t="shared" si="118"/>
        <v>0</v>
      </c>
    </row>
    <row r="485" spans="2:8" ht="14.25" thickBot="1" x14ac:dyDescent="0.2">
      <c r="B485" s="22" t="s">
        <v>6</v>
      </c>
      <c r="C485" s="17"/>
      <c r="D485" s="18">
        <f t="shared" si="116"/>
        <v>0</v>
      </c>
      <c r="E485" s="19"/>
      <c r="F485" s="18">
        <f t="shared" si="117"/>
        <v>0</v>
      </c>
      <c r="G485" s="18">
        <f t="shared" si="118"/>
        <v>0</v>
      </c>
    </row>
    <row r="486" spans="2:8" ht="14.25" thickBot="1" x14ac:dyDescent="0.2">
      <c r="B486" s="23" t="s">
        <v>3</v>
      </c>
      <c r="C486" s="53">
        <f t="shared" ref="C486:G486" si="119">SUM(C477:C485)</f>
        <v>901</v>
      </c>
      <c r="D486" s="54">
        <f t="shared" si="119"/>
        <v>901</v>
      </c>
      <c r="E486" s="53">
        <f t="shared" si="119"/>
        <v>126</v>
      </c>
      <c r="F486" s="54">
        <f t="shared" si="119"/>
        <v>126</v>
      </c>
      <c r="G486" s="54">
        <f t="shared" si="119"/>
        <v>1027</v>
      </c>
    </row>
    <row r="487" spans="2:8" x14ac:dyDescent="0.15">
      <c r="B487" s="37" t="s">
        <v>71</v>
      </c>
      <c r="C487" s="12"/>
      <c r="D487" s="13">
        <f t="shared" ref="D487:D512" si="120">SUM(C487:C487)</f>
        <v>0</v>
      </c>
      <c r="E487" s="14">
        <v>18</v>
      </c>
      <c r="F487" s="13">
        <f t="shared" ref="F487:F512" si="121">SUM(E487:E487)</f>
        <v>18</v>
      </c>
      <c r="G487" s="13">
        <f t="shared" ref="G487:G489" si="122">D487+F487</f>
        <v>18</v>
      </c>
      <c r="H487" s="11">
        <v>45462</v>
      </c>
    </row>
    <row r="488" spans="2:8" x14ac:dyDescent="0.15">
      <c r="B488" s="37" t="s">
        <v>27</v>
      </c>
      <c r="C488" s="12">
        <v>38</v>
      </c>
      <c r="D488" s="13">
        <f t="shared" si="120"/>
        <v>38</v>
      </c>
      <c r="E488" s="14"/>
      <c r="F488" s="13">
        <f t="shared" si="121"/>
        <v>0</v>
      </c>
      <c r="G488" s="13">
        <f t="shared" si="122"/>
        <v>38</v>
      </c>
      <c r="H488" s="11">
        <v>45469</v>
      </c>
    </row>
    <row r="489" spans="2:8" x14ac:dyDescent="0.15">
      <c r="B489" s="37" t="s">
        <v>27</v>
      </c>
      <c r="C489" s="12">
        <v>38</v>
      </c>
      <c r="D489" s="13">
        <f t="shared" si="120"/>
        <v>38</v>
      </c>
      <c r="E489" s="14"/>
      <c r="F489" s="13">
        <f t="shared" si="121"/>
        <v>0</v>
      </c>
      <c r="G489" s="13">
        <f t="shared" si="122"/>
        <v>38</v>
      </c>
      <c r="H489" s="11">
        <v>45469</v>
      </c>
    </row>
    <row r="490" spans="2:8" x14ac:dyDescent="0.15">
      <c r="B490" s="37" t="s">
        <v>27</v>
      </c>
      <c r="C490" s="12">
        <v>12</v>
      </c>
      <c r="D490" s="13">
        <f t="shared" si="120"/>
        <v>12</v>
      </c>
      <c r="E490" s="14">
        <v>5</v>
      </c>
      <c r="F490" s="13">
        <f t="shared" si="121"/>
        <v>5</v>
      </c>
      <c r="G490" s="13"/>
      <c r="H490" s="11">
        <v>45475</v>
      </c>
    </row>
    <row r="491" spans="2:8" x14ac:dyDescent="0.15">
      <c r="B491" s="37" t="s">
        <v>27</v>
      </c>
      <c r="C491" s="12">
        <v>76</v>
      </c>
      <c r="D491" s="13">
        <f t="shared" si="120"/>
        <v>76</v>
      </c>
      <c r="E491" s="14"/>
      <c r="F491" s="13">
        <f t="shared" si="121"/>
        <v>0</v>
      </c>
      <c r="G491" s="13">
        <f t="shared" ref="G491:G513" si="123">D491+F491</f>
        <v>76</v>
      </c>
      <c r="H491" s="11">
        <v>45482</v>
      </c>
    </row>
    <row r="492" spans="2:8" x14ac:dyDescent="0.15">
      <c r="B492" s="37" t="s">
        <v>27</v>
      </c>
      <c r="C492" s="12"/>
      <c r="D492" s="13">
        <f t="shared" si="120"/>
        <v>0</v>
      </c>
      <c r="E492" s="14">
        <v>19</v>
      </c>
      <c r="F492" s="13">
        <f t="shared" si="121"/>
        <v>19</v>
      </c>
      <c r="G492" s="13">
        <f t="shared" si="123"/>
        <v>19</v>
      </c>
      <c r="H492" s="11">
        <v>45491</v>
      </c>
    </row>
    <row r="493" spans="2:8" x14ac:dyDescent="0.15">
      <c r="B493" s="37" t="s">
        <v>27</v>
      </c>
      <c r="C493" s="12">
        <v>36</v>
      </c>
      <c r="D493" s="13">
        <f t="shared" si="120"/>
        <v>36</v>
      </c>
      <c r="E493" s="14"/>
      <c r="F493" s="13">
        <f t="shared" si="121"/>
        <v>0</v>
      </c>
      <c r="G493" s="13">
        <f t="shared" si="123"/>
        <v>36</v>
      </c>
      <c r="H493" s="11">
        <v>45492</v>
      </c>
    </row>
    <row r="494" spans="2:8" x14ac:dyDescent="0.15">
      <c r="B494" s="37" t="s">
        <v>27</v>
      </c>
      <c r="C494" s="12">
        <v>76</v>
      </c>
      <c r="D494" s="13">
        <f t="shared" si="120"/>
        <v>76</v>
      </c>
      <c r="E494" s="14">
        <v>19</v>
      </c>
      <c r="F494" s="13">
        <f t="shared" si="121"/>
        <v>19</v>
      </c>
      <c r="G494" s="13">
        <f t="shared" si="123"/>
        <v>95</v>
      </c>
      <c r="H494" s="11">
        <v>45500</v>
      </c>
    </row>
    <row r="495" spans="2:8" x14ac:dyDescent="0.15">
      <c r="B495" s="37" t="s">
        <v>27</v>
      </c>
      <c r="C495" s="12">
        <v>10</v>
      </c>
      <c r="D495" s="13">
        <f t="shared" si="120"/>
        <v>10</v>
      </c>
      <c r="E495" s="14">
        <v>14</v>
      </c>
      <c r="F495" s="13">
        <f t="shared" si="121"/>
        <v>14</v>
      </c>
      <c r="G495" s="13">
        <f t="shared" si="123"/>
        <v>24</v>
      </c>
      <c r="H495" s="11">
        <v>45506</v>
      </c>
    </row>
    <row r="496" spans="2:8" x14ac:dyDescent="0.15">
      <c r="B496" s="37" t="s">
        <v>27</v>
      </c>
      <c r="C496" s="12">
        <v>18</v>
      </c>
      <c r="D496" s="13">
        <f t="shared" si="120"/>
        <v>18</v>
      </c>
      <c r="E496" s="14">
        <v>10</v>
      </c>
      <c r="F496" s="13">
        <f t="shared" si="121"/>
        <v>10</v>
      </c>
      <c r="G496" s="13">
        <f t="shared" si="123"/>
        <v>28</v>
      </c>
      <c r="H496" s="11">
        <v>45511</v>
      </c>
    </row>
    <row r="497" spans="1:8" x14ac:dyDescent="0.15">
      <c r="A497" s="55"/>
      <c r="B497" s="37" t="s">
        <v>27</v>
      </c>
      <c r="C497" s="12">
        <v>38</v>
      </c>
      <c r="D497" s="13">
        <f t="shared" si="120"/>
        <v>38</v>
      </c>
      <c r="E497" s="14"/>
      <c r="F497" s="13">
        <f t="shared" si="121"/>
        <v>0</v>
      </c>
      <c r="G497" s="13">
        <f t="shared" si="123"/>
        <v>38</v>
      </c>
      <c r="H497" s="11">
        <v>45511</v>
      </c>
    </row>
    <row r="498" spans="1:8" x14ac:dyDescent="0.15">
      <c r="A498" s="46"/>
      <c r="B498" s="37" t="s">
        <v>27</v>
      </c>
      <c r="C498" s="12">
        <v>76</v>
      </c>
      <c r="D498" s="13">
        <f t="shared" si="120"/>
        <v>76</v>
      </c>
      <c r="E498" s="14"/>
      <c r="F498" s="13">
        <f t="shared" si="121"/>
        <v>0</v>
      </c>
      <c r="G498" s="13">
        <f t="shared" si="123"/>
        <v>76</v>
      </c>
      <c r="H498" s="11">
        <v>45525</v>
      </c>
    </row>
    <row r="499" spans="1:8" x14ac:dyDescent="0.15">
      <c r="B499" s="37" t="s">
        <v>27</v>
      </c>
      <c r="C499" s="12">
        <v>38</v>
      </c>
      <c r="D499" s="13">
        <f t="shared" si="120"/>
        <v>38</v>
      </c>
      <c r="E499" s="14"/>
      <c r="F499" s="13">
        <f t="shared" si="121"/>
        <v>0</v>
      </c>
      <c r="G499" s="13">
        <f t="shared" si="123"/>
        <v>38</v>
      </c>
      <c r="H499" s="11">
        <v>45541</v>
      </c>
    </row>
    <row r="500" spans="1:8" x14ac:dyDescent="0.15">
      <c r="B500" s="37" t="s">
        <v>27</v>
      </c>
      <c r="C500" s="12">
        <v>40</v>
      </c>
      <c r="D500" s="13">
        <f t="shared" si="120"/>
        <v>40</v>
      </c>
      <c r="E500" s="14"/>
      <c r="F500" s="13">
        <f t="shared" si="121"/>
        <v>0</v>
      </c>
      <c r="G500" s="13">
        <f t="shared" si="123"/>
        <v>40</v>
      </c>
      <c r="H500" s="11">
        <v>45555</v>
      </c>
    </row>
    <row r="501" spans="1:8" x14ac:dyDescent="0.15">
      <c r="B501" s="37" t="s">
        <v>27</v>
      </c>
      <c r="C501" s="12">
        <v>40</v>
      </c>
      <c r="D501" s="13">
        <f t="shared" si="120"/>
        <v>40</v>
      </c>
      <c r="E501" s="14"/>
      <c r="F501" s="13">
        <f t="shared" si="121"/>
        <v>0</v>
      </c>
      <c r="G501" s="13">
        <f t="shared" si="123"/>
        <v>40</v>
      </c>
      <c r="H501" s="11">
        <v>45560</v>
      </c>
    </row>
    <row r="502" spans="1:8" x14ac:dyDescent="0.15">
      <c r="B502" s="37" t="s">
        <v>27</v>
      </c>
      <c r="C502" s="12">
        <v>80</v>
      </c>
      <c r="D502" s="13">
        <f t="shared" si="120"/>
        <v>80</v>
      </c>
      <c r="E502" s="14"/>
      <c r="F502" s="13">
        <f t="shared" si="121"/>
        <v>0</v>
      </c>
      <c r="G502" s="13">
        <f t="shared" si="123"/>
        <v>80</v>
      </c>
      <c r="H502" s="11">
        <v>45570</v>
      </c>
    </row>
    <row r="503" spans="1:8" x14ac:dyDescent="0.15">
      <c r="B503" s="37" t="s">
        <v>27</v>
      </c>
      <c r="C503" s="12">
        <v>38</v>
      </c>
      <c r="D503" s="13">
        <f t="shared" si="120"/>
        <v>38</v>
      </c>
      <c r="E503" s="14"/>
      <c r="F503" s="13">
        <f t="shared" si="121"/>
        <v>0</v>
      </c>
      <c r="G503" s="13">
        <f t="shared" si="123"/>
        <v>38</v>
      </c>
      <c r="H503" s="11">
        <v>45582</v>
      </c>
    </row>
    <row r="504" spans="1:8" x14ac:dyDescent="0.15">
      <c r="B504" s="37" t="s">
        <v>27</v>
      </c>
      <c r="C504" s="12"/>
      <c r="D504" s="13">
        <f t="shared" si="120"/>
        <v>0</v>
      </c>
      <c r="E504" s="14">
        <v>20</v>
      </c>
      <c r="F504" s="13">
        <f t="shared" si="121"/>
        <v>20</v>
      </c>
      <c r="G504" s="13">
        <f t="shared" si="123"/>
        <v>20</v>
      </c>
      <c r="H504" s="11">
        <v>45587</v>
      </c>
    </row>
    <row r="505" spans="1:8" x14ac:dyDescent="0.15">
      <c r="B505" s="37" t="s">
        <v>27</v>
      </c>
      <c r="C505" s="12"/>
      <c r="D505" s="13">
        <f t="shared" si="120"/>
        <v>0</v>
      </c>
      <c r="E505" s="14">
        <v>-1</v>
      </c>
      <c r="F505" s="13">
        <f t="shared" si="121"/>
        <v>-1</v>
      </c>
      <c r="G505" s="13">
        <f t="shared" si="123"/>
        <v>-1</v>
      </c>
      <c r="H505" s="11">
        <v>45586</v>
      </c>
    </row>
    <row r="506" spans="1:8" x14ac:dyDescent="0.15">
      <c r="B506" s="37" t="s">
        <v>73</v>
      </c>
      <c r="C506" s="12"/>
      <c r="D506" s="13">
        <f t="shared" si="120"/>
        <v>0</v>
      </c>
      <c r="E506" s="14">
        <v>2</v>
      </c>
      <c r="F506" s="13">
        <f t="shared" si="121"/>
        <v>2</v>
      </c>
      <c r="G506" s="13">
        <f t="shared" si="123"/>
        <v>2</v>
      </c>
      <c r="H506" s="11">
        <v>45587</v>
      </c>
    </row>
    <row r="507" spans="1:8" x14ac:dyDescent="0.15">
      <c r="B507" s="37" t="s">
        <v>74</v>
      </c>
      <c r="C507" s="12"/>
      <c r="D507" s="13">
        <f t="shared" si="120"/>
        <v>0</v>
      </c>
      <c r="E507" s="14">
        <v>19</v>
      </c>
      <c r="F507" s="13">
        <f t="shared" si="121"/>
        <v>19</v>
      </c>
      <c r="G507" s="13">
        <f t="shared" si="123"/>
        <v>19</v>
      </c>
      <c r="H507" s="11">
        <v>45590</v>
      </c>
    </row>
    <row r="508" spans="1:8" x14ac:dyDescent="0.15">
      <c r="B508" s="37" t="s">
        <v>27</v>
      </c>
      <c r="C508" s="12">
        <v>38</v>
      </c>
      <c r="D508" s="13">
        <f t="shared" si="120"/>
        <v>38</v>
      </c>
      <c r="E508" s="14"/>
      <c r="F508" s="13">
        <f t="shared" si="121"/>
        <v>0</v>
      </c>
      <c r="G508" s="13">
        <f t="shared" si="123"/>
        <v>38</v>
      </c>
      <c r="H508" s="47">
        <v>45595</v>
      </c>
    </row>
    <row r="509" spans="1:8" x14ac:dyDescent="0.15">
      <c r="B509" s="37" t="s">
        <v>27</v>
      </c>
      <c r="C509" s="12">
        <v>38</v>
      </c>
      <c r="D509" s="13">
        <f t="shared" si="120"/>
        <v>38</v>
      </c>
      <c r="E509" s="14"/>
      <c r="F509" s="13">
        <f t="shared" si="121"/>
        <v>0</v>
      </c>
      <c r="G509" s="13">
        <f t="shared" si="123"/>
        <v>38</v>
      </c>
      <c r="H509" s="47">
        <v>45595</v>
      </c>
    </row>
    <row r="510" spans="1:8" x14ac:dyDescent="0.15">
      <c r="B510" s="37" t="s">
        <v>27</v>
      </c>
      <c r="C510" s="12">
        <v>38</v>
      </c>
      <c r="D510" s="13">
        <f t="shared" si="120"/>
        <v>38</v>
      </c>
      <c r="E510" s="14"/>
      <c r="F510" s="13">
        <f t="shared" si="121"/>
        <v>0</v>
      </c>
      <c r="G510" s="13">
        <f t="shared" si="123"/>
        <v>38</v>
      </c>
      <c r="H510" s="47">
        <v>45595</v>
      </c>
    </row>
    <row r="511" spans="1:8" x14ac:dyDescent="0.15">
      <c r="B511" s="37" t="s">
        <v>15</v>
      </c>
      <c r="C511" s="15">
        <v>3</v>
      </c>
      <c r="D511" s="13">
        <f t="shared" si="120"/>
        <v>3</v>
      </c>
      <c r="E511" s="16"/>
      <c r="F511" s="13">
        <f t="shared" si="121"/>
        <v>0</v>
      </c>
      <c r="G511" s="13">
        <f t="shared" si="123"/>
        <v>3</v>
      </c>
      <c r="H511" s="47">
        <v>45595</v>
      </c>
    </row>
    <row r="512" spans="1:8" ht="14.25" thickBot="1" x14ac:dyDescent="0.2">
      <c r="B512" s="37" t="s">
        <v>75</v>
      </c>
      <c r="C512" s="15">
        <v>38</v>
      </c>
      <c r="D512" s="13">
        <f t="shared" si="120"/>
        <v>38</v>
      </c>
      <c r="E512" s="16"/>
      <c r="F512" s="13">
        <f t="shared" si="121"/>
        <v>0</v>
      </c>
      <c r="G512" s="13">
        <f t="shared" si="123"/>
        <v>38</v>
      </c>
      <c r="H512" s="47">
        <v>45609</v>
      </c>
    </row>
    <row r="513" spans="2:8" ht="14.25" thickBot="1" x14ac:dyDescent="0.2">
      <c r="B513" s="23" t="s">
        <v>4</v>
      </c>
      <c r="C513" s="38">
        <f t="shared" ref="C513:F513" si="124">SUM(C487:C512)</f>
        <v>809</v>
      </c>
      <c r="D513" s="35">
        <f t="shared" si="124"/>
        <v>809</v>
      </c>
      <c r="E513" s="38">
        <f t="shared" si="124"/>
        <v>125</v>
      </c>
      <c r="F513" s="35">
        <f t="shared" si="124"/>
        <v>125</v>
      </c>
      <c r="G513" s="35">
        <f t="shared" si="123"/>
        <v>934</v>
      </c>
    </row>
    <row r="514" spans="2:8" ht="14.25" thickBot="1" x14ac:dyDescent="0.2">
      <c r="B514" s="27" t="s">
        <v>5</v>
      </c>
      <c r="C514" s="39">
        <f t="shared" ref="C514:G514" si="125">C486-C513</f>
        <v>92</v>
      </c>
      <c r="D514" s="40">
        <f t="shared" si="125"/>
        <v>92</v>
      </c>
      <c r="E514" s="39">
        <f t="shared" si="125"/>
        <v>1</v>
      </c>
      <c r="F514" s="40">
        <f t="shared" si="125"/>
        <v>1</v>
      </c>
      <c r="G514" s="36">
        <f t="shared" si="125"/>
        <v>93</v>
      </c>
    </row>
    <row r="517" spans="2:8" ht="19.5" thickBot="1" x14ac:dyDescent="0.25">
      <c r="B517" s="1" t="s">
        <v>7</v>
      </c>
      <c r="C517" s="2"/>
      <c r="D517" s="2"/>
      <c r="E517" s="2"/>
      <c r="F517" s="2"/>
      <c r="G517" s="2"/>
    </row>
    <row r="518" spans="2:8" ht="14.25" thickBot="1" x14ac:dyDescent="0.2">
      <c r="B518" s="3" t="s">
        <v>0</v>
      </c>
      <c r="C518" s="57" t="s">
        <v>8</v>
      </c>
      <c r="D518" s="58"/>
      <c r="E518" s="57" t="s">
        <v>9</v>
      </c>
      <c r="F518" s="58"/>
      <c r="G518" s="59" t="s">
        <v>1</v>
      </c>
    </row>
    <row r="519" spans="2:8" ht="14.25" thickBot="1" x14ac:dyDescent="0.2">
      <c r="B519" s="3"/>
      <c r="C519" s="4"/>
      <c r="D519" s="3" t="s">
        <v>2</v>
      </c>
      <c r="E519" s="4"/>
      <c r="F519" s="3" t="s">
        <v>2</v>
      </c>
      <c r="G519" s="60"/>
    </row>
    <row r="520" spans="2:8" ht="14.25" thickBot="1" x14ac:dyDescent="0.2">
      <c r="B520" s="5" t="s">
        <v>5</v>
      </c>
      <c r="C520" s="6">
        <f>C514</f>
        <v>92</v>
      </c>
      <c r="D520" s="35">
        <f t="shared" ref="D520:D526" si="126">SUM(C520:C520)</f>
        <v>92</v>
      </c>
      <c r="E520" s="6">
        <f>E514</f>
        <v>1</v>
      </c>
      <c r="F520" s="35">
        <f t="shared" ref="F520:F526" si="127">SUM(E520:E520)</f>
        <v>1</v>
      </c>
      <c r="G520" s="35">
        <f t="shared" ref="G520:G526" si="128">D520+F520</f>
        <v>93</v>
      </c>
    </row>
    <row r="521" spans="2:8" x14ac:dyDescent="0.15">
      <c r="B521" s="22" t="s">
        <v>6</v>
      </c>
      <c r="C521" s="12">
        <v>150</v>
      </c>
      <c r="D521" s="13">
        <f t="shared" si="126"/>
        <v>150</v>
      </c>
      <c r="E521" s="14"/>
      <c r="F521" s="13">
        <f t="shared" si="127"/>
        <v>0</v>
      </c>
      <c r="G521" s="13">
        <f t="shared" si="128"/>
        <v>150</v>
      </c>
      <c r="H521" s="11">
        <v>45633</v>
      </c>
    </row>
    <row r="522" spans="2:8" x14ac:dyDescent="0.15">
      <c r="B522" s="22" t="s">
        <v>6</v>
      </c>
      <c r="C522" s="12"/>
      <c r="D522" s="13">
        <f t="shared" si="126"/>
        <v>0</v>
      </c>
      <c r="E522" s="14">
        <v>48</v>
      </c>
      <c r="F522" s="13">
        <f t="shared" si="127"/>
        <v>48</v>
      </c>
      <c r="G522" s="13">
        <f t="shared" si="128"/>
        <v>48</v>
      </c>
      <c r="H522" s="11">
        <v>45644</v>
      </c>
    </row>
    <row r="523" spans="2:8" x14ac:dyDescent="0.15">
      <c r="B523" s="22" t="s">
        <v>6</v>
      </c>
      <c r="C523" s="12"/>
      <c r="D523" s="13">
        <f t="shared" si="126"/>
        <v>0</v>
      </c>
      <c r="E523" s="14">
        <v>24</v>
      </c>
      <c r="F523" s="13">
        <f t="shared" si="127"/>
        <v>24</v>
      </c>
      <c r="G523" s="13">
        <f t="shared" si="128"/>
        <v>24</v>
      </c>
      <c r="H523" s="11">
        <v>45645</v>
      </c>
    </row>
    <row r="524" spans="2:8" x14ac:dyDescent="0.15">
      <c r="B524" s="22" t="s">
        <v>6</v>
      </c>
      <c r="C524" s="12">
        <v>150</v>
      </c>
      <c r="D524" s="13">
        <f t="shared" si="126"/>
        <v>150</v>
      </c>
      <c r="E524" s="14"/>
      <c r="F524" s="13">
        <f t="shared" si="127"/>
        <v>0</v>
      </c>
      <c r="G524" s="13">
        <f t="shared" si="128"/>
        <v>150</v>
      </c>
      <c r="H524" s="11">
        <v>45646</v>
      </c>
    </row>
    <row r="525" spans="2:8" x14ac:dyDescent="0.15">
      <c r="B525" s="22" t="s">
        <v>6</v>
      </c>
      <c r="C525" s="12">
        <v>72</v>
      </c>
      <c r="D525" s="13">
        <f t="shared" si="126"/>
        <v>72</v>
      </c>
      <c r="E525" s="14">
        <v>24</v>
      </c>
      <c r="F525" s="13">
        <f t="shared" si="127"/>
        <v>24</v>
      </c>
      <c r="G525" s="13">
        <f t="shared" si="128"/>
        <v>96</v>
      </c>
      <c r="H525" s="11">
        <v>45849</v>
      </c>
    </row>
    <row r="526" spans="2:8" x14ac:dyDescent="0.15">
      <c r="B526" s="22" t="s">
        <v>72</v>
      </c>
      <c r="C526" s="12">
        <v>0</v>
      </c>
      <c r="D526" s="13">
        <f t="shared" si="126"/>
        <v>0</v>
      </c>
      <c r="E526" s="14">
        <v>0</v>
      </c>
      <c r="F526" s="13">
        <f t="shared" si="127"/>
        <v>0</v>
      </c>
      <c r="G526" s="13">
        <f t="shared" si="128"/>
        <v>0</v>
      </c>
      <c r="H526" s="11">
        <v>46085</v>
      </c>
    </row>
    <row r="527" spans="2:8" x14ac:dyDescent="0.15">
      <c r="B527" s="22" t="s">
        <v>6</v>
      </c>
      <c r="C527" s="12"/>
      <c r="D527" s="13">
        <f t="shared" ref="D527" si="129">SUM(C527:C527)</f>
        <v>0</v>
      </c>
      <c r="E527" s="14"/>
      <c r="F527" s="13">
        <f t="shared" ref="F527" si="130">SUM(E527:E527)</f>
        <v>0</v>
      </c>
      <c r="G527" s="13">
        <f t="shared" ref="G527" si="131">D527+F527</f>
        <v>0</v>
      </c>
      <c r="H527" s="11"/>
    </row>
    <row r="528" spans="2:8" ht="14.25" thickBot="1" x14ac:dyDescent="0.2">
      <c r="B528" s="22" t="s">
        <v>6</v>
      </c>
      <c r="C528" s="17"/>
      <c r="D528" s="18">
        <f t="shared" ref="D528" si="132">SUM(C528:C528)</f>
        <v>0</v>
      </c>
      <c r="E528" s="19"/>
      <c r="F528" s="18">
        <f t="shared" ref="F528" si="133">SUM(E528:E528)</f>
        <v>0</v>
      </c>
      <c r="G528" s="18">
        <f t="shared" ref="G528" si="134">D528+F528</f>
        <v>0</v>
      </c>
    </row>
    <row r="529" spans="2:9" ht="14.25" thickBot="1" x14ac:dyDescent="0.2">
      <c r="B529" s="23" t="s">
        <v>3</v>
      </c>
      <c r="C529" s="53">
        <f t="shared" ref="C529:G529" si="135">SUM(C520:C528)</f>
        <v>464</v>
      </c>
      <c r="D529" s="54">
        <f t="shared" si="135"/>
        <v>464</v>
      </c>
      <c r="E529" s="53">
        <f t="shared" si="135"/>
        <v>97</v>
      </c>
      <c r="F529" s="54">
        <f t="shared" si="135"/>
        <v>97</v>
      </c>
      <c r="G529" s="54">
        <f t="shared" si="135"/>
        <v>561</v>
      </c>
      <c r="H529" s="46"/>
    </row>
    <row r="530" spans="2:9" x14ac:dyDescent="0.15">
      <c r="B530" s="37" t="s">
        <v>76</v>
      </c>
      <c r="C530" s="15">
        <v>38</v>
      </c>
      <c r="D530" s="13">
        <f t="shared" ref="D530:D553" si="136">SUM(C530:C530)</f>
        <v>38</v>
      </c>
      <c r="E530" s="16"/>
      <c r="F530" s="13">
        <f t="shared" ref="F530:F553" si="137">SUM(E530:E530)</f>
        <v>0</v>
      </c>
      <c r="G530" s="13">
        <f t="shared" ref="G530:G553" si="138">D530+F530</f>
        <v>38</v>
      </c>
      <c r="H530" s="11">
        <v>45616</v>
      </c>
    </row>
    <row r="531" spans="2:9" x14ac:dyDescent="0.15">
      <c r="B531" s="37" t="s">
        <v>76</v>
      </c>
      <c r="C531" s="15">
        <v>38</v>
      </c>
      <c r="D531" s="13">
        <f t="shared" si="136"/>
        <v>38</v>
      </c>
      <c r="E531" s="16"/>
      <c r="F531" s="13">
        <f t="shared" si="137"/>
        <v>0</v>
      </c>
      <c r="G531" s="13">
        <f t="shared" si="138"/>
        <v>38</v>
      </c>
      <c r="H531" s="11">
        <v>45618</v>
      </c>
    </row>
    <row r="532" spans="2:9" x14ac:dyDescent="0.15">
      <c r="B532" s="37" t="s">
        <v>27</v>
      </c>
      <c r="C532" s="15">
        <v>80</v>
      </c>
      <c r="D532" s="13">
        <f t="shared" si="136"/>
        <v>80</v>
      </c>
      <c r="E532" s="16"/>
      <c r="F532" s="13">
        <f t="shared" si="137"/>
        <v>0</v>
      </c>
      <c r="G532" s="13">
        <f t="shared" si="138"/>
        <v>80</v>
      </c>
      <c r="H532" s="11">
        <v>45633</v>
      </c>
    </row>
    <row r="533" spans="2:9" x14ac:dyDescent="0.15">
      <c r="B533" s="37" t="s">
        <v>27</v>
      </c>
      <c r="C533" s="15">
        <v>40</v>
      </c>
      <c r="D533" s="13">
        <f t="shared" si="136"/>
        <v>40</v>
      </c>
      <c r="E533" s="16"/>
      <c r="F533" s="13">
        <f t="shared" si="137"/>
        <v>0</v>
      </c>
      <c r="G533" s="13">
        <f t="shared" si="138"/>
        <v>40</v>
      </c>
      <c r="H533" s="11">
        <v>45635</v>
      </c>
    </row>
    <row r="534" spans="2:9" x14ac:dyDescent="0.15">
      <c r="B534" s="37" t="s">
        <v>27</v>
      </c>
      <c r="C534" s="15">
        <v>40</v>
      </c>
      <c r="D534" s="13">
        <f t="shared" si="136"/>
        <v>40</v>
      </c>
      <c r="E534" s="16"/>
      <c r="F534" s="13">
        <f t="shared" si="137"/>
        <v>0</v>
      </c>
      <c r="G534" s="13">
        <f t="shared" si="138"/>
        <v>40</v>
      </c>
      <c r="H534" s="47">
        <v>45639</v>
      </c>
    </row>
    <row r="535" spans="2:9" x14ac:dyDescent="0.15">
      <c r="B535" s="37" t="s">
        <v>27</v>
      </c>
      <c r="C535" s="15"/>
      <c r="D535" s="13">
        <f t="shared" si="136"/>
        <v>0</v>
      </c>
      <c r="E535" s="16">
        <v>19</v>
      </c>
      <c r="F535" s="13">
        <f t="shared" si="137"/>
        <v>19</v>
      </c>
      <c r="G535" s="13">
        <f t="shared" si="138"/>
        <v>19</v>
      </c>
      <c r="H535" s="11">
        <v>45645</v>
      </c>
    </row>
    <row r="536" spans="2:9" x14ac:dyDescent="0.15">
      <c r="B536" s="37" t="s">
        <v>27</v>
      </c>
      <c r="C536" s="15"/>
      <c r="D536" s="13">
        <f t="shared" si="136"/>
        <v>0</v>
      </c>
      <c r="E536" s="16">
        <v>19</v>
      </c>
      <c r="F536" s="13">
        <f t="shared" si="137"/>
        <v>19</v>
      </c>
      <c r="G536" s="13">
        <f t="shared" si="138"/>
        <v>19</v>
      </c>
      <c r="H536" s="11">
        <v>45646</v>
      </c>
    </row>
    <row r="537" spans="2:9" x14ac:dyDescent="0.15">
      <c r="B537" s="37" t="s">
        <v>27</v>
      </c>
      <c r="C537" s="15"/>
      <c r="D537" s="13">
        <f t="shared" si="136"/>
        <v>0</v>
      </c>
      <c r="E537" s="16">
        <v>19</v>
      </c>
      <c r="F537" s="13">
        <f t="shared" si="137"/>
        <v>19</v>
      </c>
      <c r="G537" s="13">
        <f t="shared" si="138"/>
        <v>19</v>
      </c>
      <c r="H537" s="11">
        <v>45647</v>
      </c>
    </row>
    <row r="538" spans="2:9" x14ac:dyDescent="0.15">
      <c r="B538" s="37" t="s">
        <v>27</v>
      </c>
      <c r="C538" s="15"/>
      <c r="D538" s="13">
        <f t="shared" si="136"/>
        <v>0</v>
      </c>
      <c r="E538" s="16">
        <v>15</v>
      </c>
      <c r="F538" s="13">
        <f t="shared" si="137"/>
        <v>15</v>
      </c>
      <c r="G538" s="13">
        <f t="shared" si="138"/>
        <v>15</v>
      </c>
      <c r="H538" s="11">
        <v>45647</v>
      </c>
    </row>
    <row r="539" spans="2:9" x14ac:dyDescent="0.15">
      <c r="B539" s="37" t="s">
        <v>27</v>
      </c>
      <c r="C539" s="15">
        <v>40</v>
      </c>
      <c r="D539" s="13">
        <f t="shared" si="136"/>
        <v>40</v>
      </c>
      <c r="E539" s="16"/>
      <c r="F539" s="13">
        <f t="shared" si="137"/>
        <v>0</v>
      </c>
      <c r="G539" s="13">
        <f t="shared" si="138"/>
        <v>40</v>
      </c>
      <c r="H539" s="11">
        <v>45702</v>
      </c>
      <c r="I539" s="46"/>
    </row>
    <row r="540" spans="2:9" x14ac:dyDescent="0.15">
      <c r="B540" s="37" t="s">
        <v>27</v>
      </c>
      <c r="C540" s="15">
        <v>36</v>
      </c>
      <c r="D540" s="13">
        <f t="shared" si="136"/>
        <v>36</v>
      </c>
      <c r="E540" s="16"/>
      <c r="F540" s="13">
        <f t="shared" si="137"/>
        <v>0</v>
      </c>
      <c r="G540" s="13">
        <f t="shared" si="138"/>
        <v>36</v>
      </c>
      <c r="H540" s="11">
        <v>45741</v>
      </c>
    </row>
    <row r="541" spans="2:9" x14ac:dyDescent="0.15">
      <c r="B541" s="37" t="s">
        <v>27</v>
      </c>
      <c r="C541" s="15">
        <v>38</v>
      </c>
      <c r="D541" s="13">
        <f t="shared" si="136"/>
        <v>38</v>
      </c>
      <c r="E541" s="16"/>
      <c r="F541" s="13">
        <f t="shared" si="137"/>
        <v>0</v>
      </c>
      <c r="G541" s="13">
        <f t="shared" si="138"/>
        <v>38</v>
      </c>
      <c r="H541" s="11">
        <v>45793</v>
      </c>
    </row>
    <row r="542" spans="2:9" x14ac:dyDescent="0.15">
      <c r="B542" s="37" t="s">
        <v>27</v>
      </c>
      <c r="C542" s="15">
        <v>38</v>
      </c>
      <c r="D542" s="13">
        <f t="shared" si="136"/>
        <v>38</v>
      </c>
      <c r="E542" s="16"/>
      <c r="F542" s="13">
        <f t="shared" si="137"/>
        <v>0</v>
      </c>
      <c r="G542" s="13">
        <f t="shared" si="138"/>
        <v>38</v>
      </c>
      <c r="H542" s="11">
        <v>45833</v>
      </c>
    </row>
    <row r="543" spans="2:9" x14ac:dyDescent="0.15">
      <c r="B543" s="37" t="s">
        <v>27</v>
      </c>
      <c r="C543" s="15">
        <v>38</v>
      </c>
      <c r="D543" s="13">
        <f t="shared" si="136"/>
        <v>38</v>
      </c>
      <c r="E543" s="16"/>
      <c r="F543" s="13">
        <f t="shared" si="137"/>
        <v>0</v>
      </c>
      <c r="G543" s="13">
        <f t="shared" si="138"/>
        <v>38</v>
      </c>
      <c r="H543" s="11">
        <v>45851</v>
      </c>
    </row>
    <row r="544" spans="2:9" x14ac:dyDescent="0.15">
      <c r="B544" s="37" t="s">
        <v>27</v>
      </c>
      <c r="C544" s="15">
        <v>18</v>
      </c>
      <c r="D544" s="13">
        <f t="shared" si="136"/>
        <v>18</v>
      </c>
      <c r="E544" s="16"/>
      <c r="F544" s="13">
        <f t="shared" si="137"/>
        <v>0</v>
      </c>
      <c r="G544" s="13">
        <f t="shared" si="138"/>
        <v>18</v>
      </c>
      <c r="H544" s="11">
        <v>45854</v>
      </c>
    </row>
    <row r="545" spans="2:8" x14ac:dyDescent="0.15">
      <c r="B545" s="37" t="s">
        <v>27</v>
      </c>
      <c r="C545" s="15"/>
      <c r="D545" s="13">
        <f t="shared" si="136"/>
        <v>0</v>
      </c>
      <c r="E545" s="16">
        <v>11</v>
      </c>
      <c r="F545" s="13">
        <f t="shared" si="137"/>
        <v>11</v>
      </c>
      <c r="G545" s="13">
        <f t="shared" si="138"/>
        <v>11</v>
      </c>
      <c r="H545" s="11">
        <v>45855</v>
      </c>
    </row>
    <row r="546" spans="2:8" x14ac:dyDescent="0.15">
      <c r="B546" s="37" t="s">
        <v>27</v>
      </c>
      <c r="C546" s="15">
        <v>18</v>
      </c>
      <c r="D546" s="13">
        <f t="shared" si="136"/>
        <v>18</v>
      </c>
      <c r="E546" s="16">
        <v>10</v>
      </c>
      <c r="F546" s="13">
        <f t="shared" si="137"/>
        <v>10</v>
      </c>
      <c r="G546" s="13">
        <f t="shared" si="138"/>
        <v>28</v>
      </c>
      <c r="H546" s="11">
        <v>45868</v>
      </c>
    </row>
    <row r="547" spans="2:8" x14ac:dyDescent="0.15">
      <c r="B547" s="37" t="s">
        <v>15</v>
      </c>
      <c r="C547" s="15"/>
      <c r="D547" s="13">
        <f t="shared" si="136"/>
        <v>0</v>
      </c>
      <c r="E547" s="16">
        <v>1</v>
      </c>
      <c r="F547" s="13">
        <f t="shared" si="137"/>
        <v>1</v>
      </c>
      <c r="G547" s="13">
        <f t="shared" si="138"/>
        <v>1</v>
      </c>
      <c r="H547" s="47">
        <v>46092</v>
      </c>
    </row>
    <row r="548" spans="2:8" x14ac:dyDescent="0.15">
      <c r="B548" s="37" t="s">
        <v>15</v>
      </c>
      <c r="C548" s="15"/>
      <c r="D548" s="13">
        <f t="shared" si="136"/>
        <v>0</v>
      </c>
      <c r="E548" s="16">
        <v>1</v>
      </c>
      <c r="F548" s="13">
        <f t="shared" si="137"/>
        <v>1</v>
      </c>
      <c r="G548" s="13">
        <f t="shared" si="138"/>
        <v>1</v>
      </c>
      <c r="H548" s="47">
        <v>46153</v>
      </c>
    </row>
    <row r="549" spans="2:8" x14ac:dyDescent="0.15">
      <c r="B549" s="37" t="s">
        <v>15</v>
      </c>
      <c r="C549" s="15"/>
      <c r="D549" s="13">
        <f t="shared" si="136"/>
        <v>0</v>
      </c>
      <c r="E549" s="16">
        <v>1</v>
      </c>
      <c r="F549" s="13">
        <f t="shared" si="137"/>
        <v>1</v>
      </c>
      <c r="G549" s="13">
        <f t="shared" si="138"/>
        <v>1</v>
      </c>
      <c r="H549" s="47">
        <v>46157</v>
      </c>
    </row>
    <row r="550" spans="2:8" x14ac:dyDescent="0.15">
      <c r="B550" s="37" t="s">
        <v>15</v>
      </c>
      <c r="C550" s="15">
        <v>1</v>
      </c>
      <c r="D550" s="13">
        <f t="shared" si="136"/>
        <v>1</v>
      </c>
      <c r="E550" s="16"/>
      <c r="F550" s="13">
        <f t="shared" si="137"/>
        <v>0</v>
      </c>
      <c r="G550" s="13">
        <f t="shared" si="138"/>
        <v>1</v>
      </c>
      <c r="H550" s="47">
        <v>46191</v>
      </c>
    </row>
    <row r="551" spans="2:8" x14ac:dyDescent="0.15">
      <c r="B551" s="37"/>
      <c r="C551" s="15"/>
      <c r="D551" s="13">
        <f t="shared" si="136"/>
        <v>0</v>
      </c>
      <c r="E551" s="16"/>
      <c r="F551" s="13">
        <f t="shared" si="137"/>
        <v>0</v>
      </c>
      <c r="G551" s="13">
        <f t="shared" si="138"/>
        <v>0</v>
      </c>
      <c r="H551" s="47"/>
    </row>
    <row r="552" spans="2:8" x14ac:dyDescent="0.15">
      <c r="B552" s="37"/>
      <c r="C552" s="15"/>
      <c r="D552" s="13">
        <f t="shared" si="136"/>
        <v>0</v>
      </c>
      <c r="E552" s="16"/>
      <c r="F552" s="13">
        <f t="shared" si="137"/>
        <v>0</v>
      </c>
      <c r="G552" s="13">
        <f t="shared" si="138"/>
        <v>0</v>
      </c>
      <c r="H552" s="47"/>
    </row>
    <row r="553" spans="2:8" x14ac:dyDescent="0.15">
      <c r="B553" s="37"/>
      <c r="C553" s="15"/>
      <c r="D553" s="13">
        <f t="shared" si="136"/>
        <v>0</v>
      </c>
      <c r="E553" s="16"/>
      <c r="F553" s="13">
        <f t="shared" si="137"/>
        <v>0</v>
      </c>
      <c r="G553" s="13">
        <f t="shared" si="138"/>
        <v>0</v>
      </c>
      <c r="H553" s="47"/>
    </row>
    <row r="554" spans="2:8" x14ac:dyDescent="0.15">
      <c r="B554" s="37"/>
      <c r="C554" s="15"/>
      <c r="D554" s="13">
        <f t="shared" ref="D554:D555" si="139">SUM(C554:C554)</f>
        <v>0</v>
      </c>
      <c r="E554" s="16"/>
      <c r="F554" s="13">
        <f t="shared" ref="F554:F555" si="140">SUM(E554:E554)</f>
        <v>0</v>
      </c>
      <c r="G554" s="13">
        <f t="shared" ref="G554:G556" si="141">D554+F554</f>
        <v>0</v>
      </c>
      <c r="H554" s="47"/>
    </row>
    <row r="555" spans="2:8" ht="14.25" thickBot="1" x14ac:dyDescent="0.2">
      <c r="B555" s="37"/>
      <c r="C555" s="15"/>
      <c r="D555" s="13">
        <f t="shared" si="139"/>
        <v>0</v>
      </c>
      <c r="E555" s="16"/>
      <c r="F555" s="13">
        <f t="shared" si="140"/>
        <v>0</v>
      </c>
      <c r="G555" s="13">
        <f t="shared" si="141"/>
        <v>0</v>
      </c>
    </row>
    <row r="556" spans="2:8" ht="14.25" thickBot="1" x14ac:dyDescent="0.2">
      <c r="B556" s="23" t="s">
        <v>4</v>
      </c>
      <c r="C556" s="38">
        <f t="shared" ref="C556:F556" si="142">SUM(C530:C555)</f>
        <v>463</v>
      </c>
      <c r="D556" s="35">
        <f t="shared" si="142"/>
        <v>463</v>
      </c>
      <c r="E556" s="38">
        <f t="shared" si="142"/>
        <v>96</v>
      </c>
      <c r="F556" s="35">
        <f t="shared" si="142"/>
        <v>96</v>
      </c>
      <c r="G556" s="35">
        <f t="shared" si="141"/>
        <v>559</v>
      </c>
    </row>
    <row r="557" spans="2:8" ht="14.25" thickBot="1" x14ac:dyDescent="0.2">
      <c r="B557" s="27" t="s">
        <v>5</v>
      </c>
      <c r="C557" s="39">
        <f t="shared" ref="C557:G557" si="143">C529-C556</f>
        <v>1</v>
      </c>
      <c r="D557" s="40">
        <f t="shared" si="143"/>
        <v>1</v>
      </c>
      <c r="E557" s="39">
        <f t="shared" si="143"/>
        <v>1</v>
      </c>
      <c r="F557" s="40">
        <f t="shared" si="143"/>
        <v>1</v>
      </c>
      <c r="G557" s="36">
        <f t="shared" si="143"/>
        <v>2</v>
      </c>
    </row>
  </sheetData>
  <mergeCells count="39">
    <mergeCell ref="C518:D518"/>
    <mergeCell ref="E518:F518"/>
    <mergeCell ref="G518:G519"/>
    <mergeCell ref="C131:D131"/>
    <mergeCell ref="E131:F131"/>
    <mergeCell ref="G131:G132"/>
    <mergeCell ref="C303:D303"/>
    <mergeCell ref="E303:F303"/>
    <mergeCell ref="G303:G304"/>
    <mergeCell ref="C174:D174"/>
    <mergeCell ref="E174:F174"/>
    <mergeCell ref="G174:G175"/>
    <mergeCell ref="C260:D260"/>
    <mergeCell ref="E260:F260"/>
    <mergeCell ref="G260:G261"/>
    <mergeCell ref="C217:D217"/>
    <mergeCell ref="C88:D88"/>
    <mergeCell ref="E88:F88"/>
    <mergeCell ref="G88:G89"/>
    <mergeCell ref="C2:D2"/>
    <mergeCell ref="E2:F2"/>
    <mergeCell ref="G2:G3"/>
    <mergeCell ref="C45:D45"/>
    <mergeCell ref="E45:F45"/>
    <mergeCell ref="G45:G46"/>
    <mergeCell ref="E217:F217"/>
    <mergeCell ref="G217:G218"/>
    <mergeCell ref="C346:D346"/>
    <mergeCell ref="E346:F346"/>
    <mergeCell ref="G346:G347"/>
    <mergeCell ref="C389:D389"/>
    <mergeCell ref="E389:F389"/>
    <mergeCell ref="G389:G390"/>
    <mergeCell ref="C475:D475"/>
    <mergeCell ref="E475:F475"/>
    <mergeCell ref="G475:G476"/>
    <mergeCell ref="C432:D432"/>
    <mergeCell ref="E432:F432"/>
    <mergeCell ref="G432:G433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ソープ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2026-06-18T05:15:15Z</dcterms:modified>
</cp:coreProperties>
</file>