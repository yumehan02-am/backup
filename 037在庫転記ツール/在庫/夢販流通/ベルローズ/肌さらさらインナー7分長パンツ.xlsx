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ベルローズ\"/>
    </mc:Choice>
  </mc:AlternateContent>
  <xr:revisionPtr revIDLastSave="0" documentId="13_ncr:1_{67A1A59B-A667-462D-933C-C037ABE028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7分長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82" i="1" l="1"/>
  <c r="Q82" i="1"/>
  <c r="S82" i="1" s="1"/>
  <c r="P82" i="1"/>
  <c r="N82" i="1"/>
  <c r="M82" i="1"/>
  <c r="L82" i="1"/>
  <c r="Y52" i="1"/>
  <c r="AC52" i="1"/>
  <c r="Y61" i="1"/>
  <c r="AC61" i="1"/>
  <c r="Y102" i="1"/>
  <c r="AC102" i="1"/>
  <c r="Y103" i="1"/>
  <c r="AC103" i="1"/>
  <c r="Y104" i="1"/>
  <c r="AC104" i="1"/>
  <c r="Y94" i="1"/>
  <c r="AC94" i="1"/>
  <c r="Y95" i="1"/>
  <c r="AC95" i="1"/>
  <c r="Y92" i="1"/>
  <c r="AC92" i="1"/>
  <c r="AB126" i="1"/>
  <c r="AA126" i="1"/>
  <c r="Z126" i="1"/>
  <c r="X126" i="1"/>
  <c r="W126" i="1"/>
  <c r="V126" i="1"/>
  <c r="Y126" i="1" s="1"/>
  <c r="AC125" i="1"/>
  <c r="Y125" i="1"/>
  <c r="AC124" i="1"/>
  <c r="Y124" i="1"/>
  <c r="AC123" i="1"/>
  <c r="Y123" i="1"/>
  <c r="AC122" i="1"/>
  <c r="Y122" i="1"/>
  <c r="AC121" i="1"/>
  <c r="Y121" i="1"/>
  <c r="AC120" i="1"/>
  <c r="Y120" i="1"/>
  <c r="AC119" i="1"/>
  <c r="Y119" i="1"/>
  <c r="AC118" i="1"/>
  <c r="Y118" i="1"/>
  <c r="AC117" i="1"/>
  <c r="Y117" i="1"/>
  <c r="AC116" i="1"/>
  <c r="Y116" i="1"/>
  <c r="AC115" i="1"/>
  <c r="Y115" i="1"/>
  <c r="AC114" i="1"/>
  <c r="Y114" i="1"/>
  <c r="AC113" i="1"/>
  <c r="Y113" i="1"/>
  <c r="AC112" i="1"/>
  <c r="Y112" i="1"/>
  <c r="AC111" i="1"/>
  <c r="Y111" i="1"/>
  <c r="AC110" i="1"/>
  <c r="Y110" i="1"/>
  <c r="AC109" i="1"/>
  <c r="Y109" i="1"/>
  <c r="AC108" i="1"/>
  <c r="Y108" i="1"/>
  <c r="AC107" i="1"/>
  <c r="Y107" i="1"/>
  <c r="AC106" i="1"/>
  <c r="Y106" i="1"/>
  <c r="AC105" i="1"/>
  <c r="Y105" i="1"/>
  <c r="AC100" i="1"/>
  <c r="Y100" i="1"/>
  <c r="AC99" i="1"/>
  <c r="Y99" i="1"/>
  <c r="AC98" i="1"/>
  <c r="Y98" i="1"/>
  <c r="AC97" i="1"/>
  <c r="Y97" i="1"/>
  <c r="AC96" i="1"/>
  <c r="Y96" i="1"/>
  <c r="AC93" i="1"/>
  <c r="Y93" i="1"/>
  <c r="AC91" i="1"/>
  <c r="Y91" i="1"/>
  <c r="H126" i="1"/>
  <c r="G126" i="1"/>
  <c r="F126" i="1"/>
  <c r="I126" i="1" s="1"/>
  <c r="D126" i="1"/>
  <c r="C126" i="1"/>
  <c r="B126" i="1"/>
  <c r="E126" i="1" s="1"/>
  <c r="I125" i="1"/>
  <c r="E125" i="1"/>
  <c r="I124" i="1"/>
  <c r="E124" i="1"/>
  <c r="I123" i="1"/>
  <c r="E123" i="1"/>
  <c r="I122" i="1"/>
  <c r="E122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2" i="1"/>
  <c r="E112" i="1"/>
  <c r="I111" i="1"/>
  <c r="E111" i="1"/>
  <c r="I110" i="1"/>
  <c r="E110" i="1"/>
  <c r="I109" i="1"/>
  <c r="E109" i="1"/>
  <c r="I108" i="1"/>
  <c r="E108" i="1"/>
  <c r="I107" i="1"/>
  <c r="E107" i="1"/>
  <c r="I106" i="1"/>
  <c r="E106" i="1"/>
  <c r="I105" i="1"/>
  <c r="E105" i="1"/>
  <c r="I104" i="1"/>
  <c r="E104" i="1"/>
  <c r="I103" i="1"/>
  <c r="E103" i="1"/>
  <c r="I102" i="1"/>
  <c r="E102" i="1"/>
  <c r="I100" i="1"/>
  <c r="E100" i="1"/>
  <c r="I99" i="1"/>
  <c r="E99" i="1"/>
  <c r="I98" i="1"/>
  <c r="E98" i="1"/>
  <c r="I97" i="1"/>
  <c r="E97" i="1"/>
  <c r="I96" i="1"/>
  <c r="E96" i="1"/>
  <c r="I95" i="1"/>
  <c r="E95" i="1"/>
  <c r="I94" i="1"/>
  <c r="E94" i="1"/>
  <c r="I93" i="1"/>
  <c r="E93" i="1"/>
  <c r="I92" i="1"/>
  <c r="E92" i="1"/>
  <c r="I91" i="1"/>
  <c r="E91" i="1"/>
  <c r="H90" i="1"/>
  <c r="H101" i="1" s="1"/>
  <c r="H127" i="1" s="1"/>
  <c r="G90" i="1"/>
  <c r="G101" i="1" s="1"/>
  <c r="G127" i="1" s="1"/>
  <c r="F90" i="1"/>
  <c r="I90" i="1" s="1"/>
  <c r="D90" i="1"/>
  <c r="D101" i="1" s="1"/>
  <c r="D127" i="1" s="1"/>
  <c r="C90" i="1"/>
  <c r="C101" i="1" s="1"/>
  <c r="C127" i="1" s="1"/>
  <c r="B90" i="1"/>
  <c r="E90" i="1" s="1"/>
  <c r="O79" i="1"/>
  <c r="S79" i="1"/>
  <c r="O80" i="1"/>
  <c r="S80" i="1"/>
  <c r="O82" i="1"/>
  <c r="S81" i="1"/>
  <c r="O81" i="1"/>
  <c r="O122" i="1"/>
  <c r="S122" i="1"/>
  <c r="O123" i="1"/>
  <c r="S123" i="1"/>
  <c r="O94" i="1"/>
  <c r="S94" i="1"/>
  <c r="R126" i="1"/>
  <c r="Q126" i="1"/>
  <c r="P126" i="1"/>
  <c r="N126" i="1"/>
  <c r="M126" i="1"/>
  <c r="L126" i="1"/>
  <c r="S125" i="1"/>
  <c r="O125" i="1"/>
  <c r="S124" i="1"/>
  <c r="O124" i="1"/>
  <c r="S121" i="1"/>
  <c r="O121" i="1"/>
  <c r="S120" i="1"/>
  <c r="O120" i="1"/>
  <c r="S119" i="1"/>
  <c r="O119" i="1"/>
  <c r="S118" i="1"/>
  <c r="O118" i="1"/>
  <c r="S117" i="1"/>
  <c r="O117" i="1"/>
  <c r="S116" i="1"/>
  <c r="O116" i="1"/>
  <c r="S115" i="1"/>
  <c r="O115" i="1"/>
  <c r="S114" i="1"/>
  <c r="O114" i="1"/>
  <c r="S113" i="1"/>
  <c r="O113" i="1"/>
  <c r="S112" i="1"/>
  <c r="O112" i="1"/>
  <c r="S111" i="1"/>
  <c r="O111" i="1"/>
  <c r="S110" i="1"/>
  <c r="O110" i="1"/>
  <c r="S109" i="1"/>
  <c r="O109" i="1"/>
  <c r="S108" i="1"/>
  <c r="O108" i="1"/>
  <c r="S107" i="1"/>
  <c r="O107" i="1"/>
  <c r="S106" i="1"/>
  <c r="O106" i="1"/>
  <c r="S105" i="1"/>
  <c r="O105" i="1"/>
  <c r="S104" i="1"/>
  <c r="O104" i="1"/>
  <c r="S103" i="1"/>
  <c r="O103" i="1"/>
  <c r="S102" i="1"/>
  <c r="O102" i="1"/>
  <c r="S100" i="1"/>
  <c r="O100" i="1"/>
  <c r="S99" i="1"/>
  <c r="O99" i="1"/>
  <c r="S98" i="1"/>
  <c r="O98" i="1"/>
  <c r="S97" i="1"/>
  <c r="O97" i="1"/>
  <c r="S96" i="1"/>
  <c r="O96" i="1"/>
  <c r="S95" i="1"/>
  <c r="O95" i="1"/>
  <c r="S93" i="1"/>
  <c r="O93" i="1"/>
  <c r="S92" i="1"/>
  <c r="O92" i="1"/>
  <c r="S91" i="1"/>
  <c r="O91" i="1"/>
  <c r="R39" i="1"/>
  <c r="Q39" i="1"/>
  <c r="P39" i="1"/>
  <c r="M39" i="1"/>
  <c r="L39" i="1"/>
  <c r="S39" i="1"/>
  <c r="N39" i="1"/>
  <c r="AC17" i="1"/>
  <c r="Y17" i="1"/>
  <c r="AC16" i="1"/>
  <c r="Y16" i="1"/>
  <c r="O78" i="1"/>
  <c r="S78" i="1"/>
  <c r="S37" i="1"/>
  <c r="O37" i="1"/>
  <c r="O77" i="1"/>
  <c r="S77" i="1"/>
  <c r="O52" i="1"/>
  <c r="S52" i="1"/>
  <c r="S51" i="1"/>
  <c r="O51" i="1"/>
  <c r="O56" i="1"/>
  <c r="S56" i="1"/>
  <c r="O35" i="1"/>
  <c r="S35" i="1"/>
  <c r="O36" i="1"/>
  <c r="S36" i="1"/>
  <c r="O39" i="1"/>
  <c r="S38" i="1"/>
  <c r="O38" i="1"/>
  <c r="G47" i="1"/>
  <c r="G58" i="1" s="1"/>
  <c r="G84" i="1" s="1"/>
  <c r="H47" i="1"/>
  <c r="H58" i="1" s="1"/>
  <c r="H84" i="1" s="1"/>
  <c r="F47" i="1"/>
  <c r="C47" i="1"/>
  <c r="D47" i="1"/>
  <c r="AB83" i="1"/>
  <c r="AA83" i="1"/>
  <c r="Z83" i="1"/>
  <c r="X83" i="1"/>
  <c r="W83" i="1"/>
  <c r="V83" i="1"/>
  <c r="R83" i="1"/>
  <c r="P83" i="1"/>
  <c r="N83" i="1"/>
  <c r="M83" i="1"/>
  <c r="L83" i="1"/>
  <c r="H83" i="1"/>
  <c r="G83" i="1"/>
  <c r="F83" i="1"/>
  <c r="I83" i="1" s="1"/>
  <c r="D83" i="1"/>
  <c r="C83" i="1"/>
  <c r="B83" i="1"/>
  <c r="E83" i="1" s="1"/>
  <c r="AC82" i="1"/>
  <c r="Y82" i="1"/>
  <c r="I82" i="1"/>
  <c r="E82" i="1"/>
  <c r="AC81" i="1"/>
  <c r="Y81" i="1"/>
  <c r="I81" i="1"/>
  <c r="E81" i="1"/>
  <c r="AC80" i="1"/>
  <c r="Y80" i="1"/>
  <c r="I80" i="1"/>
  <c r="E80" i="1"/>
  <c r="AC79" i="1"/>
  <c r="Y79" i="1"/>
  <c r="I79" i="1"/>
  <c r="E79" i="1"/>
  <c r="AC78" i="1"/>
  <c r="Y78" i="1"/>
  <c r="I78" i="1"/>
  <c r="E78" i="1"/>
  <c r="AC77" i="1"/>
  <c r="Y77" i="1"/>
  <c r="I77" i="1"/>
  <c r="E77" i="1"/>
  <c r="AC76" i="1"/>
  <c r="Y76" i="1"/>
  <c r="S76" i="1"/>
  <c r="O76" i="1"/>
  <c r="I76" i="1"/>
  <c r="E76" i="1"/>
  <c r="AC75" i="1"/>
  <c r="Y75" i="1"/>
  <c r="S75" i="1"/>
  <c r="O75" i="1"/>
  <c r="I75" i="1"/>
  <c r="E75" i="1"/>
  <c r="AC74" i="1"/>
  <c r="Y74" i="1"/>
  <c r="S74" i="1"/>
  <c r="O74" i="1"/>
  <c r="I74" i="1"/>
  <c r="E74" i="1"/>
  <c r="AC73" i="1"/>
  <c r="Y73" i="1"/>
  <c r="S73" i="1"/>
  <c r="O73" i="1"/>
  <c r="I73" i="1"/>
  <c r="E73" i="1"/>
  <c r="AC72" i="1"/>
  <c r="Y72" i="1"/>
  <c r="S72" i="1"/>
  <c r="O72" i="1"/>
  <c r="I72" i="1"/>
  <c r="E72" i="1"/>
  <c r="AC71" i="1"/>
  <c r="Y71" i="1"/>
  <c r="S71" i="1"/>
  <c r="O71" i="1"/>
  <c r="I71" i="1"/>
  <c r="E71" i="1"/>
  <c r="AC70" i="1"/>
  <c r="Y70" i="1"/>
  <c r="S70" i="1"/>
  <c r="O70" i="1"/>
  <c r="I70" i="1"/>
  <c r="E70" i="1"/>
  <c r="AC69" i="1"/>
  <c r="Y69" i="1"/>
  <c r="S69" i="1"/>
  <c r="O69" i="1"/>
  <c r="I69" i="1"/>
  <c r="E69" i="1"/>
  <c r="AC68" i="1"/>
  <c r="Y68" i="1"/>
  <c r="S68" i="1"/>
  <c r="O68" i="1"/>
  <c r="I68" i="1"/>
  <c r="E68" i="1"/>
  <c r="AC67" i="1"/>
  <c r="Y67" i="1"/>
  <c r="S67" i="1"/>
  <c r="O67" i="1"/>
  <c r="I67" i="1"/>
  <c r="E67" i="1"/>
  <c r="AC66" i="1"/>
  <c r="Y66" i="1"/>
  <c r="S66" i="1"/>
  <c r="O66" i="1"/>
  <c r="I66" i="1"/>
  <c r="E66" i="1"/>
  <c r="AC65" i="1"/>
  <c r="Y65" i="1"/>
  <c r="S65" i="1"/>
  <c r="O65" i="1"/>
  <c r="I65" i="1"/>
  <c r="E65" i="1"/>
  <c r="AC64" i="1"/>
  <c r="Y64" i="1"/>
  <c r="S64" i="1"/>
  <c r="O64" i="1"/>
  <c r="I64" i="1"/>
  <c r="E64" i="1"/>
  <c r="AC63" i="1"/>
  <c r="Y63" i="1"/>
  <c r="S63" i="1"/>
  <c r="O63" i="1"/>
  <c r="I63" i="1"/>
  <c r="E63" i="1"/>
  <c r="AC62" i="1"/>
  <c r="Y62" i="1"/>
  <c r="S62" i="1"/>
  <c r="O62" i="1"/>
  <c r="I62" i="1"/>
  <c r="E62" i="1"/>
  <c r="S61" i="1"/>
  <c r="O61" i="1"/>
  <c r="I61" i="1"/>
  <c r="E61" i="1"/>
  <c r="AC60" i="1"/>
  <c r="Y60" i="1"/>
  <c r="S60" i="1"/>
  <c r="O60" i="1"/>
  <c r="I60" i="1"/>
  <c r="E60" i="1"/>
  <c r="AC59" i="1"/>
  <c r="Y59" i="1"/>
  <c r="S59" i="1"/>
  <c r="O59" i="1"/>
  <c r="I59" i="1"/>
  <c r="E59" i="1"/>
  <c r="F58" i="1"/>
  <c r="C58" i="1"/>
  <c r="C84" i="1" s="1"/>
  <c r="AC57" i="1"/>
  <c r="Y57" i="1"/>
  <c r="S57" i="1"/>
  <c r="O57" i="1"/>
  <c r="I57" i="1"/>
  <c r="E57" i="1"/>
  <c r="AC56" i="1"/>
  <c r="Y56" i="1"/>
  <c r="I56" i="1"/>
  <c r="E56" i="1"/>
  <c r="AC55" i="1"/>
  <c r="Y55" i="1"/>
  <c r="S55" i="1"/>
  <c r="O55" i="1"/>
  <c r="I55" i="1"/>
  <c r="E55" i="1"/>
  <c r="AC54" i="1"/>
  <c r="Y54" i="1"/>
  <c r="S54" i="1"/>
  <c r="O54" i="1"/>
  <c r="I54" i="1"/>
  <c r="E54" i="1"/>
  <c r="AC53" i="1"/>
  <c r="Y53" i="1"/>
  <c r="S53" i="1"/>
  <c r="O53" i="1"/>
  <c r="I53" i="1"/>
  <c r="E53" i="1"/>
  <c r="I52" i="1"/>
  <c r="E52" i="1"/>
  <c r="AC51" i="1"/>
  <c r="Y51" i="1"/>
  <c r="I51" i="1"/>
  <c r="E51" i="1"/>
  <c r="AC50" i="1"/>
  <c r="Y50" i="1"/>
  <c r="S50" i="1"/>
  <c r="O50" i="1"/>
  <c r="I50" i="1"/>
  <c r="E50" i="1"/>
  <c r="AC49" i="1"/>
  <c r="Y49" i="1"/>
  <c r="S49" i="1"/>
  <c r="O49" i="1"/>
  <c r="I49" i="1"/>
  <c r="E49" i="1"/>
  <c r="AC48" i="1"/>
  <c r="Y48" i="1"/>
  <c r="S48" i="1"/>
  <c r="O48" i="1"/>
  <c r="I48" i="1"/>
  <c r="E48" i="1"/>
  <c r="I47" i="1"/>
  <c r="AB15" i="1"/>
  <c r="AA15" i="1"/>
  <c r="Z15" i="1"/>
  <c r="X15" i="1"/>
  <c r="W15" i="1"/>
  <c r="V15" i="1"/>
  <c r="S4" i="1"/>
  <c r="O4" i="1"/>
  <c r="E4" i="1"/>
  <c r="I4" i="1"/>
  <c r="E5" i="1"/>
  <c r="I5" i="1"/>
  <c r="E6" i="1"/>
  <c r="I6" i="1"/>
  <c r="E7" i="1"/>
  <c r="I7" i="1"/>
  <c r="O6" i="1"/>
  <c r="S6" i="1"/>
  <c r="O7" i="1"/>
  <c r="S7" i="1"/>
  <c r="O8" i="1"/>
  <c r="S8" i="1"/>
  <c r="Q83" i="1" l="1"/>
  <c r="S126" i="1"/>
  <c r="AC126" i="1"/>
  <c r="B101" i="1"/>
  <c r="F101" i="1"/>
  <c r="O126" i="1"/>
  <c r="O83" i="1"/>
  <c r="AC83" i="1"/>
  <c r="Y83" i="1"/>
  <c r="AC15" i="1"/>
  <c r="Y15" i="1"/>
  <c r="S83" i="1"/>
  <c r="I58" i="1"/>
  <c r="D58" i="1"/>
  <c r="D84" i="1" s="1"/>
  <c r="I84" i="1"/>
  <c r="F84" i="1"/>
  <c r="I25" i="1"/>
  <c r="E25" i="1"/>
  <c r="E8" i="1"/>
  <c r="I8" i="1"/>
  <c r="S19" i="1"/>
  <c r="O19" i="1"/>
  <c r="S16" i="1"/>
  <c r="O16" i="1"/>
  <c r="AC18" i="1"/>
  <c r="Y18" i="1"/>
  <c r="I16" i="1"/>
  <c r="E16" i="1"/>
  <c r="I101" i="1" l="1"/>
  <c r="I127" i="1" s="1"/>
  <c r="F127" i="1"/>
  <c r="E101" i="1"/>
  <c r="E127" i="1" s="1"/>
  <c r="B127" i="1"/>
  <c r="Y6" i="1"/>
  <c r="AC6" i="1"/>
  <c r="Y7" i="1"/>
  <c r="AC7" i="1"/>
  <c r="Y37" i="1"/>
  <c r="AC37" i="1"/>
  <c r="Y38" i="1"/>
  <c r="AC38" i="1"/>
  <c r="Y39" i="1"/>
  <c r="AC39" i="1"/>
  <c r="AB40" i="1"/>
  <c r="AA40" i="1"/>
  <c r="Z40" i="1"/>
  <c r="X40" i="1"/>
  <c r="X41" i="1" s="1"/>
  <c r="X47" i="1" s="1"/>
  <c r="X58" i="1" s="1"/>
  <c r="X84" i="1" s="1"/>
  <c r="X101" i="1" s="1"/>
  <c r="X127" i="1" s="1"/>
  <c r="W40" i="1"/>
  <c r="W41" i="1" s="1"/>
  <c r="W47" i="1" s="1"/>
  <c r="W58" i="1" s="1"/>
  <c r="W84" i="1" s="1"/>
  <c r="W101" i="1" s="1"/>
  <c r="W127" i="1" s="1"/>
  <c r="V40" i="1"/>
  <c r="AC36" i="1"/>
  <c r="Y36" i="1"/>
  <c r="AC35" i="1"/>
  <c r="Y35" i="1"/>
  <c r="AC34" i="1"/>
  <c r="Y34" i="1"/>
  <c r="AC33" i="1"/>
  <c r="Y33" i="1"/>
  <c r="AC32" i="1"/>
  <c r="Y32" i="1"/>
  <c r="AC31" i="1"/>
  <c r="Y31" i="1"/>
  <c r="AC30" i="1"/>
  <c r="Y30" i="1"/>
  <c r="AC29" i="1"/>
  <c r="Y29" i="1"/>
  <c r="AC28" i="1"/>
  <c r="Y28" i="1"/>
  <c r="AC27" i="1"/>
  <c r="Y27" i="1"/>
  <c r="AC26" i="1"/>
  <c r="Y26" i="1"/>
  <c r="AC25" i="1"/>
  <c r="Y25" i="1"/>
  <c r="AC24" i="1"/>
  <c r="Y24" i="1"/>
  <c r="AC23" i="1"/>
  <c r="Y23" i="1"/>
  <c r="AC22" i="1"/>
  <c r="Y22" i="1"/>
  <c r="AC21" i="1"/>
  <c r="Y21" i="1"/>
  <c r="AC20" i="1"/>
  <c r="Y20" i="1"/>
  <c r="AC19" i="1"/>
  <c r="Y19" i="1"/>
  <c r="AC14" i="1"/>
  <c r="Y14" i="1"/>
  <c r="AC13" i="1"/>
  <c r="Y13" i="1"/>
  <c r="AC12" i="1"/>
  <c r="Y12" i="1"/>
  <c r="AC11" i="1"/>
  <c r="Y11" i="1"/>
  <c r="AC10" i="1"/>
  <c r="Y10" i="1"/>
  <c r="AC9" i="1"/>
  <c r="Y9" i="1"/>
  <c r="AC8" i="1"/>
  <c r="Y8" i="1"/>
  <c r="AC5" i="1"/>
  <c r="Y5" i="1"/>
  <c r="AC4" i="1"/>
  <c r="Y4" i="1"/>
  <c r="O9" i="1"/>
  <c r="S9" i="1"/>
  <c r="O11" i="1"/>
  <c r="S11" i="1"/>
  <c r="O10" i="1"/>
  <c r="S10" i="1"/>
  <c r="O34" i="1"/>
  <c r="S34" i="1"/>
  <c r="E38" i="1"/>
  <c r="I38" i="1"/>
  <c r="E39" i="1"/>
  <c r="I39" i="1"/>
  <c r="O5" i="1"/>
  <c r="S5" i="1"/>
  <c r="AA41" i="1" l="1"/>
  <c r="AA47" i="1" s="1"/>
  <c r="AA58" i="1" s="1"/>
  <c r="AA84" i="1" s="1"/>
  <c r="AA101" i="1" s="1"/>
  <c r="AA127" i="1" s="1"/>
  <c r="AB41" i="1"/>
  <c r="AB47" i="1" s="1"/>
  <c r="AB58" i="1" s="1"/>
  <c r="AB84" i="1" s="1"/>
  <c r="AB101" i="1" s="1"/>
  <c r="AB127" i="1" s="1"/>
  <c r="Y40" i="1"/>
  <c r="Y41" i="1" s="1"/>
  <c r="AC40" i="1"/>
  <c r="AC41" i="1" s="1"/>
  <c r="V41" i="1"/>
  <c r="V47" i="1" s="1"/>
  <c r="Z41" i="1"/>
  <c r="Z47" i="1" s="1"/>
  <c r="I26" i="1"/>
  <c r="S33" i="1"/>
  <c r="O33" i="1"/>
  <c r="S32" i="1"/>
  <c r="O32" i="1"/>
  <c r="Q40" i="1"/>
  <c r="R40" i="1"/>
  <c r="P40" i="1"/>
  <c r="N40" i="1"/>
  <c r="M40" i="1"/>
  <c r="L40" i="1"/>
  <c r="S31" i="1"/>
  <c r="O31" i="1"/>
  <c r="S30" i="1"/>
  <c r="O30" i="1"/>
  <c r="S29" i="1"/>
  <c r="O29" i="1"/>
  <c r="S28" i="1"/>
  <c r="O28" i="1"/>
  <c r="S27" i="1"/>
  <c r="O27" i="1"/>
  <c r="S26" i="1"/>
  <c r="O26" i="1"/>
  <c r="S25" i="1"/>
  <c r="O25" i="1"/>
  <c r="S24" i="1"/>
  <c r="O24" i="1"/>
  <c r="S23" i="1"/>
  <c r="O23" i="1"/>
  <c r="S22" i="1"/>
  <c r="O22" i="1"/>
  <c r="S21" i="1"/>
  <c r="O21" i="1"/>
  <c r="S20" i="1"/>
  <c r="O20" i="1"/>
  <c r="S18" i="1"/>
  <c r="O18" i="1"/>
  <c r="S17" i="1"/>
  <c r="O17" i="1"/>
  <c r="R15" i="1"/>
  <c r="Q15" i="1"/>
  <c r="P15" i="1"/>
  <c r="N15" i="1"/>
  <c r="M15" i="1"/>
  <c r="L15" i="1"/>
  <c r="S14" i="1"/>
  <c r="O14" i="1"/>
  <c r="S13" i="1"/>
  <c r="O13" i="1"/>
  <c r="S12" i="1"/>
  <c r="O12" i="1"/>
  <c r="H40" i="1"/>
  <c r="G40" i="1"/>
  <c r="F40" i="1"/>
  <c r="I37" i="1"/>
  <c r="I36" i="1"/>
  <c r="I35" i="1"/>
  <c r="I34" i="1"/>
  <c r="I33" i="1"/>
  <c r="I32" i="1"/>
  <c r="I31" i="1"/>
  <c r="I30" i="1"/>
  <c r="I29" i="1"/>
  <c r="I28" i="1"/>
  <c r="I27" i="1"/>
  <c r="I24" i="1"/>
  <c r="I23" i="1"/>
  <c r="I22" i="1"/>
  <c r="I21" i="1"/>
  <c r="I20" i="1"/>
  <c r="I19" i="1"/>
  <c r="I18" i="1"/>
  <c r="I17" i="1"/>
  <c r="H15" i="1"/>
  <c r="G15" i="1"/>
  <c r="F15" i="1"/>
  <c r="I14" i="1"/>
  <c r="I13" i="1"/>
  <c r="I12" i="1"/>
  <c r="I11" i="1"/>
  <c r="I10" i="1"/>
  <c r="I9" i="1"/>
  <c r="E27" i="1"/>
  <c r="E28" i="1"/>
  <c r="E29" i="1"/>
  <c r="E30" i="1"/>
  <c r="E31" i="1"/>
  <c r="E32" i="1"/>
  <c r="E33" i="1"/>
  <c r="E34" i="1"/>
  <c r="E35" i="1"/>
  <c r="E36" i="1"/>
  <c r="E37" i="1"/>
  <c r="E18" i="1"/>
  <c r="E19" i="1"/>
  <c r="E20" i="1"/>
  <c r="E17" i="1"/>
  <c r="B40" i="1"/>
  <c r="C40" i="1"/>
  <c r="D40" i="1"/>
  <c r="E21" i="1"/>
  <c r="E22" i="1"/>
  <c r="E23" i="1"/>
  <c r="E24" i="1"/>
  <c r="E26" i="1"/>
  <c r="B15" i="1"/>
  <c r="C15" i="1"/>
  <c r="D15" i="1"/>
  <c r="E9" i="1"/>
  <c r="E10" i="1"/>
  <c r="E11" i="1"/>
  <c r="E12" i="1"/>
  <c r="E13" i="1"/>
  <c r="E14" i="1"/>
  <c r="AC47" i="1" l="1"/>
  <c r="Z58" i="1"/>
  <c r="Y47" i="1"/>
  <c r="V58" i="1"/>
  <c r="S40" i="1"/>
  <c r="Q41" i="1"/>
  <c r="Q47" i="1" s="1"/>
  <c r="Q58" i="1" s="1"/>
  <c r="Q84" i="1" s="1"/>
  <c r="Q90" i="1" s="1"/>
  <c r="Q101" i="1" s="1"/>
  <c r="Q127" i="1" s="1"/>
  <c r="R41" i="1"/>
  <c r="R47" i="1" s="1"/>
  <c r="R58" i="1" s="1"/>
  <c r="R84" i="1" s="1"/>
  <c r="R90" i="1" s="1"/>
  <c r="R101" i="1" s="1"/>
  <c r="R127" i="1" s="1"/>
  <c r="D41" i="1"/>
  <c r="E40" i="1"/>
  <c r="L41" i="1"/>
  <c r="L47" i="1" s="1"/>
  <c r="C41" i="1"/>
  <c r="M41" i="1"/>
  <c r="M47" i="1" s="1"/>
  <c r="M58" i="1" s="1"/>
  <c r="M84" i="1" s="1"/>
  <c r="M90" i="1" s="1"/>
  <c r="M101" i="1" s="1"/>
  <c r="M127" i="1" s="1"/>
  <c r="P41" i="1"/>
  <c r="P47" i="1" s="1"/>
  <c r="B41" i="1"/>
  <c r="B47" i="1" s="1"/>
  <c r="N41" i="1"/>
  <c r="N47" i="1" s="1"/>
  <c r="N58" i="1" s="1"/>
  <c r="N84" i="1" s="1"/>
  <c r="N90" i="1" s="1"/>
  <c r="N101" i="1" s="1"/>
  <c r="N127" i="1" s="1"/>
  <c r="H41" i="1"/>
  <c r="O15" i="1"/>
  <c r="G41" i="1"/>
  <c r="I15" i="1"/>
  <c r="F41" i="1"/>
  <c r="I40" i="1"/>
  <c r="O40" i="1"/>
  <c r="E15" i="1"/>
  <c r="S15" i="1"/>
  <c r="AC58" i="1" l="1"/>
  <c r="AC84" i="1" s="1"/>
  <c r="Z84" i="1"/>
  <c r="P58" i="1"/>
  <c r="S47" i="1"/>
  <c r="O47" i="1"/>
  <c r="L58" i="1"/>
  <c r="Y58" i="1"/>
  <c r="Y84" i="1" s="1"/>
  <c r="V84" i="1"/>
  <c r="B58" i="1"/>
  <c r="E47" i="1"/>
  <c r="S41" i="1"/>
  <c r="E41" i="1"/>
  <c r="I41" i="1"/>
  <c r="O41" i="1"/>
  <c r="Y90" i="1" l="1"/>
  <c r="V101" i="1"/>
  <c r="AC90" i="1"/>
  <c r="Z101" i="1"/>
  <c r="P84" i="1"/>
  <c r="P90" i="1" s="1"/>
  <c r="S58" i="1"/>
  <c r="S84" i="1" s="1"/>
  <c r="O58" i="1"/>
  <c r="O84" i="1" s="1"/>
  <c r="L84" i="1"/>
  <c r="L90" i="1" s="1"/>
  <c r="E58" i="1"/>
  <c r="E84" i="1" s="1"/>
  <c r="B84" i="1"/>
  <c r="AC101" i="1" l="1"/>
  <c r="AC127" i="1" s="1"/>
  <c r="Z127" i="1"/>
  <c r="Y101" i="1"/>
  <c r="Y127" i="1" s="1"/>
  <c r="V127" i="1"/>
  <c r="O90" i="1"/>
  <c r="L101" i="1"/>
  <c r="S90" i="1"/>
  <c r="P101" i="1"/>
  <c r="P127" i="1" l="1"/>
  <c r="S101" i="1"/>
  <c r="S127" i="1" s="1"/>
  <c r="O101" i="1"/>
  <c r="O127" i="1" s="1"/>
  <c r="L127" i="1"/>
</calcChain>
</file>

<file path=xl/sharedStrings.xml><?xml version="1.0" encoding="utf-8"?>
<sst xmlns="http://schemas.openxmlformats.org/spreadsheetml/2006/main" count="284" uniqueCount="50">
  <si>
    <t>カラー</t>
  </si>
  <si>
    <t>サイズ</t>
  </si>
  <si>
    <t>計</t>
  </si>
  <si>
    <t>追加</t>
    <rPh sb="0" eb="2">
      <t>ツイカ</t>
    </rPh>
    <phoneticPr fontId="2"/>
  </si>
  <si>
    <t>総数</t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</si>
  <si>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</si>
  <si>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</si>
  <si>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M</t>
    <phoneticPr fontId="4"/>
  </si>
  <si>
    <t>L</t>
    <phoneticPr fontId="4"/>
  </si>
  <si>
    <t>LL</t>
    <phoneticPr fontId="4"/>
  </si>
  <si>
    <t>M</t>
    <phoneticPr fontId="4"/>
  </si>
  <si>
    <t>L</t>
    <phoneticPr fontId="4"/>
  </si>
  <si>
    <t>返品</t>
    <rPh sb="0" eb="2">
      <t>ヘンピン</t>
    </rPh>
    <phoneticPr fontId="2"/>
  </si>
  <si>
    <t>初回</t>
    <rPh sb="0" eb="2">
      <t>ショカイ</t>
    </rPh>
    <phoneticPr fontId="2"/>
  </si>
  <si>
    <t>パープル</t>
    <phoneticPr fontId="4"/>
  </si>
  <si>
    <t>ピンク</t>
    <phoneticPr fontId="4"/>
  </si>
  <si>
    <t>@580 2P\3990</t>
    <phoneticPr fontId="2"/>
  </si>
  <si>
    <t>&lt;No.1097　肌さらさらインナー7分長　2色組￥3990&gt;夢販在庫</t>
    <rPh sb="9" eb="10">
      <t>ハダ</t>
    </rPh>
    <rPh sb="19" eb="20">
      <t>ブ</t>
    </rPh>
    <rPh sb="20" eb="21">
      <t>ナガ</t>
    </rPh>
    <rPh sb="23" eb="24">
      <t>ショク</t>
    </rPh>
    <rPh sb="24" eb="25">
      <t>クミ</t>
    </rPh>
    <rPh sb="31" eb="32">
      <t>ユメ</t>
    </rPh>
    <rPh sb="32" eb="33">
      <t>ハン</t>
    </rPh>
    <rPh sb="33" eb="35">
      <t>ザイコ</t>
    </rPh>
    <phoneticPr fontId="2"/>
  </si>
  <si>
    <t>&lt;No.1097　肌さらさらインナー7分長　2色組￥3990&gt;KPORT在庫</t>
    <rPh sb="36" eb="38">
      <t>ザイコ</t>
    </rPh>
    <phoneticPr fontId="2"/>
  </si>
  <si>
    <t>&lt;No.1097　肌さらさらインナー7分長　2色組￥3990&gt;ベルローズ在庫</t>
    <rPh sb="36" eb="38">
      <t>ザイコ</t>
    </rPh>
    <phoneticPr fontId="2"/>
  </si>
  <si>
    <t>在庫</t>
    <rPh sb="0" eb="2">
      <t>ザイコ</t>
    </rPh>
    <phoneticPr fontId="2"/>
  </si>
  <si>
    <t>なごみ本誌6月号</t>
    <rPh sb="3" eb="5">
      <t>ホンシ</t>
    </rPh>
    <rPh sb="6" eb="8">
      <t>ガツゴウ</t>
    </rPh>
    <phoneticPr fontId="4"/>
  </si>
  <si>
    <t>5/20～7/10</t>
    <phoneticPr fontId="4"/>
  </si>
  <si>
    <t>なごみ本誌6月号差分予測</t>
    <rPh sb="3" eb="5">
      <t>ホンシ</t>
    </rPh>
    <rPh sb="6" eb="8">
      <t>ガツゴウ</t>
    </rPh>
    <rPh sb="8" eb="12">
      <t>サブンヨソク</t>
    </rPh>
    <phoneticPr fontId="4"/>
  </si>
  <si>
    <t>なごみ本誌6月号①</t>
    <rPh sb="3" eb="5">
      <t>ホンシ</t>
    </rPh>
    <rPh sb="6" eb="8">
      <t>ガツゴウ</t>
    </rPh>
    <phoneticPr fontId="4"/>
  </si>
  <si>
    <t>内定</t>
    <rPh sb="0" eb="2">
      <t>ナイテイ</t>
    </rPh>
    <phoneticPr fontId="4"/>
  </si>
  <si>
    <t>現物</t>
    <rPh sb="0" eb="2">
      <t>ゲンブツ</t>
    </rPh>
    <phoneticPr fontId="4"/>
  </si>
  <si>
    <t>ゆめはん</t>
    <phoneticPr fontId="4"/>
  </si>
  <si>
    <t>グリーンコープ7月16号(不透明袋・未開封シール)</t>
    <rPh sb="8" eb="9">
      <t>ガツ</t>
    </rPh>
    <rPh sb="11" eb="12">
      <t>ゴウ</t>
    </rPh>
    <rPh sb="13" eb="17">
      <t>フトウメイフクロ</t>
    </rPh>
    <rPh sb="18" eb="21">
      <t>ミカイフウ</t>
    </rPh>
    <phoneticPr fontId="2"/>
  </si>
  <si>
    <t>グリーンコープ7月16号差分予測</t>
    <rPh sb="8" eb="9">
      <t>ガツ</t>
    </rPh>
    <rPh sb="11" eb="12">
      <t>ゴウ</t>
    </rPh>
    <rPh sb="12" eb="16">
      <t>サブンヨソク</t>
    </rPh>
    <phoneticPr fontId="2"/>
  </si>
  <si>
    <t>生活クラブ東京8月33週差分予測</t>
    <rPh sb="0" eb="2">
      <t>セイカツ</t>
    </rPh>
    <rPh sb="5" eb="7">
      <t>トウキョウ</t>
    </rPh>
    <rPh sb="8" eb="9">
      <t>ガツ</t>
    </rPh>
    <rPh sb="11" eb="12">
      <t>シュウ</t>
    </rPh>
    <rPh sb="12" eb="16">
      <t>サブンヨソク</t>
    </rPh>
    <phoneticPr fontId="4"/>
  </si>
  <si>
    <t>生活クラブ東京8月３３週（不透明袋）</t>
    <rPh sb="0" eb="2">
      <t>セイカツ</t>
    </rPh>
    <rPh sb="5" eb="7">
      <t>トウキョウ</t>
    </rPh>
    <rPh sb="8" eb="9">
      <t>ガツ</t>
    </rPh>
    <rPh sb="11" eb="12">
      <t>シュウ</t>
    </rPh>
    <rPh sb="13" eb="17">
      <t>フトウメイフクロ</t>
    </rPh>
    <phoneticPr fontId="4"/>
  </si>
  <si>
    <t>点検発注7/29、確定発注8/17</t>
    <rPh sb="0" eb="4">
      <t>テンケンハッチュウ</t>
    </rPh>
    <rPh sb="9" eb="13">
      <t>カクテイハッチュウ</t>
    </rPh>
    <phoneticPr fontId="4"/>
  </si>
  <si>
    <t>JOD特別版0604</t>
    <rPh sb="3" eb="6">
      <t>トクベツバン</t>
    </rPh>
    <phoneticPr fontId="2"/>
  </si>
  <si>
    <t>6/3～</t>
    <phoneticPr fontId="4"/>
  </si>
  <si>
    <t>点6/23、アバウト6/30、本7/2、7/6</t>
    <rPh sb="0" eb="1">
      <t>テン</t>
    </rPh>
    <rPh sb="15" eb="16">
      <t>ホン</t>
    </rPh>
    <phoneticPr fontId="4"/>
  </si>
  <si>
    <t>2026/5/7数伝</t>
    <rPh sb="8" eb="10">
      <t>スウデン</t>
    </rPh>
    <phoneticPr fontId="4"/>
  </si>
  <si>
    <t>2026/5/15数伝</t>
    <rPh sb="9" eb="11">
      <t>スウデン</t>
    </rPh>
    <phoneticPr fontId="4"/>
  </si>
  <si>
    <t>なごみ本誌6月号②</t>
    <rPh sb="3" eb="5">
      <t>ホンシ</t>
    </rPh>
    <rPh sb="6" eb="8">
      <t>ガツゴウ</t>
    </rPh>
    <phoneticPr fontId="4"/>
  </si>
  <si>
    <t>なごみ本誌6月号③</t>
    <rPh sb="3" eb="5">
      <t>ホンシ</t>
    </rPh>
    <rPh sb="6" eb="8">
      <t>ガツゴウ</t>
    </rPh>
    <phoneticPr fontId="4"/>
  </si>
  <si>
    <t>追加 ベルローズ1-1</t>
    <rPh sb="0" eb="2">
      <t>ツイカ</t>
    </rPh>
    <phoneticPr fontId="2"/>
  </si>
  <si>
    <t>現物在庫</t>
    <rPh sb="0" eb="2">
      <t>ゲンブツ</t>
    </rPh>
    <rPh sb="2" eb="4">
      <t>ザイコ</t>
    </rPh>
    <phoneticPr fontId="2"/>
  </si>
  <si>
    <t>ベルローズ確認済み</t>
    <rPh sb="5" eb="8">
      <t>カクニンズ</t>
    </rPh>
    <phoneticPr fontId="4"/>
  </si>
  <si>
    <t>JOD</t>
    <phoneticPr fontId="4"/>
  </si>
  <si>
    <t>JOD?????????????????</t>
    <phoneticPr fontId="4"/>
  </si>
  <si>
    <t>追加??????????????????</t>
    <rPh sb="0" eb="2">
      <t>ツイカ</t>
    </rPh>
    <phoneticPr fontId="2"/>
  </si>
  <si>
    <t>なごみ本誌6月号④</t>
    <rPh sb="3" eb="5">
      <t>ホンシ</t>
    </rPh>
    <rPh sb="6" eb="8">
      <t>ガツゴウ</t>
    </rPh>
    <phoneticPr fontId="4"/>
  </si>
  <si>
    <t>6/17?????????</t>
    <phoneticPr fontId="4"/>
  </si>
  <si>
    <t>6/17???????????</t>
    <phoneticPr fontId="4"/>
  </si>
  <si>
    <t>グリーンコープ7月16号(不透明袋・未開封シール)①</t>
    <rPh sb="8" eb="9">
      <t>ガツ</t>
    </rPh>
    <rPh sb="11" eb="12">
      <t>ゴウ</t>
    </rPh>
    <rPh sb="13" eb="17">
      <t>フトウメイフクロ</t>
    </rPh>
    <rPh sb="18" eb="21">
      <t>ミカイフウ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</si>
</sst>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</cellStyleXfs>
  <cellXfs count="77">
    <xf numFmtId="0" fontId="0" fillId="0" borderId="0" xfId="0">
      <alignment vertical="center"/>
    </xf>
    <xf numFmtId="0" fontId="6" fillId="0" borderId="0" xfId="3">
      <alignment vertical="center"/>
    </xf>
    <xf numFmtId="0" fontId="1" fillId="0" borderId="0" xfId="1"/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2" borderId="3" xfId="1" applyFill="1" applyBorder="1"/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1" fillId="2" borderId="4" xfId="1" applyFill="1" applyBorder="1"/>
    <xf numFmtId="0" fontId="1" fillId="0" borderId="6" xfId="1" applyBorder="1"/>
    <xf numFmtId="0" fontId="1" fillId="0" borderId="4" xfId="1" applyBorder="1"/>
    <xf numFmtId="0" fontId="1" fillId="0" borderId="7" xfId="1" applyBorder="1"/>
    <xf numFmtId="0" fontId="1" fillId="0" borderId="4" xfId="1" applyBorder="1" applyAlignment="1">
      <alignment horizontal="center" vertical="center"/>
    </xf>
    <xf numFmtId="0" fontId="1" fillId="0" borderId="8" xfId="1" applyBorder="1"/>
    <xf numFmtId="0" fontId="1" fillId="0" borderId="5" xfId="1" applyBorder="1"/>
    <xf numFmtId="0" fontId="1" fillId="0" borderId="9" xfId="1" applyBorder="1"/>
    <xf numFmtId="0" fontId="1" fillId="2" borderId="2" xfId="1" applyFill="1" applyBorder="1"/>
    <xf numFmtId="0" fontId="1" fillId="2" borderId="1" xfId="1" applyFill="1" applyBorder="1"/>
    <xf numFmtId="0" fontId="1" fillId="0" borderId="7" xfId="1" applyBorder="1" applyAlignment="1">
      <alignment horizontal="center" vertical="center"/>
    </xf>
    <xf numFmtId="0" fontId="8" fillId="2" borderId="3" xfId="1" applyFont="1" applyFill="1" applyBorder="1"/>
    <xf numFmtId="0" fontId="3" fillId="0" borderId="10" xfId="1" applyFont="1" applyBorder="1" applyAlignment="1">
      <alignment horizontal="center" vertical="center"/>
    </xf>
    <xf numFmtId="0" fontId="1" fillId="2" borderId="11" xfId="1" applyFill="1" applyBorder="1"/>
    <xf numFmtId="0" fontId="8" fillId="0" borderId="1" xfId="1" applyFont="1" applyBorder="1" applyAlignment="1">
      <alignment horizontal="center" vertical="center"/>
    </xf>
    <xf numFmtId="0" fontId="8" fillId="0" borderId="1" xfId="1" applyFont="1" applyBorder="1"/>
    <xf numFmtId="0" fontId="8" fillId="0" borderId="2" xfId="1" applyFont="1" applyBorder="1"/>
    <xf numFmtId="0" fontId="8" fillId="2" borderId="1" xfId="1" applyFont="1" applyFill="1" applyBorder="1"/>
    <xf numFmtId="0" fontId="9" fillId="0" borderId="2" xfId="1" applyFont="1" applyBorder="1" applyAlignment="1">
      <alignment horizontal="center" vertical="center"/>
    </xf>
    <xf numFmtId="0" fontId="8" fillId="2" borderId="2" xfId="1" applyFont="1" applyFill="1" applyBorder="1"/>
    <xf numFmtId="0" fontId="5" fillId="0" borderId="4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49" fontId="11" fillId="0" borderId="0" xfId="3" applyNumberFormat="1" applyFont="1">
      <alignment vertical="center"/>
    </xf>
    <xf numFmtId="176" fontId="0" fillId="0" borderId="0" xfId="0" applyNumberFormat="1">
      <alignment vertical="center"/>
    </xf>
    <xf numFmtId="0" fontId="8" fillId="0" borderId="7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56" fontId="10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56" fontId="10" fillId="0" borderId="0" xfId="3" applyNumberFormat="1" applyFont="1" applyAlignment="1">
      <alignment horizontal="left" vertical="center"/>
    </xf>
    <xf numFmtId="56" fontId="6" fillId="0" borderId="0" xfId="3" applyNumberFormat="1" applyAlignment="1">
      <alignment horizontal="left" vertical="center"/>
    </xf>
    <xf numFmtId="0" fontId="6" fillId="0" borderId="0" xfId="3" applyAlignment="1">
      <alignment horizontal="left" vertical="center"/>
    </xf>
    <xf numFmtId="0" fontId="12" fillId="0" borderId="0" xfId="1" applyFont="1"/>
    <xf numFmtId="56" fontId="7" fillId="0" borderId="0" xfId="0" applyNumberFormat="1" applyFont="1" applyAlignment="1">
      <alignment horizontal="left" vertical="center"/>
    </xf>
    <xf numFmtId="0" fontId="8" fillId="0" borderId="13" xfId="1" applyFont="1" applyBorder="1" applyAlignment="1">
      <alignment horizontal="center" vertical="center"/>
    </xf>
    <xf numFmtId="0" fontId="8" fillId="2" borderId="13" xfId="1" applyFont="1" applyFill="1" applyBorder="1"/>
    <xf numFmtId="0" fontId="8" fillId="0" borderId="3" xfId="1" applyFont="1" applyBorder="1" applyAlignment="1">
      <alignment horizontal="center" vertical="center"/>
    </xf>
    <xf numFmtId="0" fontId="8" fillId="0" borderId="8" xfId="1" applyFont="1" applyBorder="1"/>
    <xf numFmtId="0" fontId="8" fillId="0" borderId="5" xfId="1" applyFont="1" applyBorder="1"/>
    <xf numFmtId="0" fontId="8" fillId="0" borderId="9" xfId="1" applyFont="1" applyBorder="1"/>
    <xf numFmtId="0" fontId="8" fillId="2" borderId="4" xfId="1" applyFont="1" applyFill="1" applyBorder="1"/>
    <xf numFmtId="0" fontId="7" fillId="0" borderId="0" xfId="0" applyFont="1" applyAlignment="1">
      <alignment horizontal="left" vertical="center"/>
    </xf>
    <xf numFmtId="0" fontId="9" fillId="0" borderId="3" xfId="1" applyFont="1" applyBorder="1" applyAlignment="1">
      <alignment horizontal="center" vertical="center"/>
    </xf>
    <xf numFmtId="0" fontId="9" fillId="0" borderId="6" xfId="1" applyFont="1" applyBorder="1"/>
    <xf numFmtId="0" fontId="9" fillId="0" borderId="4" xfId="1" applyFont="1" applyBorder="1"/>
    <xf numFmtId="0" fontId="9" fillId="0" borderId="7" xfId="1" applyFont="1" applyBorder="1"/>
    <xf numFmtId="0" fontId="9" fillId="2" borderId="4" xfId="1" applyFont="1" applyFill="1" applyBorder="1"/>
    <xf numFmtId="0" fontId="8" fillId="0" borderId="6" xfId="1" applyFont="1" applyBorder="1"/>
    <xf numFmtId="0" fontId="8" fillId="0" borderId="4" xfId="1" applyFont="1" applyBorder="1"/>
    <xf numFmtId="0" fontId="8" fillId="0" borderId="7" xfId="1" applyFont="1" applyBorder="1"/>
    <xf numFmtId="56" fontId="8" fillId="0" borderId="0" xfId="1" applyNumberFormat="1" applyFont="1" applyAlignment="1">
      <alignment horizontal="left" vertical="center"/>
    </xf>
    <xf numFmtId="56" fontId="7" fillId="0" borderId="0" xfId="3" applyNumberFormat="1" applyFont="1">
      <alignment vertical="center"/>
    </xf>
    <xf numFmtId="0" fontId="8" fillId="0" borderId="7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1" fillId="0" borderId="13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2" borderId="13" xfId="1" applyFill="1" applyBorder="1"/>
    <xf numFmtId="0" fontId="1" fillId="0" borderId="14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56" fontId="0" fillId="0" borderId="0" xfId="0" applyNumberForma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0" fontId="8" fillId="0" borderId="3" xfId="1" applyFont="1" applyBorder="1" applyAlignment="1">
      <alignment horizontal="center" vertical="center" shrinkToFit="1"/>
    </xf>
    <xf numFmtId="0" fontId="3" fillId="4" borderId="10" xfId="1" applyFont="1" applyFill="1" applyBorder="1" applyAlignment="1">
      <alignment horizontal="center"/>
    </xf>
    <xf numFmtId="0" fontId="3" fillId="4" borderId="12" xfId="1" applyFont="1" applyFill="1" applyBorder="1" applyAlignment="1">
      <alignment horizontal="center"/>
    </xf>
    <xf numFmtId="0" fontId="3" fillId="3" borderId="10" xfId="1" applyFont="1" applyFill="1" applyBorder="1" applyAlignment="1">
      <alignment horizontal="center"/>
    </xf>
    <xf numFmtId="0" fontId="3" fillId="3" borderId="12" xfId="1" applyFont="1" applyFill="1" applyBorder="1" applyAlignment="1">
      <alignment horizontal="center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標準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7"/>
  <sheetViews>
    <sheetView tabSelected="1" topLeftCell="F16" zoomScaleNormal="100" workbookViewId="0">
      <selection activeCell="T31" sqref="T31"/>
    </sheetView>
  </sheetViews>
  <sheetFormatPr defaultRowHeight="13.5" x14ac:dyDescent="0.15"/>
  <cols>
    <col min="1" max="1" width="25.625" customWidth="1"/>
    <col min="2" max="9" width="7.75" customWidth="1"/>
    <col min="10" max="10" width="9.25" style="36" bestFit="1" customWidth="1"/>
    <col min="11" max="11" width="40.875" customWidth="1"/>
    <col min="12" max="19" width="7.75" customWidth="1"/>
    <col min="20" max="20" width="27.625" customWidth="1"/>
    <col min="21" max="21" width="27.25" customWidth="1"/>
    <col min="22" max="29" width="7.75" customWidth="1"/>
    <col min="30" max="30" width="9" style="36"/>
  </cols>
  <sheetData>
    <row r="1" spans="1:30" ht="18" thickBot="1" x14ac:dyDescent="0.25">
      <c r="A1" s="41" t="s">
        <v>17</v>
      </c>
      <c r="B1" s="2"/>
      <c r="C1" s="2"/>
      <c r="D1" s="2"/>
      <c r="E1" s="2"/>
      <c r="G1" s="1"/>
      <c r="H1" s="31" t="s">
        <v>16</v>
      </c>
      <c r="I1" s="1"/>
      <c r="J1" s="40"/>
      <c r="K1" s="41" t="s">
        <v>18</v>
      </c>
      <c r="L1" s="2"/>
      <c r="M1" s="2"/>
      <c r="N1" s="2"/>
      <c r="O1" s="2"/>
      <c r="P1" s="1"/>
      <c r="Q1" s="1"/>
      <c r="R1" s="31" t="s">
        <v>16</v>
      </c>
      <c r="S1" s="31"/>
      <c r="U1" s="41" t="s">
        <v>19</v>
      </c>
      <c r="V1" s="2"/>
      <c r="W1" s="2"/>
      <c r="X1" s="2"/>
      <c r="Y1" s="2"/>
      <c r="Z1" s="1"/>
      <c r="AA1" s="1"/>
      <c r="AB1" s="31" t="s">
        <v>16</v>
      </c>
      <c r="AC1" s="31"/>
    </row>
    <row r="2" spans="1:30" ht="14.25" thickBot="1" x14ac:dyDescent="0.2">
      <c r="A2" s="3" t="s">
        <v>0</v>
      </c>
      <c r="B2" s="75" t="s">
        <v>14</v>
      </c>
      <c r="C2" s="75"/>
      <c r="D2" s="75"/>
      <c r="E2" s="76"/>
      <c r="F2" s="73" t="s">
        <v>15</v>
      </c>
      <c r="G2" s="73"/>
      <c r="H2" s="73"/>
      <c r="I2" s="74"/>
      <c r="J2" s="40"/>
      <c r="K2" s="3" t="s">
        <v>0</v>
      </c>
      <c r="L2" s="75" t="s">
        <v>14</v>
      </c>
      <c r="M2" s="75"/>
      <c r="N2" s="75"/>
      <c r="O2" s="76"/>
      <c r="P2" s="73" t="s">
        <v>15</v>
      </c>
      <c r="Q2" s="73"/>
      <c r="R2" s="73"/>
      <c r="S2" s="74"/>
      <c r="U2" s="3" t="s">
        <v>0</v>
      </c>
      <c r="V2" s="75" t="s">
        <v>14</v>
      </c>
      <c r="W2" s="75"/>
      <c r="X2" s="75"/>
      <c r="Y2" s="76"/>
      <c r="Z2" s="73" t="s">
        <v>15</v>
      </c>
      <c r="AA2" s="73"/>
      <c r="AB2" s="73"/>
      <c r="AC2" s="74"/>
    </row>
    <row r="3" spans="1:30" ht="14.25" thickBot="1" x14ac:dyDescent="0.2">
      <c r="A3" s="3" t="s">
        <v>1</v>
      </c>
      <c r="B3" s="4" t="s">
        <v>7</v>
      </c>
      <c r="C3" s="3" t="s">
        <v>8</v>
      </c>
      <c r="D3" s="21" t="s">
        <v>9</v>
      </c>
      <c r="E3" s="3" t="s">
        <v>2</v>
      </c>
      <c r="F3" s="4" t="s">
        <v>10</v>
      </c>
      <c r="G3" s="3" t="s">
        <v>11</v>
      </c>
      <c r="H3" s="21" t="s">
        <v>9</v>
      </c>
      <c r="I3" s="3" t="s">
        <v>2</v>
      </c>
      <c r="J3" s="40"/>
      <c r="K3" s="3" t="s">
        <v>1</v>
      </c>
      <c r="L3" s="4" t="s">
        <v>7</v>
      </c>
      <c r="M3" s="3" t="s">
        <v>8</v>
      </c>
      <c r="N3" s="21" t="s">
        <v>9</v>
      </c>
      <c r="O3" s="3" t="s">
        <v>2</v>
      </c>
      <c r="P3" s="4" t="s">
        <v>10</v>
      </c>
      <c r="Q3" s="3" t="s">
        <v>11</v>
      </c>
      <c r="R3" s="21" t="s">
        <v>9</v>
      </c>
      <c r="S3" s="3" t="s">
        <v>2</v>
      </c>
      <c r="U3" s="3" t="s">
        <v>1</v>
      </c>
      <c r="V3" s="4" t="s">
        <v>7</v>
      </c>
      <c r="W3" s="3" t="s">
        <v>8</v>
      </c>
      <c r="X3" s="21" t="s">
        <v>9</v>
      </c>
      <c r="Y3" s="3" t="s">
        <v>2</v>
      </c>
      <c r="Z3" s="4" t="s">
        <v>7</v>
      </c>
      <c r="AA3" s="3" t="s">
        <v>8</v>
      </c>
      <c r="AB3" s="21" t="s">
        <v>9</v>
      </c>
      <c r="AC3" s="3" t="s">
        <v>2</v>
      </c>
    </row>
    <row r="4" spans="1:30" ht="14.25" thickBot="1" x14ac:dyDescent="0.2">
      <c r="A4" s="30" t="s">
        <v>13</v>
      </c>
      <c r="B4" s="33"/>
      <c r="C4" s="34"/>
      <c r="D4" s="33"/>
      <c r="E4" s="20">
        <f t="shared" ref="E4:E7" si="0">SUM(B4:D4)</f>
        <v>0</v>
      </c>
      <c r="F4" s="33"/>
      <c r="G4" s="34"/>
      <c r="H4" s="33"/>
      <c r="I4" s="20">
        <f t="shared" ref="I4:I7" si="1">SUM(F4:H4)</f>
        <v>0</v>
      </c>
      <c r="J4" s="38"/>
      <c r="K4" s="3" t="s">
        <v>13</v>
      </c>
      <c r="L4" s="67">
        <v>30</v>
      </c>
      <c r="M4" s="68">
        <v>40</v>
      </c>
      <c r="N4" s="67">
        <v>30</v>
      </c>
      <c r="O4" s="18">
        <f t="shared" ref="O4" si="2">SUM(L4:N4)</f>
        <v>100</v>
      </c>
      <c r="P4" s="67">
        <v>30</v>
      </c>
      <c r="Q4" s="68">
        <v>40</v>
      </c>
      <c r="R4" s="67">
        <v>30</v>
      </c>
      <c r="S4" s="18">
        <f t="shared" ref="S4" si="3">SUM(P4:R4)</f>
        <v>100</v>
      </c>
      <c r="T4" s="35" t="s">
        <v>36</v>
      </c>
      <c r="U4" s="30" t="s">
        <v>13</v>
      </c>
      <c r="V4" s="33">
        <v>39</v>
      </c>
      <c r="W4" s="34">
        <v>66</v>
      </c>
      <c r="X4" s="33">
        <v>49</v>
      </c>
      <c r="Y4" s="20">
        <f t="shared" ref="Y4:Y32" si="4">SUM(V4:X4)</f>
        <v>154</v>
      </c>
      <c r="Z4" s="33">
        <v>39</v>
      </c>
      <c r="AA4" s="34">
        <v>66</v>
      </c>
      <c r="AB4" s="33">
        <v>49</v>
      </c>
      <c r="AC4" s="20">
        <f t="shared" ref="AC4:AC32" si="5">SUM(Z4:AB4)</f>
        <v>154</v>
      </c>
      <c r="AD4" s="50" t="s">
        <v>26</v>
      </c>
    </row>
    <row r="5" spans="1:30" x14ac:dyDescent="0.15">
      <c r="A5" s="7" t="s">
        <v>3</v>
      </c>
      <c r="B5" s="19"/>
      <c r="C5" s="13"/>
      <c r="D5" s="19"/>
      <c r="E5" s="6">
        <f t="shared" si="0"/>
        <v>0</v>
      </c>
      <c r="F5" s="19"/>
      <c r="G5" s="13"/>
      <c r="H5" s="19"/>
      <c r="I5" s="6">
        <f t="shared" si="1"/>
        <v>0</v>
      </c>
      <c r="J5" s="38"/>
      <c r="K5" s="7" t="s">
        <v>3</v>
      </c>
      <c r="L5" s="19">
        <v>20</v>
      </c>
      <c r="M5" s="13">
        <v>30</v>
      </c>
      <c r="N5" s="19">
        <v>30</v>
      </c>
      <c r="O5" s="6">
        <f t="shared" ref="O5:O11" si="6">SUM(L5:N5)</f>
        <v>80</v>
      </c>
      <c r="P5" s="19">
        <v>20</v>
      </c>
      <c r="Q5" s="13">
        <v>30</v>
      </c>
      <c r="R5" s="19">
        <v>30</v>
      </c>
      <c r="S5" s="6">
        <f t="shared" ref="S5:S11" si="7">SUM(P5:R5)</f>
        <v>80</v>
      </c>
      <c r="T5" s="35" t="s">
        <v>37</v>
      </c>
      <c r="U5" s="30" t="s">
        <v>3</v>
      </c>
      <c r="V5" s="33">
        <v>11</v>
      </c>
      <c r="W5" s="34">
        <v>4</v>
      </c>
      <c r="X5" s="33">
        <v>11</v>
      </c>
      <c r="Y5" s="20">
        <f t="shared" si="4"/>
        <v>26</v>
      </c>
      <c r="Z5" s="33">
        <v>11</v>
      </c>
      <c r="AA5" s="34">
        <v>4</v>
      </c>
      <c r="AB5" s="33">
        <v>11</v>
      </c>
      <c r="AC5" s="20">
        <f t="shared" si="5"/>
        <v>26</v>
      </c>
      <c r="AD5" s="59">
        <v>46108</v>
      </c>
    </row>
    <row r="6" spans="1:30" x14ac:dyDescent="0.15">
      <c r="A6" s="7" t="s">
        <v>3</v>
      </c>
      <c r="B6" s="19"/>
      <c r="C6" s="13"/>
      <c r="D6" s="19"/>
      <c r="E6" s="6">
        <f t="shared" si="0"/>
        <v>0</v>
      </c>
      <c r="F6" s="19"/>
      <c r="G6" s="13"/>
      <c r="H6" s="19"/>
      <c r="I6" s="6">
        <f t="shared" si="1"/>
        <v>0</v>
      </c>
      <c r="J6" s="38"/>
      <c r="K6" s="7" t="s">
        <v>3</v>
      </c>
      <c r="L6" s="19"/>
      <c r="M6" s="13"/>
      <c r="N6" s="19"/>
      <c r="O6" s="6">
        <f t="shared" ref="O6:O8" si="8">SUM(L6:N6)</f>
        <v>0</v>
      </c>
      <c r="P6" s="19"/>
      <c r="Q6" s="13"/>
      <c r="R6" s="19"/>
      <c r="S6" s="6">
        <f t="shared" ref="S6:S8" si="9">SUM(P6:R6)</f>
        <v>0</v>
      </c>
      <c r="T6" s="36"/>
      <c r="U6" s="7" t="s">
        <v>3</v>
      </c>
      <c r="V6" s="19"/>
      <c r="W6" s="13"/>
      <c r="X6" s="19"/>
      <c r="Y6" s="6">
        <f t="shared" ref="Y6:Y7" si="10">SUM(V6:X6)</f>
        <v>0</v>
      </c>
      <c r="Z6" s="19"/>
      <c r="AA6" s="13"/>
      <c r="AB6" s="19"/>
      <c r="AC6" s="6">
        <f t="shared" ref="AC6:AC7" si="11">SUM(Z6:AB6)</f>
        <v>0</v>
      </c>
    </row>
    <row r="7" spans="1:30" x14ac:dyDescent="0.15">
      <c r="A7" s="7" t="s">
        <v>3</v>
      </c>
      <c r="B7" s="19"/>
      <c r="C7" s="13"/>
      <c r="D7" s="19"/>
      <c r="E7" s="6">
        <f t="shared" si="0"/>
        <v>0</v>
      </c>
      <c r="F7" s="19"/>
      <c r="G7" s="13"/>
      <c r="H7" s="19"/>
      <c r="I7" s="6">
        <f t="shared" si="1"/>
        <v>0</v>
      </c>
      <c r="J7" s="38"/>
      <c r="K7" s="7" t="s">
        <v>3</v>
      </c>
      <c r="L7" s="19"/>
      <c r="M7" s="13"/>
      <c r="N7" s="19"/>
      <c r="O7" s="6">
        <f t="shared" si="8"/>
        <v>0</v>
      </c>
      <c r="P7" s="19"/>
      <c r="Q7" s="13"/>
      <c r="R7" s="19"/>
      <c r="S7" s="6">
        <f t="shared" si="9"/>
        <v>0</v>
      </c>
      <c r="T7" s="36"/>
      <c r="U7" s="7" t="s">
        <v>3</v>
      </c>
      <c r="V7" s="19"/>
      <c r="W7" s="13"/>
      <c r="X7" s="19"/>
      <c r="Y7" s="6">
        <f t="shared" si="10"/>
        <v>0</v>
      </c>
      <c r="Z7" s="19"/>
      <c r="AA7" s="13"/>
      <c r="AB7" s="19"/>
      <c r="AC7" s="6">
        <f t="shared" si="11"/>
        <v>0</v>
      </c>
    </row>
    <row r="8" spans="1:30" x14ac:dyDescent="0.15">
      <c r="A8" s="7" t="s">
        <v>3</v>
      </c>
      <c r="B8" s="19"/>
      <c r="C8" s="13"/>
      <c r="D8" s="19"/>
      <c r="E8" s="6">
        <f t="shared" ref="E8" si="12">SUM(B8:D8)</f>
        <v>0</v>
      </c>
      <c r="F8" s="19"/>
      <c r="G8" s="13"/>
      <c r="H8" s="19"/>
      <c r="I8" s="6">
        <f t="shared" ref="I8" si="13">SUM(F8:H8)</f>
        <v>0</v>
      </c>
      <c r="J8" s="38"/>
      <c r="K8" s="7" t="s">
        <v>3</v>
      </c>
      <c r="L8" s="19"/>
      <c r="M8" s="13"/>
      <c r="N8" s="19"/>
      <c r="O8" s="6">
        <f t="shared" si="8"/>
        <v>0</v>
      </c>
      <c r="P8" s="19"/>
      <c r="Q8" s="13"/>
      <c r="R8" s="19"/>
      <c r="S8" s="6">
        <f t="shared" si="9"/>
        <v>0</v>
      </c>
      <c r="T8" s="36"/>
      <c r="U8" s="7" t="s">
        <v>3</v>
      </c>
      <c r="V8" s="12"/>
      <c r="W8" s="11"/>
      <c r="X8" s="12"/>
      <c r="Y8" s="6">
        <f t="shared" si="4"/>
        <v>0</v>
      </c>
      <c r="Z8" s="12"/>
      <c r="AA8" s="11"/>
      <c r="AB8" s="12"/>
      <c r="AC8" s="6">
        <f t="shared" si="5"/>
        <v>0</v>
      </c>
    </row>
    <row r="9" spans="1:30" x14ac:dyDescent="0.15">
      <c r="A9" s="7" t="s">
        <v>3</v>
      </c>
      <c r="B9" s="19"/>
      <c r="C9" s="13"/>
      <c r="D9" s="19"/>
      <c r="E9" s="6">
        <f t="shared" ref="E9:E40" si="14">SUM(B9:D9)</f>
        <v>0</v>
      </c>
      <c r="F9" s="19"/>
      <c r="G9" s="13"/>
      <c r="H9" s="19"/>
      <c r="I9" s="6">
        <f t="shared" ref="I9:I40" si="15">SUM(F9:H9)</f>
        <v>0</v>
      </c>
      <c r="J9" s="38"/>
      <c r="K9" s="7" t="s">
        <v>3</v>
      </c>
      <c r="L9" s="12"/>
      <c r="M9" s="11"/>
      <c r="N9" s="12"/>
      <c r="O9" s="6">
        <f t="shared" ref="O9" si="16">SUM(L9:N9)</f>
        <v>0</v>
      </c>
      <c r="P9" s="12"/>
      <c r="Q9" s="11"/>
      <c r="R9" s="12"/>
      <c r="S9" s="6">
        <f t="shared" ref="S9" si="17">SUM(P9:R9)</f>
        <v>0</v>
      </c>
      <c r="T9" s="36"/>
      <c r="U9" s="7" t="s">
        <v>3</v>
      </c>
      <c r="V9" s="12"/>
      <c r="W9" s="11"/>
      <c r="X9" s="12"/>
      <c r="Y9" s="6">
        <f t="shared" si="4"/>
        <v>0</v>
      </c>
      <c r="Z9" s="12"/>
      <c r="AA9" s="11"/>
      <c r="AB9" s="12"/>
      <c r="AC9" s="6">
        <f t="shared" si="5"/>
        <v>0</v>
      </c>
    </row>
    <row r="10" spans="1:30" x14ac:dyDescent="0.15">
      <c r="A10" s="7" t="s">
        <v>3</v>
      </c>
      <c r="B10" s="19"/>
      <c r="C10" s="13"/>
      <c r="D10" s="19"/>
      <c r="E10" s="6">
        <f t="shared" si="14"/>
        <v>0</v>
      </c>
      <c r="F10" s="19"/>
      <c r="G10" s="13"/>
      <c r="H10" s="19"/>
      <c r="I10" s="6">
        <f t="shared" si="15"/>
        <v>0</v>
      </c>
      <c r="J10" s="38"/>
      <c r="K10" s="7" t="s">
        <v>3</v>
      </c>
      <c r="L10" s="12"/>
      <c r="M10" s="11"/>
      <c r="N10" s="12"/>
      <c r="O10" s="6">
        <f t="shared" si="6"/>
        <v>0</v>
      </c>
      <c r="P10" s="12"/>
      <c r="Q10" s="11"/>
      <c r="R10" s="12"/>
      <c r="S10" s="6">
        <f t="shared" si="7"/>
        <v>0</v>
      </c>
      <c r="T10" s="36"/>
      <c r="U10" s="7" t="s">
        <v>3</v>
      </c>
      <c r="V10" s="12"/>
      <c r="W10" s="11"/>
      <c r="X10" s="12"/>
      <c r="Y10" s="6">
        <f t="shared" si="4"/>
        <v>0</v>
      </c>
      <c r="Z10" s="12"/>
      <c r="AA10" s="11"/>
      <c r="AB10" s="12"/>
      <c r="AC10" s="6">
        <f t="shared" si="5"/>
        <v>0</v>
      </c>
    </row>
    <row r="11" spans="1:30" x14ac:dyDescent="0.15">
      <c r="A11" s="7" t="s">
        <v>3</v>
      </c>
      <c r="B11" s="12"/>
      <c r="C11" s="11"/>
      <c r="D11" s="12"/>
      <c r="E11" s="6">
        <f t="shared" si="14"/>
        <v>0</v>
      </c>
      <c r="F11" s="12"/>
      <c r="G11" s="11"/>
      <c r="H11" s="12"/>
      <c r="I11" s="6">
        <f t="shared" si="15"/>
        <v>0</v>
      </c>
      <c r="J11" s="38"/>
      <c r="K11" s="7" t="s">
        <v>3</v>
      </c>
      <c r="L11" s="12"/>
      <c r="M11" s="11"/>
      <c r="N11" s="12"/>
      <c r="O11" s="6">
        <f t="shared" si="6"/>
        <v>0</v>
      </c>
      <c r="P11" s="12"/>
      <c r="Q11" s="11"/>
      <c r="R11" s="12"/>
      <c r="S11" s="6">
        <f t="shared" si="7"/>
        <v>0</v>
      </c>
      <c r="T11" s="36"/>
      <c r="U11" s="7" t="s">
        <v>3</v>
      </c>
      <c r="V11" s="12"/>
      <c r="W11" s="11"/>
      <c r="X11" s="12"/>
      <c r="Y11" s="6">
        <f t="shared" si="4"/>
        <v>0</v>
      </c>
      <c r="Z11" s="12"/>
      <c r="AA11" s="11"/>
      <c r="AB11" s="12"/>
      <c r="AC11" s="6">
        <f t="shared" si="5"/>
        <v>0</v>
      </c>
    </row>
    <row r="12" spans="1:30" x14ac:dyDescent="0.15">
      <c r="A12" s="7" t="s">
        <v>12</v>
      </c>
      <c r="B12" s="12"/>
      <c r="C12" s="11"/>
      <c r="D12" s="12"/>
      <c r="E12" s="6">
        <f t="shared" si="14"/>
        <v>0</v>
      </c>
      <c r="F12" s="12"/>
      <c r="G12" s="11"/>
      <c r="H12" s="12"/>
      <c r="I12" s="6">
        <f t="shared" si="15"/>
        <v>0</v>
      </c>
      <c r="J12" s="39"/>
      <c r="K12" s="7" t="s">
        <v>3</v>
      </c>
      <c r="L12" s="12"/>
      <c r="M12" s="11"/>
      <c r="N12" s="12"/>
      <c r="O12" s="6">
        <f t="shared" ref="O12:O40" si="18">SUM(L12:N12)</f>
        <v>0</v>
      </c>
      <c r="P12" s="12"/>
      <c r="Q12" s="11"/>
      <c r="R12" s="12"/>
      <c r="S12" s="6">
        <f t="shared" ref="S12:S40" si="19">SUM(P12:R12)</f>
        <v>0</v>
      </c>
      <c r="T12" s="36"/>
      <c r="U12" s="7" t="s">
        <v>3</v>
      </c>
      <c r="V12" s="12"/>
      <c r="W12" s="11"/>
      <c r="X12" s="12"/>
      <c r="Y12" s="6">
        <f t="shared" si="4"/>
        <v>0</v>
      </c>
      <c r="Z12" s="12"/>
      <c r="AA12" s="11"/>
      <c r="AB12" s="12"/>
      <c r="AC12" s="6">
        <f t="shared" si="5"/>
        <v>0</v>
      </c>
    </row>
    <row r="13" spans="1:30" x14ac:dyDescent="0.15">
      <c r="A13" s="7" t="s">
        <v>3</v>
      </c>
      <c r="B13" s="12"/>
      <c r="C13" s="11"/>
      <c r="D13" s="12"/>
      <c r="E13" s="6">
        <f t="shared" si="14"/>
        <v>0</v>
      </c>
      <c r="F13" s="12"/>
      <c r="G13" s="11"/>
      <c r="H13" s="12"/>
      <c r="I13" s="6">
        <f t="shared" si="15"/>
        <v>0</v>
      </c>
      <c r="J13" s="40"/>
      <c r="K13" s="7" t="s">
        <v>3</v>
      </c>
      <c r="L13" s="12"/>
      <c r="M13" s="11"/>
      <c r="N13" s="12"/>
      <c r="O13" s="6">
        <f t="shared" si="18"/>
        <v>0</v>
      </c>
      <c r="P13" s="12"/>
      <c r="Q13" s="11"/>
      <c r="R13" s="12"/>
      <c r="S13" s="6">
        <f t="shared" si="19"/>
        <v>0</v>
      </c>
      <c r="T13" s="36"/>
      <c r="U13" s="7" t="s">
        <v>3</v>
      </c>
      <c r="V13" s="12"/>
      <c r="W13" s="11"/>
      <c r="X13" s="12"/>
      <c r="Y13" s="6">
        <f t="shared" si="4"/>
        <v>0</v>
      </c>
      <c r="Z13" s="12"/>
      <c r="AA13" s="11"/>
      <c r="AB13" s="12"/>
      <c r="AC13" s="6">
        <f t="shared" si="5"/>
        <v>0</v>
      </c>
    </row>
    <row r="14" spans="1:30" ht="14.25" thickBot="1" x14ac:dyDescent="0.2">
      <c r="A14" s="8" t="s">
        <v>3</v>
      </c>
      <c r="B14" s="16"/>
      <c r="C14" s="15"/>
      <c r="D14" s="16"/>
      <c r="E14" s="22">
        <f t="shared" si="14"/>
        <v>0</v>
      </c>
      <c r="F14" s="16"/>
      <c r="G14" s="15"/>
      <c r="H14" s="16"/>
      <c r="I14" s="22">
        <f t="shared" si="15"/>
        <v>0</v>
      </c>
      <c r="J14" s="40"/>
      <c r="K14" s="8" t="s">
        <v>3</v>
      </c>
      <c r="L14" s="16"/>
      <c r="M14" s="15"/>
      <c r="N14" s="16"/>
      <c r="O14" s="22">
        <f t="shared" si="18"/>
        <v>0</v>
      </c>
      <c r="P14" s="16"/>
      <c r="Q14" s="15"/>
      <c r="R14" s="16"/>
      <c r="S14" s="22">
        <f t="shared" si="19"/>
        <v>0</v>
      </c>
      <c r="T14" s="36"/>
      <c r="U14" s="8" t="s">
        <v>3</v>
      </c>
      <c r="V14" s="16"/>
      <c r="W14" s="15"/>
      <c r="X14" s="16"/>
      <c r="Y14" s="22">
        <f t="shared" si="4"/>
        <v>0</v>
      </c>
      <c r="Z14" s="16"/>
      <c r="AA14" s="15"/>
      <c r="AB14" s="16"/>
      <c r="AC14" s="22">
        <f t="shared" si="5"/>
        <v>0</v>
      </c>
    </row>
    <row r="15" spans="1:30" ht="14.25" thickBot="1" x14ac:dyDescent="0.2">
      <c r="A15" s="23" t="s">
        <v>4</v>
      </c>
      <c r="B15" s="24">
        <f>SUM(B4:B14)</f>
        <v>0</v>
      </c>
      <c r="C15" s="24">
        <f>SUM(C4:C14)</f>
        <v>0</v>
      </c>
      <c r="D15" s="25">
        <f>SUM(D4:D14)</f>
        <v>0</v>
      </c>
      <c r="E15" s="26">
        <f t="shared" si="14"/>
        <v>0</v>
      </c>
      <c r="F15" s="24">
        <f>SUM(F4:F14)</f>
        <v>0</v>
      </c>
      <c r="G15" s="24">
        <f>SUM(G4:G14)</f>
        <v>0</v>
      </c>
      <c r="H15" s="25">
        <f>SUM(H4:H14)</f>
        <v>0</v>
      </c>
      <c r="I15" s="26">
        <f t="shared" si="15"/>
        <v>0</v>
      </c>
      <c r="J15" s="40"/>
      <c r="K15" s="23" t="s">
        <v>4</v>
      </c>
      <c r="L15" s="24">
        <f>SUM(L4:L14)</f>
        <v>50</v>
      </c>
      <c r="M15" s="24">
        <f>SUM(M4:M14)</f>
        <v>70</v>
      </c>
      <c r="N15" s="25">
        <f>SUM(N4:N14)</f>
        <v>60</v>
      </c>
      <c r="O15" s="26">
        <f t="shared" si="18"/>
        <v>180</v>
      </c>
      <c r="P15" s="24">
        <f>SUM(P4:P14)</f>
        <v>50</v>
      </c>
      <c r="Q15" s="24">
        <f>SUM(Q4:Q14)</f>
        <v>70</v>
      </c>
      <c r="R15" s="25">
        <f>SUM(R4:R14)</f>
        <v>60</v>
      </c>
      <c r="S15" s="26">
        <f t="shared" si="19"/>
        <v>180</v>
      </c>
      <c r="T15" s="36"/>
      <c r="U15" s="23" t="s">
        <v>4</v>
      </c>
      <c r="V15" s="24">
        <f>SUM(V4:V14)</f>
        <v>50</v>
      </c>
      <c r="W15" s="24">
        <f>SUM(W4:W14)</f>
        <v>70</v>
      </c>
      <c r="X15" s="25">
        <f>SUM(X4:X14)</f>
        <v>60</v>
      </c>
      <c r="Y15" s="26">
        <f t="shared" si="4"/>
        <v>180</v>
      </c>
      <c r="Z15" s="24">
        <f>SUM(Z4:Z14)</f>
        <v>50</v>
      </c>
      <c r="AA15" s="24">
        <f>SUM(AA4:AA14)</f>
        <v>70</v>
      </c>
      <c r="AB15" s="25">
        <f>SUM(AB4:AB14)</f>
        <v>60</v>
      </c>
      <c r="AC15" s="26">
        <f t="shared" si="5"/>
        <v>180</v>
      </c>
    </row>
    <row r="16" spans="1:30" x14ac:dyDescent="0.15">
      <c r="A16" s="5"/>
      <c r="B16" s="10"/>
      <c r="C16" s="11"/>
      <c r="D16" s="12"/>
      <c r="E16" s="6">
        <f t="shared" si="14"/>
        <v>0</v>
      </c>
      <c r="F16" s="10"/>
      <c r="G16" s="11"/>
      <c r="H16" s="12"/>
      <c r="I16" s="6">
        <f t="shared" si="15"/>
        <v>0</v>
      </c>
      <c r="J16" s="35"/>
      <c r="K16" s="5" t="s">
        <v>24</v>
      </c>
      <c r="L16" s="10">
        <v>10</v>
      </c>
      <c r="M16" s="11">
        <v>10</v>
      </c>
      <c r="N16" s="12">
        <v>10</v>
      </c>
      <c r="O16" s="6">
        <f t="shared" si="18"/>
        <v>30</v>
      </c>
      <c r="P16" s="10">
        <v>10</v>
      </c>
      <c r="Q16" s="11">
        <v>10</v>
      </c>
      <c r="R16" s="12">
        <v>10</v>
      </c>
      <c r="S16" s="6">
        <f t="shared" si="19"/>
        <v>30</v>
      </c>
      <c r="T16" s="35">
        <v>46164</v>
      </c>
      <c r="U16" s="63" t="s">
        <v>27</v>
      </c>
      <c r="V16" s="64">
        <v>30</v>
      </c>
      <c r="W16" s="63">
        <v>40</v>
      </c>
      <c r="X16" s="64">
        <v>30</v>
      </c>
      <c r="Y16" s="65">
        <f t="shared" si="4"/>
        <v>100</v>
      </c>
      <c r="Z16" s="64">
        <v>30</v>
      </c>
      <c r="AA16" s="63">
        <v>40</v>
      </c>
      <c r="AB16" s="64">
        <v>30</v>
      </c>
      <c r="AC16" s="65">
        <f t="shared" si="5"/>
        <v>100</v>
      </c>
      <c r="AD16" s="35">
        <v>46149</v>
      </c>
    </row>
    <row r="17" spans="1:30" x14ac:dyDescent="0.15">
      <c r="A17" s="5"/>
      <c r="B17" s="10"/>
      <c r="C17" s="11"/>
      <c r="D17" s="12"/>
      <c r="E17" s="6">
        <f t="shared" si="14"/>
        <v>0</v>
      </c>
      <c r="F17" s="10"/>
      <c r="G17" s="11"/>
      <c r="H17" s="12"/>
      <c r="I17" s="6">
        <f t="shared" si="15"/>
        <v>0</v>
      </c>
      <c r="J17" s="38"/>
      <c r="K17" s="5" t="s">
        <v>38</v>
      </c>
      <c r="L17" s="10">
        <v>5</v>
      </c>
      <c r="M17" s="11">
        <v>10</v>
      </c>
      <c r="N17" s="12">
        <v>10</v>
      </c>
      <c r="O17" s="6">
        <f t="shared" si="18"/>
        <v>25</v>
      </c>
      <c r="P17" s="10">
        <v>5</v>
      </c>
      <c r="Q17" s="11">
        <v>10</v>
      </c>
      <c r="R17" s="12">
        <v>10</v>
      </c>
      <c r="S17" s="6">
        <f t="shared" si="19"/>
        <v>25</v>
      </c>
      <c r="T17" s="35">
        <v>46174</v>
      </c>
      <c r="U17" s="5" t="s">
        <v>27</v>
      </c>
      <c r="V17" s="66">
        <v>20</v>
      </c>
      <c r="W17" s="5">
        <v>30</v>
      </c>
      <c r="X17" s="66">
        <v>30</v>
      </c>
      <c r="Y17" s="6">
        <f t="shared" si="4"/>
        <v>80</v>
      </c>
      <c r="Z17" s="66">
        <v>20</v>
      </c>
      <c r="AA17" s="5">
        <v>30</v>
      </c>
      <c r="AB17" s="66">
        <v>30</v>
      </c>
      <c r="AC17" s="6">
        <f t="shared" si="5"/>
        <v>80</v>
      </c>
      <c r="AD17" s="35">
        <v>46157</v>
      </c>
    </row>
    <row r="18" spans="1:30" x14ac:dyDescent="0.15">
      <c r="A18" s="5"/>
      <c r="B18" s="10"/>
      <c r="C18" s="11"/>
      <c r="D18" s="12"/>
      <c r="E18" s="6">
        <f t="shared" si="14"/>
        <v>0</v>
      </c>
      <c r="F18" s="10"/>
      <c r="G18" s="11"/>
      <c r="H18" s="12"/>
      <c r="I18" s="6">
        <f t="shared" si="15"/>
        <v>0</v>
      </c>
      <c r="J18" s="38"/>
      <c r="K18" s="5" t="s">
        <v>39</v>
      </c>
      <c r="L18" s="10">
        <v>7</v>
      </c>
      <c r="M18" s="11">
        <v>5</v>
      </c>
      <c r="N18" s="12"/>
      <c r="O18" s="6">
        <f t="shared" si="18"/>
        <v>12</v>
      </c>
      <c r="P18" s="10">
        <v>7</v>
      </c>
      <c r="Q18" s="11">
        <v>5</v>
      </c>
      <c r="R18" s="12"/>
      <c r="S18" s="6">
        <f t="shared" si="19"/>
        <v>12</v>
      </c>
      <c r="T18" s="35">
        <v>46175</v>
      </c>
      <c r="U18" s="5"/>
      <c r="V18" s="10"/>
      <c r="W18" s="11"/>
      <c r="X18" s="12"/>
      <c r="Y18" s="6">
        <f t="shared" ref="Y18" si="20">SUM(V18:X18)</f>
        <v>0</v>
      </c>
      <c r="Z18" s="10"/>
      <c r="AA18" s="11"/>
      <c r="AB18" s="12"/>
      <c r="AC18" s="6">
        <f t="shared" ref="AC18" si="21">SUM(Z18:AB18)</f>
        <v>0</v>
      </c>
      <c r="AD18" s="35"/>
    </row>
    <row r="19" spans="1:30" x14ac:dyDescent="0.15">
      <c r="A19" s="5"/>
      <c r="B19" s="10"/>
      <c r="C19" s="11"/>
      <c r="D19" s="12"/>
      <c r="E19" s="6">
        <f t="shared" si="14"/>
        <v>0</v>
      </c>
      <c r="F19" s="10"/>
      <c r="G19" s="11"/>
      <c r="H19" s="12"/>
      <c r="I19" s="6">
        <f t="shared" si="15"/>
        <v>0</v>
      </c>
      <c r="J19" s="38"/>
      <c r="K19" s="5" t="s">
        <v>43</v>
      </c>
      <c r="L19" s="10">
        <v>1</v>
      </c>
      <c r="M19" s="11">
        <v>2</v>
      </c>
      <c r="N19" s="12">
        <v>1</v>
      </c>
      <c r="O19" s="6">
        <f t="shared" si="18"/>
        <v>4</v>
      </c>
      <c r="P19" s="10">
        <v>1</v>
      </c>
      <c r="Q19" s="11">
        <v>2</v>
      </c>
      <c r="R19" s="12">
        <v>1</v>
      </c>
      <c r="S19" s="6">
        <f t="shared" si="19"/>
        <v>4</v>
      </c>
      <c r="T19" s="35">
        <v>46185</v>
      </c>
      <c r="U19" s="5"/>
      <c r="V19" s="10"/>
      <c r="W19" s="11"/>
      <c r="X19" s="12"/>
      <c r="Y19" s="6">
        <f t="shared" si="4"/>
        <v>0</v>
      </c>
      <c r="Z19" s="10"/>
      <c r="AA19" s="11"/>
      <c r="AB19" s="12"/>
      <c r="AC19" s="6">
        <f t="shared" si="5"/>
        <v>0</v>
      </c>
    </row>
    <row r="20" spans="1:30" x14ac:dyDescent="0.15">
      <c r="A20" s="5"/>
      <c r="B20" s="10"/>
      <c r="C20" s="11"/>
      <c r="D20" s="12"/>
      <c r="E20" s="6">
        <f t="shared" si="14"/>
        <v>0</v>
      </c>
      <c r="F20" s="10"/>
      <c r="G20" s="11"/>
      <c r="H20" s="12"/>
      <c r="I20" s="6">
        <f t="shared" si="15"/>
        <v>0</v>
      </c>
      <c r="J20" s="38"/>
      <c r="K20" s="5" t="s">
        <v>46</v>
      </c>
      <c r="L20" s="10">
        <v>3</v>
      </c>
      <c r="M20" s="11"/>
      <c r="N20" s="12"/>
      <c r="O20" s="6">
        <f t="shared" si="18"/>
        <v>3</v>
      </c>
      <c r="P20" s="10">
        <v>3</v>
      </c>
      <c r="Q20" s="11"/>
      <c r="R20" s="12"/>
      <c r="S20" s="6">
        <f t="shared" si="19"/>
        <v>3</v>
      </c>
      <c r="T20" s="35">
        <v>46188</v>
      </c>
      <c r="U20" s="5"/>
      <c r="V20" s="10"/>
      <c r="W20" s="11"/>
      <c r="X20" s="12"/>
      <c r="Y20" s="6">
        <f t="shared" si="4"/>
        <v>0</v>
      </c>
      <c r="Z20" s="10"/>
      <c r="AA20" s="11"/>
      <c r="AB20" s="12"/>
      <c r="AC20" s="6">
        <f t="shared" si="5"/>
        <v>0</v>
      </c>
    </row>
    <row r="21" spans="1:30" x14ac:dyDescent="0.15">
      <c r="A21" s="13"/>
      <c r="B21" s="10"/>
      <c r="C21" s="11"/>
      <c r="D21" s="12"/>
      <c r="E21" s="9">
        <f t="shared" si="14"/>
        <v>0</v>
      </c>
      <c r="F21" s="10"/>
      <c r="G21" s="11"/>
      <c r="H21" s="12"/>
      <c r="I21" s="9">
        <f t="shared" si="15"/>
        <v>0</v>
      </c>
      <c r="J21" s="38"/>
      <c r="K21" s="5" t="s">
        <v>43</v>
      </c>
      <c r="L21" s="10"/>
      <c r="M21" s="11">
        <v>3</v>
      </c>
      <c r="N21" s="12"/>
      <c r="O21" s="9">
        <f t="shared" si="18"/>
        <v>3</v>
      </c>
      <c r="P21" s="10"/>
      <c r="Q21" s="11">
        <v>3</v>
      </c>
      <c r="R21" s="12"/>
      <c r="S21" s="9">
        <f t="shared" si="19"/>
        <v>3</v>
      </c>
      <c r="T21" s="35">
        <v>46190</v>
      </c>
      <c r="U21" s="5"/>
      <c r="V21" s="10"/>
      <c r="W21" s="11"/>
      <c r="X21" s="12"/>
      <c r="Y21" s="9">
        <f t="shared" si="4"/>
        <v>0</v>
      </c>
      <c r="Z21" s="10"/>
      <c r="AA21" s="11"/>
      <c r="AB21" s="12"/>
      <c r="AC21" s="9">
        <f t="shared" si="5"/>
        <v>0</v>
      </c>
    </row>
    <row r="22" spans="1:30" x14ac:dyDescent="0.15">
      <c r="A22" s="5"/>
      <c r="B22" s="10"/>
      <c r="C22" s="11"/>
      <c r="D22" s="12"/>
      <c r="E22" s="9">
        <f t="shared" si="14"/>
        <v>0</v>
      </c>
      <c r="F22" s="10"/>
      <c r="G22" s="11"/>
      <c r="H22" s="12"/>
      <c r="I22" s="9">
        <f t="shared" si="15"/>
        <v>0</v>
      </c>
      <c r="J22" s="38"/>
      <c r="K22" s="5" t="s">
        <v>43</v>
      </c>
      <c r="L22" s="10">
        <v>1</v>
      </c>
      <c r="M22" s="11"/>
      <c r="N22" s="12"/>
      <c r="O22" s="9">
        <f t="shared" si="18"/>
        <v>1</v>
      </c>
      <c r="P22" s="10">
        <v>1</v>
      </c>
      <c r="Q22" s="11"/>
      <c r="R22" s="12"/>
      <c r="S22" s="9">
        <f t="shared" si="19"/>
        <v>1</v>
      </c>
      <c r="T22" s="35">
        <v>46191</v>
      </c>
      <c r="U22" s="5"/>
      <c r="V22" s="10"/>
      <c r="W22" s="11"/>
      <c r="X22" s="12"/>
      <c r="Y22" s="9">
        <f t="shared" si="4"/>
        <v>0</v>
      </c>
      <c r="Z22" s="10"/>
      <c r="AA22" s="11"/>
      <c r="AB22" s="12"/>
      <c r="AC22" s="9">
        <f t="shared" si="5"/>
        <v>0</v>
      </c>
    </row>
    <row r="23" spans="1:30" x14ac:dyDescent="0.15">
      <c r="A23" s="5"/>
      <c r="B23" s="10"/>
      <c r="C23" s="11"/>
      <c r="D23" s="12"/>
      <c r="E23" s="9">
        <f t="shared" si="14"/>
        <v>0</v>
      </c>
      <c r="F23" s="10"/>
      <c r="G23" s="11"/>
      <c r="H23" s="12"/>
      <c r="I23" s="9">
        <f t="shared" si="15"/>
        <v>0</v>
      </c>
      <c r="J23" s="38"/>
      <c r="K23" s="5" t="s">
        <v>43</v>
      </c>
      <c r="L23" s="10"/>
      <c r="M23" s="11">
        <v>1</v>
      </c>
      <c r="N23" s="12"/>
      <c r="O23" s="9">
        <f t="shared" si="18"/>
        <v>1</v>
      </c>
      <c r="P23" s="10"/>
      <c r="Q23" s="11">
        <v>1</v>
      </c>
      <c r="R23" s="12"/>
      <c r="S23" s="9">
        <f t="shared" si="19"/>
        <v>1</v>
      </c>
      <c r="T23" s="35">
        <v>46192</v>
      </c>
      <c r="U23" s="5"/>
      <c r="V23" s="10"/>
      <c r="W23" s="11"/>
      <c r="X23" s="12"/>
      <c r="Y23" s="9">
        <f t="shared" si="4"/>
        <v>0</v>
      </c>
      <c r="Z23" s="10"/>
      <c r="AA23" s="11"/>
      <c r="AB23" s="12"/>
      <c r="AC23" s="9">
        <f t="shared" si="5"/>
        <v>0</v>
      </c>
    </row>
    <row r="24" spans="1:30" x14ac:dyDescent="0.15">
      <c r="A24" s="5"/>
      <c r="B24" s="10"/>
      <c r="C24" s="11"/>
      <c r="D24" s="12"/>
      <c r="E24" s="9">
        <f t="shared" si="14"/>
        <v>0</v>
      </c>
      <c r="F24" s="10"/>
      <c r="G24" s="11"/>
      <c r="H24" s="12"/>
      <c r="I24" s="9">
        <f t="shared" si="15"/>
        <v>0</v>
      </c>
      <c r="J24" s="38"/>
      <c r="K24" s="72" t="s">
        <v>49</v>
      </c>
      <c r="L24" s="56">
        <v>5</v>
      </c>
      <c r="M24" s="57">
        <v>5</v>
      </c>
      <c r="N24" s="58">
        <v>5</v>
      </c>
      <c r="O24" s="49">
        <f t="shared" si="18"/>
        <v>15</v>
      </c>
      <c r="P24" s="56">
        <v>5</v>
      </c>
      <c r="Q24" s="57">
        <v>5</v>
      </c>
      <c r="R24" s="58">
        <v>5</v>
      </c>
      <c r="S24" s="49">
        <f t="shared" si="19"/>
        <v>15</v>
      </c>
      <c r="T24" s="42">
        <v>46195</v>
      </c>
      <c r="U24" s="5"/>
      <c r="V24" s="10"/>
      <c r="W24" s="11"/>
      <c r="X24" s="12"/>
      <c r="Y24" s="9">
        <f t="shared" si="4"/>
        <v>0</v>
      </c>
      <c r="Z24" s="10"/>
      <c r="AA24" s="11"/>
      <c r="AB24" s="12"/>
      <c r="AC24" s="9">
        <f t="shared" si="5"/>
        <v>0</v>
      </c>
    </row>
    <row r="25" spans="1:30" x14ac:dyDescent="0.15">
      <c r="A25" s="13"/>
      <c r="B25" s="10"/>
      <c r="C25" s="11"/>
      <c r="D25" s="12"/>
      <c r="E25" s="6">
        <f t="shared" si="14"/>
        <v>0</v>
      </c>
      <c r="F25" s="10"/>
      <c r="G25" s="11"/>
      <c r="H25" s="12"/>
      <c r="I25" s="6">
        <f t="shared" si="15"/>
        <v>0</v>
      </c>
      <c r="J25" s="35"/>
      <c r="K25" s="45" t="s">
        <v>43</v>
      </c>
      <c r="L25" s="56"/>
      <c r="M25" s="57">
        <v>3</v>
      </c>
      <c r="N25" s="58"/>
      <c r="O25" s="49">
        <f t="shared" si="18"/>
        <v>3</v>
      </c>
      <c r="P25" s="56"/>
      <c r="Q25" s="57">
        <v>3</v>
      </c>
      <c r="R25" s="58"/>
      <c r="S25" s="49">
        <f t="shared" si="19"/>
        <v>3</v>
      </c>
      <c r="T25" s="42">
        <v>46192</v>
      </c>
      <c r="U25" s="5"/>
      <c r="V25" s="10"/>
      <c r="W25" s="11"/>
      <c r="X25" s="12"/>
      <c r="Y25" s="9">
        <f t="shared" si="4"/>
        <v>0</v>
      </c>
      <c r="Z25" s="10"/>
      <c r="AA25" s="11"/>
      <c r="AB25" s="12"/>
      <c r="AC25" s="9">
        <f t="shared" si="5"/>
        <v>0</v>
      </c>
    </row>
    <row r="26" spans="1:30" x14ac:dyDescent="0.15">
      <c r="A26" s="5"/>
      <c r="B26" s="10"/>
      <c r="C26" s="11"/>
      <c r="D26" s="12"/>
      <c r="E26" s="9">
        <f t="shared" si="14"/>
        <v>0</v>
      </c>
      <c r="F26" s="10"/>
      <c r="G26" s="11"/>
      <c r="H26" s="12"/>
      <c r="I26" s="9">
        <f t="shared" si="15"/>
        <v>0</v>
      </c>
      <c r="J26" s="38"/>
      <c r="K26" s="5"/>
      <c r="L26" s="10"/>
      <c r="M26" s="11"/>
      <c r="N26" s="12"/>
      <c r="O26" s="9">
        <f t="shared" si="18"/>
        <v>0</v>
      </c>
      <c r="P26" s="10"/>
      <c r="Q26" s="11"/>
      <c r="R26" s="12"/>
      <c r="S26" s="9">
        <f t="shared" si="19"/>
        <v>0</v>
      </c>
      <c r="T26" s="36"/>
      <c r="U26" s="5"/>
      <c r="V26" s="10"/>
      <c r="W26" s="11"/>
      <c r="X26" s="12"/>
      <c r="Y26" s="9">
        <f t="shared" si="4"/>
        <v>0</v>
      </c>
      <c r="Z26" s="10"/>
      <c r="AA26" s="11"/>
      <c r="AB26" s="12"/>
      <c r="AC26" s="9">
        <f t="shared" si="5"/>
        <v>0</v>
      </c>
    </row>
    <row r="27" spans="1:30" x14ac:dyDescent="0.15">
      <c r="A27" s="5"/>
      <c r="B27" s="10"/>
      <c r="C27" s="11"/>
      <c r="D27" s="12"/>
      <c r="E27" s="9">
        <f t="shared" si="14"/>
        <v>0</v>
      </c>
      <c r="F27" s="10"/>
      <c r="G27" s="11"/>
      <c r="H27" s="12"/>
      <c r="I27" s="9">
        <f t="shared" si="15"/>
        <v>0</v>
      </c>
      <c r="J27" s="38"/>
      <c r="K27" s="5"/>
      <c r="L27" s="10"/>
      <c r="M27" s="11"/>
      <c r="N27" s="12"/>
      <c r="O27" s="9">
        <f t="shared" si="18"/>
        <v>0</v>
      </c>
      <c r="P27" s="10"/>
      <c r="Q27" s="11"/>
      <c r="R27" s="12"/>
      <c r="S27" s="9">
        <f t="shared" si="19"/>
        <v>0</v>
      </c>
      <c r="T27" s="36"/>
      <c r="U27" s="5"/>
      <c r="V27" s="10"/>
      <c r="W27" s="11"/>
      <c r="X27" s="12"/>
      <c r="Y27" s="9">
        <f t="shared" si="4"/>
        <v>0</v>
      </c>
      <c r="Z27" s="10"/>
      <c r="AA27" s="11"/>
      <c r="AB27" s="12"/>
      <c r="AC27" s="9">
        <f t="shared" si="5"/>
        <v>0</v>
      </c>
    </row>
    <row r="28" spans="1:30" x14ac:dyDescent="0.15">
      <c r="A28" s="5"/>
      <c r="B28" s="10"/>
      <c r="C28" s="11"/>
      <c r="D28" s="12"/>
      <c r="E28" s="9">
        <f t="shared" si="14"/>
        <v>0</v>
      </c>
      <c r="F28" s="10"/>
      <c r="G28" s="11"/>
      <c r="H28" s="12"/>
      <c r="I28" s="9">
        <f t="shared" si="15"/>
        <v>0</v>
      </c>
      <c r="J28" s="38"/>
      <c r="K28" s="5"/>
      <c r="L28" s="10"/>
      <c r="M28" s="11"/>
      <c r="N28" s="12"/>
      <c r="O28" s="9">
        <f t="shared" si="18"/>
        <v>0</v>
      </c>
      <c r="P28" s="10"/>
      <c r="Q28" s="11"/>
      <c r="R28" s="12"/>
      <c r="S28" s="9">
        <f t="shared" si="19"/>
        <v>0</v>
      </c>
      <c r="T28" s="36"/>
      <c r="U28" s="5"/>
      <c r="V28" s="10"/>
      <c r="W28" s="11"/>
      <c r="X28" s="12"/>
      <c r="Y28" s="9">
        <f t="shared" si="4"/>
        <v>0</v>
      </c>
      <c r="Z28" s="10"/>
      <c r="AA28" s="11"/>
      <c r="AB28" s="12"/>
      <c r="AC28" s="9">
        <f t="shared" si="5"/>
        <v>0</v>
      </c>
    </row>
    <row r="29" spans="1:30" x14ac:dyDescent="0.15">
      <c r="A29" s="13"/>
      <c r="B29" s="10"/>
      <c r="C29" s="11"/>
      <c r="D29" s="12"/>
      <c r="E29" s="9">
        <f t="shared" si="14"/>
        <v>0</v>
      </c>
      <c r="F29" s="10"/>
      <c r="G29" s="11"/>
      <c r="H29" s="12"/>
      <c r="I29" s="9">
        <f t="shared" si="15"/>
        <v>0</v>
      </c>
      <c r="J29" s="38"/>
      <c r="K29" s="13"/>
      <c r="L29" s="10"/>
      <c r="M29" s="11"/>
      <c r="N29" s="12"/>
      <c r="O29" s="9">
        <f t="shared" si="18"/>
        <v>0</v>
      </c>
      <c r="P29" s="10"/>
      <c r="Q29" s="11"/>
      <c r="R29" s="12"/>
      <c r="S29" s="9">
        <f t="shared" si="19"/>
        <v>0</v>
      </c>
      <c r="T29" s="36"/>
      <c r="U29" s="13"/>
      <c r="V29" s="10"/>
      <c r="W29" s="11"/>
      <c r="X29" s="12"/>
      <c r="Y29" s="9">
        <f t="shared" si="4"/>
        <v>0</v>
      </c>
      <c r="Z29" s="10"/>
      <c r="AA29" s="11"/>
      <c r="AB29" s="12"/>
      <c r="AC29" s="9">
        <f t="shared" si="5"/>
        <v>0</v>
      </c>
    </row>
    <row r="30" spans="1:30" x14ac:dyDescent="0.15">
      <c r="A30" s="5"/>
      <c r="B30" s="10"/>
      <c r="C30" s="11"/>
      <c r="D30" s="12"/>
      <c r="E30" s="9">
        <f t="shared" si="14"/>
        <v>0</v>
      </c>
      <c r="F30" s="10"/>
      <c r="G30" s="11"/>
      <c r="H30" s="12"/>
      <c r="I30" s="9">
        <f t="shared" si="15"/>
        <v>0</v>
      </c>
      <c r="J30" s="38"/>
      <c r="K30" s="5"/>
      <c r="L30" s="10"/>
      <c r="M30" s="11"/>
      <c r="N30" s="12"/>
      <c r="O30" s="9">
        <f t="shared" si="18"/>
        <v>0</v>
      </c>
      <c r="P30" s="10"/>
      <c r="Q30" s="11"/>
      <c r="R30" s="12"/>
      <c r="S30" s="9">
        <f t="shared" si="19"/>
        <v>0</v>
      </c>
      <c r="T30" s="36"/>
      <c r="U30" s="5"/>
      <c r="V30" s="10"/>
      <c r="W30" s="11"/>
      <c r="X30" s="12"/>
      <c r="Y30" s="9">
        <f t="shared" si="4"/>
        <v>0</v>
      </c>
      <c r="Z30" s="10"/>
      <c r="AA30" s="11"/>
      <c r="AB30" s="12"/>
      <c r="AC30" s="9">
        <f t="shared" si="5"/>
        <v>0</v>
      </c>
    </row>
    <row r="31" spans="1:30" x14ac:dyDescent="0.15">
      <c r="A31" s="5"/>
      <c r="B31" s="10"/>
      <c r="C31" s="11"/>
      <c r="D31" s="12"/>
      <c r="E31" s="9">
        <f t="shared" si="14"/>
        <v>0</v>
      </c>
      <c r="F31" s="10"/>
      <c r="G31" s="11"/>
      <c r="H31" s="12"/>
      <c r="I31" s="9">
        <f t="shared" si="15"/>
        <v>0</v>
      </c>
      <c r="J31" s="38"/>
      <c r="K31" s="13"/>
      <c r="L31" s="10"/>
      <c r="M31" s="11"/>
      <c r="N31" s="12"/>
      <c r="O31" s="9">
        <f t="shared" si="18"/>
        <v>0</v>
      </c>
      <c r="P31" s="10"/>
      <c r="Q31" s="11"/>
      <c r="R31" s="12"/>
      <c r="S31" s="9">
        <f t="shared" si="19"/>
        <v>0</v>
      </c>
      <c r="T31" s="36"/>
      <c r="U31" s="13"/>
      <c r="V31" s="10"/>
      <c r="W31" s="11"/>
      <c r="X31" s="12"/>
      <c r="Y31" s="9">
        <f t="shared" si="4"/>
        <v>0</v>
      </c>
      <c r="Z31" s="10"/>
      <c r="AA31" s="11"/>
      <c r="AB31" s="12"/>
      <c r="AC31" s="9">
        <f t="shared" si="5"/>
        <v>0</v>
      </c>
    </row>
    <row r="32" spans="1:30" x14ac:dyDescent="0.15">
      <c r="A32" s="13"/>
      <c r="B32" s="10"/>
      <c r="C32" s="11"/>
      <c r="D32" s="12"/>
      <c r="E32" s="9">
        <f t="shared" si="14"/>
        <v>0</v>
      </c>
      <c r="F32" s="10"/>
      <c r="G32" s="11"/>
      <c r="H32" s="12"/>
      <c r="I32" s="9">
        <f t="shared" si="15"/>
        <v>0</v>
      </c>
      <c r="J32" s="38"/>
      <c r="K32" s="13"/>
      <c r="L32" s="14"/>
      <c r="M32" s="15"/>
      <c r="N32" s="16"/>
      <c r="O32" s="9">
        <f t="shared" si="18"/>
        <v>0</v>
      </c>
      <c r="P32" s="14"/>
      <c r="Q32" s="15"/>
      <c r="R32" s="16"/>
      <c r="S32" s="9">
        <f t="shared" si="19"/>
        <v>0</v>
      </c>
      <c r="T32" s="37"/>
      <c r="U32" s="13"/>
      <c r="V32" s="14"/>
      <c r="W32" s="15"/>
      <c r="X32" s="16"/>
      <c r="Y32" s="9">
        <f t="shared" si="4"/>
        <v>0</v>
      </c>
      <c r="Z32" s="14"/>
      <c r="AA32" s="15"/>
      <c r="AB32" s="16"/>
      <c r="AC32" s="9">
        <f t="shared" si="5"/>
        <v>0</v>
      </c>
    </row>
    <row r="33" spans="1:29" x14ac:dyDescent="0.15">
      <c r="A33" s="5"/>
      <c r="B33" s="10"/>
      <c r="C33" s="11"/>
      <c r="D33" s="12"/>
      <c r="E33" s="9">
        <f t="shared" si="14"/>
        <v>0</v>
      </c>
      <c r="F33" s="10"/>
      <c r="G33" s="11"/>
      <c r="H33" s="12"/>
      <c r="I33" s="9">
        <f t="shared" si="15"/>
        <v>0</v>
      </c>
      <c r="J33" s="38"/>
      <c r="K33" s="13"/>
      <c r="L33" s="10"/>
      <c r="M33" s="11"/>
      <c r="N33" s="12"/>
      <c r="O33" s="9">
        <f>SUM(L33:N33)</f>
        <v>0</v>
      </c>
      <c r="P33" s="10"/>
      <c r="Q33" s="11"/>
      <c r="R33" s="12"/>
      <c r="S33" s="9">
        <f>SUM(P33:R33)</f>
        <v>0</v>
      </c>
      <c r="T33" s="37"/>
      <c r="U33" s="13"/>
      <c r="V33" s="10"/>
      <c r="W33" s="11"/>
      <c r="X33" s="12"/>
      <c r="Y33" s="9">
        <f>SUM(V33:X33)</f>
        <v>0</v>
      </c>
      <c r="Z33" s="10"/>
      <c r="AA33" s="11"/>
      <c r="AB33" s="12"/>
      <c r="AC33" s="9">
        <f>SUM(Z33:AB33)</f>
        <v>0</v>
      </c>
    </row>
    <row r="34" spans="1:29" x14ac:dyDescent="0.15">
      <c r="A34" s="29"/>
      <c r="B34" s="10"/>
      <c r="C34" s="11"/>
      <c r="D34" s="12"/>
      <c r="E34" s="9">
        <f t="shared" si="14"/>
        <v>0</v>
      </c>
      <c r="F34" s="10"/>
      <c r="G34" s="11"/>
      <c r="H34" s="12"/>
      <c r="I34" s="9">
        <f t="shared" si="15"/>
        <v>0</v>
      </c>
      <c r="J34" s="39"/>
      <c r="K34" s="13"/>
      <c r="L34" s="10"/>
      <c r="M34" s="11"/>
      <c r="N34" s="12"/>
      <c r="O34" s="9">
        <f t="shared" ref="O34" si="22">SUM(L34:N34)</f>
        <v>0</v>
      </c>
      <c r="P34" s="10"/>
      <c r="Q34" s="11"/>
      <c r="R34" s="12"/>
      <c r="S34" s="9">
        <f t="shared" ref="S34" si="23">SUM(P34:R34)</f>
        <v>0</v>
      </c>
      <c r="T34" s="37"/>
      <c r="U34" s="13"/>
      <c r="V34" s="10"/>
      <c r="W34" s="11"/>
      <c r="X34" s="12"/>
      <c r="Y34" s="9">
        <f t="shared" ref="Y34:Y40" si="24">SUM(V34:X34)</f>
        <v>0</v>
      </c>
      <c r="Z34" s="10"/>
      <c r="AA34" s="11"/>
      <c r="AB34" s="12"/>
      <c r="AC34" s="9">
        <f t="shared" ref="AC34:AC40" si="25">SUM(Z34:AB34)</f>
        <v>0</v>
      </c>
    </row>
    <row r="35" spans="1:29" x14ac:dyDescent="0.15">
      <c r="A35" s="13"/>
      <c r="B35" s="10"/>
      <c r="C35" s="11"/>
      <c r="D35" s="12"/>
      <c r="E35" s="9">
        <f t="shared" si="14"/>
        <v>0</v>
      </c>
      <c r="F35" s="10"/>
      <c r="G35" s="11"/>
      <c r="H35" s="12"/>
      <c r="I35" s="9">
        <f t="shared" si="15"/>
        <v>0</v>
      </c>
      <c r="J35" s="38"/>
      <c r="K35" s="13"/>
      <c r="L35" s="10"/>
      <c r="M35" s="11"/>
      <c r="N35" s="12"/>
      <c r="O35" s="9">
        <f t="shared" ref="O35:O37" si="26">SUM(L35:N35)</f>
        <v>0</v>
      </c>
      <c r="P35" s="10"/>
      <c r="Q35" s="11"/>
      <c r="R35" s="12"/>
      <c r="S35" s="9">
        <f t="shared" ref="S35:S37" si="27">SUM(P35:R35)</f>
        <v>0</v>
      </c>
      <c r="T35" s="37"/>
      <c r="U35" s="13"/>
      <c r="V35" s="10"/>
      <c r="W35" s="11"/>
      <c r="X35" s="12"/>
      <c r="Y35" s="9">
        <f t="shared" si="24"/>
        <v>0</v>
      </c>
      <c r="Z35" s="10"/>
      <c r="AA35" s="11"/>
      <c r="AB35" s="12"/>
      <c r="AC35" s="9">
        <f t="shared" si="25"/>
        <v>0</v>
      </c>
    </row>
    <row r="36" spans="1:29" x14ac:dyDescent="0.15">
      <c r="A36" s="5"/>
      <c r="B36" s="10"/>
      <c r="C36" s="11"/>
      <c r="D36" s="12"/>
      <c r="E36" s="9">
        <f t="shared" si="14"/>
        <v>0</v>
      </c>
      <c r="F36" s="10"/>
      <c r="G36" s="11"/>
      <c r="H36" s="12"/>
      <c r="I36" s="9">
        <f t="shared" si="15"/>
        <v>0</v>
      </c>
      <c r="J36" s="38"/>
      <c r="K36" s="13"/>
      <c r="L36" s="10"/>
      <c r="M36" s="11"/>
      <c r="N36" s="12"/>
      <c r="O36" s="9">
        <f t="shared" si="26"/>
        <v>0</v>
      </c>
      <c r="P36" s="10"/>
      <c r="Q36" s="11"/>
      <c r="R36" s="12"/>
      <c r="S36" s="9">
        <f t="shared" si="27"/>
        <v>0</v>
      </c>
      <c r="T36" s="37"/>
      <c r="U36" s="13"/>
      <c r="V36" s="10"/>
      <c r="W36" s="11"/>
      <c r="X36" s="12"/>
      <c r="Y36" s="9">
        <f t="shared" si="24"/>
        <v>0</v>
      </c>
      <c r="Z36" s="10"/>
      <c r="AA36" s="11"/>
      <c r="AB36" s="12"/>
      <c r="AC36" s="9">
        <f t="shared" si="25"/>
        <v>0</v>
      </c>
    </row>
    <row r="37" spans="1:29" x14ac:dyDescent="0.15">
      <c r="A37" s="13"/>
      <c r="B37" s="10"/>
      <c r="C37" s="11"/>
      <c r="D37" s="12"/>
      <c r="E37" s="9">
        <f t="shared" si="14"/>
        <v>0</v>
      </c>
      <c r="F37" s="10"/>
      <c r="G37" s="11"/>
      <c r="H37" s="12"/>
      <c r="I37" s="9">
        <f t="shared" si="15"/>
        <v>0</v>
      </c>
      <c r="J37" s="38"/>
      <c r="K37" s="5" t="s">
        <v>33</v>
      </c>
      <c r="L37" s="10"/>
      <c r="M37" s="11"/>
      <c r="N37" s="12"/>
      <c r="O37" s="9">
        <f t="shared" si="26"/>
        <v>0</v>
      </c>
      <c r="P37" s="10"/>
      <c r="Q37" s="11"/>
      <c r="R37" s="12"/>
      <c r="S37" s="9">
        <f t="shared" si="27"/>
        <v>0</v>
      </c>
      <c r="T37" s="37" t="s">
        <v>34</v>
      </c>
      <c r="U37" s="13"/>
      <c r="V37" s="10"/>
      <c r="W37" s="11"/>
      <c r="X37" s="12"/>
      <c r="Y37" s="9">
        <f t="shared" ref="Y37:Y39" si="28">SUM(V37:X37)</f>
        <v>0</v>
      </c>
      <c r="Z37" s="10"/>
      <c r="AA37" s="11"/>
      <c r="AB37" s="12"/>
      <c r="AC37" s="9">
        <f t="shared" ref="AC37:AC39" si="29">SUM(Z37:AB37)</f>
        <v>0</v>
      </c>
    </row>
    <row r="38" spans="1:29" x14ac:dyDescent="0.15">
      <c r="A38" s="13"/>
      <c r="B38" s="10"/>
      <c r="C38" s="11"/>
      <c r="D38" s="12"/>
      <c r="E38" s="9">
        <f t="shared" ref="E38:E39" si="30">SUM(B38:D38)</f>
        <v>0</v>
      </c>
      <c r="F38" s="10"/>
      <c r="G38" s="11"/>
      <c r="H38" s="12"/>
      <c r="I38" s="9">
        <f t="shared" ref="I38:I39" si="31">SUM(F38:H38)</f>
        <v>0</v>
      </c>
      <c r="J38" s="38"/>
      <c r="K38" s="51" t="s">
        <v>23</v>
      </c>
      <c r="L38" s="52">
        <v>-3</v>
      </c>
      <c r="M38" s="53">
        <v>-5</v>
      </c>
      <c r="N38" s="54">
        <v>0</v>
      </c>
      <c r="O38" s="55">
        <f t="shared" ref="O38:O39" si="32">SUM(L38:N38)</f>
        <v>-8</v>
      </c>
      <c r="P38" s="52">
        <v>-3</v>
      </c>
      <c r="Q38" s="53">
        <v>-5</v>
      </c>
      <c r="R38" s="54">
        <v>0</v>
      </c>
      <c r="S38" s="55">
        <f t="shared" ref="S38:S39" si="33">SUM(P38:R38)</f>
        <v>-8</v>
      </c>
      <c r="T38" s="37"/>
      <c r="U38" s="13"/>
      <c r="V38" s="10"/>
      <c r="W38" s="11"/>
      <c r="X38" s="12"/>
      <c r="Y38" s="9">
        <f t="shared" si="28"/>
        <v>0</v>
      </c>
      <c r="Z38" s="10"/>
      <c r="AA38" s="11"/>
      <c r="AB38" s="12"/>
      <c r="AC38" s="9">
        <f t="shared" si="29"/>
        <v>0</v>
      </c>
    </row>
    <row r="39" spans="1:29" ht="14.25" thickBot="1" x14ac:dyDescent="0.2">
      <c r="A39" s="13"/>
      <c r="B39" s="10"/>
      <c r="C39" s="11"/>
      <c r="D39" s="12"/>
      <c r="E39" s="9">
        <f t="shared" si="30"/>
        <v>0</v>
      </c>
      <c r="F39" s="10"/>
      <c r="G39" s="11"/>
      <c r="H39" s="12"/>
      <c r="I39" s="9">
        <f t="shared" si="31"/>
        <v>0</v>
      </c>
      <c r="J39" s="38"/>
      <c r="K39" s="45" t="s">
        <v>21</v>
      </c>
      <c r="L39" s="46">
        <f>30-10-5-7</f>
        <v>8</v>
      </c>
      <c r="M39" s="47">
        <f>35-10-10-5</f>
        <v>10</v>
      </c>
      <c r="N39" s="48">
        <f>20-10-10</f>
        <v>0</v>
      </c>
      <c r="O39" s="49">
        <f t="shared" si="32"/>
        <v>18</v>
      </c>
      <c r="P39" s="46">
        <f>30-10-5-7</f>
        <v>8</v>
      </c>
      <c r="Q39" s="47">
        <f>35-10-10-5</f>
        <v>10</v>
      </c>
      <c r="R39" s="48">
        <f>20-10-10</f>
        <v>0</v>
      </c>
      <c r="S39" s="49">
        <f t="shared" si="33"/>
        <v>18</v>
      </c>
      <c r="T39" s="50" t="s">
        <v>22</v>
      </c>
      <c r="U39" s="13"/>
      <c r="V39" s="10"/>
      <c r="W39" s="11"/>
      <c r="X39" s="12"/>
      <c r="Y39" s="9">
        <f t="shared" si="28"/>
        <v>0</v>
      </c>
      <c r="Z39" s="10"/>
      <c r="AA39" s="11"/>
      <c r="AB39" s="12"/>
      <c r="AC39" s="9">
        <f t="shared" si="29"/>
        <v>0</v>
      </c>
    </row>
    <row r="40" spans="1:29" ht="14.25" thickBot="1" x14ac:dyDescent="0.2">
      <c r="A40" s="4" t="s">
        <v>5</v>
      </c>
      <c r="B40" s="17">
        <f>SUM(B16:B39)</f>
        <v>0</v>
      </c>
      <c r="C40" s="17">
        <f>SUM(C16:C39)</f>
        <v>0</v>
      </c>
      <c r="D40" s="17">
        <f>SUM(D16:D39)</f>
        <v>0</v>
      </c>
      <c r="E40" s="18">
        <f t="shared" si="14"/>
        <v>0</v>
      </c>
      <c r="F40" s="17">
        <f>SUM(F16:F39)</f>
        <v>0</v>
      </c>
      <c r="G40" s="17">
        <f>SUM(G16:G39)</f>
        <v>0</v>
      </c>
      <c r="H40" s="17">
        <f>SUM(H16:H39)</f>
        <v>0</v>
      </c>
      <c r="I40" s="18">
        <f t="shared" si="15"/>
        <v>0</v>
      </c>
      <c r="J40" s="40"/>
      <c r="K40" s="4" t="s">
        <v>5</v>
      </c>
      <c r="L40" s="17">
        <f>SUM(L16:L39)</f>
        <v>37</v>
      </c>
      <c r="M40" s="17">
        <f>SUM(M16:M39)</f>
        <v>44</v>
      </c>
      <c r="N40" s="17">
        <f>SUM(N16:N39)</f>
        <v>26</v>
      </c>
      <c r="O40" s="18">
        <f t="shared" si="18"/>
        <v>107</v>
      </c>
      <c r="P40" s="17">
        <f>SUM(P16:P39)</f>
        <v>37</v>
      </c>
      <c r="Q40" s="17">
        <f>SUM(Q16:Q39)</f>
        <v>44</v>
      </c>
      <c r="R40" s="17">
        <f>SUM(R16:R39)</f>
        <v>26</v>
      </c>
      <c r="S40" s="18">
        <f t="shared" si="19"/>
        <v>107</v>
      </c>
      <c r="U40" s="4" t="s">
        <v>5</v>
      </c>
      <c r="V40" s="17">
        <f>SUM(V16:V39)</f>
        <v>50</v>
      </c>
      <c r="W40" s="17">
        <f>SUM(W16:W39)</f>
        <v>70</v>
      </c>
      <c r="X40" s="17">
        <f>SUM(X16:X39)</f>
        <v>60</v>
      </c>
      <c r="Y40" s="18">
        <f t="shared" si="24"/>
        <v>180</v>
      </c>
      <c r="Z40" s="17">
        <f>SUM(Z16:Z39)</f>
        <v>50</v>
      </c>
      <c r="AA40" s="17">
        <f>SUM(AA16:AA39)</f>
        <v>70</v>
      </c>
      <c r="AB40" s="17">
        <f>SUM(AB16:AB39)</f>
        <v>60</v>
      </c>
      <c r="AC40" s="18">
        <f t="shared" si="25"/>
        <v>180</v>
      </c>
    </row>
    <row r="41" spans="1:29" ht="14.25" thickBot="1" x14ac:dyDescent="0.2">
      <c r="A41" s="27" t="s">
        <v>6</v>
      </c>
      <c r="B41" s="28">
        <f t="shared" ref="B41:I41" si="34">B15-B40</f>
        <v>0</v>
      </c>
      <c r="C41" s="28">
        <f t="shared" si="34"/>
        <v>0</v>
      </c>
      <c r="D41" s="28">
        <f t="shared" si="34"/>
        <v>0</v>
      </c>
      <c r="E41" s="28">
        <f t="shared" si="34"/>
        <v>0</v>
      </c>
      <c r="F41" s="28">
        <f t="shared" si="34"/>
        <v>0</v>
      </c>
      <c r="G41" s="28">
        <f t="shared" si="34"/>
        <v>0</v>
      </c>
      <c r="H41" s="28">
        <f t="shared" si="34"/>
        <v>0</v>
      </c>
      <c r="I41" s="26">
        <f t="shared" si="34"/>
        <v>0</v>
      </c>
      <c r="J41" s="40"/>
      <c r="K41" s="27" t="s">
        <v>6</v>
      </c>
      <c r="L41" s="28">
        <f t="shared" ref="L41:S41" si="35">L15-L40</f>
        <v>13</v>
      </c>
      <c r="M41" s="28">
        <f t="shared" si="35"/>
        <v>26</v>
      </c>
      <c r="N41" s="28">
        <f t="shared" si="35"/>
        <v>34</v>
      </c>
      <c r="O41" s="28">
        <f t="shared" si="35"/>
        <v>73</v>
      </c>
      <c r="P41" s="28">
        <f t="shared" si="35"/>
        <v>13</v>
      </c>
      <c r="Q41" s="28">
        <f t="shared" si="35"/>
        <v>26</v>
      </c>
      <c r="R41" s="28">
        <f t="shared" si="35"/>
        <v>34</v>
      </c>
      <c r="S41" s="26">
        <f t="shared" si="35"/>
        <v>73</v>
      </c>
      <c r="U41" s="27" t="s">
        <v>6</v>
      </c>
      <c r="V41" s="28">
        <f t="shared" ref="V41:AC41" si="36">V15-V40</f>
        <v>0</v>
      </c>
      <c r="W41" s="28">
        <f t="shared" si="36"/>
        <v>0</v>
      </c>
      <c r="X41" s="28">
        <f t="shared" si="36"/>
        <v>0</v>
      </c>
      <c r="Y41" s="28">
        <f t="shared" si="36"/>
        <v>0</v>
      </c>
      <c r="Z41" s="28">
        <f t="shared" si="36"/>
        <v>0</v>
      </c>
      <c r="AA41" s="28">
        <f t="shared" si="36"/>
        <v>0</v>
      </c>
      <c r="AB41" s="28">
        <f t="shared" si="36"/>
        <v>0</v>
      </c>
      <c r="AC41" s="26">
        <f t="shared" si="36"/>
        <v>0</v>
      </c>
    </row>
    <row r="42" spans="1:29" x14ac:dyDescent="0.15">
      <c r="L42" s="32"/>
      <c r="M42" s="32"/>
      <c r="N42" s="32"/>
      <c r="O42" s="32"/>
      <c r="V42" s="32"/>
      <c r="W42" s="32"/>
      <c r="X42" s="32"/>
      <c r="Y42" s="32"/>
    </row>
    <row r="44" spans="1:29" ht="18" thickBot="1" x14ac:dyDescent="0.25">
      <c r="A44" s="41" t="s">
        <v>17</v>
      </c>
      <c r="B44" s="2"/>
      <c r="C44" s="2"/>
      <c r="D44" s="2"/>
      <c r="E44" s="2"/>
      <c r="G44" s="1"/>
      <c r="H44" s="31" t="s">
        <v>16</v>
      </c>
      <c r="I44" s="1"/>
      <c r="J44" s="40"/>
      <c r="K44" s="41" t="s">
        <v>18</v>
      </c>
      <c r="L44" s="2"/>
      <c r="M44" s="2"/>
      <c r="N44" s="2"/>
      <c r="O44" s="2"/>
      <c r="P44" s="1"/>
      <c r="Q44" s="1"/>
      <c r="R44" s="31" t="s">
        <v>16</v>
      </c>
      <c r="S44" s="31"/>
      <c r="U44" s="41" t="s">
        <v>19</v>
      </c>
      <c r="V44" s="2"/>
      <c r="W44" s="2"/>
      <c r="X44" s="2"/>
      <c r="Y44" s="2"/>
      <c r="Z44" s="1"/>
      <c r="AA44" s="1"/>
      <c r="AB44" s="31" t="s">
        <v>16</v>
      </c>
      <c r="AC44" s="31"/>
    </row>
    <row r="45" spans="1:29" ht="14.25" thickBot="1" x14ac:dyDescent="0.2">
      <c r="A45" s="3" t="s">
        <v>0</v>
      </c>
      <c r="B45" s="75" t="s">
        <v>14</v>
      </c>
      <c r="C45" s="75"/>
      <c r="D45" s="75"/>
      <c r="E45" s="76"/>
      <c r="F45" s="73" t="s">
        <v>15</v>
      </c>
      <c r="G45" s="73"/>
      <c r="H45" s="73"/>
      <c r="I45" s="74"/>
      <c r="J45" s="40"/>
      <c r="K45" s="3" t="s">
        <v>0</v>
      </c>
      <c r="L45" s="75" t="s">
        <v>14</v>
      </c>
      <c r="M45" s="75"/>
      <c r="N45" s="75"/>
      <c r="O45" s="76"/>
      <c r="P45" s="73" t="s">
        <v>15</v>
      </c>
      <c r="Q45" s="73"/>
      <c r="R45" s="73"/>
      <c r="S45" s="74"/>
      <c r="U45" s="3" t="s">
        <v>0</v>
      </c>
      <c r="V45" s="75" t="s">
        <v>14</v>
      </c>
      <c r="W45" s="75"/>
      <c r="X45" s="75"/>
      <c r="Y45" s="76"/>
      <c r="Z45" s="73" t="s">
        <v>15</v>
      </c>
      <c r="AA45" s="73"/>
      <c r="AB45" s="73"/>
      <c r="AC45" s="74"/>
    </row>
    <row r="46" spans="1:29" ht="14.25" thickBot="1" x14ac:dyDescent="0.2">
      <c r="A46" s="3" t="s">
        <v>1</v>
      </c>
      <c r="B46" s="4" t="s">
        <v>7</v>
      </c>
      <c r="C46" s="3" t="s">
        <v>8</v>
      </c>
      <c r="D46" s="21" t="s">
        <v>9</v>
      </c>
      <c r="E46" s="3" t="s">
        <v>2</v>
      </c>
      <c r="F46" s="4" t="s">
        <v>7</v>
      </c>
      <c r="G46" s="3" t="s">
        <v>8</v>
      </c>
      <c r="H46" s="21" t="s">
        <v>9</v>
      </c>
      <c r="I46" s="3" t="s">
        <v>2</v>
      </c>
      <c r="J46" s="40"/>
      <c r="K46" s="3" t="s">
        <v>1</v>
      </c>
      <c r="L46" s="4" t="s">
        <v>7</v>
      </c>
      <c r="M46" s="3" t="s">
        <v>8</v>
      </c>
      <c r="N46" s="21" t="s">
        <v>9</v>
      </c>
      <c r="O46" s="3" t="s">
        <v>2</v>
      </c>
      <c r="P46" s="4" t="s">
        <v>7</v>
      </c>
      <c r="Q46" s="3" t="s">
        <v>8</v>
      </c>
      <c r="R46" s="21" t="s">
        <v>9</v>
      </c>
      <c r="S46" s="3" t="s">
        <v>2</v>
      </c>
      <c r="U46" s="3" t="s">
        <v>1</v>
      </c>
      <c r="V46" s="4" t="s">
        <v>7</v>
      </c>
      <c r="W46" s="3" t="s">
        <v>8</v>
      </c>
      <c r="X46" s="21" t="s">
        <v>9</v>
      </c>
      <c r="Y46" s="3" t="s">
        <v>2</v>
      </c>
      <c r="Z46" s="4" t="s">
        <v>7</v>
      </c>
      <c r="AA46" s="3" t="s">
        <v>8</v>
      </c>
      <c r="AB46" s="21" t="s">
        <v>9</v>
      </c>
      <c r="AC46" s="3" t="s">
        <v>2</v>
      </c>
    </row>
    <row r="47" spans="1:29" x14ac:dyDescent="0.15">
      <c r="A47" s="30" t="s">
        <v>20</v>
      </c>
      <c r="B47" s="43">
        <f>B41</f>
        <v>0</v>
      </c>
      <c r="C47" s="43">
        <f t="shared" ref="C47:D47" si="37">C41</f>
        <v>0</v>
      </c>
      <c r="D47" s="43">
        <f t="shared" si="37"/>
        <v>0</v>
      </c>
      <c r="E47" s="44">
        <f t="shared" ref="E47:E83" si="38">SUM(B47:D47)</f>
        <v>0</v>
      </c>
      <c r="F47" s="43">
        <f>F41</f>
        <v>0</v>
      </c>
      <c r="G47" s="43">
        <f t="shared" ref="G47:H47" si="39">G41</f>
        <v>0</v>
      </c>
      <c r="H47" s="43">
        <f t="shared" si="39"/>
        <v>0</v>
      </c>
      <c r="I47" s="20">
        <f t="shared" ref="I47:I83" si="40">SUM(F47:H47)</f>
        <v>0</v>
      </c>
      <c r="J47" s="38"/>
      <c r="K47" s="30" t="s">
        <v>20</v>
      </c>
      <c r="L47" s="43">
        <f>L41</f>
        <v>13</v>
      </c>
      <c r="M47" s="43">
        <f t="shared" ref="M47:N47" si="41">M41</f>
        <v>26</v>
      </c>
      <c r="N47" s="43">
        <f t="shared" si="41"/>
        <v>34</v>
      </c>
      <c r="O47" s="44">
        <f t="shared" ref="O47" si="42">SUM(L47:N47)</f>
        <v>73</v>
      </c>
      <c r="P47" s="43">
        <f>P41</f>
        <v>13</v>
      </c>
      <c r="Q47" s="43">
        <f t="shared" ref="Q47:R47" si="43">Q41</f>
        <v>26</v>
      </c>
      <c r="R47" s="43">
        <f t="shared" si="43"/>
        <v>34</v>
      </c>
      <c r="S47" s="20">
        <f t="shared" ref="S47" si="44">SUM(P47:R47)</f>
        <v>73</v>
      </c>
      <c r="T47" s="42"/>
      <c r="U47" s="30" t="s">
        <v>20</v>
      </c>
      <c r="V47" s="43">
        <f>V41</f>
        <v>0</v>
      </c>
      <c r="W47" s="43">
        <f t="shared" ref="W47:X47" si="45">W41</f>
        <v>0</v>
      </c>
      <c r="X47" s="43">
        <f t="shared" si="45"/>
        <v>0</v>
      </c>
      <c r="Y47" s="44">
        <f t="shared" ref="Y47" si="46">SUM(V47:X47)</f>
        <v>0</v>
      </c>
      <c r="Z47" s="43">
        <f>Z41</f>
        <v>0</v>
      </c>
      <c r="AA47" s="43">
        <f t="shared" ref="AA47:AB47" si="47">AA41</f>
        <v>0</v>
      </c>
      <c r="AB47" s="43">
        <f t="shared" si="47"/>
        <v>0</v>
      </c>
      <c r="AC47" s="20">
        <f t="shared" ref="AC47" si="48">SUM(Z47:AB47)</f>
        <v>0</v>
      </c>
    </row>
    <row r="48" spans="1:29" x14ac:dyDescent="0.15">
      <c r="A48" s="7" t="s">
        <v>3</v>
      </c>
      <c r="B48" s="19"/>
      <c r="C48" s="13"/>
      <c r="D48" s="19"/>
      <c r="E48" s="6">
        <f t="shared" si="38"/>
        <v>0</v>
      </c>
      <c r="F48" s="19"/>
      <c r="G48" s="13"/>
      <c r="H48" s="19"/>
      <c r="I48" s="6">
        <f t="shared" si="40"/>
        <v>0</v>
      </c>
      <c r="J48" s="38"/>
      <c r="K48" s="7" t="s">
        <v>3</v>
      </c>
      <c r="L48" s="19"/>
      <c r="M48" s="13"/>
      <c r="N48" s="19"/>
      <c r="O48" s="6">
        <f t="shared" ref="O48:O75" si="49">SUM(L48:N48)</f>
        <v>0</v>
      </c>
      <c r="P48" s="19"/>
      <c r="Q48" s="13"/>
      <c r="R48" s="19"/>
      <c r="S48" s="6">
        <f t="shared" ref="S48:S75" si="50">SUM(P48:R48)</f>
        <v>0</v>
      </c>
      <c r="U48" s="7" t="s">
        <v>3</v>
      </c>
      <c r="V48" s="19"/>
      <c r="W48" s="13"/>
      <c r="X48" s="19"/>
      <c r="Y48" s="6">
        <f t="shared" ref="Y48:Y75" si="51">SUM(V48:X48)</f>
        <v>0</v>
      </c>
      <c r="Z48" s="19"/>
      <c r="AA48" s="13"/>
      <c r="AB48" s="19"/>
      <c r="AC48" s="6">
        <f t="shared" ref="AC48:AC75" si="52">SUM(Z48:AB48)</f>
        <v>0</v>
      </c>
    </row>
    <row r="49" spans="1:30" x14ac:dyDescent="0.15">
      <c r="A49" s="7" t="s">
        <v>3</v>
      </c>
      <c r="B49" s="19"/>
      <c r="C49" s="13"/>
      <c r="D49" s="19"/>
      <c r="E49" s="6">
        <f t="shared" si="38"/>
        <v>0</v>
      </c>
      <c r="F49" s="19"/>
      <c r="G49" s="13"/>
      <c r="H49" s="19"/>
      <c r="I49" s="6">
        <f t="shared" si="40"/>
        <v>0</v>
      </c>
      <c r="J49" s="38"/>
      <c r="K49" s="7" t="s">
        <v>3</v>
      </c>
      <c r="L49" s="19"/>
      <c r="M49" s="13"/>
      <c r="N49" s="19"/>
      <c r="O49" s="6">
        <f t="shared" si="49"/>
        <v>0</v>
      </c>
      <c r="P49" s="19"/>
      <c r="Q49" s="13"/>
      <c r="R49" s="19"/>
      <c r="S49" s="6">
        <f t="shared" si="50"/>
        <v>0</v>
      </c>
      <c r="U49" s="30" t="s">
        <v>3</v>
      </c>
      <c r="V49" s="33">
        <v>40</v>
      </c>
      <c r="W49" s="34">
        <v>40</v>
      </c>
      <c r="X49" s="33">
        <v>30</v>
      </c>
      <c r="Y49" s="20">
        <f t="shared" si="51"/>
        <v>110</v>
      </c>
      <c r="Z49" s="33">
        <v>40</v>
      </c>
      <c r="AA49" s="34">
        <v>40</v>
      </c>
      <c r="AB49" s="33">
        <v>30</v>
      </c>
      <c r="AC49" s="20">
        <f t="shared" si="52"/>
        <v>110</v>
      </c>
      <c r="AD49" s="42">
        <v>46204</v>
      </c>
    </row>
    <row r="50" spans="1:30" x14ac:dyDescent="0.15">
      <c r="A50" s="7" t="s">
        <v>3</v>
      </c>
      <c r="B50" s="19"/>
      <c r="C50" s="13"/>
      <c r="D50" s="19"/>
      <c r="E50" s="6">
        <f t="shared" si="38"/>
        <v>0</v>
      </c>
      <c r="F50" s="19"/>
      <c r="G50" s="13"/>
      <c r="H50" s="19"/>
      <c r="I50" s="6">
        <f t="shared" si="40"/>
        <v>0</v>
      </c>
      <c r="J50" s="38"/>
      <c r="K50" s="7" t="s">
        <v>3</v>
      </c>
      <c r="L50" s="19"/>
      <c r="M50" s="13"/>
      <c r="N50" s="19"/>
      <c r="O50" s="6">
        <f t="shared" si="49"/>
        <v>0</v>
      </c>
      <c r="P50" s="19"/>
      <c r="Q50" s="13"/>
      <c r="R50" s="19"/>
      <c r="S50" s="6">
        <f t="shared" si="50"/>
        <v>0</v>
      </c>
      <c r="U50" s="7" t="s">
        <v>3</v>
      </c>
      <c r="V50" s="19"/>
      <c r="W50" s="13"/>
      <c r="X50" s="19"/>
      <c r="Y50" s="6">
        <f t="shared" si="51"/>
        <v>0</v>
      </c>
      <c r="Z50" s="19"/>
      <c r="AA50" s="13"/>
      <c r="AB50" s="19"/>
      <c r="AC50" s="6">
        <f t="shared" si="52"/>
        <v>0</v>
      </c>
    </row>
    <row r="51" spans="1:30" x14ac:dyDescent="0.15">
      <c r="A51" s="7" t="s">
        <v>3</v>
      </c>
      <c r="B51" s="19"/>
      <c r="C51" s="13"/>
      <c r="D51" s="19"/>
      <c r="E51" s="6">
        <f t="shared" si="38"/>
        <v>0</v>
      </c>
      <c r="F51" s="19"/>
      <c r="G51" s="13"/>
      <c r="H51" s="19"/>
      <c r="I51" s="6">
        <f t="shared" si="40"/>
        <v>0</v>
      </c>
      <c r="J51" s="38"/>
      <c r="K51" s="30" t="s">
        <v>3</v>
      </c>
      <c r="L51" s="61">
        <v>40</v>
      </c>
      <c r="M51" s="62">
        <v>40</v>
      </c>
      <c r="N51" s="61">
        <v>30</v>
      </c>
      <c r="O51" s="20">
        <f t="shared" si="49"/>
        <v>110</v>
      </c>
      <c r="P51" s="61">
        <v>40</v>
      </c>
      <c r="Q51" s="62">
        <v>40</v>
      </c>
      <c r="R51" s="61">
        <v>30</v>
      </c>
      <c r="S51" s="20">
        <f t="shared" si="50"/>
        <v>110</v>
      </c>
      <c r="T51" s="42">
        <v>46204</v>
      </c>
      <c r="U51" s="7" t="s">
        <v>3</v>
      </c>
      <c r="V51" s="12"/>
      <c r="W51" s="11"/>
      <c r="X51" s="12"/>
      <c r="Y51" s="6">
        <f t="shared" si="51"/>
        <v>0</v>
      </c>
      <c r="Z51" s="12"/>
      <c r="AA51" s="11"/>
      <c r="AB51" s="12"/>
      <c r="AC51" s="6">
        <f t="shared" si="52"/>
        <v>0</v>
      </c>
    </row>
    <row r="52" spans="1:30" x14ac:dyDescent="0.15">
      <c r="A52" s="7" t="s">
        <v>3</v>
      </c>
      <c r="B52" s="19"/>
      <c r="C52" s="13"/>
      <c r="D52" s="19"/>
      <c r="E52" s="6">
        <f t="shared" si="38"/>
        <v>0</v>
      </c>
      <c r="F52" s="19"/>
      <c r="G52" s="13"/>
      <c r="H52" s="19"/>
      <c r="I52" s="6">
        <f t="shared" si="40"/>
        <v>0</v>
      </c>
      <c r="J52" s="38"/>
      <c r="K52" s="7" t="s">
        <v>3</v>
      </c>
      <c r="L52" s="12"/>
      <c r="M52" s="11"/>
      <c r="N52" s="12"/>
      <c r="O52" s="6">
        <f t="shared" ref="O52" si="53">SUM(L52:N52)</f>
        <v>0</v>
      </c>
      <c r="P52" s="12"/>
      <c r="Q52" s="11"/>
      <c r="R52" s="12"/>
      <c r="S52" s="6">
        <f t="shared" ref="S52" si="54">SUM(P52:R52)</f>
        <v>0</v>
      </c>
      <c r="T52" s="36"/>
      <c r="U52" s="7" t="s">
        <v>3</v>
      </c>
      <c r="V52" s="12"/>
      <c r="W52" s="11"/>
      <c r="X52" s="12"/>
      <c r="Y52" s="6">
        <f t="shared" ref="Y52" si="55">SUM(V52:X52)</f>
        <v>0</v>
      </c>
      <c r="Z52" s="12"/>
      <c r="AA52" s="11"/>
      <c r="AB52" s="12"/>
      <c r="AC52" s="6">
        <f t="shared" ref="AC52" si="56">SUM(Z52:AB52)</f>
        <v>0</v>
      </c>
    </row>
    <row r="53" spans="1:30" x14ac:dyDescent="0.15">
      <c r="A53" s="7" t="s">
        <v>3</v>
      </c>
      <c r="B53" s="19"/>
      <c r="C53" s="13"/>
      <c r="D53" s="19"/>
      <c r="E53" s="6">
        <f t="shared" si="38"/>
        <v>0</v>
      </c>
      <c r="F53" s="19"/>
      <c r="G53" s="13"/>
      <c r="H53" s="19"/>
      <c r="I53" s="6">
        <f t="shared" si="40"/>
        <v>0</v>
      </c>
      <c r="J53" s="38"/>
      <c r="K53" s="7" t="s">
        <v>3</v>
      </c>
      <c r="L53" s="12"/>
      <c r="M53" s="11"/>
      <c r="N53" s="12"/>
      <c r="O53" s="6">
        <f t="shared" si="49"/>
        <v>0</v>
      </c>
      <c r="P53" s="12"/>
      <c r="Q53" s="11"/>
      <c r="R53" s="12"/>
      <c r="S53" s="6">
        <f t="shared" si="50"/>
        <v>0</v>
      </c>
      <c r="T53" s="36"/>
      <c r="U53" s="7" t="s">
        <v>3</v>
      </c>
      <c r="V53" s="12"/>
      <c r="W53" s="11"/>
      <c r="X53" s="12"/>
      <c r="Y53" s="6">
        <f t="shared" si="51"/>
        <v>0</v>
      </c>
      <c r="Z53" s="12"/>
      <c r="AA53" s="11"/>
      <c r="AB53" s="12"/>
      <c r="AC53" s="6">
        <f t="shared" si="52"/>
        <v>0</v>
      </c>
    </row>
    <row r="54" spans="1:30" x14ac:dyDescent="0.15">
      <c r="A54" s="7" t="s">
        <v>3</v>
      </c>
      <c r="B54" s="12"/>
      <c r="C54" s="11"/>
      <c r="D54" s="12"/>
      <c r="E54" s="6">
        <f t="shared" si="38"/>
        <v>0</v>
      </c>
      <c r="F54" s="12"/>
      <c r="G54" s="11"/>
      <c r="H54" s="12"/>
      <c r="I54" s="6">
        <f t="shared" si="40"/>
        <v>0</v>
      </c>
      <c r="J54" s="38"/>
      <c r="K54" s="7" t="s">
        <v>3</v>
      </c>
      <c r="L54" s="10"/>
      <c r="M54" s="11"/>
      <c r="N54" s="12"/>
      <c r="O54" s="6">
        <f t="shared" si="49"/>
        <v>0</v>
      </c>
      <c r="P54" s="12"/>
      <c r="Q54" s="11"/>
      <c r="R54" s="12"/>
      <c r="S54" s="6">
        <f t="shared" si="50"/>
        <v>0</v>
      </c>
      <c r="T54" s="36"/>
      <c r="U54" s="7" t="s">
        <v>3</v>
      </c>
      <c r="V54" s="12"/>
      <c r="W54" s="11"/>
      <c r="X54" s="12"/>
      <c r="Y54" s="6">
        <f t="shared" si="51"/>
        <v>0</v>
      </c>
      <c r="Z54" s="12"/>
      <c r="AA54" s="11"/>
      <c r="AB54" s="12"/>
      <c r="AC54" s="6">
        <f t="shared" si="52"/>
        <v>0</v>
      </c>
    </row>
    <row r="55" spans="1:30" x14ac:dyDescent="0.15">
      <c r="A55" s="7" t="s">
        <v>12</v>
      </c>
      <c r="B55" s="12"/>
      <c r="C55" s="11"/>
      <c r="D55" s="12"/>
      <c r="E55" s="6">
        <f t="shared" si="38"/>
        <v>0</v>
      </c>
      <c r="F55" s="12"/>
      <c r="G55" s="11"/>
      <c r="H55" s="12"/>
      <c r="I55" s="6">
        <f t="shared" si="40"/>
        <v>0</v>
      </c>
      <c r="J55" s="39"/>
      <c r="K55" s="7" t="s">
        <v>3</v>
      </c>
      <c r="L55" s="12"/>
      <c r="M55" s="11"/>
      <c r="N55" s="12"/>
      <c r="O55" s="6">
        <f t="shared" si="49"/>
        <v>0</v>
      </c>
      <c r="P55" s="12"/>
      <c r="Q55" s="11"/>
      <c r="R55" s="12"/>
      <c r="S55" s="6">
        <f t="shared" si="50"/>
        <v>0</v>
      </c>
      <c r="T55" s="36"/>
      <c r="U55" s="7" t="s">
        <v>3</v>
      </c>
      <c r="V55" s="12"/>
      <c r="W55" s="11"/>
      <c r="X55" s="12"/>
      <c r="Y55" s="6">
        <f t="shared" si="51"/>
        <v>0</v>
      </c>
      <c r="Z55" s="12"/>
      <c r="AA55" s="11"/>
      <c r="AB55" s="12"/>
      <c r="AC55" s="6">
        <f t="shared" si="52"/>
        <v>0</v>
      </c>
    </row>
    <row r="56" spans="1:30" x14ac:dyDescent="0.15">
      <c r="A56" s="7" t="s">
        <v>3</v>
      </c>
      <c r="B56" s="12"/>
      <c r="C56" s="11"/>
      <c r="D56" s="12"/>
      <c r="E56" s="6">
        <f t="shared" si="38"/>
        <v>0</v>
      </c>
      <c r="F56" s="12"/>
      <c r="G56" s="11"/>
      <c r="H56" s="12"/>
      <c r="I56" s="6">
        <f t="shared" si="40"/>
        <v>0</v>
      </c>
      <c r="J56" s="40"/>
      <c r="K56" s="7" t="s">
        <v>3</v>
      </c>
      <c r="L56" s="12"/>
      <c r="M56" s="11"/>
      <c r="N56" s="12"/>
      <c r="O56" s="6">
        <f t="shared" ref="O56" si="57">SUM(L56:N56)</f>
        <v>0</v>
      </c>
      <c r="P56" s="12"/>
      <c r="Q56" s="11"/>
      <c r="R56" s="12"/>
      <c r="S56" s="6">
        <f t="shared" ref="S56" si="58">SUM(P56:R56)</f>
        <v>0</v>
      </c>
      <c r="T56" s="36"/>
      <c r="U56" s="7" t="s">
        <v>3</v>
      </c>
      <c r="V56" s="12"/>
      <c r="W56" s="11"/>
      <c r="X56" s="12"/>
      <c r="Y56" s="6">
        <f t="shared" si="51"/>
        <v>0</v>
      </c>
      <c r="Z56" s="12"/>
      <c r="AA56" s="11"/>
      <c r="AB56" s="12"/>
      <c r="AC56" s="6">
        <f t="shared" si="52"/>
        <v>0</v>
      </c>
    </row>
    <row r="57" spans="1:30" ht="14.25" thickBot="1" x14ac:dyDescent="0.2">
      <c r="A57" s="8" t="s">
        <v>3</v>
      </c>
      <c r="B57" s="16"/>
      <c r="C57" s="15"/>
      <c r="D57" s="16"/>
      <c r="E57" s="22">
        <f t="shared" si="38"/>
        <v>0</v>
      </c>
      <c r="F57" s="16"/>
      <c r="G57" s="15"/>
      <c r="H57" s="16"/>
      <c r="I57" s="22">
        <f t="shared" si="40"/>
        <v>0</v>
      </c>
      <c r="J57" s="40"/>
      <c r="K57" s="8" t="s">
        <v>3</v>
      </c>
      <c r="L57" s="16"/>
      <c r="M57" s="15"/>
      <c r="N57" s="16"/>
      <c r="O57" s="22">
        <f t="shared" si="49"/>
        <v>0</v>
      </c>
      <c r="P57" s="16"/>
      <c r="Q57" s="15"/>
      <c r="R57" s="16"/>
      <c r="S57" s="22">
        <f t="shared" si="50"/>
        <v>0</v>
      </c>
      <c r="T57" s="36"/>
      <c r="U57" s="8" t="s">
        <v>3</v>
      </c>
      <c r="V57" s="16"/>
      <c r="W57" s="15"/>
      <c r="X57" s="16"/>
      <c r="Y57" s="22">
        <f t="shared" si="51"/>
        <v>0</v>
      </c>
      <c r="Z57" s="16"/>
      <c r="AA57" s="15"/>
      <c r="AB57" s="16"/>
      <c r="AC57" s="22">
        <f t="shared" si="52"/>
        <v>0</v>
      </c>
    </row>
    <row r="58" spans="1:30" ht="14.25" thickBot="1" x14ac:dyDescent="0.2">
      <c r="A58" s="23" t="s">
        <v>4</v>
      </c>
      <c r="B58" s="24">
        <f>SUM(B47:B57)</f>
        <v>0</v>
      </c>
      <c r="C58" s="24">
        <f>SUM(C47:C57)</f>
        <v>0</v>
      </c>
      <c r="D58" s="25">
        <f>SUM(D47:D57)</f>
        <v>0</v>
      </c>
      <c r="E58" s="26">
        <f t="shared" si="38"/>
        <v>0</v>
      </c>
      <c r="F58" s="24">
        <f>SUM(F47:F57)</f>
        <v>0</v>
      </c>
      <c r="G58" s="24">
        <f>SUM(G47:G57)</f>
        <v>0</v>
      </c>
      <c r="H58" s="25">
        <f>SUM(H47:H57)</f>
        <v>0</v>
      </c>
      <c r="I58" s="26">
        <f t="shared" si="40"/>
        <v>0</v>
      </c>
      <c r="J58" s="40"/>
      <c r="K58" s="23" t="s">
        <v>4</v>
      </c>
      <c r="L58" s="24">
        <f>SUM(L47:L57)</f>
        <v>53</v>
      </c>
      <c r="M58" s="24">
        <f>SUM(M47:M57)</f>
        <v>66</v>
      </c>
      <c r="N58" s="25">
        <f>SUM(N47:N57)</f>
        <v>64</v>
      </c>
      <c r="O58" s="26">
        <f t="shared" si="49"/>
        <v>183</v>
      </c>
      <c r="P58" s="24">
        <f>SUM(P47:P57)</f>
        <v>53</v>
      </c>
      <c r="Q58" s="24">
        <f>SUM(Q47:Q57)</f>
        <v>66</v>
      </c>
      <c r="R58" s="25">
        <f>SUM(R47:R57)</f>
        <v>64</v>
      </c>
      <c r="S58" s="26">
        <f t="shared" si="50"/>
        <v>183</v>
      </c>
      <c r="T58" s="36"/>
      <c r="U58" s="23" t="s">
        <v>4</v>
      </c>
      <c r="V58" s="24">
        <f>SUM(V47:V57)</f>
        <v>40</v>
      </c>
      <c r="W58" s="24">
        <f>SUM(W47:W57)</f>
        <v>40</v>
      </c>
      <c r="X58" s="25">
        <f>SUM(X47:X57)</f>
        <v>30</v>
      </c>
      <c r="Y58" s="26">
        <f t="shared" si="51"/>
        <v>110</v>
      </c>
      <c r="Z58" s="24">
        <f>SUM(Z47:Z57)</f>
        <v>40</v>
      </c>
      <c r="AA58" s="24">
        <f>SUM(AA47:AA57)</f>
        <v>40</v>
      </c>
      <c r="AB58" s="25">
        <f>SUM(AB47:AB57)</f>
        <v>30</v>
      </c>
      <c r="AC58" s="26">
        <f t="shared" si="52"/>
        <v>110</v>
      </c>
    </row>
    <row r="59" spans="1:30" x14ac:dyDescent="0.15">
      <c r="A59" s="5"/>
      <c r="B59" s="10"/>
      <c r="C59" s="11"/>
      <c r="D59" s="12"/>
      <c r="E59" s="6">
        <f t="shared" si="38"/>
        <v>0</v>
      </c>
      <c r="F59" s="10"/>
      <c r="G59" s="11"/>
      <c r="H59" s="12"/>
      <c r="I59" s="6">
        <f t="shared" si="40"/>
        <v>0</v>
      </c>
      <c r="J59" s="35"/>
      <c r="K59" s="5"/>
      <c r="L59" s="10"/>
      <c r="M59" s="11"/>
      <c r="N59" s="12"/>
      <c r="O59" s="6">
        <f t="shared" si="49"/>
        <v>0</v>
      </c>
      <c r="P59" s="10"/>
      <c r="Q59" s="11"/>
      <c r="R59" s="12"/>
      <c r="S59" s="6">
        <f t="shared" si="50"/>
        <v>0</v>
      </c>
      <c r="T59" s="35"/>
      <c r="U59" s="45" t="s">
        <v>27</v>
      </c>
      <c r="V59" s="56">
        <v>40</v>
      </c>
      <c r="W59" s="57">
        <v>40</v>
      </c>
      <c r="X59" s="58">
        <v>30</v>
      </c>
      <c r="Y59" s="20">
        <f t="shared" si="51"/>
        <v>110</v>
      </c>
      <c r="Z59" s="56">
        <v>40</v>
      </c>
      <c r="AA59" s="57">
        <v>40</v>
      </c>
      <c r="AB59" s="58">
        <v>30</v>
      </c>
      <c r="AC59" s="20">
        <f t="shared" si="52"/>
        <v>110</v>
      </c>
      <c r="AD59" s="42">
        <v>46204</v>
      </c>
    </row>
    <row r="60" spans="1:30" x14ac:dyDescent="0.15">
      <c r="A60" s="5"/>
      <c r="B60" s="10"/>
      <c r="C60" s="11"/>
      <c r="D60" s="12"/>
      <c r="E60" s="6">
        <f t="shared" si="38"/>
        <v>0</v>
      </c>
      <c r="F60" s="10"/>
      <c r="G60" s="11"/>
      <c r="H60" s="12"/>
      <c r="I60" s="6">
        <f t="shared" si="40"/>
        <v>0</v>
      </c>
      <c r="J60" s="38"/>
      <c r="K60" s="5"/>
      <c r="L60" s="10"/>
      <c r="M60" s="11"/>
      <c r="N60" s="12"/>
      <c r="O60" s="6">
        <f t="shared" si="49"/>
        <v>0</v>
      </c>
      <c r="P60" s="10"/>
      <c r="Q60" s="11"/>
      <c r="R60" s="12"/>
      <c r="S60" s="6">
        <f t="shared" si="50"/>
        <v>0</v>
      </c>
      <c r="T60" s="35"/>
      <c r="U60" s="5"/>
      <c r="V60" s="10"/>
      <c r="W60" s="11"/>
      <c r="X60" s="12"/>
      <c r="Y60" s="6">
        <f t="shared" si="51"/>
        <v>0</v>
      </c>
      <c r="Z60" s="10"/>
      <c r="AA60" s="11"/>
      <c r="AB60" s="12"/>
      <c r="AC60" s="6">
        <f t="shared" si="52"/>
        <v>0</v>
      </c>
    </row>
    <row r="61" spans="1:30" x14ac:dyDescent="0.15">
      <c r="A61" s="5"/>
      <c r="B61" s="10"/>
      <c r="C61" s="11"/>
      <c r="D61" s="12"/>
      <c r="E61" s="6">
        <f t="shared" si="38"/>
        <v>0</v>
      </c>
      <c r="F61" s="10"/>
      <c r="G61" s="11"/>
      <c r="H61" s="12"/>
      <c r="I61" s="6">
        <f t="shared" si="40"/>
        <v>0</v>
      </c>
      <c r="J61" s="38"/>
      <c r="K61" s="13"/>
      <c r="L61" s="10"/>
      <c r="M61" s="11"/>
      <c r="N61" s="12"/>
      <c r="O61" s="6">
        <f t="shared" si="49"/>
        <v>0</v>
      </c>
      <c r="P61" s="10"/>
      <c r="Q61" s="11"/>
      <c r="R61" s="12"/>
      <c r="S61" s="6">
        <f t="shared" si="50"/>
        <v>0</v>
      </c>
      <c r="T61" s="35"/>
      <c r="U61" s="5"/>
      <c r="V61" s="10"/>
      <c r="W61" s="11"/>
      <c r="X61" s="12"/>
      <c r="Y61" s="6">
        <f t="shared" ref="Y61" si="59">SUM(V61:X61)</f>
        <v>0</v>
      </c>
      <c r="Z61" s="10"/>
      <c r="AA61" s="11"/>
      <c r="AB61" s="12"/>
      <c r="AC61" s="6">
        <f t="shared" ref="AC61" si="60">SUM(Z61:AB61)</f>
        <v>0</v>
      </c>
    </row>
    <row r="62" spans="1:30" x14ac:dyDescent="0.15">
      <c r="A62" s="5"/>
      <c r="B62" s="10"/>
      <c r="C62" s="11"/>
      <c r="D62" s="12"/>
      <c r="E62" s="6">
        <f t="shared" si="38"/>
        <v>0</v>
      </c>
      <c r="F62" s="10"/>
      <c r="G62" s="11"/>
      <c r="H62" s="12"/>
      <c r="I62" s="6">
        <f t="shared" si="40"/>
        <v>0</v>
      </c>
      <c r="J62" s="38"/>
      <c r="K62" s="5"/>
      <c r="L62" s="10"/>
      <c r="M62" s="11"/>
      <c r="N62" s="12"/>
      <c r="O62" s="6">
        <f t="shared" si="49"/>
        <v>0</v>
      </c>
      <c r="P62" s="10"/>
      <c r="Q62" s="11"/>
      <c r="R62" s="12"/>
      <c r="S62" s="6">
        <f t="shared" si="50"/>
        <v>0</v>
      </c>
      <c r="T62" s="35"/>
      <c r="U62" s="5"/>
      <c r="V62" s="10"/>
      <c r="W62" s="11"/>
      <c r="X62" s="12"/>
      <c r="Y62" s="6">
        <f t="shared" si="51"/>
        <v>0</v>
      </c>
      <c r="Z62" s="10"/>
      <c r="AA62" s="11"/>
      <c r="AB62" s="12"/>
      <c r="AC62" s="6">
        <f t="shared" si="52"/>
        <v>0</v>
      </c>
    </row>
    <row r="63" spans="1:30" x14ac:dyDescent="0.15">
      <c r="A63" s="5"/>
      <c r="B63" s="10"/>
      <c r="C63" s="11"/>
      <c r="D63" s="12"/>
      <c r="E63" s="6">
        <f t="shared" si="38"/>
        <v>0</v>
      </c>
      <c r="F63" s="10"/>
      <c r="G63" s="11"/>
      <c r="H63" s="12"/>
      <c r="I63" s="6">
        <f t="shared" si="40"/>
        <v>0</v>
      </c>
      <c r="J63" s="38"/>
      <c r="K63" s="5"/>
      <c r="L63" s="10"/>
      <c r="M63" s="11"/>
      <c r="N63" s="12"/>
      <c r="O63" s="6">
        <f t="shared" si="49"/>
        <v>0</v>
      </c>
      <c r="P63" s="10"/>
      <c r="Q63" s="11"/>
      <c r="R63" s="12"/>
      <c r="S63" s="6">
        <f t="shared" si="50"/>
        <v>0</v>
      </c>
      <c r="T63" s="35"/>
      <c r="U63" s="5"/>
      <c r="V63" s="10"/>
      <c r="W63" s="11"/>
      <c r="X63" s="12"/>
      <c r="Y63" s="6">
        <f t="shared" si="51"/>
        <v>0</v>
      </c>
      <c r="Z63" s="10"/>
      <c r="AA63" s="11"/>
      <c r="AB63" s="12"/>
      <c r="AC63" s="6">
        <f t="shared" si="52"/>
        <v>0</v>
      </c>
    </row>
    <row r="64" spans="1:30" x14ac:dyDescent="0.15">
      <c r="A64" s="13"/>
      <c r="B64" s="10"/>
      <c r="C64" s="11"/>
      <c r="D64" s="12"/>
      <c r="E64" s="9">
        <f t="shared" si="38"/>
        <v>0</v>
      </c>
      <c r="F64" s="10"/>
      <c r="G64" s="11"/>
      <c r="H64" s="12"/>
      <c r="I64" s="9">
        <f t="shared" si="40"/>
        <v>0</v>
      </c>
      <c r="J64" s="38"/>
      <c r="K64" s="5"/>
      <c r="L64" s="10"/>
      <c r="M64" s="11"/>
      <c r="N64" s="12"/>
      <c r="O64" s="9">
        <f t="shared" si="49"/>
        <v>0</v>
      </c>
      <c r="P64" s="10"/>
      <c r="Q64" s="11"/>
      <c r="R64" s="12"/>
      <c r="S64" s="9">
        <f t="shared" si="50"/>
        <v>0</v>
      </c>
      <c r="T64" s="35"/>
      <c r="U64" s="5"/>
      <c r="V64" s="10"/>
      <c r="W64" s="11"/>
      <c r="X64" s="12"/>
      <c r="Y64" s="9">
        <f t="shared" si="51"/>
        <v>0</v>
      </c>
      <c r="Z64" s="10"/>
      <c r="AA64" s="11"/>
      <c r="AB64" s="12"/>
      <c r="AC64" s="9">
        <f t="shared" si="52"/>
        <v>0</v>
      </c>
    </row>
    <row r="65" spans="1:29" x14ac:dyDescent="0.15">
      <c r="A65" s="5"/>
      <c r="B65" s="10"/>
      <c r="C65" s="11"/>
      <c r="D65" s="12"/>
      <c r="E65" s="9">
        <f t="shared" si="38"/>
        <v>0</v>
      </c>
      <c r="F65" s="10"/>
      <c r="G65" s="11"/>
      <c r="H65" s="12"/>
      <c r="I65" s="9">
        <f t="shared" si="40"/>
        <v>0</v>
      </c>
      <c r="J65" s="38"/>
      <c r="K65" s="5"/>
      <c r="L65" s="10"/>
      <c r="M65" s="11"/>
      <c r="N65" s="12"/>
      <c r="O65" s="9">
        <f t="shared" si="49"/>
        <v>0</v>
      </c>
      <c r="P65" s="10"/>
      <c r="Q65" s="11"/>
      <c r="R65" s="12"/>
      <c r="S65" s="9">
        <f t="shared" si="50"/>
        <v>0</v>
      </c>
      <c r="T65" s="35"/>
      <c r="U65" s="5"/>
      <c r="V65" s="10"/>
      <c r="W65" s="11"/>
      <c r="X65" s="12"/>
      <c r="Y65" s="9">
        <f t="shared" si="51"/>
        <v>0</v>
      </c>
      <c r="Z65" s="10"/>
      <c r="AA65" s="11"/>
      <c r="AB65" s="12"/>
      <c r="AC65" s="9">
        <f t="shared" si="52"/>
        <v>0</v>
      </c>
    </row>
    <row r="66" spans="1:29" x14ac:dyDescent="0.15">
      <c r="A66" s="5"/>
      <c r="B66" s="10"/>
      <c r="C66" s="11"/>
      <c r="D66" s="12"/>
      <c r="E66" s="9">
        <f t="shared" si="38"/>
        <v>0</v>
      </c>
      <c r="F66" s="10"/>
      <c r="G66" s="11"/>
      <c r="H66" s="12"/>
      <c r="I66" s="9">
        <f t="shared" si="40"/>
        <v>0</v>
      </c>
      <c r="J66" s="38"/>
      <c r="K66" s="5"/>
      <c r="L66" s="10"/>
      <c r="M66" s="11"/>
      <c r="N66" s="12"/>
      <c r="O66" s="9">
        <f t="shared" si="49"/>
        <v>0</v>
      </c>
      <c r="P66" s="10"/>
      <c r="Q66" s="11"/>
      <c r="R66" s="12"/>
      <c r="S66" s="9">
        <f t="shared" si="50"/>
        <v>0</v>
      </c>
      <c r="T66" s="35"/>
      <c r="U66" s="5"/>
      <c r="V66" s="10"/>
      <c r="W66" s="11"/>
      <c r="X66" s="12"/>
      <c r="Y66" s="9">
        <f t="shared" si="51"/>
        <v>0</v>
      </c>
      <c r="Z66" s="10"/>
      <c r="AA66" s="11"/>
      <c r="AB66" s="12"/>
      <c r="AC66" s="9">
        <f t="shared" si="52"/>
        <v>0</v>
      </c>
    </row>
    <row r="67" spans="1:29" x14ac:dyDescent="0.15">
      <c r="A67" s="5"/>
      <c r="B67" s="10"/>
      <c r="C67" s="11"/>
      <c r="D67" s="12"/>
      <c r="E67" s="9">
        <f t="shared" si="38"/>
        <v>0</v>
      </c>
      <c r="F67" s="10"/>
      <c r="G67" s="11"/>
      <c r="H67" s="12"/>
      <c r="I67" s="9">
        <f t="shared" si="40"/>
        <v>0</v>
      </c>
      <c r="J67" s="38"/>
      <c r="K67" s="5"/>
      <c r="L67" s="10"/>
      <c r="M67" s="11"/>
      <c r="N67" s="12"/>
      <c r="O67" s="9">
        <f t="shared" si="49"/>
        <v>0</v>
      </c>
      <c r="P67" s="10"/>
      <c r="Q67" s="11"/>
      <c r="R67" s="12"/>
      <c r="S67" s="9">
        <f t="shared" si="50"/>
        <v>0</v>
      </c>
      <c r="T67" s="36"/>
      <c r="U67" s="5"/>
      <c r="V67" s="10"/>
      <c r="W67" s="11"/>
      <c r="X67" s="12"/>
      <c r="Y67" s="9">
        <f t="shared" si="51"/>
        <v>0</v>
      </c>
      <c r="Z67" s="10"/>
      <c r="AA67" s="11"/>
      <c r="AB67" s="12"/>
      <c r="AC67" s="9">
        <f t="shared" si="52"/>
        <v>0</v>
      </c>
    </row>
    <row r="68" spans="1:29" x14ac:dyDescent="0.15">
      <c r="A68" s="13"/>
      <c r="B68" s="10"/>
      <c r="C68" s="11"/>
      <c r="D68" s="12"/>
      <c r="E68" s="6">
        <f t="shared" si="38"/>
        <v>0</v>
      </c>
      <c r="F68" s="10"/>
      <c r="G68" s="11"/>
      <c r="H68" s="12"/>
      <c r="I68" s="6">
        <f t="shared" si="40"/>
        <v>0</v>
      </c>
      <c r="J68" s="35"/>
      <c r="K68" s="5"/>
      <c r="L68" s="10"/>
      <c r="M68" s="11"/>
      <c r="N68" s="12"/>
      <c r="O68" s="9">
        <f t="shared" si="49"/>
        <v>0</v>
      </c>
      <c r="P68" s="10"/>
      <c r="Q68" s="11"/>
      <c r="R68" s="12"/>
      <c r="S68" s="9">
        <f t="shared" si="50"/>
        <v>0</v>
      </c>
      <c r="T68" s="36"/>
      <c r="U68" s="5"/>
      <c r="V68" s="10"/>
      <c r="W68" s="11"/>
      <c r="X68" s="12"/>
      <c r="Y68" s="9">
        <f t="shared" si="51"/>
        <v>0</v>
      </c>
      <c r="Z68" s="10"/>
      <c r="AA68" s="11"/>
      <c r="AB68" s="12"/>
      <c r="AC68" s="9">
        <f t="shared" si="52"/>
        <v>0</v>
      </c>
    </row>
    <row r="69" spans="1:29" x14ac:dyDescent="0.15">
      <c r="A69" s="5"/>
      <c r="B69" s="10"/>
      <c r="C69" s="11"/>
      <c r="D69" s="12"/>
      <c r="E69" s="9">
        <f t="shared" si="38"/>
        <v>0</v>
      </c>
      <c r="F69" s="10"/>
      <c r="G69" s="11"/>
      <c r="H69" s="12"/>
      <c r="I69" s="9">
        <f t="shared" si="40"/>
        <v>0</v>
      </c>
      <c r="J69" s="38"/>
      <c r="K69" s="5"/>
      <c r="L69" s="10"/>
      <c r="M69" s="11"/>
      <c r="N69" s="12"/>
      <c r="O69" s="9">
        <f t="shared" si="49"/>
        <v>0</v>
      </c>
      <c r="P69" s="10"/>
      <c r="Q69" s="11"/>
      <c r="R69" s="12"/>
      <c r="S69" s="9">
        <f t="shared" si="50"/>
        <v>0</v>
      </c>
      <c r="T69" s="36"/>
      <c r="U69" s="5"/>
      <c r="V69" s="10"/>
      <c r="W69" s="11"/>
      <c r="X69" s="12"/>
      <c r="Y69" s="9">
        <f t="shared" si="51"/>
        <v>0</v>
      </c>
      <c r="Z69" s="10"/>
      <c r="AA69" s="11"/>
      <c r="AB69" s="12"/>
      <c r="AC69" s="9">
        <f t="shared" si="52"/>
        <v>0</v>
      </c>
    </row>
    <row r="70" spans="1:29" x14ac:dyDescent="0.15">
      <c r="A70" s="5"/>
      <c r="B70" s="10"/>
      <c r="C70" s="11"/>
      <c r="D70" s="12"/>
      <c r="E70" s="9">
        <f t="shared" si="38"/>
        <v>0</v>
      </c>
      <c r="F70" s="10"/>
      <c r="G70" s="11"/>
      <c r="H70" s="12"/>
      <c r="I70" s="9">
        <f t="shared" si="40"/>
        <v>0</v>
      </c>
      <c r="J70" s="38"/>
      <c r="K70" s="5"/>
      <c r="L70" s="10"/>
      <c r="M70" s="11"/>
      <c r="N70" s="12"/>
      <c r="O70" s="9">
        <f t="shared" si="49"/>
        <v>0</v>
      </c>
      <c r="P70" s="10"/>
      <c r="Q70" s="11"/>
      <c r="R70" s="12"/>
      <c r="S70" s="9">
        <f t="shared" si="50"/>
        <v>0</v>
      </c>
      <c r="T70" s="36"/>
      <c r="U70" s="5"/>
      <c r="V70" s="10"/>
      <c r="W70" s="11"/>
      <c r="X70" s="12"/>
      <c r="Y70" s="9">
        <f t="shared" si="51"/>
        <v>0</v>
      </c>
      <c r="Z70" s="10"/>
      <c r="AA70" s="11"/>
      <c r="AB70" s="12"/>
      <c r="AC70" s="9">
        <f t="shared" si="52"/>
        <v>0</v>
      </c>
    </row>
    <row r="71" spans="1:29" x14ac:dyDescent="0.15">
      <c r="A71" s="5"/>
      <c r="B71" s="10"/>
      <c r="C71" s="11"/>
      <c r="D71" s="12"/>
      <c r="E71" s="9">
        <f t="shared" si="38"/>
        <v>0</v>
      </c>
      <c r="F71" s="10"/>
      <c r="G71" s="11"/>
      <c r="H71" s="12"/>
      <c r="I71" s="9">
        <f t="shared" si="40"/>
        <v>0</v>
      </c>
      <c r="J71" s="38"/>
      <c r="K71" s="5"/>
      <c r="L71" s="10"/>
      <c r="M71" s="11"/>
      <c r="N71" s="12"/>
      <c r="O71" s="9">
        <f t="shared" si="49"/>
        <v>0</v>
      </c>
      <c r="P71" s="10"/>
      <c r="Q71" s="11"/>
      <c r="R71" s="12"/>
      <c r="S71" s="9">
        <f t="shared" si="50"/>
        <v>0</v>
      </c>
      <c r="T71" s="36"/>
      <c r="U71" s="5"/>
      <c r="V71" s="10"/>
      <c r="W71" s="11"/>
      <c r="X71" s="12"/>
      <c r="Y71" s="9">
        <f t="shared" si="51"/>
        <v>0</v>
      </c>
      <c r="Z71" s="10"/>
      <c r="AA71" s="11"/>
      <c r="AB71" s="12"/>
      <c r="AC71" s="9">
        <f t="shared" si="52"/>
        <v>0</v>
      </c>
    </row>
    <row r="72" spans="1:29" x14ac:dyDescent="0.15">
      <c r="A72" s="13"/>
      <c r="B72" s="10"/>
      <c r="C72" s="11"/>
      <c r="D72" s="12"/>
      <c r="E72" s="9">
        <f t="shared" si="38"/>
        <v>0</v>
      </c>
      <c r="F72" s="10"/>
      <c r="G72" s="11"/>
      <c r="H72" s="12"/>
      <c r="I72" s="9">
        <f t="shared" si="40"/>
        <v>0</v>
      </c>
      <c r="J72" s="38"/>
      <c r="K72" s="13"/>
      <c r="L72" s="10"/>
      <c r="M72" s="11"/>
      <c r="N72" s="12"/>
      <c r="O72" s="9">
        <f t="shared" si="49"/>
        <v>0</v>
      </c>
      <c r="P72" s="10"/>
      <c r="Q72" s="11"/>
      <c r="R72" s="12"/>
      <c r="S72" s="9">
        <f t="shared" si="50"/>
        <v>0</v>
      </c>
      <c r="T72" s="36"/>
      <c r="U72" s="13"/>
      <c r="V72" s="10"/>
      <c r="W72" s="11"/>
      <c r="X72" s="12"/>
      <c r="Y72" s="9">
        <f t="shared" si="51"/>
        <v>0</v>
      </c>
      <c r="Z72" s="10"/>
      <c r="AA72" s="11"/>
      <c r="AB72" s="12"/>
      <c r="AC72" s="9">
        <f t="shared" si="52"/>
        <v>0</v>
      </c>
    </row>
    <row r="73" spans="1:29" x14ac:dyDescent="0.15">
      <c r="A73" s="5"/>
      <c r="B73" s="10"/>
      <c r="C73" s="11"/>
      <c r="D73" s="12"/>
      <c r="E73" s="9">
        <f t="shared" si="38"/>
        <v>0</v>
      </c>
      <c r="F73" s="10"/>
      <c r="G73" s="11"/>
      <c r="H73" s="12"/>
      <c r="I73" s="9">
        <f t="shared" si="40"/>
        <v>0</v>
      </c>
      <c r="J73" s="38"/>
      <c r="K73" s="5"/>
      <c r="L73" s="10"/>
      <c r="M73" s="11"/>
      <c r="N73" s="12"/>
      <c r="O73" s="9">
        <f t="shared" si="49"/>
        <v>0</v>
      </c>
      <c r="P73" s="10"/>
      <c r="Q73" s="11"/>
      <c r="R73" s="12"/>
      <c r="S73" s="9">
        <f t="shared" si="50"/>
        <v>0</v>
      </c>
      <c r="T73" s="36"/>
      <c r="U73" s="5"/>
      <c r="V73" s="10"/>
      <c r="W73" s="11"/>
      <c r="X73" s="12"/>
      <c r="Y73" s="9">
        <f t="shared" si="51"/>
        <v>0</v>
      </c>
      <c r="Z73" s="10"/>
      <c r="AA73" s="11"/>
      <c r="AB73" s="12"/>
      <c r="AC73" s="9">
        <f t="shared" si="52"/>
        <v>0</v>
      </c>
    </row>
    <row r="74" spans="1:29" x14ac:dyDescent="0.15">
      <c r="A74" s="5"/>
      <c r="B74" s="10"/>
      <c r="C74" s="11"/>
      <c r="D74" s="12"/>
      <c r="E74" s="9">
        <f t="shared" si="38"/>
        <v>0</v>
      </c>
      <c r="F74" s="10"/>
      <c r="G74" s="11"/>
      <c r="H74" s="12"/>
      <c r="I74" s="9">
        <f t="shared" si="40"/>
        <v>0</v>
      </c>
      <c r="J74" s="38"/>
      <c r="K74" s="13"/>
      <c r="L74" s="10"/>
      <c r="M74" s="11"/>
      <c r="N74" s="12"/>
      <c r="O74" s="9">
        <f t="shared" si="49"/>
        <v>0</v>
      </c>
      <c r="P74" s="10"/>
      <c r="Q74" s="11"/>
      <c r="R74" s="12"/>
      <c r="S74" s="9">
        <f t="shared" si="50"/>
        <v>0</v>
      </c>
      <c r="T74" s="36"/>
      <c r="U74" s="13"/>
      <c r="V74" s="10"/>
      <c r="W74" s="11"/>
      <c r="X74" s="12"/>
      <c r="Y74" s="9">
        <f t="shared" si="51"/>
        <v>0</v>
      </c>
      <c r="Z74" s="10"/>
      <c r="AA74" s="11"/>
      <c r="AB74" s="12"/>
      <c r="AC74" s="9">
        <f t="shared" si="52"/>
        <v>0</v>
      </c>
    </row>
    <row r="75" spans="1:29" x14ac:dyDescent="0.15">
      <c r="A75" s="13"/>
      <c r="B75" s="10"/>
      <c r="C75" s="11"/>
      <c r="D75" s="12"/>
      <c r="E75" s="9">
        <f t="shared" si="38"/>
        <v>0</v>
      </c>
      <c r="F75" s="10"/>
      <c r="G75" s="11"/>
      <c r="H75" s="12"/>
      <c r="I75" s="9">
        <f t="shared" si="40"/>
        <v>0</v>
      </c>
      <c r="J75" s="38"/>
      <c r="K75" s="13"/>
      <c r="L75" s="14"/>
      <c r="M75" s="15"/>
      <c r="N75" s="16"/>
      <c r="O75" s="9">
        <f t="shared" si="49"/>
        <v>0</v>
      </c>
      <c r="P75" s="14"/>
      <c r="Q75" s="15"/>
      <c r="R75" s="16"/>
      <c r="S75" s="9">
        <f t="shared" si="50"/>
        <v>0</v>
      </c>
      <c r="T75" s="37"/>
      <c r="U75" s="13"/>
      <c r="V75" s="14"/>
      <c r="W75" s="15"/>
      <c r="X75" s="16"/>
      <c r="Y75" s="9">
        <f t="shared" si="51"/>
        <v>0</v>
      </c>
      <c r="Z75" s="14"/>
      <c r="AA75" s="15"/>
      <c r="AB75" s="16"/>
      <c r="AC75" s="9">
        <f t="shared" si="52"/>
        <v>0</v>
      </c>
    </row>
    <row r="76" spans="1:29" x14ac:dyDescent="0.15">
      <c r="A76" s="5"/>
      <c r="B76" s="10"/>
      <c r="C76" s="11"/>
      <c r="D76" s="12"/>
      <c r="E76" s="9">
        <f t="shared" si="38"/>
        <v>0</v>
      </c>
      <c r="F76" s="10"/>
      <c r="G76" s="11"/>
      <c r="H76" s="12"/>
      <c r="I76" s="9">
        <f t="shared" si="40"/>
        <v>0</v>
      </c>
      <c r="J76" s="38"/>
      <c r="K76" s="13"/>
      <c r="L76" s="10"/>
      <c r="M76" s="11"/>
      <c r="N76" s="12"/>
      <c r="O76" s="9">
        <f>SUM(L76:N76)</f>
        <v>0</v>
      </c>
      <c r="P76" s="10"/>
      <c r="Q76" s="11"/>
      <c r="R76" s="12"/>
      <c r="S76" s="9">
        <f>SUM(P76:R76)</f>
        <v>0</v>
      </c>
      <c r="T76" s="37"/>
      <c r="U76" s="13"/>
      <c r="V76" s="10"/>
      <c r="W76" s="11"/>
      <c r="X76" s="12"/>
      <c r="Y76" s="9">
        <f>SUM(V76:X76)</f>
        <v>0</v>
      </c>
      <c r="Z76" s="10"/>
      <c r="AA76" s="11"/>
      <c r="AB76" s="12"/>
      <c r="AC76" s="9">
        <f>SUM(Z76:AB76)</f>
        <v>0</v>
      </c>
    </row>
    <row r="77" spans="1:29" x14ac:dyDescent="0.15">
      <c r="A77" s="29"/>
      <c r="B77" s="10"/>
      <c r="C77" s="11"/>
      <c r="D77" s="12"/>
      <c r="E77" s="9">
        <f t="shared" si="38"/>
        <v>0</v>
      </c>
      <c r="F77" s="10"/>
      <c r="G77" s="11"/>
      <c r="H77" s="12"/>
      <c r="I77" s="9">
        <f t="shared" si="40"/>
        <v>0</v>
      </c>
      <c r="J77" s="39"/>
      <c r="K77" s="13"/>
      <c r="L77" s="10"/>
      <c r="M77" s="11"/>
      <c r="N77" s="12"/>
      <c r="O77" s="9">
        <f>SUM(L77:N77)</f>
        <v>0</v>
      </c>
      <c r="P77" s="10"/>
      <c r="Q77" s="11"/>
      <c r="R77" s="12"/>
      <c r="S77" s="9">
        <f>SUM(P77:R77)</f>
        <v>0</v>
      </c>
      <c r="T77" s="37"/>
      <c r="U77" s="13"/>
      <c r="V77" s="10"/>
      <c r="W77" s="11"/>
      <c r="X77" s="12"/>
      <c r="Y77" s="9">
        <f t="shared" ref="Y77:Y83" si="61">SUM(V77:X77)</f>
        <v>0</v>
      </c>
      <c r="Z77" s="10"/>
      <c r="AA77" s="11"/>
      <c r="AB77" s="12"/>
      <c r="AC77" s="9">
        <f t="shared" ref="AC77:AC83" si="62">SUM(Z77:AB77)</f>
        <v>0</v>
      </c>
    </row>
    <row r="78" spans="1:29" x14ac:dyDescent="0.15">
      <c r="A78" s="13"/>
      <c r="B78" s="10"/>
      <c r="C78" s="11"/>
      <c r="D78" s="12"/>
      <c r="E78" s="9">
        <f t="shared" si="38"/>
        <v>0</v>
      </c>
      <c r="F78" s="10"/>
      <c r="G78" s="11"/>
      <c r="H78" s="12"/>
      <c r="I78" s="9">
        <f t="shared" si="40"/>
        <v>0</v>
      </c>
      <c r="J78" s="38"/>
      <c r="K78" s="13"/>
      <c r="L78" s="10"/>
      <c r="M78" s="11"/>
      <c r="N78" s="12"/>
      <c r="O78" s="9">
        <f>SUM(L78:N78)</f>
        <v>0</v>
      </c>
      <c r="P78" s="10"/>
      <c r="Q78" s="11"/>
      <c r="R78" s="12"/>
      <c r="S78" s="9">
        <f>SUM(P78:R78)</f>
        <v>0</v>
      </c>
      <c r="T78" s="37"/>
      <c r="U78" s="13"/>
      <c r="V78" s="10"/>
      <c r="W78" s="11"/>
      <c r="X78" s="12"/>
      <c r="Y78" s="9">
        <f t="shared" si="61"/>
        <v>0</v>
      </c>
      <c r="Z78" s="10"/>
      <c r="AA78" s="11"/>
      <c r="AB78" s="12"/>
      <c r="AC78" s="9">
        <f t="shared" si="62"/>
        <v>0</v>
      </c>
    </row>
    <row r="79" spans="1:29" x14ac:dyDescent="0.15">
      <c r="A79" s="5"/>
      <c r="B79" s="10"/>
      <c r="C79" s="11"/>
      <c r="D79" s="12"/>
      <c r="E79" s="9">
        <f t="shared" si="38"/>
        <v>0</v>
      </c>
      <c r="F79" s="10"/>
      <c r="G79" s="11"/>
      <c r="H79" s="12"/>
      <c r="I79" s="9">
        <f t="shared" si="40"/>
        <v>0</v>
      </c>
      <c r="J79" s="38"/>
      <c r="K79" s="13"/>
      <c r="L79" s="10"/>
      <c r="M79" s="11"/>
      <c r="N79" s="12"/>
      <c r="O79" s="9">
        <f t="shared" ref="O79:O80" si="63">SUM(L79:N79)</f>
        <v>0</v>
      </c>
      <c r="P79" s="10"/>
      <c r="Q79" s="11"/>
      <c r="R79" s="12"/>
      <c r="S79" s="9">
        <f t="shared" ref="S79:S80" si="64">SUM(P79:R79)</f>
        <v>0</v>
      </c>
      <c r="T79" s="37"/>
      <c r="U79" s="13"/>
      <c r="V79" s="10"/>
      <c r="W79" s="11"/>
      <c r="X79" s="12"/>
      <c r="Y79" s="9">
        <f t="shared" si="61"/>
        <v>0</v>
      </c>
      <c r="Z79" s="10"/>
      <c r="AA79" s="11"/>
      <c r="AB79" s="12"/>
      <c r="AC79" s="9">
        <f t="shared" si="62"/>
        <v>0</v>
      </c>
    </row>
    <row r="80" spans="1:29" x14ac:dyDescent="0.15">
      <c r="A80" s="13"/>
      <c r="B80" s="10"/>
      <c r="C80" s="11"/>
      <c r="D80" s="12"/>
      <c r="E80" s="9">
        <f t="shared" si="38"/>
        <v>0</v>
      </c>
      <c r="F80" s="10"/>
      <c r="G80" s="11"/>
      <c r="H80" s="12"/>
      <c r="I80" s="9">
        <f t="shared" si="40"/>
        <v>0</v>
      </c>
      <c r="J80" s="38"/>
      <c r="K80" s="13"/>
      <c r="L80" s="10"/>
      <c r="M80" s="11"/>
      <c r="N80" s="12"/>
      <c r="O80" s="9">
        <f t="shared" si="63"/>
        <v>0</v>
      </c>
      <c r="P80" s="10"/>
      <c r="Q80" s="11"/>
      <c r="R80" s="12"/>
      <c r="S80" s="9">
        <f t="shared" si="64"/>
        <v>0</v>
      </c>
      <c r="T80" s="37"/>
      <c r="U80" s="13"/>
      <c r="V80" s="10"/>
      <c r="W80" s="11"/>
      <c r="X80" s="12"/>
      <c r="Y80" s="9">
        <f t="shared" si="61"/>
        <v>0</v>
      </c>
      <c r="Z80" s="10"/>
      <c r="AA80" s="11"/>
      <c r="AB80" s="12"/>
      <c r="AC80" s="9">
        <f t="shared" si="62"/>
        <v>0</v>
      </c>
    </row>
    <row r="81" spans="1:30" x14ac:dyDescent="0.15">
      <c r="A81" s="13"/>
      <c r="B81" s="10"/>
      <c r="C81" s="11"/>
      <c r="D81" s="12"/>
      <c r="E81" s="9">
        <f t="shared" si="38"/>
        <v>0</v>
      </c>
      <c r="F81" s="10"/>
      <c r="G81" s="11"/>
      <c r="H81" s="12"/>
      <c r="I81" s="9">
        <f t="shared" si="40"/>
        <v>0</v>
      </c>
      <c r="J81" s="38"/>
      <c r="K81" s="51" t="s">
        <v>29</v>
      </c>
      <c r="L81" s="52">
        <v>-20</v>
      </c>
      <c r="M81" s="53">
        <v>-10</v>
      </c>
      <c r="N81" s="54">
        <v>-15</v>
      </c>
      <c r="O81" s="55">
        <f t="shared" ref="O81:O82" si="65">SUM(L81:N81)</f>
        <v>-45</v>
      </c>
      <c r="P81" s="52">
        <v>-20</v>
      </c>
      <c r="Q81" s="53">
        <v>-10</v>
      </c>
      <c r="R81" s="54">
        <v>-15</v>
      </c>
      <c r="S81" s="55">
        <f t="shared" ref="S81:S82" si="66">SUM(P81:R81)</f>
        <v>-45</v>
      </c>
      <c r="T81" s="50"/>
      <c r="U81" s="13"/>
      <c r="V81" s="10"/>
      <c r="W81" s="11"/>
      <c r="X81" s="12"/>
      <c r="Y81" s="9">
        <f t="shared" si="61"/>
        <v>0</v>
      </c>
      <c r="Z81" s="10"/>
      <c r="AA81" s="11"/>
      <c r="AB81" s="12"/>
      <c r="AC81" s="9">
        <f t="shared" si="62"/>
        <v>0</v>
      </c>
    </row>
    <row r="82" spans="1:30" ht="14.25" thickBot="1" x14ac:dyDescent="0.2">
      <c r="A82" s="13"/>
      <c r="B82" s="10"/>
      <c r="C82" s="11"/>
      <c r="D82" s="12"/>
      <c r="E82" s="9">
        <f t="shared" si="38"/>
        <v>0</v>
      </c>
      <c r="F82" s="10"/>
      <c r="G82" s="11"/>
      <c r="H82" s="12"/>
      <c r="I82" s="9">
        <f t="shared" si="40"/>
        <v>0</v>
      </c>
      <c r="J82" s="38"/>
      <c r="K82" s="45" t="s">
        <v>28</v>
      </c>
      <c r="L82" s="46">
        <f>45-5</f>
        <v>40</v>
      </c>
      <c r="M82" s="47">
        <f>35-5</f>
        <v>30</v>
      </c>
      <c r="N82" s="48">
        <f>35-5</f>
        <v>30</v>
      </c>
      <c r="O82" s="49">
        <f t="shared" si="65"/>
        <v>100</v>
      </c>
      <c r="P82" s="46">
        <f>45-5</f>
        <v>40</v>
      </c>
      <c r="Q82" s="47">
        <f>35-5</f>
        <v>30</v>
      </c>
      <c r="R82" s="48">
        <f>35-5</f>
        <v>30</v>
      </c>
      <c r="S82" s="49">
        <f t="shared" si="66"/>
        <v>100</v>
      </c>
      <c r="T82" s="50" t="s">
        <v>35</v>
      </c>
      <c r="U82" s="13"/>
      <c r="V82" s="10"/>
      <c r="W82" s="11"/>
      <c r="X82" s="12"/>
      <c r="Y82" s="9">
        <f t="shared" si="61"/>
        <v>0</v>
      </c>
      <c r="Z82" s="10"/>
      <c r="AA82" s="11"/>
      <c r="AB82" s="12"/>
      <c r="AC82" s="9">
        <f t="shared" si="62"/>
        <v>0</v>
      </c>
    </row>
    <row r="83" spans="1:30" ht="14.25" thickBot="1" x14ac:dyDescent="0.2">
      <c r="A83" s="4" t="s">
        <v>5</v>
      </c>
      <c r="B83" s="17">
        <f>SUM(B59:B82)</f>
        <v>0</v>
      </c>
      <c r="C83" s="17">
        <f>SUM(C59:C82)</f>
        <v>0</v>
      </c>
      <c r="D83" s="17">
        <f>SUM(D59:D82)</f>
        <v>0</v>
      </c>
      <c r="E83" s="18">
        <f t="shared" si="38"/>
        <v>0</v>
      </c>
      <c r="F83" s="17">
        <f>SUM(F59:F82)</f>
        <v>0</v>
      </c>
      <c r="G83" s="17">
        <f>SUM(G59:G82)</f>
        <v>0</v>
      </c>
      <c r="H83" s="17">
        <f>SUM(H59:H82)</f>
        <v>0</v>
      </c>
      <c r="I83" s="18">
        <f t="shared" si="40"/>
        <v>0</v>
      </c>
      <c r="J83" s="40"/>
      <c r="K83" s="4" t="s">
        <v>5</v>
      </c>
      <c r="L83" s="17">
        <f>SUM(L59:L82)</f>
        <v>20</v>
      </c>
      <c r="M83" s="17">
        <f>SUM(M59:M82)</f>
        <v>20</v>
      </c>
      <c r="N83" s="17">
        <f>SUM(N59:N82)</f>
        <v>15</v>
      </c>
      <c r="O83" s="18">
        <f t="shared" ref="O83" si="67">SUM(L83:N83)</f>
        <v>55</v>
      </c>
      <c r="P83" s="17">
        <f>SUM(P59:P82)</f>
        <v>20</v>
      </c>
      <c r="Q83" s="17">
        <f>SUM(Q59:Q82)</f>
        <v>20</v>
      </c>
      <c r="R83" s="17">
        <f>SUM(R59:R82)</f>
        <v>15</v>
      </c>
      <c r="S83" s="18">
        <f t="shared" ref="S83" si="68">SUM(P83:R83)</f>
        <v>55</v>
      </c>
      <c r="U83" s="4" t="s">
        <v>5</v>
      </c>
      <c r="V83" s="17">
        <f>SUM(V59:V82)</f>
        <v>40</v>
      </c>
      <c r="W83" s="17">
        <f>SUM(W59:W82)</f>
        <v>40</v>
      </c>
      <c r="X83" s="17">
        <f>SUM(X59:X82)</f>
        <v>30</v>
      </c>
      <c r="Y83" s="18">
        <f t="shared" si="61"/>
        <v>110</v>
      </c>
      <c r="Z83" s="17">
        <f>SUM(Z59:Z82)</f>
        <v>40</v>
      </c>
      <c r="AA83" s="17">
        <f>SUM(AA59:AA82)</f>
        <v>40</v>
      </c>
      <c r="AB83" s="17">
        <f>SUM(AB59:AB82)</f>
        <v>30</v>
      </c>
      <c r="AC83" s="18">
        <f t="shared" si="62"/>
        <v>110</v>
      </c>
    </row>
    <row r="84" spans="1:30" ht="14.25" thickBot="1" x14ac:dyDescent="0.2">
      <c r="A84" s="27" t="s">
        <v>6</v>
      </c>
      <c r="B84" s="28">
        <f t="shared" ref="B84:I84" si="69">B58-B83</f>
        <v>0</v>
      </c>
      <c r="C84" s="28">
        <f t="shared" si="69"/>
        <v>0</v>
      </c>
      <c r="D84" s="28">
        <f t="shared" si="69"/>
        <v>0</v>
      </c>
      <c r="E84" s="28">
        <f t="shared" si="69"/>
        <v>0</v>
      </c>
      <c r="F84" s="28">
        <f t="shared" si="69"/>
        <v>0</v>
      </c>
      <c r="G84" s="28">
        <f t="shared" si="69"/>
        <v>0</v>
      </c>
      <c r="H84" s="28">
        <f t="shared" si="69"/>
        <v>0</v>
      </c>
      <c r="I84" s="26">
        <f t="shared" si="69"/>
        <v>0</v>
      </c>
      <c r="J84" s="40"/>
      <c r="K84" s="27" t="s">
        <v>6</v>
      </c>
      <c r="L84" s="28">
        <f t="shared" ref="L84:S84" si="70">L58-L83</f>
        <v>33</v>
      </c>
      <c r="M84" s="28">
        <f t="shared" si="70"/>
        <v>46</v>
      </c>
      <c r="N84" s="28">
        <f t="shared" si="70"/>
        <v>49</v>
      </c>
      <c r="O84" s="28">
        <f t="shared" si="70"/>
        <v>128</v>
      </c>
      <c r="P84" s="28">
        <f t="shared" si="70"/>
        <v>33</v>
      </c>
      <c r="Q84" s="28">
        <f t="shared" si="70"/>
        <v>46</v>
      </c>
      <c r="R84" s="28">
        <f t="shared" si="70"/>
        <v>49</v>
      </c>
      <c r="S84" s="26">
        <f t="shared" si="70"/>
        <v>128</v>
      </c>
      <c r="U84" s="27" t="s">
        <v>6</v>
      </c>
      <c r="V84" s="28">
        <f t="shared" ref="V84:AC84" si="71">V58-V83</f>
        <v>0</v>
      </c>
      <c r="W84" s="28">
        <f t="shared" si="71"/>
        <v>0</v>
      </c>
      <c r="X84" s="28">
        <f t="shared" si="71"/>
        <v>0</v>
      </c>
      <c r="Y84" s="28">
        <f t="shared" si="71"/>
        <v>0</v>
      </c>
      <c r="Z84" s="28">
        <f t="shared" si="71"/>
        <v>0</v>
      </c>
      <c r="AA84" s="28">
        <f t="shared" si="71"/>
        <v>0</v>
      </c>
      <c r="AB84" s="28">
        <f t="shared" si="71"/>
        <v>0</v>
      </c>
      <c r="AC84" s="26">
        <f t="shared" si="71"/>
        <v>0</v>
      </c>
    </row>
    <row r="85" spans="1:30" x14ac:dyDescent="0.15">
      <c r="K85" s="69"/>
      <c r="U85" s="70"/>
      <c r="V85" s="71"/>
      <c r="W85" s="71"/>
      <c r="X85" s="71"/>
      <c r="Y85" s="71"/>
      <c r="Z85" s="71"/>
      <c r="AA85" s="71"/>
      <c r="AB85" s="71"/>
    </row>
    <row r="87" spans="1:30" ht="18" thickBot="1" x14ac:dyDescent="0.25">
      <c r="A87" s="41" t="s">
        <v>17</v>
      </c>
      <c r="B87" s="2"/>
      <c r="C87" s="2"/>
      <c r="D87" s="2"/>
      <c r="E87" s="2"/>
      <c r="G87" s="1"/>
      <c r="H87" s="31" t="s">
        <v>16</v>
      </c>
      <c r="I87" s="1"/>
      <c r="K87" s="41" t="s">
        <v>18</v>
      </c>
      <c r="L87" s="2"/>
      <c r="M87" s="2"/>
      <c r="N87" s="2"/>
      <c r="O87" s="2"/>
      <c r="P87" s="1"/>
      <c r="Q87" s="1"/>
      <c r="R87" s="31" t="s">
        <v>16</v>
      </c>
      <c r="S87" s="31"/>
      <c r="U87" s="41" t="s">
        <v>19</v>
      </c>
      <c r="V87" s="2"/>
      <c r="W87" s="2"/>
      <c r="X87" s="2"/>
      <c r="Y87" s="2"/>
      <c r="Z87" s="1"/>
      <c r="AA87" s="1"/>
      <c r="AB87" s="31" t="s">
        <v>16</v>
      </c>
      <c r="AC87" s="31"/>
    </row>
    <row r="88" spans="1:30" ht="14.25" thickBot="1" x14ac:dyDescent="0.2">
      <c r="A88" s="3" t="s">
        <v>0</v>
      </c>
      <c r="B88" s="75" t="s">
        <v>14</v>
      </c>
      <c r="C88" s="75"/>
      <c r="D88" s="75"/>
      <c r="E88" s="76"/>
      <c r="F88" s="73" t="s">
        <v>15</v>
      </c>
      <c r="G88" s="73"/>
      <c r="H88" s="73"/>
      <c r="I88" s="74"/>
      <c r="K88" s="3" t="s">
        <v>0</v>
      </c>
      <c r="L88" s="75" t="s">
        <v>14</v>
      </c>
      <c r="M88" s="75"/>
      <c r="N88" s="75"/>
      <c r="O88" s="76"/>
      <c r="P88" s="73" t="s">
        <v>15</v>
      </c>
      <c r="Q88" s="73"/>
      <c r="R88" s="73"/>
      <c r="S88" s="74"/>
      <c r="U88" s="3" t="s">
        <v>0</v>
      </c>
      <c r="V88" s="75" t="s">
        <v>14</v>
      </c>
      <c r="W88" s="75"/>
      <c r="X88" s="75"/>
      <c r="Y88" s="76"/>
      <c r="Z88" s="73" t="s">
        <v>15</v>
      </c>
      <c r="AA88" s="73"/>
      <c r="AB88" s="73"/>
      <c r="AC88" s="74"/>
    </row>
    <row r="89" spans="1:30" ht="14.25" thickBot="1" x14ac:dyDescent="0.2">
      <c r="A89" s="3" t="s">
        <v>1</v>
      </c>
      <c r="B89" s="4" t="s">
        <v>7</v>
      </c>
      <c r="C89" s="3" t="s">
        <v>8</v>
      </c>
      <c r="D89" s="21" t="s">
        <v>9</v>
      </c>
      <c r="E89" s="3" t="s">
        <v>2</v>
      </c>
      <c r="F89" s="4" t="s">
        <v>7</v>
      </c>
      <c r="G89" s="3" t="s">
        <v>8</v>
      </c>
      <c r="H89" s="21" t="s">
        <v>9</v>
      </c>
      <c r="I89" s="3" t="s">
        <v>2</v>
      </c>
      <c r="K89" s="3" t="s">
        <v>1</v>
      </c>
      <c r="L89" s="4" t="s">
        <v>7</v>
      </c>
      <c r="M89" s="3" t="s">
        <v>8</v>
      </c>
      <c r="N89" s="21" t="s">
        <v>9</v>
      </c>
      <c r="O89" s="3" t="s">
        <v>2</v>
      </c>
      <c r="P89" s="4" t="s">
        <v>7</v>
      </c>
      <c r="Q89" s="3" t="s">
        <v>8</v>
      </c>
      <c r="R89" s="21" t="s">
        <v>9</v>
      </c>
      <c r="S89" s="3" t="s">
        <v>2</v>
      </c>
      <c r="U89" s="3" t="s">
        <v>1</v>
      </c>
      <c r="V89" s="4" t="s">
        <v>7</v>
      </c>
      <c r="W89" s="3" t="s">
        <v>8</v>
      </c>
      <c r="X89" s="21" t="s">
        <v>9</v>
      </c>
      <c r="Y89" s="3" t="s">
        <v>2</v>
      </c>
      <c r="Z89" s="4" t="s">
        <v>7</v>
      </c>
      <c r="AA89" s="3" t="s">
        <v>8</v>
      </c>
      <c r="AB89" s="21" t="s">
        <v>9</v>
      </c>
      <c r="AC89" s="3" t="s">
        <v>2</v>
      </c>
    </row>
    <row r="90" spans="1:30" x14ac:dyDescent="0.15">
      <c r="A90" s="30" t="s">
        <v>20</v>
      </c>
      <c r="B90" s="43">
        <f>B84</f>
        <v>0</v>
      </c>
      <c r="C90" s="43">
        <f t="shared" ref="C90:D90" si="72">C84</f>
        <v>0</v>
      </c>
      <c r="D90" s="43">
        <f t="shared" si="72"/>
        <v>0</v>
      </c>
      <c r="E90" s="44">
        <f t="shared" ref="E90:E126" si="73">SUM(B90:D90)</f>
        <v>0</v>
      </c>
      <c r="F90" s="43">
        <f>F84</f>
        <v>0</v>
      </c>
      <c r="G90" s="43">
        <f t="shared" ref="G90:H90" si="74">G84</f>
        <v>0</v>
      </c>
      <c r="H90" s="43">
        <f t="shared" si="74"/>
        <v>0</v>
      </c>
      <c r="I90" s="20">
        <f t="shared" ref="I90:I126" si="75">SUM(F90:H90)</f>
        <v>0</v>
      </c>
      <c r="K90" s="30" t="s">
        <v>20</v>
      </c>
      <c r="L90" s="43">
        <f>L84</f>
        <v>33</v>
      </c>
      <c r="M90" s="43">
        <f t="shared" ref="M90:N90" si="76">M84</f>
        <v>46</v>
      </c>
      <c r="N90" s="43">
        <f t="shared" si="76"/>
        <v>49</v>
      </c>
      <c r="O90" s="44">
        <f t="shared" ref="O90:O118" si="77">SUM(L90:N90)</f>
        <v>128</v>
      </c>
      <c r="P90" s="43">
        <f>P84</f>
        <v>33</v>
      </c>
      <c r="Q90" s="43">
        <f t="shared" ref="Q90:R90" si="78">Q84</f>
        <v>46</v>
      </c>
      <c r="R90" s="43">
        <f t="shared" si="78"/>
        <v>49</v>
      </c>
      <c r="S90" s="20">
        <f t="shared" ref="S90:S118" si="79">SUM(P90:R90)</f>
        <v>128</v>
      </c>
      <c r="T90" s="42"/>
      <c r="U90" s="30" t="s">
        <v>41</v>
      </c>
      <c r="V90" s="43">
        <v>9</v>
      </c>
      <c r="W90" s="43">
        <v>20</v>
      </c>
      <c r="X90" s="43">
        <v>19</v>
      </c>
      <c r="Y90" s="44">
        <f t="shared" ref="Y90:Y118" si="80">SUM(V90:X90)</f>
        <v>48</v>
      </c>
      <c r="Z90" s="43">
        <v>9</v>
      </c>
      <c r="AA90" s="43">
        <v>20</v>
      </c>
      <c r="AB90" s="43">
        <v>19</v>
      </c>
      <c r="AC90" s="20">
        <f t="shared" ref="AC90:AC118" si="81">SUM(Z90:AB90)</f>
        <v>48</v>
      </c>
      <c r="AD90" s="42">
        <v>46190</v>
      </c>
    </row>
    <row r="91" spans="1:30" x14ac:dyDescent="0.15">
      <c r="A91" s="7" t="s">
        <v>3</v>
      </c>
      <c r="B91" s="19"/>
      <c r="C91" s="13"/>
      <c r="D91" s="19"/>
      <c r="E91" s="6">
        <f t="shared" si="73"/>
        <v>0</v>
      </c>
      <c r="F91" s="19"/>
      <c r="G91" s="13"/>
      <c r="H91" s="19"/>
      <c r="I91" s="6">
        <f t="shared" si="75"/>
        <v>0</v>
      </c>
      <c r="K91" s="7" t="s">
        <v>3</v>
      </c>
      <c r="L91" s="19"/>
      <c r="M91" s="13"/>
      <c r="N91" s="19"/>
      <c r="O91" s="6">
        <f t="shared" si="77"/>
        <v>0</v>
      </c>
      <c r="P91" s="19"/>
      <c r="Q91" s="13"/>
      <c r="R91" s="19"/>
      <c r="S91" s="6">
        <f t="shared" si="79"/>
        <v>0</v>
      </c>
      <c r="U91" s="7" t="s">
        <v>3</v>
      </c>
      <c r="V91" s="19"/>
      <c r="W91" s="13"/>
      <c r="X91" s="19"/>
      <c r="Y91" s="6">
        <f t="shared" si="80"/>
        <v>0</v>
      </c>
      <c r="Z91" s="19"/>
      <c r="AA91" s="13"/>
      <c r="AB91" s="19"/>
      <c r="AC91" s="6">
        <f t="shared" si="81"/>
        <v>0</v>
      </c>
      <c r="AD91" s="50" t="s">
        <v>42</v>
      </c>
    </row>
    <row r="92" spans="1:30" x14ac:dyDescent="0.15">
      <c r="A92" s="7" t="s">
        <v>3</v>
      </c>
      <c r="B92" s="19"/>
      <c r="C92" s="13"/>
      <c r="D92" s="19"/>
      <c r="E92" s="6">
        <f t="shared" si="73"/>
        <v>0</v>
      </c>
      <c r="F92" s="19"/>
      <c r="G92" s="13"/>
      <c r="H92" s="19"/>
      <c r="I92" s="6">
        <f t="shared" si="75"/>
        <v>0</v>
      </c>
      <c r="K92" s="7" t="s">
        <v>3</v>
      </c>
      <c r="L92" s="19"/>
      <c r="M92" s="13"/>
      <c r="N92" s="19"/>
      <c r="O92" s="6">
        <f t="shared" si="77"/>
        <v>0</v>
      </c>
      <c r="P92" s="19"/>
      <c r="Q92" s="13"/>
      <c r="R92" s="19"/>
      <c r="S92" s="6">
        <f t="shared" si="79"/>
        <v>0</v>
      </c>
      <c r="U92" s="7" t="s">
        <v>3</v>
      </c>
      <c r="V92" s="19"/>
      <c r="W92" s="13"/>
      <c r="X92" s="19"/>
      <c r="Y92" s="6">
        <f t="shared" ref="Y92" si="82">SUM(V92:X92)</f>
        <v>0</v>
      </c>
      <c r="Z92" s="19"/>
      <c r="AA92" s="13"/>
      <c r="AB92" s="19"/>
      <c r="AC92" s="6">
        <f t="shared" ref="AC92" si="83">SUM(Z92:AB92)</f>
        <v>0</v>
      </c>
    </row>
    <row r="93" spans="1:30" x14ac:dyDescent="0.15">
      <c r="A93" s="7" t="s">
        <v>3</v>
      </c>
      <c r="B93" s="19"/>
      <c r="C93" s="13"/>
      <c r="D93" s="19"/>
      <c r="E93" s="6">
        <f t="shared" si="73"/>
        <v>0</v>
      </c>
      <c r="F93" s="19"/>
      <c r="G93" s="13"/>
      <c r="H93" s="19"/>
      <c r="I93" s="6">
        <f t="shared" si="75"/>
        <v>0</v>
      </c>
      <c r="K93" s="7" t="s">
        <v>3</v>
      </c>
      <c r="L93" s="19"/>
      <c r="M93" s="13"/>
      <c r="N93" s="19"/>
      <c r="O93" s="6">
        <f t="shared" si="77"/>
        <v>0</v>
      </c>
      <c r="P93" s="19"/>
      <c r="Q93" s="13"/>
      <c r="R93" s="19"/>
      <c r="S93" s="6">
        <f t="shared" si="79"/>
        <v>0</v>
      </c>
      <c r="U93" s="7" t="s">
        <v>3</v>
      </c>
      <c r="V93" s="19"/>
      <c r="W93" s="13"/>
      <c r="X93" s="19"/>
      <c r="Y93" s="6">
        <f t="shared" si="80"/>
        <v>0</v>
      </c>
      <c r="Z93" s="19"/>
      <c r="AA93" s="13"/>
      <c r="AB93" s="19"/>
      <c r="AC93" s="6">
        <f t="shared" si="81"/>
        <v>0</v>
      </c>
    </row>
    <row r="94" spans="1:30" x14ac:dyDescent="0.15">
      <c r="A94" s="7" t="s">
        <v>3</v>
      </c>
      <c r="B94" s="19"/>
      <c r="C94" s="13"/>
      <c r="D94" s="19"/>
      <c r="E94" s="6">
        <f t="shared" si="73"/>
        <v>0</v>
      </c>
      <c r="F94" s="19"/>
      <c r="G94" s="13"/>
      <c r="H94" s="19"/>
      <c r="I94" s="6">
        <f t="shared" si="75"/>
        <v>0</v>
      </c>
      <c r="K94" s="30" t="s">
        <v>40</v>
      </c>
      <c r="L94" s="33">
        <v>30</v>
      </c>
      <c r="M94" s="34">
        <v>20</v>
      </c>
      <c r="N94" s="33">
        <v>20</v>
      </c>
      <c r="O94" s="20">
        <f t="shared" ref="O94" si="84">SUM(L94:N94)</f>
        <v>70</v>
      </c>
      <c r="P94" s="33">
        <v>30</v>
      </c>
      <c r="Q94" s="34">
        <v>20</v>
      </c>
      <c r="R94" s="33">
        <v>20</v>
      </c>
      <c r="S94" s="20">
        <f t="shared" ref="S94" si="85">SUM(P94:R94)</f>
        <v>70</v>
      </c>
      <c r="T94" s="42">
        <v>46235</v>
      </c>
      <c r="U94" s="7" t="s">
        <v>3</v>
      </c>
      <c r="V94" s="12"/>
      <c r="W94" s="11"/>
      <c r="X94" s="12"/>
      <c r="Y94" s="6">
        <f t="shared" ref="Y94:Y95" si="86">SUM(V94:X94)</f>
        <v>0</v>
      </c>
      <c r="Z94" s="12"/>
      <c r="AA94" s="11"/>
      <c r="AB94" s="12"/>
      <c r="AC94" s="6">
        <f t="shared" ref="AC94:AC95" si="87">SUM(Z94:AB94)</f>
        <v>0</v>
      </c>
    </row>
    <row r="95" spans="1:30" x14ac:dyDescent="0.15">
      <c r="A95" s="7" t="s">
        <v>3</v>
      </c>
      <c r="B95" s="19"/>
      <c r="C95" s="13"/>
      <c r="D95" s="19"/>
      <c r="E95" s="6">
        <f t="shared" si="73"/>
        <v>0</v>
      </c>
      <c r="F95" s="19"/>
      <c r="G95" s="13"/>
      <c r="H95" s="19"/>
      <c r="I95" s="6">
        <f t="shared" si="75"/>
        <v>0</v>
      </c>
      <c r="K95" s="7" t="s">
        <v>3</v>
      </c>
      <c r="L95" s="12"/>
      <c r="M95" s="11"/>
      <c r="N95" s="12"/>
      <c r="O95" s="6">
        <f t="shared" si="77"/>
        <v>0</v>
      </c>
      <c r="P95" s="12"/>
      <c r="Q95" s="11"/>
      <c r="R95" s="12"/>
      <c r="S95" s="6">
        <f t="shared" si="79"/>
        <v>0</v>
      </c>
      <c r="T95" s="36"/>
      <c r="U95" s="7" t="s">
        <v>3</v>
      </c>
      <c r="V95" s="12"/>
      <c r="W95" s="11"/>
      <c r="X95" s="12"/>
      <c r="Y95" s="6">
        <f t="shared" si="86"/>
        <v>0</v>
      </c>
      <c r="Z95" s="12"/>
      <c r="AA95" s="11"/>
      <c r="AB95" s="12"/>
      <c r="AC95" s="6">
        <f t="shared" si="87"/>
        <v>0</v>
      </c>
    </row>
    <row r="96" spans="1:30" x14ac:dyDescent="0.15">
      <c r="A96" s="7" t="s">
        <v>3</v>
      </c>
      <c r="B96" s="19"/>
      <c r="C96" s="13"/>
      <c r="D96" s="19"/>
      <c r="E96" s="6">
        <f t="shared" si="73"/>
        <v>0</v>
      </c>
      <c r="F96" s="19"/>
      <c r="G96" s="13"/>
      <c r="H96" s="19"/>
      <c r="I96" s="6">
        <f t="shared" si="75"/>
        <v>0</v>
      </c>
      <c r="K96" s="7" t="s">
        <v>3</v>
      </c>
      <c r="L96" s="12"/>
      <c r="M96" s="11"/>
      <c r="N96" s="12"/>
      <c r="O96" s="6">
        <f t="shared" si="77"/>
        <v>0</v>
      </c>
      <c r="P96" s="12"/>
      <c r="Q96" s="11"/>
      <c r="R96" s="12"/>
      <c r="S96" s="6">
        <f t="shared" si="79"/>
        <v>0</v>
      </c>
      <c r="T96" s="36"/>
      <c r="U96" s="7" t="s">
        <v>3</v>
      </c>
      <c r="V96" s="12"/>
      <c r="W96" s="11"/>
      <c r="X96" s="12"/>
      <c r="Y96" s="6">
        <f t="shared" si="80"/>
        <v>0</v>
      </c>
      <c r="Z96" s="12"/>
      <c r="AA96" s="11"/>
      <c r="AB96" s="12"/>
      <c r="AC96" s="6">
        <f t="shared" si="81"/>
        <v>0</v>
      </c>
    </row>
    <row r="97" spans="1:29" x14ac:dyDescent="0.15">
      <c r="A97" s="7" t="s">
        <v>3</v>
      </c>
      <c r="B97" s="12"/>
      <c r="C97" s="11"/>
      <c r="D97" s="12"/>
      <c r="E97" s="6">
        <f t="shared" si="73"/>
        <v>0</v>
      </c>
      <c r="F97" s="12"/>
      <c r="G97" s="11"/>
      <c r="H97" s="12"/>
      <c r="I97" s="6">
        <f t="shared" si="75"/>
        <v>0</v>
      </c>
      <c r="K97" s="7" t="s">
        <v>45</v>
      </c>
      <c r="L97" s="10">
        <v>9</v>
      </c>
      <c r="M97" s="11">
        <v>20</v>
      </c>
      <c r="N97" s="12">
        <v>19</v>
      </c>
      <c r="O97" s="6">
        <f t="shared" si="77"/>
        <v>48</v>
      </c>
      <c r="P97" s="12">
        <v>90</v>
      </c>
      <c r="Q97" s="11">
        <v>20</v>
      </c>
      <c r="R97" s="12">
        <v>19</v>
      </c>
      <c r="S97" s="6">
        <f t="shared" si="79"/>
        <v>129</v>
      </c>
      <c r="T97" s="36" t="s">
        <v>48</v>
      </c>
      <c r="U97" s="7" t="s">
        <v>3</v>
      </c>
      <c r="V97" s="12"/>
      <c r="W97" s="11"/>
      <c r="X97" s="12"/>
      <c r="Y97" s="6">
        <f t="shared" si="80"/>
        <v>0</v>
      </c>
      <c r="Z97" s="12"/>
      <c r="AA97" s="11"/>
      <c r="AB97" s="12"/>
      <c r="AC97" s="6">
        <f t="shared" si="81"/>
        <v>0</v>
      </c>
    </row>
    <row r="98" spans="1:29" x14ac:dyDescent="0.15">
      <c r="A98" s="7" t="s">
        <v>12</v>
      </c>
      <c r="B98" s="12"/>
      <c r="C98" s="11"/>
      <c r="D98" s="12"/>
      <c r="E98" s="6">
        <f t="shared" si="73"/>
        <v>0</v>
      </c>
      <c r="F98" s="12"/>
      <c r="G98" s="11"/>
      <c r="H98" s="12"/>
      <c r="I98" s="6">
        <f t="shared" si="75"/>
        <v>0</v>
      </c>
      <c r="K98" s="7" t="s">
        <v>3</v>
      </c>
      <c r="L98" s="12"/>
      <c r="M98" s="11"/>
      <c r="N98" s="12"/>
      <c r="O98" s="6">
        <f t="shared" si="77"/>
        <v>0</v>
      </c>
      <c r="P98" s="12"/>
      <c r="Q98" s="11"/>
      <c r="R98" s="12"/>
      <c r="S98" s="6">
        <f t="shared" si="79"/>
        <v>0</v>
      </c>
      <c r="T98" s="36"/>
      <c r="U98" s="7" t="s">
        <v>3</v>
      </c>
      <c r="V98" s="12"/>
      <c r="W98" s="11"/>
      <c r="X98" s="12"/>
      <c r="Y98" s="6">
        <f t="shared" si="80"/>
        <v>0</v>
      </c>
      <c r="Z98" s="12"/>
      <c r="AA98" s="11"/>
      <c r="AB98" s="12"/>
      <c r="AC98" s="6">
        <f t="shared" si="81"/>
        <v>0</v>
      </c>
    </row>
    <row r="99" spans="1:29" x14ac:dyDescent="0.15">
      <c r="A99" s="7" t="s">
        <v>3</v>
      </c>
      <c r="B99" s="12"/>
      <c r="C99" s="11"/>
      <c r="D99" s="12"/>
      <c r="E99" s="6">
        <f t="shared" si="73"/>
        <v>0</v>
      </c>
      <c r="F99" s="12"/>
      <c r="G99" s="11"/>
      <c r="H99" s="12"/>
      <c r="I99" s="6">
        <f t="shared" si="75"/>
        <v>0</v>
      </c>
      <c r="K99" s="7" t="s">
        <v>3</v>
      </c>
      <c r="L99" s="12"/>
      <c r="M99" s="11"/>
      <c r="N99" s="12"/>
      <c r="O99" s="6">
        <f t="shared" si="77"/>
        <v>0</v>
      </c>
      <c r="P99" s="12"/>
      <c r="Q99" s="11"/>
      <c r="R99" s="12"/>
      <c r="S99" s="6">
        <f t="shared" si="79"/>
        <v>0</v>
      </c>
      <c r="T99" s="36"/>
      <c r="U99" s="7" t="s">
        <v>3</v>
      </c>
      <c r="V99" s="12"/>
      <c r="W99" s="11"/>
      <c r="X99" s="12"/>
      <c r="Y99" s="6">
        <f t="shared" si="80"/>
        <v>0</v>
      </c>
      <c r="Z99" s="12"/>
      <c r="AA99" s="11"/>
      <c r="AB99" s="12"/>
      <c r="AC99" s="6">
        <f t="shared" si="81"/>
        <v>0</v>
      </c>
    </row>
    <row r="100" spans="1:29" ht="14.25" thickBot="1" x14ac:dyDescent="0.2">
      <c r="A100" s="8" t="s">
        <v>3</v>
      </c>
      <c r="B100" s="16"/>
      <c r="C100" s="15"/>
      <c r="D100" s="16"/>
      <c r="E100" s="22">
        <f t="shared" si="73"/>
        <v>0</v>
      </c>
      <c r="F100" s="16"/>
      <c r="G100" s="15"/>
      <c r="H100" s="16"/>
      <c r="I100" s="22">
        <f t="shared" si="75"/>
        <v>0</v>
      </c>
      <c r="K100" s="8" t="s">
        <v>3</v>
      </c>
      <c r="L100" s="16"/>
      <c r="M100" s="15"/>
      <c r="N100" s="16"/>
      <c r="O100" s="22">
        <f t="shared" si="77"/>
        <v>0</v>
      </c>
      <c r="P100" s="16"/>
      <c r="Q100" s="15"/>
      <c r="R100" s="16"/>
      <c r="S100" s="22">
        <f t="shared" si="79"/>
        <v>0</v>
      </c>
      <c r="T100" s="36"/>
      <c r="U100" s="8" t="s">
        <v>3</v>
      </c>
      <c r="V100" s="16"/>
      <c r="W100" s="15"/>
      <c r="X100" s="16"/>
      <c r="Y100" s="22">
        <f t="shared" si="80"/>
        <v>0</v>
      </c>
      <c r="Z100" s="16"/>
      <c r="AA100" s="15"/>
      <c r="AB100" s="16"/>
      <c r="AC100" s="22">
        <f t="shared" si="81"/>
        <v>0</v>
      </c>
    </row>
    <row r="101" spans="1:29" ht="14.25" thickBot="1" x14ac:dyDescent="0.2">
      <c r="A101" s="23" t="s">
        <v>4</v>
      </c>
      <c r="B101" s="24">
        <f>SUM(B90:B100)</f>
        <v>0</v>
      </c>
      <c r="C101" s="24">
        <f>SUM(C90:C100)</f>
        <v>0</v>
      </c>
      <c r="D101" s="25">
        <f>SUM(D90:D100)</f>
        <v>0</v>
      </c>
      <c r="E101" s="26">
        <f t="shared" si="73"/>
        <v>0</v>
      </c>
      <c r="F101" s="24">
        <f>SUM(F90:F100)</f>
        <v>0</v>
      </c>
      <c r="G101" s="24">
        <f>SUM(G90:G100)</f>
        <v>0</v>
      </c>
      <c r="H101" s="25">
        <f>SUM(H90:H100)</f>
        <v>0</v>
      </c>
      <c r="I101" s="26">
        <f t="shared" si="75"/>
        <v>0</v>
      </c>
      <c r="K101" s="23" t="s">
        <v>4</v>
      </c>
      <c r="L101" s="24">
        <f>SUM(L90:L100)</f>
        <v>72</v>
      </c>
      <c r="M101" s="24">
        <f>SUM(M90:M100)</f>
        <v>86</v>
      </c>
      <c r="N101" s="25">
        <f>SUM(N90:N100)</f>
        <v>88</v>
      </c>
      <c r="O101" s="26">
        <f t="shared" si="77"/>
        <v>246</v>
      </c>
      <c r="P101" s="24">
        <f>SUM(P90:P100)</f>
        <v>153</v>
      </c>
      <c r="Q101" s="24">
        <f>SUM(Q90:Q100)</f>
        <v>86</v>
      </c>
      <c r="R101" s="25">
        <f>SUM(R90:R100)</f>
        <v>88</v>
      </c>
      <c r="S101" s="26">
        <f t="shared" si="79"/>
        <v>327</v>
      </c>
      <c r="T101" s="36"/>
      <c r="U101" s="23" t="s">
        <v>4</v>
      </c>
      <c r="V101" s="24">
        <f>SUM(V90:V100)</f>
        <v>9</v>
      </c>
      <c r="W101" s="24">
        <f>SUM(W90:W100)</f>
        <v>20</v>
      </c>
      <c r="X101" s="25">
        <f>SUM(X90:X100)</f>
        <v>19</v>
      </c>
      <c r="Y101" s="26">
        <f t="shared" si="80"/>
        <v>48</v>
      </c>
      <c r="Z101" s="24">
        <f>SUM(Z90:Z100)</f>
        <v>9</v>
      </c>
      <c r="AA101" s="24">
        <f>SUM(AA90:AA100)</f>
        <v>20</v>
      </c>
      <c r="AB101" s="25">
        <f>SUM(AB90:AB100)</f>
        <v>19</v>
      </c>
      <c r="AC101" s="26">
        <f t="shared" si="81"/>
        <v>48</v>
      </c>
    </row>
    <row r="102" spans="1:29" x14ac:dyDescent="0.15">
      <c r="A102" s="5"/>
      <c r="B102" s="10"/>
      <c r="C102" s="11"/>
      <c r="D102" s="12"/>
      <c r="E102" s="6">
        <f t="shared" si="73"/>
        <v>0</v>
      </c>
      <c r="F102" s="10"/>
      <c r="G102" s="11"/>
      <c r="H102" s="12"/>
      <c r="I102" s="6">
        <f t="shared" si="75"/>
        <v>0</v>
      </c>
      <c r="K102" s="5"/>
      <c r="L102" s="10"/>
      <c r="M102" s="11"/>
      <c r="N102" s="12"/>
      <c r="O102" s="6">
        <f t="shared" si="77"/>
        <v>0</v>
      </c>
      <c r="P102" s="10"/>
      <c r="Q102" s="11"/>
      <c r="R102" s="12"/>
      <c r="S102" s="6">
        <f t="shared" si="79"/>
        <v>0</v>
      </c>
      <c r="T102" s="35"/>
      <c r="U102" s="5"/>
      <c r="V102" s="10"/>
      <c r="W102" s="11"/>
      <c r="X102" s="12"/>
      <c r="Y102" s="6">
        <f t="shared" ref="Y102:Y104" si="88">SUM(V102:X102)</f>
        <v>0</v>
      </c>
      <c r="Z102" s="10"/>
      <c r="AA102" s="11"/>
      <c r="AB102" s="12"/>
      <c r="AC102" s="6">
        <f t="shared" ref="AC102:AC104" si="89">SUM(Z102:AB102)</f>
        <v>0</v>
      </c>
    </row>
    <row r="103" spans="1:29" x14ac:dyDescent="0.15">
      <c r="A103" s="5"/>
      <c r="B103" s="10"/>
      <c r="C103" s="11"/>
      <c r="D103" s="12"/>
      <c r="E103" s="6">
        <f t="shared" si="73"/>
        <v>0</v>
      </c>
      <c r="F103" s="10"/>
      <c r="G103" s="11"/>
      <c r="H103" s="12"/>
      <c r="I103" s="6">
        <f t="shared" si="75"/>
        <v>0</v>
      </c>
      <c r="K103" s="5"/>
      <c r="L103" s="10"/>
      <c r="M103" s="11"/>
      <c r="N103" s="12"/>
      <c r="O103" s="6">
        <f t="shared" si="77"/>
        <v>0</v>
      </c>
      <c r="P103" s="10"/>
      <c r="Q103" s="11"/>
      <c r="R103" s="12"/>
      <c r="S103" s="6">
        <f t="shared" si="79"/>
        <v>0</v>
      </c>
      <c r="T103" s="35"/>
      <c r="U103" s="5"/>
      <c r="V103" s="10"/>
      <c r="W103" s="11"/>
      <c r="X103" s="12"/>
      <c r="Y103" s="6">
        <f t="shared" si="88"/>
        <v>0</v>
      </c>
      <c r="Z103" s="10"/>
      <c r="AA103" s="11"/>
      <c r="AB103" s="12"/>
      <c r="AC103" s="6">
        <f t="shared" si="89"/>
        <v>0</v>
      </c>
    </row>
    <row r="104" spans="1:29" x14ac:dyDescent="0.15">
      <c r="A104" s="5"/>
      <c r="B104" s="10"/>
      <c r="C104" s="11"/>
      <c r="D104" s="12"/>
      <c r="E104" s="6">
        <f t="shared" si="73"/>
        <v>0</v>
      </c>
      <c r="F104" s="10"/>
      <c r="G104" s="11"/>
      <c r="H104" s="12"/>
      <c r="I104" s="6">
        <f t="shared" si="75"/>
        <v>0</v>
      </c>
      <c r="K104" s="13"/>
      <c r="L104" s="10"/>
      <c r="M104" s="11"/>
      <c r="N104" s="12"/>
      <c r="O104" s="6">
        <f t="shared" si="77"/>
        <v>0</v>
      </c>
      <c r="P104" s="10"/>
      <c r="Q104" s="11"/>
      <c r="R104" s="12"/>
      <c r="S104" s="6">
        <f t="shared" si="79"/>
        <v>0</v>
      </c>
      <c r="T104" s="35"/>
      <c r="U104" s="5"/>
      <c r="V104" s="10"/>
      <c r="W104" s="11"/>
      <c r="X104" s="12"/>
      <c r="Y104" s="6">
        <f t="shared" si="88"/>
        <v>0</v>
      </c>
      <c r="Z104" s="10"/>
      <c r="AA104" s="11"/>
      <c r="AB104" s="12"/>
      <c r="AC104" s="6">
        <f t="shared" si="89"/>
        <v>0</v>
      </c>
    </row>
    <row r="105" spans="1:29" x14ac:dyDescent="0.15">
      <c r="A105" s="5"/>
      <c r="B105" s="10"/>
      <c r="C105" s="11"/>
      <c r="D105" s="12"/>
      <c r="E105" s="6">
        <f t="shared" si="73"/>
        <v>0</v>
      </c>
      <c r="F105" s="10"/>
      <c r="G105" s="11"/>
      <c r="H105" s="12"/>
      <c r="I105" s="6">
        <f t="shared" si="75"/>
        <v>0</v>
      </c>
      <c r="K105" s="5"/>
      <c r="L105" s="10"/>
      <c r="M105" s="11"/>
      <c r="N105" s="12"/>
      <c r="O105" s="6">
        <f t="shared" si="77"/>
        <v>0</v>
      </c>
      <c r="P105" s="10"/>
      <c r="Q105" s="11"/>
      <c r="R105" s="12"/>
      <c r="S105" s="6">
        <f t="shared" si="79"/>
        <v>0</v>
      </c>
      <c r="T105" s="35"/>
      <c r="U105" s="5"/>
      <c r="V105" s="10"/>
      <c r="W105" s="11"/>
      <c r="X105" s="12"/>
      <c r="Y105" s="6">
        <f t="shared" si="80"/>
        <v>0</v>
      </c>
      <c r="Z105" s="10"/>
      <c r="AA105" s="11"/>
      <c r="AB105" s="12"/>
      <c r="AC105" s="6">
        <f t="shared" si="81"/>
        <v>0</v>
      </c>
    </row>
    <row r="106" spans="1:29" x14ac:dyDescent="0.15">
      <c r="A106" s="5"/>
      <c r="B106" s="10"/>
      <c r="C106" s="11"/>
      <c r="D106" s="12"/>
      <c r="E106" s="6">
        <f t="shared" si="73"/>
        <v>0</v>
      </c>
      <c r="F106" s="10"/>
      <c r="G106" s="11"/>
      <c r="H106" s="12"/>
      <c r="I106" s="6">
        <f t="shared" si="75"/>
        <v>0</v>
      </c>
      <c r="K106" s="5"/>
      <c r="L106" s="10"/>
      <c r="M106" s="11"/>
      <c r="N106" s="12"/>
      <c r="O106" s="6">
        <f t="shared" si="77"/>
        <v>0</v>
      </c>
      <c r="P106" s="10"/>
      <c r="Q106" s="11"/>
      <c r="R106" s="12"/>
      <c r="S106" s="6">
        <f t="shared" si="79"/>
        <v>0</v>
      </c>
      <c r="T106" s="35"/>
      <c r="U106" s="5"/>
      <c r="V106" s="10"/>
      <c r="W106" s="11"/>
      <c r="X106" s="12"/>
      <c r="Y106" s="6">
        <f t="shared" si="80"/>
        <v>0</v>
      </c>
      <c r="Z106" s="10"/>
      <c r="AA106" s="11"/>
      <c r="AB106" s="12"/>
      <c r="AC106" s="6">
        <f t="shared" si="81"/>
        <v>0</v>
      </c>
    </row>
    <row r="107" spans="1:29" x14ac:dyDescent="0.15">
      <c r="A107" s="13"/>
      <c r="B107" s="10"/>
      <c r="C107" s="11"/>
      <c r="D107" s="12"/>
      <c r="E107" s="9">
        <f t="shared" si="73"/>
        <v>0</v>
      </c>
      <c r="F107" s="10"/>
      <c r="G107" s="11"/>
      <c r="H107" s="12"/>
      <c r="I107" s="9">
        <f t="shared" si="75"/>
        <v>0</v>
      </c>
      <c r="K107" s="5"/>
      <c r="L107" s="10"/>
      <c r="M107" s="11"/>
      <c r="N107" s="12"/>
      <c r="O107" s="9">
        <f t="shared" si="77"/>
        <v>0</v>
      </c>
      <c r="P107" s="10"/>
      <c r="Q107" s="11"/>
      <c r="R107" s="12"/>
      <c r="S107" s="9">
        <f t="shared" si="79"/>
        <v>0</v>
      </c>
      <c r="T107" s="35"/>
      <c r="U107" s="5"/>
      <c r="V107" s="10"/>
      <c r="W107" s="11"/>
      <c r="X107" s="12"/>
      <c r="Y107" s="9">
        <f t="shared" si="80"/>
        <v>0</v>
      </c>
      <c r="Z107" s="10"/>
      <c r="AA107" s="11"/>
      <c r="AB107" s="12"/>
      <c r="AC107" s="9">
        <f t="shared" si="81"/>
        <v>0</v>
      </c>
    </row>
    <row r="108" spans="1:29" x14ac:dyDescent="0.15">
      <c r="A108" s="5"/>
      <c r="B108" s="10"/>
      <c r="C108" s="11"/>
      <c r="D108" s="12"/>
      <c r="E108" s="9">
        <f t="shared" si="73"/>
        <v>0</v>
      </c>
      <c r="F108" s="10"/>
      <c r="G108" s="11"/>
      <c r="H108" s="12"/>
      <c r="I108" s="9">
        <f t="shared" si="75"/>
        <v>0</v>
      </c>
      <c r="K108" s="5"/>
      <c r="L108" s="10"/>
      <c r="M108" s="11"/>
      <c r="N108" s="12"/>
      <c r="O108" s="9">
        <f t="shared" si="77"/>
        <v>0</v>
      </c>
      <c r="P108" s="10"/>
      <c r="Q108" s="11"/>
      <c r="R108" s="12"/>
      <c r="S108" s="9">
        <f t="shared" si="79"/>
        <v>0</v>
      </c>
      <c r="T108" s="35"/>
      <c r="U108" s="5"/>
      <c r="V108" s="10"/>
      <c r="W108" s="11"/>
      <c r="X108" s="12"/>
      <c r="Y108" s="9">
        <f t="shared" si="80"/>
        <v>0</v>
      </c>
      <c r="Z108" s="10"/>
      <c r="AA108" s="11"/>
      <c r="AB108" s="12"/>
      <c r="AC108" s="9">
        <f t="shared" si="81"/>
        <v>0</v>
      </c>
    </row>
    <row r="109" spans="1:29" x14ac:dyDescent="0.15">
      <c r="A109" s="5"/>
      <c r="B109" s="10"/>
      <c r="C109" s="11"/>
      <c r="D109" s="12"/>
      <c r="E109" s="9">
        <f t="shared" si="73"/>
        <v>0</v>
      </c>
      <c r="F109" s="10"/>
      <c r="G109" s="11"/>
      <c r="H109" s="12"/>
      <c r="I109" s="9">
        <f t="shared" si="75"/>
        <v>0</v>
      </c>
      <c r="K109" s="5"/>
      <c r="L109" s="10"/>
      <c r="M109" s="11"/>
      <c r="N109" s="12"/>
      <c r="O109" s="9">
        <f t="shared" si="77"/>
        <v>0</v>
      </c>
      <c r="P109" s="10"/>
      <c r="Q109" s="11"/>
      <c r="R109" s="12"/>
      <c r="S109" s="9">
        <f t="shared" si="79"/>
        <v>0</v>
      </c>
      <c r="T109" s="35"/>
      <c r="U109" s="5"/>
      <c r="V109" s="10"/>
      <c r="W109" s="11"/>
      <c r="X109" s="12"/>
      <c r="Y109" s="9">
        <f t="shared" si="80"/>
        <v>0</v>
      </c>
      <c r="Z109" s="10"/>
      <c r="AA109" s="11"/>
      <c r="AB109" s="12"/>
      <c r="AC109" s="9">
        <f t="shared" si="81"/>
        <v>0</v>
      </c>
    </row>
    <row r="110" spans="1:29" x14ac:dyDescent="0.15">
      <c r="A110" s="5"/>
      <c r="B110" s="10"/>
      <c r="C110" s="11"/>
      <c r="D110" s="12"/>
      <c r="E110" s="9">
        <f t="shared" si="73"/>
        <v>0</v>
      </c>
      <c r="F110" s="10"/>
      <c r="G110" s="11"/>
      <c r="H110" s="12"/>
      <c r="I110" s="9">
        <f t="shared" si="75"/>
        <v>0</v>
      </c>
      <c r="K110" s="5"/>
      <c r="L110" s="10"/>
      <c r="M110" s="11"/>
      <c r="N110" s="12"/>
      <c r="O110" s="9">
        <f t="shared" si="77"/>
        <v>0</v>
      </c>
      <c r="P110" s="10"/>
      <c r="Q110" s="11"/>
      <c r="R110" s="12"/>
      <c r="S110" s="9">
        <f t="shared" si="79"/>
        <v>0</v>
      </c>
      <c r="T110" s="36"/>
      <c r="U110" s="5"/>
      <c r="V110" s="10"/>
      <c r="W110" s="11"/>
      <c r="X110" s="12"/>
      <c r="Y110" s="9">
        <f t="shared" si="80"/>
        <v>0</v>
      </c>
      <c r="Z110" s="10"/>
      <c r="AA110" s="11"/>
      <c r="AB110" s="12"/>
      <c r="AC110" s="9">
        <f t="shared" si="81"/>
        <v>0</v>
      </c>
    </row>
    <row r="111" spans="1:29" x14ac:dyDescent="0.15">
      <c r="A111" s="13"/>
      <c r="B111" s="10"/>
      <c r="C111" s="11"/>
      <c r="D111" s="12"/>
      <c r="E111" s="6">
        <f t="shared" si="73"/>
        <v>0</v>
      </c>
      <c r="F111" s="10"/>
      <c r="G111" s="11"/>
      <c r="H111" s="12"/>
      <c r="I111" s="6">
        <f t="shared" si="75"/>
        <v>0</v>
      </c>
      <c r="K111" s="5"/>
      <c r="L111" s="10"/>
      <c r="M111" s="11"/>
      <c r="N111" s="12"/>
      <c r="O111" s="9">
        <f t="shared" si="77"/>
        <v>0</v>
      </c>
      <c r="P111" s="10"/>
      <c r="Q111" s="11"/>
      <c r="R111" s="12"/>
      <c r="S111" s="9">
        <f t="shared" si="79"/>
        <v>0</v>
      </c>
      <c r="T111" s="36"/>
      <c r="U111" s="5"/>
      <c r="V111" s="10"/>
      <c r="W111" s="11"/>
      <c r="X111" s="12"/>
      <c r="Y111" s="9">
        <f t="shared" si="80"/>
        <v>0</v>
      </c>
      <c r="Z111" s="10"/>
      <c r="AA111" s="11"/>
      <c r="AB111" s="12"/>
      <c r="AC111" s="9">
        <f t="shared" si="81"/>
        <v>0</v>
      </c>
    </row>
    <row r="112" spans="1:29" x14ac:dyDescent="0.15">
      <c r="A112" s="5"/>
      <c r="B112" s="10"/>
      <c r="C112" s="11"/>
      <c r="D112" s="12"/>
      <c r="E112" s="9">
        <f t="shared" si="73"/>
        <v>0</v>
      </c>
      <c r="F112" s="10"/>
      <c r="G112" s="11"/>
      <c r="H112" s="12"/>
      <c r="I112" s="9">
        <f t="shared" si="75"/>
        <v>0</v>
      </c>
      <c r="K112" s="5"/>
      <c r="L112" s="10"/>
      <c r="M112" s="11"/>
      <c r="N112" s="12"/>
      <c r="O112" s="9">
        <f t="shared" si="77"/>
        <v>0</v>
      </c>
      <c r="P112" s="10"/>
      <c r="Q112" s="11"/>
      <c r="R112" s="12"/>
      <c r="S112" s="9">
        <f t="shared" si="79"/>
        <v>0</v>
      </c>
      <c r="T112" s="36"/>
      <c r="U112" s="5"/>
      <c r="V112" s="10"/>
      <c r="W112" s="11"/>
      <c r="X112" s="12"/>
      <c r="Y112" s="9">
        <f t="shared" si="80"/>
        <v>0</v>
      </c>
      <c r="Z112" s="10"/>
      <c r="AA112" s="11"/>
      <c r="AB112" s="12"/>
      <c r="AC112" s="9">
        <f t="shared" si="81"/>
        <v>0</v>
      </c>
    </row>
    <row r="113" spans="1:29" x14ac:dyDescent="0.15">
      <c r="A113" s="5"/>
      <c r="B113" s="10"/>
      <c r="C113" s="11"/>
      <c r="D113" s="12"/>
      <c r="E113" s="9">
        <f t="shared" si="73"/>
        <v>0</v>
      </c>
      <c r="F113" s="10"/>
      <c r="G113" s="11"/>
      <c r="H113" s="12"/>
      <c r="I113" s="9">
        <f t="shared" si="75"/>
        <v>0</v>
      </c>
      <c r="K113" s="5"/>
      <c r="L113" s="10"/>
      <c r="M113" s="11"/>
      <c r="N113" s="12"/>
      <c r="O113" s="9">
        <f t="shared" si="77"/>
        <v>0</v>
      </c>
      <c r="P113" s="10"/>
      <c r="Q113" s="11"/>
      <c r="R113" s="12"/>
      <c r="S113" s="9">
        <f t="shared" si="79"/>
        <v>0</v>
      </c>
      <c r="T113" s="36"/>
      <c r="U113" s="5"/>
      <c r="V113" s="10"/>
      <c r="W113" s="11"/>
      <c r="X113" s="12"/>
      <c r="Y113" s="9">
        <f t="shared" si="80"/>
        <v>0</v>
      </c>
      <c r="Z113" s="10"/>
      <c r="AA113" s="11"/>
      <c r="AB113" s="12"/>
      <c r="AC113" s="9">
        <f t="shared" si="81"/>
        <v>0</v>
      </c>
    </row>
    <row r="114" spans="1:29" x14ac:dyDescent="0.15">
      <c r="A114" s="5"/>
      <c r="B114" s="10"/>
      <c r="C114" s="11"/>
      <c r="D114" s="12"/>
      <c r="E114" s="9">
        <f t="shared" si="73"/>
        <v>0</v>
      </c>
      <c r="F114" s="10"/>
      <c r="G114" s="11"/>
      <c r="H114" s="12"/>
      <c r="I114" s="9">
        <f t="shared" si="75"/>
        <v>0</v>
      </c>
      <c r="K114" s="5"/>
      <c r="L114" s="10"/>
      <c r="M114" s="11"/>
      <c r="N114" s="12"/>
      <c r="O114" s="9">
        <f t="shared" si="77"/>
        <v>0</v>
      </c>
      <c r="P114" s="10"/>
      <c r="Q114" s="11"/>
      <c r="R114" s="12"/>
      <c r="S114" s="9">
        <f t="shared" si="79"/>
        <v>0</v>
      </c>
      <c r="T114" s="36"/>
      <c r="U114" s="5"/>
      <c r="V114" s="10"/>
      <c r="W114" s="11"/>
      <c r="X114" s="12"/>
      <c r="Y114" s="9">
        <f t="shared" si="80"/>
        <v>0</v>
      </c>
      <c r="Z114" s="10"/>
      <c r="AA114" s="11"/>
      <c r="AB114" s="12"/>
      <c r="AC114" s="9">
        <f t="shared" si="81"/>
        <v>0</v>
      </c>
    </row>
    <row r="115" spans="1:29" x14ac:dyDescent="0.15">
      <c r="A115" s="13"/>
      <c r="B115" s="10"/>
      <c r="C115" s="11"/>
      <c r="D115" s="12"/>
      <c r="E115" s="9">
        <f t="shared" si="73"/>
        <v>0</v>
      </c>
      <c r="F115" s="10"/>
      <c r="G115" s="11"/>
      <c r="H115" s="12"/>
      <c r="I115" s="9">
        <f t="shared" si="75"/>
        <v>0</v>
      </c>
      <c r="K115" s="13"/>
      <c r="L115" s="10"/>
      <c r="M115" s="11"/>
      <c r="N115" s="12"/>
      <c r="O115" s="9">
        <f t="shared" si="77"/>
        <v>0</v>
      </c>
      <c r="P115" s="10"/>
      <c r="Q115" s="11"/>
      <c r="R115" s="12"/>
      <c r="S115" s="9">
        <f t="shared" si="79"/>
        <v>0</v>
      </c>
      <c r="T115" s="36"/>
      <c r="U115" s="13"/>
      <c r="V115" s="10"/>
      <c r="W115" s="11"/>
      <c r="X115" s="12"/>
      <c r="Y115" s="9">
        <f t="shared" si="80"/>
        <v>0</v>
      </c>
      <c r="Z115" s="10"/>
      <c r="AA115" s="11"/>
      <c r="AB115" s="12"/>
      <c r="AC115" s="9">
        <f t="shared" si="81"/>
        <v>0</v>
      </c>
    </row>
    <row r="116" spans="1:29" x14ac:dyDescent="0.15">
      <c r="A116" s="5"/>
      <c r="B116" s="10"/>
      <c r="C116" s="11"/>
      <c r="D116" s="12"/>
      <c r="E116" s="9">
        <f t="shared" si="73"/>
        <v>0</v>
      </c>
      <c r="F116" s="10"/>
      <c r="G116" s="11"/>
      <c r="H116" s="12"/>
      <c r="I116" s="9">
        <f t="shared" si="75"/>
        <v>0</v>
      </c>
      <c r="K116" s="5"/>
      <c r="L116" s="10"/>
      <c r="M116" s="11"/>
      <c r="N116" s="12"/>
      <c r="O116" s="9">
        <f t="shared" si="77"/>
        <v>0</v>
      </c>
      <c r="P116" s="10"/>
      <c r="Q116" s="11"/>
      <c r="R116" s="12"/>
      <c r="S116" s="9">
        <f t="shared" si="79"/>
        <v>0</v>
      </c>
      <c r="T116" s="36"/>
      <c r="U116" s="5"/>
      <c r="V116" s="10"/>
      <c r="W116" s="11"/>
      <c r="X116" s="12"/>
      <c r="Y116" s="9">
        <f t="shared" si="80"/>
        <v>0</v>
      </c>
      <c r="Z116" s="10"/>
      <c r="AA116" s="11"/>
      <c r="AB116" s="12"/>
      <c r="AC116" s="9">
        <f t="shared" si="81"/>
        <v>0</v>
      </c>
    </row>
    <row r="117" spans="1:29" x14ac:dyDescent="0.15">
      <c r="A117" s="5"/>
      <c r="B117" s="10"/>
      <c r="C117" s="11"/>
      <c r="D117" s="12"/>
      <c r="E117" s="9">
        <f t="shared" si="73"/>
        <v>0</v>
      </c>
      <c r="F117" s="10"/>
      <c r="G117" s="11"/>
      <c r="H117" s="12"/>
      <c r="I117" s="9">
        <f t="shared" si="75"/>
        <v>0</v>
      </c>
      <c r="K117" s="13"/>
      <c r="L117" s="10"/>
      <c r="M117" s="11"/>
      <c r="N117" s="12"/>
      <c r="O117" s="9">
        <f t="shared" si="77"/>
        <v>0</v>
      </c>
      <c r="P117" s="10"/>
      <c r="Q117" s="11"/>
      <c r="R117" s="12"/>
      <c r="S117" s="9">
        <f t="shared" si="79"/>
        <v>0</v>
      </c>
      <c r="T117" s="36"/>
      <c r="U117" s="13"/>
      <c r="V117" s="10"/>
      <c r="W117" s="11"/>
      <c r="X117" s="12"/>
      <c r="Y117" s="9">
        <f t="shared" si="80"/>
        <v>0</v>
      </c>
      <c r="Z117" s="10"/>
      <c r="AA117" s="11"/>
      <c r="AB117" s="12"/>
      <c r="AC117" s="9">
        <f t="shared" si="81"/>
        <v>0</v>
      </c>
    </row>
    <row r="118" spans="1:29" x14ac:dyDescent="0.15">
      <c r="A118" s="13"/>
      <c r="B118" s="10"/>
      <c r="C118" s="11"/>
      <c r="D118" s="12"/>
      <c r="E118" s="9">
        <f t="shared" si="73"/>
        <v>0</v>
      </c>
      <c r="F118" s="10"/>
      <c r="G118" s="11"/>
      <c r="H118" s="12"/>
      <c r="I118" s="9">
        <f t="shared" si="75"/>
        <v>0</v>
      </c>
      <c r="K118" s="13"/>
      <c r="L118" s="14"/>
      <c r="M118" s="15"/>
      <c r="N118" s="16"/>
      <c r="O118" s="9">
        <f t="shared" si="77"/>
        <v>0</v>
      </c>
      <c r="P118" s="14"/>
      <c r="Q118" s="15"/>
      <c r="R118" s="16"/>
      <c r="S118" s="9">
        <f t="shared" si="79"/>
        <v>0</v>
      </c>
      <c r="T118" s="37"/>
      <c r="U118" s="13"/>
      <c r="V118" s="14"/>
      <c r="W118" s="15"/>
      <c r="X118" s="16"/>
      <c r="Y118" s="9">
        <f t="shared" si="80"/>
        <v>0</v>
      </c>
      <c r="Z118" s="14"/>
      <c r="AA118" s="15"/>
      <c r="AB118" s="16"/>
      <c r="AC118" s="9">
        <f t="shared" si="81"/>
        <v>0</v>
      </c>
    </row>
    <row r="119" spans="1:29" x14ac:dyDescent="0.15">
      <c r="A119" s="5"/>
      <c r="B119" s="10"/>
      <c r="C119" s="11"/>
      <c r="D119" s="12"/>
      <c r="E119" s="9">
        <f t="shared" si="73"/>
        <v>0</v>
      </c>
      <c r="F119" s="10"/>
      <c r="G119" s="11"/>
      <c r="H119" s="12"/>
      <c r="I119" s="9">
        <f t="shared" si="75"/>
        <v>0</v>
      </c>
      <c r="K119" s="13"/>
      <c r="L119" s="10"/>
      <c r="M119" s="11"/>
      <c r="N119" s="12"/>
      <c r="O119" s="9">
        <f>SUM(L119:N119)</f>
        <v>0</v>
      </c>
      <c r="P119" s="10"/>
      <c r="Q119" s="11"/>
      <c r="R119" s="12"/>
      <c r="S119" s="9">
        <f>SUM(P119:R119)</f>
        <v>0</v>
      </c>
      <c r="T119" s="37"/>
      <c r="U119" s="13"/>
      <c r="V119" s="10"/>
      <c r="W119" s="11"/>
      <c r="X119" s="12"/>
      <c r="Y119" s="9">
        <f>SUM(V119:X119)</f>
        <v>0</v>
      </c>
      <c r="Z119" s="10"/>
      <c r="AA119" s="11"/>
      <c r="AB119" s="12"/>
      <c r="AC119" s="9">
        <f>SUM(Z119:AB119)</f>
        <v>0</v>
      </c>
    </row>
    <row r="120" spans="1:29" x14ac:dyDescent="0.15">
      <c r="A120" s="29"/>
      <c r="B120" s="10"/>
      <c r="C120" s="11"/>
      <c r="D120" s="12"/>
      <c r="E120" s="9">
        <f t="shared" si="73"/>
        <v>0</v>
      </c>
      <c r="F120" s="10"/>
      <c r="G120" s="11"/>
      <c r="H120" s="12"/>
      <c r="I120" s="9">
        <f t="shared" si="75"/>
        <v>0</v>
      </c>
      <c r="K120" s="13"/>
      <c r="L120" s="10"/>
      <c r="M120" s="11"/>
      <c r="N120" s="12"/>
      <c r="O120" s="9">
        <f>SUM(L120:N120)</f>
        <v>0</v>
      </c>
      <c r="P120" s="10"/>
      <c r="Q120" s="11"/>
      <c r="R120" s="12"/>
      <c r="S120" s="9">
        <f>SUM(P120:R120)</f>
        <v>0</v>
      </c>
      <c r="T120" s="37"/>
      <c r="U120" s="13"/>
      <c r="V120" s="10"/>
      <c r="W120" s="11"/>
      <c r="X120" s="12"/>
      <c r="Y120" s="9">
        <f t="shared" ref="Y120:Y126" si="90">SUM(V120:X120)</f>
        <v>0</v>
      </c>
      <c r="Z120" s="10"/>
      <c r="AA120" s="11"/>
      <c r="AB120" s="12"/>
      <c r="AC120" s="9">
        <f t="shared" ref="AC120:AC126" si="91">SUM(Z120:AB120)</f>
        <v>0</v>
      </c>
    </row>
    <row r="121" spans="1:29" x14ac:dyDescent="0.15">
      <c r="A121" s="13"/>
      <c r="B121" s="10"/>
      <c r="C121" s="11"/>
      <c r="D121" s="12"/>
      <c r="E121" s="9">
        <f t="shared" si="73"/>
        <v>0</v>
      </c>
      <c r="F121" s="10"/>
      <c r="G121" s="11"/>
      <c r="H121" s="12"/>
      <c r="I121" s="9">
        <f t="shared" si="75"/>
        <v>0</v>
      </c>
      <c r="K121" s="13"/>
      <c r="L121" s="10"/>
      <c r="M121" s="11"/>
      <c r="N121" s="12"/>
      <c r="O121" s="9">
        <f>SUM(L121:N121)</f>
        <v>0</v>
      </c>
      <c r="P121" s="10"/>
      <c r="Q121" s="11"/>
      <c r="R121" s="12"/>
      <c r="S121" s="9">
        <f>SUM(P121:R121)</f>
        <v>0</v>
      </c>
      <c r="T121" s="37"/>
      <c r="U121" s="13"/>
      <c r="V121" s="10"/>
      <c r="W121" s="11"/>
      <c r="X121" s="12"/>
      <c r="Y121" s="9">
        <f t="shared" si="90"/>
        <v>0</v>
      </c>
      <c r="Z121" s="10"/>
      <c r="AA121" s="11"/>
      <c r="AB121" s="12"/>
      <c r="AC121" s="9">
        <f t="shared" si="91"/>
        <v>0</v>
      </c>
    </row>
    <row r="122" spans="1:29" x14ac:dyDescent="0.15">
      <c r="A122" s="5"/>
      <c r="B122" s="10"/>
      <c r="C122" s="11"/>
      <c r="D122" s="12"/>
      <c r="E122" s="9">
        <f t="shared" si="73"/>
        <v>0</v>
      </c>
      <c r="F122" s="10"/>
      <c r="G122" s="11"/>
      <c r="H122" s="12"/>
      <c r="I122" s="9">
        <f t="shared" si="75"/>
        <v>0</v>
      </c>
      <c r="K122" s="13" t="s">
        <v>44</v>
      </c>
      <c r="L122" s="10">
        <v>35</v>
      </c>
      <c r="M122" s="11">
        <v>50</v>
      </c>
      <c r="N122" s="12">
        <v>45</v>
      </c>
      <c r="O122" s="9">
        <f t="shared" ref="O122:O123" si="92">SUM(L122:N122)</f>
        <v>130</v>
      </c>
      <c r="P122" s="10">
        <v>35</v>
      </c>
      <c r="Q122" s="11">
        <v>50</v>
      </c>
      <c r="R122" s="12">
        <v>45</v>
      </c>
      <c r="S122" s="9">
        <f t="shared" ref="S122:S123" si="93">SUM(P122:R122)</f>
        <v>130</v>
      </c>
      <c r="T122" s="37" t="s">
        <v>47</v>
      </c>
      <c r="U122" s="13"/>
      <c r="V122" s="10"/>
      <c r="W122" s="11"/>
      <c r="X122" s="12"/>
      <c r="Y122" s="9">
        <f t="shared" si="90"/>
        <v>0</v>
      </c>
      <c r="Z122" s="10"/>
      <c r="AA122" s="11"/>
      <c r="AB122" s="12"/>
      <c r="AC122" s="9">
        <f t="shared" si="91"/>
        <v>0</v>
      </c>
    </row>
    <row r="123" spans="1:29" x14ac:dyDescent="0.15">
      <c r="A123" s="13"/>
      <c r="B123" s="10"/>
      <c r="C123" s="11"/>
      <c r="D123" s="12"/>
      <c r="E123" s="9">
        <f t="shared" si="73"/>
        <v>0</v>
      </c>
      <c r="F123" s="10"/>
      <c r="G123" s="11"/>
      <c r="H123" s="12"/>
      <c r="I123" s="9">
        <f t="shared" si="75"/>
        <v>0</v>
      </c>
      <c r="K123" s="13"/>
      <c r="L123" s="10"/>
      <c r="M123" s="11"/>
      <c r="N123" s="12"/>
      <c r="O123" s="9">
        <f t="shared" si="92"/>
        <v>0</v>
      </c>
      <c r="P123" s="10"/>
      <c r="Q123" s="11"/>
      <c r="R123" s="12"/>
      <c r="S123" s="9">
        <f t="shared" si="93"/>
        <v>0</v>
      </c>
      <c r="T123" s="37"/>
      <c r="U123" s="13"/>
      <c r="V123" s="10"/>
      <c r="W123" s="11"/>
      <c r="X123" s="12"/>
      <c r="Y123" s="9">
        <f t="shared" si="90"/>
        <v>0</v>
      </c>
      <c r="Z123" s="10"/>
      <c r="AA123" s="11"/>
      <c r="AB123" s="12"/>
      <c r="AC123" s="9">
        <f t="shared" si="91"/>
        <v>0</v>
      </c>
    </row>
    <row r="124" spans="1:29" x14ac:dyDescent="0.15">
      <c r="A124" s="13"/>
      <c r="B124" s="10"/>
      <c r="C124" s="11"/>
      <c r="D124" s="12"/>
      <c r="E124" s="9">
        <f t="shared" si="73"/>
        <v>0</v>
      </c>
      <c r="F124" s="10"/>
      <c r="G124" s="11"/>
      <c r="H124" s="12"/>
      <c r="I124" s="9">
        <f t="shared" si="75"/>
        <v>0</v>
      </c>
      <c r="K124" s="51" t="s">
        <v>30</v>
      </c>
      <c r="L124" s="52">
        <v>10</v>
      </c>
      <c r="M124" s="53">
        <v>0</v>
      </c>
      <c r="N124" s="54">
        <v>0</v>
      </c>
      <c r="O124" s="55">
        <f t="shared" ref="O124:O126" si="94">SUM(L124:N124)</f>
        <v>10</v>
      </c>
      <c r="P124" s="52">
        <v>10</v>
      </c>
      <c r="Q124" s="53">
        <v>0</v>
      </c>
      <c r="R124" s="54">
        <v>0</v>
      </c>
      <c r="S124" s="55">
        <f t="shared" ref="S124:S126" si="95">SUM(P124:R124)</f>
        <v>10</v>
      </c>
      <c r="T124" s="60" t="s">
        <v>25</v>
      </c>
      <c r="U124" s="13"/>
      <c r="V124" s="10"/>
      <c r="W124" s="11"/>
      <c r="X124" s="12"/>
      <c r="Y124" s="9">
        <f t="shared" si="90"/>
        <v>0</v>
      </c>
      <c r="Z124" s="10"/>
      <c r="AA124" s="11"/>
      <c r="AB124" s="12"/>
      <c r="AC124" s="9">
        <f t="shared" si="91"/>
        <v>0</v>
      </c>
    </row>
    <row r="125" spans="1:29" ht="14.25" thickBot="1" x14ac:dyDescent="0.2">
      <c r="A125" s="13"/>
      <c r="B125" s="10"/>
      <c r="C125" s="11"/>
      <c r="D125" s="12"/>
      <c r="E125" s="9">
        <f t="shared" si="73"/>
        <v>0</v>
      </c>
      <c r="F125" s="10"/>
      <c r="G125" s="11"/>
      <c r="H125" s="12"/>
      <c r="I125" s="9">
        <f t="shared" si="75"/>
        <v>0</v>
      </c>
      <c r="K125" s="45" t="s">
        <v>31</v>
      </c>
      <c r="L125" s="56">
        <v>30</v>
      </c>
      <c r="M125" s="57">
        <v>40</v>
      </c>
      <c r="N125" s="58">
        <v>40</v>
      </c>
      <c r="O125" s="49">
        <f t="shared" si="94"/>
        <v>110</v>
      </c>
      <c r="P125" s="56">
        <v>30</v>
      </c>
      <c r="Q125" s="57">
        <v>40</v>
      </c>
      <c r="R125" s="58">
        <v>40</v>
      </c>
      <c r="S125" s="49">
        <f t="shared" si="95"/>
        <v>110</v>
      </c>
      <c r="T125" s="60" t="s">
        <v>32</v>
      </c>
      <c r="U125" s="13"/>
      <c r="V125" s="10"/>
      <c r="W125" s="11"/>
      <c r="X125" s="12"/>
      <c r="Y125" s="9">
        <f t="shared" si="90"/>
        <v>0</v>
      </c>
      <c r="Z125" s="10"/>
      <c r="AA125" s="11"/>
      <c r="AB125" s="12"/>
      <c r="AC125" s="9">
        <f t="shared" si="91"/>
        <v>0</v>
      </c>
    </row>
    <row r="126" spans="1:29" ht="14.25" thickBot="1" x14ac:dyDescent="0.2">
      <c r="A126" s="4" t="s">
        <v>5</v>
      </c>
      <c r="B126" s="17">
        <f>SUM(B102:B125)</f>
        <v>0</v>
      </c>
      <c r="C126" s="17">
        <f>SUM(C102:C125)</f>
        <v>0</v>
      </c>
      <c r="D126" s="17">
        <f>SUM(D102:D125)</f>
        <v>0</v>
      </c>
      <c r="E126" s="18">
        <f t="shared" si="73"/>
        <v>0</v>
      </c>
      <c r="F126" s="17">
        <f>SUM(F102:F125)</f>
        <v>0</v>
      </c>
      <c r="G126" s="17">
        <f>SUM(G102:G125)</f>
        <v>0</v>
      </c>
      <c r="H126" s="17">
        <f>SUM(H102:H125)</f>
        <v>0</v>
      </c>
      <c r="I126" s="18">
        <f t="shared" si="75"/>
        <v>0</v>
      </c>
      <c r="K126" s="4" t="s">
        <v>5</v>
      </c>
      <c r="L126" s="17">
        <f>SUM(L102:L125)</f>
        <v>75</v>
      </c>
      <c r="M126" s="17">
        <f>SUM(M102:M125)</f>
        <v>90</v>
      </c>
      <c r="N126" s="17">
        <f>SUM(N102:N125)</f>
        <v>85</v>
      </c>
      <c r="O126" s="18">
        <f t="shared" si="94"/>
        <v>250</v>
      </c>
      <c r="P126" s="17">
        <f>SUM(P102:P125)</f>
        <v>75</v>
      </c>
      <c r="Q126" s="17">
        <f>SUM(Q102:Q125)</f>
        <v>90</v>
      </c>
      <c r="R126" s="17">
        <f>SUM(R102:R125)</f>
        <v>85</v>
      </c>
      <c r="S126" s="18">
        <f t="shared" si="95"/>
        <v>250</v>
      </c>
      <c r="U126" s="4" t="s">
        <v>5</v>
      </c>
      <c r="V126" s="17">
        <f>SUM(V102:V125)</f>
        <v>0</v>
      </c>
      <c r="W126" s="17">
        <f>SUM(W102:W125)</f>
        <v>0</v>
      </c>
      <c r="X126" s="17">
        <f>SUM(X102:X125)</f>
        <v>0</v>
      </c>
      <c r="Y126" s="18">
        <f t="shared" si="90"/>
        <v>0</v>
      </c>
      <c r="Z126" s="17">
        <f>SUM(Z102:Z125)</f>
        <v>0</v>
      </c>
      <c r="AA126" s="17">
        <f>SUM(AA102:AA125)</f>
        <v>0</v>
      </c>
      <c r="AB126" s="17">
        <f>SUM(AB102:AB125)</f>
        <v>0</v>
      </c>
      <c r="AC126" s="18">
        <f t="shared" si="91"/>
        <v>0</v>
      </c>
    </row>
    <row r="127" spans="1:29" ht="14.25" thickBot="1" x14ac:dyDescent="0.2">
      <c r="A127" s="27" t="s">
        <v>6</v>
      </c>
      <c r="B127" s="28">
        <f t="shared" ref="B127:I127" si="96">B101-B126</f>
        <v>0</v>
      </c>
      <c r="C127" s="28">
        <f t="shared" si="96"/>
        <v>0</v>
      </c>
      <c r="D127" s="28">
        <f t="shared" si="96"/>
        <v>0</v>
      </c>
      <c r="E127" s="28">
        <f t="shared" si="96"/>
        <v>0</v>
      </c>
      <c r="F127" s="28">
        <f t="shared" si="96"/>
        <v>0</v>
      </c>
      <c r="G127" s="28">
        <f t="shared" si="96"/>
        <v>0</v>
      </c>
      <c r="H127" s="28">
        <f t="shared" si="96"/>
        <v>0</v>
      </c>
      <c r="I127" s="26">
        <f t="shared" si="96"/>
        <v>0</v>
      </c>
      <c r="K127" s="27" t="s">
        <v>6</v>
      </c>
      <c r="L127" s="28">
        <f t="shared" ref="L127:S127" si="97">L101-L126</f>
        <v>-3</v>
      </c>
      <c r="M127" s="28">
        <f t="shared" si="97"/>
        <v>-4</v>
      </c>
      <c r="N127" s="28">
        <f t="shared" si="97"/>
        <v>3</v>
      </c>
      <c r="O127" s="28">
        <f t="shared" si="97"/>
        <v>-4</v>
      </c>
      <c r="P127" s="28">
        <f t="shared" si="97"/>
        <v>78</v>
      </c>
      <c r="Q127" s="28">
        <f t="shared" si="97"/>
        <v>-4</v>
      </c>
      <c r="R127" s="28">
        <f t="shared" si="97"/>
        <v>3</v>
      </c>
      <c r="S127" s="26">
        <f t="shared" si="97"/>
        <v>77</v>
      </c>
      <c r="U127" s="27" t="s">
        <v>6</v>
      </c>
      <c r="V127" s="28">
        <f t="shared" ref="V127:AC127" si="98">V101-V126</f>
        <v>9</v>
      </c>
      <c r="W127" s="28">
        <f t="shared" si="98"/>
        <v>20</v>
      </c>
      <c r="X127" s="28">
        <f t="shared" si="98"/>
        <v>19</v>
      </c>
      <c r="Y127" s="28">
        <f t="shared" si="98"/>
        <v>48</v>
      </c>
      <c r="Z127" s="28">
        <f t="shared" si="98"/>
        <v>9</v>
      </c>
      <c r="AA127" s="28">
        <f t="shared" si="98"/>
        <v>20</v>
      </c>
      <c r="AB127" s="28">
        <f t="shared" si="98"/>
        <v>19</v>
      </c>
      <c r="AC127" s="26">
        <f t="shared" si="98"/>
        <v>48</v>
      </c>
    </row>
  </sheetData>
  <mergeCells count="18">
    <mergeCell ref="Z45:AC45"/>
    <mergeCell ref="B45:E45"/>
    <mergeCell ref="F45:I45"/>
    <mergeCell ref="L45:O45"/>
    <mergeCell ref="P45:S45"/>
    <mergeCell ref="V45:Y45"/>
    <mergeCell ref="V2:Y2"/>
    <mergeCell ref="B2:E2"/>
    <mergeCell ref="F2:I2"/>
    <mergeCell ref="L2:O2"/>
    <mergeCell ref="Z2:AC2"/>
    <mergeCell ref="P2:S2"/>
    <mergeCell ref="Z88:AC88"/>
    <mergeCell ref="L88:O88"/>
    <mergeCell ref="P88:S88"/>
    <mergeCell ref="B88:E88"/>
    <mergeCell ref="F88:I88"/>
    <mergeCell ref="V88:Y88"/>
  </mergeCells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7分長</vt:lpstr>
      <vt:lpstr>Sheet2</vt:lpstr>
      <vt:lpstr>Sheet3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AT MR</cp:lastModifiedBy>
  <cp:lastPrinted>2015-03-05T02:57:11Z</cp:lastPrinted>
  <dcterms:created xsi:type="dcterms:W3CDTF">2014-05-16T05:12:07Z</dcterms:created>
  <dcterms:modified xsi:type="dcterms:W3CDTF">2026-06-18T00:25:00Z</dcterms:modified>
</cp:coreProperties>
</file>