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476A9DEA-9381-4442-93DB-C3A90BC19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色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83" i="1" l="1"/>
  <c r="Q221" i="1"/>
  <c r="Q295" i="1"/>
  <c r="Q337" i="1"/>
  <c r="Q338" i="1"/>
  <c r="Q340" i="1"/>
  <c r="Q339" i="1"/>
  <c r="Q381" i="1"/>
  <c r="G384" i="1"/>
  <c r="F384" i="1"/>
  <c r="E384" i="1"/>
  <c r="D384" i="1"/>
  <c r="H384" i="1" s="1"/>
  <c r="C384" i="1"/>
  <c r="B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8" i="1"/>
  <c r="H357" i="1"/>
  <c r="H356" i="1"/>
  <c r="H355" i="1"/>
  <c r="H354" i="1"/>
  <c r="H353" i="1"/>
  <c r="H352" i="1"/>
  <c r="H351" i="1"/>
  <c r="H350" i="1"/>
  <c r="H349" i="1"/>
  <c r="Q380" i="1"/>
  <c r="Q382" i="1"/>
  <c r="Q309" i="1"/>
  <c r="Q310" i="1"/>
  <c r="Q311" i="1"/>
  <c r="Q352" i="1"/>
  <c r="Q351" i="1"/>
  <c r="Q353" i="1"/>
  <c r="Q354" i="1"/>
  <c r="P384" i="1"/>
  <c r="O384" i="1"/>
  <c r="N384" i="1"/>
  <c r="M384" i="1"/>
  <c r="L384" i="1"/>
  <c r="K384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8" i="1"/>
  <c r="Q357" i="1"/>
  <c r="Q356" i="1"/>
  <c r="Q355" i="1"/>
  <c r="Q350" i="1"/>
  <c r="Q349" i="1"/>
  <c r="Q336" i="1"/>
  <c r="Q297" i="1"/>
  <c r="M255" i="1"/>
  <c r="L255" i="1"/>
  <c r="Q233" i="1"/>
  <c r="Q296" i="1"/>
  <c r="Q267" i="1"/>
  <c r="Q268" i="1"/>
  <c r="G341" i="1"/>
  <c r="F341" i="1"/>
  <c r="E341" i="1"/>
  <c r="D341" i="1"/>
  <c r="C341" i="1"/>
  <c r="B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5" i="1"/>
  <c r="H314" i="1"/>
  <c r="H313" i="1"/>
  <c r="H312" i="1"/>
  <c r="H311" i="1"/>
  <c r="H310" i="1"/>
  <c r="H309" i="1"/>
  <c r="H308" i="1"/>
  <c r="H307" i="1"/>
  <c r="H306" i="1"/>
  <c r="G298" i="1"/>
  <c r="F298" i="1"/>
  <c r="E298" i="1"/>
  <c r="D298" i="1"/>
  <c r="C298" i="1"/>
  <c r="B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2" i="1"/>
  <c r="H271" i="1"/>
  <c r="H270" i="1"/>
  <c r="H269" i="1"/>
  <c r="H268" i="1"/>
  <c r="H267" i="1"/>
  <c r="H266" i="1"/>
  <c r="H265" i="1"/>
  <c r="H264" i="1"/>
  <c r="H263" i="1"/>
  <c r="Q178" i="1"/>
  <c r="Q308" i="1"/>
  <c r="Q266" i="1"/>
  <c r="P341" i="1"/>
  <c r="O341" i="1"/>
  <c r="N341" i="1"/>
  <c r="M341" i="1"/>
  <c r="L341" i="1"/>
  <c r="K341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5" i="1"/>
  <c r="Q314" i="1"/>
  <c r="Q313" i="1"/>
  <c r="Q312" i="1"/>
  <c r="Q307" i="1"/>
  <c r="Q306" i="1"/>
  <c r="Q263" i="1"/>
  <c r="Q252" i="1"/>
  <c r="Q253" i="1"/>
  <c r="Q220" i="1"/>
  <c r="Q222" i="1"/>
  <c r="Q223" i="1"/>
  <c r="Q224" i="1"/>
  <c r="Q225" i="1"/>
  <c r="P298" i="1"/>
  <c r="O298" i="1"/>
  <c r="N298" i="1"/>
  <c r="M298" i="1"/>
  <c r="L298" i="1"/>
  <c r="K298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2" i="1"/>
  <c r="Q271" i="1"/>
  <c r="Q270" i="1"/>
  <c r="Q269" i="1"/>
  <c r="Q265" i="1"/>
  <c r="Q264" i="1"/>
  <c r="Q251" i="1"/>
  <c r="Q211" i="1"/>
  <c r="K212" i="1"/>
  <c r="Q194" i="1"/>
  <c r="Q47" i="1"/>
  <c r="P47" i="1"/>
  <c r="O47" i="1"/>
  <c r="N47" i="1"/>
  <c r="M47" i="1"/>
  <c r="L47" i="1"/>
  <c r="K47" i="1"/>
  <c r="Q15" i="1"/>
  <c r="P15" i="1"/>
  <c r="O15" i="1"/>
  <c r="N15" i="1"/>
  <c r="M15" i="1"/>
  <c r="M41" i="1" s="1"/>
  <c r="L15" i="1"/>
  <c r="L41" i="1" s="1"/>
  <c r="K15" i="1"/>
  <c r="Q40" i="1"/>
  <c r="Q41" i="1" s="1"/>
  <c r="P40" i="1"/>
  <c r="P128" i="1" s="1"/>
  <c r="O40" i="1"/>
  <c r="N40" i="1"/>
  <c r="M40" i="1"/>
  <c r="L40" i="1"/>
  <c r="K40" i="1"/>
  <c r="Q83" i="1"/>
  <c r="P83" i="1"/>
  <c r="O83" i="1"/>
  <c r="N83" i="1"/>
  <c r="M83" i="1"/>
  <c r="L83" i="1"/>
  <c r="K83" i="1"/>
  <c r="Q126" i="1"/>
  <c r="P126" i="1"/>
  <c r="O126" i="1"/>
  <c r="N126" i="1"/>
  <c r="M126" i="1"/>
  <c r="L126" i="1"/>
  <c r="K126" i="1"/>
  <c r="Q169" i="1"/>
  <c r="P169" i="1"/>
  <c r="O169" i="1"/>
  <c r="N169" i="1"/>
  <c r="M169" i="1"/>
  <c r="L169" i="1"/>
  <c r="K169" i="1"/>
  <c r="P212" i="1"/>
  <c r="O212" i="1"/>
  <c r="N212" i="1"/>
  <c r="M212" i="1"/>
  <c r="L212" i="1"/>
  <c r="N255" i="1"/>
  <c r="O255" i="1"/>
  <c r="P255" i="1"/>
  <c r="K255" i="1"/>
  <c r="N41" i="1"/>
  <c r="K41" i="1"/>
  <c r="Q192" i="1"/>
  <c r="Q191" i="1"/>
  <c r="Q190" i="1"/>
  <c r="Q189" i="1"/>
  <c r="Q155" i="1"/>
  <c r="H163" i="1"/>
  <c r="H164" i="1"/>
  <c r="Q153" i="1"/>
  <c r="G255" i="1"/>
  <c r="F255" i="1"/>
  <c r="E255" i="1"/>
  <c r="D255" i="1"/>
  <c r="C255" i="1"/>
  <c r="B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29" i="1"/>
  <c r="H228" i="1"/>
  <c r="H227" i="1"/>
  <c r="H226" i="1"/>
  <c r="H225" i="1"/>
  <c r="H224" i="1"/>
  <c r="H223" i="1"/>
  <c r="H222" i="1"/>
  <c r="H221" i="1"/>
  <c r="H220" i="1"/>
  <c r="Q162" i="1"/>
  <c r="Q163" i="1"/>
  <c r="Q164" i="1"/>
  <c r="Q179" i="1"/>
  <c r="Q180" i="1"/>
  <c r="Q18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2" i="1"/>
  <c r="Q231" i="1"/>
  <c r="Q229" i="1"/>
  <c r="Q228" i="1"/>
  <c r="Q227" i="1"/>
  <c r="Q226" i="1"/>
  <c r="Q148" i="1"/>
  <c r="Q147" i="1"/>
  <c r="Q215" i="1"/>
  <c r="Q111" i="1"/>
  <c r="H120" i="1"/>
  <c r="H145" i="1"/>
  <c r="G212" i="1"/>
  <c r="F212" i="1"/>
  <c r="E212" i="1"/>
  <c r="D212" i="1"/>
  <c r="C212" i="1"/>
  <c r="B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6" i="1"/>
  <c r="H185" i="1"/>
  <c r="H184" i="1"/>
  <c r="H183" i="1"/>
  <c r="H182" i="1"/>
  <c r="H181" i="1"/>
  <c r="H180" i="1"/>
  <c r="H179" i="1"/>
  <c r="H178" i="1"/>
  <c r="H177" i="1"/>
  <c r="Q136" i="1"/>
  <c r="Q137" i="1"/>
  <c r="Q206" i="1"/>
  <c r="Q207" i="1"/>
  <c r="Q208" i="1"/>
  <c r="Q209" i="1"/>
  <c r="Q210" i="1"/>
  <c r="Q205" i="1"/>
  <c r="Q204" i="1"/>
  <c r="Q203" i="1"/>
  <c r="Q202" i="1"/>
  <c r="Q201" i="1"/>
  <c r="Q200" i="1"/>
  <c r="Q199" i="1"/>
  <c r="Q198" i="1"/>
  <c r="Q197" i="1"/>
  <c r="Q196" i="1"/>
  <c r="Q195" i="1"/>
  <c r="Q193" i="1"/>
  <c r="Q188" i="1"/>
  <c r="Q186" i="1"/>
  <c r="Q185" i="1"/>
  <c r="Q184" i="1"/>
  <c r="Q183" i="1"/>
  <c r="Q182" i="1"/>
  <c r="Q177" i="1"/>
  <c r="Q100" i="1"/>
  <c r="Q108" i="1"/>
  <c r="Q167" i="1"/>
  <c r="H117" i="1"/>
  <c r="Q107" i="1"/>
  <c r="Q106" i="1"/>
  <c r="Q105" i="1"/>
  <c r="Q166" i="1"/>
  <c r="Q165" i="1"/>
  <c r="Q104" i="1"/>
  <c r="H107" i="1"/>
  <c r="Q122" i="1"/>
  <c r="Q123" i="1"/>
  <c r="Q124" i="1"/>
  <c r="Q125" i="1"/>
  <c r="G169" i="1"/>
  <c r="F169" i="1"/>
  <c r="E169" i="1"/>
  <c r="D169" i="1"/>
  <c r="C169" i="1"/>
  <c r="B169" i="1"/>
  <c r="Q168" i="1"/>
  <c r="H168" i="1"/>
  <c r="H167" i="1"/>
  <c r="H166" i="1"/>
  <c r="H165" i="1"/>
  <c r="H162" i="1"/>
  <c r="Q161" i="1"/>
  <c r="H161" i="1"/>
  <c r="Q160" i="1"/>
  <c r="H160" i="1"/>
  <c r="Q159" i="1"/>
  <c r="H159" i="1"/>
  <c r="Q158" i="1"/>
  <c r="H158" i="1"/>
  <c r="Q157" i="1"/>
  <c r="H157" i="1"/>
  <c r="Q156" i="1"/>
  <c r="H156" i="1"/>
  <c r="H155" i="1"/>
  <c r="Q154" i="1"/>
  <c r="H154" i="1"/>
  <c r="H153" i="1"/>
  <c r="Q152" i="1"/>
  <c r="H152" i="1"/>
  <c r="Q151" i="1"/>
  <c r="H151" i="1"/>
  <c r="Q150" i="1"/>
  <c r="H150" i="1"/>
  <c r="Q149" i="1"/>
  <c r="H149" i="1"/>
  <c r="H148" i="1"/>
  <c r="H147" i="1"/>
  <c r="Q146" i="1"/>
  <c r="H146" i="1"/>
  <c r="Q145" i="1"/>
  <c r="Q143" i="1"/>
  <c r="H143" i="1"/>
  <c r="Q142" i="1"/>
  <c r="H142" i="1"/>
  <c r="Q141" i="1"/>
  <c r="H141" i="1"/>
  <c r="Q140" i="1"/>
  <c r="H140" i="1"/>
  <c r="Q139" i="1"/>
  <c r="H139" i="1"/>
  <c r="Q138" i="1"/>
  <c r="H138" i="1"/>
  <c r="H137" i="1"/>
  <c r="H136" i="1"/>
  <c r="Q135" i="1"/>
  <c r="H135" i="1"/>
  <c r="Q134" i="1"/>
  <c r="H134" i="1"/>
  <c r="Q73" i="1"/>
  <c r="Q70" i="1"/>
  <c r="H67" i="1"/>
  <c r="Q67" i="1"/>
  <c r="Q66" i="1"/>
  <c r="Q64" i="1"/>
  <c r="Q78" i="1"/>
  <c r="Q82" i="1"/>
  <c r="Q25" i="1"/>
  <c r="Q81" i="1"/>
  <c r="Q80" i="1"/>
  <c r="Q79" i="1"/>
  <c r="Q24" i="1"/>
  <c r="Q23" i="1"/>
  <c r="Q22" i="1"/>
  <c r="Q21" i="1"/>
  <c r="Q20" i="1"/>
  <c r="Q19" i="1"/>
  <c r="Q18" i="1"/>
  <c r="Q17" i="1"/>
  <c r="Q16" i="1"/>
  <c r="H22" i="1"/>
  <c r="Q39" i="1"/>
  <c r="Q7" i="1"/>
  <c r="Q50" i="1"/>
  <c r="N128" i="1"/>
  <c r="N171" i="1" s="1"/>
  <c r="M128" i="1"/>
  <c r="M171" i="1" s="1"/>
  <c r="L128" i="1"/>
  <c r="L171" i="1" s="1"/>
  <c r="K128" i="1"/>
  <c r="G126" i="1"/>
  <c r="F126" i="1"/>
  <c r="E126" i="1"/>
  <c r="D126" i="1"/>
  <c r="C126" i="1"/>
  <c r="B126" i="1"/>
  <c r="B83" i="1"/>
  <c r="C83" i="1"/>
  <c r="D83" i="1"/>
  <c r="E83" i="1"/>
  <c r="F83" i="1"/>
  <c r="G83" i="1"/>
  <c r="Q121" i="1"/>
  <c r="Q120" i="1"/>
  <c r="Q119" i="1"/>
  <c r="Q118" i="1"/>
  <c r="Q117" i="1"/>
  <c r="Q116" i="1"/>
  <c r="Q115" i="1"/>
  <c r="Q114" i="1"/>
  <c r="Q113" i="1"/>
  <c r="Q112" i="1"/>
  <c r="Q110" i="1"/>
  <c r="Q109" i="1"/>
  <c r="Q103" i="1"/>
  <c r="Q102" i="1"/>
  <c r="Q99" i="1"/>
  <c r="Q98" i="1"/>
  <c r="Q97" i="1"/>
  <c r="Q96" i="1"/>
  <c r="Q95" i="1"/>
  <c r="Q94" i="1"/>
  <c r="Q93" i="1"/>
  <c r="Q92" i="1"/>
  <c r="Q91" i="1"/>
  <c r="H125" i="1"/>
  <c r="H124" i="1"/>
  <c r="H123" i="1"/>
  <c r="H122" i="1"/>
  <c r="H121" i="1"/>
  <c r="H119" i="1"/>
  <c r="H118" i="1"/>
  <c r="H116" i="1"/>
  <c r="H115" i="1"/>
  <c r="H114" i="1"/>
  <c r="H113" i="1"/>
  <c r="H112" i="1"/>
  <c r="H111" i="1"/>
  <c r="H110" i="1"/>
  <c r="H109" i="1"/>
  <c r="H108" i="1"/>
  <c r="H106" i="1"/>
  <c r="H105" i="1"/>
  <c r="H104" i="1"/>
  <c r="H103" i="1"/>
  <c r="H102" i="1"/>
  <c r="H100" i="1"/>
  <c r="H99" i="1"/>
  <c r="H98" i="1"/>
  <c r="H97" i="1"/>
  <c r="H96" i="1"/>
  <c r="H95" i="1"/>
  <c r="H94" i="1"/>
  <c r="H93" i="1"/>
  <c r="H92" i="1"/>
  <c r="H91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14" i="1"/>
  <c r="Q13" i="1"/>
  <c r="Q12" i="1"/>
  <c r="Q11" i="1"/>
  <c r="Q10" i="1"/>
  <c r="Q9" i="1"/>
  <c r="Q8" i="1"/>
  <c r="Q6" i="1"/>
  <c r="Q5" i="1"/>
  <c r="Q4" i="1"/>
  <c r="Q77" i="1"/>
  <c r="Q76" i="1"/>
  <c r="Q75" i="1"/>
  <c r="Q74" i="1"/>
  <c r="Q72" i="1"/>
  <c r="Q71" i="1"/>
  <c r="Q69" i="1"/>
  <c r="Q68" i="1"/>
  <c r="Q65" i="1"/>
  <c r="Q63" i="1"/>
  <c r="Q62" i="1"/>
  <c r="Q61" i="1"/>
  <c r="Q60" i="1"/>
  <c r="Q59" i="1"/>
  <c r="Q57" i="1"/>
  <c r="Q56" i="1"/>
  <c r="Q55" i="1"/>
  <c r="Q54" i="1"/>
  <c r="Q53" i="1"/>
  <c r="Q52" i="1"/>
  <c r="Q51" i="1"/>
  <c r="Q49" i="1"/>
  <c r="Q48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2" i="1"/>
  <c r="H61" i="1"/>
  <c r="H60" i="1"/>
  <c r="H59" i="1"/>
  <c r="H57" i="1"/>
  <c r="H56" i="1"/>
  <c r="H55" i="1"/>
  <c r="H54" i="1"/>
  <c r="H53" i="1"/>
  <c r="H52" i="1"/>
  <c r="H51" i="1"/>
  <c r="H50" i="1"/>
  <c r="H49" i="1"/>
  <c r="H48" i="1"/>
  <c r="G40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5" i="1"/>
  <c r="H6" i="1"/>
  <c r="H7" i="1"/>
  <c r="H8" i="1"/>
  <c r="H9" i="1"/>
  <c r="H10" i="1"/>
  <c r="H11" i="1"/>
  <c r="H12" i="1"/>
  <c r="H13" i="1"/>
  <c r="H14" i="1"/>
  <c r="H4" i="1"/>
  <c r="G15" i="1"/>
  <c r="H341" i="1" l="1"/>
  <c r="H298" i="1"/>
  <c r="Q384" i="1"/>
  <c r="Q254" i="1"/>
  <c r="Q255" i="1" s="1"/>
  <c r="H255" i="1"/>
  <c r="Q298" i="1"/>
  <c r="Q341" i="1"/>
  <c r="Q212" i="1"/>
  <c r="O41" i="1"/>
  <c r="O58" i="1" s="1"/>
  <c r="P41" i="1"/>
  <c r="P58" i="1" s="1"/>
  <c r="P171" i="1"/>
  <c r="O128" i="1"/>
  <c r="O171" i="1"/>
  <c r="K171" i="1"/>
  <c r="H212" i="1"/>
  <c r="H169" i="1"/>
  <c r="H126" i="1"/>
  <c r="G41" i="1"/>
  <c r="G47" i="1" s="1"/>
  <c r="G58" i="1" s="1"/>
  <c r="G84" i="1" s="1"/>
  <c r="G90" i="1" s="1"/>
  <c r="G101" i="1" s="1"/>
  <c r="G127" i="1" s="1"/>
  <c r="G133" i="1" s="1"/>
  <c r="L58" i="1"/>
  <c r="N58" i="1"/>
  <c r="K58" i="1"/>
  <c r="M58" i="1"/>
  <c r="Q128" i="1"/>
  <c r="Q129" i="1" s="1"/>
  <c r="H83" i="1"/>
  <c r="Q171" i="1" l="1"/>
  <c r="Q172" i="1" s="1"/>
  <c r="L84" i="1"/>
  <c r="L90" i="1" s="1"/>
  <c r="M84" i="1"/>
  <c r="M90" i="1" s="1"/>
  <c r="K84" i="1"/>
  <c r="K90" i="1" s="1"/>
  <c r="P84" i="1"/>
  <c r="P90" i="1" s="1"/>
  <c r="O84" i="1"/>
  <c r="O90" i="1" s="1"/>
  <c r="N84" i="1"/>
  <c r="N90" i="1" s="1"/>
  <c r="N172" i="1"/>
  <c r="P172" i="1"/>
  <c r="M172" i="1"/>
  <c r="O172" i="1"/>
  <c r="L172" i="1"/>
  <c r="K172" i="1"/>
  <c r="M129" i="1"/>
  <c r="K129" i="1"/>
  <c r="P129" i="1"/>
  <c r="O129" i="1"/>
  <c r="L129" i="1"/>
  <c r="N129" i="1"/>
  <c r="G144" i="1"/>
  <c r="Q58" i="1"/>
  <c r="Q84" i="1" s="1"/>
  <c r="Q90" i="1" s="1"/>
  <c r="C40" i="1"/>
  <c r="D40" i="1"/>
  <c r="E40" i="1"/>
  <c r="F40" i="1"/>
  <c r="B40" i="1"/>
  <c r="C15" i="1"/>
  <c r="D15" i="1"/>
  <c r="E15" i="1"/>
  <c r="F15" i="1"/>
  <c r="B15" i="1"/>
  <c r="L101" i="1" l="1"/>
  <c r="L127" i="1" s="1"/>
  <c r="N101" i="1"/>
  <c r="N127" i="1" s="1"/>
  <c r="O101" i="1"/>
  <c r="O127" i="1" s="1"/>
  <c r="P101" i="1"/>
  <c r="P127" i="1" s="1"/>
  <c r="K101" i="1"/>
  <c r="K127" i="1" s="1"/>
  <c r="K133" i="1" s="1"/>
  <c r="M101" i="1"/>
  <c r="M127" i="1" s="1"/>
  <c r="G170" i="1"/>
  <c r="G176" i="1" s="1"/>
  <c r="G187" i="1" s="1"/>
  <c r="G213" i="1" s="1"/>
  <c r="G219" i="1" s="1"/>
  <c r="G230" i="1" s="1"/>
  <c r="G256" i="1" s="1"/>
  <c r="G262" i="1" s="1"/>
  <c r="Q101" i="1"/>
  <c r="H40" i="1"/>
  <c r="H15" i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B41" i="1"/>
  <c r="B47" i="1" s="1"/>
  <c r="B58" i="1" s="1"/>
  <c r="B84" i="1" s="1"/>
  <c r="B90" i="1" s="1"/>
  <c r="B101" i="1" s="1"/>
  <c r="B127" i="1" s="1"/>
  <c r="B133" i="1" s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E359" i="1" l="1"/>
  <c r="G273" i="1"/>
  <c r="O133" i="1"/>
  <c r="O144" i="1" s="1"/>
  <c r="O170" i="1" s="1"/>
  <c r="O176" i="1" s="1"/>
  <c r="O187" i="1" s="1"/>
  <c r="O213" i="1" s="1"/>
  <c r="O219" i="1" s="1"/>
  <c r="O230" i="1" s="1"/>
  <c r="O256" i="1" s="1"/>
  <c r="O262" i="1" s="1"/>
  <c r="O273" i="1" s="1"/>
  <c r="O299" i="1" s="1"/>
  <c r="O305" i="1" s="1"/>
  <c r="O316" i="1" s="1"/>
  <c r="O342" i="1" s="1"/>
  <c r="O348" i="1" s="1"/>
  <c r="O359" i="1" s="1"/>
  <c r="O385" i="1" s="1"/>
  <c r="N133" i="1"/>
  <c r="N144" i="1" s="1"/>
  <c r="N170" i="1" s="1"/>
  <c r="N176" i="1" s="1"/>
  <c r="N187" i="1" s="1"/>
  <c r="N213" i="1" s="1"/>
  <c r="L133" i="1"/>
  <c r="L144" i="1" s="1"/>
  <c r="L170" i="1" s="1"/>
  <c r="L176" i="1" s="1"/>
  <c r="L187" i="1" s="1"/>
  <c r="L213" i="1" s="1"/>
  <c r="L219" i="1" s="1"/>
  <c r="M133" i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P133" i="1"/>
  <c r="P144" i="1" s="1"/>
  <c r="P170" i="1" s="1"/>
  <c r="P176" i="1" s="1"/>
  <c r="P187" i="1" s="1"/>
  <c r="P213" i="1" s="1"/>
  <c r="P219" i="1" s="1"/>
  <c r="P230" i="1" s="1"/>
  <c r="P256" i="1" s="1"/>
  <c r="P262" i="1" s="1"/>
  <c r="P273" i="1" s="1"/>
  <c r="P299" i="1" s="1"/>
  <c r="P305" i="1" s="1"/>
  <c r="P316" i="1" s="1"/>
  <c r="P342" i="1" s="1"/>
  <c r="P348" i="1" s="1"/>
  <c r="P359" i="1" s="1"/>
  <c r="P385" i="1" s="1"/>
  <c r="K144" i="1"/>
  <c r="K170" i="1" s="1"/>
  <c r="D187" i="1"/>
  <c r="B144" i="1"/>
  <c r="H133" i="1"/>
  <c r="Q127" i="1"/>
  <c r="Q133" i="1" s="1"/>
  <c r="Q144" i="1" s="1"/>
  <c r="Q170" i="1" s="1"/>
  <c r="Q176" i="1" s="1"/>
  <c r="H47" i="1"/>
  <c r="H41" i="1"/>
  <c r="E385" i="1" l="1"/>
  <c r="G299" i="1"/>
  <c r="G305" i="1" s="1"/>
  <c r="K176" i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N219" i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Q187" i="1"/>
  <c r="Q213" i="1" s="1"/>
  <c r="L230" i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D213" i="1"/>
  <c r="D219" i="1" s="1"/>
  <c r="D230" i="1" s="1"/>
  <c r="D256" i="1" s="1"/>
  <c r="D262" i="1" s="1"/>
  <c r="L130" i="1"/>
  <c r="P130" i="1"/>
  <c r="K130" i="1"/>
  <c r="M130" i="1"/>
  <c r="Q130" i="1"/>
  <c r="O130" i="1"/>
  <c r="N130" i="1"/>
  <c r="B170" i="1"/>
  <c r="B176" i="1" s="1"/>
  <c r="H144" i="1"/>
  <c r="H170" i="1" s="1"/>
  <c r="H58" i="1"/>
  <c r="H84" i="1" s="1"/>
  <c r="D273" i="1" l="1"/>
  <c r="G316" i="1"/>
  <c r="Q219" i="1"/>
  <c r="Q230" i="1" s="1"/>
  <c r="Q214" i="1"/>
  <c r="O214" i="1"/>
  <c r="K214" i="1"/>
  <c r="M214" i="1"/>
  <c r="P214" i="1"/>
  <c r="L214" i="1"/>
  <c r="N214" i="1"/>
  <c r="B187" i="1"/>
  <c r="H176" i="1"/>
  <c r="H90" i="1"/>
  <c r="D299" i="1" l="1"/>
  <c r="D305" i="1" s="1"/>
  <c r="G342" i="1"/>
  <c r="G348" i="1" s="1"/>
  <c r="G359" i="1" s="1"/>
  <c r="G385" i="1" s="1"/>
  <c r="Q256" i="1"/>
  <c r="B213" i="1"/>
  <c r="B219" i="1" s="1"/>
  <c r="H187" i="1"/>
  <c r="H213" i="1" s="1"/>
  <c r="H101" i="1"/>
  <c r="H127" i="1" s="1"/>
  <c r="D316" i="1" l="1"/>
  <c r="Q262" i="1"/>
  <c r="Q273" i="1" s="1"/>
  <c r="Q299" i="1" s="1"/>
  <c r="Q305" i="1" s="1"/>
  <c r="Q316" i="1" s="1"/>
  <c r="Q342" i="1" s="1"/>
  <c r="Q348" i="1" s="1"/>
  <c r="Q359" i="1" s="1"/>
  <c r="Q385" i="1" s="1"/>
  <c r="B230" i="1"/>
  <c r="H219" i="1"/>
  <c r="D342" i="1" l="1"/>
  <c r="D348" i="1" s="1"/>
  <c r="D359" i="1" s="1"/>
  <c r="D385" i="1" s="1"/>
  <c r="B256" i="1"/>
  <c r="B262" i="1" s="1"/>
  <c r="H230" i="1"/>
  <c r="H256" i="1" s="1"/>
  <c r="B273" i="1" l="1"/>
  <c r="H262" i="1"/>
  <c r="B299" i="1" l="1"/>
  <c r="B305" i="1" s="1"/>
  <c r="H273" i="1"/>
  <c r="H299" i="1" s="1"/>
  <c r="B316" i="1" l="1"/>
  <c r="H305" i="1"/>
  <c r="B342" i="1" l="1"/>
  <c r="B348" i="1" s="1"/>
  <c r="H316" i="1"/>
  <c r="H342" i="1" s="1"/>
  <c r="B359" i="1" l="1"/>
  <c r="H348" i="1"/>
  <c r="B385" i="1" l="1"/>
  <c r="H359" i="1"/>
  <c r="H385" i="1" s="1"/>
</calcChain>
</file>

<file path=xl/sharedStrings.xml><?xml version="1.0" encoding="utf-8"?>
<sst xmlns="http://schemas.openxmlformats.org/spreadsheetml/2006/main" count="684" uniqueCount="205">
  <si>
    <t>カラー</t>
  </si>
  <si>
    <t>サイズ</t>
  </si>
  <si>
    <t>M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</si>
  <si>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</si>
  <si>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</si>
  <si>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</si>
  <si>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</si>
  <si>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</si>
  <si>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</si>
  <si>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L</t>
    <phoneticPr fontId="1"/>
  </si>
  <si>
    <t>LL</t>
    <phoneticPr fontId="1"/>
  </si>
  <si>
    <t>3L</t>
    <phoneticPr fontId="1"/>
  </si>
  <si>
    <t>4L</t>
    <phoneticPr fontId="1"/>
  </si>
  <si>
    <t>５色組</t>
    <rPh sb="1" eb="2">
      <t>ショク</t>
    </rPh>
    <rPh sb="2" eb="3">
      <t>グミ</t>
    </rPh>
    <phoneticPr fontId="1"/>
  </si>
  <si>
    <t>5L</t>
    <phoneticPr fontId="1"/>
  </si>
  <si>
    <t>初回　</t>
    <rPh sb="0" eb="2">
      <t>ショカイ</t>
    </rPh>
    <phoneticPr fontId="4"/>
  </si>
  <si>
    <t>夢販</t>
    <rPh sb="0" eb="2">
      <t>ユメハン</t>
    </rPh>
    <phoneticPr fontId="1"/>
  </si>
  <si>
    <t>1/10～</t>
    <phoneticPr fontId="1"/>
  </si>
  <si>
    <t>JODプリマナ7277（表4）</t>
    <rPh sb="12" eb="13">
      <t>ヒョウ</t>
    </rPh>
    <phoneticPr fontId="1"/>
  </si>
  <si>
    <t>2024/12/2数伝</t>
    <rPh sb="9" eb="11">
      <t>スウデン</t>
    </rPh>
    <phoneticPr fontId="1"/>
  </si>
  <si>
    <t>2/26～3/12</t>
    <phoneticPr fontId="1"/>
  </si>
  <si>
    <t>ロイヤルステージ3月号</t>
    <rPh sb="9" eb="10">
      <t>ガツ</t>
    </rPh>
    <rPh sb="10" eb="11">
      <t>ゴウ</t>
    </rPh>
    <phoneticPr fontId="1"/>
  </si>
  <si>
    <t>3/12～</t>
    <phoneticPr fontId="1"/>
  </si>
  <si>
    <t>ネット</t>
    <phoneticPr fontId="1"/>
  </si>
  <si>
    <t>酒井さん</t>
    <rPh sb="0" eb="2">
      <t>サカイ</t>
    </rPh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</si>
  <si>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</si>
  <si>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</si>
  <si>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</si>
  <si>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</si>
  <si>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＜No276592　お腹押さえ安心ショーツ5色組　夢販在庫＞ 外箱品番:165668-22～27　商品品番:820035-001～006</t>
    <rPh sb="25" eb="27">
      <t>ユメハン</t>
    </rPh>
    <rPh sb="27" eb="29">
      <t>ザイコ</t>
    </rPh>
    <rPh sb="31" eb="33">
      <t>ソトバコ</t>
    </rPh>
    <rPh sb="33" eb="35">
      <t>ヒンバン</t>
    </rPh>
    <rPh sb="49" eb="51">
      <t>ショウヒン</t>
    </rPh>
    <rPh sb="51" eb="53">
      <t>ヒンバン</t>
    </rPh>
    <phoneticPr fontId="4"/>
  </si>
  <si>
    <t>＜No276592　お腹押さえ安心ショーツ5色組　K-PORT在庫＞　＠1750＠2000　外箱品番:165668-22～27　商品品番:820035-001～006</t>
    <rPh sb="31" eb="33">
      <t>ザイコ</t>
    </rPh>
    <phoneticPr fontId="4"/>
  </si>
  <si>
    <t>JOD⑤</t>
    <phoneticPr fontId="1"/>
  </si>
  <si>
    <t>JOD⑥</t>
    <phoneticPr fontId="1"/>
  </si>
  <si>
    <t>JOD返品</t>
    <rPh sb="3" eb="5">
      <t>ヘンピン</t>
    </rPh>
    <phoneticPr fontId="4"/>
  </si>
  <si>
    <t>JOD⑦</t>
    <phoneticPr fontId="1"/>
  </si>
  <si>
    <t>JOD⑧</t>
    <phoneticPr fontId="1"/>
  </si>
  <si>
    <t>JOD⑨</t>
    <phoneticPr fontId="1"/>
  </si>
  <si>
    <t>JODメルシー0318</t>
    <phoneticPr fontId="1"/>
  </si>
  <si>
    <t>3/18～</t>
    <phoneticPr fontId="1"/>
  </si>
  <si>
    <t>JODアクセス7008</t>
    <phoneticPr fontId="1"/>
  </si>
  <si>
    <t>JOD⑩</t>
    <phoneticPr fontId="1"/>
  </si>
  <si>
    <r>
      <t>東都生協3月2回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1"/>
  </si>
  <si>
    <r>
      <t>コープ北陸ノルテ3月2回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phoneticPr fontId="1"/>
  </si>
  <si>
    <r>
      <t>東都生協3月2回</t>
    </r>
    <r>
      <rPr>
        <b/>
        <sz val="11"/>
        <rFont val="ＭＳ Ｐゴシック"/>
        <family val="3"/>
        <charset val="128"/>
      </rPr>
      <t>（不透明袋）②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1"/>
  </si>
  <si>
    <r>
      <t>東都生協3月2回</t>
    </r>
    <r>
      <rPr>
        <b/>
        <sz val="11"/>
        <rFont val="ＭＳ Ｐゴシック"/>
        <family val="3"/>
        <charset val="128"/>
      </rPr>
      <t>（不透明袋）③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1"/>
  </si>
  <si>
    <r>
      <t>コープ北陸ノルテ3月2回</t>
    </r>
    <r>
      <rPr>
        <b/>
        <sz val="11"/>
        <rFont val="ＭＳ Ｐゴシック"/>
        <family val="3"/>
        <charset val="128"/>
      </rPr>
      <t>（不透明袋）②</t>
    </r>
    <rPh sb="9" eb="10">
      <t>ガツ</t>
    </rPh>
    <rPh sb="11" eb="12">
      <t>カイ</t>
    </rPh>
    <phoneticPr fontId="1"/>
  </si>
  <si>
    <t>JODプリマナ7278</t>
    <phoneticPr fontId="1"/>
  </si>
  <si>
    <t>4/4～</t>
    <phoneticPr fontId="1"/>
  </si>
  <si>
    <t>4/25～</t>
    <phoneticPr fontId="1"/>
  </si>
  <si>
    <t>ロイヤルステージ3月号①</t>
    <rPh sb="9" eb="10">
      <t>ガツ</t>
    </rPh>
    <rPh sb="10" eb="11">
      <t>ゴウ</t>
    </rPh>
    <phoneticPr fontId="1"/>
  </si>
  <si>
    <t>JOD⑪</t>
    <phoneticPr fontId="1"/>
  </si>
  <si>
    <t>JOD⑫</t>
    <phoneticPr fontId="1"/>
  </si>
  <si>
    <t>サクラマチ返品</t>
    <rPh sb="5" eb="7">
      <t>ヘンピン</t>
    </rPh>
    <phoneticPr fontId="4"/>
  </si>
  <si>
    <r>
      <t>東都生協3月2回</t>
    </r>
    <r>
      <rPr>
        <b/>
        <sz val="11"/>
        <rFont val="ＭＳ Ｐゴシック"/>
        <family val="3"/>
        <charset val="128"/>
      </rPr>
      <t>（不透明袋）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1"/>
  </si>
  <si>
    <r>
      <t>コープ北陸ノルテ3月2回</t>
    </r>
    <r>
      <rPr>
        <b/>
        <sz val="11"/>
        <rFont val="ＭＳ Ｐゴシック"/>
        <family val="3"/>
        <charset val="128"/>
      </rPr>
      <t>（不透明袋）</t>
    </r>
    <rPh sb="9" eb="10">
      <t>ガツ</t>
    </rPh>
    <rPh sb="11" eb="12">
      <t>カイ</t>
    </rPh>
    <phoneticPr fontId="1"/>
  </si>
  <si>
    <t>JOD⑬</t>
    <phoneticPr fontId="1"/>
  </si>
  <si>
    <t>JOD⑭</t>
    <phoneticPr fontId="1"/>
  </si>
  <si>
    <t>ロイヤルステージ3月号②</t>
    <rPh sb="9" eb="10">
      <t>ガツ</t>
    </rPh>
    <rPh sb="10" eb="11">
      <t>ゴウ</t>
    </rPh>
    <phoneticPr fontId="1"/>
  </si>
  <si>
    <t>JOD⑮</t>
    <phoneticPr fontId="1"/>
  </si>
  <si>
    <t>JOD⑯</t>
    <phoneticPr fontId="1"/>
  </si>
  <si>
    <t>JOD⑰</t>
    <phoneticPr fontId="1"/>
  </si>
  <si>
    <t>JOD特別号9531</t>
    <rPh sb="3" eb="6">
      <t>トクベツゴウ</t>
    </rPh>
    <phoneticPr fontId="1"/>
  </si>
  <si>
    <t>5/14～</t>
    <phoneticPr fontId="1"/>
  </si>
  <si>
    <t>JOD⑱</t>
    <phoneticPr fontId="1"/>
  </si>
  <si>
    <t>JOD⑲</t>
    <phoneticPr fontId="1"/>
  </si>
  <si>
    <t>JOD⑳</t>
    <phoneticPr fontId="1"/>
  </si>
  <si>
    <t>JOD㉑</t>
    <phoneticPr fontId="1"/>
  </si>
  <si>
    <t>JOD㉒</t>
    <phoneticPr fontId="1"/>
  </si>
  <si>
    <t>ロイヤルステージ5月号</t>
    <rPh sb="9" eb="11">
      <t>ガツゴウ</t>
    </rPh>
    <phoneticPr fontId="1"/>
  </si>
  <si>
    <t>5/8～6/22</t>
    <phoneticPr fontId="1"/>
  </si>
  <si>
    <t>JOD㉓</t>
    <phoneticPr fontId="1"/>
  </si>
  <si>
    <t>JOD㉔</t>
    <phoneticPr fontId="1"/>
  </si>
  <si>
    <t>JOD㉕</t>
    <phoneticPr fontId="1"/>
  </si>
  <si>
    <t>ロイヤルステージ6月号</t>
    <rPh sb="9" eb="11">
      <t>ガツゴウ</t>
    </rPh>
    <phoneticPr fontId="1"/>
  </si>
  <si>
    <t>6/5～7/18</t>
    <phoneticPr fontId="1"/>
  </si>
  <si>
    <t>JODメルシー0526</t>
    <phoneticPr fontId="1"/>
  </si>
  <si>
    <t>5/26～</t>
    <phoneticPr fontId="1"/>
  </si>
  <si>
    <t>JOD㉖</t>
    <phoneticPr fontId="1"/>
  </si>
  <si>
    <t>JOD㉗</t>
    <phoneticPr fontId="1"/>
  </si>
  <si>
    <t>JOD㉘</t>
    <phoneticPr fontId="1"/>
  </si>
  <si>
    <t>JOD㉙</t>
    <phoneticPr fontId="1"/>
  </si>
  <si>
    <t>JOD㉚</t>
    <phoneticPr fontId="1"/>
  </si>
  <si>
    <t>JOD㉛</t>
    <phoneticPr fontId="1"/>
  </si>
  <si>
    <t>JOD㉜</t>
    <phoneticPr fontId="1"/>
  </si>
  <si>
    <t>夢販</t>
    <rPh sb="0" eb="2">
      <t>ユメハン</t>
    </rPh>
    <phoneticPr fontId="1"/>
  </si>
  <si>
    <t>JOD㉝</t>
    <phoneticPr fontId="1"/>
  </si>
  <si>
    <t>JOD㉞</t>
    <phoneticPr fontId="1"/>
  </si>
  <si>
    <t>JOD㉟</t>
    <phoneticPr fontId="1"/>
  </si>
  <si>
    <t>JOD㊱</t>
    <phoneticPr fontId="1"/>
  </si>
  <si>
    <t>ロイヤルステージ3月号③</t>
    <rPh sb="9" eb="10">
      <t>ガツ</t>
    </rPh>
    <rPh sb="10" eb="11">
      <t>ゴウ</t>
    </rPh>
    <phoneticPr fontId="1"/>
  </si>
  <si>
    <t>ロイヤルステージ3月号④</t>
    <rPh sb="9" eb="10">
      <t>ガツ</t>
    </rPh>
    <rPh sb="10" eb="11">
      <t>ゴウ</t>
    </rPh>
    <phoneticPr fontId="1"/>
  </si>
  <si>
    <t>JOD㊲</t>
    <phoneticPr fontId="1"/>
  </si>
  <si>
    <t>JOD㊳</t>
    <phoneticPr fontId="1"/>
  </si>
  <si>
    <t>JOD特別号9537</t>
    <rPh sb="3" eb="6">
      <t>トクベツゴウ</t>
    </rPh>
    <phoneticPr fontId="1"/>
  </si>
  <si>
    <t>6/20～</t>
    <phoneticPr fontId="1"/>
  </si>
  <si>
    <t>JOD㊴</t>
    <phoneticPr fontId="1"/>
  </si>
  <si>
    <t>JOD㊵</t>
    <phoneticPr fontId="1"/>
  </si>
  <si>
    <t>JOD㊶</t>
    <phoneticPr fontId="1"/>
  </si>
  <si>
    <t>実績構成比</t>
    <rPh sb="0" eb="2">
      <t>ジッセキ</t>
    </rPh>
    <rPh sb="2" eb="5">
      <t>コウセイヒ</t>
    </rPh>
    <phoneticPr fontId="1"/>
  </si>
  <si>
    <t>在庫構成比</t>
    <rPh sb="0" eb="2">
      <t>ザイコ</t>
    </rPh>
    <rPh sb="2" eb="5">
      <t>コウセイヒ</t>
    </rPh>
    <phoneticPr fontId="1"/>
  </si>
  <si>
    <t>.</t>
    <phoneticPr fontId="1"/>
  </si>
  <si>
    <t>JOD㊷</t>
    <phoneticPr fontId="1"/>
  </si>
  <si>
    <t>営業用sample</t>
    <rPh sb="0" eb="3">
      <t>エイギョウヨウ</t>
    </rPh>
    <phoneticPr fontId="1"/>
  </si>
  <si>
    <t>JOD㊸</t>
    <phoneticPr fontId="1"/>
  </si>
  <si>
    <t>JOD㊹</t>
    <phoneticPr fontId="1"/>
  </si>
  <si>
    <t>JOD㊺</t>
    <phoneticPr fontId="1"/>
  </si>
  <si>
    <t>営業用sample返却</t>
    <rPh sb="0" eb="3">
      <t>エイギョウヨウ</t>
    </rPh>
    <rPh sb="9" eb="11">
      <t>ヘンキャク</t>
    </rPh>
    <phoneticPr fontId="1"/>
  </si>
  <si>
    <t>JOD㊻</t>
    <phoneticPr fontId="1"/>
  </si>
  <si>
    <t>JOD㊼</t>
    <phoneticPr fontId="1"/>
  </si>
  <si>
    <t>JODメルシー0624</t>
    <phoneticPr fontId="1"/>
  </si>
  <si>
    <t>6/24～</t>
    <phoneticPr fontId="1"/>
  </si>
  <si>
    <t>ロイヤルステージ5月号①</t>
    <rPh sb="9" eb="11">
      <t>ガツゴウ</t>
    </rPh>
    <phoneticPr fontId="1"/>
  </si>
  <si>
    <t>JOD㊽</t>
    <phoneticPr fontId="1"/>
  </si>
  <si>
    <t>JOD㊾</t>
    <phoneticPr fontId="1"/>
  </si>
  <si>
    <t>JOD㊿</t>
    <phoneticPr fontId="1"/>
  </si>
  <si>
    <t>JOD51</t>
    <phoneticPr fontId="1"/>
  </si>
  <si>
    <t>JOD52</t>
  </si>
  <si>
    <t>JOD53</t>
  </si>
  <si>
    <t>ロイヤルステージ6月号①</t>
    <rPh sb="9" eb="11">
      <t>ガツゴウ</t>
    </rPh>
    <phoneticPr fontId="1"/>
  </si>
  <si>
    <t>JOD54</t>
  </si>
  <si>
    <t>JOD55</t>
  </si>
  <si>
    <t>JOD56</t>
  </si>
  <si>
    <t>ロイヤルステージ返品</t>
    <rPh sb="8" eb="10">
      <t>ヘンピン</t>
    </rPh>
    <phoneticPr fontId="1"/>
  </si>
  <si>
    <t>JOD57</t>
  </si>
  <si>
    <t>JOD58</t>
  </si>
  <si>
    <t>ロイヤルステージ8月号</t>
    <rPh sb="9" eb="11">
      <t>ガツゴウ</t>
    </rPh>
    <phoneticPr fontId="1"/>
  </si>
  <si>
    <t>JOD59</t>
  </si>
  <si>
    <t>JOD60</t>
  </si>
  <si>
    <t>JOD61</t>
  </si>
  <si>
    <t>JOD62（西濃）</t>
    <rPh sb="6" eb="8">
      <t>セイノウ</t>
    </rPh>
    <phoneticPr fontId="1"/>
  </si>
  <si>
    <t>JOD63</t>
    <phoneticPr fontId="1"/>
  </si>
  <si>
    <t>JOD64</t>
  </si>
  <si>
    <t>JOD65</t>
  </si>
  <si>
    <t>JOD66</t>
  </si>
  <si>
    <t>JOD67</t>
    <phoneticPr fontId="1"/>
  </si>
  <si>
    <t>ロイヤルステージ6月号②</t>
    <rPh sb="9" eb="11">
      <t>ガツゴウ</t>
    </rPh>
    <phoneticPr fontId="1"/>
  </si>
  <si>
    <t>JOD68</t>
    <phoneticPr fontId="1"/>
  </si>
  <si>
    <t>JOD69</t>
  </si>
  <si>
    <t>JOD70</t>
    <phoneticPr fontId="1"/>
  </si>
  <si>
    <t>ロイヤルステージ6月号③</t>
    <rPh sb="9" eb="11">
      <t>ガツゴウ</t>
    </rPh>
    <phoneticPr fontId="1"/>
  </si>
  <si>
    <t>JOD71</t>
    <phoneticPr fontId="1"/>
  </si>
  <si>
    <t>JOD72</t>
    <phoneticPr fontId="1"/>
  </si>
  <si>
    <t>在庫確認</t>
    <rPh sb="0" eb="4">
      <t>ザイコカクニン</t>
    </rPh>
    <phoneticPr fontId="4"/>
  </si>
  <si>
    <t>JOD72</t>
  </si>
  <si>
    <t>JOD73</t>
    <phoneticPr fontId="1"/>
  </si>
  <si>
    <t>JOD74</t>
  </si>
  <si>
    <t>JOD75</t>
  </si>
  <si>
    <t>ロイヤルステージ8月号①</t>
    <rPh sb="9" eb="11">
      <t>ガツゴウ</t>
    </rPh>
    <phoneticPr fontId="1"/>
  </si>
  <si>
    <t>JOD76</t>
  </si>
  <si>
    <t>JOD77</t>
  </si>
  <si>
    <t>JOD78</t>
  </si>
  <si>
    <t>JOD79</t>
  </si>
  <si>
    <t>JOD80</t>
  </si>
  <si>
    <t>JOD81</t>
  </si>
  <si>
    <t>JOD82</t>
  </si>
  <si>
    <t>JOD83</t>
  </si>
  <si>
    <t>JOD84</t>
  </si>
  <si>
    <t>JODメルシー0912</t>
    <phoneticPr fontId="1"/>
  </si>
  <si>
    <t>JOD85</t>
  </si>
  <si>
    <t>JOD86</t>
  </si>
  <si>
    <t>ロイヤルステージ8月号②</t>
    <rPh sb="9" eb="11">
      <t>ガツゴウ</t>
    </rPh>
    <phoneticPr fontId="1"/>
  </si>
  <si>
    <t>JOD87</t>
  </si>
  <si>
    <t>JOD88</t>
  </si>
  <si>
    <t>特価(＠150)</t>
    <rPh sb="0" eb="2">
      <t>トッカ</t>
    </rPh>
    <phoneticPr fontId="4"/>
  </si>
  <si>
    <t>JOD89</t>
    <phoneticPr fontId="1"/>
  </si>
  <si>
    <t>←ここまで式確認2025/8/28</t>
    <rPh sb="0" eb="8">
      <t>&lt;-ココマデシキカクニン</t>
    </rPh>
    <phoneticPr fontId="1"/>
  </si>
  <si>
    <t>JOD90</t>
  </si>
  <si>
    <t>9/12～</t>
    <phoneticPr fontId="1"/>
  </si>
  <si>
    <t>ロイヤルステージ8月号③</t>
    <rPh sb="9" eb="11">
      <t>ガツゴウ</t>
    </rPh>
    <phoneticPr fontId="1"/>
  </si>
  <si>
    <t>JOD91</t>
    <phoneticPr fontId="1"/>
  </si>
  <si>
    <t>11/6～12/19</t>
    <phoneticPr fontId="1"/>
  </si>
  <si>
    <t>ロイヤルステージ11月号</t>
    <rPh sb="10" eb="12">
      <t>ガツゴウ</t>
    </rPh>
    <phoneticPr fontId="1"/>
  </si>
  <si>
    <t>ロイヤルステージ返品</t>
    <rPh sb="8" eb="10">
      <t>ヘンピン</t>
    </rPh>
    <phoneticPr fontId="4"/>
  </si>
  <si>
    <t>2025/9/10数伝</t>
    <rPh sb="9" eb="11">
      <t>スウデン</t>
    </rPh>
    <phoneticPr fontId="1"/>
  </si>
  <si>
    <t>JOD92</t>
  </si>
  <si>
    <t>JOD93</t>
  </si>
  <si>
    <t>JOD94</t>
  </si>
  <si>
    <t>JOD95</t>
  </si>
  <si>
    <t>JOD96</t>
    <phoneticPr fontId="1"/>
  </si>
  <si>
    <t>JOD97</t>
  </si>
  <si>
    <t>夢販</t>
    <rPh sb="0" eb="2">
      <t>ユメハン</t>
    </rPh>
    <phoneticPr fontId="1"/>
  </si>
  <si>
    <t>ロイヤルステージ12月号</t>
    <rPh sb="10" eb="12">
      <t>ガツゴウ</t>
    </rPh>
    <phoneticPr fontId="1"/>
  </si>
  <si>
    <t>12/4～1/10</t>
    <phoneticPr fontId="1"/>
  </si>
  <si>
    <t>追加 (@250)</t>
    <rPh sb="0" eb="2">
      <t>ツイカ</t>
    </rPh>
    <phoneticPr fontId="4"/>
  </si>
  <si>
    <t>追加　２回目(@1000)</t>
    <rPh sb="0" eb="2">
      <t>ツイカ</t>
    </rPh>
    <rPh sb="4" eb="6">
      <t>カイメ</t>
    </rPh>
    <phoneticPr fontId="4"/>
  </si>
  <si>
    <t>追加 １回目(@1000)</t>
    <rPh sb="0" eb="2">
      <t>ツイカ</t>
    </rPh>
    <rPh sb="4" eb="6">
      <t>カイメ</t>
    </rPh>
    <phoneticPr fontId="4"/>
  </si>
  <si>
    <t>JOD98</t>
    <phoneticPr fontId="1"/>
  </si>
  <si>
    <t>ロイヤルステージ1月号</t>
    <rPh sb="9" eb="11">
      <t>ガツゴウ</t>
    </rPh>
    <phoneticPr fontId="1"/>
  </si>
  <si>
    <t>1/8～2/21</t>
    <phoneticPr fontId="1"/>
  </si>
  <si>
    <t>ロイヤルステージ11月号①</t>
    <rPh sb="10" eb="12">
      <t>ガツゴウ</t>
    </rPh>
    <phoneticPr fontId="1"/>
  </si>
  <si>
    <t>ロイヤルステージ11月号差分予測</t>
    <rPh sb="10" eb="12">
      <t>ガツゴウ</t>
    </rPh>
    <rPh sb="12" eb="16">
      <t>サブンヨソク</t>
    </rPh>
    <phoneticPr fontId="1"/>
  </si>
  <si>
    <t>ロイヤルステージ12月号差分予測</t>
    <rPh sb="10" eb="12">
      <t>ガツゴウ</t>
    </rPh>
    <rPh sb="12" eb="16">
      <t>サブンヨソク</t>
    </rPh>
    <phoneticPr fontId="1"/>
  </si>
  <si>
    <t>ロイヤルステージ1月号差分予測</t>
    <rPh sb="9" eb="11">
      <t>ガツゴウ</t>
    </rPh>
    <rPh sb="11" eb="15">
      <t>サブンヨソク</t>
    </rPh>
    <phoneticPr fontId="1"/>
  </si>
  <si>
    <t>サクラマチ（九州）sample</t>
    <rPh sb="6" eb="8">
      <t>キュウシュウ</t>
    </rPh>
    <phoneticPr fontId="1"/>
  </si>
  <si>
    <t>夢販移動</t>
    <rPh sb="0" eb="4">
      <t>ユメハンイドウ</t>
    </rPh>
    <phoneticPr fontId="1"/>
  </si>
  <si>
    <t>KPORT</t>
    <phoneticPr fontId="1"/>
  </si>
  <si>
    <t>2025/12/5数伝</t>
    <rPh sb="9" eb="10">
      <t>スウ</t>
    </rPh>
    <rPh sb="10" eb="11">
      <t>デン</t>
    </rPh>
    <phoneticPr fontId="1"/>
  </si>
  <si>
    <t>ロイヤルステージ12月号①</t>
    <rPh sb="10" eb="12">
      <t>ガツゴウ</t>
    </rPh>
    <phoneticPr fontId="1"/>
  </si>
  <si>
    <t>ロイヤルステージ12月号②</t>
    <rPh sb="10" eb="12">
      <t>ガツゴウ</t>
    </rPh>
    <phoneticPr fontId="1"/>
  </si>
  <si>
    <t>夢販</t>
    <rPh sb="0" eb="2">
      <t>y</t>
    </rPh>
    <phoneticPr fontId="1"/>
  </si>
  <si>
    <t>JOD99</t>
    <phoneticPr fontId="1"/>
  </si>
  <si>
    <t>ロイヤルステージ1月号①</t>
    <rPh sb="9" eb="11">
      <t>ガツゴウ</t>
    </rPh>
    <phoneticPr fontId="1"/>
  </si>
  <si>
    <t>KPORT</t>
    <phoneticPr fontId="1"/>
  </si>
  <si>
    <t>ゆめはん移動</t>
    <rPh sb="4" eb="6">
      <t>イドウ</t>
    </rPh>
    <phoneticPr fontId="4"/>
  </si>
  <si>
    <t>4Pへ移行</t>
    <rPh sb="3" eb="5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</si>
</sst>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4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2" borderId="6" xfId="1" applyFill="1" applyBorder="1"/>
    <xf numFmtId="0" fontId="9" fillId="0" borderId="0" xfId="0" applyFont="1">
      <alignment vertical="center"/>
    </xf>
    <xf numFmtId="0" fontId="5" fillId="0" borderId="7" xfId="1" applyFont="1" applyBorder="1" applyAlignment="1">
      <alignment horizontal="center" vertical="center"/>
    </xf>
    <xf numFmtId="0" fontId="2" fillId="2" borderId="8" xfId="1" applyFill="1" applyBorder="1"/>
    <xf numFmtId="0" fontId="7" fillId="0" borderId="1" xfId="1" applyFont="1" applyBorder="1" applyAlignment="1">
      <alignment horizontal="center" vertical="center"/>
    </xf>
    <xf numFmtId="0" fontId="7" fillId="2" borderId="1" xfId="1" applyFont="1" applyFill="1" applyBorder="1"/>
    <xf numFmtId="0" fontId="10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7" fillId="0" borderId="9" xfId="1" applyFont="1" applyBorder="1"/>
    <xf numFmtId="0" fontId="7" fillId="0" borderId="10" xfId="1" applyFont="1" applyBorder="1"/>
    <xf numFmtId="0" fontId="7" fillId="0" borderId="11" xfId="1" applyFont="1" applyBorder="1"/>
    <xf numFmtId="0" fontId="2" fillId="0" borderId="18" xfId="1" applyBorder="1"/>
    <xf numFmtId="0" fontId="7" fillId="2" borderId="9" xfId="1" applyFont="1" applyFill="1" applyBorder="1"/>
    <xf numFmtId="0" fontId="7" fillId="2" borderId="10" xfId="1" applyFont="1" applyFill="1" applyBorder="1"/>
    <xf numFmtId="0" fontId="7" fillId="2" borderId="11" xfId="1" applyFont="1" applyFill="1" applyBorder="1"/>
    <xf numFmtId="0" fontId="3" fillId="3" borderId="0" xfId="1" applyFont="1" applyFill="1"/>
    <xf numFmtId="0" fontId="2" fillId="3" borderId="0" xfId="1" applyFill="1"/>
    <xf numFmtId="0" fontId="11" fillId="3" borderId="0" xfId="1" applyFont="1" applyFill="1" applyAlignment="1">
      <alignment horizontal="center"/>
    </xf>
    <xf numFmtId="0" fontId="3" fillId="4" borderId="0" xfId="1" applyFont="1" applyFill="1"/>
    <xf numFmtId="0" fontId="2" fillId="4" borderId="0" xfId="1" applyFill="1"/>
    <xf numFmtId="0" fontId="11" fillId="4" borderId="0" xfId="1" applyFont="1" applyFill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2" borderId="1" xfId="1" applyFill="1" applyBorder="1"/>
    <xf numFmtId="49" fontId="2" fillId="4" borderId="0" xfId="1" applyNumberFormat="1" applyFill="1"/>
    <xf numFmtId="0" fontId="2" fillId="5" borderId="13" xfId="1" applyFill="1" applyBorder="1"/>
    <xf numFmtId="0" fontId="2" fillId="5" borderId="14" xfId="1" applyFill="1" applyBorder="1"/>
    <xf numFmtId="0" fontId="2" fillId="2" borderId="5" xfId="1" applyFill="1" applyBorder="1"/>
    <xf numFmtId="0" fontId="8" fillId="0" borderId="0" xfId="0" applyFont="1">
      <alignment vertical="center"/>
    </xf>
    <xf numFmtId="0" fontId="2" fillId="0" borderId="19" xfId="1" applyBorder="1"/>
    <xf numFmtId="176" fontId="13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6" fillId="0" borderId="0" xfId="1" applyFont="1" applyAlignment="1">
      <alignment horizontal="right"/>
    </xf>
    <xf numFmtId="176" fontId="7" fillId="0" borderId="0" xfId="1" applyNumberFormat="1" applyFont="1"/>
    <xf numFmtId="0" fontId="2" fillId="6" borderId="13" xfId="1" applyFill="1" applyBorder="1"/>
    <xf numFmtId="0" fontId="2" fillId="6" borderId="14" xfId="1" applyFill="1" applyBorder="1"/>
    <xf numFmtId="176" fontId="12" fillId="0" borderId="0" xfId="0" applyNumberFormat="1" applyFont="1">
      <alignment vertical="center"/>
    </xf>
    <xf numFmtId="0" fontId="13" fillId="0" borderId="0" xfId="0" applyFont="1">
      <alignment vertical="center"/>
    </xf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4" fillId="0" borderId="5" xfId="1" applyFont="1" applyBorder="1" applyAlignment="1">
      <alignment horizontal="center" vertical="center"/>
    </xf>
    <xf numFmtId="0" fontId="15" fillId="0" borderId="12" xfId="1" applyFont="1" applyBorder="1"/>
    <xf numFmtId="0" fontId="15" fillId="0" borderId="13" xfId="1" applyFont="1" applyBorder="1"/>
    <xf numFmtId="0" fontId="15" fillId="0" borderId="14" xfId="1" applyFont="1" applyBorder="1"/>
    <xf numFmtId="0" fontId="15" fillId="2" borderId="6" xfId="1" applyFont="1" applyFill="1" applyBorder="1"/>
    <xf numFmtId="56" fontId="16" fillId="0" borderId="0" xfId="0" applyNumberFormat="1" applyFont="1">
      <alignment vertical="center"/>
    </xf>
    <xf numFmtId="0" fontId="15" fillId="0" borderId="5" xfId="1" applyFont="1" applyBorder="1" applyAlignment="1">
      <alignment horizontal="center" vertical="center"/>
    </xf>
    <xf numFmtId="56" fontId="16" fillId="0" borderId="0" xfId="0" applyNumberFormat="1" applyFont="1" applyAlignment="1">
      <alignment horizontal="left" vertical="center"/>
    </xf>
    <xf numFmtId="0" fontId="2" fillId="7" borderId="13" xfId="1" applyFill="1" applyBorder="1"/>
    <xf numFmtId="0" fontId="2" fillId="7" borderId="14" xfId="1" applyFill="1" applyBorder="1"/>
    <xf numFmtId="56" fontId="0" fillId="0" borderId="0" xfId="0" applyNumberFormat="1" applyAlignment="1">
      <alignment horizontal="left" vertical="center"/>
    </xf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6" xfId="1" applyFont="1" applyFill="1" applyBorder="1"/>
    <xf numFmtId="0" fontId="17" fillId="0" borderId="0" xfId="0" applyFont="1" applyAlignment="1">
      <alignment horizontal="left" vertical="center"/>
    </xf>
    <xf numFmtId="0" fontId="2" fillId="0" borderId="20" xfId="1" applyBorder="1"/>
    <xf numFmtId="0" fontId="2" fillId="5" borderId="16" xfId="1" applyFill="1" applyBorder="1"/>
    <xf numFmtId="0" fontId="2" fillId="5" borderId="17" xfId="1" applyFill="1" applyBorder="1"/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58"/>
  <sheetViews>
    <sheetView tabSelected="1" topLeftCell="A310" zoomScaleNormal="100" workbookViewId="0">
      <selection activeCell="R326" sqref="R326"/>
    </sheetView>
  </sheetViews>
  <sheetFormatPr defaultRowHeight="13.5" x14ac:dyDescent="0.15"/>
  <cols>
    <col min="1" max="1" width="23.5" customWidth="1"/>
    <col min="2" max="8" width="8.375" customWidth="1"/>
    <col min="9" max="9" width="11.75" style="14" customWidth="1"/>
    <col min="10" max="10" width="39" customWidth="1"/>
    <col min="11" max="17" width="8.375" customWidth="1"/>
    <col min="18" max="18" width="14.375" style="14" customWidth="1"/>
  </cols>
  <sheetData>
    <row r="1" spans="1:18" ht="21.75" thickBot="1" x14ac:dyDescent="0.25">
      <c r="A1" s="40" t="s">
        <v>29</v>
      </c>
      <c r="B1" s="41"/>
      <c r="C1" s="41"/>
      <c r="D1" s="41"/>
      <c r="E1" s="41"/>
      <c r="F1" s="41"/>
      <c r="G1" s="41"/>
      <c r="H1" s="42"/>
      <c r="J1" s="43" t="s">
        <v>30</v>
      </c>
      <c r="K1" s="44"/>
      <c r="L1" s="44"/>
      <c r="M1" s="44"/>
      <c r="N1" s="44"/>
      <c r="O1" s="56"/>
      <c r="P1" s="44"/>
      <c r="Q1" s="45"/>
    </row>
    <row r="2" spans="1:18" ht="14.25" thickBot="1" x14ac:dyDescent="0.2">
      <c r="A2" s="1" t="s">
        <v>0</v>
      </c>
      <c r="B2" s="92" t="s">
        <v>13</v>
      </c>
      <c r="C2" s="92"/>
      <c r="D2" s="92"/>
      <c r="E2" s="92"/>
      <c r="F2" s="92"/>
      <c r="G2" s="92"/>
      <c r="H2" s="93"/>
      <c r="J2" s="1" t="s">
        <v>0</v>
      </c>
      <c r="K2" s="92" t="s">
        <v>13</v>
      </c>
      <c r="L2" s="92"/>
      <c r="M2" s="92"/>
      <c r="N2" s="92"/>
      <c r="O2" s="92"/>
      <c r="P2" s="92"/>
      <c r="Q2" s="93"/>
    </row>
    <row r="3" spans="1:18" ht="14.25" thickBot="1" x14ac:dyDescent="0.2">
      <c r="A3" s="1" t="s">
        <v>1</v>
      </c>
      <c r="B3" s="21" t="s">
        <v>2</v>
      </c>
      <c r="C3" s="22" t="s">
        <v>9</v>
      </c>
      <c r="D3" s="22" t="s">
        <v>10</v>
      </c>
      <c r="E3" s="22" t="s">
        <v>11</v>
      </c>
      <c r="F3" s="22" t="s">
        <v>12</v>
      </c>
      <c r="G3" s="23" t="s">
        <v>14</v>
      </c>
      <c r="H3" s="1" t="s">
        <v>3</v>
      </c>
      <c r="J3" s="1" t="s">
        <v>1</v>
      </c>
      <c r="K3" s="21" t="s">
        <v>2</v>
      </c>
      <c r="L3" s="22" t="s">
        <v>9</v>
      </c>
      <c r="M3" s="22" t="s">
        <v>10</v>
      </c>
      <c r="N3" s="22" t="s">
        <v>11</v>
      </c>
      <c r="O3" s="22" t="s">
        <v>12</v>
      </c>
      <c r="P3" s="23" t="s">
        <v>14</v>
      </c>
      <c r="Q3" s="1" t="s">
        <v>3</v>
      </c>
    </row>
    <row r="4" spans="1:18" ht="14.25" thickBot="1" x14ac:dyDescent="0.2">
      <c r="A4" s="15" t="s">
        <v>4</v>
      </c>
      <c r="B4" s="24"/>
      <c r="C4" s="25"/>
      <c r="D4" s="25"/>
      <c r="E4" s="25"/>
      <c r="F4" s="25"/>
      <c r="G4" s="26"/>
      <c r="H4" s="9">
        <f>SUM(B4:G4)</f>
        <v>0</v>
      </c>
      <c r="I4" s="18"/>
      <c r="J4" s="1" t="s">
        <v>15</v>
      </c>
      <c r="K4" s="52">
        <v>80</v>
      </c>
      <c r="L4" s="53">
        <v>140</v>
      </c>
      <c r="M4" s="53">
        <v>80</v>
      </c>
      <c r="N4" s="53">
        <v>40</v>
      </c>
      <c r="O4" s="53">
        <v>40</v>
      </c>
      <c r="P4" s="54">
        <v>20</v>
      </c>
      <c r="Q4" s="55">
        <f>SUM(K4:P4)</f>
        <v>400</v>
      </c>
      <c r="R4" s="16" t="s">
        <v>19</v>
      </c>
    </row>
    <row r="5" spans="1:18" x14ac:dyDescent="0.15">
      <c r="A5" s="3" t="s">
        <v>5</v>
      </c>
      <c r="B5" s="27">
        <v>3</v>
      </c>
      <c r="C5" s="28">
        <v>3</v>
      </c>
      <c r="D5" s="28">
        <v>3</v>
      </c>
      <c r="E5" s="28">
        <v>2</v>
      </c>
      <c r="F5" s="28">
        <v>2</v>
      </c>
      <c r="G5" s="29">
        <v>2</v>
      </c>
      <c r="H5" s="4">
        <f t="shared" ref="H5:H39" si="0">SUM(B5:G5)</f>
        <v>15</v>
      </c>
      <c r="I5" s="16">
        <v>45630</v>
      </c>
      <c r="J5" s="13" t="s">
        <v>5</v>
      </c>
      <c r="K5" s="46"/>
      <c r="L5" s="47">
        <v>-2</v>
      </c>
      <c r="M5" s="47"/>
      <c r="N5" s="47"/>
      <c r="O5" s="47"/>
      <c r="P5" s="48"/>
      <c r="Q5" s="4">
        <f t="shared" ref="Q5:Q39" si="1">SUM(K5:P5)</f>
        <v>-2</v>
      </c>
    </row>
    <row r="6" spans="1:18" x14ac:dyDescent="0.15">
      <c r="A6" s="3" t="s">
        <v>5</v>
      </c>
      <c r="B6" s="27"/>
      <c r="C6" s="28"/>
      <c r="D6" s="28"/>
      <c r="E6" s="28"/>
      <c r="F6" s="28"/>
      <c r="G6" s="29">
        <v>3</v>
      </c>
      <c r="H6" s="4">
        <f t="shared" si="0"/>
        <v>3</v>
      </c>
      <c r="I6" s="16">
        <v>45673</v>
      </c>
      <c r="J6" s="3" t="s">
        <v>5</v>
      </c>
      <c r="K6" s="46"/>
      <c r="L6" s="47"/>
      <c r="M6" s="47"/>
      <c r="N6" s="47"/>
      <c r="O6" s="47"/>
      <c r="P6" s="48"/>
      <c r="Q6" s="4">
        <f t="shared" si="1"/>
        <v>0</v>
      </c>
    </row>
    <row r="7" spans="1:18" x14ac:dyDescent="0.15">
      <c r="A7" s="3" t="s">
        <v>5</v>
      </c>
      <c r="B7" s="27"/>
      <c r="C7" s="28">
        <v>3</v>
      </c>
      <c r="D7" s="28">
        <v>3</v>
      </c>
      <c r="E7" s="28">
        <v>3</v>
      </c>
      <c r="F7" s="28">
        <v>3</v>
      </c>
      <c r="G7" s="29"/>
      <c r="H7" s="4">
        <f t="shared" si="0"/>
        <v>12</v>
      </c>
      <c r="I7" s="16">
        <v>45675</v>
      </c>
      <c r="J7" s="3" t="s">
        <v>5</v>
      </c>
      <c r="K7" s="46"/>
      <c r="L7" s="47"/>
      <c r="M7" s="47"/>
      <c r="N7" s="47"/>
      <c r="O7" s="47"/>
      <c r="P7" s="48"/>
      <c r="Q7" s="4">
        <f t="shared" ref="Q7" si="2">SUM(K7:P7)</f>
        <v>0</v>
      </c>
    </row>
    <row r="8" spans="1:18" x14ac:dyDescent="0.15">
      <c r="A8" s="3" t="s">
        <v>5</v>
      </c>
      <c r="B8" s="27"/>
      <c r="C8" s="28"/>
      <c r="D8" s="28"/>
      <c r="E8" s="28"/>
      <c r="F8" s="28"/>
      <c r="G8" s="29">
        <v>3</v>
      </c>
      <c r="H8" s="4">
        <f t="shared" si="0"/>
        <v>3</v>
      </c>
      <c r="I8" s="16">
        <v>45680</v>
      </c>
      <c r="J8" s="3" t="s">
        <v>5</v>
      </c>
      <c r="K8" s="46"/>
      <c r="L8" s="47"/>
      <c r="M8" s="47"/>
      <c r="N8" s="47"/>
      <c r="O8" s="47"/>
      <c r="P8" s="48"/>
      <c r="Q8" s="4">
        <f t="shared" si="1"/>
        <v>0</v>
      </c>
    </row>
    <row r="9" spans="1:18" x14ac:dyDescent="0.15">
      <c r="A9" s="3" t="s">
        <v>33</v>
      </c>
      <c r="B9" s="27">
        <v>2</v>
      </c>
      <c r="C9" s="28">
        <v>2</v>
      </c>
      <c r="D9" s="28"/>
      <c r="E9" s="28"/>
      <c r="F9" s="28"/>
      <c r="G9" s="29"/>
      <c r="H9" s="4">
        <f t="shared" si="0"/>
        <v>4</v>
      </c>
      <c r="I9" s="16">
        <v>45680</v>
      </c>
      <c r="J9" s="3" t="s">
        <v>5</v>
      </c>
      <c r="K9" s="46"/>
      <c r="L9" s="47"/>
      <c r="M9" s="47"/>
      <c r="N9" s="47"/>
      <c r="O9" s="47"/>
      <c r="P9" s="48"/>
      <c r="Q9" s="4">
        <f t="shared" si="1"/>
        <v>0</v>
      </c>
    </row>
    <row r="10" spans="1:18" x14ac:dyDescent="0.15">
      <c r="A10" s="3" t="s">
        <v>5</v>
      </c>
      <c r="B10" s="27"/>
      <c r="C10" s="28"/>
      <c r="D10" s="28">
        <v>3</v>
      </c>
      <c r="E10" s="28">
        <v>3</v>
      </c>
      <c r="F10" s="28"/>
      <c r="G10" s="29">
        <v>3</v>
      </c>
      <c r="H10" s="4">
        <f t="shared" si="0"/>
        <v>9</v>
      </c>
      <c r="I10" s="16">
        <v>45689</v>
      </c>
      <c r="J10" s="3" t="s">
        <v>5</v>
      </c>
      <c r="K10" s="46"/>
      <c r="L10" s="47"/>
      <c r="M10" s="47"/>
      <c r="N10" s="47"/>
      <c r="O10" s="47"/>
      <c r="P10" s="48"/>
      <c r="Q10" s="4">
        <f t="shared" si="1"/>
        <v>0</v>
      </c>
    </row>
    <row r="11" spans="1:18" x14ac:dyDescent="0.15">
      <c r="A11" s="3" t="s">
        <v>5</v>
      </c>
      <c r="B11" s="27">
        <v>3</v>
      </c>
      <c r="C11" s="28">
        <v>3</v>
      </c>
      <c r="D11" s="28"/>
      <c r="E11" s="28"/>
      <c r="F11" s="28"/>
      <c r="G11" s="29"/>
      <c r="H11" s="4">
        <f t="shared" si="0"/>
        <v>6</v>
      </c>
      <c r="I11" s="16">
        <v>45703</v>
      </c>
      <c r="J11" s="3" t="s">
        <v>5</v>
      </c>
      <c r="K11" s="46"/>
      <c r="L11" s="47"/>
      <c r="M11" s="47"/>
      <c r="N11" s="47"/>
      <c r="O11" s="47"/>
      <c r="P11" s="48"/>
      <c r="Q11" s="4">
        <f t="shared" si="1"/>
        <v>0</v>
      </c>
    </row>
    <row r="12" spans="1:18" x14ac:dyDescent="0.15">
      <c r="A12" s="3" t="s">
        <v>33</v>
      </c>
      <c r="B12" s="27"/>
      <c r="C12" s="28"/>
      <c r="D12" s="28">
        <v>1</v>
      </c>
      <c r="E12" s="28"/>
      <c r="F12" s="28"/>
      <c r="G12" s="29"/>
      <c r="H12" s="4">
        <f t="shared" si="0"/>
        <v>1</v>
      </c>
      <c r="I12" s="16">
        <v>45716</v>
      </c>
      <c r="J12" s="3" t="s">
        <v>5</v>
      </c>
      <c r="K12" s="46"/>
      <c r="L12" s="47"/>
      <c r="M12" s="47"/>
      <c r="N12" s="47"/>
      <c r="O12" s="47"/>
      <c r="P12" s="48"/>
      <c r="Q12" s="4">
        <f t="shared" si="1"/>
        <v>0</v>
      </c>
    </row>
    <row r="13" spans="1:18" x14ac:dyDescent="0.15">
      <c r="A13" s="3" t="s">
        <v>5</v>
      </c>
      <c r="B13" s="27"/>
      <c r="C13" s="28"/>
      <c r="D13" s="28"/>
      <c r="E13" s="28"/>
      <c r="F13" s="28"/>
      <c r="G13" s="29"/>
      <c r="H13" s="4">
        <f t="shared" si="0"/>
        <v>0</v>
      </c>
      <c r="I13" s="17"/>
      <c r="J13" s="3" t="s">
        <v>5</v>
      </c>
      <c r="K13" s="46"/>
      <c r="L13" s="47"/>
      <c r="M13" s="47"/>
      <c r="N13" s="47"/>
      <c r="O13" s="47"/>
      <c r="P13" s="48"/>
      <c r="Q13" s="4">
        <f t="shared" si="1"/>
        <v>0</v>
      </c>
    </row>
    <row r="14" spans="1:18" ht="14.25" thickBot="1" x14ac:dyDescent="0.2">
      <c r="A14" s="6" t="s">
        <v>5</v>
      </c>
      <c r="B14" s="30"/>
      <c r="C14" s="31"/>
      <c r="D14" s="31"/>
      <c r="E14" s="31"/>
      <c r="F14" s="31"/>
      <c r="G14" s="32"/>
      <c r="H14" s="7">
        <f t="shared" si="0"/>
        <v>0</v>
      </c>
      <c r="I14" s="17"/>
      <c r="J14" s="6" t="s">
        <v>5</v>
      </c>
      <c r="K14" s="49"/>
      <c r="L14" s="50"/>
      <c r="M14" s="50"/>
      <c r="N14" s="50"/>
      <c r="O14" s="50"/>
      <c r="P14" s="51"/>
      <c r="Q14" s="7">
        <f t="shared" si="1"/>
        <v>0</v>
      </c>
    </row>
    <row r="15" spans="1:18" ht="14.25" thickBot="1" x14ac:dyDescent="0.2">
      <c r="A15" s="8" t="s">
        <v>6</v>
      </c>
      <c r="B15" s="33">
        <f>SUM(B4:B14)</f>
        <v>8</v>
      </c>
      <c r="C15" s="34">
        <f t="shared" ref="C15:F15" si="3">SUM(C4:C14)</f>
        <v>11</v>
      </c>
      <c r="D15" s="34">
        <f t="shared" si="3"/>
        <v>10</v>
      </c>
      <c r="E15" s="34">
        <f t="shared" si="3"/>
        <v>8</v>
      </c>
      <c r="F15" s="34">
        <f t="shared" si="3"/>
        <v>5</v>
      </c>
      <c r="G15" s="35">
        <f t="shared" ref="G15" si="4">SUM(G4:G14)</f>
        <v>11</v>
      </c>
      <c r="H15" s="9">
        <f t="shared" si="0"/>
        <v>53</v>
      </c>
      <c r="J15" s="8" t="s">
        <v>6</v>
      </c>
      <c r="K15" s="33">
        <f>SUM(K4:K14)</f>
        <v>80</v>
      </c>
      <c r="L15" s="34">
        <f t="shared" ref="L15" si="5">SUM(L4:L14)</f>
        <v>138</v>
      </c>
      <c r="M15" s="34">
        <f t="shared" ref="M15" si="6">SUM(M4:M14)</f>
        <v>80</v>
      </c>
      <c r="N15" s="34">
        <f t="shared" ref="N15" si="7">SUM(N4:N14)</f>
        <v>40</v>
      </c>
      <c r="O15" s="34">
        <f t="shared" ref="O15" si="8">SUM(O4:O14)</f>
        <v>40</v>
      </c>
      <c r="P15" s="35">
        <f t="shared" ref="P15" si="9">SUM(P4:P14)</f>
        <v>20</v>
      </c>
      <c r="Q15" s="9">
        <f t="shared" ref="Q15" si="10">SUM(Q4:Q14)</f>
        <v>398</v>
      </c>
    </row>
    <row r="16" spans="1:18" s="5" customFormat="1" x14ac:dyDescent="0.15">
      <c r="A16" s="19" t="s">
        <v>23</v>
      </c>
      <c r="B16" s="27"/>
      <c r="C16" s="28"/>
      <c r="D16" s="28"/>
      <c r="E16" s="28"/>
      <c r="F16" s="28"/>
      <c r="G16" s="29">
        <v>1</v>
      </c>
      <c r="H16" s="4">
        <f t="shared" si="0"/>
        <v>1</v>
      </c>
      <c r="I16" s="16">
        <v>45650</v>
      </c>
      <c r="J16" s="19" t="s">
        <v>16</v>
      </c>
      <c r="K16" s="27">
        <v>3</v>
      </c>
      <c r="L16" s="28">
        <v>3</v>
      </c>
      <c r="M16" s="28">
        <v>3</v>
      </c>
      <c r="N16" s="28">
        <v>2</v>
      </c>
      <c r="O16" s="28">
        <v>2</v>
      </c>
      <c r="P16" s="29">
        <v>2</v>
      </c>
      <c r="Q16" s="4">
        <f t="shared" ref="Q16:Q25" si="11">SUM(K16:P16)</f>
        <v>15</v>
      </c>
      <c r="R16" s="16">
        <v>45630</v>
      </c>
    </row>
    <row r="17" spans="1:18" s="5" customFormat="1" x14ac:dyDescent="0.15">
      <c r="A17" s="19" t="s">
        <v>24</v>
      </c>
      <c r="B17" s="27"/>
      <c r="C17" s="28">
        <v>1</v>
      </c>
      <c r="D17" s="28"/>
      <c r="E17" s="28"/>
      <c r="F17" s="28"/>
      <c r="G17" s="29"/>
      <c r="H17" s="4">
        <f t="shared" si="0"/>
        <v>1</v>
      </c>
      <c r="I17" s="16">
        <v>45650</v>
      </c>
      <c r="J17" s="19" t="s">
        <v>16</v>
      </c>
      <c r="K17" s="27"/>
      <c r="L17" s="28"/>
      <c r="M17" s="28"/>
      <c r="N17" s="28"/>
      <c r="O17" s="28"/>
      <c r="P17" s="29">
        <v>3</v>
      </c>
      <c r="Q17" s="4">
        <f t="shared" si="11"/>
        <v>3</v>
      </c>
      <c r="R17" s="16">
        <v>45673</v>
      </c>
    </row>
    <row r="18" spans="1:18" s="5" customFormat="1" x14ac:dyDescent="0.15">
      <c r="A18" s="19" t="s">
        <v>25</v>
      </c>
      <c r="B18" s="27">
        <v>1</v>
      </c>
      <c r="C18" s="28"/>
      <c r="D18" s="28"/>
      <c r="E18" s="28"/>
      <c r="F18" s="28"/>
      <c r="G18" s="29">
        <v>1</v>
      </c>
      <c r="H18" s="4">
        <f t="shared" si="0"/>
        <v>2</v>
      </c>
      <c r="I18" s="16">
        <v>45674</v>
      </c>
      <c r="J18" s="19" t="s">
        <v>27</v>
      </c>
      <c r="K18" s="27">
        <v>2</v>
      </c>
      <c r="L18" s="28">
        <v>2</v>
      </c>
      <c r="M18" s="28">
        <v>2</v>
      </c>
      <c r="N18" s="28"/>
      <c r="O18" s="28"/>
      <c r="P18" s="29"/>
      <c r="Q18" s="4">
        <f t="shared" si="11"/>
        <v>6</v>
      </c>
      <c r="R18" s="16">
        <v>45677</v>
      </c>
    </row>
    <row r="19" spans="1:18" s="5" customFormat="1" x14ac:dyDescent="0.15">
      <c r="A19" s="19" t="s">
        <v>26</v>
      </c>
      <c r="B19" s="27">
        <v>1</v>
      </c>
      <c r="C19" s="28">
        <v>2</v>
      </c>
      <c r="D19" s="28">
        <v>2</v>
      </c>
      <c r="E19" s="28">
        <v>1</v>
      </c>
      <c r="F19" s="28"/>
      <c r="G19" s="29"/>
      <c r="H19" s="4">
        <f t="shared" si="0"/>
        <v>6</v>
      </c>
      <c r="I19" s="16">
        <v>45674</v>
      </c>
      <c r="J19" s="19" t="s">
        <v>16</v>
      </c>
      <c r="K19" s="27"/>
      <c r="L19" s="28">
        <v>3</v>
      </c>
      <c r="M19" s="28">
        <v>3</v>
      </c>
      <c r="N19" s="28">
        <v>3</v>
      </c>
      <c r="O19" s="28">
        <v>3</v>
      </c>
      <c r="P19" s="29"/>
      <c r="Q19" s="4">
        <f t="shared" si="11"/>
        <v>12</v>
      </c>
      <c r="R19" s="16">
        <v>45675</v>
      </c>
    </row>
    <row r="20" spans="1:18" s="5" customFormat="1" x14ac:dyDescent="0.15">
      <c r="A20" s="19" t="s">
        <v>31</v>
      </c>
      <c r="B20" s="27"/>
      <c r="C20" s="28">
        <v>1</v>
      </c>
      <c r="D20" s="28">
        <v>1</v>
      </c>
      <c r="E20" s="28">
        <v>1</v>
      </c>
      <c r="F20" s="28"/>
      <c r="G20" s="29"/>
      <c r="H20" s="4">
        <f t="shared" si="0"/>
        <v>3</v>
      </c>
      <c r="I20" s="16">
        <v>45680</v>
      </c>
      <c r="J20" s="19" t="s">
        <v>28</v>
      </c>
      <c r="K20" s="27">
        <v>4</v>
      </c>
      <c r="L20" s="28">
        <v>3</v>
      </c>
      <c r="M20" s="28">
        <v>3</v>
      </c>
      <c r="N20" s="28"/>
      <c r="O20" s="28"/>
      <c r="P20" s="29"/>
      <c r="Q20" s="4">
        <f t="shared" si="11"/>
        <v>10</v>
      </c>
      <c r="R20" s="16">
        <v>45679</v>
      </c>
    </row>
    <row r="21" spans="1:18" s="5" customFormat="1" x14ac:dyDescent="0.15">
      <c r="A21" s="19" t="s">
        <v>23</v>
      </c>
      <c r="B21" s="27"/>
      <c r="C21" s="28"/>
      <c r="D21" s="28"/>
      <c r="E21" s="28"/>
      <c r="F21" s="28"/>
      <c r="G21" s="29">
        <v>2</v>
      </c>
      <c r="H21" s="4">
        <f t="shared" si="0"/>
        <v>2</v>
      </c>
      <c r="I21" s="16">
        <v>45678</v>
      </c>
      <c r="J21" s="19" t="s">
        <v>32</v>
      </c>
      <c r="K21" s="27"/>
      <c r="L21" s="28"/>
      <c r="M21" s="28">
        <v>2</v>
      </c>
      <c r="N21" s="28">
        <v>2</v>
      </c>
      <c r="O21" s="28"/>
      <c r="P21" s="29"/>
      <c r="Q21" s="4">
        <f t="shared" si="11"/>
        <v>4</v>
      </c>
      <c r="R21" s="16">
        <v>45681</v>
      </c>
    </row>
    <row r="22" spans="1:18" s="5" customFormat="1" x14ac:dyDescent="0.15">
      <c r="A22" s="19" t="s">
        <v>35</v>
      </c>
      <c r="B22" s="27"/>
      <c r="C22" s="28"/>
      <c r="D22" s="28"/>
      <c r="E22" s="28"/>
      <c r="F22" s="28"/>
      <c r="G22" s="29">
        <v>1</v>
      </c>
      <c r="H22" s="4">
        <f t="shared" ref="H22" si="12">SUM(B22:G22)</f>
        <v>1</v>
      </c>
      <c r="I22" s="16">
        <v>45687</v>
      </c>
      <c r="J22" s="19" t="s">
        <v>16</v>
      </c>
      <c r="K22" s="27"/>
      <c r="L22" s="28"/>
      <c r="M22" s="28"/>
      <c r="N22" s="28"/>
      <c r="O22" s="28"/>
      <c r="P22" s="29">
        <v>3</v>
      </c>
      <c r="Q22" s="4">
        <f t="shared" si="11"/>
        <v>3</v>
      </c>
      <c r="R22" s="16">
        <v>45680</v>
      </c>
    </row>
    <row r="23" spans="1:18" s="5" customFormat="1" x14ac:dyDescent="0.15">
      <c r="A23" s="19" t="s">
        <v>36</v>
      </c>
      <c r="B23" s="27">
        <v>1</v>
      </c>
      <c r="C23" s="28">
        <v>1</v>
      </c>
      <c r="D23" s="28"/>
      <c r="E23" s="28"/>
      <c r="F23" s="28">
        <v>1</v>
      </c>
      <c r="G23" s="29"/>
      <c r="H23" s="4">
        <f t="shared" si="0"/>
        <v>3</v>
      </c>
      <c r="I23" s="16">
        <v>45688</v>
      </c>
      <c r="J23" s="19" t="s">
        <v>34</v>
      </c>
      <c r="K23" s="27">
        <v>1</v>
      </c>
      <c r="L23" s="28">
        <v>2</v>
      </c>
      <c r="M23" s="28"/>
      <c r="N23" s="28">
        <v>2</v>
      </c>
      <c r="O23" s="28"/>
      <c r="P23" s="29"/>
      <c r="Q23" s="4">
        <f t="shared" si="11"/>
        <v>5</v>
      </c>
      <c r="R23" s="16">
        <v>45686</v>
      </c>
    </row>
    <row r="24" spans="1:18" s="5" customFormat="1" x14ac:dyDescent="0.15">
      <c r="A24" s="19" t="s">
        <v>23</v>
      </c>
      <c r="B24" s="27"/>
      <c r="C24" s="28"/>
      <c r="D24" s="28"/>
      <c r="E24" s="28"/>
      <c r="F24" s="28"/>
      <c r="G24" s="29">
        <v>1</v>
      </c>
      <c r="H24" s="4">
        <f t="shared" si="0"/>
        <v>1</v>
      </c>
      <c r="I24" s="16">
        <v>45695</v>
      </c>
      <c r="J24" s="19" t="s">
        <v>16</v>
      </c>
      <c r="K24" s="27"/>
      <c r="L24" s="28"/>
      <c r="M24" s="28">
        <v>3</v>
      </c>
      <c r="N24" s="28">
        <v>3</v>
      </c>
      <c r="O24" s="28"/>
      <c r="P24" s="29">
        <v>3</v>
      </c>
      <c r="Q24" s="4">
        <f t="shared" si="11"/>
        <v>9</v>
      </c>
      <c r="R24" s="16">
        <v>45689</v>
      </c>
    </row>
    <row r="25" spans="1:18" s="5" customFormat="1" x14ac:dyDescent="0.15">
      <c r="A25" s="19" t="s">
        <v>40</v>
      </c>
      <c r="B25" s="27"/>
      <c r="C25" s="28">
        <v>1</v>
      </c>
      <c r="D25" s="28"/>
      <c r="E25" s="28"/>
      <c r="F25" s="28"/>
      <c r="G25" s="29"/>
      <c r="H25" s="4">
        <f t="shared" si="0"/>
        <v>1</v>
      </c>
      <c r="I25" s="16">
        <v>45705</v>
      </c>
      <c r="J25" s="19" t="s">
        <v>16</v>
      </c>
      <c r="K25" s="27">
        <v>3</v>
      </c>
      <c r="L25" s="28">
        <v>3</v>
      </c>
      <c r="M25" s="28"/>
      <c r="N25" s="28"/>
      <c r="O25" s="28"/>
      <c r="P25" s="29"/>
      <c r="Q25" s="4">
        <f t="shared" si="11"/>
        <v>6</v>
      </c>
      <c r="R25" s="16">
        <v>45703</v>
      </c>
    </row>
    <row r="26" spans="1:18" s="5" customFormat="1" x14ac:dyDescent="0.15">
      <c r="A26" s="19"/>
      <c r="B26" s="27"/>
      <c r="C26" s="28"/>
      <c r="D26" s="28"/>
      <c r="E26" s="28"/>
      <c r="F26" s="28"/>
      <c r="G26" s="29"/>
      <c r="H26" s="4">
        <f t="shared" si="0"/>
        <v>0</v>
      </c>
      <c r="I26" s="16"/>
      <c r="J26" s="19"/>
      <c r="K26" s="27"/>
      <c r="L26" s="28"/>
      <c r="M26" s="28"/>
      <c r="N26" s="28"/>
      <c r="O26" s="28"/>
      <c r="P26" s="29"/>
      <c r="Q26" s="4">
        <f t="shared" si="1"/>
        <v>0</v>
      </c>
      <c r="R26" s="16"/>
    </row>
    <row r="27" spans="1:18" s="5" customFormat="1" x14ac:dyDescent="0.15">
      <c r="A27" s="19"/>
      <c r="B27" s="27"/>
      <c r="C27" s="28"/>
      <c r="D27" s="28"/>
      <c r="E27" s="28"/>
      <c r="F27" s="28"/>
      <c r="G27" s="29"/>
      <c r="H27" s="4">
        <f t="shared" si="0"/>
        <v>0</v>
      </c>
      <c r="I27" s="16"/>
      <c r="J27" s="19"/>
      <c r="K27" s="27"/>
      <c r="L27" s="28"/>
      <c r="M27" s="28"/>
      <c r="N27" s="28"/>
      <c r="O27" s="28"/>
      <c r="P27" s="29"/>
      <c r="Q27" s="4">
        <f t="shared" si="1"/>
        <v>0</v>
      </c>
      <c r="R27" s="16"/>
    </row>
    <row r="28" spans="1:18" s="5" customFormat="1" x14ac:dyDescent="0.15">
      <c r="A28" s="19"/>
      <c r="B28" s="27"/>
      <c r="C28" s="28"/>
      <c r="D28" s="28"/>
      <c r="E28" s="28"/>
      <c r="F28" s="28"/>
      <c r="G28" s="29"/>
      <c r="H28" s="4">
        <f t="shared" si="0"/>
        <v>0</v>
      </c>
      <c r="I28" s="16"/>
      <c r="J28" s="19"/>
      <c r="K28" s="27"/>
      <c r="L28" s="28"/>
      <c r="M28" s="28"/>
      <c r="N28" s="28"/>
      <c r="O28" s="28"/>
      <c r="P28" s="29"/>
      <c r="Q28" s="4">
        <f t="shared" si="1"/>
        <v>0</v>
      </c>
      <c r="R28" s="16"/>
    </row>
    <row r="29" spans="1:18" s="5" customFormat="1" x14ac:dyDescent="0.15">
      <c r="A29" s="19"/>
      <c r="B29" s="27"/>
      <c r="C29" s="28"/>
      <c r="D29" s="28"/>
      <c r="E29" s="28"/>
      <c r="F29" s="28"/>
      <c r="G29" s="29"/>
      <c r="H29" s="4">
        <f t="shared" si="0"/>
        <v>0</v>
      </c>
      <c r="I29" s="16"/>
      <c r="J29" s="19"/>
      <c r="K29" s="27"/>
      <c r="L29" s="28"/>
      <c r="M29" s="28"/>
      <c r="N29" s="28"/>
      <c r="O29" s="28"/>
      <c r="P29" s="29"/>
      <c r="Q29" s="4">
        <f t="shared" si="1"/>
        <v>0</v>
      </c>
      <c r="R29" s="16"/>
    </row>
    <row r="30" spans="1:18" s="5" customFormat="1" x14ac:dyDescent="0.15">
      <c r="A30" s="19"/>
      <c r="B30" s="27"/>
      <c r="C30" s="28"/>
      <c r="D30" s="28"/>
      <c r="E30" s="28"/>
      <c r="F30" s="28"/>
      <c r="G30" s="29"/>
      <c r="H30" s="4">
        <f t="shared" si="0"/>
        <v>0</v>
      </c>
      <c r="I30" s="16"/>
      <c r="J30" s="19"/>
      <c r="K30" s="27"/>
      <c r="L30" s="28"/>
      <c r="M30" s="28"/>
      <c r="N30" s="28"/>
      <c r="O30" s="28"/>
      <c r="P30" s="29"/>
      <c r="Q30" s="4">
        <f t="shared" si="1"/>
        <v>0</v>
      </c>
      <c r="R30" s="16"/>
    </row>
    <row r="31" spans="1:18" s="5" customFormat="1" x14ac:dyDescent="0.15">
      <c r="A31" s="19"/>
      <c r="B31" s="27"/>
      <c r="C31" s="28"/>
      <c r="D31" s="28"/>
      <c r="E31" s="28"/>
      <c r="F31" s="28"/>
      <c r="G31" s="29"/>
      <c r="H31" s="4">
        <f t="shared" si="0"/>
        <v>0</v>
      </c>
      <c r="I31" s="16"/>
      <c r="J31" s="19"/>
      <c r="K31" s="27"/>
      <c r="L31" s="28"/>
      <c r="M31" s="28"/>
      <c r="N31" s="28"/>
      <c r="O31" s="28"/>
      <c r="P31" s="29"/>
      <c r="Q31" s="4">
        <f t="shared" si="1"/>
        <v>0</v>
      </c>
      <c r="R31" s="16"/>
    </row>
    <row r="32" spans="1:18" s="5" customFormat="1" x14ac:dyDescent="0.15">
      <c r="A32" s="19"/>
      <c r="B32" s="27"/>
      <c r="C32" s="28"/>
      <c r="D32" s="28"/>
      <c r="E32" s="28"/>
      <c r="F32" s="28"/>
      <c r="G32" s="29"/>
      <c r="H32" s="4">
        <f t="shared" si="0"/>
        <v>0</v>
      </c>
      <c r="I32" s="16"/>
      <c r="J32" s="19"/>
      <c r="K32" s="27"/>
      <c r="L32" s="28"/>
      <c r="M32" s="28"/>
      <c r="N32" s="28"/>
      <c r="O32" s="28"/>
      <c r="P32" s="29"/>
      <c r="Q32" s="4">
        <f t="shared" si="1"/>
        <v>0</v>
      </c>
      <c r="R32" s="16"/>
    </row>
    <row r="33" spans="1:18" s="5" customFormat="1" x14ac:dyDescent="0.15">
      <c r="A33" s="19"/>
      <c r="B33" s="27"/>
      <c r="C33" s="28"/>
      <c r="D33" s="28"/>
      <c r="E33" s="28"/>
      <c r="F33" s="28"/>
      <c r="G33" s="29"/>
      <c r="H33" s="4">
        <f t="shared" si="0"/>
        <v>0</v>
      </c>
      <c r="I33" s="16"/>
      <c r="J33" s="19"/>
      <c r="K33" s="27"/>
      <c r="L33" s="28"/>
      <c r="M33" s="28"/>
      <c r="N33" s="28"/>
      <c r="O33" s="28"/>
      <c r="P33" s="29"/>
      <c r="Q33" s="4">
        <f t="shared" si="1"/>
        <v>0</v>
      </c>
      <c r="R33" s="16"/>
    </row>
    <row r="34" spans="1:18" s="5" customFormat="1" x14ac:dyDescent="0.15">
      <c r="A34" s="19"/>
      <c r="B34" s="27"/>
      <c r="C34" s="28"/>
      <c r="D34" s="28"/>
      <c r="E34" s="28"/>
      <c r="F34" s="28"/>
      <c r="G34" s="29"/>
      <c r="H34" s="4">
        <f t="shared" si="0"/>
        <v>0</v>
      </c>
      <c r="I34" s="16"/>
      <c r="J34" s="19"/>
      <c r="K34" s="27"/>
      <c r="L34" s="28"/>
      <c r="M34" s="28"/>
      <c r="N34" s="28"/>
      <c r="O34" s="28"/>
      <c r="P34" s="29"/>
      <c r="Q34" s="4">
        <f t="shared" si="1"/>
        <v>0</v>
      </c>
      <c r="R34" s="16"/>
    </row>
    <row r="35" spans="1:18" s="5" customFormat="1" x14ac:dyDescent="0.15">
      <c r="A35" s="10"/>
      <c r="B35" s="27"/>
      <c r="C35" s="28"/>
      <c r="D35" s="28"/>
      <c r="E35" s="28"/>
      <c r="F35" s="28"/>
      <c r="G35" s="29"/>
      <c r="H35" s="4">
        <f t="shared" si="0"/>
        <v>0</v>
      </c>
      <c r="I35" s="16"/>
      <c r="J35" s="19"/>
      <c r="K35" s="27"/>
      <c r="L35" s="28"/>
      <c r="M35" s="28"/>
      <c r="N35" s="28"/>
      <c r="O35" s="28"/>
      <c r="P35" s="29"/>
      <c r="Q35" s="4">
        <f t="shared" si="1"/>
        <v>0</v>
      </c>
      <c r="R35" s="16"/>
    </row>
    <row r="36" spans="1:18" s="5" customFormat="1" x14ac:dyDescent="0.15">
      <c r="A36" s="19"/>
      <c r="B36" s="27"/>
      <c r="C36" s="28"/>
      <c r="D36" s="28"/>
      <c r="E36" s="28"/>
      <c r="F36" s="28"/>
      <c r="G36" s="29"/>
      <c r="H36" s="4">
        <f t="shared" si="0"/>
        <v>0</v>
      </c>
      <c r="I36" s="16"/>
      <c r="J36" s="19"/>
      <c r="K36" s="27"/>
      <c r="L36" s="28"/>
      <c r="M36" s="28"/>
      <c r="N36" s="28"/>
      <c r="O36" s="28"/>
      <c r="P36" s="29"/>
      <c r="Q36" s="4">
        <f t="shared" si="1"/>
        <v>0</v>
      </c>
      <c r="R36" s="16"/>
    </row>
    <row r="37" spans="1:18" s="5" customFormat="1" x14ac:dyDescent="0.15">
      <c r="A37" s="19"/>
      <c r="B37" s="27"/>
      <c r="C37" s="28"/>
      <c r="D37" s="28"/>
      <c r="E37" s="28"/>
      <c r="F37" s="28"/>
      <c r="G37" s="29"/>
      <c r="H37" s="4">
        <f t="shared" si="0"/>
        <v>0</v>
      </c>
      <c r="I37" s="16"/>
      <c r="J37" s="19"/>
      <c r="K37" s="27"/>
      <c r="L37" s="28"/>
      <c r="M37" s="28"/>
      <c r="N37" s="28"/>
      <c r="O37" s="28"/>
      <c r="P37" s="29"/>
      <c r="Q37" s="4">
        <f t="shared" si="1"/>
        <v>0</v>
      </c>
      <c r="R37" s="16"/>
    </row>
    <row r="38" spans="1:18" s="5" customFormat="1" x14ac:dyDescent="0.15">
      <c r="A38" s="19"/>
      <c r="B38" s="27"/>
      <c r="C38" s="28"/>
      <c r="D38" s="28"/>
      <c r="E38" s="28"/>
      <c r="F38" s="28"/>
      <c r="G38" s="29"/>
      <c r="H38" s="4">
        <f t="shared" si="0"/>
        <v>0</v>
      </c>
      <c r="I38" s="16"/>
      <c r="J38" s="19"/>
      <c r="K38" s="27"/>
      <c r="L38" s="28"/>
      <c r="M38" s="28"/>
      <c r="N38" s="28"/>
      <c r="O38" s="28"/>
      <c r="P38" s="29"/>
      <c r="Q38" s="4">
        <f t="shared" si="1"/>
        <v>0</v>
      </c>
      <c r="R38" s="16"/>
    </row>
    <row r="39" spans="1:18" s="5" customFormat="1" ht="14.25" thickBot="1" x14ac:dyDescent="0.2">
      <c r="A39" s="19"/>
      <c r="B39" s="27"/>
      <c r="C39" s="36"/>
      <c r="D39" s="28"/>
      <c r="E39" s="28"/>
      <c r="F39" s="28"/>
      <c r="G39" s="29"/>
      <c r="H39" s="7">
        <f t="shared" si="0"/>
        <v>0</v>
      </c>
      <c r="I39" s="16"/>
      <c r="J39" s="19" t="s">
        <v>18</v>
      </c>
      <c r="K39" s="27"/>
      <c r="L39" s="28"/>
      <c r="M39" s="28"/>
      <c r="N39" s="28"/>
      <c r="O39" s="28"/>
      <c r="P39" s="29"/>
      <c r="Q39" s="4">
        <f t="shared" si="1"/>
        <v>0</v>
      </c>
      <c r="R39" s="17" t="s">
        <v>17</v>
      </c>
    </row>
    <row r="40" spans="1:18" ht="14.25" thickBot="1" x14ac:dyDescent="0.2">
      <c r="A40" s="2" t="s">
        <v>7</v>
      </c>
      <c r="B40" s="33">
        <f>SUM(B16:B39)</f>
        <v>3</v>
      </c>
      <c r="C40" s="34">
        <f t="shared" ref="C40:F40" si="13">SUM(C16:C39)</f>
        <v>6</v>
      </c>
      <c r="D40" s="34">
        <f t="shared" si="13"/>
        <v>3</v>
      </c>
      <c r="E40" s="34">
        <f t="shared" si="13"/>
        <v>2</v>
      </c>
      <c r="F40" s="34">
        <f t="shared" si="13"/>
        <v>1</v>
      </c>
      <c r="G40" s="35">
        <f>SUM(G16:G39)</f>
        <v>6</v>
      </c>
      <c r="H40" s="9">
        <f>SUM(B40:G40)</f>
        <v>21</v>
      </c>
      <c r="J40" s="2" t="s">
        <v>7</v>
      </c>
      <c r="K40" s="33">
        <f>SUM(K16:K39)</f>
        <v>13</v>
      </c>
      <c r="L40" s="34">
        <f t="shared" ref="L40" si="14">SUM(L16:L39)</f>
        <v>16</v>
      </c>
      <c r="M40" s="34">
        <f t="shared" ref="M40" si="15">SUM(M16:M39)</f>
        <v>16</v>
      </c>
      <c r="N40" s="34">
        <f t="shared" ref="N40" si="16">SUM(N16:N39)</f>
        <v>12</v>
      </c>
      <c r="O40" s="34">
        <f t="shared" ref="O40" si="17">SUM(O16:O39)</f>
        <v>5</v>
      </c>
      <c r="P40" s="35">
        <f t="shared" ref="P40" si="18">SUM(P16:P39)</f>
        <v>11</v>
      </c>
      <c r="Q40" s="9">
        <f t="shared" ref="Q40" si="19">SUM(Q16:Q39)</f>
        <v>73</v>
      </c>
    </row>
    <row r="41" spans="1:18" ht="14.25" thickBot="1" x14ac:dyDescent="0.2">
      <c r="A41" s="11" t="s">
        <v>8</v>
      </c>
      <c r="B41" s="37">
        <f>B15-B40</f>
        <v>5</v>
      </c>
      <c r="C41" s="38">
        <f t="shared" ref="C41:F41" si="20">C15-C40</f>
        <v>5</v>
      </c>
      <c r="D41" s="38">
        <f t="shared" si="20"/>
        <v>7</v>
      </c>
      <c r="E41" s="38">
        <f t="shared" si="20"/>
        <v>6</v>
      </c>
      <c r="F41" s="38">
        <f t="shared" si="20"/>
        <v>4</v>
      </c>
      <c r="G41" s="39">
        <f>G15-G40</f>
        <v>5</v>
      </c>
      <c r="H41" s="9">
        <f>H15-H40</f>
        <v>32</v>
      </c>
      <c r="J41" s="11" t="s">
        <v>8</v>
      </c>
      <c r="K41" s="37">
        <f>K15-K40</f>
        <v>67</v>
      </c>
      <c r="L41" s="38">
        <f t="shared" ref="L41" si="21">L15-L40</f>
        <v>122</v>
      </c>
      <c r="M41" s="38">
        <f t="shared" ref="M41" si="22">M15-M40</f>
        <v>64</v>
      </c>
      <c r="N41" s="38">
        <f t="shared" ref="N41" si="23">N15-N40</f>
        <v>28</v>
      </c>
      <c r="O41" s="38">
        <f t="shared" ref="O41" si="24">O15-O40</f>
        <v>35</v>
      </c>
      <c r="P41" s="39">
        <f t="shared" ref="P41" si="25">P15-P40</f>
        <v>9</v>
      </c>
      <c r="Q41" s="9">
        <f t="shared" ref="Q41" si="26">Q15-Q40</f>
        <v>325</v>
      </c>
    </row>
    <row r="42" spans="1:18" x14ac:dyDescent="0.15">
      <c r="I42"/>
    </row>
    <row r="43" spans="1:18" x14ac:dyDescent="0.15">
      <c r="I43"/>
    </row>
    <row r="44" spans="1:18" ht="21.75" thickBot="1" x14ac:dyDescent="0.25">
      <c r="A44" s="40" t="s">
        <v>29</v>
      </c>
      <c r="B44" s="41"/>
      <c r="C44" s="41"/>
      <c r="D44" s="41"/>
      <c r="E44" s="41"/>
      <c r="F44" s="41"/>
      <c r="G44" s="41"/>
      <c r="H44" s="42"/>
      <c r="J44" s="43" t="s">
        <v>30</v>
      </c>
      <c r="K44" s="44"/>
      <c r="L44" s="44"/>
      <c r="M44" s="44"/>
      <c r="N44" s="44"/>
      <c r="O44" s="56"/>
      <c r="P44" s="44"/>
      <c r="Q44" s="45"/>
    </row>
    <row r="45" spans="1:18" ht="14.25" thickBot="1" x14ac:dyDescent="0.2">
      <c r="A45" s="1" t="s">
        <v>0</v>
      </c>
      <c r="B45" s="92" t="s">
        <v>13</v>
      </c>
      <c r="C45" s="92"/>
      <c r="D45" s="92"/>
      <c r="E45" s="92"/>
      <c r="F45" s="92"/>
      <c r="G45" s="92"/>
      <c r="H45" s="93"/>
      <c r="J45" s="1" t="s">
        <v>0</v>
      </c>
      <c r="K45" s="92" t="s">
        <v>13</v>
      </c>
      <c r="L45" s="92"/>
      <c r="M45" s="92"/>
      <c r="N45" s="92"/>
      <c r="O45" s="92"/>
      <c r="P45" s="92"/>
      <c r="Q45" s="93"/>
    </row>
    <row r="46" spans="1:18" ht="14.25" thickBot="1" x14ac:dyDescent="0.2">
      <c r="A46" s="1" t="s">
        <v>1</v>
      </c>
      <c r="B46" s="21" t="s">
        <v>2</v>
      </c>
      <c r="C46" s="22" t="s">
        <v>9</v>
      </c>
      <c r="D46" s="22" t="s">
        <v>10</v>
      </c>
      <c r="E46" s="22" t="s">
        <v>11</v>
      </c>
      <c r="F46" s="22" t="s">
        <v>12</v>
      </c>
      <c r="G46" s="23" t="s">
        <v>14</v>
      </c>
      <c r="H46" s="1" t="s">
        <v>3</v>
      </c>
      <c r="J46" s="1" t="s">
        <v>1</v>
      </c>
      <c r="K46" s="21" t="s">
        <v>2</v>
      </c>
      <c r="L46" s="22" t="s">
        <v>9</v>
      </c>
      <c r="M46" s="22" t="s">
        <v>10</v>
      </c>
      <c r="N46" s="22" t="s">
        <v>11</v>
      </c>
      <c r="O46" s="22" t="s">
        <v>12</v>
      </c>
      <c r="P46" s="23" t="s">
        <v>14</v>
      </c>
      <c r="Q46" s="1" t="s">
        <v>3</v>
      </c>
    </row>
    <row r="47" spans="1:18" ht="14.25" thickBot="1" x14ac:dyDescent="0.2">
      <c r="A47" s="15" t="s">
        <v>8</v>
      </c>
      <c r="B47" s="24">
        <f>B41</f>
        <v>5</v>
      </c>
      <c r="C47" s="25">
        <f t="shared" ref="C47:F47" si="27">C41</f>
        <v>5</v>
      </c>
      <c r="D47" s="25">
        <f t="shared" si="27"/>
        <v>7</v>
      </c>
      <c r="E47" s="25">
        <f t="shared" si="27"/>
        <v>6</v>
      </c>
      <c r="F47" s="25">
        <f t="shared" si="27"/>
        <v>4</v>
      </c>
      <c r="G47" s="26">
        <f>G41</f>
        <v>5</v>
      </c>
      <c r="H47" s="9">
        <f t="shared" ref="H47:H82" si="28">SUM(B47:G47)</f>
        <v>32</v>
      </c>
      <c r="I47" s="16"/>
      <c r="J47" s="15" t="s">
        <v>8</v>
      </c>
      <c r="K47" s="24">
        <f>K41</f>
        <v>67</v>
      </c>
      <c r="L47" s="25">
        <f t="shared" ref="L47:Q47" si="29">L41</f>
        <v>122</v>
      </c>
      <c r="M47" s="25">
        <f t="shared" si="29"/>
        <v>64</v>
      </c>
      <c r="N47" s="25">
        <f t="shared" si="29"/>
        <v>28</v>
      </c>
      <c r="O47" s="25">
        <f t="shared" si="29"/>
        <v>35</v>
      </c>
      <c r="P47" s="26">
        <f t="shared" si="29"/>
        <v>9</v>
      </c>
      <c r="Q47" s="9">
        <f t="shared" si="29"/>
        <v>325</v>
      </c>
    </row>
    <row r="48" spans="1:18" s="5" customFormat="1" x14ac:dyDescent="0.15">
      <c r="A48" s="3" t="s">
        <v>5</v>
      </c>
      <c r="B48" s="27">
        <v>5</v>
      </c>
      <c r="C48" s="28">
        <v>5</v>
      </c>
      <c r="D48" s="28">
        <v>3</v>
      </c>
      <c r="E48" s="28">
        <v>3</v>
      </c>
      <c r="F48" s="28"/>
      <c r="G48" s="29"/>
      <c r="H48" s="4">
        <f t="shared" si="28"/>
        <v>16</v>
      </c>
      <c r="I48" s="16">
        <v>45729</v>
      </c>
      <c r="J48" s="3" t="s">
        <v>52</v>
      </c>
      <c r="K48" s="27">
        <v>15</v>
      </c>
      <c r="L48" s="28">
        <v>23</v>
      </c>
      <c r="M48" s="28">
        <v>12</v>
      </c>
      <c r="N48" s="28"/>
      <c r="O48" s="28"/>
      <c r="P48" s="29"/>
      <c r="Q48" s="4">
        <f t="shared" ref="Q48:Q77" si="30">SUM(K48:P48)</f>
        <v>50</v>
      </c>
      <c r="R48" s="16">
        <v>45745</v>
      </c>
    </row>
    <row r="49" spans="1:18" s="5" customFormat="1" x14ac:dyDescent="0.15">
      <c r="A49" s="3" t="s">
        <v>5</v>
      </c>
      <c r="B49" s="27"/>
      <c r="C49" s="28"/>
      <c r="D49" s="28"/>
      <c r="E49" s="28"/>
      <c r="F49" s="28"/>
      <c r="G49" s="29">
        <v>5</v>
      </c>
      <c r="H49" s="4">
        <f t="shared" si="28"/>
        <v>5</v>
      </c>
      <c r="I49" s="16">
        <v>45734</v>
      </c>
      <c r="J49" s="13" t="s">
        <v>5</v>
      </c>
      <c r="K49" s="27"/>
      <c r="L49" s="28"/>
      <c r="M49" s="28"/>
      <c r="N49" s="28"/>
      <c r="O49" s="28"/>
      <c r="P49" s="29"/>
      <c r="Q49" s="4">
        <f t="shared" si="30"/>
        <v>0</v>
      </c>
      <c r="R49" s="17"/>
    </row>
    <row r="50" spans="1:18" s="5" customFormat="1" x14ac:dyDescent="0.15">
      <c r="A50" s="3" t="s">
        <v>52</v>
      </c>
      <c r="B50" s="27">
        <v>12</v>
      </c>
      <c r="C50" s="28">
        <v>3</v>
      </c>
      <c r="D50" s="28">
        <v>3</v>
      </c>
      <c r="E50" s="28"/>
      <c r="F50" s="28"/>
      <c r="G50" s="29"/>
      <c r="H50" s="4">
        <f t="shared" si="28"/>
        <v>18</v>
      </c>
      <c r="I50" s="16">
        <v>45735</v>
      </c>
      <c r="J50" s="3" t="s">
        <v>5</v>
      </c>
      <c r="K50" s="46">
        <v>80</v>
      </c>
      <c r="L50" s="47">
        <v>140</v>
      </c>
      <c r="M50" s="47">
        <v>80</v>
      </c>
      <c r="N50" s="47">
        <v>40</v>
      </c>
      <c r="O50" s="47">
        <v>20</v>
      </c>
      <c r="P50" s="48">
        <v>20</v>
      </c>
      <c r="Q50" s="4">
        <f t="shared" si="30"/>
        <v>380</v>
      </c>
      <c r="R50" s="16">
        <v>45352</v>
      </c>
    </row>
    <row r="51" spans="1:18" s="5" customFormat="1" x14ac:dyDescent="0.15">
      <c r="A51" s="3" t="s">
        <v>5</v>
      </c>
      <c r="B51" s="27"/>
      <c r="C51" s="28">
        <v>5</v>
      </c>
      <c r="D51" s="28"/>
      <c r="E51" s="28">
        <v>3</v>
      </c>
      <c r="F51" s="28">
        <v>3</v>
      </c>
      <c r="G51" s="29">
        <v>3</v>
      </c>
      <c r="H51" s="4">
        <f t="shared" si="28"/>
        <v>14</v>
      </c>
      <c r="I51" s="16">
        <v>45745</v>
      </c>
      <c r="J51" s="3" t="s">
        <v>5</v>
      </c>
      <c r="K51" s="27"/>
      <c r="L51" s="28"/>
      <c r="M51" s="28"/>
      <c r="N51" s="47">
        <v>20</v>
      </c>
      <c r="O51" s="47">
        <v>0</v>
      </c>
      <c r="P51" s="48">
        <v>40</v>
      </c>
      <c r="Q51" s="4">
        <f t="shared" si="30"/>
        <v>60</v>
      </c>
      <c r="R51" s="16">
        <v>45717</v>
      </c>
    </row>
    <row r="52" spans="1:18" s="5" customFormat="1" x14ac:dyDescent="0.15">
      <c r="A52" s="3" t="s">
        <v>5</v>
      </c>
      <c r="B52" s="27"/>
      <c r="C52" s="28">
        <v>5</v>
      </c>
      <c r="D52" s="28">
        <v>3</v>
      </c>
      <c r="E52" s="28">
        <v>3</v>
      </c>
      <c r="F52" s="28">
        <v>3</v>
      </c>
      <c r="G52" s="29">
        <v>3</v>
      </c>
      <c r="H52" s="4">
        <f t="shared" si="28"/>
        <v>17</v>
      </c>
      <c r="I52" s="16">
        <v>45752</v>
      </c>
      <c r="J52" s="3" t="s">
        <v>5</v>
      </c>
      <c r="K52" s="27"/>
      <c r="L52" s="28"/>
      <c r="M52" s="28"/>
      <c r="N52" s="28"/>
      <c r="O52" s="28"/>
      <c r="P52" s="29"/>
      <c r="Q52" s="4">
        <f t="shared" si="30"/>
        <v>0</v>
      </c>
      <c r="R52" s="17"/>
    </row>
    <row r="53" spans="1:18" s="5" customFormat="1" x14ac:dyDescent="0.15">
      <c r="A53" s="3" t="s">
        <v>33</v>
      </c>
      <c r="B53" s="27">
        <v>1</v>
      </c>
      <c r="C53" s="28"/>
      <c r="D53" s="28"/>
      <c r="E53" s="28"/>
      <c r="F53" s="28"/>
      <c r="G53" s="29"/>
      <c r="H53" s="4">
        <f t="shared" si="28"/>
        <v>1</v>
      </c>
      <c r="I53" s="16">
        <v>45757</v>
      </c>
      <c r="J53" s="3" t="s">
        <v>5</v>
      </c>
      <c r="K53" s="27"/>
      <c r="L53" s="28"/>
      <c r="M53" s="28"/>
      <c r="N53" s="28"/>
      <c r="O53" s="28"/>
      <c r="P53" s="29"/>
      <c r="Q53" s="4">
        <f t="shared" si="30"/>
        <v>0</v>
      </c>
      <c r="R53" s="17"/>
    </row>
    <row r="54" spans="1:18" s="5" customFormat="1" x14ac:dyDescent="0.15">
      <c r="A54" s="3" t="s">
        <v>52</v>
      </c>
      <c r="B54" s="27"/>
      <c r="C54" s="28">
        <v>1</v>
      </c>
      <c r="D54" s="28"/>
      <c r="E54" s="28"/>
      <c r="F54" s="28"/>
      <c r="G54" s="29"/>
      <c r="H54" s="4">
        <f t="shared" si="28"/>
        <v>1</v>
      </c>
      <c r="I54" s="16">
        <v>45762</v>
      </c>
      <c r="J54" s="3" t="s">
        <v>5</v>
      </c>
      <c r="K54" s="27"/>
      <c r="L54" s="28"/>
      <c r="M54" s="28"/>
      <c r="N54" s="28"/>
      <c r="O54" s="28"/>
      <c r="P54" s="29"/>
      <c r="Q54" s="4">
        <f t="shared" si="30"/>
        <v>0</v>
      </c>
      <c r="R54" s="17"/>
    </row>
    <row r="55" spans="1:18" s="5" customFormat="1" x14ac:dyDescent="0.15">
      <c r="A55" s="3" t="s">
        <v>5</v>
      </c>
      <c r="B55" s="27"/>
      <c r="C55" s="28"/>
      <c r="D55" s="28"/>
      <c r="E55" s="28"/>
      <c r="F55" s="28"/>
      <c r="G55" s="29"/>
      <c r="H55" s="4">
        <f t="shared" si="28"/>
        <v>0</v>
      </c>
      <c r="I55" s="17"/>
      <c r="J55" s="3" t="s">
        <v>5</v>
      </c>
      <c r="K55" s="27"/>
      <c r="L55" s="28"/>
      <c r="M55" s="28"/>
      <c r="N55" s="28"/>
      <c r="O55" s="28"/>
      <c r="P55" s="29"/>
      <c r="Q55" s="4">
        <f t="shared" si="30"/>
        <v>0</v>
      </c>
      <c r="R55" s="17"/>
    </row>
    <row r="56" spans="1:18" s="5" customFormat="1" x14ac:dyDescent="0.15">
      <c r="A56" s="3" t="s">
        <v>5</v>
      </c>
      <c r="B56" s="27"/>
      <c r="C56" s="28"/>
      <c r="D56" s="28"/>
      <c r="E56" s="28"/>
      <c r="F56" s="28"/>
      <c r="G56" s="29"/>
      <c r="H56" s="4">
        <f t="shared" si="28"/>
        <v>0</v>
      </c>
      <c r="I56" s="17"/>
      <c r="J56" s="3" t="s">
        <v>5</v>
      </c>
      <c r="K56" s="27"/>
      <c r="L56" s="28"/>
      <c r="M56" s="28"/>
      <c r="N56" s="28"/>
      <c r="O56" s="28"/>
      <c r="P56" s="29"/>
      <c r="Q56" s="4">
        <f t="shared" si="30"/>
        <v>0</v>
      </c>
      <c r="R56" s="17"/>
    </row>
    <row r="57" spans="1:18" s="5" customFormat="1" ht="14.25" thickBot="1" x14ac:dyDescent="0.2">
      <c r="A57" s="6" t="s">
        <v>5</v>
      </c>
      <c r="B57" s="30"/>
      <c r="C57" s="31"/>
      <c r="D57" s="31"/>
      <c r="E57" s="31"/>
      <c r="F57" s="31"/>
      <c r="G57" s="32"/>
      <c r="H57" s="7">
        <f t="shared" si="28"/>
        <v>0</v>
      </c>
      <c r="I57" s="17"/>
      <c r="J57" s="6" t="s">
        <v>5</v>
      </c>
      <c r="K57" s="30"/>
      <c r="L57" s="31"/>
      <c r="M57" s="31"/>
      <c r="N57" s="31"/>
      <c r="O57" s="31"/>
      <c r="P57" s="32"/>
      <c r="Q57" s="7">
        <f t="shared" si="30"/>
        <v>0</v>
      </c>
      <c r="R57" s="17"/>
    </row>
    <row r="58" spans="1:18" ht="14.25" thickBot="1" x14ac:dyDescent="0.2">
      <c r="A58" s="8" t="s">
        <v>6</v>
      </c>
      <c r="B58" s="33">
        <f>SUM(B47:B57)</f>
        <v>23</v>
      </c>
      <c r="C58" s="34">
        <f t="shared" ref="C58:G58" si="31">SUM(C47:C57)</f>
        <v>24</v>
      </c>
      <c r="D58" s="34">
        <f t="shared" si="31"/>
        <v>16</v>
      </c>
      <c r="E58" s="34">
        <f t="shared" si="31"/>
        <v>15</v>
      </c>
      <c r="F58" s="34">
        <f t="shared" si="31"/>
        <v>10</v>
      </c>
      <c r="G58" s="35">
        <f t="shared" si="31"/>
        <v>16</v>
      </c>
      <c r="H58" s="9">
        <f t="shared" si="28"/>
        <v>104</v>
      </c>
      <c r="J58" s="8" t="s">
        <v>6</v>
      </c>
      <c r="K58" s="33">
        <f>SUM(K47:K57)</f>
        <v>162</v>
      </c>
      <c r="L58" s="34">
        <f t="shared" ref="L58" si="32">SUM(L47:L57)</f>
        <v>285</v>
      </c>
      <c r="M58" s="34">
        <f t="shared" ref="M58" si="33">SUM(M47:M57)</f>
        <v>156</v>
      </c>
      <c r="N58" s="34">
        <f t="shared" ref="N58" si="34">SUM(N47:N57)</f>
        <v>88</v>
      </c>
      <c r="O58" s="34">
        <f t="shared" ref="O58" si="35">SUM(O47:O57)</f>
        <v>55</v>
      </c>
      <c r="P58" s="35">
        <f t="shared" ref="P58" si="36">SUM(P47:P57)</f>
        <v>69</v>
      </c>
      <c r="Q58" s="9">
        <f t="shared" ref="Q58" si="37">SUM(Q47:Q57)</f>
        <v>815</v>
      </c>
    </row>
    <row r="59" spans="1:18" s="5" customFormat="1" x14ac:dyDescent="0.15">
      <c r="A59" s="19" t="s">
        <v>23</v>
      </c>
      <c r="B59" s="27"/>
      <c r="C59" s="28"/>
      <c r="D59" s="28">
        <v>1</v>
      </c>
      <c r="E59" s="28"/>
      <c r="F59" s="28"/>
      <c r="G59" s="29"/>
      <c r="H59" s="4">
        <f t="shared" si="28"/>
        <v>1</v>
      </c>
      <c r="I59" s="16">
        <v>45719</v>
      </c>
      <c r="J59" s="19" t="s">
        <v>42</v>
      </c>
      <c r="K59" s="27">
        <v>20</v>
      </c>
      <c r="L59" s="28">
        <v>20</v>
      </c>
      <c r="M59" s="28">
        <v>15</v>
      </c>
      <c r="N59" s="28"/>
      <c r="O59" s="28"/>
      <c r="P59" s="29"/>
      <c r="Q59" s="4">
        <f t="shared" si="30"/>
        <v>55</v>
      </c>
      <c r="R59" s="16">
        <v>45719</v>
      </c>
    </row>
    <row r="60" spans="1:18" s="5" customFormat="1" x14ac:dyDescent="0.15">
      <c r="A60" s="19" t="s">
        <v>23</v>
      </c>
      <c r="B60" s="27"/>
      <c r="C60" s="28"/>
      <c r="D60" s="28"/>
      <c r="E60" s="28"/>
      <c r="F60" s="28"/>
      <c r="G60" s="29">
        <v>1</v>
      </c>
      <c r="H60" s="4">
        <f t="shared" si="28"/>
        <v>1</v>
      </c>
      <c r="I60" s="16">
        <v>45727</v>
      </c>
      <c r="J60" s="19" t="s">
        <v>41</v>
      </c>
      <c r="K60" s="27">
        <v>5</v>
      </c>
      <c r="L60" s="28">
        <v>5</v>
      </c>
      <c r="M60" s="28">
        <v>5</v>
      </c>
      <c r="N60" s="28"/>
      <c r="O60" s="28"/>
      <c r="P60" s="29"/>
      <c r="Q60" s="4">
        <f t="shared" si="30"/>
        <v>15</v>
      </c>
      <c r="R60" s="16">
        <v>45719</v>
      </c>
    </row>
    <row r="61" spans="1:18" s="5" customFormat="1" x14ac:dyDescent="0.15">
      <c r="A61" s="19" t="s">
        <v>49</v>
      </c>
      <c r="B61" s="27">
        <v>4</v>
      </c>
      <c r="C61" s="28">
        <v>4</v>
      </c>
      <c r="D61" s="28">
        <v>3</v>
      </c>
      <c r="E61" s="28">
        <v>3</v>
      </c>
      <c r="F61" s="28"/>
      <c r="G61" s="29"/>
      <c r="H61" s="4">
        <f t="shared" si="28"/>
        <v>14</v>
      </c>
      <c r="I61" s="16">
        <v>45730</v>
      </c>
      <c r="J61" s="19" t="s">
        <v>45</v>
      </c>
      <c r="K61" s="27"/>
      <c r="L61" s="28">
        <v>10</v>
      </c>
      <c r="M61" s="28"/>
      <c r="N61" s="28"/>
      <c r="O61" s="28"/>
      <c r="P61" s="29"/>
      <c r="Q61" s="4">
        <f t="shared" si="30"/>
        <v>10</v>
      </c>
      <c r="R61" s="16">
        <v>45723</v>
      </c>
    </row>
    <row r="62" spans="1:18" s="5" customFormat="1" x14ac:dyDescent="0.15">
      <c r="A62" s="19" t="s">
        <v>23</v>
      </c>
      <c r="B62" s="27"/>
      <c r="C62" s="28"/>
      <c r="D62" s="28"/>
      <c r="E62" s="28"/>
      <c r="F62" s="28"/>
      <c r="G62" s="29">
        <v>1</v>
      </c>
      <c r="H62" s="4">
        <f t="shared" si="28"/>
        <v>1</v>
      </c>
      <c r="I62" s="16">
        <v>45730</v>
      </c>
      <c r="J62" s="19" t="s">
        <v>43</v>
      </c>
      <c r="K62" s="27">
        <v>15</v>
      </c>
      <c r="L62" s="28"/>
      <c r="M62" s="28"/>
      <c r="N62" s="28"/>
      <c r="O62" s="28"/>
      <c r="P62" s="29"/>
      <c r="Q62" s="4">
        <f t="shared" si="30"/>
        <v>15</v>
      </c>
      <c r="R62" s="16">
        <v>45722</v>
      </c>
    </row>
    <row r="63" spans="1:18" s="5" customFormat="1" x14ac:dyDescent="0.15">
      <c r="A63" s="19" t="s">
        <v>51</v>
      </c>
      <c r="B63" s="27"/>
      <c r="C63" s="28"/>
      <c r="D63" s="28"/>
      <c r="E63" s="28"/>
      <c r="F63" s="28"/>
      <c r="G63" s="29">
        <v>1</v>
      </c>
      <c r="H63" s="4">
        <f t="shared" si="28"/>
        <v>1</v>
      </c>
      <c r="I63" s="16">
        <v>45735</v>
      </c>
      <c r="J63" s="19" t="s">
        <v>44</v>
      </c>
      <c r="K63" s="27"/>
      <c r="L63" s="28">
        <v>2</v>
      </c>
      <c r="M63" s="28">
        <v>2</v>
      </c>
      <c r="N63" s="28"/>
      <c r="O63" s="28"/>
      <c r="P63" s="29"/>
      <c r="Q63" s="4">
        <f t="shared" si="30"/>
        <v>4</v>
      </c>
      <c r="R63" s="16">
        <v>45723</v>
      </c>
    </row>
    <row r="64" spans="1:18" s="5" customFormat="1" x14ac:dyDescent="0.15">
      <c r="A64" s="19" t="s">
        <v>55</v>
      </c>
      <c r="B64" s="27"/>
      <c r="C64" s="28">
        <v>1</v>
      </c>
      <c r="D64" s="28">
        <v>1</v>
      </c>
      <c r="E64" s="28"/>
      <c r="F64" s="28"/>
      <c r="G64" s="29"/>
      <c r="H64" s="4">
        <f t="shared" si="28"/>
        <v>2</v>
      </c>
      <c r="I64" s="16">
        <v>45742</v>
      </c>
      <c r="J64" s="19" t="s">
        <v>16</v>
      </c>
      <c r="K64" s="27">
        <v>5</v>
      </c>
      <c r="L64" s="28">
        <v>5</v>
      </c>
      <c r="M64" s="28">
        <v>3</v>
      </c>
      <c r="N64" s="28">
        <v>3</v>
      </c>
      <c r="O64" s="28"/>
      <c r="P64" s="29"/>
      <c r="Q64" s="4">
        <f t="shared" si="30"/>
        <v>16</v>
      </c>
      <c r="R64" s="16">
        <v>45729</v>
      </c>
    </row>
    <row r="65" spans="1:18" s="5" customFormat="1" x14ac:dyDescent="0.15">
      <c r="A65" s="19" t="s">
        <v>23</v>
      </c>
      <c r="B65" s="27"/>
      <c r="C65" s="28"/>
      <c r="D65" s="28">
        <v>1</v>
      </c>
      <c r="E65" s="28"/>
      <c r="F65" s="28"/>
      <c r="G65" s="29">
        <v>3</v>
      </c>
      <c r="H65" s="4">
        <f t="shared" si="28"/>
        <v>4</v>
      </c>
      <c r="I65" s="16">
        <v>45740</v>
      </c>
      <c r="J65" s="19" t="s">
        <v>50</v>
      </c>
      <c r="K65" s="27">
        <v>1</v>
      </c>
      <c r="L65" s="28"/>
      <c r="M65" s="28"/>
      <c r="N65" s="28"/>
      <c r="O65" s="28"/>
      <c r="P65" s="29"/>
      <c r="Q65" s="4">
        <f t="shared" si="30"/>
        <v>1</v>
      </c>
      <c r="R65" s="16">
        <v>45733</v>
      </c>
    </row>
    <row r="66" spans="1:18" s="5" customFormat="1" x14ac:dyDescent="0.15">
      <c r="A66" s="19" t="s">
        <v>56</v>
      </c>
      <c r="B66" s="27">
        <v>2</v>
      </c>
      <c r="C66" s="28"/>
      <c r="D66" s="28"/>
      <c r="E66" s="28"/>
      <c r="F66" s="28">
        <v>1</v>
      </c>
      <c r="G66" s="29"/>
      <c r="H66" s="4">
        <f t="shared" si="28"/>
        <v>3</v>
      </c>
      <c r="I66" s="16">
        <v>45743</v>
      </c>
      <c r="J66" s="19" t="s">
        <v>16</v>
      </c>
      <c r="K66" s="27"/>
      <c r="L66" s="28"/>
      <c r="M66" s="28"/>
      <c r="N66" s="28"/>
      <c r="O66" s="28"/>
      <c r="P66" s="29">
        <v>5</v>
      </c>
      <c r="Q66" s="4">
        <f t="shared" si="30"/>
        <v>5</v>
      </c>
      <c r="R66" s="16">
        <v>45734</v>
      </c>
    </row>
    <row r="67" spans="1:18" s="5" customFormat="1" x14ac:dyDescent="0.15">
      <c r="A67" s="19" t="s">
        <v>58</v>
      </c>
      <c r="B67" s="27">
        <v>5</v>
      </c>
      <c r="C67" s="28">
        <v>8</v>
      </c>
      <c r="D67" s="28"/>
      <c r="E67" s="28"/>
      <c r="F67" s="28"/>
      <c r="G67" s="29">
        <v>1</v>
      </c>
      <c r="H67" s="4">
        <f t="shared" ref="H67" si="38">SUM(B67:G67)</f>
        <v>14</v>
      </c>
      <c r="I67" s="16">
        <v>45744</v>
      </c>
      <c r="J67" s="19" t="s">
        <v>57</v>
      </c>
      <c r="K67" s="27">
        <v>2</v>
      </c>
      <c r="L67" s="28">
        <v>6</v>
      </c>
      <c r="M67" s="28">
        <v>3</v>
      </c>
      <c r="N67" s="28">
        <v>2</v>
      </c>
      <c r="O67" s="28"/>
      <c r="P67" s="29"/>
      <c r="Q67" s="4">
        <f t="shared" si="30"/>
        <v>13</v>
      </c>
      <c r="R67" s="16">
        <v>45742</v>
      </c>
    </row>
    <row r="68" spans="1:18" s="5" customFormat="1" x14ac:dyDescent="0.15">
      <c r="A68" s="19" t="s">
        <v>60</v>
      </c>
      <c r="B68" s="27"/>
      <c r="C68" s="28"/>
      <c r="D68" s="28"/>
      <c r="E68" s="28">
        <v>3</v>
      </c>
      <c r="F68" s="28"/>
      <c r="G68" s="29"/>
      <c r="H68" s="4">
        <f t="shared" si="28"/>
        <v>3</v>
      </c>
      <c r="I68" s="16">
        <v>45747</v>
      </c>
      <c r="J68" s="19" t="s">
        <v>59</v>
      </c>
      <c r="K68" s="27"/>
      <c r="L68" s="28">
        <v>4</v>
      </c>
      <c r="M68" s="28"/>
      <c r="N68" s="28"/>
      <c r="O68" s="28"/>
      <c r="P68" s="29"/>
      <c r="Q68" s="4">
        <f t="shared" si="30"/>
        <v>4</v>
      </c>
      <c r="R68" s="16">
        <v>45744</v>
      </c>
    </row>
    <row r="69" spans="1:18" s="5" customFormat="1" x14ac:dyDescent="0.15">
      <c r="A69" s="19" t="s">
        <v>64</v>
      </c>
      <c r="B69" s="27">
        <v>2</v>
      </c>
      <c r="C69" s="28"/>
      <c r="D69" s="28"/>
      <c r="E69" s="28"/>
      <c r="F69" s="28">
        <v>1</v>
      </c>
      <c r="G69" s="29"/>
      <c r="H69" s="4">
        <f t="shared" si="28"/>
        <v>3</v>
      </c>
      <c r="I69" s="16">
        <v>45750</v>
      </c>
      <c r="J69" s="19" t="s">
        <v>89</v>
      </c>
      <c r="K69" s="27"/>
      <c r="L69" s="28">
        <v>10</v>
      </c>
      <c r="M69" s="28"/>
      <c r="N69" s="28"/>
      <c r="O69" s="28"/>
      <c r="P69" s="29"/>
      <c r="Q69" s="4">
        <f t="shared" si="30"/>
        <v>10</v>
      </c>
      <c r="R69" s="16">
        <v>45744</v>
      </c>
    </row>
    <row r="70" spans="1:18" s="5" customFormat="1" x14ac:dyDescent="0.15">
      <c r="A70" s="19" t="s">
        <v>65</v>
      </c>
      <c r="B70" s="27"/>
      <c r="C70" s="28">
        <v>2</v>
      </c>
      <c r="D70" s="28"/>
      <c r="E70" s="28">
        <v>1</v>
      </c>
      <c r="F70" s="28"/>
      <c r="G70" s="29"/>
      <c r="H70" s="4">
        <f t="shared" si="28"/>
        <v>3</v>
      </c>
      <c r="I70" s="16">
        <v>45751</v>
      </c>
      <c r="J70" s="19" t="s">
        <v>16</v>
      </c>
      <c r="K70" s="27"/>
      <c r="L70" s="28">
        <v>5</v>
      </c>
      <c r="M70" s="28"/>
      <c r="N70" s="28">
        <v>3</v>
      </c>
      <c r="O70" s="28">
        <v>3</v>
      </c>
      <c r="P70" s="29">
        <v>3</v>
      </c>
      <c r="Q70" s="4">
        <f t="shared" si="30"/>
        <v>14</v>
      </c>
      <c r="R70" s="16">
        <v>45745</v>
      </c>
    </row>
    <row r="71" spans="1:18" s="5" customFormat="1" x14ac:dyDescent="0.15">
      <c r="A71" s="19" t="s">
        <v>67</v>
      </c>
      <c r="B71" s="27"/>
      <c r="C71" s="28"/>
      <c r="D71" s="28">
        <v>1</v>
      </c>
      <c r="E71" s="28"/>
      <c r="F71" s="28"/>
      <c r="G71" s="29"/>
      <c r="H71" s="4">
        <f t="shared" si="28"/>
        <v>1</v>
      </c>
      <c r="I71" s="16">
        <v>45754</v>
      </c>
      <c r="J71" s="19" t="s">
        <v>63</v>
      </c>
      <c r="K71" s="27">
        <v>1</v>
      </c>
      <c r="L71" s="28">
        <v>10</v>
      </c>
      <c r="M71" s="28">
        <v>1</v>
      </c>
      <c r="N71" s="28">
        <v>1</v>
      </c>
      <c r="O71" s="28"/>
      <c r="P71" s="29"/>
      <c r="Q71" s="4">
        <f t="shared" si="30"/>
        <v>13</v>
      </c>
      <c r="R71" s="16">
        <v>45749</v>
      </c>
    </row>
    <row r="72" spans="1:18" s="5" customFormat="1" x14ac:dyDescent="0.15">
      <c r="A72" s="19" t="s">
        <v>70</v>
      </c>
      <c r="B72" s="27">
        <v>3</v>
      </c>
      <c r="C72" s="28"/>
      <c r="D72" s="28"/>
      <c r="E72" s="28"/>
      <c r="F72" s="28"/>
      <c r="G72" s="29"/>
      <c r="H72" s="4">
        <f t="shared" si="28"/>
        <v>3</v>
      </c>
      <c r="I72" s="16">
        <v>45756</v>
      </c>
      <c r="J72" s="19" t="s">
        <v>66</v>
      </c>
      <c r="K72" s="27"/>
      <c r="L72" s="28">
        <v>1</v>
      </c>
      <c r="M72" s="28">
        <v>4</v>
      </c>
      <c r="N72" s="28"/>
      <c r="O72" s="28">
        <v>1</v>
      </c>
      <c r="P72" s="29"/>
      <c r="Q72" s="4">
        <f t="shared" si="30"/>
        <v>6</v>
      </c>
      <c r="R72" s="16">
        <v>45751</v>
      </c>
    </row>
    <row r="73" spans="1:18" s="5" customFormat="1" x14ac:dyDescent="0.15">
      <c r="A73" s="19" t="s">
        <v>71</v>
      </c>
      <c r="B73" s="27"/>
      <c r="C73" s="28"/>
      <c r="D73" s="28"/>
      <c r="E73" s="28"/>
      <c r="F73" s="28"/>
      <c r="G73" s="29">
        <v>2</v>
      </c>
      <c r="H73" s="4">
        <f t="shared" si="28"/>
        <v>2</v>
      </c>
      <c r="I73" s="16">
        <v>45758</v>
      </c>
      <c r="J73" s="19" t="s">
        <v>16</v>
      </c>
      <c r="K73" s="27"/>
      <c r="L73" s="28">
        <v>5</v>
      </c>
      <c r="M73" s="28">
        <v>3</v>
      </c>
      <c r="N73" s="28">
        <v>3</v>
      </c>
      <c r="O73" s="28">
        <v>3</v>
      </c>
      <c r="P73" s="29">
        <v>3</v>
      </c>
      <c r="Q73" s="4">
        <f t="shared" si="30"/>
        <v>17</v>
      </c>
      <c r="R73" s="16">
        <v>45752</v>
      </c>
    </row>
    <row r="74" spans="1:18" s="5" customFormat="1" x14ac:dyDescent="0.15">
      <c r="A74" s="19" t="s">
        <v>23</v>
      </c>
      <c r="B74" s="27">
        <v>1</v>
      </c>
      <c r="C74" s="28"/>
      <c r="D74" s="28"/>
      <c r="E74" s="28"/>
      <c r="F74" s="28"/>
      <c r="G74" s="29"/>
      <c r="H74" s="4">
        <f t="shared" si="28"/>
        <v>1</v>
      </c>
      <c r="I74" s="16">
        <v>45756</v>
      </c>
      <c r="J74" s="19"/>
      <c r="K74" s="27"/>
      <c r="L74" s="28"/>
      <c r="M74" s="28"/>
      <c r="N74" s="28"/>
      <c r="O74" s="28"/>
      <c r="P74" s="29"/>
      <c r="Q74" s="4">
        <f t="shared" si="30"/>
        <v>0</v>
      </c>
      <c r="R74" s="17"/>
    </row>
    <row r="75" spans="1:18" s="5" customFormat="1" x14ac:dyDescent="0.15">
      <c r="A75" s="19" t="s">
        <v>72</v>
      </c>
      <c r="B75" s="27"/>
      <c r="C75" s="28"/>
      <c r="D75" s="28">
        <v>1</v>
      </c>
      <c r="E75" s="28"/>
      <c r="F75" s="28"/>
      <c r="G75" s="29"/>
      <c r="H75" s="4">
        <f t="shared" si="28"/>
        <v>1</v>
      </c>
      <c r="I75" s="16">
        <v>45758</v>
      </c>
      <c r="J75" s="19"/>
      <c r="K75" s="27"/>
      <c r="L75" s="28"/>
      <c r="M75" s="28"/>
      <c r="N75" s="28"/>
      <c r="O75" s="28"/>
      <c r="P75" s="29"/>
      <c r="Q75" s="4">
        <f t="shared" si="30"/>
        <v>0</v>
      </c>
      <c r="R75" s="17"/>
    </row>
    <row r="76" spans="1:18" s="5" customFormat="1" x14ac:dyDescent="0.15">
      <c r="A76" s="19" t="s">
        <v>77</v>
      </c>
      <c r="B76" s="27"/>
      <c r="C76" s="28"/>
      <c r="D76" s="28">
        <v>1</v>
      </c>
      <c r="E76" s="28"/>
      <c r="F76" s="28"/>
      <c r="G76" s="29">
        <v>3</v>
      </c>
      <c r="H76" s="4">
        <f t="shared" si="28"/>
        <v>4</v>
      </c>
      <c r="I76" s="16">
        <v>45763</v>
      </c>
      <c r="J76" s="19"/>
      <c r="K76" s="27"/>
      <c r="L76" s="28"/>
      <c r="M76" s="28"/>
      <c r="N76" s="28"/>
      <c r="O76" s="28"/>
      <c r="P76" s="29"/>
      <c r="Q76" s="4">
        <f t="shared" si="30"/>
        <v>0</v>
      </c>
      <c r="R76" s="17"/>
    </row>
    <row r="77" spans="1:18" s="5" customFormat="1" x14ac:dyDescent="0.15">
      <c r="A77" s="19" t="s">
        <v>78</v>
      </c>
      <c r="B77" s="27"/>
      <c r="C77" s="28"/>
      <c r="D77" s="28">
        <v>2</v>
      </c>
      <c r="E77" s="28"/>
      <c r="F77" s="28">
        <v>1</v>
      </c>
      <c r="G77" s="29"/>
      <c r="H77" s="4">
        <f t="shared" si="28"/>
        <v>3</v>
      </c>
      <c r="I77" s="16">
        <v>45764</v>
      </c>
      <c r="J77" s="19"/>
      <c r="K77" s="27"/>
      <c r="L77" s="28"/>
      <c r="M77" s="28"/>
      <c r="N77" s="28"/>
      <c r="O77" s="28"/>
      <c r="P77" s="29"/>
      <c r="Q77" s="4">
        <f t="shared" si="30"/>
        <v>0</v>
      </c>
      <c r="R77" s="17"/>
    </row>
    <row r="78" spans="1:18" s="5" customFormat="1" x14ac:dyDescent="0.15">
      <c r="A78" s="19" t="s">
        <v>79</v>
      </c>
      <c r="B78" s="27"/>
      <c r="C78" s="28"/>
      <c r="D78" s="28">
        <v>1</v>
      </c>
      <c r="E78" s="28"/>
      <c r="F78" s="28"/>
      <c r="G78" s="29"/>
      <c r="H78" s="4">
        <f t="shared" si="28"/>
        <v>1</v>
      </c>
      <c r="I78" s="16">
        <v>45765</v>
      </c>
      <c r="J78" s="19"/>
      <c r="K78" s="27"/>
      <c r="L78" s="28"/>
      <c r="M78" s="28"/>
      <c r="N78" s="28"/>
      <c r="O78" s="28"/>
      <c r="P78" s="29"/>
      <c r="Q78" s="4">
        <f t="shared" ref="Q78" si="39">SUM(K78:P78)</f>
        <v>0</v>
      </c>
      <c r="R78" s="17"/>
    </row>
    <row r="79" spans="1:18" s="5" customFormat="1" x14ac:dyDescent="0.15">
      <c r="A79" s="19" t="s">
        <v>80</v>
      </c>
      <c r="B79" s="27"/>
      <c r="C79" s="28"/>
      <c r="D79" s="28"/>
      <c r="E79" s="28"/>
      <c r="F79" s="28">
        <v>1</v>
      </c>
      <c r="G79" s="29"/>
      <c r="H79" s="4">
        <f t="shared" si="28"/>
        <v>1</v>
      </c>
      <c r="I79" s="16">
        <v>45765</v>
      </c>
      <c r="J79" s="19" t="s">
        <v>53</v>
      </c>
      <c r="K79" s="27"/>
      <c r="L79" s="28"/>
      <c r="M79" s="28"/>
      <c r="N79" s="57"/>
      <c r="O79" s="57"/>
      <c r="P79" s="58"/>
      <c r="Q79" s="4">
        <f t="shared" ref="Q79:Q81" si="40">SUM(K79:P79)</f>
        <v>0</v>
      </c>
      <c r="R79" s="17" t="s">
        <v>20</v>
      </c>
    </row>
    <row r="80" spans="1:18" s="5" customFormat="1" x14ac:dyDescent="0.15">
      <c r="A80" s="19" t="s">
        <v>81</v>
      </c>
      <c r="B80" s="27">
        <v>1</v>
      </c>
      <c r="C80" s="28">
        <v>1</v>
      </c>
      <c r="D80" s="28"/>
      <c r="E80" s="28"/>
      <c r="F80" s="28"/>
      <c r="G80" s="29"/>
      <c r="H80" s="4">
        <f t="shared" si="28"/>
        <v>2</v>
      </c>
      <c r="I80" s="16">
        <v>45768</v>
      </c>
      <c r="J80" s="19" t="s">
        <v>21</v>
      </c>
      <c r="K80" s="27"/>
      <c r="L80" s="28"/>
      <c r="M80" s="28"/>
      <c r="N80" s="28"/>
      <c r="O80" s="57"/>
      <c r="P80" s="58"/>
      <c r="Q80" s="4">
        <f t="shared" si="40"/>
        <v>0</v>
      </c>
      <c r="R80" s="17" t="s">
        <v>22</v>
      </c>
    </row>
    <row r="81" spans="1:18" s="5" customFormat="1" x14ac:dyDescent="0.15">
      <c r="A81" s="19" t="s">
        <v>23</v>
      </c>
      <c r="B81" s="27"/>
      <c r="C81" s="28"/>
      <c r="D81" s="28"/>
      <c r="E81" s="28">
        <v>1</v>
      </c>
      <c r="F81" s="28"/>
      <c r="G81" s="29"/>
      <c r="H81" s="4">
        <f t="shared" si="28"/>
        <v>1</v>
      </c>
      <c r="I81" s="16">
        <v>45769</v>
      </c>
      <c r="J81" s="19" t="s">
        <v>54</v>
      </c>
      <c r="K81" s="27"/>
      <c r="L81" s="28"/>
      <c r="M81" s="28"/>
      <c r="N81" s="57"/>
      <c r="O81" s="57"/>
      <c r="P81" s="58"/>
      <c r="Q81" s="59">
        <f t="shared" si="40"/>
        <v>0</v>
      </c>
      <c r="R81" s="17" t="s">
        <v>20</v>
      </c>
    </row>
    <row r="82" spans="1:18" s="5" customFormat="1" ht="14.25" thickBot="1" x14ac:dyDescent="0.2">
      <c r="A82" s="19" t="s">
        <v>82</v>
      </c>
      <c r="B82" s="27">
        <v>2</v>
      </c>
      <c r="C82" s="36"/>
      <c r="D82" s="28"/>
      <c r="E82" s="28"/>
      <c r="F82" s="28"/>
      <c r="G82" s="29"/>
      <c r="H82" s="7">
        <f t="shared" si="28"/>
        <v>2</v>
      </c>
      <c r="I82" s="16">
        <v>45772</v>
      </c>
      <c r="J82" s="19" t="s">
        <v>37</v>
      </c>
      <c r="K82" s="27"/>
      <c r="L82" s="28"/>
      <c r="M82" s="28"/>
      <c r="N82" s="28"/>
      <c r="O82" s="28"/>
      <c r="P82" s="29"/>
      <c r="Q82" s="4">
        <f t="shared" ref="Q82" si="41">SUM(K82:P82)</f>
        <v>0</v>
      </c>
      <c r="R82" s="17" t="s">
        <v>38</v>
      </c>
    </row>
    <row r="83" spans="1:18" ht="14.25" thickBot="1" x14ac:dyDescent="0.2">
      <c r="A83" s="2" t="s">
        <v>7</v>
      </c>
      <c r="B83" s="33">
        <f>SUM(B59:B82)</f>
        <v>20</v>
      </c>
      <c r="C83" s="34">
        <f t="shared" ref="C83:F83" si="42">SUM(C59:C82)</f>
        <v>16</v>
      </c>
      <c r="D83" s="34">
        <f t="shared" si="42"/>
        <v>12</v>
      </c>
      <c r="E83" s="34">
        <f t="shared" si="42"/>
        <v>8</v>
      </c>
      <c r="F83" s="34">
        <f t="shared" si="42"/>
        <v>4</v>
      </c>
      <c r="G83" s="35">
        <f>SUM(G59:G82)</f>
        <v>12</v>
      </c>
      <c r="H83" s="9">
        <f>SUM(B83:G83)</f>
        <v>72</v>
      </c>
      <c r="J83" s="2" t="s">
        <v>7</v>
      </c>
      <c r="K83" s="33">
        <f>SUM(K59:K82)</f>
        <v>49</v>
      </c>
      <c r="L83" s="34">
        <f t="shared" ref="L83" si="43">SUM(L59:L82)</f>
        <v>83</v>
      </c>
      <c r="M83" s="34">
        <f t="shared" ref="M83" si="44">SUM(M59:M82)</f>
        <v>36</v>
      </c>
      <c r="N83" s="34">
        <f t="shared" ref="N83" si="45">SUM(N59:N82)</f>
        <v>12</v>
      </c>
      <c r="O83" s="34">
        <f t="shared" ref="O83" si="46">SUM(O59:O82)</f>
        <v>7</v>
      </c>
      <c r="P83" s="35">
        <f t="shared" ref="P83" si="47">SUM(P59:P82)</f>
        <v>11</v>
      </c>
      <c r="Q83" s="9">
        <f t="shared" ref="Q83" si="48">SUM(Q59:Q82)</f>
        <v>198</v>
      </c>
    </row>
    <row r="84" spans="1:18" ht="14.25" thickBot="1" x14ac:dyDescent="0.2">
      <c r="A84" s="11" t="s">
        <v>8</v>
      </c>
      <c r="B84" s="37">
        <f>B58-B83</f>
        <v>3</v>
      </c>
      <c r="C84" s="38">
        <f t="shared" ref="C84:F84" si="49">C58-C83</f>
        <v>8</v>
      </c>
      <c r="D84" s="38">
        <f t="shared" si="49"/>
        <v>4</v>
      </c>
      <c r="E84" s="38">
        <f t="shared" si="49"/>
        <v>7</v>
      </c>
      <c r="F84" s="38">
        <f t="shared" si="49"/>
        <v>6</v>
      </c>
      <c r="G84" s="39">
        <f>G58-G83</f>
        <v>4</v>
      </c>
      <c r="H84" s="9">
        <f>H58-H83</f>
        <v>32</v>
      </c>
      <c r="J84" s="11" t="s">
        <v>8</v>
      </c>
      <c r="K84" s="37">
        <f>K58-K83</f>
        <v>113</v>
      </c>
      <c r="L84" s="38">
        <f t="shared" ref="L84" si="50">L58-L83</f>
        <v>202</v>
      </c>
      <c r="M84" s="38">
        <f t="shared" ref="M84" si="51">M58-M83</f>
        <v>120</v>
      </c>
      <c r="N84" s="38">
        <f t="shared" ref="N84" si="52">N58-N83</f>
        <v>76</v>
      </c>
      <c r="O84" s="38">
        <f t="shared" ref="O84" si="53">O58-O83</f>
        <v>48</v>
      </c>
      <c r="P84" s="39">
        <f t="shared" ref="P84" si="54">P58-P83</f>
        <v>58</v>
      </c>
      <c r="Q84" s="9">
        <f t="shared" ref="Q84" si="55">Q58-Q83</f>
        <v>617</v>
      </c>
    </row>
    <row r="85" spans="1:18" x14ac:dyDescent="0.15">
      <c r="I85"/>
    </row>
    <row r="86" spans="1:18" x14ac:dyDescent="0.15">
      <c r="I86"/>
    </row>
    <row r="87" spans="1:18" ht="21.75" thickBot="1" x14ac:dyDescent="0.25">
      <c r="A87" s="40" t="s">
        <v>29</v>
      </c>
      <c r="B87" s="41"/>
      <c r="C87" s="41"/>
      <c r="D87" s="41"/>
      <c r="E87" s="41"/>
      <c r="F87" s="41"/>
      <c r="G87" s="41"/>
      <c r="H87" s="42"/>
      <c r="J87" s="43" t="s">
        <v>30</v>
      </c>
      <c r="K87" s="44"/>
      <c r="L87" s="44"/>
      <c r="M87" s="44"/>
      <c r="N87" s="44"/>
      <c r="O87" s="56"/>
      <c r="P87" s="44"/>
      <c r="Q87" s="45"/>
    </row>
    <row r="88" spans="1:18" ht="14.25" thickBot="1" x14ac:dyDescent="0.2">
      <c r="A88" s="1" t="s">
        <v>0</v>
      </c>
      <c r="B88" s="92" t="s">
        <v>13</v>
      </c>
      <c r="C88" s="92"/>
      <c r="D88" s="92"/>
      <c r="E88" s="92"/>
      <c r="F88" s="92"/>
      <c r="G88" s="92"/>
      <c r="H88" s="93"/>
      <c r="J88" s="1" t="s">
        <v>0</v>
      </c>
      <c r="K88" s="92" t="s">
        <v>13</v>
      </c>
      <c r="L88" s="92"/>
      <c r="M88" s="92"/>
      <c r="N88" s="92"/>
      <c r="O88" s="92"/>
      <c r="P88" s="92"/>
      <c r="Q88" s="93"/>
    </row>
    <row r="89" spans="1:18" ht="14.25" thickBot="1" x14ac:dyDescent="0.2">
      <c r="A89" s="1" t="s">
        <v>1</v>
      </c>
      <c r="B89" s="21" t="s">
        <v>2</v>
      </c>
      <c r="C89" s="22" t="s">
        <v>9</v>
      </c>
      <c r="D89" s="22" t="s">
        <v>10</v>
      </c>
      <c r="E89" s="22" t="s">
        <v>11</v>
      </c>
      <c r="F89" s="22" t="s">
        <v>12</v>
      </c>
      <c r="G89" s="23" t="s">
        <v>14</v>
      </c>
      <c r="H89" s="1" t="s">
        <v>3</v>
      </c>
      <c r="J89" s="1" t="s">
        <v>1</v>
      </c>
      <c r="K89" s="21" t="s">
        <v>2</v>
      </c>
      <c r="L89" s="22" t="s">
        <v>9</v>
      </c>
      <c r="M89" s="22" t="s">
        <v>10</v>
      </c>
      <c r="N89" s="22" t="s">
        <v>11</v>
      </c>
      <c r="O89" s="22" t="s">
        <v>12</v>
      </c>
      <c r="P89" s="23" t="s">
        <v>14</v>
      </c>
      <c r="Q89" s="1" t="s">
        <v>3</v>
      </c>
    </row>
    <row r="90" spans="1:18" ht="14.25" thickBot="1" x14ac:dyDescent="0.2">
      <c r="A90" s="15" t="s">
        <v>8</v>
      </c>
      <c r="B90" s="24">
        <f>B84</f>
        <v>3</v>
      </c>
      <c r="C90" s="25">
        <f t="shared" ref="C90:F90" si="56">C84</f>
        <v>8</v>
      </c>
      <c r="D90" s="25">
        <f t="shared" si="56"/>
        <v>4</v>
      </c>
      <c r="E90" s="25">
        <f t="shared" si="56"/>
        <v>7</v>
      </c>
      <c r="F90" s="25">
        <f t="shared" si="56"/>
        <v>6</v>
      </c>
      <c r="G90" s="26">
        <f>G84</f>
        <v>4</v>
      </c>
      <c r="H90" s="9">
        <f t="shared" ref="H90:H125" si="57">SUM(B90:G90)</f>
        <v>32</v>
      </c>
      <c r="I90" s="16"/>
      <c r="J90" s="15" t="s">
        <v>8</v>
      </c>
      <c r="K90" s="24">
        <f>K84</f>
        <v>113</v>
      </c>
      <c r="L90" s="25">
        <f t="shared" ref="L90:Q90" si="58">L84</f>
        <v>202</v>
      </c>
      <c r="M90" s="25">
        <f t="shared" si="58"/>
        <v>120</v>
      </c>
      <c r="N90" s="25">
        <f t="shared" si="58"/>
        <v>76</v>
      </c>
      <c r="O90" s="25">
        <f t="shared" si="58"/>
        <v>48</v>
      </c>
      <c r="P90" s="26">
        <f t="shared" si="58"/>
        <v>58</v>
      </c>
      <c r="Q90" s="9">
        <f t="shared" si="58"/>
        <v>617</v>
      </c>
    </row>
    <row r="91" spans="1:18" s="5" customFormat="1" x14ac:dyDescent="0.15">
      <c r="A91" s="3" t="s">
        <v>33</v>
      </c>
      <c r="B91" s="27"/>
      <c r="C91" s="28"/>
      <c r="D91" s="28"/>
      <c r="E91" s="28"/>
      <c r="F91" s="28">
        <v>1</v>
      </c>
      <c r="G91" s="29"/>
      <c r="H91" s="4">
        <f t="shared" si="57"/>
        <v>1</v>
      </c>
      <c r="I91" s="16">
        <v>45772</v>
      </c>
      <c r="J91" s="13" t="s">
        <v>5</v>
      </c>
      <c r="K91" s="27"/>
      <c r="L91" s="28"/>
      <c r="M91" s="28"/>
      <c r="N91" s="28"/>
      <c r="O91" s="28"/>
      <c r="P91" s="29"/>
      <c r="Q91" s="4">
        <f t="shared" ref="Q91:Q121" si="59">SUM(K91:P91)</f>
        <v>0</v>
      </c>
      <c r="R91" s="17"/>
    </row>
    <row r="92" spans="1:18" s="5" customFormat="1" x14ac:dyDescent="0.15">
      <c r="A92" s="3" t="s">
        <v>5</v>
      </c>
      <c r="B92" s="27">
        <v>5</v>
      </c>
      <c r="C92" s="28"/>
      <c r="D92" s="28">
        <v>5</v>
      </c>
      <c r="E92" s="28"/>
      <c r="F92" s="28"/>
      <c r="G92" s="29"/>
      <c r="H92" s="4">
        <f t="shared" si="57"/>
        <v>10</v>
      </c>
      <c r="I92" s="16">
        <v>45775</v>
      </c>
      <c r="J92" s="13" t="s">
        <v>5</v>
      </c>
      <c r="K92" s="27"/>
      <c r="L92" s="28"/>
      <c r="M92" s="28"/>
      <c r="N92" s="28"/>
      <c r="O92" s="28"/>
      <c r="P92" s="29"/>
      <c r="Q92" s="4">
        <f t="shared" si="59"/>
        <v>0</v>
      </c>
      <c r="R92" s="17"/>
    </row>
    <row r="93" spans="1:18" s="5" customFormat="1" x14ac:dyDescent="0.15">
      <c r="A93" s="3" t="s">
        <v>5</v>
      </c>
      <c r="B93" s="27"/>
      <c r="C93" s="28">
        <v>5</v>
      </c>
      <c r="D93" s="28"/>
      <c r="E93" s="28"/>
      <c r="F93" s="28"/>
      <c r="G93" s="29"/>
      <c r="H93" s="4">
        <f t="shared" si="57"/>
        <v>5</v>
      </c>
      <c r="I93" s="16">
        <v>45792</v>
      </c>
      <c r="J93" s="13" t="s">
        <v>5</v>
      </c>
      <c r="K93" s="27"/>
      <c r="L93" s="28"/>
      <c r="M93" s="28"/>
      <c r="N93" s="28"/>
      <c r="O93" s="28"/>
      <c r="P93" s="29"/>
      <c r="Q93" s="4">
        <f t="shared" si="59"/>
        <v>0</v>
      </c>
      <c r="R93" s="17"/>
    </row>
    <row r="94" spans="1:18" s="5" customFormat="1" x14ac:dyDescent="0.15">
      <c r="A94" s="3" t="s">
        <v>33</v>
      </c>
      <c r="B94" s="27">
        <v>1</v>
      </c>
      <c r="C94" s="28"/>
      <c r="D94" s="28"/>
      <c r="E94" s="28"/>
      <c r="F94" s="28"/>
      <c r="G94" s="29"/>
      <c r="H94" s="4">
        <f t="shared" si="57"/>
        <v>1</v>
      </c>
      <c r="I94" s="16">
        <v>45792</v>
      </c>
      <c r="J94" s="3" t="s">
        <v>5</v>
      </c>
      <c r="K94" s="27"/>
      <c r="L94" s="28"/>
      <c r="M94" s="28"/>
      <c r="N94" s="28"/>
      <c r="O94" s="28"/>
      <c r="P94" s="29"/>
      <c r="Q94" s="4">
        <f t="shared" si="59"/>
        <v>0</v>
      </c>
      <c r="R94" s="17"/>
    </row>
    <row r="95" spans="1:18" s="5" customFormat="1" x14ac:dyDescent="0.15">
      <c r="A95" s="3" t="s">
        <v>5</v>
      </c>
      <c r="B95" s="27"/>
      <c r="C95" s="28"/>
      <c r="D95" s="28"/>
      <c r="E95" s="28">
        <v>3</v>
      </c>
      <c r="F95" s="28"/>
      <c r="G95" s="29"/>
      <c r="H95" s="4">
        <f t="shared" si="57"/>
        <v>3</v>
      </c>
      <c r="I95" s="16">
        <v>45797</v>
      </c>
      <c r="J95" s="3" t="s">
        <v>5</v>
      </c>
      <c r="K95" s="27"/>
      <c r="L95" s="28"/>
      <c r="M95" s="28"/>
      <c r="N95" s="28"/>
      <c r="O95" s="28"/>
      <c r="P95" s="29"/>
      <c r="Q95" s="4">
        <f t="shared" si="59"/>
        <v>0</v>
      </c>
      <c r="R95" s="17"/>
    </row>
    <row r="96" spans="1:18" s="5" customFormat="1" x14ac:dyDescent="0.15">
      <c r="A96" s="20" t="s">
        <v>106</v>
      </c>
      <c r="B96" s="27"/>
      <c r="C96" s="28">
        <v>1</v>
      </c>
      <c r="D96" s="28"/>
      <c r="E96" s="28"/>
      <c r="F96" s="28"/>
      <c r="G96" s="29"/>
      <c r="H96" s="4">
        <f t="shared" si="57"/>
        <v>1</v>
      </c>
      <c r="I96" s="16">
        <v>45798</v>
      </c>
      <c r="J96" s="3" t="s">
        <v>5</v>
      </c>
      <c r="K96" s="27"/>
      <c r="L96" s="28"/>
      <c r="M96" s="28"/>
      <c r="N96" s="28"/>
      <c r="O96" s="28"/>
      <c r="P96" s="29"/>
      <c r="Q96" s="4">
        <f t="shared" si="59"/>
        <v>0</v>
      </c>
      <c r="R96" s="17"/>
    </row>
    <row r="97" spans="1:18" s="5" customFormat="1" x14ac:dyDescent="0.15">
      <c r="A97" s="3" t="s">
        <v>5</v>
      </c>
      <c r="B97" s="27">
        <v>5</v>
      </c>
      <c r="C97" s="28"/>
      <c r="D97" s="28">
        <v>5</v>
      </c>
      <c r="E97" s="28"/>
      <c r="F97" s="28"/>
      <c r="G97" s="29"/>
      <c r="H97" s="4">
        <f t="shared" si="57"/>
        <v>10</v>
      </c>
      <c r="I97" s="16">
        <v>45803</v>
      </c>
      <c r="J97" s="3" t="s">
        <v>5</v>
      </c>
      <c r="K97" s="27"/>
      <c r="L97" s="28"/>
      <c r="M97" s="28"/>
      <c r="N97" s="28"/>
      <c r="O97" s="28"/>
      <c r="P97" s="29"/>
      <c r="Q97" s="4">
        <f t="shared" si="59"/>
        <v>0</v>
      </c>
      <c r="R97" s="17"/>
    </row>
    <row r="98" spans="1:18" s="5" customFormat="1" x14ac:dyDescent="0.15">
      <c r="A98" s="3" t="s">
        <v>5</v>
      </c>
      <c r="B98" s="27"/>
      <c r="C98" s="28"/>
      <c r="D98" s="28"/>
      <c r="E98" s="28"/>
      <c r="F98" s="28"/>
      <c r="G98" s="29"/>
      <c r="H98" s="4">
        <f t="shared" si="57"/>
        <v>0</v>
      </c>
      <c r="I98" s="17"/>
      <c r="J98" s="3" t="s">
        <v>5</v>
      </c>
      <c r="K98" s="27"/>
      <c r="L98" s="28"/>
      <c r="M98" s="28"/>
      <c r="N98" s="28"/>
      <c r="O98" s="28"/>
      <c r="P98" s="29"/>
      <c r="Q98" s="4">
        <f t="shared" si="59"/>
        <v>0</v>
      </c>
      <c r="R98" s="17"/>
    </row>
    <row r="99" spans="1:18" s="5" customFormat="1" x14ac:dyDescent="0.15">
      <c r="A99" s="3" t="s">
        <v>5</v>
      </c>
      <c r="B99" s="27"/>
      <c r="C99" s="28"/>
      <c r="D99" s="28"/>
      <c r="E99" s="28"/>
      <c r="F99" s="28"/>
      <c r="G99" s="29"/>
      <c r="H99" s="4">
        <f t="shared" si="57"/>
        <v>0</v>
      </c>
      <c r="I99" s="17"/>
      <c r="J99" s="3" t="s">
        <v>5</v>
      </c>
      <c r="K99" s="27"/>
      <c r="L99" s="28"/>
      <c r="M99" s="28"/>
      <c r="N99" s="28"/>
      <c r="O99" s="28"/>
      <c r="P99" s="29"/>
      <c r="Q99" s="4">
        <f t="shared" si="59"/>
        <v>0</v>
      </c>
      <c r="R99" s="17"/>
    </row>
    <row r="100" spans="1:18" s="5" customFormat="1" ht="14.25" thickBot="1" x14ac:dyDescent="0.2">
      <c r="A100" s="6" t="s">
        <v>142</v>
      </c>
      <c r="B100" s="30"/>
      <c r="C100" s="31">
        <v>-3</v>
      </c>
      <c r="D100" s="31"/>
      <c r="E100" s="31">
        <v>-2</v>
      </c>
      <c r="F100" s="31">
        <v>1</v>
      </c>
      <c r="G100" s="32"/>
      <c r="H100" s="7">
        <f t="shared" si="57"/>
        <v>-4</v>
      </c>
      <c r="I100" s="17"/>
      <c r="J100" s="3" t="s">
        <v>5</v>
      </c>
      <c r="K100" s="27"/>
      <c r="L100" s="28"/>
      <c r="M100" s="28"/>
      <c r="N100" s="28"/>
      <c r="O100" s="28"/>
      <c r="P100" s="29"/>
      <c r="Q100" s="4">
        <f t="shared" ref="Q100" si="60">SUM(K100:P100)</f>
        <v>0</v>
      </c>
      <c r="R100" s="17"/>
    </row>
    <row r="101" spans="1:18" ht="14.25" thickBot="1" x14ac:dyDescent="0.2">
      <c r="A101" s="8" t="s">
        <v>6</v>
      </c>
      <c r="B101" s="33">
        <f>SUM(B90:B100)</f>
        <v>14</v>
      </c>
      <c r="C101" s="34">
        <f t="shared" ref="C101:G101" si="61">SUM(C90:C100)</f>
        <v>11</v>
      </c>
      <c r="D101" s="34">
        <f t="shared" si="61"/>
        <v>14</v>
      </c>
      <c r="E101" s="34">
        <f t="shared" si="61"/>
        <v>8</v>
      </c>
      <c r="F101" s="34">
        <f t="shared" si="61"/>
        <v>8</v>
      </c>
      <c r="G101" s="35">
        <f t="shared" si="61"/>
        <v>4</v>
      </c>
      <c r="H101" s="9">
        <f t="shared" si="57"/>
        <v>59</v>
      </c>
      <c r="J101" s="8" t="s">
        <v>6</v>
      </c>
      <c r="K101" s="33">
        <f>SUM(K90:K100)</f>
        <v>113</v>
      </c>
      <c r="L101" s="34">
        <f t="shared" ref="L101" si="62">SUM(L90:L100)</f>
        <v>202</v>
      </c>
      <c r="M101" s="34">
        <f t="shared" ref="M101" si="63">SUM(M90:M100)</f>
        <v>120</v>
      </c>
      <c r="N101" s="34">
        <f t="shared" ref="N101" si="64">SUM(N90:N100)</f>
        <v>76</v>
      </c>
      <c r="O101" s="34">
        <f t="shared" ref="O101" si="65">SUM(O90:O100)</f>
        <v>48</v>
      </c>
      <c r="P101" s="35">
        <f t="shared" ref="P101" si="66">SUM(P90:P100)</f>
        <v>58</v>
      </c>
      <c r="Q101" s="9">
        <f t="shared" ref="Q101" si="67">SUM(Q90:Q100)</f>
        <v>617</v>
      </c>
    </row>
    <row r="102" spans="1:18" s="5" customFormat="1" x14ac:dyDescent="0.15">
      <c r="A102" s="19" t="s">
        <v>83</v>
      </c>
      <c r="B102" s="27">
        <v>1</v>
      </c>
      <c r="C102" s="28">
        <v>1</v>
      </c>
      <c r="D102" s="28"/>
      <c r="E102" s="28"/>
      <c r="F102" s="28"/>
      <c r="G102" s="29"/>
      <c r="H102" s="4">
        <f t="shared" si="57"/>
        <v>2</v>
      </c>
      <c r="I102" s="16">
        <v>45775</v>
      </c>
      <c r="J102" s="19" t="s">
        <v>84</v>
      </c>
      <c r="K102" s="27">
        <v>5</v>
      </c>
      <c r="L102" s="28"/>
      <c r="M102" s="28">
        <v>5</v>
      </c>
      <c r="N102" s="28"/>
      <c r="O102" s="28"/>
      <c r="P102" s="29"/>
      <c r="Q102" s="4">
        <f t="shared" si="59"/>
        <v>10</v>
      </c>
      <c r="R102" s="16">
        <v>45775</v>
      </c>
    </row>
    <row r="103" spans="1:18" s="5" customFormat="1" x14ac:dyDescent="0.15">
      <c r="A103" s="19" t="s">
        <v>85</v>
      </c>
      <c r="B103" s="27"/>
      <c r="C103" s="28">
        <v>1</v>
      </c>
      <c r="D103" s="28"/>
      <c r="E103" s="28"/>
      <c r="F103" s="28">
        <v>1</v>
      </c>
      <c r="G103" s="29"/>
      <c r="H103" s="4">
        <f t="shared" si="57"/>
        <v>2</v>
      </c>
      <c r="I103" s="16">
        <v>45777</v>
      </c>
      <c r="J103" s="19" t="s">
        <v>88</v>
      </c>
      <c r="K103" s="27"/>
      <c r="L103" s="28">
        <v>6</v>
      </c>
      <c r="M103" s="28">
        <v>1</v>
      </c>
      <c r="N103" s="28"/>
      <c r="O103" s="28"/>
      <c r="P103" s="29"/>
      <c r="Q103" s="4">
        <f t="shared" si="59"/>
        <v>7</v>
      </c>
      <c r="R103" s="16">
        <v>45786</v>
      </c>
    </row>
    <row r="104" spans="1:18" s="5" customFormat="1" x14ac:dyDescent="0.15">
      <c r="A104" s="19" t="s">
        <v>23</v>
      </c>
      <c r="B104" s="27"/>
      <c r="C104" s="28">
        <v>1</v>
      </c>
      <c r="D104" s="28"/>
      <c r="E104" s="28"/>
      <c r="F104" s="28"/>
      <c r="G104" s="29"/>
      <c r="H104" s="4">
        <f t="shared" si="57"/>
        <v>1</v>
      </c>
      <c r="I104" s="16">
        <v>45775</v>
      </c>
      <c r="J104" s="19" t="s">
        <v>95</v>
      </c>
      <c r="K104" s="27"/>
      <c r="L104" s="28"/>
      <c r="M104" s="28">
        <v>7</v>
      </c>
      <c r="N104" s="28"/>
      <c r="O104" s="28"/>
      <c r="P104" s="29"/>
      <c r="Q104" s="4">
        <f t="shared" ref="Q104:Q108" si="68">SUM(K104:P104)</f>
        <v>7</v>
      </c>
      <c r="R104" s="16">
        <v>45792</v>
      </c>
    </row>
    <row r="105" spans="1:18" s="5" customFormat="1" x14ac:dyDescent="0.15">
      <c r="A105" s="19" t="s">
        <v>86</v>
      </c>
      <c r="B105" s="27"/>
      <c r="C105" s="28">
        <v>2</v>
      </c>
      <c r="D105" s="28"/>
      <c r="E105" s="28"/>
      <c r="F105" s="28"/>
      <c r="G105" s="29"/>
      <c r="H105" s="4">
        <f t="shared" si="57"/>
        <v>2</v>
      </c>
      <c r="I105" s="16">
        <v>45779</v>
      </c>
      <c r="J105" s="19" t="s">
        <v>16</v>
      </c>
      <c r="K105" s="27"/>
      <c r="L105" s="28">
        <v>5</v>
      </c>
      <c r="M105" s="28"/>
      <c r="N105" s="28"/>
      <c r="O105" s="28"/>
      <c r="P105" s="29"/>
      <c r="Q105" s="4">
        <f t="shared" si="68"/>
        <v>5</v>
      </c>
      <c r="R105" s="16">
        <v>45792</v>
      </c>
    </row>
    <row r="106" spans="1:18" s="5" customFormat="1" x14ac:dyDescent="0.15">
      <c r="A106" s="19" t="s">
        <v>87</v>
      </c>
      <c r="B106" s="27"/>
      <c r="C106" s="28"/>
      <c r="D106" s="28">
        <v>1</v>
      </c>
      <c r="E106" s="28"/>
      <c r="F106" s="28"/>
      <c r="G106" s="29"/>
      <c r="H106" s="4">
        <f t="shared" si="57"/>
        <v>1</v>
      </c>
      <c r="I106" s="16">
        <v>45784</v>
      </c>
      <c r="J106" s="19" t="s">
        <v>16</v>
      </c>
      <c r="K106" s="27"/>
      <c r="L106" s="28"/>
      <c r="M106" s="28"/>
      <c r="N106" s="28">
        <v>3</v>
      </c>
      <c r="O106" s="28"/>
      <c r="P106" s="29"/>
      <c r="Q106" s="4">
        <f t="shared" si="68"/>
        <v>3</v>
      </c>
      <c r="R106" s="16">
        <v>45797</v>
      </c>
    </row>
    <row r="107" spans="1:18" s="5" customFormat="1" x14ac:dyDescent="0.15">
      <c r="A107" s="19" t="s">
        <v>90</v>
      </c>
      <c r="B107" s="27"/>
      <c r="C107" s="28"/>
      <c r="D107" s="28">
        <v>1</v>
      </c>
      <c r="E107" s="28"/>
      <c r="F107" s="28"/>
      <c r="G107" s="29"/>
      <c r="H107" s="4">
        <f t="shared" si="57"/>
        <v>1</v>
      </c>
      <c r="I107" s="16">
        <v>45786</v>
      </c>
      <c r="J107" s="19" t="s">
        <v>105</v>
      </c>
      <c r="K107" s="27"/>
      <c r="L107" s="28"/>
      <c r="M107" s="28">
        <v>1</v>
      </c>
      <c r="N107" s="28"/>
      <c r="O107" s="28"/>
      <c r="P107" s="29"/>
      <c r="Q107" s="4">
        <f t="shared" si="68"/>
        <v>1</v>
      </c>
      <c r="R107" s="16">
        <v>45800</v>
      </c>
    </row>
    <row r="108" spans="1:18" s="5" customFormat="1" x14ac:dyDescent="0.15">
      <c r="A108" s="19" t="s">
        <v>91</v>
      </c>
      <c r="B108" s="27">
        <v>1</v>
      </c>
      <c r="C108" s="28"/>
      <c r="D108" s="28">
        <v>2</v>
      </c>
      <c r="E108" s="28"/>
      <c r="F108" s="28"/>
      <c r="G108" s="29"/>
      <c r="H108" s="4">
        <f t="shared" si="57"/>
        <v>3</v>
      </c>
      <c r="I108" s="16">
        <v>45789</v>
      </c>
      <c r="J108" s="19" t="s">
        <v>16</v>
      </c>
      <c r="K108" s="27">
        <v>5</v>
      </c>
      <c r="L108" s="28"/>
      <c r="M108" s="28">
        <v>5</v>
      </c>
      <c r="N108" s="28"/>
      <c r="O108" s="28"/>
      <c r="P108" s="29"/>
      <c r="Q108" s="4">
        <f t="shared" si="68"/>
        <v>10</v>
      </c>
      <c r="R108" s="16">
        <v>45803</v>
      </c>
    </row>
    <row r="109" spans="1:18" s="5" customFormat="1" x14ac:dyDescent="0.15">
      <c r="A109" s="19" t="s">
        <v>92</v>
      </c>
      <c r="B109" s="27">
        <v>2</v>
      </c>
      <c r="C109" s="28"/>
      <c r="D109" s="28"/>
      <c r="E109" s="28">
        <v>1</v>
      </c>
      <c r="F109" s="28"/>
      <c r="G109" s="29"/>
      <c r="H109" s="4">
        <f t="shared" si="57"/>
        <v>3</v>
      </c>
      <c r="I109" s="16">
        <v>45791</v>
      </c>
      <c r="J109" s="19" t="s">
        <v>111</v>
      </c>
      <c r="K109" s="27">
        <v>3</v>
      </c>
      <c r="L109" s="28"/>
      <c r="M109" s="28">
        <v>4</v>
      </c>
      <c r="N109" s="28"/>
      <c r="O109" s="28"/>
      <c r="P109" s="29"/>
      <c r="Q109" s="4">
        <f t="shared" si="59"/>
        <v>7</v>
      </c>
      <c r="R109" s="16">
        <v>45805</v>
      </c>
    </row>
    <row r="110" spans="1:18" s="5" customFormat="1" x14ac:dyDescent="0.15">
      <c r="A110" s="19" t="s">
        <v>96</v>
      </c>
      <c r="B110" s="27"/>
      <c r="C110" s="28">
        <v>2</v>
      </c>
      <c r="D110" s="28"/>
      <c r="E110" s="28"/>
      <c r="F110" s="28"/>
      <c r="G110" s="29"/>
      <c r="H110" s="4">
        <f t="shared" si="57"/>
        <v>2</v>
      </c>
      <c r="I110" s="16">
        <v>45793</v>
      </c>
      <c r="J110" s="19" t="s">
        <v>113</v>
      </c>
      <c r="K110" s="27">
        <v>3</v>
      </c>
      <c r="L110" s="28">
        <v>6</v>
      </c>
      <c r="M110" s="28">
        <v>2</v>
      </c>
      <c r="N110" s="28">
        <v>1</v>
      </c>
      <c r="O110" s="28">
        <v>1</v>
      </c>
      <c r="P110" s="29">
        <v>1</v>
      </c>
      <c r="Q110" s="4">
        <f t="shared" si="59"/>
        <v>14</v>
      </c>
      <c r="R110" s="16">
        <v>45806</v>
      </c>
    </row>
    <row r="111" spans="1:18" s="5" customFormat="1" x14ac:dyDescent="0.15">
      <c r="A111" s="19" t="s">
        <v>97</v>
      </c>
      <c r="B111" s="27"/>
      <c r="C111" s="28"/>
      <c r="D111" s="28"/>
      <c r="E111" s="28">
        <v>2</v>
      </c>
      <c r="F111" s="28"/>
      <c r="G111" s="29"/>
      <c r="H111" s="4">
        <f t="shared" si="57"/>
        <v>2</v>
      </c>
      <c r="I111" s="16">
        <v>45793</v>
      </c>
      <c r="J111" s="19" t="s">
        <v>16</v>
      </c>
      <c r="K111" s="27"/>
      <c r="L111" s="28">
        <v>5</v>
      </c>
      <c r="M111" s="28"/>
      <c r="N111" s="28"/>
      <c r="O111" s="28"/>
      <c r="P111" s="29"/>
      <c r="Q111" s="4">
        <f t="shared" ref="Q111" si="69">SUM(K111:P111)</f>
        <v>5</v>
      </c>
      <c r="R111" s="16">
        <v>45811</v>
      </c>
    </row>
    <row r="112" spans="1:18" s="5" customFormat="1" x14ac:dyDescent="0.15">
      <c r="A112" s="19" t="s">
        <v>101</v>
      </c>
      <c r="B112" s="27">
        <v>1</v>
      </c>
      <c r="C112" s="28"/>
      <c r="D112" s="28"/>
      <c r="E112" s="28">
        <v>1</v>
      </c>
      <c r="F112" s="28"/>
      <c r="G112" s="29"/>
      <c r="H112" s="4">
        <f t="shared" si="57"/>
        <v>2</v>
      </c>
      <c r="I112" s="16">
        <v>45796</v>
      </c>
      <c r="J112" s="19"/>
      <c r="K112" s="27"/>
      <c r="L112" s="28"/>
      <c r="M112" s="28"/>
      <c r="N112" s="28"/>
      <c r="O112" s="28"/>
      <c r="P112" s="29"/>
      <c r="Q112" s="4">
        <f t="shared" si="59"/>
        <v>0</v>
      </c>
      <c r="R112" s="17"/>
    </row>
    <row r="113" spans="1:18" s="5" customFormat="1" x14ac:dyDescent="0.15">
      <c r="A113" s="20" t="s">
        <v>102</v>
      </c>
      <c r="B113" s="27"/>
      <c r="C113" s="28">
        <v>1</v>
      </c>
      <c r="D113" s="28"/>
      <c r="E113" s="28"/>
      <c r="F113" s="28"/>
      <c r="G113" s="29"/>
      <c r="H113" s="4">
        <f t="shared" si="57"/>
        <v>1</v>
      </c>
      <c r="I113" s="16">
        <v>45793</v>
      </c>
      <c r="J113" s="19"/>
      <c r="K113" s="27"/>
      <c r="L113" s="28"/>
      <c r="M113" s="28"/>
      <c r="N113" s="28"/>
      <c r="O113" s="28"/>
      <c r="P113" s="29"/>
      <c r="Q113" s="4">
        <f t="shared" si="59"/>
        <v>0</v>
      </c>
      <c r="R113" s="17"/>
    </row>
    <row r="114" spans="1:18" s="5" customFormat="1" x14ac:dyDescent="0.15">
      <c r="A114" s="19" t="s">
        <v>103</v>
      </c>
      <c r="B114" s="27"/>
      <c r="C114" s="28"/>
      <c r="D114" s="28">
        <v>1</v>
      </c>
      <c r="E114" s="28"/>
      <c r="F114" s="28"/>
      <c r="G114" s="29"/>
      <c r="H114" s="4">
        <f t="shared" si="57"/>
        <v>1</v>
      </c>
      <c r="I114" s="16">
        <v>45798</v>
      </c>
      <c r="J114" s="19"/>
      <c r="K114" s="27"/>
      <c r="L114" s="28"/>
      <c r="M114" s="28"/>
      <c r="N114" s="28"/>
      <c r="O114" s="28"/>
      <c r="P114" s="29"/>
      <c r="Q114" s="4">
        <f t="shared" si="59"/>
        <v>0</v>
      </c>
      <c r="R114" s="17"/>
    </row>
    <row r="115" spans="1:18" s="5" customFormat="1" x14ac:dyDescent="0.15">
      <c r="A115" s="19" t="s">
        <v>23</v>
      </c>
      <c r="B115" s="27"/>
      <c r="C115" s="28"/>
      <c r="D115" s="28"/>
      <c r="E115" s="28">
        <v>1</v>
      </c>
      <c r="F115" s="28"/>
      <c r="G115" s="29"/>
      <c r="H115" s="4">
        <f t="shared" si="57"/>
        <v>1</v>
      </c>
      <c r="I115" s="16">
        <v>45796</v>
      </c>
      <c r="J115" s="19"/>
      <c r="K115" s="27"/>
      <c r="L115" s="28"/>
      <c r="M115" s="28"/>
      <c r="N115" s="28"/>
      <c r="O115" s="28"/>
      <c r="P115" s="29"/>
      <c r="Q115" s="4">
        <f t="shared" si="59"/>
        <v>0</v>
      </c>
      <c r="R115" s="17"/>
    </row>
    <row r="116" spans="1:18" s="5" customFormat="1" x14ac:dyDescent="0.15">
      <c r="A116" s="19" t="s">
        <v>104</v>
      </c>
      <c r="B116" s="27">
        <v>1</v>
      </c>
      <c r="C116" s="28"/>
      <c r="D116" s="28">
        <v>1</v>
      </c>
      <c r="E116" s="28"/>
      <c r="F116" s="28">
        <v>1</v>
      </c>
      <c r="G116" s="29"/>
      <c r="H116" s="4">
        <f t="shared" si="57"/>
        <v>3</v>
      </c>
      <c r="I116" s="16">
        <v>45799</v>
      </c>
      <c r="J116" s="19"/>
      <c r="K116" s="27"/>
      <c r="L116" s="28"/>
      <c r="M116" s="28"/>
      <c r="N116" s="28"/>
      <c r="O116" s="28"/>
      <c r="P116" s="29"/>
      <c r="Q116" s="4">
        <f t="shared" si="59"/>
        <v>0</v>
      </c>
      <c r="R116" s="17"/>
    </row>
    <row r="117" spans="1:18" s="5" customFormat="1" x14ac:dyDescent="0.15">
      <c r="A117" s="19" t="s">
        <v>107</v>
      </c>
      <c r="B117" s="27">
        <v>1</v>
      </c>
      <c r="C117" s="28"/>
      <c r="D117" s="28"/>
      <c r="E117" s="28"/>
      <c r="F117" s="28"/>
      <c r="G117" s="29"/>
      <c r="H117" s="4">
        <f t="shared" ref="H117" si="70">SUM(B117:G117)</f>
        <v>1</v>
      </c>
      <c r="I117" s="16">
        <v>45800</v>
      </c>
      <c r="J117" s="19"/>
      <c r="K117" s="27"/>
      <c r="L117" s="28"/>
      <c r="M117" s="28"/>
      <c r="N117" s="28"/>
      <c r="O117" s="28"/>
      <c r="P117" s="29"/>
      <c r="Q117" s="4">
        <f t="shared" si="59"/>
        <v>0</v>
      </c>
      <c r="R117" s="17"/>
    </row>
    <row r="118" spans="1:18" s="5" customFormat="1" x14ac:dyDescent="0.15">
      <c r="A118" s="19" t="s">
        <v>108</v>
      </c>
      <c r="B118" s="27">
        <v>1</v>
      </c>
      <c r="C118" s="28"/>
      <c r="D118" s="28">
        <v>1</v>
      </c>
      <c r="E118" s="28"/>
      <c r="F118" s="28"/>
      <c r="G118" s="29"/>
      <c r="H118" s="4">
        <f t="shared" si="57"/>
        <v>2</v>
      </c>
      <c r="I118" s="16">
        <v>45803</v>
      </c>
      <c r="J118" s="19"/>
      <c r="K118" s="27"/>
      <c r="L118" s="28"/>
      <c r="M118" s="28"/>
      <c r="N118" s="28"/>
      <c r="O118" s="28"/>
      <c r="P118" s="29"/>
      <c r="Q118" s="4">
        <f t="shared" si="59"/>
        <v>0</v>
      </c>
      <c r="R118" s="17"/>
    </row>
    <row r="119" spans="1:18" s="5" customFormat="1" x14ac:dyDescent="0.15">
      <c r="A119" s="19" t="s">
        <v>112</v>
      </c>
      <c r="B119" s="27">
        <v>1</v>
      </c>
      <c r="C119" s="28">
        <v>3</v>
      </c>
      <c r="D119" s="28">
        <v>1</v>
      </c>
      <c r="E119" s="28"/>
      <c r="F119" s="28"/>
      <c r="G119" s="29"/>
      <c r="H119" s="4">
        <f t="shared" si="57"/>
        <v>5</v>
      </c>
      <c r="I119" s="16">
        <v>45805</v>
      </c>
      <c r="J119" s="19"/>
      <c r="K119" s="27"/>
      <c r="L119" s="28"/>
      <c r="M119" s="28"/>
      <c r="N119" s="28"/>
      <c r="O119" s="28"/>
      <c r="P119" s="29"/>
      <c r="Q119" s="4">
        <f t="shared" si="59"/>
        <v>0</v>
      </c>
      <c r="R119" s="17"/>
    </row>
    <row r="120" spans="1:18" s="5" customFormat="1" x14ac:dyDescent="0.15">
      <c r="A120" s="10"/>
      <c r="B120" s="27"/>
      <c r="C120" s="28"/>
      <c r="D120" s="28"/>
      <c r="E120" s="28"/>
      <c r="F120" s="28"/>
      <c r="G120" s="29"/>
      <c r="H120" s="4">
        <f t="shared" ref="H120" si="71">SUM(B120:G120)</f>
        <v>0</v>
      </c>
      <c r="I120" s="16"/>
      <c r="J120" s="19"/>
      <c r="K120" s="27"/>
      <c r="L120" s="28"/>
      <c r="M120" s="28"/>
      <c r="N120" s="28"/>
      <c r="O120" s="28"/>
      <c r="P120" s="29"/>
      <c r="Q120" s="4">
        <f t="shared" si="59"/>
        <v>0</v>
      </c>
      <c r="R120" s="17"/>
    </row>
    <row r="121" spans="1:18" s="5" customFormat="1" x14ac:dyDescent="0.15">
      <c r="A121" s="10"/>
      <c r="B121" s="27"/>
      <c r="C121" s="28"/>
      <c r="D121" s="28"/>
      <c r="E121" s="28"/>
      <c r="F121" s="28"/>
      <c r="G121" s="29"/>
      <c r="H121" s="4">
        <f t="shared" si="57"/>
        <v>0</v>
      </c>
      <c r="I121" s="16"/>
      <c r="J121" s="19"/>
      <c r="K121" s="27"/>
      <c r="L121" s="28"/>
      <c r="M121" s="28"/>
      <c r="N121" s="28"/>
      <c r="O121" s="28"/>
      <c r="P121" s="29"/>
      <c r="Q121" s="4">
        <f t="shared" si="59"/>
        <v>0</v>
      </c>
      <c r="R121" s="17"/>
    </row>
    <row r="122" spans="1:18" s="5" customFormat="1" x14ac:dyDescent="0.15">
      <c r="A122" s="19"/>
      <c r="B122" s="27"/>
      <c r="C122" s="28"/>
      <c r="D122" s="28"/>
      <c r="E122" s="28"/>
      <c r="F122" s="28"/>
      <c r="G122" s="29"/>
      <c r="H122" s="4">
        <f t="shared" si="57"/>
        <v>0</v>
      </c>
      <c r="I122" s="16"/>
      <c r="J122" s="19"/>
      <c r="K122" s="27"/>
      <c r="L122" s="28"/>
      <c r="M122" s="28"/>
      <c r="N122" s="28"/>
      <c r="O122" s="28"/>
      <c r="P122" s="29"/>
      <c r="Q122" s="4">
        <f t="shared" ref="Q122:Q123" si="72">SUM(K122:P122)</f>
        <v>0</v>
      </c>
      <c r="R122" s="17"/>
    </row>
    <row r="123" spans="1:18" s="5" customFormat="1" x14ac:dyDescent="0.15">
      <c r="A123" s="19"/>
      <c r="B123" s="27"/>
      <c r="C123" s="28"/>
      <c r="D123" s="28"/>
      <c r="E123" s="28"/>
      <c r="F123" s="28"/>
      <c r="G123" s="29"/>
      <c r="H123" s="4">
        <f t="shared" si="57"/>
        <v>0</v>
      </c>
      <c r="I123" s="16"/>
      <c r="J123" s="19"/>
      <c r="K123" s="27"/>
      <c r="L123" s="28"/>
      <c r="M123" s="28"/>
      <c r="N123" s="28"/>
      <c r="O123" s="28"/>
      <c r="P123" s="29"/>
      <c r="Q123" s="4">
        <f t="shared" si="72"/>
        <v>0</v>
      </c>
      <c r="R123" s="17"/>
    </row>
    <row r="124" spans="1:18" s="5" customFormat="1" x14ac:dyDescent="0.15">
      <c r="A124" s="19"/>
      <c r="B124" s="27"/>
      <c r="C124" s="28"/>
      <c r="D124" s="28"/>
      <c r="E124" s="28"/>
      <c r="F124" s="28"/>
      <c r="G124" s="29"/>
      <c r="H124" s="4">
        <f t="shared" si="57"/>
        <v>0</v>
      </c>
      <c r="I124" s="16"/>
      <c r="J124" s="19" t="s">
        <v>46</v>
      </c>
      <c r="K124" s="27"/>
      <c r="L124" s="61"/>
      <c r="M124" s="28"/>
      <c r="N124" s="28"/>
      <c r="O124" s="28"/>
      <c r="P124" s="29"/>
      <c r="Q124" s="4">
        <f t="shared" ref="Q124:Q125" si="73">SUM(K124:P124)</f>
        <v>0</v>
      </c>
      <c r="R124" s="17" t="s">
        <v>47</v>
      </c>
    </row>
    <row r="125" spans="1:18" s="5" customFormat="1" ht="14.25" thickBot="1" x14ac:dyDescent="0.2">
      <c r="A125" s="19"/>
      <c r="B125" s="27"/>
      <c r="C125" s="36"/>
      <c r="D125" s="28"/>
      <c r="E125" s="28"/>
      <c r="F125" s="28"/>
      <c r="G125" s="29"/>
      <c r="H125" s="7">
        <f t="shared" si="57"/>
        <v>0</v>
      </c>
      <c r="I125" s="16"/>
      <c r="J125" s="19" t="s">
        <v>39</v>
      </c>
      <c r="K125" s="27"/>
      <c r="L125" s="28"/>
      <c r="M125" s="28"/>
      <c r="N125" s="28"/>
      <c r="O125" s="28"/>
      <c r="P125" s="29"/>
      <c r="Q125" s="59">
        <f t="shared" si="73"/>
        <v>0</v>
      </c>
      <c r="R125" s="17" t="s">
        <v>48</v>
      </c>
    </row>
    <row r="126" spans="1:18" ht="14.25" thickBot="1" x14ac:dyDescent="0.2">
      <c r="A126" s="2" t="s">
        <v>7</v>
      </c>
      <c r="B126" s="33">
        <f>SUM(B102:B125)</f>
        <v>9</v>
      </c>
      <c r="C126" s="34">
        <f t="shared" ref="C126:F126" si="74">SUM(C102:C125)</f>
        <v>11</v>
      </c>
      <c r="D126" s="34">
        <f t="shared" si="74"/>
        <v>8</v>
      </c>
      <c r="E126" s="34">
        <f t="shared" si="74"/>
        <v>5</v>
      </c>
      <c r="F126" s="34">
        <f t="shared" si="74"/>
        <v>2</v>
      </c>
      <c r="G126" s="35">
        <f>SUM(G102:G125)</f>
        <v>0</v>
      </c>
      <c r="H126" s="9">
        <f>SUM(B126:G126)</f>
        <v>35</v>
      </c>
      <c r="J126" s="2" t="s">
        <v>7</v>
      </c>
      <c r="K126" s="33">
        <f>SUM(K102:K125)</f>
        <v>16</v>
      </c>
      <c r="L126" s="34">
        <f t="shared" ref="L126" si="75">SUM(L102:L125)</f>
        <v>22</v>
      </c>
      <c r="M126" s="34">
        <f t="shared" ref="M126" si="76">SUM(M102:M125)</f>
        <v>25</v>
      </c>
      <c r="N126" s="34">
        <f t="shared" ref="N126" si="77">SUM(N102:N125)</f>
        <v>4</v>
      </c>
      <c r="O126" s="34">
        <f t="shared" ref="O126" si="78">SUM(O102:O125)</f>
        <v>1</v>
      </c>
      <c r="P126" s="35">
        <f t="shared" ref="P126" si="79">SUM(P102:P125)</f>
        <v>1</v>
      </c>
      <c r="Q126" s="9">
        <f t="shared" ref="Q126" si="80">SUM(Q102:Q125)</f>
        <v>69</v>
      </c>
    </row>
    <row r="127" spans="1:18" ht="14.25" thickBot="1" x14ac:dyDescent="0.2">
      <c r="A127" s="11" t="s">
        <v>8</v>
      </c>
      <c r="B127" s="37">
        <f>B101-B126</f>
        <v>5</v>
      </c>
      <c r="C127" s="38">
        <f t="shared" ref="C127:F127" si="81">C101-C126</f>
        <v>0</v>
      </c>
      <c r="D127" s="38">
        <f t="shared" si="81"/>
        <v>6</v>
      </c>
      <c r="E127" s="38">
        <f t="shared" si="81"/>
        <v>3</v>
      </c>
      <c r="F127" s="38">
        <f t="shared" si="81"/>
        <v>6</v>
      </c>
      <c r="G127" s="39">
        <f>G101-G126</f>
        <v>4</v>
      </c>
      <c r="H127" s="9">
        <f>H101-H126</f>
        <v>24</v>
      </c>
      <c r="J127" s="11" t="s">
        <v>8</v>
      </c>
      <c r="K127" s="37">
        <f>K101-K126</f>
        <v>97</v>
      </c>
      <c r="L127" s="38">
        <f t="shared" ref="L127" si="82">L101-L126</f>
        <v>180</v>
      </c>
      <c r="M127" s="38">
        <f t="shared" ref="M127" si="83">M101-M126</f>
        <v>95</v>
      </c>
      <c r="N127" s="38">
        <f t="shared" ref="N127" si="84">N101-N126</f>
        <v>72</v>
      </c>
      <c r="O127" s="38">
        <f t="shared" ref="O127" si="85">O101-O126</f>
        <v>47</v>
      </c>
      <c r="P127" s="39">
        <f t="shared" ref="P127" si="86">P101-P126</f>
        <v>57</v>
      </c>
      <c r="Q127" s="9">
        <f t="shared" ref="Q127" si="87">Q101-Q126</f>
        <v>548</v>
      </c>
    </row>
    <row r="128" spans="1:18" x14ac:dyDescent="0.15">
      <c r="I128"/>
      <c r="K128" s="63">
        <f>K126+K83+K40</f>
        <v>78</v>
      </c>
      <c r="L128" s="63">
        <f t="shared" ref="L128:Q128" si="88">L126+L83+L40</f>
        <v>121</v>
      </c>
      <c r="M128" s="63">
        <f t="shared" si="88"/>
        <v>77</v>
      </c>
      <c r="N128" s="63">
        <f t="shared" si="88"/>
        <v>28</v>
      </c>
      <c r="O128" s="63">
        <f t="shared" si="88"/>
        <v>13</v>
      </c>
      <c r="P128" s="63">
        <f t="shared" si="88"/>
        <v>23</v>
      </c>
      <c r="Q128" s="63">
        <f t="shared" si="88"/>
        <v>340</v>
      </c>
    </row>
    <row r="129" spans="1:18" x14ac:dyDescent="0.15">
      <c r="I129"/>
      <c r="J129" s="64" t="s">
        <v>98</v>
      </c>
      <c r="K129" s="62">
        <f>K128/$Q$128*100</f>
        <v>22.941176470588236</v>
      </c>
      <c r="L129" s="62">
        <f t="shared" ref="L129:Q129" si="89">L128/$Q$128*100</f>
        <v>35.588235294117645</v>
      </c>
      <c r="M129" s="62">
        <f t="shared" si="89"/>
        <v>22.647058823529413</v>
      </c>
      <c r="N129" s="62">
        <f t="shared" si="89"/>
        <v>8.235294117647058</v>
      </c>
      <c r="O129" s="62">
        <f t="shared" si="89"/>
        <v>3.8235294117647061</v>
      </c>
      <c r="P129" s="62">
        <f t="shared" si="89"/>
        <v>6.7647058823529411</v>
      </c>
      <c r="Q129" s="62">
        <f t="shared" si="89"/>
        <v>100</v>
      </c>
    </row>
    <row r="130" spans="1:18" ht="21.75" thickBot="1" x14ac:dyDescent="0.25">
      <c r="A130" s="40" t="s">
        <v>29</v>
      </c>
      <c r="B130" s="41"/>
      <c r="C130" s="41"/>
      <c r="D130" s="41"/>
      <c r="E130" s="41"/>
      <c r="F130" s="41"/>
      <c r="G130" s="41"/>
      <c r="H130" s="42"/>
      <c r="J130" s="65" t="s">
        <v>99</v>
      </c>
      <c r="K130" s="66">
        <f>K127/$Q$127*100</f>
        <v>17.700729927007298</v>
      </c>
      <c r="L130" s="66">
        <f t="shared" ref="L130:Q130" si="90">L127/$Q$127*100</f>
        <v>32.846715328467155</v>
      </c>
      <c r="M130" s="66">
        <f t="shared" si="90"/>
        <v>17.335766423357665</v>
      </c>
      <c r="N130" s="66">
        <f t="shared" si="90"/>
        <v>13.138686131386862</v>
      </c>
      <c r="O130" s="66">
        <f t="shared" si="90"/>
        <v>8.5766423357664241</v>
      </c>
      <c r="P130" s="66">
        <f t="shared" si="90"/>
        <v>10.401459854014599</v>
      </c>
      <c r="Q130" s="66">
        <f t="shared" si="90"/>
        <v>100</v>
      </c>
    </row>
    <row r="131" spans="1:18" ht="14.25" thickBot="1" x14ac:dyDescent="0.2">
      <c r="A131" s="1" t="s">
        <v>0</v>
      </c>
      <c r="B131" s="92" t="s">
        <v>13</v>
      </c>
      <c r="C131" s="92"/>
      <c r="D131" s="92"/>
      <c r="E131" s="92"/>
      <c r="F131" s="92"/>
      <c r="G131" s="92"/>
      <c r="H131" s="93"/>
      <c r="J131" s="1" t="s">
        <v>0</v>
      </c>
      <c r="K131" s="92" t="s">
        <v>100</v>
      </c>
      <c r="L131" s="92"/>
      <c r="M131" s="92"/>
      <c r="N131" s="92"/>
      <c r="O131" s="92"/>
      <c r="P131" s="92"/>
      <c r="Q131" s="93"/>
    </row>
    <row r="132" spans="1:18" ht="14.25" thickBot="1" x14ac:dyDescent="0.2">
      <c r="A132" s="1" t="s">
        <v>1</v>
      </c>
      <c r="B132" s="21" t="s">
        <v>2</v>
      </c>
      <c r="C132" s="22" t="s">
        <v>9</v>
      </c>
      <c r="D132" s="22" t="s">
        <v>10</v>
      </c>
      <c r="E132" s="22" t="s">
        <v>11</v>
      </c>
      <c r="F132" s="22" t="s">
        <v>12</v>
      </c>
      <c r="G132" s="23" t="s">
        <v>14</v>
      </c>
      <c r="H132" s="1" t="s">
        <v>3</v>
      </c>
      <c r="J132" s="1" t="s">
        <v>1</v>
      </c>
      <c r="K132" s="21" t="s">
        <v>2</v>
      </c>
      <c r="L132" s="22" t="s">
        <v>9</v>
      </c>
      <c r="M132" s="22" t="s">
        <v>10</v>
      </c>
      <c r="N132" s="22" t="s">
        <v>11</v>
      </c>
      <c r="O132" s="22" t="s">
        <v>12</v>
      </c>
      <c r="P132" s="23" t="s">
        <v>14</v>
      </c>
      <c r="Q132" s="1" t="s">
        <v>3</v>
      </c>
    </row>
    <row r="133" spans="1:18" ht="14.25" thickBot="1" x14ac:dyDescent="0.2">
      <c r="A133" s="15" t="s">
        <v>8</v>
      </c>
      <c r="B133" s="24">
        <f>B127</f>
        <v>5</v>
      </c>
      <c r="C133" s="25">
        <f t="shared" ref="C133:F133" si="91">C127</f>
        <v>0</v>
      </c>
      <c r="D133" s="25">
        <f t="shared" si="91"/>
        <v>6</v>
      </c>
      <c r="E133" s="25">
        <f t="shared" si="91"/>
        <v>3</v>
      </c>
      <c r="F133" s="25">
        <f t="shared" si="91"/>
        <v>6</v>
      </c>
      <c r="G133" s="26">
        <f>G127</f>
        <v>4</v>
      </c>
      <c r="H133" s="9">
        <f t="shared" ref="H133:H168" si="92">SUM(B133:G133)</f>
        <v>24</v>
      </c>
      <c r="I133" s="16"/>
      <c r="J133" s="15" t="s">
        <v>8</v>
      </c>
      <c r="K133" s="24">
        <f>K127</f>
        <v>97</v>
      </c>
      <c r="L133" s="25">
        <f t="shared" ref="L133:Q133" si="93">L127</f>
        <v>180</v>
      </c>
      <c r="M133" s="25">
        <f t="shared" si="93"/>
        <v>95</v>
      </c>
      <c r="N133" s="25">
        <f t="shared" si="93"/>
        <v>72</v>
      </c>
      <c r="O133" s="25">
        <f t="shared" si="93"/>
        <v>47</v>
      </c>
      <c r="P133" s="26">
        <f t="shared" si="93"/>
        <v>57</v>
      </c>
      <c r="Q133" s="9">
        <f t="shared" si="93"/>
        <v>548</v>
      </c>
    </row>
    <row r="134" spans="1:18" x14ac:dyDescent="0.15">
      <c r="A134" s="3" t="s">
        <v>33</v>
      </c>
      <c r="B134" s="27"/>
      <c r="C134" s="28">
        <v>1</v>
      </c>
      <c r="D134" s="28">
        <v>4</v>
      </c>
      <c r="E134" s="28"/>
      <c r="F134" s="28"/>
      <c r="G134" s="29"/>
      <c r="H134" s="4">
        <f t="shared" si="92"/>
        <v>5</v>
      </c>
      <c r="I134" s="16">
        <v>45804</v>
      </c>
      <c r="J134" s="13" t="s">
        <v>5</v>
      </c>
      <c r="K134" s="27"/>
      <c r="L134" s="28"/>
      <c r="M134" s="28"/>
      <c r="N134" s="28"/>
      <c r="O134" s="28"/>
      <c r="P134" s="29"/>
      <c r="Q134" s="4">
        <f t="shared" ref="Q134:Q168" si="94">SUM(K134:P134)</f>
        <v>0</v>
      </c>
      <c r="R134" s="17"/>
    </row>
    <row r="135" spans="1:18" x14ac:dyDescent="0.15">
      <c r="A135" s="3" t="s">
        <v>5</v>
      </c>
      <c r="B135" s="27"/>
      <c r="C135" s="28">
        <v>5</v>
      </c>
      <c r="D135" s="28"/>
      <c r="E135" s="28"/>
      <c r="F135" s="28"/>
      <c r="G135" s="29"/>
      <c r="H135" s="4">
        <f t="shared" si="92"/>
        <v>5</v>
      </c>
      <c r="I135" s="16">
        <v>45811</v>
      </c>
      <c r="J135" s="13" t="s">
        <v>5</v>
      </c>
      <c r="K135" s="27"/>
      <c r="L135" s="28"/>
      <c r="M135" s="28"/>
      <c r="N135" s="28"/>
      <c r="O135" s="28"/>
      <c r="P135" s="29"/>
      <c r="Q135" s="4">
        <f t="shared" si="94"/>
        <v>0</v>
      </c>
      <c r="R135" s="17"/>
    </row>
    <row r="136" spans="1:18" x14ac:dyDescent="0.15">
      <c r="A136" s="3" t="s">
        <v>122</v>
      </c>
      <c r="B136" s="27"/>
      <c r="C136" s="28"/>
      <c r="D136" s="28">
        <v>1</v>
      </c>
      <c r="E136" s="28"/>
      <c r="F136" s="28"/>
      <c r="G136" s="29"/>
      <c r="H136" s="4">
        <f t="shared" si="92"/>
        <v>1</v>
      </c>
      <c r="I136" s="16">
        <v>45818</v>
      </c>
      <c r="J136" s="13" t="s">
        <v>5</v>
      </c>
      <c r="K136" s="27"/>
      <c r="L136" s="28"/>
      <c r="M136" s="28"/>
      <c r="N136" s="28"/>
      <c r="O136" s="28"/>
      <c r="P136" s="29"/>
      <c r="Q136" s="4">
        <f t="shared" ref="Q136:Q137" si="95">SUM(K136:P136)</f>
        <v>0</v>
      </c>
      <c r="R136" s="17"/>
    </row>
    <row r="137" spans="1:18" x14ac:dyDescent="0.15">
      <c r="A137" s="3" t="s">
        <v>5</v>
      </c>
      <c r="B137" s="27"/>
      <c r="C137" s="28"/>
      <c r="D137" s="28"/>
      <c r="E137" s="28">
        <v>5</v>
      </c>
      <c r="F137" s="28"/>
      <c r="G137" s="29"/>
      <c r="H137" s="4">
        <f t="shared" si="92"/>
        <v>5</v>
      </c>
      <c r="I137" s="16">
        <v>45820</v>
      </c>
      <c r="J137" s="13" t="s">
        <v>5</v>
      </c>
      <c r="K137" s="27"/>
      <c r="L137" s="28"/>
      <c r="M137" s="28"/>
      <c r="N137" s="28"/>
      <c r="O137" s="28"/>
      <c r="P137" s="29"/>
      <c r="Q137" s="4">
        <f t="shared" si="95"/>
        <v>0</v>
      </c>
      <c r="R137" s="17"/>
    </row>
    <row r="138" spans="1:18" x14ac:dyDescent="0.15">
      <c r="A138" s="3" t="s">
        <v>5</v>
      </c>
      <c r="B138" s="27">
        <v>3</v>
      </c>
      <c r="C138" s="28">
        <v>3</v>
      </c>
      <c r="D138" s="28">
        <v>3</v>
      </c>
      <c r="E138" s="28">
        <v>3</v>
      </c>
      <c r="F138" s="28">
        <v>3</v>
      </c>
      <c r="G138" s="29">
        <v>3</v>
      </c>
      <c r="H138" s="4">
        <f t="shared" si="92"/>
        <v>18</v>
      </c>
      <c r="I138" s="16">
        <v>45829</v>
      </c>
      <c r="J138" s="3" t="s">
        <v>5</v>
      </c>
      <c r="K138" s="27"/>
      <c r="L138" s="28"/>
      <c r="M138" s="28"/>
      <c r="N138" s="28"/>
      <c r="O138" s="28"/>
      <c r="P138" s="29"/>
      <c r="Q138" s="4">
        <f t="shared" si="94"/>
        <v>0</v>
      </c>
      <c r="R138" s="17"/>
    </row>
    <row r="139" spans="1:18" x14ac:dyDescent="0.15">
      <c r="A139" s="3" t="s">
        <v>33</v>
      </c>
      <c r="B139" s="27"/>
      <c r="C139" s="28">
        <v>1</v>
      </c>
      <c r="D139" s="28"/>
      <c r="E139" s="28"/>
      <c r="F139" s="28"/>
      <c r="G139" s="29"/>
      <c r="H139" s="4">
        <f t="shared" si="92"/>
        <v>1</v>
      </c>
      <c r="I139" s="16">
        <v>45832</v>
      </c>
      <c r="J139" s="3" t="s">
        <v>5</v>
      </c>
      <c r="K139" s="27"/>
      <c r="L139" s="28"/>
      <c r="M139" s="28"/>
      <c r="N139" s="28"/>
      <c r="O139" s="28"/>
      <c r="P139" s="29"/>
      <c r="Q139" s="4">
        <f t="shared" si="94"/>
        <v>0</v>
      </c>
      <c r="R139" s="17"/>
    </row>
    <row r="140" spans="1:18" x14ac:dyDescent="0.15">
      <c r="A140" s="3" t="s">
        <v>5</v>
      </c>
      <c r="B140" s="27">
        <v>5</v>
      </c>
      <c r="C140" s="28"/>
      <c r="D140" s="28"/>
      <c r="E140" s="28"/>
      <c r="F140" s="28"/>
      <c r="G140" s="29"/>
      <c r="H140" s="4">
        <f t="shared" si="92"/>
        <v>5</v>
      </c>
      <c r="I140" s="16">
        <v>45841</v>
      </c>
      <c r="J140" s="3" t="s">
        <v>5</v>
      </c>
      <c r="K140" s="27"/>
      <c r="L140" s="28"/>
      <c r="M140" s="28"/>
      <c r="N140" s="28"/>
      <c r="O140" s="28"/>
      <c r="P140" s="29"/>
      <c r="Q140" s="4">
        <f t="shared" si="94"/>
        <v>0</v>
      </c>
      <c r="R140" s="17"/>
    </row>
    <row r="141" spans="1:18" x14ac:dyDescent="0.15">
      <c r="A141" s="3" t="s">
        <v>5</v>
      </c>
      <c r="B141" s="27"/>
      <c r="C141" s="28"/>
      <c r="D141" s="28">
        <v>5</v>
      </c>
      <c r="E141" s="28"/>
      <c r="F141" s="28"/>
      <c r="G141" s="29"/>
      <c r="H141" s="4">
        <f t="shared" si="92"/>
        <v>5</v>
      </c>
      <c r="I141" s="16">
        <v>45843</v>
      </c>
      <c r="J141" s="3" t="s">
        <v>5</v>
      </c>
      <c r="K141" s="27"/>
      <c r="L141" s="28"/>
      <c r="M141" s="28"/>
      <c r="N141" s="28"/>
      <c r="O141" s="28"/>
      <c r="P141" s="29"/>
      <c r="Q141" s="4">
        <f t="shared" si="94"/>
        <v>0</v>
      </c>
      <c r="R141" s="17"/>
    </row>
    <row r="142" spans="1:18" x14ac:dyDescent="0.15">
      <c r="A142" s="3" t="s">
        <v>33</v>
      </c>
      <c r="B142" s="27"/>
      <c r="C142" s="28"/>
      <c r="D142" s="28">
        <v>1</v>
      </c>
      <c r="E142" s="28"/>
      <c r="F142" s="28"/>
      <c r="G142" s="29"/>
      <c r="H142" s="4">
        <f t="shared" si="92"/>
        <v>1</v>
      </c>
      <c r="I142" s="16">
        <v>45840</v>
      </c>
      <c r="J142" s="3" t="s">
        <v>5</v>
      </c>
      <c r="K142" s="27"/>
      <c r="L142" s="28"/>
      <c r="M142" s="28"/>
      <c r="N142" s="28"/>
      <c r="O142" s="28"/>
      <c r="P142" s="29"/>
      <c r="Q142" s="4">
        <f t="shared" si="94"/>
        <v>0</v>
      </c>
      <c r="R142" s="17"/>
    </row>
    <row r="143" spans="1:18" ht="14.25" thickBot="1" x14ac:dyDescent="0.2">
      <c r="A143" s="6" t="s">
        <v>5</v>
      </c>
      <c r="B143" s="30"/>
      <c r="C143" s="31">
        <v>5</v>
      </c>
      <c r="D143" s="31"/>
      <c r="E143" s="31"/>
      <c r="F143" s="31"/>
      <c r="G143" s="32"/>
      <c r="H143" s="7">
        <f t="shared" si="92"/>
        <v>5</v>
      </c>
      <c r="I143" s="16">
        <v>45847</v>
      </c>
      <c r="J143" s="6" t="s">
        <v>5</v>
      </c>
      <c r="K143" s="30"/>
      <c r="L143" s="31"/>
      <c r="M143" s="31"/>
      <c r="N143" s="31"/>
      <c r="O143" s="31"/>
      <c r="P143" s="32"/>
      <c r="Q143" s="7">
        <f t="shared" si="94"/>
        <v>0</v>
      </c>
      <c r="R143" s="17"/>
    </row>
    <row r="144" spans="1:18" ht="14.25" thickBot="1" x14ac:dyDescent="0.2">
      <c r="A144" s="8" t="s">
        <v>6</v>
      </c>
      <c r="B144" s="33">
        <f>SUM(B133:B143)</f>
        <v>13</v>
      </c>
      <c r="C144" s="34">
        <f t="shared" ref="C144:G144" si="96">SUM(C133:C143)</f>
        <v>15</v>
      </c>
      <c r="D144" s="34">
        <f t="shared" si="96"/>
        <v>20</v>
      </c>
      <c r="E144" s="34">
        <f t="shared" si="96"/>
        <v>11</v>
      </c>
      <c r="F144" s="34">
        <f t="shared" si="96"/>
        <v>9</v>
      </c>
      <c r="G144" s="35">
        <f t="shared" si="96"/>
        <v>7</v>
      </c>
      <c r="H144" s="9">
        <f t="shared" si="92"/>
        <v>75</v>
      </c>
      <c r="J144" s="8" t="s">
        <v>6</v>
      </c>
      <c r="K144" s="33">
        <f>SUM(K133:K143)</f>
        <v>97</v>
      </c>
      <c r="L144" s="34">
        <f t="shared" ref="L144" si="97">SUM(L133:L143)</f>
        <v>180</v>
      </c>
      <c r="M144" s="34">
        <f t="shared" ref="M144" si="98">SUM(M133:M143)</f>
        <v>95</v>
      </c>
      <c r="N144" s="34">
        <f t="shared" ref="N144" si="99">SUM(N133:N143)</f>
        <v>72</v>
      </c>
      <c r="O144" s="34">
        <f t="shared" ref="O144" si="100">SUM(O133:O143)</f>
        <v>47</v>
      </c>
      <c r="P144" s="35">
        <f t="shared" ref="P144" si="101">SUM(P133:P143)</f>
        <v>57</v>
      </c>
      <c r="Q144" s="9">
        <f t="shared" ref="Q144" si="102">SUM(Q133:Q143)</f>
        <v>548</v>
      </c>
    </row>
    <row r="145" spans="1:20" x14ac:dyDescent="0.15">
      <c r="A145" s="19" t="s">
        <v>114</v>
      </c>
      <c r="B145" s="27"/>
      <c r="C145" s="28"/>
      <c r="D145" s="28">
        <v>1</v>
      </c>
      <c r="E145" s="28"/>
      <c r="F145" s="28"/>
      <c r="G145" s="29"/>
      <c r="H145" s="4">
        <f t="shared" ref="H145" si="103">SUM(B145:G145)</f>
        <v>1</v>
      </c>
      <c r="I145" s="16">
        <v>45810</v>
      </c>
      <c r="J145" s="19" t="s">
        <v>118</v>
      </c>
      <c r="K145" s="27">
        <v>4</v>
      </c>
      <c r="L145" s="28">
        <v>1</v>
      </c>
      <c r="M145" s="28">
        <v>5</v>
      </c>
      <c r="N145" s="28">
        <v>2</v>
      </c>
      <c r="O145" s="28"/>
      <c r="P145" s="29"/>
      <c r="Q145" s="4">
        <f t="shared" si="94"/>
        <v>12</v>
      </c>
      <c r="R145" s="16">
        <v>45814</v>
      </c>
    </row>
    <row r="146" spans="1:20" x14ac:dyDescent="0.15">
      <c r="A146" s="19" t="s">
        <v>115</v>
      </c>
      <c r="B146" s="27"/>
      <c r="C146" s="28">
        <v>1</v>
      </c>
      <c r="D146" s="28"/>
      <c r="E146" s="28"/>
      <c r="F146" s="28"/>
      <c r="G146" s="29"/>
      <c r="H146" s="4">
        <f t="shared" si="92"/>
        <v>1</v>
      </c>
      <c r="I146" s="16">
        <v>45812</v>
      </c>
      <c r="J146" s="19" t="s">
        <v>121</v>
      </c>
      <c r="K146" s="27"/>
      <c r="L146" s="28">
        <v>2</v>
      </c>
      <c r="M146" s="28">
        <v>2</v>
      </c>
      <c r="N146" s="28">
        <v>2</v>
      </c>
      <c r="O146" s="28">
        <v>1</v>
      </c>
      <c r="P146" s="29"/>
      <c r="Q146" s="4">
        <f t="shared" si="94"/>
        <v>7</v>
      </c>
      <c r="R146" s="16">
        <v>45819</v>
      </c>
    </row>
    <row r="147" spans="1:20" x14ac:dyDescent="0.15">
      <c r="A147" s="19" t="s">
        <v>116</v>
      </c>
      <c r="B147" s="27"/>
      <c r="C147" s="28"/>
      <c r="D147" s="28">
        <v>1</v>
      </c>
      <c r="E147" s="28"/>
      <c r="F147" s="28"/>
      <c r="G147" s="29"/>
      <c r="H147" s="4">
        <f t="shared" si="92"/>
        <v>1</v>
      </c>
      <c r="I147" s="16">
        <v>45813</v>
      </c>
      <c r="J147" s="19" t="s">
        <v>16</v>
      </c>
      <c r="K147" s="27"/>
      <c r="L147" s="28"/>
      <c r="M147" s="28"/>
      <c r="N147" s="28">
        <v>5</v>
      </c>
      <c r="O147" s="28"/>
      <c r="P147" s="29"/>
      <c r="Q147" s="4">
        <f t="shared" ref="Q147" si="104">SUM(K147:P147)</f>
        <v>5</v>
      </c>
      <c r="R147" s="16">
        <v>45820</v>
      </c>
      <c r="S147" s="5"/>
      <c r="T147" s="5"/>
    </row>
    <row r="148" spans="1:20" x14ac:dyDescent="0.15">
      <c r="A148" s="19" t="s">
        <v>117</v>
      </c>
      <c r="B148" s="27"/>
      <c r="C148" s="28"/>
      <c r="D148" s="28">
        <v>3</v>
      </c>
      <c r="E148" s="28">
        <v>1</v>
      </c>
      <c r="F148" s="28"/>
      <c r="G148" s="29"/>
      <c r="H148" s="4">
        <f t="shared" si="92"/>
        <v>4</v>
      </c>
      <c r="I148" s="16">
        <v>45814</v>
      </c>
      <c r="J148" s="19" t="s">
        <v>16</v>
      </c>
      <c r="K148" s="27">
        <v>3</v>
      </c>
      <c r="L148" s="28">
        <v>3</v>
      </c>
      <c r="M148" s="28">
        <v>3</v>
      </c>
      <c r="N148" s="28">
        <v>3</v>
      </c>
      <c r="O148" s="28">
        <v>3</v>
      </c>
      <c r="P148" s="29">
        <v>3</v>
      </c>
      <c r="Q148" s="4">
        <f t="shared" ref="Q148" si="105">SUM(K148:P148)</f>
        <v>18</v>
      </c>
      <c r="R148" s="16">
        <v>45829</v>
      </c>
      <c r="S148" s="5"/>
      <c r="T148" s="5"/>
    </row>
    <row r="149" spans="1:20" x14ac:dyDescent="0.15">
      <c r="A149" s="19" t="s">
        <v>119</v>
      </c>
      <c r="B149" s="27"/>
      <c r="C149" s="28"/>
      <c r="D149" s="28"/>
      <c r="E149" s="28">
        <v>1</v>
      </c>
      <c r="F149" s="28"/>
      <c r="G149" s="29"/>
      <c r="H149" s="4">
        <f t="shared" si="92"/>
        <v>1</v>
      </c>
      <c r="I149" s="16">
        <v>45814</v>
      </c>
      <c r="J149" s="19" t="s">
        <v>134</v>
      </c>
      <c r="K149" s="27">
        <v>1</v>
      </c>
      <c r="L149" s="28">
        <v>3</v>
      </c>
      <c r="M149" s="28"/>
      <c r="N149" s="28">
        <v>2</v>
      </c>
      <c r="O149" s="28"/>
      <c r="P149" s="29">
        <v>2</v>
      </c>
      <c r="Q149" s="4">
        <f t="shared" si="94"/>
        <v>8</v>
      </c>
      <c r="R149" s="16">
        <v>45840</v>
      </c>
      <c r="S149" s="5"/>
      <c r="T149" s="5"/>
    </row>
    <row r="150" spans="1:20" x14ac:dyDescent="0.15">
      <c r="A150" s="19" t="s">
        <v>120</v>
      </c>
      <c r="B150" s="27"/>
      <c r="C150" s="28">
        <v>1</v>
      </c>
      <c r="D150" s="28"/>
      <c r="E150" s="28"/>
      <c r="F150" s="28"/>
      <c r="G150" s="29"/>
      <c r="H150" s="4">
        <f t="shared" si="92"/>
        <v>1</v>
      </c>
      <c r="I150" s="16">
        <v>45817</v>
      </c>
      <c r="J150" s="19" t="s">
        <v>16</v>
      </c>
      <c r="K150" s="27">
        <v>5</v>
      </c>
      <c r="L150" s="28"/>
      <c r="M150" s="28"/>
      <c r="N150" s="28"/>
      <c r="O150" s="28"/>
      <c r="P150" s="29"/>
      <c r="Q150" s="4">
        <f t="shared" si="94"/>
        <v>5</v>
      </c>
      <c r="R150" s="16">
        <v>45841</v>
      </c>
      <c r="S150" s="5"/>
      <c r="T150" s="5"/>
    </row>
    <row r="151" spans="1:20" x14ac:dyDescent="0.15">
      <c r="A151" s="19" t="s">
        <v>23</v>
      </c>
      <c r="B151" s="27"/>
      <c r="C151" s="28"/>
      <c r="D151" s="28"/>
      <c r="E151" s="28"/>
      <c r="F151" s="28"/>
      <c r="G151" s="29">
        <v>1</v>
      </c>
      <c r="H151" s="4">
        <f t="shared" si="92"/>
        <v>1</v>
      </c>
      <c r="I151" s="16">
        <v>45818</v>
      </c>
      <c r="J151" s="19" t="s">
        <v>136</v>
      </c>
      <c r="K151" s="27">
        <v>1</v>
      </c>
      <c r="L151" s="28">
        <v>3</v>
      </c>
      <c r="M151" s="28">
        <v>2</v>
      </c>
      <c r="N151" s="28">
        <v>2</v>
      </c>
      <c r="O151" s="28"/>
      <c r="P151" s="29"/>
      <c r="Q151" s="4">
        <f t="shared" si="94"/>
        <v>8</v>
      </c>
      <c r="R151" s="16">
        <v>45841</v>
      </c>
    </row>
    <row r="152" spans="1:20" x14ac:dyDescent="0.15">
      <c r="A152" s="19" t="s">
        <v>121</v>
      </c>
      <c r="B152" s="27"/>
      <c r="C152" s="28"/>
      <c r="D152" s="28"/>
      <c r="E152" s="28">
        <v>1</v>
      </c>
      <c r="F152" s="28"/>
      <c r="G152" s="29"/>
      <c r="H152" s="4">
        <f t="shared" si="92"/>
        <v>1</v>
      </c>
      <c r="I152" s="16">
        <v>45821</v>
      </c>
      <c r="J152" s="19" t="s">
        <v>137</v>
      </c>
      <c r="K152" s="27"/>
      <c r="L152" s="28">
        <v>4</v>
      </c>
      <c r="M152" s="28"/>
      <c r="N152" s="28">
        <v>3</v>
      </c>
      <c r="O152" s="28"/>
      <c r="P152" s="29"/>
      <c r="Q152" s="4">
        <f t="shared" si="94"/>
        <v>7</v>
      </c>
      <c r="R152" s="16">
        <v>45842</v>
      </c>
    </row>
    <row r="153" spans="1:20" x14ac:dyDescent="0.15">
      <c r="A153" s="19" t="s">
        <v>123</v>
      </c>
      <c r="B153" s="27"/>
      <c r="C153" s="28"/>
      <c r="D153" s="28">
        <v>1</v>
      </c>
      <c r="E153" s="28"/>
      <c r="F153" s="28"/>
      <c r="G153" s="29"/>
      <c r="H153" s="4">
        <f t="shared" si="92"/>
        <v>1</v>
      </c>
      <c r="I153" s="16">
        <v>45821</v>
      </c>
      <c r="J153" s="19" t="s">
        <v>16</v>
      </c>
      <c r="K153" s="27"/>
      <c r="L153" s="28"/>
      <c r="M153" s="28">
        <v>5</v>
      </c>
      <c r="N153" s="28"/>
      <c r="O153" s="28"/>
      <c r="P153" s="29"/>
      <c r="Q153" s="4">
        <f t="shared" ref="Q153" si="106">SUM(K153:P153)</f>
        <v>5</v>
      </c>
      <c r="R153" s="16">
        <v>45843</v>
      </c>
    </row>
    <row r="154" spans="1:20" x14ac:dyDescent="0.15">
      <c r="A154" s="19" t="s">
        <v>124</v>
      </c>
      <c r="B154" s="27"/>
      <c r="C154" s="28"/>
      <c r="D154" s="28">
        <v>1</v>
      </c>
      <c r="E154" s="28"/>
      <c r="F154" s="28"/>
      <c r="G154" s="29"/>
      <c r="H154" s="4">
        <f t="shared" si="92"/>
        <v>1</v>
      </c>
      <c r="I154" s="16">
        <v>45824</v>
      </c>
      <c r="J154" s="19" t="s">
        <v>141</v>
      </c>
      <c r="K154" s="27">
        <v>6</v>
      </c>
      <c r="L154" s="28">
        <v>6</v>
      </c>
      <c r="M154" s="28"/>
      <c r="N154" s="28"/>
      <c r="O154" s="28"/>
      <c r="P154" s="29">
        <v>1</v>
      </c>
      <c r="Q154" s="4">
        <f t="shared" si="94"/>
        <v>13</v>
      </c>
      <c r="R154" s="16">
        <v>45848</v>
      </c>
    </row>
    <row r="155" spans="1:20" x14ac:dyDescent="0.15">
      <c r="A155" s="19" t="s">
        <v>126</v>
      </c>
      <c r="B155" s="27">
        <v>1</v>
      </c>
      <c r="C155" s="28">
        <v>1</v>
      </c>
      <c r="D155" s="28"/>
      <c r="E155" s="28"/>
      <c r="F155" s="28"/>
      <c r="G155" s="29"/>
      <c r="H155" s="4">
        <f t="shared" si="92"/>
        <v>2</v>
      </c>
      <c r="I155" s="16">
        <v>45826</v>
      </c>
      <c r="J155" s="19" t="s">
        <v>16</v>
      </c>
      <c r="K155" s="27"/>
      <c r="L155" s="28">
        <v>5</v>
      </c>
      <c r="M155" s="28"/>
      <c r="N155" s="28"/>
      <c r="O155" s="28"/>
      <c r="P155" s="29"/>
      <c r="Q155" s="4">
        <f t="shared" ref="Q155" si="107">SUM(K155:P155)</f>
        <v>5</v>
      </c>
      <c r="R155" s="16">
        <v>45847</v>
      </c>
    </row>
    <row r="156" spans="1:20" x14ac:dyDescent="0.15">
      <c r="A156" s="19" t="s">
        <v>127</v>
      </c>
      <c r="B156" s="27"/>
      <c r="C156" s="28">
        <v>1</v>
      </c>
      <c r="D156" s="28">
        <v>1</v>
      </c>
      <c r="E156" s="28">
        <v>1</v>
      </c>
      <c r="F156" s="28"/>
      <c r="G156" s="29"/>
      <c r="H156" s="4">
        <f t="shared" si="92"/>
        <v>3</v>
      </c>
      <c r="I156" s="16">
        <v>45827</v>
      </c>
      <c r="J156" s="19"/>
      <c r="K156" s="27"/>
      <c r="L156" s="28"/>
      <c r="M156" s="28"/>
      <c r="N156" s="28"/>
      <c r="O156" s="28"/>
      <c r="P156" s="29"/>
      <c r="Q156" s="4">
        <f t="shared" si="94"/>
        <v>0</v>
      </c>
      <c r="R156" s="17"/>
    </row>
    <row r="157" spans="1:20" x14ac:dyDescent="0.15">
      <c r="A157" s="19" t="s">
        <v>128</v>
      </c>
      <c r="B157" s="27"/>
      <c r="C157" s="28">
        <v>1</v>
      </c>
      <c r="D157" s="28"/>
      <c r="E157" s="28">
        <v>3</v>
      </c>
      <c r="F157" s="28"/>
      <c r="G157" s="29"/>
      <c r="H157" s="4">
        <f t="shared" si="92"/>
        <v>4</v>
      </c>
      <c r="I157" s="16">
        <v>45828</v>
      </c>
      <c r="J157" s="19"/>
      <c r="K157" s="27"/>
      <c r="L157" s="28"/>
      <c r="M157" s="28"/>
      <c r="N157" s="28"/>
      <c r="O157" s="28"/>
      <c r="P157" s="29"/>
      <c r="Q157" s="4">
        <f t="shared" si="94"/>
        <v>0</v>
      </c>
      <c r="R157" s="17"/>
    </row>
    <row r="158" spans="1:20" x14ac:dyDescent="0.15">
      <c r="A158" s="19" t="s">
        <v>129</v>
      </c>
      <c r="B158" s="27"/>
      <c r="C158" s="28"/>
      <c r="D158" s="28">
        <v>1</v>
      </c>
      <c r="E158" s="28"/>
      <c r="F158" s="28"/>
      <c r="G158" s="29"/>
      <c r="H158" s="4">
        <f t="shared" si="92"/>
        <v>1</v>
      </c>
      <c r="I158" s="16">
        <v>45828</v>
      </c>
      <c r="J158" s="19"/>
      <c r="K158" s="27"/>
      <c r="L158" s="28"/>
      <c r="M158" s="28"/>
      <c r="N158" s="28"/>
      <c r="O158" s="28"/>
      <c r="P158" s="29"/>
      <c r="Q158" s="4">
        <f t="shared" si="94"/>
        <v>0</v>
      </c>
      <c r="R158" s="17"/>
    </row>
    <row r="159" spans="1:20" x14ac:dyDescent="0.15">
      <c r="A159" s="19" t="s">
        <v>23</v>
      </c>
      <c r="B159" s="27"/>
      <c r="C159" s="28"/>
      <c r="D159" s="28">
        <v>1</v>
      </c>
      <c r="E159" s="28"/>
      <c r="F159" s="28"/>
      <c r="G159" s="29"/>
      <c r="H159" s="4">
        <f t="shared" si="92"/>
        <v>1</v>
      </c>
      <c r="I159" s="16">
        <v>45831</v>
      </c>
      <c r="J159" s="19"/>
      <c r="K159" s="27"/>
      <c r="L159" s="28"/>
      <c r="M159" s="28"/>
      <c r="N159" s="28"/>
      <c r="O159" s="28"/>
      <c r="P159" s="29"/>
      <c r="Q159" s="4">
        <f t="shared" si="94"/>
        <v>0</v>
      </c>
      <c r="R159" s="17"/>
    </row>
    <row r="160" spans="1:20" x14ac:dyDescent="0.15">
      <c r="A160" s="19" t="s">
        <v>130</v>
      </c>
      <c r="B160" s="27"/>
      <c r="C160" s="28"/>
      <c r="D160" s="28">
        <v>1</v>
      </c>
      <c r="E160" s="28"/>
      <c r="F160" s="28"/>
      <c r="G160" s="29"/>
      <c r="H160" s="4">
        <f t="shared" si="92"/>
        <v>1</v>
      </c>
      <c r="I160" s="16">
        <v>45834</v>
      </c>
      <c r="J160" s="19"/>
      <c r="K160" s="27"/>
      <c r="L160" s="28"/>
      <c r="M160" s="28"/>
      <c r="N160" s="28"/>
      <c r="O160" s="28"/>
      <c r="P160" s="29"/>
      <c r="Q160" s="4">
        <f t="shared" si="94"/>
        <v>0</v>
      </c>
      <c r="R160" s="17"/>
    </row>
    <row r="161" spans="1:18" x14ac:dyDescent="0.15">
      <c r="A161" s="19" t="s">
        <v>131</v>
      </c>
      <c r="B161" s="27"/>
      <c r="C161" s="28">
        <v>1</v>
      </c>
      <c r="D161" s="28"/>
      <c r="E161" s="28"/>
      <c r="F161" s="28"/>
      <c r="G161" s="29"/>
      <c r="H161" s="4">
        <f t="shared" si="92"/>
        <v>1</v>
      </c>
      <c r="I161" s="16">
        <v>45835</v>
      </c>
      <c r="J161" s="19"/>
      <c r="K161" s="27"/>
      <c r="L161" s="28"/>
      <c r="M161" s="28"/>
      <c r="N161" s="28"/>
      <c r="O161" s="28"/>
      <c r="P161" s="29"/>
      <c r="Q161" s="4">
        <f t="shared" si="94"/>
        <v>0</v>
      </c>
      <c r="R161" s="17"/>
    </row>
    <row r="162" spans="1:18" x14ac:dyDescent="0.15">
      <c r="A162" s="19" t="s">
        <v>132</v>
      </c>
      <c r="B162" s="27"/>
      <c r="C162" s="28">
        <v>1</v>
      </c>
      <c r="D162" s="28"/>
      <c r="E162" s="28"/>
      <c r="F162" s="28"/>
      <c r="G162" s="29"/>
      <c r="H162" s="4">
        <f t="shared" si="92"/>
        <v>1</v>
      </c>
      <c r="I162" s="16">
        <v>45835</v>
      </c>
      <c r="J162" s="19"/>
      <c r="K162" s="27"/>
      <c r="L162" s="28"/>
      <c r="M162" s="28"/>
      <c r="N162" s="28"/>
      <c r="O162" s="28"/>
      <c r="P162" s="29"/>
      <c r="Q162" s="4">
        <f t="shared" ref="Q162" si="108">SUM(K162:P162)</f>
        <v>0</v>
      </c>
      <c r="R162" s="17"/>
    </row>
    <row r="163" spans="1:18" x14ac:dyDescent="0.15">
      <c r="A163" s="19" t="s">
        <v>133</v>
      </c>
      <c r="B163" s="27">
        <v>1</v>
      </c>
      <c r="C163" s="28">
        <v>1</v>
      </c>
      <c r="D163" s="28"/>
      <c r="E163" s="28"/>
      <c r="F163" s="28"/>
      <c r="G163" s="29"/>
      <c r="H163" s="4">
        <f t="shared" si="92"/>
        <v>2</v>
      </c>
      <c r="I163" s="16">
        <v>45838</v>
      </c>
      <c r="J163" s="19" t="s">
        <v>68</v>
      </c>
      <c r="K163" s="27"/>
      <c r="L163" s="28"/>
      <c r="M163" s="28"/>
      <c r="N163" s="28"/>
      <c r="O163" s="67"/>
      <c r="P163" s="68"/>
      <c r="Q163" s="4">
        <f t="shared" ref="Q163:Q167" si="109">SUM(K163:P163)</f>
        <v>0</v>
      </c>
      <c r="R163" s="17" t="s">
        <v>69</v>
      </c>
    </row>
    <row r="164" spans="1:18" x14ac:dyDescent="0.15">
      <c r="A164" s="19" t="s">
        <v>135</v>
      </c>
      <c r="B164" s="27">
        <v>5</v>
      </c>
      <c r="C164" s="28"/>
      <c r="D164" s="28"/>
      <c r="E164" s="28"/>
      <c r="F164" s="28"/>
      <c r="G164" s="29"/>
      <c r="H164" s="4">
        <f t="shared" si="92"/>
        <v>5</v>
      </c>
      <c r="I164" s="16">
        <v>45842</v>
      </c>
      <c r="J164" s="19" t="s">
        <v>73</v>
      </c>
      <c r="K164" s="27"/>
      <c r="L164" s="28"/>
      <c r="M164" s="28"/>
      <c r="N164" s="28"/>
      <c r="O164" s="67"/>
      <c r="P164" s="68"/>
      <c r="Q164" s="4">
        <f t="shared" si="109"/>
        <v>0</v>
      </c>
      <c r="R164" s="17" t="s">
        <v>74</v>
      </c>
    </row>
    <row r="165" spans="1:18" x14ac:dyDescent="0.15">
      <c r="A165" s="19" t="s">
        <v>138</v>
      </c>
      <c r="B165" s="27"/>
      <c r="C165" s="28"/>
      <c r="D165" s="28">
        <v>2</v>
      </c>
      <c r="E165" s="28">
        <v>2</v>
      </c>
      <c r="F165" s="28"/>
      <c r="G165" s="29"/>
      <c r="H165" s="4">
        <f t="shared" si="92"/>
        <v>4</v>
      </c>
      <c r="I165" s="16">
        <v>45845</v>
      </c>
      <c r="J165" s="19" t="s">
        <v>61</v>
      </c>
      <c r="K165" s="27"/>
      <c r="L165" s="61"/>
      <c r="M165" s="28"/>
      <c r="N165" s="28"/>
      <c r="O165" s="28"/>
      <c r="P165" s="29"/>
      <c r="Q165" s="4">
        <f t="shared" si="109"/>
        <v>0</v>
      </c>
      <c r="R165" s="17" t="s">
        <v>62</v>
      </c>
    </row>
    <row r="166" spans="1:18" x14ac:dyDescent="0.15">
      <c r="A166" s="19" t="s">
        <v>139</v>
      </c>
      <c r="B166" s="27"/>
      <c r="C166" s="28">
        <v>1</v>
      </c>
      <c r="D166" s="28"/>
      <c r="E166" s="28"/>
      <c r="F166" s="28"/>
      <c r="G166" s="29"/>
      <c r="H166" s="4">
        <f t="shared" si="92"/>
        <v>1</v>
      </c>
      <c r="I166" s="16">
        <v>45845</v>
      </c>
      <c r="J166" s="19" t="s">
        <v>75</v>
      </c>
      <c r="K166" s="27"/>
      <c r="L166" s="61"/>
      <c r="M166" s="28"/>
      <c r="N166" s="28"/>
      <c r="O166" s="28"/>
      <c r="P166" s="29"/>
      <c r="Q166" s="4">
        <f t="shared" si="109"/>
        <v>0</v>
      </c>
      <c r="R166" s="17" t="s">
        <v>76</v>
      </c>
    </row>
    <row r="167" spans="1:18" x14ac:dyDescent="0.15">
      <c r="A167" s="19" t="s">
        <v>140</v>
      </c>
      <c r="B167" s="27"/>
      <c r="C167" s="28"/>
      <c r="D167" s="28">
        <v>1</v>
      </c>
      <c r="E167" s="28"/>
      <c r="F167" s="28"/>
      <c r="G167" s="29"/>
      <c r="H167" s="4">
        <f t="shared" si="92"/>
        <v>1</v>
      </c>
      <c r="I167" s="16">
        <v>45847</v>
      </c>
      <c r="J167" s="19" t="s">
        <v>93</v>
      </c>
      <c r="K167" s="27"/>
      <c r="L167" s="61"/>
      <c r="M167" s="28"/>
      <c r="N167" s="28"/>
      <c r="O167" s="28"/>
      <c r="P167" s="29"/>
      <c r="Q167" s="4">
        <f t="shared" si="109"/>
        <v>0</v>
      </c>
      <c r="R167" s="17" t="s">
        <v>94</v>
      </c>
    </row>
    <row r="168" spans="1:18" ht="14.25" thickBot="1" x14ac:dyDescent="0.2">
      <c r="A168" s="19" t="s">
        <v>143</v>
      </c>
      <c r="B168" s="27">
        <v>3</v>
      </c>
      <c r="C168" s="36">
        <v>2</v>
      </c>
      <c r="D168" s="28"/>
      <c r="E168" s="28"/>
      <c r="F168" s="28"/>
      <c r="G168" s="29"/>
      <c r="H168" s="7">
        <f t="shared" si="92"/>
        <v>5</v>
      </c>
      <c r="I168" s="16">
        <v>45849</v>
      </c>
      <c r="J168" s="19" t="s">
        <v>109</v>
      </c>
      <c r="K168" s="27"/>
      <c r="L168" s="61"/>
      <c r="M168" s="28"/>
      <c r="N168" s="28"/>
      <c r="O168" s="28"/>
      <c r="P168" s="29"/>
      <c r="Q168" s="4">
        <f t="shared" si="94"/>
        <v>0</v>
      </c>
      <c r="R168" s="17" t="s">
        <v>110</v>
      </c>
    </row>
    <row r="169" spans="1:18" ht="14.25" thickBot="1" x14ac:dyDescent="0.2">
      <c r="A169" s="2" t="s">
        <v>7</v>
      </c>
      <c r="B169" s="33">
        <f>SUM(B145:B168)</f>
        <v>10</v>
      </c>
      <c r="C169" s="34">
        <f t="shared" ref="C169:F169" si="110">SUM(C145:C168)</f>
        <v>11</v>
      </c>
      <c r="D169" s="34">
        <f t="shared" si="110"/>
        <v>14</v>
      </c>
      <c r="E169" s="34">
        <f t="shared" si="110"/>
        <v>9</v>
      </c>
      <c r="F169" s="34">
        <f t="shared" si="110"/>
        <v>0</v>
      </c>
      <c r="G169" s="35">
        <f>SUM(G145:G168)</f>
        <v>1</v>
      </c>
      <c r="H169" s="9">
        <f>SUM(B169:G169)</f>
        <v>45</v>
      </c>
      <c r="J169" s="2" t="s">
        <v>7</v>
      </c>
      <c r="K169" s="33">
        <f>SUM(K145:K168)</f>
        <v>20</v>
      </c>
      <c r="L169" s="34">
        <f t="shared" ref="L169" si="111">SUM(L145:L168)</f>
        <v>27</v>
      </c>
      <c r="M169" s="34">
        <f t="shared" ref="M169" si="112">SUM(M145:M168)</f>
        <v>17</v>
      </c>
      <c r="N169" s="34">
        <f t="shared" ref="N169" si="113">SUM(N145:N168)</f>
        <v>19</v>
      </c>
      <c r="O169" s="34">
        <f t="shared" ref="O169" si="114">SUM(O145:O168)</f>
        <v>4</v>
      </c>
      <c r="P169" s="35">
        <f t="shared" ref="P169" si="115">SUM(P145:P168)</f>
        <v>6</v>
      </c>
      <c r="Q169" s="9">
        <f t="shared" ref="Q169" si="116">SUM(Q145:Q168)</f>
        <v>93</v>
      </c>
    </row>
    <row r="170" spans="1:18" ht="14.25" thickBot="1" x14ac:dyDescent="0.2">
      <c r="A170" s="11" t="s">
        <v>8</v>
      </c>
      <c r="B170" s="37">
        <f>B144-B169</f>
        <v>3</v>
      </c>
      <c r="C170" s="38">
        <f t="shared" ref="C170:F170" si="117">C144-C169</f>
        <v>4</v>
      </c>
      <c r="D170" s="38">
        <f t="shared" si="117"/>
        <v>6</v>
      </c>
      <c r="E170" s="38">
        <f t="shared" si="117"/>
        <v>2</v>
      </c>
      <c r="F170" s="38">
        <f t="shared" si="117"/>
        <v>9</v>
      </c>
      <c r="G170" s="39">
        <f>G144-G169</f>
        <v>6</v>
      </c>
      <c r="H170" s="9">
        <f>H144-H169</f>
        <v>30</v>
      </c>
      <c r="J170" s="11" t="s">
        <v>8</v>
      </c>
      <c r="K170" s="37">
        <f>K144-K169</f>
        <v>77</v>
      </c>
      <c r="L170" s="38">
        <f t="shared" ref="L170" si="118">L144-L169</f>
        <v>153</v>
      </c>
      <c r="M170" s="38">
        <f t="shared" ref="M170" si="119">M144-M169</f>
        <v>78</v>
      </c>
      <c r="N170" s="38">
        <f t="shared" ref="N170" si="120">N144-N169</f>
        <v>53</v>
      </c>
      <c r="O170" s="38">
        <f t="shared" ref="O170" si="121">O144-O169</f>
        <v>43</v>
      </c>
      <c r="P170" s="39">
        <f t="shared" ref="P170" si="122">P144-P169</f>
        <v>51</v>
      </c>
      <c r="Q170" s="9">
        <f t="shared" ref="Q170" si="123">Q144-Q169</f>
        <v>455</v>
      </c>
    </row>
    <row r="171" spans="1:18" x14ac:dyDescent="0.15">
      <c r="I171"/>
      <c r="K171" s="63">
        <f>K169+K128</f>
        <v>98</v>
      </c>
      <c r="L171" s="63">
        <f t="shared" ref="L171:Q171" si="124">L169+L128</f>
        <v>148</v>
      </c>
      <c r="M171" s="63">
        <f t="shared" si="124"/>
        <v>94</v>
      </c>
      <c r="N171" s="63">
        <f t="shared" si="124"/>
        <v>47</v>
      </c>
      <c r="O171" s="63">
        <f t="shared" si="124"/>
        <v>17</v>
      </c>
      <c r="P171" s="63">
        <f t="shared" si="124"/>
        <v>29</v>
      </c>
      <c r="Q171" s="63">
        <f t="shared" si="124"/>
        <v>433</v>
      </c>
    </row>
    <row r="172" spans="1:18" x14ac:dyDescent="0.15">
      <c r="I172"/>
      <c r="K172" s="62">
        <f>K171/$Q$171*100</f>
        <v>22.632794457274827</v>
      </c>
      <c r="L172" s="62">
        <f t="shared" ref="L172:Q172" si="125">L171/$Q$171*100</f>
        <v>34.18013856812933</v>
      </c>
      <c r="M172" s="62">
        <f t="shared" si="125"/>
        <v>21.709006928406467</v>
      </c>
      <c r="N172" s="62">
        <f t="shared" si="125"/>
        <v>10.854503464203233</v>
      </c>
      <c r="O172" s="62">
        <f t="shared" si="125"/>
        <v>3.9260969976905313</v>
      </c>
      <c r="P172" s="62">
        <f t="shared" si="125"/>
        <v>6.6974595842956122</v>
      </c>
      <c r="Q172" s="62">
        <f t="shared" si="125"/>
        <v>100</v>
      </c>
    </row>
    <row r="173" spans="1:18" ht="27.75" customHeight="1" thickBot="1" x14ac:dyDescent="0.25">
      <c r="A173" s="40" t="s">
        <v>29</v>
      </c>
      <c r="B173" s="41"/>
      <c r="C173" s="41"/>
      <c r="D173" s="41"/>
      <c r="E173" s="41"/>
      <c r="F173" s="41"/>
      <c r="G173" s="41"/>
      <c r="H173" s="42"/>
      <c r="I173"/>
      <c r="J173" s="43" t="s">
        <v>30</v>
      </c>
      <c r="K173" s="44"/>
      <c r="L173" s="44"/>
      <c r="M173" s="44"/>
      <c r="N173" s="44"/>
      <c r="O173" s="56"/>
      <c r="P173" s="44"/>
      <c r="Q173" s="45"/>
    </row>
    <row r="174" spans="1:18" ht="14.25" thickBot="1" x14ac:dyDescent="0.2">
      <c r="A174" s="1" t="s">
        <v>0</v>
      </c>
      <c r="B174" s="92" t="s">
        <v>13</v>
      </c>
      <c r="C174" s="92"/>
      <c r="D174" s="92"/>
      <c r="E174" s="92"/>
      <c r="F174" s="92"/>
      <c r="G174" s="92"/>
      <c r="H174" s="93"/>
      <c r="I174"/>
      <c r="J174" s="1" t="s">
        <v>0</v>
      </c>
      <c r="K174" s="92" t="s">
        <v>100</v>
      </c>
      <c r="L174" s="92"/>
      <c r="M174" s="92"/>
      <c r="N174" s="92"/>
      <c r="O174" s="92"/>
      <c r="P174" s="92"/>
      <c r="Q174" s="93"/>
    </row>
    <row r="175" spans="1:18" ht="14.25" thickBot="1" x14ac:dyDescent="0.2">
      <c r="A175" s="1" t="s">
        <v>1</v>
      </c>
      <c r="B175" s="21" t="s">
        <v>2</v>
      </c>
      <c r="C175" s="22" t="s">
        <v>9</v>
      </c>
      <c r="D175" s="22" t="s">
        <v>10</v>
      </c>
      <c r="E175" s="22" t="s">
        <v>11</v>
      </c>
      <c r="F175" s="22" t="s">
        <v>12</v>
      </c>
      <c r="G175" s="23" t="s">
        <v>14</v>
      </c>
      <c r="H175" s="1" t="s">
        <v>3</v>
      </c>
      <c r="I175"/>
      <c r="J175" s="1" t="s">
        <v>1</v>
      </c>
      <c r="K175" s="21" t="s">
        <v>2</v>
      </c>
      <c r="L175" s="22" t="s">
        <v>9</v>
      </c>
      <c r="M175" s="22" t="s">
        <v>10</v>
      </c>
      <c r="N175" s="22" t="s">
        <v>11</v>
      </c>
      <c r="O175" s="22" t="s">
        <v>12</v>
      </c>
      <c r="P175" s="23" t="s">
        <v>14</v>
      </c>
      <c r="Q175" s="1" t="s">
        <v>3</v>
      </c>
    </row>
    <row r="176" spans="1:18" ht="14.25" thickBot="1" x14ac:dyDescent="0.2">
      <c r="A176" s="15" t="s">
        <v>8</v>
      </c>
      <c r="B176" s="24">
        <f>B170</f>
        <v>3</v>
      </c>
      <c r="C176" s="25">
        <f t="shared" ref="C176:F176" si="126">C170</f>
        <v>4</v>
      </c>
      <c r="D176" s="25">
        <f t="shared" si="126"/>
        <v>6</v>
      </c>
      <c r="E176" s="25">
        <f t="shared" si="126"/>
        <v>2</v>
      </c>
      <c r="F176" s="25">
        <f t="shared" si="126"/>
        <v>9</v>
      </c>
      <c r="G176" s="26">
        <f>G170</f>
        <v>6</v>
      </c>
      <c r="H176" s="9">
        <f t="shared" ref="H176:H211" si="127">SUM(B176:G176)</f>
        <v>30</v>
      </c>
      <c r="I176"/>
      <c r="J176" s="15" t="s">
        <v>8</v>
      </c>
      <c r="K176" s="24">
        <f>K170</f>
        <v>77</v>
      </c>
      <c r="L176" s="25">
        <f t="shared" ref="L176:Q176" si="128">L170</f>
        <v>153</v>
      </c>
      <c r="M176" s="25">
        <f t="shared" si="128"/>
        <v>78</v>
      </c>
      <c r="N176" s="25">
        <f t="shared" si="128"/>
        <v>53</v>
      </c>
      <c r="O176" s="25">
        <f t="shared" si="128"/>
        <v>43</v>
      </c>
      <c r="P176" s="26">
        <f t="shared" si="128"/>
        <v>51</v>
      </c>
      <c r="Q176" s="9">
        <f t="shared" si="128"/>
        <v>455</v>
      </c>
    </row>
    <row r="177" spans="1:20" x14ac:dyDescent="0.15">
      <c r="A177" s="3" t="s">
        <v>5</v>
      </c>
      <c r="B177" s="27">
        <v>3</v>
      </c>
      <c r="C177" s="28">
        <v>3</v>
      </c>
      <c r="D177" s="28">
        <v>3</v>
      </c>
      <c r="E177" s="28"/>
      <c r="F177" s="28"/>
      <c r="G177" s="29"/>
      <c r="H177" s="4">
        <f t="shared" si="127"/>
        <v>9</v>
      </c>
      <c r="I177" s="71">
        <v>45857</v>
      </c>
      <c r="J177" s="13" t="s">
        <v>5</v>
      </c>
      <c r="K177" s="27"/>
      <c r="L177" s="28"/>
      <c r="M177" s="28"/>
      <c r="N177" s="28"/>
      <c r="O177" s="28"/>
      <c r="P177" s="29"/>
      <c r="Q177" s="4">
        <f t="shared" ref="Q177:Q205" si="129">SUM(K177:P177)</f>
        <v>0</v>
      </c>
    </row>
    <row r="178" spans="1:20" x14ac:dyDescent="0.15">
      <c r="A178" s="3" t="s">
        <v>5</v>
      </c>
      <c r="B178" s="27"/>
      <c r="C178" s="28">
        <v>5</v>
      </c>
      <c r="D178" s="28">
        <v>5</v>
      </c>
      <c r="E178" s="28"/>
      <c r="F178" s="28"/>
      <c r="G178" s="29"/>
      <c r="H178" s="4">
        <f t="shared" si="127"/>
        <v>10</v>
      </c>
      <c r="I178" s="71">
        <v>45868</v>
      </c>
      <c r="J178" s="13" t="s">
        <v>163</v>
      </c>
      <c r="K178" s="27">
        <v>18</v>
      </c>
      <c r="L178" s="28">
        <v>17</v>
      </c>
      <c r="M178" s="28">
        <v>9</v>
      </c>
      <c r="N178" s="28">
        <v>8</v>
      </c>
      <c r="O178" s="28">
        <v>11</v>
      </c>
      <c r="P178" s="29">
        <v>1</v>
      </c>
      <c r="Q178" s="4">
        <f t="shared" si="129"/>
        <v>64</v>
      </c>
      <c r="R178" s="16" t="s">
        <v>173</v>
      </c>
    </row>
    <row r="179" spans="1:20" x14ac:dyDescent="0.15">
      <c r="A179" s="3" t="s">
        <v>5</v>
      </c>
      <c r="B179" s="27"/>
      <c r="C179" s="28">
        <v>5</v>
      </c>
      <c r="D179" s="28"/>
      <c r="E179" s="28"/>
      <c r="F179" s="28"/>
      <c r="G179" s="29"/>
      <c r="H179" s="4">
        <f t="shared" si="127"/>
        <v>5</v>
      </c>
      <c r="I179" s="71">
        <v>45877</v>
      </c>
      <c r="J179" s="13" t="s">
        <v>5</v>
      </c>
      <c r="K179" s="27"/>
      <c r="L179" s="28"/>
      <c r="M179" s="28"/>
      <c r="N179" s="28"/>
      <c r="O179" s="28"/>
      <c r="P179" s="29"/>
      <c r="Q179" s="4">
        <f t="shared" ref="Q179:Q181" si="130">SUM(K179:P179)</f>
        <v>0</v>
      </c>
      <c r="S179" s="60"/>
      <c r="T179" s="60"/>
    </row>
    <row r="180" spans="1:20" x14ac:dyDescent="0.15">
      <c r="A180" s="3" t="s">
        <v>142</v>
      </c>
      <c r="B180" s="27">
        <v>0</v>
      </c>
      <c r="C180" s="28">
        <v>1</v>
      </c>
      <c r="D180" s="28">
        <v>-1</v>
      </c>
      <c r="E180" s="28">
        <v>0</v>
      </c>
      <c r="F180" s="28">
        <v>0</v>
      </c>
      <c r="G180" s="29">
        <v>0</v>
      </c>
      <c r="H180" s="4">
        <f t="shared" si="127"/>
        <v>0</v>
      </c>
      <c r="I180" s="71">
        <v>45878</v>
      </c>
      <c r="J180" s="13" t="s">
        <v>5</v>
      </c>
      <c r="K180" s="27"/>
      <c r="L180" s="28"/>
      <c r="M180" s="28"/>
      <c r="N180" s="28"/>
      <c r="O180" s="28"/>
      <c r="P180" s="29"/>
      <c r="Q180" s="4">
        <f t="shared" si="130"/>
        <v>0</v>
      </c>
    </row>
    <row r="181" spans="1:20" x14ac:dyDescent="0.15">
      <c r="A181" s="3" t="s">
        <v>5</v>
      </c>
      <c r="B181" s="27"/>
      <c r="C181" s="28"/>
      <c r="D181" s="28"/>
      <c r="E181" s="28">
        <v>5</v>
      </c>
      <c r="F181" s="28"/>
      <c r="G181" s="29"/>
      <c r="H181" s="4">
        <f t="shared" si="127"/>
        <v>5</v>
      </c>
      <c r="I181" s="71">
        <v>45889</v>
      </c>
      <c r="J181" s="13" t="s">
        <v>5</v>
      </c>
      <c r="K181" s="27"/>
      <c r="L181" s="28"/>
      <c r="M181" s="28"/>
      <c r="N181" s="28"/>
      <c r="O181" s="28"/>
      <c r="P181" s="29"/>
      <c r="Q181" s="4">
        <f t="shared" si="130"/>
        <v>0</v>
      </c>
    </row>
    <row r="182" spans="1:20" x14ac:dyDescent="0.15">
      <c r="A182" s="3" t="s">
        <v>33</v>
      </c>
      <c r="B182" s="27">
        <v>1</v>
      </c>
      <c r="C182" s="28"/>
      <c r="D182" s="28"/>
      <c r="E182" s="28"/>
      <c r="F182" s="28"/>
      <c r="G182" s="29"/>
      <c r="H182" s="4">
        <f t="shared" si="127"/>
        <v>1</v>
      </c>
      <c r="I182" s="71">
        <v>45895</v>
      </c>
      <c r="J182" s="3" t="s">
        <v>5</v>
      </c>
      <c r="K182" s="27"/>
      <c r="L182" s="28"/>
      <c r="M182" s="28"/>
      <c r="N182" s="28"/>
      <c r="O182" s="28"/>
      <c r="P182" s="29"/>
      <c r="Q182" s="4">
        <f t="shared" si="129"/>
        <v>0</v>
      </c>
    </row>
    <row r="183" spans="1:20" x14ac:dyDescent="0.15">
      <c r="A183" s="3" t="s">
        <v>5</v>
      </c>
      <c r="B183" s="27"/>
      <c r="C183" s="28"/>
      <c r="D183" s="28">
        <v>5</v>
      </c>
      <c r="E183" s="28"/>
      <c r="F183" s="28"/>
      <c r="G183" s="29"/>
      <c r="H183" s="4">
        <f t="shared" si="127"/>
        <v>5</v>
      </c>
      <c r="I183" s="71">
        <v>45902</v>
      </c>
      <c r="J183" s="3" t="s">
        <v>5</v>
      </c>
      <c r="K183" s="27"/>
      <c r="L183" s="28"/>
      <c r="M183" s="28"/>
      <c r="N183" s="28"/>
      <c r="O183" s="28"/>
      <c r="P183" s="29"/>
      <c r="Q183" s="4">
        <f t="shared" si="129"/>
        <v>0</v>
      </c>
    </row>
    <row r="184" spans="1:20" x14ac:dyDescent="0.15">
      <c r="A184" s="3" t="s">
        <v>172</v>
      </c>
      <c r="B184" s="27"/>
      <c r="C184" s="28">
        <v>1</v>
      </c>
      <c r="D184" s="28">
        <v>1</v>
      </c>
      <c r="E184" s="28"/>
      <c r="F184" s="28"/>
      <c r="G184" s="29"/>
      <c r="H184" s="4">
        <f t="shared" si="127"/>
        <v>2</v>
      </c>
      <c r="I184" s="71">
        <v>45904</v>
      </c>
      <c r="J184" s="3" t="s">
        <v>5</v>
      </c>
      <c r="K184" s="27"/>
      <c r="L184" s="28"/>
      <c r="M184" s="28"/>
      <c r="N184" s="28"/>
      <c r="O184" s="28"/>
      <c r="P184" s="29"/>
      <c r="Q184" s="4">
        <f t="shared" si="129"/>
        <v>0</v>
      </c>
    </row>
    <row r="185" spans="1:20" x14ac:dyDescent="0.15">
      <c r="A185" s="3" t="s">
        <v>33</v>
      </c>
      <c r="B185" s="27"/>
      <c r="C185" s="28">
        <v>1</v>
      </c>
      <c r="D185" s="28"/>
      <c r="E185" s="28"/>
      <c r="F185" s="28"/>
      <c r="G185" s="29"/>
      <c r="H185" s="4">
        <f t="shared" si="127"/>
        <v>1</v>
      </c>
      <c r="I185" s="72">
        <v>45909</v>
      </c>
      <c r="J185" s="3" t="s">
        <v>5</v>
      </c>
      <c r="K185" s="27"/>
      <c r="L185" s="28"/>
      <c r="M185" s="28"/>
      <c r="N185" s="28"/>
      <c r="O185" s="28"/>
      <c r="P185" s="29"/>
      <c r="Q185" s="4">
        <f t="shared" si="129"/>
        <v>0</v>
      </c>
    </row>
    <row r="186" spans="1:20" ht="14.25" thickBot="1" x14ac:dyDescent="0.2">
      <c r="A186" s="3" t="s">
        <v>33</v>
      </c>
      <c r="B186" s="30">
        <v>1</v>
      </c>
      <c r="C186" s="31"/>
      <c r="D186" s="31"/>
      <c r="E186" s="31"/>
      <c r="F186" s="31"/>
      <c r="G186" s="32"/>
      <c r="H186" s="7">
        <f t="shared" si="127"/>
        <v>1</v>
      </c>
      <c r="I186" s="72">
        <v>45910</v>
      </c>
      <c r="J186" s="6" t="s">
        <v>5</v>
      </c>
      <c r="K186" s="30"/>
      <c r="L186" s="31"/>
      <c r="M186" s="31"/>
      <c r="N186" s="31"/>
      <c r="O186" s="31"/>
      <c r="P186" s="32"/>
      <c r="Q186" s="7">
        <f t="shared" si="129"/>
        <v>0</v>
      </c>
    </row>
    <row r="187" spans="1:20" ht="14.25" thickBot="1" x14ac:dyDescent="0.2">
      <c r="A187" s="8" t="s">
        <v>6</v>
      </c>
      <c r="B187" s="33">
        <f>SUM(B176:B186)</f>
        <v>8</v>
      </c>
      <c r="C187" s="34">
        <f t="shared" ref="C187:G187" si="131">SUM(C176:C186)</f>
        <v>20</v>
      </c>
      <c r="D187" s="34">
        <f t="shared" si="131"/>
        <v>19</v>
      </c>
      <c r="E187" s="34">
        <f t="shared" si="131"/>
        <v>7</v>
      </c>
      <c r="F187" s="34">
        <f t="shared" si="131"/>
        <v>9</v>
      </c>
      <c r="G187" s="35">
        <f t="shared" si="131"/>
        <v>6</v>
      </c>
      <c r="H187" s="9">
        <f t="shared" si="127"/>
        <v>69</v>
      </c>
      <c r="I187"/>
      <c r="J187" s="8" t="s">
        <v>6</v>
      </c>
      <c r="K187" s="33">
        <f>SUM(K176:K186)</f>
        <v>95</v>
      </c>
      <c r="L187" s="34">
        <f t="shared" ref="L187" si="132">SUM(L176:L186)</f>
        <v>170</v>
      </c>
      <c r="M187" s="34">
        <f t="shared" ref="M187" si="133">SUM(M176:M186)</f>
        <v>87</v>
      </c>
      <c r="N187" s="34">
        <f t="shared" ref="N187" si="134">SUM(N176:N186)</f>
        <v>61</v>
      </c>
      <c r="O187" s="34">
        <f t="shared" ref="O187" si="135">SUM(O176:O186)</f>
        <v>54</v>
      </c>
      <c r="P187" s="35">
        <f t="shared" ref="P187" si="136">SUM(P176:P186)</f>
        <v>52</v>
      </c>
      <c r="Q187" s="9">
        <f t="shared" ref="Q187" si="137">SUM(Q176:Q186)</f>
        <v>519</v>
      </c>
    </row>
    <row r="188" spans="1:20" x14ac:dyDescent="0.15">
      <c r="A188" s="19" t="s">
        <v>144</v>
      </c>
      <c r="B188" s="27"/>
      <c r="C188" s="28"/>
      <c r="D188" s="28"/>
      <c r="E188" s="28"/>
      <c r="F188" s="28"/>
      <c r="G188" s="29">
        <v>1</v>
      </c>
      <c r="H188" s="4">
        <f t="shared" si="127"/>
        <v>1</v>
      </c>
      <c r="I188" s="71">
        <v>45849</v>
      </c>
      <c r="J188" s="19" t="s">
        <v>147</v>
      </c>
      <c r="K188" s="27">
        <v>3</v>
      </c>
      <c r="L188" s="28">
        <v>4</v>
      </c>
      <c r="M188" s="28">
        <v>3</v>
      </c>
      <c r="N188" s="28"/>
      <c r="O188" s="28"/>
      <c r="P188" s="29"/>
      <c r="Q188" s="4">
        <f t="shared" si="129"/>
        <v>10</v>
      </c>
      <c r="R188" s="16">
        <v>45860</v>
      </c>
    </row>
    <row r="189" spans="1:20" x14ac:dyDescent="0.15">
      <c r="A189" s="19" t="s">
        <v>145</v>
      </c>
      <c r="B189" s="27"/>
      <c r="C189" s="28"/>
      <c r="D189" s="28">
        <v>1</v>
      </c>
      <c r="E189" s="28"/>
      <c r="F189" s="28"/>
      <c r="G189" s="29"/>
      <c r="H189" s="4">
        <f t="shared" si="127"/>
        <v>1</v>
      </c>
      <c r="I189" s="71">
        <v>45855</v>
      </c>
      <c r="J189" s="19" t="s">
        <v>16</v>
      </c>
      <c r="K189" s="27">
        <v>3</v>
      </c>
      <c r="L189" s="28">
        <v>3</v>
      </c>
      <c r="M189" s="28">
        <v>3</v>
      </c>
      <c r="N189" s="28"/>
      <c r="O189" s="28"/>
      <c r="P189" s="29"/>
      <c r="Q189" s="4">
        <f t="shared" ref="Q189" si="138">SUM(K189:P189)</f>
        <v>9</v>
      </c>
      <c r="R189" s="16">
        <v>45857</v>
      </c>
    </row>
    <row r="190" spans="1:20" x14ac:dyDescent="0.15">
      <c r="A190" s="19" t="s">
        <v>146</v>
      </c>
      <c r="B190" s="27"/>
      <c r="C190" s="28">
        <v>2</v>
      </c>
      <c r="D190" s="28">
        <v>1</v>
      </c>
      <c r="E190" s="28"/>
      <c r="F190" s="28"/>
      <c r="G190" s="29"/>
      <c r="H190" s="4">
        <f t="shared" si="127"/>
        <v>3</v>
      </c>
      <c r="I190" s="71">
        <v>45860</v>
      </c>
      <c r="J190" s="19" t="s">
        <v>16</v>
      </c>
      <c r="K190" s="27"/>
      <c r="L190" s="28">
        <v>5</v>
      </c>
      <c r="M190" s="28">
        <v>5</v>
      </c>
      <c r="N190" s="28"/>
      <c r="O190" s="28"/>
      <c r="P190" s="29"/>
      <c r="Q190" s="4">
        <f t="shared" ref="Q190" si="139">SUM(K190:P190)</f>
        <v>10</v>
      </c>
      <c r="R190" s="16">
        <v>45868</v>
      </c>
    </row>
    <row r="191" spans="1:20" x14ac:dyDescent="0.15">
      <c r="A191" s="19" t="s">
        <v>148</v>
      </c>
      <c r="B191" s="27"/>
      <c r="C191" s="28"/>
      <c r="D191" s="28">
        <v>3</v>
      </c>
      <c r="E191" s="28"/>
      <c r="F191" s="28"/>
      <c r="G191" s="29"/>
      <c r="H191" s="4">
        <f t="shared" si="127"/>
        <v>3</v>
      </c>
      <c r="I191" s="71">
        <v>45862</v>
      </c>
      <c r="J191" s="19" t="s">
        <v>16</v>
      </c>
      <c r="K191" s="27"/>
      <c r="L191" s="28">
        <v>5</v>
      </c>
      <c r="M191" s="28"/>
      <c r="N191" s="28"/>
      <c r="O191" s="28"/>
      <c r="P191" s="29"/>
      <c r="Q191" s="4">
        <f t="shared" ref="Q191" si="140">SUM(K191:P191)</f>
        <v>5</v>
      </c>
      <c r="R191" s="16">
        <v>45877</v>
      </c>
    </row>
    <row r="192" spans="1:20" x14ac:dyDescent="0.15">
      <c r="A192" s="19" t="s">
        <v>149</v>
      </c>
      <c r="B192" s="27"/>
      <c r="C192" s="28">
        <v>1</v>
      </c>
      <c r="D192" s="28">
        <v>2</v>
      </c>
      <c r="E192" s="28"/>
      <c r="F192" s="28"/>
      <c r="G192" s="29"/>
      <c r="H192" s="4">
        <f t="shared" si="127"/>
        <v>3</v>
      </c>
      <c r="I192" s="71">
        <v>45868</v>
      </c>
      <c r="J192" s="19" t="s">
        <v>16</v>
      </c>
      <c r="K192" s="27"/>
      <c r="L192" s="28"/>
      <c r="M192" s="28"/>
      <c r="N192" s="28">
        <v>5</v>
      </c>
      <c r="O192" s="28"/>
      <c r="P192" s="29"/>
      <c r="Q192" s="4">
        <f t="shared" ref="Q192" si="141">SUM(K192:P192)</f>
        <v>5</v>
      </c>
      <c r="R192" s="16">
        <v>45889</v>
      </c>
    </row>
    <row r="193" spans="1:18" x14ac:dyDescent="0.15">
      <c r="A193" s="19" t="s">
        <v>150</v>
      </c>
      <c r="B193" s="27"/>
      <c r="C193" s="28">
        <v>3</v>
      </c>
      <c r="D193" s="28"/>
      <c r="E193" s="28"/>
      <c r="F193" s="28"/>
      <c r="G193" s="29">
        <v>1</v>
      </c>
      <c r="H193" s="4">
        <f t="shared" si="127"/>
        <v>4</v>
      </c>
      <c r="I193" s="71">
        <v>45869</v>
      </c>
      <c r="J193" s="19" t="s">
        <v>160</v>
      </c>
      <c r="K193" s="27">
        <v>5</v>
      </c>
      <c r="L193" s="28">
        <v>5</v>
      </c>
      <c r="M193" s="28"/>
      <c r="N193" s="28">
        <v>3</v>
      </c>
      <c r="O193" s="28"/>
      <c r="P193" s="29"/>
      <c r="Q193" s="4">
        <f t="shared" si="129"/>
        <v>13</v>
      </c>
      <c r="R193" s="16">
        <v>45890</v>
      </c>
    </row>
    <row r="194" spans="1:18" x14ac:dyDescent="0.15">
      <c r="A194" s="19" t="s">
        <v>151</v>
      </c>
      <c r="B194" s="27"/>
      <c r="C194" s="28">
        <v>1</v>
      </c>
      <c r="D194" s="28"/>
      <c r="E194" s="28"/>
      <c r="F194" s="28"/>
      <c r="G194" s="29"/>
      <c r="H194" s="4">
        <f t="shared" si="127"/>
        <v>1</v>
      </c>
      <c r="I194" s="71">
        <v>45870</v>
      </c>
      <c r="J194" s="19" t="s">
        <v>16</v>
      </c>
      <c r="K194" s="27"/>
      <c r="L194" s="28"/>
      <c r="M194" s="28">
        <v>5</v>
      </c>
      <c r="N194" s="28"/>
      <c r="O194" s="28"/>
      <c r="P194" s="29"/>
      <c r="Q194" s="4">
        <f t="shared" ref="Q194" si="142">SUM(K194:P194)</f>
        <v>5</v>
      </c>
      <c r="R194" s="16">
        <v>45902</v>
      </c>
    </row>
    <row r="195" spans="1:18" x14ac:dyDescent="0.15">
      <c r="A195" s="19" t="s">
        <v>152</v>
      </c>
      <c r="B195" s="27"/>
      <c r="C195" s="28">
        <v>1</v>
      </c>
      <c r="D195" s="28"/>
      <c r="E195" s="28"/>
      <c r="F195" s="28"/>
      <c r="G195" s="29"/>
      <c r="H195" s="4">
        <f t="shared" si="127"/>
        <v>1</v>
      </c>
      <c r="I195" s="71">
        <v>45873</v>
      </c>
      <c r="J195" s="19" t="s">
        <v>168</v>
      </c>
      <c r="K195" s="27">
        <v>4</v>
      </c>
      <c r="L195" s="28">
        <v>2</v>
      </c>
      <c r="M195" s="28">
        <v>3</v>
      </c>
      <c r="N195" s="28">
        <v>5</v>
      </c>
      <c r="O195" s="28"/>
      <c r="P195" s="29"/>
      <c r="Q195" s="4">
        <f t="shared" si="129"/>
        <v>14</v>
      </c>
      <c r="R195" s="16">
        <v>45904</v>
      </c>
    </row>
    <row r="196" spans="1:18" x14ac:dyDescent="0.15">
      <c r="A196" s="19" t="s">
        <v>153</v>
      </c>
      <c r="B196" s="27">
        <v>1</v>
      </c>
      <c r="C196" s="28"/>
      <c r="D196" s="28"/>
      <c r="E196" s="28"/>
      <c r="F196" s="28"/>
      <c r="G196" s="29"/>
      <c r="H196" s="4">
        <f t="shared" si="127"/>
        <v>1</v>
      </c>
      <c r="I196" s="71">
        <v>45875</v>
      </c>
      <c r="J196" s="19"/>
      <c r="K196" s="27"/>
      <c r="L196" s="28"/>
      <c r="M196" s="28"/>
      <c r="N196" s="28"/>
      <c r="O196" s="28"/>
      <c r="P196" s="29"/>
      <c r="Q196" s="4">
        <f t="shared" si="129"/>
        <v>0</v>
      </c>
      <c r="R196" s="17"/>
    </row>
    <row r="197" spans="1:18" x14ac:dyDescent="0.15">
      <c r="A197" s="19" t="s">
        <v>154</v>
      </c>
      <c r="B197" s="27"/>
      <c r="C197" s="28"/>
      <c r="D197" s="28">
        <v>1</v>
      </c>
      <c r="E197" s="28"/>
      <c r="F197" s="28"/>
      <c r="G197" s="29"/>
      <c r="H197" s="4">
        <f t="shared" si="127"/>
        <v>1</v>
      </c>
      <c r="I197" s="71">
        <v>45876</v>
      </c>
      <c r="J197" s="19"/>
      <c r="K197" s="27"/>
      <c r="L197" s="28"/>
      <c r="M197" s="28"/>
      <c r="N197" s="28"/>
      <c r="O197" s="28"/>
      <c r="P197" s="29"/>
      <c r="Q197" s="4">
        <f t="shared" si="129"/>
        <v>0</v>
      </c>
    </row>
    <row r="198" spans="1:18" x14ac:dyDescent="0.15">
      <c r="A198" s="19" t="s">
        <v>155</v>
      </c>
      <c r="B198" s="27"/>
      <c r="C198" s="28">
        <v>1</v>
      </c>
      <c r="D198" s="28"/>
      <c r="E198" s="28"/>
      <c r="F198" s="28"/>
      <c r="G198" s="29"/>
      <c r="H198" s="4">
        <f t="shared" si="127"/>
        <v>1</v>
      </c>
      <c r="I198" s="71">
        <v>45877</v>
      </c>
      <c r="J198" s="19"/>
      <c r="K198" s="27"/>
      <c r="L198" s="28"/>
      <c r="M198" s="28"/>
      <c r="N198" s="28"/>
      <c r="O198" s="28"/>
      <c r="P198" s="29"/>
      <c r="Q198" s="4">
        <f t="shared" si="129"/>
        <v>0</v>
      </c>
    </row>
    <row r="199" spans="1:18" x14ac:dyDescent="0.15">
      <c r="A199" s="19" t="s">
        <v>156</v>
      </c>
      <c r="B199" s="27"/>
      <c r="C199" s="28">
        <v>1</v>
      </c>
      <c r="D199" s="28"/>
      <c r="E199" s="28"/>
      <c r="F199" s="28"/>
      <c r="G199" s="29"/>
      <c r="H199" s="4">
        <f t="shared" si="127"/>
        <v>1</v>
      </c>
      <c r="I199" s="71">
        <v>45877</v>
      </c>
      <c r="J199" s="19"/>
      <c r="K199" s="27"/>
      <c r="L199" s="28"/>
      <c r="M199" s="28"/>
      <c r="N199" s="28"/>
      <c r="O199" s="28"/>
      <c r="P199" s="29"/>
      <c r="Q199" s="4">
        <f t="shared" si="129"/>
        <v>0</v>
      </c>
    </row>
    <row r="200" spans="1:18" x14ac:dyDescent="0.15">
      <c r="A200" s="19" t="s">
        <v>158</v>
      </c>
      <c r="B200" s="27"/>
      <c r="C200" s="28"/>
      <c r="D200" s="28"/>
      <c r="E200" s="28">
        <v>1</v>
      </c>
      <c r="F200" s="28"/>
      <c r="G200" s="29"/>
      <c r="H200" s="4">
        <f t="shared" si="127"/>
        <v>1</v>
      </c>
      <c r="I200" s="71">
        <v>45889</v>
      </c>
      <c r="J200" s="19"/>
      <c r="K200" s="27"/>
      <c r="L200" s="28"/>
      <c r="M200" s="28"/>
      <c r="N200" s="28"/>
      <c r="O200" s="28"/>
      <c r="P200" s="29"/>
      <c r="Q200" s="4">
        <f t="shared" si="129"/>
        <v>0</v>
      </c>
    </row>
    <row r="201" spans="1:18" x14ac:dyDescent="0.15">
      <c r="A201" s="19" t="s">
        <v>159</v>
      </c>
      <c r="B201" s="27"/>
      <c r="C201" s="28"/>
      <c r="D201" s="28"/>
      <c r="E201" s="28">
        <v>1</v>
      </c>
      <c r="F201" s="28"/>
      <c r="G201" s="29"/>
      <c r="H201" s="4">
        <f t="shared" si="127"/>
        <v>1</v>
      </c>
      <c r="I201" s="71">
        <v>45890</v>
      </c>
      <c r="J201" s="19"/>
      <c r="K201" s="27"/>
      <c r="L201" s="28"/>
      <c r="M201" s="28"/>
      <c r="N201" s="28"/>
      <c r="O201" s="28"/>
      <c r="P201" s="29"/>
      <c r="Q201" s="4">
        <f t="shared" si="129"/>
        <v>0</v>
      </c>
    </row>
    <row r="202" spans="1:18" x14ac:dyDescent="0.15">
      <c r="A202" s="19" t="s">
        <v>161</v>
      </c>
      <c r="B202" s="27"/>
      <c r="C202" s="28">
        <v>1</v>
      </c>
      <c r="D202" s="28">
        <v>1</v>
      </c>
      <c r="E202" s="28"/>
      <c r="F202" s="28"/>
      <c r="G202" s="29"/>
      <c r="H202" s="4">
        <f t="shared" si="127"/>
        <v>2</v>
      </c>
      <c r="I202" s="71">
        <v>45896</v>
      </c>
      <c r="J202" s="19"/>
      <c r="K202" s="27"/>
      <c r="L202" s="28"/>
      <c r="M202" s="28"/>
      <c r="N202" s="28"/>
      <c r="O202" s="28"/>
      <c r="P202" s="29"/>
      <c r="Q202" s="4">
        <f t="shared" si="129"/>
        <v>0</v>
      </c>
    </row>
    <row r="203" spans="1:18" x14ac:dyDescent="0.15">
      <c r="A203" s="19" t="s">
        <v>162</v>
      </c>
      <c r="B203" s="27">
        <v>1</v>
      </c>
      <c r="C203" s="28"/>
      <c r="D203" s="28"/>
      <c r="E203" s="28"/>
      <c r="F203" s="28"/>
      <c r="G203" s="29"/>
      <c r="H203" s="4">
        <f t="shared" si="127"/>
        <v>1</v>
      </c>
      <c r="I203" s="71">
        <v>45897</v>
      </c>
      <c r="J203" s="19"/>
      <c r="K203" s="27"/>
      <c r="L203" s="28"/>
      <c r="M203" s="28"/>
      <c r="N203" s="28"/>
      <c r="O203" s="28"/>
      <c r="P203" s="29"/>
      <c r="Q203" s="4">
        <f t="shared" si="129"/>
        <v>0</v>
      </c>
    </row>
    <row r="204" spans="1:18" x14ac:dyDescent="0.15">
      <c r="A204" s="19" t="s">
        <v>164</v>
      </c>
      <c r="B204" s="27"/>
      <c r="C204" s="28"/>
      <c r="D204" s="28">
        <v>1</v>
      </c>
      <c r="E204" s="28"/>
      <c r="F204" s="28"/>
      <c r="G204" s="29"/>
      <c r="H204" s="4">
        <f t="shared" si="127"/>
        <v>1</v>
      </c>
      <c r="I204" s="71">
        <v>45898</v>
      </c>
      <c r="J204" s="19"/>
      <c r="K204" s="27"/>
      <c r="L204" s="28"/>
      <c r="M204" s="28"/>
      <c r="N204" s="28"/>
      <c r="O204" s="28"/>
      <c r="P204" s="29"/>
      <c r="Q204" s="4">
        <f t="shared" si="129"/>
        <v>0</v>
      </c>
    </row>
    <row r="205" spans="1:18" x14ac:dyDescent="0.15">
      <c r="A205" s="19" t="s">
        <v>166</v>
      </c>
      <c r="B205" s="27"/>
      <c r="C205" s="28"/>
      <c r="D205" s="28">
        <v>2</v>
      </c>
      <c r="E205" s="28"/>
      <c r="F205" s="28"/>
      <c r="G205" s="29"/>
      <c r="H205" s="4">
        <f t="shared" si="127"/>
        <v>2</v>
      </c>
      <c r="I205" s="71">
        <v>45903</v>
      </c>
      <c r="J205" s="19"/>
      <c r="K205" s="27"/>
      <c r="L205" s="28"/>
      <c r="M205" s="28"/>
      <c r="N205" s="28"/>
      <c r="O205" s="28"/>
      <c r="P205" s="29"/>
      <c r="Q205" s="4">
        <f t="shared" si="129"/>
        <v>0</v>
      </c>
    </row>
    <row r="206" spans="1:18" x14ac:dyDescent="0.15">
      <c r="A206" s="19" t="s">
        <v>23</v>
      </c>
      <c r="B206" s="27"/>
      <c r="C206" s="28"/>
      <c r="D206" s="28"/>
      <c r="E206" s="28">
        <v>1</v>
      </c>
      <c r="F206" s="28"/>
      <c r="G206" s="29"/>
      <c r="H206" s="4">
        <f t="shared" si="127"/>
        <v>1</v>
      </c>
      <c r="I206" s="71">
        <v>45901</v>
      </c>
      <c r="J206" s="19"/>
      <c r="K206" s="27"/>
      <c r="L206" s="28"/>
      <c r="M206" s="28"/>
      <c r="N206" s="28"/>
      <c r="O206" s="28"/>
      <c r="P206" s="29"/>
      <c r="Q206" s="4">
        <f t="shared" ref="Q206:Q211" si="143">SUM(K206:P206)</f>
        <v>0</v>
      </c>
    </row>
    <row r="207" spans="1:18" x14ac:dyDescent="0.15">
      <c r="A207" s="19" t="s">
        <v>169</v>
      </c>
      <c r="B207" s="27">
        <v>1</v>
      </c>
      <c r="C207" s="28"/>
      <c r="D207" s="28">
        <v>1</v>
      </c>
      <c r="E207" s="28"/>
      <c r="F207" s="28"/>
      <c r="G207" s="29"/>
      <c r="H207" s="4">
        <f t="shared" si="127"/>
        <v>2</v>
      </c>
      <c r="I207" s="71">
        <v>45905</v>
      </c>
      <c r="J207" s="19"/>
      <c r="K207" s="27"/>
      <c r="L207" s="28"/>
      <c r="M207" s="28"/>
      <c r="N207" s="28"/>
      <c r="O207" s="28"/>
      <c r="P207" s="29"/>
      <c r="Q207" s="4">
        <f t="shared" si="143"/>
        <v>0</v>
      </c>
    </row>
    <row r="208" spans="1:18" x14ac:dyDescent="0.15">
      <c r="A208" s="19" t="s">
        <v>174</v>
      </c>
      <c r="B208" s="27"/>
      <c r="C208" s="28">
        <v>2</v>
      </c>
      <c r="D208" s="28"/>
      <c r="E208" s="28">
        <v>1</v>
      </c>
      <c r="F208" s="28"/>
      <c r="G208" s="29"/>
      <c r="H208" s="4">
        <f t="shared" si="127"/>
        <v>3</v>
      </c>
      <c r="I208" s="71">
        <v>45919</v>
      </c>
      <c r="J208" s="19"/>
      <c r="K208" s="27"/>
      <c r="L208" s="28"/>
      <c r="M208" s="28"/>
      <c r="N208" s="28"/>
      <c r="O208" s="28"/>
      <c r="P208" s="29"/>
      <c r="Q208" s="4">
        <f t="shared" si="143"/>
        <v>0</v>
      </c>
    </row>
    <row r="209" spans="1:18" x14ac:dyDescent="0.15">
      <c r="A209" s="19" t="s">
        <v>175</v>
      </c>
      <c r="B209" s="27"/>
      <c r="C209" s="28"/>
      <c r="D209" s="28"/>
      <c r="E209" s="28"/>
      <c r="F209" s="28"/>
      <c r="G209" s="29">
        <v>1</v>
      </c>
      <c r="H209" s="4">
        <f t="shared" si="127"/>
        <v>1</v>
      </c>
      <c r="I209" s="71">
        <v>45922</v>
      </c>
      <c r="J209" s="19"/>
      <c r="K209" s="27"/>
      <c r="L209" s="28"/>
      <c r="M209" s="28"/>
      <c r="N209" s="28"/>
      <c r="O209" s="28"/>
      <c r="P209" s="29"/>
      <c r="Q209" s="4">
        <f t="shared" si="143"/>
        <v>0</v>
      </c>
      <c r="R209" s="17"/>
    </row>
    <row r="210" spans="1:18" x14ac:dyDescent="0.15">
      <c r="A210" s="19" t="s">
        <v>176</v>
      </c>
      <c r="B210" s="27"/>
      <c r="C210" s="28">
        <v>1</v>
      </c>
      <c r="D210" s="28"/>
      <c r="E210" s="28"/>
      <c r="F210" s="28">
        <v>1</v>
      </c>
      <c r="G210" s="29"/>
      <c r="H210" s="4">
        <f t="shared" si="127"/>
        <v>2</v>
      </c>
      <c r="I210" s="71">
        <v>45924</v>
      </c>
      <c r="J210" s="19" t="s">
        <v>125</v>
      </c>
      <c r="K210" s="27"/>
      <c r="L210" s="28"/>
      <c r="M210" s="28"/>
      <c r="N210" s="28"/>
      <c r="O210" s="67"/>
      <c r="P210" s="68"/>
      <c r="Q210" s="4">
        <f t="shared" si="143"/>
        <v>0</v>
      </c>
      <c r="R210" s="17"/>
    </row>
    <row r="211" spans="1:18" ht="14.25" thickBot="1" x14ac:dyDescent="0.2">
      <c r="A211" s="19" t="s">
        <v>177</v>
      </c>
      <c r="B211" s="27"/>
      <c r="C211" s="36"/>
      <c r="D211" s="28">
        <v>1</v>
      </c>
      <c r="E211" s="28"/>
      <c r="F211" s="28"/>
      <c r="G211" s="29"/>
      <c r="H211" s="7">
        <f t="shared" si="127"/>
        <v>1</v>
      </c>
      <c r="I211" s="71">
        <v>45926</v>
      </c>
      <c r="J211" s="19" t="s">
        <v>157</v>
      </c>
      <c r="K211" s="27"/>
      <c r="L211" s="28"/>
      <c r="M211" s="28"/>
      <c r="N211" s="28"/>
      <c r="O211" s="28"/>
      <c r="P211" s="29"/>
      <c r="Q211" s="4">
        <f t="shared" si="143"/>
        <v>0</v>
      </c>
      <c r="R211" s="17" t="s">
        <v>167</v>
      </c>
    </row>
    <row r="212" spans="1:18" ht="14.25" thickBot="1" x14ac:dyDescent="0.2">
      <c r="A212" s="2" t="s">
        <v>7</v>
      </c>
      <c r="B212" s="33">
        <f>SUM(B188:B211)</f>
        <v>3</v>
      </c>
      <c r="C212" s="34">
        <f t="shared" ref="C212:F212" si="144">SUM(C188:C211)</f>
        <v>14</v>
      </c>
      <c r="D212" s="34">
        <f t="shared" si="144"/>
        <v>14</v>
      </c>
      <c r="E212" s="34">
        <f t="shared" si="144"/>
        <v>4</v>
      </c>
      <c r="F212" s="34">
        <f t="shared" si="144"/>
        <v>1</v>
      </c>
      <c r="G212" s="35">
        <f>SUM(G188:G211)</f>
        <v>3</v>
      </c>
      <c r="H212" s="9">
        <f>SUM(B212:G212)</f>
        <v>39</v>
      </c>
      <c r="I212"/>
      <c r="J212" s="2" t="s">
        <v>7</v>
      </c>
      <c r="K212" s="33">
        <f>SUM(K188:K211)</f>
        <v>15</v>
      </c>
      <c r="L212" s="34">
        <f t="shared" ref="L212" si="145">SUM(L188:L211)</f>
        <v>24</v>
      </c>
      <c r="M212" s="34">
        <f t="shared" ref="M212" si="146">SUM(M188:M211)</f>
        <v>19</v>
      </c>
      <c r="N212" s="34">
        <f t="shared" ref="N212" si="147">SUM(N188:N211)</f>
        <v>13</v>
      </c>
      <c r="O212" s="34">
        <f t="shared" ref="O212" si="148">SUM(O188:O211)</f>
        <v>0</v>
      </c>
      <c r="P212" s="35">
        <f t="shared" ref="P212" si="149">SUM(P188:P211)</f>
        <v>0</v>
      </c>
      <c r="Q212" s="9">
        <f t="shared" ref="Q212" si="150">SUM(Q188:Q211)</f>
        <v>71</v>
      </c>
    </row>
    <row r="213" spans="1:18" ht="14.25" thickBot="1" x14ac:dyDescent="0.2">
      <c r="A213" s="11" t="s">
        <v>8</v>
      </c>
      <c r="B213" s="37">
        <f>B187-B212</f>
        <v>5</v>
      </c>
      <c r="C213" s="38">
        <f t="shared" ref="C213:F213" si="151">C187-C212</f>
        <v>6</v>
      </c>
      <c r="D213" s="38">
        <f t="shared" si="151"/>
        <v>5</v>
      </c>
      <c r="E213" s="38">
        <f t="shared" si="151"/>
        <v>3</v>
      </c>
      <c r="F213" s="38">
        <f t="shared" si="151"/>
        <v>8</v>
      </c>
      <c r="G213" s="39">
        <f>G187-G212</f>
        <v>3</v>
      </c>
      <c r="H213" s="9">
        <f>H187-H212</f>
        <v>30</v>
      </c>
      <c r="I213"/>
      <c r="J213" s="11" t="s">
        <v>8</v>
      </c>
      <c r="K213" s="37">
        <f>K187-K212</f>
        <v>80</v>
      </c>
      <c r="L213" s="38">
        <f t="shared" ref="L213" si="152">L187-L212</f>
        <v>146</v>
      </c>
      <c r="M213" s="38">
        <f t="shared" ref="M213" si="153">M187-M212</f>
        <v>68</v>
      </c>
      <c r="N213" s="38">
        <f t="shared" ref="N213" si="154">N187-N212</f>
        <v>48</v>
      </c>
      <c r="O213" s="38">
        <f t="shared" ref="O213" si="155">O187-O212</f>
        <v>54</v>
      </c>
      <c r="P213" s="39">
        <f t="shared" ref="P213" si="156">P187-P212</f>
        <v>52</v>
      </c>
      <c r="Q213" s="9">
        <f t="shared" ref="Q213" si="157">Q187-Q212</f>
        <v>448</v>
      </c>
    </row>
    <row r="214" spans="1:18" x14ac:dyDescent="0.15">
      <c r="I214"/>
      <c r="K214" s="69">
        <f>K213/$Q$213*100</f>
        <v>17.857142857142858</v>
      </c>
      <c r="L214" s="69">
        <f t="shared" ref="L214:Q214" si="158">L213/$Q$213*100</f>
        <v>32.589285714285715</v>
      </c>
      <c r="M214" s="69">
        <f t="shared" si="158"/>
        <v>15.178571428571427</v>
      </c>
      <c r="N214" s="69">
        <f t="shared" si="158"/>
        <v>10.714285714285714</v>
      </c>
      <c r="O214" s="69">
        <f t="shared" si="158"/>
        <v>12.053571428571429</v>
      </c>
      <c r="P214" s="69">
        <f t="shared" si="158"/>
        <v>11.607142857142858</v>
      </c>
      <c r="Q214" s="69">
        <f t="shared" si="158"/>
        <v>100</v>
      </c>
    </row>
    <row r="215" spans="1:18" x14ac:dyDescent="0.15">
      <c r="I215"/>
      <c r="K215" s="70">
        <v>22.8</v>
      </c>
      <c r="L215" s="70">
        <v>34.5</v>
      </c>
      <c r="M215" s="70">
        <v>23.4</v>
      </c>
      <c r="N215" s="70">
        <v>8.9</v>
      </c>
      <c r="O215" s="70">
        <v>3.9</v>
      </c>
      <c r="P215" s="70">
        <v>6.4</v>
      </c>
      <c r="Q215" s="70">
        <f>SUM(K215:P215)</f>
        <v>99.9</v>
      </c>
    </row>
    <row r="216" spans="1:18" ht="21.75" thickBot="1" x14ac:dyDescent="0.25">
      <c r="A216" s="40" t="s">
        <v>29</v>
      </c>
      <c r="B216" s="41"/>
      <c r="C216" s="41"/>
      <c r="D216" s="41"/>
      <c r="E216" s="41"/>
      <c r="F216" s="41"/>
      <c r="G216" s="41"/>
      <c r="H216" s="42"/>
      <c r="I216"/>
      <c r="J216" s="43" t="s">
        <v>30</v>
      </c>
      <c r="K216" s="44"/>
      <c r="L216" s="44"/>
      <c r="M216" s="44"/>
      <c r="N216" s="44"/>
      <c r="O216" s="56"/>
      <c r="P216" s="44"/>
      <c r="Q216" s="45"/>
    </row>
    <row r="217" spans="1:18" ht="14.25" thickBot="1" x14ac:dyDescent="0.2">
      <c r="A217" s="1" t="s">
        <v>0</v>
      </c>
      <c r="B217" s="92" t="s">
        <v>13</v>
      </c>
      <c r="C217" s="92"/>
      <c r="D217" s="92"/>
      <c r="E217" s="92"/>
      <c r="F217" s="92"/>
      <c r="G217" s="92"/>
      <c r="H217" s="93"/>
      <c r="I217"/>
      <c r="J217" s="1" t="s">
        <v>0</v>
      </c>
      <c r="K217" s="92" t="s">
        <v>100</v>
      </c>
      <c r="L217" s="92"/>
      <c r="M217" s="92"/>
      <c r="N217" s="92"/>
      <c r="O217" s="92"/>
      <c r="P217" s="92"/>
      <c r="Q217" s="93"/>
    </row>
    <row r="218" spans="1:18" ht="14.25" thickBot="1" x14ac:dyDescent="0.2">
      <c r="A218" s="1" t="s">
        <v>1</v>
      </c>
      <c r="B218" s="21" t="s">
        <v>2</v>
      </c>
      <c r="C218" s="22" t="s">
        <v>9</v>
      </c>
      <c r="D218" s="22" t="s">
        <v>10</v>
      </c>
      <c r="E218" s="22" t="s">
        <v>11</v>
      </c>
      <c r="F218" s="22" t="s">
        <v>12</v>
      </c>
      <c r="G218" s="23" t="s">
        <v>14</v>
      </c>
      <c r="H218" s="1" t="s">
        <v>3</v>
      </c>
      <c r="I218"/>
      <c r="J218" s="1" t="s">
        <v>1</v>
      </c>
      <c r="K218" s="21" t="s">
        <v>2</v>
      </c>
      <c r="L218" s="22" t="s">
        <v>9</v>
      </c>
      <c r="M218" s="22" t="s">
        <v>10</v>
      </c>
      <c r="N218" s="22" t="s">
        <v>11</v>
      </c>
      <c r="O218" s="22" t="s">
        <v>12</v>
      </c>
      <c r="P218" s="23" t="s">
        <v>14</v>
      </c>
      <c r="Q218" s="1" t="s">
        <v>3</v>
      </c>
    </row>
    <row r="219" spans="1:18" ht="14.25" thickBot="1" x14ac:dyDescent="0.2">
      <c r="A219" s="15" t="s">
        <v>8</v>
      </c>
      <c r="B219" s="24">
        <f>B213</f>
        <v>5</v>
      </c>
      <c r="C219" s="25">
        <f t="shared" ref="C219:F219" si="159">C213</f>
        <v>6</v>
      </c>
      <c r="D219" s="25">
        <f t="shared" si="159"/>
        <v>5</v>
      </c>
      <c r="E219" s="25">
        <f t="shared" si="159"/>
        <v>3</v>
      </c>
      <c r="F219" s="25">
        <f t="shared" si="159"/>
        <v>8</v>
      </c>
      <c r="G219" s="26">
        <f>G213</f>
        <v>3</v>
      </c>
      <c r="H219" s="9">
        <f t="shared" ref="H219:H254" si="160">SUM(B219:G219)</f>
        <v>30</v>
      </c>
      <c r="I219"/>
      <c r="J219" s="15" t="s">
        <v>8</v>
      </c>
      <c r="K219" s="24">
        <f>K213</f>
        <v>80</v>
      </c>
      <c r="L219" s="25">
        <f t="shared" ref="L219:Q219" si="161">L213</f>
        <v>146</v>
      </c>
      <c r="M219" s="25">
        <f t="shared" si="161"/>
        <v>68</v>
      </c>
      <c r="N219" s="25">
        <f t="shared" si="161"/>
        <v>48</v>
      </c>
      <c r="O219" s="25">
        <f t="shared" si="161"/>
        <v>54</v>
      </c>
      <c r="P219" s="26">
        <f t="shared" si="161"/>
        <v>52</v>
      </c>
      <c r="Q219" s="9">
        <f t="shared" si="161"/>
        <v>448</v>
      </c>
    </row>
    <row r="220" spans="1:18" x14ac:dyDescent="0.15">
      <c r="A220" s="3" t="s">
        <v>33</v>
      </c>
      <c r="B220" s="27">
        <v>1</v>
      </c>
      <c r="C220" s="28"/>
      <c r="D220" s="28">
        <v>1</v>
      </c>
      <c r="E220" s="28"/>
      <c r="F220" s="28"/>
      <c r="G220" s="29"/>
      <c r="H220" s="4">
        <f t="shared" si="160"/>
        <v>2</v>
      </c>
      <c r="I220" s="72">
        <v>45924</v>
      </c>
      <c r="J220" s="3" t="s">
        <v>5</v>
      </c>
      <c r="K220" s="27"/>
      <c r="L220" s="28"/>
      <c r="M220" s="28"/>
      <c r="N220" s="28"/>
      <c r="O220" s="28"/>
      <c r="P220" s="29"/>
      <c r="Q220" s="4">
        <f t="shared" ref="Q220:Q224" si="162">SUM(K220:P220)</f>
        <v>0</v>
      </c>
    </row>
    <row r="221" spans="1:18" x14ac:dyDescent="0.15">
      <c r="A221" s="73" t="s">
        <v>5</v>
      </c>
      <c r="B221" s="74"/>
      <c r="C221" s="75"/>
      <c r="D221" s="75"/>
      <c r="E221" s="75">
        <v>3</v>
      </c>
      <c r="F221" s="75"/>
      <c r="G221" s="76"/>
      <c r="H221" s="77">
        <f t="shared" si="160"/>
        <v>3</v>
      </c>
      <c r="I221" s="78">
        <v>45938</v>
      </c>
      <c r="J221" s="3" t="s">
        <v>194</v>
      </c>
      <c r="K221" s="46">
        <v>3</v>
      </c>
      <c r="L221" s="47">
        <v>2</v>
      </c>
      <c r="M221" s="47">
        <v>2</v>
      </c>
      <c r="N221" s="47">
        <v>2</v>
      </c>
      <c r="O221" s="47">
        <v>4</v>
      </c>
      <c r="P221" s="48"/>
      <c r="Q221" s="4">
        <f t="shared" si="162"/>
        <v>13</v>
      </c>
      <c r="R221" s="83">
        <v>45990</v>
      </c>
    </row>
    <row r="222" spans="1:18" x14ac:dyDescent="0.15">
      <c r="A222" s="73" t="s">
        <v>5</v>
      </c>
      <c r="B222" s="74"/>
      <c r="C222" s="75"/>
      <c r="D222" s="75"/>
      <c r="E222" s="75"/>
      <c r="F222" s="75"/>
      <c r="G222" s="76">
        <v>3</v>
      </c>
      <c r="H222" s="77">
        <f t="shared" si="160"/>
        <v>3</v>
      </c>
      <c r="I222" s="78">
        <v>45953</v>
      </c>
      <c r="J222" s="3" t="s">
        <v>5</v>
      </c>
      <c r="K222" s="27"/>
      <c r="L222" s="28"/>
      <c r="M222" s="28"/>
      <c r="N222" s="28"/>
      <c r="O222" s="28"/>
      <c r="P222" s="29"/>
      <c r="Q222" s="4">
        <f t="shared" si="162"/>
        <v>0</v>
      </c>
    </row>
    <row r="223" spans="1:18" x14ac:dyDescent="0.15">
      <c r="A223" s="3" t="s">
        <v>5</v>
      </c>
      <c r="B223" s="27"/>
      <c r="C223" s="28"/>
      <c r="D223" s="28"/>
      <c r="E223" s="28"/>
      <c r="F223" s="28"/>
      <c r="G223" s="29"/>
      <c r="H223" s="4">
        <f t="shared" si="160"/>
        <v>0</v>
      </c>
      <c r="I223"/>
      <c r="J223" s="3" t="s">
        <v>5</v>
      </c>
      <c r="K223" s="27"/>
      <c r="L223" s="28"/>
      <c r="M223" s="28"/>
      <c r="N223" s="28"/>
      <c r="O223" s="28"/>
      <c r="P223" s="29"/>
      <c r="Q223" s="4">
        <f t="shared" si="162"/>
        <v>0</v>
      </c>
    </row>
    <row r="224" spans="1:18" x14ac:dyDescent="0.15">
      <c r="A224" s="3" t="s">
        <v>5</v>
      </c>
      <c r="B224" s="27"/>
      <c r="C224" s="28"/>
      <c r="D224" s="28"/>
      <c r="E224" s="28"/>
      <c r="F224" s="28"/>
      <c r="G224" s="29"/>
      <c r="H224" s="4">
        <f t="shared" si="160"/>
        <v>0</v>
      </c>
      <c r="I224"/>
      <c r="J224" s="3" t="s">
        <v>5</v>
      </c>
      <c r="K224" s="27"/>
      <c r="L224" s="28"/>
      <c r="M224" s="28"/>
      <c r="N224" s="28"/>
      <c r="O224" s="28"/>
      <c r="P224" s="29"/>
      <c r="Q224" s="4">
        <f t="shared" si="162"/>
        <v>0</v>
      </c>
    </row>
    <row r="225" spans="1:18" x14ac:dyDescent="0.15">
      <c r="A225" s="3" t="s">
        <v>5</v>
      </c>
      <c r="B225" s="27"/>
      <c r="C225" s="28"/>
      <c r="D225" s="28"/>
      <c r="E225" s="28"/>
      <c r="F225" s="28"/>
      <c r="G225" s="29"/>
      <c r="H225" s="4">
        <f t="shared" si="160"/>
        <v>0</v>
      </c>
      <c r="I225"/>
      <c r="J225" s="3" t="s">
        <v>5</v>
      </c>
      <c r="K225" s="27"/>
      <c r="L225" s="28"/>
      <c r="M225" s="28"/>
      <c r="N225" s="28"/>
      <c r="O225" s="28"/>
      <c r="P225" s="29"/>
      <c r="Q225" s="4">
        <f t="shared" ref="Q225" si="163">SUM(K225:P225)</f>
        <v>0</v>
      </c>
    </row>
    <row r="226" spans="1:18" x14ac:dyDescent="0.15">
      <c r="A226" s="3" t="s">
        <v>5</v>
      </c>
      <c r="B226" s="27"/>
      <c r="C226" s="28"/>
      <c r="D226" s="28"/>
      <c r="E226" s="28"/>
      <c r="F226" s="28"/>
      <c r="G226" s="29"/>
      <c r="H226" s="4">
        <f t="shared" si="160"/>
        <v>0</v>
      </c>
      <c r="I226"/>
      <c r="J226" s="3" t="s">
        <v>5</v>
      </c>
      <c r="K226" s="27"/>
      <c r="L226" s="28"/>
      <c r="M226" s="28"/>
      <c r="N226" s="28"/>
      <c r="O226" s="28"/>
      <c r="P226" s="29"/>
      <c r="Q226" s="4">
        <f t="shared" ref="Q226:Q250" si="164">SUM(K226:P226)</f>
        <v>0</v>
      </c>
    </row>
    <row r="227" spans="1:18" x14ac:dyDescent="0.15">
      <c r="A227" s="3" t="s">
        <v>5</v>
      </c>
      <c r="B227" s="27"/>
      <c r="C227" s="28"/>
      <c r="D227" s="28"/>
      <c r="E227" s="28"/>
      <c r="F227" s="28"/>
      <c r="G227" s="29"/>
      <c r="H227" s="4">
        <f t="shared" si="160"/>
        <v>0</v>
      </c>
      <c r="I227"/>
      <c r="J227" s="3" t="s">
        <v>5</v>
      </c>
      <c r="K227" s="27"/>
      <c r="L227" s="28"/>
      <c r="M227" s="28"/>
      <c r="N227" s="28"/>
      <c r="O227" s="28"/>
      <c r="P227" s="29"/>
      <c r="Q227" s="4">
        <f t="shared" si="164"/>
        <v>0</v>
      </c>
    </row>
    <row r="228" spans="1:18" x14ac:dyDescent="0.15">
      <c r="A228" s="3" t="s">
        <v>5</v>
      </c>
      <c r="B228" s="27"/>
      <c r="C228" s="28"/>
      <c r="D228" s="28"/>
      <c r="E228" s="28"/>
      <c r="F228" s="28"/>
      <c r="G228" s="29"/>
      <c r="H228" s="4">
        <f t="shared" si="160"/>
        <v>0</v>
      </c>
      <c r="I228"/>
      <c r="J228" s="3" t="s">
        <v>5</v>
      </c>
      <c r="K228" s="27"/>
      <c r="L228" s="28"/>
      <c r="M228" s="28"/>
      <c r="N228" s="28"/>
      <c r="O228" s="28"/>
      <c r="P228" s="29"/>
      <c r="Q228" s="4">
        <f t="shared" si="164"/>
        <v>0</v>
      </c>
    </row>
    <row r="229" spans="1:18" ht="14.25" thickBot="1" x14ac:dyDescent="0.2">
      <c r="A229" s="6" t="s">
        <v>5</v>
      </c>
      <c r="B229" s="30"/>
      <c r="C229" s="31"/>
      <c r="D229" s="31"/>
      <c r="E229" s="31"/>
      <c r="F229" s="31"/>
      <c r="G229" s="32"/>
      <c r="H229" s="7">
        <f t="shared" si="160"/>
        <v>0</v>
      </c>
      <c r="I229"/>
      <c r="J229" s="6" t="s">
        <v>5</v>
      </c>
      <c r="K229" s="30"/>
      <c r="L229" s="31"/>
      <c r="M229" s="31"/>
      <c r="N229" s="31"/>
      <c r="O229" s="31"/>
      <c r="P229" s="32"/>
      <c r="Q229" s="7">
        <f t="shared" si="164"/>
        <v>0</v>
      </c>
    </row>
    <row r="230" spans="1:18" ht="14.25" thickBot="1" x14ac:dyDescent="0.2">
      <c r="A230" s="8" t="s">
        <v>6</v>
      </c>
      <c r="B230" s="33">
        <f>SUM(B219:B229)</f>
        <v>6</v>
      </c>
      <c r="C230" s="34">
        <f t="shared" ref="C230:G230" si="165">SUM(C219:C229)</f>
        <v>6</v>
      </c>
      <c r="D230" s="34">
        <f t="shared" si="165"/>
        <v>6</v>
      </c>
      <c r="E230" s="34">
        <f t="shared" si="165"/>
        <v>6</v>
      </c>
      <c r="F230" s="34">
        <f t="shared" si="165"/>
        <v>8</v>
      </c>
      <c r="G230" s="35">
        <f t="shared" si="165"/>
        <v>6</v>
      </c>
      <c r="H230" s="9">
        <f t="shared" si="160"/>
        <v>38</v>
      </c>
      <c r="I230"/>
      <c r="J230" s="8" t="s">
        <v>6</v>
      </c>
      <c r="K230" s="33">
        <f>SUM(K219:K229)</f>
        <v>83</v>
      </c>
      <c r="L230" s="34">
        <f t="shared" ref="L230:Q230" si="166">SUM(L219:L229)</f>
        <v>148</v>
      </c>
      <c r="M230" s="34">
        <f t="shared" si="166"/>
        <v>70</v>
      </c>
      <c r="N230" s="34">
        <f t="shared" si="166"/>
        <v>50</v>
      </c>
      <c r="O230" s="34">
        <f t="shared" si="166"/>
        <v>58</v>
      </c>
      <c r="P230" s="35">
        <f t="shared" si="166"/>
        <v>52</v>
      </c>
      <c r="Q230" s="9">
        <f t="shared" si="166"/>
        <v>461</v>
      </c>
    </row>
    <row r="231" spans="1:18" x14ac:dyDescent="0.15">
      <c r="A231" s="19" t="s">
        <v>178</v>
      </c>
      <c r="B231" s="27"/>
      <c r="C231" s="28"/>
      <c r="D231" s="28"/>
      <c r="E231" s="28">
        <v>1</v>
      </c>
      <c r="F231" s="28"/>
      <c r="G231" s="29"/>
      <c r="H231" s="4">
        <f t="shared" si="160"/>
        <v>1</v>
      </c>
      <c r="I231" s="71">
        <v>45926</v>
      </c>
      <c r="J231" s="19" t="s">
        <v>180</v>
      </c>
      <c r="K231" s="27"/>
      <c r="L231" s="28"/>
      <c r="M231" s="28"/>
      <c r="N231" s="28">
        <v>3</v>
      </c>
      <c r="O231" s="28"/>
      <c r="P231" s="29"/>
      <c r="Q231" s="4">
        <f t="shared" si="164"/>
        <v>3</v>
      </c>
      <c r="R231" s="16">
        <v>45938</v>
      </c>
    </row>
    <row r="232" spans="1:18" x14ac:dyDescent="0.15">
      <c r="A232" s="19" t="s">
        <v>179</v>
      </c>
      <c r="B232" s="27"/>
      <c r="C232" s="28"/>
      <c r="D232" s="28">
        <v>1</v>
      </c>
      <c r="E232" s="28"/>
      <c r="F232" s="28">
        <v>1</v>
      </c>
      <c r="G232" s="29"/>
      <c r="H232" s="4">
        <f t="shared" si="160"/>
        <v>2</v>
      </c>
      <c r="I232" s="71">
        <v>45933</v>
      </c>
      <c r="J232" s="79" t="s">
        <v>16</v>
      </c>
      <c r="K232" s="74"/>
      <c r="L232" s="75"/>
      <c r="M232" s="75"/>
      <c r="N232" s="75"/>
      <c r="O232" s="75"/>
      <c r="P232" s="76">
        <v>3</v>
      </c>
      <c r="Q232" s="77">
        <f t="shared" si="164"/>
        <v>3</v>
      </c>
      <c r="R232" s="80">
        <v>45953</v>
      </c>
    </row>
    <row r="233" spans="1:18" x14ac:dyDescent="0.15">
      <c r="A233" s="19" t="s">
        <v>23</v>
      </c>
      <c r="B233" s="27"/>
      <c r="C233" s="28"/>
      <c r="D233" s="28"/>
      <c r="E233" s="28"/>
      <c r="F233" s="28"/>
      <c r="G233" s="29">
        <v>1</v>
      </c>
      <c r="H233" s="4">
        <f t="shared" si="160"/>
        <v>1</v>
      </c>
      <c r="I233" s="72">
        <v>45946</v>
      </c>
      <c r="J233" s="19" t="s">
        <v>189</v>
      </c>
      <c r="K233" s="27">
        <v>3</v>
      </c>
      <c r="L233" s="28">
        <v>3</v>
      </c>
      <c r="M233" s="28">
        <v>4</v>
      </c>
      <c r="N233" s="28"/>
      <c r="O233" s="81"/>
      <c r="P233" s="82"/>
      <c r="Q233" s="4">
        <f t="shared" ref="Q233" si="167">SUM(K233:P233)</f>
        <v>10</v>
      </c>
      <c r="R233" s="16">
        <v>45974</v>
      </c>
    </row>
    <row r="234" spans="1:18" x14ac:dyDescent="0.15">
      <c r="A234" s="19" t="s">
        <v>186</v>
      </c>
      <c r="B234" s="27"/>
      <c r="C234" s="28"/>
      <c r="D234" s="28"/>
      <c r="E234" s="28"/>
      <c r="F234" s="28"/>
      <c r="G234" s="29">
        <v>1</v>
      </c>
      <c r="H234" s="4">
        <f t="shared" si="160"/>
        <v>1</v>
      </c>
      <c r="I234" s="71">
        <v>45954</v>
      </c>
      <c r="J234" s="19"/>
      <c r="K234" s="27"/>
      <c r="L234" s="28"/>
      <c r="M234" s="28"/>
      <c r="N234" s="28"/>
      <c r="O234" s="28"/>
      <c r="P234" s="29"/>
      <c r="Q234" s="4">
        <f t="shared" si="164"/>
        <v>0</v>
      </c>
    </row>
    <row r="235" spans="1:18" x14ac:dyDescent="0.15">
      <c r="A235" s="20" t="s">
        <v>23</v>
      </c>
      <c r="B235" s="27"/>
      <c r="C235" s="28">
        <v>1</v>
      </c>
      <c r="D235" s="28"/>
      <c r="E235" s="28"/>
      <c r="F235" s="28"/>
      <c r="G235" s="29"/>
      <c r="H235" s="4">
        <f t="shared" si="160"/>
        <v>1</v>
      </c>
      <c r="I235" s="72">
        <v>45957</v>
      </c>
      <c r="J235" s="19"/>
      <c r="K235" s="27"/>
      <c r="L235" s="28"/>
      <c r="M235" s="28"/>
      <c r="N235" s="28"/>
      <c r="O235" s="28"/>
      <c r="P235" s="29"/>
      <c r="Q235" s="4">
        <f t="shared" si="164"/>
        <v>0</v>
      </c>
    </row>
    <row r="236" spans="1:18" x14ac:dyDescent="0.15">
      <c r="A236" s="20" t="s">
        <v>23</v>
      </c>
      <c r="B236" s="27"/>
      <c r="C236" s="28"/>
      <c r="D236" s="28"/>
      <c r="E236" s="28"/>
      <c r="F236" s="28"/>
      <c r="G236" s="29">
        <v>1</v>
      </c>
      <c r="H236" s="4">
        <f t="shared" si="160"/>
        <v>1</v>
      </c>
      <c r="I236" s="72">
        <v>45971</v>
      </c>
      <c r="J236" s="19"/>
      <c r="K236" s="27"/>
      <c r="L236" s="28"/>
      <c r="M236" s="28"/>
      <c r="N236" s="28"/>
      <c r="O236" s="28"/>
      <c r="P236" s="29"/>
      <c r="Q236" s="4">
        <f t="shared" si="164"/>
        <v>0</v>
      </c>
    </row>
    <row r="237" spans="1:18" x14ac:dyDescent="0.15">
      <c r="A237" s="20" t="s">
        <v>23</v>
      </c>
      <c r="B237" s="27"/>
      <c r="C237" s="28"/>
      <c r="D237" s="28"/>
      <c r="E237" s="28">
        <v>1</v>
      </c>
      <c r="F237" s="28"/>
      <c r="G237" s="29"/>
      <c r="H237" s="4">
        <f t="shared" si="160"/>
        <v>1</v>
      </c>
      <c r="I237" s="72">
        <v>45987</v>
      </c>
      <c r="J237" s="19"/>
      <c r="K237" s="27"/>
      <c r="L237" s="28"/>
      <c r="M237" s="28"/>
      <c r="N237" s="28"/>
      <c r="O237" s="28"/>
      <c r="P237" s="29"/>
      <c r="Q237" s="4">
        <f t="shared" si="164"/>
        <v>0</v>
      </c>
    </row>
    <row r="238" spans="1:18" x14ac:dyDescent="0.15">
      <c r="A238" s="19" t="s">
        <v>193</v>
      </c>
      <c r="B238" s="27">
        <v>1</v>
      </c>
      <c r="C238" s="28"/>
      <c r="D238" s="28"/>
      <c r="E238" s="28"/>
      <c r="F238" s="28"/>
      <c r="G238" s="29"/>
      <c r="H238" s="4">
        <f t="shared" si="160"/>
        <v>1</v>
      </c>
      <c r="I238" s="72">
        <v>45989</v>
      </c>
      <c r="J238" s="19"/>
      <c r="K238" s="27"/>
      <c r="L238" s="28"/>
      <c r="M238" s="28"/>
      <c r="N238" s="28"/>
      <c r="O238" s="28"/>
      <c r="P238" s="29"/>
      <c r="Q238" s="4">
        <f t="shared" si="164"/>
        <v>0</v>
      </c>
    </row>
    <row r="239" spans="1:18" x14ac:dyDescent="0.15">
      <c r="A239" s="12" t="s">
        <v>195</v>
      </c>
      <c r="B239" s="27">
        <v>3</v>
      </c>
      <c r="C239" s="28">
        <v>2</v>
      </c>
      <c r="D239" s="28">
        <v>2</v>
      </c>
      <c r="E239" s="28">
        <v>2</v>
      </c>
      <c r="F239" s="28">
        <v>4</v>
      </c>
      <c r="G239" s="29"/>
      <c r="H239" s="4">
        <f t="shared" si="160"/>
        <v>13</v>
      </c>
      <c r="I239" s="72">
        <v>45990</v>
      </c>
      <c r="J239" s="19"/>
      <c r="K239" s="27"/>
      <c r="L239" s="28"/>
      <c r="M239" s="28"/>
      <c r="N239" s="28"/>
      <c r="O239" s="28"/>
      <c r="P239" s="29"/>
      <c r="Q239" s="4">
        <f t="shared" si="164"/>
        <v>0</v>
      </c>
    </row>
    <row r="240" spans="1:18" x14ac:dyDescent="0.15">
      <c r="A240" s="19" t="s">
        <v>23</v>
      </c>
      <c r="B240" s="27"/>
      <c r="C240" s="28">
        <v>1</v>
      </c>
      <c r="D240" s="28"/>
      <c r="E240" s="28"/>
      <c r="F240" s="28"/>
      <c r="G240" s="29"/>
      <c r="H240" s="4">
        <f t="shared" si="160"/>
        <v>1</v>
      </c>
      <c r="I240" s="72">
        <v>45992</v>
      </c>
      <c r="J240" s="19"/>
      <c r="K240" s="27"/>
      <c r="L240" s="28"/>
      <c r="M240" s="28"/>
      <c r="N240" s="28"/>
      <c r="O240" s="28"/>
      <c r="P240" s="29"/>
      <c r="Q240" s="4">
        <f t="shared" si="164"/>
        <v>0</v>
      </c>
    </row>
    <row r="241" spans="1:19" x14ac:dyDescent="0.15">
      <c r="A241" s="19" t="s">
        <v>23</v>
      </c>
      <c r="B241" s="27"/>
      <c r="C241" s="28"/>
      <c r="D241" s="28"/>
      <c r="E241" s="28"/>
      <c r="F241" s="28"/>
      <c r="G241" s="29">
        <v>1</v>
      </c>
      <c r="H241" s="4">
        <f t="shared" si="160"/>
        <v>1</v>
      </c>
      <c r="I241" s="72">
        <v>45997</v>
      </c>
      <c r="J241" s="19"/>
      <c r="K241" s="27"/>
      <c r="L241" s="28"/>
      <c r="M241" s="28"/>
      <c r="N241" s="28"/>
      <c r="O241" s="28"/>
      <c r="P241" s="29"/>
      <c r="Q241" s="4">
        <f t="shared" si="164"/>
        <v>0</v>
      </c>
    </row>
    <row r="242" spans="1:19" x14ac:dyDescent="0.15">
      <c r="A242" s="20"/>
      <c r="B242" s="27"/>
      <c r="C242" s="28"/>
      <c r="D242" s="28"/>
      <c r="E242" s="28"/>
      <c r="F242" s="28"/>
      <c r="G242" s="29"/>
      <c r="H242" s="4">
        <f t="shared" si="160"/>
        <v>0</v>
      </c>
      <c r="I242"/>
      <c r="J242" s="19"/>
      <c r="K242" s="27"/>
      <c r="L242" s="28"/>
      <c r="M242" s="28"/>
      <c r="N242" s="28"/>
      <c r="O242" s="28"/>
      <c r="P242" s="29"/>
      <c r="Q242" s="4">
        <f t="shared" si="164"/>
        <v>0</v>
      </c>
    </row>
    <row r="243" spans="1:19" x14ac:dyDescent="0.15">
      <c r="A243" s="20"/>
      <c r="B243" s="27"/>
      <c r="C243" s="28"/>
      <c r="D243" s="28"/>
      <c r="E243" s="28"/>
      <c r="F243" s="28"/>
      <c r="G243" s="29"/>
      <c r="H243" s="4">
        <f t="shared" si="160"/>
        <v>0</v>
      </c>
      <c r="I243"/>
      <c r="J243" s="19"/>
      <c r="K243" s="27"/>
      <c r="L243" s="28"/>
      <c r="M243" s="28"/>
      <c r="N243" s="28"/>
      <c r="O243" s="28"/>
      <c r="P243" s="29"/>
      <c r="Q243" s="4">
        <f t="shared" si="164"/>
        <v>0</v>
      </c>
    </row>
    <row r="244" spans="1:19" x14ac:dyDescent="0.15">
      <c r="A244" s="19"/>
      <c r="B244" s="27"/>
      <c r="C244" s="28"/>
      <c r="D244" s="28"/>
      <c r="E244" s="28"/>
      <c r="F244" s="28"/>
      <c r="G244" s="29"/>
      <c r="H244" s="4">
        <f t="shared" si="160"/>
        <v>0</v>
      </c>
      <c r="I244"/>
      <c r="J244" s="19"/>
      <c r="K244" s="27"/>
      <c r="L244" s="28"/>
      <c r="M244" s="28"/>
      <c r="N244" s="28"/>
      <c r="O244" s="28"/>
      <c r="P244" s="29"/>
      <c r="Q244" s="4">
        <f t="shared" si="164"/>
        <v>0</v>
      </c>
    </row>
    <row r="245" spans="1:19" x14ac:dyDescent="0.15">
      <c r="A245" s="10"/>
      <c r="B245" s="27"/>
      <c r="C245" s="28"/>
      <c r="D245" s="28"/>
      <c r="E245" s="28"/>
      <c r="F245" s="28"/>
      <c r="G245" s="29"/>
      <c r="H245" s="4">
        <f t="shared" si="160"/>
        <v>0</v>
      </c>
      <c r="I245"/>
      <c r="J245" s="19"/>
      <c r="K245" s="27"/>
      <c r="L245" s="28"/>
      <c r="M245" s="28"/>
      <c r="N245" s="28"/>
      <c r="O245" s="28"/>
      <c r="P245" s="29"/>
      <c r="Q245" s="4">
        <f t="shared" si="164"/>
        <v>0</v>
      </c>
    </row>
    <row r="246" spans="1:19" x14ac:dyDescent="0.15">
      <c r="A246" s="19"/>
      <c r="B246" s="27"/>
      <c r="C246" s="28"/>
      <c r="D246" s="28"/>
      <c r="E246" s="28"/>
      <c r="F246" s="28"/>
      <c r="G246" s="29"/>
      <c r="H246" s="4">
        <f t="shared" si="160"/>
        <v>0</v>
      </c>
      <c r="I246"/>
      <c r="J246" s="19"/>
      <c r="K246" s="27"/>
      <c r="L246" s="28"/>
      <c r="M246" s="28"/>
      <c r="N246" s="28"/>
      <c r="O246" s="28"/>
      <c r="P246" s="29"/>
      <c r="Q246" s="4">
        <f t="shared" si="164"/>
        <v>0</v>
      </c>
    </row>
    <row r="247" spans="1:19" x14ac:dyDescent="0.15">
      <c r="A247" s="19"/>
      <c r="B247" s="27"/>
      <c r="C247" s="28"/>
      <c r="D247" s="28"/>
      <c r="E247" s="28"/>
      <c r="F247" s="28"/>
      <c r="G247" s="29"/>
      <c r="H247" s="4">
        <f t="shared" si="160"/>
        <v>0</v>
      </c>
      <c r="I247"/>
      <c r="J247" s="19"/>
      <c r="K247" s="27"/>
      <c r="L247" s="28"/>
      <c r="M247" s="28"/>
      <c r="N247" s="28"/>
      <c r="O247" s="28"/>
      <c r="P247" s="29"/>
      <c r="Q247" s="4">
        <f t="shared" si="164"/>
        <v>0</v>
      </c>
    </row>
    <row r="248" spans="1:19" x14ac:dyDescent="0.15">
      <c r="A248" s="19"/>
      <c r="B248" s="27"/>
      <c r="C248" s="28"/>
      <c r="D248" s="28"/>
      <c r="E248" s="28"/>
      <c r="F248" s="28"/>
      <c r="G248" s="29"/>
      <c r="H248" s="4">
        <f t="shared" si="160"/>
        <v>0</v>
      </c>
      <c r="I248"/>
      <c r="J248" s="19"/>
      <c r="K248" s="27"/>
      <c r="L248" s="28"/>
      <c r="M248" s="28"/>
      <c r="N248" s="28"/>
      <c r="O248" s="28"/>
      <c r="P248" s="29"/>
      <c r="Q248" s="4">
        <f t="shared" si="164"/>
        <v>0</v>
      </c>
    </row>
    <row r="249" spans="1:19" x14ac:dyDescent="0.15">
      <c r="A249" s="19"/>
      <c r="B249" s="27"/>
      <c r="C249" s="28"/>
      <c r="D249" s="28"/>
      <c r="E249" s="28"/>
      <c r="F249" s="28"/>
      <c r="G249" s="29"/>
      <c r="H249" s="4">
        <f t="shared" si="160"/>
        <v>0</v>
      </c>
      <c r="I249"/>
      <c r="J249" s="19"/>
      <c r="K249" s="27"/>
      <c r="L249" s="28"/>
      <c r="M249" s="28"/>
      <c r="N249" s="28"/>
      <c r="O249" s="28"/>
      <c r="P249" s="29"/>
      <c r="Q249" s="4">
        <f t="shared" si="164"/>
        <v>0</v>
      </c>
    </row>
    <row r="250" spans="1:19" x14ac:dyDescent="0.15">
      <c r="A250" s="10"/>
      <c r="B250" s="27"/>
      <c r="C250" s="28"/>
      <c r="D250" s="28"/>
      <c r="E250" s="28"/>
      <c r="F250" s="28"/>
      <c r="G250" s="29"/>
      <c r="H250" s="4">
        <f t="shared" si="160"/>
        <v>0</v>
      </c>
      <c r="I250"/>
      <c r="J250" s="19"/>
      <c r="K250" s="27"/>
      <c r="L250" s="28"/>
      <c r="M250" s="28"/>
      <c r="N250" s="28"/>
      <c r="O250" s="28"/>
      <c r="P250" s="29"/>
      <c r="Q250" s="4">
        <f t="shared" si="164"/>
        <v>0</v>
      </c>
    </row>
    <row r="251" spans="1:19" x14ac:dyDescent="0.15">
      <c r="A251" s="19"/>
      <c r="B251" s="27"/>
      <c r="C251" s="28"/>
      <c r="D251" s="28"/>
      <c r="E251" s="28"/>
      <c r="F251" s="28"/>
      <c r="G251" s="29"/>
      <c r="H251" s="4">
        <f t="shared" si="160"/>
        <v>0</v>
      </c>
      <c r="I251"/>
      <c r="J251" s="19"/>
      <c r="K251" s="27"/>
      <c r="L251" s="28"/>
      <c r="M251" s="28"/>
      <c r="N251" s="28"/>
      <c r="O251" s="28"/>
      <c r="P251" s="29"/>
      <c r="Q251" s="4">
        <f t="shared" ref="Q251" si="168">SUM(K251:P251)</f>
        <v>0</v>
      </c>
    </row>
    <row r="252" spans="1:19" x14ac:dyDescent="0.15">
      <c r="A252" s="19"/>
      <c r="B252" s="27"/>
      <c r="C252" s="28"/>
      <c r="D252" s="28"/>
      <c r="E252" s="28"/>
      <c r="F252" s="28"/>
      <c r="G252" s="29"/>
      <c r="H252" s="4">
        <f t="shared" si="160"/>
        <v>0</v>
      </c>
      <c r="I252"/>
      <c r="J252" s="19"/>
      <c r="K252" s="27"/>
      <c r="L252" s="28"/>
      <c r="M252" s="28"/>
      <c r="N252" s="28"/>
      <c r="O252" s="28"/>
      <c r="P252" s="29"/>
      <c r="Q252" s="4">
        <f t="shared" ref="Q252:Q254" si="169">SUM(K252:P252)</f>
        <v>0</v>
      </c>
    </row>
    <row r="253" spans="1:19" x14ac:dyDescent="0.15">
      <c r="A253" s="19"/>
      <c r="B253" s="27"/>
      <c r="C253" s="28"/>
      <c r="D253" s="28"/>
      <c r="E253" s="28"/>
      <c r="F253" s="28"/>
      <c r="G253" s="29"/>
      <c r="H253" s="4">
        <f t="shared" si="160"/>
        <v>0</v>
      </c>
      <c r="I253"/>
      <c r="J253" s="3" t="s">
        <v>190</v>
      </c>
      <c r="K253" s="84"/>
      <c r="L253" s="85"/>
      <c r="M253" s="85"/>
      <c r="N253" s="85"/>
      <c r="O253" s="85"/>
      <c r="P253" s="86"/>
      <c r="Q253" s="87">
        <f t="shared" si="169"/>
        <v>0</v>
      </c>
      <c r="R253" s="88"/>
    </row>
    <row r="254" spans="1:19" ht="14.25" thickBot="1" x14ac:dyDescent="0.2">
      <c r="A254" s="19"/>
      <c r="B254" s="27"/>
      <c r="C254" s="36"/>
      <c r="D254" s="28"/>
      <c r="E254" s="28"/>
      <c r="F254" s="28"/>
      <c r="G254" s="29"/>
      <c r="H254" s="7">
        <f t="shared" si="160"/>
        <v>0</v>
      </c>
      <c r="I254"/>
      <c r="J254" s="19" t="s">
        <v>171</v>
      </c>
      <c r="K254" s="89"/>
      <c r="L254" s="36"/>
      <c r="M254" s="36"/>
      <c r="N254" s="31"/>
      <c r="O254" s="90"/>
      <c r="P254" s="91"/>
      <c r="Q254" s="4">
        <f t="shared" si="169"/>
        <v>0</v>
      </c>
      <c r="R254" s="17" t="s">
        <v>170</v>
      </c>
    </row>
    <row r="255" spans="1:19" ht="14.25" thickBot="1" x14ac:dyDescent="0.2">
      <c r="A255" s="2" t="s">
        <v>7</v>
      </c>
      <c r="B255" s="33">
        <f>SUM(B231:B254)</f>
        <v>4</v>
      </c>
      <c r="C255" s="34">
        <f t="shared" ref="C255:F255" si="170">SUM(C231:C254)</f>
        <v>4</v>
      </c>
      <c r="D255" s="34">
        <f t="shared" si="170"/>
        <v>3</v>
      </c>
      <c r="E255" s="34">
        <f t="shared" si="170"/>
        <v>4</v>
      </c>
      <c r="F255" s="34">
        <f t="shared" si="170"/>
        <v>5</v>
      </c>
      <c r="G255" s="35">
        <f>SUM(G231:G254)</f>
        <v>4</v>
      </c>
      <c r="H255" s="9">
        <f>SUM(B255:G255)</f>
        <v>24</v>
      </c>
      <c r="I255"/>
      <c r="J255" s="2" t="s">
        <v>7</v>
      </c>
      <c r="K255" s="33">
        <f>SUM(K231:K254)</f>
        <v>3</v>
      </c>
      <c r="L255" s="34">
        <f t="shared" ref="L255:Q255" si="171">SUM(L231:L254)</f>
        <v>3</v>
      </c>
      <c r="M255" s="34">
        <f t="shared" si="171"/>
        <v>4</v>
      </c>
      <c r="N255" s="34">
        <f t="shared" si="171"/>
        <v>3</v>
      </c>
      <c r="O255" s="34">
        <f t="shared" si="171"/>
        <v>0</v>
      </c>
      <c r="P255" s="35">
        <f t="shared" si="171"/>
        <v>3</v>
      </c>
      <c r="Q255" s="9">
        <f t="shared" si="171"/>
        <v>16</v>
      </c>
    </row>
    <row r="256" spans="1:19" ht="14.25" thickBot="1" x14ac:dyDescent="0.2">
      <c r="A256" s="11" t="s">
        <v>8</v>
      </c>
      <c r="B256" s="37">
        <f>B230-B255</f>
        <v>2</v>
      </c>
      <c r="C256" s="38">
        <f t="shared" ref="C256:F256" si="172">C230-C255</f>
        <v>2</v>
      </c>
      <c r="D256" s="38">
        <f t="shared" si="172"/>
        <v>3</v>
      </c>
      <c r="E256" s="38">
        <f t="shared" si="172"/>
        <v>2</v>
      </c>
      <c r="F256" s="38">
        <f t="shared" si="172"/>
        <v>3</v>
      </c>
      <c r="G256" s="39">
        <f>G230-G255</f>
        <v>2</v>
      </c>
      <c r="H256" s="9">
        <f>H230-H255</f>
        <v>14</v>
      </c>
      <c r="I256"/>
      <c r="J256" s="11" t="s">
        <v>8</v>
      </c>
      <c r="K256" s="37">
        <f>K230-K255</f>
        <v>80</v>
      </c>
      <c r="L256" s="38">
        <f t="shared" ref="L256:Q256" si="173">L230-L255</f>
        <v>145</v>
      </c>
      <c r="M256" s="38">
        <f t="shared" si="173"/>
        <v>66</v>
      </c>
      <c r="N256" s="38">
        <f t="shared" si="173"/>
        <v>47</v>
      </c>
      <c r="O256" s="38">
        <f t="shared" si="173"/>
        <v>58</v>
      </c>
      <c r="P256" s="39">
        <f t="shared" si="173"/>
        <v>49</v>
      </c>
      <c r="Q256" s="9">
        <f t="shared" si="173"/>
        <v>445</v>
      </c>
      <c r="S256" t="s">
        <v>165</v>
      </c>
    </row>
    <row r="257" spans="1:18" x14ac:dyDescent="0.15">
      <c r="I257"/>
      <c r="K257" s="69"/>
      <c r="L257" s="69"/>
      <c r="M257" s="69"/>
      <c r="N257" s="69"/>
      <c r="O257" s="69"/>
      <c r="P257" s="69"/>
      <c r="Q257" s="69"/>
    </row>
    <row r="258" spans="1:18" x14ac:dyDescent="0.15">
      <c r="I258"/>
      <c r="K258" s="70"/>
      <c r="L258" s="70"/>
      <c r="M258" s="70"/>
      <c r="N258" s="70"/>
      <c r="O258" s="70"/>
      <c r="P258" s="70"/>
      <c r="Q258" s="70"/>
    </row>
    <row r="259" spans="1:18" ht="21.75" thickBot="1" x14ac:dyDescent="0.25">
      <c r="A259" s="40" t="s">
        <v>29</v>
      </c>
      <c r="B259" s="41"/>
      <c r="C259" s="41"/>
      <c r="D259" s="41"/>
      <c r="E259" s="41"/>
      <c r="F259" s="41"/>
      <c r="G259" s="41"/>
      <c r="H259" s="42"/>
      <c r="I259"/>
      <c r="J259" s="43" t="s">
        <v>30</v>
      </c>
      <c r="K259" s="44"/>
      <c r="L259" s="44"/>
      <c r="M259" s="44"/>
      <c r="N259" s="44"/>
      <c r="O259" s="56"/>
      <c r="P259" s="44"/>
      <c r="Q259" s="45"/>
    </row>
    <row r="260" spans="1:18" ht="14.25" thickBot="1" x14ac:dyDescent="0.2">
      <c r="A260" s="1" t="s">
        <v>0</v>
      </c>
      <c r="B260" s="92" t="s">
        <v>13</v>
      </c>
      <c r="C260" s="92"/>
      <c r="D260" s="92"/>
      <c r="E260" s="92"/>
      <c r="F260" s="92"/>
      <c r="G260" s="92"/>
      <c r="H260" s="93"/>
      <c r="I260"/>
      <c r="J260" s="1" t="s">
        <v>0</v>
      </c>
      <c r="K260" s="92" t="s">
        <v>100</v>
      </c>
      <c r="L260" s="92"/>
      <c r="M260" s="92"/>
      <c r="N260" s="92"/>
      <c r="O260" s="92"/>
      <c r="P260" s="92"/>
      <c r="Q260" s="93"/>
    </row>
    <row r="261" spans="1:18" ht="14.25" thickBot="1" x14ac:dyDescent="0.2">
      <c r="A261" s="1" t="s">
        <v>1</v>
      </c>
      <c r="B261" s="21" t="s">
        <v>2</v>
      </c>
      <c r="C261" s="22" t="s">
        <v>9</v>
      </c>
      <c r="D261" s="22" t="s">
        <v>10</v>
      </c>
      <c r="E261" s="22" t="s">
        <v>11</v>
      </c>
      <c r="F261" s="22" t="s">
        <v>12</v>
      </c>
      <c r="G261" s="23" t="s">
        <v>14</v>
      </c>
      <c r="H261" s="1" t="s">
        <v>3</v>
      </c>
      <c r="I261"/>
      <c r="J261" s="1" t="s">
        <v>1</v>
      </c>
      <c r="K261" s="21" t="s">
        <v>2</v>
      </c>
      <c r="L261" s="22" t="s">
        <v>9</v>
      </c>
      <c r="M261" s="22" t="s">
        <v>10</v>
      </c>
      <c r="N261" s="22" t="s">
        <v>11</v>
      </c>
      <c r="O261" s="22" t="s">
        <v>12</v>
      </c>
      <c r="P261" s="23" t="s">
        <v>14</v>
      </c>
      <c r="Q261" s="1" t="s">
        <v>3</v>
      </c>
    </row>
    <row r="262" spans="1:18" ht="14.25" thickBot="1" x14ac:dyDescent="0.2">
      <c r="A262" s="15" t="s">
        <v>8</v>
      </c>
      <c r="B262" s="24">
        <f>B256</f>
        <v>2</v>
      </c>
      <c r="C262" s="25">
        <f t="shared" ref="C262:F262" si="174">C256</f>
        <v>2</v>
      </c>
      <c r="D262" s="25">
        <f t="shared" si="174"/>
        <v>3</v>
      </c>
      <c r="E262" s="25">
        <f t="shared" si="174"/>
        <v>2</v>
      </c>
      <c r="F262" s="25">
        <f t="shared" si="174"/>
        <v>3</v>
      </c>
      <c r="G262" s="26">
        <f>G256</f>
        <v>2</v>
      </c>
      <c r="H262" s="9">
        <f t="shared" ref="H262:H297" si="175">SUM(B262:G262)</f>
        <v>14</v>
      </c>
      <c r="I262"/>
      <c r="J262" s="15" t="s">
        <v>8</v>
      </c>
      <c r="K262" s="24">
        <f>K256</f>
        <v>80</v>
      </c>
      <c r="L262" s="25">
        <f t="shared" ref="L262:Q262" si="176">L256</f>
        <v>145</v>
      </c>
      <c r="M262" s="25">
        <f t="shared" si="176"/>
        <v>66</v>
      </c>
      <c r="N262" s="25">
        <f t="shared" si="176"/>
        <v>47</v>
      </c>
      <c r="O262" s="25">
        <f t="shared" si="176"/>
        <v>58</v>
      </c>
      <c r="P262" s="26">
        <f t="shared" si="176"/>
        <v>49</v>
      </c>
      <c r="Q262" s="9">
        <f t="shared" si="176"/>
        <v>445</v>
      </c>
    </row>
    <row r="263" spans="1:18" x14ac:dyDescent="0.15">
      <c r="A263" s="73" t="s">
        <v>5</v>
      </c>
      <c r="B263" s="74">
        <v>3</v>
      </c>
      <c r="C263" s="75">
        <v>5</v>
      </c>
      <c r="D263" s="75"/>
      <c r="E263" s="75">
        <v>3</v>
      </c>
      <c r="F263" s="75"/>
      <c r="G263" s="76"/>
      <c r="H263" s="77">
        <f t="shared" si="175"/>
        <v>11</v>
      </c>
      <c r="I263" s="78">
        <v>46015</v>
      </c>
      <c r="J263" s="13" t="s">
        <v>5</v>
      </c>
      <c r="K263" s="27"/>
      <c r="L263" s="28"/>
      <c r="M263" s="28"/>
      <c r="N263" s="28"/>
      <c r="O263" s="28"/>
      <c r="P263" s="29"/>
      <c r="Q263" s="4">
        <f t="shared" ref="Q263" si="177">SUM(K263:P263)</f>
        <v>0</v>
      </c>
    </row>
    <row r="264" spans="1:18" x14ac:dyDescent="0.15">
      <c r="A264" s="3" t="s">
        <v>5</v>
      </c>
      <c r="B264" s="27">
        <v>3</v>
      </c>
      <c r="C264" s="28">
        <v>5</v>
      </c>
      <c r="D264" s="28">
        <v>3</v>
      </c>
      <c r="E264" s="28">
        <v>3</v>
      </c>
      <c r="F264" s="28"/>
      <c r="G264" s="29">
        <v>3</v>
      </c>
      <c r="H264" s="4">
        <f t="shared" si="175"/>
        <v>17</v>
      </c>
      <c r="I264" s="71">
        <v>46017</v>
      </c>
      <c r="J264" s="13" t="s">
        <v>5</v>
      </c>
      <c r="K264" s="27"/>
      <c r="L264" s="28"/>
      <c r="M264" s="28"/>
      <c r="N264" s="28"/>
      <c r="O264" s="28"/>
      <c r="P264" s="29"/>
      <c r="Q264" s="4">
        <f t="shared" ref="Q264:Q272" si="178">SUM(K264:P264)</f>
        <v>0</v>
      </c>
    </row>
    <row r="265" spans="1:18" x14ac:dyDescent="0.15">
      <c r="A265" s="3" t="s">
        <v>5</v>
      </c>
      <c r="B265" s="27"/>
      <c r="C265" s="28"/>
      <c r="D265" s="28"/>
      <c r="E265" s="28"/>
      <c r="F265" s="28"/>
      <c r="G265" s="29"/>
      <c r="H265" s="4">
        <f t="shared" si="175"/>
        <v>0</v>
      </c>
      <c r="I265"/>
      <c r="J265" s="13" t="s">
        <v>185</v>
      </c>
      <c r="K265" s="27">
        <v>100</v>
      </c>
      <c r="L265" s="28">
        <v>0</v>
      </c>
      <c r="M265" s="28">
        <v>40</v>
      </c>
      <c r="N265" s="28">
        <v>20</v>
      </c>
      <c r="O265" s="28">
        <v>0</v>
      </c>
      <c r="P265" s="29">
        <v>0</v>
      </c>
      <c r="Q265" s="4">
        <f t="shared" si="178"/>
        <v>160</v>
      </c>
      <c r="R265" s="16" t="s">
        <v>196</v>
      </c>
    </row>
    <row r="266" spans="1:18" x14ac:dyDescent="0.15">
      <c r="A266" s="3" t="s">
        <v>5</v>
      </c>
      <c r="B266" s="27"/>
      <c r="C266" s="28"/>
      <c r="D266" s="28"/>
      <c r="E266" s="28"/>
      <c r="F266" s="28"/>
      <c r="G266" s="29"/>
      <c r="H266" s="4">
        <f t="shared" si="175"/>
        <v>0</v>
      </c>
      <c r="I266"/>
      <c r="J266" s="3" t="s">
        <v>5</v>
      </c>
      <c r="K266" s="27"/>
      <c r="L266" s="28"/>
      <c r="M266" s="28"/>
      <c r="N266" s="28"/>
      <c r="O266" s="28"/>
      <c r="P266" s="29"/>
      <c r="Q266" s="4">
        <f t="shared" ref="Q266:Q268" si="179">SUM(K266:P266)</f>
        <v>0</v>
      </c>
    </row>
    <row r="267" spans="1:18" x14ac:dyDescent="0.15">
      <c r="A267" s="3" t="s">
        <v>5</v>
      </c>
      <c r="B267" s="27"/>
      <c r="C267" s="28"/>
      <c r="D267" s="28"/>
      <c r="E267" s="28"/>
      <c r="F267" s="28"/>
      <c r="G267" s="29"/>
      <c r="H267" s="4">
        <f t="shared" si="175"/>
        <v>0</v>
      </c>
      <c r="I267"/>
      <c r="J267" s="3" t="s">
        <v>5</v>
      </c>
      <c r="K267" s="27"/>
      <c r="L267" s="28"/>
      <c r="M267" s="28"/>
      <c r="N267" s="28"/>
      <c r="O267" s="28"/>
      <c r="P267" s="29"/>
      <c r="Q267" s="4">
        <f t="shared" si="179"/>
        <v>0</v>
      </c>
    </row>
    <row r="268" spans="1:18" x14ac:dyDescent="0.15">
      <c r="A268" s="3" t="s">
        <v>5</v>
      </c>
      <c r="B268" s="27"/>
      <c r="C268" s="28"/>
      <c r="D268" s="28"/>
      <c r="E268" s="28"/>
      <c r="F268" s="28"/>
      <c r="G268" s="29"/>
      <c r="H268" s="4">
        <f t="shared" si="175"/>
        <v>0</v>
      </c>
      <c r="I268"/>
      <c r="J268" s="3" t="s">
        <v>5</v>
      </c>
      <c r="K268" s="27"/>
      <c r="L268" s="28"/>
      <c r="M268" s="28"/>
      <c r="N268" s="28"/>
      <c r="O268" s="28"/>
      <c r="P268" s="29"/>
      <c r="Q268" s="4">
        <f t="shared" si="179"/>
        <v>0</v>
      </c>
    </row>
    <row r="269" spans="1:18" x14ac:dyDescent="0.15">
      <c r="A269" s="3" t="s">
        <v>5</v>
      </c>
      <c r="B269" s="27"/>
      <c r="C269" s="28"/>
      <c r="D269" s="28"/>
      <c r="E269" s="28"/>
      <c r="F269" s="28"/>
      <c r="G269" s="29"/>
      <c r="H269" s="4">
        <f t="shared" si="175"/>
        <v>0</v>
      </c>
      <c r="I269"/>
      <c r="J269" s="3" t="s">
        <v>5</v>
      </c>
      <c r="K269" s="27"/>
      <c r="L269" s="28"/>
      <c r="M269" s="28"/>
      <c r="N269" s="28"/>
      <c r="O269" s="28"/>
      <c r="P269" s="29"/>
      <c r="Q269" s="4">
        <f t="shared" si="178"/>
        <v>0</v>
      </c>
    </row>
    <row r="270" spans="1:18" x14ac:dyDescent="0.15">
      <c r="A270" s="3" t="s">
        <v>5</v>
      </c>
      <c r="B270" s="27"/>
      <c r="C270" s="28"/>
      <c r="D270" s="28"/>
      <c r="E270" s="28"/>
      <c r="F270" s="28"/>
      <c r="G270" s="29"/>
      <c r="H270" s="4">
        <f t="shared" si="175"/>
        <v>0</v>
      </c>
      <c r="I270"/>
      <c r="J270" s="3" t="s">
        <v>5</v>
      </c>
      <c r="K270" s="27"/>
      <c r="L270" s="28"/>
      <c r="M270" s="28"/>
      <c r="N270" s="28"/>
      <c r="O270" s="28"/>
      <c r="P270" s="29"/>
      <c r="Q270" s="4">
        <f t="shared" si="178"/>
        <v>0</v>
      </c>
    </row>
    <row r="271" spans="1:18" x14ac:dyDescent="0.15">
      <c r="A271" s="3" t="s">
        <v>5</v>
      </c>
      <c r="B271" s="27"/>
      <c r="C271" s="28"/>
      <c r="D271" s="28"/>
      <c r="E271" s="28"/>
      <c r="F271" s="28"/>
      <c r="G271" s="29"/>
      <c r="H271" s="4">
        <f t="shared" si="175"/>
        <v>0</v>
      </c>
      <c r="I271"/>
      <c r="J271" s="3" t="s">
        <v>5</v>
      </c>
      <c r="K271" s="27"/>
      <c r="L271" s="28"/>
      <c r="M271" s="28"/>
      <c r="N271" s="28"/>
      <c r="O271" s="28"/>
      <c r="P271" s="29"/>
      <c r="Q271" s="4">
        <f t="shared" si="178"/>
        <v>0</v>
      </c>
    </row>
    <row r="272" spans="1:18" ht="14.25" thickBot="1" x14ac:dyDescent="0.2">
      <c r="A272" s="6" t="s">
        <v>5</v>
      </c>
      <c r="B272" s="30"/>
      <c r="C272" s="31"/>
      <c r="D272" s="31"/>
      <c r="E272" s="31"/>
      <c r="F272" s="31"/>
      <c r="G272" s="32"/>
      <c r="H272" s="7">
        <f t="shared" si="175"/>
        <v>0</v>
      </c>
      <c r="I272"/>
      <c r="J272" s="6" t="s">
        <v>5</v>
      </c>
      <c r="K272" s="30"/>
      <c r="L272" s="31"/>
      <c r="M272" s="31"/>
      <c r="N272" s="31"/>
      <c r="O272" s="31"/>
      <c r="P272" s="32"/>
      <c r="Q272" s="7">
        <f t="shared" si="178"/>
        <v>0</v>
      </c>
    </row>
    <row r="273" spans="1:19" ht="14.25" thickBot="1" x14ac:dyDescent="0.2">
      <c r="A273" s="8" t="s">
        <v>6</v>
      </c>
      <c r="B273" s="33">
        <f>SUM(B262:B272)</f>
        <v>8</v>
      </c>
      <c r="C273" s="34">
        <f t="shared" ref="C273:G273" si="180">SUM(C262:C272)</f>
        <v>12</v>
      </c>
      <c r="D273" s="34">
        <f t="shared" si="180"/>
        <v>6</v>
      </c>
      <c r="E273" s="34">
        <f t="shared" si="180"/>
        <v>8</v>
      </c>
      <c r="F273" s="34">
        <f t="shared" si="180"/>
        <v>3</v>
      </c>
      <c r="G273" s="35">
        <f t="shared" si="180"/>
        <v>5</v>
      </c>
      <c r="H273" s="9">
        <f t="shared" si="175"/>
        <v>42</v>
      </c>
      <c r="I273"/>
      <c r="J273" s="8" t="s">
        <v>6</v>
      </c>
      <c r="K273" s="33">
        <f>SUM(K262:K272)</f>
        <v>180</v>
      </c>
      <c r="L273" s="34">
        <f t="shared" ref="L273:Q273" si="181">SUM(L262:L272)</f>
        <v>145</v>
      </c>
      <c r="M273" s="34">
        <f t="shared" si="181"/>
        <v>106</v>
      </c>
      <c r="N273" s="34">
        <f t="shared" si="181"/>
        <v>67</v>
      </c>
      <c r="O273" s="34">
        <f t="shared" si="181"/>
        <v>58</v>
      </c>
      <c r="P273" s="35">
        <f t="shared" si="181"/>
        <v>49</v>
      </c>
      <c r="Q273" s="9">
        <f t="shared" si="181"/>
        <v>605</v>
      </c>
    </row>
    <row r="274" spans="1:19" x14ac:dyDescent="0.15">
      <c r="A274" s="19" t="s">
        <v>198</v>
      </c>
      <c r="B274" s="27">
        <v>2</v>
      </c>
      <c r="C274" s="28">
        <v>5</v>
      </c>
      <c r="D274" s="28"/>
      <c r="E274" s="28">
        <v>2</v>
      </c>
      <c r="F274" s="28"/>
      <c r="G274" s="29"/>
      <c r="H274" s="4">
        <f t="shared" si="175"/>
        <v>9</v>
      </c>
      <c r="I274" s="71">
        <v>46016</v>
      </c>
      <c r="J274" s="19" t="s">
        <v>197</v>
      </c>
      <c r="K274" s="27">
        <v>3</v>
      </c>
      <c r="L274" s="28">
        <v>4</v>
      </c>
      <c r="M274" s="28">
        <v>5</v>
      </c>
      <c r="N274" s="28"/>
      <c r="O274" s="28"/>
      <c r="P274" s="29"/>
      <c r="Q274" s="4">
        <f t="shared" ref="Q274:Q294" si="182">SUM(K274:P274)</f>
        <v>12</v>
      </c>
      <c r="R274" s="16">
        <v>46001</v>
      </c>
      <c r="S274" s="5"/>
    </row>
    <row r="275" spans="1:19" x14ac:dyDescent="0.15">
      <c r="A275" s="19" t="s">
        <v>23</v>
      </c>
      <c r="B275" s="27"/>
      <c r="C275" s="28"/>
      <c r="D275" s="28"/>
      <c r="E275" s="28"/>
      <c r="F275" s="28"/>
      <c r="G275" s="29">
        <v>1</v>
      </c>
      <c r="H275" s="4">
        <f t="shared" si="175"/>
        <v>1</v>
      </c>
      <c r="I275" s="72">
        <v>46016</v>
      </c>
      <c r="J275" s="79" t="s">
        <v>199</v>
      </c>
      <c r="K275" s="74">
        <v>3</v>
      </c>
      <c r="L275" s="75">
        <v>5</v>
      </c>
      <c r="M275" s="75"/>
      <c r="N275" s="75">
        <v>3</v>
      </c>
      <c r="O275" s="75"/>
      <c r="P275" s="76"/>
      <c r="Q275" s="77">
        <f t="shared" si="182"/>
        <v>11</v>
      </c>
      <c r="R275" s="80">
        <v>46015</v>
      </c>
      <c r="S275" s="5"/>
    </row>
    <row r="276" spans="1:19" x14ac:dyDescent="0.15">
      <c r="A276" s="19"/>
      <c r="B276" s="27"/>
      <c r="C276" s="28"/>
      <c r="D276" s="28"/>
      <c r="E276" s="28"/>
      <c r="F276" s="28"/>
      <c r="G276" s="29"/>
      <c r="H276" s="4">
        <f t="shared" si="175"/>
        <v>0</v>
      </c>
      <c r="I276"/>
      <c r="J276" s="19" t="s">
        <v>199</v>
      </c>
      <c r="K276" s="27">
        <v>3</v>
      </c>
      <c r="L276" s="28">
        <v>5</v>
      </c>
      <c r="M276" s="28">
        <v>3</v>
      </c>
      <c r="N276" s="28">
        <v>3</v>
      </c>
      <c r="O276" s="28"/>
      <c r="P276" s="29">
        <v>3</v>
      </c>
      <c r="Q276" s="4">
        <f t="shared" si="182"/>
        <v>17</v>
      </c>
      <c r="R276" s="16">
        <v>46017</v>
      </c>
    </row>
    <row r="277" spans="1:19" x14ac:dyDescent="0.15">
      <c r="A277" s="19"/>
      <c r="B277" s="27"/>
      <c r="C277" s="28"/>
      <c r="D277" s="28"/>
      <c r="E277" s="28"/>
      <c r="F277" s="28"/>
      <c r="G277" s="29"/>
      <c r="H277" s="4">
        <f t="shared" si="175"/>
        <v>0</v>
      </c>
      <c r="I277"/>
      <c r="J277" s="19"/>
      <c r="K277" s="27"/>
      <c r="L277" s="28"/>
      <c r="M277" s="28"/>
      <c r="N277" s="28"/>
      <c r="O277" s="28"/>
      <c r="P277" s="29"/>
      <c r="Q277" s="4">
        <f t="shared" si="182"/>
        <v>0</v>
      </c>
    </row>
    <row r="278" spans="1:19" x14ac:dyDescent="0.15">
      <c r="A278" s="20"/>
      <c r="B278" s="27"/>
      <c r="C278" s="28"/>
      <c r="D278" s="28"/>
      <c r="E278" s="28"/>
      <c r="F278" s="28"/>
      <c r="G278" s="29"/>
      <c r="H278" s="4">
        <f t="shared" si="175"/>
        <v>0</v>
      </c>
      <c r="I278"/>
      <c r="J278" s="19"/>
      <c r="K278" s="27"/>
      <c r="L278" s="28"/>
      <c r="M278" s="28"/>
      <c r="N278" s="28"/>
      <c r="O278" s="28"/>
      <c r="P278" s="29"/>
      <c r="Q278" s="4">
        <f t="shared" si="182"/>
        <v>0</v>
      </c>
    </row>
    <row r="279" spans="1:19" x14ac:dyDescent="0.15">
      <c r="A279" s="19"/>
      <c r="B279" s="27"/>
      <c r="C279" s="28"/>
      <c r="D279" s="28"/>
      <c r="E279" s="28"/>
      <c r="F279" s="28"/>
      <c r="G279" s="29"/>
      <c r="H279" s="4">
        <f t="shared" si="175"/>
        <v>0</v>
      </c>
      <c r="I279"/>
      <c r="J279" s="19"/>
      <c r="K279" s="27"/>
      <c r="L279" s="28"/>
      <c r="M279" s="28"/>
      <c r="N279" s="28"/>
      <c r="O279" s="28"/>
      <c r="P279" s="29"/>
      <c r="Q279" s="4">
        <f t="shared" si="182"/>
        <v>0</v>
      </c>
    </row>
    <row r="280" spans="1:19" x14ac:dyDescent="0.15">
      <c r="A280" s="19"/>
      <c r="B280" s="27"/>
      <c r="C280" s="28"/>
      <c r="D280" s="28"/>
      <c r="E280" s="28"/>
      <c r="F280" s="28"/>
      <c r="G280" s="29"/>
      <c r="H280" s="4">
        <f t="shared" si="175"/>
        <v>0</v>
      </c>
      <c r="I280"/>
      <c r="J280" s="19"/>
      <c r="K280" s="27"/>
      <c r="L280" s="28"/>
      <c r="M280" s="28"/>
      <c r="N280" s="28"/>
      <c r="O280" s="28"/>
      <c r="P280" s="29"/>
      <c r="Q280" s="4">
        <f t="shared" si="182"/>
        <v>0</v>
      </c>
    </row>
    <row r="281" spans="1:19" x14ac:dyDescent="0.15">
      <c r="A281" s="19"/>
      <c r="B281" s="27"/>
      <c r="C281" s="28"/>
      <c r="D281" s="28"/>
      <c r="E281" s="28"/>
      <c r="F281" s="28"/>
      <c r="G281" s="29"/>
      <c r="H281" s="4">
        <f t="shared" si="175"/>
        <v>0</v>
      </c>
      <c r="I281"/>
      <c r="J281" s="19"/>
      <c r="K281" s="27"/>
      <c r="L281" s="28"/>
      <c r="M281" s="28"/>
      <c r="N281" s="28"/>
      <c r="O281" s="28"/>
      <c r="P281" s="29"/>
      <c r="Q281" s="4">
        <f t="shared" si="182"/>
        <v>0</v>
      </c>
    </row>
    <row r="282" spans="1:19" x14ac:dyDescent="0.15">
      <c r="A282" s="12"/>
      <c r="B282" s="27"/>
      <c r="C282" s="28"/>
      <c r="D282" s="28"/>
      <c r="E282" s="28"/>
      <c r="F282" s="28"/>
      <c r="G282" s="29"/>
      <c r="H282" s="4">
        <f t="shared" si="175"/>
        <v>0</v>
      </c>
      <c r="I282"/>
      <c r="J282" s="19"/>
      <c r="K282" s="27"/>
      <c r="L282" s="28"/>
      <c r="M282" s="28"/>
      <c r="N282" s="28"/>
      <c r="O282" s="28"/>
      <c r="P282" s="29"/>
      <c r="Q282" s="4">
        <f t="shared" si="182"/>
        <v>0</v>
      </c>
    </row>
    <row r="283" spans="1:19" x14ac:dyDescent="0.15">
      <c r="A283" s="19"/>
      <c r="B283" s="27"/>
      <c r="C283" s="28"/>
      <c r="D283" s="28"/>
      <c r="E283" s="28"/>
      <c r="F283" s="28"/>
      <c r="G283" s="29"/>
      <c r="H283" s="4">
        <f t="shared" si="175"/>
        <v>0</v>
      </c>
      <c r="I283"/>
      <c r="J283" s="19"/>
      <c r="K283" s="27"/>
      <c r="L283" s="28"/>
      <c r="M283" s="28"/>
      <c r="N283" s="28"/>
      <c r="O283" s="28"/>
      <c r="P283" s="29"/>
      <c r="Q283" s="4">
        <f t="shared" si="182"/>
        <v>0</v>
      </c>
    </row>
    <row r="284" spans="1:19" x14ac:dyDescent="0.15">
      <c r="A284" s="19"/>
      <c r="B284" s="27"/>
      <c r="C284" s="28"/>
      <c r="D284" s="28"/>
      <c r="E284" s="28"/>
      <c r="F284" s="28"/>
      <c r="G284" s="29"/>
      <c r="H284" s="4">
        <f t="shared" si="175"/>
        <v>0</v>
      </c>
      <c r="I284"/>
      <c r="J284" s="19"/>
      <c r="K284" s="27"/>
      <c r="L284" s="28"/>
      <c r="M284" s="28"/>
      <c r="N284" s="28"/>
      <c r="O284" s="28"/>
      <c r="P284" s="29"/>
      <c r="Q284" s="4">
        <f t="shared" si="182"/>
        <v>0</v>
      </c>
    </row>
    <row r="285" spans="1:19" x14ac:dyDescent="0.15">
      <c r="A285" s="20"/>
      <c r="B285" s="27"/>
      <c r="C285" s="28"/>
      <c r="D285" s="28"/>
      <c r="E285" s="28"/>
      <c r="F285" s="28"/>
      <c r="G285" s="29"/>
      <c r="H285" s="4">
        <f t="shared" si="175"/>
        <v>0</v>
      </c>
      <c r="I285"/>
      <c r="J285" s="19"/>
      <c r="K285" s="27"/>
      <c r="L285" s="28"/>
      <c r="M285" s="28"/>
      <c r="N285" s="28"/>
      <c r="O285" s="28"/>
      <c r="P285" s="29"/>
      <c r="Q285" s="4">
        <f t="shared" si="182"/>
        <v>0</v>
      </c>
    </row>
    <row r="286" spans="1:19" x14ac:dyDescent="0.15">
      <c r="A286" s="20"/>
      <c r="B286" s="27"/>
      <c r="C286" s="28"/>
      <c r="D286" s="28"/>
      <c r="E286" s="28"/>
      <c r="F286" s="28"/>
      <c r="G286" s="29"/>
      <c r="H286" s="4">
        <f t="shared" si="175"/>
        <v>0</v>
      </c>
      <c r="I286"/>
      <c r="J286" s="19"/>
      <c r="K286" s="27"/>
      <c r="L286" s="28"/>
      <c r="M286" s="28"/>
      <c r="N286" s="28"/>
      <c r="O286" s="28"/>
      <c r="P286" s="29"/>
      <c r="Q286" s="4">
        <f t="shared" si="182"/>
        <v>0</v>
      </c>
    </row>
    <row r="287" spans="1:19" x14ac:dyDescent="0.15">
      <c r="A287" s="19"/>
      <c r="B287" s="27"/>
      <c r="C287" s="28"/>
      <c r="D287" s="28"/>
      <c r="E287" s="28"/>
      <c r="F287" s="28"/>
      <c r="G287" s="29"/>
      <c r="H287" s="4">
        <f t="shared" si="175"/>
        <v>0</v>
      </c>
      <c r="I287"/>
      <c r="J287" s="19"/>
      <c r="K287" s="27"/>
      <c r="L287" s="28"/>
      <c r="M287" s="28"/>
      <c r="N287" s="28"/>
      <c r="O287" s="28"/>
      <c r="P287" s="29"/>
      <c r="Q287" s="4">
        <f t="shared" si="182"/>
        <v>0</v>
      </c>
    </row>
    <row r="288" spans="1:19" x14ac:dyDescent="0.15">
      <c r="A288" s="10"/>
      <c r="B288" s="27"/>
      <c r="C288" s="28"/>
      <c r="D288" s="28"/>
      <c r="E288" s="28"/>
      <c r="F288" s="28"/>
      <c r="G288" s="29"/>
      <c r="H288" s="4">
        <f t="shared" si="175"/>
        <v>0</v>
      </c>
      <c r="I288"/>
      <c r="J288" s="19"/>
      <c r="K288" s="27"/>
      <c r="L288" s="28"/>
      <c r="M288" s="28"/>
      <c r="N288" s="28"/>
      <c r="O288" s="28"/>
      <c r="P288" s="29"/>
      <c r="Q288" s="4">
        <f t="shared" si="182"/>
        <v>0</v>
      </c>
    </row>
    <row r="289" spans="1:18" x14ac:dyDescent="0.15">
      <c r="A289" s="19"/>
      <c r="B289" s="27"/>
      <c r="C289" s="28"/>
      <c r="D289" s="28"/>
      <c r="E289" s="28"/>
      <c r="F289" s="28"/>
      <c r="G289" s="29"/>
      <c r="H289" s="4">
        <f t="shared" si="175"/>
        <v>0</v>
      </c>
      <c r="I289"/>
      <c r="J289" s="19"/>
      <c r="K289" s="27"/>
      <c r="L289" s="28"/>
      <c r="M289" s="28"/>
      <c r="N289" s="28"/>
      <c r="O289" s="28"/>
      <c r="P289" s="29"/>
      <c r="Q289" s="4">
        <f t="shared" si="182"/>
        <v>0</v>
      </c>
    </row>
    <row r="290" spans="1:18" x14ac:dyDescent="0.15">
      <c r="A290" s="19"/>
      <c r="B290" s="27"/>
      <c r="C290" s="28"/>
      <c r="D290" s="28"/>
      <c r="E290" s="28"/>
      <c r="F290" s="28"/>
      <c r="G290" s="29"/>
      <c r="H290" s="4">
        <f t="shared" si="175"/>
        <v>0</v>
      </c>
      <c r="I290"/>
      <c r="J290" s="19"/>
      <c r="K290" s="27"/>
      <c r="L290" s="28"/>
      <c r="M290" s="28"/>
      <c r="N290" s="28"/>
      <c r="O290" s="28"/>
      <c r="P290" s="29"/>
      <c r="Q290" s="4">
        <f t="shared" si="182"/>
        <v>0</v>
      </c>
    </row>
    <row r="291" spans="1:18" x14ac:dyDescent="0.15">
      <c r="A291" s="19"/>
      <c r="B291" s="27"/>
      <c r="C291" s="28"/>
      <c r="D291" s="28"/>
      <c r="E291" s="28"/>
      <c r="F291" s="28"/>
      <c r="G291" s="29"/>
      <c r="H291" s="4">
        <f t="shared" si="175"/>
        <v>0</v>
      </c>
      <c r="I291"/>
      <c r="J291" s="19"/>
      <c r="K291" s="27"/>
      <c r="L291" s="28"/>
      <c r="M291" s="28"/>
      <c r="N291" s="28"/>
      <c r="O291" s="28"/>
      <c r="P291" s="29"/>
      <c r="Q291" s="4">
        <f t="shared" si="182"/>
        <v>0</v>
      </c>
    </row>
    <row r="292" spans="1:18" x14ac:dyDescent="0.15">
      <c r="A292" s="19"/>
      <c r="B292" s="27"/>
      <c r="C292" s="28"/>
      <c r="D292" s="28"/>
      <c r="E292" s="28"/>
      <c r="F292" s="28"/>
      <c r="G292" s="29"/>
      <c r="H292" s="4">
        <f t="shared" si="175"/>
        <v>0</v>
      </c>
      <c r="I292"/>
      <c r="J292" s="19"/>
      <c r="K292" s="27"/>
      <c r="L292" s="28"/>
      <c r="M292" s="28"/>
      <c r="N292" s="28"/>
      <c r="O292" s="28"/>
      <c r="P292" s="29"/>
      <c r="Q292" s="4">
        <f t="shared" si="182"/>
        <v>0</v>
      </c>
    </row>
    <row r="293" spans="1:18" x14ac:dyDescent="0.15">
      <c r="A293" s="10"/>
      <c r="B293" s="27"/>
      <c r="C293" s="28"/>
      <c r="D293" s="28"/>
      <c r="E293" s="28"/>
      <c r="F293" s="28"/>
      <c r="G293" s="29"/>
      <c r="H293" s="4">
        <f t="shared" si="175"/>
        <v>0</v>
      </c>
      <c r="I293"/>
      <c r="J293" s="19"/>
      <c r="K293" s="27"/>
      <c r="L293" s="28"/>
      <c r="M293" s="28"/>
      <c r="N293" s="28"/>
      <c r="O293" s="28"/>
      <c r="P293" s="29"/>
      <c r="Q293" s="4">
        <f t="shared" si="182"/>
        <v>0</v>
      </c>
    </row>
    <row r="294" spans="1:18" x14ac:dyDescent="0.15">
      <c r="A294" s="19"/>
      <c r="B294" s="27"/>
      <c r="C294" s="28"/>
      <c r="D294" s="28"/>
      <c r="E294" s="28"/>
      <c r="F294" s="28"/>
      <c r="G294" s="29"/>
      <c r="H294" s="4">
        <f t="shared" si="175"/>
        <v>0</v>
      </c>
      <c r="I294"/>
      <c r="J294" s="19"/>
      <c r="K294" s="27"/>
      <c r="L294" s="28"/>
      <c r="M294" s="28"/>
      <c r="N294" s="28"/>
      <c r="O294" s="28"/>
      <c r="P294" s="29"/>
      <c r="Q294" s="4">
        <f t="shared" si="182"/>
        <v>0</v>
      </c>
    </row>
    <row r="295" spans="1:18" x14ac:dyDescent="0.15">
      <c r="A295" s="19"/>
      <c r="B295" s="27"/>
      <c r="C295" s="28"/>
      <c r="D295" s="28"/>
      <c r="E295" s="28"/>
      <c r="F295" s="28"/>
      <c r="G295" s="29"/>
      <c r="H295" s="4">
        <f t="shared" si="175"/>
        <v>0</v>
      </c>
      <c r="I295"/>
      <c r="J295" s="19"/>
      <c r="K295" s="27"/>
      <c r="L295" s="28"/>
      <c r="M295" s="28"/>
      <c r="N295" s="28"/>
      <c r="O295" s="28"/>
      <c r="P295" s="29"/>
      <c r="Q295" s="4">
        <f t="shared" ref="Q295" si="183">SUM(K295:P295)</f>
        <v>0</v>
      </c>
    </row>
    <row r="296" spans="1:18" x14ac:dyDescent="0.15">
      <c r="A296" s="19"/>
      <c r="B296" s="27"/>
      <c r="C296" s="28"/>
      <c r="D296" s="28"/>
      <c r="E296" s="28"/>
      <c r="F296" s="28"/>
      <c r="G296" s="29"/>
      <c r="H296" s="4">
        <f t="shared" si="175"/>
        <v>0</v>
      </c>
      <c r="I296"/>
      <c r="J296" s="3" t="s">
        <v>191</v>
      </c>
      <c r="K296" s="84"/>
      <c r="L296" s="85"/>
      <c r="M296" s="85"/>
      <c r="N296" s="85"/>
      <c r="O296" s="57"/>
      <c r="P296" s="58"/>
      <c r="Q296" s="87">
        <f t="shared" ref="Q296:Q297" si="184">SUM(K296:P296)</f>
        <v>0</v>
      </c>
      <c r="R296" s="17"/>
    </row>
    <row r="297" spans="1:18" ht="14.25" thickBot="1" x14ac:dyDescent="0.2">
      <c r="A297" s="19"/>
      <c r="B297" s="27"/>
      <c r="C297" s="36"/>
      <c r="D297" s="28"/>
      <c r="E297" s="28"/>
      <c r="F297" s="28"/>
      <c r="G297" s="29"/>
      <c r="H297" s="7">
        <f t="shared" si="175"/>
        <v>0</v>
      </c>
      <c r="I297"/>
      <c r="J297" s="19" t="s">
        <v>181</v>
      </c>
      <c r="K297" s="27"/>
      <c r="L297" s="28"/>
      <c r="M297" s="28"/>
      <c r="N297" s="28"/>
      <c r="O297" s="57"/>
      <c r="P297" s="58"/>
      <c r="Q297" s="4">
        <f t="shared" si="184"/>
        <v>0</v>
      </c>
      <c r="R297" s="17" t="s">
        <v>182</v>
      </c>
    </row>
    <row r="298" spans="1:18" ht="14.25" thickBot="1" x14ac:dyDescent="0.2">
      <c r="A298" s="2" t="s">
        <v>7</v>
      </c>
      <c r="B298" s="33">
        <f>SUM(B274:B297)</f>
        <v>2</v>
      </c>
      <c r="C298" s="34">
        <f t="shared" ref="C298:F298" si="185">SUM(C274:C297)</f>
        <v>5</v>
      </c>
      <c r="D298" s="34">
        <f t="shared" si="185"/>
        <v>0</v>
      </c>
      <c r="E298" s="34">
        <f t="shared" si="185"/>
        <v>2</v>
      </c>
      <c r="F298" s="34">
        <f t="shared" si="185"/>
        <v>0</v>
      </c>
      <c r="G298" s="35">
        <f>SUM(G274:G297)</f>
        <v>1</v>
      </c>
      <c r="H298" s="9">
        <f>SUM(B298:G298)</f>
        <v>10</v>
      </c>
      <c r="I298"/>
      <c r="J298" s="2" t="s">
        <v>7</v>
      </c>
      <c r="K298" s="33">
        <f>SUM(K274:K297)</f>
        <v>9</v>
      </c>
      <c r="L298" s="34">
        <f t="shared" ref="L298:Q298" si="186">SUM(L274:L297)</f>
        <v>14</v>
      </c>
      <c r="M298" s="34">
        <f t="shared" si="186"/>
        <v>8</v>
      </c>
      <c r="N298" s="34">
        <f t="shared" si="186"/>
        <v>6</v>
      </c>
      <c r="O298" s="34">
        <f t="shared" si="186"/>
        <v>0</v>
      </c>
      <c r="P298" s="35">
        <f t="shared" si="186"/>
        <v>3</v>
      </c>
      <c r="Q298" s="9">
        <f t="shared" si="186"/>
        <v>40</v>
      </c>
    </row>
    <row r="299" spans="1:18" ht="14.25" thickBot="1" x14ac:dyDescent="0.2">
      <c r="A299" s="11" t="s">
        <v>8</v>
      </c>
      <c r="B299" s="37">
        <f>B273-B298</f>
        <v>6</v>
      </c>
      <c r="C299" s="38">
        <f t="shared" ref="C299:F299" si="187">C273-C298</f>
        <v>7</v>
      </c>
      <c r="D299" s="38">
        <f t="shared" si="187"/>
        <v>6</v>
      </c>
      <c r="E299" s="38">
        <f t="shared" si="187"/>
        <v>6</v>
      </c>
      <c r="F299" s="38">
        <f t="shared" si="187"/>
        <v>3</v>
      </c>
      <c r="G299" s="39">
        <f>G273-G298</f>
        <v>4</v>
      </c>
      <c r="H299" s="9">
        <f>H273-H298</f>
        <v>32</v>
      </c>
      <c r="I299"/>
      <c r="J299" s="11" t="s">
        <v>8</v>
      </c>
      <c r="K299" s="37">
        <f>K273-K298</f>
        <v>171</v>
      </c>
      <c r="L299" s="38">
        <f t="shared" ref="L299:Q299" si="188">L273-L298</f>
        <v>131</v>
      </c>
      <c r="M299" s="38">
        <f t="shared" si="188"/>
        <v>98</v>
      </c>
      <c r="N299" s="38">
        <f t="shared" si="188"/>
        <v>61</v>
      </c>
      <c r="O299" s="38">
        <f t="shared" si="188"/>
        <v>58</v>
      </c>
      <c r="P299" s="39">
        <f t="shared" si="188"/>
        <v>46</v>
      </c>
      <c r="Q299" s="9">
        <f t="shared" si="188"/>
        <v>565</v>
      </c>
    </row>
    <row r="300" spans="1:18" x14ac:dyDescent="0.15">
      <c r="I300"/>
    </row>
    <row r="301" spans="1:18" x14ac:dyDescent="0.15">
      <c r="I301"/>
    </row>
    <row r="302" spans="1:18" ht="21.75" thickBot="1" x14ac:dyDescent="0.25">
      <c r="A302" s="40" t="s">
        <v>29</v>
      </c>
      <c r="B302" s="41"/>
      <c r="C302" s="41"/>
      <c r="D302" s="41"/>
      <c r="E302" s="41"/>
      <c r="F302" s="41"/>
      <c r="G302" s="41"/>
      <c r="H302" s="42"/>
      <c r="I302"/>
      <c r="J302" s="43" t="s">
        <v>30</v>
      </c>
      <c r="K302" s="44"/>
      <c r="L302" s="44"/>
      <c r="M302" s="44"/>
      <c r="N302" s="44"/>
      <c r="O302" s="56"/>
      <c r="P302" s="44"/>
      <c r="Q302" s="45"/>
    </row>
    <row r="303" spans="1:18" ht="14.25" thickBot="1" x14ac:dyDescent="0.2">
      <c r="A303" s="1" t="s">
        <v>0</v>
      </c>
      <c r="B303" s="92" t="s">
        <v>13</v>
      </c>
      <c r="C303" s="92"/>
      <c r="D303" s="92"/>
      <c r="E303" s="92"/>
      <c r="F303" s="92"/>
      <c r="G303" s="92"/>
      <c r="H303" s="93"/>
      <c r="I303"/>
      <c r="J303" s="1" t="s">
        <v>0</v>
      </c>
      <c r="K303" s="92" t="s">
        <v>100</v>
      </c>
      <c r="L303" s="92"/>
      <c r="M303" s="92"/>
      <c r="N303" s="92"/>
      <c r="O303" s="92"/>
      <c r="P303" s="92"/>
      <c r="Q303" s="93"/>
    </row>
    <row r="304" spans="1:18" ht="14.25" thickBot="1" x14ac:dyDescent="0.2">
      <c r="A304" s="1" t="s">
        <v>1</v>
      </c>
      <c r="B304" s="21" t="s">
        <v>2</v>
      </c>
      <c r="C304" s="22" t="s">
        <v>9</v>
      </c>
      <c r="D304" s="22" t="s">
        <v>10</v>
      </c>
      <c r="E304" s="22" t="s">
        <v>11</v>
      </c>
      <c r="F304" s="22" t="s">
        <v>12</v>
      </c>
      <c r="G304" s="23" t="s">
        <v>14</v>
      </c>
      <c r="H304" s="1" t="s">
        <v>3</v>
      </c>
      <c r="I304"/>
      <c r="J304" s="1" t="s">
        <v>1</v>
      </c>
      <c r="K304" s="21" t="s">
        <v>2</v>
      </c>
      <c r="L304" s="22" t="s">
        <v>9</v>
      </c>
      <c r="M304" s="22" t="s">
        <v>10</v>
      </c>
      <c r="N304" s="22" t="s">
        <v>11</v>
      </c>
      <c r="O304" s="22" t="s">
        <v>12</v>
      </c>
      <c r="P304" s="23" t="s">
        <v>14</v>
      </c>
      <c r="Q304" s="1" t="s">
        <v>3</v>
      </c>
    </row>
    <row r="305" spans="1:18" ht="14.25" thickBot="1" x14ac:dyDescent="0.2">
      <c r="A305" s="15" t="s">
        <v>8</v>
      </c>
      <c r="B305" s="24">
        <f>B299</f>
        <v>6</v>
      </c>
      <c r="C305" s="25">
        <f t="shared" ref="C305:F305" si="189">C299</f>
        <v>7</v>
      </c>
      <c r="D305" s="25">
        <f t="shared" si="189"/>
        <v>6</v>
      </c>
      <c r="E305" s="25">
        <f t="shared" si="189"/>
        <v>6</v>
      </c>
      <c r="F305" s="25">
        <f t="shared" si="189"/>
        <v>3</v>
      </c>
      <c r="G305" s="26">
        <f>G299</f>
        <v>4</v>
      </c>
      <c r="H305" s="9">
        <f t="shared" ref="H305:H340" si="190">SUM(B305:G305)</f>
        <v>32</v>
      </c>
      <c r="I305"/>
      <c r="J305" s="15" t="s">
        <v>8</v>
      </c>
      <c r="K305" s="24">
        <f>K299</f>
        <v>171</v>
      </c>
      <c r="L305" s="25">
        <f t="shared" ref="L305:Q305" si="191">L299</f>
        <v>131</v>
      </c>
      <c r="M305" s="25">
        <f t="shared" si="191"/>
        <v>98</v>
      </c>
      <c r="N305" s="25">
        <f t="shared" si="191"/>
        <v>61</v>
      </c>
      <c r="O305" s="25">
        <f t="shared" si="191"/>
        <v>58</v>
      </c>
      <c r="P305" s="26">
        <f t="shared" si="191"/>
        <v>46</v>
      </c>
      <c r="Q305" s="9">
        <f t="shared" si="191"/>
        <v>565</v>
      </c>
    </row>
    <row r="306" spans="1:18" x14ac:dyDescent="0.15">
      <c r="A306" s="3" t="s">
        <v>172</v>
      </c>
      <c r="B306" s="27"/>
      <c r="C306" s="28">
        <v>1</v>
      </c>
      <c r="D306" s="28"/>
      <c r="E306" s="28"/>
      <c r="F306" s="28"/>
      <c r="G306" s="29"/>
      <c r="H306" s="4">
        <f t="shared" si="190"/>
        <v>1</v>
      </c>
      <c r="I306" s="72">
        <v>46031</v>
      </c>
      <c r="J306" s="13" t="s">
        <v>203</v>
      </c>
      <c r="K306" s="27">
        <v>3</v>
      </c>
      <c r="L306" s="28">
        <v>1</v>
      </c>
      <c r="M306" s="28">
        <v>2</v>
      </c>
      <c r="N306" s="28">
        <v>1</v>
      </c>
      <c r="O306" s="28"/>
      <c r="P306" s="29"/>
      <c r="Q306" s="4">
        <f t="shared" ref="Q306:Q315" si="192">SUM(K306:P306)</f>
        <v>7</v>
      </c>
      <c r="R306" s="83">
        <v>46116</v>
      </c>
    </row>
    <row r="307" spans="1:18" x14ac:dyDescent="0.15">
      <c r="A307" s="73" t="s">
        <v>5</v>
      </c>
      <c r="B307" s="74"/>
      <c r="C307" s="75"/>
      <c r="D307" s="75"/>
      <c r="E307" s="75"/>
      <c r="F307" s="75">
        <v>5</v>
      </c>
      <c r="G307" s="76"/>
      <c r="H307" s="77">
        <f t="shared" si="190"/>
        <v>5</v>
      </c>
      <c r="I307" s="78">
        <v>46079</v>
      </c>
      <c r="J307" s="13" t="s">
        <v>5</v>
      </c>
      <c r="K307" s="27"/>
      <c r="L307" s="28"/>
      <c r="M307" s="28"/>
      <c r="N307" s="28"/>
      <c r="O307" s="28"/>
      <c r="P307" s="29"/>
      <c r="Q307" s="4">
        <f t="shared" si="192"/>
        <v>0</v>
      </c>
    </row>
    <row r="308" spans="1:18" x14ac:dyDescent="0.15">
      <c r="A308" s="73" t="s">
        <v>5</v>
      </c>
      <c r="B308" s="74"/>
      <c r="C308" s="75"/>
      <c r="D308" s="75"/>
      <c r="E308" s="75"/>
      <c r="F308" s="75"/>
      <c r="G308" s="76">
        <v>3</v>
      </c>
      <c r="H308" s="77">
        <f t="shared" si="190"/>
        <v>3</v>
      </c>
      <c r="I308" s="78">
        <v>46085</v>
      </c>
      <c r="J308" s="13" t="s">
        <v>5</v>
      </c>
      <c r="K308" s="27"/>
      <c r="L308" s="28"/>
      <c r="M308" s="28"/>
      <c r="N308" s="28"/>
      <c r="O308" s="28"/>
      <c r="P308" s="29"/>
      <c r="Q308" s="4">
        <f t="shared" ref="Q308" si="193">SUM(K308:P308)</f>
        <v>0</v>
      </c>
    </row>
    <row r="309" spans="1:18" x14ac:dyDescent="0.15">
      <c r="A309" s="3" t="s">
        <v>172</v>
      </c>
      <c r="B309" s="27">
        <v>3</v>
      </c>
      <c r="C309" s="28">
        <v>1</v>
      </c>
      <c r="D309" s="28">
        <v>2</v>
      </c>
      <c r="E309" s="28">
        <v>1</v>
      </c>
      <c r="F309" s="28"/>
      <c r="G309" s="29"/>
      <c r="H309" s="4">
        <f t="shared" si="190"/>
        <v>7</v>
      </c>
      <c r="I309" s="72">
        <v>46105</v>
      </c>
      <c r="J309" s="13" t="s">
        <v>5</v>
      </c>
      <c r="K309" s="27"/>
      <c r="L309" s="28"/>
      <c r="M309" s="28"/>
      <c r="N309" s="28"/>
      <c r="O309" s="28"/>
      <c r="P309" s="29"/>
      <c r="Q309" s="4">
        <f t="shared" ref="Q309:Q311" si="194">SUM(K309:P309)</f>
        <v>0</v>
      </c>
    </row>
    <row r="310" spans="1:18" x14ac:dyDescent="0.15">
      <c r="A310" s="3" t="s">
        <v>5</v>
      </c>
      <c r="B310" s="27"/>
      <c r="C310" s="28"/>
      <c r="D310" s="28"/>
      <c r="E310" s="28"/>
      <c r="F310" s="28"/>
      <c r="G310" s="29"/>
      <c r="H310" s="4">
        <f t="shared" si="190"/>
        <v>0</v>
      </c>
      <c r="I310"/>
      <c r="J310" s="13" t="s">
        <v>5</v>
      </c>
      <c r="K310" s="27"/>
      <c r="L310" s="28"/>
      <c r="M310" s="28"/>
      <c r="N310" s="28"/>
      <c r="O310" s="28"/>
      <c r="P310" s="29"/>
      <c r="Q310" s="4">
        <f t="shared" si="194"/>
        <v>0</v>
      </c>
    </row>
    <row r="311" spans="1:18" x14ac:dyDescent="0.15">
      <c r="A311" s="3" t="s">
        <v>5</v>
      </c>
      <c r="B311" s="27"/>
      <c r="C311" s="28"/>
      <c r="D311" s="28"/>
      <c r="E311" s="28"/>
      <c r="F311" s="28"/>
      <c r="G311" s="29"/>
      <c r="H311" s="4">
        <f t="shared" si="190"/>
        <v>0</v>
      </c>
      <c r="I311"/>
      <c r="J311" s="13" t="s">
        <v>5</v>
      </c>
      <c r="K311" s="27"/>
      <c r="L311" s="28"/>
      <c r="M311" s="28"/>
      <c r="N311" s="28"/>
      <c r="O311" s="28"/>
      <c r="P311" s="29"/>
      <c r="Q311" s="4">
        <f t="shared" si="194"/>
        <v>0</v>
      </c>
    </row>
    <row r="312" spans="1:18" x14ac:dyDescent="0.15">
      <c r="A312" s="3" t="s">
        <v>5</v>
      </c>
      <c r="B312" s="27"/>
      <c r="C312" s="28"/>
      <c r="D312" s="28"/>
      <c r="E312" s="28"/>
      <c r="F312" s="28"/>
      <c r="G312" s="29"/>
      <c r="H312" s="4">
        <f t="shared" si="190"/>
        <v>0</v>
      </c>
      <c r="I312"/>
      <c r="J312" s="3" t="s">
        <v>5</v>
      </c>
      <c r="K312" s="27"/>
      <c r="L312" s="28"/>
      <c r="M312" s="28"/>
      <c r="N312" s="28"/>
      <c r="O312" s="28"/>
      <c r="P312" s="29"/>
      <c r="Q312" s="4">
        <f t="shared" si="192"/>
        <v>0</v>
      </c>
    </row>
    <row r="313" spans="1:18" x14ac:dyDescent="0.15">
      <c r="A313" s="3" t="s">
        <v>5</v>
      </c>
      <c r="B313" s="27"/>
      <c r="C313" s="28"/>
      <c r="D313" s="28"/>
      <c r="E313" s="28"/>
      <c r="F313" s="28"/>
      <c r="G313" s="29"/>
      <c r="H313" s="4">
        <f t="shared" si="190"/>
        <v>0</v>
      </c>
      <c r="I313"/>
      <c r="J313" s="3" t="s">
        <v>5</v>
      </c>
      <c r="K313" s="27"/>
      <c r="L313" s="28"/>
      <c r="M313" s="28"/>
      <c r="N313" s="28"/>
      <c r="O313" s="28"/>
      <c r="P313" s="29"/>
      <c r="Q313" s="4">
        <f t="shared" si="192"/>
        <v>0</v>
      </c>
    </row>
    <row r="314" spans="1:18" x14ac:dyDescent="0.15">
      <c r="A314" s="3" t="s">
        <v>5</v>
      </c>
      <c r="B314" s="27"/>
      <c r="C314" s="28"/>
      <c r="D314" s="28"/>
      <c r="E314" s="28"/>
      <c r="F314" s="28"/>
      <c r="G314" s="29"/>
      <c r="H314" s="4">
        <f t="shared" si="190"/>
        <v>0</v>
      </c>
      <c r="I314"/>
      <c r="J314" s="3" t="s">
        <v>5</v>
      </c>
      <c r="K314" s="27"/>
      <c r="L314" s="28"/>
      <c r="M314" s="28"/>
      <c r="N314" s="28"/>
      <c r="O314" s="28"/>
      <c r="P314" s="29"/>
      <c r="Q314" s="4">
        <f t="shared" si="192"/>
        <v>0</v>
      </c>
    </row>
    <row r="315" spans="1:18" ht="14.25" thickBot="1" x14ac:dyDescent="0.2">
      <c r="A315" s="6" t="s">
        <v>5</v>
      </c>
      <c r="B315" s="30"/>
      <c r="C315" s="31"/>
      <c r="D315" s="31"/>
      <c r="E315" s="31"/>
      <c r="F315" s="31"/>
      <c r="G315" s="32"/>
      <c r="H315" s="7">
        <f t="shared" si="190"/>
        <v>0</v>
      </c>
      <c r="I315"/>
      <c r="J315" s="6" t="s">
        <v>5</v>
      </c>
      <c r="K315" s="30"/>
      <c r="L315" s="31"/>
      <c r="M315" s="31"/>
      <c r="N315" s="31"/>
      <c r="O315" s="31"/>
      <c r="P315" s="32"/>
      <c r="Q315" s="7">
        <f t="shared" si="192"/>
        <v>0</v>
      </c>
    </row>
    <row r="316" spans="1:18" ht="14.25" thickBot="1" x14ac:dyDescent="0.2">
      <c r="A316" s="8" t="s">
        <v>6</v>
      </c>
      <c r="B316" s="33">
        <f>SUM(B305:B315)</f>
        <v>9</v>
      </c>
      <c r="C316" s="34">
        <f t="shared" ref="C316:G316" si="195">SUM(C305:C315)</f>
        <v>9</v>
      </c>
      <c r="D316" s="34">
        <f t="shared" si="195"/>
        <v>8</v>
      </c>
      <c r="E316" s="34">
        <f t="shared" si="195"/>
        <v>7</v>
      </c>
      <c r="F316" s="34">
        <f t="shared" si="195"/>
        <v>8</v>
      </c>
      <c r="G316" s="35">
        <f t="shared" si="195"/>
        <v>7</v>
      </c>
      <c r="H316" s="9">
        <f t="shared" si="190"/>
        <v>48</v>
      </c>
      <c r="I316"/>
      <c r="J316" s="8" t="s">
        <v>6</v>
      </c>
      <c r="K316" s="33">
        <f>SUM(K305:K315)</f>
        <v>174</v>
      </c>
      <c r="L316" s="34">
        <f t="shared" ref="L316:Q316" si="196">SUM(L305:L315)</f>
        <v>132</v>
      </c>
      <c r="M316" s="34">
        <f t="shared" si="196"/>
        <v>100</v>
      </c>
      <c r="N316" s="34">
        <f t="shared" si="196"/>
        <v>62</v>
      </c>
      <c r="O316" s="34">
        <f t="shared" si="196"/>
        <v>58</v>
      </c>
      <c r="P316" s="35">
        <f t="shared" si="196"/>
        <v>46</v>
      </c>
      <c r="Q316" s="9">
        <f t="shared" si="196"/>
        <v>572</v>
      </c>
    </row>
    <row r="317" spans="1:18" x14ac:dyDescent="0.15">
      <c r="A317" s="19" t="s">
        <v>200</v>
      </c>
      <c r="B317" s="27"/>
      <c r="C317" s="28"/>
      <c r="D317" s="28"/>
      <c r="E317" s="28"/>
      <c r="F317" s="28"/>
      <c r="G317" s="29">
        <v>1</v>
      </c>
      <c r="H317" s="4">
        <f t="shared" si="190"/>
        <v>1</v>
      </c>
      <c r="I317" s="71">
        <v>46029</v>
      </c>
      <c r="J317" s="19" t="s">
        <v>201</v>
      </c>
      <c r="K317" s="27">
        <v>4</v>
      </c>
      <c r="L317" s="28">
        <v>5</v>
      </c>
      <c r="M317" s="28">
        <v>3</v>
      </c>
      <c r="N317" s="28"/>
      <c r="O317" s="28"/>
      <c r="P317" s="29"/>
      <c r="Q317" s="4">
        <f t="shared" ref="Q317:Q339" si="197">SUM(K317:P317)</f>
        <v>12</v>
      </c>
      <c r="R317" s="16">
        <v>46048</v>
      </c>
    </row>
    <row r="318" spans="1:18" x14ac:dyDescent="0.15">
      <c r="A318" s="19" t="s">
        <v>23</v>
      </c>
      <c r="B318" s="27"/>
      <c r="C318" s="28"/>
      <c r="D318" s="28">
        <v>1</v>
      </c>
      <c r="E318" s="28"/>
      <c r="F318" s="28"/>
      <c r="G318" s="29"/>
      <c r="H318" s="4">
        <f t="shared" si="190"/>
        <v>1</v>
      </c>
      <c r="I318" s="72">
        <v>46055</v>
      </c>
      <c r="J318" s="79" t="s">
        <v>199</v>
      </c>
      <c r="K318" s="74"/>
      <c r="L318" s="75"/>
      <c r="M318" s="75"/>
      <c r="N318" s="75"/>
      <c r="O318" s="75">
        <v>5</v>
      </c>
      <c r="P318" s="76"/>
      <c r="Q318" s="77">
        <f t="shared" si="197"/>
        <v>5</v>
      </c>
      <c r="R318" s="80">
        <v>46079</v>
      </c>
    </row>
    <row r="319" spans="1:18" x14ac:dyDescent="0.15">
      <c r="A319" s="19" t="s">
        <v>23</v>
      </c>
      <c r="B319" s="27"/>
      <c r="C319" s="28"/>
      <c r="D319" s="28"/>
      <c r="E319" s="28"/>
      <c r="F319" s="28">
        <v>2</v>
      </c>
      <c r="G319" s="29"/>
      <c r="H319" s="4">
        <f t="shared" si="190"/>
        <v>2</v>
      </c>
      <c r="I319" s="72">
        <v>46077</v>
      </c>
      <c r="J319" s="79" t="s">
        <v>199</v>
      </c>
      <c r="K319" s="74"/>
      <c r="L319" s="75"/>
      <c r="M319" s="75"/>
      <c r="N319" s="75"/>
      <c r="O319" s="75"/>
      <c r="P319" s="76">
        <v>3</v>
      </c>
      <c r="Q319" s="77">
        <f t="shared" si="197"/>
        <v>3</v>
      </c>
      <c r="R319" s="80">
        <v>46085</v>
      </c>
    </row>
    <row r="320" spans="1:18" x14ac:dyDescent="0.15">
      <c r="A320" s="19" t="s">
        <v>23</v>
      </c>
      <c r="B320" s="27"/>
      <c r="C320" s="28"/>
      <c r="D320" s="28"/>
      <c r="E320" s="28"/>
      <c r="F320" s="28"/>
      <c r="G320" s="29">
        <v>1</v>
      </c>
      <c r="H320" s="4">
        <f t="shared" si="190"/>
        <v>1</v>
      </c>
      <c r="I320" s="72">
        <v>46080</v>
      </c>
      <c r="J320" s="79" t="s">
        <v>204</v>
      </c>
      <c r="K320" s="74"/>
      <c r="L320" s="75"/>
      <c r="M320" s="75"/>
      <c r="N320" s="75">
        <v>10</v>
      </c>
      <c r="O320" s="75"/>
      <c r="P320" s="76"/>
      <c r="Q320" s="77">
        <f t="shared" si="197"/>
        <v>10</v>
      </c>
      <c r="R320" s="80">
        <v>46183</v>
      </c>
    </row>
    <row r="321" spans="1:17" x14ac:dyDescent="0.15">
      <c r="A321" s="19" t="s">
        <v>23</v>
      </c>
      <c r="B321" s="27"/>
      <c r="C321" s="28">
        <v>1</v>
      </c>
      <c r="D321" s="28"/>
      <c r="E321" s="28"/>
      <c r="F321" s="28">
        <v>1</v>
      </c>
      <c r="G321" s="29"/>
      <c r="H321" s="4">
        <f t="shared" si="190"/>
        <v>2</v>
      </c>
      <c r="I321" s="72">
        <v>46083</v>
      </c>
      <c r="J321" s="19"/>
      <c r="K321" s="27"/>
      <c r="L321" s="28"/>
      <c r="M321" s="28"/>
      <c r="N321" s="28"/>
      <c r="O321" s="28"/>
      <c r="P321" s="29"/>
      <c r="Q321" s="4">
        <f t="shared" si="197"/>
        <v>0</v>
      </c>
    </row>
    <row r="322" spans="1:17" x14ac:dyDescent="0.15">
      <c r="A322" s="19" t="s">
        <v>23</v>
      </c>
      <c r="B322" s="27">
        <v>1</v>
      </c>
      <c r="C322" s="28"/>
      <c r="D322" s="28"/>
      <c r="E322" s="28"/>
      <c r="F322" s="28"/>
      <c r="G322" s="29"/>
      <c r="H322" s="4">
        <f t="shared" si="190"/>
        <v>1</v>
      </c>
      <c r="I322" s="72">
        <v>46104</v>
      </c>
      <c r="J322" s="19"/>
      <c r="K322" s="27"/>
      <c r="L322" s="28"/>
      <c r="M322" s="28"/>
      <c r="N322" s="28"/>
      <c r="O322" s="28"/>
      <c r="P322" s="29"/>
      <c r="Q322" s="4">
        <f t="shared" si="197"/>
        <v>0</v>
      </c>
    </row>
    <row r="323" spans="1:17" x14ac:dyDescent="0.15">
      <c r="A323" s="19" t="s">
        <v>23</v>
      </c>
      <c r="B323" s="27"/>
      <c r="C323" s="28">
        <v>1</v>
      </c>
      <c r="D323" s="28"/>
      <c r="E323" s="28"/>
      <c r="F323" s="28"/>
      <c r="G323" s="29"/>
      <c r="H323" s="4">
        <f t="shared" si="190"/>
        <v>1</v>
      </c>
      <c r="I323" s="72">
        <v>46106</v>
      </c>
      <c r="J323" s="19"/>
      <c r="K323" s="27"/>
      <c r="L323" s="28"/>
      <c r="M323" s="28"/>
      <c r="N323" s="28"/>
      <c r="O323" s="28"/>
      <c r="P323" s="29"/>
      <c r="Q323" s="4">
        <f t="shared" si="197"/>
        <v>0</v>
      </c>
    </row>
    <row r="324" spans="1:17" x14ac:dyDescent="0.15">
      <c r="A324" s="19" t="s">
        <v>202</v>
      </c>
      <c r="B324" s="27">
        <v>3</v>
      </c>
      <c r="C324" s="28">
        <v>1</v>
      </c>
      <c r="D324" s="28">
        <v>2</v>
      </c>
      <c r="E324" s="28">
        <v>1</v>
      </c>
      <c r="F324" s="28"/>
      <c r="G324" s="29"/>
      <c r="H324" s="4">
        <f t="shared" si="190"/>
        <v>7</v>
      </c>
      <c r="I324" s="72">
        <v>46116</v>
      </c>
      <c r="J324" s="19"/>
      <c r="K324" s="27"/>
      <c r="L324" s="28"/>
      <c r="M324" s="28"/>
      <c r="N324" s="28"/>
      <c r="O324" s="28"/>
      <c r="P324" s="29"/>
      <c r="Q324" s="4">
        <f t="shared" si="197"/>
        <v>0</v>
      </c>
    </row>
    <row r="325" spans="1:17" x14ac:dyDescent="0.15">
      <c r="A325" s="12" t="s">
        <v>23</v>
      </c>
      <c r="B325" s="27"/>
      <c r="C325" s="28"/>
      <c r="D325" s="28"/>
      <c r="E325" s="28">
        <v>1</v>
      </c>
      <c r="F325" s="28"/>
      <c r="G325" s="29"/>
      <c r="H325" s="4">
        <f t="shared" si="190"/>
        <v>1</v>
      </c>
      <c r="I325" s="72">
        <v>46125</v>
      </c>
      <c r="J325" s="19"/>
      <c r="K325" s="27"/>
      <c r="L325" s="28"/>
      <c r="M325" s="28"/>
      <c r="N325" s="28"/>
      <c r="O325" s="28"/>
      <c r="P325" s="29"/>
      <c r="Q325" s="4">
        <f t="shared" si="197"/>
        <v>0</v>
      </c>
    </row>
    <row r="326" spans="1:17" x14ac:dyDescent="0.15">
      <c r="A326" s="12" t="s">
        <v>23</v>
      </c>
      <c r="B326" s="27"/>
      <c r="C326" s="28">
        <v>1</v>
      </c>
      <c r="D326" s="28"/>
      <c r="E326" s="28"/>
      <c r="F326" s="28"/>
      <c r="G326" s="29"/>
      <c r="H326" s="4">
        <f t="shared" si="190"/>
        <v>1</v>
      </c>
      <c r="I326" s="72">
        <v>46126</v>
      </c>
      <c r="J326" s="19"/>
      <c r="K326" s="27"/>
      <c r="L326" s="28"/>
      <c r="M326" s="28"/>
      <c r="N326" s="28"/>
      <c r="O326" s="28"/>
      <c r="P326" s="29"/>
      <c r="Q326" s="4">
        <f t="shared" si="197"/>
        <v>0</v>
      </c>
    </row>
    <row r="327" spans="1:17" x14ac:dyDescent="0.15">
      <c r="A327" s="12" t="s">
        <v>23</v>
      </c>
      <c r="B327" s="27"/>
      <c r="C327" s="28"/>
      <c r="D327" s="28"/>
      <c r="E327" s="28"/>
      <c r="F327" s="28"/>
      <c r="G327" s="29">
        <v>1</v>
      </c>
      <c r="H327" s="4">
        <f t="shared" si="190"/>
        <v>1</v>
      </c>
      <c r="I327" s="72">
        <v>46127</v>
      </c>
      <c r="J327" s="19"/>
      <c r="K327" s="27"/>
      <c r="L327" s="28"/>
      <c r="M327" s="28"/>
      <c r="N327" s="28"/>
      <c r="O327" s="28"/>
      <c r="P327" s="29"/>
      <c r="Q327" s="4">
        <f t="shared" si="197"/>
        <v>0</v>
      </c>
    </row>
    <row r="328" spans="1:17" x14ac:dyDescent="0.15">
      <c r="A328" s="12" t="s">
        <v>23</v>
      </c>
      <c r="B328" s="27"/>
      <c r="C328" s="28"/>
      <c r="D328" s="28"/>
      <c r="E328" s="28"/>
      <c r="F328" s="28"/>
      <c r="G328" s="29">
        <v>1</v>
      </c>
      <c r="H328" s="4">
        <f t="shared" si="190"/>
        <v>1</v>
      </c>
      <c r="I328" s="72">
        <v>46132</v>
      </c>
      <c r="J328" s="19"/>
      <c r="K328" s="27"/>
      <c r="L328" s="28"/>
      <c r="M328" s="28"/>
      <c r="N328" s="28"/>
      <c r="O328" s="28"/>
      <c r="P328" s="29"/>
      <c r="Q328" s="4">
        <f t="shared" si="197"/>
        <v>0</v>
      </c>
    </row>
    <row r="329" spans="1:17" x14ac:dyDescent="0.15">
      <c r="A329" s="12" t="s">
        <v>23</v>
      </c>
      <c r="B329" s="27"/>
      <c r="C329" s="28"/>
      <c r="D329" s="28">
        <v>1</v>
      </c>
      <c r="E329" s="28"/>
      <c r="F329" s="28"/>
      <c r="G329" s="29"/>
      <c r="H329" s="4">
        <f t="shared" si="190"/>
        <v>1</v>
      </c>
      <c r="I329" s="72">
        <v>46160</v>
      </c>
      <c r="J329" s="19"/>
      <c r="K329" s="27"/>
      <c r="L329" s="28"/>
      <c r="M329" s="28"/>
      <c r="N329" s="28"/>
      <c r="O329" s="28"/>
      <c r="P329" s="29"/>
      <c r="Q329" s="4">
        <f t="shared" si="197"/>
        <v>0</v>
      </c>
    </row>
    <row r="330" spans="1:17" x14ac:dyDescent="0.15">
      <c r="A330" s="12" t="s">
        <v>23</v>
      </c>
      <c r="B330" s="27"/>
      <c r="C330" s="28"/>
      <c r="D330" s="28"/>
      <c r="E330" s="28">
        <v>1</v>
      </c>
      <c r="F330" s="28"/>
      <c r="G330" s="29"/>
      <c r="H330" s="4">
        <f t="shared" si="190"/>
        <v>1</v>
      </c>
      <c r="I330" s="72">
        <v>46176</v>
      </c>
      <c r="J330" s="19"/>
      <c r="K330" s="27"/>
      <c r="L330" s="28"/>
      <c r="M330" s="28"/>
      <c r="N330" s="28"/>
      <c r="O330" s="28"/>
      <c r="P330" s="29"/>
      <c r="Q330" s="4">
        <f t="shared" si="197"/>
        <v>0</v>
      </c>
    </row>
    <row r="331" spans="1:17" x14ac:dyDescent="0.15">
      <c r="A331" s="10"/>
      <c r="B331" s="27"/>
      <c r="C331" s="28"/>
      <c r="D331" s="28"/>
      <c r="E331" s="28"/>
      <c r="F331" s="28"/>
      <c r="G331" s="29"/>
      <c r="H331" s="4">
        <f t="shared" si="190"/>
        <v>0</v>
      </c>
      <c r="I331"/>
      <c r="J331" s="19"/>
      <c r="K331" s="27"/>
      <c r="L331" s="28"/>
      <c r="M331" s="28"/>
      <c r="N331" s="28"/>
      <c r="O331" s="28"/>
      <c r="P331" s="29"/>
      <c r="Q331" s="4">
        <f t="shared" si="197"/>
        <v>0</v>
      </c>
    </row>
    <row r="332" spans="1:17" x14ac:dyDescent="0.15">
      <c r="A332" s="19"/>
      <c r="B332" s="27"/>
      <c r="C332" s="28"/>
      <c r="D332" s="28"/>
      <c r="E332" s="28"/>
      <c r="F332" s="28"/>
      <c r="G332" s="29"/>
      <c r="H332" s="4">
        <f t="shared" si="190"/>
        <v>0</v>
      </c>
      <c r="I332"/>
      <c r="J332" s="19"/>
      <c r="K332" s="27"/>
      <c r="L332" s="28"/>
      <c r="M332" s="28"/>
      <c r="N332" s="28"/>
      <c r="O332" s="28"/>
      <c r="P332" s="29"/>
      <c r="Q332" s="4">
        <f t="shared" si="197"/>
        <v>0</v>
      </c>
    </row>
    <row r="333" spans="1:17" x14ac:dyDescent="0.15">
      <c r="A333" s="19"/>
      <c r="B333" s="27"/>
      <c r="C333" s="28"/>
      <c r="D333" s="28"/>
      <c r="E333" s="28"/>
      <c r="F333" s="28"/>
      <c r="G333" s="29"/>
      <c r="H333" s="4">
        <f t="shared" si="190"/>
        <v>0</v>
      </c>
      <c r="I333"/>
      <c r="J333" s="19"/>
      <c r="K333" s="27"/>
      <c r="L333" s="28"/>
      <c r="M333" s="28"/>
      <c r="N333" s="28"/>
      <c r="O333" s="28"/>
      <c r="P333" s="29"/>
      <c r="Q333" s="4">
        <f t="shared" si="197"/>
        <v>0</v>
      </c>
    </row>
    <row r="334" spans="1:17" x14ac:dyDescent="0.15">
      <c r="A334" s="19"/>
      <c r="B334" s="27"/>
      <c r="C334" s="28"/>
      <c r="D334" s="28"/>
      <c r="E334" s="28"/>
      <c r="F334" s="28"/>
      <c r="G334" s="29"/>
      <c r="H334" s="4">
        <f t="shared" si="190"/>
        <v>0</v>
      </c>
      <c r="I334"/>
      <c r="J334" s="19"/>
      <c r="K334" s="27"/>
      <c r="L334" s="28"/>
      <c r="M334" s="28"/>
      <c r="N334" s="28"/>
      <c r="O334" s="28"/>
      <c r="P334" s="29"/>
      <c r="Q334" s="4">
        <f t="shared" si="197"/>
        <v>0</v>
      </c>
    </row>
    <row r="335" spans="1:17" x14ac:dyDescent="0.15">
      <c r="A335" s="19"/>
      <c r="B335" s="27"/>
      <c r="C335" s="28"/>
      <c r="D335" s="28"/>
      <c r="E335" s="28"/>
      <c r="F335" s="28"/>
      <c r="G335" s="29"/>
      <c r="H335" s="4">
        <f t="shared" si="190"/>
        <v>0</v>
      </c>
      <c r="I335"/>
      <c r="J335" s="19"/>
      <c r="K335" s="27"/>
      <c r="L335" s="28"/>
      <c r="M335" s="28"/>
      <c r="N335" s="28"/>
      <c r="O335" s="28"/>
      <c r="P335" s="29"/>
      <c r="Q335" s="4">
        <f t="shared" si="197"/>
        <v>0</v>
      </c>
    </row>
    <row r="336" spans="1:17" x14ac:dyDescent="0.15">
      <c r="A336" s="10"/>
      <c r="B336" s="27"/>
      <c r="C336" s="28"/>
      <c r="D336" s="28"/>
      <c r="E336" s="28"/>
      <c r="F336" s="28"/>
      <c r="G336" s="29"/>
      <c r="H336" s="4">
        <f t="shared" si="190"/>
        <v>0</v>
      </c>
      <c r="I336"/>
      <c r="J336" s="19"/>
      <c r="K336" s="27"/>
      <c r="L336" s="28"/>
      <c r="M336" s="28"/>
      <c r="N336" s="28"/>
      <c r="O336" s="28"/>
      <c r="P336" s="29"/>
      <c r="Q336" s="4">
        <f t="shared" ref="Q336" si="198">SUM(K336:P336)</f>
        <v>0</v>
      </c>
    </row>
    <row r="337" spans="1:18" x14ac:dyDescent="0.15">
      <c r="A337" s="19"/>
      <c r="B337" s="27"/>
      <c r="C337" s="28"/>
      <c r="D337" s="28"/>
      <c r="E337" s="28"/>
      <c r="F337" s="28"/>
      <c r="G337" s="29"/>
      <c r="H337" s="4">
        <f t="shared" si="190"/>
        <v>0</v>
      </c>
      <c r="I337"/>
      <c r="J337" s="19"/>
      <c r="K337" s="27"/>
      <c r="L337" s="28"/>
      <c r="M337" s="28"/>
      <c r="N337" s="28"/>
      <c r="O337" s="28"/>
      <c r="P337" s="29"/>
      <c r="Q337" s="4">
        <f t="shared" ref="Q337:Q338" si="199">SUM(K337:P337)</f>
        <v>0</v>
      </c>
    </row>
    <row r="338" spans="1:18" x14ac:dyDescent="0.15">
      <c r="A338" s="19"/>
      <c r="B338" s="27"/>
      <c r="C338" s="28"/>
      <c r="D338" s="28"/>
      <c r="E338" s="28"/>
      <c r="F338" s="28"/>
      <c r="G338" s="29"/>
      <c r="H338" s="4">
        <f t="shared" si="190"/>
        <v>0</v>
      </c>
      <c r="I338"/>
      <c r="J338" s="19"/>
      <c r="K338" s="27"/>
      <c r="L338" s="28"/>
      <c r="M338" s="28"/>
      <c r="N338" s="28"/>
      <c r="O338" s="28"/>
      <c r="P338" s="29"/>
      <c r="Q338" s="4">
        <f t="shared" si="199"/>
        <v>0</v>
      </c>
    </row>
    <row r="339" spans="1:18" x14ac:dyDescent="0.15">
      <c r="A339" s="19"/>
      <c r="B339" s="27"/>
      <c r="C339" s="28"/>
      <c r="D339" s="28"/>
      <c r="E339" s="28"/>
      <c r="F339" s="28"/>
      <c r="G339" s="29"/>
      <c r="H339" s="4">
        <f t="shared" si="190"/>
        <v>0</v>
      </c>
      <c r="I339"/>
      <c r="J339" s="3" t="s">
        <v>192</v>
      </c>
      <c r="K339" s="84"/>
      <c r="L339" s="85"/>
      <c r="M339" s="85"/>
      <c r="N339" s="85"/>
      <c r="O339" s="57"/>
      <c r="P339" s="58"/>
      <c r="Q339" s="87">
        <f t="shared" si="197"/>
        <v>0</v>
      </c>
      <c r="R339" s="88"/>
    </row>
    <row r="340" spans="1:18" ht="14.25" thickBot="1" x14ac:dyDescent="0.2">
      <c r="A340" s="19"/>
      <c r="B340" s="27"/>
      <c r="C340" s="36"/>
      <c r="D340" s="28"/>
      <c r="E340" s="28"/>
      <c r="F340" s="28"/>
      <c r="G340" s="29"/>
      <c r="H340" s="7">
        <f t="shared" si="190"/>
        <v>0</v>
      </c>
      <c r="I340"/>
      <c r="J340" s="19" t="s">
        <v>187</v>
      </c>
      <c r="K340" s="27"/>
      <c r="L340" s="28"/>
      <c r="M340" s="28"/>
      <c r="N340" s="28"/>
      <c r="O340" s="57"/>
      <c r="P340" s="58"/>
      <c r="Q340" s="4">
        <f t="shared" ref="Q340" si="200">SUM(K340:P340)</f>
        <v>0</v>
      </c>
      <c r="R340" s="17" t="s">
        <v>188</v>
      </c>
    </row>
    <row r="341" spans="1:18" ht="14.25" thickBot="1" x14ac:dyDescent="0.2">
      <c r="A341" s="2" t="s">
        <v>7</v>
      </c>
      <c r="B341" s="33">
        <f>SUM(B317:B340)</f>
        <v>4</v>
      </c>
      <c r="C341" s="34">
        <f t="shared" ref="C341:F341" si="201">SUM(C317:C340)</f>
        <v>4</v>
      </c>
      <c r="D341" s="34">
        <f t="shared" si="201"/>
        <v>4</v>
      </c>
      <c r="E341" s="34">
        <f t="shared" si="201"/>
        <v>3</v>
      </c>
      <c r="F341" s="34">
        <f t="shared" si="201"/>
        <v>3</v>
      </c>
      <c r="G341" s="35">
        <f>SUM(G317:G340)</f>
        <v>4</v>
      </c>
      <c r="H341" s="9">
        <f>SUM(B341:G341)</f>
        <v>22</v>
      </c>
      <c r="I341"/>
      <c r="J341" s="2" t="s">
        <v>7</v>
      </c>
      <c r="K341" s="33">
        <f>SUM(K317:K340)</f>
        <v>4</v>
      </c>
      <c r="L341" s="34">
        <f t="shared" ref="L341:Q341" si="202">SUM(L317:L340)</f>
        <v>5</v>
      </c>
      <c r="M341" s="34">
        <f t="shared" si="202"/>
        <v>3</v>
      </c>
      <c r="N341" s="34">
        <f t="shared" si="202"/>
        <v>10</v>
      </c>
      <c r="O341" s="34">
        <f t="shared" si="202"/>
        <v>5</v>
      </c>
      <c r="P341" s="35">
        <f t="shared" si="202"/>
        <v>3</v>
      </c>
      <c r="Q341" s="9">
        <f t="shared" si="202"/>
        <v>30</v>
      </c>
    </row>
    <row r="342" spans="1:18" ht="14.25" thickBot="1" x14ac:dyDescent="0.2">
      <c r="A342" s="11" t="s">
        <v>8</v>
      </c>
      <c r="B342" s="37">
        <f>B316-B341</f>
        <v>5</v>
      </c>
      <c r="C342" s="38">
        <f t="shared" ref="C342:F342" si="203">C316-C341</f>
        <v>5</v>
      </c>
      <c r="D342" s="38">
        <f t="shared" si="203"/>
        <v>4</v>
      </c>
      <c r="E342" s="38">
        <f t="shared" si="203"/>
        <v>4</v>
      </c>
      <c r="F342" s="38">
        <f t="shared" si="203"/>
        <v>5</v>
      </c>
      <c r="G342" s="39">
        <f>G316-G341</f>
        <v>3</v>
      </c>
      <c r="H342" s="9">
        <f>H316-H341</f>
        <v>26</v>
      </c>
      <c r="I342"/>
      <c r="J342" s="11" t="s">
        <v>8</v>
      </c>
      <c r="K342" s="37">
        <f>K316-K341</f>
        <v>170</v>
      </c>
      <c r="L342" s="38">
        <f t="shared" ref="L342:Q342" si="204">L316-L341</f>
        <v>127</v>
      </c>
      <c r="M342" s="38">
        <f t="shared" si="204"/>
        <v>97</v>
      </c>
      <c r="N342" s="38">
        <f t="shared" si="204"/>
        <v>52</v>
      </c>
      <c r="O342" s="38">
        <f t="shared" si="204"/>
        <v>53</v>
      </c>
      <c r="P342" s="39">
        <f t="shared" si="204"/>
        <v>43</v>
      </c>
      <c r="Q342" s="9">
        <f t="shared" si="204"/>
        <v>542</v>
      </c>
    </row>
    <row r="343" spans="1:18" x14ac:dyDescent="0.15">
      <c r="I343"/>
    </row>
    <row r="344" spans="1:18" x14ac:dyDescent="0.15">
      <c r="I344"/>
    </row>
    <row r="345" spans="1:18" ht="21.75" thickBot="1" x14ac:dyDescent="0.25">
      <c r="A345" s="40" t="s">
        <v>29</v>
      </c>
      <c r="B345" s="41"/>
      <c r="C345" s="41"/>
      <c r="D345" s="41"/>
      <c r="E345" s="41"/>
      <c r="F345" s="41"/>
      <c r="G345" s="41"/>
      <c r="H345" s="42"/>
      <c r="I345"/>
      <c r="J345" s="43" t="s">
        <v>30</v>
      </c>
      <c r="K345" s="44"/>
      <c r="L345" s="44"/>
      <c r="M345" s="44"/>
      <c r="N345" s="44"/>
      <c r="O345" s="56"/>
      <c r="P345" s="44"/>
      <c r="Q345" s="45"/>
    </row>
    <row r="346" spans="1:18" ht="14.25" thickBot="1" x14ac:dyDescent="0.2">
      <c r="A346" s="1" t="s">
        <v>0</v>
      </c>
      <c r="B346" s="92" t="s">
        <v>13</v>
      </c>
      <c r="C346" s="92"/>
      <c r="D346" s="92"/>
      <c r="E346" s="92"/>
      <c r="F346" s="92"/>
      <c r="G346" s="92"/>
      <c r="H346" s="93"/>
      <c r="I346"/>
      <c r="J346" s="1" t="s">
        <v>0</v>
      </c>
      <c r="K346" s="92" t="s">
        <v>100</v>
      </c>
      <c r="L346" s="92"/>
      <c r="M346" s="92"/>
      <c r="N346" s="92"/>
      <c r="O346" s="92"/>
      <c r="P346" s="92"/>
      <c r="Q346" s="93"/>
    </row>
    <row r="347" spans="1:18" ht="14.25" thickBot="1" x14ac:dyDescent="0.2">
      <c r="A347" s="1" t="s">
        <v>1</v>
      </c>
      <c r="B347" s="21" t="s">
        <v>2</v>
      </c>
      <c r="C347" s="22" t="s">
        <v>9</v>
      </c>
      <c r="D347" s="22" t="s">
        <v>10</v>
      </c>
      <c r="E347" s="22" t="s">
        <v>11</v>
      </c>
      <c r="F347" s="22" t="s">
        <v>12</v>
      </c>
      <c r="G347" s="23" t="s">
        <v>14</v>
      </c>
      <c r="H347" s="1" t="s">
        <v>3</v>
      </c>
      <c r="I347"/>
      <c r="J347" s="1" t="s">
        <v>1</v>
      </c>
      <c r="K347" s="21" t="s">
        <v>2</v>
      </c>
      <c r="L347" s="22" t="s">
        <v>9</v>
      </c>
      <c r="M347" s="22" t="s">
        <v>10</v>
      </c>
      <c r="N347" s="22" t="s">
        <v>11</v>
      </c>
      <c r="O347" s="22" t="s">
        <v>12</v>
      </c>
      <c r="P347" s="23" t="s">
        <v>14</v>
      </c>
      <c r="Q347" s="1" t="s">
        <v>3</v>
      </c>
    </row>
    <row r="348" spans="1:18" ht="14.25" thickBot="1" x14ac:dyDescent="0.2">
      <c r="A348" s="15" t="s">
        <v>8</v>
      </c>
      <c r="B348" s="24">
        <f>B342</f>
        <v>5</v>
      </c>
      <c r="C348" s="25">
        <f t="shared" ref="C348:F348" si="205">C342</f>
        <v>5</v>
      </c>
      <c r="D348" s="25">
        <f t="shared" si="205"/>
        <v>4</v>
      </c>
      <c r="E348" s="25">
        <f t="shared" si="205"/>
        <v>4</v>
      </c>
      <c r="F348" s="25">
        <f t="shared" si="205"/>
        <v>5</v>
      </c>
      <c r="G348" s="26">
        <f>G342</f>
        <v>3</v>
      </c>
      <c r="H348" s="9">
        <f t="shared" ref="H348:H383" si="206">SUM(B348:G348)</f>
        <v>26</v>
      </c>
      <c r="I348"/>
      <c r="J348" s="15" t="s">
        <v>8</v>
      </c>
      <c r="K348" s="24">
        <f>K342</f>
        <v>170</v>
      </c>
      <c r="L348" s="25">
        <f t="shared" ref="L348:Q348" si="207">L342</f>
        <v>127</v>
      </c>
      <c r="M348" s="25">
        <f t="shared" si="207"/>
        <v>97</v>
      </c>
      <c r="N348" s="25">
        <f t="shared" si="207"/>
        <v>52</v>
      </c>
      <c r="O348" s="25">
        <f t="shared" si="207"/>
        <v>53</v>
      </c>
      <c r="P348" s="26">
        <f t="shared" si="207"/>
        <v>43</v>
      </c>
      <c r="Q348" s="9">
        <f t="shared" si="207"/>
        <v>542</v>
      </c>
    </row>
    <row r="349" spans="1:18" x14ac:dyDescent="0.15">
      <c r="A349" s="3" t="s">
        <v>5</v>
      </c>
      <c r="B349" s="27"/>
      <c r="C349" s="28"/>
      <c r="D349" s="28"/>
      <c r="E349" s="28"/>
      <c r="F349" s="28"/>
      <c r="G349" s="29"/>
      <c r="H349" s="4">
        <f t="shared" si="206"/>
        <v>0</v>
      </c>
      <c r="I349"/>
      <c r="J349" s="13" t="s">
        <v>5</v>
      </c>
      <c r="K349" s="27"/>
      <c r="L349" s="28"/>
      <c r="M349" s="28"/>
      <c r="N349" s="28"/>
      <c r="O349" s="28"/>
      <c r="P349" s="29"/>
      <c r="Q349" s="4">
        <f t="shared" ref="Q349:Q358" si="208">SUM(K349:P349)</f>
        <v>0</v>
      </c>
    </row>
    <row r="350" spans="1:18" x14ac:dyDescent="0.15">
      <c r="A350" s="3" t="s">
        <v>5</v>
      </c>
      <c r="B350" s="27"/>
      <c r="C350" s="28"/>
      <c r="D350" s="28"/>
      <c r="E350" s="28"/>
      <c r="F350" s="28"/>
      <c r="G350" s="29"/>
      <c r="H350" s="4">
        <f t="shared" si="206"/>
        <v>0</v>
      </c>
      <c r="I350"/>
      <c r="J350" s="13" t="s">
        <v>5</v>
      </c>
      <c r="K350" s="27"/>
      <c r="L350" s="28"/>
      <c r="M350" s="28"/>
      <c r="N350" s="28"/>
      <c r="O350" s="28"/>
      <c r="P350" s="29"/>
      <c r="Q350" s="4">
        <f t="shared" si="208"/>
        <v>0</v>
      </c>
    </row>
    <row r="351" spans="1:18" x14ac:dyDescent="0.15">
      <c r="A351" s="3" t="s">
        <v>5</v>
      </c>
      <c r="B351" s="27"/>
      <c r="C351" s="28"/>
      <c r="D351" s="28"/>
      <c r="E351" s="28"/>
      <c r="F351" s="28"/>
      <c r="G351" s="29"/>
      <c r="H351" s="4">
        <f t="shared" si="206"/>
        <v>0</v>
      </c>
      <c r="I351"/>
      <c r="J351" s="3" t="s">
        <v>184</v>
      </c>
      <c r="K351" s="27">
        <v>100</v>
      </c>
      <c r="L351" s="28">
        <v>0</v>
      </c>
      <c r="M351" s="28">
        <v>0</v>
      </c>
      <c r="N351" s="28">
        <v>20</v>
      </c>
      <c r="O351" s="28">
        <v>0</v>
      </c>
      <c r="P351" s="29">
        <v>0</v>
      </c>
      <c r="Q351" s="4">
        <f t="shared" si="208"/>
        <v>120</v>
      </c>
      <c r="R351" s="16">
        <v>45708</v>
      </c>
    </row>
    <row r="352" spans="1:18" x14ac:dyDescent="0.15">
      <c r="A352" s="3" t="s">
        <v>5</v>
      </c>
      <c r="B352" s="27"/>
      <c r="C352" s="28"/>
      <c r="D352" s="28"/>
      <c r="E352" s="28"/>
      <c r="F352" s="28"/>
      <c r="G352" s="29"/>
      <c r="H352" s="4">
        <f t="shared" si="206"/>
        <v>0</v>
      </c>
      <c r="I352"/>
      <c r="J352" s="3" t="s">
        <v>183</v>
      </c>
      <c r="K352" s="27"/>
      <c r="L352" s="28">
        <v>500</v>
      </c>
      <c r="M352" s="28">
        <v>300</v>
      </c>
      <c r="N352" s="28"/>
      <c r="O352" s="28"/>
      <c r="P352" s="29"/>
      <c r="Q352" s="4">
        <f t="shared" si="208"/>
        <v>800</v>
      </c>
      <c r="R352" s="16">
        <v>46073</v>
      </c>
    </row>
    <row r="353" spans="1:17" x14ac:dyDescent="0.15">
      <c r="A353" s="3" t="s">
        <v>5</v>
      </c>
      <c r="B353" s="27"/>
      <c r="C353" s="28"/>
      <c r="D353" s="28"/>
      <c r="E353" s="28"/>
      <c r="F353" s="28"/>
      <c r="G353" s="29"/>
      <c r="H353" s="4">
        <f t="shared" si="206"/>
        <v>0</v>
      </c>
      <c r="I353"/>
      <c r="J353" s="13" t="s">
        <v>5</v>
      </c>
      <c r="K353" s="27"/>
      <c r="L353" s="28"/>
      <c r="M353" s="28"/>
      <c r="N353" s="28"/>
      <c r="O353" s="28"/>
      <c r="P353" s="29"/>
      <c r="Q353" s="4">
        <f t="shared" ref="Q353:Q354" si="209">SUM(K353:P353)</f>
        <v>0</v>
      </c>
    </row>
    <row r="354" spans="1:17" x14ac:dyDescent="0.15">
      <c r="A354" s="3" t="s">
        <v>5</v>
      </c>
      <c r="B354" s="27"/>
      <c r="C354" s="28"/>
      <c r="D354" s="28"/>
      <c r="E354" s="28"/>
      <c r="F354" s="28"/>
      <c r="G354" s="29"/>
      <c r="H354" s="4">
        <f t="shared" si="206"/>
        <v>0</v>
      </c>
      <c r="I354"/>
      <c r="J354" s="13" t="s">
        <v>5</v>
      </c>
      <c r="K354" s="27"/>
      <c r="L354" s="28"/>
      <c r="M354" s="28"/>
      <c r="N354" s="28"/>
      <c r="O354" s="28"/>
      <c r="P354" s="29"/>
      <c r="Q354" s="4">
        <f t="shared" si="209"/>
        <v>0</v>
      </c>
    </row>
    <row r="355" spans="1:17" x14ac:dyDescent="0.15">
      <c r="A355" s="3" t="s">
        <v>5</v>
      </c>
      <c r="B355" s="27"/>
      <c r="C355" s="28"/>
      <c r="D355" s="28"/>
      <c r="E355" s="28"/>
      <c r="F355" s="28"/>
      <c r="G355" s="29"/>
      <c r="H355" s="4">
        <f t="shared" si="206"/>
        <v>0</v>
      </c>
      <c r="I355"/>
      <c r="J355" s="3" t="s">
        <v>5</v>
      </c>
      <c r="K355" s="27"/>
      <c r="L355" s="28"/>
      <c r="M355" s="28"/>
      <c r="N355" s="28"/>
      <c r="O355" s="28"/>
      <c r="P355" s="29"/>
      <c r="Q355" s="4">
        <f t="shared" si="208"/>
        <v>0</v>
      </c>
    </row>
    <row r="356" spans="1:17" x14ac:dyDescent="0.15">
      <c r="A356" s="3" t="s">
        <v>5</v>
      </c>
      <c r="B356" s="27"/>
      <c r="C356" s="28"/>
      <c r="D356" s="28"/>
      <c r="E356" s="28"/>
      <c r="F356" s="28"/>
      <c r="G356" s="29"/>
      <c r="H356" s="4">
        <f t="shared" si="206"/>
        <v>0</v>
      </c>
      <c r="I356"/>
      <c r="J356" s="3" t="s">
        <v>5</v>
      </c>
      <c r="K356" s="27"/>
      <c r="L356" s="28"/>
      <c r="M356" s="28"/>
      <c r="N356" s="28"/>
      <c r="O356" s="28"/>
      <c r="P356" s="29"/>
      <c r="Q356" s="4">
        <f t="shared" si="208"/>
        <v>0</v>
      </c>
    </row>
    <row r="357" spans="1:17" x14ac:dyDescent="0.15">
      <c r="A357" s="3" t="s">
        <v>5</v>
      </c>
      <c r="B357" s="27"/>
      <c r="C357" s="28"/>
      <c r="D357" s="28"/>
      <c r="E357" s="28"/>
      <c r="F357" s="28"/>
      <c r="G357" s="29"/>
      <c r="H357" s="4">
        <f t="shared" si="206"/>
        <v>0</v>
      </c>
      <c r="I357"/>
      <c r="J357" s="3" t="s">
        <v>5</v>
      </c>
      <c r="K357" s="27"/>
      <c r="L357" s="28"/>
      <c r="M357" s="28"/>
      <c r="N357" s="28"/>
      <c r="O357" s="28"/>
      <c r="P357" s="29"/>
      <c r="Q357" s="4">
        <f t="shared" si="208"/>
        <v>0</v>
      </c>
    </row>
    <row r="358" spans="1:17" ht="14.25" thickBot="1" x14ac:dyDescent="0.2">
      <c r="A358" s="6" t="s">
        <v>5</v>
      </c>
      <c r="B358" s="30"/>
      <c r="C358" s="31"/>
      <c r="D358" s="31"/>
      <c r="E358" s="31"/>
      <c r="F358" s="31"/>
      <c r="G358" s="32"/>
      <c r="H358" s="7">
        <f t="shared" si="206"/>
        <v>0</v>
      </c>
      <c r="I358"/>
      <c r="J358" s="6" t="s">
        <v>5</v>
      </c>
      <c r="K358" s="30"/>
      <c r="L358" s="31"/>
      <c r="M358" s="31"/>
      <c r="N358" s="31"/>
      <c r="O358" s="31"/>
      <c r="P358" s="32"/>
      <c r="Q358" s="7">
        <f t="shared" si="208"/>
        <v>0</v>
      </c>
    </row>
    <row r="359" spans="1:17" ht="14.25" thickBot="1" x14ac:dyDescent="0.2">
      <c r="A359" s="8" t="s">
        <v>6</v>
      </c>
      <c r="B359" s="33">
        <f>SUM(B348:B358)</f>
        <v>5</v>
      </c>
      <c r="C359" s="34">
        <f t="shared" ref="C359:G359" si="210">SUM(C348:C358)</f>
        <v>5</v>
      </c>
      <c r="D359" s="34">
        <f t="shared" si="210"/>
        <v>4</v>
      </c>
      <c r="E359" s="34">
        <f t="shared" si="210"/>
        <v>4</v>
      </c>
      <c r="F359" s="34">
        <f t="shared" si="210"/>
        <v>5</v>
      </c>
      <c r="G359" s="35">
        <f t="shared" si="210"/>
        <v>3</v>
      </c>
      <c r="H359" s="9">
        <f t="shared" si="206"/>
        <v>26</v>
      </c>
      <c r="I359"/>
      <c r="J359" s="8" t="s">
        <v>6</v>
      </c>
      <c r="K359" s="33">
        <f>SUM(K348:K358)</f>
        <v>270</v>
      </c>
      <c r="L359" s="34">
        <f t="shared" ref="L359:Q359" si="211">SUM(L348:L358)</f>
        <v>627</v>
      </c>
      <c r="M359" s="34">
        <f t="shared" si="211"/>
        <v>397</v>
      </c>
      <c r="N359" s="34">
        <f t="shared" si="211"/>
        <v>72</v>
      </c>
      <c r="O359" s="34">
        <f t="shared" si="211"/>
        <v>53</v>
      </c>
      <c r="P359" s="35">
        <f t="shared" si="211"/>
        <v>43</v>
      </c>
      <c r="Q359" s="9">
        <f t="shared" si="211"/>
        <v>1462</v>
      </c>
    </row>
    <row r="360" spans="1:17" x14ac:dyDescent="0.15">
      <c r="A360" s="19"/>
      <c r="B360" s="27"/>
      <c r="C360" s="28"/>
      <c r="D360" s="28"/>
      <c r="E360" s="28"/>
      <c r="F360" s="28"/>
      <c r="G360" s="29"/>
      <c r="H360" s="4">
        <f t="shared" si="206"/>
        <v>0</v>
      </c>
      <c r="I360"/>
      <c r="J360" s="19"/>
      <c r="K360" s="27"/>
      <c r="L360" s="28"/>
      <c r="M360" s="28"/>
      <c r="N360" s="28"/>
      <c r="O360" s="28"/>
      <c r="P360" s="29"/>
      <c r="Q360" s="4">
        <f t="shared" ref="Q360:Q379" si="212">SUM(K360:P360)</f>
        <v>0</v>
      </c>
    </row>
    <row r="361" spans="1:17" x14ac:dyDescent="0.15">
      <c r="A361" s="19"/>
      <c r="B361" s="27"/>
      <c r="C361" s="28"/>
      <c r="D361" s="28"/>
      <c r="E361" s="28"/>
      <c r="F361" s="28"/>
      <c r="G361" s="29"/>
      <c r="H361" s="4">
        <f t="shared" si="206"/>
        <v>0</v>
      </c>
      <c r="I361"/>
      <c r="J361" s="19"/>
      <c r="K361" s="27"/>
      <c r="L361" s="28"/>
      <c r="M361" s="28"/>
      <c r="N361" s="28"/>
      <c r="O361" s="28"/>
      <c r="P361" s="29"/>
      <c r="Q361" s="4">
        <f t="shared" si="212"/>
        <v>0</v>
      </c>
    </row>
    <row r="362" spans="1:17" x14ac:dyDescent="0.15">
      <c r="A362" s="19"/>
      <c r="B362" s="27"/>
      <c r="C362" s="28"/>
      <c r="D362" s="28"/>
      <c r="E362" s="28"/>
      <c r="F362" s="28"/>
      <c r="G362" s="29"/>
      <c r="H362" s="4">
        <f t="shared" si="206"/>
        <v>0</v>
      </c>
      <c r="I362"/>
      <c r="J362" s="19"/>
      <c r="K362" s="27"/>
      <c r="L362" s="28"/>
      <c r="M362" s="28"/>
      <c r="N362" s="28"/>
      <c r="O362" s="28"/>
      <c r="P362" s="29"/>
      <c r="Q362" s="4">
        <f t="shared" si="212"/>
        <v>0</v>
      </c>
    </row>
    <row r="363" spans="1:17" x14ac:dyDescent="0.15">
      <c r="A363" s="19"/>
      <c r="B363" s="27"/>
      <c r="C363" s="28"/>
      <c r="D363" s="28"/>
      <c r="E363" s="28"/>
      <c r="F363" s="28"/>
      <c r="G363" s="29"/>
      <c r="H363" s="4">
        <f t="shared" si="206"/>
        <v>0</v>
      </c>
      <c r="I363"/>
      <c r="J363" s="19"/>
      <c r="K363" s="27"/>
      <c r="L363" s="28"/>
      <c r="M363" s="28"/>
      <c r="N363" s="28"/>
      <c r="O363" s="28"/>
      <c r="P363" s="29"/>
      <c r="Q363" s="4">
        <f t="shared" si="212"/>
        <v>0</v>
      </c>
    </row>
    <row r="364" spans="1:17" x14ac:dyDescent="0.15">
      <c r="A364" s="20"/>
      <c r="B364" s="27"/>
      <c r="C364" s="28"/>
      <c r="D364" s="28"/>
      <c r="E364" s="28"/>
      <c r="F364" s="28"/>
      <c r="G364" s="29"/>
      <c r="H364" s="4">
        <f t="shared" si="206"/>
        <v>0</v>
      </c>
      <c r="I364"/>
      <c r="J364" s="19"/>
      <c r="K364" s="27"/>
      <c r="L364" s="28"/>
      <c r="M364" s="28"/>
      <c r="N364" s="28"/>
      <c r="O364" s="28"/>
      <c r="P364" s="29"/>
      <c r="Q364" s="4">
        <f t="shared" si="212"/>
        <v>0</v>
      </c>
    </row>
    <row r="365" spans="1:17" x14ac:dyDescent="0.15">
      <c r="A365" s="19"/>
      <c r="B365" s="27"/>
      <c r="C365" s="28"/>
      <c r="D365" s="28"/>
      <c r="E365" s="28"/>
      <c r="F365" s="28"/>
      <c r="G365" s="29"/>
      <c r="H365" s="4">
        <f t="shared" si="206"/>
        <v>0</v>
      </c>
      <c r="I365"/>
      <c r="J365" s="19"/>
      <c r="K365" s="27"/>
      <c r="L365" s="28"/>
      <c r="M365" s="28"/>
      <c r="N365" s="28"/>
      <c r="O365" s="28"/>
      <c r="P365" s="29"/>
      <c r="Q365" s="4">
        <f t="shared" si="212"/>
        <v>0</v>
      </c>
    </row>
    <row r="366" spans="1:17" x14ac:dyDescent="0.15">
      <c r="A366" s="19"/>
      <c r="B366" s="27"/>
      <c r="C366" s="28"/>
      <c r="D366" s="28"/>
      <c r="E366" s="28"/>
      <c r="F366" s="28"/>
      <c r="G366" s="29"/>
      <c r="H366" s="4">
        <f t="shared" si="206"/>
        <v>0</v>
      </c>
      <c r="I366"/>
      <c r="J366" s="19"/>
      <c r="K366" s="27"/>
      <c r="L366" s="28"/>
      <c r="M366" s="28"/>
      <c r="N366" s="28"/>
      <c r="O366" s="28"/>
      <c r="P366" s="29"/>
      <c r="Q366" s="4">
        <f t="shared" si="212"/>
        <v>0</v>
      </c>
    </row>
    <row r="367" spans="1:17" x14ac:dyDescent="0.15">
      <c r="A367" s="19"/>
      <c r="B367" s="27"/>
      <c r="C367" s="28"/>
      <c r="D367" s="28"/>
      <c r="E367" s="28"/>
      <c r="F367" s="28"/>
      <c r="G367" s="29"/>
      <c r="H367" s="4">
        <f t="shared" si="206"/>
        <v>0</v>
      </c>
      <c r="I367"/>
      <c r="J367" s="19"/>
      <c r="K367" s="27"/>
      <c r="L367" s="28"/>
      <c r="M367" s="28"/>
      <c r="N367" s="28"/>
      <c r="O367" s="28"/>
      <c r="P367" s="29"/>
      <c r="Q367" s="4">
        <f t="shared" si="212"/>
        <v>0</v>
      </c>
    </row>
    <row r="368" spans="1:17" x14ac:dyDescent="0.15">
      <c r="A368" s="12"/>
      <c r="B368" s="27"/>
      <c r="C368" s="28"/>
      <c r="D368" s="28"/>
      <c r="E368" s="28"/>
      <c r="F368" s="28"/>
      <c r="G368" s="29"/>
      <c r="H368" s="4">
        <f t="shared" si="206"/>
        <v>0</v>
      </c>
      <c r="I368"/>
      <c r="J368" s="19"/>
      <c r="K368" s="27"/>
      <c r="L368" s="28"/>
      <c r="M368" s="28"/>
      <c r="N368" s="28"/>
      <c r="O368" s="28"/>
      <c r="P368" s="29"/>
      <c r="Q368" s="4">
        <f t="shared" si="212"/>
        <v>0</v>
      </c>
    </row>
    <row r="369" spans="1:17" x14ac:dyDescent="0.15">
      <c r="A369" s="19"/>
      <c r="B369" s="27"/>
      <c r="C369" s="28"/>
      <c r="D369" s="28"/>
      <c r="E369" s="28"/>
      <c r="F369" s="28"/>
      <c r="G369" s="29"/>
      <c r="H369" s="4">
        <f t="shared" si="206"/>
        <v>0</v>
      </c>
      <c r="I369"/>
      <c r="J369" s="19"/>
      <c r="K369" s="27"/>
      <c r="L369" s="28"/>
      <c r="M369" s="28"/>
      <c r="N369" s="28"/>
      <c r="O369" s="28"/>
      <c r="P369" s="29"/>
      <c r="Q369" s="4">
        <f t="shared" si="212"/>
        <v>0</v>
      </c>
    </row>
    <row r="370" spans="1:17" x14ac:dyDescent="0.15">
      <c r="A370" s="19"/>
      <c r="B370" s="27"/>
      <c r="C370" s="28"/>
      <c r="D370" s="28"/>
      <c r="E370" s="28"/>
      <c r="F370" s="28"/>
      <c r="G370" s="29"/>
      <c r="H370" s="4">
        <f t="shared" si="206"/>
        <v>0</v>
      </c>
      <c r="I370"/>
      <c r="J370" s="19"/>
      <c r="K370" s="27"/>
      <c r="L370" s="28"/>
      <c r="M370" s="28"/>
      <c r="N370" s="28"/>
      <c r="O370" s="28"/>
      <c r="P370" s="29"/>
      <c r="Q370" s="4">
        <f t="shared" si="212"/>
        <v>0</v>
      </c>
    </row>
    <row r="371" spans="1:17" x14ac:dyDescent="0.15">
      <c r="A371" s="20"/>
      <c r="B371" s="27"/>
      <c r="C371" s="28"/>
      <c r="D371" s="28"/>
      <c r="E371" s="28"/>
      <c r="F371" s="28"/>
      <c r="G371" s="29"/>
      <c r="H371" s="4">
        <f t="shared" si="206"/>
        <v>0</v>
      </c>
      <c r="I371"/>
      <c r="J371" s="19"/>
      <c r="K371" s="27"/>
      <c r="L371" s="28"/>
      <c r="M371" s="28"/>
      <c r="N371" s="28"/>
      <c r="O371" s="28"/>
      <c r="P371" s="29"/>
      <c r="Q371" s="4">
        <f t="shared" si="212"/>
        <v>0</v>
      </c>
    </row>
    <row r="372" spans="1:17" x14ac:dyDescent="0.15">
      <c r="A372" s="20"/>
      <c r="B372" s="27"/>
      <c r="C372" s="28"/>
      <c r="D372" s="28"/>
      <c r="E372" s="28"/>
      <c r="F372" s="28"/>
      <c r="G372" s="29"/>
      <c r="H372" s="4">
        <f t="shared" si="206"/>
        <v>0</v>
      </c>
      <c r="I372"/>
      <c r="J372" s="19"/>
      <c r="K372" s="27"/>
      <c r="L372" s="28"/>
      <c r="M372" s="28"/>
      <c r="N372" s="28"/>
      <c r="O372" s="28"/>
      <c r="P372" s="29"/>
      <c r="Q372" s="4">
        <f t="shared" si="212"/>
        <v>0</v>
      </c>
    </row>
    <row r="373" spans="1:17" x14ac:dyDescent="0.15">
      <c r="A373" s="19"/>
      <c r="B373" s="27"/>
      <c r="C373" s="28"/>
      <c r="D373" s="28"/>
      <c r="E373" s="28"/>
      <c r="F373" s="28"/>
      <c r="G373" s="29"/>
      <c r="H373" s="4">
        <f t="shared" si="206"/>
        <v>0</v>
      </c>
      <c r="I373"/>
      <c r="J373" s="19"/>
      <c r="K373" s="27"/>
      <c r="L373" s="28"/>
      <c r="M373" s="28"/>
      <c r="N373" s="28"/>
      <c r="O373" s="28"/>
      <c r="P373" s="29"/>
      <c r="Q373" s="4">
        <f t="shared" si="212"/>
        <v>0</v>
      </c>
    </row>
    <row r="374" spans="1:17" x14ac:dyDescent="0.15">
      <c r="A374" s="10"/>
      <c r="B374" s="27"/>
      <c r="C374" s="28"/>
      <c r="D374" s="28"/>
      <c r="E374" s="28"/>
      <c r="F374" s="28"/>
      <c r="G374" s="29"/>
      <c r="H374" s="4">
        <f t="shared" si="206"/>
        <v>0</v>
      </c>
      <c r="I374"/>
      <c r="J374" s="19"/>
      <c r="K374" s="27"/>
      <c r="L374" s="28"/>
      <c r="M374" s="28"/>
      <c r="N374" s="28"/>
      <c r="O374" s="28"/>
      <c r="P374" s="29"/>
      <c r="Q374" s="4">
        <f t="shared" si="212"/>
        <v>0</v>
      </c>
    </row>
    <row r="375" spans="1:17" x14ac:dyDescent="0.15">
      <c r="A375" s="19"/>
      <c r="B375" s="27"/>
      <c r="C375" s="28"/>
      <c r="D375" s="28"/>
      <c r="E375" s="28"/>
      <c r="F375" s="28"/>
      <c r="G375" s="29"/>
      <c r="H375" s="4">
        <f t="shared" si="206"/>
        <v>0</v>
      </c>
      <c r="I375"/>
      <c r="J375" s="19"/>
      <c r="K375" s="27"/>
      <c r="L375" s="28"/>
      <c r="M375" s="28"/>
      <c r="N375" s="28"/>
      <c r="O375" s="28"/>
      <c r="P375" s="29"/>
      <c r="Q375" s="4">
        <f t="shared" si="212"/>
        <v>0</v>
      </c>
    </row>
    <row r="376" spans="1:17" x14ac:dyDescent="0.15">
      <c r="A376" s="19"/>
      <c r="B376" s="27"/>
      <c r="C376" s="28"/>
      <c r="D376" s="28"/>
      <c r="E376" s="28"/>
      <c r="F376" s="28"/>
      <c r="G376" s="29"/>
      <c r="H376" s="4">
        <f t="shared" si="206"/>
        <v>0</v>
      </c>
      <c r="I376"/>
      <c r="J376" s="19"/>
      <c r="K376" s="27"/>
      <c r="L376" s="28"/>
      <c r="M376" s="28"/>
      <c r="N376" s="28"/>
      <c r="O376" s="28"/>
      <c r="P376" s="29"/>
      <c r="Q376" s="4">
        <f t="shared" si="212"/>
        <v>0</v>
      </c>
    </row>
    <row r="377" spans="1:17" x14ac:dyDescent="0.15">
      <c r="A377" s="19"/>
      <c r="B377" s="27"/>
      <c r="C377" s="28"/>
      <c r="D377" s="28"/>
      <c r="E377" s="28"/>
      <c r="F377" s="28"/>
      <c r="G377" s="29"/>
      <c r="H377" s="4">
        <f t="shared" si="206"/>
        <v>0</v>
      </c>
      <c r="I377"/>
      <c r="J377" s="19"/>
      <c r="K377" s="27"/>
      <c r="L377" s="28"/>
      <c r="M377" s="28"/>
      <c r="N377" s="28"/>
      <c r="O377" s="28"/>
      <c r="P377" s="29"/>
      <c r="Q377" s="4">
        <f t="shared" si="212"/>
        <v>0</v>
      </c>
    </row>
    <row r="378" spans="1:17" x14ac:dyDescent="0.15">
      <c r="A378" s="19"/>
      <c r="B378" s="27"/>
      <c r="C378" s="28"/>
      <c r="D378" s="28"/>
      <c r="E378" s="28"/>
      <c r="F378" s="28"/>
      <c r="G378" s="29"/>
      <c r="H378" s="4">
        <f t="shared" si="206"/>
        <v>0</v>
      </c>
      <c r="I378"/>
      <c r="J378" s="19"/>
      <c r="K378" s="27"/>
      <c r="L378" s="28"/>
      <c r="M378" s="28"/>
      <c r="N378" s="28"/>
      <c r="O378" s="28"/>
      <c r="P378" s="29"/>
      <c r="Q378" s="4">
        <f t="shared" si="212"/>
        <v>0</v>
      </c>
    </row>
    <row r="379" spans="1:17" x14ac:dyDescent="0.15">
      <c r="A379" s="10"/>
      <c r="B379" s="27"/>
      <c r="C379" s="28"/>
      <c r="D379" s="28"/>
      <c r="E379" s="28"/>
      <c r="F379" s="28"/>
      <c r="G379" s="29"/>
      <c r="H379" s="4">
        <f t="shared" si="206"/>
        <v>0</v>
      </c>
      <c r="I379"/>
      <c r="J379" s="19"/>
      <c r="K379" s="27"/>
      <c r="L379" s="28"/>
      <c r="M379" s="28"/>
      <c r="N379" s="28"/>
      <c r="O379" s="28"/>
      <c r="P379" s="29"/>
      <c r="Q379" s="4">
        <f t="shared" si="212"/>
        <v>0</v>
      </c>
    </row>
    <row r="380" spans="1:17" x14ac:dyDescent="0.15">
      <c r="A380" s="19"/>
      <c r="B380" s="27"/>
      <c r="C380" s="28"/>
      <c r="D380" s="28"/>
      <c r="E380" s="28"/>
      <c r="F380" s="28"/>
      <c r="G380" s="29"/>
      <c r="H380" s="4">
        <f t="shared" si="206"/>
        <v>0</v>
      </c>
      <c r="I380"/>
      <c r="J380" s="19"/>
      <c r="K380" s="27"/>
      <c r="L380" s="28"/>
      <c r="M380" s="28"/>
      <c r="N380" s="28"/>
      <c r="O380" s="28"/>
      <c r="P380" s="29"/>
      <c r="Q380" s="4">
        <f t="shared" ref="Q380:Q382" si="213">SUM(K380:P380)</f>
        <v>0</v>
      </c>
    </row>
    <row r="381" spans="1:17" x14ac:dyDescent="0.15">
      <c r="A381" s="19"/>
      <c r="B381" s="27"/>
      <c r="C381" s="28"/>
      <c r="D381" s="28"/>
      <c r="E381" s="28"/>
      <c r="F381" s="28"/>
      <c r="G381" s="29"/>
      <c r="H381" s="4">
        <f t="shared" si="206"/>
        <v>0</v>
      </c>
      <c r="I381"/>
      <c r="J381" s="19"/>
      <c r="K381" s="27"/>
      <c r="L381" s="28"/>
      <c r="M381" s="28"/>
      <c r="N381" s="28"/>
      <c r="O381" s="28"/>
      <c r="P381" s="29"/>
      <c r="Q381" s="4">
        <f t="shared" si="213"/>
        <v>0</v>
      </c>
    </row>
    <row r="382" spans="1:17" x14ac:dyDescent="0.15">
      <c r="A382" s="19"/>
      <c r="B382" s="27"/>
      <c r="C382" s="28"/>
      <c r="D382" s="28"/>
      <c r="E382" s="28"/>
      <c r="F382" s="28"/>
      <c r="G382" s="29"/>
      <c r="H382" s="4">
        <f t="shared" si="206"/>
        <v>0</v>
      </c>
      <c r="I382"/>
      <c r="J382" s="19"/>
      <c r="K382" s="27"/>
      <c r="L382" s="28"/>
      <c r="M382" s="28"/>
      <c r="N382" s="28"/>
      <c r="O382" s="28"/>
      <c r="P382" s="29"/>
      <c r="Q382" s="4">
        <f t="shared" si="213"/>
        <v>0</v>
      </c>
    </row>
    <row r="383" spans="1:17" ht="14.25" thickBot="1" x14ac:dyDescent="0.2">
      <c r="A383" s="19"/>
      <c r="B383" s="27"/>
      <c r="C383" s="36"/>
      <c r="D383" s="28"/>
      <c r="E383" s="28"/>
      <c r="F383" s="28"/>
      <c r="G383" s="29"/>
      <c r="H383" s="7">
        <f t="shared" si="206"/>
        <v>0</v>
      </c>
      <c r="I383"/>
      <c r="J383" s="19"/>
      <c r="K383" s="27"/>
      <c r="L383" s="28"/>
      <c r="M383" s="28"/>
      <c r="N383" s="28"/>
      <c r="O383" s="28"/>
      <c r="P383" s="29"/>
      <c r="Q383" s="4">
        <f t="shared" ref="Q383" si="214">SUM(K383:P383)</f>
        <v>0</v>
      </c>
    </row>
    <row r="384" spans="1:17" ht="14.25" thickBot="1" x14ac:dyDescent="0.2">
      <c r="A384" s="2" t="s">
        <v>7</v>
      </c>
      <c r="B384" s="33">
        <f>SUM(B360:B383)</f>
        <v>0</v>
      </c>
      <c r="C384" s="34">
        <f t="shared" ref="C384:F384" si="215">SUM(C360:C383)</f>
        <v>0</v>
      </c>
      <c r="D384" s="34">
        <f t="shared" si="215"/>
        <v>0</v>
      </c>
      <c r="E384" s="34">
        <f t="shared" si="215"/>
        <v>0</v>
      </c>
      <c r="F384" s="34">
        <f t="shared" si="215"/>
        <v>0</v>
      </c>
      <c r="G384" s="35">
        <f>SUM(G360:G383)</f>
        <v>0</v>
      </c>
      <c r="H384" s="9">
        <f>SUM(B384:G384)</f>
        <v>0</v>
      </c>
      <c r="I384"/>
      <c r="J384" s="2" t="s">
        <v>7</v>
      </c>
      <c r="K384" s="33">
        <f>SUM(K360:K383)</f>
        <v>0</v>
      </c>
      <c r="L384" s="34">
        <f t="shared" ref="L384:Q384" si="216">SUM(L360:L383)</f>
        <v>0</v>
      </c>
      <c r="M384" s="34">
        <f t="shared" si="216"/>
        <v>0</v>
      </c>
      <c r="N384" s="34">
        <f t="shared" si="216"/>
        <v>0</v>
      </c>
      <c r="O384" s="34">
        <f t="shared" si="216"/>
        <v>0</v>
      </c>
      <c r="P384" s="35">
        <f t="shared" si="216"/>
        <v>0</v>
      </c>
      <c r="Q384" s="9">
        <f t="shared" si="216"/>
        <v>0</v>
      </c>
    </row>
    <row r="385" spans="1:17" ht="14.25" thickBot="1" x14ac:dyDescent="0.2">
      <c r="A385" s="11" t="s">
        <v>8</v>
      </c>
      <c r="B385" s="37">
        <f>B359-B384</f>
        <v>5</v>
      </c>
      <c r="C385" s="38">
        <f t="shared" ref="C385:F385" si="217">C359-C384</f>
        <v>5</v>
      </c>
      <c r="D385" s="38">
        <f t="shared" si="217"/>
        <v>4</v>
      </c>
      <c r="E385" s="38">
        <f t="shared" si="217"/>
        <v>4</v>
      </c>
      <c r="F385" s="38">
        <f t="shared" si="217"/>
        <v>5</v>
      </c>
      <c r="G385" s="39">
        <f>G359-G384</f>
        <v>3</v>
      </c>
      <c r="H385" s="9">
        <f>H359-H384</f>
        <v>26</v>
      </c>
      <c r="I385"/>
      <c r="J385" s="11" t="s">
        <v>8</v>
      </c>
      <c r="K385" s="37">
        <f>K359-K384</f>
        <v>270</v>
      </c>
      <c r="L385" s="38">
        <f t="shared" ref="L385:Q385" si="218">L359-L384</f>
        <v>627</v>
      </c>
      <c r="M385" s="38">
        <f t="shared" si="218"/>
        <v>397</v>
      </c>
      <c r="N385" s="38">
        <f t="shared" si="218"/>
        <v>72</v>
      </c>
      <c r="O385" s="38">
        <f t="shared" si="218"/>
        <v>53</v>
      </c>
      <c r="P385" s="39">
        <f t="shared" si="218"/>
        <v>43</v>
      </c>
      <c r="Q385" s="9">
        <f t="shared" si="218"/>
        <v>1462</v>
      </c>
    </row>
    <row r="386" spans="1:17" x14ac:dyDescent="0.15">
      <c r="I386"/>
    </row>
    <row r="387" spans="1:17" x14ac:dyDescent="0.15">
      <c r="I387"/>
    </row>
    <row r="388" spans="1:17" x14ac:dyDescent="0.15">
      <c r="I388"/>
    </row>
    <row r="389" spans="1:17" x14ac:dyDescent="0.15">
      <c r="I389"/>
    </row>
    <row r="390" spans="1:17" x14ac:dyDescent="0.15">
      <c r="I390"/>
    </row>
    <row r="391" spans="1:17" x14ac:dyDescent="0.15">
      <c r="I391"/>
    </row>
    <row r="392" spans="1:17" x14ac:dyDescent="0.15">
      <c r="I392"/>
    </row>
    <row r="393" spans="1:17" x14ac:dyDescent="0.15">
      <c r="I393"/>
    </row>
    <row r="394" spans="1:17" x14ac:dyDescent="0.15">
      <c r="I394"/>
    </row>
    <row r="395" spans="1:17" x14ac:dyDescent="0.15">
      <c r="I395"/>
    </row>
    <row r="396" spans="1:17" x14ac:dyDescent="0.15">
      <c r="I396"/>
    </row>
    <row r="397" spans="1:17" x14ac:dyDescent="0.15">
      <c r="I397"/>
    </row>
    <row r="398" spans="1:17" x14ac:dyDescent="0.15">
      <c r="I398"/>
    </row>
    <row r="399" spans="1:17" x14ac:dyDescent="0.15">
      <c r="I399"/>
    </row>
    <row r="400" spans="1:17" x14ac:dyDescent="0.15">
      <c r="I400"/>
    </row>
    <row r="401" spans="9:9" x14ac:dyDescent="0.15">
      <c r="I401"/>
    </row>
    <row r="402" spans="9:9" x14ac:dyDescent="0.15">
      <c r="I402"/>
    </row>
    <row r="403" spans="9:9" x14ac:dyDescent="0.15">
      <c r="I403"/>
    </row>
    <row r="404" spans="9:9" x14ac:dyDescent="0.15">
      <c r="I404"/>
    </row>
    <row r="405" spans="9:9" x14ac:dyDescent="0.15">
      <c r="I405"/>
    </row>
    <row r="406" spans="9:9" x14ac:dyDescent="0.15">
      <c r="I406"/>
    </row>
    <row r="407" spans="9:9" x14ac:dyDescent="0.15">
      <c r="I407"/>
    </row>
    <row r="408" spans="9:9" x14ac:dyDescent="0.15">
      <c r="I408"/>
    </row>
    <row r="409" spans="9:9" x14ac:dyDescent="0.15">
      <c r="I409"/>
    </row>
    <row r="410" spans="9:9" x14ac:dyDescent="0.15">
      <c r="I410"/>
    </row>
    <row r="411" spans="9:9" x14ac:dyDescent="0.15">
      <c r="I411"/>
    </row>
    <row r="412" spans="9:9" x14ac:dyDescent="0.15">
      <c r="I412"/>
    </row>
    <row r="413" spans="9:9" x14ac:dyDescent="0.15">
      <c r="I413"/>
    </row>
    <row r="414" spans="9:9" x14ac:dyDescent="0.15">
      <c r="I414"/>
    </row>
    <row r="415" spans="9:9" x14ac:dyDescent="0.15">
      <c r="I415"/>
    </row>
    <row r="416" spans="9:9" x14ac:dyDescent="0.15">
      <c r="I416"/>
    </row>
    <row r="417" spans="9:9" x14ac:dyDescent="0.15">
      <c r="I417"/>
    </row>
    <row r="418" spans="9:9" x14ac:dyDescent="0.15">
      <c r="I418"/>
    </row>
    <row r="419" spans="9:9" x14ac:dyDescent="0.15">
      <c r="I419"/>
    </row>
    <row r="420" spans="9:9" x14ac:dyDescent="0.15">
      <c r="I420"/>
    </row>
    <row r="421" spans="9:9" x14ac:dyDescent="0.15">
      <c r="I421"/>
    </row>
    <row r="422" spans="9:9" x14ac:dyDescent="0.15">
      <c r="I422"/>
    </row>
    <row r="423" spans="9:9" x14ac:dyDescent="0.15">
      <c r="I423"/>
    </row>
    <row r="424" spans="9:9" x14ac:dyDescent="0.15">
      <c r="I424"/>
    </row>
    <row r="425" spans="9:9" x14ac:dyDescent="0.15">
      <c r="I425"/>
    </row>
    <row r="426" spans="9:9" x14ac:dyDescent="0.15">
      <c r="I426"/>
    </row>
    <row r="427" spans="9:9" x14ac:dyDescent="0.15">
      <c r="I427"/>
    </row>
    <row r="428" spans="9:9" x14ac:dyDescent="0.15">
      <c r="I428"/>
    </row>
    <row r="429" spans="9:9" x14ac:dyDescent="0.15">
      <c r="I429"/>
    </row>
    <row r="430" spans="9:9" x14ac:dyDescent="0.15">
      <c r="I430"/>
    </row>
    <row r="431" spans="9:9" x14ac:dyDescent="0.15">
      <c r="I431"/>
    </row>
    <row r="432" spans="9:9" x14ac:dyDescent="0.15">
      <c r="I432"/>
    </row>
    <row r="433" spans="9:9" x14ac:dyDescent="0.15">
      <c r="I433"/>
    </row>
    <row r="434" spans="9:9" x14ac:dyDescent="0.15">
      <c r="I434"/>
    </row>
    <row r="435" spans="9:9" x14ac:dyDescent="0.15">
      <c r="I435"/>
    </row>
    <row r="436" spans="9:9" x14ac:dyDescent="0.15">
      <c r="I436"/>
    </row>
    <row r="437" spans="9:9" x14ac:dyDescent="0.15">
      <c r="I437"/>
    </row>
    <row r="438" spans="9:9" x14ac:dyDescent="0.15">
      <c r="I438"/>
    </row>
    <row r="439" spans="9:9" x14ac:dyDescent="0.15">
      <c r="I439"/>
    </row>
    <row r="440" spans="9:9" x14ac:dyDescent="0.15">
      <c r="I440"/>
    </row>
    <row r="441" spans="9:9" x14ac:dyDescent="0.15">
      <c r="I441"/>
    </row>
    <row r="442" spans="9:9" x14ac:dyDescent="0.15">
      <c r="I442"/>
    </row>
    <row r="443" spans="9:9" x14ac:dyDescent="0.15">
      <c r="I443"/>
    </row>
    <row r="444" spans="9:9" x14ac:dyDescent="0.15">
      <c r="I444"/>
    </row>
    <row r="445" spans="9:9" x14ac:dyDescent="0.15">
      <c r="I445"/>
    </row>
    <row r="446" spans="9:9" x14ac:dyDescent="0.15">
      <c r="I446"/>
    </row>
    <row r="447" spans="9:9" x14ac:dyDescent="0.15">
      <c r="I447"/>
    </row>
    <row r="448" spans="9:9" x14ac:dyDescent="0.15">
      <c r="I448"/>
    </row>
    <row r="449" spans="9:9" x14ac:dyDescent="0.15">
      <c r="I449"/>
    </row>
    <row r="450" spans="9:9" x14ac:dyDescent="0.15">
      <c r="I450"/>
    </row>
    <row r="451" spans="9:9" x14ac:dyDescent="0.15">
      <c r="I451"/>
    </row>
    <row r="452" spans="9:9" x14ac:dyDescent="0.15">
      <c r="I452"/>
    </row>
    <row r="453" spans="9:9" x14ac:dyDescent="0.15">
      <c r="I453"/>
    </row>
    <row r="454" spans="9:9" x14ac:dyDescent="0.15">
      <c r="I454"/>
    </row>
    <row r="455" spans="9:9" x14ac:dyDescent="0.15">
      <c r="I455"/>
    </row>
    <row r="456" spans="9:9" x14ac:dyDescent="0.15">
      <c r="I456"/>
    </row>
    <row r="457" spans="9:9" x14ac:dyDescent="0.15">
      <c r="I457"/>
    </row>
    <row r="458" spans="9:9" x14ac:dyDescent="0.15">
      <c r="I458"/>
    </row>
    <row r="459" spans="9:9" x14ac:dyDescent="0.15">
      <c r="I459"/>
    </row>
    <row r="460" spans="9:9" x14ac:dyDescent="0.15">
      <c r="I460"/>
    </row>
    <row r="461" spans="9:9" x14ac:dyDescent="0.15">
      <c r="I461"/>
    </row>
    <row r="462" spans="9:9" x14ac:dyDescent="0.15">
      <c r="I462"/>
    </row>
    <row r="463" spans="9:9" x14ac:dyDescent="0.15">
      <c r="I463"/>
    </row>
    <row r="464" spans="9:9" x14ac:dyDescent="0.15">
      <c r="I464"/>
    </row>
    <row r="465" spans="9:9" x14ac:dyDescent="0.15">
      <c r="I465"/>
    </row>
    <row r="466" spans="9:9" x14ac:dyDescent="0.15">
      <c r="I466"/>
    </row>
    <row r="467" spans="9:9" x14ac:dyDescent="0.15">
      <c r="I467"/>
    </row>
    <row r="468" spans="9:9" x14ac:dyDescent="0.15">
      <c r="I468"/>
    </row>
    <row r="469" spans="9:9" x14ac:dyDescent="0.15">
      <c r="I469"/>
    </row>
    <row r="470" spans="9:9" x14ac:dyDescent="0.15">
      <c r="I470"/>
    </row>
    <row r="471" spans="9:9" x14ac:dyDescent="0.15">
      <c r="I471"/>
    </row>
    <row r="472" spans="9:9" x14ac:dyDescent="0.15">
      <c r="I472"/>
    </row>
    <row r="473" spans="9:9" x14ac:dyDescent="0.15">
      <c r="I473"/>
    </row>
    <row r="474" spans="9:9" x14ac:dyDescent="0.15">
      <c r="I474"/>
    </row>
    <row r="475" spans="9:9" x14ac:dyDescent="0.15">
      <c r="I475"/>
    </row>
    <row r="476" spans="9:9" x14ac:dyDescent="0.15">
      <c r="I476"/>
    </row>
    <row r="477" spans="9:9" x14ac:dyDescent="0.15">
      <c r="I477"/>
    </row>
    <row r="478" spans="9:9" x14ac:dyDescent="0.15">
      <c r="I478"/>
    </row>
    <row r="479" spans="9:9" x14ac:dyDescent="0.15">
      <c r="I479"/>
    </row>
    <row r="480" spans="9:9" x14ac:dyDescent="0.15">
      <c r="I480"/>
    </row>
    <row r="481" spans="9:9" x14ac:dyDescent="0.15">
      <c r="I481"/>
    </row>
    <row r="482" spans="9:9" x14ac:dyDescent="0.15">
      <c r="I482"/>
    </row>
    <row r="483" spans="9:9" x14ac:dyDescent="0.15">
      <c r="I483"/>
    </row>
    <row r="484" spans="9:9" x14ac:dyDescent="0.15">
      <c r="I484"/>
    </row>
    <row r="485" spans="9:9" x14ac:dyDescent="0.15">
      <c r="I485"/>
    </row>
    <row r="486" spans="9:9" x14ac:dyDescent="0.15">
      <c r="I486"/>
    </row>
    <row r="487" spans="9:9" x14ac:dyDescent="0.15">
      <c r="I487"/>
    </row>
    <row r="488" spans="9:9" x14ac:dyDescent="0.15">
      <c r="I488"/>
    </row>
    <row r="489" spans="9:9" x14ac:dyDescent="0.15">
      <c r="I489"/>
    </row>
    <row r="490" spans="9:9" x14ac:dyDescent="0.15">
      <c r="I490"/>
    </row>
    <row r="491" spans="9:9" x14ac:dyDescent="0.15">
      <c r="I491"/>
    </row>
    <row r="492" spans="9:9" x14ac:dyDescent="0.15">
      <c r="I492"/>
    </row>
    <row r="493" spans="9:9" x14ac:dyDescent="0.15">
      <c r="I493"/>
    </row>
    <row r="494" spans="9:9" x14ac:dyDescent="0.15">
      <c r="I494"/>
    </row>
    <row r="495" spans="9:9" x14ac:dyDescent="0.15">
      <c r="I495"/>
    </row>
    <row r="496" spans="9:9" x14ac:dyDescent="0.15">
      <c r="I496"/>
    </row>
    <row r="497" spans="9:9" x14ac:dyDescent="0.15">
      <c r="I497"/>
    </row>
    <row r="498" spans="9:9" x14ac:dyDescent="0.15">
      <c r="I498"/>
    </row>
    <row r="499" spans="9:9" x14ac:dyDescent="0.15">
      <c r="I499"/>
    </row>
    <row r="500" spans="9:9" x14ac:dyDescent="0.15">
      <c r="I500"/>
    </row>
    <row r="501" spans="9:9" x14ac:dyDescent="0.15">
      <c r="I501"/>
    </row>
    <row r="502" spans="9:9" x14ac:dyDescent="0.15">
      <c r="I502"/>
    </row>
    <row r="503" spans="9:9" x14ac:dyDescent="0.15">
      <c r="I503"/>
    </row>
    <row r="504" spans="9:9" x14ac:dyDescent="0.15">
      <c r="I504"/>
    </row>
    <row r="505" spans="9:9" x14ac:dyDescent="0.15">
      <c r="I505"/>
    </row>
    <row r="506" spans="9:9" x14ac:dyDescent="0.15">
      <c r="I506"/>
    </row>
    <row r="507" spans="9:9" x14ac:dyDescent="0.15">
      <c r="I507"/>
    </row>
    <row r="508" spans="9:9" x14ac:dyDescent="0.15">
      <c r="I508"/>
    </row>
    <row r="509" spans="9:9" x14ac:dyDescent="0.15">
      <c r="I509"/>
    </row>
    <row r="510" spans="9:9" x14ac:dyDescent="0.15">
      <c r="I510"/>
    </row>
    <row r="511" spans="9:9" x14ac:dyDescent="0.15">
      <c r="I511"/>
    </row>
    <row r="512" spans="9:9" x14ac:dyDescent="0.15">
      <c r="I512"/>
    </row>
    <row r="513" spans="9:9" x14ac:dyDescent="0.15">
      <c r="I513"/>
    </row>
    <row r="514" spans="9:9" x14ac:dyDescent="0.15">
      <c r="I514"/>
    </row>
    <row r="515" spans="9:9" x14ac:dyDescent="0.15">
      <c r="I515"/>
    </row>
    <row r="516" spans="9:9" x14ac:dyDescent="0.15">
      <c r="I516"/>
    </row>
    <row r="517" spans="9:9" x14ac:dyDescent="0.15">
      <c r="I517"/>
    </row>
    <row r="518" spans="9:9" x14ac:dyDescent="0.15">
      <c r="I518"/>
    </row>
    <row r="519" spans="9:9" x14ac:dyDescent="0.15">
      <c r="I519"/>
    </row>
    <row r="520" spans="9:9" x14ac:dyDescent="0.15">
      <c r="I520"/>
    </row>
    <row r="521" spans="9:9" x14ac:dyDescent="0.15">
      <c r="I521"/>
    </row>
    <row r="522" spans="9:9" x14ac:dyDescent="0.15">
      <c r="I522"/>
    </row>
    <row r="523" spans="9:9" x14ac:dyDescent="0.15">
      <c r="I523"/>
    </row>
    <row r="524" spans="9:9" x14ac:dyDescent="0.15">
      <c r="I524"/>
    </row>
    <row r="525" spans="9:9" x14ac:dyDescent="0.15">
      <c r="I525"/>
    </row>
    <row r="526" spans="9:9" x14ac:dyDescent="0.15">
      <c r="I526"/>
    </row>
    <row r="527" spans="9:9" x14ac:dyDescent="0.15">
      <c r="I527"/>
    </row>
    <row r="528" spans="9:9" x14ac:dyDescent="0.15">
      <c r="I528"/>
    </row>
    <row r="529" spans="9:9" x14ac:dyDescent="0.15">
      <c r="I529"/>
    </row>
    <row r="530" spans="9:9" x14ac:dyDescent="0.15">
      <c r="I530"/>
    </row>
    <row r="531" spans="9:9" x14ac:dyDescent="0.15">
      <c r="I531"/>
    </row>
    <row r="532" spans="9:9" x14ac:dyDescent="0.15">
      <c r="I532"/>
    </row>
    <row r="533" spans="9:9" x14ac:dyDescent="0.15">
      <c r="I533"/>
    </row>
    <row r="534" spans="9:9" x14ac:dyDescent="0.15">
      <c r="I534"/>
    </row>
    <row r="535" spans="9:9" x14ac:dyDescent="0.15">
      <c r="I535"/>
    </row>
    <row r="536" spans="9:9" x14ac:dyDescent="0.15">
      <c r="I536"/>
    </row>
    <row r="537" spans="9:9" x14ac:dyDescent="0.15">
      <c r="I537"/>
    </row>
    <row r="538" spans="9:9" x14ac:dyDescent="0.15">
      <c r="I538"/>
    </row>
    <row r="539" spans="9:9" x14ac:dyDescent="0.15">
      <c r="I539"/>
    </row>
    <row r="540" spans="9:9" x14ac:dyDescent="0.15">
      <c r="I540"/>
    </row>
    <row r="541" spans="9:9" x14ac:dyDescent="0.15">
      <c r="I541"/>
    </row>
    <row r="542" spans="9:9" x14ac:dyDescent="0.15">
      <c r="I542"/>
    </row>
    <row r="543" spans="9:9" x14ac:dyDescent="0.15">
      <c r="I543"/>
    </row>
    <row r="544" spans="9:9" x14ac:dyDescent="0.15">
      <c r="I544"/>
    </row>
    <row r="545" spans="9:9" x14ac:dyDescent="0.15">
      <c r="I545"/>
    </row>
    <row r="546" spans="9:9" x14ac:dyDescent="0.15">
      <c r="I546"/>
    </row>
    <row r="547" spans="9:9" x14ac:dyDescent="0.15">
      <c r="I547"/>
    </row>
    <row r="548" spans="9:9" x14ac:dyDescent="0.15">
      <c r="I548"/>
    </row>
    <row r="549" spans="9:9" x14ac:dyDescent="0.15">
      <c r="I549"/>
    </row>
    <row r="550" spans="9:9" x14ac:dyDescent="0.15">
      <c r="I550"/>
    </row>
    <row r="551" spans="9:9" x14ac:dyDescent="0.15">
      <c r="I551"/>
    </row>
    <row r="552" spans="9:9" x14ac:dyDescent="0.15">
      <c r="I552"/>
    </row>
    <row r="553" spans="9:9" x14ac:dyDescent="0.15">
      <c r="I553"/>
    </row>
    <row r="554" spans="9:9" x14ac:dyDescent="0.15">
      <c r="I554"/>
    </row>
    <row r="555" spans="9:9" x14ac:dyDescent="0.15">
      <c r="I555"/>
    </row>
    <row r="556" spans="9:9" x14ac:dyDescent="0.15">
      <c r="I556"/>
    </row>
    <row r="557" spans="9:9" x14ac:dyDescent="0.15">
      <c r="I557"/>
    </row>
    <row r="558" spans="9:9" x14ac:dyDescent="0.15">
      <c r="I558"/>
    </row>
    <row r="559" spans="9:9" x14ac:dyDescent="0.15">
      <c r="I559"/>
    </row>
    <row r="560" spans="9:9" x14ac:dyDescent="0.15">
      <c r="I560"/>
    </row>
    <row r="561" spans="9:9" x14ac:dyDescent="0.15">
      <c r="I561"/>
    </row>
    <row r="562" spans="9:9" x14ac:dyDescent="0.15">
      <c r="I562"/>
    </row>
    <row r="563" spans="9:9" x14ac:dyDescent="0.15">
      <c r="I563"/>
    </row>
    <row r="564" spans="9:9" x14ac:dyDescent="0.15">
      <c r="I564"/>
    </row>
    <row r="565" spans="9:9" x14ac:dyDescent="0.15">
      <c r="I565"/>
    </row>
    <row r="566" spans="9:9" x14ac:dyDescent="0.15">
      <c r="I566"/>
    </row>
    <row r="567" spans="9:9" x14ac:dyDescent="0.15">
      <c r="I567"/>
    </row>
    <row r="568" spans="9:9" x14ac:dyDescent="0.15">
      <c r="I568"/>
    </row>
    <row r="569" spans="9:9" x14ac:dyDescent="0.15">
      <c r="I569"/>
    </row>
    <row r="570" spans="9:9" x14ac:dyDescent="0.15">
      <c r="I570"/>
    </row>
    <row r="571" spans="9:9" x14ac:dyDescent="0.15">
      <c r="I571"/>
    </row>
    <row r="572" spans="9:9" x14ac:dyDescent="0.15">
      <c r="I572"/>
    </row>
    <row r="573" spans="9:9" x14ac:dyDescent="0.15">
      <c r="I573"/>
    </row>
    <row r="574" spans="9:9" x14ac:dyDescent="0.15">
      <c r="I574"/>
    </row>
    <row r="575" spans="9:9" x14ac:dyDescent="0.15">
      <c r="I575"/>
    </row>
    <row r="576" spans="9:9" x14ac:dyDescent="0.15">
      <c r="I576"/>
    </row>
    <row r="577" spans="9:9" x14ac:dyDescent="0.15">
      <c r="I577"/>
    </row>
    <row r="578" spans="9:9" x14ac:dyDescent="0.15">
      <c r="I578"/>
    </row>
    <row r="579" spans="9:9" x14ac:dyDescent="0.15">
      <c r="I579"/>
    </row>
    <row r="580" spans="9:9" x14ac:dyDescent="0.15">
      <c r="I580"/>
    </row>
    <row r="581" spans="9:9" x14ac:dyDescent="0.15">
      <c r="I581"/>
    </row>
    <row r="582" spans="9:9" x14ac:dyDescent="0.15">
      <c r="I582"/>
    </row>
    <row r="583" spans="9:9" x14ac:dyDescent="0.15">
      <c r="I583"/>
    </row>
    <row r="584" spans="9:9" x14ac:dyDescent="0.15">
      <c r="I584"/>
    </row>
    <row r="585" spans="9:9" x14ac:dyDescent="0.15">
      <c r="I585"/>
    </row>
    <row r="586" spans="9:9" x14ac:dyDescent="0.15">
      <c r="I586"/>
    </row>
    <row r="587" spans="9:9" x14ac:dyDescent="0.15">
      <c r="I587"/>
    </row>
    <row r="588" spans="9:9" x14ac:dyDescent="0.15">
      <c r="I588"/>
    </row>
    <row r="589" spans="9:9" x14ac:dyDescent="0.15">
      <c r="I589"/>
    </row>
    <row r="590" spans="9:9" x14ac:dyDescent="0.15">
      <c r="I590"/>
    </row>
    <row r="591" spans="9:9" x14ac:dyDescent="0.15">
      <c r="I591"/>
    </row>
    <row r="592" spans="9:9" x14ac:dyDescent="0.15">
      <c r="I592"/>
    </row>
    <row r="593" spans="9:9" x14ac:dyDescent="0.15">
      <c r="I593"/>
    </row>
    <row r="594" spans="9:9" x14ac:dyDescent="0.15">
      <c r="I594"/>
    </row>
    <row r="595" spans="9:9" x14ac:dyDescent="0.15">
      <c r="I595"/>
    </row>
    <row r="596" spans="9:9" x14ac:dyDescent="0.15">
      <c r="I596"/>
    </row>
    <row r="597" spans="9:9" x14ac:dyDescent="0.15">
      <c r="I597"/>
    </row>
    <row r="598" spans="9:9" x14ac:dyDescent="0.15">
      <c r="I598"/>
    </row>
    <row r="599" spans="9:9" x14ac:dyDescent="0.15">
      <c r="I599"/>
    </row>
    <row r="600" spans="9:9" x14ac:dyDescent="0.15">
      <c r="I600"/>
    </row>
    <row r="601" spans="9:9" x14ac:dyDescent="0.15">
      <c r="I601"/>
    </row>
    <row r="602" spans="9:9" x14ac:dyDescent="0.15">
      <c r="I602"/>
    </row>
    <row r="603" spans="9:9" x14ac:dyDescent="0.15">
      <c r="I603"/>
    </row>
    <row r="604" spans="9:9" x14ac:dyDescent="0.15">
      <c r="I604"/>
    </row>
    <row r="605" spans="9:9" x14ac:dyDescent="0.15">
      <c r="I605"/>
    </row>
    <row r="606" spans="9:9" x14ac:dyDescent="0.15">
      <c r="I606"/>
    </row>
    <row r="607" spans="9:9" x14ac:dyDescent="0.15">
      <c r="I607"/>
    </row>
    <row r="608" spans="9:9" x14ac:dyDescent="0.15">
      <c r="I608"/>
    </row>
    <row r="609" spans="9:9" x14ac:dyDescent="0.15">
      <c r="I609"/>
    </row>
    <row r="610" spans="9:9" x14ac:dyDescent="0.15">
      <c r="I610"/>
    </row>
    <row r="611" spans="9:9" x14ac:dyDescent="0.15">
      <c r="I611"/>
    </row>
    <row r="612" spans="9:9" x14ac:dyDescent="0.15">
      <c r="I612"/>
    </row>
    <row r="613" spans="9:9" x14ac:dyDescent="0.15">
      <c r="I613"/>
    </row>
    <row r="614" spans="9:9" x14ac:dyDescent="0.15">
      <c r="I614"/>
    </row>
    <row r="615" spans="9:9" x14ac:dyDescent="0.15">
      <c r="I615"/>
    </row>
    <row r="616" spans="9:9" x14ac:dyDescent="0.15">
      <c r="I616"/>
    </row>
    <row r="617" spans="9:9" x14ac:dyDescent="0.15">
      <c r="I617"/>
    </row>
    <row r="618" spans="9:9" x14ac:dyDescent="0.15">
      <c r="I618"/>
    </row>
    <row r="619" spans="9:9" x14ac:dyDescent="0.15">
      <c r="I619"/>
    </row>
    <row r="620" spans="9:9" x14ac:dyDescent="0.15">
      <c r="I620"/>
    </row>
    <row r="621" spans="9:9" x14ac:dyDescent="0.15">
      <c r="I621"/>
    </row>
    <row r="622" spans="9:9" x14ac:dyDescent="0.15">
      <c r="I622"/>
    </row>
    <row r="623" spans="9:9" x14ac:dyDescent="0.15">
      <c r="I623"/>
    </row>
    <row r="624" spans="9:9" x14ac:dyDescent="0.15">
      <c r="I624"/>
    </row>
    <row r="625" spans="9:9" x14ac:dyDescent="0.15">
      <c r="I625"/>
    </row>
    <row r="626" spans="9:9" x14ac:dyDescent="0.15">
      <c r="I626"/>
    </row>
    <row r="627" spans="9:9" x14ac:dyDescent="0.15">
      <c r="I627"/>
    </row>
    <row r="628" spans="9:9" x14ac:dyDescent="0.15">
      <c r="I628"/>
    </row>
    <row r="629" spans="9:9" x14ac:dyDescent="0.15">
      <c r="I629"/>
    </row>
    <row r="630" spans="9:9" x14ac:dyDescent="0.15">
      <c r="I630"/>
    </row>
    <row r="631" spans="9:9" x14ac:dyDescent="0.15">
      <c r="I631"/>
    </row>
    <row r="632" spans="9:9" x14ac:dyDescent="0.15">
      <c r="I632"/>
    </row>
    <row r="633" spans="9:9" x14ac:dyDescent="0.15">
      <c r="I633"/>
    </row>
    <row r="634" spans="9:9" x14ac:dyDescent="0.15">
      <c r="I634"/>
    </row>
    <row r="635" spans="9:9" x14ac:dyDescent="0.15">
      <c r="I635"/>
    </row>
    <row r="636" spans="9:9" x14ac:dyDescent="0.15">
      <c r="I636"/>
    </row>
    <row r="637" spans="9:9" x14ac:dyDescent="0.15">
      <c r="I637"/>
    </row>
    <row r="638" spans="9:9" x14ac:dyDescent="0.15">
      <c r="I638"/>
    </row>
    <row r="639" spans="9:9" x14ac:dyDescent="0.15">
      <c r="I639"/>
    </row>
    <row r="640" spans="9:9" x14ac:dyDescent="0.15">
      <c r="I640"/>
    </row>
    <row r="641" spans="9:9" x14ac:dyDescent="0.15">
      <c r="I641"/>
    </row>
    <row r="642" spans="9:9" x14ac:dyDescent="0.15">
      <c r="I642"/>
    </row>
    <row r="643" spans="9:9" x14ac:dyDescent="0.15">
      <c r="I643"/>
    </row>
    <row r="644" spans="9:9" x14ac:dyDescent="0.15">
      <c r="I644"/>
    </row>
    <row r="645" spans="9:9" x14ac:dyDescent="0.15">
      <c r="I645"/>
    </row>
    <row r="646" spans="9:9" x14ac:dyDescent="0.15">
      <c r="I646"/>
    </row>
    <row r="647" spans="9:9" x14ac:dyDescent="0.15">
      <c r="I647"/>
    </row>
    <row r="648" spans="9:9" x14ac:dyDescent="0.15">
      <c r="I648"/>
    </row>
    <row r="649" spans="9:9" x14ac:dyDescent="0.15">
      <c r="I649"/>
    </row>
    <row r="650" spans="9:9" x14ac:dyDescent="0.15">
      <c r="I650"/>
    </row>
    <row r="651" spans="9:9" x14ac:dyDescent="0.15">
      <c r="I651"/>
    </row>
    <row r="652" spans="9:9" x14ac:dyDescent="0.15">
      <c r="I652"/>
    </row>
    <row r="653" spans="9:9" x14ac:dyDescent="0.15">
      <c r="I653"/>
    </row>
    <row r="654" spans="9:9" x14ac:dyDescent="0.15">
      <c r="I654"/>
    </row>
    <row r="655" spans="9:9" x14ac:dyDescent="0.15">
      <c r="I655"/>
    </row>
    <row r="656" spans="9:9" x14ac:dyDescent="0.15">
      <c r="I656"/>
    </row>
    <row r="657" spans="9:9" x14ac:dyDescent="0.15">
      <c r="I657"/>
    </row>
    <row r="658" spans="9:9" x14ac:dyDescent="0.15">
      <c r="I658"/>
    </row>
    <row r="659" spans="9:9" x14ac:dyDescent="0.15">
      <c r="I659"/>
    </row>
    <row r="660" spans="9:9" x14ac:dyDescent="0.15">
      <c r="I660"/>
    </row>
    <row r="661" spans="9:9" x14ac:dyDescent="0.15">
      <c r="I661"/>
    </row>
    <row r="662" spans="9:9" x14ac:dyDescent="0.15">
      <c r="I662"/>
    </row>
    <row r="663" spans="9:9" x14ac:dyDescent="0.15">
      <c r="I663"/>
    </row>
    <row r="664" spans="9:9" x14ac:dyDescent="0.15">
      <c r="I664"/>
    </row>
    <row r="665" spans="9:9" x14ac:dyDescent="0.15">
      <c r="I665"/>
    </row>
    <row r="666" spans="9:9" x14ac:dyDescent="0.15">
      <c r="I666"/>
    </row>
    <row r="667" spans="9:9" x14ac:dyDescent="0.15">
      <c r="I667"/>
    </row>
    <row r="668" spans="9:9" x14ac:dyDescent="0.15">
      <c r="I668"/>
    </row>
    <row r="669" spans="9:9" x14ac:dyDescent="0.15">
      <c r="I669"/>
    </row>
    <row r="670" spans="9:9" x14ac:dyDescent="0.15">
      <c r="I670"/>
    </row>
    <row r="671" spans="9:9" x14ac:dyDescent="0.15">
      <c r="I671"/>
    </row>
    <row r="672" spans="9:9" x14ac:dyDescent="0.15">
      <c r="I672"/>
    </row>
    <row r="673" spans="9:9" x14ac:dyDescent="0.15">
      <c r="I673"/>
    </row>
    <row r="674" spans="9:9" x14ac:dyDescent="0.15">
      <c r="I674"/>
    </row>
    <row r="675" spans="9:9" x14ac:dyDescent="0.15">
      <c r="I675"/>
    </row>
    <row r="676" spans="9:9" x14ac:dyDescent="0.15">
      <c r="I676"/>
    </row>
    <row r="677" spans="9:9" x14ac:dyDescent="0.15">
      <c r="I677"/>
    </row>
    <row r="678" spans="9:9" x14ac:dyDescent="0.15">
      <c r="I678"/>
    </row>
    <row r="679" spans="9:9" x14ac:dyDescent="0.15">
      <c r="I679"/>
    </row>
    <row r="680" spans="9:9" x14ac:dyDescent="0.15">
      <c r="I680"/>
    </row>
    <row r="681" spans="9:9" x14ac:dyDescent="0.15">
      <c r="I681"/>
    </row>
    <row r="682" spans="9:9" x14ac:dyDescent="0.15">
      <c r="I682"/>
    </row>
    <row r="683" spans="9:9" x14ac:dyDescent="0.15">
      <c r="I683"/>
    </row>
    <row r="684" spans="9:9" x14ac:dyDescent="0.15">
      <c r="I684"/>
    </row>
    <row r="685" spans="9:9" x14ac:dyDescent="0.15">
      <c r="I685"/>
    </row>
    <row r="686" spans="9:9" x14ac:dyDescent="0.15">
      <c r="I686"/>
    </row>
    <row r="687" spans="9:9" x14ac:dyDescent="0.15">
      <c r="I687"/>
    </row>
    <row r="688" spans="9:9" x14ac:dyDescent="0.15">
      <c r="I688"/>
    </row>
    <row r="689" spans="9:9" x14ac:dyDescent="0.15">
      <c r="I689"/>
    </row>
    <row r="690" spans="9:9" x14ac:dyDescent="0.15">
      <c r="I690"/>
    </row>
    <row r="691" spans="9:9" x14ac:dyDescent="0.15">
      <c r="I691"/>
    </row>
    <row r="692" spans="9:9" x14ac:dyDescent="0.15">
      <c r="I692"/>
    </row>
    <row r="693" spans="9:9" x14ac:dyDescent="0.15">
      <c r="I693"/>
    </row>
    <row r="694" spans="9:9" x14ac:dyDescent="0.15">
      <c r="I694"/>
    </row>
    <row r="695" spans="9:9" x14ac:dyDescent="0.15">
      <c r="I695"/>
    </row>
    <row r="696" spans="9:9" x14ac:dyDescent="0.15">
      <c r="I696"/>
    </row>
    <row r="697" spans="9:9" x14ac:dyDescent="0.15">
      <c r="I697"/>
    </row>
    <row r="698" spans="9:9" x14ac:dyDescent="0.15">
      <c r="I698"/>
    </row>
    <row r="699" spans="9:9" x14ac:dyDescent="0.15">
      <c r="I699"/>
    </row>
    <row r="700" spans="9:9" x14ac:dyDescent="0.15">
      <c r="I700"/>
    </row>
    <row r="701" spans="9:9" x14ac:dyDescent="0.15">
      <c r="I701"/>
    </row>
    <row r="702" spans="9:9" x14ac:dyDescent="0.15">
      <c r="I702"/>
    </row>
    <row r="703" spans="9:9" x14ac:dyDescent="0.15">
      <c r="I703"/>
    </row>
    <row r="704" spans="9:9" x14ac:dyDescent="0.15">
      <c r="I704"/>
    </row>
    <row r="705" spans="9:9" x14ac:dyDescent="0.15">
      <c r="I705"/>
    </row>
    <row r="706" spans="9:9" x14ac:dyDescent="0.15">
      <c r="I706"/>
    </row>
    <row r="707" spans="9:9" x14ac:dyDescent="0.15">
      <c r="I707"/>
    </row>
    <row r="708" spans="9:9" x14ac:dyDescent="0.15">
      <c r="I708"/>
    </row>
    <row r="709" spans="9:9" x14ac:dyDescent="0.15">
      <c r="I709"/>
    </row>
    <row r="710" spans="9:9" x14ac:dyDescent="0.15">
      <c r="I710"/>
    </row>
    <row r="711" spans="9:9" x14ac:dyDescent="0.15">
      <c r="I711"/>
    </row>
    <row r="712" spans="9:9" x14ac:dyDescent="0.15">
      <c r="I712"/>
    </row>
    <row r="713" spans="9:9" x14ac:dyDescent="0.15">
      <c r="I713"/>
    </row>
    <row r="714" spans="9:9" x14ac:dyDescent="0.15">
      <c r="I714"/>
    </row>
    <row r="715" spans="9:9" x14ac:dyDescent="0.15">
      <c r="I715"/>
    </row>
    <row r="716" spans="9:9" x14ac:dyDescent="0.15">
      <c r="I716"/>
    </row>
    <row r="717" spans="9:9" x14ac:dyDescent="0.15">
      <c r="I717"/>
    </row>
    <row r="718" spans="9:9" x14ac:dyDescent="0.15">
      <c r="I718"/>
    </row>
    <row r="719" spans="9:9" x14ac:dyDescent="0.15">
      <c r="I719"/>
    </row>
    <row r="720" spans="9:9" x14ac:dyDescent="0.15">
      <c r="I720"/>
    </row>
    <row r="721" spans="9:9" x14ac:dyDescent="0.15">
      <c r="I721"/>
    </row>
    <row r="722" spans="9:9" x14ac:dyDescent="0.15">
      <c r="I722"/>
    </row>
    <row r="723" spans="9:9" x14ac:dyDescent="0.15">
      <c r="I723"/>
    </row>
    <row r="724" spans="9:9" x14ac:dyDescent="0.15">
      <c r="I724"/>
    </row>
    <row r="725" spans="9:9" x14ac:dyDescent="0.15">
      <c r="I725"/>
    </row>
    <row r="726" spans="9:9" x14ac:dyDescent="0.15">
      <c r="I726"/>
    </row>
    <row r="727" spans="9:9" x14ac:dyDescent="0.15">
      <c r="I727"/>
    </row>
    <row r="728" spans="9:9" x14ac:dyDescent="0.15">
      <c r="I728"/>
    </row>
    <row r="729" spans="9:9" x14ac:dyDescent="0.15">
      <c r="I729"/>
    </row>
    <row r="730" spans="9:9" x14ac:dyDescent="0.15">
      <c r="I730"/>
    </row>
    <row r="731" spans="9:9" x14ac:dyDescent="0.15">
      <c r="I731"/>
    </row>
    <row r="732" spans="9:9" x14ac:dyDescent="0.15">
      <c r="I732"/>
    </row>
    <row r="733" spans="9:9" x14ac:dyDescent="0.15">
      <c r="I733"/>
    </row>
    <row r="734" spans="9:9" x14ac:dyDescent="0.15">
      <c r="I734"/>
    </row>
    <row r="735" spans="9:9" x14ac:dyDescent="0.15">
      <c r="I735"/>
    </row>
    <row r="736" spans="9:9" x14ac:dyDescent="0.15">
      <c r="I736"/>
    </row>
    <row r="737" spans="9:9" x14ac:dyDescent="0.15">
      <c r="I737"/>
    </row>
    <row r="738" spans="9:9" x14ac:dyDescent="0.15">
      <c r="I738"/>
    </row>
    <row r="739" spans="9:9" x14ac:dyDescent="0.15">
      <c r="I739"/>
    </row>
    <row r="740" spans="9:9" x14ac:dyDescent="0.15">
      <c r="I740"/>
    </row>
    <row r="741" spans="9:9" x14ac:dyDescent="0.15">
      <c r="I741"/>
    </row>
    <row r="742" spans="9:9" x14ac:dyDescent="0.15">
      <c r="I742"/>
    </row>
    <row r="743" spans="9:9" x14ac:dyDescent="0.15">
      <c r="I743"/>
    </row>
    <row r="744" spans="9:9" x14ac:dyDescent="0.15">
      <c r="I744"/>
    </row>
    <row r="745" spans="9:9" x14ac:dyDescent="0.15">
      <c r="I745"/>
    </row>
    <row r="746" spans="9:9" x14ac:dyDescent="0.15">
      <c r="I746"/>
    </row>
    <row r="747" spans="9:9" x14ac:dyDescent="0.15">
      <c r="I747"/>
    </row>
    <row r="748" spans="9:9" x14ac:dyDescent="0.15">
      <c r="I748"/>
    </row>
    <row r="749" spans="9:9" x14ac:dyDescent="0.15">
      <c r="I749"/>
    </row>
    <row r="750" spans="9:9" x14ac:dyDescent="0.15">
      <c r="I750"/>
    </row>
    <row r="751" spans="9:9" x14ac:dyDescent="0.15">
      <c r="I751"/>
    </row>
    <row r="752" spans="9:9" x14ac:dyDescent="0.15">
      <c r="I752"/>
    </row>
    <row r="753" spans="9:9" x14ac:dyDescent="0.15">
      <c r="I753"/>
    </row>
    <row r="754" spans="9:9" x14ac:dyDescent="0.15">
      <c r="I754"/>
    </row>
    <row r="755" spans="9:9" x14ac:dyDescent="0.15">
      <c r="I755"/>
    </row>
    <row r="756" spans="9:9" x14ac:dyDescent="0.15">
      <c r="I756"/>
    </row>
    <row r="757" spans="9:9" x14ac:dyDescent="0.15">
      <c r="I757"/>
    </row>
    <row r="758" spans="9:9" x14ac:dyDescent="0.15">
      <c r="I758"/>
    </row>
    <row r="759" spans="9:9" x14ac:dyDescent="0.15">
      <c r="I759"/>
    </row>
    <row r="760" spans="9:9" x14ac:dyDescent="0.15">
      <c r="I760"/>
    </row>
    <row r="761" spans="9:9" x14ac:dyDescent="0.15">
      <c r="I761"/>
    </row>
    <row r="762" spans="9:9" x14ac:dyDescent="0.15">
      <c r="I762"/>
    </row>
    <row r="763" spans="9:9" x14ac:dyDescent="0.15">
      <c r="I763"/>
    </row>
    <row r="764" spans="9:9" x14ac:dyDescent="0.15">
      <c r="I764"/>
    </row>
    <row r="765" spans="9:9" x14ac:dyDescent="0.15">
      <c r="I765"/>
    </row>
    <row r="766" spans="9:9" x14ac:dyDescent="0.15">
      <c r="I766"/>
    </row>
    <row r="767" spans="9:9" x14ac:dyDescent="0.15">
      <c r="I767"/>
    </row>
    <row r="768" spans="9:9" x14ac:dyDescent="0.15">
      <c r="I768"/>
    </row>
    <row r="769" spans="9:9" x14ac:dyDescent="0.15">
      <c r="I769"/>
    </row>
    <row r="770" spans="9:9" x14ac:dyDescent="0.15">
      <c r="I770"/>
    </row>
    <row r="771" spans="9:9" x14ac:dyDescent="0.15">
      <c r="I771"/>
    </row>
    <row r="772" spans="9:9" x14ac:dyDescent="0.15">
      <c r="I772"/>
    </row>
    <row r="773" spans="9:9" x14ac:dyDescent="0.15">
      <c r="I773"/>
    </row>
    <row r="774" spans="9:9" x14ac:dyDescent="0.15">
      <c r="I774"/>
    </row>
    <row r="775" spans="9:9" x14ac:dyDescent="0.15">
      <c r="I775"/>
    </row>
    <row r="776" spans="9:9" x14ac:dyDescent="0.15">
      <c r="I776"/>
    </row>
    <row r="777" spans="9:9" x14ac:dyDescent="0.15">
      <c r="I777"/>
    </row>
    <row r="778" spans="9:9" x14ac:dyDescent="0.15">
      <c r="I778"/>
    </row>
    <row r="779" spans="9:9" x14ac:dyDescent="0.15">
      <c r="I779"/>
    </row>
    <row r="780" spans="9:9" x14ac:dyDescent="0.15">
      <c r="I780"/>
    </row>
    <row r="781" spans="9:9" x14ac:dyDescent="0.15">
      <c r="I781"/>
    </row>
    <row r="782" spans="9:9" x14ac:dyDescent="0.15">
      <c r="I782"/>
    </row>
    <row r="783" spans="9:9" x14ac:dyDescent="0.15">
      <c r="I783"/>
    </row>
    <row r="784" spans="9:9" x14ac:dyDescent="0.15">
      <c r="I784"/>
    </row>
    <row r="785" spans="9:9" x14ac:dyDescent="0.15">
      <c r="I785"/>
    </row>
    <row r="786" spans="9:9" x14ac:dyDescent="0.15">
      <c r="I786"/>
    </row>
    <row r="787" spans="9:9" x14ac:dyDescent="0.15">
      <c r="I787"/>
    </row>
    <row r="788" spans="9:9" x14ac:dyDescent="0.15">
      <c r="I788"/>
    </row>
    <row r="789" spans="9:9" x14ac:dyDescent="0.15">
      <c r="I789"/>
    </row>
    <row r="790" spans="9:9" x14ac:dyDescent="0.15">
      <c r="I790"/>
    </row>
    <row r="791" spans="9:9" x14ac:dyDescent="0.15">
      <c r="I791"/>
    </row>
    <row r="792" spans="9:9" x14ac:dyDescent="0.15">
      <c r="I792"/>
    </row>
    <row r="793" spans="9:9" x14ac:dyDescent="0.15">
      <c r="I793"/>
    </row>
    <row r="794" spans="9:9" x14ac:dyDescent="0.15">
      <c r="I794"/>
    </row>
    <row r="795" spans="9:9" x14ac:dyDescent="0.15">
      <c r="I795"/>
    </row>
    <row r="796" spans="9:9" x14ac:dyDescent="0.15">
      <c r="I796"/>
    </row>
    <row r="797" spans="9:9" x14ac:dyDescent="0.15">
      <c r="I797"/>
    </row>
    <row r="798" spans="9:9" x14ac:dyDescent="0.15">
      <c r="I798"/>
    </row>
    <row r="799" spans="9:9" x14ac:dyDescent="0.15">
      <c r="I799"/>
    </row>
    <row r="800" spans="9:9" x14ac:dyDescent="0.15">
      <c r="I800"/>
    </row>
    <row r="801" spans="9:9" x14ac:dyDescent="0.15">
      <c r="I801"/>
    </row>
    <row r="802" spans="9:9" x14ac:dyDescent="0.15">
      <c r="I802"/>
    </row>
    <row r="803" spans="9:9" x14ac:dyDescent="0.15">
      <c r="I803"/>
    </row>
    <row r="804" spans="9:9" x14ac:dyDescent="0.15">
      <c r="I804"/>
    </row>
    <row r="805" spans="9:9" x14ac:dyDescent="0.15">
      <c r="I805"/>
    </row>
    <row r="806" spans="9:9" x14ac:dyDescent="0.15">
      <c r="I806"/>
    </row>
    <row r="807" spans="9:9" x14ac:dyDescent="0.15">
      <c r="I807"/>
    </row>
    <row r="808" spans="9:9" x14ac:dyDescent="0.15">
      <c r="I808"/>
    </row>
    <row r="809" spans="9:9" x14ac:dyDescent="0.15">
      <c r="I809"/>
    </row>
    <row r="810" spans="9:9" x14ac:dyDescent="0.15">
      <c r="I810"/>
    </row>
    <row r="811" spans="9:9" x14ac:dyDescent="0.15">
      <c r="I811"/>
    </row>
    <row r="812" spans="9:9" x14ac:dyDescent="0.15">
      <c r="I812"/>
    </row>
    <row r="813" spans="9:9" x14ac:dyDescent="0.15">
      <c r="I813"/>
    </row>
    <row r="814" spans="9:9" x14ac:dyDescent="0.15">
      <c r="I814"/>
    </row>
    <row r="815" spans="9:9" x14ac:dyDescent="0.15">
      <c r="I815"/>
    </row>
    <row r="816" spans="9:9" x14ac:dyDescent="0.15">
      <c r="I816"/>
    </row>
    <row r="817" spans="9:9" x14ac:dyDescent="0.15">
      <c r="I817"/>
    </row>
    <row r="818" spans="9:9" x14ac:dyDescent="0.15">
      <c r="I818"/>
    </row>
    <row r="819" spans="9:9" x14ac:dyDescent="0.15">
      <c r="I819"/>
    </row>
    <row r="820" spans="9:9" x14ac:dyDescent="0.15">
      <c r="I820"/>
    </row>
    <row r="821" spans="9:9" x14ac:dyDescent="0.15">
      <c r="I821"/>
    </row>
    <row r="822" spans="9:9" x14ac:dyDescent="0.15">
      <c r="I822"/>
    </row>
    <row r="823" spans="9:9" x14ac:dyDescent="0.15">
      <c r="I823"/>
    </row>
    <row r="824" spans="9:9" x14ac:dyDescent="0.15">
      <c r="I824"/>
    </row>
    <row r="825" spans="9:9" x14ac:dyDescent="0.15">
      <c r="I825"/>
    </row>
    <row r="826" spans="9:9" x14ac:dyDescent="0.15">
      <c r="I826"/>
    </row>
    <row r="827" spans="9:9" x14ac:dyDescent="0.15">
      <c r="I827"/>
    </row>
    <row r="828" spans="9:9" x14ac:dyDescent="0.15">
      <c r="I828"/>
    </row>
    <row r="829" spans="9:9" x14ac:dyDescent="0.15">
      <c r="I829"/>
    </row>
    <row r="830" spans="9:9" x14ac:dyDescent="0.15">
      <c r="I830"/>
    </row>
    <row r="831" spans="9:9" x14ac:dyDescent="0.15">
      <c r="I831"/>
    </row>
    <row r="832" spans="9:9" x14ac:dyDescent="0.15">
      <c r="I832"/>
    </row>
    <row r="833" spans="9:9" x14ac:dyDescent="0.15">
      <c r="I833"/>
    </row>
    <row r="834" spans="9:9" x14ac:dyDescent="0.15">
      <c r="I834"/>
    </row>
    <row r="835" spans="9:9" x14ac:dyDescent="0.15">
      <c r="I835"/>
    </row>
    <row r="836" spans="9:9" x14ac:dyDescent="0.15">
      <c r="I836"/>
    </row>
    <row r="837" spans="9:9" x14ac:dyDescent="0.15">
      <c r="I837"/>
    </row>
    <row r="838" spans="9:9" x14ac:dyDescent="0.15">
      <c r="I838"/>
    </row>
    <row r="839" spans="9:9" x14ac:dyDescent="0.15">
      <c r="I839"/>
    </row>
    <row r="840" spans="9:9" x14ac:dyDescent="0.15">
      <c r="I840"/>
    </row>
    <row r="841" spans="9:9" x14ac:dyDescent="0.15">
      <c r="I841"/>
    </row>
    <row r="842" spans="9:9" x14ac:dyDescent="0.15">
      <c r="I842"/>
    </row>
    <row r="843" spans="9:9" x14ac:dyDescent="0.15">
      <c r="I843"/>
    </row>
    <row r="844" spans="9:9" x14ac:dyDescent="0.15">
      <c r="I844"/>
    </row>
    <row r="845" spans="9:9" x14ac:dyDescent="0.15">
      <c r="I845"/>
    </row>
    <row r="846" spans="9:9" x14ac:dyDescent="0.15">
      <c r="I846"/>
    </row>
    <row r="847" spans="9:9" x14ac:dyDescent="0.15">
      <c r="I847"/>
    </row>
    <row r="848" spans="9:9" x14ac:dyDescent="0.15">
      <c r="I848"/>
    </row>
    <row r="849" spans="9:9" x14ac:dyDescent="0.15">
      <c r="I849"/>
    </row>
    <row r="850" spans="9:9" x14ac:dyDescent="0.15">
      <c r="I850"/>
    </row>
    <row r="851" spans="9:9" x14ac:dyDescent="0.15">
      <c r="I851"/>
    </row>
    <row r="852" spans="9:9" x14ac:dyDescent="0.15">
      <c r="I852"/>
    </row>
    <row r="853" spans="9:9" x14ac:dyDescent="0.15">
      <c r="I853"/>
    </row>
    <row r="854" spans="9:9" x14ac:dyDescent="0.15">
      <c r="I854"/>
    </row>
    <row r="855" spans="9:9" x14ac:dyDescent="0.15">
      <c r="I855"/>
    </row>
    <row r="856" spans="9:9" x14ac:dyDescent="0.15">
      <c r="I856"/>
    </row>
    <row r="857" spans="9:9" x14ac:dyDescent="0.15">
      <c r="I857"/>
    </row>
    <row r="858" spans="9:9" x14ac:dyDescent="0.15">
      <c r="I858"/>
    </row>
    <row r="859" spans="9:9" x14ac:dyDescent="0.15">
      <c r="I859"/>
    </row>
    <row r="860" spans="9:9" x14ac:dyDescent="0.15">
      <c r="I860"/>
    </row>
    <row r="861" spans="9:9" x14ac:dyDescent="0.15">
      <c r="I861"/>
    </row>
    <row r="862" spans="9:9" x14ac:dyDescent="0.15">
      <c r="I862"/>
    </row>
    <row r="863" spans="9:9" x14ac:dyDescent="0.15">
      <c r="I863"/>
    </row>
    <row r="864" spans="9:9" x14ac:dyDescent="0.15">
      <c r="I864"/>
    </row>
    <row r="865" spans="9:9" x14ac:dyDescent="0.15">
      <c r="I865"/>
    </row>
    <row r="866" spans="9:9" x14ac:dyDescent="0.15">
      <c r="I866"/>
    </row>
    <row r="867" spans="9:9" x14ac:dyDescent="0.15">
      <c r="I867"/>
    </row>
    <row r="868" spans="9:9" x14ac:dyDescent="0.15">
      <c r="I868"/>
    </row>
    <row r="869" spans="9:9" x14ac:dyDescent="0.15">
      <c r="I869"/>
    </row>
    <row r="870" spans="9:9" x14ac:dyDescent="0.15">
      <c r="I870"/>
    </row>
    <row r="871" spans="9:9" x14ac:dyDescent="0.15">
      <c r="I871"/>
    </row>
    <row r="872" spans="9:9" x14ac:dyDescent="0.15">
      <c r="I872"/>
    </row>
    <row r="873" spans="9:9" x14ac:dyDescent="0.15">
      <c r="I873"/>
    </row>
    <row r="874" spans="9:9" x14ac:dyDescent="0.15">
      <c r="I874"/>
    </row>
    <row r="875" spans="9:9" x14ac:dyDescent="0.15">
      <c r="I875"/>
    </row>
    <row r="876" spans="9:9" x14ac:dyDescent="0.15">
      <c r="I876"/>
    </row>
    <row r="877" spans="9:9" x14ac:dyDescent="0.15">
      <c r="I877"/>
    </row>
    <row r="878" spans="9:9" x14ac:dyDescent="0.15">
      <c r="I878"/>
    </row>
    <row r="879" spans="9:9" x14ac:dyDescent="0.15">
      <c r="I879"/>
    </row>
    <row r="880" spans="9:9" x14ac:dyDescent="0.15">
      <c r="I880"/>
    </row>
    <row r="881" spans="9:9" x14ac:dyDescent="0.15">
      <c r="I881"/>
    </row>
    <row r="882" spans="9:9" x14ac:dyDescent="0.15">
      <c r="I882"/>
    </row>
    <row r="883" spans="9:9" x14ac:dyDescent="0.15">
      <c r="I883"/>
    </row>
    <row r="884" spans="9:9" x14ac:dyDescent="0.15">
      <c r="I884"/>
    </row>
    <row r="885" spans="9:9" x14ac:dyDescent="0.15">
      <c r="I885"/>
    </row>
    <row r="886" spans="9:9" x14ac:dyDescent="0.15">
      <c r="I886"/>
    </row>
    <row r="887" spans="9:9" x14ac:dyDescent="0.15">
      <c r="I887"/>
    </row>
    <row r="888" spans="9:9" x14ac:dyDescent="0.15">
      <c r="I888"/>
    </row>
    <row r="889" spans="9:9" x14ac:dyDescent="0.15">
      <c r="I889"/>
    </row>
    <row r="890" spans="9:9" x14ac:dyDescent="0.15">
      <c r="I890"/>
    </row>
    <row r="891" spans="9:9" x14ac:dyDescent="0.15">
      <c r="I891"/>
    </row>
    <row r="892" spans="9:9" x14ac:dyDescent="0.15">
      <c r="I892"/>
    </row>
    <row r="893" spans="9:9" x14ac:dyDescent="0.15">
      <c r="I893"/>
    </row>
    <row r="894" spans="9:9" x14ac:dyDescent="0.15">
      <c r="I894"/>
    </row>
    <row r="895" spans="9:9" x14ac:dyDescent="0.15">
      <c r="I895"/>
    </row>
    <row r="896" spans="9:9" x14ac:dyDescent="0.15">
      <c r="I896"/>
    </row>
    <row r="897" spans="9:9" x14ac:dyDescent="0.15">
      <c r="I897"/>
    </row>
    <row r="898" spans="9:9" x14ac:dyDescent="0.15">
      <c r="I898"/>
    </row>
    <row r="899" spans="9:9" x14ac:dyDescent="0.15">
      <c r="I899"/>
    </row>
    <row r="900" spans="9:9" x14ac:dyDescent="0.15">
      <c r="I900"/>
    </row>
    <row r="901" spans="9:9" x14ac:dyDescent="0.15">
      <c r="I901"/>
    </row>
    <row r="902" spans="9:9" x14ac:dyDescent="0.15">
      <c r="I902"/>
    </row>
    <row r="903" spans="9:9" x14ac:dyDescent="0.15">
      <c r="I903"/>
    </row>
    <row r="904" spans="9:9" x14ac:dyDescent="0.15">
      <c r="I904"/>
    </row>
    <row r="905" spans="9:9" x14ac:dyDescent="0.15">
      <c r="I905"/>
    </row>
    <row r="906" spans="9:9" x14ac:dyDescent="0.15">
      <c r="I906"/>
    </row>
    <row r="907" spans="9:9" x14ac:dyDescent="0.15">
      <c r="I907"/>
    </row>
    <row r="908" spans="9:9" x14ac:dyDescent="0.15">
      <c r="I908"/>
    </row>
    <row r="909" spans="9:9" x14ac:dyDescent="0.15">
      <c r="I909"/>
    </row>
    <row r="910" spans="9:9" x14ac:dyDescent="0.15">
      <c r="I910"/>
    </row>
    <row r="911" spans="9:9" x14ac:dyDescent="0.15">
      <c r="I911"/>
    </row>
    <row r="912" spans="9:9" x14ac:dyDescent="0.15">
      <c r="I912"/>
    </row>
    <row r="913" spans="9:9" x14ac:dyDescent="0.15">
      <c r="I913"/>
    </row>
    <row r="914" spans="9:9" x14ac:dyDescent="0.15">
      <c r="I914"/>
    </row>
    <row r="915" spans="9:9" x14ac:dyDescent="0.15">
      <c r="I915"/>
    </row>
    <row r="916" spans="9:9" x14ac:dyDescent="0.15">
      <c r="I916"/>
    </row>
    <row r="917" spans="9:9" x14ac:dyDescent="0.15">
      <c r="I917"/>
    </row>
    <row r="918" spans="9:9" x14ac:dyDescent="0.15">
      <c r="I918"/>
    </row>
    <row r="919" spans="9:9" x14ac:dyDescent="0.15">
      <c r="I919"/>
    </row>
    <row r="920" spans="9:9" x14ac:dyDescent="0.15">
      <c r="I920"/>
    </row>
    <row r="921" spans="9:9" x14ac:dyDescent="0.15">
      <c r="I921"/>
    </row>
    <row r="922" spans="9:9" x14ac:dyDescent="0.15">
      <c r="I922"/>
    </row>
    <row r="923" spans="9:9" x14ac:dyDescent="0.15">
      <c r="I923"/>
    </row>
    <row r="924" spans="9:9" ht="12.75" customHeight="1" x14ac:dyDescent="0.15">
      <c r="I924"/>
    </row>
    <row r="925" spans="9:9" x14ac:dyDescent="0.15">
      <c r="I925"/>
    </row>
    <row r="926" spans="9:9" x14ac:dyDescent="0.15">
      <c r="I926"/>
    </row>
    <row r="927" spans="9:9" x14ac:dyDescent="0.15">
      <c r="I927"/>
    </row>
    <row r="928" spans="9:9" x14ac:dyDescent="0.15">
      <c r="I928"/>
    </row>
    <row r="929" spans="9:9" x14ac:dyDescent="0.15">
      <c r="I929"/>
    </row>
    <row r="930" spans="9:9" x14ac:dyDescent="0.15">
      <c r="I930"/>
    </row>
    <row r="931" spans="9:9" x14ac:dyDescent="0.15">
      <c r="I931"/>
    </row>
    <row r="932" spans="9:9" x14ac:dyDescent="0.15">
      <c r="I932"/>
    </row>
    <row r="933" spans="9:9" x14ac:dyDescent="0.15">
      <c r="I933"/>
    </row>
    <row r="934" spans="9:9" x14ac:dyDescent="0.15">
      <c r="I934"/>
    </row>
    <row r="935" spans="9:9" x14ac:dyDescent="0.15">
      <c r="I935"/>
    </row>
    <row r="936" spans="9:9" x14ac:dyDescent="0.15">
      <c r="I936"/>
    </row>
    <row r="937" spans="9:9" x14ac:dyDescent="0.15">
      <c r="I937"/>
    </row>
    <row r="938" spans="9:9" x14ac:dyDescent="0.15">
      <c r="I938"/>
    </row>
    <row r="939" spans="9:9" x14ac:dyDescent="0.15">
      <c r="I939"/>
    </row>
    <row r="940" spans="9:9" x14ac:dyDescent="0.15">
      <c r="I940"/>
    </row>
    <row r="941" spans="9:9" x14ac:dyDescent="0.15">
      <c r="I941"/>
    </row>
    <row r="942" spans="9:9" x14ac:dyDescent="0.15">
      <c r="I942"/>
    </row>
    <row r="943" spans="9:9" x14ac:dyDescent="0.15">
      <c r="I943"/>
    </row>
    <row r="944" spans="9:9" x14ac:dyDescent="0.15">
      <c r="I944"/>
    </row>
    <row r="945" spans="9:9" x14ac:dyDescent="0.15">
      <c r="I945"/>
    </row>
    <row r="946" spans="9:9" x14ac:dyDescent="0.15">
      <c r="I946"/>
    </row>
    <row r="947" spans="9:9" x14ac:dyDescent="0.15">
      <c r="I947"/>
    </row>
    <row r="948" spans="9:9" x14ac:dyDescent="0.15">
      <c r="I948"/>
    </row>
    <row r="949" spans="9:9" x14ac:dyDescent="0.15">
      <c r="I949"/>
    </row>
    <row r="950" spans="9:9" x14ac:dyDescent="0.15">
      <c r="I950"/>
    </row>
    <row r="951" spans="9:9" x14ac:dyDescent="0.15">
      <c r="I951"/>
    </row>
    <row r="952" spans="9:9" x14ac:dyDescent="0.15">
      <c r="I952"/>
    </row>
    <row r="953" spans="9:9" x14ac:dyDescent="0.15">
      <c r="I953"/>
    </row>
    <row r="954" spans="9:9" x14ac:dyDescent="0.15">
      <c r="I954"/>
    </row>
    <row r="955" spans="9:9" x14ac:dyDescent="0.15">
      <c r="I955"/>
    </row>
    <row r="956" spans="9:9" x14ac:dyDescent="0.15">
      <c r="I956"/>
    </row>
    <row r="957" spans="9:9" x14ac:dyDescent="0.15">
      <c r="I957"/>
    </row>
    <row r="958" spans="9:9" x14ac:dyDescent="0.15">
      <c r="I958"/>
    </row>
    <row r="959" spans="9:9" x14ac:dyDescent="0.15">
      <c r="I959"/>
    </row>
    <row r="960" spans="9:9" x14ac:dyDescent="0.15">
      <c r="I960"/>
    </row>
    <row r="961" spans="9:9" x14ac:dyDescent="0.15">
      <c r="I961"/>
    </row>
    <row r="962" spans="9:9" x14ac:dyDescent="0.15">
      <c r="I962"/>
    </row>
    <row r="963" spans="9:9" x14ac:dyDescent="0.15">
      <c r="I963"/>
    </row>
    <row r="964" spans="9:9" x14ac:dyDescent="0.15">
      <c r="I964"/>
    </row>
    <row r="965" spans="9:9" x14ac:dyDescent="0.15">
      <c r="I965"/>
    </row>
    <row r="966" spans="9:9" x14ac:dyDescent="0.15">
      <c r="I966"/>
    </row>
    <row r="967" spans="9:9" x14ac:dyDescent="0.15">
      <c r="I967"/>
    </row>
    <row r="968" spans="9:9" x14ac:dyDescent="0.15">
      <c r="I968"/>
    </row>
    <row r="969" spans="9:9" x14ac:dyDescent="0.15">
      <c r="I969"/>
    </row>
    <row r="970" spans="9:9" x14ac:dyDescent="0.15">
      <c r="I970"/>
    </row>
    <row r="971" spans="9:9" x14ac:dyDescent="0.15">
      <c r="I971"/>
    </row>
    <row r="972" spans="9:9" x14ac:dyDescent="0.15">
      <c r="I972"/>
    </row>
    <row r="973" spans="9:9" x14ac:dyDescent="0.15">
      <c r="I973"/>
    </row>
    <row r="974" spans="9:9" x14ac:dyDescent="0.15">
      <c r="I974"/>
    </row>
    <row r="975" spans="9:9" x14ac:dyDescent="0.15">
      <c r="I975"/>
    </row>
    <row r="976" spans="9:9" x14ac:dyDescent="0.15">
      <c r="I976"/>
    </row>
    <row r="977" spans="9:9" x14ac:dyDescent="0.15">
      <c r="I977"/>
    </row>
    <row r="978" spans="9:9" x14ac:dyDescent="0.15">
      <c r="I978"/>
    </row>
    <row r="979" spans="9:9" x14ac:dyDescent="0.15">
      <c r="I979"/>
    </row>
    <row r="980" spans="9:9" x14ac:dyDescent="0.15">
      <c r="I980"/>
    </row>
    <row r="981" spans="9:9" x14ac:dyDescent="0.15">
      <c r="I981"/>
    </row>
    <row r="982" spans="9:9" x14ac:dyDescent="0.15">
      <c r="I982"/>
    </row>
    <row r="983" spans="9:9" x14ac:dyDescent="0.15">
      <c r="I983"/>
    </row>
    <row r="984" spans="9:9" x14ac:dyDescent="0.15">
      <c r="I984"/>
    </row>
    <row r="985" spans="9:9" x14ac:dyDescent="0.15">
      <c r="I985"/>
    </row>
    <row r="986" spans="9:9" x14ac:dyDescent="0.15">
      <c r="I986"/>
    </row>
    <row r="987" spans="9:9" x14ac:dyDescent="0.15">
      <c r="I987"/>
    </row>
    <row r="988" spans="9:9" x14ac:dyDescent="0.15">
      <c r="I988"/>
    </row>
    <row r="989" spans="9:9" x14ac:dyDescent="0.15">
      <c r="I989"/>
    </row>
    <row r="990" spans="9:9" x14ac:dyDescent="0.15">
      <c r="I990"/>
    </row>
    <row r="991" spans="9:9" x14ac:dyDescent="0.15">
      <c r="I991"/>
    </row>
    <row r="992" spans="9:9" x14ac:dyDescent="0.15">
      <c r="I992"/>
    </row>
    <row r="993" spans="9:9" x14ac:dyDescent="0.15">
      <c r="I993"/>
    </row>
    <row r="994" spans="9:9" x14ac:dyDescent="0.15">
      <c r="I994"/>
    </row>
    <row r="995" spans="9:9" x14ac:dyDescent="0.15">
      <c r="I995"/>
    </row>
    <row r="996" spans="9:9" x14ac:dyDescent="0.15">
      <c r="I996"/>
    </row>
    <row r="997" spans="9:9" x14ac:dyDescent="0.15">
      <c r="I997"/>
    </row>
    <row r="998" spans="9:9" x14ac:dyDescent="0.15">
      <c r="I998"/>
    </row>
    <row r="999" spans="9:9" x14ac:dyDescent="0.15">
      <c r="I999"/>
    </row>
    <row r="1000" spans="9:9" x14ac:dyDescent="0.15">
      <c r="I1000"/>
    </row>
    <row r="1001" spans="9:9" x14ac:dyDescent="0.15">
      <c r="I1001"/>
    </row>
    <row r="1002" spans="9:9" x14ac:dyDescent="0.15">
      <c r="I1002"/>
    </row>
    <row r="1003" spans="9:9" x14ac:dyDescent="0.15">
      <c r="I1003"/>
    </row>
    <row r="1004" spans="9:9" x14ac:dyDescent="0.15">
      <c r="I1004"/>
    </row>
    <row r="1005" spans="9:9" x14ac:dyDescent="0.15">
      <c r="I1005"/>
    </row>
    <row r="1006" spans="9:9" x14ac:dyDescent="0.15">
      <c r="I1006"/>
    </row>
    <row r="1007" spans="9:9" x14ac:dyDescent="0.15">
      <c r="I1007"/>
    </row>
    <row r="1008" spans="9:9" x14ac:dyDescent="0.15">
      <c r="I1008"/>
    </row>
    <row r="1009" spans="9:9" x14ac:dyDescent="0.15">
      <c r="I1009"/>
    </row>
    <row r="1010" spans="9:9" x14ac:dyDescent="0.15">
      <c r="I1010"/>
    </row>
    <row r="1011" spans="9:9" x14ac:dyDescent="0.15">
      <c r="I1011"/>
    </row>
    <row r="1012" spans="9:9" x14ac:dyDescent="0.15">
      <c r="I1012"/>
    </row>
    <row r="1013" spans="9:9" x14ac:dyDescent="0.15">
      <c r="I1013"/>
    </row>
    <row r="1014" spans="9:9" x14ac:dyDescent="0.15">
      <c r="I1014"/>
    </row>
    <row r="1015" spans="9:9" x14ac:dyDescent="0.15">
      <c r="I1015"/>
    </row>
    <row r="1016" spans="9:9" x14ac:dyDescent="0.15">
      <c r="I1016"/>
    </row>
    <row r="1017" spans="9:9" x14ac:dyDescent="0.15">
      <c r="I1017"/>
    </row>
    <row r="1018" spans="9:9" x14ac:dyDescent="0.15">
      <c r="I1018"/>
    </row>
    <row r="1019" spans="9:9" x14ac:dyDescent="0.15">
      <c r="I1019"/>
    </row>
    <row r="1020" spans="9:9" x14ac:dyDescent="0.15">
      <c r="I1020"/>
    </row>
    <row r="1021" spans="9:9" x14ac:dyDescent="0.15">
      <c r="I1021"/>
    </row>
    <row r="1022" spans="9:9" x14ac:dyDescent="0.15">
      <c r="I1022"/>
    </row>
    <row r="1023" spans="9:9" x14ac:dyDescent="0.15">
      <c r="I1023"/>
    </row>
    <row r="1024" spans="9:9" x14ac:dyDescent="0.15">
      <c r="I1024"/>
    </row>
    <row r="1025" spans="9:9" x14ac:dyDescent="0.15">
      <c r="I1025"/>
    </row>
    <row r="1026" spans="9:9" x14ac:dyDescent="0.15">
      <c r="I1026"/>
    </row>
    <row r="1027" spans="9:9" x14ac:dyDescent="0.15">
      <c r="I1027"/>
    </row>
    <row r="1028" spans="9:9" x14ac:dyDescent="0.15">
      <c r="I1028"/>
    </row>
    <row r="1029" spans="9:9" x14ac:dyDescent="0.15">
      <c r="I1029"/>
    </row>
    <row r="1030" spans="9:9" x14ac:dyDescent="0.15">
      <c r="I1030"/>
    </row>
    <row r="1031" spans="9:9" x14ac:dyDescent="0.15">
      <c r="I1031"/>
    </row>
    <row r="1032" spans="9:9" x14ac:dyDescent="0.15">
      <c r="I1032"/>
    </row>
    <row r="1033" spans="9:9" x14ac:dyDescent="0.15">
      <c r="I1033"/>
    </row>
    <row r="1034" spans="9:9" x14ac:dyDescent="0.15">
      <c r="I1034"/>
    </row>
    <row r="1035" spans="9:9" x14ac:dyDescent="0.15">
      <c r="I1035"/>
    </row>
    <row r="1036" spans="9:9" x14ac:dyDescent="0.15">
      <c r="I1036"/>
    </row>
    <row r="1037" spans="9:9" x14ac:dyDescent="0.15">
      <c r="I1037"/>
    </row>
    <row r="1038" spans="9:9" x14ac:dyDescent="0.15">
      <c r="I1038"/>
    </row>
    <row r="1039" spans="9:9" x14ac:dyDescent="0.15">
      <c r="I1039"/>
    </row>
    <row r="1040" spans="9:9" x14ac:dyDescent="0.15">
      <c r="I1040"/>
    </row>
    <row r="1041" spans="9:9" x14ac:dyDescent="0.15">
      <c r="I1041"/>
    </row>
    <row r="1042" spans="9:9" x14ac:dyDescent="0.15">
      <c r="I1042"/>
    </row>
    <row r="1043" spans="9:9" x14ac:dyDescent="0.15">
      <c r="I1043"/>
    </row>
    <row r="1044" spans="9:9" x14ac:dyDescent="0.15">
      <c r="I1044"/>
    </row>
    <row r="1045" spans="9:9" x14ac:dyDescent="0.15">
      <c r="I1045"/>
    </row>
    <row r="1046" spans="9:9" x14ac:dyDescent="0.15">
      <c r="I1046"/>
    </row>
    <row r="1047" spans="9:9" x14ac:dyDescent="0.15">
      <c r="I1047"/>
    </row>
    <row r="1048" spans="9:9" x14ac:dyDescent="0.15">
      <c r="I1048"/>
    </row>
    <row r="1049" spans="9:9" x14ac:dyDescent="0.15">
      <c r="I1049"/>
    </row>
    <row r="1050" spans="9:9" x14ac:dyDescent="0.15">
      <c r="I1050"/>
    </row>
    <row r="1051" spans="9:9" x14ac:dyDescent="0.15">
      <c r="I1051"/>
    </row>
    <row r="1052" spans="9:9" x14ac:dyDescent="0.15">
      <c r="I1052"/>
    </row>
    <row r="1053" spans="9:9" x14ac:dyDescent="0.15">
      <c r="I1053"/>
    </row>
    <row r="1054" spans="9:9" x14ac:dyDescent="0.15">
      <c r="I1054"/>
    </row>
    <row r="1055" spans="9:9" x14ac:dyDescent="0.15">
      <c r="I1055"/>
    </row>
    <row r="1056" spans="9:9" x14ac:dyDescent="0.15">
      <c r="I1056"/>
    </row>
    <row r="1057" spans="9:9" x14ac:dyDescent="0.15">
      <c r="I1057"/>
    </row>
    <row r="1058" spans="9:9" x14ac:dyDescent="0.15">
      <c r="I1058"/>
    </row>
    <row r="1059" spans="9:9" x14ac:dyDescent="0.15">
      <c r="I1059"/>
    </row>
    <row r="1060" spans="9:9" x14ac:dyDescent="0.15">
      <c r="I1060"/>
    </row>
    <row r="1061" spans="9:9" x14ac:dyDescent="0.15">
      <c r="I1061"/>
    </row>
    <row r="1062" spans="9:9" x14ac:dyDescent="0.15">
      <c r="I1062"/>
    </row>
    <row r="1063" spans="9:9" x14ac:dyDescent="0.15">
      <c r="I1063"/>
    </row>
    <row r="1064" spans="9:9" x14ac:dyDescent="0.15">
      <c r="I1064"/>
    </row>
    <row r="1065" spans="9:9" x14ac:dyDescent="0.15">
      <c r="I1065"/>
    </row>
    <row r="1066" spans="9:9" x14ac:dyDescent="0.15">
      <c r="I1066"/>
    </row>
    <row r="1067" spans="9:9" x14ac:dyDescent="0.15">
      <c r="I1067"/>
    </row>
    <row r="1068" spans="9:9" x14ac:dyDescent="0.15">
      <c r="I1068"/>
    </row>
    <row r="1069" spans="9:9" x14ac:dyDescent="0.15">
      <c r="I1069"/>
    </row>
    <row r="1070" spans="9:9" x14ac:dyDescent="0.15">
      <c r="I1070"/>
    </row>
    <row r="1071" spans="9:9" x14ac:dyDescent="0.15">
      <c r="I1071"/>
    </row>
    <row r="1072" spans="9:9" x14ac:dyDescent="0.15">
      <c r="I1072"/>
    </row>
    <row r="1073" spans="9:9" x14ac:dyDescent="0.15">
      <c r="I1073"/>
    </row>
    <row r="1074" spans="9:9" x14ac:dyDescent="0.15">
      <c r="I1074"/>
    </row>
    <row r="1075" spans="9:9" x14ac:dyDescent="0.15">
      <c r="I1075"/>
    </row>
    <row r="1076" spans="9:9" x14ac:dyDescent="0.15">
      <c r="I1076"/>
    </row>
    <row r="1077" spans="9:9" x14ac:dyDescent="0.15">
      <c r="I1077"/>
    </row>
    <row r="1078" spans="9:9" x14ac:dyDescent="0.15">
      <c r="I1078"/>
    </row>
    <row r="1079" spans="9:9" x14ac:dyDescent="0.15">
      <c r="I1079"/>
    </row>
    <row r="1080" spans="9:9" x14ac:dyDescent="0.15">
      <c r="I1080"/>
    </row>
    <row r="1081" spans="9:9" x14ac:dyDescent="0.15">
      <c r="I1081"/>
    </row>
    <row r="1082" spans="9:9" x14ac:dyDescent="0.15">
      <c r="I1082"/>
    </row>
    <row r="1083" spans="9:9" x14ac:dyDescent="0.15">
      <c r="I1083"/>
    </row>
    <row r="1084" spans="9:9" x14ac:dyDescent="0.15">
      <c r="I1084"/>
    </row>
    <row r="1085" spans="9:9" x14ac:dyDescent="0.15">
      <c r="I1085"/>
    </row>
    <row r="1086" spans="9:9" x14ac:dyDescent="0.15">
      <c r="I1086"/>
    </row>
    <row r="1087" spans="9:9" x14ac:dyDescent="0.15">
      <c r="I1087"/>
    </row>
    <row r="1088" spans="9:9" x14ac:dyDescent="0.15">
      <c r="I1088"/>
    </row>
    <row r="1089" spans="9:9" x14ac:dyDescent="0.15">
      <c r="I1089"/>
    </row>
    <row r="1090" spans="9:9" x14ac:dyDescent="0.15">
      <c r="I1090"/>
    </row>
    <row r="1091" spans="9:9" x14ac:dyDescent="0.15">
      <c r="I1091"/>
    </row>
    <row r="1092" spans="9:9" x14ac:dyDescent="0.15">
      <c r="I1092"/>
    </row>
    <row r="1093" spans="9:9" x14ac:dyDescent="0.15">
      <c r="I1093"/>
    </row>
    <row r="1094" spans="9:9" x14ac:dyDescent="0.15">
      <c r="I1094"/>
    </row>
    <row r="1095" spans="9:9" x14ac:dyDescent="0.15">
      <c r="I1095"/>
    </row>
    <row r="1096" spans="9:9" x14ac:dyDescent="0.15">
      <c r="I1096"/>
    </row>
    <row r="1097" spans="9:9" x14ac:dyDescent="0.15">
      <c r="I1097"/>
    </row>
    <row r="1098" spans="9:9" x14ac:dyDescent="0.15">
      <c r="I1098"/>
    </row>
    <row r="1099" spans="9:9" x14ac:dyDescent="0.15">
      <c r="I1099"/>
    </row>
    <row r="1100" spans="9:9" x14ac:dyDescent="0.15">
      <c r="I1100"/>
    </row>
    <row r="1101" spans="9:9" x14ac:dyDescent="0.15">
      <c r="I1101"/>
    </row>
    <row r="1102" spans="9:9" x14ac:dyDescent="0.15">
      <c r="I1102"/>
    </row>
    <row r="1103" spans="9:9" x14ac:dyDescent="0.15">
      <c r="I1103"/>
    </row>
    <row r="1104" spans="9:9" x14ac:dyDescent="0.15">
      <c r="I1104"/>
    </row>
    <row r="1105" spans="9:9" x14ac:dyDescent="0.15">
      <c r="I1105"/>
    </row>
    <row r="1106" spans="9:9" x14ac:dyDescent="0.15">
      <c r="I1106"/>
    </row>
    <row r="1107" spans="9:9" x14ac:dyDescent="0.15">
      <c r="I1107"/>
    </row>
    <row r="1108" spans="9:9" x14ac:dyDescent="0.15">
      <c r="I1108"/>
    </row>
    <row r="1109" spans="9:9" x14ac:dyDescent="0.15">
      <c r="I1109"/>
    </row>
    <row r="1110" spans="9:9" x14ac:dyDescent="0.15">
      <c r="I1110"/>
    </row>
    <row r="1111" spans="9:9" x14ac:dyDescent="0.15">
      <c r="I1111"/>
    </row>
    <row r="1112" spans="9:9" x14ac:dyDescent="0.15">
      <c r="I1112"/>
    </row>
    <row r="1113" spans="9:9" x14ac:dyDescent="0.15">
      <c r="I1113"/>
    </row>
    <row r="1114" spans="9:9" x14ac:dyDescent="0.15">
      <c r="I1114"/>
    </row>
    <row r="1115" spans="9:9" x14ac:dyDescent="0.15">
      <c r="I1115"/>
    </row>
    <row r="1116" spans="9:9" x14ac:dyDescent="0.15">
      <c r="I1116"/>
    </row>
    <row r="1117" spans="9:9" x14ac:dyDescent="0.15">
      <c r="I1117"/>
    </row>
    <row r="1118" spans="9:9" x14ac:dyDescent="0.15">
      <c r="I1118"/>
    </row>
    <row r="1119" spans="9:9" x14ac:dyDescent="0.15">
      <c r="I1119"/>
    </row>
    <row r="1120" spans="9:9" x14ac:dyDescent="0.15">
      <c r="I1120"/>
    </row>
    <row r="1121" spans="9:9" x14ac:dyDescent="0.15">
      <c r="I1121"/>
    </row>
    <row r="1122" spans="9:9" x14ac:dyDescent="0.15">
      <c r="I1122"/>
    </row>
    <row r="1123" spans="9:9" x14ac:dyDescent="0.15">
      <c r="I1123"/>
    </row>
    <row r="1124" spans="9:9" x14ac:dyDescent="0.15">
      <c r="I1124"/>
    </row>
    <row r="1125" spans="9:9" x14ac:dyDescent="0.15">
      <c r="I1125"/>
    </row>
    <row r="1126" spans="9:9" x14ac:dyDescent="0.15">
      <c r="I1126"/>
    </row>
    <row r="1127" spans="9:9" x14ac:dyDescent="0.15">
      <c r="I1127"/>
    </row>
    <row r="1128" spans="9:9" x14ac:dyDescent="0.15">
      <c r="I1128"/>
    </row>
    <row r="1129" spans="9:9" x14ac:dyDescent="0.15">
      <c r="I1129"/>
    </row>
    <row r="1130" spans="9:9" x14ac:dyDescent="0.15">
      <c r="I1130"/>
    </row>
    <row r="1131" spans="9:9" x14ac:dyDescent="0.15">
      <c r="I1131"/>
    </row>
    <row r="1132" spans="9:9" x14ac:dyDescent="0.15">
      <c r="I1132"/>
    </row>
    <row r="1133" spans="9:9" x14ac:dyDescent="0.15">
      <c r="I1133"/>
    </row>
    <row r="1134" spans="9:9" x14ac:dyDescent="0.15">
      <c r="I1134"/>
    </row>
    <row r="1135" spans="9:9" x14ac:dyDescent="0.15">
      <c r="I1135"/>
    </row>
    <row r="1136" spans="9:9" x14ac:dyDescent="0.15">
      <c r="I1136"/>
    </row>
    <row r="1137" spans="9:9" x14ac:dyDescent="0.15">
      <c r="I1137"/>
    </row>
    <row r="1138" spans="9:9" x14ac:dyDescent="0.15">
      <c r="I1138"/>
    </row>
    <row r="1139" spans="9:9" x14ac:dyDescent="0.15">
      <c r="I1139"/>
    </row>
    <row r="1140" spans="9:9" x14ac:dyDescent="0.15">
      <c r="I1140"/>
    </row>
    <row r="1141" spans="9:9" x14ac:dyDescent="0.15">
      <c r="I1141"/>
    </row>
    <row r="1142" spans="9:9" x14ac:dyDescent="0.15">
      <c r="I1142"/>
    </row>
    <row r="1143" spans="9:9" x14ac:dyDescent="0.15">
      <c r="I1143"/>
    </row>
    <row r="1144" spans="9:9" x14ac:dyDescent="0.15">
      <c r="I1144"/>
    </row>
    <row r="1145" spans="9:9" x14ac:dyDescent="0.15">
      <c r="I1145"/>
    </row>
    <row r="1146" spans="9:9" x14ac:dyDescent="0.15">
      <c r="I1146"/>
    </row>
    <row r="1147" spans="9:9" x14ac:dyDescent="0.15">
      <c r="I1147"/>
    </row>
    <row r="1148" spans="9:9" x14ac:dyDescent="0.15">
      <c r="I1148"/>
    </row>
    <row r="1149" spans="9:9" x14ac:dyDescent="0.15">
      <c r="I1149"/>
    </row>
    <row r="1150" spans="9:9" x14ac:dyDescent="0.15">
      <c r="I1150"/>
    </row>
    <row r="1151" spans="9:9" x14ac:dyDescent="0.15">
      <c r="I1151"/>
    </row>
    <row r="1152" spans="9:9" x14ac:dyDescent="0.15">
      <c r="I1152"/>
    </row>
    <row r="1153" spans="9:9" x14ac:dyDescent="0.15">
      <c r="I1153"/>
    </row>
    <row r="1154" spans="9:9" x14ac:dyDescent="0.15">
      <c r="I1154"/>
    </row>
    <row r="1155" spans="9:9" x14ac:dyDescent="0.15">
      <c r="I1155"/>
    </row>
    <row r="1156" spans="9:9" x14ac:dyDescent="0.15">
      <c r="I1156"/>
    </row>
    <row r="1157" spans="9:9" x14ac:dyDescent="0.15">
      <c r="I1157"/>
    </row>
    <row r="1158" spans="9:9" x14ac:dyDescent="0.15">
      <c r="I1158"/>
    </row>
    <row r="1159" spans="9:9" x14ac:dyDescent="0.15">
      <c r="I1159"/>
    </row>
    <row r="1160" spans="9:9" x14ac:dyDescent="0.15">
      <c r="I1160"/>
    </row>
    <row r="1161" spans="9:9" x14ac:dyDescent="0.15">
      <c r="I1161"/>
    </row>
    <row r="1162" spans="9:9" x14ac:dyDescent="0.15">
      <c r="I1162"/>
    </row>
    <row r="1163" spans="9:9" x14ac:dyDescent="0.15">
      <c r="I1163"/>
    </row>
    <row r="1164" spans="9:9" x14ac:dyDescent="0.15">
      <c r="I1164"/>
    </row>
    <row r="1165" spans="9:9" x14ac:dyDescent="0.15">
      <c r="I1165"/>
    </row>
    <row r="1166" spans="9:9" x14ac:dyDescent="0.15">
      <c r="I1166"/>
    </row>
    <row r="1167" spans="9:9" x14ac:dyDescent="0.15">
      <c r="I1167"/>
    </row>
    <row r="1168" spans="9:9" x14ac:dyDescent="0.15">
      <c r="I1168"/>
    </row>
    <row r="1169" spans="9:9" x14ac:dyDescent="0.15">
      <c r="I1169"/>
    </row>
    <row r="1170" spans="9:9" x14ac:dyDescent="0.15">
      <c r="I1170"/>
    </row>
    <row r="1171" spans="9:9" x14ac:dyDescent="0.15">
      <c r="I1171"/>
    </row>
    <row r="1172" spans="9:9" x14ac:dyDescent="0.15">
      <c r="I1172"/>
    </row>
    <row r="1173" spans="9:9" x14ac:dyDescent="0.15">
      <c r="I1173"/>
    </row>
    <row r="1174" spans="9:9" x14ac:dyDescent="0.15">
      <c r="I1174"/>
    </row>
    <row r="1175" spans="9:9" x14ac:dyDescent="0.15">
      <c r="I1175"/>
    </row>
    <row r="1176" spans="9:9" x14ac:dyDescent="0.15">
      <c r="I1176"/>
    </row>
    <row r="1177" spans="9:9" x14ac:dyDescent="0.15">
      <c r="I1177"/>
    </row>
    <row r="1178" spans="9:9" x14ac:dyDescent="0.15">
      <c r="I1178"/>
    </row>
    <row r="1179" spans="9:9" x14ac:dyDescent="0.15">
      <c r="I1179"/>
    </row>
    <row r="1180" spans="9:9" x14ac:dyDescent="0.15">
      <c r="I1180"/>
    </row>
    <row r="1181" spans="9:9" x14ac:dyDescent="0.15">
      <c r="I1181"/>
    </row>
    <row r="1182" spans="9:9" x14ac:dyDescent="0.15">
      <c r="I1182"/>
    </row>
    <row r="1183" spans="9:9" x14ac:dyDescent="0.15">
      <c r="I1183"/>
    </row>
    <row r="1184" spans="9:9" x14ac:dyDescent="0.15">
      <c r="I1184"/>
    </row>
    <row r="1185" spans="9:9" x14ac:dyDescent="0.15">
      <c r="I1185"/>
    </row>
    <row r="1186" spans="9:9" x14ac:dyDescent="0.15">
      <c r="I1186"/>
    </row>
    <row r="1187" spans="9:9" x14ac:dyDescent="0.15">
      <c r="I1187"/>
    </row>
    <row r="1188" spans="9:9" x14ac:dyDescent="0.15">
      <c r="I1188"/>
    </row>
    <row r="1189" spans="9:9" x14ac:dyDescent="0.15">
      <c r="I1189"/>
    </row>
    <row r="1190" spans="9:9" x14ac:dyDescent="0.15">
      <c r="I1190"/>
    </row>
    <row r="1191" spans="9:9" x14ac:dyDescent="0.15">
      <c r="I1191"/>
    </row>
    <row r="1192" spans="9:9" x14ac:dyDescent="0.15">
      <c r="I1192"/>
    </row>
    <row r="1193" spans="9:9" x14ac:dyDescent="0.15">
      <c r="I1193"/>
    </row>
    <row r="1194" spans="9:9" x14ac:dyDescent="0.15">
      <c r="I1194"/>
    </row>
    <row r="1195" spans="9:9" x14ac:dyDescent="0.15">
      <c r="I1195"/>
    </row>
    <row r="1196" spans="9:9" x14ac:dyDescent="0.15">
      <c r="I1196"/>
    </row>
    <row r="1197" spans="9:9" x14ac:dyDescent="0.15">
      <c r="I1197"/>
    </row>
    <row r="1198" spans="9:9" x14ac:dyDescent="0.15">
      <c r="I1198"/>
    </row>
    <row r="1199" spans="9:9" x14ac:dyDescent="0.15">
      <c r="I1199"/>
    </row>
    <row r="1200" spans="9:9" x14ac:dyDescent="0.15">
      <c r="I1200"/>
    </row>
    <row r="1201" spans="9:9" x14ac:dyDescent="0.15">
      <c r="I1201"/>
    </row>
    <row r="1202" spans="9:9" x14ac:dyDescent="0.15">
      <c r="I1202"/>
    </row>
    <row r="1203" spans="9:9" x14ac:dyDescent="0.15">
      <c r="I1203"/>
    </row>
    <row r="1204" spans="9:9" x14ac:dyDescent="0.15">
      <c r="I1204"/>
    </row>
    <row r="1205" spans="9:9" x14ac:dyDescent="0.15">
      <c r="I1205"/>
    </row>
    <row r="1206" spans="9:9" x14ac:dyDescent="0.15">
      <c r="I1206"/>
    </row>
    <row r="1207" spans="9:9" x14ac:dyDescent="0.15">
      <c r="I1207"/>
    </row>
    <row r="1208" spans="9:9" x14ac:dyDescent="0.15">
      <c r="I1208"/>
    </row>
    <row r="1209" spans="9:9" x14ac:dyDescent="0.15">
      <c r="I1209"/>
    </row>
    <row r="1210" spans="9:9" x14ac:dyDescent="0.15">
      <c r="I1210"/>
    </row>
    <row r="1211" spans="9:9" x14ac:dyDescent="0.15">
      <c r="I1211"/>
    </row>
    <row r="1212" spans="9:9" x14ac:dyDescent="0.15">
      <c r="I1212"/>
    </row>
    <row r="1213" spans="9:9" x14ac:dyDescent="0.15">
      <c r="I1213"/>
    </row>
    <row r="1214" spans="9:9" x14ac:dyDescent="0.15">
      <c r="I1214"/>
    </row>
    <row r="1215" spans="9:9" x14ac:dyDescent="0.15">
      <c r="I1215"/>
    </row>
    <row r="1216" spans="9:9" x14ac:dyDescent="0.15">
      <c r="I1216"/>
    </row>
    <row r="1217" spans="9:9" x14ac:dyDescent="0.15">
      <c r="I1217"/>
    </row>
    <row r="1218" spans="9:9" x14ac:dyDescent="0.15">
      <c r="I1218"/>
    </row>
    <row r="1219" spans="9:9" x14ac:dyDescent="0.15">
      <c r="I1219"/>
    </row>
    <row r="1220" spans="9:9" x14ac:dyDescent="0.15">
      <c r="I1220"/>
    </row>
    <row r="1221" spans="9:9" x14ac:dyDescent="0.15">
      <c r="I1221"/>
    </row>
    <row r="1222" spans="9:9" x14ac:dyDescent="0.15">
      <c r="I1222"/>
    </row>
    <row r="1223" spans="9:9" x14ac:dyDescent="0.15">
      <c r="I1223"/>
    </row>
    <row r="1224" spans="9:9" x14ac:dyDescent="0.15">
      <c r="I1224"/>
    </row>
    <row r="1225" spans="9:9" x14ac:dyDescent="0.15">
      <c r="I1225"/>
    </row>
    <row r="1226" spans="9:9" x14ac:dyDescent="0.15">
      <c r="I1226"/>
    </row>
    <row r="1227" spans="9:9" x14ac:dyDescent="0.15">
      <c r="I1227"/>
    </row>
    <row r="1228" spans="9:9" x14ac:dyDescent="0.15">
      <c r="I1228"/>
    </row>
    <row r="1229" spans="9:9" x14ac:dyDescent="0.15">
      <c r="I1229"/>
    </row>
    <row r="1230" spans="9:9" x14ac:dyDescent="0.15">
      <c r="I1230"/>
    </row>
    <row r="1231" spans="9:9" x14ac:dyDescent="0.15">
      <c r="I1231"/>
    </row>
    <row r="1232" spans="9:9" x14ac:dyDescent="0.15">
      <c r="I1232"/>
    </row>
    <row r="1233" spans="9:9" x14ac:dyDescent="0.15">
      <c r="I1233"/>
    </row>
    <row r="1234" spans="9:9" x14ac:dyDescent="0.15">
      <c r="I1234"/>
    </row>
    <row r="1235" spans="9:9" x14ac:dyDescent="0.15">
      <c r="I1235"/>
    </row>
    <row r="1236" spans="9:9" x14ac:dyDescent="0.15">
      <c r="I1236"/>
    </row>
    <row r="1237" spans="9:9" x14ac:dyDescent="0.15">
      <c r="I1237"/>
    </row>
    <row r="1238" spans="9:9" x14ac:dyDescent="0.15">
      <c r="I1238"/>
    </row>
    <row r="1239" spans="9:9" x14ac:dyDescent="0.15">
      <c r="I1239"/>
    </row>
    <row r="1240" spans="9:9" x14ac:dyDescent="0.15">
      <c r="I1240"/>
    </row>
    <row r="1241" spans="9:9" x14ac:dyDescent="0.15">
      <c r="I1241"/>
    </row>
    <row r="1242" spans="9:9" x14ac:dyDescent="0.15">
      <c r="I1242"/>
    </row>
    <row r="1243" spans="9:9" x14ac:dyDescent="0.15">
      <c r="I1243"/>
    </row>
    <row r="1244" spans="9:9" x14ac:dyDescent="0.15">
      <c r="I1244"/>
    </row>
    <row r="1245" spans="9:9" x14ac:dyDescent="0.15">
      <c r="I1245"/>
    </row>
    <row r="1246" spans="9:9" x14ac:dyDescent="0.15">
      <c r="I1246"/>
    </row>
    <row r="1247" spans="9:9" x14ac:dyDescent="0.15">
      <c r="I1247"/>
    </row>
    <row r="1248" spans="9:9" x14ac:dyDescent="0.15">
      <c r="I1248"/>
    </row>
    <row r="1249" spans="9:9" x14ac:dyDescent="0.15">
      <c r="I1249"/>
    </row>
    <row r="1250" spans="9:9" x14ac:dyDescent="0.15">
      <c r="I1250"/>
    </row>
    <row r="1251" spans="9:9" x14ac:dyDescent="0.15">
      <c r="I1251"/>
    </row>
    <row r="1252" spans="9:9" x14ac:dyDescent="0.15">
      <c r="I1252"/>
    </row>
    <row r="1253" spans="9:9" x14ac:dyDescent="0.15">
      <c r="I1253"/>
    </row>
    <row r="1254" spans="9:9" x14ac:dyDescent="0.15">
      <c r="I1254"/>
    </row>
    <row r="1255" spans="9:9" x14ac:dyDescent="0.15">
      <c r="I1255"/>
    </row>
    <row r="1256" spans="9:9" x14ac:dyDescent="0.15">
      <c r="I1256"/>
    </row>
    <row r="1257" spans="9:9" x14ac:dyDescent="0.15">
      <c r="I1257"/>
    </row>
    <row r="1258" spans="9:9" x14ac:dyDescent="0.15">
      <c r="I1258"/>
    </row>
    <row r="1259" spans="9:9" x14ac:dyDescent="0.15">
      <c r="I1259"/>
    </row>
    <row r="1260" spans="9:9" x14ac:dyDescent="0.15">
      <c r="I1260"/>
    </row>
    <row r="1261" spans="9:9" x14ac:dyDescent="0.15">
      <c r="I1261"/>
    </row>
    <row r="1262" spans="9:9" x14ac:dyDescent="0.15">
      <c r="I1262"/>
    </row>
    <row r="1263" spans="9:9" x14ac:dyDescent="0.15">
      <c r="I1263"/>
    </row>
    <row r="1264" spans="9:9" x14ac:dyDescent="0.15">
      <c r="I1264"/>
    </row>
    <row r="1265" spans="9:9" x14ac:dyDescent="0.15">
      <c r="I1265"/>
    </row>
    <row r="1266" spans="9:9" x14ac:dyDescent="0.15">
      <c r="I1266"/>
    </row>
    <row r="1267" spans="9:9" x14ac:dyDescent="0.15">
      <c r="I1267"/>
    </row>
    <row r="1268" spans="9:9" x14ac:dyDescent="0.15">
      <c r="I1268"/>
    </row>
    <row r="1269" spans="9:9" x14ac:dyDescent="0.15">
      <c r="I1269"/>
    </row>
    <row r="1270" spans="9:9" x14ac:dyDescent="0.15">
      <c r="I1270"/>
    </row>
    <row r="1271" spans="9:9" x14ac:dyDescent="0.15">
      <c r="I1271"/>
    </row>
    <row r="1272" spans="9:9" x14ac:dyDescent="0.15">
      <c r="I1272"/>
    </row>
    <row r="1273" spans="9:9" x14ac:dyDescent="0.15">
      <c r="I1273"/>
    </row>
    <row r="1274" spans="9:9" x14ac:dyDescent="0.15">
      <c r="I1274"/>
    </row>
    <row r="1275" spans="9:9" x14ac:dyDescent="0.15">
      <c r="I1275"/>
    </row>
    <row r="1276" spans="9:9" x14ac:dyDescent="0.15">
      <c r="I1276"/>
    </row>
    <row r="1277" spans="9:9" x14ac:dyDescent="0.15">
      <c r="I1277"/>
    </row>
    <row r="1278" spans="9:9" x14ac:dyDescent="0.15">
      <c r="I1278"/>
    </row>
    <row r="1279" spans="9:9" x14ac:dyDescent="0.15">
      <c r="I1279"/>
    </row>
    <row r="1280" spans="9:9" x14ac:dyDescent="0.15">
      <c r="I1280"/>
    </row>
    <row r="1281" spans="9:9" x14ac:dyDescent="0.15">
      <c r="I1281"/>
    </row>
    <row r="1282" spans="9:9" x14ac:dyDescent="0.15">
      <c r="I1282"/>
    </row>
    <row r="1283" spans="9:9" x14ac:dyDescent="0.15">
      <c r="I1283"/>
    </row>
    <row r="1284" spans="9:9" x14ac:dyDescent="0.15">
      <c r="I1284"/>
    </row>
    <row r="1285" spans="9:9" x14ac:dyDescent="0.15">
      <c r="I1285"/>
    </row>
    <row r="1286" spans="9:9" x14ac:dyDescent="0.15">
      <c r="I1286"/>
    </row>
    <row r="1287" spans="9:9" x14ac:dyDescent="0.15">
      <c r="I1287"/>
    </row>
    <row r="1288" spans="9:9" x14ac:dyDescent="0.15">
      <c r="I1288"/>
    </row>
    <row r="1289" spans="9:9" x14ac:dyDescent="0.15">
      <c r="I1289"/>
    </row>
    <row r="1290" spans="9:9" x14ac:dyDescent="0.15">
      <c r="I1290"/>
    </row>
    <row r="1291" spans="9:9" x14ac:dyDescent="0.15">
      <c r="I1291"/>
    </row>
    <row r="1292" spans="9:9" x14ac:dyDescent="0.15">
      <c r="I1292"/>
    </row>
    <row r="1293" spans="9:9" x14ac:dyDescent="0.15">
      <c r="I1293"/>
    </row>
    <row r="1294" spans="9:9" x14ac:dyDescent="0.15">
      <c r="I1294"/>
    </row>
    <row r="1295" spans="9:9" x14ac:dyDescent="0.15">
      <c r="I1295"/>
    </row>
    <row r="1296" spans="9:9" x14ac:dyDescent="0.15">
      <c r="I1296"/>
    </row>
    <row r="1297" spans="9:9" x14ac:dyDescent="0.15">
      <c r="I1297"/>
    </row>
    <row r="1298" spans="9:9" x14ac:dyDescent="0.15">
      <c r="I1298"/>
    </row>
    <row r="1299" spans="9:9" x14ac:dyDescent="0.15">
      <c r="I1299"/>
    </row>
    <row r="1300" spans="9:9" x14ac:dyDescent="0.15">
      <c r="I1300"/>
    </row>
    <row r="1301" spans="9:9" x14ac:dyDescent="0.15">
      <c r="I1301"/>
    </row>
    <row r="1302" spans="9:9" x14ac:dyDescent="0.15">
      <c r="I1302"/>
    </row>
    <row r="1303" spans="9:9" x14ac:dyDescent="0.15">
      <c r="I1303"/>
    </row>
    <row r="1304" spans="9:9" x14ac:dyDescent="0.15">
      <c r="I1304"/>
    </row>
    <row r="1305" spans="9:9" x14ac:dyDescent="0.15">
      <c r="I1305"/>
    </row>
    <row r="1306" spans="9:9" x14ac:dyDescent="0.15">
      <c r="I1306"/>
    </row>
    <row r="1307" spans="9:9" x14ac:dyDescent="0.15">
      <c r="I1307"/>
    </row>
    <row r="1308" spans="9:9" x14ac:dyDescent="0.15">
      <c r="I1308"/>
    </row>
    <row r="1309" spans="9:9" x14ac:dyDescent="0.15">
      <c r="I1309"/>
    </row>
    <row r="1310" spans="9:9" x14ac:dyDescent="0.15">
      <c r="I1310"/>
    </row>
    <row r="1311" spans="9:9" x14ac:dyDescent="0.15">
      <c r="I1311"/>
    </row>
    <row r="1312" spans="9:9" x14ac:dyDescent="0.15">
      <c r="I1312"/>
    </row>
    <row r="1313" spans="9:9" x14ac:dyDescent="0.15">
      <c r="I1313"/>
    </row>
    <row r="1314" spans="9:9" x14ac:dyDescent="0.15">
      <c r="I1314"/>
    </row>
    <row r="1315" spans="9:9" x14ac:dyDescent="0.15">
      <c r="I1315"/>
    </row>
    <row r="1316" spans="9:9" x14ac:dyDescent="0.15">
      <c r="I1316"/>
    </row>
    <row r="1317" spans="9:9" x14ac:dyDescent="0.15">
      <c r="I1317"/>
    </row>
    <row r="1318" spans="9:9" x14ac:dyDescent="0.15">
      <c r="I1318"/>
    </row>
    <row r="1319" spans="9:9" x14ac:dyDescent="0.15">
      <c r="I1319"/>
    </row>
    <row r="1320" spans="9:9" x14ac:dyDescent="0.15">
      <c r="I1320"/>
    </row>
    <row r="1321" spans="9:9" x14ac:dyDescent="0.15">
      <c r="I1321"/>
    </row>
    <row r="1322" spans="9:9" x14ac:dyDescent="0.15">
      <c r="I1322"/>
    </row>
    <row r="1323" spans="9:9" x14ac:dyDescent="0.15">
      <c r="I1323"/>
    </row>
    <row r="1324" spans="9:9" x14ac:dyDescent="0.15">
      <c r="I1324"/>
    </row>
    <row r="1325" spans="9:9" x14ac:dyDescent="0.15">
      <c r="I1325"/>
    </row>
    <row r="1326" spans="9:9" x14ac:dyDescent="0.15">
      <c r="I1326"/>
    </row>
    <row r="1327" spans="9:9" x14ac:dyDescent="0.15">
      <c r="I1327"/>
    </row>
    <row r="1328" spans="9:9" x14ac:dyDescent="0.15">
      <c r="I1328"/>
    </row>
    <row r="1329" spans="9:9" x14ac:dyDescent="0.15">
      <c r="I1329"/>
    </row>
    <row r="1330" spans="9:9" x14ac:dyDescent="0.15">
      <c r="I1330"/>
    </row>
    <row r="1331" spans="9:9" x14ac:dyDescent="0.15">
      <c r="I1331"/>
    </row>
    <row r="1332" spans="9:9" x14ac:dyDescent="0.15">
      <c r="I1332"/>
    </row>
    <row r="1333" spans="9:9" x14ac:dyDescent="0.15">
      <c r="I1333"/>
    </row>
    <row r="1334" spans="9:9" x14ac:dyDescent="0.15">
      <c r="I1334"/>
    </row>
    <row r="1335" spans="9:9" x14ac:dyDescent="0.15">
      <c r="I1335"/>
    </row>
    <row r="1336" spans="9:9" x14ac:dyDescent="0.15">
      <c r="I1336"/>
    </row>
    <row r="1337" spans="9:9" x14ac:dyDescent="0.15">
      <c r="I1337"/>
    </row>
    <row r="1338" spans="9:9" x14ac:dyDescent="0.15">
      <c r="I1338"/>
    </row>
    <row r="1339" spans="9:9" x14ac:dyDescent="0.15">
      <c r="I1339"/>
    </row>
    <row r="1340" spans="9:9" x14ac:dyDescent="0.15">
      <c r="I1340"/>
    </row>
    <row r="1341" spans="9:9" x14ac:dyDescent="0.15">
      <c r="I1341"/>
    </row>
    <row r="1342" spans="9:9" x14ac:dyDescent="0.15">
      <c r="I1342"/>
    </row>
    <row r="1343" spans="9:9" x14ac:dyDescent="0.15">
      <c r="I1343"/>
    </row>
    <row r="1344" spans="9:9" x14ac:dyDescent="0.15">
      <c r="I1344"/>
    </row>
    <row r="1345" spans="9:9" x14ac:dyDescent="0.15">
      <c r="I1345"/>
    </row>
    <row r="1346" spans="9:9" x14ac:dyDescent="0.15">
      <c r="I1346"/>
    </row>
    <row r="1347" spans="9:9" x14ac:dyDescent="0.15">
      <c r="I1347"/>
    </row>
    <row r="1348" spans="9:9" x14ac:dyDescent="0.15">
      <c r="I1348"/>
    </row>
    <row r="1349" spans="9:9" x14ac:dyDescent="0.15">
      <c r="I1349"/>
    </row>
    <row r="1350" spans="9:9" x14ac:dyDescent="0.15">
      <c r="I1350"/>
    </row>
    <row r="1351" spans="9:9" x14ac:dyDescent="0.15">
      <c r="I1351"/>
    </row>
    <row r="1352" spans="9:9" x14ac:dyDescent="0.15">
      <c r="I1352"/>
    </row>
    <row r="1353" spans="9:9" x14ac:dyDescent="0.15">
      <c r="I1353"/>
    </row>
    <row r="1354" spans="9:9" x14ac:dyDescent="0.15">
      <c r="I1354"/>
    </row>
    <row r="1355" spans="9:9" x14ac:dyDescent="0.15">
      <c r="I1355"/>
    </row>
    <row r="1356" spans="9:9" x14ac:dyDescent="0.15">
      <c r="I1356"/>
    </row>
    <row r="1357" spans="9:9" x14ac:dyDescent="0.15">
      <c r="I1357"/>
    </row>
    <row r="1358" spans="9:9" x14ac:dyDescent="0.15">
      <c r="I1358"/>
    </row>
    <row r="1359" spans="9:9" x14ac:dyDescent="0.15">
      <c r="I1359"/>
    </row>
    <row r="1360" spans="9:9" x14ac:dyDescent="0.15">
      <c r="I1360"/>
    </row>
    <row r="1361" spans="9:9" x14ac:dyDescent="0.15">
      <c r="I1361"/>
    </row>
    <row r="1362" spans="9:9" x14ac:dyDescent="0.15">
      <c r="I1362"/>
    </row>
    <row r="1363" spans="9:9" x14ac:dyDescent="0.15">
      <c r="I1363"/>
    </row>
    <row r="1364" spans="9:9" x14ac:dyDescent="0.15">
      <c r="I1364"/>
    </row>
    <row r="1365" spans="9:9" x14ac:dyDescent="0.15">
      <c r="I1365"/>
    </row>
    <row r="1366" spans="9:9" x14ac:dyDescent="0.15">
      <c r="I1366"/>
    </row>
    <row r="1367" spans="9:9" x14ac:dyDescent="0.15">
      <c r="I1367"/>
    </row>
    <row r="1368" spans="9:9" x14ac:dyDescent="0.15">
      <c r="I1368"/>
    </row>
    <row r="1369" spans="9:9" x14ac:dyDescent="0.15">
      <c r="I1369"/>
    </row>
    <row r="1370" spans="9:9" x14ac:dyDescent="0.15">
      <c r="I1370"/>
    </row>
    <row r="1371" spans="9:9" x14ac:dyDescent="0.15">
      <c r="I1371"/>
    </row>
    <row r="1372" spans="9:9" x14ac:dyDescent="0.15">
      <c r="I1372"/>
    </row>
    <row r="1373" spans="9:9" x14ac:dyDescent="0.15">
      <c r="I1373"/>
    </row>
    <row r="1374" spans="9:9" x14ac:dyDescent="0.15">
      <c r="I1374"/>
    </row>
    <row r="1375" spans="9:9" x14ac:dyDescent="0.15">
      <c r="I1375"/>
    </row>
    <row r="1376" spans="9:9" x14ac:dyDescent="0.15">
      <c r="I1376"/>
    </row>
    <row r="1377" spans="9:9" x14ac:dyDescent="0.15">
      <c r="I1377"/>
    </row>
    <row r="1378" spans="9:9" x14ac:dyDescent="0.15">
      <c r="I1378"/>
    </row>
    <row r="1379" spans="9:9" x14ac:dyDescent="0.15">
      <c r="I1379"/>
    </row>
    <row r="1380" spans="9:9" x14ac:dyDescent="0.15">
      <c r="I1380"/>
    </row>
    <row r="1381" spans="9:9" x14ac:dyDescent="0.15">
      <c r="I1381"/>
    </row>
    <row r="1382" spans="9:9" x14ac:dyDescent="0.15">
      <c r="I1382"/>
    </row>
    <row r="1383" spans="9:9" x14ac:dyDescent="0.15">
      <c r="I1383"/>
    </row>
    <row r="1384" spans="9:9" x14ac:dyDescent="0.15">
      <c r="I1384"/>
    </row>
    <row r="1385" spans="9:9" x14ac:dyDescent="0.15">
      <c r="I1385"/>
    </row>
    <row r="1386" spans="9:9" x14ac:dyDescent="0.15">
      <c r="I1386"/>
    </row>
    <row r="1387" spans="9:9" x14ac:dyDescent="0.15">
      <c r="I1387"/>
    </row>
    <row r="1388" spans="9:9" x14ac:dyDescent="0.15">
      <c r="I1388"/>
    </row>
    <row r="1389" spans="9:9" x14ac:dyDescent="0.15">
      <c r="I1389"/>
    </row>
    <row r="1390" spans="9:9" x14ac:dyDescent="0.15">
      <c r="I1390"/>
    </row>
    <row r="1391" spans="9:9" x14ac:dyDescent="0.15">
      <c r="I1391"/>
    </row>
    <row r="1392" spans="9:9" x14ac:dyDescent="0.15">
      <c r="I1392"/>
    </row>
    <row r="1393" spans="9:9" x14ac:dyDescent="0.15">
      <c r="I1393"/>
    </row>
    <row r="1394" spans="9:9" x14ac:dyDescent="0.15">
      <c r="I1394"/>
    </row>
    <row r="1395" spans="9:9" x14ac:dyDescent="0.15">
      <c r="I1395"/>
    </row>
    <row r="1396" spans="9:9" x14ac:dyDescent="0.15">
      <c r="I1396"/>
    </row>
    <row r="1397" spans="9:9" x14ac:dyDescent="0.15">
      <c r="I1397"/>
    </row>
    <row r="1398" spans="9:9" x14ac:dyDescent="0.15">
      <c r="I1398"/>
    </row>
    <row r="1399" spans="9:9" x14ac:dyDescent="0.15">
      <c r="I1399"/>
    </row>
    <row r="1400" spans="9:9" x14ac:dyDescent="0.15">
      <c r="I1400"/>
    </row>
    <row r="1401" spans="9:9" x14ac:dyDescent="0.15">
      <c r="I1401"/>
    </row>
    <row r="1402" spans="9:9" x14ac:dyDescent="0.15">
      <c r="I1402"/>
    </row>
    <row r="1403" spans="9:9" x14ac:dyDescent="0.15">
      <c r="I1403"/>
    </row>
    <row r="1404" spans="9:9" x14ac:dyDescent="0.15">
      <c r="I1404"/>
    </row>
    <row r="1405" spans="9:9" x14ac:dyDescent="0.15">
      <c r="I1405"/>
    </row>
    <row r="1406" spans="9:9" x14ac:dyDescent="0.15">
      <c r="I1406"/>
    </row>
    <row r="1407" spans="9:9" x14ac:dyDescent="0.15">
      <c r="I1407"/>
    </row>
    <row r="1408" spans="9:9" x14ac:dyDescent="0.15">
      <c r="I1408"/>
    </row>
    <row r="1409" spans="9:9" x14ac:dyDescent="0.15">
      <c r="I1409"/>
    </row>
    <row r="1410" spans="9:9" x14ac:dyDescent="0.15">
      <c r="I1410"/>
    </row>
    <row r="1411" spans="9:9" x14ac:dyDescent="0.15">
      <c r="I1411"/>
    </row>
    <row r="1412" spans="9:9" x14ac:dyDescent="0.15">
      <c r="I1412"/>
    </row>
    <row r="1413" spans="9:9" x14ac:dyDescent="0.15">
      <c r="I1413"/>
    </row>
    <row r="1414" spans="9:9" x14ac:dyDescent="0.15">
      <c r="I1414"/>
    </row>
    <row r="1415" spans="9:9" x14ac:dyDescent="0.15">
      <c r="I1415"/>
    </row>
    <row r="1416" spans="9:9" x14ac:dyDescent="0.15">
      <c r="I1416"/>
    </row>
    <row r="1417" spans="9:9" x14ac:dyDescent="0.15">
      <c r="I1417"/>
    </row>
    <row r="1418" spans="9:9" x14ac:dyDescent="0.15">
      <c r="I1418"/>
    </row>
    <row r="1419" spans="9:9" x14ac:dyDescent="0.15">
      <c r="I1419"/>
    </row>
    <row r="1420" spans="9:9" x14ac:dyDescent="0.15">
      <c r="I1420"/>
    </row>
    <row r="1421" spans="9:9" x14ac:dyDescent="0.15">
      <c r="I1421"/>
    </row>
    <row r="1422" spans="9:9" x14ac:dyDescent="0.15">
      <c r="I1422"/>
    </row>
    <row r="1423" spans="9:9" x14ac:dyDescent="0.15">
      <c r="I1423"/>
    </row>
    <row r="1424" spans="9:9" x14ac:dyDescent="0.15">
      <c r="I1424"/>
    </row>
    <row r="1425" spans="9:9" x14ac:dyDescent="0.15">
      <c r="I1425"/>
    </row>
    <row r="1426" spans="9:9" x14ac:dyDescent="0.15">
      <c r="I1426"/>
    </row>
    <row r="1427" spans="9:9" x14ac:dyDescent="0.15">
      <c r="I1427"/>
    </row>
    <row r="1428" spans="9:9" x14ac:dyDescent="0.15">
      <c r="I1428"/>
    </row>
    <row r="1429" spans="9:9" x14ac:dyDescent="0.15">
      <c r="I1429"/>
    </row>
    <row r="1430" spans="9:9" x14ac:dyDescent="0.15">
      <c r="I1430"/>
    </row>
    <row r="1431" spans="9:9" x14ac:dyDescent="0.15">
      <c r="I1431"/>
    </row>
    <row r="1432" spans="9:9" x14ac:dyDescent="0.15">
      <c r="I1432"/>
    </row>
    <row r="1433" spans="9:9" x14ac:dyDescent="0.15">
      <c r="I1433"/>
    </row>
    <row r="1434" spans="9:9" x14ac:dyDescent="0.15">
      <c r="I1434"/>
    </row>
    <row r="1435" spans="9:9" x14ac:dyDescent="0.15">
      <c r="I1435"/>
    </row>
    <row r="1436" spans="9:9" x14ac:dyDescent="0.15">
      <c r="I1436"/>
    </row>
    <row r="1437" spans="9:9" x14ac:dyDescent="0.15">
      <c r="I1437"/>
    </row>
    <row r="1438" spans="9:9" x14ac:dyDescent="0.15">
      <c r="I1438"/>
    </row>
    <row r="1439" spans="9:9" x14ac:dyDescent="0.15">
      <c r="I1439"/>
    </row>
    <row r="1440" spans="9:9" x14ac:dyDescent="0.15">
      <c r="I1440"/>
    </row>
    <row r="1441" spans="9:9" x14ac:dyDescent="0.15">
      <c r="I1441"/>
    </row>
    <row r="1442" spans="9:9" x14ac:dyDescent="0.15">
      <c r="I1442"/>
    </row>
    <row r="1443" spans="9:9" x14ac:dyDescent="0.15">
      <c r="I1443"/>
    </row>
    <row r="1444" spans="9:9" x14ac:dyDescent="0.15">
      <c r="I1444"/>
    </row>
    <row r="1445" spans="9:9" x14ac:dyDescent="0.15">
      <c r="I1445"/>
    </row>
    <row r="1446" spans="9:9" x14ac:dyDescent="0.15">
      <c r="I1446"/>
    </row>
    <row r="1447" spans="9:9" x14ac:dyDescent="0.15">
      <c r="I1447"/>
    </row>
    <row r="1448" spans="9:9" x14ac:dyDescent="0.15">
      <c r="I1448"/>
    </row>
    <row r="1449" spans="9:9" x14ac:dyDescent="0.15">
      <c r="I1449"/>
    </row>
    <row r="1450" spans="9:9" x14ac:dyDescent="0.15">
      <c r="I1450"/>
    </row>
    <row r="1451" spans="9:9" x14ac:dyDescent="0.15">
      <c r="I1451"/>
    </row>
    <row r="1452" spans="9:9" x14ac:dyDescent="0.15">
      <c r="I1452"/>
    </row>
    <row r="1453" spans="9:9" x14ac:dyDescent="0.15">
      <c r="I1453"/>
    </row>
    <row r="1454" spans="9:9" x14ac:dyDescent="0.15">
      <c r="I1454"/>
    </row>
    <row r="1455" spans="9:9" x14ac:dyDescent="0.15">
      <c r="I1455"/>
    </row>
    <row r="1456" spans="9:9" x14ac:dyDescent="0.15">
      <c r="I1456"/>
    </row>
    <row r="1457" spans="9:9" x14ac:dyDescent="0.15">
      <c r="I1457"/>
    </row>
    <row r="1458" spans="9:9" x14ac:dyDescent="0.15">
      <c r="I1458"/>
    </row>
    <row r="1459" spans="9:9" x14ac:dyDescent="0.15">
      <c r="I1459"/>
    </row>
    <row r="1460" spans="9:9" x14ac:dyDescent="0.15">
      <c r="I1460"/>
    </row>
    <row r="1461" spans="9:9" x14ac:dyDescent="0.15">
      <c r="I1461"/>
    </row>
    <row r="1462" spans="9:9" x14ac:dyDescent="0.15">
      <c r="I1462"/>
    </row>
    <row r="1463" spans="9:9" x14ac:dyDescent="0.15">
      <c r="I1463"/>
    </row>
    <row r="1464" spans="9:9" x14ac:dyDescent="0.15">
      <c r="I1464"/>
    </row>
    <row r="1465" spans="9:9" x14ac:dyDescent="0.15">
      <c r="I1465"/>
    </row>
    <row r="1466" spans="9:9" x14ac:dyDescent="0.15">
      <c r="I1466"/>
    </row>
    <row r="1467" spans="9:9" x14ac:dyDescent="0.15">
      <c r="I1467"/>
    </row>
    <row r="1468" spans="9:9" x14ac:dyDescent="0.15">
      <c r="I1468"/>
    </row>
    <row r="1469" spans="9:9" x14ac:dyDescent="0.15">
      <c r="I1469"/>
    </row>
    <row r="1470" spans="9:9" x14ac:dyDescent="0.15">
      <c r="I1470"/>
    </row>
    <row r="1471" spans="9:9" x14ac:dyDescent="0.15">
      <c r="I1471"/>
    </row>
    <row r="1472" spans="9:9" x14ac:dyDescent="0.15">
      <c r="I1472"/>
    </row>
    <row r="1473" spans="9:9" x14ac:dyDescent="0.15">
      <c r="I1473"/>
    </row>
    <row r="1474" spans="9:9" x14ac:dyDescent="0.15">
      <c r="I1474"/>
    </row>
    <row r="1475" spans="9:9" x14ac:dyDescent="0.15">
      <c r="I1475"/>
    </row>
    <row r="1476" spans="9:9" x14ac:dyDescent="0.15">
      <c r="I1476"/>
    </row>
    <row r="1477" spans="9:9" x14ac:dyDescent="0.15">
      <c r="I1477"/>
    </row>
    <row r="1478" spans="9:9" x14ac:dyDescent="0.15">
      <c r="I1478"/>
    </row>
    <row r="1479" spans="9:9" x14ac:dyDescent="0.15">
      <c r="I1479"/>
    </row>
    <row r="1480" spans="9:9" x14ac:dyDescent="0.15">
      <c r="I1480"/>
    </row>
    <row r="1481" spans="9:9" x14ac:dyDescent="0.15">
      <c r="I1481"/>
    </row>
    <row r="1482" spans="9:9" x14ac:dyDescent="0.15">
      <c r="I1482"/>
    </row>
    <row r="1483" spans="9:9" x14ac:dyDescent="0.15">
      <c r="I1483"/>
    </row>
    <row r="1484" spans="9:9" x14ac:dyDescent="0.15">
      <c r="I1484"/>
    </row>
    <row r="1485" spans="9:9" x14ac:dyDescent="0.15">
      <c r="I1485"/>
    </row>
    <row r="1486" spans="9:9" x14ac:dyDescent="0.15">
      <c r="I1486"/>
    </row>
    <row r="1487" spans="9:9" x14ac:dyDescent="0.15">
      <c r="I1487"/>
    </row>
    <row r="1488" spans="9:9" x14ac:dyDescent="0.15">
      <c r="I1488"/>
    </row>
    <row r="1489" spans="9:9" x14ac:dyDescent="0.15">
      <c r="I1489"/>
    </row>
    <row r="1490" spans="9:9" x14ac:dyDescent="0.15">
      <c r="I1490"/>
    </row>
    <row r="1491" spans="9:9" x14ac:dyDescent="0.15">
      <c r="I1491"/>
    </row>
    <row r="1492" spans="9:9" x14ac:dyDescent="0.15">
      <c r="I1492"/>
    </row>
    <row r="1493" spans="9:9" x14ac:dyDescent="0.15">
      <c r="I1493"/>
    </row>
    <row r="1494" spans="9:9" x14ac:dyDescent="0.15">
      <c r="I1494"/>
    </row>
    <row r="1495" spans="9:9" x14ac:dyDescent="0.15">
      <c r="I1495"/>
    </row>
    <row r="1496" spans="9:9" x14ac:dyDescent="0.15">
      <c r="I1496"/>
    </row>
    <row r="1497" spans="9:9" x14ac:dyDescent="0.15">
      <c r="I1497"/>
    </row>
    <row r="1498" spans="9:9" x14ac:dyDescent="0.15">
      <c r="I1498"/>
    </row>
    <row r="1499" spans="9:9" x14ac:dyDescent="0.15">
      <c r="I1499"/>
    </row>
    <row r="1500" spans="9:9" x14ac:dyDescent="0.15">
      <c r="I1500"/>
    </row>
    <row r="1501" spans="9:9" x14ac:dyDescent="0.15">
      <c r="I1501"/>
    </row>
    <row r="1502" spans="9:9" x14ac:dyDescent="0.15">
      <c r="I1502"/>
    </row>
    <row r="1503" spans="9:9" x14ac:dyDescent="0.15">
      <c r="I1503"/>
    </row>
    <row r="1504" spans="9:9" x14ac:dyDescent="0.15">
      <c r="I1504"/>
    </row>
    <row r="1505" spans="9:9" x14ac:dyDescent="0.15">
      <c r="I1505"/>
    </row>
    <row r="1506" spans="9:9" x14ac:dyDescent="0.15">
      <c r="I1506"/>
    </row>
    <row r="1507" spans="9:9" x14ac:dyDescent="0.15">
      <c r="I1507"/>
    </row>
    <row r="1508" spans="9:9" x14ac:dyDescent="0.15">
      <c r="I1508"/>
    </row>
    <row r="1509" spans="9:9" x14ac:dyDescent="0.15">
      <c r="I1509"/>
    </row>
    <row r="1510" spans="9:9" x14ac:dyDescent="0.15">
      <c r="I1510"/>
    </row>
    <row r="1511" spans="9:9" x14ac:dyDescent="0.15">
      <c r="I1511"/>
    </row>
    <row r="1512" spans="9:9" x14ac:dyDescent="0.15">
      <c r="I1512"/>
    </row>
    <row r="1513" spans="9:9" x14ac:dyDescent="0.15">
      <c r="I1513"/>
    </row>
    <row r="1514" spans="9:9" x14ac:dyDescent="0.15">
      <c r="I1514"/>
    </row>
    <row r="1515" spans="9:9" x14ac:dyDescent="0.15">
      <c r="I1515"/>
    </row>
    <row r="1516" spans="9:9" x14ac:dyDescent="0.15">
      <c r="I1516"/>
    </row>
    <row r="1517" spans="9:9" x14ac:dyDescent="0.15">
      <c r="I1517"/>
    </row>
    <row r="1518" spans="9:9" x14ac:dyDescent="0.15">
      <c r="I1518"/>
    </row>
    <row r="1519" spans="9:9" x14ac:dyDescent="0.15">
      <c r="I1519"/>
    </row>
    <row r="1520" spans="9:9" x14ac:dyDescent="0.15">
      <c r="I1520"/>
    </row>
    <row r="1521" spans="9:9" x14ac:dyDescent="0.15">
      <c r="I1521"/>
    </row>
    <row r="1522" spans="9:9" x14ac:dyDescent="0.15">
      <c r="I1522"/>
    </row>
    <row r="1523" spans="9:9" x14ac:dyDescent="0.15">
      <c r="I1523"/>
    </row>
    <row r="1524" spans="9:9" x14ac:dyDescent="0.15">
      <c r="I1524"/>
    </row>
    <row r="1525" spans="9:9" x14ac:dyDescent="0.15">
      <c r="I1525"/>
    </row>
    <row r="1526" spans="9:9" x14ac:dyDescent="0.15">
      <c r="I1526"/>
    </row>
    <row r="1527" spans="9:9" x14ac:dyDescent="0.15">
      <c r="I1527"/>
    </row>
    <row r="1528" spans="9:9" x14ac:dyDescent="0.15">
      <c r="I1528"/>
    </row>
    <row r="1529" spans="9:9" x14ac:dyDescent="0.15">
      <c r="I1529"/>
    </row>
    <row r="1530" spans="9:9" x14ac:dyDescent="0.15">
      <c r="I1530"/>
    </row>
    <row r="1531" spans="9:9" x14ac:dyDescent="0.15">
      <c r="I1531"/>
    </row>
    <row r="1532" spans="9:9" x14ac:dyDescent="0.15">
      <c r="I1532"/>
    </row>
    <row r="1533" spans="9:9" x14ac:dyDescent="0.15">
      <c r="I1533"/>
    </row>
    <row r="1534" spans="9:9" x14ac:dyDescent="0.15">
      <c r="I1534"/>
    </row>
    <row r="1535" spans="9:9" x14ac:dyDescent="0.15">
      <c r="I1535"/>
    </row>
    <row r="1536" spans="9:9" x14ac:dyDescent="0.15">
      <c r="I1536"/>
    </row>
    <row r="1537" spans="9:9" x14ac:dyDescent="0.15">
      <c r="I1537"/>
    </row>
    <row r="1538" spans="9:9" x14ac:dyDescent="0.15">
      <c r="I1538"/>
    </row>
    <row r="1539" spans="9:9" x14ac:dyDescent="0.15">
      <c r="I1539"/>
    </row>
    <row r="1540" spans="9:9" x14ac:dyDescent="0.15">
      <c r="I1540"/>
    </row>
    <row r="1541" spans="9:9" x14ac:dyDescent="0.15">
      <c r="I1541"/>
    </row>
    <row r="1542" spans="9:9" x14ac:dyDescent="0.15">
      <c r="I1542"/>
    </row>
    <row r="1543" spans="9:9" x14ac:dyDescent="0.15">
      <c r="I1543"/>
    </row>
    <row r="1544" spans="9:9" x14ac:dyDescent="0.15">
      <c r="I1544"/>
    </row>
    <row r="1545" spans="9:9" x14ac:dyDescent="0.15">
      <c r="I1545"/>
    </row>
    <row r="1546" spans="9:9" x14ac:dyDescent="0.15">
      <c r="I1546"/>
    </row>
    <row r="1547" spans="9:9" x14ac:dyDescent="0.15">
      <c r="I1547"/>
    </row>
    <row r="1548" spans="9:9" x14ac:dyDescent="0.15">
      <c r="I1548"/>
    </row>
    <row r="1549" spans="9:9" x14ac:dyDescent="0.15">
      <c r="I1549"/>
    </row>
    <row r="1550" spans="9:9" x14ac:dyDescent="0.15">
      <c r="I1550"/>
    </row>
    <row r="1551" spans="9:9" x14ac:dyDescent="0.15">
      <c r="I1551"/>
    </row>
    <row r="1552" spans="9:9" x14ac:dyDescent="0.15">
      <c r="I1552"/>
    </row>
    <row r="1553" spans="9:9" x14ac:dyDescent="0.15">
      <c r="I1553"/>
    </row>
    <row r="1554" spans="9:9" x14ac:dyDescent="0.15">
      <c r="I1554"/>
    </row>
    <row r="1555" spans="9:9" x14ac:dyDescent="0.15">
      <c r="I1555"/>
    </row>
    <row r="1556" spans="9:9" x14ac:dyDescent="0.15">
      <c r="I1556"/>
    </row>
    <row r="1557" spans="9:9" x14ac:dyDescent="0.15">
      <c r="I1557"/>
    </row>
    <row r="1558" spans="9:9" x14ac:dyDescent="0.15">
      <c r="I1558"/>
    </row>
    <row r="1559" spans="9:9" x14ac:dyDescent="0.15">
      <c r="I1559"/>
    </row>
    <row r="1560" spans="9:9" x14ac:dyDescent="0.15">
      <c r="I1560"/>
    </row>
    <row r="1561" spans="9:9" x14ac:dyDescent="0.15">
      <c r="I1561"/>
    </row>
    <row r="1562" spans="9:9" x14ac:dyDescent="0.15">
      <c r="I1562"/>
    </row>
    <row r="1563" spans="9:9" x14ac:dyDescent="0.15">
      <c r="I1563"/>
    </row>
    <row r="1564" spans="9:9" x14ac:dyDescent="0.15">
      <c r="I1564"/>
    </row>
    <row r="1565" spans="9:9" x14ac:dyDescent="0.15">
      <c r="I1565"/>
    </row>
    <row r="1566" spans="9:9" x14ac:dyDescent="0.15">
      <c r="I1566"/>
    </row>
    <row r="1567" spans="9:9" x14ac:dyDescent="0.15">
      <c r="I1567"/>
    </row>
    <row r="1568" spans="9:9" x14ac:dyDescent="0.15">
      <c r="I1568"/>
    </row>
    <row r="1569" spans="9:9" x14ac:dyDescent="0.15">
      <c r="I1569"/>
    </row>
    <row r="1570" spans="9:9" x14ac:dyDescent="0.15">
      <c r="I1570"/>
    </row>
    <row r="1571" spans="9:9" x14ac:dyDescent="0.15">
      <c r="I1571"/>
    </row>
    <row r="1572" spans="9:9" x14ac:dyDescent="0.15">
      <c r="I1572"/>
    </row>
    <row r="1573" spans="9:9" x14ac:dyDescent="0.15">
      <c r="I1573"/>
    </row>
    <row r="1574" spans="9:9" x14ac:dyDescent="0.15">
      <c r="I1574"/>
    </row>
    <row r="1575" spans="9:9" x14ac:dyDescent="0.15">
      <c r="I1575"/>
    </row>
    <row r="1576" spans="9:9" x14ac:dyDescent="0.15">
      <c r="I1576"/>
    </row>
    <row r="1577" spans="9:9" x14ac:dyDescent="0.15">
      <c r="I1577"/>
    </row>
    <row r="1578" spans="9:9" x14ac:dyDescent="0.15">
      <c r="I1578"/>
    </row>
    <row r="1579" spans="9:9" x14ac:dyDescent="0.15">
      <c r="I1579"/>
    </row>
    <row r="1580" spans="9:9" x14ac:dyDescent="0.15">
      <c r="I1580"/>
    </row>
    <row r="1581" spans="9:9" x14ac:dyDescent="0.15">
      <c r="I1581"/>
    </row>
    <row r="1582" spans="9:9" x14ac:dyDescent="0.15">
      <c r="I1582"/>
    </row>
    <row r="1583" spans="9:9" x14ac:dyDescent="0.15">
      <c r="I1583"/>
    </row>
    <row r="1584" spans="9:9" x14ac:dyDescent="0.15">
      <c r="I1584"/>
    </row>
    <row r="1585" spans="9:9" x14ac:dyDescent="0.15">
      <c r="I1585"/>
    </row>
    <row r="1586" spans="9:9" x14ac:dyDescent="0.15">
      <c r="I1586"/>
    </row>
    <row r="1587" spans="9:9" x14ac:dyDescent="0.15">
      <c r="I1587"/>
    </row>
    <row r="1588" spans="9:9" x14ac:dyDescent="0.15">
      <c r="I1588"/>
    </row>
    <row r="1589" spans="9:9" x14ac:dyDescent="0.15">
      <c r="I1589"/>
    </row>
    <row r="1590" spans="9:9" x14ac:dyDescent="0.15">
      <c r="I1590"/>
    </row>
    <row r="1591" spans="9:9" x14ac:dyDescent="0.15">
      <c r="I1591"/>
    </row>
    <row r="1592" spans="9:9" x14ac:dyDescent="0.15">
      <c r="I1592"/>
    </row>
    <row r="1593" spans="9:9" x14ac:dyDescent="0.15">
      <c r="I1593"/>
    </row>
    <row r="1594" spans="9:9" x14ac:dyDescent="0.15">
      <c r="I1594"/>
    </row>
    <row r="1595" spans="9:9" x14ac:dyDescent="0.15">
      <c r="I1595"/>
    </row>
    <row r="1596" spans="9:9" x14ac:dyDescent="0.15">
      <c r="I1596"/>
    </row>
    <row r="1597" spans="9:9" x14ac:dyDescent="0.15">
      <c r="I1597"/>
    </row>
    <row r="1598" spans="9:9" x14ac:dyDescent="0.15">
      <c r="I1598"/>
    </row>
    <row r="1599" spans="9:9" x14ac:dyDescent="0.15">
      <c r="I1599"/>
    </row>
    <row r="1600" spans="9:9" x14ac:dyDescent="0.15">
      <c r="I1600"/>
    </row>
    <row r="1601" spans="9:9" x14ac:dyDescent="0.15">
      <c r="I1601"/>
    </row>
    <row r="1602" spans="9:9" x14ac:dyDescent="0.15">
      <c r="I1602"/>
    </row>
    <row r="1603" spans="9:9" x14ac:dyDescent="0.15">
      <c r="I1603"/>
    </row>
    <row r="1604" spans="9:9" x14ac:dyDescent="0.15">
      <c r="I1604"/>
    </row>
    <row r="1605" spans="9:9" x14ac:dyDescent="0.15">
      <c r="I1605"/>
    </row>
    <row r="1606" spans="9:9" x14ac:dyDescent="0.15">
      <c r="I1606"/>
    </row>
    <row r="1607" spans="9:9" x14ac:dyDescent="0.15">
      <c r="I1607"/>
    </row>
    <row r="1608" spans="9:9" x14ac:dyDescent="0.15">
      <c r="I1608"/>
    </row>
    <row r="1609" spans="9:9" x14ac:dyDescent="0.15">
      <c r="I1609"/>
    </row>
    <row r="1610" spans="9:9" x14ac:dyDescent="0.15">
      <c r="I1610"/>
    </row>
    <row r="1611" spans="9:9" x14ac:dyDescent="0.15">
      <c r="I1611"/>
    </row>
    <row r="1612" spans="9:9" x14ac:dyDescent="0.15">
      <c r="I1612"/>
    </row>
    <row r="1613" spans="9:9" x14ac:dyDescent="0.15">
      <c r="I1613"/>
    </row>
    <row r="1614" spans="9:9" x14ac:dyDescent="0.15">
      <c r="I1614"/>
    </row>
    <row r="1615" spans="9:9" x14ac:dyDescent="0.15">
      <c r="I1615"/>
    </row>
    <row r="1616" spans="9:9" x14ac:dyDescent="0.15">
      <c r="I1616"/>
    </row>
    <row r="1617" spans="9:9" x14ac:dyDescent="0.15">
      <c r="I1617"/>
    </row>
    <row r="1618" spans="9:9" x14ac:dyDescent="0.15">
      <c r="I1618"/>
    </row>
    <row r="1619" spans="9:9" x14ac:dyDescent="0.15">
      <c r="I1619"/>
    </row>
    <row r="1620" spans="9:9" x14ac:dyDescent="0.15">
      <c r="I1620"/>
    </row>
    <row r="1621" spans="9:9" x14ac:dyDescent="0.15">
      <c r="I1621"/>
    </row>
    <row r="1622" spans="9:9" x14ac:dyDescent="0.15">
      <c r="I1622"/>
    </row>
    <row r="1623" spans="9:9" x14ac:dyDescent="0.15">
      <c r="I1623"/>
    </row>
    <row r="1624" spans="9:9" x14ac:dyDescent="0.15">
      <c r="I1624"/>
    </row>
    <row r="1625" spans="9:9" x14ac:dyDescent="0.15">
      <c r="I1625"/>
    </row>
    <row r="1626" spans="9:9" x14ac:dyDescent="0.15">
      <c r="I1626"/>
    </row>
    <row r="1627" spans="9:9" x14ac:dyDescent="0.15">
      <c r="I1627"/>
    </row>
    <row r="1628" spans="9:9" x14ac:dyDescent="0.15">
      <c r="I1628"/>
    </row>
    <row r="1629" spans="9:9" x14ac:dyDescent="0.15">
      <c r="I1629"/>
    </row>
    <row r="1630" spans="9:9" x14ac:dyDescent="0.15">
      <c r="I1630"/>
    </row>
    <row r="1631" spans="9:9" x14ac:dyDescent="0.15">
      <c r="I1631"/>
    </row>
    <row r="1632" spans="9:9" x14ac:dyDescent="0.15">
      <c r="I1632"/>
    </row>
    <row r="1633" spans="9:9" x14ac:dyDescent="0.15">
      <c r="I1633"/>
    </row>
    <row r="1634" spans="9:9" x14ac:dyDescent="0.15">
      <c r="I1634"/>
    </row>
    <row r="1635" spans="9:9" x14ac:dyDescent="0.15">
      <c r="I1635"/>
    </row>
    <row r="1636" spans="9:9" x14ac:dyDescent="0.15">
      <c r="I1636"/>
    </row>
    <row r="1637" spans="9:9" x14ac:dyDescent="0.15">
      <c r="I1637"/>
    </row>
    <row r="1638" spans="9:9" x14ac:dyDescent="0.15">
      <c r="I1638"/>
    </row>
    <row r="1639" spans="9:9" x14ac:dyDescent="0.15">
      <c r="I1639"/>
    </row>
    <row r="1640" spans="9:9" x14ac:dyDescent="0.15">
      <c r="I1640"/>
    </row>
    <row r="1641" spans="9:9" x14ac:dyDescent="0.15">
      <c r="I1641"/>
    </row>
    <row r="1642" spans="9:9" x14ac:dyDescent="0.15">
      <c r="I1642"/>
    </row>
    <row r="1643" spans="9:9" x14ac:dyDescent="0.15">
      <c r="I1643"/>
    </row>
    <row r="1644" spans="9:9" x14ac:dyDescent="0.15">
      <c r="I1644"/>
    </row>
    <row r="1645" spans="9:9" x14ac:dyDescent="0.15">
      <c r="I1645"/>
    </row>
    <row r="1646" spans="9:9" x14ac:dyDescent="0.15">
      <c r="I1646"/>
    </row>
    <row r="1647" spans="9:9" x14ac:dyDescent="0.15">
      <c r="I1647"/>
    </row>
    <row r="1648" spans="9:9" x14ac:dyDescent="0.15">
      <c r="I1648"/>
    </row>
    <row r="1649" spans="9:9" x14ac:dyDescent="0.15">
      <c r="I1649"/>
    </row>
    <row r="1650" spans="9:9" x14ac:dyDescent="0.15">
      <c r="I1650"/>
    </row>
    <row r="1651" spans="9:9" x14ac:dyDescent="0.15">
      <c r="I1651"/>
    </row>
    <row r="1652" spans="9:9" x14ac:dyDescent="0.15">
      <c r="I1652"/>
    </row>
    <row r="1653" spans="9:9" x14ac:dyDescent="0.15">
      <c r="I1653"/>
    </row>
    <row r="1654" spans="9:9" x14ac:dyDescent="0.15">
      <c r="I1654"/>
    </row>
    <row r="1655" spans="9:9" x14ac:dyDescent="0.15">
      <c r="I1655"/>
    </row>
    <row r="1656" spans="9:9" x14ac:dyDescent="0.15">
      <c r="I1656"/>
    </row>
    <row r="1657" spans="9:9" x14ac:dyDescent="0.15">
      <c r="I1657"/>
    </row>
    <row r="1658" spans="9:9" x14ac:dyDescent="0.15">
      <c r="I1658"/>
    </row>
    <row r="1659" spans="9:9" x14ac:dyDescent="0.15">
      <c r="I1659"/>
    </row>
    <row r="1660" spans="9:9" x14ac:dyDescent="0.15">
      <c r="I1660"/>
    </row>
    <row r="1661" spans="9:9" x14ac:dyDescent="0.15">
      <c r="I1661"/>
    </row>
    <row r="1662" spans="9:9" x14ac:dyDescent="0.15">
      <c r="I1662"/>
    </row>
    <row r="1663" spans="9:9" x14ac:dyDescent="0.15">
      <c r="I1663"/>
    </row>
    <row r="1664" spans="9:9" x14ac:dyDescent="0.15">
      <c r="I1664"/>
    </row>
    <row r="1665" spans="9:9" x14ac:dyDescent="0.15">
      <c r="I1665"/>
    </row>
    <row r="1666" spans="9:9" x14ac:dyDescent="0.15">
      <c r="I1666"/>
    </row>
    <row r="1667" spans="9:9" x14ac:dyDescent="0.15">
      <c r="I1667"/>
    </row>
    <row r="1668" spans="9:9" x14ac:dyDescent="0.15">
      <c r="I1668"/>
    </row>
    <row r="1669" spans="9:9" x14ac:dyDescent="0.15">
      <c r="I1669"/>
    </row>
    <row r="1670" spans="9:9" x14ac:dyDescent="0.15">
      <c r="I1670"/>
    </row>
    <row r="1671" spans="9:9" x14ac:dyDescent="0.15">
      <c r="I1671"/>
    </row>
    <row r="1672" spans="9:9" x14ac:dyDescent="0.15">
      <c r="I1672"/>
    </row>
    <row r="1673" spans="9:9" x14ac:dyDescent="0.15">
      <c r="I1673"/>
    </row>
    <row r="1674" spans="9:9" x14ac:dyDescent="0.15">
      <c r="I1674"/>
    </row>
    <row r="1675" spans="9:9" x14ac:dyDescent="0.15">
      <c r="I1675"/>
    </row>
    <row r="1676" spans="9:9" x14ac:dyDescent="0.15">
      <c r="I1676"/>
    </row>
    <row r="1677" spans="9:9" x14ac:dyDescent="0.15">
      <c r="I1677"/>
    </row>
    <row r="1678" spans="9:9" x14ac:dyDescent="0.15">
      <c r="I1678"/>
    </row>
    <row r="1679" spans="9:9" x14ac:dyDescent="0.15">
      <c r="I1679"/>
    </row>
    <row r="1680" spans="9:9" x14ac:dyDescent="0.15">
      <c r="I1680"/>
    </row>
    <row r="1681" spans="9:9" x14ac:dyDescent="0.15">
      <c r="I1681"/>
    </row>
    <row r="1682" spans="9:9" x14ac:dyDescent="0.15">
      <c r="I1682"/>
    </row>
    <row r="1683" spans="9:9" x14ac:dyDescent="0.15">
      <c r="I1683"/>
    </row>
    <row r="1684" spans="9:9" x14ac:dyDescent="0.15">
      <c r="I1684"/>
    </row>
    <row r="1685" spans="9:9" x14ac:dyDescent="0.15">
      <c r="I1685"/>
    </row>
    <row r="1686" spans="9:9" x14ac:dyDescent="0.15">
      <c r="I1686"/>
    </row>
    <row r="1687" spans="9:9" x14ac:dyDescent="0.15">
      <c r="I1687"/>
    </row>
    <row r="1688" spans="9:9" x14ac:dyDescent="0.15">
      <c r="I1688"/>
    </row>
    <row r="1689" spans="9:9" x14ac:dyDescent="0.15">
      <c r="I1689"/>
    </row>
    <row r="1690" spans="9:9" x14ac:dyDescent="0.15">
      <c r="I1690"/>
    </row>
    <row r="1691" spans="9:9" x14ac:dyDescent="0.15">
      <c r="I1691"/>
    </row>
    <row r="1692" spans="9:9" x14ac:dyDescent="0.15">
      <c r="I1692"/>
    </row>
    <row r="1693" spans="9:9" x14ac:dyDescent="0.15">
      <c r="I1693"/>
    </row>
    <row r="1694" spans="9:9" x14ac:dyDescent="0.15">
      <c r="I1694"/>
    </row>
    <row r="1695" spans="9:9" x14ac:dyDescent="0.15">
      <c r="I1695"/>
    </row>
    <row r="1696" spans="9:9" x14ac:dyDescent="0.15">
      <c r="I1696"/>
    </row>
    <row r="1697" spans="9:9" x14ac:dyDescent="0.15">
      <c r="I1697"/>
    </row>
    <row r="1698" spans="9:9" x14ac:dyDescent="0.15">
      <c r="I1698"/>
    </row>
    <row r="1699" spans="9:9" x14ac:dyDescent="0.15">
      <c r="I1699"/>
    </row>
    <row r="1700" spans="9:9" x14ac:dyDescent="0.15">
      <c r="I1700"/>
    </row>
    <row r="1701" spans="9:9" x14ac:dyDescent="0.15">
      <c r="I1701"/>
    </row>
    <row r="1702" spans="9:9" x14ac:dyDescent="0.15">
      <c r="I1702"/>
    </row>
    <row r="1703" spans="9:9" x14ac:dyDescent="0.15">
      <c r="I1703"/>
    </row>
    <row r="1704" spans="9:9" x14ac:dyDescent="0.15">
      <c r="I1704"/>
    </row>
    <row r="1705" spans="9:9" x14ac:dyDescent="0.15">
      <c r="I1705"/>
    </row>
    <row r="1706" spans="9:9" x14ac:dyDescent="0.15">
      <c r="I1706"/>
    </row>
    <row r="1707" spans="9:9" x14ac:dyDescent="0.15">
      <c r="I1707"/>
    </row>
    <row r="1708" spans="9:9" x14ac:dyDescent="0.15">
      <c r="I1708"/>
    </row>
    <row r="1709" spans="9:9" x14ac:dyDescent="0.15">
      <c r="I1709"/>
    </row>
    <row r="1710" spans="9:9" x14ac:dyDescent="0.15">
      <c r="I1710"/>
    </row>
    <row r="1711" spans="9:9" x14ac:dyDescent="0.15">
      <c r="I1711"/>
    </row>
    <row r="1712" spans="9:9" x14ac:dyDescent="0.15">
      <c r="I1712"/>
    </row>
    <row r="1713" spans="9:9" x14ac:dyDescent="0.15">
      <c r="I1713"/>
    </row>
    <row r="1714" spans="9:9" x14ac:dyDescent="0.15">
      <c r="I1714"/>
    </row>
    <row r="1715" spans="9:9" x14ac:dyDescent="0.15">
      <c r="I1715"/>
    </row>
    <row r="1716" spans="9:9" x14ac:dyDescent="0.15">
      <c r="I1716"/>
    </row>
    <row r="1717" spans="9:9" x14ac:dyDescent="0.15">
      <c r="I1717"/>
    </row>
    <row r="1718" spans="9:9" x14ac:dyDescent="0.15">
      <c r="I1718"/>
    </row>
    <row r="1719" spans="9:9" x14ac:dyDescent="0.15">
      <c r="I1719"/>
    </row>
    <row r="1720" spans="9:9" x14ac:dyDescent="0.15">
      <c r="I1720"/>
    </row>
    <row r="1721" spans="9:9" x14ac:dyDescent="0.15">
      <c r="I1721"/>
    </row>
    <row r="1722" spans="9:9" x14ac:dyDescent="0.15">
      <c r="I1722"/>
    </row>
    <row r="1723" spans="9:9" x14ac:dyDescent="0.15">
      <c r="I1723"/>
    </row>
    <row r="1724" spans="9:9" x14ac:dyDescent="0.15">
      <c r="I1724"/>
    </row>
    <row r="1725" spans="9:9" x14ac:dyDescent="0.15">
      <c r="I1725"/>
    </row>
    <row r="1726" spans="9:9" x14ac:dyDescent="0.15">
      <c r="I1726"/>
    </row>
    <row r="1727" spans="9:9" x14ac:dyDescent="0.15">
      <c r="I1727"/>
    </row>
    <row r="1728" spans="9:9" x14ac:dyDescent="0.15">
      <c r="I1728"/>
    </row>
    <row r="1729" spans="9:9" x14ac:dyDescent="0.15">
      <c r="I1729"/>
    </row>
    <row r="1730" spans="9:9" x14ac:dyDescent="0.15">
      <c r="I1730"/>
    </row>
    <row r="1731" spans="9:9" x14ac:dyDescent="0.15">
      <c r="I1731"/>
    </row>
    <row r="1732" spans="9:9" x14ac:dyDescent="0.15">
      <c r="I1732"/>
    </row>
    <row r="1733" spans="9:9" x14ac:dyDescent="0.15">
      <c r="I1733"/>
    </row>
    <row r="1734" spans="9:9" x14ac:dyDescent="0.15">
      <c r="I1734"/>
    </row>
    <row r="1735" spans="9:9" x14ac:dyDescent="0.15">
      <c r="I1735"/>
    </row>
    <row r="1736" spans="9:9" x14ac:dyDescent="0.15">
      <c r="I1736"/>
    </row>
    <row r="1737" spans="9:9" x14ac:dyDescent="0.15">
      <c r="I1737"/>
    </row>
    <row r="1738" spans="9:9" x14ac:dyDescent="0.15">
      <c r="I1738"/>
    </row>
    <row r="1739" spans="9:9" x14ac:dyDescent="0.15">
      <c r="I1739"/>
    </row>
    <row r="1740" spans="9:9" x14ac:dyDescent="0.15">
      <c r="I1740"/>
    </row>
    <row r="1741" spans="9:9" x14ac:dyDescent="0.15">
      <c r="I1741"/>
    </row>
    <row r="1742" spans="9:9" x14ac:dyDescent="0.15">
      <c r="I1742"/>
    </row>
    <row r="1743" spans="9:9" x14ac:dyDescent="0.15">
      <c r="I1743"/>
    </row>
    <row r="1744" spans="9:9" x14ac:dyDescent="0.15">
      <c r="I1744"/>
    </row>
    <row r="1745" spans="9:9" x14ac:dyDescent="0.15">
      <c r="I1745"/>
    </row>
    <row r="1746" spans="9:9" x14ac:dyDescent="0.15">
      <c r="I1746"/>
    </row>
    <row r="1747" spans="9:9" x14ac:dyDescent="0.15">
      <c r="I1747"/>
    </row>
    <row r="1748" spans="9:9" x14ac:dyDescent="0.15">
      <c r="I1748"/>
    </row>
    <row r="1749" spans="9:9" x14ac:dyDescent="0.15">
      <c r="I1749"/>
    </row>
    <row r="1750" spans="9:9" x14ac:dyDescent="0.15">
      <c r="I1750"/>
    </row>
    <row r="1751" spans="9:9" x14ac:dyDescent="0.15">
      <c r="I1751"/>
    </row>
    <row r="1752" spans="9:9" x14ac:dyDescent="0.15">
      <c r="I1752"/>
    </row>
    <row r="1753" spans="9:9" x14ac:dyDescent="0.15">
      <c r="I1753"/>
    </row>
    <row r="1754" spans="9:9" x14ac:dyDescent="0.15">
      <c r="I1754"/>
    </row>
    <row r="1755" spans="9:9" x14ac:dyDescent="0.15">
      <c r="I1755"/>
    </row>
    <row r="1756" spans="9:9" x14ac:dyDescent="0.15">
      <c r="I1756"/>
    </row>
    <row r="1757" spans="9:9" x14ac:dyDescent="0.15">
      <c r="I1757"/>
    </row>
    <row r="1758" spans="9:9" x14ac:dyDescent="0.15">
      <c r="I1758"/>
    </row>
    <row r="1759" spans="9:9" x14ac:dyDescent="0.15">
      <c r="I1759"/>
    </row>
    <row r="1760" spans="9:9" x14ac:dyDescent="0.15">
      <c r="I1760"/>
    </row>
    <row r="1761" spans="9:9" x14ac:dyDescent="0.15">
      <c r="I1761"/>
    </row>
    <row r="1762" spans="9:9" x14ac:dyDescent="0.15">
      <c r="I1762"/>
    </row>
    <row r="1763" spans="9:9" x14ac:dyDescent="0.15">
      <c r="I1763"/>
    </row>
    <row r="1764" spans="9:9" x14ac:dyDescent="0.15">
      <c r="I1764"/>
    </row>
    <row r="1765" spans="9:9" x14ac:dyDescent="0.15">
      <c r="I1765"/>
    </row>
    <row r="1766" spans="9:9" x14ac:dyDescent="0.15">
      <c r="I1766"/>
    </row>
    <row r="1767" spans="9:9" x14ac:dyDescent="0.15">
      <c r="I1767"/>
    </row>
    <row r="1768" spans="9:9" x14ac:dyDescent="0.15">
      <c r="I1768"/>
    </row>
    <row r="1769" spans="9:9" x14ac:dyDescent="0.15">
      <c r="I1769"/>
    </row>
    <row r="1770" spans="9:9" x14ac:dyDescent="0.15">
      <c r="I1770"/>
    </row>
    <row r="1771" spans="9:9" x14ac:dyDescent="0.15">
      <c r="I1771"/>
    </row>
    <row r="1772" spans="9:9" x14ac:dyDescent="0.15">
      <c r="I1772"/>
    </row>
    <row r="1773" spans="9:9" x14ac:dyDescent="0.15">
      <c r="I1773"/>
    </row>
    <row r="1774" spans="9:9" x14ac:dyDescent="0.15">
      <c r="I1774"/>
    </row>
    <row r="1775" spans="9:9" x14ac:dyDescent="0.15">
      <c r="I1775"/>
    </row>
    <row r="1776" spans="9:9" x14ac:dyDescent="0.15">
      <c r="I1776"/>
    </row>
    <row r="1777" spans="9:9" x14ac:dyDescent="0.15">
      <c r="I1777"/>
    </row>
    <row r="1778" spans="9:9" x14ac:dyDescent="0.15">
      <c r="I1778"/>
    </row>
    <row r="1779" spans="9:9" x14ac:dyDescent="0.15">
      <c r="I1779"/>
    </row>
    <row r="1780" spans="9:9" x14ac:dyDescent="0.15">
      <c r="I1780"/>
    </row>
    <row r="1781" spans="9:9" x14ac:dyDescent="0.15">
      <c r="I1781"/>
    </row>
    <row r="1782" spans="9:9" x14ac:dyDescent="0.15">
      <c r="I1782"/>
    </row>
    <row r="1783" spans="9:9" x14ac:dyDescent="0.15">
      <c r="I1783"/>
    </row>
    <row r="1784" spans="9:9" x14ac:dyDescent="0.15">
      <c r="I1784"/>
    </row>
    <row r="1785" spans="9:9" x14ac:dyDescent="0.15">
      <c r="I1785"/>
    </row>
    <row r="1786" spans="9:9" x14ac:dyDescent="0.15">
      <c r="I1786"/>
    </row>
    <row r="1787" spans="9:9" x14ac:dyDescent="0.15">
      <c r="I1787"/>
    </row>
    <row r="1788" spans="9:9" x14ac:dyDescent="0.15">
      <c r="I1788"/>
    </row>
    <row r="1789" spans="9:9" x14ac:dyDescent="0.15">
      <c r="I1789"/>
    </row>
    <row r="1790" spans="9:9" x14ac:dyDescent="0.15">
      <c r="I1790"/>
    </row>
    <row r="1791" spans="9:9" x14ac:dyDescent="0.15">
      <c r="I1791"/>
    </row>
    <row r="1792" spans="9:9" x14ac:dyDescent="0.15">
      <c r="I1792"/>
    </row>
    <row r="1793" spans="9:9" x14ac:dyDescent="0.15">
      <c r="I1793"/>
    </row>
    <row r="1794" spans="9:9" x14ac:dyDescent="0.15">
      <c r="I1794"/>
    </row>
    <row r="1795" spans="9:9" x14ac:dyDescent="0.15">
      <c r="I1795"/>
    </row>
    <row r="1796" spans="9:9" x14ac:dyDescent="0.15">
      <c r="I1796"/>
    </row>
    <row r="1797" spans="9:9" x14ac:dyDescent="0.15">
      <c r="I1797"/>
    </row>
    <row r="1798" spans="9:9" x14ac:dyDescent="0.15">
      <c r="I1798"/>
    </row>
    <row r="1799" spans="9:9" x14ac:dyDescent="0.15">
      <c r="I1799"/>
    </row>
    <row r="1800" spans="9:9" x14ac:dyDescent="0.15">
      <c r="I1800"/>
    </row>
    <row r="1801" spans="9:9" x14ac:dyDescent="0.15">
      <c r="I1801"/>
    </row>
    <row r="1802" spans="9:9" x14ac:dyDescent="0.15">
      <c r="I1802"/>
    </row>
    <row r="1803" spans="9:9" x14ac:dyDescent="0.15">
      <c r="I1803"/>
    </row>
    <row r="1804" spans="9:9" x14ac:dyDescent="0.15">
      <c r="I1804"/>
    </row>
    <row r="1805" spans="9:9" x14ac:dyDescent="0.15">
      <c r="I1805"/>
    </row>
    <row r="1806" spans="9:9" x14ac:dyDescent="0.15">
      <c r="I1806"/>
    </row>
    <row r="1807" spans="9:9" x14ac:dyDescent="0.15">
      <c r="I1807"/>
    </row>
    <row r="1808" spans="9:9" x14ac:dyDescent="0.15">
      <c r="I1808"/>
    </row>
    <row r="1809" spans="9:9" x14ac:dyDescent="0.15">
      <c r="I1809"/>
    </row>
    <row r="1810" spans="9:9" x14ac:dyDescent="0.15">
      <c r="I1810"/>
    </row>
    <row r="1811" spans="9:9" x14ac:dyDescent="0.15">
      <c r="I1811"/>
    </row>
    <row r="1812" spans="9:9" x14ac:dyDescent="0.15">
      <c r="I1812"/>
    </row>
    <row r="1813" spans="9:9" x14ac:dyDescent="0.15">
      <c r="I1813"/>
    </row>
    <row r="1814" spans="9:9" x14ac:dyDescent="0.15">
      <c r="I1814"/>
    </row>
    <row r="1815" spans="9:9" x14ac:dyDescent="0.15">
      <c r="I1815"/>
    </row>
    <row r="1816" spans="9:9" x14ac:dyDescent="0.15">
      <c r="I1816"/>
    </row>
    <row r="1817" spans="9:9" x14ac:dyDescent="0.15">
      <c r="I1817"/>
    </row>
    <row r="1818" spans="9:9" x14ac:dyDescent="0.15">
      <c r="I1818"/>
    </row>
    <row r="1819" spans="9:9" x14ac:dyDescent="0.15">
      <c r="I1819"/>
    </row>
    <row r="1820" spans="9:9" x14ac:dyDescent="0.15">
      <c r="I1820"/>
    </row>
    <row r="1821" spans="9:9" x14ac:dyDescent="0.15">
      <c r="I1821"/>
    </row>
    <row r="1822" spans="9:9" x14ac:dyDescent="0.15">
      <c r="I1822"/>
    </row>
    <row r="1823" spans="9:9" x14ac:dyDescent="0.15">
      <c r="I1823"/>
    </row>
    <row r="1824" spans="9:9" x14ac:dyDescent="0.15">
      <c r="I1824"/>
    </row>
    <row r="1825" spans="9:9" x14ac:dyDescent="0.15">
      <c r="I1825"/>
    </row>
    <row r="1826" spans="9:9" x14ac:dyDescent="0.15">
      <c r="I1826"/>
    </row>
    <row r="1827" spans="9:9" x14ac:dyDescent="0.15">
      <c r="I1827"/>
    </row>
    <row r="1828" spans="9:9" x14ac:dyDescent="0.15">
      <c r="I1828"/>
    </row>
    <row r="1829" spans="9:9" x14ac:dyDescent="0.15">
      <c r="I1829"/>
    </row>
    <row r="1830" spans="9:9" x14ac:dyDescent="0.15">
      <c r="I1830"/>
    </row>
    <row r="1831" spans="9:9" x14ac:dyDescent="0.15">
      <c r="I1831"/>
    </row>
    <row r="1832" spans="9:9" x14ac:dyDescent="0.15">
      <c r="I1832"/>
    </row>
    <row r="1833" spans="9:9" x14ac:dyDescent="0.15">
      <c r="I1833"/>
    </row>
    <row r="1834" spans="9:9" x14ac:dyDescent="0.15">
      <c r="I1834"/>
    </row>
    <row r="1835" spans="9:9" x14ac:dyDescent="0.15">
      <c r="I1835"/>
    </row>
    <row r="1836" spans="9:9" x14ac:dyDescent="0.15">
      <c r="I1836"/>
    </row>
    <row r="1837" spans="9:9" x14ac:dyDescent="0.15">
      <c r="I1837"/>
    </row>
    <row r="1838" spans="9:9" x14ac:dyDescent="0.15">
      <c r="I1838"/>
    </row>
    <row r="1839" spans="9:9" x14ac:dyDescent="0.15">
      <c r="I1839"/>
    </row>
    <row r="1840" spans="9:9" x14ac:dyDescent="0.15">
      <c r="I1840"/>
    </row>
    <row r="1841" spans="9:9" x14ac:dyDescent="0.15">
      <c r="I1841"/>
    </row>
    <row r="1842" spans="9:9" x14ac:dyDescent="0.15">
      <c r="I1842"/>
    </row>
    <row r="1843" spans="9:9" x14ac:dyDescent="0.15">
      <c r="I1843"/>
    </row>
    <row r="1844" spans="9:9" x14ac:dyDescent="0.15">
      <c r="I1844"/>
    </row>
    <row r="1845" spans="9:9" x14ac:dyDescent="0.15">
      <c r="I1845"/>
    </row>
    <row r="1846" spans="9:9" x14ac:dyDescent="0.15">
      <c r="I1846"/>
    </row>
    <row r="1847" spans="9:9" x14ac:dyDescent="0.15">
      <c r="I1847"/>
    </row>
    <row r="1848" spans="9:9" x14ac:dyDescent="0.15">
      <c r="I1848"/>
    </row>
    <row r="1849" spans="9:9" x14ac:dyDescent="0.15">
      <c r="I1849"/>
    </row>
    <row r="1850" spans="9:9" x14ac:dyDescent="0.15">
      <c r="I1850"/>
    </row>
    <row r="1851" spans="9:9" x14ac:dyDescent="0.15">
      <c r="I1851"/>
    </row>
    <row r="1852" spans="9:9" x14ac:dyDescent="0.15">
      <c r="I1852"/>
    </row>
    <row r="1853" spans="9:9" x14ac:dyDescent="0.15">
      <c r="I1853"/>
    </row>
    <row r="1854" spans="9:9" x14ac:dyDescent="0.15">
      <c r="I1854"/>
    </row>
    <row r="1855" spans="9:9" x14ac:dyDescent="0.15">
      <c r="I1855"/>
    </row>
    <row r="1856" spans="9:9" x14ac:dyDescent="0.15">
      <c r="I1856"/>
    </row>
    <row r="1857" spans="9:9" x14ac:dyDescent="0.15">
      <c r="I1857"/>
    </row>
    <row r="1858" spans="9:9" x14ac:dyDescent="0.15">
      <c r="I1858"/>
    </row>
    <row r="1859" spans="9:9" x14ac:dyDescent="0.15">
      <c r="I1859"/>
    </row>
    <row r="1860" spans="9:9" x14ac:dyDescent="0.15">
      <c r="I1860"/>
    </row>
    <row r="1861" spans="9:9" x14ac:dyDescent="0.15">
      <c r="I1861"/>
    </row>
    <row r="1862" spans="9:9" x14ac:dyDescent="0.15">
      <c r="I1862"/>
    </row>
    <row r="1863" spans="9:9" x14ac:dyDescent="0.15">
      <c r="I1863"/>
    </row>
    <row r="1864" spans="9:9" x14ac:dyDescent="0.15">
      <c r="I1864"/>
    </row>
    <row r="1865" spans="9:9" x14ac:dyDescent="0.15">
      <c r="I1865"/>
    </row>
    <row r="1866" spans="9:9" x14ac:dyDescent="0.15">
      <c r="I1866"/>
    </row>
    <row r="1867" spans="9:9" x14ac:dyDescent="0.15">
      <c r="I1867"/>
    </row>
    <row r="1868" spans="9:9" x14ac:dyDescent="0.15">
      <c r="I1868"/>
    </row>
    <row r="1869" spans="9:9" x14ac:dyDescent="0.15">
      <c r="I1869"/>
    </row>
    <row r="1870" spans="9:9" x14ac:dyDescent="0.15">
      <c r="I1870"/>
    </row>
    <row r="1871" spans="9:9" x14ac:dyDescent="0.15">
      <c r="I1871"/>
    </row>
    <row r="1872" spans="9:9" x14ac:dyDescent="0.15">
      <c r="I1872"/>
    </row>
    <row r="1873" spans="9:9" x14ac:dyDescent="0.15">
      <c r="I1873"/>
    </row>
    <row r="1874" spans="9:9" x14ac:dyDescent="0.15">
      <c r="I1874"/>
    </row>
    <row r="1875" spans="9:9" x14ac:dyDescent="0.15">
      <c r="I1875"/>
    </row>
    <row r="1876" spans="9:9" x14ac:dyDescent="0.15">
      <c r="I1876"/>
    </row>
    <row r="1877" spans="9:9" x14ac:dyDescent="0.15">
      <c r="I1877"/>
    </row>
    <row r="1878" spans="9:9" x14ac:dyDescent="0.15">
      <c r="I1878"/>
    </row>
    <row r="1879" spans="9:9" x14ac:dyDescent="0.15">
      <c r="I1879"/>
    </row>
    <row r="1880" spans="9:9" x14ac:dyDescent="0.15">
      <c r="I1880"/>
    </row>
    <row r="1881" spans="9:9" x14ac:dyDescent="0.15">
      <c r="I1881"/>
    </row>
    <row r="1882" spans="9:9" x14ac:dyDescent="0.15">
      <c r="I1882"/>
    </row>
    <row r="1883" spans="9:9" x14ac:dyDescent="0.15">
      <c r="I1883"/>
    </row>
    <row r="1884" spans="9:9" x14ac:dyDescent="0.15">
      <c r="I1884"/>
    </row>
    <row r="1885" spans="9:9" x14ac:dyDescent="0.15">
      <c r="I1885"/>
    </row>
    <row r="1886" spans="9:9" x14ac:dyDescent="0.15">
      <c r="I1886"/>
    </row>
    <row r="1887" spans="9:9" x14ac:dyDescent="0.15">
      <c r="I1887"/>
    </row>
    <row r="1888" spans="9:9" x14ac:dyDescent="0.15">
      <c r="I1888"/>
    </row>
    <row r="1889" spans="9:9" x14ac:dyDescent="0.15">
      <c r="I1889"/>
    </row>
    <row r="1890" spans="9:9" x14ac:dyDescent="0.15">
      <c r="I1890"/>
    </row>
    <row r="1891" spans="9:9" x14ac:dyDescent="0.15">
      <c r="I1891"/>
    </row>
    <row r="1892" spans="9:9" x14ac:dyDescent="0.15">
      <c r="I1892"/>
    </row>
    <row r="1893" spans="9:9" x14ac:dyDescent="0.15">
      <c r="I1893"/>
    </row>
    <row r="1894" spans="9:9" x14ac:dyDescent="0.15">
      <c r="I1894"/>
    </row>
    <row r="1895" spans="9:9" x14ac:dyDescent="0.15">
      <c r="I1895"/>
    </row>
    <row r="1896" spans="9:9" x14ac:dyDescent="0.15">
      <c r="I1896"/>
    </row>
    <row r="1897" spans="9:9" x14ac:dyDescent="0.15">
      <c r="I1897"/>
    </row>
    <row r="1898" spans="9:9" x14ac:dyDescent="0.15">
      <c r="I1898"/>
    </row>
    <row r="1899" spans="9:9" x14ac:dyDescent="0.15">
      <c r="I1899"/>
    </row>
    <row r="1900" spans="9:9" x14ac:dyDescent="0.15">
      <c r="I1900"/>
    </row>
    <row r="1901" spans="9:9" x14ac:dyDescent="0.15">
      <c r="I1901"/>
    </row>
    <row r="1902" spans="9:9" x14ac:dyDescent="0.15">
      <c r="I1902"/>
    </row>
    <row r="1903" spans="9:9" x14ac:dyDescent="0.15">
      <c r="I1903"/>
    </row>
    <row r="1904" spans="9:9" x14ac:dyDescent="0.15">
      <c r="I1904"/>
    </row>
    <row r="1905" spans="9:9" x14ac:dyDescent="0.15">
      <c r="I1905"/>
    </row>
    <row r="1906" spans="9:9" x14ac:dyDescent="0.15">
      <c r="I1906"/>
    </row>
    <row r="1907" spans="9:9" x14ac:dyDescent="0.15">
      <c r="I1907"/>
    </row>
    <row r="1908" spans="9:9" x14ac:dyDescent="0.15">
      <c r="I1908"/>
    </row>
    <row r="1909" spans="9:9" x14ac:dyDescent="0.15">
      <c r="I1909"/>
    </row>
    <row r="1910" spans="9:9" x14ac:dyDescent="0.15">
      <c r="I1910"/>
    </row>
    <row r="1911" spans="9:9" x14ac:dyDescent="0.15">
      <c r="I1911"/>
    </row>
    <row r="1912" spans="9:9" x14ac:dyDescent="0.15">
      <c r="I1912"/>
    </row>
    <row r="1913" spans="9:9" x14ac:dyDescent="0.15">
      <c r="I1913"/>
    </row>
    <row r="1914" spans="9:9" x14ac:dyDescent="0.15">
      <c r="I1914"/>
    </row>
    <row r="1915" spans="9:9" x14ac:dyDescent="0.15">
      <c r="I1915"/>
    </row>
    <row r="1916" spans="9:9" x14ac:dyDescent="0.15">
      <c r="I1916"/>
    </row>
    <row r="1917" spans="9:9" x14ac:dyDescent="0.15">
      <c r="I1917"/>
    </row>
    <row r="1918" spans="9:9" x14ac:dyDescent="0.15">
      <c r="I1918"/>
    </row>
    <row r="1919" spans="9:9" x14ac:dyDescent="0.15">
      <c r="I1919"/>
    </row>
    <row r="1920" spans="9:9" x14ac:dyDescent="0.15">
      <c r="I1920"/>
    </row>
    <row r="1921" spans="9:9" x14ac:dyDescent="0.15">
      <c r="I1921"/>
    </row>
    <row r="1922" spans="9:9" x14ac:dyDescent="0.15">
      <c r="I1922"/>
    </row>
    <row r="1923" spans="9:9" x14ac:dyDescent="0.15">
      <c r="I1923"/>
    </row>
    <row r="1924" spans="9:9" x14ac:dyDescent="0.15">
      <c r="I1924"/>
    </row>
    <row r="1925" spans="9:9" x14ac:dyDescent="0.15">
      <c r="I1925"/>
    </row>
    <row r="1926" spans="9:9" x14ac:dyDescent="0.15">
      <c r="I1926"/>
    </row>
    <row r="1927" spans="9:9" x14ac:dyDescent="0.15">
      <c r="I1927"/>
    </row>
    <row r="1928" spans="9:9" x14ac:dyDescent="0.15">
      <c r="I1928"/>
    </row>
    <row r="1929" spans="9:9" x14ac:dyDescent="0.15">
      <c r="I1929"/>
    </row>
    <row r="1930" spans="9:9" x14ac:dyDescent="0.15">
      <c r="I1930"/>
    </row>
    <row r="1931" spans="9:9" x14ac:dyDescent="0.15">
      <c r="I1931"/>
    </row>
    <row r="1932" spans="9:9" x14ac:dyDescent="0.15">
      <c r="I1932"/>
    </row>
    <row r="1933" spans="9:9" x14ac:dyDescent="0.15">
      <c r="I1933"/>
    </row>
    <row r="1934" spans="9:9" x14ac:dyDescent="0.15">
      <c r="I1934"/>
    </row>
    <row r="1935" spans="9:9" x14ac:dyDescent="0.15">
      <c r="I1935"/>
    </row>
    <row r="1936" spans="9:9" x14ac:dyDescent="0.15">
      <c r="I1936"/>
    </row>
    <row r="1937" spans="9:9" x14ac:dyDescent="0.15">
      <c r="I1937"/>
    </row>
    <row r="1938" spans="9:9" x14ac:dyDescent="0.15">
      <c r="I1938"/>
    </row>
    <row r="1939" spans="9:9" x14ac:dyDescent="0.15">
      <c r="I1939"/>
    </row>
    <row r="1940" spans="9:9" x14ac:dyDescent="0.15">
      <c r="I1940"/>
    </row>
    <row r="1941" spans="9:9" x14ac:dyDescent="0.15">
      <c r="I1941"/>
    </row>
    <row r="1942" spans="9:9" x14ac:dyDescent="0.15">
      <c r="I1942"/>
    </row>
    <row r="1943" spans="9:9" x14ac:dyDescent="0.15">
      <c r="I1943"/>
    </row>
    <row r="1944" spans="9:9" x14ac:dyDescent="0.15">
      <c r="I1944"/>
    </row>
    <row r="1945" spans="9:9" x14ac:dyDescent="0.15">
      <c r="I1945"/>
    </row>
    <row r="1946" spans="9:9" x14ac:dyDescent="0.15">
      <c r="I1946"/>
    </row>
    <row r="1947" spans="9:9" x14ac:dyDescent="0.15">
      <c r="I1947"/>
    </row>
    <row r="1948" spans="9:9" x14ac:dyDescent="0.15">
      <c r="I1948"/>
    </row>
    <row r="1949" spans="9:9" x14ac:dyDescent="0.15">
      <c r="I1949"/>
    </row>
    <row r="1950" spans="9:9" x14ac:dyDescent="0.15">
      <c r="I1950"/>
    </row>
    <row r="1951" spans="9:9" x14ac:dyDescent="0.15">
      <c r="I1951"/>
    </row>
    <row r="1952" spans="9:9" x14ac:dyDescent="0.15">
      <c r="I1952"/>
    </row>
    <row r="1953" spans="9:9" x14ac:dyDescent="0.15">
      <c r="I1953"/>
    </row>
    <row r="1954" spans="9:9" x14ac:dyDescent="0.15">
      <c r="I1954"/>
    </row>
    <row r="1955" spans="9:9" x14ac:dyDescent="0.15">
      <c r="I1955"/>
    </row>
    <row r="1956" spans="9:9" x14ac:dyDescent="0.15">
      <c r="I1956"/>
    </row>
    <row r="1957" spans="9:9" x14ac:dyDescent="0.15">
      <c r="I1957"/>
    </row>
    <row r="1958" spans="9:9" x14ac:dyDescent="0.15">
      <c r="I1958"/>
    </row>
    <row r="1959" spans="9:9" x14ac:dyDescent="0.15">
      <c r="I1959"/>
    </row>
    <row r="1960" spans="9:9" x14ac:dyDescent="0.15">
      <c r="I1960"/>
    </row>
    <row r="1961" spans="9:9" x14ac:dyDescent="0.15">
      <c r="I1961"/>
    </row>
    <row r="1962" spans="9:9" x14ac:dyDescent="0.15">
      <c r="I1962"/>
    </row>
    <row r="1963" spans="9:9" x14ac:dyDescent="0.15">
      <c r="I1963"/>
    </row>
    <row r="1964" spans="9:9" x14ac:dyDescent="0.15">
      <c r="I1964"/>
    </row>
    <row r="1965" spans="9:9" x14ac:dyDescent="0.15">
      <c r="I1965"/>
    </row>
    <row r="1966" spans="9:9" x14ac:dyDescent="0.15">
      <c r="I1966"/>
    </row>
    <row r="1967" spans="9:9" x14ac:dyDescent="0.15">
      <c r="I1967"/>
    </row>
    <row r="1968" spans="9:9" x14ac:dyDescent="0.15">
      <c r="I1968"/>
    </row>
    <row r="1969" spans="9:9" x14ac:dyDescent="0.15">
      <c r="I1969"/>
    </row>
    <row r="1970" spans="9:9" x14ac:dyDescent="0.15">
      <c r="I1970"/>
    </row>
    <row r="1971" spans="9:9" x14ac:dyDescent="0.15">
      <c r="I1971"/>
    </row>
    <row r="1972" spans="9:9" x14ac:dyDescent="0.15">
      <c r="I1972"/>
    </row>
    <row r="1973" spans="9:9" x14ac:dyDescent="0.15">
      <c r="I1973"/>
    </row>
    <row r="1974" spans="9:9" x14ac:dyDescent="0.15">
      <c r="I1974"/>
    </row>
    <row r="1975" spans="9:9" x14ac:dyDescent="0.15">
      <c r="I1975"/>
    </row>
    <row r="1976" spans="9:9" x14ac:dyDescent="0.15">
      <c r="I1976"/>
    </row>
    <row r="1977" spans="9:9" x14ac:dyDescent="0.15">
      <c r="I1977"/>
    </row>
    <row r="1978" spans="9:9" x14ac:dyDescent="0.15">
      <c r="I1978"/>
    </row>
    <row r="1979" spans="9:9" x14ac:dyDescent="0.15">
      <c r="I1979"/>
    </row>
    <row r="1980" spans="9:9" x14ac:dyDescent="0.15">
      <c r="I1980"/>
    </row>
    <row r="1981" spans="9:9" x14ac:dyDescent="0.15">
      <c r="I1981"/>
    </row>
    <row r="1982" spans="9:9" x14ac:dyDescent="0.15">
      <c r="I1982"/>
    </row>
    <row r="1983" spans="9:9" x14ac:dyDescent="0.15">
      <c r="I1983"/>
    </row>
    <row r="1984" spans="9:9" x14ac:dyDescent="0.15">
      <c r="I1984"/>
    </row>
    <row r="1985" spans="9:9" x14ac:dyDescent="0.15">
      <c r="I1985"/>
    </row>
    <row r="1986" spans="9:9" x14ac:dyDescent="0.15">
      <c r="I1986"/>
    </row>
    <row r="1987" spans="9:9" x14ac:dyDescent="0.15">
      <c r="I1987"/>
    </row>
    <row r="1988" spans="9:9" x14ac:dyDescent="0.15">
      <c r="I1988"/>
    </row>
    <row r="1989" spans="9:9" x14ac:dyDescent="0.15">
      <c r="I1989"/>
    </row>
    <row r="1990" spans="9:9" x14ac:dyDescent="0.15">
      <c r="I1990"/>
    </row>
    <row r="1991" spans="9:9" x14ac:dyDescent="0.15">
      <c r="I1991"/>
    </row>
    <row r="1992" spans="9:9" x14ac:dyDescent="0.15">
      <c r="I1992"/>
    </row>
    <row r="1993" spans="9:9" x14ac:dyDescent="0.15">
      <c r="I1993"/>
    </row>
    <row r="1994" spans="9:9" x14ac:dyDescent="0.15">
      <c r="I1994"/>
    </row>
    <row r="1995" spans="9:9" x14ac:dyDescent="0.15">
      <c r="I1995"/>
    </row>
    <row r="1996" spans="9:9" x14ac:dyDescent="0.15">
      <c r="I1996"/>
    </row>
    <row r="1997" spans="9:9" x14ac:dyDescent="0.15">
      <c r="I1997"/>
    </row>
    <row r="1998" spans="9:9" x14ac:dyDescent="0.15">
      <c r="I1998"/>
    </row>
    <row r="1999" spans="9:9" x14ac:dyDescent="0.15">
      <c r="I1999"/>
    </row>
    <row r="2000" spans="9:9" x14ac:dyDescent="0.15">
      <c r="I2000"/>
    </row>
    <row r="2001" spans="9:9" x14ac:dyDescent="0.15">
      <c r="I2001"/>
    </row>
    <row r="2002" spans="9:9" x14ac:dyDescent="0.15">
      <c r="I2002"/>
    </row>
    <row r="2003" spans="9:9" x14ac:dyDescent="0.15">
      <c r="I2003"/>
    </row>
    <row r="2004" spans="9:9" x14ac:dyDescent="0.15">
      <c r="I2004"/>
    </row>
    <row r="2005" spans="9:9" x14ac:dyDescent="0.15">
      <c r="I2005"/>
    </row>
    <row r="2006" spans="9:9" x14ac:dyDescent="0.15">
      <c r="I2006"/>
    </row>
    <row r="2007" spans="9:9" x14ac:dyDescent="0.15">
      <c r="I2007"/>
    </row>
    <row r="2008" spans="9:9" x14ac:dyDescent="0.15">
      <c r="I2008"/>
    </row>
    <row r="2009" spans="9:9" x14ac:dyDescent="0.15">
      <c r="I2009"/>
    </row>
    <row r="2010" spans="9:9" x14ac:dyDescent="0.15">
      <c r="I2010"/>
    </row>
    <row r="2011" spans="9:9" x14ac:dyDescent="0.15">
      <c r="I2011"/>
    </row>
    <row r="2012" spans="9:9" x14ac:dyDescent="0.15">
      <c r="I2012"/>
    </row>
    <row r="2013" spans="9:9" x14ac:dyDescent="0.15">
      <c r="I2013"/>
    </row>
    <row r="2014" spans="9:9" x14ac:dyDescent="0.15">
      <c r="I2014"/>
    </row>
    <row r="2015" spans="9:9" x14ac:dyDescent="0.15">
      <c r="I2015"/>
    </row>
    <row r="2016" spans="9:9" x14ac:dyDescent="0.15">
      <c r="I2016"/>
    </row>
    <row r="2017" spans="9:9" x14ac:dyDescent="0.15">
      <c r="I2017"/>
    </row>
    <row r="2018" spans="9:9" x14ac:dyDescent="0.15">
      <c r="I2018"/>
    </row>
    <row r="2019" spans="9:9" x14ac:dyDescent="0.15">
      <c r="I2019"/>
    </row>
    <row r="2020" spans="9:9" x14ac:dyDescent="0.15">
      <c r="I2020"/>
    </row>
    <row r="2021" spans="9:9" x14ac:dyDescent="0.15">
      <c r="I2021"/>
    </row>
    <row r="2022" spans="9:9" x14ac:dyDescent="0.15">
      <c r="I2022"/>
    </row>
    <row r="2023" spans="9:9" x14ac:dyDescent="0.15">
      <c r="I2023"/>
    </row>
    <row r="2024" spans="9:9" x14ac:dyDescent="0.15">
      <c r="I2024"/>
    </row>
    <row r="2025" spans="9:9" x14ac:dyDescent="0.15">
      <c r="I2025"/>
    </row>
    <row r="2026" spans="9:9" x14ac:dyDescent="0.15">
      <c r="I2026"/>
    </row>
    <row r="2027" spans="9:9" x14ac:dyDescent="0.15">
      <c r="I2027"/>
    </row>
    <row r="2028" spans="9:9" x14ac:dyDescent="0.15">
      <c r="I2028"/>
    </row>
    <row r="2029" spans="9:9" x14ac:dyDescent="0.15">
      <c r="I2029"/>
    </row>
    <row r="2030" spans="9:9" x14ac:dyDescent="0.15">
      <c r="I2030"/>
    </row>
    <row r="2031" spans="9:9" x14ac:dyDescent="0.15">
      <c r="I2031"/>
    </row>
    <row r="2032" spans="9:9" x14ac:dyDescent="0.15">
      <c r="I2032"/>
    </row>
    <row r="2033" spans="9:9" x14ac:dyDescent="0.15">
      <c r="I2033"/>
    </row>
    <row r="2034" spans="9:9" x14ac:dyDescent="0.15">
      <c r="I2034"/>
    </row>
    <row r="2035" spans="9:9" x14ac:dyDescent="0.15">
      <c r="I2035"/>
    </row>
    <row r="2036" spans="9:9" x14ac:dyDescent="0.15">
      <c r="I2036"/>
    </row>
    <row r="2037" spans="9:9" x14ac:dyDescent="0.15">
      <c r="I2037"/>
    </row>
    <row r="2038" spans="9:9" x14ac:dyDescent="0.15">
      <c r="I2038"/>
    </row>
    <row r="2039" spans="9:9" x14ac:dyDescent="0.15">
      <c r="I2039"/>
    </row>
    <row r="2040" spans="9:9" x14ac:dyDescent="0.15">
      <c r="I2040"/>
    </row>
    <row r="2041" spans="9:9" x14ac:dyDescent="0.15">
      <c r="I2041"/>
    </row>
    <row r="2042" spans="9:9" x14ac:dyDescent="0.15">
      <c r="I2042"/>
    </row>
    <row r="2043" spans="9:9" x14ac:dyDescent="0.15">
      <c r="I2043"/>
    </row>
    <row r="2044" spans="9:9" x14ac:dyDescent="0.15">
      <c r="I2044"/>
    </row>
    <row r="2045" spans="9:9" x14ac:dyDescent="0.15">
      <c r="I2045"/>
    </row>
    <row r="2046" spans="9:9" x14ac:dyDescent="0.15">
      <c r="I2046"/>
    </row>
    <row r="2047" spans="9:9" x14ac:dyDescent="0.15">
      <c r="I2047"/>
    </row>
    <row r="2048" spans="9:9" x14ac:dyDescent="0.15">
      <c r="I2048"/>
    </row>
    <row r="2049" spans="9:9" x14ac:dyDescent="0.15">
      <c r="I2049"/>
    </row>
    <row r="2050" spans="9:9" x14ac:dyDescent="0.15">
      <c r="I2050"/>
    </row>
    <row r="2051" spans="9:9" x14ac:dyDescent="0.15">
      <c r="I2051"/>
    </row>
    <row r="2052" spans="9:9" x14ac:dyDescent="0.15">
      <c r="I2052"/>
    </row>
    <row r="2053" spans="9:9" x14ac:dyDescent="0.15">
      <c r="I2053"/>
    </row>
    <row r="2054" spans="9:9" x14ac:dyDescent="0.15">
      <c r="I2054"/>
    </row>
    <row r="2055" spans="9:9" x14ac:dyDescent="0.15">
      <c r="I2055"/>
    </row>
    <row r="2056" spans="9:9" x14ac:dyDescent="0.15">
      <c r="I2056"/>
    </row>
    <row r="2057" spans="9:9" x14ac:dyDescent="0.15">
      <c r="I2057"/>
    </row>
    <row r="2058" spans="9:9" x14ac:dyDescent="0.15">
      <c r="I2058"/>
    </row>
    <row r="2059" spans="9:9" x14ac:dyDescent="0.15">
      <c r="I2059"/>
    </row>
    <row r="2060" spans="9:9" x14ac:dyDescent="0.15">
      <c r="I2060"/>
    </row>
    <row r="2061" spans="9:9" x14ac:dyDescent="0.15">
      <c r="I2061"/>
    </row>
    <row r="2062" spans="9:9" x14ac:dyDescent="0.15">
      <c r="I2062"/>
    </row>
    <row r="2063" spans="9:9" x14ac:dyDescent="0.15">
      <c r="I2063"/>
    </row>
    <row r="2064" spans="9:9" x14ac:dyDescent="0.15">
      <c r="I2064"/>
    </row>
    <row r="2065" spans="9:9" x14ac:dyDescent="0.15">
      <c r="I2065"/>
    </row>
    <row r="2066" spans="9:9" x14ac:dyDescent="0.15">
      <c r="I2066"/>
    </row>
    <row r="2067" spans="9:9" x14ac:dyDescent="0.15">
      <c r="I2067"/>
    </row>
    <row r="2068" spans="9:9" x14ac:dyDescent="0.15">
      <c r="I2068"/>
    </row>
    <row r="2069" spans="9:9" x14ac:dyDescent="0.15">
      <c r="I2069"/>
    </row>
    <row r="2070" spans="9:9" x14ac:dyDescent="0.15">
      <c r="I2070"/>
    </row>
    <row r="2071" spans="9:9" x14ac:dyDescent="0.15">
      <c r="I2071"/>
    </row>
    <row r="2072" spans="9:9" x14ac:dyDescent="0.15">
      <c r="I2072"/>
    </row>
    <row r="2073" spans="9:9" x14ac:dyDescent="0.15">
      <c r="I2073"/>
    </row>
    <row r="2074" spans="9:9" x14ac:dyDescent="0.15">
      <c r="I2074"/>
    </row>
    <row r="2075" spans="9:9" x14ac:dyDescent="0.15">
      <c r="I2075"/>
    </row>
    <row r="2076" spans="9:9" x14ac:dyDescent="0.15">
      <c r="I2076"/>
    </row>
    <row r="2077" spans="9:9" x14ac:dyDescent="0.15">
      <c r="I2077"/>
    </row>
    <row r="2078" spans="9:9" x14ac:dyDescent="0.15">
      <c r="I2078"/>
    </row>
    <row r="2079" spans="9:9" x14ac:dyDescent="0.15">
      <c r="I2079"/>
    </row>
    <row r="2080" spans="9:9" x14ac:dyDescent="0.15">
      <c r="I2080"/>
    </row>
    <row r="2081" spans="9:9" x14ac:dyDescent="0.15">
      <c r="I2081"/>
    </row>
    <row r="2082" spans="9:9" x14ac:dyDescent="0.15">
      <c r="I2082"/>
    </row>
    <row r="2083" spans="9:9" x14ac:dyDescent="0.15">
      <c r="I2083"/>
    </row>
    <row r="2084" spans="9:9" x14ac:dyDescent="0.15">
      <c r="I2084"/>
    </row>
    <row r="2085" spans="9:9" x14ac:dyDescent="0.15">
      <c r="I2085"/>
    </row>
    <row r="2086" spans="9:9" x14ac:dyDescent="0.15">
      <c r="I2086"/>
    </row>
    <row r="2087" spans="9:9" x14ac:dyDescent="0.15">
      <c r="I2087"/>
    </row>
    <row r="2088" spans="9:9" x14ac:dyDescent="0.15">
      <c r="I2088"/>
    </row>
    <row r="2089" spans="9:9" x14ac:dyDescent="0.15">
      <c r="I2089"/>
    </row>
    <row r="2090" spans="9:9" x14ac:dyDescent="0.15">
      <c r="I2090"/>
    </row>
    <row r="2091" spans="9:9" x14ac:dyDescent="0.15">
      <c r="I2091"/>
    </row>
    <row r="2092" spans="9:9" x14ac:dyDescent="0.15">
      <c r="I2092"/>
    </row>
    <row r="2093" spans="9:9" x14ac:dyDescent="0.15">
      <c r="I2093"/>
    </row>
    <row r="2094" spans="9:9" x14ac:dyDescent="0.15">
      <c r="I2094"/>
    </row>
    <row r="2095" spans="9:9" x14ac:dyDescent="0.15">
      <c r="I2095"/>
    </row>
    <row r="2096" spans="9:9" x14ac:dyDescent="0.15">
      <c r="I2096"/>
    </row>
    <row r="2097" spans="9:9" x14ac:dyDescent="0.15">
      <c r="I2097"/>
    </row>
    <row r="2098" spans="9:9" x14ac:dyDescent="0.15">
      <c r="I2098"/>
    </row>
    <row r="2099" spans="9:9" x14ac:dyDescent="0.15">
      <c r="I2099"/>
    </row>
    <row r="2100" spans="9:9" x14ac:dyDescent="0.15">
      <c r="I2100"/>
    </row>
    <row r="2101" spans="9:9" x14ac:dyDescent="0.15">
      <c r="I2101"/>
    </row>
    <row r="2102" spans="9:9" x14ac:dyDescent="0.15">
      <c r="I2102"/>
    </row>
    <row r="2103" spans="9:9" x14ac:dyDescent="0.15">
      <c r="I2103"/>
    </row>
    <row r="2104" spans="9:9" x14ac:dyDescent="0.15">
      <c r="I2104"/>
    </row>
    <row r="2105" spans="9:9" x14ac:dyDescent="0.15">
      <c r="I2105"/>
    </row>
    <row r="2106" spans="9:9" x14ac:dyDescent="0.15">
      <c r="I2106"/>
    </row>
    <row r="2107" spans="9:9" x14ac:dyDescent="0.15">
      <c r="I2107"/>
    </row>
    <row r="2108" spans="9:9" x14ac:dyDescent="0.15">
      <c r="I2108"/>
    </row>
    <row r="2109" spans="9:9" x14ac:dyDescent="0.15">
      <c r="I2109"/>
    </row>
    <row r="2110" spans="9:9" x14ac:dyDescent="0.15">
      <c r="I2110"/>
    </row>
    <row r="2111" spans="9:9" x14ac:dyDescent="0.15">
      <c r="I2111"/>
    </row>
    <row r="2112" spans="9:9" x14ac:dyDescent="0.15">
      <c r="I2112"/>
    </row>
    <row r="2113" spans="9:9" x14ac:dyDescent="0.15">
      <c r="I2113"/>
    </row>
    <row r="2114" spans="9:9" x14ac:dyDescent="0.15">
      <c r="I2114"/>
    </row>
    <row r="2115" spans="9:9" x14ac:dyDescent="0.15">
      <c r="I2115"/>
    </row>
    <row r="2116" spans="9:9" x14ac:dyDescent="0.15">
      <c r="I2116"/>
    </row>
    <row r="2117" spans="9:9" x14ac:dyDescent="0.15">
      <c r="I2117"/>
    </row>
    <row r="2118" spans="9:9" x14ac:dyDescent="0.15">
      <c r="I2118"/>
    </row>
    <row r="2119" spans="9:9" x14ac:dyDescent="0.15">
      <c r="I2119"/>
    </row>
    <row r="2120" spans="9:9" x14ac:dyDescent="0.15">
      <c r="I2120"/>
    </row>
    <row r="2121" spans="9:9" x14ac:dyDescent="0.15">
      <c r="I2121"/>
    </row>
    <row r="2122" spans="9:9" x14ac:dyDescent="0.15">
      <c r="I2122"/>
    </row>
    <row r="2123" spans="9:9" x14ac:dyDescent="0.15">
      <c r="I2123"/>
    </row>
    <row r="2124" spans="9:9" x14ac:dyDescent="0.15">
      <c r="I2124"/>
    </row>
    <row r="2125" spans="9:9" x14ac:dyDescent="0.15">
      <c r="I2125"/>
    </row>
    <row r="2126" spans="9:9" x14ac:dyDescent="0.15">
      <c r="I2126"/>
    </row>
    <row r="2127" spans="9:9" x14ac:dyDescent="0.15">
      <c r="I2127"/>
    </row>
    <row r="2128" spans="9:9" x14ac:dyDescent="0.15">
      <c r="I2128"/>
    </row>
    <row r="2129" spans="9:9" x14ac:dyDescent="0.15">
      <c r="I2129"/>
    </row>
    <row r="2130" spans="9:9" x14ac:dyDescent="0.15">
      <c r="I2130"/>
    </row>
    <row r="2131" spans="9:9" x14ac:dyDescent="0.15">
      <c r="I2131"/>
    </row>
    <row r="2132" spans="9:9" x14ac:dyDescent="0.15">
      <c r="I2132"/>
    </row>
    <row r="2133" spans="9:9" x14ac:dyDescent="0.15">
      <c r="I2133"/>
    </row>
    <row r="2134" spans="9:9" x14ac:dyDescent="0.15">
      <c r="I2134"/>
    </row>
    <row r="2135" spans="9:9" x14ac:dyDescent="0.15">
      <c r="I2135"/>
    </row>
    <row r="2136" spans="9:9" x14ac:dyDescent="0.15">
      <c r="I2136"/>
    </row>
    <row r="2137" spans="9:9" x14ac:dyDescent="0.15">
      <c r="I2137"/>
    </row>
    <row r="2138" spans="9:9" x14ac:dyDescent="0.15">
      <c r="I2138"/>
    </row>
    <row r="2139" spans="9:9" x14ac:dyDescent="0.15">
      <c r="I2139"/>
    </row>
    <row r="2140" spans="9:9" x14ac:dyDescent="0.15">
      <c r="I2140"/>
    </row>
    <row r="2141" spans="9:9" x14ac:dyDescent="0.15">
      <c r="I2141"/>
    </row>
    <row r="2142" spans="9:9" x14ac:dyDescent="0.15">
      <c r="I2142"/>
    </row>
    <row r="2143" spans="9:9" x14ac:dyDescent="0.15">
      <c r="I2143"/>
    </row>
    <row r="2144" spans="9:9" x14ac:dyDescent="0.15">
      <c r="I2144"/>
    </row>
    <row r="2145" spans="9:9" x14ac:dyDescent="0.15">
      <c r="I2145"/>
    </row>
    <row r="2146" spans="9:9" x14ac:dyDescent="0.15">
      <c r="I2146"/>
    </row>
    <row r="2147" spans="9:9" x14ac:dyDescent="0.15">
      <c r="I2147"/>
    </row>
    <row r="2148" spans="9:9" x14ac:dyDescent="0.15">
      <c r="I2148"/>
    </row>
    <row r="2149" spans="9:9" x14ac:dyDescent="0.15">
      <c r="I2149"/>
    </row>
    <row r="2150" spans="9:9" x14ac:dyDescent="0.15">
      <c r="I2150"/>
    </row>
    <row r="2151" spans="9:9" x14ac:dyDescent="0.15">
      <c r="I2151"/>
    </row>
    <row r="2152" spans="9:9" x14ac:dyDescent="0.15">
      <c r="I2152"/>
    </row>
    <row r="2153" spans="9:9" x14ac:dyDescent="0.15">
      <c r="I2153"/>
    </row>
    <row r="2154" spans="9:9" x14ac:dyDescent="0.15">
      <c r="I2154"/>
    </row>
    <row r="2155" spans="9:9" x14ac:dyDescent="0.15">
      <c r="I2155"/>
    </row>
    <row r="2156" spans="9:9" x14ac:dyDescent="0.15">
      <c r="I2156"/>
    </row>
    <row r="2157" spans="9:9" x14ac:dyDescent="0.15">
      <c r="I2157"/>
    </row>
    <row r="2158" spans="9:9" x14ac:dyDescent="0.15">
      <c r="I2158"/>
    </row>
    <row r="2159" spans="9:9" x14ac:dyDescent="0.15">
      <c r="I2159"/>
    </row>
    <row r="2160" spans="9:9" x14ac:dyDescent="0.15">
      <c r="I2160"/>
    </row>
    <row r="2161" spans="9:9" x14ac:dyDescent="0.15">
      <c r="I2161"/>
    </row>
    <row r="2162" spans="9:9" x14ac:dyDescent="0.15">
      <c r="I2162"/>
    </row>
    <row r="2163" spans="9:9" x14ac:dyDescent="0.15">
      <c r="I2163"/>
    </row>
    <row r="2164" spans="9:9" x14ac:dyDescent="0.15">
      <c r="I2164"/>
    </row>
    <row r="2165" spans="9:9" x14ac:dyDescent="0.15">
      <c r="I2165"/>
    </row>
    <row r="2166" spans="9:9" x14ac:dyDescent="0.15">
      <c r="I2166"/>
    </row>
    <row r="2167" spans="9:9" x14ac:dyDescent="0.15">
      <c r="I2167"/>
    </row>
    <row r="2168" spans="9:9" x14ac:dyDescent="0.15">
      <c r="I2168"/>
    </row>
    <row r="2169" spans="9:9" x14ac:dyDescent="0.15">
      <c r="I2169"/>
    </row>
    <row r="2170" spans="9:9" x14ac:dyDescent="0.15">
      <c r="I2170"/>
    </row>
    <row r="2171" spans="9:9" x14ac:dyDescent="0.15">
      <c r="I2171"/>
    </row>
    <row r="2172" spans="9:9" x14ac:dyDescent="0.15">
      <c r="I2172"/>
    </row>
    <row r="2173" spans="9:9" x14ac:dyDescent="0.15">
      <c r="I2173"/>
    </row>
    <row r="2174" spans="9:9" x14ac:dyDescent="0.15">
      <c r="I2174"/>
    </row>
    <row r="2175" spans="9:9" x14ac:dyDescent="0.15">
      <c r="I2175"/>
    </row>
    <row r="2176" spans="9:9" x14ac:dyDescent="0.15">
      <c r="I2176"/>
    </row>
    <row r="2177" spans="9:9" x14ac:dyDescent="0.15">
      <c r="I2177"/>
    </row>
    <row r="2178" spans="9:9" x14ac:dyDescent="0.15">
      <c r="I2178"/>
    </row>
    <row r="2179" spans="9:9" x14ac:dyDescent="0.15">
      <c r="I2179"/>
    </row>
    <row r="2180" spans="9:9" x14ac:dyDescent="0.15">
      <c r="I2180"/>
    </row>
    <row r="2181" spans="9:9" x14ac:dyDescent="0.15">
      <c r="I2181"/>
    </row>
    <row r="2182" spans="9:9" x14ac:dyDescent="0.15">
      <c r="I2182"/>
    </row>
    <row r="2183" spans="9:9" x14ac:dyDescent="0.15">
      <c r="I2183"/>
    </row>
    <row r="2184" spans="9:9" x14ac:dyDescent="0.15">
      <c r="I2184"/>
    </row>
    <row r="2185" spans="9:9" x14ac:dyDescent="0.15">
      <c r="I2185"/>
    </row>
    <row r="2186" spans="9:9" x14ac:dyDescent="0.15">
      <c r="I2186"/>
    </row>
    <row r="2187" spans="9:9" x14ac:dyDescent="0.15">
      <c r="I2187"/>
    </row>
    <row r="2188" spans="9:9" x14ac:dyDescent="0.15">
      <c r="I2188"/>
    </row>
    <row r="2189" spans="9:9" x14ac:dyDescent="0.15">
      <c r="I2189"/>
    </row>
    <row r="2190" spans="9:9" x14ac:dyDescent="0.15">
      <c r="I2190"/>
    </row>
    <row r="2191" spans="9:9" x14ac:dyDescent="0.15">
      <c r="I2191"/>
    </row>
    <row r="2192" spans="9:9" x14ac:dyDescent="0.15">
      <c r="I2192"/>
    </row>
    <row r="2193" spans="9:9" x14ac:dyDescent="0.15">
      <c r="I2193"/>
    </row>
    <row r="2194" spans="9:9" x14ac:dyDescent="0.15">
      <c r="I2194"/>
    </row>
    <row r="2195" spans="9:9" x14ac:dyDescent="0.15">
      <c r="I2195"/>
    </row>
    <row r="2196" spans="9:9" x14ac:dyDescent="0.15">
      <c r="I2196"/>
    </row>
    <row r="2197" spans="9:9" x14ac:dyDescent="0.15">
      <c r="I2197"/>
    </row>
    <row r="2198" spans="9:9" x14ac:dyDescent="0.15">
      <c r="I2198"/>
    </row>
    <row r="2199" spans="9:9" x14ac:dyDescent="0.15">
      <c r="I2199"/>
    </row>
    <row r="2200" spans="9:9" x14ac:dyDescent="0.15">
      <c r="I2200"/>
    </row>
    <row r="2201" spans="9:9" x14ac:dyDescent="0.15">
      <c r="I2201"/>
    </row>
    <row r="2202" spans="9:9" x14ac:dyDescent="0.15">
      <c r="I2202"/>
    </row>
    <row r="2203" spans="9:9" x14ac:dyDescent="0.15">
      <c r="I2203"/>
    </row>
    <row r="2204" spans="9:9" x14ac:dyDescent="0.15">
      <c r="I2204"/>
    </row>
    <row r="2205" spans="9:9" x14ac:dyDescent="0.15">
      <c r="I2205"/>
    </row>
    <row r="2206" spans="9:9" x14ac:dyDescent="0.15">
      <c r="I2206"/>
    </row>
    <row r="2207" spans="9:9" x14ac:dyDescent="0.15">
      <c r="I2207"/>
    </row>
    <row r="2208" spans="9:9" x14ac:dyDescent="0.15">
      <c r="I2208"/>
    </row>
    <row r="2209" spans="9:9" x14ac:dyDescent="0.15">
      <c r="I2209"/>
    </row>
    <row r="2210" spans="9:9" x14ac:dyDescent="0.15">
      <c r="I2210"/>
    </row>
    <row r="2211" spans="9:9" x14ac:dyDescent="0.15">
      <c r="I2211"/>
    </row>
    <row r="2212" spans="9:9" x14ac:dyDescent="0.15">
      <c r="I2212"/>
    </row>
    <row r="2213" spans="9:9" x14ac:dyDescent="0.15">
      <c r="I2213"/>
    </row>
    <row r="2214" spans="9:9" x14ac:dyDescent="0.15">
      <c r="I2214"/>
    </row>
    <row r="2215" spans="9:9" x14ac:dyDescent="0.15">
      <c r="I2215"/>
    </row>
    <row r="2216" spans="9:9" x14ac:dyDescent="0.15">
      <c r="I2216"/>
    </row>
    <row r="2217" spans="9:9" x14ac:dyDescent="0.15">
      <c r="I2217"/>
    </row>
    <row r="2218" spans="9:9" x14ac:dyDescent="0.15">
      <c r="I2218"/>
    </row>
    <row r="2219" spans="9:9" x14ac:dyDescent="0.15">
      <c r="I2219"/>
    </row>
    <row r="2220" spans="9:9" x14ac:dyDescent="0.15">
      <c r="I2220"/>
    </row>
    <row r="2221" spans="9:9" x14ac:dyDescent="0.15">
      <c r="I2221"/>
    </row>
    <row r="2222" spans="9:9" x14ac:dyDescent="0.15">
      <c r="I2222"/>
    </row>
    <row r="2223" spans="9:9" x14ac:dyDescent="0.15">
      <c r="I2223"/>
    </row>
    <row r="2224" spans="9:9" x14ac:dyDescent="0.15">
      <c r="I2224"/>
    </row>
    <row r="2225" spans="9:9" x14ac:dyDescent="0.15">
      <c r="I2225"/>
    </row>
    <row r="2226" spans="9:9" x14ac:dyDescent="0.15">
      <c r="I2226"/>
    </row>
    <row r="2227" spans="9:9" x14ac:dyDescent="0.15">
      <c r="I2227"/>
    </row>
    <row r="2228" spans="9:9" x14ac:dyDescent="0.15">
      <c r="I2228"/>
    </row>
    <row r="2229" spans="9:9" x14ac:dyDescent="0.15">
      <c r="I2229"/>
    </row>
    <row r="2230" spans="9:9" x14ac:dyDescent="0.15">
      <c r="I2230"/>
    </row>
    <row r="2231" spans="9:9" x14ac:dyDescent="0.15">
      <c r="I2231"/>
    </row>
    <row r="2232" spans="9:9" x14ac:dyDescent="0.15">
      <c r="I2232"/>
    </row>
    <row r="2233" spans="9:9" x14ac:dyDescent="0.15">
      <c r="I2233"/>
    </row>
    <row r="2234" spans="9:9" x14ac:dyDescent="0.15">
      <c r="I2234"/>
    </row>
    <row r="2235" spans="9:9" x14ac:dyDescent="0.15">
      <c r="I2235"/>
    </row>
    <row r="2236" spans="9:9" x14ac:dyDescent="0.15">
      <c r="I2236"/>
    </row>
    <row r="2237" spans="9:9" x14ac:dyDescent="0.15">
      <c r="I2237"/>
    </row>
    <row r="2238" spans="9:9" x14ac:dyDescent="0.15">
      <c r="I2238"/>
    </row>
    <row r="2239" spans="9:9" x14ac:dyDescent="0.15">
      <c r="I2239"/>
    </row>
    <row r="2240" spans="9:9" x14ac:dyDescent="0.15">
      <c r="I2240"/>
    </row>
    <row r="2241" spans="9:9" x14ac:dyDescent="0.15">
      <c r="I2241"/>
    </row>
    <row r="2242" spans="9:9" x14ac:dyDescent="0.15">
      <c r="I2242"/>
    </row>
    <row r="2243" spans="9:9" x14ac:dyDescent="0.15">
      <c r="I2243"/>
    </row>
    <row r="2244" spans="9:9" x14ac:dyDescent="0.15">
      <c r="I2244"/>
    </row>
    <row r="2245" spans="9:9" x14ac:dyDescent="0.15">
      <c r="I2245"/>
    </row>
    <row r="2246" spans="9:9" x14ac:dyDescent="0.15">
      <c r="I2246"/>
    </row>
    <row r="2247" spans="9:9" x14ac:dyDescent="0.15">
      <c r="I2247"/>
    </row>
    <row r="2248" spans="9:9" x14ac:dyDescent="0.15">
      <c r="I2248"/>
    </row>
    <row r="2249" spans="9:9" x14ac:dyDescent="0.15">
      <c r="I2249"/>
    </row>
    <row r="2250" spans="9:9" x14ac:dyDescent="0.15">
      <c r="I2250"/>
    </row>
    <row r="2251" spans="9:9" x14ac:dyDescent="0.15">
      <c r="I2251"/>
    </row>
    <row r="2252" spans="9:9" x14ac:dyDescent="0.15">
      <c r="I2252"/>
    </row>
    <row r="2253" spans="9:9" x14ac:dyDescent="0.15">
      <c r="I2253"/>
    </row>
    <row r="2254" spans="9:9" x14ac:dyDescent="0.15">
      <c r="I2254"/>
    </row>
    <row r="2255" spans="9:9" x14ac:dyDescent="0.15">
      <c r="I2255"/>
    </row>
    <row r="2256" spans="9:9" x14ac:dyDescent="0.15">
      <c r="I2256"/>
    </row>
    <row r="2257" spans="9:9" x14ac:dyDescent="0.15">
      <c r="I2257"/>
    </row>
    <row r="2258" spans="9:9" x14ac:dyDescent="0.15">
      <c r="I2258"/>
    </row>
  </sheetData>
  <mergeCells count="18">
    <mergeCell ref="K217:Q217"/>
    <mergeCell ref="B217:H217"/>
    <mergeCell ref="K346:Q346"/>
    <mergeCell ref="B346:H346"/>
    <mergeCell ref="K174:Q174"/>
    <mergeCell ref="B174:H174"/>
    <mergeCell ref="K260:Q260"/>
    <mergeCell ref="K303:Q303"/>
    <mergeCell ref="B260:H260"/>
    <mergeCell ref="B303:H303"/>
    <mergeCell ref="B2:H2"/>
    <mergeCell ref="K2:Q2"/>
    <mergeCell ref="K88:Q88"/>
    <mergeCell ref="B131:H131"/>
    <mergeCell ref="K131:Q131"/>
    <mergeCell ref="B88:H88"/>
    <mergeCell ref="B45:H45"/>
    <mergeCell ref="K45:Q45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5色組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2026-06-10T00:24:43Z</dcterms:modified>
</cp:coreProperties>
</file>