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5DBCC92-0F27-495B-91FD-A14267E2A6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色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94" i="1" l="1"/>
  <c r="Q295" i="1"/>
  <c r="Q296" i="1"/>
  <c r="Q297" i="1"/>
  <c r="H254" i="1"/>
  <c r="H274" i="1"/>
  <c r="Q300" i="1"/>
  <c r="P298" i="1"/>
  <c r="O298" i="1"/>
  <c r="N298" i="1"/>
  <c r="G298" i="1"/>
  <c r="F298" i="1"/>
  <c r="E298" i="1"/>
  <c r="D298" i="1"/>
  <c r="C298" i="1"/>
  <c r="B298" i="1"/>
  <c r="M298" i="1"/>
  <c r="L298" i="1"/>
  <c r="K298" i="1"/>
  <c r="H297" i="1"/>
  <c r="H296" i="1"/>
  <c r="H295" i="1"/>
  <c r="H294" i="1"/>
  <c r="Q293" i="1"/>
  <c r="H293" i="1"/>
  <c r="Q292" i="1"/>
  <c r="H292" i="1"/>
  <c r="Q291" i="1"/>
  <c r="H291" i="1"/>
  <c r="Q290" i="1"/>
  <c r="H290" i="1"/>
  <c r="Q289" i="1"/>
  <c r="H289" i="1"/>
  <c r="Q288" i="1"/>
  <c r="H288" i="1"/>
  <c r="Q287" i="1"/>
  <c r="H287" i="1"/>
  <c r="Q286" i="1"/>
  <c r="H286" i="1"/>
  <c r="Q285" i="1"/>
  <c r="H285" i="1"/>
  <c r="Q284" i="1"/>
  <c r="H284" i="1"/>
  <c r="Q283" i="1"/>
  <c r="H283" i="1"/>
  <c r="Q282" i="1"/>
  <c r="H282" i="1"/>
  <c r="Q281" i="1"/>
  <c r="H281" i="1"/>
  <c r="Q280" i="1"/>
  <c r="H280" i="1"/>
  <c r="Q279" i="1"/>
  <c r="H279" i="1"/>
  <c r="Q278" i="1"/>
  <c r="H278" i="1"/>
  <c r="Q277" i="1"/>
  <c r="H277" i="1"/>
  <c r="Q276" i="1"/>
  <c r="H276" i="1"/>
  <c r="Q275" i="1"/>
  <c r="H275" i="1"/>
  <c r="Q274" i="1"/>
  <c r="Q272" i="1"/>
  <c r="H272" i="1"/>
  <c r="Q271" i="1"/>
  <c r="H271" i="1"/>
  <c r="Q270" i="1"/>
  <c r="H270" i="1"/>
  <c r="Q269" i="1"/>
  <c r="H269" i="1"/>
  <c r="Q268" i="1"/>
  <c r="H268" i="1"/>
  <c r="Q267" i="1"/>
  <c r="H267" i="1"/>
  <c r="Q266" i="1"/>
  <c r="H266" i="1"/>
  <c r="Q265" i="1"/>
  <c r="H265" i="1"/>
  <c r="Q264" i="1"/>
  <c r="H264" i="1"/>
  <c r="Q263" i="1"/>
  <c r="H263" i="1"/>
  <c r="P262" i="1"/>
  <c r="P273" i="1" s="1"/>
  <c r="O262" i="1"/>
  <c r="O273" i="1" s="1"/>
  <c r="N262" i="1"/>
  <c r="N273" i="1" s="1"/>
  <c r="M262" i="1"/>
  <c r="M273" i="1" s="1"/>
  <c r="M299" i="1" s="1"/>
  <c r="M301" i="1" s="1"/>
  <c r="L262" i="1"/>
  <c r="L273" i="1" s="1"/>
  <c r="L299" i="1" s="1"/>
  <c r="L301" i="1" s="1"/>
  <c r="K262" i="1"/>
  <c r="Q262" i="1" s="1"/>
  <c r="Q252" i="1"/>
  <c r="Q251" i="1"/>
  <c r="H211" i="1"/>
  <c r="Q253" i="1"/>
  <c r="Q197" i="1"/>
  <c r="H188" i="1"/>
  <c r="M254" i="1"/>
  <c r="L254" i="1"/>
  <c r="K254" i="1"/>
  <c r="G255" i="1"/>
  <c r="F255" i="1"/>
  <c r="E255" i="1"/>
  <c r="D255" i="1"/>
  <c r="C255" i="1"/>
  <c r="B255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29" i="1"/>
  <c r="H228" i="1"/>
  <c r="H227" i="1"/>
  <c r="H226" i="1"/>
  <c r="H225" i="1"/>
  <c r="H224" i="1"/>
  <c r="H223" i="1"/>
  <c r="H222" i="1"/>
  <c r="H221" i="1"/>
  <c r="H220" i="1"/>
  <c r="Q204" i="1"/>
  <c r="Q205" i="1"/>
  <c r="Q206" i="1"/>
  <c r="Q207" i="1"/>
  <c r="Q208" i="1"/>
  <c r="Q209" i="1"/>
  <c r="Q210" i="1"/>
  <c r="Q211" i="1"/>
  <c r="Q247" i="1"/>
  <c r="Q248" i="1"/>
  <c r="Q249" i="1"/>
  <c r="Q250" i="1"/>
  <c r="Q231" i="1"/>
  <c r="Q232" i="1"/>
  <c r="Q233" i="1"/>
  <c r="Q234" i="1"/>
  <c r="Q235" i="1"/>
  <c r="Q236" i="1"/>
  <c r="Q237" i="1"/>
  <c r="Q238" i="1"/>
  <c r="Q239" i="1"/>
  <c r="Q257" i="1"/>
  <c r="P255" i="1"/>
  <c r="O255" i="1"/>
  <c r="N255" i="1"/>
  <c r="M255" i="1"/>
  <c r="Q254" i="1"/>
  <c r="L255" i="1"/>
  <c r="K255" i="1"/>
  <c r="Q246" i="1"/>
  <c r="Q245" i="1"/>
  <c r="Q244" i="1"/>
  <c r="Q243" i="1"/>
  <c r="Q242" i="1"/>
  <c r="Q241" i="1"/>
  <c r="Q240" i="1"/>
  <c r="Q229" i="1"/>
  <c r="Q228" i="1"/>
  <c r="Q227" i="1"/>
  <c r="Q226" i="1"/>
  <c r="Q225" i="1"/>
  <c r="Q224" i="1"/>
  <c r="Q223" i="1"/>
  <c r="Q222" i="1"/>
  <c r="Q221" i="1"/>
  <c r="Q220" i="1"/>
  <c r="H64" i="1"/>
  <c r="Q123" i="1"/>
  <c r="Q122" i="1"/>
  <c r="Q121" i="1"/>
  <c r="Q124" i="1"/>
  <c r="Q79" i="1"/>
  <c r="Q80" i="1"/>
  <c r="Q81" i="1"/>
  <c r="Q125" i="1"/>
  <c r="Q82" i="1"/>
  <c r="Q93" i="1"/>
  <c r="Q94" i="1"/>
  <c r="Q95" i="1"/>
  <c r="Q50" i="1"/>
  <c r="Q36" i="1"/>
  <c r="Q35" i="1"/>
  <c r="Q34" i="1"/>
  <c r="H37" i="1"/>
  <c r="H9" i="1"/>
  <c r="Q10" i="1"/>
  <c r="Q298" i="1" l="1"/>
  <c r="O299" i="1"/>
  <c r="O301" i="1" s="1"/>
  <c r="P299" i="1"/>
  <c r="P301" i="1" s="1"/>
  <c r="N299" i="1"/>
  <c r="N301" i="1" s="1"/>
  <c r="H298" i="1"/>
  <c r="K273" i="1"/>
  <c r="H255" i="1"/>
  <c r="Q255" i="1"/>
  <c r="H10" i="1"/>
  <c r="H11" i="1"/>
  <c r="H8" i="1"/>
  <c r="Q214" i="1"/>
  <c r="Q76" i="1"/>
  <c r="Q77" i="1"/>
  <c r="Q78" i="1"/>
  <c r="Q75" i="1"/>
  <c r="Q11" i="1"/>
  <c r="Q136" i="1"/>
  <c r="Q28" i="1"/>
  <c r="Q29" i="1"/>
  <c r="Q30" i="1"/>
  <c r="Q31" i="1"/>
  <c r="Q32" i="1"/>
  <c r="Q33" i="1"/>
  <c r="Q27" i="1"/>
  <c r="Q5" i="1"/>
  <c r="Q8" i="1"/>
  <c r="Q6" i="1"/>
  <c r="Q7" i="1"/>
  <c r="Q37" i="1"/>
  <c r="Q38" i="1"/>
  <c r="Q39" i="1"/>
  <c r="P212" i="1"/>
  <c r="O212" i="1"/>
  <c r="N212" i="1"/>
  <c r="M212" i="1"/>
  <c r="L212" i="1"/>
  <c r="K212" i="1"/>
  <c r="G212" i="1"/>
  <c r="F212" i="1"/>
  <c r="E212" i="1"/>
  <c r="D212" i="1"/>
  <c r="C212" i="1"/>
  <c r="B212" i="1"/>
  <c r="H210" i="1"/>
  <c r="H209" i="1"/>
  <c r="H208" i="1"/>
  <c r="H207" i="1"/>
  <c r="H206" i="1"/>
  <c r="H205" i="1"/>
  <c r="H204" i="1"/>
  <c r="Q203" i="1"/>
  <c r="H203" i="1"/>
  <c r="Q202" i="1"/>
  <c r="H202" i="1"/>
  <c r="Q201" i="1"/>
  <c r="H201" i="1"/>
  <c r="Q200" i="1"/>
  <c r="H200" i="1"/>
  <c r="Q199" i="1"/>
  <c r="H199" i="1"/>
  <c r="Q198" i="1"/>
  <c r="H198" i="1"/>
  <c r="H197" i="1"/>
  <c r="Q196" i="1"/>
  <c r="H196" i="1"/>
  <c r="Q195" i="1"/>
  <c r="H195" i="1"/>
  <c r="Q194" i="1"/>
  <c r="H194" i="1"/>
  <c r="Q193" i="1"/>
  <c r="H193" i="1"/>
  <c r="Q192" i="1"/>
  <c r="H192" i="1"/>
  <c r="Q191" i="1"/>
  <c r="H191" i="1"/>
  <c r="Q190" i="1"/>
  <c r="H190" i="1"/>
  <c r="Q189" i="1"/>
  <c r="H189" i="1"/>
  <c r="Q188" i="1"/>
  <c r="Q186" i="1"/>
  <c r="H186" i="1"/>
  <c r="Q185" i="1"/>
  <c r="H185" i="1"/>
  <c r="Q184" i="1"/>
  <c r="H184" i="1"/>
  <c r="Q183" i="1"/>
  <c r="H183" i="1"/>
  <c r="Q182" i="1"/>
  <c r="H182" i="1"/>
  <c r="Q181" i="1"/>
  <c r="H181" i="1"/>
  <c r="Q180" i="1"/>
  <c r="H180" i="1"/>
  <c r="Q179" i="1"/>
  <c r="H179" i="1"/>
  <c r="Q178" i="1"/>
  <c r="H178" i="1"/>
  <c r="Q177" i="1"/>
  <c r="H177" i="1"/>
  <c r="P169" i="1"/>
  <c r="O169" i="1"/>
  <c r="N169" i="1"/>
  <c r="M169" i="1"/>
  <c r="L169" i="1"/>
  <c r="K169" i="1"/>
  <c r="G169" i="1"/>
  <c r="F169" i="1"/>
  <c r="E169" i="1"/>
  <c r="D169" i="1"/>
  <c r="C169" i="1"/>
  <c r="B169" i="1"/>
  <c r="Q168" i="1"/>
  <c r="H168" i="1"/>
  <c r="Q167" i="1"/>
  <c r="H167" i="1"/>
  <c r="Q166" i="1"/>
  <c r="H166" i="1"/>
  <c r="Q165" i="1"/>
  <c r="H165" i="1"/>
  <c r="Q164" i="1"/>
  <c r="H164" i="1"/>
  <c r="Q163" i="1"/>
  <c r="H163" i="1"/>
  <c r="Q162" i="1"/>
  <c r="H162" i="1"/>
  <c r="Q161" i="1"/>
  <c r="H161" i="1"/>
  <c r="Q160" i="1"/>
  <c r="H160" i="1"/>
  <c r="Q159" i="1"/>
  <c r="H159" i="1"/>
  <c r="Q158" i="1"/>
  <c r="H158" i="1"/>
  <c r="Q157" i="1"/>
  <c r="H157" i="1"/>
  <c r="Q156" i="1"/>
  <c r="H156" i="1"/>
  <c r="Q155" i="1"/>
  <c r="H155" i="1"/>
  <c r="Q154" i="1"/>
  <c r="H154" i="1"/>
  <c r="Q153" i="1"/>
  <c r="H153" i="1"/>
  <c r="Q152" i="1"/>
  <c r="H152" i="1"/>
  <c r="Q151" i="1"/>
  <c r="H151" i="1"/>
  <c r="Q150" i="1"/>
  <c r="H150" i="1"/>
  <c r="Q149" i="1"/>
  <c r="H149" i="1"/>
  <c r="Q148" i="1"/>
  <c r="H148" i="1"/>
  <c r="Q147" i="1"/>
  <c r="H147" i="1"/>
  <c r="Q146" i="1"/>
  <c r="H146" i="1"/>
  <c r="Q145" i="1"/>
  <c r="H145" i="1"/>
  <c r="Q143" i="1"/>
  <c r="H143" i="1"/>
  <c r="Q142" i="1"/>
  <c r="H142" i="1"/>
  <c r="Q141" i="1"/>
  <c r="H141" i="1"/>
  <c r="Q140" i="1"/>
  <c r="H140" i="1"/>
  <c r="Q139" i="1"/>
  <c r="H139" i="1"/>
  <c r="Q138" i="1"/>
  <c r="H138" i="1"/>
  <c r="Q137" i="1"/>
  <c r="H137" i="1"/>
  <c r="H136" i="1"/>
  <c r="Q135" i="1"/>
  <c r="H135" i="1"/>
  <c r="Q134" i="1"/>
  <c r="H134" i="1"/>
  <c r="Q13" i="1"/>
  <c r="Q56" i="1"/>
  <c r="Q14" i="1"/>
  <c r="Q57" i="1"/>
  <c r="Q99" i="1"/>
  <c r="Q100" i="1"/>
  <c r="Q129" i="1"/>
  <c r="Q42" i="1"/>
  <c r="Q54" i="1"/>
  <c r="P126" i="1"/>
  <c r="O126" i="1"/>
  <c r="N126" i="1"/>
  <c r="M126" i="1"/>
  <c r="L126" i="1"/>
  <c r="K126" i="1"/>
  <c r="G126" i="1"/>
  <c r="F126" i="1"/>
  <c r="E126" i="1"/>
  <c r="D126" i="1"/>
  <c r="C126" i="1"/>
  <c r="B126" i="1"/>
  <c r="H125" i="1"/>
  <c r="H124" i="1"/>
  <c r="H123" i="1"/>
  <c r="H122" i="1"/>
  <c r="H121" i="1"/>
  <c r="Q120" i="1"/>
  <c r="H120" i="1"/>
  <c r="Q119" i="1"/>
  <c r="H119" i="1"/>
  <c r="Q118" i="1"/>
  <c r="H118" i="1"/>
  <c r="Q117" i="1"/>
  <c r="H117" i="1"/>
  <c r="Q116" i="1"/>
  <c r="H116" i="1"/>
  <c r="Q115" i="1"/>
  <c r="H115" i="1"/>
  <c r="Q114" i="1"/>
  <c r="H114" i="1"/>
  <c r="Q113" i="1"/>
  <c r="H113" i="1"/>
  <c r="Q112" i="1"/>
  <c r="H112" i="1"/>
  <c r="Q111" i="1"/>
  <c r="H111" i="1"/>
  <c r="Q110" i="1"/>
  <c r="H110" i="1"/>
  <c r="Q109" i="1"/>
  <c r="H109" i="1"/>
  <c r="Q108" i="1"/>
  <c r="H108" i="1"/>
  <c r="Q107" i="1"/>
  <c r="H107" i="1"/>
  <c r="Q106" i="1"/>
  <c r="H106" i="1"/>
  <c r="Q105" i="1"/>
  <c r="H105" i="1"/>
  <c r="Q104" i="1"/>
  <c r="H104" i="1"/>
  <c r="Q103" i="1"/>
  <c r="H103" i="1"/>
  <c r="Q102" i="1"/>
  <c r="H102" i="1"/>
  <c r="H100" i="1"/>
  <c r="H99" i="1"/>
  <c r="Q98" i="1"/>
  <c r="H98" i="1"/>
  <c r="Q97" i="1"/>
  <c r="H97" i="1"/>
  <c r="Q96" i="1"/>
  <c r="H96" i="1"/>
  <c r="H95" i="1"/>
  <c r="H94" i="1"/>
  <c r="H93" i="1"/>
  <c r="Q92" i="1"/>
  <c r="H92" i="1"/>
  <c r="Q91" i="1"/>
  <c r="H91" i="1"/>
  <c r="H57" i="1"/>
  <c r="H56" i="1"/>
  <c r="H55" i="1"/>
  <c r="H54" i="1"/>
  <c r="H53" i="1"/>
  <c r="H52" i="1"/>
  <c r="H51" i="1"/>
  <c r="H50" i="1"/>
  <c r="H49" i="1"/>
  <c r="H48" i="1"/>
  <c r="Q48" i="1"/>
  <c r="Q49" i="1"/>
  <c r="Q51" i="1"/>
  <c r="Q52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3" i="1"/>
  <c r="H62" i="1"/>
  <c r="H61" i="1"/>
  <c r="H60" i="1"/>
  <c r="H59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H5" i="1"/>
  <c r="H6" i="1"/>
  <c r="H7" i="1"/>
  <c r="H12" i="1"/>
  <c r="Q16" i="1"/>
  <c r="Q17" i="1"/>
  <c r="Q18" i="1"/>
  <c r="Q19" i="1"/>
  <c r="Q20" i="1"/>
  <c r="Q21" i="1"/>
  <c r="Q22" i="1"/>
  <c r="Q23" i="1"/>
  <c r="Q24" i="1"/>
  <c r="Q25" i="1"/>
  <c r="H16" i="1"/>
  <c r="H17" i="1"/>
  <c r="H18" i="1"/>
  <c r="H19" i="1"/>
  <c r="H20" i="1"/>
  <c r="H21" i="1"/>
  <c r="H22" i="1"/>
  <c r="H23" i="1"/>
  <c r="H24" i="1"/>
  <c r="H25" i="1"/>
  <c r="P83" i="1"/>
  <c r="O83" i="1"/>
  <c r="N83" i="1"/>
  <c r="M83" i="1"/>
  <c r="L83" i="1"/>
  <c r="K83" i="1"/>
  <c r="B83" i="1"/>
  <c r="C83" i="1"/>
  <c r="D83" i="1"/>
  <c r="E83" i="1"/>
  <c r="F83" i="1"/>
  <c r="G83" i="1"/>
  <c r="P40" i="1"/>
  <c r="O40" i="1"/>
  <c r="N40" i="1"/>
  <c r="M40" i="1"/>
  <c r="L40" i="1"/>
  <c r="K40" i="1"/>
  <c r="P15" i="1"/>
  <c r="O15" i="1"/>
  <c r="N15" i="1"/>
  <c r="M15" i="1"/>
  <c r="L15" i="1"/>
  <c r="K15" i="1"/>
  <c r="Q26" i="1"/>
  <c r="Q12" i="1"/>
  <c r="Q9" i="1"/>
  <c r="Q4" i="1"/>
  <c r="Q55" i="1"/>
  <c r="Q53" i="1"/>
  <c r="G40" i="1"/>
  <c r="H26" i="1"/>
  <c r="H27" i="1"/>
  <c r="H28" i="1"/>
  <c r="H29" i="1"/>
  <c r="H30" i="1"/>
  <c r="H31" i="1"/>
  <c r="H32" i="1"/>
  <c r="H33" i="1"/>
  <c r="H34" i="1"/>
  <c r="H35" i="1"/>
  <c r="H36" i="1"/>
  <c r="H38" i="1"/>
  <c r="H39" i="1"/>
  <c r="H13" i="1"/>
  <c r="H14" i="1"/>
  <c r="H4" i="1"/>
  <c r="G15" i="1"/>
  <c r="K299" i="1" l="1"/>
  <c r="K301" i="1" s="1"/>
  <c r="Q301" i="1" s="1"/>
  <c r="Q273" i="1"/>
  <c r="Q299" i="1" s="1"/>
  <c r="H169" i="1"/>
  <c r="H212" i="1"/>
  <c r="Q169" i="1"/>
  <c r="Q212" i="1"/>
  <c r="H126" i="1"/>
  <c r="Q126" i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L41" i="1"/>
  <c r="N41" i="1"/>
  <c r="K41" i="1"/>
  <c r="K43" i="1" s="1"/>
  <c r="M41" i="1"/>
  <c r="Q83" i="1"/>
  <c r="P41" i="1"/>
  <c r="P43" i="1" s="1"/>
  <c r="O41" i="1"/>
  <c r="Q40" i="1"/>
  <c r="Q15" i="1"/>
  <c r="H83" i="1"/>
  <c r="M47" i="1" l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43" i="1"/>
  <c r="L47" i="1"/>
  <c r="L58" i="1" s="1"/>
  <c r="L84" i="1" s="1"/>
  <c r="L90" i="1" s="1"/>
  <c r="L101" i="1" s="1"/>
  <c r="L127" i="1" s="1"/>
  <c r="L133" i="1" s="1"/>
  <c r="L144" i="1" s="1"/>
  <c r="L170" i="1" s="1"/>
  <c r="L176" i="1" s="1"/>
  <c r="L187" i="1" s="1"/>
  <c r="L213" i="1" s="1"/>
  <c r="L43" i="1"/>
  <c r="K47" i="1"/>
  <c r="K58" i="1" s="1"/>
  <c r="K84" i="1" s="1"/>
  <c r="K90" i="1" s="1"/>
  <c r="K101" i="1" s="1"/>
  <c r="K127" i="1" s="1"/>
  <c r="K133" i="1" s="1"/>
  <c r="O47" i="1"/>
  <c r="O58" i="1" s="1"/>
  <c r="O84" i="1" s="1"/>
  <c r="O90" i="1" s="1"/>
  <c r="O101" i="1" s="1"/>
  <c r="O127" i="1" s="1"/>
  <c r="O133" i="1" s="1"/>
  <c r="O144" i="1" s="1"/>
  <c r="O170" i="1" s="1"/>
  <c r="O176" i="1" s="1"/>
  <c r="O187" i="1" s="1"/>
  <c r="O213" i="1" s="1"/>
  <c r="O43" i="1"/>
  <c r="N47" i="1"/>
  <c r="N58" i="1" s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N43" i="1"/>
  <c r="P47" i="1"/>
  <c r="P58" i="1" s="1"/>
  <c r="Q41" i="1"/>
  <c r="C40" i="1"/>
  <c r="D40" i="1"/>
  <c r="E40" i="1"/>
  <c r="F40" i="1"/>
  <c r="B40" i="1"/>
  <c r="C15" i="1"/>
  <c r="D15" i="1"/>
  <c r="E15" i="1"/>
  <c r="F15" i="1"/>
  <c r="B15" i="1"/>
  <c r="N215" i="1" l="1"/>
  <c r="N219" i="1"/>
  <c r="N230" i="1" s="1"/>
  <c r="N256" i="1" s="1"/>
  <c r="N258" i="1" s="1"/>
  <c r="O215" i="1"/>
  <c r="O219" i="1"/>
  <c r="O230" i="1" s="1"/>
  <c r="O256" i="1" s="1"/>
  <c r="O258" i="1" s="1"/>
  <c r="L215" i="1"/>
  <c r="L219" i="1"/>
  <c r="L230" i="1" s="1"/>
  <c r="L256" i="1" s="1"/>
  <c r="L258" i="1" s="1"/>
  <c r="M215" i="1"/>
  <c r="M219" i="1"/>
  <c r="M230" i="1" s="1"/>
  <c r="M256" i="1" s="1"/>
  <c r="M258" i="1" s="1"/>
  <c r="K144" i="1"/>
  <c r="Q43" i="1"/>
  <c r="Q47" i="1"/>
  <c r="P84" i="1"/>
  <c r="P90" i="1" s="1"/>
  <c r="Q58" i="1"/>
  <c r="Q84" i="1" s="1"/>
  <c r="H40" i="1"/>
  <c r="H15" i="1"/>
  <c r="F41" i="1"/>
  <c r="F47" i="1" s="1"/>
  <c r="F58" i="1" s="1"/>
  <c r="F84" i="1" s="1"/>
  <c r="F90" i="1" s="1"/>
  <c r="F101" i="1" s="1"/>
  <c r="F127" i="1" s="1"/>
  <c r="F133" i="1" s="1"/>
  <c r="F144" i="1" s="1"/>
  <c r="F170" i="1" s="1"/>
  <c r="F176" i="1" s="1"/>
  <c r="F187" i="1" s="1"/>
  <c r="F213" i="1" s="1"/>
  <c r="F219" i="1" s="1"/>
  <c r="F230" i="1" s="1"/>
  <c r="F256" i="1" s="1"/>
  <c r="F262" i="1" s="1"/>
  <c r="F273" i="1" s="1"/>
  <c r="F299" i="1" s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B41" i="1"/>
  <c r="B47" i="1" s="1"/>
  <c r="B58" i="1" s="1"/>
  <c r="B84" i="1" s="1"/>
  <c r="B90" i="1" s="1"/>
  <c r="E41" i="1"/>
  <c r="E47" i="1" s="1"/>
  <c r="E58" i="1" s="1"/>
  <c r="E84" i="1" s="1"/>
  <c r="E90" i="1" s="1"/>
  <c r="E101" i="1" s="1"/>
  <c r="E127" i="1" s="1"/>
  <c r="E133" i="1" s="1"/>
  <c r="E144" i="1" s="1"/>
  <c r="E170" i="1" s="1"/>
  <c r="E176" i="1" s="1"/>
  <c r="E187" i="1" s="1"/>
  <c r="E213" i="1" s="1"/>
  <c r="E219" i="1" s="1"/>
  <c r="E230" i="1" s="1"/>
  <c r="E256" i="1" s="1"/>
  <c r="E262" i="1" s="1"/>
  <c r="E273" i="1" s="1"/>
  <c r="E299" i="1" s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K170" i="1" l="1"/>
  <c r="K176" i="1" s="1"/>
  <c r="P101" i="1"/>
  <c r="Q90" i="1"/>
  <c r="H90" i="1"/>
  <c r="B101" i="1"/>
  <c r="H47" i="1"/>
  <c r="H41" i="1"/>
  <c r="K187" i="1" l="1"/>
  <c r="P127" i="1"/>
  <c r="P133" i="1" s="1"/>
  <c r="Q101" i="1"/>
  <c r="Q127" i="1" s="1"/>
  <c r="B127" i="1"/>
  <c r="B133" i="1" s="1"/>
  <c r="H101" i="1"/>
  <c r="H127" i="1" s="1"/>
  <c r="H58" i="1"/>
  <c r="H84" i="1" s="1"/>
  <c r="B144" i="1" l="1"/>
  <c r="H133" i="1"/>
  <c r="P144" i="1"/>
  <c r="Q133" i="1"/>
  <c r="K213" i="1"/>
  <c r="L128" i="1"/>
  <c r="Q128" i="1"/>
  <c r="O128" i="1"/>
  <c r="M128" i="1"/>
  <c r="N128" i="1"/>
  <c r="K128" i="1"/>
  <c r="P128" i="1"/>
  <c r="K215" i="1" l="1"/>
  <c r="K219" i="1"/>
  <c r="H144" i="1"/>
  <c r="H170" i="1" s="1"/>
  <c r="B170" i="1"/>
  <c r="B176" i="1" s="1"/>
  <c r="P170" i="1"/>
  <c r="P176" i="1" s="1"/>
  <c r="Q144" i="1"/>
  <c r="Q170" i="1" s="1"/>
  <c r="K230" i="1" l="1"/>
  <c r="B187" i="1"/>
  <c r="H176" i="1"/>
  <c r="P187" i="1"/>
  <c r="Q176" i="1"/>
  <c r="K256" i="1" l="1"/>
  <c r="K258" i="1" s="1"/>
  <c r="B213" i="1"/>
  <c r="B219" i="1" s="1"/>
  <c r="H187" i="1"/>
  <c r="H213" i="1" s="1"/>
  <c r="P213" i="1"/>
  <c r="Q187" i="1"/>
  <c r="Q213" i="1" s="1"/>
  <c r="B230" i="1" l="1"/>
  <c r="H219" i="1"/>
  <c r="P215" i="1"/>
  <c r="Q215" i="1" s="1"/>
  <c r="P219" i="1"/>
  <c r="B256" i="1" l="1"/>
  <c r="B262" i="1" s="1"/>
  <c r="H230" i="1"/>
  <c r="H256" i="1" s="1"/>
  <c r="P230" i="1"/>
  <c r="Q219" i="1"/>
  <c r="H262" i="1" l="1"/>
  <c r="B273" i="1"/>
  <c r="P256" i="1"/>
  <c r="P258" i="1" s="1"/>
  <c r="Q258" i="1" s="1"/>
  <c r="Q230" i="1"/>
  <c r="Q256" i="1" s="1"/>
  <c r="B299" i="1" l="1"/>
  <c r="H273" i="1"/>
  <c r="H299" i="1" s="1"/>
</calcChain>
</file>

<file path=xl/sharedStrings.xml><?xml version="1.0" encoding="utf-8"?>
<sst xmlns="http://schemas.openxmlformats.org/spreadsheetml/2006/main" count="603" uniqueCount="262">
  <si>
    <t>カラー</t>
  </si>
  <si>
    <t>サイズ</t>
  </si>
  <si>
    <t>M</t>
  </si>
  <si>
    <t>計</t>
  </si>
  <si>
    <t>初回</t>
    <rPh sb="0" eb="2">
      <t>ショカイ</t>
    </rPh>
    <phoneticPr fontId="4"/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</si>
  <si>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</si>
  <si>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</si>
  <si>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</si>
  <si>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</si>
  <si>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L</t>
    <phoneticPr fontId="1"/>
  </si>
  <si>
    <t>LL</t>
    <phoneticPr fontId="1"/>
  </si>
  <si>
    <t>3L</t>
    <phoneticPr fontId="1"/>
  </si>
  <si>
    <t>4L</t>
    <phoneticPr fontId="1"/>
  </si>
  <si>
    <t>5L</t>
    <phoneticPr fontId="1"/>
  </si>
  <si>
    <t>4色組</t>
    <rPh sb="2" eb="3">
      <t>グミ</t>
    </rPh>
    <phoneticPr fontId="1"/>
  </si>
  <si>
    <t>＜NoXXXXX　お腹押さえ安心ショーツ4色組　夢販在庫＞ 外箱品番:XXXXXX　商品品番:XXXXXX</t>
    <rPh sb="24" eb="26">
      <t>ユメハン</t>
    </rPh>
    <rPh sb="26" eb="28">
      <t>ザイコ</t>
    </rPh>
    <rPh sb="30" eb="32">
      <t>ソトバコ</t>
    </rPh>
    <rPh sb="32" eb="34">
      <t>ヒンバン</t>
    </rPh>
    <rPh sb="42" eb="44">
      <t>ショウヒン</t>
    </rPh>
    <rPh sb="44" eb="46">
      <t>ヒンバン</t>
    </rPh>
    <phoneticPr fontId="4"/>
  </si>
  <si>
    <t>＜NoXXXXX　お腹押さえ安心ショーツ4色組　K-PORT在庫＞ 外箱品番:XXXXXX　商品品番:XXXXXX</t>
    <phoneticPr fontId="4"/>
  </si>
  <si>
    <t>緊急時は５色組より移動OK</t>
    <rPh sb="0" eb="3">
      <t>キンキュウジ</t>
    </rPh>
    <rPh sb="5" eb="6">
      <t>ショク</t>
    </rPh>
    <rPh sb="6" eb="7">
      <t>グミ</t>
    </rPh>
    <rPh sb="9" eb="11">
      <t>イドウ</t>
    </rPh>
    <phoneticPr fontId="1"/>
  </si>
  <si>
    <t>合計</t>
    <rPh sb="0" eb="2">
      <t>ゴウケイ</t>
    </rPh>
    <phoneticPr fontId="1"/>
  </si>
  <si>
    <t>JOD特別号9543表4\3990</t>
    <rPh sb="3" eb="6">
      <t>トクベツゴウ</t>
    </rPh>
    <rPh sb="10" eb="11">
      <t>ヒョウ</t>
    </rPh>
    <phoneticPr fontId="1"/>
  </si>
  <si>
    <t>9/20～</t>
    <phoneticPr fontId="1"/>
  </si>
  <si>
    <t>11/19～12/5</t>
    <phoneticPr fontId="1"/>
  </si>
  <si>
    <t>コープきんき11月1回\3990（不透明袋）M～３L</t>
    <rPh sb="8" eb="9">
      <t>ガツ</t>
    </rPh>
    <rPh sb="10" eb="11">
      <t>カイ</t>
    </rPh>
    <rPh sb="17" eb="21">
      <t>フトウメイフクロ</t>
    </rPh>
    <phoneticPr fontId="1"/>
  </si>
  <si>
    <t>グリーンコープ37号\3990/￥4990（不透明袋）サクラマチ</t>
    <rPh sb="9" eb="10">
      <t>ゴウ</t>
    </rPh>
    <phoneticPr fontId="1"/>
  </si>
  <si>
    <t>初回　(特価)@120</t>
    <rPh sb="0" eb="2">
      <t>ショカイ</t>
    </rPh>
    <rPh sb="4" eb="6">
      <t>トッカ</t>
    </rPh>
    <phoneticPr fontId="4"/>
  </si>
  <si>
    <t>合計</t>
    <rPh sb="0" eb="1">
      <t>ゴウ</t>
    </rPh>
    <rPh sb="1" eb="2">
      <t>ケイ</t>
    </rPh>
    <phoneticPr fontId="1"/>
  </si>
  <si>
    <t>点10/10、アバウト10/28、本10/28～11/3</t>
    <rPh sb="0" eb="1">
      <t>テン</t>
    </rPh>
    <rPh sb="17" eb="18">
      <t>ホン</t>
    </rPh>
    <phoneticPr fontId="1"/>
  </si>
  <si>
    <t>グリーンコープ37号\3990/￥4990　差分予測</t>
    <rPh sb="9" eb="10">
      <t>ゴウ</t>
    </rPh>
    <rPh sb="22" eb="26">
      <t>サブンヨソク</t>
    </rPh>
    <phoneticPr fontId="1"/>
  </si>
  <si>
    <t>コープきんき11月1回\3990　差分予測</t>
    <rPh sb="8" eb="9">
      <t>ガツ</t>
    </rPh>
    <rPh sb="10" eb="11">
      <t>カイ</t>
    </rPh>
    <rPh sb="17" eb="21">
      <t>サブンヨソク</t>
    </rPh>
    <phoneticPr fontId="1"/>
  </si>
  <si>
    <t>2025/9/10数伝</t>
    <rPh sb="9" eb="11">
      <t>スウデン</t>
    </rPh>
    <phoneticPr fontId="1"/>
  </si>
  <si>
    <t>5色組在庫　　M～LL￥3990　　３L～５L￥4900</t>
    <rPh sb="1" eb="2">
      <t>ショク</t>
    </rPh>
    <rPh sb="2" eb="3">
      <t>グミ</t>
    </rPh>
    <rPh sb="3" eb="5">
      <t>ザイコ</t>
    </rPh>
    <phoneticPr fontId="1"/>
  </si>
  <si>
    <t>2025/9/20数伝</t>
    <rPh sb="9" eb="11">
      <t>スウデン</t>
    </rPh>
    <phoneticPr fontId="1"/>
  </si>
  <si>
    <t>夢販</t>
    <rPh sb="0" eb="2">
      <t>ユメハン</t>
    </rPh>
    <phoneticPr fontId="1"/>
  </si>
  <si>
    <t>JOD①</t>
    <phoneticPr fontId="1"/>
  </si>
  <si>
    <t>JOD②</t>
    <phoneticPr fontId="1"/>
  </si>
  <si>
    <t>JOD③</t>
    <phoneticPr fontId="1"/>
  </si>
  <si>
    <t>JOD④</t>
    <phoneticPr fontId="1"/>
  </si>
  <si>
    <t>JOD⑤</t>
    <phoneticPr fontId="1"/>
  </si>
  <si>
    <t>JOD⑥</t>
    <phoneticPr fontId="1"/>
  </si>
  <si>
    <t>JOD⑦</t>
    <phoneticPr fontId="1"/>
  </si>
  <si>
    <t>コープさっぽろ12月2回\3990オバタ</t>
    <rPh sb="9" eb="10">
      <t>ガツ</t>
    </rPh>
    <rPh sb="11" eb="12">
      <t>カイ</t>
    </rPh>
    <phoneticPr fontId="1"/>
  </si>
  <si>
    <t>12/3、12/8</t>
    <phoneticPr fontId="1"/>
  </si>
  <si>
    <t>JOD⑧</t>
    <phoneticPr fontId="1"/>
  </si>
  <si>
    <t>JOD⑨</t>
    <phoneticPr fontId="1"/>
  </si>
  <si>
    <t>コープきんき11月1回\3990（不透明袋）M～３L①</t>
    <rPh sb="8" eb="9">
      <t>ガツ</t>
    </rPh>
    <rPh sb="10" eb="11">
      <t>カイ</t>
    </rPh>
    <rPh sb="17" eb="21">
      <t>フトウメイフクロ</t>
    </rPh>
    <phoneticPr fontId="1"/>
  </si>
  <si>
    <t>夢販</t>
    <rPh sb="0" eb="2">
      <t>ユメハン</t>
    </rPh>
    <phoneticPr fontId="1"/>
  </si>
  <si>
    <t>JOD⑩</t>
    <phoneticPr fontId="1"/>
  </si>
  <si>
    <t>JOD⑪</t>
    <phoneticPr fontId="1"/>
  </si>
  <si>
    <t>JOD⑫</t>
    <phoneticPr fontId="1"/>
  </si>
  <si>
    <t>JOD⑬</t>
    <phoneticPr fontId="1"/>
  </si>
  <si>
    <t>お腹押さえ安心ショーツ4色組　夢販在庫＞ ＠800→￥3990　　￥4990</t>
    <rPh sb="15" eb="17">
      <t>ユメハン</t>
    </rPh>
    <rPh sb="17" eb="19">
      <t>ザイコ</t>
    </rPh>
    <phoneticPr fontId="4"/>
  </si>
  <si>
    <t>お腹押さえ安心ショーツ4色組　K-PORT在庫＞ @800→  \3990   \4900</t>
    <phoneticPr fontId="4"/>
  </si>
  <si>
    <t>JOD⑭</t>
    <phoneticPr fontId="1"/>
  </si>
  <si>
    <t>11/26～</t>
    <phoneticPr fontId="1"/>
  </si>
  <si>
    <t>JOD⑮</t>
    <phoneticPr fontId="1"/>
  </si>
  <si>
    <t>1/14～</t>
    <phoneticPr fontId="1"/>
  </si>
  <si>
    <t>JODアクセス7014￥3990</t>
    <phoneticPr fontId="1"/>
  </si>
  <si>
    <t>JODメルシー1126￥3990</t>
    <phoneticPr fontId="1"/>
  </si>
  <si>
    <t>コープきんき11月1回\3990（不透明袋）M～３L②</t>
    <rPh sb="8" eb="9">
      <t>ガツ</t>
    </rPh>
    <rPh sb="10" eb="11">
      <t>カイ</t>
    </rPh>
    <rPh sb="17" eb="21">
      <t>フトウメイフクロ</t>
    </rPh>
    <phoneticPr fontId="1"/>
  </si>
  <si>
    <t>JOD特別版1205￥3990</t>
    <rPh sb="3" eb="6">
      <t>トクベツバン</t>
    </rPh>
    <phoneticPr fontId="1"/>
  </si>
  <si>
    <t>12/4～</t>
    <phoneticPr fontId="1"/>
  </si>
  <si>
    <t>JOD⑯</t>
    <phoneticPr fontId="1"/>
  </si>
  <si>
    <t>コープきんき11月1回\3990（不透明袋）M～３L③</t>
    <rPh sb="8" eb="9">
      <t>ガツ</t>
    </rPh>
    <rPh sb="10" eb="11">
      <t>カイ</t>
    </rPh>
    <rPh sb="17" eb="21">
      <t>フトウメイフクロ</t>
    </rPh>
    <phoneticPr fontId="1"/>
  </si>
  <si>
    <t>5Pセット分在庫　10/30</t>
    <rPh sb="5" eb="6">
      <t>ブン</t>
    </rPh>
    <rPh sb="6" eb="8">
      <t>ザイコ</t>
    </rPh>
    <phoneticPr fontId="1"/>
  </si>
  <si>
    <t xml:space="preserve">コープきんき11月1回\3990（不透明袋）M～３L④ </t>
    <rPh sb="8" eb="9">
      <t>ガツ</t>
    </rPh>
    <rPh sb="10" eb="11">
      <t>カイ</t>
    </rPh>
    <rPh sb="17" eb="21">
      <t>フトウメイフクロ</t>
    </rPh>
    <phoneticPr fontId="1"/>
  </si>
  <si>
    <t>JOD⑰</t>
    <phoneticPr fontId="1"/>
  </si>
  <si>
    <t>夢販</t>
    <rPh sb="0" eb="2">
      <t>ユメハン</t>
    </rPh>
    <phoneticPr fontId="1"/>
  </si>
  <si>
    <t>JOD⑱</t>
    <phoneticPr fontId="1"/>
  </si>
  <si>
    <t>JOD⑲</t>
    <phoneticPr fontId="1"/>
  </si>
  <si>
    <t>追加 １回目@800</t>
    <rPh sb="0" eb="2">
      <t>ツイカ</t>
    </rPh>
    <rPh sb="4" eb="6">
      <t>カイメ</t>
    </rPh>
    <phoneticPr fontId="4"/>
  </si>
  <si>
    <t>追加　２回目@800</t>
    <rPh sb="0" eb="2">
      <t>ツイカ</t>
    </rPh>
    <rPh sb="4" eb="6">
      <t>カイメ</t>
    </rPh>
    <phoneticPr fontId="4"/>
  </si>
  <si>
    <t>追加　３回目@800</t>
    <rPh sb="0" eb="2">
      <t>ツイカ</t>
    </rPh>
    <rPh sb="4" eb="6">
      <t>カイメ</t>
    </rPh>
    <phoneticPr fontId="4"/>
  </si>
  <si>
    <t>JOD⑳</t>
    <phoneticPr fontId="1"/>
  </si>
  <si>
    <t>なごみ2月号DM\3990</t>
    <rPh sb="4" eb="6">
      <t>ガツゴウ</t>
    </rPh>
    <phoneticPr fontId="1"/>
  </si>
  <si>
    <t>2/1～4/10</t>
    <phoneticPr fontId="1"/>
  </si>
  <si>
    <t>なごみ2月号検品用sample</t>
    <rPh sb="4" eb="6">
      <t>ガツゴウ</t>
    </rPh>
    <rPh sb="6" eb="9">
      <t>ケンピンヨウ</t>
    </rPh>
    <phoneticPr fontId="1"/>
  </si>
  <si>
    <t>JOD㉑</t>
    <phoneticPr fontId="1"/>
  </si>
  <si>
    <t>グリーンコープ37号\3990/￥4990（不透明袋）サクラマチ①</t>
    <rPh sb="9" eb="10">
      <t>ゴウ</t>
    </rPh>
    <phoneticPr fontId="1"/>
  </si>
  <si>
    <t>グリーンコープ37号\3990/￥4990（不透明袋）サクラマチ②</t>
    <rPh sb="9" eb="10">
      <t>ゴウ</t>
    </rPh>
    <phoneticPr fontId="1"/>
  </si>
  <si>
    <t>JODメルシー1224￥3990</t>
    <phoneticPr fontId="1"/>
  </si>
  <si>
    <t>12/24～</t>
    <phoneticPr fontId="1"/>
  </si>
  <si>
    <t>コープさっぽろ12月2回\3990オバタ①</t>
    <rPh sb="9" eb="10">
      <t>ガツ</t>
    </rPh>
    <rPh sb="11" eb="12">
      <t>カイ</t>
    </rPh>
    <phoneticPr fontId="1"/>
  </si>
  <si>
    <t>JOD㉒</t>
    <phoneticPr fontId="1"/>
  </si>
  <si>
    <t>JOD㉓</t>
    <phoneticPr fontId="1"/>
  </si>
  <si>
    <t>JOD㉔</t>
    <phoneticPr fontId="1"/>
  </si>
  <si>
    <t>2025/12/5数伝</t>
    <rPh sb="9" eb="11">
      <t>スウデン</t>
    </rPh>
    <phoneticPr fontId="1"/>
  </si>
  <si>
    <t>JOD㉕</t>
    <phoneticPr fontId="1"/>
  </si>
  <si>
    <t>コープさっぽろ12月2回\3990オバタ②</t>
    <rPh sb="9" eb="10">
      <t>ガツ</t>
    </rPh>
    <rPh sb="11" eb="12">
      <t>カイ</t>
    </rPh>
    <phoneticPr fontId="1"/>
  </si>
  <si>
    <t>夢販</t>
    <rPh sb="0" eb="2">
      <t>ユメハン</t>
    </rPh>
    <phoneticPr fontId="1"/>
  </si>
  <si>
    <t>JOD㉖</t>
    <phoneticPr fontId="1"/>
  </si>
  <si>
    <t>JOD特別号9552￥3990</t>
    <rPh sb="3" eb="6">
      <t>トクベツゴウ</t>
    </rPh>
    <phoneticPr fontId="1"/>
  </si>
  <si>
    <t>1/29～</t>
    <phoneticPr fontId="1"/>
  </si>
  <si>
    <t>コープさっぽろ2月3回\3990オバタ</t>
    <rPh sb="8" eb="9">
      <t>ガツ</t>
    </rPh>
    <rPh sb="10" eb="11">
      <t>カイ</t>
    </rPh>
    <phoneticPr fontId="1"/>
  </si>
  <si>
    <t>2/11、16</t>
    <phoneticPr fontId="1"/>
  </si>
  <si>
    <t>なごみ2月号DM\3990 差分予測</t>
    <rPh sb="4" eb="6">
      <t>ガツゴウ</t>
    </rPh>
    <rPh sb="14" eb="18">
      <t>サブンヨソク</t>
    </rPh>
    <phoneticPr fontId="1"/>
  </si>
  <si>
    <t>コープさっぽろ2月3回\3990オバタ差分予測</t>
    <rPh sb="8" eb="9">
      <t>ガツ</t>
    </rPh>
    <rPh sb="10" eb="11">
      <t>カイ</t>
    </rPh>
    <rPh sb="19" eb="23">
      <t>サブンヨソク</t>
    </rPh>
    <phoneticPr fontId="1"/>
  </si>
  <si>
    <t>JOD㉗</t>
    <phoneticPr fontId="1"/>
  </si>
  <si>
    <t>JOD㉘</t>
    <phoneticPr fontId="1"/>
  </si>
  <si>
    <t>はぴねすくらぶ4月号</t>
    <rPh sb="8" eb="10">
      <t>ガツゴウ</t>
    </rPh>
    <phoneticPr fontId="1"/>
  </si>
  <si>
    <t>はぴねすくらぶsample</t>
    <phoneticPr fontId="1"/>
  </si>
  <si>
    <t>JOD㉙</t>
    <phoneticPr fontId="1"/>
  </si>
  <si>
    <t>JOD㉚</t>
    <phoneticPr fontId="1"/>
  </si>
  <si>
    <t>JOD㉛</t>
    <phoneticPr fontId="1"/>
  </si>
  <si>
    <t>JOD㉜</t>
    <phoneticPr fontId="1"/>
  </si>
  <si>
    <t>JOD㉝</t>
    <phoneticPr fontId="1"/>
  </si>
  <si>
    <t>JOD㉞</t>
    <phoneticPr fontId="1"/>
  </si>
  <si>
    <t>JOD㉟</t>
    <phoneticPr fontId="1"/>
  </si>
  <si>
    <t>2/18～</t>
    <phoneticPr fontId="1"/>
  </si>
  <si>
    <t>JODアクセス7015￥3990</t>
    <phoneticPr fontId="1"/>
  </si>
  <si>
    <t>JOD㊱</t>
    <phoneticPr fontId="1"/>
  </si>
  <si>
    <t>JOD㊲</t>
    <phoneticPr fontId="1"/>
  </si>
  <si>
    <t>JOD返品</t>
    <rPh sb="0" eb="5">
      <t>jヘンピン</t>
    </rPh>
    <phoneticPr fontId="4"/>
  </si>
  <si>
    <t>JOD㊳</t>
    <phoneticPr fontId="1"/>
  </si>
  <si>
    <t>JOD㊴</t>
    <phoneticPr fontId="1"/>
  </si>
  <si>
    <t>JOD特別版0203￥3990</t>
    <rPh sb="3" eb="6">
      <t>トクベツバン</t>
    </rPh>
    <phoneticPr fontId="1"/>
  </si>
  <si>
    <t>2/2～</t>
    <phoneticPr fontId="1"/>
  </si>
  <si>
    <t>JODメルシー0210￥3990</t>
    <phoneticPr fontId="1"/>
  </si>
  <si>
    <t>2/10～</t>
    <phoneticPr fontId="1"/>
  </si>
  <si>
    <t>なごみ2月号DM\3990①</t>
    <rPh sb="4" eb="6">
      <t>ガツゴウ</t>
    </rPh>
    <phoneticPr fontId="1"/>
  </si>
  <si>
    <t>JOD㊵</t>
    <phoneticPr fontId="1"/>
  </si>
  <si>
    <t>JOD㊶</t>
    <phoneticPr fontId="1"/>
  </si>
  <si>
    <t>JOD㊷</t>
    <phoneticPr fontId="1"/>
  </si>
  <si>
    <t>JOD㊸</t>
    <phoneticPr fontId="1"/>
  </si>
  <si>
    <t>5Pセット分在庫　</t>
    <rPh sb="5" eb="6">
      <t>ブン</t>
    </rPh>
    <rPh sb="6" eb="8">
      <t>ザイコ</t>
    </rPh>
    <phoneticPr fontId="1"/>
  </si>
  <si>
    <t>JOD㊹</t>
    <phoneticPr fontId="1"/>
  </si>
  <si>
    <t>サクラマチ返品</t>
    <rPh sb="5" eb="7">
      <t>ヘンピン</t>
    </rPh>
    <phoneticPr fontId="4"/>
  </si>
  <si>
    <t>JOD返品</t>
    <rPh sb="3" eb="5">
      <t>ヘンピン</t>
    </rPh>
    <phoneticPr fontId="4"/>
  </si>
  <si>
    <t>JOD㊻</t>
    <phoneticPr fontId="1"/>
  </si>
  <si>
    <t>くらし返品</t>
    <rPh sb="3" eb="5">
      <t>ヘンピン</t>
    </rPh>
    <phoneticPr fontId="4"/>
  </si>
  <si>
    <t>JOD㊼</t>
    <phoneticPr fontId="1"/>
  </si>
  <si>
    <t>夢販</t>
    <rPh sb="0" eb="2">
      <t>y</t>
    </rPh>
    <phoneticPr fontId="1"/>
  </si>
  <si>
    <t>4/3～</t>
    <phoneticPr fontId="1"/>
  </si>
  <si>
    <t>JOD㊽</t>
    <phoneticPr fontId="1"/>
  </si>
  <si>
    <t>JOD㊾</t>
    <phoneticPr fontId="1"/>
  </si>
  <si>
    <t>JOD㊿</t>
    <phoneticPr fontId="1"/>
  </si>
  <si>
    <t>JOD51</t>
    <phoneticPr fontId="1"/>
  </si>
  <si>
    <t>JOD52</t>
  </si>
  <si>
    <t>JOD53</t>
    <phoneticPr fontId="1"/>
  </si>
  <si>
    <t>JOD54</t>
  </si>
  <si>
    <t>JOD55</t>
    <phoneticPr fontId="1"/>
  </si>
  <si>
    <t>JOD56</t>
  </si>
  <si>
    <t>JOD57</t>
    <phoneticPr fontId="1"/>
  </si>
  <si>
    <t>なごみ2月号DM\3990②</t>
    <rPh sb="4" eb="6">
      <t>ガツゴウ</t>
    </rPh>
    <phoneticPr fontId="1"/>
  </si>
  <si>
    <t>JOD58</t>
  </si>
  <si>
    <t>JOD59</t>
    <phoneticPr fontId="1"/>
  </si>
  <si>
    <t>なごみ2月号DM\3990③</t>
    <rPh sb="4" eb="6">
      <t>ガツゴウ</t>
    </rPh>
    <phoneticPr fontId="1"/>
  </si>
  <si>
    <t>JOD60</t>
    <phoneticPr fontId="1"/>
  </si>
  <si>
    <t>コープさっぽろ2月3回\3990オバタ①</t>
    <rPh sb="8" eb="9">
      <t>ガツ</t>
    </rPh>
    <rPh sb="10" eb="11">
      <t>カイ</t>
    </rPh>
    <phoneticPr fontId="1"/>
  </si>
  <si>
    <t>JOD61</t>
    <phoneticPr fontId="1"/>
  </si>
  <si>
    <t>なごみ2月号DM\3990④</t>
    <rPh sb="4" eb="6">
      <t>ガツゴウ</t>
    </rPh>
    <phoneticPr fontId="1"/>
  </si>
  <si>
    <t>JOD62</t>
    <phoneticPr fontId="1"/>
  </si>
  <si>
    <t>JOD63</t>
  </si>
  <si>
    <t>なごみ2月号DM\3990⑤</t>
    <rPh sb="4" eb="6">
      <t>ガツゴウ</t>
    </rPh>
    <phoneticPr fontId="1"/>
  </si>
  <si>
    <t>JOD64</t>
    <phoneticPr fontId="1"/>
  </si>
  <si>
    <t>JOD65</t>
    <phoneticPr fontId="1"/>
  </si>
  <si>
    <t>JOD66</t>
  </si>
  <si>
    <t>JOD67</t>
  </si>
  <si>
    <t>KPORT</t>
    <phoneticPr fontId="1"/>
  </si>
  <si>
    <t>ゆめはん移動</t>
    <rPh sb="4" eb="6">
      <t>イドウ</t>
    </rPh>
    <phoneticPr fontId="4"/>
  </si>
  <si>
    <t>JOD68</t>
    <phoneticPr fontId="1"/>
  </si>
  <si>
    <t>JOD69</t>
  </si>
  <si>
    <t>なごみ2月号DM\3990⑥</t>
    <rPh sb="4" eb="6">
      <t>ガツゴウ</t>
    </rPh>
    <phoneticPr fontId="1"/>
  </si>
  <si>
    <t>JOD70</t>
    <phoneticPr fontId="1"/>
  </si>
  <si>
    <t>JOD71</t>
    <phoneticPr fontId="1"/>
  </si>
  <si>
    <t>JOD72</t>
    <phoneticPr fontId="1"/>
  </si>
  <si>
    <t>JODメルシー0407</t>
    <phoneticPr fontId="1"/>
  </si>
  <si>
    <t>4/7～</t>
    <phoneticPr fontId="1"/>
  </si>
  <si>
    <t>3/3時点5色組在庫　M～LL￥3990　３L～５L￥4900</t>
    <rPh sb="3" eb="5">
      <t>ジテン</t>
    </rPh>
    <rPh sb="6" eb="7">
      <t>ショク</t>
    </rPh>
    <rPh sb="7" eb="8">
      <t>グミ</t>
    </rPh>
    <rPh sb="8" eb="10">
      <t>ザイコ</t>
    </rPh>
    <phoneticPr fontId="1"/>
  </si>
  <si>
    <t>JOD特別号R9819</t>
    <rPh sb="3" eb="6">
      <t>トクベツゴウ</t>
    </rPh>
    <phoneticPr fontId="1"/>
  </si>
  <si>
    <t>JOD73</t>
    <phoneticPr fontId="1"/>
  </si>
  <si>
    <t>JOD74</t>
    <phoneticPr fontId="1"/>
  </si>
  <si>
    <t>JOD75</t>
  </si>
  <si>
    <t>JOD76</t>
    <phoneticPr fontId="1"/>
  </si>
  <si>
    <t>JODアクセス7016</t>
    <phoneticPr fontId="1"/>
  </si>
  <si>
    <t>4/25～</t>
    <phoneticPr fontId="1"/>
  </si>
  <si>
    <t>JOD77</t>
  </si>
  <si>
    <t>JOD78</t>
  </si>
  <si>
    <t>なごみ2月号DM\3990⑦</t>
    <rPh sb="4" eb="6">
      <t>ガツゴウ</t>
    </rPh>
    <phoneticPr fontId="1"/>
  </si>
  <si>
    <t>JOD79</t>
  </si>
  <si>
    <t>JOD80</t>
    <phoneticPr fontId="1"/>
  </si>
  <si>
    <t>JOD81</t>
  </si>
  <si>
    <t>電話注文</t>
    <rPh sb="0" eb="4">
      <t>デンワチュウモン</t>
    </rPh>
    <phoneticPr fontId="1"/>
  </si>
  <si>
    <t>JOD82</t>
    <phoneticPr fontId="1"/>
  </si>
  <si>
    <t>JOD83</t>
    <phoneticPr fontId="1"/>
  </si>
  <si>
    <t>オバタ返品</t>
    <rPh sb="3" eb="5">
      <t>ヘンピン</t>
    </rPh>
    <phoneticPr fontId="4"/>
  </si>
  <si>
    <t>JOD84</t>
    <phoneticPr fontId="1"/>
  </si>
  <si>
    <t>JOD85</t>
  </si>
  <si>
    <t>JOD86</t>
  </si>
  <si>
    <t>JOD87</t>
  </si>
  <si>
    <t>はぴねすくらぶ4月号①</t>
    <rPh sb="8" eb="10">
      <t>ガツゴウ</t>
    </rPh>
    <phoneticPr fontId="1"/>
  </si>
  <si>
    <t>JODメルシー0519</t>
    <phoneticPr fontId="1"/>
  </si>
  <si>
    <t>5/19～</t>
    <phoneticPr fontId="1"/>
  </si>
  <si>
    <t>KPORT</t>
    <phoneticPr fontId="1"/>
  </si>
  <si>
    <t>JOD88</t>
    <phoneticPr fontId="1"/>
  </si>
  <si>
    <t>JOD89</t>
    <phoneticPr fontId="1"/>
  </si>
  <si>
    <t>JOD90</t>
    <phoneticPr fontId="1"/>
  </si>
  <si>
    <t>JOD91</t>
  </si>
  <si>
    <t>JODメルシー0526</t>
    <phoneticPr fontId="1"/>
  </si>
  <si>
    <t>5/26～</t>
    <phoneticPr fontId="1"/>
  </si>
  <si>
    <t>JOD92</t>
    <phoneticPr fontId="1"/>
  </si>
  <si>
    <t>JOD93</t>
    <phoneticPr fontId="1"/>
  </si>
  <si>
    <t>はぴねすくらぶ4月号②</t>
    <rPh sb="8" eb="10">
      <t>ガツゴウ</t>
    </rPh>
    <phoneticPr fontId="1"/>
  </si>
  <si>
    <t>はぴねすくらぶ4月号③</t>
    <rPh sb="8" eb="10">
      <t>ガツゴウ</t>
    </rPh>
    <phoneticPr fontId="1"/>
  </si>
  <si>
    <t>JOD94</t>
    <phoneticPr fontId="1"/>
  </si>
  <si>
    <t>JOD95</t>
  </si>
  <si>
    <t>なごみ返品</t>
    <rPh sb="3" eb="5">
      <t>ヘンピン</t>
    </rPh>
    <phoneticPr fontId="4"/>
  </si>
  <si>
    <t>はぴねすくらぶ4月号④</t>
    <rPh sb="8" eb="10">
      <t>ガツゴウ</t>
    </rPh>
    <phoneticPr fontId="1"/>
  </si>
  <si>
    <t>JOD96</t>
    <phoneticPr fontId="1"/>
  </si>
  <si>
    <t>JOD返品</t>
    <rPh sb="3" eb="5">
      <t>ヘンピン</t>
    </rPh>
    <phoneticPr fontId="1"/>
  </si>
  <si>
    <t>JOD97</t>
    <phoneticPr fontId="1"/>
  </si>
  <si>
    <t>JOD96</t>
    <phoneticPr fontId="1"/>
  </si>
  <si>
    <t>はぴねすくらぶ4月号⑤</t>
    <rPh sb="8" eb="10">
      <t>ガツゴウ</t>
    </rPh>
    <phoneticPr fontId="1"/>
  </si>
  <si>
    <t>なごみ7月号DM</t>
    <rPh sb="4" eb="6">
      <t>ガツゴウ</t>
    </rPh>
    <phoneticPr fontId="1"/>
  </si>
  <si>
    <t>7/1～9/10</t>
    <phoneticPr fontId="1"/>
  </si>
  <si>
    <t>はぴねすくらぶ4月号差分予測</t>
    <rPh sb="8" eb="10">
      <t>ガツゴウ</t>
    </rPh>
    <rPh sb="10" eb="14">
      <t>サブンヨソク</t>
    </rPh>
    <phoneticPr fontId="1"/>
  </si>
  <si>
    <t>なごみ7月号DM①</t>
    <rPh sb="4" eb="6">
      <t>ガツゴウ</t>
    </rPh>
    <phoneticPr fontId="1"/>
  </si>
  <si>
    <t>なごみ検品用sample</t>
    <rPh sb="3" eb="6">
      <t>ケンピンヨウ</t>
    </rPh>
    <phoneticPr fontId="1"/>
  </si>
  <si>
    <t>JOD98</t>
    <phoneticPr fontId="1"/>
  </si>
  <si>
    <t>JOD特別号9570</t>
    <rPh sb="3" eb="6">
      <t>トクベツゴウ</t>
    </rPh>
    <phoneticPr fontId="1"/>
  </si>
  <si>
    <t>6/20～</t>
    <phoneticPr fontId="1"/>
  </si>
  <si>
    <t>KPORT</t>
    <phoneticPr fontId="1"/>
  </si>
  <si>
    <t>JOD99</t>
    <phoneticPr fontId="1"/>
  </si>
  <si>
    <t>はぴねすくらぶ4月号⑥</t>
    <rPh sb="8" eb="10">
      <t>ガツゴウ</t>
    </rPh>
    <phoneticPr fontId="1"/>
  </si>
  <si>
    <t>JOD100</t>
    <phoneticPr fontId="1"/>
  </si>
  <si>
    <t>JOD101</t>
    <phoneticPr fontId="1"/>
  </si>
  <si>
    <t>JOD102</t>
    <phoneticPr fontId="1"/>
  </si>
  <si>
    <t>JOD103</t>
    <phoneticPr fontId="1"/>
  </si>
  <si>
    <t>JOD104</t>
  </si>
  <si>
    <t>JOD105</t>
  </si>
  <si>
    <t>JOD106</t>
    <phoneticPr fontId="1"/>
  </si>
  <si>
    <t>はぴねすくらぶ4月号⑦</t>
    <rPh sb="8" eb="10">
      <t>ガツゴウ</t>
    </rPh>
    <phoneticPr fontId="1"/>
  </si>
  <si>
    <t>JOD107</t>
  </si>
  <si>
    <t>JOD108</t>
  </si>
  <si>
    <t>ゆめはん</t>
    <phoneticPr fontId="4"/>
  </si>
  <si>
    <t>はぴねすくらぶ4月号⑧</t>
    <rPh sb="8" eb="10">
      <t>ガツゴウ</t>
    </rPh>
    <phoneticPr fontId="1"/>
  </si>
  <si>
    <t>JOD109</t>
    <phoneticPr fontId="1"/>
  </si>
  <si>
    <t>JOD110</t>
  </si>
  <si>
    <t>はぴねすくらぶ4月号⑨</t>
    <rPh sb="8" eb="10">
      <t>ガツゴウ</t>
    </rPh>
    <phoneticPr fontId="1"/>
  </si>
  <si>
    <t>JOD111</t>
    <phoneticPr fontId="1"/>
  </si>
  <si>
    <t>6/1時点5色組在庫　M～LL￥3990　３L～５L￥4900</t>
    <rPh sb="3" eb="5">
      <t>ジテン</t>
    </rPh>
    <rPh sb="6" eb="7">
      <t>ショク</t>
    </rPh>
    <rPh sb="7" eb="8">
      <t>グミ</t>
    </rPh>
    <rPh sb="8" eb="10">
      <t>ザイコ</t>
    </rPh>
    <phoneticPr fontId="1"/>
  </si>
  <si>
    <t>JOD確保6/1</t>
    <rPh sb="3" eb="5">
      <t>カクホ</t>
    </rPh>
    <phoneticPr fontId="1"/>
  </si>
  <si>
    <t>JOD特別版0705</t>
    <rPh sb="3" eb="5">
      <t>トクベツ</t>
    </rPh>
    <rPh sb="5" eb="6">
      <t>バン</t>
    </rPh>
    <phoneticPr fontId="1"/>
  </si>
  <si>
    <t>7/4～</t>
    <phoneticPr fontId="1"/>
  </si>
  <si>
    <t>JOD112</t>
  </si>
  <si>
    <t>はぴねすくらぶ4月号⑩</t>
    <rPh sb="8" eb="10">
      <t>ガツゴウ</t>
    </rPh>
    <phoneticPr fontId="1"/>
  </si>
  <si>
    <t>JOD113</t>
    <phoneticPr fontId="1"/>
  </si>
  <si>
    <t>JOD114</t>
  </si>
  <si>
    <t>なごみ検品用サンプル</t>
    <rPh sb="3" eb="6">
      <t>ケンピンヨウ</t>
    </rPh>
    <phoneticPr fontId="4"/>
  </si>
  <si>
    <t>JOD115</t>
  </si>
  <si>
    <t>JOD116</t>
  </si>
  <si>
    <t>JOD特別号9574</t>
    <rPh sb="3" eb="5">
      <t>トクベツ</t>
    </rPh>
    <rPh sb="5" eb="6">
      <t>ゴウ</t>
    </rPh>
    <phoneticPr fontId="1"/>
  </si>
  <si>
    <t>7/21～</t>
    <phoneticPr fontId="1"/>
  </si>
  <si>
    <t>JOD117</t>
  </si>
  <si>
    <t>5Pより移行</t>
    <rPh sb="4" eb="6">
      <t>イコウ</t>
    </rPh>
    <phoneticPr fontId="4"/>
  </si>
  <si>
    <t>JOD118</t>
  </si>
  <si>
    <t>はぴねすくらぶ4月号⑪</t>
    <rPh sb="8" eb="10">
      <t>ガツゴウ</t>
    </rPh>
    <phoneticPr fontId="1"/>
  </si>
  <si>
    <t>JOD119</t>
    <phoneticPr fontId="1"/>
  </si>
  <si>
    <t>JOD120</t>
  </si>
  <si>
    <t>JOD121</t>
    <phoneticPr fontId="1"/>
  </si>
  <si>
    <t>はぴねすくらぶ4月号⑫</t>
    <rPh sb="8" eb="10">
      <t>ガツゴウ</t>
    </rPh>
    <phoneticPr fontId="1"/>
  </si>
  <si>
    <t>JODアクセス7019</t>
    <phoneticPr fontId="1"/>
  </si>
  <si>
    <t>8/17～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</si>
</sst>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13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2" fillId="2" borderId="6" xfId="1" applyFill="1" applyBorder="1"/>
    <xf numFmtId="0" fontId="9" fillId="0" borderId="0" xfId="0" applyFont="1">
      <alignment vertical="center"/>
    </xf>
    <xf numFmtId="0" fontId="5" fillId="0" borderId="7" xfId="1" applyFont="1" applyBorder="1" applyAlignment="1">
      <alignment horizontal="center" vertical="center"/>
    </xf>
    <xf numFmtId="0" fontId="2" fillId="2" borderId="8" xfId="1" applyFill="1" applyBorder="1"/>
    <xf numFmtId="0" fontId="7" fillId="0" borderId="1" xfId="1" applyFont="1" applyBorder="1" applyAlignment="1">
      <alignment horizontal="center" vertical="center"/>
    </xf>
    <xf numFmtId="0" fontId="7" fillId="2" borderId="1" xfId="1" applyFont="1" applyFill="1" applyBorder="1"/>
    <xf numFmtId="0" fontId="6" fillId="0" borderId="4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5" xfId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2" fillId="0" borderId="12" xfId="1" applyBorder="1"/>
    <xf numFmtId="0" fontId="2" fillId="0" borderId="13" xfId="1" applyBorder="1"/>
    <xf numFmtId="0" fontId="2" fillId="0" borderId="14" xfId="1" applyBorder="1"/>
    <xf numFmtId="0" fontId="2" fillId="0" borderId="15" xfId="1" applyBorder="1"/>
    <xf numFmtId="0" fontId="2" fillId="0" borderId="16" xfId="1" applyBorder="1"/>
    <xf numFmtId="0" fontId="2" fillId="0" borderId="17" xfId="1" applyBorder="1"/>
    <xf numFmtId="0" fontId="7" fillId="0" borderId="9" xfId="1" applyFont="1" applyBorder="1"/>
    <xf numFmtId="0" fontId="7" fillId="0" borderId="10" xfId="1" applyFont="1" applyBorder="1"/>
    <xf numFmtId="0" fontId="7" fillId="0" borderId="11" xfId="1" applyFont="1" applyBorder="1"/>
    <xf numFmtId="0" fontId="7" fillId="2" borderId="9" xfId="1" applyFont="1" applyFill="1" applyBorder="1"/>
    <xf numFmtId="0" fontId="7" fillId="2" borderId="10" xfId="1" applyFont="1" applyFill="1" applyBorder="1"/>
    <xf numFmtId="0" fontId="7" fillId="2" borderId="11" xfId="1" applyFont="1" applyFill="1" applyBorder="1"/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4" xfId="1" applyBorder="1" applyAlignment="1">
      <alignment horizontal="center"/>
    </xf>
    <xf numFmtId="0" fontId="3" fillId="3" borderId="0" xfId="1" applyFont="1" applyFill="1"/>
    <xf numFmtId="0" fontId="2" fillId="3" borderId="0" xfId="1" applyFill="1"/>
    <xf numFmtId="0" fontId="10" fillId="3" borderId="0" xfId="1" applyFont="1" applyFill="1" applyAlignment="1">
      <alignment horizontal="center"/>
    </xf>
    <xf numFmtId="0" fontId="3" fillId="4" borderId="0" xfId="1" applyFont="1" applyFill="1"/>
    <xf numFmtId="0" fontId="2" fillId="4" borderId="0" xfId="1" applyFill="1"/>
    <xf numFmtId="49" fontId="2" fillId="4" borderId="0" xfId="1" applyNumberFormat="1" applyFill="1"/>
    <xf numFmtId="0" fontId="10" fillId="4" borderId="0" xfId="1" applyFont="1" applyFill="1" applyAlignment="1">
      <alignment horizontal="center"/>
    </xf>
    <xf numFmtId="0" fontId="12" fillId="0" borderId="0" xfId="0" applyFont="1">
      <alignment vertical="center"/>
    </xf>
    <xf numFmtId="0" fontId="2" fillId="7" borderId="13" xfId="1" applyFill="1" applyBorder="1"/>
    <xf numFmtId="0" fontId="2" fillId="7" borderId="14" xfId="1" applyFill="1" applyBorder="1"/>
    <xf numFmtId="0" fontId="8" fillId="0" borderId="0" xfId="0" applyFont="1">
      <alignment vertical="center"/>
    </xf>
    <xf numFmtId="0" fontId="7" fillId="0" borderId="5" xfId="1" applyFont="1" applyBorder="1" applyAlignment="1">
      <alignment horizontal="center" vertical="center"/>
    </xf>
    <xf numFmtId="176" fontId="13" fillId="0" borderId="0" xfId="0" applyNumberFormat="1" applyFont="1">
      <alignment vertical="center"/>
    </xf>
    <xf numFmtId="0" fontId="7" fillId="0" borderId="12" xfId="1" applyFont="1" applyBorder="1"/>
    <xf numFmtId="0" fontId="7" fillId="0" borderId="13" xfId="1" applyFont="1" applyBorder="1"/>
    <xf numFmtId="0" fontId="7" fillId="2" borderId="6" xfId="1" applyFont="1" applyFill="1" applyBorder="1"/>
    <xf numFmtId="0" fontId="2" fillId="0" borderId="9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2" borderId="1" xfId="1" applyFill="1" applyBorder="1"/>
    <xf numFmtId="0" fontId="7" fillId="0" borderId="19" xfId="1" applyFont="1" applyBorder="1"/>
    <xf numFmtId="0" fontId="12" fillId="0" borderId="20" xfId="0" applyFont="1" applyBorder="1">
      <alignment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right"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8" fillId="0" borderId="23" xfId="0" applyFont="1" applyBorder="1">
      <alignment vertical="center"/>
    </xf>
    <xf numFmtId="0" fontId="12" fillId="0" borderId="24" xfId="0" applyFont="1" applyBorder="1">
      <alignment vertical="center"/>
    </xf>
    <xf numFmtId="0" fontId="12" fillId="0" borderId="25" xfId="0" applyFont="1" applyBorder="1">
      <alignment vertical="center"/>
    </xf>
    <xf numFmtId="0" fontId="12" fillId="0" borderId="26" xfId="0" applyFont="1" applyBorder="1">
      <alignment vertical="center"/>
    </xf>
    <xf numFmtId="0" fontId="5" fillId="0" borderId="12" xfId="1" applyFont="1" applyBorder="1"/>
    <xf numFmtId="0" fontId="5" fillId="0" borderId="13" xfId="1" applyFont="1" applyBorder="1"/>
    <xf numFmtId="0" fontId="14" fillId="0" borderId="5" xfId="1" applyFont="1" applyBorder="1" applyAlignment="1">
      <alignment horizontal="center" vertical="center"/>
    </xf>
    <xf numFmtId="0" fontId="15" fillId="0" borderId="12" xfId="1" applyFont="1" applyBorder="1"/>
    <xf numFmtId="0" fontId="15" fillId="0" borderId="13" xfId="1" applyFont="1" applyBorder="1"/>
    <xf numFmtId="0" fontId="15" fillId="0" borderId="14" xfId="1" applyFont="1" applyBorder="1"/>
    <xf numFmtId="0" fontId="15" fillId="2" borderId="6" xfId="1" applyFont="1" applyFill="1" applyBorder="1"/>
    <xf numFmtId="56" fontId="16" fillId="0" borderId="0" xfId="0" applyNumberFormat="1" applyFont="1" applyAlignment="1">
      <alignment horizontal="left" vertical="center"/>
    </xf>
    <xf numFmtId="0" fontId="15" fillId="0" borderId="5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/>
    <xf numFmtId="0" fontId="6" fillId="0" borderId="0" xfId="1" applyFont="1" applyAlignment="1">
      <alignment horizontal="right" vertical="center"/>
    </xf>
    <xf numFmtId="0" fontId="2" fillId="8" borderId="13" xfId="1" applyFill="1" applyBorder="1"/>
    <xf numFmtId="0" fontId="2" fillId="8" borderId="14" xfId="1" applyFill="1" applyBorder="1"/>
    <xf numFmtId="0" fontId="2" fillId="0" borderId="5" xfId="1" applyBorder="1" applyAlignment="1">
      <alignment horizontal="center" vertical="center" shrinkToFit="1"/>
    </xf>
    <xf numFmtId="0" fontId="5" fillId="0" borderId="14" xfId="1" applyFont="1" applyBorder="1"/>
    <xf numFmtId="0" fontId="5" fillId="2" borderId="6" xfId="1" applyFont="1" applyFill="1" applyBorder="1"/>
    <xf numFmtId="0" fontId="2" fillId="0" borderId="18" xfId="1" applyBorder="1"/>
    <xf numFmtId="0" fontId="7" fillId="9" borderId="13" xfId="1" applyFont="1" applyFill="1" applyBorder="1"/>
    <xf numFmtId="0" fontId="7" fillId="9" borderId="14" xfId="1" applyFont="1" applyFill="1" applyBorder="1"/>
    <xf numFmtId="0" fontId="2" fillId="6" borderId="13" xfId="1" applyFill="1" applyBorder="1"/>
    <xf numFmtId="0" fontId="2" fillId="6" borderId="14" xfId="1" applyFill="1" applyBorder="1"/>
    <xf numFmtId="0" fontId="5" fillId="6" borderId="13" xfId="1" applyFont="1" applyFill="1" applyBorder="1"/>
    <xf numFmtId="0" fontId="5" fillId="6" borderId="14" xfId="1" applyFont="1" applyFill="1" applyBorder="1"/>
    <xf numFmtId="0" fontId="17" fillId="0" borderId="0" xfId="0" applyFont="1">
      <alignment vertical="center"/>
    </xf>
    <xf numFmtId="56" fontId="0" fillId="0" borderId="0" xfId="0" applyNumberFormat="1" applyAlignment="1">
      <alignment horizontal="left" vertical="center"/>
    </xf>
    <xf numFmtId="0" fontId="2" fillId="9" borderId="13" xfId="1" applyFill="1" applyBorder="1"/>
    <xf numFmtId="0" fontId="2" fillId="9" borderId="14" xfId="1" applyFill="1" applyBorder="1"/>
    <xf numFmtId="0" fontId="6" fillId="0" borderId="5" xfId="1" applyFont="1" applyBorder="1" applyAlignment="1">
      <alignment horizontal="center" vertical="center"/>
    </xf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/>
    <xf numFmtId="0" fontId="6" fillId="2" borderId="6" xfId="1" applyFont="1" applyFill="1" applyBorder="1"/>
    <xf numFmtId="56" fontId="9" fillId="0" borderId="0" xfId="0" applyNumberFormat="1" applyFont="1">
      <alignment vertical="center"/>
    </xf>
    <xf numFmtId="0" fontId="7" fillId="0" borderId="14" xfId="1" applyFont="1" applyBorder="1"/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5" fillId="9" borderId="13" xfId="1" applyFont="1" applyFill="1" applyBorder="1"/>
    <xf numFmtId="0" fontId="5" fillId="9" borderId="14" xfId="1" applyFont="1" applyFill="1" applyBorder="1"/>
    <xf numFmtId="0" fontId="11" fillId="5" borderId="2" xfId="1" applyFont="1" applyFill="1" applyBorder="1" applyAlignment="1">
      <alignment horizontal="center"/>
    </xf>
    <xf numFmtId="0" fontId="11" fillId="5" borderId="3" xfId="1" applyFont="1" applyFill="1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0" fontId="2" fillId="0" borderId="12" xfId="1" applyFont="1" applyBorder="1"/>
    <xf numFmtId="0" fontId="2" fillId="0" borderId="13" xfId="1" applyFont="1" applyBorder="1"/>
    <xf numFmtId="0" fontId="2" fillId="0" borderId="14" xfId="1" applyFont="1" applyBorder="1"/>
    <xf numFmtId="0" fontId="2" fillId="2" borderId="6" xfId="1" applyFon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S1988"/>
  <sheetViews>
    <sheetView tabSelected="1" topLeftCell="A229" zoomScaleNormal="100" workbookViewId="0">
      <selection activeCell="I237" sqref="I237"/>
    </sheetView>
  </sheetViews>
  <sheetFormatPr defaultRowHeight="13.5" x14ac:dyDescent="0.15"/>
  <cols>
    <col min="1" max="1" width="23.5" customWidth="1"/>
    <col min="2" max="8" width="10.875" customWidth="1"/>
    <col min="9" max="9" width="21.125" style="11" customWidth="1"/>
    <col min="10" max="10" width="47.5" customWidth="1"/>
    <col min="11" max="17" width="8.375" customWidth="1"/>
    <col min="18" max="18" width="14.375" style="11" customWidth="1"/>
  </cols>
  <sheetData>
    <row r="1" spans="1:18" ht="21.75" thickBot="1" x14ac:dyDescent="0.25">
      <c r="A1" s="40" t="s">
        <v>50</v>
      </c>
      <c r="B1" s="41"/>
      <c r="C1" s="41"/>
      <c r="D1" s="41"/>
      <c r="E1" s="41"/>
      <c r="F1" s="41"/>
      <c r="G1" s="41"/>
      <c r="H1" s="43"/>
      <c r="J1" s="40" t="s">
        <v>51</v>
      </c>
      <c r="K1" s="41"/>
      <c r="L1" s="41"/>
      <c r="M1" s="41"/>
      <c r="N1" s="41"/>
      <c r="O1" s="42"/>
      <c r="P1" s="41"/>
      <c r="Q1" s="43"/>
    </row>
    <row r="2" spans="1:18" ht="14.25" thickBot="1" x14ac:dyDescent="0.2">
      <c r="A2" s="1" t="s">
        <v>0</v>
      </c>
      <c r="B2" s="106" t="s">
        <v>14</v>
      </c>
      <c r="C2" s="106"/>
      <c r="D2" s="106"/>
      <c r="E2" s="106"/>
      <c r="F2" s="106"/>
      <c r="G2" s="106"/>
      <c r="H2" s="107"/>
      <c r="J2" s="1" t="s">
        <v>0</v>
      </c>
      <c r="K2" s="106" t="s">
        <v>14</v>
      </c>
      <c r="L2" s="106"/>
      <c r="M2" s="106"/>
      <c r="N2" s="106"/>
      <c r="O2" s="106"/>
      <c r="P2" s="106"/>
      <c r="Q2" s="107"/>
      <c r="R2" s="44" t="s">
        <v>17</v>
      </c>
    </row>
    <row r="3" spans="1:18" ht="14.25" thickBot="1" x14ac:dyDescent="0.2">
      <c r="A3" s="1" t="s">
        <v>1</v>
      </c>
      <c r="B3" s="16" t="s">
        <v>2</v>
      </c>
      <c r="C3" s="17" t="s">
        <v>9</v>
      </c>
      <c r="D3" s="17" t="s">
        <v>10</v>
      </c>
      <c r="E3" s="17" t="s">
        <v>11</v>
      </c>
      <c r="F3" s="17" t="s">
        <v>12</v>
      </c>
      <c r="G3" s="18" t="s">
        <v>13</v>
      </c>
      <c r="H3" s="1" t="s">
        <v>3</v>
      </c>
      <c r="J3" s="1" t="s">
        <v>1</v>
      </c>
      <c r="K3" s="16" t="s">
        <v>2</v>
      </c>
      <c r="L3" s="17" t="s">
        <v>9</v>
      </c>
      <c r="M3" s="17" t="s">
        <v>10</v>
      </c>
      <c r="N3" s="17" t="s">
        <v>11</v>
      </c>
      <c r="O3" s="17" t="s">
        <v>12</v>
      </c>
      <c r="P3" s="18" t="s">
        <v>13</v>
      </c>
      <c r="Q3" s="1" t="s">
        <v>3</v>
      </c>
    </row>
    <row r="4" spans="1:18" ht="14.25" thickBot="1" x14ac:dyDescent="0.2">
      <c r="A4" s="1" t="s">
        <v>4</v>
      </c>
      <c r="B4" s="53">
        <v>5</v>
      </c>
      <c r="C4" s="54">
        <v>5</v>
      </c>
      <c r="D4" s="54">
        <v>5</v>
      </c>
      <c r="E4" s="54">
        <v>5</v>
      </c>
      <c r="F4" s="54">
        <v>5</v>
      </c>
      <c r="G4" s="55">
        <v>5</v>
      </c>
      <c r="H4" s="56">
        <f>SUM(B4:G4)</f>
        <v>30</v>
      </c>
      <c r="I4" s="13">
        <v>45926</v>
      </c>
      <c r="J4" s="1" t="s">
        <v>24</v>
      </c>
      <c r="K4" s="53">
        <v>18</v>
      </c>
      <c r="L4" s="54">
        <v>17</v>
      </c>
      <c r="M4" s="54">
        <v>0</v>
      </c>
      <c r="N4" s="54">
        <v>10</v>
      </c>
      <c r="O4" s="54">
        <v>18</v>
      </c>
      <c r="P4" s="55">
        <v>21</v>
      </c>
      <c r="Q4" s="56">
        <f>SUM(K4:P4)</f>
        <v>84</v>
      </c>
      <c r="R4" s="13" t="s">
        <v>29</v>
      </c>
    </row>
    <row r="5" spans="1:18" x14ac:dyDescent="0.15">
      <c r="A5" s="3" t="s">
        <v>5</v>
      </c>
      <c r="B5" s="22">
        <v>3</v>
      </c>
      <c r="C5" s="23"/>
      <c r="D5" s="23">
        <v>3</v>
      </c>
      <c r="E5" s="23">
        <v>3</v>
      </c>
      <c r="F5" s="23"/>
      <c r="G5" s="24"/>
      <c r="H5" s="4">
        <f t="shared" ref="H5:H12" si="0">SUM(B5:G5)</f>
        <v>9</v>
      </c>
      <c r="I5" s="13">
        <v>45931</v>
      </c>
      <c r="J5" s="3" t="s">
        <v>5</v>
      </c>
      <c r="K5" s="34"/>
      <c r="L5" s="35"/>
      <c r="M5" s="35"/>
      <c r="N5" s="35"/>
      <c r="O5" s="35"/>
      <c r="P5" s="36"/>
      <c r="Q5" s="4">
        <f t="shared" ref="Q5" si="1">SUM(K5:P5)</f>
        <v>0</v>
      </c>
    </row>
    <row r="6" spans="1:18" x14ac:dyDescent="0.15">
      <c r="A6" s="69" t="s">
        <v>5</v>
      </c>
      <c r="B6" s="70">
        <v>5</v>
      </c>
      <c r="C6" s="71"/>
      <c r="D6" s="71">
        <v>3</v>
      </c>
      <c r="E6" s="71">
        <v>3</v>
      </c>
      <c r="F6" s="71"/>
      <c r="G6" s="72"/>
      <c r="H6" s="73">
        <f t="shared" si="0"/>
        <v>11</v>
      </c>
      <c r="I6" s="74">
        <v>45938</v>
      </c>
      <c r="J6" s="3" t="s">
        <v>5</v>
      </c>
      <c r="K6" s="34"/>
      <c r="L6" s="35"/>
      <c r="M6" s="35"/>
      <c r="N6" s="35"/>
      <c r="O6" s="35"/>
      <c r="P6" s="36"/>
      <c r="Q6" s="4">
        <f t="shared" ref="Q6:Q7" si="2">SUM(K6:P6)</f>
        <v>0</v>
      </c>
    </row>
    <row r="7" spans="1:18" x14ac:dyDescent="0.15">
      <c r="A7" s="3" t="s">
        <v>5</v>
      </c>
      <c r="B7" s="22"/>
      <c r="C7" s="23">
        <v>5</v>
      </c>
      <c r="D7" s="23">
        <v>5</v>
      </c>
      <c r="E7" s="23"/>
      <c r="F7" s="23"/>
      <c r="G7" s="24"/>
      <c r="H7" s="4">
        <f t="shared" si="0"/>
        <v>10</v>
      </c>
      <c r="I7" s="13">
        <v>45940</v>
      </c>
      <c r="J7" s="3" t="s">
        <v>5</v>
      </c>
      <c r="K7" s="34"/>
      <c r="L7" s="35"/>
      <c r="M7" s="35"/>
      <c r="N7" s="35"/>
      <c r="O7" s="35"/>
      <c r="P7" s="36"/>
      <c r="Q7" s="4">
        <f t="shared" si="2"/>
        <v>0</v>
      </c>
    </row>
    <row r="8" spans="1:18" x14ac:dyDescent="0.15">
      <c r="A8" s="3" t="s">
        <v>5</v>
      </c>
      <c r="B8" s="22"/>
      <c r="C8" s="23">
        <v>5</v>
      </c>
      <c r="D8" s="23">
        <v>5</v>
      </c>
      <c r="E8" s="23"/>
      <c r="F8" s="23"/>
      <c r="G8" s="24"/>
      <c r="H8" s="4">
        <f t="shared" ref="H8:H11" si="3">SUM(B8:G8)</f>
        <v>10</v>
      </c>
      <c r="I8" s="13">
        <v>45968</v>
      </c>
      <c r="J8" s="3" t="s">
        <v>69</v>
      </c>
      <c r="K8" s="34">
        <v>120</v>
      </c>
      <c r="L8" s="35">
        <v>300</v>
      </c>
      <c r="M8" s="35">
        <v>200</v>
      </c>
      <c r="N8" s="35">
        <v>80</v>
      </c>
      <c r="O8" s="35">
        <v>40</v>
      </c>
      <c r="P8" s="36">
        <v>20</v>
      </c>
      <c r="Q8" s="4">
        <f t="shared" ref="Q8" si="4">SUM(K8:P8)</f>
        <v>760</v>
      </c>
      <c r="R8" s="13" t="s">
        <v>31</v>
      </c>
    </row>
    <row r="9" spans="1:18" x14ac:dyDescent="0.15">
      <c r="A9" s="3" t="s">
        <v>5</v>
      </c>
      <c r="B9" s="22"/>
      <c r="C9" s="23"/>
      <c r="D9" s="23"/>
      <c r="E9" s="23"/>
      <c r="F9" s="23"/>
      <c r="G9" s="24"/>
      <c r="H9" s="4">
        <f t="shared" ref="H9" si="5">SUM(B9:G9)</f>
        <v>0</v>
      </c>
      <c r="I9" s="14"/>
      <c r="J9" s="3" t="s">
        <v>5</v>
      </c>
      <c r="K9" s="34"/>
      <c r="L9" s="35"/>
      <c r="M9" s="35"/>
      <c r="N9" s="35"/>
      <c r="O9" s="35"/>
      <c r="P9" s="36"/>
      <c r="Q9" s="4">
        <f t="shared" ref="Q9:Q26" si="6">SUM(K9:P9)</f>
        <v>0</v>
      </c>
    </row>
    <row r="10" spans="1:18" x14ac:dyDescent="0.15">
      <c r="A10" s="3" t="s">
        <v>5</v>
      </c>
      <c r="B10" s="22"/>
      <c r="C10" s="23"/>
      <c r="D10" s="23"/>
      <c r="E10" s="23"/>
      <c r="F10" s="23"/>
      <c r="G10" s="24"/>
      <c r="H10" s="4">
        <f t="shared" si="3"/>
        <v>0</v>
      </c>
      <c r="I10" s="14"/>
      <c r="J10" s="3" t="s">
        <v>5</v>
      </c>
      <c r="K10" s="34"/>
      <c r="L10" s="35"/>
      <c r="M10" s="35"/>
      <c r="N10" s="35"/>
      <c r="O10" s="35"/>
      <c r="P10" s="36"/>
      <c r="Q10" s="4">
        <f t="shared" si="6"/>
        <v>0</v>
      </c>
    </row>
    <row r="11" spans="1:18" x14ac:dyDescent="0.15">
      <c r="A11" s="3" t="s">
        <v>5</v>
      </c>
      <c r="B11" s="22"/>
      <c r="C11" s="23"/>
      <c r="D11" s="23"/>
      <c r="E11" s="23"/>
      <c r="F11" s="23"/>
      <c r="G11" s="24"/>
      <c r="H11" s="4">
        <f t="shared" si="3"/>
        <v>0</v>
      </c>
      <c r="I11" s="14"/>
      <c r="J11" s="3" t="s">
        <v>5</v>
      </c>
      <c r="K11" s="34"/>
      <c r="L11" s="35"/>
      <c r="M11" s="35"/>
      <c r="N11" s="35"/>
      <c r="O11" s="35"/>
      <c r="P11" s="36"/>
      <c r="Q11" s="4">
        <f t="shared" ref="Q11" si="7">SUM(K11:P11)</f>
        <v>0</v>
      </c>
    </row>
    <row r="12" spans="1:18" x14ac:dyDescent="0.15">
      <c r="A12" s="3" t="s">
        <v>5</v>
      </c>
      <c r="B12" s="22"/>
      <c r="C12" s="23"/>
      <c r="D12" s="23"/>
      <c r="E12" s="23"/>
      <c r="F12" s="23"/>
      <c r="G12" s="24"/>
      <c r="H12" s="4">
        <f t="shared" si="0"/>
        <v>0</v>
      </c>
      <c r="I12" s="14"/>
      <c r="J12" s="3" t="s">
        <v>5</v>
      </c>
      <c r="K12" s="34"/>
      <c r="L12" s="35"/>
      <c r="M12" s="35"/>
      <c r="N12" s="35"/>
      <c r="O12" s="35"/>
      <c r="P12" s="36"/>
      <c r="Q12" s="4">
        <f t="shared" si="6"/>
        <v>0</v>
      </c>
    </row>
    <row r="13" spans="1:18" x14ac:dyDescent="0.15">
      <c r="A13" s="3" t="s">
        <v>5</v>
      </c>
      <c r="B13" s="22"/>
      <c r="C13" s="23"/>
      <c r="D13" s="23"/>
      <c r="E13" s="23"/>
      <c r="F13" s="23"/>
      <c r="G13" s="24"/>
      <c r="H13" s="4">
        <f t="shared" ref="H13:H39" si="8">SUM(B13:G13)</f>
        <v>0</v>
      </c>
      <c r="I13" s="14"/>
      <c r="J13" s="3" t="s">
        <v>5</v>
      </c>
      <c r="K13" s="34"/>
      <c r="L13" s="35"/>
      <c r="M13" s="35"/>
      <c r="N13" s="35"/>
      <c r="O13" s="35"/>
      <c r="P13" s="36"/>
      <c r="Q13" s="4">
        <f t="shared" ref="Q13" si="9">SUM(K13:P13)</f>
        <v>0</v>
      </c>
    </row>
    <row r="14" spans="1:18" ht="14.25" thickBot="1" x14ac:dyDescent="0.2">
      <c r="A14" s="6" t="s">
        <v>5</v>
      </c>
      <c r="B14" s="25"/>
      <c r="C14" s="26"/>
      <c r="D14" s="26"/>
      <c r="E14" s="26"/>
      <c r="F14" s="26"/>
      <c r="G14" s="27"/>
      <c r="H14" s="7">
        <f t="shared" si="8"/>
        <v>0</v>
      </c>
      <c r="I14" s="14"/>
      <c r="J14" s="3" t="s">
        <v>5</v>
      </c>
      <c r="K14" s="34"/>
      <c r="L14" s="35"/>
      <c r="M14" s="35"/>
      <c r="N14" s="35"/>
      <c r="O14" s="35"/>
      <c r="P14" s="36"/>
      <c r="Q14" s="4">
        <f t="shared" ref="Q14" si="10">SUM(K14:P14)</f>
        <v>0</v>
      </c>
    </row>
    <row r="15" spans="1:18" ht="14.25" thickBot="1" x14ac:dyDescent="0.2">
      <c r="A15" s="8" t="s">
        <v>6</v>
      </c>
      <c r="B15" s="28">
        <f>SUM(B4:B14)</f>
        <v>13</v>
      </c>
      <c r="C15" s="29">
        <f t="shared" ref="C15:F15" si="11">SUM(C4:C14)</f>
        <v>15</v>
      </c>
      <c r="D15" s="29">
        <f t="shared" si="11"/>
        <v>21</v>
      </c>
      <c r="E15" s="29">
        <f t="shared" si="11"/>
        <v>11</v>
      </c>
      <c r="F15" s="29">
        <f t="shared" si="11"/>
        <v>5</v>
      </c>
      <c r="G15" s="30">
        <f t="shared" ref="G15" si="12">SUM(G4:G14)</f>
        <v>5</v>
      </c>
      <c r="H15" s="9">
        <f t="shared" si="8"/>
        <v>70</v>
      </c>
      <c r="J15" s="8" t="s">
        <v>6</v>
      </c>
      <c r="K15" s="28">
        <f>SUM(K4:K14)</f>
        <v>138</v>
      </c>
      <c r="L15" s="29">
        <f t="shared" ref="L15:P15" si="13">SUM(L4:L14)</f>
        <v>317</v>
      </c>
      <c r="M15" s="29">
        <f t="shared" si="13"/>
        <v>200</v>
      </c>
      <c r="N15" s="29">
        <f t="shared" si="13"/>
        <v>90</v>
      </c>
      <c r="O15" s="29">
        <f t="shared" si="13"/>
        <v>58</v>
      </c>
      <c r="P15" s="30">
        <f t="shared" si="13"/>
        <v>41</v>
      </c>
      <c r="Q15" s="9">
        <f t="shared" si="6"/>
        <v>844</v>
      </c>
    </row>
    <row r="16" spans="1:18" s="5" customFormat="1" x14ac:dyDescent="0.15">
      <c r="A16" s="15" t="s">
        <v>33</v>
      </c>
      <c r="B16" s="22">
        <v>1</v>
      </c>
      <c r="C16" s="23"/>
      <c r="D16" s="23">
        <v>3</v>
      </c>
      <c r="E16" s="23">
        <v>1</v>
      </c>
      <c r="F16" s="23"/>
      <c r="G16" s="24"/>
      <c r="H16" s="4">
        <f t="shared" ref="H16:H25" si="14">SUM(B16:G16)</f>
        <v>5</v>
      </c>
      <c r="I16" s="13">
        <v>45929</v>
      </c>
      <c r="J16" s="15" t="s">
        <v>32</v>
      </c>
      <c r="K16" s="22">
        <v>5</v>
      </c>
      <c r="L16" s="23">
        <v>5</v>
      </c>
      <c r="M16" s="23">
        <v>5</v>
      </c>
      <c r="N16" s="23">
        <v>5</v>
      </c>
      <c r="O16" s="23">
        <v>5</v>
      </c>
      <c r="P16" s="24">
        <v>5</v>
      </c>
      <c r="Q16" s="4">
        <f t="shared" ref="Q16:Q25" si="15">SUM(K16:P16)</f>
        <v>30</v>
      </c>
      <c r="R16" s="13">
        <v>45926</v>
      </c>
    </row>
    <row r="17" spans="1:18" s="5" customFormat="1" x14ac:dyDescent="0.15">
      <c r="A17" s="15" t="s">
        <v>35</v>
      </c>
      <c r="B17" s="22">
        <v>2</v>
      </c>
      <c r="C17" s="23">
        <v>2</v>
      </c>
      <c r="D17" s="23"/>
      <c r="E17" s="23">
        <v>2</v>
      </c>
      <c r="F17" s="23"/>
      <c r="G17" s="24"/>
      <c r="H17" s="4">
        <f t="shared" si="14"/>
        <v>6</v>
      </c>
      <c r="I17" s="13">
        <v>45932</v>
      </c>
      <c r="J17" s="15" t="s">
        <v>34</v>
      </c>
      <c r="K17" s="22">
        <v>6</v>
      </c>
      <c r="L17" s="23">
        <v>7</v>
      </c>
      <c r="M17" s="23">
        <v>10</v>
      </c>
      <c r="N17" s="23">
        <v>1</v>
      </c>
      <c r="O17" s="23"/>
      <c r="P17" s="24"/>
      <c r="Q17" s="4">
        <f t="shared" si="15"/>
        <v>24</v>
      </c>
      <c r="R17" s="13">
        <v>45931</v>
      </c>
    </row>
    <row r="18" spans="1:18" s="5" customFormat="1" x14ac:dyDescent="0.15">
      <c r="A18" s="15" t="s">
        <v>36</v>
      </c>
      <c r="B18" s="22">
        <v>2</v>
      </c>
      <c r="C18" s="23"/>
      <c r="D18" s="23"/>
      <c r="E18" s="23">
        <v>1</v>
      </c>
      <c r="F18" s="23"/>
      <c r="G18" s="24"/>
      <c r="H18" s="4">
        <f t="shared" si="14"/>
        <v>3</v>
      </c>
      <c r="I18" s="13">
        <v>45933</v>
      </c>
      <c r="J18" s="15" t="s">
        <v>32</v>
      </c>
      <c r="K18" s="22">
        <v>3</v>
      </c>
      <c r="L18" s="23"/>
      <c r="M18" s="23">
        <v>3</v>
      </c>
      <c r="N18" s="23">
        <v>3</v>
      </c>
      <c r="O18" s="23"/>
      <c r="P18" s="24"/>
      <c r="Q18" s="4">
        <f t="shared" si="15"/>
        <v>9</v>
      </c>
      <c r="R18" s="13">
        <v>45931</v>
      </c>
    </row>
    <row r="19" spans="1:18" s="5" customFormat="1" x14ac:dyDescent="0.15">
      <c r="A19" s="15" t="s">
        <v>37</v>
      </c>
      <c r="B19" s="22"/>
      <c r="C19" s="23"/>
      <c r="D19" s="23">
        <v>1</v>
      </c>
      <c r="E19" s="23"/>
      <c r="F19" s="23"/>
      <c r="G19" s="24"/>
      <c r="H19" s="4">
        <f t="shared" si="14"/>
        <v>1</v>
      </c>
      <c r="I19" s="13">
        <v>45933</v>
      </c>
      <c r="J19" s="15" t="s">
        <v>32</v>
      </c>
      <c r="K19" s="22">
        <v>5</v>
      </c>
      <c r="L19" s="23"/>
      <c r="M19" s="23">
        <v>3</v>
      </c>
      <c r="N19" s="23">
        <v>3</v>
      </c>
      <c r="O19" s="23"/>
      <c r="P19" s="24"/>
      <c r="Q19" s="4">
        <f t="shared" si="15"/>
        <v>11</v>
      </c>
      <c r="R19" s="13">
        <v>45938</v>
      </c>
    </row>
    <row r="20" spans="1:18" s="5" customFormat="1" x14ac:dyDescent="0.15">
      <c r="A20" s="15" t="s">
        <v>38</v>
      </c>
      <c r="B20" s="22">
        <v>2</v>
      </c>
      <c r="C20" s="23"/>
      <c r="D20" s="23"/>
      <c r="E20" s="23"/>
      <c r="F20" s="23"/>
      <c r="G20" s="24"/>
      <c r="H20" s="4">
        <f t="shared" si="14"/>
        <v>2</v>
      </c>
      <c r="I20" s="13">
        <v>45936</v>
      </c>
      <c r="J20" s="15" t="s">
        <v>44</v>
      </c>
      <c r="K20" s="22">
        <v>20</v>
      </c>
      <c r="L20" s="23">
        <v>25</v>
      </c>
      <c r="M20" s="23">
        <v>15</v>
      </c>
      <c r="N20" s="23">
        <v>15</v>
      </c>
      <c r="O20" s="23"/>
      <c r="P20" s="24"/>
      <c r="Q20" s="4">
        <f t="shared" si="15"/>
        <v>75</v>
      </c>
      <c r="R20" s="13">
        <v>45946</v>
      </c>
    </row>
    <row r="21" spans="1:18" s="5" customFormat="1" x14ac:dyDescent="0.15">
      <c r="A21" s="15" t="s">
        <v>39</v>
      </c>
      <c r="B21" s="22"/>
      <c r="C21" s="23"/>
      <c r="D21" s="23">
        <v>1</v>
      </c>
      <c r="E21" s="23"/>
      <c r="F21" s="23"/>
      <c r="G21" s="24"/>
      <c r="H21" s="4">
        <f t="shared" si="14"/>
        <v>1</v>
      </c>
      <c r="I21" s="13">
        <v>45938</v>
      </c>
      <c r="J21" s="15" t="s">
        <v>45</v>
      </c>
      <c r="K21" s="22"/>
      <c r="L21" s="23">
        <v>5</v>
      </c>
      <c r="M21" s="23">
        <v>5</v>
      </c>
      <c r="N21" s="23"/>
      <c r="O21" s="23"/>
      <c r="P21" s="24"/>
      <c r="Q21" s="4">
        <f t="shared" si="15"/>
        <v>10</v>
      </c>
      <c r="R21" s="13">
        <v>45940</v>
      </c>
    </row>
    <row r="22" spans="1:18" s="5" customFormat="1" x14ac:dyDescent="0.15">
      <c r="A22" s="15" t="s">
        <v>42</v>
      </c>
      <c r="B22" s="22"/>
      <c r="C22" s="23"/>
      <c r="D22" s="23">
        <v>1</v>
      </c>
      <c r="E22" s="23">
        <v>2</v>
      </c>
      <c r="F22" s="23"/>
      <c r="G22" s="24"/>
      <c r="H22" s="4">
        <f t="shared" si="14"/>
        <v>3</v>
      </c>
      <c r="I22" s="13">
        <v>45939</v>
      </c>
      <c r="J22" s="75" t="s">
        <v>58</v>
      </c>
      <c r="K22" s="70"/>
      <c r="L22" s="71">
        <v>40</v>
      </c>
      <c r="M22" s="71">
        <v>20</v>
      </c>
      <c r="N22" s="71">
        <v>5</v>
      </c>
      <c r="O22" s="71"/>
      <c r="P22" s="72"/>
      <c r="Q22" s="73">
        <f t="shared" si="15"/>
        <v>65</v>
      </c>
      <c r="R22" s="74">
        <v>45960</v>
      </c>
    </row>
    <row r="23" spans="1:18" s="5" customFormat="1" x14ac:dyDescent="0.15">
      <c r="A23" s="15" t="s">
        <v>43</v>
      </c>
      <c r="B23" s="22">
        <v>1</v>
      </c>
      <c r="C23" s="23">
        <v>1</v>
      </c>
      <c r="D23" s="23">
        <v>2</v>
      </c>
      <c r="E23" s="23"/>
      <c r="F23" s="23"/>
      <c r="G23" s="24"/>
      <c r="H23" s="4">
        <f t="shared" si="14"/>
        <v>4</v>
      </c>
      <c r="I23" s="13">
        <v>45940</v>
      </c>
      <c r="J23" s="15" t="s">
        <v>62</v>
      </c>
      <c r="K23" s="22">
        <v>20</v>
      </c>
      <c r="L23" s="23"/>
      <c r="M23" s="23"/>
      <c r="N23" s="23">
        <v>20</v>
      </c>
      <c r="O23" s="23"/>
      <c r="P23" s="24"/>
      <c r="Q23" s="4">
        <f t="shared" si="15"/>
        <v>40</v>
      </c>
      <c r="R23" s="13">
        <v>45961</v>
      </c>
    </row>
    <row r="24" spans="1:18" s="5" customFormat="1" x14ac:dyDescent="0.15">
      <c r="A24" s="15" t="s">
        <v>46</v>
      </c>
      <c r="B24" s="22"/>
      <c r="C24" s="23">
        <v>1</v>
      </c>
      <c r="D24" s="23"/>
      <c r="E24" s="23"/>
      <c r="F24" s="23"/>
      <c r="G24" s="24"/>
      <c r="H24" s="4">
        <f t="shared" si="14"/>
        <v>1</v>
      </c>
      <c r="I24" s="13">
        <v>45940</v>
      </c>
      <c r="J24" s="15" t="s">
        <v>64</v>
      </c>
      <c r="K24" s="22"/>
      <c r="L24" s="23"/>
      <c r="M24" s="23">
        <v>10</v>
      </c>
      <c r="N24" s="23"/>
      <c r="O24" s="23"/>
      <c r="P24" s="24"/>
      <c r="Q24" s="4">
        <f t="shared" si="15"/>
        <v>10</v>
      </c>
      <c r="R24" s="13">
        <v>45962</v>
      </c>
    </row>
    <row r="25" spans="1:18" s="5" customFormat="1" x14ac:dyDescent="0.15">
      <c r="A25" s="15" t="s">
        <v>47</v>
      </c>
      <c r="B25" s="22"/>
      <c r="C25" s="23">
        <v>1</v>
      </c>
      <c r="D25" s="23"/>
      <c r="E25" s="23"/>
      <c r="F25" s="23"/>
      <c r="G25" s="24"/>
      <c r="H25" s="4">
        <f t="shared" si="14"/>
        <v>1</v>
      </c>
      <c r="I25" s="13">
        <v>45944</v>
      </c>
      <c r="J25" s="15" t="s">
        <v>66</v>
      </c>
      <c r="K25" s="22"/>
      <c r="L25" s="23">
        <v>5</v>
      </c>
      <c r="M25" s="23">
        <v>5</v>
      </c>
      <c r="N25" s="23"/>
      <c r="O25" s="23"/>
      <c r="P25" s="24"/>
      <c r="Q25" s="4">
        <f t="shared" si="15"/>
        <v>10</v>
      </c>
      <c r="R25" s="13">
        <v>45968</v>
      </c>
    </row>
    <row r="26" spans="1:18" s="5" customFormat="1" x14ac:dyDescent="0.15">
      <c r="A26" s="15" t="s">
        <v>48</v>
      </c>
      <c r="B26" s="22"/>
      <c r="C26" s="23"/>
      <c r="D26" s="23">
        <v>3</v>
      </c>
      <c r="E26" s="23"/>
      <c r="F26" s="23"/>
      <c r="G26" s="24"/>
      <c r="H26" s="4">
        <f t="shared" si="8"/>
        <v>3</v>
      </c>
      <c r="I26" s="13">
        <v>45946</v>
      </c>
      <c r="J26" s="81" t="s">
        <v>77</v>
      </c>
      <c r="K26" s="22">
        <v>6</v>
      </c>
      <c r="L26" s="23">
        <v>11</v>
      </c>
      <c r="M26" s="23">
        <v>12</v>
      </c>
      <c r="N26" s="23">
        <v>2</v>
      </c>
      <c r="O26" s="23">
        <v>1</v>
      </c>
      <c r="P26" s="24">
        <v>4</v>
      </c>
      <c r="Q26" s="4">
        <f t="shared" si="6"/>
        <v>36</v>
      </c>
      <c r="R26" s="13">
        <v>45990</v>
      </c>
    </row>
    <row r="27" spans="1:18" s="5" customFormat="1" x14ac:dyDescent="0.15">
      <c r="A27" s="15" t="s">
        <v>49</v>
      </c>
      <c r="B27" s="22"/>
      <c r="C27" s="23"/>
      <c r="D27" s="23">
        <v>1</v>
      </c>
      <c r="E27" s="23"/>
      <c r="F27" s="23"/>
      <c r="G27" s="24"/>
      <c r="H27" s="4">
        <f t="shared" si="8"/>
        <v>1</v>
      </c>
      <c r="I27" s="13">
        <v>45947</v>
      </c>
      <c r="J27" s="81" t="s">
        <v>78</v>
      </c>
      <c r="K27" s="22">
        <v>6</v>
      </c>
      <c r="L27" s="23">
        <v>10</v>
      </c>
      <c r="M27" s="23">
        <v>9</v>
      </c>
      <c r="N27" s="23">
        <v>3</v>
      </c>
      <c r="O27" s="23">
        <v>1</v>
      </c>
      <c r="P27" s="24">
        <v>1</v>
      </c>
      <c r="Q27" s="4">
        <f t="shared" ref="Q27" si="16">SUM(K27:P27)</f>
        <v>30</v>
      </c>
      <c r="R27" s="13">
        <v>45993</v>
      </c>
    </row>
    <row r="28" spans="1:18" s="5" customFormat="1" x14ac:dyDescent="0.15">
      <c r="A28" s="15" t="s">
        <v>52</v>
      </c>
      <c r="B28" s="22"/>
      <c r="C28" s="23">
        <v>2</v>
      </c>
      <c r="D28" s="23"/>
      <c r="E28" s="23"/>
      <c r="F28" s="23"/>
      <c r="G28" s="24"/>
      <c r="H28" s="4">
        <f t="shared" si="8"/>
        <v>2</v>
      </c>
      <c r="I28" s="13">
        <v>45947</v>
      </c>
      <c r="J28" s="15" t="s">
        <v>81</v>
      </c>
      <c r="K28" s="22">
        <v>12</v>
      </c>
      <c r="L28" s="23">
        <v>18</v>
      </c>
      <c r="M28" s="23">
        <v>12</v>
      </c>
      <c r="N28" s="23"/>
      <c r="O28" s="23"/>
      <c r="P28" s="24"/>
      <c r="Q28" s="4">
        <f t="shared" ref="Q28:Q36" si="17">SUM(K28:P28)</f>
        <v>42</v>
      </c>
      <c r="R28" s="13">
        <v>45996</v>
      </c>
    </row>
    <row r="29" spans="1:18" s="5" customFormat="1" x14ac:dyDescent="0.15">
      <c r="A29" s="15" t="s">
        <v>54</v>
      </c>
      <c r="B29" s="22"/>
      <c r="C29" s="23"/>
      <c r="D29" s="23">
        <v>1</v>
      </c>
      <c r="E29" s="23"/>
      <c r="F29" s="23"/>
      <c r="G29" s="24"/>
      <c r="H29" s="4">
        <f t="shared" si="8"/>
        <v>1</v>
      </c>
      <c r="I29" s="13">
        <v>45952</v>
      </c>
      <c r="J29" s="15" t="s">
        <v>83</v>
      </c>
      <c r="K29" s="22"/>
      <c r="L29" s="23">
        <v>9</v>
      </c>
      <c r="M29" s="23"/>
      <c r="N29" s="23"/>
      <c r="O29" s="23"/>
      <c r="P29" s="24"/>
      <c r="Q29" s="4">
        <f t="shared" si="17"/>
        <v>9</v>
      </c>
      <c r="R29" s="13">
        <v>45996</v>
      </c>
    </row>
    <row r="30" spans="1:18" s="5" customFormat="1" x14ac:dyDescent="0.15">
      <c r="A30" s="15" t="s">
        <v>61</v>
      </c>
      <c r="B30" s="22"/>
      <c r="C30" s="23"/>
      <c r="D30" s="23">
        <v>2</v>
      </c>
      <c r="E30" s="23"/>
      <c r="F30" s="23"/>
      <c r="G30" s="24"/>
      <c r="H30" s="4">
        <f t="shared" si="8"/>
        <v>2</v>
      </c>
      <c r="I30" s="13">
        <v>45961</v>
      </c>
      <c r="J30" s="15" t="s">
        <v>87</v>
      </c>
      <c r="K30" s="22"/>
      <c r="L30" s="23">
        <v>11</v>
      </c>
      <c r="M30" s="23">
        <v>1</v>
      </c>
      <c r="N30" s="23"/>
      <c r="O30" s="23"/>
      <c r="P30" s="24"/>
      <c r="Q30" s="4">
        <f t="shared" si="17"/>
        <v>12</v>
      </c>
      <c r="R30" s="13">
        <v>46000</v>
      </c>
    </row>
    <row r="31" spans="1:18" s="5" customFormat="1" x14ac:dyDescent="0.15">
      <c r="A31" s="15" t="s">
        <v>65</v>
      </c>
      <c r="B31" s="22"/>
      <c r="C31" s="23">
        <v>1</v>
      </c>
      <c r="D31" s="23"/>
      <c r="E31" s="23"/>
      <c r="F31" s="23"/>
      <c r="G31" s="24"/>
      <c r="H31" s="4">
        <f t="shared" si="8"/>
        <v>1</v>
      </c>
      <c r="I31" s="13">
        <v>45967</v>
      </c>
      <c r="J31" s="15"/>
      <c r="K31" s="22"/>
      <c r="L31" s="23"/>
      <c r="M31" s="23"/>
      <c r="N31" s="23"/>
      <c r="O31" s="23"/>
      <c r="P31" s="24"/>
      <c r="Q31" s="4">
        <f t="shared" si="17"/>
        <v>0</v>
      </c>
      <c r="R31" s="13"/>
    </row>
    <row r="32" spans="1:18" s="5" customFormat="1" x14ac:dyDescent="0.15">
      <c r="A32" s="15" t="s">
        <v>67</v>
      </c>
      <c r="B32" s="22"/>
      <c r="C32" s="23">
        <v>1</v>
      </c>
      <c r="D32" s="23"/>
      <c r="E32" s="23"/>
      <c r="F32" s="23"/>
      <c r="G32" s="24"/>
      <c r="H32" s="4">
        <f t="shared" si="8"/>
        <v>1</v>
      </c>
      <c r="I32" s="13">
        <v>45973</v>
      </c>
      <c r="J32" s="15"/>
      <c r="K32" s="22"/>
      <c r="L32" s="23"/>
      <c r="M32" s="23"/>
      <c r="N32" s="23"/>
      <c r="O32" s="23"/>
      <c r="P32" s="24"/>
      <c r="Q32" s="4">
        <f t="shared" si="17"/>
        <v>0</v>
      </c>
      <c r="R32" s="13"/>
    </row>
    <row r="33" spans="1:18" s="5" customFormat="1" x14ac:dyDescent="0.15">
      <c r="A33" s="15" t="s">
        <v>68</v>
      </c>
      <c r="B33" s="22"/>
      <c r="C33" s="23"/>
      <c r="D33" s="23">
        <v>1</v>
      </c>
      <c r="E33" s="23"/>
      <c r="F33" s="23"/>
      <c r="G33" s="24"/>
      <c r="H33" s="4">
        <f t="shared" si="8"/>
        <v>1</v>
      </c>
      <c r="I33" s="13">
        <v>45974</v>
      </c>
      <c r="J33" s="15"/>
      <c r="K33" s="22"/>
      <c r="L33" s="23"/>
      <c r="M33" s="23"/>
      <c r="N33" s="23"/>
      <c r="O33" s="23"/>
      <c r="P33" s="24"/>
      <c r="Q33" s="4">
        <f t="shared" si="17"/>
        <v>0</v>
      </c>
      <c r="R33" s="13"/>
    </row>
    <row r="34" spans="1:18" s="5" customFormat="1" x14ac:dyDescent="0.15">
      <c r="A34" s="15" t="s">
        <v>72</v>
      </c>
      <c r="B34" s="22"/>
      <c r="C34" s="23"/>
      <c r="D34" s="23"/>
      <c r="E34" s="23">
        <v>1</v>
      </c>
      <c r="F34" s="23"/>
      <c r="G34" s="24"/>
      <c r="H34" s="4">
        <f t="shared" si="8"/>
        <v>1</v>
      </c>
      <c r="I34" s="13">
        <v>45982</v>
      </c>
      <c r="J34" s="15" t="s">
        <v>57</v>
      </c>
      <c r="K34" s="22"/>
      <c r="L34" s="23"/>
      <c r="M34" s="23"/>
      <c r="N34" s="23"/>
      <c r="O34" s="79"/>
      <c r="P34" s="80"/>
      <c r="Q34" s="4">
        <f t="shared" si="17"/>
        <v>0</v>
      </c>
      <c r="R34" s="14" t="s">
        <v>53</v>
      </c>
    </row>
    <row r="35" spans="1:18" s="5" customFormat="1" x14ac:dyDescent="0.15">
      <c r="A35" s="15" t="s">
        <v>75</v>
      </c>
      <c r="B35" s="22">
        <v>1</v>
      </c>
      <c r="C35" s="23"/>
      <c r="D35" s="23"/>
      <c r="E35" s="23"/>
      <c r="F35" s="23"/>
      <c r="G35" s="24"/>
      <c r="H35" s="4">
        <f t="shared" si="8"/>
        <v>1</v>
      </c>
      <c r="I35" s="13">
        <v>45988</v>
      </c>
      <c r="J35" s="3" t="s">
        <v>27</v>
      </c>
      <c r="K35" s="67"/>
      <c r="L35" s="68"/>
      <c r="M35" s="68"/>
      <c r="N35" s="68"/>
      <c r="O35" s="68"/>
      <c r="P35" s="82"/>
      <c r="Q35" s="83">
        <f t="shared" si="17"/>
        <v>0</v>
      </c>
      <c r="R35" s="13"/>
    </row>
    <row r="36" spans="1:18" s="5" customFormat="1" x14ac:dyDescent="0.15">
      <c r="A36" s="15" t="s">
        <v>76</v>
      </c>
      <c r="B36" s="22"/>
      <c r="C36" s="23"/>
      <c r="D36" s="23"/>
      <c r="E36" s="23">
        <v>1</v>
      </c>
      <c r="F36" s="23"/>
      <c r="G36" s="24"/>
      <c r="H36" s="4">
        <f t="shared" si="8"/>
        <v>1</v>
      </c>
      <c r="I36" s="13">
        <v>45989</v>
      </c>
      <c r="J36" s="15" t="s">
        <v>23</v>
      </c>
      <c r="K36" s="22"/>
      <c r="L36" s="23"/>
      <c r="M36" s="23"/>
      <c r="N36" s="23"/>
      <c r="O36" s="23"/>
      <c r="P36" s="24"/>
      <c r="Q36" s="4">
        <f t="shared" si="17"/>
        <v>0</v>
      </c>
      <c r="R36" s="14" t="s">
        <v>21</v>
      </c>
    </row>
    <row r="37" spans="1:18" s="5" customFormat="1" x14ac:dyDescent="0.15">
      <c r="A37" s="15" t="s">
        <v>82</v>
      </c>
      <c r="B37" s="22"/>
      <c r="C37" s="23">
        <v>1</v>
      </c>
      <c r="D37" s="23">
        <v>1</v>
      </c>
      <c r="E37" s="23"/>
      <c r="F37" s="23"/>
      <c r="G37" s="24"/>
      <c r="H37" s="4">
        <f t="shared" ref="H37" si="18">SUM(B37:G37)</f>
        <v>2</v>
      </c>
      <c r="I37" s="13">
        <v>45996</v>
      </c>
      <c r="J37" s="15" t="s">
        <v>19</v>
      </c>
      <c r="K37" s="22"/>
      <c r="L37" s="23"/>
      <c r="M37" s="23"/>
      <c r="N37" s="23"/>
      <c r="O37" s="45"/>
      <c r="P37" s="46"/>
      <c r="Q37" s="4">
        <f t="shared" ref="Q37:Q39" si="19">SUM(K37:P37)</f>
        <v>0</v>
      </c>
      <c r="R37" s="13" t="s">
        <v>20</v>
      </c>
    </row>
    <row r="38" spans="1:18" s="5" customFormat="1" x14ac:dyDescent="0.15">
      <c r="A38" s="15" t="s">
        <v>84</v>
      </c>
      <c r="B38" s="22"/>
      <c r="C38" s="23">
        <v>2</v>
      </c>
      <c r="D38" s="23"/>
      <c r="E38" s="23"/>
      <c r="F38" s="23"/>
      <c r="G38" s="24"/>
      <c r="H38" s="4">
        <f t="shared" si="8"/>
        <v>2</v>
      </c>
      <c r="I38" s="13">
        <v>45999</v>
      </c>
      <c r="J38" s="3" t="s">
        <v>28</v>
      </c>
      <c r="K38" s="67"/>
      <c r="L38" s="68"/>
      <c r="M38" s="68"/>
      <c r="N38" s="68"/>
      <c r="O38" s="45"/>
      <c r="P38" s="46"/>
      <c r="Q38" s="4">
        <f t="shared" si="19"/>
        <v>0</v>
      </c>
      <c r="R38" s="13"/>
    </row>
    <row r="39" spans="1:18" s="5" customFormat="1" ht="14.25" thickBot="1" x14ac:dyDescent="0.2">
      <c r="A39" s="15" t="s">
        <v>86</v>
      </c>
      <c r="B39" s="22">
        <v>3</v>
      </c>
      <c r="C39" s="84"/>
      <c r="D39" s="23"/>
      <c r="E39" s="23"/>
      <c r="F39" s="23"/>
      <c r="G39" s="24"/>
      <c r="H39" s="7">
        <f t="shared" si="8"/>
        <v>3</v>
      </c>
      <c r="I39" s="13">
        <v>46001</v>
      </c>
      <c r="J39" s="15" t="s">
        <v>22</v>
      </c>
      <c r="K39" s="22"/>
      <c r="L39" s="23"/>
      <c r="M39" s="23"/>
      <c r="N39" s="23"/>
      <c r="O39" s="45"/>
      <c r="P39" s="46"/>
      <c r="Q39" s="4">
        <f t="shared" si="19"/>
        <v>0</v>
      </c>
      <c r="R39" s="13" t="s">
        <v>26</v>
      </c>
    </row>
    <row r="40" spans="1:18" ht="14.25" thickBot="1" x14ac:dyDescent="0.2">
      <c r="A40" s="2" t="s">
        <v>7</v>
      </c>
      <c r="B40" s="28">
        <f>SUM(B16:B39)</f>
        <v>12</v>
      </c>
      <c r="C40" s="29">
        <f t="shared" ref="C40:F40" si="20">SUM(C16:C39)</f>
        <v>12</v>
      </c>
      <c r="D40" s="29">
        <f t="shared" si="20"/>
        <v>17</v>
      </c>
      <c r="E40" s="29">
        <f t="shared" si="20"/>
        <v>8</v>
      </c>
      <c r="F40" s="29">
        <f t="shared" si="20"/>
        <v>0</v>
      </c>
      <c r="G40" s="30">
        <f>SUM(G16:G39)</f>
        <v>0</v>
      </c>
      <c r="H40" s="9">
        <f>SUM(B40:G40)</f>
        <v>49</v>
      </c>
      <c r="J40" s="2" t="s">
        <v>7</v>
      </c>
      <c r="K40" s="28">
        <f>SUM(K16:K39)</f>
        <v>83</v>
      </c>
      <c r="L40" s="29">
        <f t="shared" ref="L40:O40" si="21">SUM(L16:L39)</f>
        <v>146</v>
      </c>
      <c r="M40" s="29">
        <f t="shared" si="21"/>
        <v>110</v>
      </c>
      <c r="N40" s="29">
        <f t="shared" si="21"/>
        <v>57</v>
      </c>
      <c r="O40" s="29">
        <f t="shared" si="21"/>
        <v>7</v>
      </c>
      <c r="P40" s="30">
        <f>SUM(P16:P39)</f>
        <v>10</v>
      </c>
      <c r="Q40" s="9">
        <f>SUM(K40:P40)</f>
        <v>413</v>
      </c>
    </row>
    <row r="41" spans="1:18" ht="14.25" thickBot="1" x14ac:dyDescent="0.2">
      <c r="A41" s="10" t="s">
        <v>8</v>
      </c>
      <c r="B41" s="31">
        <f>B15-B40</f>
        <v>1</v>
      </c>
      <c r="C41" s="32">
        <f t="shared" ref="C41:F41" si="22">C15-C40</f>
        <v>3</v>
      </c>
      <c r="D41" s="32">
        <f t="shared" si="22"/>
        <v>4</v>
      </c>
      <c r="E41" s="32">
        <f t="shared" si="22"/>
        <v>3</v>
      </c>
      <c r="F41" s="32">
        <f t="shared" si="22"/>
        <v>5</v>
      </c>
      <c r="G41" s="33">
        <f>G15-G40</f>
        <v>5</v>
      </c>
      <c r="H41" s="9">
        <f>H15-H40</f>
        <v>21</v>
      </c>
      <c r="J41" s="10" t="s">
        <v>8</v>
      </c>
      <c r="K41" s="31">
        <f>K15-K40</f>
        <v>55</v>
      </c>
      <c r="L41" s="32">
        <f t="shared" ref="L41:O41" si="23">L15-L40</f>
        <v>171</v>
      </c>
      <c r="M41" s="32">
        <f t="shared" si="23"/>
        <v>90</v>
      </c>
      <c r="N41" s="32">
        <f t="shared" si="23"/>
        <v>33</v>
      </c>
      <c r="O41" s="32">
        <f t="shared" si="23"/>
        <v>51</v>
      </c>
      <c r="P41" s="33">
        <f>P15-P40</f>
        <v>31</v>
      </c>
      <c r="Q41" s="9">
        <f>Q15-Q40</f>
        <v>431</v>
      </c>
    </row>
    <row r="42" spans="1:18" x14ac:dyDescent="0.15">
      <c r="I42"/>
      <c r="J42" s="59" t="s">
        <v>30</v>
      </c>
      <c r="K42" s="61">
        <v>205</v>
      </c>
      <c r="L42" s="62">
        <v>541</v>
      </c>
      <c r="M42" s="62">
        <v>363</v>
      </c>
      <c r="N42" s="62">
        <v>40</v>
      </c>
      <c r="O42" s="62">
        <v>44</v>
      </c>
      <c r="P42" s="63">
        <v>49</v>
      </c>
      <c r="Q42" s="57">
        <f>SUM(K42:P42)</f>
        <v>1242</v>
      </c>
      <c r="R42" s="47" t="s">
        <v>63</v>
      </c>
    </row>
    <row r="43" spans="1:18" ht="14.25" thickBot="1" x14ac:dyDescent="0.2">
      <c r="I43"/>
      <c r="J43" s="60" t="s">
        <v>25</v>
      </c>
      <c r="K43" s="64">
        <f>K42+K41</f>
        <v>260</v>
      </c>
      <c r="L43" s="65">
        <f t="shared" ref="L43:P43" si="24">L42+L41</f>
        <v>712</v>
      </c>
      <c r="M43" s="65">
        <f t="shared" si="24"/>
        <v>453</v>
      </c>
      <c r="N43" s="65">
        <f t="shared" si="24"/>
        <v>73</v>
      </c>
      <c r="O43" s="65">
        <f t="shared" si="24"/>
        <v>95</v>
      </c>
      <c r="P43" s="66">
        <f t="shared" si="24"/>
        <v>80</v>
      </c>
      <c r="Q43" s="58">
        <f>SUM(K43:P43)</f>
        <v>1673</v>
      </c>
      <c r="R43" s="44" t="s">
        <v>18</v>
      </c>
    </row>
    <row r="44" spans="1:18" ht="21.75" thickBot="1" x14ac:dyDescent="0.25">
      <c r="A44" s="37" t="s">
        <v>15</v>
      </c>
      <c r="B44" s="38"/>
      <c r="C44" s="38"/>
      <c r="D44" s="38"/>
      <c r="E44" s="38"/>
      <c r="F44" s="38"/>
      <c r="G44" s="38"/>
      <c r="H44" s="39"/>
      <c r="J44" s="40" t="s">
        <v>16</v>
      </c>
      <c r="K44" s="41"/>
      <c r="L44" s="41"/>
      <c r="M44" s="41"/>
      <c r="N44" s="41"/>
      <c r="O44" s="42"/>
      <c r="P44" s="41"/>
      <c r="Q44" s="43"/>
    </row>
    <row r="45" spans="1:18" ht="14.25" thickBot="1" x14ac:dyDescent="0.2">
      <c r="A45" s="1" t="s">
        <v>0</v>
      </c>
      <c r="B45" s="106" t="s">
        <v>14</v>
      </c>
      <c r="C45" s="106"/>
      <c r="D45" s="106"/>
      <c r="E45" s="106"/>
      <c r="F45" s="106"/>
      <c r="G45" s="106"/>
      <c r="H45" s="107"/>
      <c r="J45" s="1" t="s">
        <v>0</v>
      </c>
      <c r="K45" s="106" t="s">
        <v>14</v>
      </c>
      <c r="L45" s="106"/>
      <c r="M45" s="106"/>
      <c r="N45" s="106"/>
      <c r="O45" s="106"/>
      <c r="P45" s="106"/>
      <c r="Q45" s="107"/>
    </row>
    <row r="46" spans="1:18" ht="14.25" thickBot="1" x14ac:dyDescent="0.2">
      <c r="A46" s="1" t="s">
        <v>1</v>
      </c>
      <c r="B46" s="16" t="s">
        <v>2</v>
      </c>
      <c r="C46" s="17" t="s">
        <v>9</v>
      </c>
      <c r="D46" s="17" t="s">
        <v>10</v>
      </c>
      <c r="E46" s="17" t="s">
        <v>11</v>
      </c>
      <c r="F46" s="17" t="s">
        <v>12</v>
      </c>
      <c r="G46" s="18" t="s">
        <v>13</v>
      </c>
      <c r="H46" s="1" t="s">
        <v>3</v>
      </c>
      <c r="J46" s="1" t="s">
        <v>1</v>
      </c>
      <c r="K46" s="16" t="s">
        <v>2</v>
      </c>
      <c r="L46" s="17" t="s">
        <v>9</v>
      </c>
      <c r="M46" s="17" t="s">
        <v>10</v>
      </c>
      <c r="N46" s="17" t="s">
        <v>11</v>
      </c>
      <c r="O46" s="17" t="s">
        <v>12</v>
      </c>
      <c r="P46" s="18" t="s">
        <v>13</v>
      </c>
      <c r="Q46" s="1" t="s">
        <v>3</v>
      </c>
    </row>
    <row r="47" spans="1:18" ht="14.25" thickBot="1" x14ac:dyDescent="0.2">
      <c r="A47" s="12" t="s">
        <v>8</v>
      </c>
      <c r="B47" s="19">
        <f>B41</f>
        <v>1</v>
      </c>
      <c r="C47" s="20">
        <f t="shared" ref="C47:F47" si="25">C41</f>
        <v>3</v>
      </c>
      <c r="D47" s="20">
        <f t="shared" si="25"/>
        <v>4</v>
      </c>
      <c r="E47" s="20">
        <f t="shared" si="25"/>
        <v>3</v>
      </c>
      <c r="F47" s="20">
        <f t="shared" si="25"/>
        <v>5</v>
      </c>
      <c r="G47" s="21">
        <f>G41</f>
        <v>5</v>
      </c>
      <c r="H47" s="9">
        <f t="shared" ref="H47:H82" si="26">SUM(B47:G47)</f>
        <v>21</v>
      </c>
      <c r="I47" s="13"/>
      <c r="J47" s="12" t="s">
        <v>8</v>
      </c>
      <c r="K47" s="19">
        <f>K41</f>
        <v>55</v>
      </c>
      <c r="L47" s="20">
        <f t="shared" ref="L47:O47" si="27">L41</f>
        <v>171</v>
      </c>
      <c r="M47" s="20">
        <f t="shared" si="27"/>
        <v>90</v>
      </c>
      <c r="N47" s="20">
        <f t="shared" si="27"/>
        <v>33</v>
      </c>
      <c r="O47" s="20">
        <f t="shared" si="27"/>
        <v>51</v>
      </c>
      <c r="P47" s="21">
        <f>P41</f>
        <v>31</v>
      </c>
      <c r="Q47" s="9">
        <f t="shared" ref="Q47:Q58" si="28">SUM(K47:P47)</f>
        <v>431</v>
      </c>
    </row>
    <row r="48" spans="1:18" s="5" customFormat="1" x14ac:dyDescent="0.15">
      <c r="A48" s="69" t="s">
        <v>5</v>
      </c>
      <c r="B48" s="70">
        <v>5</v>
      </c>
      <c r="C48" s="71">
        <v>3</v>
      </c>
      <c r="D48" s="71"/>
      <c r="E48" s="71"/>
      <c r="F48" s="71"/>
      <c r="G48" s="72"/>
      <c r="H48" s="73">
        <f t="shared" si="26"/>
        <v>8</v>
      </c>
      <c r="I48" s="74">
        <v>46000</v>
      </c>
      <c r="J48" s="3" t="s">
        <v>5</v>
      </c>
      <c r="K48" s="22"/>
      <c r="L48" s="23"/>
      <c r="M48" s="23"/>
      <c r="N48" s="23"/>
      <c r="O48" s="23"/>
      <c r="P48" s="24"/>
      <c r="Q48" s="4">
        <f t="shared" ref="Q48:Q52" si="29">SUM(K48:P48)</f>
        <v>0</v>
      </c>
      <c r="R48" s="14"/>
    </row>
    <row r="49" spans="1:18" s="5" customFormat="1" x14ac:dyDescent="0.15">
      <c r="A49" s="3" t="s">
        <v>5</v>
      </c>
      <c r="B49" s="22"/>
      <c r="C49" s="23">
        <v>1</v>
      </c>
      <c r="D49" s="23"/>
      <c r="E49" s="23">
        <v>1</v>
      </c>
      <c r="F49" s="23"/>
      <c r="G49" s="24"/>
      <c r="H49" s="4">
        <f t="shared" si="26"/>
        <v>2</v>
      </c>
      <c r="I49" s="13">
        <v>46000</v>
      </c>
      <c r="J49" s="3" t="s">
        <v>5</v>
      </c>
      <c r="K49" s="22"/>
      <c r="L49" s="23"/>
      <c r="M49" s="23"/>
      <c r="N49" s="23"/>
      <c r="O49" s="23"/>
      <c r="P49" s="24"/>
      <c r="Q49" s="4">
        <f t="shared" si="29"/>
        <v>0</v>
      </c>
      <c r="R49" s="14"/>
    </row>
    <row r="50" spans="1:18" s="5" customFormat="1" x14ac:dyDescent="0.15">
      <c r="A50" s="69" t="s">
        <v>5</v>
      </c>
      <c r="B50" s="70"/>
      <c r="C50" s="71"/>
      <c r="D50" s="71">
        <v>5</v>
      </c>
      <c r="E50" s="71"/>
      <c r="F50" s="71"/>
      <c r="G50" s="72"/>
      <c r="H50" s="73">
        <f t="shared" si="26"/>
        <v>5</v>
      </c>
      <c r="I50" s="74">
        <v>46006</v>
      </c>
      <c r="J50" s="3" t="s">
        <v>70</v>
      </c>
      <c r="K50" s="34">
        <v>140</v>
      </c>
      <c r="L50" s="35">
        <v>300</v>
      </c>
      <c r="M50" s="35">
        <v>200</v>
      </c>
      <c r="N50" s="35">
        <v>40</v>
      </c>
      <c r="O50" s="35">
        <v>20</v>
      </c>
      <c r="P50" s="36">
        <v>0</v>
      </c>
      <c r="Q50" s="4">
        <f t="shared" si="29"/>
        <v>700</v>
      </c>
      <c r="R50" s="13" t="s">
        <v>85</v>
      </c>
    </row>
    <row r="51" spans="1:18" s="5" customFormat="1" x14ac:dyDescent="0.15">
      <c r="A51" s="3" t="s">
        <v>111</v>
      </c>
      <c r="B51" s="22"/>
      <c r="C51" s="23">
        <v>1</v>
      </c>
      <c r="D51" s="23"/>
      <c r="E51" s="23"/>
      <c r="F51" s="23"/>
      <c r="G51" s="24"/>
      <c r="H51" s="4">
        <f t="shared" si="26"/>
        <v>1</v>
      </c>
      <c r="I51" s="13">
        <v>46015</v>
      </c>
      <c r="J51" s="3" t="s">
        <v>5</v>
      </c>
      <c r="K51" s="22"/>
      <c r="L51" s="23"/>
      <c r="M51" s="23"/>
      <c r="N51" s="23"/>
      <c r="O51" s="23"/>
      <c r="P51" s="24"/>
      <c r="Q51" s="4">
        <f t="shared" si="29"/>
        <v>0</v>
      </c>
      <c r="R51" s="14"/>
    </row>
    <row r="52" spans="1:18" s="5" customFormat="1" x14ac:dyDescent="0.15">
      <c r="A52" s="3" t="s">
        <v>125</v>
      </c>
      <c r="B52" s="22">
        <v>1</v>
      </c>
      <c r="C52" s="23"/>
      <c r="D52" s="23"/>
      <c r="E52" s="23"/>
      <c r="F52" s="23"/>
      <c r="G52" s="24">
        <v>1</v>
      </c>
      <c r="H52" s="4">
        <f t="shared" si="26"/>
        <v>2</v>
      </c>
      <c r="I52" s="13">
        <v>46038</v>
      </c>
      <c r="J52" s="3" t="s">
        <v>128</v>
      </c>
      <c r="K52" s="22">
        <v>11</v>
      </c>
      <c r="L52" s="23">
        <v>11</v>
      </c>
      <c r="M52" s="23">
        <v>11</v>
      </c>
      <c r="N52" s="23">
        <v>12</v>
      </c>
      <c r="O52" s="23"/>
      <c r="P52" s="24"/>
      <c r="Q52" s="4">
        <f t="shared" si="29"/>
        <v>45</v>
      </c>
      <c r="R52" s="13">
        <v>46059</v>
      </c>
    </row>
    <row r="53" spans="1:18" s="5" customFormat="1" x14ac:dyDescent="0.15">
      <c r="A53" s="3" t="s">
        <v>126</v>
      </c>
      <c r="B53" s="22"/>
      <c r="C53" s="23"/>
      <c r="D53" s="23">
        <v>1</v>
      </c>
      <c r="E53" s="23">
        <v>2</v>
      </c>
      <c r="F53" s="23"/>
      <c r="G53" s="24"/>
      <c r="H53" s="4">
        <f t="shared" si="26"/>
        <v>3</v>
      </c>
      <c r="I53" s="13">
        <v>46038</v>
      </c>
      <c r="J53" s="3" t="s">
        <v>5</v>
      </c>
      <c r="K53" s="22"/>
      <c r="L53" s="23"/>
      <c r="M53" s="23"/>
      <c r="N53" s="23"/>
      <c r="O53" s="23"/>
      <c r="P53" s="24"/>
      <c r="Q53" s="4">
        <f t="shared" si="28"/>
        <v>0</v>
      </c>
      <c r="R53" s="14"/>
    </row>
    <row r="54" spans="1:18" s="5" customFormat="1" x14ac:dyDescent="0.15">
      <c r="A54" s="69" t="s">
        <v>5</v>
      </c>
      <c r="B54" s="70"/>
      <c r="C54" s="71">
        <v>3</v>
      </c>
      <c r="D54" s="71">
        <v>3</v>
      </c>
      <c r="E54" s="71"/>
      <c r="F54" s="71"/>
      <c r="G54" s="72"/>
      <c r="H54" s="73">
        <f t="shared" si="26"/>
        <v>6</v>
      </c>
      <c r="I54" s="74">
        <v>46043</v>
      </c>
      <c r="J54" s="3" t="s">
        <v>5</v>
      </c>
      <c r="K54" s="22"/>
      <c r="L54" s="23"/>
      <c r="M54" s="23"/>
      <c r="N54" s="23"/>
      <c r="O54" s="23"/>
      <c r="P54" s="24"/>
      <c r="Q54" s="4">
        <f t="shared" si="28"/>
        <v>0</v>
      </c>
      <c r="R54" s="14"/>
    </row>
    <row r="55" spans="1:18" s="5" customFormat="1" x14ac:dyDescent="0.15">
      <c r="A55" s="69" t="s">
        <v>5</v>
      </c>
      <c r="B55" s="70">
        <v>3</v>
      </c>
      <c r="C55" s="71"/>
      <c r="D55" s="71"/>
      <c r="E55" s="71"/>
      <c r="F55" s="71"/>
      <c r="G55" s="72"/>
      <c r="H55" s="73">
        <f t="shared" si="26"/>
        <v>3</v>
      </c>
      <c r="I55" s="74">
        <v>46051</v>
      </c>
      <c r="J55" s="3" t="s">
        <v>5</v>
      </c>
      <c r="K55" s="22"/>
      <c r="L55" s="23"/>
      <c r="M55" s="23"/>
      <c r="N55" s="23"/>
      <c r="O55" s="23"/>
      <c r="P55" s="24"/>
      <c r="Q55" s="4">
        <f t="shared" si="28"/>
        <v>0</v>
      </c>
      <c r="R55" s="14"/>
    </row>
    <row r="56" spans="1:18" s="5" customFormat="1" x14ac:dyDescent="0.15">
      <c r="A56" s="3" t="s">
        <v>5</v>
      </c>
      <c r="B56" s="22"/>
      <c r="C56" s="23"/>
      <c r="D56" s="23"/>
      <c r="E56" s="23"/>
      <c r="F56" s="23"/>
      <c r="G56" s="24"/>
      <c r="H56" s="4">
        <f t="shared" si="26"/>
        <v>0</v>
      </c>
      <c r="I56" s="14"/>
      <c r="J56" s="3" t="s">
        <v>5</v>
      </c>
      <c r="K56" s="22"/>
      <c r="L56" s="23"/>
      <c r="M56" s="23"/>
      <c r="N56" s="23"/>
      <c r="O56" s="23"/>
      <c r="P56" s="24"/>
      <c r="Q56" s="4">
        <f t="shared" ref="Q56" si="30">SUM(K56:P56)</f>
        <v>0</v>
      </c>
      <c r="R56" s="14"/>
    </row>
    <row r="57" spans="1:18" s="5" customFormat="1" ht="14.25" thickBot="1" x14ac:dyDescent="0.2">
      <c r="A57" s="6" t="s">
        <v>5</v>
      </c>
      <c r="B57" s="25"/>
      <c r="C57" s="26"/>
      <c r="D57" s="26"/>
      <c r="E57" s="26"/>
      <c r="F57" s="26"/>
      <c r="G57" s="27"/>
      <c r="H57" s="7">
        <f t="shared" si="26"/>
        <v>0</v>
      </c>
      <c r="I57" s="14"/>
      <c r="J57" s="3" t="s">
        <v>5</v>
      </c>
      <c r="K57" s="22"/>
      <c r="L57" s="23"/>
      <c r="M57" s="23"/>
      <c r="N57" s="23"/>
      <c r="O57" s="23"/>
      <c r="P57" s="24"/>
      <c r="Q57" s="4">
        <f t="shared" ref="Q57" si="31">SUM(K57:P57)</f>
        <v>0</v>
      </c>
      <c r="R57" s="14"/>
    </row>
    <row r="58" spans="1:18" ht="14.25" thickBot="1" x14ac:dyDescent="0.2">
      <c r="A58" s="8" t="s">
        <v>6</v>
      </c>
      <c r="B58" s="28">
        <f>SUM(B47:B57)</f>
        <v>10</v>
      </c>
      <c r="C58" s="29">
        <f t="shared" ref="C58:G58" si="32">SUM(C47:C57)</f>
        <v>11</v>
      </c>
      <c r="D58" s="29">
        <f t="shared" si="32"/>
        <v>13</v>
      </c>
      <c r="E58" s="29">
        <f t="shared" si="32"/>
        <v>6</v>
      </c>
      <c r="F58" s="29">
        <f t="shared" si="32"/>
        <v>5</v>
      </c>
      <c r="G58" s="30">
        <f t="shared" si="32"/>
        <v>6</v>
      </c>
      <c r="H58" s="9">
        <f t="shared" si="26"/>
        <v>51</v>
      </c>
      <c r="J58" s="8" t="s">
        <v>6</v>
      </c>
      <c r="K58" s="28">
        <f>SUM(K47:K57)</f>
        <v>206</v>
      </c>
      <c r="L58" s="29">
        <f t="shared" ref="L58:P58" si="33">SUM(L47:L57)</f>
        <v>482</v>
      </c>
      <c r="M58" s="29">
        <f t="shared" si="33"/>
        <v>301</v>
      </c>
      <c r="N58" s="29">
        <f t="shared" si="33"/>
        <v>85</v>
      </c>
      <c r="O58" s="29">
        <f t="shared" si="33"/>
        <v>71</v>
      </c>
      <c r="P58" s="30">
        <f t="shared" si="33"/>
        <v>31</v>
      </c>
      <c r="Q58" s="9">
        <f t="shared" si="28"/>
        <v>1176</v>
      </c>
    </row>
    <row r="59" spans="1:18" s="5" customFormat="1" x14ac:dyDescent="0.15">
      <c r="A59" s="15" t="s">
        <v>89</v>
      </c>
      <c r="B59" s="22">
        <v>1</v>
      </c>
      <c r="C59" s="23"/>
      <c r="D59" s="23">
        <v>1</v>
      </c>
      <c r="E59" s="23"/>
      <c r="F59" s="23"/>
      <c r="G59" s="24"/>
      <c r="H59" s="4">
        <f t="shared" si="26"/>
        <v>2</v>
      </c>
      <c r="I59" s="13">
        <v>46002</v>
      </c>
      <c r="J59" s="75" t="s">
        <v>88</v>
      </c>
      <c r="K59" s="70">
        <v>5</v>
      </c>
      <c r="L59" s="71">
        <v>3</v>
      </c>
      <c r="M59" s="71"/>
      <c r="N59" s="71"/>
      <c r="O59" s="71"/>
      <c r="P59" s="72"/>
      <c r="Q59" s="73">
        <f t="shared" ref="Q59:Q74" si="34">SUM(K59:P59)</f>
        <v>8</v>
      </c>
      <c r="R59" s="74">
        <v>46000</v>
      </c>
    </row>
    <row r="60" spans="1:18" s="5" customFormat="1" x14ac:dyDescent="0.15">
      <c r="A60" s="15" t="s">
        <v>96</v>
      </c>
      <c r="B60" s="22">
        <v>1</v>
      </c>
      <c r="C60" s="23">
        <v>1</v>
      </c>
      <c r="D60" s="23">
        <v>2</v>
      </c>
      <c r="E60" s="23">
        <v>1</v>
      </c>
      <c r="F60" s="23"/>
      <c r="G60" s="24"/>
      <c r="H60" s="4">
        <f t="shared" si="26"/>
        <v>5</v>
      </c>
      <c r="I60" s="13">
        <v>46003</v>
      </c>
      <c r="J60" s="15" t="s">
        <v>97</v>
      </c>
      <c r="K60" s="22">
        <v>1</v>
      </c>
      <c r="L60" s="23">
        <v>2</v>
      </c>
      <c r="M60" s="23">
        <v>1</v>
      </c>
      <c r="N60" s="23">
        <v>1</v>
      </c>
      <c r="O60" s="23"/>
      <c r="P60" s="24"/>
      <c r="Q60" s="4">
        <f t="shared" si="34"/>
        <v>5</v>
      </c>
      <c r="R60" s="13">
        <v>46003</v>
      </c>
    </row>
    <row r="61" spans="1:18" s="5" customFormat="1" x14ac:dyDescent="0.15">
      <c r="A61" s="15" t="s">
        <v>99</v>
      </c>
      <c r="B61" s="22"/>
      <c r="C61" s="23">
        <v>1</v>
      </c>
      <c r="D61" s="23"/>
      <c r="E61" s="23"/>
      <c r="F61" s="23"/>
      <c r="G61" s="24"/>
      <c r="H61" s="4">
        <f t="shared" si="26"/>
        <v>1</v>
      </c>
      <c r="I61" s="13">
        <v>46003</v>
      </c>
      <c r="J61" s="15" t="s">
        <v>100</v>
      </c>
      <c r="K61" s="22">
        <v>2</v>
      </c>
      <c r="L61" s="23">
        <v>7</v>
      </c>
      <c r="M61" s="23">
        <v>6</v>
      </c>
      <c r="N61" s="23">
        <v>5</v>
      </c>
      <c r="O61" s="23"/>
      <c r="P61" s="24"/>
      <c r="Q61" s="4">
        <f t="shared" si="34"/>
        <v>20</v>
      </c>
      <c r="R61" s="13">
        <v>46006</v>
      </c>
    </row>
    <row r="62" spans="1:18" s="5" customFormat="1" x14ac:dyDescent="0.15">
      <c r="A62" s="15" t="s">
        <v>104</v>
      </c>
      <c r="B62" s="22"/>
      <c r="C62" s="23"/>
      <c r="D62" s="23">
        <v>1</v>
      </c>
      <c r="E62" s="23"/>
      <c r="F62" s="23"/>
      <c r="G62" s="24"/>
      <c r="H62" s="4">
        <f t="shared" si="26"/>
        <v>1</v>
      </c>
      <c r="I62" s="13">
        <v>46010</v>
      </c>
      <c r="J62" s="75" t="s">
        <v>32</v>
      </c>
      <c r="K62" s="70"/>
      <c r="L62" s="71"/>
      <c r="M62" s="71">
        <v>5</v>
      </c>
      <c r="N62" s="71"/>
      <c r="O62" s="71"/>
      <c r="P62" s="72"/>
      <c r="Q62" s="73">
        <f t="shared" si="34"/>
        <v>5</v>
      </c>
      <c r="R62" s="74">
        <v>46006</v>
      </c>
    </row>
    <row r="63" spans="1:18" s="5" customFormat="1" x14ac:dyDescent="0.15">
      <c r="A63" s="15" t="s">
        <v>124</v>
      </c>
      <c r="B63" s="22"/>
      <c r="C63" s="23">
        <v>2</v>
      </c>
      <c r="D63" s="23"/>
      <c r="E63" s="23"/>
      <c r="F63" s="23"/>
      <c r="G63" s="24"/>
      <c r="H63" s="4">
        <f t="shared" si="26"/>
        <v>2</v>
      </c>
      <c r="I63" s="13">
        <v>46041</v>
      </c>
      <c r="J63" s="15" t="s">
        <v>101</v>
      </c>
      <c r="K63" s="22">
        <v>1</v>
      </c>
      <c r="L63" s="23">
        <v>2</v>
      </c>
      <c r="M63" s="23">
        <v>4</v>
      </c>
      <c r="N63" s="23">
        <v>3</v>
      </c>
      <c r="O63" s="23"/>
      <c r="P63" s="24"/>
      <c r="Q63" s="4">
        <f t="shared" si="34"/>
        <v>10</v>
      </c>
      <c r="R63" s="13">
        <v>46008</v>
      </c>
    </row>
    <row r="64" spans="1:18" s="5" customFormat="1" x14ac:dyDescent="0.15">
      <c r="A64" s="15" t="s">
        <v>127</v>
      </c>
      <c r="B64" s="22"/>
      <c r="C64" s="23">
        <v>2</v>
      </c>
      <c r="D64" s="23">
        <v>1</v>
      </c>
      <c r="E64" s="23"/>
      <c r="F64" s="23"/>
      <c r="G64" s="24"/>
      <c r="H64" s="4">
        <f t="shared" si="26"/>
        <v>3</v>
      </c>
      <c r="I64" s="13">
        <v>46043</v>
      </c>
      <c r="J64" s="15" t="s">
        <v>102</v>
      </c>
      <c r="K64" s="22">
        <v>6</v>
      </c>
      <c r="L64" s="23">
        <v>11</v>
      </c>
      <c r="M64" s="23">
        <v>2</v>
      </c>
      <c r="N64" s="23"/>
      <c r="O64" s="23"/>
      <c r="P64" s="24"/>
      <c r="Q64" s="4">
        <f t="shared" si="34"/>
        <v>19</v>
      </c>
      <c r="R64" s="13">
        <v>46009</v>
      </c>
    </row>
    <row r="65" spans="1:18" s="5" customFormat="1" x14ac:dyDescent="0.15">
      <c r="A65" s="15" t="s">
        <v>129</v>
      </c>
      <c r="B65" s="22"/>
      <c r="C65" s="23"/>
      <c r="D65" s="23">
        <v>2</v>
      </c>
      <c r="E65" s="23"/>
      <c r="F65" s="23"/>
      <c r="G65" s="24"/>
      <c r="H65" s="4">
        <f t="shared" si="26"/>
        <v>2</v>
      </c>
      <c r="I65" s="13">
        <v>46044</v>
      </c>
      <c r="J65" s="15" t="s">
        <v>103</v>
      </c>
      <c r="K65" s="22">
        <v>3</v>
      </c>
      <c r="L65" s="23">
        <v>4</v>
      </c>
      <c r="M65" s="23">
        <v>6</v>
      </c>
      <c r="N65" s="23"/>
      <c r="O65" s="23"/>
      <c r="P65" s="24"/>
      <c r="Q65" s="4">
        <f t="shared" si="34"/>
        <v>13</v>
      </c>
      <c r="R65" s="13">
        <v>46010</v>
      </c>
    </row>
    <row r="66" spans="1:18" s="5" customFormat="1" x14ac:dyDescent="0.15">
      <c r="A66" s="15" t="s">
        <v>133</v>
      </c>
      <c r="B66" s="22">
        <v>3</v>
      </c>
      <c r="C66" s="23">
        <v>2</v>
      </c>
      <c r="D66" s="23">
        <v>3</v>
      </c>
      <c r="E66" s="23"/>
      <c r="F66" s="23"/>
      <c r="G66" s="24"/>
      <c r="H66" s="4">
        <f t="shared" si="26"/>
        <v>8</v>
      </c>
      <c r="I66" s="13">
        <v>46048</v>
      </c>
      <c r="J66" s="15" t="s">
        <v>105</v>
      </c>
      <c r="K66" s="22">
        <v>1</v>
      </c>
      <c r="L66" s="23">
        <v>3</v>
      </c>
      <c r="M66" s="23">
        <v>3</v>
      </c>
      <c r="N66" s="23"/>
      <c r="O66" s="23"/>
      <c r="P66" s="24"/>
      <c r="Q66" s="4">
        <f t="shared" si="34"/>
        <v>7</v>
      </c>
      <c r="R66" s="13">
        <v>46013</v>
      </c>
    </row>
    <row r="67" spans="1:18" s="5" customFormat="1" x14ac:dyDescent="0.15">
      <c r="A67" s="15"/>
      <c r="B67" s="22"/>
      <c r="C67" s="23"/>
      <c r="D67" s="23"/>
      <c r="E67" s="23"/>
      <c r="F67" s="23"/>
      <c r="G67" s="24"/>
      <c r="H67" s="4">
        <f t="shared" si="26"/>
        <v>0</v>
      </c>
      <c r="I67" s="14"/>
      <c r="J67" s="15" t="s">
        <v>106</v>
      </c>
      <c r="K67" s="22">
        <v>3</v>
      </c>
      <c r="L67" s="23">
        <v>3</v>
      </c>
      <c r="M67" s="23">
        <v>1</v>
      </c>
      <c r="N67" s="23"/>
      <c r="O67" s="23"/>
      <c r="P67" s="24"/>
      <c r="Q67" s="4">
        <f t="shared" si="34"/>
        <v>7</v>
      </c>
      <c r="R67" s="13">
        <v>46015</v>
      </c>
    </row>
    <row r="68" spans="1:18" s="5" customFormat="1" x14ac:dyDescent="0.15">
      <c r="A68" s="15"/>
      <c r="B68" s="22"/>
      <c r="C68" s="23"/>
      <c r="D68" s="23"/>
      <c r="E68" s="23"/>
      <c r="F68" s="23"/>
      <c r="G68" s="24"/>
      <c r="H68" s="4">
        <f t="shared" si="26"/>
        <v>0</v>
      </c>
      <c r="I68" s="14"/>
      <c r="J68" s="15" t="s">
        <v>109</v>
      </c>
      <c r="K68" s="22">
        <v>1</v>
      </c>
      <c r="L68" s="23">
        <v>2</v>
      </c>
      <c r="M68" s="23"/>
      <c r="N68" s="23"/>
      <c r="O68" s="23"/>
      <c r="P68" s="24"/>
      <c r="Q68" s="4">
        <f t="shared" si="34"/>
        <v>3</v>
      </c>
      <c r="R68" s="13">
        <v>46016</v>
      </c>
    </row>
    <row r="69" spans="1:18" s="5" customFormat="1" x14ac:dyDescent="0.15">
      <c r="A69" s="15"/>
      <c r="B69" s="22"/>
      <c r="C69" s="23"/>
      <c r="D69" s="23"/>
      <c r="E69" s="23"/>
      <c r="F69" s="23"/>
      <c r="G69" s="24"/>
      <c r="H69" s="4">
        <f t="shared" si="26"/>
        <v>0</v>
      </c>
      <c r="I69" s="14"/>
      <c r="J69" s="15" t="s">
        <v>110</v>
      </c>
      <c r="K69" s="22"/>
      <c r="L69" s="23">
        <v>3</v>
      </c>
      <c r="M69" s="23">
        <v>2</v>
      </c>
      <c r="N69" s="23">
        <v>1</v>
      </c>
      <c r="O69" s="23"/>
      <c r="P69" s="24"/>
      <c r="Q69" s="4">
        <f t="shared" si="34"/>
        <v>6</v>
      </c>
      <c r="R69" s="13">
        <v>46017</v>
      </c>
    </row>
    <row r="70" spans="1:18" s="5" customFormat="1" x14ac:dyDescent="0.15">
      <c r="A70" s="15"/>
      <c r="B70" s="22"/>
      <c r="C70" s="23"/>
      <c r="D70" s="23"/>
      <c r="E70" s="23"/>
      <c r="F70" s="23"/>
      <c r="G70" s="24"/>
      <c r="H70" s="4">
        <f t="shared" si="26"/>
        <v>0</v>
      </c>
      <c r="I70" s="14"/>
      <c r="J70" s="15" t="s">
        <v>112</v>
      </c>
      <c r="K70" s="22">
        <v>3</v>
      </c>
      <c r="L70" s="23"/>
      <c r="M70" s="23"/>
      <c r="N70" s="23"/>
      <c r="O70" s="23"/>
      <c r="P70" s="24"/>
      <c r="Q70" s="4">
        <f t="shared" si="34"/>
        <v>3</v>
      </c>
      <c r="R70" s="13">
        <v>46017</v>
      </c>
    </row>
    <row r="71" spans="1:18" s="5" customFormat="1" x14ac:dyDescent="0.15">
      <c r="A71" s="15"/>
      <c r="B71" s="22"/>
      <c r="C71" s="23"/>
      <c r="D71" s="23"/>
      <c r="E71" s="23"/>
      <c r="F71" s="23"/>
      <c r="G71" s="24"/>
      <c r="H71" s="4">
        <f t="shared" si="26"/>
        <v>0</v>
      </c>
      <c r="I71" s="14"/>
      <c r="J71" s="15" t="s">
        <v>113</v>
      </c>
      <c r="K71" s="22">
        <v>3</v>
      </c>
      <c r="L71" s="23">
        <v>7</v>
      </c>
      <c r="M71" s="23">
        <v>3</v>
      </c>
      <c r="N71" s="23">
        <v>2</v>
      </c>
      <c r="O71" s="23"/>
      <c r="P71" s="24"/>
      <c r="Q71" s="4">
        <f t="shared" si="34"/>
        <v>15</v>
      </c>
      <c r="R71" s="13">
        <v>46029</v>
      </c>
    </row>
    <row r="72" spans="1:18" s="5" customFormat="1" x14ac:dyDescent="0.15">
      <c r="A72" s="15"/>
      <c r="B72" s="22"/>
      <c r="C72" s="23"/>
      <c r="D72" s="23"/>
      <c r="E72" s="23"/>
      <c r="F72" s="23"/>
      <c r="G72" s="24"/>
      <c r="H72" s="4">
        <f t="shared" si="26"/>
        <v>0</v>
      </c>
      <c r="I72" s="14"/>
      <c r="J72" s="15" t="s">
        <v>119</v>
      </c>
      <c r="K72" s="22">
        <v>6</v>
      </c>
      <c r="L72" s="23"/>
      <c r="M72" s="23"/>
      <c r="N72" s="23"/>
      <c r="O72" s="23"/>
      <c r="P72" s="24"/>
      <c r="Q72" s="4">
        <f t="shared" si="34"/>
        <v>6</v>
      </c>
      <c r="R72" s="13">
        <v>46035</v>
      </c>
    </row>
    <row r="73" spans="1:18" s="5" customFormat="1" x14ac:dyDescent="0.15">
      <c r="A73" s="15"/>
      <c r="B73" s="22"/>
      <c r="C73" s="23"/>
      <c r="D73" s="23"/>
      <c r="E73" s="23"/>
      <c r="F73" s="23"/>
      <c r="G73" s="24"/>
      <c r="H73" s="4">
        <f t="shared" si="26"/>
        <v>0</v>
      </c>
      <c r="I73" s="14"/>
      <c r="J73" s="15" t="s">
        <v>120</v>
      </c>
      <c r="K73" s="22">
        <v>2</v>
      </c>
      <c r="L73" s="23">
        <v>4</v>
      </c>
      <c r="M73" s="23">
        <v>2</v>
      </c>
      <c r="N73" s="23">
        <v>3</v>
      </c>
      <c r="O73" s="23"/>
      <c r="P73" s="24"/>
      <c r="Q73" s="4">
        <f t="shared" si="34"/>
        <v>11</v>
      </c>
      <c r="R73" s="13">
        <v>46037</v>
      </c>
    </row>
    <row r="74" spans="1:18" s="5" customFormat="1" x14ac:dyDescent="0.15">
      <c r="A74" s="15"/>
      <c r="B74" s="22"/>
      <c r="C74" s="23"/>
      <c r="D74" s="23"/>
      <c r="E74" s="23"/>
      <c r="F74" s="23"/>
      <c r="G74" s="24"/>
      <c r="H74" s="4">
        <f t="shared" si="26"/>
        <v>0</v>
      </c>
      <c r="I74" s="14"/>
      <c r="J74" s="15" t="s">
        <v>121</v>
      </c>
      <c r="K74" s="22">
        <v>3</v>
      </c>
      <c r="L74" s="23">
        <v>5</v>
      </c>
      <c r="M74" s="23">
        <v>3</v>
      </c>
      <c r="N74" s="23"/>
      <c r="O74" s="23"/>
      <c r="P74" s="24"/>
      <c r="Q74" s="4">
        <f t="shared" si="34"/>
        <v>11</v>
      </c>
      <c r="R74" s="13">
        <v>46038</v>
      </c>
    </row>
    <row r="75" spans="1:18" s="5" customFormat="1" x14ac:dyDescent="0.15">
      <c r="A75" s="15"/>
      <c r="B75" s="22"/>
      <c r="C75" s="23"/>
      <c r="D75" s="23"/>
      <c r="E75" s="23"/>
      <c r="F75" s="23"/>
      <c r="G75" s="24"/>
      <c r="H75" s="4">
        <f t="shared" si="26"/>
        <v>0</v>
      </c>
      <c r="I75" s="14"/>
      <c r="J75" s="15" t="s">
        <v>122</v>
      </c>
      <c r="K75" s="22">
        <v>3</v>
      </c>
      <c r="L75" s="23">
        <v>7</v>
      </c>
      <c r="M75" s="23">
        <v>3</v>
      </c>
      <c r="N75" s="23">
        <v>1</v>
      </c>
      <c r="O75" s="23"/>
      <c r="P75" s="24"/>
      <c r="Q75" s="4">
        <f t="shared" ref="Q75" si="35">SUM(K75:P75)</f>
        <v>14</v>
      </c>
      <c r="R75" s="13">
        <v>46038</v>
      </c>
    </row>
    <row r="76" spans="1:18" s="5" customFormat="1" x14ac:dyDescent="0.15">
      <c r="A76" s="15"/>
      <c r="B76" s="22"/>
      <c r="C76" s="23"/>
      <c r="D76" s="23"/>
      <c r="E76" s="23"/>
      <c r="F76" s="23"/>
      <c r="G76" s="24"/>
      <c r="H76" s="4">
        <f t="shared" si="26"/>
        <v>0</v>
      </c>
      <c r="I76" s="14"/>
      <c r="J76" s="75" t="s">
        <v>130</v>
      </c>
      <c r="K76" s="70"/>
      <c r="L76" s="71">
        <v>3</v>
      </c>
      <c r="M76" s="71">
        <v>3</v>
      </c>
      <c r="N76" s="71"/>
      <c r="O76" s="71"/>
      <c r="P76" s="72"/>
      <c r="Q76" s="73">
        <f t="shared" ref="Q76:Q78" si="36">SUM(K76:P76)</f>
        <v>6</v>
      </c>
      <c r="R76" s="74">
        <v>46043</v>
      </c>
    </row>
    <row r="77" spans="1:18" s="5" customFormat="1" x14ac:dyDescent="0.15">
      <c r="A77" s="15"/>
      <c r="B77" s="22"/>
      <c r="C77" s="23"/>
      <c r="D77" s="23"/>
      <c r="E77" s="23"/>
      <c r="F77" s="23"/>
      <c r="G77" s="24"/>
      <c r="H77" s="4">
        <f t="shared" si="26"/>
        <v>0</v>
      </c>
      <c r="I77" s="14"/>
      <c r="J77" s="15" t="s">
        <v>124</v>
      </c>
      <c r="K77" s="22">
        <v>3</v>
      </c>
      <c r="L77" s="23">
        <v>1</v>
      </c>
      <c r="M77" s="23">
        <v>1</v>
      </c>
      <c r="N77" s="23">
        <v>3</v>
      </c>
      <c r="O77" s="23"/>
      <c r="P77" s="24"/>
      <c r="Q77" s="4">
        <f t="shared" si="36"/>
        <v>8</v>
      </c>
      <c r="R77" s="13">
        <v>46045</v>
      </c>
    </row>
    <row r="78" spans="1:18" s="5" customFormat="1" x14ac:dyDescent="0.15">
      <c r="A78" s="15"/>
      <c r="B78" s="22"/>
      <c r="C78" s="23"/>
      <c r="D78" s="23"/>
      <c r="E78" s="23"/>
      <c r="F78" s="23"/>
      <c r="G78" s="24"/>
      <c r="H78" s="4">
        <f t="shared" si="26"/>
        <v>0</v>
      </c>
      <c r="I78" s="14"/>
      <c r="J78" s="15" t="s">
        <v>132</v>
      </c>
      <c r="K78" s="22"/>
      <c r="L78" s="23">
        <v>9</v>
      </c>
      <c r="M78" s="23">
        <v>2</v>
      </c>
      <c r="N78" s="23"/>
      <c r="O78" s="23"/>
      <c r="P78" s="24"/>
      <c r="Q78" s="4">
        <f t="shared" si="36"/>
        <v>11</v>
      </c>
      <c r="R78" s="13">
        <v>46045</v>
      </c>
    </row>
    <row r="79" spans="1:18" s="5" customFormat="1" x14ac:dyDescent="0.15">
      <c r="A79" s="15"/>
      <c r="B79" s="22"/>
      <c r="C79" s="23"/>
      <c r="D79" s="23"/>
      <c r="E79" s="23"/>
      <c r="F79" s="23"/>
      <c r="G79" s="24"/>
      <c r="H79" s="4">
        <f t="shared" si="26"/>
        <v>0</v>
      </c>
      <c r="I79" s="14"/>
      <c r="J79" s="15"/>
      <c r="K79" s="22"/>
      <c r="L79" s="23"/>
      <c r="M79" s="23"/>
      <c r="N79" s="23"/>
      <c r="O79" s="23"/>
      <c r="P79" s="24"/>
      <c r="Q79" s="4">
        <f t="shared" ref="Q79" si="37">SUM(K79:P79)</f>
        <v>0</v>
      </c>
      <c r="R79" s="14"/>
    </row>
    <row r="80" spans="1:18" s="5" customFormat="1" x14ac:dyDescent="0.15">
      <c r="A80" s="15"/>
      <c r="B80" s="22"/>
      <c r="C80" s="23"/>
      <c r="D80" s="23"/>
      <c r="E80" s="23"/>
      <c r="F80" s="23"/>
      <c r="G80" s="24"/>
      <c r="H80" s="4">
        <f t="shared" si="26"/>
        <v>0</v>
      </c>
      <c r="I80" s="14"/>
      <c r="J80" s="15" t="s">
        <v>59</v>
      </c>
      <c r="K80" s="22"/>
      <c r="L80" s="23"/>
      <c r="M80" s="23"/>
      <c r="N80" s="23"/>
      <c r="O80" s="79"/>
      <c r="P80" s="80"/>
      <c r="Q80" s="4">
        <f t="shared" ref="Q80:Q82" si="38">SUM(K80:P80)</f>
        <v>0</v>
      </c>
      <c r="R80" s="14" t="s">
        <v>60</v>
      </c>
    </row>
    <row r="81" spans="1:18" s="5" customFormat="1" x14ac:dyDescent="0.15">
      <c r="A81" s="15"/>
      <c r="B81" s="22"/>
      <c r="C81" s="23"/>
      <c r="D81" s="23"/>
      <c r="E81" s="23"/>
      <c r="F81" s="23"/>
      <c r="G81" s="24"/>
      <c r="H81" s="4">
        <f t="shared" si="26"/>
        <v>0</v>
      </c>
      <c r="I81" s="14"/>
      <c r="J81" s="15" t="s">
        <v>79</v>
      </c>
      <c r="K81" s="22"/>
      <c r="L81" s="23"/>
      <c r="M81" s="23"/>
      <c r="N81" s="23"/>
      <c r="O81" s="79"/>
      <c r="P81" s="80"/>
      <c r="Q81" s="4">
        <f t="shared" si="38"/>
        <v>0</v>
      </c>
      <c r="R81" s="14" t="s">
        <v>80</v>
      </c>
    </row>
    <row r="82" spans="1:18" s="5" customFormat="1" ht="14.25" thickBot="1" x14ac:dyDescent="0.2">
      <c r="A82" s="15"/>
      <c r="B82" s="22"/>
      <c r="C82" s="23"/>
      <c r="D82" s="23"/>
      <c r="E82" s="23"/>
      <c r="F82" s="23"/>
      <c r="G82" s="24"/>
      <c r="H82" s="4">
        <f t="shared" si="26"/>
        <v>0</v>
      </c>
      <c r="I82" s="14"/>
      <c r="J82" s="15" t="s">
        <v>40</v>
      </c>
      <c r="K82" s="22"/>
      <c r="L82" s="23"/>
      <c r="M82" s="23"/>
      <c r="N82" s="87"/>
      <c r="O82" s="87"/>
      <c r="P82" s="88"/>
      <c r="Q82" s="4">
        <f t="shared" si="38"/>
        <v>0</v>
      </c>
      <c r="R82" s="14" t="s">
        <v>41</v>
      </c>
    </row>
    <row r="83" spans="1:18" ht="14.25" thickBot="1" x14ac:dyDescent="0.2">
      <c r="A83" s="2" t="s">
        <v>7</v>
      </c>
      <c r="B83" s="28">
        <f>SUM(B59:B82)</f>
        <v>5</v>
      </c>
      <c r="C83" s="29">
        <f t="shared" ref="C83:F83" si="39">SUM(C59:C82)</f>
        <v>8</v>
      </c>
      <c r="D83" s="29">
        <f t="shared" si="39"/>
        <v>10</v>
      </c>
      <c r="E83" s="29">
        <f t="shared" si="39"/>
        <v>1</v>
      </c>
      <c r="F83" s="29">
        <f t="shared" si="39"/>
        <v>0</v>
      </c>
      <c r="G83" s="30">
        <f>SUM(G59:G82)</f>
        <v>0</v>
      </c>
      <c r="H83" s="9">
        <f>SUM(B83:G83)</f>
        <v>24</v>
      </c>
      <c r="J83" s="2" t="s">
        <v>7</v>
      </c>
      <c r="K83" s="28">
        <f>SUM(K59:K82)</f>
        <v>46</v>
      </c>
      <c r="L83" s="29">
        <f t="shared" ref="L83:O83" si="40">SUM(L59:L82)</f>
        <v>76</v>
      </c>
      <c r="M83" s="29">
        <f t="shared" si="40"/>
        <v>47</v>
      </c>
      <c r="N83" s="29">
        <f t="shared" si="40"/>
        <v>19</v>
      </c>
      <c r="O83" s="29">
        <f t="shared" si="40"/>
        <v>0</v>
      </c>
      <c r="P83" s="30">
        <f>SUM(P59:P82)</f>
        <v>0</v>
      </c>
      <c r="Q83" s="9">
        <f>SUM(K83:P83)</f>
        <v>188</v>
      </c>
    </row>
    <row r="84" spans="1:18" ht="14.25" thickBot="1" x14ac:dyDescent="0.2">
      <c r="A84" s="10" t="s">
        <v>8</v>
      </c>
      <c r="B84" s="31">
        <f>B58-B83</f>
        <v>5</v>
      </c>
      <c r="C84" s="32">
        <f t="shared" ref="C84:F84" si="41">C58-C83</f>
        <v>3</v>
      </c>
      <c r="D84" s="32">
        <f t="shared" si="41"/>
        <v>3</v>
      </c>
      <c r="E84" s="32">
        <f t="shared" si="41"/>
        <v>5</v>
      </c>
      <c r="F84" s="32">
        <f t="shared" si="41"/>
        <v>5</v>
      </c>
      <c r="G84" s="33">
        <f>G58-G83</f>
        <v>6</v>
      </c>
      <c r="H84" s="9">
        <f>H58-H83</f>
        <v>27</v>
      </c>
      <c r="J84" s="10" t="s">
        <v>8</v>
      </c>
      <c r="K84" s="31">
        <f>K58-K83</f>
        <v>160</v>
      </c>
      <c r="L84" s="32">
        <f t="shared" ref="L84:O84" si="42">L58-L83</f>
        <v>406</v>
      </c>
      <c r="M84" s="32">
        <f t="shared" si="42"/>
        <v>254</v>
      </c>
      <c r="N84" s="32">
        <f t="shared" si="42"/>
        <v>66</v>
      </c>
      <c r="O84" s="32">
        <f t="shared" si="42"/>
        <v>71</v>
      </c>
      <c r="P84" s="33">
        <f>P58-P83</f>
        <v>31</v>
      </c>
      <c r="Q84" s="9">
        <f>Q58-Q83</f>
        <v>988</v>
      </c>
    </row>
    <row r="85" spans="1:18" x14ac:dyDescent="0.15">
      <c r="I85"/>
      <c r="R85"/>
    </row>
    <row r="86" spans="1:18" x14ac:dyDescent="0.15">
      <c r="I86"/>
      <c r="R86"/>
    </row>
    <row r="87" spans="1:18" ht="21.75" thickBot="1" x14ac:dyDescent="0.25">
      <c r="A87" s="37" t="s">
        <v>15</v>
      </c>
      <c r="B87" s="38"/>
      <c r="C87" s="38"/>
      <c r="D87" s="38"/>
      <c r="E87" s="38"/>
      <c r="F87" s="38"/>
      <c r="G87" s="38"/>
      <c r="H87" s="39"/>
      <c r="J87" s="40" t="s">
        <v>16</v>
      </c>
      <c r="K87" s="41"/>
      <c r="L87" s="41"/>
      <c r="M87" s="41"/>
      <c r="N87" s="41"/>
      <c r="O87" s="42"/>
      <c r="P87" s="41"/>
      <c r="Q87" s="43"/>
    </row>
    <row r="88" spans="1:18" ht="14.25" thickBot="1" x14ac:dyDescent="0.2">
      <c r="A88" s="1" t="s">
        <v>0</v>
      </c>
      <c r="B88" s="106" t="s">
        <v>14</v>
      </c>
      <c r="C88" s="106"/>
      <c r="D88" s="106"/>
      <c r="E88" s="106"/>
      <c r="F88" s="106"/>
      <c r="G88" s="106"/>
      <c r="H88" s="107"/>
      <c r="J88" s="1" t="s">
        <v>0</v>
      </c>
      <c r="K88" s="106" t="s">
        <v>14</v>
      </c>
      <c r="L88" s="106"/>
      <c r="M88" s="106"/>
      <c r="N88" s="106"/>
      <c r="O88" s="106"/>
      <c r="P88" s="106"/>
      <c r="Q88" s="107"/>
    </row>
    <row r="89" spans="1:18" ht="14.25" thickBot="1" x14ac:dyDescent="0.2">
      <c r="A89" s="1" t="s">
        <v>1</v>
      </c>
      <c r="B89" s="16" t="s">
        <v>2</v>
      </c>
      <c r="C89" s="17" t="s">
        <v>9</v>
      </c>
      <c r="D89" s="17" t="s">
        <v>10</v>
      </c>
      <c r="E89" s="17" t="s">
        <v>11</v>
      </c>
      <c r="F89" s="17" t="s">
        <v>12</v>
      </c>
      <c r="G89" s="18" t="s">
        <v>13</v>
      </c>
      <c r="H89" s="1" t="s">
        <v>3</v>
      </c>
      <c r="J89" s="1" t="s">
        <v>1</v>
      </c>
      <c r="K89" s="16" t="s">
        <v>2</v>
      </c>
      <c r="L89" s="17" t="s">
        <v>9</v>
      </c>
      <c r="M89" s="17" t="s">
        <v>10</v>
      </c>
      <c r="N89" s="17" t="s">
        <v>11</v>
      </c>
      <c r="O89" s="17" t="s">
        <v>12</v>
      </c>
      <c r="P89" s="18" t="s">
        <v>13</v>
      </c>
      <c r="Q89" s="1" t="s">
        <v>3</v>
      </c>
    </row>
    <row r="90" spans="1:18" ht="14.25" thickBot="1" x14ac:dyDescent="0.2">
      <c r="A90" s="12" t="s">
        <v>8</v>
      </c>
      <c r="B90" s="19">
        <f>B84</f>
        <v>5</v>
      </c>
      <c r="C90" s="20">
        <f t="shared" ref="C90:F90" si="43">C84</f>
        <v>3</v>
      </c>
      <c r="D90" s="20">
        <f t="shared" si="43"/>
        <v>3</v>
      </c>
      <c r="E90" s="20">
        <f t="shared" si="43"/>
        <v>5</v>
      </c>
      <c r="F90" s="20">
        <f t="shared" si="43"/>
        <v>5</v>
      </c>
      <c r="G90" s="21">
        <f>G84</f>
        <v>6</v>
      </c>
      <c r="H90" s="9">
        <f t="shared" ref="H90:H125" si="44">SUM(B90:G90)</f>
        <v>27</v>
      </c>
      <c r="I90" s="13"/>
      <c r="J90" s="12" t="s">
        <v>8</v>
      </c>
      <c r="K90" s="19">
        <f>K84</f>
        <v>160</v>
      </c>
      <c r="L90" s="20">
        <f t="shared" ref="L90:O90" si="45">L84</f>
        <v>406</v>
      </c>
      <c r="M90" s="20">
        <f t="shared" si="45"/>
        <v>254</v>
      </c>
      <c r="N90" s="20">
        <f t="shared" si="45"/>
        <v>66</v>
      </c>
      <c r="O90" s="20">
        <f t="shared" si="45"/>
        <v>71</v>
      </c>
      <c r="P90" s="21">
        <f>P84</f>
        <v>31</v>
      </c>
      <c r="Q90" s="9">
        <f t="shared" ref="Q90:Q123" si="46">SUM(K90:P90)</f>
        <v>988</v>
      </c>
    </row>
    <row r="91" spans="1:18" x14ac:dyDescent="0.15">
      <c r="A91" s="3" t="s">
        <v>128</v>
      </c>
      <c r="B91" s="22"/>
      <c r="C91" s="23">
        <v>4</v>
      </c>
      <c r="D91" s="23">
        <v>3</v>
      </c>
      <c r="E91" s="23">
        <v>1</v>
      </c>
      <c r="F91" s="23"/>
      <c r="G91" s="24"/>
      <c r="H91" s="4">
        <f t="shared" si="44"/>
        <v>8</v>
      </c>
      <c r="I91" s="13">
        <v>46058</v>
      </c>
      <c r="J91" s="3" t="s">
        <v>5</v>
      </c>
      <c r="K91" s="22"/>
      <c r="L91" s="23"/>
      <c r="M91" s="23"/>
      <c r="N91" s="23"/>
      <c r="O91" s="23"/>
      <c r="P91" s="24"/>
      <c r="Q91" s="4">
        <f t="shared" si="46"/>
        <v>0</v>
      </c>
      <c r="R91" s="14"/>
    </row>
    <row r="92" spans="1:18" x14ac:dyDescent="0.15">
      <c r="A92" s="3" t="s">
        <v>126</v>
      </c>
      <c r="B92" s="22">
        <v>1</v>
      </c>
      <c r="C92" s="23">
        <v>1</v>
      </c>
      <c r="D92" s="23">
        <v>2</v>
      </c>
      <c r="E92" s="23"/>
      <c r="F92" s="23"/>
      <c r="G92" s="24"/>
      <c r="H92" s="4">
        <f t="shared" si="44"/>
        <v>4</v>
      </c>
      <c r="I92" s="13">
        <v>46062</v>
      </c>
      <c r="J92" s="3" t="s">
        <v>5</v>
      </c>
      <c r="K92" s="22"/>
      <c r="L92" s="23"/>
      <c r="M92" s="23"/>
      <c r="N92" s="23"/>
      <c r="O92" s="23"/>
      <c r="P92" s="24"/>
      <c r="Q92" s="4">
        <f t="shared" si="46"/>
        <v>0</v>
      </c>
      <c r="R92" s="14"/>
    </row>
    <row r="93" spans="1:18" x14ac:dyDescent="0.15">
      <c r="A93" s="69" t="s">
        <v>5</v>
      </c>
      <c r="B93" s="70"/>
      <c r="C93" s="71">
        <v>3</v>
      </c>
      <c r="D93" s="71"/>
      <c r="E93" s="71"/>
      <c r="F93" s="71"/>
      <c r="G93" s="72"/>
      <c r="H93" s="73">
        <f t="shared" si="44"/>
        <v>3</v>
      </c>
      <c r="I93" s="74">
        <v>46091</v>
      </c>
      <c r="J93" s="3" t="s">
        <v>5</v>
      </c>
      <c r="K93" s="22"/>
      <c r="L93" s="23"/>
      <c r="M93" s="23"/>
      <c r="N93" s="23"/>
      <c r="O93" s="23"/>
      <c r="P93" s="24"/>
      <c r="Q93" s="4">
        <f t="shared" ref="Q93:Q95" si="47">SUM(K93:P93)</f>
        <v>0</v>
      </c>
      <c r="R93" s="14"/>
    </row>
    <row r="94" spans="1:18" x14ac:dyDescent="0.15">
      <c r="A94" s="3" t="s">
        <v>5</v>
      </c>
      <c r="B94" s="22"/>
      <c r="C94" s="23"/>
      <c r="D94" s="23"/>
      <c r="E94" s="23"/>
      <c r="F94" s="23"/>
      <c r="G94" s="24"/>
      <c r="H94" s="4">
        <f t="shared" si="44"/>
        <v>0</v>
      </c>
      <c r="I94" s="14"/>
      <c r="J94" s="3" t="s">
        <v>5</v>
      </c>
      <c r="K94" s="22"/>
      <c r="L94" s="23"/>
      <c r="M94" s="23"/>
      <c r="N94" s="23"/>
      <c r="O94" s="23"/>
      <c r="P94" s="24"/>
      <c r="Q94" s="4">
        <f t="shared" si="47"/>
        <v>0</v>
      </c>
      <c r="R94" s="14"/>
    </row>
    <row r="95" spans="1:18" x14ac:dyDescent="0.15">
      <c r="A95" s="3" t="s">
        <v>5</v>
      </c>
      <c r="B95" s="22"/>
      <c r="C95" s="23"/>
      <c r="D95" s="23"/>
      <c r="E95" s="23"/>
      <c r="F95" s="23"/>
      <c r="G95" s="24"/>
      <c r="H95" s="4">
        <f t="shared" si="44"/>
        <v>0</v>
      </c>
      <c r="I95" s="14"/>
      <c r="J95" s="3" t="s">
        <v>5</v>
      </c>
      <c r="K95" s="22"/>
      <c r="L95" s="23"/>
      <c r="M95" s="23"/>
      <c r="N95" s="23"/>
      <c r="O95" s="23"/>
      <c r="P95" s="24"/>
      <c r="Q95" s="4">
        <f t="shared" si="47"/>
        <v>0</v>
      </c>
      <c r="R95" s="14"/>
    </row>
    <row r="96" spans="1:18" x14ac:dyDescent="0.15">
      <c r="A96" s="3" t="s">
        <v>5</v>
      </c>
      <c r="B96" s="22"/>
      <c r="C96" s="23"/>
      <c r="D96" s="23"/>
      <c r="E96" s="23"/>
      <c r="F96" s="23"/>
      <c r="G96" s="24"/>
      <c r="H96" s="4">
        <f t="shared" si="44"/>
        <v>0</v>
      </c>
      <c r="I96" s="14"/>
      <c r="J96" s="3" t="s">
        <v>5</v>
      </c>
      <c r="K96" s="22"/>
      <c r="L96" s="23"/>
      <c r="M96" s="23"/>
      <c r="N96" s="23"/>
      <c r="O96" s="23"/>
      <c r="P96" s="24"/>
      <c r="Q96" s="4">
        <f t="shared" si="46"/>
        <v>0</v>
      </c>
      <c r="R96" s="14"/>
    </row>
    <row r="97" spans="1:19" x14ac:dyDescent="0.15">
      <c r="A97" s="3" t="s">
        <v>5</v>
      </c>
      <c r="B97" s="22"/>
      <c r="C97" s="23"/>
      <c r="D97" s="23"/>
      <c r="E97" s="23"/>
      <c r="F97" s="23"/>
      <c r="G97" s="24"/>
      <c r="H97" s="4">
        <f t="shared" si="44"/>
        <v>0</v>
      </c>
      <c r="I97" s="14"/>
      <c r="J97" s="3" t="s">
        <v>5</v>
      </c>
      <c r="K97" s="22"/>
      <c r="L97" s="23"/>
      <c r="M97" s="23"/>
      <c r="N97" s="23"/>
      <c r="O97" s="23"/>
      <c r="P97" s="24"/>
      <c r="Q97" s="4">
        <f t="shared" si="46"/>
        <v>0</v>
      </c>
      <c r="R97" s="14"/>
    </row>
    <row r="98" spans="1:19" x14ac:dyDescent="0.15">
      <c r="A98" s="3" t="s">
        <v>5</v>
      </c>
      <c r="B98" s="22"/>
      <c r="C98" s="23"/>
      <c r="D98" s="23"/>
      <c r="E98" s="23"/>
      <c r="F98" s="23"/>
      <c r="G98" s="24"/>
      <c r="H98" s="4">
        <f t="shared" si="44"/>
        <v>0</v>
      </c>
      <c r="I98" s="14"/>
      <c r="J98" s="3" t="s">
        <v>5</v>
      </c>
      <c r="K98" s="22"/>
      <c r="L98" s="23"/>
      <c r="M98" s="23"/>
      <c r="N98" s="23"/>
      <c r="O98" s="23"/>
      <c r="P98" s="24"/>
      <c r="Q98" s="4">
        <f t="shared" si="46"/>
        <v>0</v>
      </c>
      <c r="R98" s="14"/>
    </row>
    <row r="99" spans="1:19" x14ac:dyDescent="0.15">
      <c r="A99" s="3" t="s">
        <v>5</v>
      </c>
      <c r="B99" s="22"/>
      <c r="C99" s="23"/>
      <c r="D99" s="23"/>
      <c r="E99" s="23"/>
      <c r="F99" s="23"/>
      <c r="G99" s="24"/>
      <c r="H99" s="4">
        <f t="shared" si="44"/>
        <v>0</v>
      </c>
      <c r="I99" s="14"/>
      <c r="J99" s="3" t="s">
        <v>5</v>
      </c>
      <c r="K99" s="22"/>
      <c r="L99" s="23"/>
      <c r="M99" s="23"/>
      <c r="N99" s="23"/>
      <c r="O99" s="23"/>
      <c r="P99" s="24"/>
      <c r="Q99" s="4">
        <f t="shared" ref="Q99:Q100" si="48">SUM(K99:P99)</f>
        <v>0</v>
      </c>
      <c r="R99" s="14"/>
    </row>
    <row r="100" spans="1:19" ht="14.25" thickBot="1" x14ac:dyDescent="0.2">
      <c r="A100" s="6" t="s">
        <v>5</v>
      </c>
      <c r="B100" s="25"/>
      <c r="C100" s="26"/>
      <c r="D100" s="26"/>
      <c r="E100" s="26"/>
      <c r="F100" s="26"/>
      <c r="G100" s="27"/>
      <c r="H100" s="7">
        <f t="shared" si="44"/>
        <v>0</v>
      </c>
      <c r="I100" s="14"/>
      <c r="J100" s="3" t="s">
        <v>5</v>
      </c>
      <c r="K100" s="22"/>
      <c r="L100" s="23"/>
      <c r="M100" s="23"/>
      <c r="N100" s="23"/>
      <c r="O100" s="23"/>
      <c r="P100" s="24"/>
      <c r="Q100" s="4">
        <f t="shared" si="48"/>
        <v>0</v>
      </c>
      <c r="R100" s="14"/>
    </row>
    <row r="101" spans="1:19" ht="14.25" thickBot="1" x14ac:dyDescent="0.2">
      <c r="A101" s="8" t="s">
        <v>6</v>
      </c>
      <c r="B101" s="28">
        <f>SUM(B90:B100)</f>
        <v>6</v>
      </c>
      <c r="C101" s="29">
        <f t="shared" ref="C101:G101" si="49">SUM(C90:C100)</f>
        <v>11</v>
      </c>
      <c r="D101" s="29">
        <f t="shared" si="49"/>
        <v>8</v>
      </c>
      <c r="E101" s="29">
        <f t="shared" si="49"/>
        <v>6</v>
      </c>
      <c r="F101" s="29">
        <f t="shared" si="49"/>
        <v>5</v>
      </c>
      <c r="G101" s="30">
        <f t="shared" si="49"/>
        <v>6</v>
      </c>
      <c r="H101" s="9">
        <f t="shared" si="44"/>
        <v>42</v>
      </c>
      <c r="J101" s="8" t="s">
        <v>6</v>
      </c>
      <c r="K101" s="28">
        <f>SUM(K90:K100)</f>
        <v>160</v>
      </c>
      <c r="L101" s="29">
        <f t="shared" ref="L101:P101" si="50">SUM(L90:L100)</f>
        <v>406</v>
      </c>
      <c r="M101" s="29">
        <f t="shared" si="50"/>
        <v>254</v>
      </c>
      <c r="N101" s="29">
        <f t="shared" si="50"/>
        <v>66</v>
      </c>
      <c r="O101" s="29">
        <f t="shared" si="50"/>
        <v>71</v>
      </c>
      <c r="P101" s="30">
        <f t="shared" si="50"/>
        <v>31</v>
      </c>
      <c r="Q101" s="9">
        <f t="shared" si="46"/>
        <v>988</v>
      </c>
    </row>
    <row r="102" spans="1:19" x14ac:dyDescent="0.15">
      <c r="A102" s="15" t="s">
        <v>137</v>
      </c>
      <c r="B102" s="22"/>
      <c r="C102" s="23"/>
      <c r="D102" s="23"/>
      <c r="E102" s="23">
        <v>1</v>
      </c>
      <c r="F102" s="23"/>
      <c r="G102" s="24"/>
      <c r="H102" s="4">
        <f t="shared" si="44"/>
        <v>1</v>
      </c>
      <c r="I102" s="13">
        <v>46052</v>
      </c>
      <c r="J102" s="15" t="s">
        <v>118</v>
      </c>
      <c r="K102" s="22">
        <v>20</v>
      </c>
      <c r="L102" s="23">
        <v>20</v>
      </c>
      <c r="M102" s="23">
        <v>20</v>
      </c>
      <c r="N102" s="23"/>
      <c r="O102" s="23"/>
      <c r="P102" s="24"/>
      <c r="Q102" s="4">
        <f t="shared" si="46"/>
        <v>60</v>
      </c>
      <c r="R102" s="13">
        <v>46049</v>
      </c>
    </row>
    <row r="103" spans="1:19" x14ac:dyDescent="0.15">
      <c r="A103" s="15" t="s">
        <v>138</v>
      </c>
      <c r="B103" s="22"/>
      <c r="C103" s="23"/>
      <c r="D103" s="23"/>
      <c r="E103" s="23">
        <v>1</v>
      </c>
      <c r="F103" s="23"/>
      <c r="G103" s="24"/>
      <c r="H103" s="4">
        <f t="shared" si="44"/>
        <v>1</v>
      </c>
      <c r="I103" s="13">
        <v>46055</v>
      </c>
      <c r="J103" s="15" t="s">
        <v>134</v>
      </c>
      <c r="K103" s="22">
        <v>2</v>
      </c>
      <c r="L103" s="23">
        <v>3</v>
      </c>
      <c r="M103" s="23">
        <v>8</v>
      </c>
      <c r="N103" s="23">
        <v>1</v>
      </c>
      <c r="O103" s="23"/>
      <c r="P103" s="24"/>
      <c r="Q103" s="4">
        <f t="shared" si="46"/>
        <v>14</v>
      </c>
      <c r="R103" s="13">
        <v>46050</v>
      </c>
    </row>
    <row r="104" spans="1:19" x14ac:dyDescent="0.15">
      <c r="A104" s="15" t="s">
        <v>141</v>
      </c>
      <c r="B104" s="22">
        <v>2</v>
      </c>
      <c r="C104" s="23"/>
      <c r="D104" s="23"/>
      <c r="E104" s="23"/>
      <c r="F104" s="23"/>
      <c r="G104" s="24"/>
      <c r="H104" s="4">
        <f t="shared" si="44"/>
        <v>2</v>
      </c>
      <c r="I104" s="13">
        <v>46059</v>
      </c>
      <c r="J104" s="15" t="s">
        <v>135</v>
      </c>
      <c r="K104" s="22">
        <v>2</v>
      </c>
      <c r="L104" s="23">
        <v>3</v>
      </c>
      <c r="M104" s="23">
        <v>3</v>
      </c>
      <c r="N104" s="23">
        <v>2</v>
      </c>
      <c r="O104" s="23"/>
      <c r="P104" s="24"/>
      <c r="Q104" s="4">
        <f t="shared" si="46"/>
        <v>10</v>
      </c>
      <c r="R104" s="13">
        <v>46051</v>
      </c>
    </row>
    <row r="105" spans="1:19" x14ac:dyDescent="0.15">
      <c r="A105" s="15" t="s">
        <v>143</v>
      </c>
      <c r="B105" s="22">
        <v>1</v>
      </c>
      <c r="C105" s="23">
        <v>1</v>
      </c>
      <c r="D105" s="23">
        <v>1</v>
      </c>
      <c r="E105" s="23"/>
      <c r="F105" s="23"/>
      <c r="G105" s="24"/>
      <c r="H105" s="4">
        <f t="shared" si="44"/>
        <v>3</v>
      </c>
      <c r="I105" s="13">
        <v>46062</v>
      </c>
      <c r="J105" s="15" t="s">
        <v>136</v>
      </c>
      <c r="K105" s="22">
        <v>1</v>
      </c>
      <c r="L105" s="23">
        <v>6</v>
      </c>
      <c r="M105" s="23">
        <v>1</v>
      </c>
      <c r="N105" s="23"/>
      <c r="O105" s="23"/>
      <c r="P105" s="24"/>
      <c r="Q105" s="4">
        <f t="shared" si="46"/>
        <v>8</v>
      </c>
      <c r="R105" s="13">
        <v>46052</v>
      </c>
    </row>
    <row r="106" spans="1:19" x14ac:dyDescent="0.15">
      <c r="A106" s="15"/>
      <c r="B106" s="22"/>
      <c r="C106" s="23"/>
      <c r="D106" s="23"/>
      <c r="E106" s="23"/>
      <c r="F106" s="23"/>
      <c r="G106" s="24"/>
      <c r="H106" s="4">
        <f t="shared" si="44"/>
        <v>0</v>
      </c>
      <c r="I106" s="14"/>
      <c r="J106" s="15" t="s">
        <v>130</v>
      </c>
      <c r="K106" s="22">
        <v>3</v>
      </c>
      <c r="L106" s="23"/>
      <c r="M106" s="23"/>
      <c r="N106" s="23"/>
      <c r="O106" s="23"/>
      <c r="P106" s="24"/>
      <c r="Q106" s="4">
        <f t="shared" si="46"/>
        <v>3</v>
      </c>
      <c r="R106" s="13">
        <v>46051</v>
      </c>
    </row>
    <row r="107" spans="1:19" x14ac:dyDescent="0.15">
      <c r="A107" s="15"/>
      <c r="B107" s="22"/>
      <c r="C107" s="23"/>
      <c r="D107" s="23"/>
      <c r="E107" s="23"/>
      <c r="F107" s="23"/>
      <c r="G107" s="24"/>
      <c r="H107" s="4">
        <f t="shared" si="44"/>
        <v>0</v>
      </c>
      <c r="I107" s="14"/>
      <c r="J107" s="15" t="s">
        <v>139</v>
      </c>
      <c r="K107" s="22">
        <v>3</v>
      </c>
      <c r="L107" s="23">
        <v>5</v>
      </c>
      <c r="M107" s="23"/>
      <c r="N107" s="23">
        <v>2</v>
      </c>
      <c r="O107" s="23"/>
      <c r="P107" s="24"/>
      <c r="Q107" s="4">
        <f t="shared" si="46"/>
        <v>10</v>
      </c>
      <c r="R107" s="13">
        <v>46057</v>
      </c>
    </row>
    <row r="108" spans="1:19" x14ac:dyDescent="0.15">
      <c r="A108" s="15"/>
      <c r="B108" s="22"/>
      <c r="C108" s="23"/>
      <c r="D108" s="23"/>
      <c r="E108" s="23"/>
      <c r="F108" s="23"/>
      <c r="G108" s="24"/>
      <c r="H108" s="4">
        <f t="shared" si="44"/>
        <v>0</v>
      </c>
      <c r="I108" s="14"/>
      <c r="J108" s="15" t="s">
        <v>140</v>
      </c>
      <c r="K108" s="22">
        <v>5</v>
      </c>
      <c r="L108" s="23">
        <v>1</v>
      </c>
      <c r="M108" s="23">
        <v>1</v>
      </c>
      <c r="N108" s="23">
        <v>1</v>
      </c>
      <c r="O108" s="23"/>
      <c r="P108" s="24"/>
      <c r="Q108" s="4">
        <f t="shared" si="46"/>
        <v>8</v>
      </c>
      <c r="R108" s="13">
        <v>46058</v>
      </c>
      <c r="S108" s="5"/>
    </row>
    <row r="109" spans="1:19" x14ac:dyDescent="0.15">
      <c r="A109" s="15"/>
      <c r="B109" s="22"/>
      <c r="C109" s="23"/>
      <c r="D109" s="23"/>
      <c r="E109" s="23"/>
      <c r="F109" s="23"/>
      <c r="G109" s="24"/>
      <c r="H109" s="4">
        <f t="shared" si="44"/>
        <v>0</v>
      </c>
      <c r="I109" s="14"/>
      <c r="J109" s="15" t="s">
        <v>142</v>
      </c>
      <c r="K109" s="22">
        <v>10</v>
      </c>
      <c r="L109" s="23">
        <v>15</v>
      </c>
      <c r="M109" s="23">
        <v>15</v>
      </c>
      <c r="N109" s="23"/>
      <c r="O109" s="23"/>
      <c r="P109" s="24"/>
      <c r="Q109" s="4">
        <f t="shared" si="46"/>
        <v>40</v>
      </c>
      <c r="R109" s="13">
        <v>46059</v>
      </c>
      <c r="S109" s="5"/>
    </row>
    <row r="110" spans="1:19" x14ac:dyDescent="0.15">
      <c r="A110" s="15"/>
      <c r="B110" s="22"/>
      <c r="C110" s="23"/>
      <c r="D110" s="23"/>
      <c r="E110" s="23"/>
      <c r="F110" s="23"/>
      <c r="G110" s="24"/>
      <c r="H110" s="4">
        <f t="shared" si="44"/>
        <v>0</v>
      </c>
      <c r="I110" s="14"/>
      <c r="J110" s="15" t="s">
        <v>144</v>
      </c>
      <c r="K110" s="22"/>
      <c r="L110" s="23">
        <v>12</v>
      </c>
      <c r="M110" s="23">
        <v>5</v>
      </c>
      <c r="N110" s="23"/>
      <c r="O110" s="23"/>
      <c r="P110" s="24"/>
      <c r="Q110" s="4">
        <f t="shared" si="46"/>
        <v>17</v>
      </c>
      <c r="R110" s="13">
        <v>46063</v>
      </c>
      <c r="S110" s="5"/>
    </row>
    <row r="111" spans="1:19" x14ac:dyDescent="0.15">
      <c r="A111" s="15"/>
      <c r="B111" s="22"/>
      <c r="C111" s="23"/>
      <c r="D111" s="23"/>
      <c r="E111" s="23"/>
      <c r="F111" s="23"/>
      <c r="G111" s="24"/>
      <c r="H111" s="4">
        <f t="shared" si="44"/>
        <v>0</v>
      </c>
      <c r="I111" s="14"/>
      <c r="J111" s="15" t="s">
        <v>145</v>
      </c>
      <c r="K111" s="22">
        <v>5</v>
      </c>
      <c r="L111" s="23">
        <v>10</v>
      </c>
      <c r="M111" s="23">
        <v>15</v>
      </c>
      <c r="N111" s="23"/>
      <c r="O111" s="23"/>
      <c r="P111" s="24"/>
      <c r="Q111" s="4">
        <f t="shared" si="46"/>
        <v>30</v>
      </c>
      <c r="R111" s="13">
        <v>46063</v>
      </c>
    </row>
    <row r="112" spans="1:19" x14ac:dyDescent="0.15">
      <c r="A112" s="15"/>
      <c r="B112" s="22"/>
      <c r="C112" s="23"/>
      <c r="D112" s="23"/>
      <c r="E112" s="23"/>
      <c r="F112" s="23"/>
      <c r="G112" s="24"/>
      <c r="H112" s="4">
        <f t="shared" si="44"/>
        <v>0</v>
      </c>
      <c r="I112" s="14"/>
      <c r="J112" s="15" t="s">
        <v>146</v>
      </c>
      <c r="K112" s="22">
        <v>1</v>
      </c>
      <c r="L112" s="23">
        <v>3</v>
      </c>
      <c r="M112" s="23">
        <v>1</v>
      </c>
      <c r="N112" s="23">
        <v>3</v>
      </c>
      <c r="O112" s="23"/>
      <c r="P112" s="24"/>
      <c r="Q112" s="4">
        <f t="shared" si="46"/>
        <v>8</v>
      </c>
      <c r="R112" s="13">
        <v>46065</v>
      </c>
      <c r="S112" s="5"/>
    </row>
    <row r="113" spans="1:18" x14ac:dyDescent="0.15">
      <c r="A113" s="15"/>
      <c r="B113" s="22"/>
      <c r="C113" s="23"/>
      <c r="D113" s="23"/>
      <c r="E113" s="23"/>
      <c r="F113" s="23"/>
      <c r="G113" s="24"/>
      <c r="H113" s="4">
        <f t="shared" si="44"/>
        <v>0</v>
      </c>
      <c r="I113" s="14"/>
      <c r="J113" s="15" t="s">
        <v>147</v>
      </c>
      <c r="K113" s="22">
        <v>5</v>
      </c>
      <c r="L113" s="23">
        <v>35</v>
      </c>
      <c r="M113" s="23">
        <v>35</v>
      </c>
      <c r="N113" s="23"/>
      <c r="O113" s="23"/>
      <c r="P113" s="24"/>
      <c r="Q113" s="4">
        <f t="shared" si="46"/>
        <v>75</v>
      </c>
      <c r="R113" s="13">
        <v>46066</v>
      </c>
    </row>
    <row r="114" spans="1:18" x14ac:dyDescent="0.15">
      <c r="A114" s="15"/>
      <c r="B114" s="22"/>
      <c r="C114" s="23"/>
      <c r="D114" s="23"/>
      <c r="E114" s="23"/>
      <c r="F114" s="23"/>
      <c r="G114" s="24"/>
      <c r="H114" s="4">
        <f t="shared" si="44"/>
        <v>0</v>
      </c>
      <c r="I114" s="14"/>
      <c r="J114" s="15" t="s">
        <v>148</v>
      </c>
      <c r="K114" s="22">
        <v>5</v>
      </c>
      <c r="L114" s="23">
        <v>6</v>
      </c>
      <c r="M114" s="23">
        <v>9</v>
      </c>
      <c r="N114" s="23">
        <v>3</v>
      </c>
      <c r="O114" s="23"/>
      <c r="P114" s="24"/>
      <c r="Q114" s="4">
        <f t="shared" si="46"/>
        <v>23</v>
      </c>
      <c r="R114" s="13">
        <v>46066</v>
      </c>
    </row>
    <row r="115" spans="1:18" x14ac:dyDescent="0.15">
      <c r="A115" s="15"/>
      <c r="B115" s="22"/>
      <c r="C115" s="23"/>
      <c r="D115" s="23"/>
      <c r="E115" s="23"/>
      <c r="F115" s="23"/>
      <c r="G115" s="24"/>
      <c r="H115" s="4">
        <f t="shared" si="44"/>
        <v>0</v>
      </c>
      <c r="I115" s="14"/>
      <c r="J115" s="15" t="s">
        <v>149</v>
      </c>
      <c r="K115" s="22">
        <v>15</v>
      </c>
      <c r="L115" s="23">
        <v>15</v>
      </c>
      <c r="M115" s="23">
        <v>5</v>
      </c>
      <c r="N115" s="23"/>
      <c r="O115" s="23"/>
      <c r="P115" s="24"/>
      <c r="Q115" s="4">
        <f t="shared" si="46"/>
        <v>35</v>
      </c>
      <c r="R115" s="13">
        <v>46069</v>
      </c>
    </row>
    <row r="116" spans="1:18" x14ac:dyDescent="0.15">
      <c r="A116" s="15"/>
      <c r="B116" s="22"/>
      <c r="C116" s="23"/>
      <c r="D116" s="23"/>
      <c r="E116" s="23"/>
      <c r="F116" s="23"/>
      <c r="G116" s="24"/>
      <c r="H116" s="4">
        <f t="shared" si="44"/>
        <v>0</v>
      </c>
      <c r="I116" s="14"/>
      <c r="J116" s="15" t="s">
        <v>150</v>
      </c>
      <c r="K116" s="22">
        <v>1</v>
      </c>
      <c r="L116" s="23">
        <v>2</v>
      </c>
      <c r="M116" s="23">
        <v>8</v>
      </c>
      <c r="N116" s="23">
        <v>3</v>
      </c>
      <c r="O116" s="23"/>
      <c r="P116" s="24"/>
      <c r="Q116" s="4">
        <f t="shared" si="46"/>
        <v>14</v>
      </c>
      <c r="R116" s="13">
        <v>46069</v>
      </c>
    </row>
    <row r="117" spans="1:18" x14ac:dyDescent="0.15">
      <c r="A117" s="15"/>
      <c r="B117" s="22"/>
      <c r="C117" s="23"/>
      <c r="D117" s="23"/>
      <c r="E117" s="23"/>
      <c r="F117" s="23"/>
      <c r="G117" s="24"/>
      <c r="H117" s="4">
        <f t="shared" si="44"/>
        <v>0</v>
      </c>
      <c r="I117" s="14"/>
      <c r="J117" s="15" t="s">
        <v>151</v>
      </c>
      <c r="K117" s="22">
        <v>2</v>
      </c>
      <c r="L117" s="23">
        <v>3</v>
      </c>
      <c r="M117" s="23">
        <v>3</v>
      </c>
      <c r="N117" s="23">
        <v>2</v>
      </c>
      <c r="O117" s="23"/>
      <c r="P117" s="24"/>
      <c r="Q117" s="4">
        <f t="shared" si="46"/>
        <v>10</v>
      </c>
      <c r="R117" s="13">
        <v>46071</v>
      </c>
    </row>
    <row r="118" spans="1:18" x14ac:dyDescent="0.15">
      <c r="A118" s="15"/>
      <c r="B118" s="22"/>
      <c r="C118" s="23"/>
      <c r="D118" s="23"/>
      <c r="E118" s="23"/>
      <c r="F118" s="23"/>
      <c r="G118" s="24"/>
      <c r="H118" s="4">
        <f t="shared" si="44"/>
        <v>0</v>
      </c>
      <c r="I118" s="14"/>
      <c r="J118" s="15" t="s">
        <v>152</v>
      </c>
      <c r="K118" s="22">
        <v>15</v>
      </c>
      <c r="L118" s="23">
        <v>20</v>
      </c>
      <c r="M118" s="23">
        <v>15</v>
      </c>
      <c r="N118" s="23"/>
      <c r="O118" s="23"/>
      <c r="P118" s="24"/>
      <c r="Q118" s="4">
        <f t="shared" si="46"/>
        <v>50</v>
      </c>
      <c r="R118" s="13">
        <v>46071</v>
      </c>
    </row>
    <row r="119" spans="1:18" x14ac:dyDescent="0.15">
      <c r="A119" s="15"/>
      <c r="B119" s="22"/>
      <c r="C119" s="23"/>
      <c r="D119" s="23"/>
      <c r="E119" s="23"/>
      <c r="F119" s="23"/>
      <c r="G119" s="24"/>
      <c r="H119" s="4">
        <f t="shared" si="44"/>
        <v>0</v>
      </c>
      <c r="I119" s="14"/>
      <c r="J119" s="15" t="s">
        <v>153</v>
      </c>
      <c r="K119" s="22">
        <v>7</v>
      </c>
      <c r="L119" s="23">
        <v>2</v>
      </c>
      <c r="M119" s="23">
        <v>4</v>
      </c>
      <c r="N119" s="23"/>
      <c r="O119" s="23"/>
      <c r="P119" s="24"/>
      <c r="Q119" s="4">
        <f t="shared" si="46"/>
        <v>13</v>
      </c>
      <c r="R119" s="13">
        <v>46072</v>
      </c>
    </row>
    <row r="120" spans="1:18" x14ac:dyDescent="0.15">
      <c r="A120" s="15"/>
      <c r="B120" s="22"/>
      <c r="C120" s="23"/>
      <c r="D120" s="23"/>
      <c r="E120" s="23"/>
      <c r="F120" s="23"/>
      <c r="G120" s="24"/>
      <c r="H120" s="4">
        <f t="shared" si="44"/>
        <v>0</v>
      </c>
      <c r="I120" s="14"/>
      <c r="J120" s="75" t="s">
        <v>130</v>
      </c>
      <c r="K120" s="70"/>
      <c r="L120" s="71">
        <v>3</v>
      </c>
      <c r="M120" s="71"/>
      <c r="N120" s="71"/>
      <c r="O120" s="71"/>
      <c r="P120" s="72"/>
      <c r="Q120" s="73">
        <f t="shared" si="46"/>
        <v>3</v>
      </c>
      <c r="R120" s="74">
        <v>46091</v>
      </c>
    </row>
    <row r="121" spans="1:18" x14ac:dyDescent="0.15">
      <c r="A121" s="15"/>
      <c r="B121" s="22"/>
      <c r="C121" s="23"/>
      <c r="D121" s="23"/>
      <c r="E121" s="23"/>
      <c r="F121" s="23"/>
      <c r="G121" s="24"/>
      <c r="H121" s="4">
        <f t="shared" si="44"/>
        <v>0</v>
      </c>
      <c r="I121" s="14"/>
      <c r="J121" s="15" t="s">
        <v>90</v>
      </c>
      <c r="K121" s="22"/>
      <c r="L121" s="23"/>
      <c r="M121" s="23"/>
      <c r="N121" s="23"/>
      <c r="O121" s="79"/>
      <c r="P121" s="80"/>
      <c r="Q121" s="4">
        <f t="shared" si="46"/>
        <v>0</v>
      </c>
      <c r="R121" s="14" t="s">
        <v>91</v>
      </c>
    </row>
    <row r="122" spans="1:18" x14ac:dyDescent="0.15">
      <c r="A122" s="15"/>
      <c r="B122" s="22"/>
      <c r="C122" s="23"/>
      <c r="D122" s="23"/>
      <c r="E122" s="23"/>
      <c r="F122" s="23"/>
      <c r="G122" s="24"/>
      <c r="H122" s="4">
        <f t="shared" si="44"/>
        <v>0</v>
      </c>
      <c r="I122" s="14"/>
      <c r="J122" s="15" t="s">
        <v>56</v>
      </c>
      <c r="K122" s="22"/>
      <c r="L122" s="23"/>
      <c r="M122" s="23"/>
      <c r="N122" s="23"/>
      <c r="O122" s="79"/>
      <c r="P122" s="80"/>
      <c r="Q122" s="4">
        <f t="shared" si="46"/>
        <v>0</v>
      </c>
      <c r="R122" s="14" t="s">
        <v>55</v>
      </c>
    </row>
    <row r="123" spans="1:18" x14ac:dyDescent="0.15">
      <c r="A123" s="15"/>
      <c r="B123" s="22"/>
      <c r="C123" s="23"/>
      <c r="D123" s="23"/>
      <c r="E123" s="23"/>
      <c r="F123" s="23"/>
      <c r="G123" s="24"/>
      <c r="H123" s="4">
        <f t="shared" si="44"/>
        <v>0</v>
      </c>
      <c r="I123" s="14"/>
      <c r="J123" s="15" t="s">
        <v>114</v>
      </c>
      <c r="K123" s="22"/>
      <c r="L123" s="23"/>
      <c r="M123" s="23"/>
      <c r="N123" s="23"/>
      <c r="O123" s="79"/>
      <c r="P123" s="80"/>
      <c r="Q123" s="4">
        <f t="shared" si="46"/>
        <v>0</v>
      </c>
      <c r="R123" s="14" t="s">
        <v>115</v>
      </c>
    </row>
    <row r="124" spans="1:18" x14ac:dyDescent="0.15">
      <c r="A124" s="15"/>
      <c r="B124" s="22"/>
      <c r="C124" s="23"/>
      <c r="D124" s="23"/>
      <c r="E124" s="23"/>
      <c r="F124" s="23"/>
      <c r="G124" s="24"/>
      <c r="H124" s="4">
        <f t="shared" si="44"/>
        <v>0</v>
      </c>
      <c r="I124" s="14"/>
      <c r="J124" s="15" t="s">
        <v>116</v>
      </c>
      <c r="K124" s="22"/>
      <c r="L124" s="23"/>
      <c r="M124" s="23"/>
      <c r="N124" s="23"/>
      <c r="O124" s="79"/>
      <c r="P124" s="80"/>
      <c r="Q124" s="4">
        <f t="shared" ref="Q124" si="51">SUM(K124:P124)</f>
        <v>0</v>
      </c>
      <c r="R124" s="14" t="s">
        <v>117</v>
      </c>
    </row>
    <row r="125" spans="1:18" ht="14.25" thickBot="1" x14ac:dyDescent="0.2">
      <c r="A125" s="15"/>
      <c r="B125" s="22"/>
      <c r="C125" s="23"/>
      <c r="D125" s="23"/>
      <c r="E125" s="23"/>
      <c r="F125" s="23"/>
      <c r="G125" s="24"/>
      <c r="H125" s="4">
        <f t="shared" si="44"/>
        <v>0</v>
      </c>
      <c r="I125" s="14"/>
      <c r="J125" s="15" t="s">
        <v>108</v>
      </c>
      <c r="K125" s="22"/>
      <c r="L125" s="23"/>
      <c r="M125" s="23"/>
      <c r="N125" s="23"/>
      <c r="O125" s="79"/>
      <c r="P125" s="80"/>
      <c r="Q125" s="4">
        <f t="shared" ref="Q125" si="52">SUM(K125:P125)</f>
        <v>0</v>
      </c>
      <c r="R125" s="14" t="s">
        <v>107</v>
      </c>
    </row>
    <row r="126" spans="1:18" ht="14.25" thickBot="1" x14ac:dyDescent="0.2">
      <c r="A126" s="2" t="s">
        <v>7</v>
      </c>
      <c r="B126" s="28">
        <f>SUM(B102:B125)</f>
        <v>3</v>
      </c>
      <c r="C126" s="29">
        <f t="shared" ref="C126:F126" si="53">SUM(C102:C125)</f>
        <v>1</v>
      </c>
      <c r="D126" s="29">
        <f t="shared" si="53"/>
        <v>1</v>
      </c>
      <c r="E126" s="29">
        <f t="shared" si="53"/>
        <v>2</v>
      </c>
      <c r="F126" s="29">
        <f t="shared" si="53"/>
        <v>0</v>
      </c>
      <c r="G126" s="30">
        <f>SUM(G102:G125)</f>
        <v>0</v>
      </c>
      <c r="H126" s="9">
        <f>SUM(B126:G126)</f>
        <v>7</v>
      </c>
      <c r="J126" s="2" t="s">
        <v>7</v>
      </c>
      <c r="K126" s="28">
        <f>SUM(K102:K125)</f>
        <v>102</v>
      </c>
      <c r="L126" s="29">
        <f t="shared" ref="L126:O126" si="54">SUM(L102:L125)</f>
        <v>164</v>
      </c>
      <c r="M126" s="29">
        <f t="shared" si="54"/>
        <v>148</v>
      </c>
      <c r="N126" s="29">
        <f t="shared" si="54"/>
        <v>17</v>
      </c>
      <c r="O126" s="29">
        <f t="shared" si="54"/>
        <v>0</v>
      </c>
      <c r="P126" s="30">
        <f>SUM(P102:P125)</f>
        <v>0</v>
      </c>
      <c r="Q126" s="9">
        <f>SUM(K126:P126)</f>
        <v>431</v>
      </c>
    </row>
    <row r="127" spans="1:18" ht="14.25" thickBot="1" x14ac:dyDescent="0.2">
      <c r="A127" s="10" t="s">
        <v>8</v>
      </c>
      <c r="B127" s="31">
        <f>B101-B126</f>
        <v>3</v>
      </c>
      <c r="C127" s="32">
        <f t="shared" ref="C127:F127" si="55">C101-C126</f>
        <v>10</v>
      </c>
      <c r="D127" s="32">
        <f t="shared" si="55"/>
        <v>7</v>
      </c>
      <c r="E127" s="32">
        <f t="shared" si="55"/>
        <v>4</v>
      </c>
      <c r="F127" s="32">
        <f t="shared" si="55"/>
        <v>5</v>
      </c>
      <c r="G127" s="33">
        <f>G101-G126</f>
        <v>6</v>
      </c>
      <c r="H127" s="9">
        <f>H101-H126</f>
        <v>35</v>
      </c>
      <c r="J127" s="10" t="s">
        <v>8</v>
      </c>
      <c r="K127" s="31">
        <f>K101-K126</f>
        <v>58</v>
      </c>
      <c r="L127" s="32">
        <f t="shared" ref="L127:O127" si="56">L101-L126</f>
        <v>242</v>
      </c>
      <c r="M127" s="32">
        <f t="shared" si="56"/>
        <v>106</v>
      </c>
      <c r="N127" s="32">
        <f t="shared" si="56"/>
        <v>49</v>
      </c>
      <c r="O127" s="32">
        <f t="shared" si="56"/>
        <v>71</v>
      </c>
      <c r="P127" s="33">
        <f>P101-P126</f>
        <v>31</v>
      </c>
      <c r="Q127" s="9">
        <f>Q101-Q126</f>
        <v>557</v>
      </c>
    </row>
    <row r="128" spans="1:18" x14ac:dyDescent="0.15">
      <c r="I128"/>
      <c r="K128" s="49">
        <f>K127/$Q$127*100</f>
        <v>10.412926391382406</v>
      </c>
      <c r="L128" s="49">
        <f t="shared" ref="L128:Q128" si="57">L127/$Q$127*100</f>
        <v>43.447037701974864</v>
      </c>
      <c r="M128" s="49">
        <f t="shared" si="57"/>
        <v>19.03052064631957</v>
      </c>
      <c r="N128" s="49">
        <f t="shared" si="57"/>
        <v>8.7971274685816869</v>
      </c>
      <c r="O128" s="49">
        <f t="shared" si="57"/>
        <v>12.746858168761221</v>
      </c>
      <c r="P128" s="49">
        <f t="shared" si="57"/>
        <v>5.5655296229802511</v>
      </c>
      <c r="Q128" s="49">
        <f t="shared" si="57"/>
        <v>100</v>
      </c>
      <c r="R128"/>
    </row>
    <row r="129" spans="1:18" x14ac:dyDescent="0.15">
      <c r="I129"/>
      <c r="K129" s="44">
        <v>22.8</v>
      </c>
      <c r="L129" s="44">
        <v>34.5</v>
      </c>
      <c r="M129" s="44">
        <v>23.4</v>
      </c>
      <c r="N129" s="44">
        <v>8.9</v>
      </c>
      <c r="O129" s="44">
        <v>3.9</v>
      </c>
      <c r="P129" s="44">
        <v>6.4</v>
      </c>
      <c r="Q129" s="44">
        <f>SUM(K129:P129)</f>
        <v>99.9</v>
      </c>
      <c r="R129"/>
    </row>
    <row r="130" spans="1:18" ht="21.75" thickBot="1" x14ac:dyDescent="0.25">
      <c r="A130" s="37" t="s">
        <v>15</v>
      </c>
      <c r="B130" s="38"/>
      <c r="C130" s="38"/>
      <c r="D130" s="38"/>
      <c r="E130" s="38"/>
      <c r="F130" s="38"/>
      <c r="G130" s="38"/>
      <c r="H130" s="39"/>
      <c r="J130" s="40" t="s">
        <v>16</v>
      </c>
      <c r="K130" s="41"/>
      <c r="L130" s="41"/>
      <c r="M130" s="41"/>
      <c r="N130" s="41"/>
      <c r="O130" s="42"/>
      <c r="P130" s="41"/>
      <c r="Q130" s="43"/>
      <c r="R130"/>
    </row>
    <row r="131" spans="1:18" ht="14.25" thickBot="1" x14ac:dyDescent="0.2">
      <c r="A131" s="1" t="s">
        <v>0</v>
      </c>
      <c r="B131" s="106" t="s">
        <v>14</v>
      </c>
      <c r="C131" s="106"/>
      <c r="D131" s="106"/>
      <c r="E131" s="106"/>
      <c r="F131" s="106"/>
      <c r="G131" s="106"/>
      <c r="H131" s="107"/>
      <c r="J131" s="1" t="s">
        <v>0</v>
      </c>
      <c r="K131" s="106" t="s">
        <v>14</v>
      </c>
      <c r="L131" s="106"/>
      <c r="M131" s="106"/>
      <c r="N131" s="106"/>
      <c r="O131" s="106"/>
      <c r="P131" s="106"/>
      <c r="Q131" s="107"/>
      <c r="R131"/>
    </row>
    <row r="132" spans="1:18" ht="14.25" thickBot="1" x14ac:dyDescent="0.2">
      <c r="A132" s="1" t="s">
        <v>1</v>
      </c>
      <c r="B132" s="16" t="s">
        <v>2</v>
      </c>
      <c r="C132" s="17" t="s">
        <v>9</v>
      </c>
      <c r="D132" s="17" t="s">
        <v>10</v>
      </c>
      <c r="E132" s="17" t="s">
        <v>11</v>
      </c>
      <c r="F132" s="17" t="s">
        <v>12</v>
      </c>
      <c r="G132" s="18" t="s">
        <v>13</v>
      </c>
      <c r="H132" s="1" t="s">
        <v>3</v>
      </c>
      <c r="J132" s="1" t="s">
        <v>1</v>
      </c>
      <c r="K132" s="16" t="s">
        <v>2</v>
      </c>
      <c r="L132" s="17" t="s">
        <v>9</v>
      </c>
      <c r="M132" s="17" t="s">
        <v>10</v>
      </c>
      <c r="N132" s="17" t="s">
        <v>11</v>
      </c>
      <c r="O132" s="17" t="s">
        <v>12</v>
      </c>
      <c r="P132" s="18" t="s">
        <v>13</v>
      </c>
      <c r="Q132" s="1" t="s">
        <v>3</v>
      </c>
      <c r="R132"/>
    </row>
    <row r="133" spans="1:18" ht="14.25" thickBot="1" x14ac:dyDescent="0.2">
      <c r="A133" s="12" t="s">
        <v>8</v>
      </c>
      <c r="B133" s="19">
        <f>B127</f>
        <v>3</v>
      </c>
      <c r="C133" s="20">
        <f t="shared" ref="C133:F133" si="58">C127</f>
        <v>10</v>
      </c>
      <c r="D133" s="20">
        <f t="shared" si="58"/>
        <v>7</v>
      </c>
      <c r="E133" s="20">
        <f t="shared" si="58"/>
        <v>4</v>
      </c>
      <c r="F133" s="20">
        <f t="shared" si="58"/>
        <v>5</v>
      </c>
      <c r="G133" s="21">
        <f>G127</f>
        <v>6</v>
      </c>
      <c r="H133" s="9">
        <f t="shared" ref="H133:H168" si="59">SUM(B133:G133)</f>
        <v>35</v>
      </c>
      <c r="I133" s="13"/>
      <c r="J133" s="12" t="s">
        <v>8</v>
      </c>
      <c r="K133" s="19">
        <f>K127</f>
        <v>58</v>
      </c>
      <c r="L133" s="20">
        <f t="shared" ref="L133:O133" si="60">L127</f>
        <v>242</v>
      </c>
      <c r="M133" s="20">
        <f t="shared" si="60"/>
        <v>106</v>
      </c>
      <c r="N133" s="20">
        <f t="shared" si="60"/>
        <v>49</v>
      </c>
      <c r="O133" s="20">
        <f t="shared" si="60"/>
        <v>71</v>
      </c>
      <c r="P133" s="21">
        <f>P127</f>
        <v>31</v>
      </c>
      <c r="Q133" s="9">
        <f t="shared" ref="Q133:Q168" si="61">SUM(K133:P133)</f>
        <v>557</v>
      </c>
      <c r="R133"/>
    </row>
    <row r="134" spans="1:18" x14ac:dyDescent="0.15">
      <c r="A134" s="3" t="s">
        <v>126</v>
      </c>
      <c r="B134" s="22">
        <v>1</v>
      </c>
      <c r="C134" s="23">
        <v>1</v>
      </c>
      <c r="D134" s="23"/>
      <c r="E134" s="23"/>
      <c r="F134" s="23"/>
      <c r="G134" s="24"/>
      <c r="H134" s="4">
        <f t="shared" si="59"/>
        <v>2</v>
      </c>
      <c r="I134" s="13">
        <v>46077</v>
      </c>
      <c r="J134" s="3" t="s">
        <v>158</v>
      </c>
      <c r="K134" s="22"/>
      <c r="L134" s="23">
        <v>3</v>
      </c>
      <c r="M134" s="23">
        <v>2</v>
      </c>
      <c r="N134" s="23">
        <v>1</v>
      </c>
      <c r="O134" s="23"/>
      <c r="P134" s="24"/>
      <c r="Q134" s="4">
        <f t="shared" si="61"/>
        <v>6</v>
      </c>
      <c r="R134" s="92">
        <v>46074</v>
      </c>
    </row>
    <row r="135" spans="1:18" x14ac:dyDescent="0.15">
      <c r="A135" s="3" t="s">
        <v>5</v>
      </c>
      <c r="B135" s="22">
        <v>3</v>
      </c>
      <c r="C135" s="23"/>
      <c r="D135" s="23"/>
      <c r="E135" s="23"/>
      <c r="F135" s="23"/>
      <c r="G135" s="24"/>
      <c r="H135" s="4">
        <f t="shared" si="59"/>
        <v>3</v>
      </c>
      <c r="I135" s="13">
        <v>46083</v>
      </c>
      <c r="J135" s="3" t="s">
        <v>5</v>
      </c>
      <c r="K135" s="22"/>
      <c r="L135" s="23"/>
      <c r="M135" s="23"/>
      <c r="N135" s="23"/>
      <c r="O135" s="23"/>
      <c r="P135" s="24"/>
      <c r="Q135" s="4">
        <f t="shared" si="61"/>
        <v>0</v>
      </c>
      <c r="R135"/>
    </row>
    <row r="136" spans="1:18" x14ac:dyDescent="0.15">
      <c r="A136" s="69" t="s">
        <v>5</v>
      </c>
      <c r="B136" s="70"/>
      <c r="C136" s="71"/>
      <c r="D136" s="71"/>
      <c r="E136" s="71">
        <v>3</v>
      </c>
      <c r="F136" s="71"/>
      <c r="G136" s="72"/>
      <c r="H136" s="73">
        <f t="shared" si="59"/>
        <v>3</v>
      </c>
      <c r="I136" s="74">
        <v>46085</v>
      </c>
      <c r="J136" s="3" t="s">
        <v>71</v>
      </c>
      <c r="K136" s="34">
        <v>160</v>
      </c>
      <c r="L136" s="35">
        <v>340</v>
      </c>
      <c r="M136" s="35">
        <v>220</v>
      </c>
      <c r="N136" s="35">
        <v>0</v>
      </c>
      <c r="O136" s="35">
        <v>0</v>
      </c>
      <c r="P136" s="36">
        <v>0</v>
      </c>
      <c r="Q136" s="4">
        <f t="shared" si="61"/>
        <v>720</v>
      </c>
      <c r="R136" s="13">
        <v>45708</v>
      </c>
    </row>
    <row r="137" spans="1:18" x14ac:dyDescent="0.15">
      <c r="A137" s="3" t="s">
        <v>126</v>
      </c>
      <c r="B137" s="22"/>
      <c r="C137" s="23">
        <v>2</v>
      </c>
      <c r="D137" s="23">
        <v>1</v>
      </c>
      <c r="E137" s="23"/>
      <c r="F137" s="23"/>
      <c r="G137" s="24"/>
      <c r="H137" s="4">
        <f t="shared" si="59"/>
        <v>3</v>
      </c>
      <c r="I137" s="13">
        <v>46090</v>
      </c>
      <c r="J137" s="3" t="s">
        <v>5</v>
      </c>
      <c r="K137" s="22"/>
      <c r="L137" s="23"/>
      <c r="M137" s="23"/>
      <c r="N137" s="23"/>
      <c r="O137" s="23"/>
      <c r="P137" s="24"/>
      <c r="Q137" s="4">
        <f t="shared" si="61"/>
        <v>0</v>
      </c>
      <c r="R137"/>
    </row>
    <row r="138" spans="1:18" x14ac:dyDescent="0.15">
      <c r="A138" s="69" t="s">
        <v>5</v>
      </c>
      <c r="B138" s="70">
        <v>3</v>
      </c>
      <c r="C138" s="71"/>
      <c r="D138" s="71"/>
      <c r="E138" s="71"/>
      <c r="F138" s="71"/>
      <c r="G138" s="72"/>
      <c r="H138" s="73">
        <f t="shared" si="59"/>
        <v>3</v>
      </c>
      <c r="I138" s="74">
        <v>46100</v>
      </c>
      <c r="J138" s="3" t="s">
        <v>158</v>
      </c>
      <c r="K138" s="22"/>
      <c r="L138" s="23"/>
      <c r="M138" s="23">
        <v>11</v>
      </c>
      <c r="N138" s="23"/>
      <c r="O138" s="23"/>
      <c r="P138" s="24"/>
      <c r="Q138" s="4">
        <f t="shared" si="61"/>
        <v>11</v>
      </c>
      <c r="R138" s="92">
        <v>46116</v>
      </c>
    </row>
    <row r="139" spans="1:18" x14ac:dyDescent="0.15">
      <c r="A139" s="3" t="s">
        <v>184</v>
      </c>
      <c r="B139" s="22"/>
      <c r="C139" s="23">
        <v>2</v>
      </c>
      <c r="D139" s="23">
        <v>3</v>
      </c>
      <c r="E139" s="23"/>
      <c r="F139" s="23"/>
      <c r="G139" s="24"/>
      <c r="H139" s="4">
        <f t="shared" si="59"/>
        <v>5</v>
      </c>
      <c r="I139" s="13">
        <v>46104</v>
      </c>
      <c r="J139" s="3" t="s">
        <v>5</v>
      </c>
      <c r="K139" s="22"/>
      <c r="L139" s="23"/>
      <c r="M139" s="23"/>
      <c r="N139" s="23"/>
      <c r="O139" s="23"/>
      <c r="P139" s="24"/>
      <c r="Q139" s="4">
        <f t="shared" si="61"/>
        <v>0</v>
      </c>
      <c r="R139"/>
    </row>
    <row r="140" spans="1:18" x14ac:dyDescent="0.15">
      <c r="A140" s="3" t="s">
        <v>126</v>
      </c>
      <c r="B140" s="22">
        <v>1</v>
      </c>
      <c r="C140" s="23">
        <v>2</v>
      </c>
      <c r="D140" s="23">
        <v>1</v>
      </c>
      <c r="E140" s="23"/>
      <c r="F140" s="23"/>
      <c r="G140" s="24"/>
      <c r="H140" s="4">
        <f t="shared" si="59"/>
        <v>4</v>
      </c>
      <c r="I140" s="13">
        <v>46105</v>
      </c>
      <c r="J140" s="3" t="s">
        <v>5</v>
      </c>
      <c r="K140" s="22"/>
      <c r="L140" s="23"/>
      <c r="M140" s="23"/>
      <c r="N140" s="23"/>
      <c r="O140" s="23"/>
      <c r="P140" s="24"/>
      <c r="Q140" s="4">
        <f t="shared" si="61"/>
        <v>0</v>
      </c>
      <c r="R140"/>
    </row>
    <row r="141" spans="1:18" x14ac:dyDescent="0.15">
      <c r="A141" s="3" t="s">
        <v>184</v>
      </c>
      <c r="B141" s="22"/>
      <c r="C141" s="23"/>
      <c r="D141" s="23">
        <v>11</v>
      </c>
      <c r="E141" s="23"/>
      <c r="F141" s="23"/>
      <c r="G141" s="24"/>
      <c r="H141" s="4">
        <f t="shared" si="59"/>
        <v>11</v>
      </c>
      <c r="I141" s="13">
        <v>46104</v>
      </c>
      <c r="J141" s="3" t="s">
        <v>5</v>
      </c>
      <c r="K141" s="22"/>
      <c r="L141" s="23"/>
      <c r="M141" s="23"/>
      <c r="N141" s="23"/>
      <c r="O141" s="23"/>
      <c r="P141" s="24"/>
      <c r="Q141" s="4">
        <f t="shared" si="61"/>
        <v>0</v>
      </c>
      <c r="R141"/>
    </row>
    <row r="142" spans="1:18" x14ac:dyDescent="0.15">
      <c r="A142" s="69" t="s">
        <v>5</v>
      </c>
      <c r="B142" s="70"/>
      <c r="C142" s="71"/>
      <c r="D142" s="71"/>
      <c r="E142" s="71">
        <v>4</v>
      </c>
      <c r="F142" s="71"/>
      <c r="G142" s="72"/>
      <c r="H142" s="73">
        <f t="shared" si="59"/>
        <v>4</v>
      </c>
      <c r="I142" s="74">
        <v>46112</v>
      </c>
      <c r="J142" s="3" t="s">
        <v>5</v>
      </c>
      <c r="K142" s="22"/>
      <c r="L142" s="23"/>
      <c r="M142" s="23"/>
      <c r="N142" s="23"/>
      <c r="O142" s="23"/>
      <c r="P142" s="24"/>
      <c r="Q142" s="4">
        <f t="shared" si="61"/>
        <v>0</v>
      </c>
      <c r="R142"/>
    </row>
    <row r="143" spans="1:18" ht="14.25" thickBot="1" x14ac:dyDescent="0.2">
      <c r="A143" s="6" t="s">
        <v>205</v>
      </c>
      <c r="B143" s="25">
        <v>6</v>
      </c>
      <c r="C143" s="26">
        <v>7</v>
      </c>
      <c r="D143" s="26">
        <v>5</v>
      </c>
      <c r="E143" s="26"/>
      <c r="F143" s="26"/>
      <c r="G143" s="27"/>
      <c r="H143" s="7">
        <f t="shared" si="59"/>
        <v>18</v>
      </c>
      <c r="I143" s="13">
        <v>46132</v>
      </c>
      <c r="J143" s="3" t="s">
        <v>5</v>
      </c>
      <c r="K143" s="22"/>
      <c r="L143" s="23"/>
      <c r="M143" s="23"/>
      <c r="N143" s="23"/>
      <c r="O143" s="23"/>
      <c r="P143" s="24"/>
      <c r="Q143" s="4">
        <f t="shared" si="61"/>
        <v>0</v>
      </c>
      <c r="R143"/>
    </row>
    <row r="144" spans="1:18" ht="14.25" thickBot="1" x14ac:dyDescent="0.2">
      <c r="A144" s="8" t="s">
        <v>6</v>
      </c>
      <c r="B144" s="28">
        <f>SUM(B133:B143)</f>
        <v>17</v>
      </c>
      <c r="C144" s="29">
        <f t="shared" ref="C144:G144" si="62">SUM(C133:C143)</f>
        <v>24</v>
      </c>
      <c r="D144" s="29">
        <f t="shared" si="62"/>
        <v>28</v>
      </c>
      <c r="E144" s="29">
        <f t="shared" si="62"/>
        <v>11</v>
      </c>
      <c r="F144" s="29">
        <f t="shared" si="62"/>
        <v>5</v>
      </c>
      <c r="G144" s="30">
        <f t="shared" si="62"/>
        <v>6</v>
      </c>
      <c r="H144" s="9">
        <f t="shared" si="59"/>
        <v>91</v>
      </c>
      <c r="J144" s="8" t="s">
        <v>6</v>
      </c>
      <c r="K144" s="28">
        <f>SUM(K133:K143)</f>
        <v>218</v>
      </c>
      <c r="L144" s="29">
        <f t="shared" ref="L144:P144" si="63">SUM(L133:L143)</f>
        <v>585</v>
      </c>
      <c r="M144" s="29">
        <f t="shared" si="63"/>
        <v>339</v>
      </c>
      <c r="N144" s="29">
        <f t="shared" si="63"/>
        <v>50</v>
      </c>
      <c r="O144" s="29">
        <f t="shared" si="63"/>
        <v>71</v>
      </c>
      <c r="P144" s="30">
        <f t="shared" si="63"/>
        <v>31</v>
      </c>
      <c r="Q144" s="9">
        <f t="shared" si="61"/>
        <v>1294</v>
      </c>
      <c r="R144"/>
    </row>
    <row r="145" spans="1:18" x14ac:dyDescent="0.15">
      <c r="A145" s="15" t="s">
        <v>157</v>
      </c>
      <c r="B145" s="22"/>
      <c r="C145" s="23">
        <v>3</v>
      </c>
      <c r="D145" s="23">
        <v>2</v>
      </c>
      <c r="E145" s="23">
        <v>1</v>
      </c>
      <c r="F145" s="23"/>
      <c r="G145" s="24"/>
      <c r="H145" s="4">
        <f t="shared" si="59"/>
        <v>6</v>
      </c>
      <c r="I145" s="13">
        <v>46074</v>
      </c>
      <c r="J145" s="15" t="s">
        <v>154</v>
      </c>
      <c r="K145" s="22">
        <v>2</v>
      </c>
      <c r="L145" s="23">
        <v>4</v>
      </c>
      <c r="M145" s="23"/>
      <c r="N145" s="23">
        <v>3</v>
      </c>
      <c r="O145" s="23"/>
      <c r="P145" s="24"/>
      <c r="Q145" s="4">
        <f t="shared" si="61"/>
        <v>9</v>
      </c>
      <c r="R145" s="13">
        <v>46073</v>
      </c>
    </row>
    <row r="146" spans="1:18" x14ac:dyDescent="0.15">
      <c r="A146" s="15" t="s">
        <v>159</v>
      </c>
      <c r="B146" s="22">
        <v>1</v>
      </c>
      <c r="C146" s="23"/>
      <c r="D146" s="23"/>
      <c r="E146" s="23"/>
      <c r="F146" s="23"/>
      <c r="G146" s="24"/>
      <c r="H146" s="4">
        <f t="shared" si="59"/>
        <v>1</v>
      </c>
      <c r="I146" s="13">
        <v>46079</v>
      </c>
      <c r="J146" s="15" t="s">
        <v>155</v>
      </c>
      <c r="K146" s="22">
        <v>2</v>
      </c>
      <c r="L146" s="23">
        <v>10</v>
      </c>
      <c r="M146" s="23"/>
      <c r="N146" s="23">
        <v>1</v>
      </c>
      <c r="O146" s="23"/>
      <c r="P146" s="24"/>
      <c r="Q146" s="4">
        <f t="shared" si="61"/>
        <v>13</v>
      </c>
      <c r="R146" s="13">
        <v>46073</v>
      </c>
    </row>
    <row r="147" spans="1:18" x14ac:dyDescent="0.15">
      <c r="A147" s="15" t="s">
        <v>160</v>
      </c>
      <c r="B147" s="22">
        <v>1</v>
      </c>
      <c r="C147" s="23"/>
      <c r="D147" s="23"/>
      <c r="E147" s="23"/>
      <c r="F147" s="23"/>
      <c r="G147" s="24"/>
      <c r="H147" s="4">
        <f t="shared" si="59"/>
        <v>1</v>
      </c>
      <c r="I147" s="13">
        <v>46080</v>
      </c>
      <c r="J147" s="15" t="s">
        <v>156</v>
      </c>
      <c r="K147" s="22">
        <v>5</v>
      </c>
      <c r="L147" s="23">
        <v>10</v>
      </c>
      <c r="M147" s="23">
        <v>4</v>
      </c>
      <c r="N147" s="23">
        <v>2</v>
      </c>
      <c r="O147" s="23"/>
      <c r="P147" s="24"/>
      <c r="Q147" s="4">
        <f t="shared" si="61"/>
        <v>21</v>
      </c>
      <c r="R147" s="13">
        <v>46077</v>
      </c>
    </row>
    <row r="148" spans="1:18" x14ac:dyDescent="0.15">
      <c r="A148" s="15" t="s">
        <v>164</v>
      </c>
      <c r="B148" s="22"/>
      <c r="C148" s="23">
        <v>1</v>
      </c>
      <c r="D148" s="23"/>
      <c r="E148" s="23">
        <v>1</v>
      </c>
      <c r="F148" s="23"/>
      <c r="G148" s="24"/>
      <c r="H148" s="4">
        <f t="shared" si="59"/>
        <v>2</v>
      </c>
      <c r="I148" s="13">
        <v>46086</v>
      </c>
      <c r="J148" s="15" t="s">
        <v>161</v>
      </c>
      <c r="K148" s="22">
        <v>5</v>
      </c>
      <c r="L148" s="23">
        <v>15</v>
      </c>
      <c r="M148" s="23"/>
      <c r="N148" s="23"/>
      <c r="O148" s="23"/>
      <c r="P148" s="24"/>
      <c r="Q148" s="4">
        <f t="shared" si="61"/>
        <v>20</v>
      </c>
      <c r="R148" s="13">
        <v>46081</v>
      </c>
    </row>
    <row r="149" spans="1:18" x14ac:dyDescent="0.15">
      <c r="A149" s="15" t="s">
        <v>170</v>
      </c>
      <c r="B149" s="22">
        <v>1</v>
      </c>
      <c r="C149" s="23"/>
      <c r="D149" s="23"/>
      <c r="E149" s="23"/>
      <c r="F149" s="23"/>
      <c r="G149" s="24"/>
      <c r="H149" s="4">
        <f t="shared" si="59"/>
        <v>1</v>
      </c>
      <c r="I149" s="13">
        <v>46087</v>
      </c>
      <c r="J149" s="15" t="s">
        <v>162</v>
      </c>
      <c r="K149" s="22">
        <v>2</v>
      </c>
      <c r="L149" s="23">
        <v>1</v>
      </c>
      <c r="M149" s="23"/>
      <c r="N149" s="23">
        <v>1</v>
      </c>
      <c r="O149" s="23"/>
      <c r="P149" s="24"/>
      <c r="Q149" s="4">
        <f t="shared" si="61"/>
        <v>4</v>
      </c>
      <c r="R149" s="13">
        <v>46083</v>
      </c>
    </row>
    <row r="150" spans="1:18" x14ac:dyDescent="0.15">
      <c r="A150" s="15" t="s">
        <v>171</v>
      </c>
      <c r="B150" s="22"/>
      <c r="C150" s="23">
        <v>2</v>
      </c>
      <c r="D150" s="23"/>
      <c r="E150" s="23"/>
      <c r="F150" s="23"/>
      <c r="G150" s="24"/>
      <c r="H150" s="4">
        <f t="shared" si="59"/>
        <v>2</v>
      </c>
      <c r="I150" s="13">
        <v>46090</v>
      </c>
      <c r="J150" s="15" t="s">
        <v>130</v>
      </c>
      <c r="K150" s="22">
        <v>3</v>
      </c>
      <c r="L150" s="23"/>
      <c r="M150" s="23"/>
      <c r="N150" s="23"/>
      <c r="O150" s="23"/>
      <c r="P150" s="24"/>
      <c r="Q150" s="4">
        <f t="shared" si="61"/>
        <v>3</v>
      </c>
      <c r="R150" s="13">
        <v>46083</v>
      </c>
    </row>
    <row r="151" spans="1:18" x14ac:dyDescent="0.15">
      <c r="A151" s="15" t="s">
        <v>177</v>
      </c>
      <c r="B151" s="22"/>
      <c r="C151" s="23"/>
      <c r="D151" s="23">
        <v>2</v>
      </c>
      <c r="E151" s="23"/>
      <c r="F151" s="23"/>
      <c r="G151" s="24"/>
      <c r="H151" s="4">
        <f t="shared" si="59"/>
        <v>2</v>
      </c>
      <c r="I151" s="13">
        <v>46093</v>
      </c>
      <c r="J151" s="15" t="s">
        <v>163</v>
      </c>
      <c r="K151" s="22">
        <v>4</v>
      </c>
      <c r="L151" s="23">
        <v>3</v>
      </c>
      <c r="M151" s="23"/>
      <c r="N151" s="23">
        <v>2</v>
      </c>
      <c r="O151" s="23"/>
      <c r="P151" s="24"/>
      <c r="Q151" s="4">
        <f t="shared" si="61"/>
        <v>9</v>
      </c>
      <c r="R151" s="13">
        <v>46085</v>
      </c>
    </row>
    <row r="152" spans="1:18" x14ac:dyDescent="0.15">
      <c r="A152" s="15" t="s">
        <v>179</v>
      </c>
      <c r="B152" s="22">
        <v>1</v>
      </c>
      <c r="C152" s="23"/>
      <c r="D152" s="23"/>
      <c r="E152" s="23"/>
      <c r="F152" s="23"/>
      <c r="G152" s="24"/>
      <c r="H152" s="4">
        <f t="shared" si="59"/>
        <v>1</v>
      </c>
      <c r="I152" s="13">
        <v>46097</v>
      </c>
      <c r="J152" s="75" t="s">
        <v>130</v>
      </c>
      <c r="K152" s="70"/>
      <c r="L152" s="71"/>
      <c r="M152" s="71"/>
      <c r="N152" s="71">
        <v>3</v>
      </c>
      <c r="O152" s="71"/>
      <c r="P152" s="72"/>
      <c r="Q152" s="73">
        <f t="shared" si="61"/>
        <v>3</v>
      </c>
      <c r="R152" s="74">
        <v>46085</v>
      </c>
    </row>
    <row r="153" spans="1:18" x14ac:dyDescent="0.15">
      <c r="A153" s="15" t="s">
        <v>180</v>
      </c>
      <c r="B153" s="22">
        <v>1</v>
      </c>
      <c r="C153" s="23"/>
      <c r="D153" s="23">
        <v>1</v>
      </c>
      <c r="E153" s="23"/>
      <c r="F153" s="23"/>
      <c r="G153" s="24"/>
      <c r="H153" s="4">
        <f t="shared" si="59"/>
        <v>2</v>
      </c>
      <c r="I153" s="13">
        <v>46099</v>
      </c>
      <c r="J153" s="15" t="s">
        <v>169</v>
      </c>
      <c r="K153" s="22">
        <v>1</v>
      </c>
      <c r="L153" s="23"/>
      <c r="M153" s="23">
        <v>2</v>
      </c>
      <c r="N153" s="23">
        <v>3</v>
      </c>
      <c r="O153" s="23"/>
      <c r="P153" s="24"/>
      <c r="Q153" s="4">
        <f t="shared" si="61"/>
        <v>6</v>
      </c>
      <c r="R153" s="13">
        <v>46087</v>
      </c>
    </row>
    <row r="154" spans="1:18" x14ac:dyDescent="0.15">
      <c r="A154" s="15" t="s">
        <v>181</v>
      </c>
      <c r="B154" s="22"/>
      <c r="C154" s="23">
        <v>1</v>
      </c>
      <c r="D154" s="23"/>
      <c r="E154" s="23"/>
      <c r="F154" s="23"/>
      <c r="G154" s="24"/>
      <c r="H154" s="4">
        <f t="shared" si="59"/>
        <v>1</v>
      </c>
      <c r="I154" s="13">
        <v>46097</v>
      </c>
      <c r="J154" s="15" t="s">
        <v>172</v>
      </c>
      <c r="K154" s="22">
        <v>4</v>
      </c>
      <c r="L154" s="23">
        <v>1</v>
      </c>
      <c r="M154" s="23">
        <v>3</v>
      </c>
      <c r="N154" s="23"/>
      <c r="O154" s="23"/>
      <c r="P154" s="24"/>
      <c r="Q154" s="4">
        <f t="shared" si="61"/>
        <v>8</v>
      </c>
      <c r="R154" s="13">
        <v>46091</v>
      </c>
    </row>
    <row r="155" spans="1:18" x14ac:dyDescent="0.15">
      <c r="A155" s="15" t="s">
        <v>182</v>
      </c>
      <c r="B155" s="22"/>
      <c r="C155" s="23">
        <v>1</v>
      </c>
      <c r="D155" s="23"/>
      <c r="E155" s="23">
        <v>1</v>
      </c>
      <c r="F155" s="23"/>
      <c r="G155" s="24"/>
      <c r="H155" s="4">
        <f t="shared" si="59"/>
        <v>2</v>
      </c>
      <c r="I155" s="13">
        <v>46100</v>
      </c>
      <c r="J155" s="15" t="s">
        <v>175</v>
      </c>
      <c r="K155" s="22"/>
      <c r="L155" s="23">
        <v>4</v>
      </c>
      <c r="M155" s="23"/>
      <c r="N155" s="23">
        <v>1</v>
      </c>
      <c r="O155" s="23"/>
      <c r="P155" s="24"/>
      <c r="Q155" s="4">
        <f t="shared" si="61"/>
        <v>5</v>
      </c>
      <c r="R155" s="13">
        <v>46093</v>
      </c>
    </row>
    <row r="156" spans="1:18" x14ac:dyDescent="0.15">
      <c r="A156" s="15" t="s">
        <v>185</v>
      </c>
      <c r="B156" s="22">
        <v>1</v>
      </c>
      <c r="C156" s="23">
        <v>1</v>
      </c>
      <c r="D156" s="23"/>
      <c r="E156" s="23"/>
      <c r="F156" s="23"/>
      <c r="G156" s="24"/>
      <c r="H156" s="4">
        <f t="shared" si="59"/>
        <v>2</v>
      </c>
      <c r="I156" s="13">
        <v>46107</v>
      </c>
      <c r="J156" s="15" t="s">
        <v>176</v>
      </c>
      <c r="K156" s="22"/>
      <c r="L156" s="23">
        <v>2</v>
      </c>
      <c r="M156" s="23"/>
      <c r="N156" s="23"/>
      <c r="O156" s="23"/>
      <c r="P156" s="24"/>
      <c r="Q156" s="4">
        <f t="shared" si="61"/>
        <v>2</v>
      </c>
      <c r="R156" s="13">
        <v>46094</v>
      </c>
    </row>
    <row r="157" spans="1:18" x14ac:dyDescent="0.15">
      <c r="A157" s="15" t="s">
        <v>186</v>
      </c>
      <c r="B157" s="22"/>
      <c r="C157" s="23"/>
      <c r="D157" s="23"/>
      <c r="E157" s="23">
        <v>1</v>
      </c>
      <c r="F157" s="23"/>
      <c r="G157" s="24"/>
      <c r="H157" s="4">
        <f t="shared" si="59"/>
        <v>1</v>
      </c>
      <c r="I157" s="13">
        <v>46108</v>
      </c>
      <c r="J157" s="15" t="s">
        <v>178</v>
      </c>
      <c r="K157" s="22"/>
      <c r="L157" s="23">
        <v>3</v>
      </c>
      <c r="M157" s="23">
        <v>1</v>
      </c>
      <c r="N157" s="23"/>
      <c r="O157" s="23"/>
      <c r="P157" s="24"/>
      <c r="Q157" s="4">
        <f t="shared" si="61"/>
        <v>4</v>
      </c>
      <c r="R157" s="13">
        <v>46094</v>
      </c>
    </row>
    <row r="158" spans="1:18" x14ac:dyDescent="0.15">
      <c r="A158" s="15" t="s">
        <v>187</v>
      </c>
      <c r="B158" s="22"/>
      <c r="C158" s="23">
        <v>1</v>
      </c>
      <c r="D158" s="23"/>
      <c r="E158" s="23"/>
      <c r="F158" s="23"/>
      <c r="G158" s="24"/>
      <c r="H158" s="4">
        <f t="shared" si="59"/>
        <v>1</v>
      </c>
      <c r="I158" s="13">
        <v>46111</v>
      </c>
      <c r="J158" s="15" t="s">
        <v>177</v>
      </c>
      <c r="K158" s="22"/>
      <c r="L158" s="23"/>
      <c r="M158" s="23">
        <v>2</v>
      </c>
      <c r="N158" s="23"/>
      <c r="O158" s="23"/>
      <c r="P158" s="24"/>
      <c r="Q158" s="4">
        <f t="shared" si="61"/>
        <v>2</v>
      </c>
      <c r="R158" s="13">
        <v>46100</v>
      </c>
    </row>
    <row r="159" spans="1:18" x14ac:dyDescent="0.15">
      <c r="A159" s="15" t="s">
        <v>188</v>
      </c>
      <c r="B159" s="22"/>
      <c r="C159" s="23"/>
      <c r="D159" s="23"/>
      <c r="E159" s="23">
        <v>1</v>
      </c>
      <c r="F159" s="23"/>
      <c r="G159" s="24"/>
      <c r="H159" s="4">
        <f t="shared" si="59"/>
        <v>1</v>
      </c>
      <c r="I159" s="13">
        <v>46113</v>
      </c>
      <c r="J159" s="75" t="s">
        <v>130</v>
      </c>
      <c r="K159" s="70">
        <v>3</v>
      </c>
      <c r="L159" s="71"/>
      <c r="M159" s="71"/>
      <c r="N159" s="71"/>
      <c r="O159" s="71"/>
      <c r="P159" s="72"/>
      <c r="Q159" s="73">
        <f t="shared" si="61"/>
        <v>3</v>
      </c>
      <c r="R159" s="74">
        <v>46100</v>
      </c>
    </row>
    <row r="160" spans="1:18" x14ac:dyDescent="0.15">
      <c r="A160" s="15" t="s">
        <v>192</v>
      </c>
      <c r="B160" s="22"/>
      <c r="C160" s="23"/>
      <c r="D160" s="23">
        <v>11</v>
      </c>
      <c r="E160" s="23"/>
      <c r="F160" s="23"/>
      <c r="G160" s="24"/>
      <c r="H160" s="4">
        <f t="shared" si="59"/>
        <v>11</v>
      </c>
      <c r="I160" s="13">
        <v>46116</v>
      </c>
      <c r="J160" s="15" t="s">
        <v>183</v>
      </c>
      <c r="K160" s="22">
        <v>2</v>
      </c>
      <c r="L160" s="23">
        <v>1</v>
      </c>
      <c r="M160" s="23"/>
      <c r="N160" s="23">
        <v>1</v>
      </c>
      <c r="O160" s="23"/>
      <c r="P160" s="24"/>
      <c r="Q160" s="4">
        <f t="shared" si="61"/>
        <v>4</v>
      </c>
      <c r="R160" s="13">
        <v>46106</v>
      </c>
    </row>
    <row r="161" spans="1:19" x14ac:dyDescent="0.15">
      <c r="A161" s="15" t="s">
        <v>193</v>
      </c>
      <c r="B161" s="22"/>
      <c r="C161" s="23"/>
      <c r="D161" s="23">
        <v>2</v>
      </c>
      <c r="E161" s="23"/>
      <c r="F161" s="23"/>
      <c r="G161" s="24"/>
      <c r="H161" s="4">
        <f t="shared" si="59"/>
        <v>2</v>
      </c>
      <c r="I161" s="13">
        <v>46120</v>
      </c>
      <c r="J161" s="75" t="s">
        <v>130</v>
      </c>
      <c r="K161" s="70"/>
      <c r="L161" s="71"/>
      <c r="M161" s="71"/>
      <c r="N161" s="71">
        <v>4</v>
      </c>
      <c r="O161" s="71"/>
      <c r="P161" s="72"/>
      <c r="Q161" s="73">
        <f t="shared" si="61"/>
        <v>4</v>
      </c>
      <c r="R161" s="74">
        <v>46112</v>
      </c>
    </row>
    <row r="162" spans="1:19" x14ac:dyDescent="0.15">
      <c r="A162" s="15" t="s">
        <v>195</v>
      </c>
      <c r="B162" s="22">
        <v>1</v>
      </c>
      <c r="C162" s="23"/>
      <c r="D162" s="23"/>
      <c r="E162" s="23"/>
      <c r="F162" s="23"/>
      <c r="G162" s="24"/>
      <c r="H162" s="4">
        <f t="shared" si="59"/>
        <v>1</v>
      </c>
      <c r="I162" s="13">
        <v>46127</v>
      </c>
      <c r="J162" s="15" t="s">
        <v>189</v>
      </c>
      <c r="K162" s="22">
        <v>8</v>
      </c>
      <c r="L162" s="23">
        <v>12</v>
      </c>
      <c r="M162" s="23">
        <v>11</v>
      </c>
      <c r="N162" s="23"/>
      <c r="O162" s="23"/>
      <c r="P162" s="24"/>
      <c r="Q162" s="4">
        <f t="shared" si="61"/>
        <v>31</v>
      </c>
      <c r="R162" s="13">
        <v>46118</v>
      </c>
    </row>
    <row r="163" spans="1:19" x14ac:dyDescent="0.15">
      <c r="A163" s="15" t="s">
        <v>196</v>
      </c>
      <c r="B163" s="22">
        <v>1</v>
      </c>
      <c r="C163" s="23"/>
      <c r="D163" s="23"/>
      <c r="E163" s="23"/>
      <c r="F163" s="23"/>
      <c r="G163" s="24"/>
      <c r="H163" s="4">
        <f t="shared" si="59"/>
        <v>1</v>
      </c>
      <c r="I163" s="13">
        <v>46128</v>
      </c>
      <c r="J163" s="15" t="s">
        <v>194</v>
      </c>
      <c r="K163" s="22">
        <v>4</v>
      </c>
      <c r="L163" s="23">
        <v>5</v>
      </c>
      <c r="M163" s="23">
        <v>3</v>
      </c>
      <c r="N163" s="23">
        <v>2</v>
      </c>
      <c r="O163" s="23"/>
      <c r="P163" s="24"/>
      <c r="Q163" s="4">
        <f t="shared" si="61"/>
        <v>14</v>
      </c>
      <c r="R163" s="13">
        <v>46122</v>
      </c>
      <c r="S163" s="5"/>
    </row>
    <row r="164" spans="1:19" x14ac:dyDescent="0.15">
      <c r="A164" s="15" t="s">
        <v>200</v>
      </c>
      <c r="B164" s="22"/>
      <c r="C164" s="23">
        <v>3</v>
      </c>
      <c r="D164" s="23"/>
      <c r="E164" s="23">
        <v>3</v>
      </c>
      <c r="F164" s="23"/>
      <c r="G164" s="24"/>
      <c r="H164" s="4">
        <f t="shared" si="59"/>
        <v>6</v>
      </c>
      <c r="I164" s="13">
        <v>46129</v>
      </c>
      <c r="J164" s="15"/>
      <c r="K164" s="22"/>
      <c r="L164" s="23"/>
      <c r="M164" s="23"/>
      <c r="N164" s="23"/>
      <c r="O164" s="23"/>
      <c r="P164" s="24"/>
      <c r="Q164" s="4">
        <f t="shared" si="61"/>
        <v>0</v>
      </c>
      <c r="R164"/>
    </row>
    <row r="165" spans="1:19" x14ac:dyDescent="0.15">
      <c r="A165" s="15" t="s">
        <v>207</v>
      </c>
      <c r="B165" s="22"/>
      <c r="C165" s="23">
        <v>1</v>
      </c>
      <c r="D165" s="23"/>
      <c r="E165" s="23"/>
      <c r="F165" s="23"/>
      <c r="G165" s="24"/>
      <c r="H165" s="4">
        <f t="shared" si="59"/>
        <v>1</v>
      </c>
      <c r="I165" s="13">
        <v>46137</v>
      </c>
      <c r="J165" s="3" t="s">
        <v>95</v>
      </c>
      <c r="K165" s="67"/>
      <c r="L165" s="68"/>
      <c r="M165" s="68"/>
      <c r="N165" s="89"/>
      <c r="O165" s="89"/>
      <c r="P165" s="90"/>
      <c r="Q165" s="83">
        <f t="shared" si="61"/>
        <v>0</v>
      </c>
      <c r="R165" s="91"/>
    </row>
    <row r="166" spans="1:19" x14ac:dyDescent="0.15">
      <c r="A166" s="15" t="s">
        <v>208</v>
      </c>
      <c r="B166" s="22"/>
      <c r="C166" s="23">
        <v>-1</v>
      </c>
      <c r="D166" s="23"/>
      <c r="E166" s="23"/>
      <c r="F166" s="23"/>
      <c r="G166" s="24"/>
      <c r="H166" s="4">
        <f t="shared" si="59"/>
        <v>-1</v>
      </c>
      <c r="I166" s="13">
        <v>46133</v>
      </c>
      <c r="J166" s="15" t="s">
        <v>92</v>
      </c>
      <c r="K166" s="22"/>
      <c r="L166" s="23"/>
      <c r="M166" s="23"/>
      <c r="N166" s="87"/>
      <c r="O166" s="87"/>
      <c r="P166" s="88"/>
      <c r="Q166" s="4">
        <f t="shared" si="61"/>
        <v>0</v>
      </c>
      <c r="R166" s="5" t="s">
        <v>93</v>
      </c>
    </row>
    <row r="167" spans="1:19" x14ac:dyDescent="0.15">
      <c r="A167" s="15" t="s">
        <v>209</v>
      </c>
      <c r="B167" s="22"/>
      <c r="C167" s="23">
        <v>1</v>
      </c>
      <c r="D167" s="23"/>
      <c r="E167" s="23">
        <v>2</v>
      </c>
      <c r="F167" s="23"/>
      <c r="G167" s="24"/>
      <c r="H167" s="4">
        <f t="shared" si="59"/>
        <v>3</v>
      </c>
      <c r="I167" s="13">
        <v>46139</v>
      </c>
      <c r="J167" s="3" t="s">
        <v>94</v>
      </c>
      <c r="K167" s="67"/>
      <c r="L167" s="68"/>
      <c r="M167" s="68"/>
      <c r="N167" s="89"/>
      <c r="O167" s="89"/>
      <c r="P167" s="90"/>
      <c r="Q167" s="83">
        <f t="shared" si="61"/>
        <v>0</v>
      </c>
      <c r="R167" s="47"/>
    </row>
    <row r="168" spans="1:19" ht="14.25" thickBot="1" x14ac:dyDescent="0.2">
      <c r="A168" s="15" t="s">
        <v>216</v>
      </c>
      <c r="B168" s="22">
        <v>2</v>
      </c>
      <c r="C168" s="23"/>
      <c r="D168" s="23"/>
      <c r="E168" s="23"/>
      <c r="F168" s="23"/>
      <c r="G168" s="24"/>
      <c r="H168" s="4">
        <f t="shared" si="59"/>
        <v>2</v>
      </c>
      <c r="I168" s="13">
        <v>46143</v>
      </c>
      <c r="J168" s="15" t="s">
        <v>73</v>
      </c>
      <c r="K168" s="22"/>
      <c r="L168" s="23"/>
      <c r="M168" s="23"/>
      <c r="N168" s="87"/>
      <c r="O168" s="87"/>
      <c r="P168" s="88"/>
      <c r="Q168" s="4">
        <f t="shared" si="61"/>
        <v>0</v>
      </c>
      <c r="R168" s="5" t="s">
        <v>74</v>
      </c>
    </row>
    <row r="169" spans="1:19" ht="14.25" thickBot="1" x14ac:dyDescent="0.2">
      <c r="A169" s="2" t="s">
        <v>7</v>
      </c>
      <c r="B169" s="28">
        <f>SUM(B145:B168)</f>
        <v>10</v>
      </c>
      <c r="C169" s="29">
        <f t="shared" ref="C169:F169" si="64">SUM(C145:C168)</f>
        <v>14</v>
      </c>
      <c r="D169" s="29">
        <f t="shared" si="64"/>
        <v>18</v>
      </c>
      <c r="E169" s="29">
        <f t="shared" si="64"/>
        <v>10</v>
      </c>
      <c r="F169" s="29">
        <f t="shared" si="64"/>
        <v>0</v>
      </c>
      <c r="G169" s="30">
        <f>SUM(G145:G168)</f>
        <v>0</v>
      </c>
      <c r="H169" s="9">
        <f>SUM(B169:G169)</f>
        <v>52</v>
      </c>
      <c r="J169" s="2" t="s">
        <v>7</v>
      </c>
      <c r="K169" s="28">
        <f>SUM(K145:K168)</f>
        <v>45</v>
      </c>
      <c r="L169" s="29">
        <f t="shared" ref="L169:O169" si="65">SUM(L145:L168)</f>
        <v>71</v>
      </c>
      <c r="M169" s="29">
        <f t="shared" si="65"/>
        <v>26</v>
      </c>
      <c r="N169" s="29">
        <f t="shared" si="65"/>
        <v>23</v>
      </c>
      <c r="O169" s="29">
        <f t="shared" si="65"/>
        <v>0</v>
      </c>
      <c r="P169" s="30">
        <f>SUM(P145:P168)</f>
        <v>0</v>
      </c>
      <c r="Q169" s="9">
        <f>SUM(K169:P169)</f>
        <v>165</v>
      </c>
      <c r="R169"/>
    </row>
    <row r="170" spans="1:19" ht="14.25" thickBot="1" x14ac:dyDescent="0.2">
      <c r="A170" s="10" t="s">
        <v>8</v>
      </c>
      <c r="B170" s="31">
        <f>B144-B169</f>
        <v>7</v>
      </c>
      <c r="C170" s="32">
        <f t="shared" ref="C170:F170" si="66">C144-C169</f>
        <v>10</v>
      </c>
      <c r="D170" s="32">
        <f t="shared" si="66"/>
        <v>10</v>
      </c>
      <c r="E170" s="32">
        <f t="shared" si="66"/>
        <v>1</v>
      </c>
      <c r="F170" s="32">
        <f t="shared" si="66"/>
        <v>5</v>
      </c>
      <c r="G170" s="33">
        <f>G144-G169</f>
        <v>6</v>
      </c>
      <c r="H170" s="9">
        <f>H144-H169</f>
        <v>39</v>
      </c>
      <c r="J170" s="10" t="s">
        <v>8</v>
      </c>
      <c r="K170" s="31">
        <f>K144-K169</f>
        <v>173</v>
      </c>
      <c r="L170" s="32">
        <f t="shared" ref="L170:O170" si="67">L144-L169</f>
        <v>514</v>
      </c>
      <c r="M170" s="32">
        <f t="shared" si="67"/>
        <v>313</v>
      </c>
      <c r="N170" s="32">
        <f t="shared" si="67"/>
        <v>27</v>
      </c>
      <c r="O170" s="32">
        <f t="shared" si="67"/>
        <v>71</v>
      </c>
      <c r="P170" s="33">
        <f>P144-P169</f>
        <v>31</v>
      </c>
      <c r="Q170" s="9">
        <f>Q144-Q169</f>
        <v>1129</v>
      </c>
      <c r="R170"/>
    </row>
    <row r="171" spans="1:19" x14ac:dyDescent="0.15">
      <c r="I171"/>
      <c r="R171"/>
    </row>
    <row r="172" spans="1:19" x14ac:dyDescent="0.15">
      <c r="I172"/>
      <c r="R172"/>
    </row>
    <row r="173" spans="1:19" ht="21.75" thickBot="1" x14ac:dyDescent="0.25">
      <c r="A173" s="37" t="s">
        <v>15</v>
      </c>
      <c r="B173" s="38"/>
      <c r="C173" s="38"/>
      <c r="D173" s="38"/>
      <c r="E173" s="38"/>
      <c r="F173" s="38"/>
      <c r="G173" s="38"/>
      <c r="H173" s="39"/>
      <c r="J173" s="40" t="s">
        <v>16</v>
      </c>
      <c r="K173" s="41"/>
      <c r="L173" s="41"/>
      <c r="M173" s="41"/>
      <c r="N173" s="41"/>
      <c r="O173" s="42"/>
      <c r="P173" s="41"/>
      <c r="Q173" s="43"/>
      <c r="R173"/>
    </row>
    <row r="174" spans="1:19" ht="14.25" thickBot="1" x14ac:dyDescent="0.2">
      <c r="A174" s="1" t="s">
        <v>0</v>
      </c>
      <c r="B174" s="106" t="s">
        <v>14</v>
      </c>
      <c r="C174" s="106"/>
      <c r="D174" s="106"/>
      <c r="E174" s="106"/>
      <c r="F174" s="106"/>
      <c r="G174" s="106"/>
      <c r="H174" s="107"/>
      <c r="J174" s="1" t="s">
        <v>0</v>
      </c>
      <c r="K174" s="106" t="s">
        <v>14</v>
      </c>
      <c r="L174" s="106"/>
      <c r="M174" s="106"/>
      <c r="N174" s="106"/>
      <c r="O174" s="106"/>
      <c r="P174" s="106"/>
      <c r="Q174" s="107"/>
      <c r="R174"/>
    </row>
    <row r="175" spans="1:19" ht="14.25" thickBot="1" x14ac:dyDescent="0.2">
      <c r="A175" s="1" t="s">
        <v>1</v>
      </c>
      <c r="B175" s="16" t="s">
        <v>2</v>
      </c>
      <c r="C175" s="17" t="s">
        <v>9</v>
      </c>
      <c r="D175" s="17" t="s">
        <v>10</v>
      </c>
      <c r="E175" s="17" t="s">
        <v>11</v>
      </c>
      <c r="F175" s="17" t="s">
        <v>12</v>
      </c>
      <c r="G175" s="18" t="s">
        <v>13</v>
      </c>
      <c r="H175" s="1" t="s">
        <v>3</v>
      </c>
      <c r="J175" s="1" t="s">
        <v>1</v>
      </c>
      <c r="K175" s="16" t="s">
        <v>2</v>
      </c>
      <c r="L175" s="17" t="s">
        <v>9</v>
      </c>
      <c r="M175" s="17" t="s">
        <v>10</v>
      </c>
      <c r="N175" s="17" t="s">
        <v>11</v>
      </c>
      <c r="O175" s="17" t="s">
        <v>12</v>
      </c>
      <c r="P175" s="18" t="s">
        <v>13</v>
      </c>
      <c r="Q175" s="1" t="s">
        <v>3</v>
      </c>
      <c r="R175"/>
    </row>
    <row r="176" spans="1:19" ht="14.25" thickBot="1" x14ac:dyDescent="0.2">
      <c r="A176" s="12" t="s">
        <v>8</v>
      </c>
      <c r="B176" s="19">
        <f>B170</f>
        <v>7</v>
      </c>
      <c r="C176" s="20">
        <f t="shared" ref="C176:F176" si="68">C170</f>
        <v>10</v>
      </c>
      <c r="D176" s="20">
        <f t="shared" si="68"/>
        <v>10</v>
      </c>
      <c r="E176" s="20">
        <f t="shared" si="68"/>
        <v>1</v>
      </c>
      <c r="F176" s="20">
        <f t="shared" si="68"/>
        <v>5</v>
      </c>
      <c r="G176" s="21">
        <f>G170</f>
        <v>6</v>
      </c>
      <c r="H176" s="9">
        <f t="shared" ref="H176:H210" si="69">SUM(B176:G176)</f>
        <v>39</v>
      </c>
      <c r="I176" s="13"/>
      <c r="J176" s="12" t="s">
        <v>8</v>
      </c>
      <c r="K176" s="19">
        <f>K170</f>
        <v>173</v>
      </c>
      <c r="L176" s="20">
        <f t="shared" ref="L176:O176" si="70">L170</f>
        <v>514</v>
      </c>
      <c r="M176" s="20">
        <f t="shared" si="70"/>
        <v>313</v>
      </c>
      <c r="N176" s="20">
        <f t="shared" si="70"/>
        <v>27</v>
      </c>
      <c r="O176" s="20">
        <f t="shared" si="70"/>
        <v>71</v>
      </c>
      <c r="P176" s="21">
        <f>P170</f>
        <v>31</v>
      </c>
      <c r="Q176" s="9">
        <f t="shared" ref="Q176:Q203" si="71">SUM(K176:P176)</f>
        <v>1129</v>
      </c>
      <c r="R176"/>
    </row>
    <row r="177" spans="1:19" x14ac:dyDescent="0.15">
      <c r="A177" s="3" t="s">
        <v>126</v>
      </c>
      <c r="B177" s="22">
        <v>2</v>
      </c>
      <c r="C177" s="23">
        <v>3</v>
      </c>
      <c r="D177" s="23">
        <v>1</v>
      </c>
      <c r="E177" s="23"/>
      <c r="F177" s="23"/>
      <c r="G177" s="24"/>
      <c r="H177" s="4">
        <f t="shared" si="69"/>
        <v>6</v>
      </c>
      <c r="I177" s="13">
        <v>46154</v>
      </c>
      <c r="J177" s="3" t="s">
        <v>158</v>
      </c>
      <c r="K177" s="22"/>
      <c r="L177" s="23">
        <v>2</v>
      </c>
      <c r="M177" s="23">
        <v>5</v>
      </c>
      <c r="N177" s="23"/>
      <c r="O177" s="23"/>
      <c r="P177" s="24"/>
      <c r="Q177" s="4">
        <f t="shared" si="71"/>
        <v>7</v>
      </c>
      <c r="R177" s="103">
        <v>46144</v>
      </c>
    </row>
    <row r="178" spans="1:19" x14ac:dyDescent="0.15">
      <c r="A178" s="3" t="s">
        <v>205</v>
      </c>
      <c r="B178" s="22">
        <v>2</v>
      </c>
      <c r="C178" s="23"/>
      <c r="D178" s="23"/>
      <c r="E178" s="23"/>
      <c r="F178" s="23"/>
      <c r="G178" s="24"/>
      <c r="H178" s="4">
        <f t="shared" si="69"/>
        <v>2</v>
      </c>
      <c r="I178" s="13">
        <v>46160</v>
      </c>
      <c r="J178" s="3" t="s">
        <v>5</v>
      </c>
      <c r="K178" s="22"/>
      <c r="L178" s="23"/>
      <c r="M178" s="23"/>
      <c r="N178" s="23"/>
      <c r="O178" s="23"/>
      <c r="P178" s="24"/>
      <c r="Q178" s="4">
        <f t="shared" si="71"/>
        <v>0</v>
      </c>
      <c r="R178"/>
    </row>
    <row r="179" spans="1:19" x14ac:dyDescent="0.15">
      <c r="A179" s="3" t="s">
        <v>5</v>
      </c>
      <c r="B179" s="22">
        <v>3</v>
      </c>
      <c r="C179" s="23"/>
      <c r="D179" s="23">
        <v>3</v>
      </c>
      <c r="E179" s="23"/>
      <c r="F179" s="23"/>
      <c r="G179" s="24"/>
      <c r="H179" s="4">
        <f t="shared" si="69"/>
        <v>6</v>
      </c>
      <c r="I179" s="13">
        <v>46167</v>
      </c>
      <c r="J179" s="3" t="s">
        <v>5</v>
      </c>
      <c r="K179" s="22"/>
      <c r="L179" s="23"/>
      <c r="M179" s="23"/>
      <c r="N179" s="23"/>
      <c r="O179" s="23"/>
      <c r="P179" s="24"/>
      <c r="Q179" s="4">
        <f t="shared" si="71"/>
        <v>0</v>
      </c>
      <c r="R179"/>
    </row>
    <row r="180" spans="1:19" x14ac:dyDescent="0.15">
      <c r="A180" s="3" t="s">
        <v>126</v>
      </c>
      <c r="B180" s="22">
        <v>1</v>
      </c>
      <c r="C180" s="23"/>
      <c r="D180" s="23"/>
      <c r="E180" s="23">
        <v>2</v>
      </c>
      <c r="F180" s="23"/>
      <c r="G180" s="24"/>
      <c r="H180" s="4">
        <f t="shared" si="69"/>
        <v>3</v>
      </c>
      <c r="I180" s="13">
        <v>46168</v>
      </c>
      <c r="J180" s="3" t="s">
        <v>5</v>
      </c>
      <c r="K180" s="22"/>
      <c r="L180" s="23"/>
      <c r="M180" s="23"/>
      <c r="N180" s="23"/>
      <c r="O180" s="23"/>
      <c r="P180" s="24"/>
      <c r="Q180" s="4">
        <f t="shared" si="71"/>
        <v>0</v>
      </c>
      <c r="R180"/>
    </row>
    <row r="181" spans="1:19" x14ac:dyDescent="0.15">
      <c r="A181" s="3" t="s">
        <v>5</v>
      </c>
      <c r="B181" s="22"/>
      <c r="C181" s="23"/>
      <c r="D181" s="23"/>
      <c r="E181" s="23"/>
      <c r="F181" s="23"/>
      <c r="G181" s="24"/>
      <c r="H181" s="4">
        <f t="shared" si="69"/>
        <v>0</v>
      </c>
      <c r="I181" s="14"/>
      <c r="J181" s="3" t="s">
        <v>5</v>
      </c>
      <c r="K181" s="22"/>
      <c r="L181" s="23"/>
      <c r="M181" s="23"/>
      <c r="N181" s="23"/>
      <c r="O181" s="23"/>
      <c r="P181" s="24"/>
      <c r="Q181" s="4">
        <f t="shared" si="71"/>
        <v>0</v>
      </c>
      <c r="R181"/>
    </row>
    <row r="182" spans="1:19" x14ac:dyDescent="0.15">
      <c r="A182" s="3" t="s">
        <v>5</v>
      </c>
      <c r="B182" s="22"/>
      <c r="C182" s="23"/>
      <c r="D182" s="23"/>
      <c r="E182" s="23"/>
      <c r="F182" s="23"/>
      <c r="G182" s="24"/>
      <c r="H182" s="4">
        <f t="shared" si="69"/>
        <v>0</v>
      </c>
      <c r="I182" s="14"/>
      <c r="J182" s="3" t="s">
        <v>5</v>
      </c>
      <c r="K182" s="22"/>
      <c r="L182" s="23"/>
      <c r="M182" s="23"/>
      <c r="N182" s="23"/>
      <c r="O182" s="23"/>
      <c r="P182" s="24"/>
      <c r="Q182" s="4">
        <f t="shared" si="71"/>
        <v>0</v>
      </c>
      <c r="R182"/>
    </row>
    <row r="183" spans="1:19" x14ac:dyDescent="0.15">
      <c r="A183" s="3" t="s">
        <v>5</v>
      </c>
      <c r="B183" s="22"/>
      <c r="C183" s="23"/>
      <c r="D183" s="23"/>
      <c r="E183" s="23"/>
      <c r="F183" s="23"/>
      <c r="G183" s="24"/>
      <c r="H183" s="4">
        <f t="shared" si="69"/>
        <v>0</v>
      </c>
      <c r="I183" s="14"/>
      <c r="J183" s="3" t="s">
        <v>5</v>
      </c>
      <c r="K183" s="22"/>
      <c r="L183" s="23"/>
      <c r="M183" s="23"/>
      <c r="N183" s="23"/>
      <c r="O183" s="23"/>
      <c r="P183" s="24"/>
      <c r="Q183" s="4">
        <f t="shared" si="71"/>
        <v>0</v>
      </c>
      <c r="R183"/>
    </row>
    <row r="184" spans="1:19" x14ac:dyDescent="0.15">
      <c r="A184" s="3" t="s">
        <v>5</v>
      </c>
      <c r="B184" s="22"/>
      <c r="C184" s="23"/>
      <c r="D184" s="23"/>
      <c r="E184" s="23"/>
      <c r="F184" s="23"/>
      <c r="G184" s="24"/>
      <c r="H184" s="4">
        <f t="shared" si="69"/>
        <v>0</v>
      </c>
      <c r="I184" s="14"/>
      <c r="J184" s="3" t="s">
        <v>5</v>
      </c>
      <c r="K184" s="22"/>
      <c r="L184" s="23"/>
      <c r="M184" s="23"/>
      <c r="N184" s="23"/>
      <c r="O184" s="23"/>
      <c r="P184" s="24"/>
      <c r="Q184" s="4">
        <f t="shared" si="71"/>
        <v>0</v>
      </c>
      <c r="R184"/>
    </row>
    <row r="185" spans="1:19" x14ac:dyDescent="0.15">
      <c r="A185" s="3" t="s">
        <v>5</v>
      </c>
      <c r="B185" s="22"/>
      <c r="C185" s="23"/>
      <c r="D185" s="23"/>
      <c r="E185" s="23"/>
      <c r="F185" s="23"/>
      <c r="G185" s="24"/>
      <c r="H185" s="4">
        <f t="shared" si="69"/>
        <v>0</v>
      </c>
      <c r="I185" s="14"/>
      <c r="J185" s="3" t="s">
        <v>5</v>
      </c>
      <c r="K185" s="22"/>
      <c r="L185" s="23"/>
      <c r="M185" s="23"/>
      <c r="N185" s="23"/>
      <c r="O185" s="23"/>
      <c r="P185" s="24"/>
      <c r="Q185" s="4">
        <f t="shared" si="71"/>
        <v>0</v>
      </c>
      <c r="R185"/>
    </row>
    <row r="186" spans="1:19" ht="14.25" thickBot="1" x14ac:dyDescent="0.2">
      <c r="A186" s="6" t="s">
        <v>5</v>
      </c>
      <c r="B186" s="25"/>
      <c r="C186" s="26"/>
      <c r="D186" s="26"/>
      <c r="E186" s="26"/>
      <c r="F186" s="26"/>
      <c r="G186" s="27"/>
      <c r="H186" s="7">
        <f t="shared" si="69"/>
        <v>0</v>
      </c>
      <c r="I186" s="14"/>
      <c r="J186" s="3" t="s">
        <v>5</v>
      </c>
      <c r="K186" s="22"/>
      <c r="L186" s="23"/>
      <c r="M186" s="23"/>
      <c r="N186" s="23"/>
      <c r="O186" s="23"/>
      <c r="P186" s="24"/>
      <c r="Q186" s="4">
        <f t="shared" si="71"/>
        <v>0</v>
      </c>
      <c r="R186"/>
    </row>
    <row r="187" spans="1:19" ht="14.25" thickBot="1" x14ac:dyDescent="0.2">
      <c r="A187" s="8" t="s">
        <v>6</v>
      </c>
      <c r="B187" s="28">
        <f>SUM(B176:B186)</f>
        <v>15</v>
      </c>
      <c r="C187" s="29">
        <f t="shared" ref="C187:G187" si="72">SUM(C176:C186)</f>
        <v>13</v>
      </c>
      <c r="D187" s="29">
        <f t="shared" si="72"/>
        <v>14</v>
      </c>
      <c r="E187" s="29">
        <f t="shared" si="72"/>
        <v>3</v>
      </c>
      <c r="F187" s="29">
        <f t="shared" si="72"/>
        <v>5</v>
      </c>
      <c r="G187" s="30">
        <f t="shared" si="72"/>
        <v>6</v>
      </c>
      <c r="H187" s="9">
        <f t="shared" si="69"/>
        <v>56</v>
      </c>
      <c r="J187" s="8" t="s">
        <v>6</v>
      </c>
      <c r="K187" s="28">
        <f>SUM(K176:K186)</f>
        <v>173</v>
      </c>
      <c r="L187" s="29">
        <f t="shared" ref="L187:P187" si="73">SUM(L176:L186)</f>
        <v>516</v>
      </c>
      <c r="M187" s="29">
        <f t="shared" si="73"/>
        <v>318</v>
      </c>
      <c r="N187" s="29">
        <f t="shared" si="73"/>
        <v>27</v>
      </c>
      <c r="O187" s="29">
        <f t="shared" si="73"/>
        <v>71</v>
      </c>
      <c r="P187" s="30">
        <f t="shared" si="73"/>
        <v>31</v>
      </c>
      <c r="Q187" s="9">
        <f t="shared" si="71"/>
        <v>1136</v>
      </c>
      <c r="R187"/>
    </row>
    <row r="188" spans="1:19" x14ac:dyDescent="0.15">
      <c r="A188" s="15" t="s">
        <v>217</v>
      </c>
      <c r="B188" s="22">
        <v>1</v>
      </c>
      <c r="C188" s="23"/>
      <c r="D188" s="23"/>
      <c r="E188" s="23"/>
      <c r="F188" s="23"/>
      <c r="G188" s="24"/>
      <c r="H188" s="4">
        <f t="shared" si="69"/>
        <v>1</v>
      </c>
      <c r="I188" s="13">
        <v>46149</v>
      </c>
      <c r="J188" s="15" t="s">
        <v>199</v>
      </c>
      <c r="K188" s="22">
        <v>3</v>
      </c>
      <c r="L188" s="23"/>
      <c r="M188" s="23">
        <v>3</v>
      </c>
      <c r="N188" s="23">
        <v>2</v>
      </c>
      <c r="O188" s="23"/>
      <c r="P188" s="24"/>
      <c r="Q188" s="4">
        <f t="shared" si="71"/>
        <v>8</v>
      </c>
      <c r="R188" s="100">
        <v>46129</v>
      </c>
      <c r="S188" s="5"/>
    </row>
    <row r="189" spans="1:19" x14ac:dyDescent="0.15">
      <c r="A189" s="15" t="s">
        <v>220</v>
      </c>
      <c r="B189" s="22"/>
      <c r="C189" s="23">
        <v>2</v>
      </c>
      <c r="D189" s="23">
        <v>5</v>
      </c>
      <c r="E189" s="23"/>
      <c r="F189" s="23"/>
      <c r="G189" s="24"/>
      <c r="H189" s="4">
        <f t="shared" si="69"/>
        <v>7</v>
      </c>
      <c r="I189" s="13">
        <v>46144</v>
      </c>
      <c r="J189" s="15" t="s">
        <v>201</v>
      </c>
      <c r="K189" s="22">
        <v>10</v>
      </c>
      <c r="L189" s="23">
        <v>25</v>
      </c>
      <c r="M189" s="23">
        <v>9</v>
      </c>
      <c r="N189" s="23"/>
      <c r="O189" s="23"/>
      <c r="P189" s="24"/>
      <c r="Q189" s="4">
        <f t="shared" si="71"/>
        <v>44</v>
      </c>
      <c r="R189" s="100">
        <v>46135</v>
      </c>
    </row>
    <row r="190" spans="1:19" x14ac:dyDescent="0.15">
      <c r="A190" s="15" t="s">
        <v>221</v>
      </c>
      <c r="B190" s="22">
        <v>1</v>
      </c>
      <c r="C190" s="23">
        <v>1</v>
      </c>
      <c r="D190" s="23"/>
      <c r="E190" s="23">
        <v>1</v>
      </c>
      <c r="F190" s="23"/>
      <c r="G190" s="24"/>
      <c r="H190" s="4">
        <f t="shared" si="69"/>
        <v>3</v>
      </c>
      <c r="I190" s="13">
        <v>46150</v>
      </c>
      <c r="J190" s="15" t="s">
        <v>200</v>
      </c>
      <c r="K190" s="22">
        <v>3</v>
      </c>
      <c r="L190" s="23">
        <v>1</v>
      </c>
      <c r="M190" s="23"/>
      <c r="N190" s="23">
        <v>2</v>
      </c>
      <c r="O190" s="23"/>
      <c r="P190" s="24"/>
      <c r="Q190" s="4">
        <f t="shared" si="71"/>
        <v>6</v>
      </c>
      <c r="R190" s="100">
        <v>46134</v>
      </c>
    </row>
    <row r="191" spans="1:19" x14ac:dyDescent="0.15">
      <c r="A191" s="15" t="s">
        <v>222</v>
      </c>
      <c r="B191" s="22"/>
      <c r="C191" s="23"/>
      <c r="D191" s="23">
        <v>1</v>
      </c>
      <c r="E191" s="23"/>
      <c r="F191" s="23"/>
      <c r="G191" s="24"/>
      <c r="H191" s="4">
        <f t="shared" si="69"/>
        <v>1</v>
      </c>
      <c r="I191" s="13">
        <v>46151</v>
      </c>
      <c r="J191" s="15" t="s">
        <v>202</v>
      </c>
      <c r="K191" s="22">
        <v>2</v>
      </c>
      <c r="L191" s="23">
        <v>5</v>
      </c>
      <c r="M191" s="23"/>
      <c r="N191" s="23"/>
      <c r="O191" s="23"/>
      <c r="P191" s="24"/>
      <c r="Q191" s="4">
        <f t="shared" si="71"/>
        <v>7</v>
      </c>
      <c r="R191" s="100">
        <v>46135</v>
      </c>
    </row>
    <row r="192" spans="1:19" x14ac:dyDescent="0.15">
      <c r="A192" s="15" t="s">
        <v>224</v>
      </c>
      <c r="B192" s="22"/>
      <c r="C192" s="23">
        <v>1</v>
      </c>
      <c r="D192" s="23"/>
      <c r="E192" s="23"/>
      <c r="F192" s="23"/>
      <c r="G192" s="24"/>
      <c r="H192" s="4">
        <f t="shared" si="69"/>
        <v>1</v>
      </c>
      <c r="I192" s="13">
        <v>46155</v>
      </c>
      <c r="J192" s="15" t="s">
        <v>203</v>
      </c>
      <c r="K192" s="22"/>
      <c r="L192" s="23">
        <v>1</v>
      </c>
      <c r="M192" s="23">
        <v>5</v>
      </c>
      <c r="N192" s="23">
        <v>2</v>
      </c>
      <c r="O192" s="23"/>
      <c r="P192" s="24"/>
      <c r="Q192" s="4">
        <f t="shared" si="71"/>
        <v>8</v>
      </c>
      <c r="R192" s="100">
        <v>46135</v>
      </c>
    </row>
    <row r="193" spans="1:19" x14ac:dyDescent="0.15">
      <c r="A193" s="15" t="s">
        <v>226</v>
      </c>
      <c r="B193" s="22"/>
      <c r="C193" s="23">
        <v>2</v>
      </c>
      <c r="D193" s="23">
        <v>1</v>
      </c>
      <c r="E193" s="23"/>
      <c r="F193" s="23"/>
      <c r="G193" s="24"/>
      <c r="H193" s="4">
        <f t="shared" si="69"/>
        <v>3</v>
      </c>
      <c r="I193" s="13">
        <v>46157</v>
      </c>
      <c r="J193" s="15" t="s">
        <v>204</v>
      </c>
      <c r="K193" s="22"/>
      <c r="L193" s="23">
        <v>5</v>
      </c>
      <c r="M193" s="23"/>
      <c r="N193" s="23">
        <v>1</v>
      </c>
      <c r="O193" s="23"/>
      <c r="P193" s="24"/>
      <c r="Q193" s="4">
        <f t="shared" si="71"/>
        <v>6</v>
      </c>
      <c r="R193" s="100">
        <v>46136</v>
      </c>
    </row>
    <row r="194" spans="1:19" x14ac:dyDescent="0.15">
      <c r="A194" s="15" t="s">
        <v>227</v>
      </c>
      <c r="B194" s="22">
        <v>2</v>
      </c>
      <c r="C194" s="23">
        <v>2</v>
      </c>
      <c r="D194" s="23"/>
      <c r="E194" s="23"/>
      <c r="F194" s="23"/>
      <c r="G194" s="24"/>
      <c r="H194" s="4">
        <f t="shared" si="69"/>
        <v>4</v>
      </c>
      <c r="I194" s="13">
        <v>46158</v>
      </c>
      <c r="J194" s="15" t="s">
        <v>206</v>
      </c>
      <c r="K194" s="22">
        <v>3</v>
      </c>
      <c r="L194" s="23">
        <v>6</v>
      </c>
      <c r="M194" s="23">
        <v>1</v>
      </c>
      <c r="N194" s="23"/>
      <c r="O194" s="23"/>
      <c r="P194" s="24"/>
      <c r="Q194" s="4">
        <f t="shared" si="71"/>
        <v>10</v>
      </c>
      <c r="R194" s="100">
        <v>46144</v>
      </c>
    </row>
    <row r="195" spans="1:19" x14ac:dyDescent="0.15">
      <c r="A195" s="15" t="s">
        <v>228</v>
      </c>
      <c r="B195" s="22">
        <v>1</v>
      </c>
      <c r="C195" s="23"/>
      <c r="D195" s="23">
        <v>1</v>
      </c>
      <c r="E195" s="23"/>
      <c r="F195" s="23"/>
      <c r="G195" s="24"/>
      <c r="H195" s="4">
        <f t="shared" si="69"/>
        <v>2</v>
      </c>
      <c r="I195" s="13">
        <v>46160</v>
      </c>
      <c r="J195" s="15" t="s">
        <v>210</v>
      </c>
      <c r="K195" s="22">
        <v>1</v>
      </c>
      <c r="L195" s="23">
        <v>2</v>
      </c>
      <c r="M195" s="23">
        <v>2</v>
      </c>
      <c r="N195" s="23">
        <v>2</v>
      </c>
      <c r="O195" s="23"/>
      <c r="P195" s="24"/>
      <c r="Q195" s="4">
        <f t="shared" si="71"/>
        <v>7</v>
      </c>
      <c r="R195" s="100">
        <v>46140</v>
      </c>
    </row>
    <row r="196" spans="1:19" x14ac:dyDescent="0.15">
      <c r="A196" s="15" t="s">
        <v>230</v>
      </c>
      <c r="B196" s="22">
        <v>4</v>
      </c>
      <c r="C196" s="23"/>
      <c r="D196" s="23">
        <v>2</v>
      </c>
      <c r="E196" s="23"/>
      <c r="F196" s="23"/>
      <c r="G196" s="24"/>
      <c r="H196" s="4">
        <f t="shared" si="69"/>
        <v>6</v>
      </c>
      <c r="I196" s="13">
        <v>46162</v>
      </c>
      <c r="J196" s="15" t="s">
        <v>211</v>
      </c>
      <c r="K196" s="22"/>
      <c r="L196" s="23">
        <v>10</v>
      </c>
      <c r="M196" s="23">
        <v>4</v>
      </c>
      <c r="N196" s="23"/>
      <c r="O196" s="23"/>
      <c r="P196" s="24"/>
      <c r="Q196" s="4">
        <f t="shared" si="71"/>
        <v>14</v>
      </c>
      <c r="R196" s="100">
        <v>46149</v>
      </c>
    </row>
    <row r="197" spans="1:19" x14ac:dyDescent="0.15">
      <c r="A197" s="15" t="s">
        <v>247</v>
      </c>
      <c r="B197" s="22">
        <v>1</v>
      </c>
      <c r="C197" s="23"/>
      <c r="D197" s="23"/>
      <c r="E197" s="23"/>
      <c r="F197" s="23"/>
      <c r="G197" s="24"/>
      <c r="H197" s="4">
        <f t="shared" si="69"/>
        <v>1</v>
      </c>
      <c r="I197" s="13">
        <v>46178</v>
      </c>
      <c r="J197" s="15" t="s">
        <v>223</v>
      </c>
      <c r="K197" s="22"/>
      <c r="L197" s="23">
        <v>3</v>
      </c>
      <c r="M197" s="23">
        <v>2</v>
      </c>
      <c r="N197" s="23">
        <v>2</v>
      </c>
      <c r="O197" s="23"/>
      <c r="P197" s="24"/>
      <c r="Q197" s="4">
        <f t="shared" ref="Q197" si="74">SUM(K197:P197)</f>
        <v>7</v>
      </c>
      <c r="R197" s="100">
        <v>46153</v>
      </c>
      <c r="S197" s="5"/>
    </row>
    <row r="198" spans="1:19" x14ac:dyDescent="0.15">
      <c r="A198" s="15"/>
      <c r="B198" s="22"/>
      <c r="C198" s="23"/>
      <c r="D198" s="23"/>
      <c r="E198" s="23"/>
      <c r="F198" s="23"/>
      <c r="G198" s="24"/>
      <c r="H198" s="4">
        <f t="shared" si="69"/>
        <v>0</v>
      </c>
      <c r="I198" s="14"/>
      <c r="J198" s="15" t="s">
        <v>225</v>
      </c>
      <c r="K198" s="22">
        <v>2</v>
      </c>
      <c r="L198" s="23">
        <v>2</v>
      </c>
      <c r="M198" s="23"/>
      <c r="N198" s="23">
        <v>4</v>
      </c>
      <c r="O198" s="23"/>
      <c r="P198" s="24"/>
      <c r="Q198" s="4">
        <f t="shared" si="71"/>
        <v>8</v>
      </c>
      <c r="R198" s="100">
        <v>46156</v>
      </c>
      <c r="S198" s="5"/>
    </row>
    <row r="199" spans="1:19" x14ac:dyDescent="0.15">
      <c r="A199" s="15"/>
      <c r="B199" s="22"/>
      <c r="C199" s="23"/>
      <c r="D199" s="23"/>
      <c r="E199" s="23"/>
      <c r="F199" s="23"/>
      <c r="G199" s="24"/>
      <c r="H199" s="4">
        <f t="shared" si="69"/>
        <v>0</v>
      </c>
      <c r="I199" s="14"/>
      <c r="J199" s="15" t="s">
        <v>229</v>
      </c>
      <c r="K199" s="22">
        <v>1</v>
      </c>
      <c r="L199" s="23"/>
      <c r="M199" s="23">
        <v>2</v>
      </c>
      <c r="N199" s="23"/>
      <c r="O199" s="23"/>
      <c r="P199" s="24"/>
      <c r="Q199" s="4">
        <f t="shared" si="71"/>
        <v>3</v>
      </c>
      <c r="R199" s="100">
        <v>46162</v>
      </c>
    </row>
    <row r="200" spans="1:19" x14ac:dyDescent="0.15">
      <c r="A200" s="15"/>
      <c r="B200" s="22"/>
      <c r="C200" s="23"/>
      <c r="D200" s="23"/>
      <c r="E200" s="23"/>
      <c r="F200" s="23"/>
      <c r="G200" s="24"/>
      <c r="H200" s="4">
        <f t="shared" si="69"/>
        <v>0</v>
      </c>
      <c r="I200" s="14"/>
      <c r="J200" s="15" t="s">
        <v>231</v>
      </c>
      <c r="K200" s="22"/>
      <c r="L200" s="23">
        <v>1</v>
      </c>
      <c r="M200" s="23">
        <v>1</v>
      </c>
      <c r="N200" s="23">
        <v>4</v>
      </c>
      <c r="O200" s="23"/>
      <c r="P200" s="24"/>
      <c r="Q200" s="4">
        <f t="shared" si="71"/>
        <v>6</v>
      </c>
      <c r="R200" s="100">
        <v>46163</v>
      </c>
      <c r="S200" s="5"/>
    </row>
    <row r="201" spans="1:19" x14ac:dyDescent="0.15">
      <c r="A201" s="15"/>
      <c r="B201" s="22"/>
      <c r="C201" s="23"/>
      <c r="D201" s="23"/>
      <c r="E201" s="23"/>
      <c r="F201" s="23"/>
      <c r="G201" s="24"/>
      <c r="H201" s="4">
        <f t="shared" si="69"/>
        <v>0</v>
      </c>
      <c r="I201" s="14"/>
      <c r="J201" s="15" t="s">
        <v>232</v>
      </c>
      <c r="K201" s="22">
        <v>2</v>
      </c>
      <c r="L201" s="23">
        <v>5</v>
      </c>
      <c r="M201" s="23">
        <v>5</v>
      </c>
      <c r="N201" s="23">
        <v>2</v>
      </c>
      <c r="O201" s="23"/>
      <c r="P201" s="24"/>
      <c r="Q201" s="4">
        <f t="shared" si="71"/>
        <v>14</v>
      </c>
      <c r="R201" s="100">
        <v>46164</v>
      </c>
    </row>
    <row r="202" spans="1:19" x14ac:dyDescent="0.15">
      <c r="A202" s="15"/>
      <c r="B202" s="22"/>
      <c r="C202" s="23"/>
      <c r="D202" s="23"/>
      <c r="E202" s="23"/>
      <c r="F202" s="23"/>
      <c r="G202" s="24"/>
      <c r="H202" s="4">
        <f t="shared" si="69"/>
        <v>0</v>
      </c>
      <c r="I202" s="14"/>
      <c r="J202" s="15" t="s">
        <v>233</v>
      </c>
      <c r="K202" s="22">
        <v>3</v>
      </c>
      <c r="L202" s="23"/>
      <c r="M202" s="23">
        <v>3</v>
      </c>
      <c r="N202" s="23"/>
      <c r="O202" s="23"/>
      <c r="P202" s="24"/>
      <c r="Q202" s="4">
        <f t="shared" si="71"/>
        <v>6</v>
      </c>
      <c r="R202" s="100">
        <v>46167</v>
      </c>
    </row>
    <row r="203" spans="1:19" x14ac:dyDescent="0.15">
      <c r="A203" s="15"/>
      <c r="B203" s="22"/>
      <c r="C203" s="23"/>
      <c r="D203" s="23"/>
      <c r="E203" s="23"/>
      <c r="F203" s="23"/>
      <c r="G203" s="24"/>
      <c r="H203" s="4">
        <f t="shared" si="69"/>
        <v>0</v>
      </c>
      <c r="I203" s="14"/>
      <c r="J203" s="15" t="s">
        <v>234</v>
      </c>
      <c r="K203" s="22">
        <v>3</v>
      </c>
      <c r="L203" s="23"/>
      <c r="M203" s="23">
        <v>3</v>
      </c>
      <c r="N203" s="23"/>
      <c r="O203" s="23"/>
      <c r="P203" s="24"/>
      <c r="Q203" s="4">
        <f t="shared" si="71"/>
        <v>6</v>
      </c>
      <c r="R203" s="100">
        <v>46169</v>
      </c>
    </row>
    <row r="204" spans="1:19" x14ac:dyDescent="0.15">
      <c r="A204" s="15"/>
      <c r="B204" s="22"/>
      <c r="C204" s="23"/>
      <c r="D204" s="23"/>
      <c r="E204" s="23"/>
      <c r="F204" s="23"/>
      <c r="G204" s="24"/>
      <c r="H204" s="4">
        <f t="shared" si="69"/>
        <v>0</v>
      </c>
      <c r="I204" s="14"/>
      <c r="J204" s="15"/>
      <c r="K204" s="22"/>
      <c r="L204" s="23"/>
      <c r="M204" s="23"/>
      <c r="N204" s="23"/>
      <c r="O204" s="23"/>
      <c r="P204" s="24"/>
      <c r="Q204" s="4">
        <f t="shared" ref="Q204" si="75">SUM(K204:P204)</f>
        <v>0</v>
      </c>
      <c r="R204"/>
    </row>
    <row r="205" spans="1:19" x14ac:dyDescent="0.15">
      <c r="A205" s="15"/>
      <c r="B205" s="22"/>
      <c r="C205" s="23"/>
      <c r="D205" s="23"/>
      <c r="E205" s="23"/>
      <c r="F205" s="23"/>
      <c r="G205" s="24"/>
      <c r="H205" s="4">
        <f t="shared" si="69"/>
        <v>0</v>
      </c>
      <c r="I205" s="14"/>
      <c r="J205" s="15" t="s">
        <v>168</v>
      </c>
      <c r="K205" s="22"/>
      <c r="L205" s="23"/>
      <c r="M205" s="23"/>
      <c r="N205" s="23"/>
      <c r="O205" s="93"/>
      <c r="P205" s="94"/>
      <c r="Q205" s="4">
        <f t="shared" ref="Q205:Q211" si="76">SUM(K205:P205)</f>
        <v>0</v>
      </c>
      <c r="R205" s="5" t="s">
        <v>131</v>
      </c>
    </row>
    <row r="206" spans="1:19" x14ac:dyDescent="0.15">
      <c r="A206" s="15"/>
      <c r="B206" s="22"/>
      <c r="C206" s="23"/>
      <c r="D206" s="23"/>
      <c r="E206" s="23"/>
      <c r="F206" s="23"/>
      <c r="G206" s="24"/>
      <c r="H206" s="4">
        <f t="shared" si="69"/>
        <v>0</v>
      </c>
      <c r="I206" s="14"/>
      <c r="J206" s="15" t="s">
        <v>165</v>
      </c>
      <c r="K206" s="22"/>
      <c r="L206" s="23"/>
      <c r="M206" s="23"/>
      <c r="N206" s="23"/>
      <c r="O206" s="93"/>
      <c r="P206" s="94"/>
      <c r="Q206" s="4">
        <f t="shared" si="76"/>
        <v>0</v>
      </c>
      <c r="R206" s="5" t="s">
        <v>166</v>
      </c>
    </row>
    <row r="207" spans="1:19" x14ac:dyDescent="0.15">
      <c r="A207" s="15"/>
      <c r="B207" s="22"/>
      <c r="C207" s="23"/>
      <c r="D207" s="23"/>
      <c r="E207" s="23"/>
      <c r="F207" s="23"/>
      <c r="G207" s="24"/>
      <c r="H207" s="4">
        <f t="shared" si="69"/>
        <v>0</v>
      </c>
      <c r="I207" s="14"/>
      <c r="J207" s="15" t="s">
        <v>173</v>
      </c>
      <c r="K207" s="22"/>
      <c r="L207" s="23"/>
      <c r="M207" s="23"/>
      <c r="N207" s="23"/>
      <c r="O207" s="93"/>
      <c r="P207" s="94"/>
      <c r="Q207" s="4">
        <f t="shared" si="76"/>
        <v>0</v>
      </c>
      <c r="R207" s="5" t="s">
        <v>174</v>
      </c>
    </row>
    <row r="208" spans="1:19" x14ac:dyDescent="0.15">
      <c r="A208" s="15"/>
      <c r="B208" s="22"/>
      <c r="C208" s="23"/>
      <c r="D208" s="23"/>
      <c r="E208" s="23"/>
      <c r="F208" s="23"/>
      <c r="G208" s="24"/>
      <c r="H208" s="4">
        <f t="shared" si="69"/>
        <v>0</v>
      </c>
      <c r="I208" s="14"/>
      <c r="J208" s="15" t="s">
        <v>190</v>
      </c>
      <c r="K208" s="22"/>
      <c r="L208" s="23"/>
      <c r="M208" s="23"/>
      <c r="N208" s="23"/>
      <c r="O208" s="93"/>
      <c r="P208" s="94"/>
      <c r="Q208" s="4">
        <f t="shared" si="76"/>
        <v>0</v>
      </c>
      <c r="R208" s="5" t="s">
        <v>191</v>
      </c>
      <c r="S208" s="5"/>
    </row>
    <row r="209" spans="1:18" x14ac:dyDescent="0.15">
      <c r="A209" s="15"/>
      <c r="B209" s="22"/>
      <c r="C209" s="23"/>
      <c r="D209" s="23"/>
      <c r="E209" s="23"/>
      <c r="F209" s="23"/>
      <c r="G209" s="24"/>
      <c r="H209" s="4">
        <f t="shared" si="69"/>
        <v>0</v>
      </c>
      <c r="I209" s="14"/>
      <c r="J209" s="15" t="s">
        <v>197</v>
      </c>
      <c r="K209" s="22"/>
      <c r="L209" s="23"/>
      <c r="M209" s="23"/>
      <c r="N209" s="23"/>
      <c r="O209" s="93"/>
      <c r="P209" s="94"/>
      <c r="Q209" s="4">
        <f t="shared" si="76"/>
        <v>0</v>
      </c>
      <c r="R209" s="5" t="s">
        <v>198</v>
      </c>
    </row>
    <row r="210" spans="1:18" x14ac:dyDescent="0.15">
      <c r="A210" s="15"/>
      <c r="B210" s="22"/>
      <c r="C210" s="23"/>
      <c r="D210" s="23"/>
      <c r="E210" s="23"/>
      <c r="F210" s="23"/>
      <c r="G210" s="24"/>
      <c r="H210" s="4">
        <f t="shared" si="69"/>
        <v>0</v>
      </c>
      <c r="I210" s="14"/>
      <c r="J210" s="3" t="s">
        <v>214</v>
      </c>
      <c r="K210" s="67"/>
      <c r="L210" s="68"/>
      <c r="M210" s="68"/>
      <c r="N210" s="104"/>
      <c r="O210" s="104"/>
      <c r="P210" s="105"/>
      <c r="Q210" s="83">
        <f t="shared" si="76"/>
        <v>0</v>
      </c>
      <c r="R210" s="5"/>
    </row>
    <row r="211" spans="1:18" ht="14.25" thickBot="1" x14ac:dyDescent="0.2">
      <c r="A211" s="15"/>
      <c r="B211" s="22"/>
      <c r="C211" s="23"/>
      <c r="D211" s="23"/>
      <c r="E211" s="23"/>
      <c r="F211" s="23"/>
      <c r="G211" s="24"/>
      <c r="H211" s="4">
        <f t="shared" ref="H211" si="77">SUM(B211:G211)</f>
        <v>0</v>
      </c>
      <c r="I211" s="14"/>
      <c r="J211" s="15" t="s">
        <v>98</v>
      </c>
      <c r="K211" s="22"/>
      <c r="L211" s="23"/>
      <c r="M211" s="23"/>
      <c r="N211" s="93"/>
      <c r="O211" s="93"/>
      <c r="P211" s="94"/>
      <c r="Q211" s="4">
        <f t="shared" si="76"/>
        <v>0</v>
      </c>
      <c r="R211" s="5" t="s">
        <v>131</v>
      </c>
    </row>
    <row r="212" spans="1:18" ht="14.25" thickBot="1" x14ac:dyDescent="0.2">
      <c r="A212" s="2" t="s">
        <v>7</v>
      </c>
      <c r="B212" s="28">
        <f>SUM(B188:B211)</f>
        <v>10</v>
      </c>
      <c r="C212" s="29">
        <f t="shared" ref="C212:F212" si="78">SUM(C188:C211)</f>
        <v>8</v>
      </c>
      <c r="D212" s="29">
        <f t="shared" si="78"/>
        <v>10</v>
      </c>
      <c r="E212" s="29">
        <f t="shared" si="78"/>
        <v>1</v>
      </c>
      <c r="F212" s="29">
        <f t="shared" si="78"/>
        <v>0</v>
      </c>
      <c r="G212" s="30">
        <f>SUM(G188:G211)</f>
        <v>0</v>
      </c>
      <c r="H212" s="9">
        <f>SUM(B212:G212)</f>
        <v>29</v>
      </c>
      <c r="J212" s="2" t="s">
        <v>7</v>
      </c>
      <c r="K212" s="28">
        <f>SUM(K188:K211)</f>
        <v>33</v>
      </c>
      <c r="L212" s="29">
        <f t="shared" ref="L212:O212" si="79">SUM(L188:L211)</f>
        <v>66</v>
      </c>
      <c r="M212" s="29">
        <f t="shared" si="79"/>
        <v>40</v>
      </c>
      <c r="N212" s="29">
        <f t="shared" si="79"/>
        <v>21</v>
      </c>
      <c r="O212" s="29">
        <f t="shared" si="79"/>
        <v>0</v>
      </c>
      <c r="P212" s="30">
        <f>SUM(P188:P211)</f>
        <v>0</v>
      </c>
      <c r="Q212" s="9">
        <f>SUM(K212:P212)</f>
        <v>160</v>
      </c>
      <c r="R212"/>
    </row>
    <row r="213" spans="1:18" ht="14.25" thickBot="1" x14ac:dyDescent="0.2">
      <c r="A213" s="10" t="s">
        <v>8</v>
      </c>
      <c r="B213" s="31">
        <f>B187-B212</f>
        <v>5</v>
      </c>
      <c r="C213" s="32">
        <f t="shared" ref="C213:F213" si="80">C187-C212</f>
        <v>5</v>
      </c>
      <c r="D213" s="32">
        <f t="shared" si="80"/>
        <v>4</v>
      </c>
      <c r="E213" s="32">
        <f t="shared" si="80"/>
        <v>2</v>
      </c>
      <c r="F213" s="32">
        <f t="shared" si="80"/>
        <v>5</v>
      </c>
      <c r="G213" s="33">
        <f>G187-G212</f>
        <v>6</v>
      </c>
      <c r="H213" s="9">
        <f>H187-H212</f>
        <v>27</v>
      </c>
      <c r="J213" s="10" t="s">
        <v>8</v>
      </c>
      <c r="K213" s="31">
        <f>K187-K212</f>
        <v>140</v>
      </c>
      <c r="L213" s="32">
        <f t="shared" ref="L213:O213" si="81">L187-L212</f>
        <v>450</v>
      </c>
      <c r="M213" s="32">
        <f t="shared" si="81"/>
        <v>278</v>
      </c>
      <c r="N213" s="32">
        <f t="shared" si="81"/>
        <v>6</v>
      </c>
      <c r="O213" s="32">
        <f t="shared" si="81"/>
        <v>71</v>
      </c>
      <c r="P213" s="33">
        <f>P187-P212</f>
        <v>31</v>
      </c>
      <c r="Q213" s="9">
        <f>Q187-Q212</f>
        <v>976</v>
      </c>
      <c r="R213"/>
    </row>
    <row r="214" spans="1:18" x14ac:dyDescent="0.15">
      <c r="I214"/>
      <c r="J214" s="76" t="s">
        <v>167</v>
      </c>
      <c r="K214" s="47">
        <v>270</v>
      </c>
      <c r="L214" s="47">
        <v>627</v>
      </c>
      <c r="M214" s="47">
        <v>397</v>
      </c>
      <c r="N214" s="47">
        <v>30</v>
      </c>
      <c r="O214" s="47">
        <v>10</v>
      </c>
      <c r="P214" s="47">
        <v>10</v>
      </c>
      <c r="Q214" s="77">
        <f>SUM(K214:P214)</f>
        <v>1344</v>
      </c>
      <c r="R214" s="47" t="s">
        <v>123</v>
      </c>
    </row>
    <row r="215" spans="1:18" x14ac:dyDescent="0.15">
      <c r="I215"/>
      <c r="J215" s="78" t="s">
        <v>25</v>
      </c>
      <c r="K215" s="44">
        <f>K214+K213</f>
        <v>410</v>
      </c>
      <c r="L215" s="44">
        <f t="shared" ref="L215:P215" si="82">L214+L213</f>
        <v>1077</v>
      </c>
      <c r="M215" s="44">
        <f t="shared" si="82"/>
        <v>675</v>
      </c>
      <c r="N215" s="44">
        <f t="shared" si="82"/>
        <v>36</v>
      </c>
      <c r="O215" s="44">
        <f t="shared" si="82"/>
        <v>81</v>
      </c>
      <c r="P215" s="44">
        <f t="shared" si="82"/>
        <v>41</v>
      </c>
      <c r="Q215" s="44">
        <f>SUM(K215:P215)</f>
        <v>2320</v>
      </c>
      <c r="R215" s="44" t="s">
        <v>18</v>
      </c>
    </row>
    <row r="216" spans="1:18" ht="21.75" thickBot="1" x14ac:dyDescent="0.25">
      <c r="A216" s="37" t="s">
        <v>15</v>
      </c>
      <c r="B216" s="38"/>
      <c r="C216" s="38"/>
      <c r="D216" s="38"/>
      <c r="E216" s="38"/>
      <c r="F216" s="38"/>
      <c r="G216" s="38"/>
      <c r="H216" s="39"/>
      <c r="I216"/>
      <c r="J216" s="40" t="s">
        <v>16</v>
      </c>
      <c r="K216" s="41"/>
      <c r="L216" s="41"/>
      <c r="M216" s="41"/>
      <c r="N216" s="41"/>
      <c r="O216" s="42"/>
      <c r="P216" s="41"/>
      <c r="Q216" s="43"/>
      <c r="R216"/>
    </row>
    <row r="217" spans="1:18" ht="14.25" thickBot="1" x14ac:dyDescent="0.2">
      <c r="A217" s="1" t="s">
        <v>0</v>
      </c>
      <c r="B217" s="106" t="s">
        <v>14</v>
      </c>
      <c r="C217" s="106"/>
      <c r="D217" s="106"/>
      <c r="E217" s="106"/>
      <c r="F217" s="106"/>
      <c r="G217" s="106"/>
      <c r="H217" s="107"/>
      <c r="I217"/>
      <c r="J217" s="1" t="s">
        <v>0</v>
      </c>
      <c r="K217" s="106" t="s">
        <v>14</v>
      </c>
      <c r="L217" s="106"/>
      <c r="M217" s="106"/>
      <c r="N217" s="106"/>
      <c r="O217" s="106"/>
      <c r="P217" s="106"/>
      <c r="Q217" s="107"/>
      <c r="R217"/>
    </row>
    <row r="218" spans="1:18" ht="14.25" thickBot="1" x14ac:dyDescent="0.2">
      <c r="A218" s="1" t="s">
        <v>1</v>
      </c>
      <c r="B218" s="16" t="s">
        <v>2</v>
      </c>
      <c r="C218" s="17" t="s">
        <v>9</v>
      </c>
      <c r="D218" s="17" t="s">
        <v>10</v>
      </c>
      <c r="E218" s="17" t="s">
        <v>11</v>
      </c>
      <c r="F218" s="17" t="s">
        <v>12</v>
      </c>
      <c r="G218" s="18" t="s">
        <v>13</v>
      </c>
      <c r="H218" s="1" t="s">
        <v>3</v>
      </c>
      <c r="I218"/>
      <c r="J218" s="1" t="s">
        <v>1</v>
      </c>
      <c r="K218" s="16" t="s">
        <v>2</v>
      </c>
      <c r="L218" s="17" t="s">
        <v>9</v>
      </c>
      <c r="M218" s="17" t="s">
        <v>10</v>
      </c>
      <c r="N218" s="17" t="s">
        <v>11</v>
      </c>
      <c r="O218" s="17" t="s">
        <v>12</v>
      </c>
      <c r="P218" s="18" t="s">
        <v>13</v>
      </c>
      <c r="Q218" s="1" t="s">
        <v>3</v>
      </c>
      <c r="R218"/>
    </row>
    <row r="219" spans="1:18" ht="14.25" thickBot="1" x14ac:dyDescent="0.2">
      <c r="A219" s="12" t="s">
        <v>8</v>
      </c>
      <c r="B219" s="19">
        <f>B213</f>
        <v>5</v>
      </c>
      <c r="C219" s="20">
        <f t="shared" ref="C219:F219" si="83">C213</f>
        <v>5</v>
      </c>
      <c r="D219" s="20">
        <f t="shared" si="83"/>
        <v>4</v>
      </c>
      <c r="E219" s="20">
        <f t="shared" si="83"/>
        <v>2</v>
      </c>
      <c r="F219" s="20">
        <f t="shared" si="83"/>
        <v>5</v>
      </c>
      <c r="G219" s="21">
        <f>G213</f>
        <v>6</v>
      </c>
      <c r="H219" s="9">
        <f t="shared" ref="H219:H253" si="84">SUM(B219:G219)</f>
        <v>27</v>
      </c>
      <c r="I219"/>
      <c r="J219" s="12" t="s">
        <v>8</v>
      </c>
      <c r="K219" s="19">
        <f>K213</f>
        <v>140</v>
      </c>
      <c r="L219" s="20">
        <f t="shared" ref="L219:O219" si="85">L213</f>
        <v>450</v>
      </c>
      <c r="M219" s="20">
        <f t="shared" si="85"/>
        <v>278</v>
      </c>
      <c r="N219" s="20">
        <f t="shared" si="85"/>
        <v>6</v>
      </c>
      <c r="O219" s="20">
        <f t="shared" si="85"/>
        <v>71</v>
      </c>
      <c r="P219" s="21">
        <f>P213</f>
        <v>31</v>
      </c>
      <c r="Q219" s="9">
        <f t="shared" ref="Q219:Q254" si="86">SUM(K219:P219)</f>
        <v>976</v>
      </c>
      <c r="R219"/>
    </row>
    <row r="220" spans="1:18" x14ac:dyDescent="0.15">
      <c r="A220" s="3" t="s">
        <v>5</v>
      </c>
      <c r="B220" s="22"/>
      <c r="C220" s="23"/>
      <c r="D220" s="23"/>
      <c r="E220" s="23"/>
      <c r="F220" s="23"/>
      <c r="G220" s="24"/>
      <c r="H220" s="4">
        <f t="shared" si="84"/>
        <v>0</v>
      </c>
      <c r="I220"/>
      <c r="J220" s="3" t="s">
        <v>253</v>
      </c>
      <c r="K220" s="22"/>
      <c r="L220" s="23"/>
      <c r="M220" s="23"/>
      <c r="N220" s="23">
        <v>10</v>
      </c>
      <c r="O220" s="23"/>
      <c r="P220" s="24"/>
      <c r="Q220" s="4">
        <f t="shared" si="86"/>
        <v>10</v>
      </c>
      <c r="R220" s="103">
        <v>46183</v>
      </c>
    </row>
    <row r="221" spans="1:18" x14ac:dyDescent="0.15">
      <c r="A221" s="3" t="s">
        <v>5</v>
      </c>
      <c r="B221" s="22"/>
      <c r="C221" s="23"/>
      <c r="D221" s="23"/>
      <c r="E221" s="23"/>
      <c r="F221" s="23"/>
      <c r="G221" s="24"/>
      <c r="H221" s="4">
        <f t="shared" si="84"/>
        <v>0</v>
      </c>
      <c r="I221"/>
      <c r="J221" s="3" t="s">
        <v>5</v>
      </c>
      <c r="K221" s="22"/>
      <c r="L221" s="23"/>
      <c r="M221" s="23"/>
      <c r="N221" s="23"/>
      <c r="O221" s="23"/>
      <c r="P221" s="24"/>
      <c r="Q221" s="4">
        <f t="shared" si="86"/>
        <v>0</v>
      </c>
      <c r="R221"/>
    </row>
    <row r="222" spans="1:18" x14ac:dyDescent="0.15">
      <c r="A222" s="3" t="s">
        <v>5</v>
      </c>
      <c r="B222" s="22"/>
      <c r="C222" s="23"/>
      <c r="D222" s="23"/>
      <c r="E222" s="23"/>
      <c r="F222" s="23"/>
      <c r="G222" s="24"/>
      <c r="H222" s="4">
        <f t="shared" si="84"/>
        <v>0</v>
      </c>
      <c r="I222"/>
      <c r="J222" s="3" t="s">
        <v>5</v>
      </c>
      <c r="K222" s="22"/>
      <c r="L222" s="23"/>
      <c r="M222" s="23"/>
      <c r="N222" s="23"/>
      <c r="O222" s="23"/>
      <c r="P222" s="24"/>
      <c r="Q222" s="4">
        <f t="shared" si="86"/>
        <v>0</v>
      </c>
      <c r="R222"/>
    </row>
    <row r="223" spans="1:18" x14ac:dyDescent="0.15">
      <c r="A223" s="3" t="s">
        <v>5</v>
      </c>
      <c r="B223" s="22"/>
      <c r="C223" s="23"/>
      <c r="D223" s="23"/>
      <c r="E223" s="23"/>
      <c r="F223" s="23"/>
      <c r="G223" s="24"/>
      <c r="H223" s="4">
        <f t="shared" si="84"/>
        <v>0</v>
      </c>
      <c r="I223"/>
      <c r="J223" s="3" t="s">
        <v>5</v>
      </c>
      <c r="K223" s="22"/>
      <c r="L223" s="23"/>
      <c r="M223" s="23"/>
      <c r="N223" s="23"/>
      <c r="O223" s="23"/>
      <c r="P223" s="24"/>
      <c r="Q223" s="4">
        <f t="shared" si="86"/>
        <v>0</v>
      </c>
      <c r="R223"/>
    </row>
    <row r="224" spans="1:18" x14ac:dyDescent="0.15">
      <c r="A224" s="3" t="s">
        <v>5</v>
      </c>
      <c r="B224" s="22"/>
      <c r="C224" s="23"/>
      <c r="D224" s="23"/>
      <c r="E224" s="23"/>
      <c r="F224" s="23"/>
      <c r="G224" s="24"/>
      <c r="H224" s="4">
        <f t="shared" si="84"/>
        <v>0</v>
      </c>
      <c r="I224"/>
      <c r="J224" s="3" t="s">
        <v>5</v>
      </c>
      <c r="K224" s="22"/>
      <c r="L224" s="23"/>
      <c r="M224" s="23"/>
      <c r="N224" s="23"/>
      <c r="O224" s="23"/>
      <c r="P224" s="24"/>
      <c r="Q224" s="4">
        <f t="shared" si="86"/>
        <v>0</v>
      </c>
      <c r="R224"/>
    </row>
    <row r="225" spans="1:19" x14ac:dyDescent="0.15">
      <c r="A225" s="3" t="s">
        <v>5</v>
      </c>
      <c r="B225" s="22"/>
      <c r="C225" s="23"/>
      <c r="D225" s="23"/>
      <c r="E225" s="23"/>
      <c r="F225" s="23"/>
      <c r="G225" s="24"/>
      <c r="H225" s="4">
        <f t="shared" si="84"/>
        <v>0</v>
      </c>
      <c r="I225"/>
      <c r="J225" s="3" t="s">
        <v>5</v>
      </c>
      <c r="K225" s="22"/>
      <c r="L225" s="23"/>
      <c r="M225" s="23"/>
      <c r="N225" s="23"/>
      <c r="O225" s="23"/>
      <c r="P225" s="24"/>
      <c r="Q225" s="4">
        <f t="shared" si="86"/>
        <v>0</v>
      </c>
      <c r="R225"/>
    </row>
    <row r="226" spans="1:19" x14ac:dyDescent="0.15">
      <c r="A226" s="3" t="s">
        <v>5</v>
      </c>
      <c r="B226" s="22"/>
      <c r="C226" s="23"/>
      <c r="D226" s="23"/>
      <c r="E226" s="23"/>
      <c r="F226" s="23"/>
      <c r="G226" s="24"/>
      <c r="H226" s="4">
        <f t="shared" si="84"/>
        <v>0</v>
      </c>
      <c r="I226"/>
      <c r="J226" s="3" t="s">
        <v>5</v>
      </c>
      <c r="K226" s="22"/>
      <c r="L226" s="23"/>
      <c r="M226" s="23"/>
      <c r="N226" s="23"/>
      <c r="O226" s="23"/>
      <c r="P226" s="24"/>
      <c r="Q226" s="4">
        <f t="shared" si="86"/>
        <v>0</v>
      </c>
      <c r="R226"/>
    </row>
    <row r="227" spans="1:19" x14ac:dyDescent="0.15">
      <c r="A227" s="3" t="s">
        <v>5</v>
      </c>
      <c r="B227" s="22"/>
      <c r="C227" s="23"/>
      <c r="D227" s="23"/>
      <c r="E227" s="23"/>
      <c r="F227" s="23"/>
      <c r="G227" s="24"/>
      <c r="H227" s="4">
        <f t="shared" si="84"/>
        <v>0</v>
      </c>
      <c r="I227"/>
      <c r="J227" s="3" t="s">
        <v>5</v>
      </c>
      <c r="K227" s="22"/>
      <c r="L227" s="23"/>
      <c r="M227" s="23"/>
      <c r="N227" s="23"/>
      <c r="O227" s="23"/>
      <c r="P227" s="24"/>
      <c r="Q227" s="4">
        <f t="shared" si="86"/>
        <v>0</v>
      </c>
      <c r="R227"/>
    </row>
    <row r="228" spans="1:19" x14ac:dyDescent="0.15">
      <c r="A228" s="3" t="s">
        <v>5</v>
      </c>
      <c r="B228" s="22"/>
      <c r="C228" s="23"/>
      <c r="D228" s="23"/>
      <c r="E228" s="23"/>
      <c r="F228" s="23"/>
      <c r="G228" s="24"/>
      <c r="H228" s="4">
        <f t="shared" si="84"/>
        <v>0</v>
      </c>
      <c r="I228"/>
      <c r="J228" s="3" t="s">
        <v>5</v>
      </c>
      <c r="K228" s="22"/>
      <c r="L228" s="23"/>
      <c r="M228" s="23"/>
      <c r="N228" s="23"/>
      <c r="O228" s="23"/>
      <c r="P228" s="24"/>
      <c r="Q228" s="4">
        <f t="shared" si="86"/>
        <v>0</v>
      </c>
      <c r="R228"/>
    </row>
    <row r="229" spans="1:19" ht="14.25" thickBot="1" x14ac:dyDescent="0.2">
      <c r="A229" s="6" t="s">
        <v>5</v>
      </c>
      <c r="B229" s="25"/>
      <c r="C229" s="26"/>
      <c r="D229" s="26"/>
      <c r="E229" s="26"/>
      <c r="F229" s="26"/>
      <c r="G229" s="27"/>
      <c r="H229" s="7">
        <f t="shared" si="84"/>
        <v>0</v>
      </c>
      <c r="I229"/>
      <c r="J229" s="3" t="s">
        <v>5</v>
      </c>
      <c r="K229" s="22"/>
      <c r="L229" s="23"/>
      <c r="M229" s="23"/>
      <c r="N229" s="23"/>
      <c r="O229" s="23"/>
      <c r="P229" s="24"/>
      <c r="Q229" s="4">
        <f t="shared" si="86"/>
        <v>0</v>
      </c>
      <c r="R229"/>
    </row>
    <row r="230" spans="1:19" ht="14.25" thickBot="1" x14ac:dyDescent="0.2">
      <c r="A230" s="8" t="s">
        <v>6</v>
      </c>
      <c r="B230" s="28">
        <f>SUM(B219:B229)</f>
        <v>5</v>
      </c>
      <c r="C230" s="29">
        <f t="shared" ref="C230:G230" si="87">SUM(C219:C229)</f>
        <v>5</v>
      </c>
      <c r="D230" s="29">
        <f t="shared" si="87"/>
        <v>4</v>
      </c>
      <c r="E230" s="29">
        <f t="shared" si="87"/>
        <v>2</v>
      </c>
      <c r="F230" s="29">
        <f t="shared" si="87"/>
        <v>5</v>
      </c>
      <c r="G230" s="30">
        <f t="shared" si="87"/>
        <v>6</v>
      </c>
      <c r="H230" s="9">
        <f t="shared" si="84"/>
        <v>27</v>
      </c>
      <c r="I230"/>
      <c r="J230" s="8" t="s">
        <v>6</v>
      </c>
      <c r="K230" s="28">
        <f>SUM(K219:K229)</f>
        <v>140</v>
      </c>
      <c r="L230" s="29">
        <f t="shared" ref="L230:P230" si="88">SUM(L219:L229)</f>
        <v>450</v>
      </c>
      <c r="M230" s="29">
        <f t="shared" si="88"/>
        <v>278</v>
      </c>
      <c r="N230" s="29">
        <f t="shared" si="88"/>
        <v>16</v>
      </c>
      <c r="O230" s="29">
        <f t="shared" si="88"/>
        <v>71</v>
      </c>
      <c r="P230" s="30">
        <f t="shared" si="88"/>
        <v>31</v>
      </c>
      <c r="Q230" s="9">
        <f t="shared" si="86"/>
        <v>986</v>
      </c>
      <c r="R230"/>
    </row>
    <row r="231" spans="1:19" x14ac:dyDescent="0.15">
      <c r="A231" s="108" t="s">
        <v>259</v>
      </c>
      <c r="B231" s="109">
        <v>1</v>
      </c>
      <c r="C231" s="110">
        <v>2</v>
      </c>
      <c r="D231" s="110"/>
      <c r="E231" s="110"/>
      <c r="F231" s="110"/>
      <c r="G231" s="111"/>
      <c r="H231" s="112">
        <f t="shared" si="84"/>
        <v>3</v>
      </c>
      <c r="I231" s="13">
        <v>46191</v>
      </c>
      <c r="J231" s="48" t="s">
        <v>215</v>
      </c>
      <c r="K231" s="50">
        <v>20</v>
      </c>
      <c r="L231" s="51">
        <v>20</v>
      </c>
      <c r="M231" s="51">
        <v>20</v>
      </c>
      <c r="N231" s="51"/>
      <c r="O231" s="51"/>
      <c r="P231" s="101"/>
      <c r="Q231" s="52">
        <f t="shared" ref="Q231:Q239" si="89">SUM(K231:P231)</f>
        <v>60</v>
      </c>
      <c r="R231" s="102">
        <v>46198</v>
      </c>
    </row>
    <row r="232" spans="1:19" x14ac:dyDescent="0.15">
      <c r="A232" s="108"/>
      <c r="B232" s="109"/>
      <c r="C232" s="110"/>
      <c r="D232" s="110"/>
      <c r="E232" s="110"/>
      <c r="F232" s="110"/>
      <c r="G232" s="111"/>
      <c r="H232" s="112">
        <f t="shared" si="84"/>
        <v>0</v>
      </c>
      <c r="I232" s="14"/>
      <c r="J232" s="15" t="s">
        <v>235</v>
      </c>
      <c r="K232" s="22">
        <v>2</v>
      </c>
      <c r="L232" s="23">
        <v>4</v>
      </c>
      <c r="M232" s="23">
        <v>3</v>
      </c>
      <c r="N232" s="23">
        <v>2</v>
      </c>
      <c r="O232" s="23"/>
      <c r="P232" s="24"/>
      <c r="Q232" s="4">
        <f t="shared" si="89"/>
        <v>11</v>
      </c>
      <c r="R232" s="100">
        <v>46171</v>
      </c>
    </row>
    <row r="233" spans="1:19" x14ac:dyDescent="0.15">
      <c r="A233" s="15"/>
      <c r="B233" s="22"/>
      <c r="C233" s="23"/>
      <c r="D233" s="23"/>
      <c r="E233" s="23"/>
      <c r="F233" s="23"/>
      <c r="G233" s="24"/>
      <c r="H233" s="4">
        <f t="shared" si="84"/>
        <v>0</v>
      </c>
      <c r="J233" s="15" t="s">
        <v>236</v>
      </c>
      <c r="K233" s="22">
        <v>3</v>
      </c>
      <c r="L233" s="23">
        <v>6</v>
      </c>
      <c r="M233" s="23">
        <v>3</v>
      </c>
      <c r="N233" s="23"/>
      <c r="O233" s="23"/>
      <c r="P233" s="24"/>
      <c r="Q233" s="4">
        <f t="shared" si="89"/>
        <v>12</v>
      </c>
      <c r="R233" s="100">
        <v>46172</v>
      </c>
      <c r="S233" s="5"/>
    </row>
    <row r="234" spans="1:19" x14ac:dyDescent="0.15">
      <c r="A234" s="15"/>
      <c r="B234" s="22"/>
      <c r="C234" s="23"/>
      <c r="D234" s="23"/>
      <c r="E234" s="23"/>
      <c r="F234" s="23"/>
      <c r="G234" s="24"/>
      <c r="H234" s="4">
        <f t="shared" si="84"/>
        <v>0</v>
      </c>
      <c r="J234" s="15" t="s">
        <v>237</v>
      </c>
      <c r="K234" s="22">
        <v>1</v>
      </c>
      <c r="L234" s="23"/>
      <c r="M234" s="23"/>
      <c r="N234" s="23"/>
      <c r="O234" s="23"/>
      <c r="P234" s="24"/>
      <c r="Q234" s="4">
        <f t="shared" si="89"/>
        <v>1</v>
      </c>
      <c r="R234" s="100">
        <v>46177</v>
      </c>
    </row>
    <row r="235" spans="1:19" x14ac:dyDescent="0.15">
      <c r="A235" s="15"/>
      <c r="B235" s="22"/>
      <c r="C235" s="23"/>
      <c r="D235" s="23"/>
      <c r="E235" s="23"/>
      <c r="F235" s="23"/>
      <c r="G235" s="24"/>
      <c r="H235" s="4">
        <f t="shared" si="84"/>
        <v>0</v>
      </c>
      <c r="J235" s="15" t="s">
        <v>238</v>
      </c>
      <c r="K235" s="22"/>
      <c r="L235" s="23"/>
      <c r="M235" s="23"/>
      <c r="N235" s="23">
        <v>2</v>
      </c>
      <c r="O235" s="23"/>
      <c r="P235" s="24"/>
      <c r="Q235" s="4">
        <f t="shared" si="89"/>
        <v>2</v>
      </c>
      <c r="R235" s="100">
        <v>46176</v>
      </c>
      <c r="S235" s="5"/>
    </row>
    <row r="236" spans="1:19" x14ac:dyDescent="0.15">
      <c r="A236" s="15"/>
      <c r="B236" s="22"/>
      <c r="C236" s="23"/>
      <c r="D236" s="23"/>
      <c r="E236" s="23"/>
      <c r="F236" s="23"/>
      <c r="G236" s="24"/>
      <c r="H236" s="4">
        <f t="shared" si="84"/>
        <v>0</v>
      </c>
      <c r="J236" s="15" t="s">
        <v>243</v>
      </c>
      <c r="K236" s="22">
        <v>2</v>
      </c>
      <c r="L236" s="23">
        <v>3</v>
      </c>
      <c r="M236" s="23">
        <v>2</v>
      </c>
      <c r="N236" s="23"/>
      <c r="O236" s="23"/>
      <c r="P236" s="24"/>
      <c r="Q236" s="4">
        <f t="shared" si="89"/>
        <v>7</v>
      </c>
      <c r="R236" s="100">
        <v>46177</v>
      </c>
      <c r="S236" s="5"/>
    </row>
    <row r="237" spans="1:19" x14ac:dyDescent="0.15">
      <c r="A237" s="15"/>
      <c r="B237" s="22"/>
      <c r="C237" s="23"/>
      <c r="D237" s="23"/>
      <c r="E237" s="23"/>
      <c r="F237" s="23"/>
      <c r="G237" s="24"/>
      <c r="H237" s="4">
        <f t="shared" si="84"/>
        <v>0</v>
      </c>
      <c r="J237" s="15" t="s">
        <v>244</v>
      </c>
      <c r="K237" s="22"/>
      <c r="L237" s="23">
        <v>2</v>
      </c>
      <c r="M237" s="23">
        <v>2</v>
      </c>
      <c r="N237" s="23"/>
      <c r="O237" s="23"/>
      <c r="P237" s="24"/>
      <c r="Q237" s="4">
        <f t="shared" si="89"/>
        <v>4</v>
      </c>
      <c r="R237" s="100">
        <v>46181</v>
      </c>
      <c r="S237" s="5"/>
    </row>
    <row r="238" spans="1:19" x14ac:dyDescent="0.15">
      <c r="A238" s="15"/>
      <c r="B238" s="22"/>
      <c r="C238" s="23"/>
      <c r="D238" s="23"/>
      <c r="E238" s="23"/>
      <c r="F238" s="23"/>
      <c r="G238" s="24"/>
      <c r="H238" s="4">
        <f t="shared" si="84"/>
        <v>0</v>
      </c>
      <c r="J238" s="15" t="s">
        <v>245</v>
      </c>
      <c r="K238" s="22"/>
      <c r="L238" s="23">
        <v>2</v>
      </c>
      <c r="M238" s="23"/>
      <c r="N238" s="23"/>
      <c r="O238" s="23"/>
      <c r="P238" s="24"/>
      <c r="Q238" s="4">
        <f t="shared" si="89"/>
        <v>2</v>
      </c>
      <c r="R238" s="100">
        <v>46178</v>
      </c>
    </row>
    <row r="239" spans="1:19" x14ac:dyDescent="0.15">
      <c r="A239" s="15"/>
      <c r="B239" s="22"/>
      <c r="C239" s="23"/>
      <c r="D239" s="23"/>
      <c r="E239" s="23"/>
      <c r="F239" s="23"/>
      <c r="G239" s="24"/>
      <c r="H239" s="4">
        <f t="shared" si="84"/>
        <v>0</v>
      </c>
      <c r="J239" s="15" t="s">
        <v>246</v>
      </c>
      <c r="K239" s="22">
        <v>2</v>
      </c>
      <c r="L239" s="23"/>
      <c r="M239" s="23"/>
      <c r="N239" s="23"/>
      <c r="O239" s="23"/>
      <c r="P239" s="24"/>
      <c r="Q239" s="4">
        <f t="shared" si="89"/>
        <v>2</v>
      </c>
      <c r="R239" s="100">
        <v>46178</v>
      </c>
      <c r="S239" s="5"/>
    </row>
    <row r="240" spans="1:19" x14ac:dyDescent="0.15">
      <c r="A240" s="15"/>
      <c r="B240" s="22"/>
      <c r="C240" s="23"/>
      <c r="D240" s="23"/>
      <c r="E240" s="23"/>
      <c r="F240" s="23"/>
      <c r="G240" s="24"/>
      <c r="H240" s="4">
        <f t="shared" si="84"/>
        <v>0</v>
      </c>
      <c r="J240" s="15" t="s">
        <v>248</v>
      </c>
      <c r="K240" s="22">
        <v>3</v>
      </c>
      <c r="L240" s="23"/>
      <c r="M240" s="23"/>
      <c r="N240" s="23">
        <v>1</v>
      </c>
      <c r="O240" s="23"/>
      <c r="P240" s="24"/>
      <c r="Q240" s="4">
        <f t="shared" si="86"/>
        <v>4</v>
      </c>
      <c r="R240" s="100">
        <v>46181</v>
      </c>
    </row>
    <row r="241" spans="1:19" x14ac:dyDescent="0.15">
      <c r="A241" s="15"/>
      <c r="B241" s="22"/>
      <c r="C241" s="23"/>
      <c r="D241" s="23"/>
      <c r="E241" s="23"/>
      <c r="F241" s="23"/>
      <c r="G241" s="24"/>
      <c r="H241" s="4">
        <f t="shared" si="84"/>
        <v>0</v>
      </c>
      <c r="J241" s="15" t="s">
        <v>249</v>
      </c>
      <c r="K241" s="22">
        <v>2</v>
      </c>
      <c r="L241" s="23">
        <v>3</v>
      </c>
      <c r="M241" s="23">
        <v>1</v>
      </c>
      <c r="N241" s="23"/>
      <c r="O241" s="23"/>
      <c r="P241" s="24"/>
      <c r="Q241" s="4">
        <f t="shared" si="86"/>
        <v>6</v>
      </c>
      <c r="R241" s="100">
        <v>46183</v>
      </c>
    </row>
    <row r="242" spans="1:19" x14ac:dyDescent="0.15">
      <c r="A242" s="15"/>
      <c r="B242" s="22"/>
      <c r="C242" s="23"/>
      <c r="D242" s="23"/>
      <c r="E242" s="23"/>
      <c r="F242" s="23"/>
      <c r="G242" s="24"/>
      <c r="H242" s="4">
        <f t="shared" si="84"/>
        <v>0</v>
      </c>
      <c r="J242" s="15" t="s">
        <v>252</v>
      </c>
      <c r="K242" s="22"/>
      <c r="L242" s="23"/>
      <c r="M242" s="23">
        <v>2</v>
      </c>
      <c r="N242" s="23">
        <v>2</v>
      </c>
      <c r="O242" s="23"/>
      <c r="P242" s="24"/>
      <c r="Q242" s="4">
        <f t="shared" si="86"/>
        <v>4</v>
      </c>
      <c r="R242" s="100">
        <v>46185</v>
      </c>
    </row>
    <row r="243" spans="1:19" x14ac:dyDescent="0.15">
      <c r="A243" s="15"/>
      <c r="B243" s="22"/>
      <c r="C243" s="23"/>
      <c r="D243" s="23"/>
      <c r="E243" s="23"/>
      <c r="F243" s="23"/>
      <c r="G243" s="24"/>
      <c r="H243" s="4">
        <f t="shared" si="84"/>
        <v>0</v>
      </c>
      <c r="J243" s="15" t="s">
        <v>254</v>
      </c>
      <c r="K243" s="22"/>
      <c r="L243" s="23"/>
      <c r="M243" s="23">
        <v>1</v>
      </c>
      <c r="N243" s="23">
        <v>2</v>
      </c>
      <c r="O243" s="23"/>
      <c r="P243" s="24"/>
      <c r="Q243" s="4">
        <f t="shared" si="86"/>
        <v>3</v>
      </c>
      <c r="R243" s="100">
        <v>46185</v>
      </c>
    </row>
    <row r="244" spans="1:19" x14ac:dyDescent="0.15">
      <c r="A244" s="15"/>
      <c r="B244" s="22"/>
      <c r="C244" s="23"/>
      <c r="D244" s="23"/>
      <c r="E244" s="23"/>
      <c r="F244" s="23"/>
      <c r="G244" s="24"/>
      <c r="H244" s="4">
        <f t="shared" si="84"/>
        <v>0</v>
      </c>
      <c r="J244" s="15" t="s">
        <v>255</v>
      </c>
      <c r="K244" s="22">
        <v>1</v>
      </c>
      <c r="L244" s="23">
        <v>3</v>
      </c>
      <c r="M244" s="23">
        <v>1</v>
      </c>
      <c r="N244" s="23"/>
      <c r="O244" s="23"/>
      <c r="P244" s="24"/>
      <c r="Q244" s="4">
        <f t="shared" si="86"/>
        <v>5</v>
      </c>
      <c r="R244" s="100">
        <v>46189</v>
      </c>
      <c r="S244" s="5"/>
    </row>
    <row r="245" spans="1:19" x14ac:dyDescent="0.15">
      <c r="A245" s="15"/>
      <c r="B245" s="22"/>
      <c r="C245" s="23"/>
      <c r="D245" s="23"/>
      <c r="E245" s="23"/>
      <c r="F245" s="23"/>
      <c r="G245" s="24"/>
      <c r="H245" s="4">
        <f t="shared" si="84"/>
        <v>0</v>
      </c>
      <c r="J245" s="15" t="s">
        <v>256</v>
      </c>
      <c r="K245" s="22"/>
      <c r="L245" s="23"/>
      <c r="M245" s="23"/>
      <c r="N245" s="23">
        <v>1</v>
      </c>
      <c r="O245" s="23"/>
      <c r="P245" s="24"/>
      <c r="Q245" s="4">
        <f t="shared" si="86"/>
        <v>1</v>
      </c>
      <c r="R245" s="100">
        <v>46188</v>
      </c>
    </row>
    <row r="246" spans="1:19" x14ac:dyDescent="0.15">
      <c r="A246" s="15"/>
      <c r="B246" s="22"/>
      <c r="C246" s="23"/>
      <c r="D246" s="23"/>
      <c r="E246" s="23"/>
      <c r="F246" s="23"/>
      <c r="G246" s="24"/>
      <c r="H246" s="4">
        <f t="shared" si="84"/>
        <v>0</v>
      </c>
      <c r="J246" s="15" t="s">
        <v>257</v>
      </c>
      <c r="K246" s="22"/>
      <c r="L246" s="23"/>
      <c r="M246" s="23">
        <v>1</v>
      </c>
      <c r="N246" s="23"/>
      <c r="O246" s="23"/>
      <c r="P246" s="24"/>
      <c r="Q246" s="4">
        <f t="shared" si="86"/>
        <v>1</v>
      </c>
      <c r="R246" s="100">
        <v>46190</v>
      </c>
    </row>
    <row r="247" spans="1:19" x14ac:dyDescent="0.15">
      <c r="A247" s="15"/>
      <c r="B247" s="22"/>
      <c r="C247" s="23"/>
      <c r="D247" s="23"/>
      <c r="E247" s="23"/>
      <c r="F247" s="23"/>
      <c r="G247" s="24"/>
      <c r="H247" s="4">
        <f t="shared" si="84"/>
        <v>0</v>
      </c>
      <c r="J247" s="15" t="s">
        <v>258</v>
      </c>
      <c r="K247" s="22">
        <v>1</v>
      </c>
      <c r="L247" s="23"/>
      <c r="M247" s="23">
        <v>2</v>
      </c>
      <c r="N247" s="23"/>
      <c r="O247" s="23"/>
      <c r="P247" s="24"/>
      <c r="Q247" s="4">
        <f t="shared" ref="Q247:Q253" si="90">SUM(K247:P247)</f>
        <v>3</v>
      </c>
      <c r="R247" s="100">
        <v>46191</v>
      </c>
    </row>
    <row r="248" spans="1:19" x14ac:dyDescent="0.15">
      <c r="A248" s="15"/>
      <c r="B248" s="22"/>
      <c r="C248" s="23"/>
      <c r="D248" s="23"/>
      <c r="E248" s="23"/>
      <c r="F248" s="23"/>
      <c r="G248" s="24"/>
      <c r="H248" s="4">
        <f t="shared" si="84"/>
        <v>0</v>
      </c>
      <c r="J248" s="15"/>
      <c r="K248" s="22"/>
      <c r="L248" s="23"/>
      <c r="M248" s="23"/>
      <c r="N248" s="23"/>
      <c r="O248" s="23"/>
      <c r="P248" s="24"/>
      <c r="Q248" s="4">
        <f t="shared" si="90"/>
        <v>0</v>
      </c>
      <c r="R248"/>
    </row>
    <row r="249" spans="1:19" x14ac:dyDescent="0.15">
      <c r="A249" s="15"/>
      <c r="B249" s="22"/>
      <c r="C249" s="23"/>
      <c r="D249" s="23"/>
      <c r="E249" s="23"/>
      <c r="F249" s="23"/>
      <c r="G249" s="24"/>
      <c r="H249" s="4">
        <f t="shared" si="84"/>
        <v>0</v>
      </c>
      <c r="J249" s="15"/>
      <c r="K249" s="22"/>
      <c r="L249" s="23"/>
      <c r="M249" s="23"/>
      <c r="N249" s="23"/>
      <c r="O249" s="23"/>
      <c r="P249" s="24"/>
      <c r="Q249" s="4">
        <f t="shared" si="90"/>
        <v>0</v>
      </c>
      <c r="R249"/>
    </row>
    <row r="250" spans="1:19" x14ac:dyDescent="0.15">
      <c r="A250" s="15"/>
      <c r="B250" s="22"/>
      <c r="C250" s="23"/>
      <c r="D250" s="23"/>
      <c r="E250" s="23"/>
      <c r="F250" s="23"/>
      <c r="G250" s="24"/>
      <c r="H250" s="4">
        <f t="shared" si="84"/>
        <v>0</v>
      </c>
      <c r="J250" s="15"/>
      <c r="K250" s="22"/>
      <c r="L250" s="23"/>
      <c r="M250" s="23"/>
      <c r="N250" s="23"/>
      <c r="O250" s="23"/>
      <c r="P250" s="24"/>
      <c r="Q250" s="4">
        <f t="shared" si="90"/>
        <v>0</v>
      </c>
      <c r="R250"/>
    </row>
    <row r="251" spans="1:19" x14ac:dyDescent="0.15">
      <c r="A251" s="15"/>
      <c r="B251" s="22"/>
      <c r="C251" s="23"/>
      <c r="D251" s="23"/>
      <c r="E251" s="23"/>
      <c r="F251" s="23"/>
      <c r="G251" s="24"/>
      <c r="H251" s="4">
        <f t="shared" si="84"/>
        <v>0</v>
      </c>
      <c r="J251" s="48" t="s">
        <v>218</v>
      </c>
      <c r="K251" s="50">
        <v>20</v>
      </c>
      <c r="L251" s="51">
        <v>25</v>
      </c>
      <c r="M251" s="51">
        <v>10</v>
      </c>
      <c r="N251" s="51">
        <v>10</v>
      </c>
      <c r="O251" s="85"/>
      <c r="P251" s="86"/>
      <c r="Q251" s="52">
        <f t="shared" si="90"/>
        <v>65</v>
      </c>
      <c r="R251" s="47" t="s">
        <v>219</v>
      </c>
    </row>
    <row r="252" spans="1:19" x14ac:dyDescent="0.15">
      <c r="A252" s="15"/>
      <c r="B252" s="22"/>
      <c r="C252" s="23"/>
      <c r="D252" s="23"/>
      <c r="E252" s="23"/>
      <c r="F252" s="23"/>
      <c r="G252" s="24"/>
      <c r="H252" s="4">
        <f t="shared" si="84"/>
        <v>0</v>
      </c>
      <c r="I252"/>
      <c r="J252" s="48" t="s">
        <v>241</v>
      </c>
      <c r="K252" s="50">
        <v>20</v>
      </c>
      <c r="L252" s="51">
        <v>25</v>
      </c>
      <c r="M252" s="51">
        <v>10</v>
      </c>
      <c r="N252" s="51">
        <v>10</v>
      </c>
      <c r="O252" s="85"/>
      <c r="P252" s="86"/>
      <c r="Q252" s="52">
        <f t="shared" ref="Q252" si="91">SUM(K252:P252)</f>
        <v>65</v>
      </c>
      <c r="R252" s="47" t="s">
        <v>242</v>
      </c>
    </row>
    <row r="253" spans="1:19" x14ac:dyDescent="0.15">
      <c r="A253" s="15"/>
      <c r="B253" s="22"/>
      <c r="C253" s="23"/>
      <c r="D253" s="23"/>
      <c r="E253" s="23"/>
      <c r="F253" s="23"/>
      <c r="G253" s="24"/>
      <c r="H253" s="4">
        <f t="shared" si="84"/>
        <v>0</v>
      </c>
      <c r="I253"/>
      <c r="J253" s="48" t="s">
        <v>250</v>
      </c>
      <c r="K253" s="50">
        <v>20</v>
      </c>
      <c r="L253" s="51">
        <v>25</v>
      </c>
      <c r="M253" s="51">
        <v>10</v>
      </c>
      <c r="N253" s="51">
        <v>10</v>
      </c>
      <c r="O253" s="85"/>
      <c r="P253" s="86"/>
      <c r="Q253" s="52">
        <f t="shared" si="90"/>
        <v>65</v>
      </c>
      <c r="R253" s="47" t="s">
        <v>251</v>
      </c>
    </row>
    <row r="254" spans="1:19" ht="14.25" thickBot="1" x14ac:dyDescent="0.2">
      <c r="A254" s="15"/>
      <c r="B254" s="22"/>
      <c r="C254" s="23"/>
      <c r="D254" s="23"/>
      <c r="E254" s="23"/>
      <c r="F254" s="23"/>
      <c r="G254" s="24"/>
      <c r="H254" s="4">
        <f t="shared" ref="H254" si="92">SUM(B254:G254)</f>
        <v>0</v>
      </c>
      <c r="I254"/>
      <c r="J254" s="48" t="s">
        <v>212</v>
      </c>
      <c r="K254" s="50">
        <f>60-20</f>
        <v>40</v>
      </c>
      <c r="L254" s="51">
        <f>90-20</f>
        <v>70</v>
      </c>
      <c r="M254" s="51">
        <f>60-20</f>
        <v>40</v>
      </c>
      <c r="N254" s="85"/>
      <c r="O254" s="85"/>
      <c r="P254" s="86"/>
      <c r="Q254" s="52">
        <f t="shared" si="86"/>
        <v>150</v>
      </c>
      <c r="R254" s="47" t="s">
        <v>213</v>
      </c>
    </row>
    <row r="255" spans="1:19" ht="14.25" thickBot="1" x14ac:dyDescent="0.2">
      <c r="A255" s="2" t="s">
        <v>7</v>
      </c>
      <c r="B255" s="28">
        <f>SUM(B231:B254)</f>
        <v>1</v>
      </c>
      <c r="C255" s="29">
        <f t="shared" ref="C255:F255" si="93">SUM(C231:C254)</f>
        <v>2</v>
      </c>
      <c r="D255" s="29">
        <f t="shared" si="93"/>
        <v>0</v>
      </c>
      <c r="E255" s="29">
        <f t="shared" si="93"/>
        <v>0</v>
      </c>
      <c r="F255" s="29">
        <f t="shared" si="93"/>
        <v>0</v>
      </c>
      <c r="G255" s="30">
        <f>SUM(G231:G254)</f>
        <v>0</v>
      </c>
      <c r="H255" s="9">
        <f>SUM(B255:G255)</f>
        <v>3</v>
      </c>
      <c r="I255"/>
      <c r="J255" s="2" t="s">
        <v>7</v>
      </c>
      <c r="K255" s="28">
        <f>SUM(K231:K254)</f>
        <v>137</v>
      </c>
      <c r="L255" s="29">
        <f t="shared" ref="L255:O255" si="94">SUM(L231:L254)</f>
        <v>188</v>
      </c>
      <c r="M255" s="29">
        <f t="shared" si="94"/>
        <v>108</v>
      </c>
      <c r="N255" s="29">
        <f t="shared" si="94"/>
        <v>40</v>
      </c>
      <c r="O255" s="29">
        <f t="shared" si="94"/>
        <v>0</v>
      </c>
      <c r="P255" s="30">
        <f>SUM(P231:P254)</f>
        <v>0</v>
      </c>
      <c r="Q255" s="9">
        <f>SUM(K255:P255)</f>
        <v>473</v>
      </c>
      <c r="R255"/>
    </row>
    <row r="256" spans="1:19" ht="14.25" thickBot="1" x14ac:dyDescent="0.2">
      <c r="A256" s="10" t="s">
        <v>8</v>
      </c>
      <c r="B256" s="31">
        <f>B230-B255</f>
        <v>4</v>
      </c>
      <c r="C256" s="32">
        <f t="shared" ref="C256:F256" si="95">C230-C255</f>
        <v>3</v>
      </c>
      <c r="D256" s="32">
        <f t="shared" si="95"/>
        <v>4</v>
      </c>
      <c r="E256" s="32">
        <f t="shared" si="95"/>
        <v>2</v>
      </c>
      <c r="F256" s="32">
        <f t="shared" si="95"/>
        <v>5</v>
      </c>
      <c r="G256" s="33">
        <f>G230-G255</f>
        <v>6</v>
      </c>
      <c r="H256" s="9">
        <f>H230-H255</f>
        <v>24</v>
      </c>
      <c r="I256"/>
      <c r="J256" s="10" t="s">
        <v>8</v>
      </c>
      <c r="K256" s="31">
        <f>K230-K255</f>
        <v>3</v>
      </c>
      <c r="L256" s="32">
        <f t="shared" ref="L256:O256" si="96">L230-L255</f>
        <v>262</v>
      </c>
      <c r="M256" s="32">
        <f t="shared" si="96"/>
        <v>170</v>
      </c>
      <c r="N256" s="32">
        <f t="shared" si="96"/>
        <v>-24</v>
      </c>
      <c r="O256" s="32">
        <f t="shared" si="96"/>
        <v>71</v>
      </c>
      <c r="P256" s="33">
        <f>P230-P255</f>
        <v>31</v>
      </c>
      <c r="Q256" s="9">
        <f>Q230-Q255</f>
        <v>513</v>
      </c>
      <c r="R256"/>
    </row>
    <row r="257" spans="1:18" x14ac:dyDescent="0.15">
      <c r="I257"/>
      <c r="J257" s="76" t="s">
        <v>239</v>
      </c>
      <c r="K257" s="47">
        <v>270</v>
      </c>
      <c r="L257" s="47">
        <v>627</v>
      </c>
      <c r="M257" s="47">
        <v>397</v>
      </c>
      <c r="N257" s="47">
        <v>82</v>
      </c>
      <c r="O257" s="47">
        <v>53</v>
      </c>
      <c r="P257" s="47">
        <v>43</v>
      </c>
      <c r="Q257" s="77">
        <f>SUM(K257:P257)</f>
        <v>1472</v>
      </c>
      <c r="R257" s="47" t="s">
        <v>123</v>
      </c>
    </row>
    <row r="258" spans="1:18" x14ac:dyDescent="0.15">
      <c r="I258"/>
      <c r="J258" s="78" t="s">
        <v>25</v>
      </c>
      <c r="K258" s="44">
        <f>K257+K256</f>
        <v>273</v>
      </c>
      <c r="L258" s="44">
        <f t="shared" ref="L258:P258" si="97">L257+L256</f>
        <v>889</v>
      </c>
      <c r="M258" s="44">
        <f t="shared" si="97"/>
        <v>567</v>
      </c>
      <c r="N258" s="44">
        <f t="shared" si="97"/>
        <v>58</v>
      </c>
      <c r="O258" s="44">
        <f t="shared" si="97"/>
        <v>124</v>
      </c>
      <c r="P258" s="44">
        <f t="shared" si="97"/>
        <v>74</v>
      </c>
      <c r="Q258" s="44">
        <f>SUM(K258:P258)</f>
        <v>1985</v>
      </c>
      <c r="R258" s="44" t="s">
        <v>18</v>
      </c>
    </row>
    <row r="259" spans="1:18" ht="21.75" thickBot="1" x14ac:dyDescent="0.25">
      <c r="A259" s="37" t="s">
        <v>15</v>
      </c>
      <c r="B259" s="38"/>
      <c r="C259" s="38"/>
      <c r="D259" s="38"/>
      <c r="E259" s="38"/>
      <c r="F259" s="38"/>
      <c r="G259" s="38"/>
      <c r="H259" s="39"/>
      <c r="I259"/>
      <c r="J259" s="40" t="s">
        <v>16</v>
      </c>
      <c r="K259" s="41"/>
      <c r="L259" s="41"/>
      <c r="M259" s="41"/>
      <c r="N259" s="41"/>
      <c r="O259" s="42"/>
      <c r="P259" s="41"/>
      <c r="Q259" s="43"/>
      <c r="R259"/>
    </row>
    <row r="260" spans="1:18" ht="14.25" thickBot="1" x14ac:dyDescent="0.2">
      <c r="A260" s="1" t="s">
        <v>0</v>
      </c>
      <c r="B260" s="106" t="s">
        <v>14</v>
      </c>
      <c r="C260" s="106"/>
      <c r="D260" s="106"/>
      <c r="E260" s="106"/>
      <c r="F260" s="106"/>
      <c r="G260" s="106"/>
      <c r="H260" s="107"/>
      <c r="I260"/>
      <c r="J260" s="1" t="s">
        <v>0</v>
      </c>
      <c r="K260" s="106" t="s">
        <v>14</v>
      </c>
      <c r="L260" s="106"/>
      <c r="M260" s="106"/>
      <c r="N260" s="106"/>
      <c r="O260" s="106"/>
      <c r="P260" s="106"/>
      <c r="Q260" s="107"/>
      <c r="R260"/>
    </row>
    <row r="261" spans="1:18" ht="14.25" thickBot="1" x14ac:dyDescent="0.2">
      <c r="A261" s="1" t="s">
        <v>1</v>
      </c>
      <c r="B261" s="16" t="s">
        <v>2</v>
      </c>
      <c r="C261" s="17" t="s">
        <v>9</v>
      </c>
      <c r="D261" s="17" t="s">
        <v>10</v>
      </c>
      <c r="E261" s="17" t="s">
        <v>11</v>
      </c>
      <c r="F261" s="17" t="s">
        <v>12</v>
      </c>
      <c r="G261" s="18" t="s">
        <v>13</v>
      </c>
      <c r="H261" s="1" t="s">
        <v>3</v>
      </c>
      <c r="I261"/>
      <c r="J261" s="1" t="s">
        <v>1</v>
      </c>
      <c r="K261" s="16" t="s">
        <v>2</v>
      </c>
      <c r="L261" s="17" t="s">
        <v>9</v>
      </c>
      <c r="M261" s="17" t="s">
        <v>10</v>
      </c>
      <c r="N261" s="17" t="s">
        <v>11</v>
      </c>
      <c r="O261" s="17" t="s">
        <v>12</v>
      </c>
      <c r="P261" s="18" t="s">
        <v>13</v>
      </c>
      <c r="Q261" s="1" t="s">
        <v>3</v>
      </c>
      <c r="R261"/>
    </row>
    <row r="262" spans="1:18" ht="14.25" thickBot="1" x14ac:dyDescent="0.2">
      <c r="A262" s="12" t="s">
        <v>8</v>
      </c>
      <c r="B262" s="19">
        <f>B256</f>
        <v>4</v>
      </c>
      <c r="C262" s="20">
        <f t="shared" ref="C262:F262" si="98">C256</f>
        <v>3</v>
      </c>
      <c r="D262" s="20">
        <f t="shared" si="98"/>
        <v>4</v>
      </c>
      <c r="E262" s="20">
        <f t="shared" si="98"/>
        <v>2</v>
      </c>
      <c r="F262" s="20">
        <f t="shared" si="98"/>
        <v>5</v>
      </c>
      <c r="G262" s="21">
        <f>G256</f>
        <v>6</v>
      </c>
      <c r="H262" s="9">
        <f t="shared" ref="H262:H297" si="99">SUM(B262:G262)</f>
        <v>24</v>
      </c>
      <c r="I262"/>
      <c r="J262" s="12" t="s">
        <v>8</v>
      </c>
      <c r="K262" s="19">
        <f>K256</f>
        <v>3</v>
      </c>
      <c r="L262" s="20">
        <f t="shared" ref="L262:O262" si="100">L256</f>
        <v>262</v>
      </c>
      <c r="M262" s="20">
        <f t="shared" si="100"/>
        <v>170</v>
      </c>
      <c r="N262" s="20">
        <f t="shared" si="100"/>
        <v>-24</v>
      </c>
      <c r="O262" s="20">
        <f t="shared" si="100"/>
        <v>71</v>
      </c>
      <c r="P262" s="21">
        <f>P256</f>
        <v>31</v>
      </c>
      <c r="Q262" s="9">
        <f t="shared" ref="Q262:Q293" si="101">SUM(K262:P262)</f>
        <v>513</v>
      </c>
      <c r="R262"/>
    </row>
    <row r="263" spans="1:18" x14ac:dyDescent="0.15">
      <c r="A263" s="3" t="s">
        <v>5</v>
      </c>
      <c r="B263" s="22"/>
      <c r="C263" s="23"/>
      <c r="D263" s="23"/>
      <c r="E263" s="23"/>
      <c r="F263" s="23"/>
      <c r="G263" s="24"/>
      <c r="H263" s="4">
        <f t="shared" si="99"/>
        <v>0</v>
      </c>
      <c r="I263"/>
      <c r="J263" s="3" t="s">
        <v>253</v>
      </c>
      <c r="K263" s="22"/>
      <c r="L263" s="23"/>
      <c r="M263" s="23"/>
      <c r="N263" s="23">
        <v>10</v>
      </c>
      <c r="O263" s="23"/>
      <c r="P263" s="24"/>
      <c r="Q263" s="4">
        <f t="shared" si="101"/>
        <v>10</v>
      </c>
      <c r="R263" s="103">
        <v>46183</v>
      </c>
    </row>
    <row r="264" spans="1:18" x14ac:dyDescent="0.15">
      <c r="A264" s="3" t="s">
        <v>5</v>
      </c>
      <c r="B264" s="22"/>
      <c r="C264" s="23"/>
      <c r="D264" s="23"/>
      <c r="E264" s="23"/>
      <c r="F264" s="23"/>
      <c r="G264" s="24"/>
      <c r="H264" s="4">
        <f t="shared" si="99"/>
        <v>0</v>
      </c>
      <c r="I264"/>
      <c r="J264" s="3" t="s">
        <v>5</v>
      </c>
      <c r="K264" s="22"/>
      <c r="L264" s="23"/>
      <c r="M264" s="23"/>
      <c r="N264" s="23"/>
      <c r="O264" s="23"/>
      <c r="P264" s="24"/>
      <c r="Q264" s="4">
        <f t="shared" si="101"/>
        <v>0</v>
      </c>
      <c r="R264"/>
    </row>
    <row r="265" spans="1:18" x14ac:dyDescent="0.15">
      <c r="A265" s="3" t="s">
        <v>5</v>
      </c>
      <c r="B265" s="22"/>
      <c r="C265" s="23"/>
      <c r="D265" s="23"/>
      <c r="E265" s="23"/>
      <c r="F265" s="23"/>
      <c r="G265" s="24"/>
      <c r="H265" s="4">
        <f t="shared" si="99"/>
        <v>0</v>
      </c>
      <c r="I265"/>
      <c r="J265" s="3" t="s">
        <v>5</v>
      </c>
      <c r="K265" s="22"/>
      <c r="L265" s="23"/>
      <c r="M265" s="23"/>
      <c r="N265" s="23"/>
      <c r="O265" s="23"/>
      <c r="P265" s="24"/>
      <c r="Q265" s="4">
        <f t="shared" si="101"/>
        <v>0</v>
      </c>
      <c r="R265"/>
    </row>
    <row r="266" spans="1:18" x14ac:dyDescent="0.15">
      <c r="A266" s="3" t="s">
        <v>5</v>
      </c>
      <c r="B266" s="22"/>
      <c r="C266" s="23"/>
      <c r="D266" s="23"/>
      <c r="E266" s="23"/>
      <c r="F266" s="23"/>
      <c r="G266" s="24"/>
      <c r="H266" s="4">
        <f t="shared" si="99"/>
        <v>0</v>
      </c>
      <c r="I266"/>
      <c r="J266" s="3" t="s">
        <v>5</v>
      </c>
      <c r="K266" s="22"/>
      <c r="L266" s="23"/>
      <c r="M266" s="23"/>
      <c r="N266" s="23"/>
      <c r="O266" s="23"/>
      <c r="P266" s="24"/>
      <c r="Q266" s="4">
        <f t="shared" si="101"/>
        <v>0</v>
      </c>
      <c r="R266"/>
    </row>
    <row r="267" spans="1:18" x14ac:dyDescent="0.15">
      <c r="A267" s="3" t="s">
        <v>5</v>
      </c>
      <c r="B267" s="22"/>
      <c r="C267" s="23"/>
      <c r="D267" s="23"/>
      <c r="E267" s="23"/>
      <c r="F267" s="23"/>
      <c r="G267" s="24"/>
      <c r="H267" s="4">
        <f t="shared" si="99"/>
        <v>0</v>
      </c>
      <c r="I267"/>
      <c r="J267" s="3" t="s">
        <v>5</v>
      </c>
      <c r="K267" s="22"/>
      <c r="L267" s="23"/>
      <c r="M267" s="23"/>
      <c r="N267" s="23"/>
      <c r="O267" s="23"/>
      <c r="P267" s="24"/>
      <c r="Q267" s="4">
        <f t="shared" si="101"/>
        <v>0</v>
      </c>
      <c r="R267"/>
    </row>
    <row r="268" spans="1:18" x14ac:dyDescent="0.15">
      <c r="A268" s="3" t="s">
        <v>5</v>
      </c>
      <c r="B268" s="22"/>
      <c r="C268" s="23"/>
      <c r="D268" s="23"/>
      <c r="E268" s="23"/>
      <c r="F268" s="23"/>
      <c r="G268" s="24"/>
      <c r="H268" s="4">
        <f t="shared" si="99"/>
        <v>0</v>
      </c>
      <c r="I268"/>
      <c r="J268" s="3" t="s">
        <v>5</v>
      </c>
      <c r="K268" s="22"/>
      <c r="L268" s="23"/>
      <c r="M268" s="23"/>
      <c r="N268" s="23"/>
      <c r="O268" s="23"/>
      <c r="P268" s="24"/>
      <c r="Q268" s="4">
        <f t="shared" si="101"/>
        <v>0</v>
      </c>
      <c r="R268"/>
    </row>
    <row r="269" spans="1:18" x14ac:dyDescent="0.15">
      <c r="A269" s="3" t="s">
        <v>5</v>
      </c>
      <c r="B269" s="22"/>
      <c r="C269" s="23"/>
      <c r="D269" s="23"/>
      <c r="E269" s="23"/>
      <c r="F269" s="23"/>
      <c r="G269" s="24"/>
      <c r="H269" s="4">
        <f t="shared" si="99"/>
        <v>0</v>
      </c>
      <c r="I269"/>
      <c r="J269" s="3" t="s">
        <v>5</v>
      </c>
      <c r="K269" s="22"/>
      <c r="L269" s="23"/>
      <c r="M269" s="23"/>
      <c r="N269" s="23"/>
      <c r="O269" s="23"/>
      <c r="P269" s="24"/>
      <c r="Q269" s="4">
        <f t="shared" si="101"/>
        <v>0</v>
      </c>
      <c r="R269"/>
    </row>
    <row r="270" spans="1:18" x14ac:dyDescent="0.15">
      <c r="A270" s="3" t="s">
        <v>5</v>
      </c>
      <c r="B270" s="22"/>
      <c r="C270" s="23"/>
      <c r="D270" s="23"/>
      <c r="E270" s="23"/>
      <c r="F270" s="23"/>
      <c r="G270" s="24"/>
      <c r="H270" s="4">
        <f t="shared" si="99"/>
        <v>0</v>
      </c>
      <c r="I270"/>
      <c r="J270" s="3" t="s">
        <v>5</v>
      </c>
      <c r="K270" s="22"/>
      <c r="L270" s="23"/>
      <c r="M270" s="23"/>
      <c r="N270" s="23"/>
      <c r="O270" s="23"/>
      <c r="P270" s="24"/>
      <c r="Q270" s="4">
        <f t="shared" si="101"/>
        <v>0</v>
      </c>
      <c r="R270"/>
    </row>
    <row r="271" spans="1:18" x14ac:dyDescent="0.15">
      <c r="A271" s="3" t="s">
        <v>5</v>
      </c>
      <c r="B271" s="22"/>
      <c r="C271" s="23"/>
      <c r="D271" s="23"/>
      <c r="E271" s="23"/>
      <c r="F271" s="23"/>
      <c r="G271" s="24"/>
      <c r="H271" s="4">
        <f t="shared" si="99"/>
        <v>0</v>
      </c>
      <c r="I271"/>
      <c r="J271" s="3" t="s">
        <v>5</v>
      </c>
      <c r="K271" s="22"/>
      <c r="L271" s="23"/>
      <c r="M271" s="23"/>
      <c r="N271" s="23"/>
      <c r="O271" s="23"/>
      <c r="P271" s="24"/>
      <c r="Q271" s="4">
        <f t="shared" si="101"/>
        <v>0</v>
      </c>
      <c r="R271"/>
    </row>
    <row r="272" spans="1:18" ht="14.25" thickBot="1" x14ac:dyDescent="0.2">
      <c r="A272" s="6" t="s">
        <v>5</v>
      </c>
      <c r="B272" s="25"/>
      <c r="C272" s="26"/>
      <c r="D272" s="26"/>
      <c r="E272" s="26"/>
      <c r="F272" s="26"/>
      <c r="G272" s="27"/>
      <c r="H272" s="7">
        <f t="shared" si="99"/>
        <v>0</v>
      </c>
      <c r="I272"/>
      <c r="J272" s="3" t="s">
        <v>5</v>
      </c>
      <c r="K272" s="22"/>
      <c r="L272" s="23"/>
      <c r="M272" s="23"/>
      <c r="N272" s="23"/>
      <c r="O272" s="23"/>
      <c r="P272" s="24"/>
      <c r="Q272" s="4">
        <f t="shared" si="101"/>
        <v>0</v>
      </c>
      <c r="R272"/>
    </row>
    <row r="273" spans="1:18" ht="14.25" thickBot="1" x14ac:dyDescent="0.2">
      <c r="A273" s="8" t="s">
        <v>6</v>
      </c>
      <c r="B273" s="28">
        <f>SUM(B262:B272)</f>
        <v>4</v>
      </c>
      <c r="C273" s="29">
        <f t="shared" ref="C273:G273" si="102">SUM(C262:C272)</f>
        <v>3</v>
      </c>
      <c r="D273" s="29">
        <f t="shared" si="102"/>
        <v>4</v>
      </c>
      <c r="E273" s="29">
        <f t="shared" si="102"/>
        <v>2</v>
      </c>
      <c r="F273" s="29">
        <f t="shared" si="102"/>
        <v>5</v>
      </c>
      <c r="G273" s="30">
        <f t="shared" si="102"/>
        <v>6</v>
      </c>
      <c r="H273" s="9">
        <f t="shared" si="99"/>
        <v>24</v>
      </c>
      <c r="I273"/>
      <c r="J273" s="8" t="s">
        <v>6</v>
      </c>
      <c r="K273" s="28">
        <f>SUM(K262:K272)</f>
        <v>3</v>
      </c>
      <c r="L273" s="29">
        <f t="shared" ref="L273:P273" si="103">SUM(L262:L272)</f>
        <v>262</v>
      </c>
      <c r="M273" s="29">
        <f t="shared" si="103"/>
        <v>170</v>
      </c>
      <c r="N273" s="29">
        <f t="shared" si="103"/>
        <v>-14</v>
      </c>
      <c r="O273" s="29">
        <f t="shared" si="103"/>
        <v>71</v>
      </c>
      <c r="P273" s="30">
        <f t="shared" si="103"/>
        <v>31</v>
      </c>
      <c r="Q273" s="9">
        <f t="shared" si="101"/>
        <v>523</v>
      </c>
      <c r="R273"/>
    </row>
    <row r="274" spans="1:18" x14ac:dyDescent="0.15">
      <c r="A274" s="15"/>
      <c r="B274" s="22"/>
      <c r="C274" s="23"/>
      <c r="D274" s="23"/>
      <c r="E274" s="23"/>
      <c r="F274" s="23"/>
      <c r="G274" s="24"/>
      <c r="H274" s="4">
        <f t="shared" ref="H274" si="104">SUM(B274:G274)</f>
        <v>0</v>
      </c>
      <c r="J274" s="15"/>
      <c r="K274" s="22"/>
      <c r="L274" s="23"/>
      <c r="M274" s="23"/>
      <c r="N274" s="23"/>
      <c r="O274" s="23"/>
      <c r="P274" s="24"/>
      <c r="Q274" s="4">
        <f t="shared" si="101"/>
        <v>0</v>
      </c>
      <c r="R274" s="100"/>
    </row>
    <row r="275" spans="1:18" x14ac:dyDescent="0.15">
      <c r="A275" s="15"/>
      <c r="B275" s="22"/>
      <c r="C275" s="23"/>
      <c r="D275" s="23"/>
      <c r="E275" s="23"/>
      <c r="F275" s="23"/>
      <c r="G275" s="24"/>
      <c r="H275" s="4">
        <f t="shared" si="99"/>
        <v>0</v>
      </c>
      <c r="J275" s="15"/>
      <c r="K275" s="22"/>
      <c r="L275" s="23"/>
      <c r="M275" s="23"/>
      <c r="N275" s="23"/>
      <c r="O275" s="23"/>
      <c r="P275" s="24"/>
      <c r="Q275" s="4">
        <f t="shared" si="101"/>
        <v>0</v>
      </c>
      <c r="R275" s="100"/>
    </row>
    <row r="276" spans="1:18" x14ac:dyDescent="0.15">
      <c r="A276" s="15"/>
      <c r="B276" s="22"/>
      <c r="C276" s="23"/>
      <c r="D276" s="23"/>
      <c r="E276" s="23"/>
      <c r="F276" s="23"/>
      <c r="G276" s="24"/>
      <c r="H276" s="4">
        <f t="shared" si="99"/>
        <v>0</v>
      </c>
      <c r="J276" s="15"/>
      <c r="K276" s="22"/>
      <c r="L276" s="23"/>
      <c r="M276" s="23"/>
      <c r="N276" s="23"/>
      <c r="O276" s="23"/>
      <c r="P276" s="24"/>
      <c r="Q276" s="4">
        <f t="shared" si="101"/>
        <v>0</v>
      </c>
      <c r="R276" s="100"/>
    </row>
    <row r="277" spans="1:18" x14ac:dyDescent="0.15">
      <c r="A277" s="15"/>
      <c r="B277" s="22"/>
      <c r="C277" s="23"/>
      <c r="D277" s="23"/>
      <c r="E277" s="23"/>
      <c r="F277" s="23"/>
      <c r="G277" s="24"/>
      <c r="H277" s="4">
        <f t="shared" si="99"/>
        <v>0</v>
      </c>
      <c r="J277" s="15"/>
      <c r="K277" s="22"/>
      <c r="L277" s="23"/>
      <c r="M277" s="23"/>
      <c r="N277" s="23"/>
      <c r="O277" s="23"/>
      <c r="P277" s="24"/>
      <c r="Q277" s="4">
        <f t="shared" si="101"/>
        <v>0</v>
      </c>
      <c r="R277" s="100"/>
    </row>
    <row r="278" spans="1:18" x14ac:dyDescent="0.15">
      <c r="A278" s="15"/>
      <c r="B278" s="22"/>
      <c r="C278" s="23"/>
      <c r="D278" s="23"/>
      <c r="E278" s="23"/>
      <c r="F278" s="23"/>
      <c r="G278" s="24"/>
      <c r="H278" s="4">
        <f t="shared" si="99"/>
        <v>0</v>
      </c>
      <c r="J278" s="15"/>
      <c r="K278" s="22"/>
      <c r="L278" s="23"/>
      <c r="M278" s="23"/>
      <c r="N278" s="23"/>
      <c r="O278" s="23"/>
      <c r="P278" s="24"/>
      <c r="Q278" s="4">
        <f t="shared" si="101"/>
        <v>0</v>
      </c>
      <c r="R278" s="100"/>
    </row>
    <row r="279" spans="1:18" x14ac:dyDescent="0.15">
      <c r="A279" s="15"/>
      <c r="B279" s="22"/>
      <c r="C279" s="23"/>
      <c r="D279" s="23"/>
      <c r="E279" s="23"/>
      <c r="F279" s="23"/>
      <c r="G279" s="24"/>
      <c r="H279" s="4">
        <f t="shared" si="99"/>
        <v>0</v>
      </c>
      <c r="J279" s="15"/>
      <c r="K279" s="22"/>
      <c r="L279" s="23"/>
      <c r="M279" s="23"/>
      <c r="N279" s="23"/>
      <c r="O279" s="23"/>
      <c r="P279" s="24"/>
      <c r="Q279" s="4">
        <f t="shared" si="101"/>
        <v>0</v>
      </c>
      <c r="R279" s="100"/>
    </row>
    <row r="280" spans="1:18" x14ac:dyDescent="0.15">
      <c r="A280" s="15"/>
      <c r="B280" s="22"/>
      <c r="C280" s="23"/>
      <c r="D280" s="23"/>
      <c r="E280" s="23"/>
      <c r="F280" s="23"/>
      <c r="G280" s="24"/>
      <c r="H280" s="4">
        <f t="shared" si="99"/>
        <v>0</v>
      </c>
      <c r="J280" s="15"/>
      <c r="K280" s="22"/>
      <c r="L280" s="23"/>
      <c r="M280" s="23"/>
      <c r="N280" s="23"/>
      <c r="O280" s="23"/>
      <c r="P280" s="24"/>
      <c r="Q280" s="4">
        <f t="shared" si="101"/>
        <v>0</v>
      </c>
      <c r="R280" s="100"/>
    </row>
    <row r="281" spans="1:18" x14ac:dyDescent="0.15">
      <c r="A281" s="15"/>
      <c r="B281" s="22"/>
      <c r="C281" s="23"/>
      <c r="D281" s="23"/>
      <c r="E281" s="23"/>
      <c r="F281" s="23"/>
      <c r="G281" s="24"/>
      <c r="H281" s="4">
        <f t="shared" si="99"/>
        <v>0</v>
      </c>
      <c r="J281" s="15"/>
      <c r="K281" s="22"/>
      <c r="L281" s="23"/>
      <c r="M281" s="23"/>
      <c r="N281" s="23"/>
      <c r="O281" s="23"/>
      <c r="P281" s="24"/>
      <c r="Q281" s="4">
        <f t="shared" si="101"/>
        <v>0</v>
      </c>
      <c r="R281" s="100"/>
    </row>
    <row r="282" spans="1:18" x14ac:dyDescent="0.15">
      <c r="A282" s="15"/>
      <c r="B282" s="22"/>
      <c r="C282" s="23"/>
      <c r="D282" s="23"/>
      <c r="E282" s="23"/>
      <c r="F282" s="23"/>
      <c r="G282" s="24"/>
      <c r="H282" s="4">
        <f t="shared" si="99"/>
        <v>0</v>
      </c>
      <c r="J282" s="15"/>
      <c r="K282" s="22"/>
      <c r="L282" s="23"/>
      <c r="M282" s="23"/>
      <c r="N282" s="23"/>
      <c r="O282" s="23"/>
      <c r="P282" s="24"/>
      <c r="Q282" s="4">
        <f t="shared" si="101"/>
        <v>0</v>
      </c>
      <c r="R282" s="100"/>
    </row>
    <row r="283" spans="1:18" x14ac:dyDescent="0.15">
      <c r="A283" s="15"/>
      <c r="B283" s="22"/>
      <c r="C283" s="23"/>
      <c r="D283" s="23"/>
      <c r="E283" s="23"/>
      <c r="F283" s="23"/>
      <c r="G283" s="24"/>
      <c r="H283" s="4">
        <f t="shared" si="99"/>
        <v>0</v>
      </c>
      <c r="J283" s="15"/>
      <c r="K283" s="22"/>
      <c r="L283" s="23"/>
      <c r="M283" s="23"/>
      <c r="N283" s="23"/>
      <c r="O283" s="23"/>
      <c r="P283" s="24"/>
      <c r="Q283" s="4">
        <f t="shared" si="101"/>
        <v>0</v>
      </c>
      <c r="R283" s="100"/>
    </row>
    <row r="284" spans="1:18" x14ac:dyDescent="0.15">
      <c r="A284" s="15"/>
      <c r="B284" s="22"/>
      <c r="C284" s="23"/>
      <c r="D284" s="23"/>
      <c r="E284" s="23"/>
      <c r="F284" s="23"/>
      <c r="G284" s="24"/>
      <c r="H284" s="4">
        <f t="shared" si="99"/>
        <v>0</v>
      </c>
      <c r="J284" s="15"/>
      <c r="K284" s="22"/>
      <c r="L284" s="23"/>
      <c r="M284" s="23"/>
      <c r="N284" s="23"/>
      <c r="O284" s="23"/>
      <c r="P284" s="24"/>
      <c r="Q284" s="4">
        <f t="shared" si="101"/>
        <v>0</v>
      </c>
      <c r="R284" s="100"/>
    </row>
    <row r="285" spans="1:18" x14ac:dyDescent="0.15">
      <c r="A285" s="15"/>
      <c r="B285" s="22"/>
      <c r="C285" s="23"/>
      <c r="D285" s="23"/>
      <c r="E285" s="23"/>
      <c r="F285" s="23"/>
      <c r="G285" s="24"/>
      <c r="H285" s="4">
        <f t="shared" si="99"/>
        <v>0</v>
      </c>
      <c r="J285" s="15"/>
      <c r="K285" s="22"/>
      <c r="L285" s="23"/>
      <c r="M285" s="23"/>
      <c r="N285" s="23"/>
      <c r="O285" s="23"/>
      <c r="P285" s="24"/>
      <c r="Q285" s="4">
        <f t="shared" si="101"/>
        <v>0</v>
      </c>
      <c r="R285" s="100"/>
    </row>
    <row r="286" spans="1:18" x14ac:dyDescent="0.15">
      <c r="A286" s="15"/>
      <c r="B286" s="22"/>
      <c r="C286" s="23"/>
      <c r="D286" s="23"/>
      <c r="E286" s="23"/>
      <c r="F286" s="23"/>
      <c r="G286" s="24"/>
      <c r="H286" s="4">
        <f t="shared" si="99"/>
        <v>0</v>
      </c>
      <c r="J286" s="15"/>
      <c r="K286" s="22"/>
      <c r="L286" s="23"/>
      <c r="M286" s="23"/>
      <c r="N286" s="23"/>
      <c r="O286" s="23"/>
      <c r="P286" s="24"/>
      <c r="Q286" s="4">
        <f t="shared" si="101"/>
        <v>0</v>
      </c>
      <c r="R286" s="100"/>
    </row>
    <row r="287" spans="1:18" x14ac:dyDescent="0.15">
      <c r="A287" s="15"/>
      <c r="B287" s="22"/>
      <c r="C287" s="23"/>
      <c r="D287" s="23"/>
      <c r="E287" s="23"/>
      <c r="F287" s="23"/>
      <c r="G287" s="24"/>
      <c r="H287" s="4">
        <f t="shared" si="99"/>
        <v>0</v>
      </c>
      <c r="J287" s="15"/>
      <c r="K287" s="22"/>
      <c r="L287" s="23"/>
      <c r="M287" s="23"/>
      <c r="N287" s="23"/>
      <c r="O287" s="23"/>
      <c r="P287" s="24"/>
      <c r="Q287" s="4">
        <f t="shared" si="101"/>
        <v>0</v>
      </c>
      <c r="R287" s="100"/>
    </row>
    <row r="288" spans="1:18" x14ac:dyDescent="0.15">
      <c r="A288" s="15"/>
      <c r="B288" s="22"/>
      <c r="C288" s="23"/>
      <c r="D288" s="23"/>
      <c r="E288" s="23"/>
      <c r="F288" s="23"/>
      <c r="G288" s="24"/>
      <c r="H288" s="4">
        <f t="shared" si="99"/>
        <v>0</v>
      </c>
      <c r="J288" s="15"/>
      <c r="K288" s="22"/>
      <c r="L288" s="23"/>
      <c r="M288" s="23"/>
      <c r="N288" s="23"/>
      <c r="O288" s="23"/>
      <c r="P288" s="24"/>
      <c r="Q288" s="4">
        <f t="shared" si="101"/>
        <v>0</v>
      </c>
      <c r="R288" s="100"/>
    </row>
    <row r="289" spans="1:18" x14ac:dyDescent="0.15">
      <c r="A289" s="15"/>
      <c r="B289" s="22"/>
      <c r="C289" s="23"/>
      <c r="D289" s="23"/>
      <c r="E289" s="23"/>
      <c r="F289" s="23"/>
      <c r="G289" s="24"/>
      <c r="H289" s="4">
        <f t="shared" si="99"/>
        <v>0</v>
      </c>
      <c r="J289" s="15"/>
      <c r="K289" s="22"/>
      <c r="L289" s="23"/>
      <c r="M289" s="23"/>
      <c r="N289" s="23"/>
      <c r="O289" s="23"/>
      <c r="P289" s="24"/>
      <c r="Q289" s="4">
        <f t="shared" si="101"/>
        <v>0</v>
      </c>
      <c r="R289" s="100"/>
    </row>
    <row r="290" spans="1:18" x14ac:dyDescent="0.15">
      <c r="A290" s="15"/>
      <c r="B290" s="22"/>
      <c r="C290" s="23"/>
      <c r="D290" s="23"/>
      <c r="E290" s="23"/>
      <c r="F290" s="23"/>
      <c r="G290" s="24"/>
      <c r="H290" s="4">
        <f t="shared" si="99"/>
        <v>0</v>
      </c>
      <c r="J290" s="15"/>
      <c r="K290" s="22"/>
      <c r="L290" s="23"/>
      <c r="M290" s="23"/>
      <c r="N290" s="23"/>
      <c r="O290" s="23"/>
      <c r="P290" s="24"/>
      <c r="Q290" s="4">
        <f t="shared" si="101"/>
        <v>0</v>
      </c>
      <c r="R290" s="100"/>
    </row>
    <row r="291" spans="1:18" x14ac:dyDescent="0.15">
      <c r="A291" s="15"/>
      <c r="B291" s="22"/>
      <c r="C291" s="23"/>
      <c r="D291" s="23"/>
      <c r="E291" s="23"/>
      <c r="F291" s="23"/>
      <c r="G291" s="24"/>
      <c r="H291" s="4">
        <f t="shared" si="99"/>
        <v>0</v>
      </c>
      <c r="J291" s="15"/>
      <c r="K291" s="22"/>
      <c r="L291" s="23"/>
      <c r="M291" s="23"/>
      <c r="N291" s="23"/>
      <c r="O291" s="23"/>
      <c r="P291" s="24"/>
      <c r="Q291" s="4">
        <f t="shared" si="101"/>
        <v>0</v>
      </c>
      <c r="R291" s="5"/>
    </row>
    <row r="292" spans="1:18" x14ac:dyDescent="0.15">
      <c r="A292" s="15"/>
      <c r="B292" s="22"/>
      <c r="C292" s="23"/>
      <c r="D292" s="23"/>
      <c r="E292" s="23"/>
      <c r="F292" s="23"/>
      <c r="G292" s="24"/>
      <c r="H292" s="4">
        <f t="shared" si="99"/>
        <v>0</v>
      </c>
      <c r="J292" s="15"/>
      <c r="K292" s="22"/>
      <c r="L292" s="23"/>
      <c r="M292" s="23"/>
      <c r="N292" s="23"/>
      <c r="O292" s="23"/>
      <c r="P292" s="24"/>
      <c r="Q292" s="4">
        <f t="shared" si="101"/>
        <v>0</v>
      </c>
      <c r="R292" s="5"/>
    </row>
    <row r="293" spans="1:18" x14ac:dyDescent="0.15">
      <c r="A293" s="15"/>
      <c r="B293" s="22"/>
      <c r="C293" s="23"/>
      <c r="D293" s="23"/>
      <c r="E293" s="23"/>
      <c r="F293" s="23"/>
      <c r="G293" s="24"/>
      <c r="H293" s="4">
        <f t="shared" si="99"/>
        <v>0</v>
      </c>
      <c r="J293" s="15"/>
      <c r="K293" s="22"/>
      <c r="L293" s="23"/>
      <c r="M293" s="23"/>
      <c r="N293" s="23"/>
      <c r="O293" s="23"/>
      <c r="P293" s="24"/>
      <c r="Q293" s="4">
        <f t="shared" si="101"/>
        <v>0</v>
      </c>
      <c r="R293" s="5"/>
    </row>
    <row r="294" spans="1:18" x14ac:dyDescent="0.15">
      <c r="A294" s="15"/>
      <c r="B294" s="22"/>
      <c r="C294" s="23"/>
      <c r="D294" s="23"/>
      <c r="E294" s="23"/>
      <c r="F294" s="23"/>
      <c r="G294" s="24"/>
      <c r="H294" s="4">
        <f t="shared" si="99"/>
        <v>0</v>
      </c>
      <c r="J294" s="15"/>
      <c r="K294" s="22"/>
      <c r="L294" s="23"/>
      <c r="M294" s="23"/>
      <c r="N294" s="23"/>
      <c r="O294" s="23"/>
      <c r="P294" s="24"/>
      <c r="Q294" s="4">
        <f t="shared" ref="Q294:Q296" si="105">SUM(K294:P294)</f>
        <v>0</v>
      </c>
      <c r="R294" s="5"/>
    </row>
    <row r="295" spans="1:18" x14ac:dyDescent="0.15">
      <c r="A295" s="15"/>
      <c r="B295" s="22"/>
      <c r="C295" s="23"/>
      <c r="D295" s="23"/>
      <c r="E295" s="23"/>
      <c r="F295" s="23"/>
      <c r="G295" s="24"/>
      <c r="H295" s="4">
        <f t="shared" si="99"/>
        <v>0</v>
      </c>
      <c r="I295"/>
      <c r="J295" s="15"/>
      <c r="K295" s="22"/>
      <c r="L295" s="23"/>
      <c r="M295" s="23"/>
      <c r="N295" s="23"/>
      <c r="O295" s="23"/>
      <c r="P295" s="24"/>
      <c r="Q295" s="4">
        <f t="shared" si="105"/>
        <v>0</v>
      </c>
      <c r="R295" s="5"/>
    </row>
    <row r="296" spans="1:18" x14ac:dyDescent="0.15">
      <c r="A296" s="15"/>
      <c r="B296" s="22"/>
      <c r="C296" s="23"/>
      <c r="D296" s="23"/>
      <c r="E296" s="23"/>
      <c r="F296" s="23"/>
      <c r="G296" s="24"/>
      <c r="H296" s="4">
        <f t="shared" si="99"/>
        <v>0</v>
      </c>
      <c r="I296"/>
      <c r="J296" s="15"/>
      <c r="K296" s="22"/>
      <c r="L296" s="23"/>
      <c r="M296" s="23"/>
      <c r="N296" s="23"/>
      <c r="O296" s="23"/>
      <c r="P296" s="24"/>
      <c r="Q296" s="4">
        <f t="shared" si="105"/>
        <v>0</v>
      </c>
      <c r="R296" s="5"/>
    </row>
    <row r="297" spans="1:18" ht="14.25" thickBot="1" x14ac:dyDescent="0.2">
      <c r="A297" s="95" t="s">
        <v>240</v>
      </c>
      <c r="B297" s="96"/>
      <c r="C297" s="97"/>
      <c r="D297" s="97"/>
      <c r="E297" s="97">
        <v>2</v>
      </c>
      <c r="F297" s="97"/>
      <c r="G297" s="98"/>
      <c r="H297" s="99">
        <f t="shared" si="99"/>
        <v>2</v>
      </c>
      <c r="I297"/>
      <c r="J297" s="48" t="s">
        <v>260</v>
      </c>
      <c r="K297" s="50">
        <v>20</v>
      </c>
      <c r="L297" s="51">
        <v>25</v>
      </c>
      <c r="M297" s="51">
        <v>10</v>
      </c>
      <c r="N297" s="51">
        <v>10</v>
      </c>
      <c r="O297" s="85"/>
      <c r="P297" s="86"/>
      <c r="Q297" s="52">
        <f t="shared" ref="Q297" si="106">SUM(K297:P297)</f>
        <v>65</v>
      </c>
      <c r="R297" s="47" t="s">
        <v>261</v>
      </c>
    </row>
    <row r="298" spans="1:18" ht="14.25" thickBot="1" x14ac:dyDescent="0.2">
      <c r="A298" s="2" t="s">
        <v>7</v>
      </c>
      <c r="B298" s="28">
        <f>SUM(B274:B297)</f>
        <v>0</v>
      </c>
      <c r="C298" s="29">
        <f t="shared" ref="C298:F298" si="107">SUM(C274:C297)</f>
        <v>0</v>
      </c>
      <c r="D298" s="29">
        <f t="shared" si="107"/>
        <v>0</v>
      </c>
      <c r="E298" s="29">
        <f t="shared" si="107"/>
        <v>2</v>
      </c>
      <c r="F298" s="29">
        <f t="shared" si="107"/>
        <v>0</v>
      </c>
      <c r="G298" s="30">
        <f>SUM(G274:G297)</f>
        <v>0</v>
      </c>
      <c r="H298" s="9">
        <f>SUM(B298:G298)</f>
        <v>2</v>
      </c>
      <c r="I298"/>
      <c r="J298" s="2" t="s">
        <v>7</v>
      </c>
      <c r="K298" s="28">
        <f>SUM(K274:K297)</f>
        <v>20</v>
      </c>
      <c r="L298" s="29">
        <f t="shared" ref="L298:O298" si="108">SUM(L274:L297)</f>
        <v>25</v>
      </c>
      <c r="M298" s="29">
        <f t="shared" si="108"/>
        <v>10</v>
      </c>
      <c r="N298" s="29">
        <f t="shared" si="108"/>
        <v>10</v>
      </c>
      <c r="O298" s="29">
        <f t="shared" si="108"/>
        <v>0</v>
      </c>
      <c r="P298" s="30">
        <f>SUM(P274:P297)</f>
        <v>0</v>
      </c>
      <c r="Q298" s="9">
        <f>SUM(K298:P298)</f>
        <v>65</v>
      </c>
      <c r="R298"/>
    </row>
    <row r="299" spans="1:18" ht="14.25" thickBot="1" x14ac:dyDescent="0.2">
      <c r="A299" s="10" t="s">
        <v>8</v>
      </c>
      <c r="B299" s="31">
        <f>B273-B298</f>
        <v>4</v>
      </c>
      <c r="C299" s="32">
        <f t="shared" ref="C299:F299" si="109">C273-C298</f>
        <v>3</v>
      </c>
      <c r="D299" s="32">
        <f t="shared" si="109"/>
        <v>4</v>
      </c>
      <c r="E299" s="32">
        <f t="shared" si="109"/>
        <v>0</v>
      </c>
      <c r="F299" s="32">
        <f t="shared" si="109"/>
        <v>5</v>
      </c>
      <c r="G299" s="33">
        <f>G273-G298</f>
        <v>6</v>
      </c>
      <c r="H299" s="9">
        <f>H273-H298</f>
        <v>22</v>
      </c>
      <c r="I299"/>
      <c r="J299" s="10" t="s">
        <v>8</v>
      </c>
      <c r="K299" s="31">
        <f>K273-K298</f>
        <v>-17</v>
      </c>
      <c r="L299" s="32">
        <f t="shared" ref="L299:O299" si="110">L273-L298</f>
        <v>237</v>
      </c>
      <c r="M299" s="32">
        <f t="shared" si="110"/>
        <v>160</v>
      </c>
      <c r="N299" s="32">
        <f t="shared" si="110"/>
        <v>-24</v>
      </c>
      <c r="O299" s="32">
        <f t="shared" si="110"/>
        <v>71</v>
      </c>
      <c r="P299" s="33">
        <f>P273-P298</f>
        <v>31</v>
      </c>
      <c r="Q299" s="9">
        <f>Q273-Q298</f>
        <v>458</v>
      </c>
      <c r="R299"/>
    </row>
    <row r="300" spans="1:18" x14ac:dyDescent="0.15">
      <c r="I300"/>
      <c r="J300" s="76" t="s">
        <v>239</v>
      </c>
      <c r="K300" s="47">
        <v>270</v>
      </c>
      <c r="L300" s="47">
        <v>627</v>
      </c>
      <c r="M300" s="47">
        <v>397</v>
      </c>
      <c r="N300" s="47">
        <v>82</v>
      </c>
      <c r="O300" s="47">
        <v>53</v>
      </c>
      <c r="P300" s="47">
        <v>43</v>
      </c>
      <c r="Q300" s="77">
        <f>SUM(K300:P300)</f>
        <v>1472</v>
      </c>
      <c r="R300" s="47" t="s">
        <v>123</v>
      </c>
    </row>
    <row r="301" spans="1:18" x14ac:dyDescent="0.15">
      <c r="I301"/>
      <c r="J301" s="78" t="s">
        <v>25</v>
      </c>
      <c r="K301" s="44">
        <f>K300+K299</f>
        <v>253</v>
      </c>
      <c r="L301" s="44">
        <f t="shared" ref="L301:P301" si="111">L300+L299</f>
        <v>864</v>
      </c>
      <c r="M301" s="44">
        <f t="shared" si="111"/>
        <v>557</v>
      </c>
      <c r="N301" s="44">
        <f t="shared" si="111"/>
        <v>58</v>
      </c>
      <c r="O301" s="44">
        <f t="shared" si="111"/>
        <v>124</v>
      </c>
      <c r="P301" s="44">
        <f t="shared" si="111"/>
        <v>74</v>
      </c>
      <c r="Q301" s="44">
        <f>SUM(K301:P301)</f>
        <v>1930</v>
      </c>
      <c r="R301" s="44" t="s">
        <v>18</v>
      </c>
    </row>
    <row r="302" spans="1:18" x14ac:dyDescent="0.15">
      <c r="I302"/>
      <c r="R302"/>
    </row>
    <row r="303" spans="1:18" x14ac:dyDescent="0.15">
      <c r="I303"/>
      <c r="R303"/>
    </row>
    <row r="304" spans="1:18" x14ac:dyDescent="0.15">
      <c r="I304"/>
      <c r="R304"/>
    </row>
    <row r="305" spans="9:18" x14ac:dyDescent="0.15">
      <c r="I305"/>
      <c r="R305"/>
    </row>
    <row r="306" spans="9:18" x14ac:dyDescent="0.15">
      <c r="I306"/>
      <c r="R306"/>
    </row>
    <row r="307" spans="9:18" x14ac:dyDescent="0.15">
      <c r="I307"/>
      <c r="R307"/>
    </row>
    <row r="308" spans="9:18" x14ac:dyDescent="0.15">
      <c r="I308"/>
      <c r="R308"/>
    </row>
    <row r="309" spans="9:18" x14ac:dyDescent="0.15">
      <c r="I309"/>
      <c r="R309"/>
    </row>
    <row r="310" spans="9:18" x14ac:dyDescent="0.15">
      <c r="I310"/>
      <c r="R310"/>
    </row>
    <row r="311" spans="9:18" x14ac:dyDescent="0.15">
      <c r="I311"/>
      <c r="R311"/>
    </row>
    <row r="312" spans="9:18" x14ac:dyDescent="0.15">
      <c r="I312"/>
      <c r="R312"/>
    </row>
    <row r="313" spans="9:18" x14ac:dyDescent="0.15">
      <c r="I313"/>
      <c r="R313"/>
    </row>
    <row r="314" spans="9:18" x14ac:dyDescent="0.15">
      <c r="I314"/>
      <c r="R314"/>
    </row>
    <row r="315" spans="9:18" x14ac:dyDescent="0.15">
      <c r="I315"/>
      <c r="R315"/>
    </row>
    <row r="316" spans="9:18" x14ac:dyDescent="0.15">
      <c r="I316"/>
      <c r="R316"/>
    </row>
    <row r="317" spans="9:18" x14ac:dyDescent="0.15">
      <c r="I317"/>
      <c r="R317"/>
    </row>
    <row r="318" spans="9:18" x14ac:dyDescent="0.15">
      <c r="I318"/>
      <c r="R318"/>
    </row>
    <row r="319" spans="9:18" x14ac:dyDescent="0.15">
      <c r="I319"/>
      <c r="R319"/>
    </row>
    <row r="320" spans="9:18" x14ac:dyDescent="0.15">
      <c r="I320"/>
      <c r="R320"/>
    </row>
    <row r="321" spans="9:18" x14ac:dyDescent="0.15">
      <c r="I321"/>
      <c r="R321"/>
    </row>
    <row r="322" spans="9:18" x14ac:dyDescent="0.15">
      <c r="I322"/>
      <c r="R322"/>
    </row>
    <row r="323" spans="9:18" x14ac:dyDescent="0.15">
      <c r="I323"/>
      <c r="R323"/>
    </row>
    <row r="324" spans="9:18" x14ac:dyDescent="0.15">
      <c r="I324"/>
      <c r="R324"/>
    </row>
    <row r="325" spans="9:18" x14ac:dyDescent="0.15">
      <c r="I325"/>
      <c r="R325"/>
    </row>
    <row r="326" spans="9:18" x14ac:dyDescent="0.15">
      <c r="I326"/>
      <c r="R326"/>
    </row>
    <row r="327" spans="9:18" x14ac:dyDescent="0.15">
      <c r="I327"/>
      <c r="R327"/>
    </row>
    <row r="328" spans="9:18" x14ac:dyDescent="0.15">
      <c r="I328"/>
      <c r="R328"/>
    </row>
    <row r="329" spans="9:18" x14ac:dyDescent="0.15">
      <c r="I329"/>
      <c r="R329"/>
    </row>
    <row r="330" spans="9:18" x14ac:dyDescent="0.15">
      <c r="I330"/>
      <c r="R330"/>
    </row>
    <row r="331" spans="9:18" x14ac:dyDescent="0.15">
      <c r="I331"/>
      <c r="R331"/>
    </row>
    <row r="332" spans="9:18" x14ac:dyDescent="0.15">
      <c r="I332"/>
      <c r="R332"/>
    </row>
    <row r="333" spans="9:18" x14ac:dyDescent="0.15">
      <c r="I333"/>
      <c r="R333"/>
    </row>
    <row r="334" spans="9:18" x14ac:dyDescent="0.15">
      <c r="I334"/>
      <c r="R334"/>
    </row>
    <row r="335" spans="9:18" x14ac:dyDescent="0.15">
      <c r="I335"/>
      <c r="R335"/>
    </row>
    <row r="336" spans="9:18" x14ac:dyDescent="0.15">
      <c r="I336"/>
      <c r="R336"/>
    </row>
    <row r="337" spans="9:18" x14ac:dyDescent="0.15">
      <c r="I337"/>
      <c r="R337"/>
    </row>
    <row r="338" spans="9:18" x14ac:dyDescent="0.15">
      <c r="I338"/>
      <c r="R338"/>
    </row>
    <row r="339" spans="9:18" x14ac:dyDescent="0.15">
      <c r="I339"/>
      <c r="R339"/>
    </row>
    <row r="340" spans="9:18" x14ac:dyDescent="0.15">
      <c r="I340"/>
      <c r="R340"/>
    </row>
    <row r="341" spans="9:18" x14ac:dyDescent="0.15">
      <c r="I341"/>
      <c r="R341"/>
    </row>
    <row r="342" spans="9:18" x14ac:dyDescent="0.15">
      <c r="I342"/>
      <c r="R342"/>
    </row>
    <row r="343" spans="9:18" x14ac:dyDescent="0.15">
      <c r="I343"/>
      <c r="R343"/>
    </row>
    <row r="344" spans="9:18" x14ac:dyDescent="0.15">
      <c r="I344"/>
      <c r="R344"/>
    </row>
    <row r="345" spans="9:18" x14ac:dyDescent="0.15">
      <c r="I345"/>
      <c r="R345"/>
    </row>
    <row r="346" spans="9:18" x14ac:dyDescent="0.15">
      <c r="I346"/>
      <c r="R346"/>
    </row>
    <row r="347" spans="9:18" x14ac:dyDescent="0.15">
      <c r="I347"/>
      <c r="R347"/>
    </row>
    <row r="348" spans="9:18" x14ac:dyDescent="0.15">
      <c r="I348"/>
      <c r="R348"/>
    </row>
    <row r="349" spans="9:18" x14ac:dyDescent="0.15">
      <c r="I349"/>
      <c r="R349"/>
    </row>
    <row r="350" spans="9:18" x14ac:dyDescent="0.15">
      <c r="I350"/>
      <c r="R350"/>
    </row>
    <row r="351" spans="9:18" x14ac:dyDescent="0.15">
      <c r="I351"/>
      <c r="R351"/>
    </row>
    <row r="352" spans="9:18" x14ac:dyDescent="0.15">
      <c r="I352"/>
      <c r="R352"/>
    </row>
    <row r="353" spans="9:18" x14ac:dyDescent="0.15">
      <c r="I353"/>
      <c r="R353"/>
    </row>
    <row r="354" spans="9:18" x14ac:dyDescent="0.15">
      <c r="I354"/>
      <c r="R354"/>
    </row>
    <row r="355" spans="9:18" x14ac:dyDescent="0.15">
      <c r="I355"/>
      <c r="R355"/>
    </row>
    <row r="356" spans="9:18" x14ac:dyDescent="0.15">
      <c r="I356"/>
      <c r="R356"/>
    </row>
    <row r="357" spans="9:18" x14ac:dyDescent="0.15">
      <c r="I357"/>
      <c r="R357"/>
    </row>
    <row r="358" spans="9:18" x14ac:dyDescent="0.15">
      <c r="I358"/>
      <c r="R358"/>
    </row>
    <row r="359" spans="9:18" x14ac:dyDescent="0.15">
      <c r="I359"/>
      <c r="R359"/>
    </row>
    <row r="360" spans="9:18" x14ac:dyDescent="0.15">
      <c r="I360"/>
      <c r="R360"/>
    </row>
    <row r="361" spans="9:18" x14ac:dyDescent="0.15">
      <c r="I361"/>
      <c r="R361"/>
    </row>
    <row r="362" spans="9:18" x14ac:dyDescent="0.15">
      <c r="I362"/>
      <c r="R362"/>
    </row>
    <row r="363" spans="9:18" x14ac:dyDescent="0.15">
      <c r="I363"/>
      <c r="R363"/>
    </row>
    <row r="364" spans="9:18" x14ac:dyDescent="0.15">
      <c r="I364"/>
      <c r="R364"/>
    </row>
    <row r="365" spans="9:18" x14ac:dyDescent="0.15">
      <c r="I365"/>
      <c r="R365"/>
    </row>
    <row r="366" spans="9:18" x14ac:dyDescent="0.15">
      <c r="I366"/>
      <c r="R366"/>
    </row>
    <row r="367" spans="9:18" x14ac:dyDescent="0.15">
      <c r="I367"/>
      <c r="R367"/>
    </row>
    <row r="368" spans="9:18" x14ac:dyDescent="0.15">
      <c r="I368"/>
      <c r="R368"/>
    </row>
    <row r="369" spans="9:18" x14ac:dyDescent="0.15">
      <c r="I369"/>
      <c r="R369"/>
    </row>
    <row r="370" spans="9:18" x14ac:dyDescent="0.15">
      <c r="I370"/>
      <c r="R370"/>
    </row>
    <row r="371" spans="9:18" x14ac:dyDescent="0.15">
      <c r="I371"/>
      <c r="R371"/>
    </row>
    <row r="372" spans="9:18" x14ac:dyDescent="0.15">
      <c r="I372"/>
      <c r="R372"/>
    </row>
    <row r="373" spans="9:18" x14ac:dyDescent="0.15">
      <c r="I373"/>
      <c r="R373"/>
    </row>
    <row r="374" spans="9:18" x14ac:dyDescent="0.15">
      <c r="I374"/>
      <c r="R374"/>
    </row>
    <row r="375" spans="9:18" x14ac:dyDescent="0.15">
      <c r="I375"/>
      <c r="R375"/>
    </row>
    <row r="376" spans="9:18" x14ac:dyDescent="0.15">
      <c r="I376"/>
      <c r="R376"/>
    </row>
    <row r="377" spans="9:18" x14ac:dyDescent="0.15">
      <c r="I377"/>
      <c r="R377"/>
    </row>
    <row r="378" spans="9:18" x14ac:dyDescent="0.15">
      <c r="I378"/>
      <c r="R378"/>
    </row>
    <row r="379" spans="9:18" x14ac:dyDescent="0.15">
      <c r="I379"/>
      <c r="R379"/>
    </row>
    <row r="380" spans="9:18" x14ac:dyDescent="0.15">
      <c r="I380"/>
      <c r="R380"/>
    </row>
    <row r="381" spans="9:18" x14ac:dyDescent="0.15">
      <c r="I381"/>
      <c r="R381"/>
    </row>
    <row r="382" spans="9:18" x14ac:dyDescent="0.15">
      <c r="I382"/>
      <c r="R382"/>
    </row>
    <row r="383" spans="9:18" x14ac:dyDescent="0.15">
      <c r="I383"/>
      <c r="R383"/>
    </row>
    <row r="384" spans="9:18" x14ac:dyDescent="0.15">
      <c r="I384"/>
      <c r="R384"/>
    </row>
    <row r="385" spans="9:18" x14ac:dyDescent="0.15">
      <c r="I385"/>
      <c r="R385"/>
    </row>
    <row r="386" spans="9:18" x14ac:dyDescent="0.15">
      <c r="I386"/>
      <c r="R386"/>
    </row>
    <row r="387" spans="9:18" x14ac:dyDescent="0.15">
      <c r="I387"/>
      <c r="R387"/>
    </row>
    <row r="388" spans="9:18" x14ac:dyDescent="0.15">
      <c r="I388"/>
      <c r="R388"/>
    </row>
    <row r="389" spans="9:18" x14ac:dyDescent="0.15">
      <c r="I389"/>
      <c r="R389"/>
    </row>
    <row r="390" spans="9:18" x14ac:dyDescent="0.15">
      <c r="I390"/>
      <c r="R390"/>
    </row>
    <row r="391" spans="9:18" x14ac:dyDescent="0.15">
      <c r="I391"/>
      <c r="R391"/>
    </row>
    <row r="392" spans="9:18" x14ac:dyDescent="0.15">
      <c r="I392"/>
      <c r="R392"/>
    </row>
    <row r="393" spans="9:18" x14ac:dyDescent="0.15">
      <c r="I393"/>
      <c r="R393"/>
    </row>
    <row r="394" spans="9:18" x14ac:dyDescent="0.15">
      <c r="I394"/>
      <c r="R394"/>
    </row>
    <row r="395" spans="9:18" x14ac:dyDescent="0.15">
      <c r="I395"/>
      <c r="R395"/>
    </row>
    <row r="396" spans="9:18" x14ac:dyDescent="0.15">
      <c r="I396"/>
      <c r="R396"/>
    </row>
    <row r="397" spans="9:18" x14ac:dyDescent="0.15">
      <c r="I397"/>
      <c r="R397"/>
    </row>
    <row r="398" spans="9:18" x14ac:dyDescent="0.15">
      <c r="I398"/>
      <c r="R398"/>
    </row>
    <row r="399" spans="9:18" x14ac:dyDescent="0.15">
      <c r="I399"/>
      <c r="R399"/>
    </row>
    <row r="400" spans="9:18" x14ac:dyDescent="0.15">
      <c r="I400"/>
      <c r="R400"/>
    </row>
    <row r="401" spans="9:18" x14ac:dyDescent="0.15">
      <c r="I401"/>
      <c r="R401"/>
    </row>
    <row r="402" spans="9:18" x14ac:dyDescent="0.15">
      <c r="I402"/>
      <c r="R402"/>
    </row>
    <row r="403" spans="9:18" x14ac:dyDescent="0.15">
      <c r="I403"/>
      <c r="R403"/>
    </row>
    <row r="404" spans="9:18" x14ac:dyDescent="0.15">
      <c r="I404"/>
      <c r="R404"/>
    </row>
    <row r="405" spans="9:18" x14ac:dyDescent="0.15">
      <c r="I405"/>
      <c r="R405"/>
    </row>
    <row r="406" spans="9:18" x14ac:dyDescent="0.15">
      <c r="I406"/>
      <c r="R406"/>
    </row>
    <row r="407" spans="9:18" x14ac:dyDescent="0.15">
      <c r="I407"/>
      <c r="R407"/>
    </row>
    <row r="408" spans="9:18" x14ac:dyDescent="0.15">
      <c r="I408"/>
      <c r="R408"/>
    </row>
    <row r="409" spans="9:18" x14ac:dyDescent="0.15">
      <c r="I409"/>
      <c r="R409"/>
    </row>
    <row r="410" spans="9:18" x14ac:dyDescent="0.15">
      <c r="I410"/>
      <c r="R410"/>
    </row>
    <row r="411" spans="9:18" x14ac:dyDescent="0.15">
      <c r="I411"/>
      <c r="R411"/>
    </row>
    <row r="412" spans="9:18" x14ac:dyDescent="0.15">
      <c r="I412"/>
      <c r="R412"/>
    </row>
    <row r="413" spans="9:18" x14ac:dyDescent="0.15">
      <c r="I413"/>
      <c r="R413"/>
    </row>
    <row r="414" spans="9:18" x14ac:dyDescent="0.15">
      <c r="I414"/>
      <c r="R414"/>
    </row>
    <row r="415" spans="9:18" x14ac:dyDescent="0.15">
      <c r="I415"/>
      <c r="R415"/>
    </row>
    <row r="416" spans="9:18" x14ac:dyDescent="0.15">
      <c r="I416"/>
      <c r="R416"/>
    </row>
    <row r="417" spans="9:18" x14ac:dyDescent="0.15">
      <c r="I417"/>
      <c r="R417"/>
    </row>
    <row r="418" spans="9:18" x14ac:dyDescent="0.15">
      <c r="I418"/>
      <c r="R418"/>
    </row>
    <row r="419" spans="9:18" x14ac:dyDescent="0.15">
      <c r="I419"/>
      <c r="R419"/>
    </row>
    <row r="420" spans="9:18" x14ac:dyDescent="0.15">
      <c r="I420"/>
      <c r="R420"/>
    </row>
    <row r="421" spans="9:18" x14ac:dyDescent="0.15">
      <c r="I421"/>
      <c r="R421"/>
    </row>
    <row r="422" spans="9:18" x14ac:dyDescent="0.15">
      <c r="I422"/>
      <c r="R422"/>
    </row>
    <row r="423" spans="9:18" x14ac:dyDescent="0.15">
      <c r="I423"/>
      <c r="R423"/>
    </row>
    <row r="424" spans="9:18" x14ac:dyDescent="0.15">
      <c r="I424"/>
      <c r="R424"/>
    </row>
    <row r="425" spans="9:18" x14ac:dyDescent="0.15">
      <c r="I425"/>
      <c r="R425"/>
    </row>
    <row r="426" spans="9:18" x14ac:dyDescent="0.15">
      <c r="I426"/>
      <c r="R426"/>
    </row>
    <row r="427" spans="9:18" x14ac:dyDescent="0.15">
      <c r="I427"/>
      <c r="R427"/>
    </row>
    <row r="428" spans="9:18" x14ac:dyDescent="0.15">
      <c r="I428"/>
      <c r="R428"/>
    </row>
    <row r="429" spans="9:18" x14ac:dyDescent="0.15">
      <c r="I429"/>
      <c r="R429"/>
    </row>
    <row r="430" spans="9:18" x14ac:dyDescent="0.15">
      <c r="I430"/>
      <c r="R430"/>
    </row>
    <row r="431" spans="9:18" x14ac:dyDescent="0.15">
      <c r="I431"/>
      <c r="R431"/>
    </row>
    <row r="432" spans="9:18" x14ac:dyDescent="0.15">
      <c r="I432"/>
      <c r="R432"/>
    </row>
    <row r="433" spans="9:18" x14ac:dyDescent="0.15">
      <c r="I433"/>
      <c r="R433"/>
    </row>
    <row r="434" spans="9:18" x14ac:dyDescent="0.15">
      <c r="I434"/>
      <c r="R434"/>
    </row>
    <row r="435" spans="9:18" x14ac:dyDescent="0.15">
      <c r="I435"/>
      <c r="R435"/>
    </row>
    <row r="436" spans="9:18" x14ac:dyDescent="0.15">
      <c r="I436"/>
      <c r="R436"/>
    </row>
    <row r="437" spans="9:18" x14ac:dyDescent="0.15">
      <c r="I437"/>
      <c r="R437"/>
    </row>
    <row r="438" spans="9:18" x14ac:dyDescent="0.15">
      <c r="I438"/>
      <c r="R438"/>
    </row>
    <row r="439" spans="9:18" x14ac:dyDescent="0.15">
      <c r="I439"/>
      <c r="R439"/>
    </row>
    <row r="440" spans="9:18" x14ac:dyDescent="0.15">
      <c r="I440"/>
      <c r="R440"/>
    </row>
    <row r="441" spans="9:18" x14ac:dyDescent="0.15">
      <c r="I441"/>
      <c r="R441"/>
    </row>
    <row r="442" spans="9:18" x14ac:dyDescent="0.15">
      <c r="I442"/>
      <c r="R442"/>
    </row>
    <row r="443" spans="9:18" x14ac:dyDescent="0.15">
      <c r="I443"/>
      <c r="R443"/>
    </row>
    <row r="444" spans="9:18" x14ac:dyDescent="0.15">
      <c r="I444"/>
      <c r="R444"/>
    </row>
    <row r="445" spans="9:18" x14ac:dyDescent="0.15">
      <c r="I445"/>
      <c r="R445"/>
    </row>
    <row r="446" spans="9:18" x14ac:dyDescent="0.15">
      <c r="I446"/>
      <c r="R446"/>
    </row>
    <row r="447" spans="9:18" x14ac:dyDescent="0.15">
      <c r="I447"/>
      <c r="R447"/>
    </row>
    <row r="448" spans="9:18" x14ac:dyDescent="0.15">
      <c r="I448"/>
      <c r="R448"/>
    </row>
    <row r="449" spans="9:18" x14ac:dyDescent="0.15">
      <c r="I449"/>
      <c r="R449"/>
    </row>
    <row r="450" spans="9:18" x14ac:dyDescent="0.15">
      <c r="I450"/>
      <c r="R450"/>
    </row>
    <row r="451" spans="9:18" x14ac:dyDescent="0.15">
      <c r="I451"/>
      <c r="R451"/>
    </row>
    <row r="452" spans="9:18" x14ac:dyDescent="0.15">
      <c r="I452"/>
      <c r="R452"/>
    </row>
    <row r="453" spans="9:18" x14ac:dyDescent="0.15">
      <c r="I453"/>
      <c r="R453"/>
    </row>
    <row r="454" spans="9:18" x14ac:dyDescent="0.15">
      <c r="I454"/>
      <c r="R454"/>
    </row>
    <row r="455" spans="9:18" x14ac:dyDescent="0.15">
      <c r="I455"/>
      <c r="R455"/>
    </row>
    <row r="456" spans="9:18" x14ac:dyDescent="0.15">
      <c r="I456"/>
      <c r="R456"/>
    </row>
    <row r="457" spans="9:18" x14ac:dyDescent="0.15">
      <c r="I457"/>
      <c r="R457"/>
    </row>
    <row r="458" spans="9:18" x14ac:dyDescent="0.15">
      <c r="I458"/>
      <c r="R458"/>
    </row>
    <row r="459" spans="9:18" x14ac:dyDescent="0.15">
      <c r="I459"/>
      <c r="R459"/>
    </row>
    <row r="460" spans="9:18" x14ac:dyDescent="0.15">
      <c r="I460"/>
      <c r="R460"/>
    </row>
    <row r="461" spans="9:18" x14ac:dyDescent="0.15">
      <c r="I461"/>
      <c r="R461"/>
    </row>
    <row r="462" spans="9:18" x14ac:dyDescent="0.15">
      <c r="I462"/>
      <c r="R462"/>
    </row>
    <row r="463" spans="9:18" x14ac:dyDescent="0.15">
      <c r="I463"/>
      <c r="R463"/>
    </row>
    <row r="464" spans="9:18" x14ac:dyDescent="0.15">
      <c r="I464"/>
      <c r="R464"/>
    </row>
    <row r="465" spans="9:18" x14ac:dyDescent="0.15">
      <c r="I465"/>
      <c r="R465"/>
    </row>
    <row r="466" spans="9:18" x14ac:dyDescent="0.15">
      <c r="I466"/>
      <c r="R466"/>
    </row>
    <row r="467" spans="9:18" x14ac:dyDescent="0.15">
      <c r="I467"/>
      <c r="R467"/>
    </row>
    <row r="468" spans="9:18" x14ac:dyDescent="0.15">
      <c r="I468"/>
      <c r="R468"/>
    </row>
    <row r="469" spans="9:18" x14ac:dyDescent="0.15">
      <c r="I469"/>
      <c r="R469"/>
    </row>
    <row r="470" spans="9:18" x14ac:dyDescent="0.15">
      <c r="I470"/>
      <c r="R470"/>
    </row>
    <row r="471" spans="9:18" x14ac:dyDescent="0.15">
      <c r="I471"/>
      <c r="R471"/>
    </row>
    <row r="472" spans="9:18" x14ac:dyDescent="0.15">
      <c r="I472"/>
      <c r="R472"/>
    </row>
    <row r="473" spans="9:18" x14ac:dyDescent="0.15">
      <c r="I473"/>
      <c r="R473"/>
    </row>
    <row r="474" spans="9:18" x14ac:dyDescent="0.15">
      <c r="I474"/>
      <c r="R474"/>
    </row>
    <row r="475" spans="9:18" x14ac:dyDescent="0.15">
      <c r="I475"/>
      <c r="R475"/>
    </row>
    <row r="476" spans="9:18" x14ac:dyDescent="0.15">
      <c r="I476"/>
      <c r="R476"/>
    </row>
    <row r="477" spans="9:18" x14ac:dyDescent="0.15">
      <c r="I477"/>
      <c r="R477"/>
    </row>
    <row r="478" spans="9:18" x14ac:dyDescent="0.15">
      <c r="I478"/>
      <c r="R478"/>
    </row>
    <row r="479" spans="9:18" x14ac:dyDescent="0.15">
      <c r="I479"/>
      <c r="R479"/>
    </row>
    <row r="480" spans="9:18" x14ac:dyDescent="0.15">
      <c r="I480"/>
      <c r="R480"/>
    </row>
    <row r="481" spans="9:18" x14ac:dyDescent="0.15">
      <c r="I481"/>
      <c r="R481"/>
    </row>
    <row r="482" spans="9:18" x14ac:dyDescent="0.15">
      <c r="I482"/>
      <c r="R482"/>
    </row>
    <row r="483" spans="9:18" x14ac:dyDescent="0.15">
      <c r="I483"/>
      <c r="R483"/>
    </row>
    <row r="484" spans="9:18" x14ac:dyDescent="0.15">
      <c r="I484"/>
      <c r="R484"/>
    </row>
    <row r="485" spans="9:18" x14ac:dyDescent="0.15">
      <c r="I485"/>
      <c r="R485"/>
    </row>
    <row r="486" spans="9:18" x14ac:dyDescent="0.15">
      <c r="I486"/>
      <c r="R486"/>
    </row>
    <row r="487" spans="9:18" x14ac:dyDescent="0.15">
      <c r="I487"/>
      <c r="R487"/>
    </row>
    <row r="488" spans="9:18" x14ac:dyDescent="0.15">
      <c r="I488"/>
      <c r="R488"/>
    </row>
    <row r="489" spans="9:18" x14ac:dyDescent="0.15">
      <c r="I489"/>
      <c r="R489"/>
    </row>
    <row r="490" spans="9:18" x14ac:dyDescent="0.15">
      <c r="I490"/>
      <c r="R490"/>
    </row>
    <row r="491" spans="9:18" x14ac:dyDescent="0.15">
      <c r="I491"/>
      <c r="R491"/>
    </row>
    <row r="492" spans="9:18" x14ac:dyDescent="0.15">
      <c r="I492"/>
      <c r="R492"/>
    </row>
    <row r="493" spans="9:18" x14ac:dyDescent="0.15">
      <c r="I493"/>
      <c r="R493"/>
    </row>
    <row r="494" spans="9:18" x14ac:dyDescent="0.15">
      <c r="I494"/>
      <c r="R494"/>
    </row>
    <row r="495" spans="9:18" x14ac:dyDescent="0.15">
      <c r="I495"/>
      <c r="R495"/>
    </row>
    <row r="496" spans="9:18" x14ac:dyDescent="0.15">
      <c r="I496"/>
      <c r="R496"/>
    </row>
    <row r="497" spans="9:18" x14ac:dyDescent="0.15">
      <c r="I497"/>
      <c r="R497"/>
    </row>
    <row r="498" spans="9:18" x14ac:dyDescent="0.15">
      <c r="I498"/>
      <c r="R498"/>
    </row>
    <row r="499" spans="9:18" x14ac:dyDescent="0.15">
      <c r="I499"/>
      <c r="R499"/>
    </row>
    <row r="500" spans="9:18" x14ac:dyDescent="0.15">
      <c r="I500"/>
      <c r="R500"/>
    </row>
    <row r="501" spans="9:18" x14ac:dyDescent="0.15">
      <c r="I501"/>
      <c r="R501"/>
    </row>
    <row r="502" spans="9:18" x14ac:dyDescent="0.15">
      <c r="I502"/>
      <c r="R502"/>
    </row>
    <row r="503" spans="9:18" x14ac:dyDescent="0.15">
      <c r="I503"/>
      <c r="R503"/>
    </row>
    <row r="504" spans="9:18" x14ac:dyDescent="0.15">
      <c r="I504"/>
      <c r="R504"/>
    </row>
    <row r="505" spans="9:18" x14ac:dyDescent="0.15">
      <c r="I505"/>
      <c r="R505"/>
    </row>
    <row r="506" spans="9:18" x14ac:dyDescent="0.15">
      <c r="I506"/>
      <c r="R506"/>
    </row>
    <row r="507" spans="9:18" x14ac:dyDescent="0.15">
      <c r="I507"/>
      <c r="R507"/>
    </row>
    <row r="508" spans="9:18" x14ac:dyDescent="0.15">
      <c r="I508"/>
      <c r="R508"/>
    </row>
    <row r="509" spans="9:18" x14ac:dyDescent="0.15">
      <c r="I509"/>
      <c r="R509"/>
    </row>
    <row r="510" spans="9:18" x14ac:dyDescent="0.15">
      <c r="I510"/>
      <c r="R510"/>
    </row>
    <row r="511" spans="9:18" x14ac:dyDescent="0.15">
      <c r="I511"/>
      <c r="R511"/>
    </row>
    <row r="512" spans="9:18" x14ac:dyDescent="0.15">
      <c r="I512"/>
      <c r="R512"/>
    </row>
    <row r="513" spans="9:18" x14ac:dyDescent="0.15">
      <c r="I513"/>
      <c r="R513"/>
    </row>
    <row r="514" spans="9:18" x14ac:dyDescent="0.15">
      <c r="I514"/>
      <c r="R514"/>
    </row>
    <row r="515" spans="9:18" x14ac:dyDescent="0.15">
      <c r="I515"/>
      <c r="R515"/>
    </row>
    <row r="516" spans="9:18" x14ac:dyDescent="0.15">
      <c r="I516"/>
      <c r="R516"/>
    </row>
    <row r="517" spans="9:18" x14ac:dyDescent="0.15">
      <c r="I517"/>
      <c r="R517"/>
    </row>
    <row r="518" spans="9:18" x14ac:dyDescent="0.15">
      <c r="I518"/>
      <c r="R518"/>
    </row>
    <row r="519" spans="9:18" x14ac:dyDescent="0.15">
      <c r="I519"/>
      <c r="R519"/>
    </row>
    <row r="520" spans="9:18" x14ac:dyDescent="0.15">
      <c r="I520"/>
      <c r="R520"/>
    </row>
    <row r="521" spans="9:18" x14ac:dyDescent="0.15">
      <c r="I521"/>
      <c r="R521"/>
    </row>
    <row r="522" spans="9:18" x14ac:dyDescent="0.15">
      <c r="I522"/>
      <c r="R522"/>
    </row>
    <row r="523" spans="9:18" x14ac:dyDescent="0.15">
      <c r="I523"/>
      <c r="R523"/>
    </row>
    <row r="524" spans="9:18" x14ac:dyDescent="0.15">
      <c r="I524"/>
      <c r="R524"/>
    </row>
    <row r="525" spans="9:18" x14ac:dyDescent="0.15">
      <c r="I525"/>
      <c r="R525"/>
    </row>
    <row r="526" spans="9:18" x14ac:dyDescent="0.15">
      <c r="I526"/>
      <c r="R526"/>
    </row>
    <row r="527" spans="9:18" x14ac:dyDescent="0.15">
      <c r="I527"/>
      <c r="R527"/>
    </row>
    <row r="528" spans="9:18" x14ac:dyDescent="0.15">
      <c r="I528"/>
      <c r="R528"/>
    </row>
    <row r="529" spans="9:18" x14ac:dyDescent="0.15">
      <c r="I529"/>
      <c r="R529"/>
    </row>
    <row r="530" spans="9:18" x14ac:dyDescent="0.15">
      <c r="I530"/>
      <c r="R530"/>
    </row>
    <row r="531" spans="9:18" x14ac:dyDescent="0.15">
      <c r="I531"/>
      <c r="R531"/>
    </row>
    <row r="532" spans="9:18" x14ac:dyDescent="0.15">
      <c r="I532"/>
      <c r="R532"/>
    </row>
    <row r="533" spans="9:18" x14ac:dyDescent="0.15">
      <c r="I533"/>
      <c r="R533"/>
    </row>
    <row r="534" spans="9:18" x14ac:dyDescent="0.15">
      <c r="I534"/>
      <c r="R534"/>
    </row>
    <row r="535" spans="9:18" x14ac:dyDescent="0.15">
      <c r="I535"/>
      <c r="R535"/>
    </row>
    <row r="536" spans="9:18" x14ac:dyDescent="0.15">
      <c r="I536"/>
      <c r="R536"/>
    </row>
    <row r="537" spans="9:18" x14ac:dyDescent="0.15">
      <c r="I537"/>
      <c r="R537"/>
    </row>
    <row r="538" spans="9:18" x14ac:dyDescent="0.15">
      <c r="I538"/>
      <c r="R538"/>
    </row>
    <row r="539" spans="9:18" x14ac:dyDescent="0.15">
      <c r="I539"/>
      <c r="R539"/>
    </row>
    <row r="540" spans="9:18" x14ac:dyDescent="0.15">
      <c r="I540"/>
      <c r="R540"/>
    </row>
    <row r="541" spans="9:18" x14ac:dyDescent="0.15">
      <c r="I541"/>
      <c r="R541"/>
    </row>
    <row r="542" spans="9:18" x14ac:dyDescent="0.15">
      <c r="I542"/>
      <c r="R542"/>
    </row>
    <row r="543" spans="9:18" x14ac:dyDescent="0.15">
      <c r="I543"/>
      <c r="R543"/>
    </row>
    <row r="544" spans="9:18" x14ac:dyDescent="0.15">
      <c r="I544"/>
      <c r="R544"/>
    </row>
    <row r="545" spans="9:18" x14ac:dyDescent="0.15">
      <c r="I545"/>
      <c r="R545"/>
    </row>
    <row r="546" spans="9:18" x14ac:dyDescent="0.15">
      <c r="I546"/>
      <c r="R546"/>
    </row>
    <row r="547" spans="9:18" x14ac:dyDescent="0.15">
      <c r="I547"/>
      <c r="R547"/>
    </row>
    <row r="548" spans="9:18" x14ac:dyDescent="0.15">
      <c r="I548"/>
      <c r="R548"/>
    </row>
    <row r="549" spans="9:18" x14ac:dyDescent="0.15">
      <c r="I549"/>
      <c r="R549"/>
    </row>
    <row r="550" spans="9:18" x14ac:dyDescent="0.15">
      <c r="I550"/>
      <c r="R550"/>
    </row>
    <row r="551" spans="9:18" x14ac:dyDescent="0.15">
      <c r="I551"/>
      <c r="R551"/>
    </row>
    <row r="552" spans="9:18" x14ac:dyDescent="0.15">
      <c r="I552"/>
      <c r="R552"/>
    </row>
    <row r="553" spans="9:18" x14ac:dyDescent="0.15">
      <c r="I553"/>
      <c r="R553"/>
    </row>
    <row r="554" spans="9:18" x14ac:dyDescent="0.15">
      <c r="I554"/>
      <c r="R554"/>
    </row>
    <row r="555" spans="9:18" x14ac:dyDescent="0.15">
      <c r="I555"/>
      <c r="R555"/>
    </row>
    <row r="556" spans="9:18" x14ac:dyDescent="0.15">
      <c r="I556"/>
      <c r="R556"/>
    </row>
    <row r="557" spans="9:18" x14ac:dyDescent="0.15">
      <c r="I557"/>
      <c r="R557"/>
    </row>
    <row r="558" spans="9:18" x14ac:dyDescent="0.15">
      <c r="I558"/>
      <c r="R558"/>
    </row>
    <row r="559" spans="9:18" x14ac:dyDescent="0.15">
      <c r="I559"/>
      <c r="R559"/>
    </row>
    <row r="560" spans="9:18" x14ac:dyDescent="0.15">
      <c r="I560"/>
      <c r="R560"/>
    </row>
    <row r="561" spans="9:18" x14ac:dyDescent="0.15">
      <c r="I561"/>
      <c r="R561"/>
    </row>
    <row r="562" spans="9:18" x14ac:dyDescent="0.15">
      <c r="I562"/>
      <c r="R562"/>
    </row>
    <row r="563" spans="9:18" x14ac:dyDescent="0.15">
      <c r="I563"/>
      <c r="R563"/>
    </row>
    <row r="564" spans="9:18" x14ac:dyDescent="0.15">
      <c r="I564"/>
      <c r="R564"/>
    </row>
    <row r="565" spans="9:18" x14ac:dyDescent="0.15">
      <c r="I565"/>
      <c r="R565"/>
    </row>
    <row r="566" spans="9:18" x14ac:dyDescent="0.15">
      <c r="I566"/>
      <c r="R566"/>
    </row>
    <row r="567" spans="9:18" x14ac:dyDescent="0.15">
      <c r="I567"/>
      <c r="R567"/>
    </row>
    <row r="568" spans="9:18" x14ac:dyDescent="0.15">
      <c r="I568"/>
      <c r="R568"/>
    </row>
    <row r="569" spans="9:18" x14ac:dyDescent="0.15">
      <c r="I569"/>
      <c r="R569"/>
    </row>
    <row r="570" spans="9:18" x14ac:dyDescent="0.15">
      <c r="I570"/>
      <c r="R570"/>
    </row>
    <row r="571" spans="9:18" x14ac:dyDescent="0.15">
      <c r="I571"/>
      <c r="R571"/>
    </row>
    <row r="572" spans="9:18" x14ac:dyDescent="0.15">
      <c r="I572"/>
      <c r="R572"/>
    </row>
    <row r="573" spans="9:18" x14ac:dyDescent="0.15">
      <c r="I573"/>
      <c r="R573"/>
    </row>
    <row r="574" spans="9:18" x14ac:dyDescent="0.15">
      <c r="I574"/>
      <c r="R574"/>
    </row>
    <row r="575" spans="9:18" x14ac:dyDescent="0.15">
      <c r="I575"/>
      <c r="R575"/>
    </row>
    <row r="576" spans="9:18" x14ac:dyDescent="0.15">
      <c r="I576"/>
      <c r="R576"/>
    </row>
    <row r="577" spans="9:18" x14ac:dyDescent="0.15">
      <c r="I577"/>
      <c r="R577"/>
    </row>
    <row r="578" spans="9:18" x14ac:dyDescent="0.15">
      <c r="I578"/>
      <c r="R578"/>
    </row>
    <row r="579" spans="9:18" x14ac:dyDescent="0.15">
      <c r="I579"/>
      <c r="R579"/>
    </row>
    <row r="580" spans="9:18" x14ac:dyDescent="0.15">
      <c r="I580"/>
      <c r="R580"/>
    </row>
    <row r="581" spans="9:18" x14ac:dyDescent="0.15">
      <c r="I581"/>
      <c r="R581"/>
    </row>
    <row r="582" spans="9:18" x14ac:dyDescent="0.15">
      <c r="I582"/>
      <c r="R582"/>
    </row>
    <row r="583" spans="9:18" x14ac:dyDescent="0.15">
      <c r="I583"/>
      <c r="R583"/>
    </row>
    <row r="584" spans="9:18" x14ac:dyDescent="0.15">
      <c r="I584"/>
      <c r="R584"/>
    </row>
    <row r="585" spans="9:18" x14ac:dyDescent="0.15">
      <c r="I585"/>
      <c r="R585"/>
    </row>
    <row r="586" spans="9:18" x14ac:dyDescent="0.15">
      <c r="I586"/>
      <c r="R586"/>
    </row>
    <row r="587" spans="9:18" x14ac:dyDescent="0.15">
      <c r="I587"/>
      <c r="R587"/>
    </row>
    <row r="588" spans="9:18" x14ac:dyDescent="0.15">
      <c r="I588"/>
      <c r="R588"/>
    </row>
    <row r="589" spans="9:18" x14ac:dyDescent="0.15">
      <c r="I589"/>
      <c r="R589"/>
    </row>
    <row r="590" spans="9:18" x14ac:dyDescent="0.15">
      <c r="I590"/>
      <c r="R590"/>
    </row>
    <row r="591" spans="9:18" x14ac:dyDescent="0.15">
      <c r="I591"/>
      <c r="R591"/>
    </row>
    <row r="592" spans="9:18" x14ac:dyDescent="0.15">
      <c r="I592"/>
      <c r="R592"/>
    </row>
    <row r="593" spans="9:18" x14ac:dyDescent="0.15">
      <c r="I593"/>
      <c r="R593"/>
    </row>
    <row r="594" spans="9:18" x14ac:dyDescent="0.15">
      <c r="I594"/>
      <c r="R594"/>
    </row>
    <row r="595" spans="9:18" x14ac:dyDescent="0.15">
      <c r="I595"/>
      <c r="R595"/>
    </row>
    <row r="596" spans="9:18" x14ac:dyDescent="0.15">
      <c r="I596"/>
      <c r="R596"/>
    </row>
    <row r="597" spans="9:18" x14ac:dyDescent="0.15">
      <c r="I597"/>
      <c r="R597"/>
    </row>
    <row r="598" spans="9:18" x14ac:dyDescent="0.15">
      <c r="I598"/>
      <c r="R598"/>
    </row>
    <row r="599" spans="9:18" x14ac:dyDescent="0.15">
      <c r="I599"/>
      <c r="R599"/>
    </row>
    <row r="600" spans="9:18" x14ac:dyDescent="0.15">
      <c r="I600"/>
      <c r="R600"/>
    </row>
    <row r="601" spans="9:18" x14ac:dyDescent="0.15">
      <c r="I601"/>
      <c r="R601"/>
    </row>
    <row r="602" spans="9:18" x14ac:dyDescent="0.15">
      <c r="I602"/>
      <c r="R602"/>
    </row>
    <row r="603" spans="9:18" x14ac:dyDescent="0.15">
      <c r="I603"/>
      <c r="R603"/>
    </row>
    <row r="604" spans="9:18" x14ac:dyDescent="0.15">
      <c r="I604"/>
      <c r="R604"/>
    </row>
    <row r="605" spans="9:18" x14ac:dyDescent="0.15">
      <c r="I605"/>
      <c r="R605"/>
    </row>
    <row r="606" spans="9:18" x14ac:dyDescent="0.15">
      <c r="I606"/>
      <c r="R606"/>
    </row>
    <row r="607" spans="9:18" x14ac:dyDescent="0.15">
      <c r="I607"/>
      <c r="R607"/>
    </row>
    <row r="608" spans="9:18" x14ac:dyDescent="0.15">
      <c r="I608"/>
      <c r="R608"/>
    </row>
    <row r="609" spans="9:18" x14ac:dyDescent="0.15">
      <c r="I609"/>
      <c r="R609"/>
    </row>
    <row r="610" spans="9:18" x14ac:dyDescent="0.15">
      <c r="I610"/>
      <c r="R610"/>
    </row>
    <row r="611" spans="9:18" x14ac:dyDescent="0.15">
      <c r="I611"/>
      <c r="R611"/>
    </row>
    <row r="612" spans="9:18" x14ac:dyDescent="0.15">
      <c r="I612"/>
      <c r="R612"/>
    </row>
    <row r="613" spans="9:18" x14ac:dyDescent="0.15">
      <c r="I613"/>
      <c r="R613"/>
    </row>
    <row r="614" spans="9:18" x14ac:dyDescent="0.15">
      <c r="I614"/>
      <c r="R614"/>
    </row>
    <row r="615" spans="9:18" x14ac:dyDescent="0.15">
      <c r="I615"/>
      <c r="R615"/>
    </row>
    <row r="616" spans="9:18" x14ac:dyDescent="0.15">
      <c r="I616"/>
      <c r="R616"/>
    </row>
    <row r="617" spans="9:18" x14ac:dyDescent="0.15">
      <c r="I617"/>
      <c r="R617"/>
    </row>
    <row r="618" spans="9:18" x14ac:dyDescent="0.15">
      <c r="I618"/>
      <c r="R618"/>
    </row>
    <row r="619" spans="9:18" x14ac:dyDescent="0.15">
      <c r="I619"/>
      <c r="R619"/>
    </row>
    <row r="620" spans="9:18" x14ac:dyDescent="0.15">
      <c r="I620"/>
      <c r="R620"/>
    </row>
    <row r="621" spans="9:18" x14ac:dyDescent="0.15">
      <c r="I621"/>
      <c r="R621"/>
    </row>
    <row r="622" spans="9:18" x14ac:dyDescent="0.15">
      <c r="I622"/>
      <c r="R622"/>
    </row>
    <row r="623" spans="9:18" x14ac:dyDescent="0.15">
      <c r="I623"/>
      <c r="R623"/>
    </row>
    <row r="624" spans="9:18" x14ac:dyDescent="0.15">
      <c r="I624"/>
      <c r="R624"/>
    </row>
    <row r="625" spans="9:18" x14ac:dyDescent="0.15">
      <c r="I625"/>
      <c r="R625"/>
    </row>
    <row r="626" spans="9:18" x14ac:dyDescent="0.15">
      <c r="I626"/>
      <c r="R626"/>
    </row>
    <row r="627" spans="9:18" x14ac:dyDescent="0.15">
      <c r="I627"/>
      <c r="R627"/>
    </row>
    <row r="628" spans="9:18" x14ac:dyDescent="0.15">
      <c r="I628"/>
      <c r="R628"/>
    </row>
    <row r="629" spans="9:18" x14ac:dyDescent="0.15">
      <c r="I629"/>
      <c r="R629"/>
    </row>
    <row r="630" spans="9:18" x14ac:dyDescent="0.15">
      <c r="I630"/>
      <c r="R630"/>
    </row>
    <row r="631" spans="9:18" x14ac:dyDescent="0.15">
      <c r="I631"/>
      <c r="R631"/>
    </row>
    <row r="632" spans="9:18" x14ac:dyDescent="0.15">
      <c r="I632"/>
      <c r="R632"/>
    </row>
    <row r="633" spans="9:18" x14ac:dyDescent="0.15">
      <c r="I633"/>
      <c r="R633"/>
    </row>
    <row r="634" spans="9:18" x14ac:dyDescent="0.15">
      <c r="I634"/>
      <c r="R634"/>
    </row>
    <row r="635" spans="9:18" x14ac:dyDescent="0.15">
      <c r="I635"/>
      <c r="R635"/>
    </row>
    <row r="636" spans="9:18" x14ac:dyDescent="0.15">
      <c r="I636"/>
      <c r="R636"/>
    </row>
    <row r="637" spans="9:18" x14ac:dyDescent="0.15">
      <c r="I637"/>
      <c r="R637"/>
    </row>
    <row r="638" spans="9:18" x14ac:dyDescent="0.15">
      <c r="I638"/>
      <c r="R638"/>
    </row>
    <row r="639" spans="9:18" x14ac:dyDescent="0.15">
      <c r="I639"/>
      <c r="R639"/>
    </row>
    <row r="640" spans="9:18" x14ac:dyDescent="0.15">
      <c r="I640"/>
      <c r="R640"/>
    </row>
    <row r="641" spans="9:18" x14ac:dyDescent="0.15">
      <c r="I641"/>
      <c r="R641"/>
    </row>
    <row r="642" spans="9:18" x14ac:dyDescent="0.15">
      <c r="I642"/>
      <c r="R642"/>
    </row>
    <row r="643" spans="9:18" x14ac:dyDescent="0.15">
      <c r="I643"/>
      <c r="R643"/>
    </row>
    <row r="644" spans="9:18" x14ac:dyDescent="0.15">
      <c r="I644"/>
      <c r="R644"/>
    </row>
    <row r="645" spans="9:18" x14ac:dyDescent="0.15">
      <c r="I645"/>
      <c r="R645"/>
    </row>
    <row r="646" spans="9:18" x14ac:dyDescent="0.15">
      <c r="I646"/>
      <c r="R646"/>
    </row>
    <row r="647" spans="9:18" x14ac:dyDescent="0.15">
      <c r="I647"/>
      <c r="R647"/>
    </row>
    <row r="648" spans="9:18" x14ac:dyDescent="0.15">
      <c r="I648"/>
      <c r="R648"/>
    </row>
    <row r="649" spans="9:18" x14ac:dyDescent="0.15">
      <c r="I649"/>
      <c r="R649"/>
    </row>
    <row r="650" spans="9:18" x14ac:dyDescent="0.15">
      <c r="I650"/>
      <c r="R650"/>
    </row>
    <row r="651" spans="9:18" x14ac:dyDescent="0.15">
      <c r="I651"/>
      <c r="R651"/>
    </row>
    <row r="652" spans="9:18" x14ac:dyDescent="0.15">
      <c r="I652"/>
      <c r="R652"/>
    </row>
    <row r="653" spans="9:18" x14ac:dyDescent="0.15">
      <c r="I653"/>
      <c r="R653"/>
    </row>
    <row r="654" spans="9:18" ht="12.75" customHeight="1" x14ac:dyDescent="0.15">
      <c r="I654"/>
      <c r="R654"/>
    </row>
    <row r="655" spans="9:18" x14ac:dyDescent="0.15">
      <c r="I655"/>
      <c r="R655"/>
    </row>
    <row r="656" spans="9:18" x14ac:dyDescent="0.15">
      <c r="I656"/>
      <c r="R656"/>
    </row>
    <row r="657" spans="9:18" x14ac:dyDescent="0.15">
      <c r="I657"/>
      <c r="R657"/>
    </row>
    <row r="658" spans="9:18" x14ac:dyDescent="0.15">
      <c r="I658"/>
      <c r="R658"/>
    </row>
    <row r="659" spans="9:18" x14ac:dyDescent="0.15">
      <c r="I659"/>
      <c r="R659"/>
    </row>
    <row r="660" spans="9:18" x14ac:dyDescent="0.15">
      <c r="I660"/>
      <c r="R660"/>
    </row>
    <row r="661" spans="9:18" x14ac:dyDescent="0.15">
      <c r="I661"/>
      <c r="R661"/>
    </row>
    <row r="662" spans="9:18" x14ac:dyDescent="0.15">
      <c r="I662"/>
      <c r="R662"/>
    </row>
    <row r="663" spans="9:18" x14ac:dyDescent="0.15">
      <c r="I663"/>
      <c r="R663"/>
    </row>
    <row r="664" spans="9:18" x14ac:dyDescent="0.15">
      <c r="I664"/>
      <c r="R664"/>
    </row>
    <row r="665" spans="9:18" x14ac:dyDescent="0.15">
      <c r="I665"/>
      <c r="R665"/>
    </row>
    <row r="666" spans="9:18" x14ac:dyDescent="0.15">
      <c r="I666"/>
      <c r="R666"/>
    </row>
    <row r="667" spans="9:18" x14ac:dyDescent="0.15">
      <c r="I667"/>
      <c r="R667"/>
    </row>
    <row r="668" spans="9:18" x14ac:dyDescent="0.15">
      <c r="I668"/>
      <c r="R668"/>
    </row>
    <row r="669" spans="9:18" x14ac:dyDescent="0.15">
      <c r="I669"/>
      <c r="R669"/>
    </row>
    <row r="670" spans="9:18" x14ac:dyDescent="0.15">
      <c r="I670"/>
      <c r="R670"/>
    </row>
    <row r="671" spans="9:18" x14ac:dyDescent="0.15">
      <c r="I671"/>
      <c r="R671"/>
    </row>
    <row r="672" spans="9:18" x14ac:dyDescent="0.15">
      <c r="I672"/>
      <c r="R672"/>
    </row>
    <row r="673" spans="9:18" x14ac:dyDescent="0.15">
      <c r="I673"/>
      <c r="R673"/>
    </row>
    <row r="674" spans="9:18" x14ac:dyDescent="0.15">
      <c r="I674"/>
      <c r="R674"/>
    </row>
    <row r="675" spans="9:18" x14ac:dyDescent="0.15">
      <c r="I675"/>
      <c r="R675"/>
    </row>
    <row r="676" spans="9:18" x14ac:dyDescent="0.15">
      <c r="I676"/>
      <c r="R676"/>
    </row>
    <row r="677" spans="9:18" x14ac:dyDescent="0.15">
      <c r="I677"/>
      <c r="R677"/>
    </row>
    <row r="678" spans="9:18" x14ac:dyDescent="0.15">
      <c r="I678"/>
      <c r="R678"/>
    </row>
    <row r="679" spans="9:18" x14ac:dyDescent="0.15">
      <c r="I679"/>
      <c r="R679"/>
    </row>
    <row r="680" spans="9:18" x14ac:dyDescent="0.15">
      <c r="I680"/>
      <c r="R680"/>
    </row>
    <row r="681" spans="9:18" x14ac:dyDescent="0.15">
      <c r="I681"/>
      <c r="R681"/>
    </row>
    <row r="682" spans="9:18" x14ac:dyDescent="0.15">
      <c r="I682"/>
      <c r="R682"/>
    </row>
    <row r="683" spans="9:18" x14ac:dyDescent="0.15">
      <c r="I683"/>
      <c r="R683"/>
    </row>
    <row r="684" spans="9:18" x14ac:dyDescent="0.15">
      <c r="I684"/>
      <c r="R684"/>
    </row>
    <row r="685" spans="9:18" x14ac:dyDescent="0.15">
      <c r="I685"/>
      <c r="R685"/>
    </row>
    <row r="686" spans="9:18" x14ac:dyDescent="0.15">
      <c r="I686"/>
      <c r="R686"/>
    </row>
    <row r="687" spans="9:18" x14ac:dyDescent="0.15">
      <c r="I687"/>
      <c r="R687"/>
    </row>
    <row r="688" spans="9:18" x14ac:dyDescent="0.15">
      <c r="I688"/>
      <c r="R688"/>
    </row>
    <row r="689" spans="9:18" x14ac:dyDescent="0.15">
      <c r="I689"/>
      <c r="R689"/>
    </row>
    <row r="690" spans="9:18" x14ac:dyDescent="0.15">
      <c r="I690"/>
      <c r="R690"/>
    </row>
    <row r="691" spans="9:18" x14ac:dyDescent="0.15">
      <c r="I691"/>
      <c r="R691"/>
    </row>
    <row r="692" spans="9:18" x14ac:dyDescent="0.15">
      <c r="I692"/>
      <c r="R692"/>
    </row>
    <row r="693" spans="9:18" x14ac:dyDescent="0.15">
      <c r="I693"/>
      <c r="R693"/>
    </row>
    <row r="694" spans="9:18" x14ac:dyDescent="0.15">
      <c r="I694"/>
      <c r="R694"/>
    </row>
    <row r="695" spans="9:18" x14ac:dyDescent="0.15">
      <c r="I695"/>
      <c r="R695"/>
    </row>
    <row r="696" spans="9:18" x14ac:dyDescent="0.15">
      <c r="I696"/>
      <c r="R696"/>
    </row>
    <row r="697" spans="9:18" x14ac:dyDescent="0.15">
      <c r="I697"/>
      <c r="R697"/>
    </row>
    <row r="698" spans="9:18" x14ac:dyDescent="0.15">
      <c r="I698"/>
      <c r="R698"/>
    </row>
    <row r="699" spans="9:18" x14ac:dyDescent="0.15">
      <c r="I699"/>
      <c r="R699"/>
    </row>
    <row r="700" spans="9:18" x14ac:dyDescent="0.15">
      <c r="I700"/>
      <c r="R700"/>
    </row>
    <row r="701" spans="9:18" x14ac:dyDescent="0.15">
      <c r="I701"/>
      <c r="R701"/>
    </row>
    <row r="702" spans="9:18" x14ac:dyDescent="0.15">
      <c r="I702"/>
      <c r="R702"/>
    </row>
    <row r="703" spans="9:18" x14ac:dyDescent="0.15">
      <c r="I703"/>
      <c r="R703"/>
    </row>
    <row r="704" spans="9:18" x14ac:dyDescent="0.15">
      <c r="I704"/>
      <c r="R704"/>
    </row>
    <row r="705" spans="9:18" x14ac:dyDescent="0.15">
      <c r="I705"/>
      <c r="R705"/>
    </row>
    <row r="706" spans="9:18" x14ac:dyDescent="0.15">
      <c r="I706"/>
      <c r="R706"/>
    </row>
    <row r="707" spans="9:18" x14ac:dyDescent="0.15">
      <c r="I707"/>
      <c r="R707"/>
    </row>
    <row r="708" spans="9:18" x14ac:dyDescent="0.15">
      <c r="I708"/>
      <c r="R708"/>
    </row>
    <row r="709" spans="9:18" x14ac:dyDescent="0.15">
      <c r="I709"/>
      <c r="R709"/>
    </row>
    <row r="710" spans="9:18" x14ac:dyDescent="0.15">
      <c r="I710"/>
      <c r="R710"/>
    </row>
    <row r="711" spans="9:18" x14ac:dyDescent="0.15">
      <c r="I711"/>
      <c r="R711"/>
    </row>
    <row r="712" spans="9:18" x14ac:dyDescent="0.15">
      <c r="I712"/>
      <c r="R712"/>
    </row>
    <row r="713" spans="9:18" x14ac:dyDescent="0.15">
      <c r="I713"/>
      <c r="R713"/>
    </row>
    <row r="714" spans="9:18" x14ac:dyDescent="0.15">
      <c r="I714"/>
      <c r="R714"/>
    </row>
    <row r="715" spans="9:18" x14ac:dyDescent="0.15">
      <c r="I715"/>
      <c r="R715"/>
    </row>
    <row r="716" spans="9:18" x14ac:dyDescent="0.15">
      <c r="I716"/>
      <c r="R716"/>
    </row>
    <row r="717" spans="9:18" x14ac:dyDescent="0.15">
      <c r="I717"/>
      <c r="R717"/>
    </row>
    <row r="718" spans="9:18" x14ac:dyDescent="0.15">
      <c r="I718"/>
      <c r="R718"/>
    </row>
    <row r="719" spans="9:18" x14ac:dyDescent="0.15">
      <c r="I719"/>
      <c r="R719"/>
    </row>
    <row r="720" spans="9:18" x14ac:dyDescent="0.15">
      <c r="I720"/>
      <c r="R720"/>
    </row>
    <row r="721" spans="9:18" x14ac:dyDescent="0.15">
      <c r="I721"/>
      <c r="R721"/>
    </row>
    <row r="722" spans="9:18" x14ac:dyDescent="0.15">
      <c r="I722"/>
      <c r="R722"/>
    </row>
    <row r="723" spans="9:18" x14ac:dyDescent="0.15">
      <c r="I723"/>
      <c r="R723"/>
    </row>
    <row r="724" spans="9:18" x14ac:dyDescent="0.15">
      <c r="I724"/>
      <c r="R724"/>
    </row>
    <row r="725" spans="9:18" x14ac:dyDescent="0.15">
      <c r="I725"/>
      <c r="R725"/>
    </row>
    <row r="726" spans="9:18" x14ac:dyDescent="0.15">
      <c r="I726"/>
      <c r="R726"/>
    </row>
    <row r="727" spans="9:18" x14ac:dyDescent="0.15">
      <c r="I727"/>
      <c r="R727"/>
    </row>
    <row r="728" spans="9:18" x14ac:dyDescent="0.15">
      <c r="I728"/>
      <c r="R728"/>
    </row>
    <row r="729" spans="9:18" x14ac:dyDescent="0.15">
      <c r="I729"/>
      <c r="R729"/>
    </row>
    <row r="730" spans="9:18" x14ac:dyDescent="0.15">
      <c r="I730"/>
      <c r="R730"/>
    </row>
    <row r="731" spans="9:18" x14ac:dyDescent="0.15">
      <c r="I731"/>
      <c r="R731"/>
    </row>
    <row r="732" spans="9:18" x14ac:dyDescent="0.15">
      <c r="I732"/>
      <c r="R732"/>
    </row>
    <row r="733" spans="9:18" x14ac:dyDescent="0.15">
      <c r="I733"/>
      <c r="R733"/>
    </row>
    <row r="734" spans="9:18" x14ac:dyDescent="0.15">
      <c r="I734"/>
      <c r="R734"/>
    </row>
    <row r="735" spans="9:18" x14ac:dyDescent="0.15">
      <c r="I735"/>
      <c r="R735"/>
    </row>
    <row r="736" spans="9:18" x14ac:dyDescent="0.15">
      <c r="I736"/>
      <c r="R736"/>
    </row>
    <row r="737" spans="9:18" x14ac:dyDescent="0.15">
      <c r="I737"/>
      <c r="R737"/>
    </row>
    <row r="738" spans="9:18" x14ac:dyDescent="0.15">
      <c r="I738"/>
      <c r="R738"/>
    </row>
    <row r="739" spans="9:18" x14ac:dyDescent="0.15">
      <c r="I739"/>
      <c r="R739"/>
    </row>
    <row r="740" spans="9:18" x14ac:dyDescent="0.15">
      <c r="I740"/>
      <c r="R740"/>
    </row>
    <row r="741" spans="9:18" x14ac:dyDescent="0.15">
      <c r="I741"/>
      <c r="R741"/>
    </row>
    <row r="742" spans="9:18" x14ac:dyDescent="0.15">
      <c r="I742"/>
      <c r="R742"/>
    </row>
    <row r="743" spans="9:18" x14ac:dyDescent="0.15">
      <c r="I743"/>
      <c r="R743"/>
    </row>
    <row r="744" spans="9:18" x14ac:dyDescent="0.15">
      <c r="I744"/>
      <c r="R744"/>
    </row>
    <row r="745" spans="9:18" x14ac:dyDescent="0.15">
      <c r="I745"/>
      <c r="R745"/>
    </row>
    <row r="746" spans="9:18" x14ac:dyDescent="0.15">
      <c r="I746"/>
      <c r="R746"/>
    </row>
    <row r="747" spans="9:18" x14ac:dyDescent="0.15">
      <c r="I747"/>
      <c r="R747"/>
    </row>
    <row r="748" spans="9:18" x14ac:dyDescent="0.15">
      <c r="I748"/>
      <c r="R748"/>
    </row>
    <row r="749" spans="9:18" x14ac:dyDescent="0.15">
      <c r="I749"/>
      <c r="R749"/>
    </row>
    <row r="750" spans="9:18" x14ac:dyDescent="0.15">
      <c r="I750"/>
      <c r="R750"/>
    </row>
    <row r="751" spans="9:18" x14ac:dyDescent="0.15">
      <c r="I751"/>
      <c r="R751"/>
    </row>
    <row r="752" spans="9:18" x14ac:dyDescent="0.15">
      <c r="I752"/>
      <c r="R752"/>
    </row>
    <row r="753" spans="9:18" x14ac:dyDescent="0.15">
      <c r="I753"/>
      <c r="R753"/>
    </row>
    <row r="754" spans="9:18" x14ac:dyDescent="0.15">
      <c r="I754"/>
      <c r="R754"/>
    </row>
    <row r="755" spans="9:18" x14ac:dyDescent="0.15">
      <c r="I755"/>
      <c r="R755"/>
    </row>
    <row r="756" spans="9:18" x14ac:dyDescent="0.15">
      <c r="I756"/>
      <c r="R756"/>
    </row>
    <row r="757" spans="9:18" x14ac:dyDescent="0.15">
      <c r="I757"/>
      <c r="R757"/>
    </row>
    <row r="758" spans="9:18" x14ac:dyDescent="0.15">
      <c r="I758"/>
      <c r="R758"/>
    </row>
    <row r="759" spans="9:18" x14ac:dyDescent="0.15">
      <c r="I759"/>
      <c r="R759"/>
    </row>
    <row r="760" spans="9:18" x14ac:dyDescent="0.15">
      <c r="I760"/>
      <c r="R760"/>
    </row>
    <row r="761" spans="9:18" x14ac:dyDescent="0.15">
      <c r="I761"/>
      <c r="R761"/>
    </row>
    <row r="762" spans="9:18" x14ac:dyDescent="0.15">
      <c r="I762"/>
      <c r="R762"/>
    </row>
    <row r="763" spans="9:18" x14ac:dyDescent="0.15">
      <c r="I763"/>
      <c r="R763"/>
    </row>
    <row r="764" spans="9:18" x14ac:dyDescent="0.15">
      <c r="I764"/>
      <c r="R764"/>
    </row>
    <row r="765" spans="9:18" x14ac:dyDescent="0.15">
      <c r="I765"/>
      <c r="R765"/>
    </row>
    <row r="766" spans="9:18" x14ac:dyDescent="0.15">
      <c r="I766"/>
      <c r="R766"/>
    </row>
    <row r="767" spans="9:18" x14ac:dyDescent="0.15">
      <c r="I767"/>
      <c r="R767"/>
    </row>
    <row r="768" spans="9:18" x14ac:dyDescent="0.15">
      <c r="I768"/>
      <c r="R768"/>
    </row>
    <row r="769" spans="9:18" x14ac:dyDescent="0.15">
      <c r="I769"/>
      <c r="R769"/>
    </row>
    <row r="770" spans="9:18" x14ac:dyDescent="0.15">
      <c r="I770"/>
      <c r="R770"/>
    </row>
    <row r="771" spans="9:18" x14ac:dyDescent="0.15">
      <c r="I771"/>
      <c r="R771"/>
    </row>
    <row r="772" spans="9:18" x14ac:dyDescent="0.15">
      <c r="I772"/>
      <c r="R772"/>
    </row>
    <row r="773" spans="9:18" x14ac:dyDescent="0.15">
      <c r="I773"/>
      <c r="R773"/>
    </row>
    <row r="774" spans="9:18" x14ac:dyDescent="0.15">
      <c r="I774"/>
      <c r="R774"/>
    </row>
    <row r="775" spans="9:18" x14ac:dyDescent="0.15">
      <c r="I775"/>
      <c r="R775"/>
    </row>
    <row r="776" spans="9:18" x14ac:dyDescent="0.15">
      <c r="I776"/>
      <c r="R776"/>
    </row>
    <row r="777" spans="9:18" x14ac:dyDescent="0.15">
      <c r="I777"/>
      <c r="R777"/>
    </row>
    <row r="778" spans="9:18" x14ac:dyDescent="0.15">
      <c r="I778"/>
      <c r="R778"/>
    </row>
    <row r="779" spans="9:18" x14ac:dyDescent="0.15">
      <c r="I779"/>
      <c r="R779"/>
    </row>
    <row r="780" spans="9:18" x14ac:dyDescent="0.15">
      <c r="I780"/>
      <c r="R780"/>
    </row>
    <row r="781" spans="9:18" x14ac:dyDescent="0.15">
      <c r="I781"/>
      <c r="R781"/>
    </row>
    <row r="782" spans="9:18" x14ac:dyDescent="0.15">
      <c r="I782"/>
      <c r="R782"/>
    </row>
    <row r="783" spans="9:18" x14ac:dyDescent="0.15">
      <c r="I783"/>
      <c r="R783"/>
    </row>
    <row r="784" spans="9:18" x14ac:dyDescent="0.15">
      <c r="I784"/>
      <c r="R784"/>
    </row>
    <row r="785" spans="9:18" x14ac:dyDescent="0.15">
      <c r="I785"/>
      <c r="R785"/>
    </row>
    <row r="786" spans="9:18" x14ac:dyDescent="0.15">
      <c r="I786"/>
      <c r="R786"/>
    </row>
    <row r="787" spans="9:18" x14ac:dyDescent="0.15">
      <c r="I787"/>
      <c r="R787"/>
    </row>
    <row r="788" spans="9:18" x14ac:dyDescent="0.15">
      <c r="I788"/>
      <c r="R788"/>
    </row>
    <row r="789" spans="9:18" x14ac:dyDescent="0.15">
      <c r="I789"/>
      <c r="R789"/>
    </row>
    <row r="790" spans="9:18" x14ac:dyDescent="0.15">
      <c r="I790"/>
      <c r="R790"/>
    </row>
    <row r="791" spans="9:18" x14ac:dyDescent="0.15">
      <c r="I791"/>
      <c r="R791"/>
    </row>
    <row r="792" spans="9:18" x14ac:dyDescent="0.15">
      <c r="I792"/>
      <c r="R792"/>
    </row>
    <row r="793" spans="9:18" x14ac:dyDescent="0.15">
      <c r="I793"/>
      <c r="R793"/>
    </row>
    <row r="794" spans="9:18" x14ac:dyDescent="0.15">
      <c r="I794"/>
      <c r="R794"/>
    </row>
    <row r="795" spans="9:18" x14ac:dyDescent="0.15">
      <c r="I795"/>
      <c r="R795"/>
    </row>
    <row r="796" spans="9:18" x14ac:dyDescent="0.15">
      <c r="I796"/>
      <c r="R796"/>
    </row>
    <row r="797" spans="9:18" x14ac:dyDescent="0.15">
      <c r="I797"/>
      <c r="R797"/>
    </row>
    <row r="798" spans="9:18" x14ac:dyDescent="0.15">
      <c r="I798"/>
      <c r="R798"/>
    </row>
    <row r="799" spans="9:18" x14ac:dyDescent="0.15">
      <c r="I799"/>
      <c r="R799"/>
    </row>
    <row r="800" spans="9:18" x14ac:dyDescent="0.15">
      <c r="I800"/>
      <c r="R800"/>
    </row>
    <row r="801" spans="9:18" x14ac:dyDescent="0.15">
      <c r="I801"/>
      <c r="R801"/>
    </row>
    <row r="802" spans="9:18" x14ac:dyDescent="0.15">
      <c r="I802"/>
      <c r="R802"/>
    </row>
    <row r="803" spans="9:18" x14ac:dyDescent="0.15">
      <c r="I803"/>
      <c r="R803"/>
    </row>
    <row r="804" spans="9:18" x14ac:dyDescent="0.15">
      <c r="I804"/>
      <c r="R804"/>
    </row>
    <row r="805" spans="9:18" x14ac:dyDescent="0.15">
      <c r="I805"/>
      <c r="R805"/>
    </row>
    <row r="806" spans="9:18" x14ac:dyDescent="0.15">
      <c r="I806"/>
      <c r="R806"/>
    </row>
    <row r="807" spans="9:18" x14ac:dyDescent="0.15">
      <c r="I807"/>
      <c r="R807"/>
    </row>
    <row r="808" spans="9:18" x14ac:dyDescent="0.15">
      <c r="I808"/>
      <c r="R808"/>
    </row>
    <row r="809" spans="9:18" x14ac:dyDescent="0.15">
      <c r="I809"/>
      <c r="R809"/>
    </row>
    <row r="810" spans="9:18" x14ac:dyDescent="0.15">
      <c r="I810"/>
      <c r="R810"/>
    </row>
    <row r="811" spans="9:18" x14ac:dyDescent="0.15">
      <c r="I811"/>
      <c r="R811"/>
    </row>
    <row r="812" spans="9:18" x14ac:dyDescent="0.15">
      <c r="I812"/>
      <c r="R812"/>
    </row>
    <row r="813" spans="9:18" x14ac:dyDescent="0.15">
      <c r="I813"/>
      <c r="R813"/>
    </row>
    <row r="814" spans="9:18" x14ac:dyDescent="0.15">
      <c r="I814"/>
      <c r="R814"/>
    </row>
    <row r="815" spans="9:18" x14ac:dyDescent="0.15">
      <c r="I815"/>
      <c r="R815"/>
    </row>
    <row r="816" spans="9:18" x14ac:dyDescent="0.15">
      <c r="I816"/>
      <c r="R816"/>
    </row>
    <row r="817" spans="9:18" x14ac:dyDescent="0.15">
      <c r="I817"/>
      <c r="R817"/>
    </row>
    <row r="818" spans="9:18" x14ac:dyDescent="0.15">
      <c r="I818"/>
      <c r="R818"/>
    </row>
    <row r="819" spans="9:18" x14ac:dyDescent="0.15">
      <c r="I819"/>
      <c r="R819"/>
    </row>
    <row r="820" spans="9:18" x14ac:dyDescent="0.15">
      <c r="I820"/>
      <c r="R820"/>
    </row>
    <row r="821" spans="9:18" x14ac:dyDescent="0.15">
      <c r="I821"/>
      <c r="R821"/>
    </row>
    <row r="822" spans="9:18" x14ac:dyDescent="0.15">
      <c r="I822"/>
      <c r="R822"/>
    </row>
    <row r="823" spans="9:18" x14ac:dyDescent="0.15">
      <c r="I823"/>
      <c r="R823"/>
    </row>
    <row r="824" spans="9:18" x14ac:dyDescent="0.15">
      <c r="I824"/>
      <c r="R824"/>
    </row>
    <row r="825" spans="9:18" x14ac:dyDescent="0.15">
      <c r="I825"/>
      <c r="R825"/>
    </row>
    <row r="826" spans="9:18" x14ac:dyDescent="0.15">
      <c r="I826"/>
      <c r="R826"/>
    </row>
    <row r="827" spans="9:18" x14ac:dyDescent="0.15">
      <c r="I827"/>
      <c r="R827"/>
    </row>
    <row r="828" spans="9:18" x14ac:dyDescent="0.15">
      <c r="I828"/>
      <c r="R828"/>
    </row>
    <row r="829" spans="9:18" x14ac:dyDescent="0.15">
      <c r="I829"/>
      <c r="R829"/>
    </row>
    <row r="830" spans="9:18" x14ac:dyDescent="0.15">
      <c r="I830"/>
      <c r="R830"/>
    </row>
    <row r="831" spans="9:18" x14ac:dyDescent="0.15">
      <c r="I831"/>
      <c r="R831"/>
    </row>
    <row r="832" spans="9:18" x14ac:dyDescent="0.15">
      <c r="I832"/>
      <c r="R832"/>
    </row>
    <row r="833" spans="9:18" x14ac:dyDescent="0.15">
      <c r="I833"/>
      <c r="R833"/>
    </row>
    <row r="834" spans="9:18" x14ac:dyDescent="0.15">
      <c r="I834"/>
      <c r="R834"/>
    </row>
    <row r="835" spans="9:18" x14ac:dyDescent="0.15">
      <c r="I835"/>
      <c r="R835"/>
    </row>
    <row r="836" spans="9:18" x14ac:dyDescent="0.15">
      <c r="I836"/>
      <c r="R836"/>
    </row>
    <row r="837" spans="9:18" x14ac:dyDescent="0.15">
      <c r="I837"/>
      <c r="R837"/>
    </row>
    <row r="838" spans="9:18" x14ac:dyDescent="0.15">
      <c r="I838"/>
      <c r="R838"/>
    </row>
    <row r="839" spans="9:18" x14ac:dyDescent="0.15">
      <c r="I839"/>
      <c r="R839"/>
    </row>
    <row r="840" spans="9:18" x14ac:dyDescent="0.15">
      <c r="I840"/>
      <c r="R840"/>
    </row>
    <row r="841" spans="9:18" x14ac:dyDescent="0.15">
      <c r="I841"/>
      <c r="R841"/>
    </row>
    <row r="842" spans="9:18" x14ac:dyDescent="0.15">
      <c r="I842"/>
      <c r="R842"/>
    </row>
    <row r="843" spans="9:18" x14ac:dyDescent="0.15">
      <c r="I843"/>
      <c r="R843"/>
    </row>
    <row r="844" spans="9:18" x14ac:dyDescent="0.15">
      <c r="I844"/>
      <c r="R844"/>
    </row>
    <row r="845" spans="9:18" x14ac:dyDescent="0.15">
      <c r="I845"/>
      <c r="R845"/>
    </row>
    <row r="846" spans="9:18" x14ac:dyDescent="0.15">
      <c r="I846"/>
      <c r="R846"/>
    </row>
    <row r="847" spans="9:18" x14ac:dyDescent="0.15">
      <c r="I847"/>
      <c r="R847"/>
    </row>
    <row r="848" spans="9:18" x14ac:dyDescent="0.15">
      <c r="I848"/>
      <c r="R848"/>
    </row>
    <row r="849" spans="9:18" x14ac:dyDescent="0.15">
      <c r="I849"/>
      <c r="R849"/>
    </row>
    <row r="850" spans="9:18" x14ac:dyDescent="0.15">
      <c r="I850"/>
      <c r="R850"/>
    </row>
    <row r="851" spans="9:18" x14ac:dyDescent="0.15">
      <c r="I851"/>
      <c r="R851"/>
    </row>
    <row r="852" spans="9:18" x14ac:dyDescent="0.15">
      <c r="I852"/>
      <c r="R852"/>
    </row>
    <row r="853" spans="9:18" x14ac:dyDescent="0.15">
      <c r="I853"/>
      <c r="R853"/>
    </row>
    <row r="854" spans="9:18" x14ac:dyDescent="0.15">
      <c r="I854"/>
      <c r="R854"/>
    </row>
    <row r="855" spans="9:18" x14ac:dyDescent="0.15">
      <c r="I855"/>
      <c r="R855"/>
    </row>
    <row r="856" spans="9:18" x14ac:dyDescent="0.15">
      <c r="I856"/>
      <c r="R856"/>
    </row>
    <row r="857" spans="9:18" x14ac:dyDescent="0.15">
      <c r="I857"/>
      <c r="R857"/>
    </row>
    <row r="858" spans="9:18" x14ac:dyDescent="0.15">
      <c r="I858"/>
      <c r="R858"/>
    </row>
    <row r="859" spans="9:18" x14ac:dyDescent="0.15">
      <c r="I859"/>
      <c r="R859"/>
    </row>
    <row r="860" spans="9:18" x14ac:dyDescent="0.15">
      <c r="I860"/>
      <c r="R860"/>
    </row>
    <row r="861" spans="9:18" x14ac:dyDescent="0.15">
      <c r="I861"/>
      <c r="R861"/>
    </row>
    <row r="862" spans="9:18" x14ac:dyDescent="0.15">
      <c r="I862"/>
      <c r="R862"/>
    </row>
    <row r="863" spans="9:18" x14ac:dyDescent="0.15">
      <c r="I863"/>
      <c r="R863"/>
    </row>
    <row r="864" spans="9:18" x14ac:dyDescent="0.15">
      <c r="I864"/>
      <c r="R864"/>
    </row>
    <row r="865" spans="9:18" x14ac:dyDescent="0.15">
      <c r="I865"/>
      <c r="R865"/>
    </row>
    <row r="866" spans="9:18" x14ac:dyDescent="0.15">
      <c r="I866"/>
      <c r="R866"/>
    </row>
    <row r="867" spans="9:18" x14ac:dyDescent="0.15">
      <c r="I867"/>
      <c r="R867"/>
    </row>
    <row r="868" spans="9:18" x14ac:dyDescent="0.15">
      <c r="I868"/>
      <c r="R868"/>
    </row>
    <row r="869" spans="9:18" x14ac:dyDescent="0.15">
      <c r="I869"/>
      <c r="R869"/>
    </row>
    <row r="870" spans="9:18" x14ac:dyDescent="0.15">
      <c r="I870"/>
      <c r="R870"/>
    </row>
    <row r="871" spans="9:18" x14ac:dyDescent="0.15">
      <c r="I871"/>
      <c r="R871"/>
    </row>
    <row r="872" spans="9:18" x14ac:dyDescent="0.15">
      <c r="I872"/>
      <c r="R872"/>
    </row>
    <row r="873" spans="9:18" x14ac:dyDescent="0.15">
      <c r="I873"/>
      <c r="R873"/>
    </row>
    <row r="874" spans="9:18" x14ac:dyDescent="0.15">
      <c r="I874"/>
      <c r="R874"/>
    </row>
    <row r="875" spans="9:18" x14ac:dyDescent="0.15">
      <c r="I875"/>
      <c r="R875"/>
    </row>
    <row r="876" spans="9:18" x14ac:dyDescent="0.15">
      <c r="I876"/>
      <c r="R876"/>
    </row>
    <row r="877" spans="9:18" x14ac:dyDescent="0.15">
      <c r="I877"/>
      <c r="R877"/>
    </row>
    <row r="878" spans="9:18" x14ac:dyDescent="0.15">
      <c r="I878"/>
      <c r="R878"/>
    </row>
    <row r="879" spans="9:18" x14ac:dyDescent="0.15">
      <c r="I879"/>
      <c r="R879"/>
    </row>
    <row r="880" spans="9:18" x14ac:dyDescent="0.15">
      <c r="I880"/>
      <c r="R880"/>
    </row>
    <row r="881" spans="9:18" x14ac:dyDescent="0.15">
      <c r="I881"/>
      <c r="R881"/>
    </row>
    <row r="882" spans="9:18" x14ac:dyDescent="0.15">
      <c r="I882"/>
      <c r="R882"/>
    </row>
    <row r="883" spans="9:18" x14ac:dyDescent="0.15">
      <c r="I883"/>
      <c r="R883"/>
    </row>
    <row r="884" spans="9:18" x14ac:dyDescent="0.15">
      <c r="I884"/>
      <c r="R884"/>
    </row>
    <row r="885" spans="9:18" x14ac:dyDescent="0.15">
      <c r="I885"/>
      <c r="R885"/>
    </row>
    <row r="886" spans="9:18" x14ac:dyDescent="0.15">
      <c r="I886"/>
      <c r="R886"/>
    </row>
    <row r="887" spans="9:18" x14ac:dyDescent="0.15">
      <c r="I887"/>
      <c r="R887"/>
    </row>
    <row r="888" spans="9:18" x14ac:dyDescent="0.15">
      <c r="I888"/>
      <c r="R888"/>
    </row>
    <row r="889" spans="9:18" x14ac:dyDescent="0.15">
      <c r="I889"/>
      <c r="R889"/>
    </row>
    <row r="890" spans="9:18" x14ac:dyDescent="0.15">
      <c r="I890"/>
      <c r="R890"/>
    </row>
    <row r="891" spans="9:18" x14ac:dyDescent="0.15">
      <c r="I891"/>
      <c r="R891"/>
    </row>
    <row r="892" spans="9:18" x14ac:dyDescent="0.15">
      <c r="I892"/>
      <c r="R892"/>
    </row>
    <row r="893" spans="9:18" x14ac:dyDescent="0.15">
      <c r="I893"/>
      <c r="R893"/>
    </row>
    <row r="894" spans="9:18" x14ac:dyDescent="0.15">
      <c r="I894"/>
      <c r="R894"/>
    </row>
    <row r="895" spans="9:18" x14ac:dyDescent="0.15">
      <c r="I895"/>
      <c r="R895"/>
    </row>
    <row r="896" spans="9:18" x14ac:dyDescent="0.15">
      <c r="I896"/>
      <c r="R896"/>
    </row>
    <row r="897" spans="9:18" x14ac:dyDescent="0.15">
      <c r="I897"/>
      <c r="R897"/>
    </row>
    <row r="898" spans="9:18" x14ac:dyDescent="0.15">
      <c r="I898"/>
      <c r="R898"/>
    </row>
    <row r="899" spans="9:18" x14ac:dyDescent="0.15">
      <c r="I899"/>
      <c r="R899"/>
    </row>
    <row r="900" spans="9:18" x14ac:dyDescent="0.15">
      <c r="I900"/>
      <c r="R900"/>
    </row>
    <row r="901" spans="9:18" x14ac:dyDescent="0.15">
      <c r="I901"/>
      <c r="R901"/>
    </row>
    <row r="902" spans="9:18" x14ac:dyDescent="0.15">
      <c r="I902"/>
      <c r="R902"/>
    </row>
    <row r="903" spans="9:18" x14ac:dyDescent="0.15">
      <c r="I903"/>
      <c r="R903"/>
    </row>
    <row r="904" spans="9:18" x14ac:dyDescent="0.15">
      <c r="I904"/>
      <c r="R904"/>
    </row>
    <row r="905" spans="9:18" x14ac:dyDescent="0.15">
      <c r="I905"/>
      <c r="R905"/>
    </row>
    <row r="906" spans="9:18" x14ac:dyDescent="0.15">
      <c r="I906"/>
      <c r="R906"/>
    </row>
    <row r="907" spans="9:18" x14ac:dyDescent="0.15">
      <c r="I907"/>
      <c r="R907"/>
    </row>
    <row r="908" spans="9:18" x14ac:dyDescent="0.15">
      <c r="I908"/>
      <c r="R908"/>
    </row>
    <row r="909" spans="9:18" x14ac:dyDescent="0.15">
      <c r="I909"/>
      <c r="R909"/>
    </row>
    <row r="910" spans="9:18" x14ac:dyDescent="0.15">
      <c r="I910"/>
      <c r="R910"/>
    </row>
    <row r="911" spans="9:18" x14ac:dyDescent="0.15">
      <c r="I911"/>
      <c r="R911"/>
    </row>
    <row r="912" spans="9:18" x14ac:dyDescent="0.15">
      <c r="I912"/>
      <c r="R912"/>
    </row>
    <row r="913" spans="9:18" x14ac:dyDescent="0.15">
      <c r="I913"/>
      <c r="R913"/>
    </row>
    <row r="914" spans="9:18" x14ac:dyDescent="0.15">
      <c r="I914"/>
      <c r="R914"/>
    </row>
    <row r="915" spans="9:18" x14ac:dyDescent="0.15">
      <c r="I915"/>
      <c r="R915"/>
    </row>
    <row r="916" spans="9:18" x14ac:dyDescent="0.15">
      <c r="I916"/>
      <c r="R916"/>
    </row>
    <row r="917" spans="9:18" x14ac:dyDescent="0.15">
      <c r="I917"/>
      <c r="R917"/>
    </row>
    <row r="918" spans="9:18" x14ac:dyDescent="0.15">
      <c r="I918"/>
      <c r="R918"/>
    </row>
    <row r="919" spans="9:18" x14ac:dyDescent="0.15">
      <c r="I919"/>
      <c r="R919"/>
    </row>
    <row r="920" spans="9:18" x14ac:dyDescent="0.15">
      <c r="I920"/>
      <c r="R920"/>
    </row>
    <row r="921" spans="9:18" x14ac:dyDescent="0.15">
      <c r="I921"/>
      <c r="R921"/>
    </row>
    <row r="922" spans="9:18" x14ac:dyDescent="0.15">
      <c r="I922"/>
      <c r="R922"/>
    </row>
    <row r="923" spans="9:18" x14ac:dyDescent="0.15">
      <c r="I923"/>
      <c r="R923"/>
    </row>
    <row r="924" spans="9:18" x14ac:dyDescent="0.15">
      <c r="I924"/>
      <c r="R924"/>
    </row>
    <row r="925" spans="9:18" x14ac:dyDescent="0.15">
      <c r="I925"/>
      <c r="R925"/>
    </row>
    <row r="926" spans="9:18" x14ac:dyDescent="0.15">
      <c r="I926"/>
      <c r="R926"/>
    </row>
    <row r="927" spans="9:18" x14ac:dyDescent="0.15">
      <c r="I927"/>
      <c r="R927"/>
    </row>
    <row r="928" spans="9:18" x14ac:dyDescent="0.15">
      <c r="I928"/>
      <c r="R928"/>
    </row>
    <row r="929" spans="9:18" x14ac:dyDescent="0.15">
      <c r="I929"/>
      <c r="R929"/>
    </row>
    <row r="930" spans="9:18" x14ac:dyDescent="0.15">
      <c r="I930"/>
      <c r="R930"/>
    </row>
    <row r="931" spans="9:18" x14ac:dyDescent="0.15">
      <c r="I931"/>
      <c r="R931"/>
    </row>
    <row r="932" spans="9:18" x14ac:dyDescent="0.15">
      <c r="I932"/>
      <c r="R932"/>
    </row>
    <row r="933" spans="9:18" x14ac:dyDescent="0.15">
      <c r="I933"/>
      <c r="R933"/>
    </row>
    <row r="934" spans="9:18" x14ac:dyDescent="0.15">
      <c r="I934"/>
      <c r="R934"/>
    </row>
    <row r="935" spans="9:18" x14ac:dyDescent="0.15">
      <c r="I935"/>
      <c r="R935"/>
    </row>
    <row r="936" spans="9:18" x14ac:dyDescent="0.15">
      <c r="I936"/>
      <c r="R936"/>
    </row>
    <row r="937" spans="9:18" x14ac:dyDescent="0.15">
      <c r="I937"/>
      <c r="R937"/>
    </row>
    <row r="938" spans="9:18" x14ac:dyDescent="0.15">
      <c r="I938"/>
      <c r="R938"/>
    </row>
    <row r="939" spans="9:18" x14ac:dyDescent="0.15">
      <c r="I939"/>
      <c r="R939"/>
    </row>
    <row r="940" spans="9:18" x14ac:dyDescent="0.15">
      <c r="I940"/>
      <c r="R940"/>
    </row>
    <row r="941" spans="9:18" x14ac:dyDescent="0.15">
      <c r="I941"/>
      <c r="R941"/>
    </row>
    <row r="942" spans="9:18" x14ac:dyDescent="0.15">
      <c r="I942"/>
      <c r="R942"/>
    </row>
    <row r="943" spans="9:18" x14ac:dyDescent="0.15">
      <c r="I943"/>
      <c r="R943"/>
    </row>
    <row r="944" spans="9:18" x14ac:dyDescent="0.15">
      <c r="I944"/>
      <c r="R944"/>
    </row>
    <row r="945" spans="9:18" x14ac:dyDescent="0.15">
      <c r="I945"/>
      <c r="R945"/>
    </row>
    <row r="946" spans="9:18" x14ac:dyDescent="0.15">
      <c r="I946"/>
      <c r="R946"/>
    </row>
    <row r="947" spans="9:18" x14ac:dyDescent="0.15">
      <c r="I947"/>
      <c r="R947"/>
    </row>
    <row r="948" spans="9:18" x14ac:dyDescent="0.15">
      <c r="I948"/>
      <c r="R948"/>
    </row>
    <row r="949" spans="9:18" x14ac:dyDescent="0.15">
      <c r="I949"/>
      <c r="R949"/>
    </row>
    <row r="950" spans="9:18" x14ac:dyDescent="0.15">
      <c r="I950"/>
      <c r="R950"/>
    </row>
    <row r="951" spans="9:18" x14ac:dyDescent="0.15">
      <c r="I951"/>
      <c r="R951"/>
    </row>
    <row r="952" spans="9:18" x14ac:dyDescent="0.15">
      <c r="I952"/>
      <c r="R952"/>
    </row>
    <row r="953" spans="9:18" x14ac:dyDescent="0.15">
      <c r="I953"/>
      <c r="R953"/>
    </row>
    <row r="954" spans="9:18" x14ac:dyDescent="0.15">
      <c r="I954"/>
      <c r="R954"/>
    </row>
    <row r="955" spans="9:18" x14ac:dyDescent="0.15">
      <c r="I955"/>
      <c r="R955"/>
    </row>
    <row r="956" spans="9:18" x14ac:dyDescent="0.15">
      <c r="I956"/>
      <c r="R956"/>
    </row>
    <row r="957" spans="9:18" x14ac:dyDescent="0.15">
      <c r="I957"/>
      <c r="R957"/>
    </row>
    <row r="958" spans="9:18" x14ac:dyDescent="0.15">
      <c r="I958"/>
      <c r="R958"/>
    </row>
    <row r="959" spans="9:18" x14ac:dyDescent="0.15">
      <c r="I959"/>
      <c r="R959"/>
    </row>
    <row r="960" spans="9:18" x14ac:dyDescent="0.15">
      <c r="I960"/>
      <c r="R960"/>
    </row>
    <row r="961" spans="9:18" x14ac:dyDescent="0.15">
      <c r="I961"/>
      <c r="R961"/>
    </row>
    <row r="962" spans="9:18" x14ac:dyDescent="0.15">
      <c r="I962"/>
      <c r="R962"/>
    </row>
    <row r="963" spans="9:18" x14ac:dyDescent="0.15">
      <c r="I963"/>
      <c r="R963"/>
    </row>
    <row r="964" spans="9:18" x14ac:dyDescent="0.15">
      <c r="I964"/>
      <c r="R964"/>
    </row>
    <row r="965" spans="9:18" x14ac:dyDescent="0.15">
      <c r="I965"/>
      <c r="R965"/>
    </row>
    <row r="966" spans="9:18" x14ac:dyDescent="0.15">
      <c r="I966"/>
      <c r="R966"/>
    </row>
    <row r="967" spans="9:18" x14ac:dyDescent="0.15">
      <c r="I967"/>
      <c r="R967"/>
    </row>
    <row r="968" spans="9:18" x14ac:dyDescent="0.15">
      <c r="I968"/>
      <c r="R968"/>
    </row>
    <row r="969" spans="9:18" x14ac:dyDescent="0.15">
      <c r="I969"/>
      <c r="R969"/>
    </row>
    <row r="970" spans="9:18" x14ac:dyDescent="0.15">
      <c r="I970"/>
      <c r="R970"/>
    </row>
    <row r="971" spans="9:18" x14ac:dyDescent="0.15">
      <c r="I971"/>
      <c r="R971"/>
    </row>
    <row r="972" spans="9:18" x14ac:dyDescent="0.15">
      <c r="I972"/>
      <c r="R972"/>
    </row>
    <row r="973" spans="9:18" x14ac:dyDescent="0.15">
      <c r="I973"/>
      <c r="R973"/>
    </row>
    <row r="974" spans="9:18" x14ac:dyDescent="0.15">
      <c r="I974"/>
      <c r="R974"/>
    </row>
    <row r="975" spans="9:18" x14ac:dyDescent="0.15">
      <c r="I975"/>
      <c r="R975"/>
    </row>
    <row r="976" spans="9:18" x14ac:dyDescent="0.15">
      <c r="I976"/>
      <c r="R976"/>
    </row>
    <row r="977" spans="9:18" x14ac:dyDescent="0.15">
      <c r="I977"/>
      <c r="R977"/>
    </row>
    <row r="978" spans="9:18" x14ac:dyDescent="0.15">
      <c r="I978"/>
      <c r="R978"/>
    </row>
    <row r="979" spans="9:18" x14ac:dyDescent="0.15">
      <c r="I979"/>
      <c r="R979"/>
    </row>
    <row r="980" spans="9:18" x14ac:dyDescent="0.15">
      <c r="I980"/>
      <c r="R980"/>
    </row>
    <row r="981" spans="9:18" x14ac:dyDescent="0.15">
      <c r="I981"/>
      <c r="R981"/>
    </row>
    <row r="982" spans="9:18" x14ac:dyDescent="0.15">
      <c r="I982"/>
      <c r="R982"/>
    </row>
    <row r="983" spans="9:18" x14ac:dyDescent="0.15">
      <c r="I983"/>
      <c r="R983"/>
    </row>
    <row r="984" spans="9:18" x14ac:dyDescent="0.15">
      <c r="I984"/>
      <c r="R984"/>
    </row>
    <row r="985" spans="9:18" x14ac:dyDescent="0.15">
      <c r="I985"/>
      <c r="R985"/>
    </row>
    <row r="986" spans="9:18" x14ac:dyDescent="0.15">
      <c r="I986"/>
      <c r="R986"/>
    </row>
    <row r="987" spans="9:18" x14ac:dyDescent="0.15">
      <c r="I987"/>
      <c r="R987"/>
    </row>
    <row r="988" spans="9:18" x14ac:dyDescent="0.15">
      <c r="I988"/>
      <c r="R988"/>
    </row>
    <row r="989" spans="9:18" x14ac:dyDescent="0.15">
      <c r="I989"/>
      <c r="R989"/>
    </row>
    <row r="990" spans="9:18" x14ac:dyDescent="0.15">
      <c r="I990"/>
      <c r="R990"/>
    </row>
    <row r="991" spans="9:18" x14ac:dyDescent="0.15">
      <c r="I991"/>
      <c r="R991"/>
    </row>
    <row r="992" spans="9:18" x14ac:dyDescent="0.15">
      <c r="I992"/>
      <c r="R992"/>
    </row>
    <row r="993" spans="9:18" x14ac:dyDescent="0.15">
      <c r="I993"/>
      <c r="R993"/>
    </row>
    <row r="994" spans="9:18" x14ac:dyDescent="0.15">
      <c r="I994"/>
      <c r="R994"/>
    </row>
    <row r="995" spans="9:18" x14ac:dyDescent="0.15">
      <c r="I995"/>
      <c r="R995"/>
    </row>
    <row r="996" spans="9:18" x14ac:dyDescent="0.15">
      <c r="I996"/>
      <c r="R996"/>
    </row>
    <row r="997" spans="9:18" x14ac:dyDescent="0.15">
      <c r="I997"/>
      <c r="R997"/>
    </row>
    <row r="998" spans="9:18" x14ac:dyDescent="0.15">
      <c r="I998"/>
      <c r="R998"/>
    </row>
    <row r="999" spans="9:18" x14ac:dyDescent="0.15">
      <c r="I999"/>
      <c r="R999"/>
    </row>
    <row r="1000" spans="9:18" x14ac:dyDescent="0.15">
      <c r="I1000"/>
      <c r="R1000"/>
    </row>
    <row r="1001" spans="9:18" x14ac:dyDescent="0.15">
      <c r="I1001"/>
      <c r="R1001"/>
    </row>
    <row r="1002" spans="9:18" x14ac:dyDescent="0.15">
      <c r="I1002"/>
      <c r="R1002"/>
    </row>
    <row r="1003" spans="9:18" x14ac:dyDescent="0.15">
      <c r="I1003"/>
      <c r="R1003"/>
    </row>
    <row r="1004" spans="9:18" x14ac:dyDescent="0.15">
      <c r="I1004"/>
      <c r="R1004"/>
    </row>
    <row r="1005" spans="9:18" x14ac:dyDescent="0.15">
      <c r="I1005"/>
      <c r="R1005"/>
    </row>
    <row r="1006" spans="9:18" x14ac:dyDescent="0.15">
      <c r="I1006"/>
      <c r="R1006"/>
    </row>
    <row r="1007" spans="9:18" x14ac:dyDescent="0.15">
      <c r="I1007"/>
      <c r="R1007"/>
    </row>
    <row r="1008" spans="9:18" x14ac:dyDescent="0.15">
      <c r="I1008"/>
      <c r="R1008"/>
    </row>
    <row r="1009" spans="9:18" x14ac:dyDescent="0.15">
      <c r="I1009"/>
      <c r="R1009"/>
    </row>
    <row r="1010" spans="9:18" x14ac:dyDescent="0.15">
      <c r="I1010"/>
      <c r="R1010"/>
    </row>
    <row r="1011" spans="9:18" x14ac:dyDescent="0.15">
      <c r="I1011"/>
      <c r="R1011"/>
    </row>
    <row r="1012" spans="9:18" x14ac:dyDescent="0.15">
      <c r="I1012"/>
      <c r="R1012"/>
    </row>
    <row r="1013" spans="9:18" x14ac:dyDescent="0.15">
      <c r="I1013"/>
      <c r="R1013"/>
    </row>
    <row r="1014" spans="9:18" x14ac:dyDescent="0.15">
      <c r="I1014"/>
      <c r="R1014"/>
    </row>
    <row r="1015" spans="9:18" x14ac:dyDescent="0.15">
      <c r="I1015"/>
      <c r="R1015"/>
    </row>
    <row r="1016" spans="9:18" x14ac:dyDescent="0.15">
      <c r="I1016"/>
      <c r="R1016"/>
    </row>
    <row r="1017" spans="9:18" x14ac:dyDescent="0.15">
      <c r="I1017"/>
      <c r="R1017"/>
    </row>
    <row r="1018" spans="9:18" x14ac:dyDescent="0.15">
      <c r="I1018"/>
      <c r="R1018"/>
    </row>
    <row r="1019" spans="9:18" x14ac:dyDescent="0.15">
      <c r="I1019"/>
      <c r="R1019"/>
    </row>
    <row r="1020" spans="9:18" x14ac:dyDescent="0.15">
      <c r="I1020"/>
      <c r="R1020"/>
    </row>
    <row r="1021" spans="9:18" x14ac:dyDescent="0.15">
      <c r="I1021"/>
      <c r="R1021"/>
    </row>
    <row r="1022" spans="9:18" x14ac:dyDescent="0.15">
      <c r="I1022"/>
      <c r="R1022"/>
    </row>
    <row r="1023" spans="9:18" x14ac:dyDescent="0.15">
      <c r="I1023"/>
      <c r="R1023"/>
    </row>
    <row r="1024" spans="9:18" x14ac:dyDescent="0.15">
      <c r="I1024"/>
      <c r="R1024"/>
    </row>
    <row r="1025" spans="9:18" x14ac:dyDescent="0.15">
      <c r="I1025"/>
      <c r="R1025"/>
    </row>
    <row r="1026" spans="9:18" x14ac:dyDescent="0.15">
      <c r="I1026"/>
      <c r="R1026"/>
    </row>
    <row r="1027" spans="9:18" x14ac:dyDescent="0.15">
      <c r="I1027"/>
      <c r="R1027"/>
    </row>
    <row r="1028" spans="9:18" x14ac:dyDescent="0.15">
      <c r="I1028"/>
      <c r="R1028"/>
    </row>
    <row r="1029" spans="9:18" x14ac:dyDescent="0.15">
      <c r="I1029"/>
      <c r="R1029"/>
    </row>
    <row r="1030" spans="9:18" x14ac:dyDescent="0.15">
      <c r="I1030"/>
      <c r="R1030"/>
    </row>
    <row r="1031" spans="9:18" x14ac:dyDescent="0.15">
      <c r="I1031"/>
      <c r="R1031"/>
    </row>
    <row r="1032" spans="9:18" x14ac:dyDescent="0.15">
      <c r="I1032"/>
      <c r="R1032"/>
    </row>
    <row r="1033" spans="9:18" x14ac:dyDescent="0.15">
      <c r="I1033"/>
      <c r="R1033"/>
    </row>
    <row r="1034" spans="9:18" x14ac:dyDescent="0.15">
      <c r="I1034"/>
      <c r="R1034"/>
    </row>
    <row r="1035" spans="9:18" x14ac:dyDescent="0.15">
      <c r="I1035"/>
      <c r="R1035"/>
    </row>
    <row r="1036" spans="9:18" x14ac:dyDescent="0.15">
      <c r="I1036"/>
      <c r="R1036"/>
    </row>
    <row r="1037" spans="9:18" x14ac:dyDescent="0.15">
      <c r="I1037"/>
      <c r="R1037"/>
    </row>
    <row r="1038" spans="9:18" x14ac:dyDescent="0.15">
      <c r="I1038"/>
      <c r="R1038"/>
    </row>
    <row r="1039" spans="9:18" x14ac:dyDescent="0.15">
      <c r="I1039"/>
      <c r="R1039"/>
    </row>
    <row r="1040" spans="9:18" x14ac:dyDescent="0.15">
      <c r="I1040"/>
      <c r="R1040"/>
    </row>
    <row r="1041" spans="9:18" x14ac:dyDescent="0.15">
      <c r="I1041"/>
      <c r="R1041"/>
    </row>
    <row r="1042" spans="9:18" x14ac:dyDescent="0.15">
      <c r="I1042"/>
      <c r="R1042"/>
    </row>
    <row r="1043" spans="9:18" x14ac:dyDescent="0.15">
      <c r="I1043"/>
      <c r="R1043"/>
    </row>
    <row r="1044" spans="9:18" x14ac:dyDescent="0.15">
      <c r="I1044"/>
      <c r="R1044"/>
    </row>
    <row r="1045" spans="9:18" x14ac:dyDescent="0.15">
      <c r="I1045"/>
      <c r="R1045"/>
    </row>
    <row r="1046" spans="9:18" x14ac:dyDescent="0.15">
      <c r="I1046"/>
      <c r="R1046"/>
    </row>
    <row r="1047" spans="9:18" x14ac:dyDescent="0.15">
      <c r="I1047"/>
      <c r="R1047"/>
    </row>
    <row r="1048" spans="9:18" x14ac:dyDescent="0.15">
      <c r="I1048"/>
      <c r="R1048"/>
    </row>
    <row r="1049" spans="9:18" x14ac:dyDescent="0.15">
      <c r="I1049"/>
      <c r="R1049"/>
    </row>
    <row r="1050" spans="9:18" x14ac:dyDescent="0.15">
      <c r="I1050"/>
      <c r="R1050"/>
    </row>
    <row r="1051" spans="9:18" x14ac:dyDescent="0.15">
      <c r="I1051"/>
      <c r="R1051"/>
    </row>
    <row r="1052" spans="9:18" x14ac:dyDescent="0.15">
      <c r="I1052"/>
      <c r="R1052"/>
    </row>
    <row r="1053" spans="9:18" x14ac:dyDescent="0.15">
      <c r="I1053"/>
      <c r="R1053"/>
    </row>
    <row r="1054" spans="9:18" x14ac:dyDescent="0.15">
      <c r="I1054"/>
      <c r="R1054"/>
    </row>
    <row r="1055" spans="9:18" x14ac:dyDescent="0.15">
      <c r="I1055"/>
      <c r="R1055"/>
    </row>
    <row r="1056" spans="9:18" x14ac:dyDescent="0.15">
      <c r="I1056"/>
      <c r="R1056"/>
    </row>
    <row r="1057" spans="9:18" x14ac:dyDescent="0.15">
      <c r="I1057"/>
      <c r="R1057"/>
    </row>
    <row r="1058" spans="9:18" x14ac:dyDescent="0.15">
      <c r="I1058"/>
      <c r="R1058"/>
    </row>
    <row r="1059" spans="9:18" x14ac:dyDescent="0.15">
      <c r="I1059"/>
      <c r="R1059"/>
    </row>
    <row r="1060" spans="9:18" x14ac:dyDescent="0.15">
      <c r="I1060"/>
      <c r="R1060"/>
    </row>
    <row r="1061" spans="9:18" x14ac:dyDescent="0.15">
      <c r="I1061"/>
      <c r="R1061"/>
    </row>
    <row r="1062" spans="9:18" x14ac:dyDescent="0.15">
      <c r="I1062"/>
      <c r="R1062"/>
    </row>
    <row r="1063" spans="9:18" x14ac:dyDescent="0.15">
      <c r="I1063"/>
      <c r="R1063"/>
    </row>
    <row r="1064" spans="9:18" x14ac:dyDescent="0.15">
      <c r="I1064"/>
      <c r="R1064"/>
    </row>
    <row r="1065" spans="9:18" x14ac:dyDescent="0.15">
      <c r="I1065"/>
      <c r="R1065"/>
    </row>
    <row r="1066" spans="9:18" x14ac:dyDescent="0.15">
      <c r="I1066"/>
      <c r="R1066"/>
    </row>
    <row r="1067" spans="9:18" x14ac:dyDescent="0.15">
      <c r="I1067"/>
      <c r="R1067"/>
    </row>
    <row r="1068" spans="9:18" x14ac:dyDescent="0.15">
      <c r="I1068"/>
      <c r="R1068"/>
    </row>
    <row r="1069" spans="9:18" x14ac:dyDescent="0.15">
      <c r="I1069"/>
      <c r="R1069"/>
    </row>
    <row r="1070" spans="9:18" x14ac:dyDescent="0.15">
      <c r="I1070"/>
      <c r="R1070"/>
    </row>
    <row r="1071" spans="9:18" x14ac:dyDescent="0.15">
      <c r="I1071"/>
      <c r="R1071"/>
    </row>
    <row r="1072" spans="9:18" x14ac:dyDescent="0.15">
      <c r="I1072"/>
      <c r="R1072"/>
    </row>
    <row r="1073" spans="9:18" x14ac:dyDescent="0.15">
      <c r="I1073"/>
      <c r="R1073"/>
    </row>
    <row r="1074" spans="9:18" x14ac:dyDescent="0.15">
      <c r="I1074"/>
      <c r="R1074"/>
    </row>
    <row r="1075" spans="9:18" x14ac:dyDescent="0.15">
      <c r="I1075"/>
      <c r="R1075"/>
    </row>
    <row r="1076" spans="9:18" x14ac:dyDescent="0.15">
      <c r="I1076"/>
      <c r="R1076"/>
    </row>
    <row r="1077" spans="9:18" x14ac:dyDescent="0.15">
      <c r="I1077"/>
      <c r="R1077"/>
    </row>
    <row r="1078" spans="9:18" x14ac:dyDescent="0.15">
      <c r="I1078"/>
      <c r="R1078"/>
    </row>
    <row r="1079" spans="9:18" x14ac:dyDescent="0.15">
      <c r="I1079"/>
      <c r="R1079"/>
    </row>
    <row r="1080" spans="9:18" x14ac:dyDescent="0.15">
      <c r="I1080"/>
      <c r="R1080"/>
    </row>
    <row r="1081" spans="9:18" x14ac:dyDescent="0.15">
      <c r="I1081"/>
      <c r="R1081"/>
    </row>
    <row r="1082" spans="9:18" x14ac:dyDescent="0.15">
      <c r="I1082"/>
      <c r="R1082"/>
    </row>
    <row r="1083" spans="9:18" x14ac:dyDescent="0.15">
      <c r="I1083"/>
      <c r="R1083"/>
    </row>
    <row r="1084" spans="9:18" x14ac:dyDescent="0.15">
      <c r="I1084"/>
      <c r="R1084"/>
    </row>
    <row r="1085" spans="9:18" x14ac:dyDescent="0.15">
      <c r="I1085"/>
      <c r="R1085"/>
    </row>
    <row r="1086" spans="9:18" x14ac:dyDescent="0.15">
      <c r="I1086"/>
      <c r="R1086"/>
    </row>
    <row r="1087" spans="9:18" x14ac:dyDescent="0.15">
      <c r="I1087"/>
      <c r="R1087"/>
    </row>
    <row r="1088" spans="9:18" x14ac:dyDescent="0.15">
      <c r="I1088"/>
      <c r="R1088"/>
    </row>
    <row r="1089" spans="9:18" x14ac:dyDescent="0.15">
      <c r="I1089"/>
      <c r="R1089"/>
    </row>
    <row r="1090" spans="9:18" x14ac:dyDescent="0.15">
      <c r="I1090"/>
      <c r="R1090"/>
    </row>
    <row r="1091" spans="9:18" x14ac:dyDescent="0.15">
      <c r="I1091"/>
      <c r="R1091"/>
    </row>
    <row r="1092" spans="9:18" x14ac:dyDescent="0.15">
      <c r="I1092"/>
      <c r="R1092"/>
    </row>
    <row r="1093" spans="9:18" x14ac:dyDescent="0.15">
      <c r="I1093"/>
      <c r="R1093"/>
    </row>
    <row r="1094" spans="9:18" x14ac:dyDescent="0.15">
      <c r="I1094"/>
      <c r="R1094"/>
    </row>
    <row r="1095" spans="9:18" x14ac:dyDescent="0.15">
      <c r="I1095"/>
      <c r="R1095"/>
    </row>
    <row r="1096" spans="9:18" x14ac:dyDescent="0.15">
      <c r="I1096"/>
      <c r="R1096"/>
    </row>
    <row r="1097" spans="9:18" x14ac:dyDescent="0.15">
      <c r="I1097"/>
      <c r="R1097"/>
    </row>
    <row r="1098" spans="9:18" x14ac:dyDescent="0.15">
      <c r="I1098"/>
      <c r="R1098"/>
    </row>
    <row r="1099" spans="9:18" x14ac:dyDescent="0.15">
      <c r="I1099"/>
      <c r="R1099"/>
    </row>
    <row r="1100" spans="9:18" x14ac:dyDescent="0.15">
      <c r="I1100"/>
      <c r="R1100"/>
    </row>
    <row r="1101" spans="9:18" x14ac:dyDescent="0.15">
      <c r="I1101"/>
      <c r="R1101"/>
    </row>
    <row r="1102" spans="9:18" x14ac:dyDescent="0.15">
      <c r="I1102"/>
      <c r="R1102"/>
    </row>
    <row r="1103" spans="9:18" x14ac:dyDescent="0.15">
      <c r="I1103"/>
      <c r="R1103"/>
    </row>
    <row r="1104" spans="9:18" x14ac:dyDescent="0.15">
      <c r="I1104"/>
      <c r="R1104"/>
    </row>
    <row r="1105" spans="9:18" x14ac:dyDescent="0.15">
      <c r="I1105"/>
      <c r="R1105"/>
    </row>
    <row r="1106" spans="9:18" x14ac:dyDescent="0.15">
      <c r="I1106"/>
      <c r="R1106"/>
    </row>
    <row r="1107" spans="9:18" x14ac:dyDescent="0.15">
      <c r="I1107"/>
      <c r="R1107"/>
    </row>
    <row r="1108" spans="9:18" x14ac:dyDescent="0.15">
      <c r="I1108"/>
      <c r="R1108"/>
    </row>
    <row r="1109" spans="9:18" x14ac:dyDescent="0.15">
      <c r="I1109"/>
      <c r="R1109"/>
    </row>
    <row r="1110" spans="9:18" x14ac:dyDescent="0.15">
      <c r="I1110"/>
      <c r="R1110"/>
    </row>
    <row r="1111" spans="9:18" x14ac:dyDescent="0.15">
      <c r="I1111"/>
      <c r="R1111"/>
    </row>
    <row r="1112" spans="9:18" x14ac:dyDescent="0.15">
      <c r="I1112"/>
      <c r="R1112"/>
    </row>
    <row r="1113" spans="9:18" x14ac:dyDescent="0.15">
      <c r="I1113"/>
      <c r="R1113"/>
    </row>
    <row r="1114" spans="9:18" x14ac:dyDescent="0.15">
      <c r="I1114"/>
      <c r="R1114"/>
    </row>
    <row r="1115" spans="9:18" x14ac:dyDescent="0.15">
      <c r="I1115"/>
      <c r="R1115"/>
    </row>
    <row r="1116" spans="9:18" x14ac:dyDescent="0.15">
      <c r="I1116"/>
      <c r="R1116"/>
    </row>
    <row r="1117" spans="9:18" x14ac:dyDescent="0.15">
      <c r="I1117"/>
      <c r="R1117"/>
    </row>
    <row r="1118" spans="9:18" x14ac:dyDescent="0.15">
      <c r="I1118"/>
      <c r="R1118"/>
    </row>
    <row r="1119" spans="9:18" x14ac:dyDescent="0.15">
      <c r="I1119"/>
      <c r="R1119"/>
    </row>
    <row r="1120" spans="9:18" x14ac:dyDescent="0.15">
      <c r="I1120"/>
      <c r="R1120"/>
    </row>
    <row r="1121" spans="9:18" x14ac:dyDescent="0.15">
      <c r="I1121"/>
      <c r="R1121"/>
    </row>
    <row r="1122" spans="9:18" x14ac:dyDescent="0.15">
      <c r="I1122"/>
      <c r="R1122"/>
    </row>
    <row r="1123" spans="9:18" x14ac:dyDescent="0.15">
      <c r="I1123"/>
      <c r="R1123"/>
    </row>
    <row r="1124" spans="9:18" x14ac:dyDescent="0.15">
      <c r="I1124"/>
      <c r="R1124"/>
    </row>
    <row r="1125" spans="9:18" x14ac:dyDescent="0.15">
      <c r="I1125"/>
      <c r="R1125"/>
    </row>
    <row r="1126" spans="9:18" x14ac:dyDescent="0.15">
      <c r="I1126"/>
      <c r="R1126"/>
    </row>
    <row r="1127" spans="9:18" x14ac:dyDescent="0.15">
      <c r="I1127"/>
      <c r="R1127"/>
    </row>
    <row r="1128" spans="9:18" x14ac:dyDescent="0.15">
      <c r="I1128"/>
      <c r="R1128"/>
    </row>
    <row r="1129" spans="9:18" x14ac:dyDescent="0.15">
      <c r="I1129"/>
      <c r="R1129"/>
    </row>
    <row r="1130" spans="9:18" x14ac:dyDescent="0.15">
      <c r="I1130"/>
      <c r="R1130"/>
    </row>
    <row r="1131" spans="9:18" x14ac:dyDescent="0.15">
      <c r="I1131"/>
      <c r="R1131"/>
    </row>
    <row r="1132" spans="9:18" x14ac:dyDescent="0.15">
      <c r="I1132"/>
      <c r="R1132"/>
    </row>
    <row r="1133" spans="9:18" x14ac:dyDescent="0.15">
      <c r="I1133"/>
      <c r="R1133"/>
    </row>
    <row r="1134" spans="9:18" x14ac:dyDescent="0.15">
      <c r="I1134"/>
      <c r="R1134"/>
    </row>
    <row r="1135" spans="9:18" x14ac:dyDescent="0.15">
      <c r="I1135"/>
      <c r="R1135"/>
    </row>
    <row r="1136" spans="9:18" x14ac:dyDescent="0.15">
      <c r="I1136"/>
      <c r="R1136"/>
    </row>
    <row r="1137" spans="9:18" x14ac:dyDescent="0.15">
      <c r="I1137"/>
      <c r="R1137"/>
    </row>
    <row r="1138" spans="9:18" x14ac:dyDescent="0.15">
      <c r="I1138"/>
      <c r="R1138"/>
    </row>
    <row r="1139" spans="9:18" x14ac:dyDescent="0.15">
      <c r="I1139"/>
      <c r="R1139"/>
    </row>
    <row r="1140" spans="9:18" x14ac:dyDescent="0.15">
      <c r="I1140"/>
      <c r="R1140"/>
    </row>
    <row r="1141" spans="9:18" x14ac:dyDescent="0.15">
      <c r="I1141"/>
      <c r="R1141"/>
    </row>
    <row r="1142" spans="9:18" x14ac:dyDescent="0.15">
      <c r="I1142"/>
      <c r="R1142"/>
    </row>
    <row r="1143" spans="9:18" x14ac:dyDescent="0.15">
      <c r="I1143"/>
      <c r="R1143"/>
    </row>
    <row r="1144" spans="9:18" x14ac:dyDescent="0.15">
      <c r="I1144"/>
      <c r="R1144"/>
    </row>
    <row r="1145" spans="9:18" x14ac:dyDescent="0.15">
      <c r="I1145"/>
      <c r="R1145"/>
    </row>
    <row r="1146" spans="9:18" x14ac:dyDescent="0.15">
      <c r="I1146"/>
      <c r="R1146"/>
    </row>
    <row r="1147" spans="9:18" x14ac:dyDescent="0.15">
      <c r="I1147"/>
      <c r="R1147"/>
    </row>
    <row r="1148" spans="9:18" x14ac:dyDescent="0.15">
      <c r="I1148"/>
      <c r="R1148"/>
    </row>
    <row r="1149" spans="9:18" x14ac:dyDescent="0.15">
      <c r="I1149"/>
      <c r="R1149"/>
    </row>
    <row r="1150" spans="9:18" x14ac:dyDescent="0.15">
      <c r="I1150"/>
      <c r="R1150"/>
    </row>
    <row r="1151" spans="9:18" x14ac:dyDescent="0.15">
      <c r="I1151"/>
      <c r="R1151"/>
    </row>
    <row r="1152" spans="9:18" x14ac:dyDescent="0.15">
      <c r="I1152"/>
      <c r="R1152"/>
    </row>
    <row r="1153" spans="9:18" x14ac:dyDescent="0.15">
      <c r="I1153"/>
      <c r="R1153"/>
    </row>
    <row r="1154" spans="9:18" x14ac:dyDescent="0.15">
      <c r="I1154"/>
      <c r="R1154"/>
    </row>
    <row r="1155" spans="9:18" x14ac:dyDescent="0.15">
      <c r="I1155"/>
      <c r="R1155"/>
    </row>
    <row r="1156" spans="9:18" x14ac:dyDescent="0.15">
      <c r="I1156"/>
      <c r="R1156"/>
    </row>
    <row r="1157" spans="9:18" x14ac:dyDescent="0.15">
      <c r="I1157"/>
      <c r="R1157"/>
    </row>
    <row r="1158" spans="9:18" x14ac:dyDescent="0.15">
      <c r="I1158"/>
      <c r="R1158"/>
    </row>
    <row r="1159" spans="9:18" x14ac:dyDescent="0.15">
      <c r="I1159"/>
      <c r="R1159"/>
    </row>
    <row r="1160" spans="9:18" x14ac:dyDescent="0.15">
      <c r="I1160"/>
      <c r="R1160"/>
    </row>
    <row r="1161" spans="9:18" x14ac:dyDescent="0.15">
      <c r="I1161"/>
      <c r="R1161"/>
    </row>
    <row r="1162" spans="9:18" x14ac:dyDescent="0.15">
      <c r="I1162"/>
      <c r="R1162"/>
    </row>
    <row r="1163" spans="9:18" x14ac:dyDescent="0.15">
      <c r="I1163"/>
      <c r="R1163"/>
    </row>
    <row r="1164" spans="9:18" x14ac:dyDescent="0.15">
      <c r="I1164"/>
      <c r="R1164"/>
    </row>
    <row r="1165" spans="9:18" x14ac:dyDescent="0.15">
      <c r="I1165"/>
      <c r="R1165"/>
    </row>
    <row r="1166" spans="9:18" x14ac:dyDescent="0.15">
      <c r="I1166"/>
      <c r="R1166"/>
    </row>
    <row r="1167" spans="9:18" x14ac:dyDescent="0.15">
      <c r="I1167"/>
      <c r="R1167"/>
    </row>
    <row r="1168" spans="9:18" x14ac:dyDescent="0.15">
      <c r="I1168"/>
      <c r="R1168"/>
    </row>
    <row r="1169" spans="9:18" x14ac:dyDescent="0.15">
      <c r="I1169"/>
      <c r="R1169"/>
    </row>
    <row r="1170" spans="9:18" x14ac:dyDescent="0.15">
      <c r="I1170"/>
      <c r="R1170"/>
    </row>
    <row r="1171" spans="9:18" x14ac:dyDescent="0.15">
      <c r="I1171"/>
      <c r="R1171"/>
    </row>
    <row r="1172" spans="9:18" x14ac:dyDescent="0.15">
      <c r="I1172"/>
      <c r="R1172"/>
    </row>
    <row r="1173" spans="9:18" x14ac:dyDescent="0.15">
      <c r="I1173"/>
      <c r="R1173"/>
    </row>
    <row r="1174" spans="9:18" x14ac:dyDescent="0.15">
      <c r="I1174"/>
      <c r="R1174"/>
    </row>
    <row r="1175" spans="9:18" x14ac:dyDescent="0.15">
      <c r="I1175"/>
      <c r="R1175"/>
    </row>
    <row r="1176" spans="9:18" x14ac:dyDescent="0.15">
      <c r="I1176"/>
      <c r="R1176"/>
    </row>
    <row r="1177" spans="9:18" x14ac:dyDescent="0.15">
      <c r="I1177"/>
      <c r="R1177"/>
    </row>
    <row r="1178" spans="9:18" x14ac:dyDescent="0.15">
      <c r="I1178"/>
      <c r="R1178"/>
    </row>
    <row r="1179" spans="9:18" x14ac:dyDescent="0.15">
      <c r="I1179"/>
      <c r="R1179"/>
    </row>
    <row r="1180" spans="9:18" x14ac:dyDescent="0.15">
      <c r="I1180"/>
      <c r="R1180"/>
    </row>
    <row r="1181" spans="9:18" x14ac:dyDescent="0.15">
      <c r="I1181"/>
      <c r="R1181"/>
    </row>
    <row r="1182" spans="9:18" x14ac:dyDescent="0.15">
      <c r="I1182"/>
      <c r="R1182"/>
    </row>
    <row r="1183" spans="9:18" x14ac:dyDescent="0.15">
      <c r="I1183"/>
      <c r="R1183"/>
    </row>
    <row r="1184" spans="9:18" x14ac:dyDescent="0.15">
      <c r="I1184"/>
      <c r="R1184"/>
    </row>
    <row r="1185" spans="9:18" x14ac:dyDescent="0.15">
      <c r="I1185"/>
      <c r="R1185"/>
    </row>
    <row r="1186" spans="9:18" x14ac:dyDescent="0.15">
      <c r="I1186"/>
      <c r="R1186"/>
    </row>
    <row r="1187" spans="9:18" x14ac:dyDescent="0.15">
      <c r="I1187"/>
      <c r="R1187"/>
    </row>
    <row r="1188" spans="9:18" x14ac:dyDescent="0.15">
      <c r="I1188"/>
      <c r="R1188"/>
    </row>
    <row r="1189" spans="9:18" x14ac:dyDescent="0.15">
      <c r="I1189"/>
      <c r="R1189"/>
    </row>
    <row r="1190" spans="9:18" x14ac:dyDescent="0.15">
      <c r="I1190"/>
      <c r="R1190"/>
    </row>
    <row r="1191" spans="9:18" x14ac:dyDescent="0.15">
      <c r="I1191"/>
      <c r="R1191"/>
    </row>
    <row r="1192" spans="9:18" x14ac:dyDescent="0.15">
      <c r="I1192"/>
      <c r="R1192"/>
    </row>
    <row r="1193" spans="9:18" x14ac:dyDescent="0.15">
      <c r="I1193"/>
      <c r="R1193"/>
    </row>
    <row r="1194" spans="9:18" x14ac:dyDescent="0.15">
      <c r="I1194"/>
      <c r="R1194"/>
    </row>
    <row r="1195" spans="9:18" x14ac:dyDescent="0.15">
      <c r="I1195"/>
      <c r="R1195"/>
    </row>
    <row r="1196" spans="9:18" x14ac:dyDescent="0.15">
      <c r="I1196"/>
      <c r="R1196"/>
    </row>
    <row r="1197" spans="9:18" x14ac:dyDescent="0.15">
      <c r="I1197"/>
      <c r="R1197"/>
    </row>
    <row r="1198" spans="9:18" x14ac:dyDescent="0.15">
      <c r="I1198"/>
      <c r="R1198"/>
    </row>
    <row r="1199" spans="9:18" x14ac:dyDescent="0.15">
      <c r="I1199"/>
      <c r="R1199"/>
    </row>
    <row r="1200" spans="9:18" x14ac:dyDescent="0.15">
      <c r="I1200"/>
      <c r="R1200"/>
    </row>
    <row r="1201" spans="9:18" x14ac:dyDescent="0.15">
      <c r="I1201"/>
      <c r="R1201"/>
    </row>
    <row r="1202" spans="9:18" x14ac:dyDescent="0.15">
      <c r="I1202"/>
      <c r="R1202"/>
    </row>
    <row r="1203" spans="9:18" x14ac:dyDescent="0.15">
      <c r="I1203"/>
      <c r="R1203"/>
    </row>
    <row r="1204" spans="9:18" x14ac:dyDescent="0.15">
      <c r="I1204"/>
      <c r="R1204"/>
    </row>
    <row r="1205" spans="9:18" x14ac:dyDescent="0.15">
      <c r="I1205"/>
      <c r="R1205"/>
    </row>
    <row r="1206" spans="9:18" x14ac:dyDescent="0.15">
      <c r="I1206"/>
      <c r="R1206"/>
    </row>
    <row r="1207" spans="9:18" x14ac:dyDescent="0.15">
      <c r="I1207"/>
      <c r="R1207"/>
    </row>
    <row r="1208" spans="9:18" x14ac:dyDescent="0.15">
      <c r="I1208"/>
      <c r="R1208"/>
    </row>
    <row r="1209" spans="9:18" x14ac:dyDescent="0.15">
      <c r="I1209"/>
      <c r="R1209"/>
    </row>
    <row r="1210" spans="9:18" x14ac:dyDescent="0.15">
      <c r="I1210"/>
      <c r="R1210"/>
    </row>
    <row r="1211" spans="9:18" x14ac:dyDescent="0.15">
      <c r="I1211"/>
      <c r="R1211"/>
    </row>
    <row r="1212" spans="9:18" x14ac:dyDescent="0.15">
      <c r="I1212"/>
      <c r="R1212"/>
    </row>
    <row r="1213" spans="9:18" x14ac:dyDescent="0.15">
      <c r="I1213"/>
      <c r="R1213"/>
    </row>
    <row r="1214" spans="9:18" x14ac:dyDescent="0.15">
      <c r="I1214"/>
      <c r="R1214"/>
    </row>
    <row r="1215" spans="9:18" x14ac:dyDescent="0.15">
      <c r="I1215"/>
      <c r="R1215"/>
    </row>
    <row r="1216" spans="9:18" x14ac:dyDescent="0.15">
      <c r="I1216"/>
      <c r="R1216"/>
    </row>
    <row r="1217" spans="9:18" x14ac:dyDescent="0.15">
      <c r="I1217"/>
      <c r="R1217"/>
    </row>
    <row r="1218" spans="9:18" x14ac:dyDescent="0.15">
      <c r="I1218"/>
      <c r="R1218"/>
    </row>
    <row r="1219" spans="9:18" x14ac:dyDescent="0.15">
      <c r="I1219"/>
      <c r="R1219"/>
    </row>
    <row r="1220" spans="9:18" x14ac:dyDescent="0.15">
      <c r="I1220"/>
      <c r="R1220"/>
    </row>
    <row r="1221" spans="9:18" x14ac:dyDescent="0.15">
      <c r="I1221"/>
      <c r="R1221"/>
    </row>
    <row r="1222" spans="9:18" x14ac:dyDescent="0.15">
      <c r="I1222"/>
      <c r="R1222"/>
    </row>
    <row r="1223" spans="9:18" x14ac:dyDescent="0.15">
      <c r="I1223"/>
      <c r="R1223"/>
    </row>
    <row r="1224" spans="9:18" x14ac:dyDescent="0.15">
      <c r="I1224"/>
      <c r="R1224"/>
    </row>
    <row r="1225" spans="9:18" x14ac:dyDescent="0.15">
      <c r="I1225"/>
      <c r="R1225"/>
    </row>
    <row r="1226" spans="9:18" x14ac:dyDescent="0.15">
      <c r="I1226"/>
      <c r="R1226"/>
    </row>
    <row r="1227" spans="9:18" x14ac:dyDescent="0.15">
      <c r="I1227"/>
      <c r="R1227"/>
    </row>
    <row r="1228" spans="9:18" x14ac:dyDescent="0.15">
      <c r="I1228"/>
      <c r="R1228"/>
    </row>
    <row r="1229" spans="9:18" x14ac:dyDescent="0.15">
      <c r="I1229"/>
      <c r="R1229"/>
    </row>
    <row r="1230" spans="9:18" x14ac:dyDescent="0.15">
      <c r="I1230"/>
      <c r="R1230"/>
    </row>
    <row r="1231" spans="9:18" x14ac:dyDescent="0.15">
      <c r="I1231"/>
      <c r="R1231"/>
    </row>
    <row r="1232" spans="9:18" x14ac:dyDescent="0.15">
      <c r="I1232"/>
      <c r="R1232"/>
    </row>
    <row r="1233" spans="9:18" x14ac:dyDescent="0.15">
      <c r="I1233"/>
      <c r="R1233"/>
    </row>
    <row r="1234" spans="9:18" x14ac:dyDescent="0.15">
      <c r="I1234"/>
      <c r="R1234"/>
    </row>
    <row r="1235" spans="9:18" x14ac:dyDescent="0.15">
      <c r="I1235"/>
      <c r="R1235"/>
    </row>
    <row r="1236" spans="9:18" x14ac:dyDescent="0.15">
      <c r="I1236"/>
      <c r="R1236"/>
    </row>
    <row r="1237" spans="9:18" x14ac:dyDescent="0.15">
      <c r="I1237"/>
      <c r="R1237"/>
    </row>
    <row r="1238" spans="9:18" x14ac:dyDescent="0.15">
      <c r="I1238"/>
      <c r="R1238"/>
    </row>
    <row r="1239" spans="9:18" x14ac:dyDescent="0.15">
      <c r="I1239"/>
      <c r="R1239"/>
    </row>
    <row r="1240" spans="9:18" x14ac:dyDescent="0.15">
      <c r="I1240"/>
      <c r="R1240"/>
    </row>
    <row r="1241" spans="9:18" x14ac:dyDescent="0.15">
      <c r="I1241"/>
      <c r="R1241"/>
    </row>
    <row r="1242" spans="9:18" x14ac:dyDescent="0.15">
      <c r="I1242"/>
      <c r="R1242"/>
    </row>
    <row r="1243" spans="9:18" x14ac:dyDescent="0.15">
      <c r="I1243"/>
      <c r="R1243"/>
    </row>
    <row r="1244" spans="9:18" x14ac:dyDescent="0.15">
      <c r="I1244"/>
      <c r="R1244"/>
    </row>
    <row r="1245" spans="9:18" x14ac:dyDescent="0.15">
      <c r="I1245"/>
      <c r="R1245"/>
    </row>
    <row r="1246" spans="9:18" x14ac:dyDescent="0.15">
      <c r="I1246"/>
      <c r="R1246"/>
    </row>
    <row r="1247" spans="9:18" x14ac:dyDescent="0.15">
      <c r="I1247"/>
      <c r="R1247"/>
    </row>
    <row r="1248" spans="9:18" x14ac:dyDescent="0.15">
      <c r="I1248"/>
      <c r="R1248"/>
    </row>
    <row r="1249" spans="9:18" x14ac:dyDescent="0.15">
      <c r="I1249"/>
      <c r="R1249"/>
    </row>
    <row r="1250" spans="9:18" x14ac:dyDescent="0.15">
      <c r="I1250"/>
      <c r="R1250"/>
    </row>
    <row r="1251" spans="9:18" x14ac:dyDescent="0.15">
      <c r="I1251"/>
      <c r="R1251"/>
    </row>
    <row r="1252" spans="9:18" x14ac:dyDescent="0.15">
      <c r="I1252"/>
      <c r="R1252"/>
    </row>
    <row r="1253" spans="9:18" x14ac:dyDescent="0.15">
      <c r="I1253"/>
      <c r="R1253"/>
    </row>
    <row r="1254" spans="9:18" x14ac:dyDescent="0.15">
      <c r="I1254"/>
      <c r="R1254"/>
    </row>
    <row r="1255" spans="9:18" x14ac:dyDescent="0.15">
      <c r="I1255"/>
      <c r="R1255"/>
    </row>
    <row r="1256" spans="9:18" x14ac:dyDescent="0.15">
      <c r="I1256"/>
      <c r="R1256"/>
    </row>
    <row r="1257" spans="9:18" x14ac:dyDescent="0.15">
      <c r="I1257"/>
      <c r="R1257"/>
    </row>
    <row r="1258" spans="9:18" x14ac:dyDescent="0.15">
      <c r="I1258"/>
      <c r="R1258"/>
    </row>
    <row r="1259" spans="9:18" x14ac:dyDescent="0.15">
      <c r="I1259"/>
      <c r="R1259"/>
    </row>
    <row r="1260" spans="9:18" x14ac:dyDescent="0.15">
      <c r="I1260"/>
      <c r="R1260"/>
    </row>
    <row r="1261" spans="9:18" x14ac:dyDescent="0.15">
      <c r="I1261"/>
      <c r="R1261"/>
    </row>
    <row r="1262" spans="9:18" x14ac:dyDescent="0.15">
      <c r="I1262"/>
      <c r="R1262"/>
    </row>
    <row r="1263" spans="9:18" x14ac:dyDescent="0.15">
      <c r="I1263"/>
      <c r="R1263"/>
    </row>
    <row r="1264" spans="9:18" x14ac:dyDescent="0.15">
      <c r="I1264"/>
      <c r="R1264"/>
    </row>
    <row r="1265" spans="9:18" x14ac:dyDescent="0.15">
      <c r="I1265"/>
      <c r="R1265"/>
    </row>
    <row r="1266" spans="9:18" x14ac:dyDescent="0.15">
      <c r="I1266"/>
      <c r="R1266"/>
    </row>
    <row r="1267" spans="9:18" x14ac:dyDescent="0.15">
      <c r="I1267"/>
      <c r="R1267"/>
    </row>
    <row r="1268" spans="9:18" x14ac:dyDescent="0.15">
      <c r="I1268"/>
      <c r="R1268"/>
    </row>
    <row r="1269" spans="9:18" x14ac:dyDescent="0.15">
      <c r="I1269"/>
      <c r="R1269"/>
    </row>
    <row r="1270" spans="9:18" x14ac:dyDescent="0.15">
      <c r="I1270"/>
      <c r="R1270"/>
    </row>
    <row r="1271" spans="9:18" x14ac:dyDescent="0.15">
      <c r="I1271"/>
      <c r="R1271"/>
    </row>
    <row r="1272" spans="9:18" x14ac:dyDescent="0.15">
      <c r="I1272"/>
      <c r="R1272"/>
    </row>
    <row r="1273" spans="9:18" x14ac:dyDescent="0.15">
      <c r="I1273"/>
      <c r="R1273"/>
    </row>
    <row r="1274" spans="9:18" x14ac:dyDescent="0.15">
      <c r="I1274"/>
      <c r="R1274"/>
    </row>
    <row r="1275" spans="9:18" x14ac:dyDescent="0.15">
      <c r="I1275"/>
      <c r="R1275"/>
    </row>
    <row r="1276" spans="9:18" x14ac:dyDescent="0.15">
      <c r="I1276"/>
      <c r="R1276"/>
    </row>
    <row r="1277" spans="9:18" x14ac:dyDescent="0.15">
      <c r="I1277"/>
      <c r="R1277"/>
    </row>
    <row r="1278" spans="9:18" x14ac:dyDescent="0.15">
      <c r="I1278"/>
      <c r="R1278"/>
    </row>
    <row r="1279" spans="9:18" x14ac:dyDescent="0.15">
      <c r="I1279"/>
      <c r="R1279"/>
    </row>
    <row r="1280" spans="9:18" x14ac:dyDescent="0.15">
      <c r="I1280"/>
      <c r="R1280"/>
    </row>
    <row r="1281" spans="9:18" x14ac:dyDescent="0.15">
      <c r="I1281"/>
      <c r="R1281"/>
    </row>
    <row r="1282" spans="9:18" x14ac:dyDescent="0.15">
      <c r="I1282"/>
      <c r="R1282"/>
    </row>
    <row r="1283" spans="9:18" x14ac:dyDescent="0.15">
      <c r="I1283"/>
      <c r="R1283"/>
    </row>
    <row r="1284" spans="9:18" x14ac:dyDescent="0.15">
      <c r="I1284"/>
      <c r="R1284"/>
    </row>
    <row r="1285" spans="9:18" x14ac:dyDescent="0.15">
      <c r="I1285"/>
      <c r="R1285"/>
    </row>
    <row r="1286" spans="9:18" x14ac:dyDescent="0.15">
      <c r="I1286"/>
      <c r="R1286"/>
    </row>
    <row r="1287" spans="9:18" x14ac:dyDescent="0.15">
      <c r="I1287"/>
      <c r="R1287"/>
    </row>
    <row r="1288" spans="9:18" x14ac:dyDescent="0.15">
      <c r="I1288"/>
      <c r="R1288"/>
    </row>
    <row r="1289" spans="9:18" x14ac:dyDescent="0.15">
      <c r="I1289"/>
      <c r="R1289"/>
    </row>
    <row r="1290" spans="9:18" x14ac:dyDescent="0.15">
      <c r="I1290"/>
      <c r="R1290"/>
    </row>
    <row r="1291" spans="9:18" x14ac:dyDescent="0.15">
      <c r="I1291"/>
      <c r="R1291"/>
    </row>
    <row r="1292" spans="9:18" x14ac:dyDescent="0.15">
      <c r="I1292"/>
      <c r="R1292"/>
    </row>
    <row r="1293" spans="9:18" x14ac:dyDescent="0.15">
      <c r="I1293"/>
      <c r="R1293"/>
    </row>
    <row r="1294" spans="9:18" x14ac:dyDescent="0.15">
      <c r="I1294"/>
      <c r="R1294"/>
    </row>
    <row r="1295" spans="9:18" x14ac:dyDescent="0.15">
      <c r="I1295"/>
      <c r="R1295"/>
    </row>
    <row r="1296" spans="9:18" x14ac:dyDescent="0.15">
      <c r="I1296"/>
      <c r="R1296"/>
    </row>
    <row r="1297" spans="9:18" x14ac:dyDescent="0.15">
      <c r="I1297"/>
      <c r="R1297"/>
    </row>
    <row r="1298" spans="9:18" x14ac:dyDescent="0.15">
      <c r="I1298"/>
      <c r="R1298"/>
    </row>
    <row r="1299" spans="9:18" x14ac:dyDescent="0.15">
      <c r="I1299"/>
      <c r="R1299"/>
    </row>
    <row r="1300" spans="9:18" x14ac:dyDescent="0.15">
      <c r="I1300"/>
      <c r="R1300"/>
    </row>
    <row r="1301" spans="9:18" x14ac:dyDescent="0.15">
      <c r="I1301"/>
      <c r="R1301"/>
    </row>
    <row r="1302" spans="9:18" x14ac:dyDescent="0.15">
      <c r="I1302"/>
      <c r="R1302"/>
    </row>
    <row r="1303" spans="9:18" x14ac:dyDescent="0.15">
      <c r="I1303"/>
      <c r="R1303"/>
    </row>
    <row r="1304" spans="9:18" x14ac:dyDescent="0.15">
      <c r="I1304"/>
      <c r="R1304"/>
    </row>
    <row r="1305" spans="9:18" x14ac:dyDescent="0.15">
      <c r="I1305"/>
      <c r="R1305"/>
    </row>
    <row r="1306" spans="9:18" x14ac:dyDescent="0.15">
      <c r="I1306"/>
      <c r="R1306"/>
    </row>
    <row r="1307" spans="9:18" x14ac:dyDescent="0.15">
      <c r="I1307"/>
      <c r="R1307"/>
    </row>
    <row r="1308" spans="9:18" x14ac:dyDescent="0.15">
      <c r="I1308"/>
      <c r="R1308"/>
    </row>
    <row r="1309" spans="9:18" x14ac:dyDescent="0.15">
      <c r="I1309"/>
      <c r="R1309"/>
    </row>
    <row r="1310" spans="9:18" x14ac:dyDescent="0.15">
      <c r="I1310"/>
      <c r="R1310"/>
    </row>
    <row r="1311" spans="9:18" x14ac:dyDescent="0.15">
      <c r="I1311"/>
      <c r="R1311"/>
    </row>
    <row r="1312" spans="9:18" x14ac:dyDescent="0.15">
      <c r="I1312"/>
      <c r="R1312"/>
    </row>
    <row r="1313" spans="9:18" x14ac:dyDescent="0.15">
      <c r="I1313"/>
      <c r="R1313"/>
    </row>
    <row r="1314" spans="9:18" x14ac:dyDescent="0.15">
      <c r="I1314"/>
      <c r="R1314"/>
    </row>
    <row r="1315" spans="9:18" x14ac:dyDescent="0.15">
      <c r="I1315"/>
      <c r="R1315"/>
    </row>
    <row r="1316" spans="9:18" x14ac:dyDescent="0.15">
      <c r="I1316"/>
      <c r="R1316"/>
    </row>
    <row r="1317" spans="9:18" x14ac:dyDescent="0.15">
      <c r="I1317"/>
      <c r="R1317"/>
    </row>
    <row r="1318" spans="9:18" x14ac:dyDescent="0.15">
      <c r="I1318"/>
      <c r="R1318"/>
    </row>
    <row r="1319" spans="9:18" x14ac:dyDescent="0.15">
      <c r="I1319"/>
      <c r="R1319"/>
    </row>
    <row r="1320" spans="9:18" x14ac:dyDescent="0.15">
      <c r="I1320"/>
      <c r="R1320"/>
    </row>
    <row r="1321" spans="9:18" x14ac:dyDescent="0.15">
      <c r="I1321"/>
      <c r="R1321"/>
    </row>
    <row r="1322" spans="9:18" x14ac:dyDescent="0.15">
      <c r="I1322"/>
      <c r="R1322"/>
    </row>
    <row r="1323" spans="9:18" x14ac:dyDescent="0.15">
      <c r="I1323"/>
      <c r="R1323"/>
    </row>
    <row r="1324" spans="9:18" x14ac:dyDescent="0.15">
      <c r="I1324"/>
      <c r="R1324"/>
    </row>
    <row r="1325" spans="9:18" x14ac:dyDescent="0.15">
      <c r="I1325"/>
      <c r="R1325"/>
    </row>
    <row r="1326" spans="9:18" x14ac:dyDescent="0.15">
      <c r="I1326"/>
      <c r="R1326"/>
    </row>
    <row r="1327" spans="9:18" x14ac:dyDescent="0.15">
      <c r="I1327"/>
      <c r="R1327"/>
    </row>
    <row r="1328" spans="9:18" x14ac:dyDescent="0.15">
      <c r="I1328"/>
      <c r="R1328"/>
    </row>
    <row r="1329" spans="9:18" x14ac:dyDescent="0.15">
      <c r="I1329"/>
      <c r="R1329"/>
    </row>
    <row r="1330" spans="9:18" x14ac:dyDescent="0.15">
      <c r="I1330"/>
      <c r="R1330"/>
    </row>
    <row r="1331" spans="9:18" x14ac:dyDescent="0.15">
      <c r="I1331"/>
      <c r="R1331"/>
    </row>
    <row r="1332" spans="9:18" x14ac:dyDescent="0.15">
      <c r="I1332"/>
      <c r="R1332"/>
    </row>
    <row r="1333" spans="9:18" x14ac:dyDescent="0.15">
      <c r="I1333"/>
      <c r="R1333"/>
    </row>
    <row r="1334" spans="9:18" x14ac:dyDescent="0.15">
      <c r="I1334"/>
      <c r="R1334"/>
    </row>
    <row r="1335" spans="9:18" x14ac:dyDescent="0.15">
      <c r="I1335"/>
      <c r="R1335"/>
    </row>
    <row r="1336" spans="9:18" x14ac:dyDescent="0.15">
      <c r="I1336"/>
      <c r="R1336"/>
    </row>
    <row r="1337" spans="9:18" x14ac:dyDescent="0.15">
      <c r="I1337"/>
      <c r="R1337"/>
    </row>
    <row r="1338" spans="9:18" x14ac:dyDescent="0.15">
      <c r="I1338"/>
      <c r="R1338"/>
    </row>
    <row r="1339" spans="9:18" x14ac:dyDescent="0.15">
      <c r="I1339"/>
      <c r="R1339"/>
    </row>
    <row r="1340" spans="9:18" x14ac:dyDescent="0.15">
      <c r="I1340"/>
      <c r="R1340"/>
    </row>
    <row r="1341" spans="9:18" x14ac:dyDescent="0.15">
      <c r="I1341"/>
      <c r="R1341"/>
    </row>
    <row r="1342" spans="9:18" x14ac:dyDescent="0.15">
      <c r="I1342"/>
      <c r="R1342"/>
    </row>
    <row r="1343" spans="9:18" x14ac:dyDescent="0.15">
      <c r="I1343"/>
      <c r="R1343"/>
    </row>
    <row r="1344" spans="9:18" x14ac:dyDescent="0.15">
      <c r="I1344"/>
      <c r="R1344"/>
    </row>
    <row r="1345" spans="9:18" x14ac:dyDescent="0.15">
      <c r="I1345"/>
      <c r="R1345"/>
    </row>
    <row r="1346" spans="9:18" x14ac:dyDescent="0.15">
      <c r="I1346"/>
      <c r="R1346"/>
    </row>
    <row r="1347" spans="9:18" x14ac:dyDescent="0.15">
      <c r="I1347"/>
      <c r="R1347"/>
    </row>
    <row r="1348" spans="9:18" x14ac:dyDescent="0.15">
      <c r="I1348"/>
      <c r="R1348"/>
    </row>
    <row r="1349" spans="9:18" x14ac:dyDescent="0.15">
      <c r="I1349"/>
      <c r="R1349"/>
    </row>
    <row r="1350" spans="9:18" x14ac:dyDescent="0.15">
      <c r="I1350"/>
      <c r="R1350"/>
    </row>
    <row r="1351" spans="9:18" x14ac:dyDescent="0.15">
      <c r="I1351"/>
      <c r="R1351"/>
    </row>
    <row r="1352" spans="9:18" x14ac:dyDescent="0.15">
      <c r="I1352"/>
      <c r="R1352"/>
    </row>
    <row r="1353" spans="9:18" x14ac:dyDescent="0.15">
      <c r="I1353"/>
      <c r="R1353"/>
    </row>
    <row r="1354" spans="9:18" x14ac:dyDescent="0.15">
      <c r="I1354"/>
      <c r="R1354"/>
    </row>
    <row r="1355" spans="9:18" x14ac:dyDescent="0.15">
      <c r="I1355"/>
      <c r="R1355"/>
    </row>
    <row r="1356" spans="9:18" x14ac:dyDescent="0.15">
      <c r="I1356"/>
      <c r="R1356"/>
    </row>
    <row r="1357" spans="9:18" x14ac:dyDescent="0.15">
      <c r="I1357"/>
      <c r="R1357"/>
    </row>
    <row r="1358" spans="9:18" x14ac:dyDescent="0.15">
      <c r="I1358"/>
      <c r="R1358"/>
    </row>
    <row r="1359" spans="9:18" x14ac:dyDescent="0.15">
      <c r="I1359"/>
      <c r="R1359"/>
    </row>
    <row r="1360" spans="9:18" x14ac:dyDescent="0.15">
      <c r="I1360"/>
      <c r="R1360"/>
    </row>
    <row r="1361" spans="9:18" x14ac:dyDescent="0.15">
      <c r="I1361"/>
      <c r="R1361"/>
    </row>
    <row r="1362" spans="9:18" x14ac:dyDescent="0.15">
      <c r="I1362"/>
      <c r="R1362"/>
    </row>
    <row r="1363" spans="9:18" x14ac:dyDescent="0.15">
      <c r="I1363"/>
      <c r="R1363"/>
    </row>
    <row r="1364" spans="9:18" x14ac:dyDescent="0.15">
      <c r="I1364"/>
      <c r="R1364"/>
    </row>
    <row r="1365" spans="9:18" x14ac:dyDescent="0.15">
      <c r="I1365"/>
      <c r="R1365"/>
    </row>
    <row r="1366" spans="9:18" x14ac:dyDescent="0.15">
      <c r="I1366"/>
      <c r="R1366"/>
    </row>
    <row r="1367" spans="9:18" x14ac:dyDescent="0.15">
      <c r="I1367"/>
      <c r="R1367"/>
    </row>
    <row r="1368" spans="9:18" x14ac:dyDescent="0.15">
      <c r="I1368"/>
      <c r="R1368"/>
    </row>
    <row r="1369" spans="9:18" x14ac:dyDescent="0.15">
      <c r="I1369"/>
      <c r="R1369"/>
    </row>
    <row r="1370" spans="9:18" x14ac:dyDescent="0.15">
      <c r="I1370"/>
      <c r="R1370"/>
    </row>
    <row r="1371" spans="9:18" x14ac:dyDescent="0.15">
      <c r="I1371"/>
      <c r="R1371"/>
    </row>
    <row r="1372" spans="9:18" x14ac:dyDescent="0.15">
      <c r="I1372"/>
      <c r="R1372"/>
    </row>
    <row r="1373" spans="9:18" x14ac:dyDescent="0.15">
      <c r="I1373"/>
      <c r="R1373"/>
    </row>
    <row r="1374" spans="9:18" x14ac:dyDescent="0.15">
      <c r="I1374"/>
      <c r="R1374"/>
    </row>
    <row r="1375" spans="9:18" x14ac:dyDescent="0.15">
      <c r="I1375"/>
      <c r="R1375"/>
    </row>
    <row r="1376" spans="9:18" x14ac:dyDescent="0.15">
      <c r="I1376"/>
      <c r="R1376"/>
    </row>
    <row r="1377" spans="9:18" x14ac:dyDescent="0.15">
      <c r="I1377"/>
      <c r="R1377"/>
    </row>
    <row r="1378" spans="9:18" x14ac:dyDescent="0.15">
      <c r="I1378"/>
      <c r="R1378"/>
    </row>
    <row r="1379" spans="9:18" x14ac:dyDescent="0.15">
      <c r="I1379"/>
      <c r="R1379"/>
    </row>
    <row r="1380" spans="9:18" x14ac:dyDescent="0.15">
      <c r="I1380"/>
      <c r="R1380"/>
    </row>
    <row r="1381" spans="9:18" x14ac:dyDescent="0.15">
      <c r="I1381"/>
      <c r="R1381"/>
    </row>
    <row r="1382" spans="9:18" x14ac:dyDescent="0.15">
      <c r="I1382"/>
      <c r="R1382"/>
    </row>
    <row r="1383" spans="9:18" x14ac:dyDescent="0.15">
      <c r="I1383"/>
      <c r="R1383"/>
    </row>
    <row r="1384" spans="9:18" x14ac:dyDescent="0.15">
      <c r="I1384"/>
      <c r="R1384"/>
    </row>
    <row r="1385" spans="9:18" x14ac:dyDescent="0.15">
      <c r="I1385"/>
      <c r="R1385"/>
    </row>
    <row r="1386" spans="9:18" x14ac:dyDescent="0.15">
      <c r="I1386"/>
      <c r="R1386"/>
    </row>
    <row r="1387" spans="9:18" x14ac:dyDescent="0.15">
      <c r="I1387"/>
      <c r="R1387"/>
    </row>
    <row r="1388" spans="9:18" x14ac:dyDescent="0.15">
      <c r="I1388"/>
      <c r="R1388"/>
    </row>
    <row r="1389" spans="9:18" x14ac:dyDescent="0.15">
      <c r="I1389"/>
      <c r="R1389"/>
    </row>
    <row r="1390" spans="9:18" x14ac:dyDescent="0.15">
      <c r="I1390"/>
      <c r="R1390"/>
    </row>
    <row r="1391" spans="9:18" x14ac:dyDescent="0.15">
      <c r="I1391"/>
      <c r="R1391"/>
    </row>
    <row r="1392" spans="9:18" x14ac:dyDescent="0.15">
      <c r="I1392"/>
      <c r="R1392"/>
    </row>
    <row r="1393" spans="9:18" x14ac:dyDescent="0.15">
      <c r="I1393"/>
      <c r="R1393"/>
    </row>
    <row r="1394" spans="9:18" x14ac:dyDescent="0.15">
      <c r="I1394"/>
      <c r="R1394"/>
    </row>
    <row r="1395" spans="9:18" x14ac:dyDescent="0.15">
      <c r="I1395"/>
      <c r="R1395"/>
    </row>
    <row r="1396" spans="9:18" x14ac:dyDescent="0.15">
      <c r="I1396"/>
      <c r="R1396"/>
    </row>
    <row r="1397" spans="9:18" x14ac:dyDescent="0.15">
      <c r="I1397"/>
      <c r="R1397"/>
    </row>
    <row r="1398" spans="9:18" x14ac:dyDescent="0.15">
      <c r="I1398"/>
      <c r="R1398"/>
    </row>
    <row r="1399" spans="9:18" x14ac:dyDescent="0.15">
      <c r="I1399"/>
      <c r="R1399"/>
    </row>
    <row r="1400" spans="9:18" x14ac:dyDescent="0.15">
      <c r="I1400"/>
      <c r="R1400"/>
    </row>
    <row r="1401" spans="9:18" x14ac:dyDescent="0.15">
      <c r="I1401"/>
      <c r="R1401"/>
    </row>
    <row r="1402" spans="9:18" x14ac:dyDescent="0.15">
      <c r="I1402"/>
      <c r="R1402"/>
    </row>
    <row r="1403" spans="9:18" x14ac:dyDescent="0.15">
      <c r="I1403"/>
      <c r="R1403"/>
    </row>
    <row r="1404" spans="9:18" x14ac:dyDescent="0.15">
      <c r="I1404"/>
      <c r="R1404"/>
    </row>
    <row r="1405" spans="9:18" x14ac:dyDescent="0.15">
      <c r="I1405"/>
      <c r="R1405"/>
    </row>
    <row r="1406" spans="9:18" x14ac:dyDescent="0.15">
      <c r="I1406"/>
      <c r="R1406"/>
    </row>
    <row r="1407" spans="9:18" x14ac:dyDescent="0.15">
      <c r="I1407"/>
      <c r="R1407"/>
    </row>
    <row r="1408" spans="9:18" x14ac:dyDescent="0.15">
      <c r="I1408"/>
      <c r="R1408"/>
    </row>
    <row r="1409" spans="9:18" x14ac:dyDescent="0.15">
      <c r="I1409"/>
      <c r="R1409"/>
    </row>
    <row r="1410" spans="9:18" x14ac:dyDescent="0.15">
      <c r="I1410"/>
      <c r="R1410"/>
    </row>
    <row r="1411" spans="9:18" x14ac:dyDescent="0.15">
      <c r="I1411"/>
      <c r="R1411"/>
    </row>
    <row r="1412" spans="9:18" x14ac:dyDescent="0.15">
      <c r="I1412"/>
      <c r="R1412"/>
    </row>
    <row r="1413" spans="9:18" x14ac:dyDescent="0.15">
      <c r="I1413"/>
      <c r="R1413"/>
    </row>
    <row r="1414" spans="9:18" x14ac:dyDescent="0.15">
      <c r="I1414"/>
      <c r="R1414"/>
    </row>
    <row r="1415" spans="9:18" x14ac:dyDescent="0.15">
      <c r="I1415"/>
      <c r="R1415"/>
    </row>
    <row r="1416" spans="9:18" x14ac:dyDescent="0.15">
      <c r="I1416"/>
      <c r="R1416"/>
    </row>
    <row r="1417" spans="9:18" x14ac:dyDescent="0.15">
      <c r="I1417"/>
      <c r="R1417"/>
    </row>
    <row r="1418" spans="9:18" x14ac:dyDescent="0.15">
      <c r="I1418"/>
      <c r="R1418"/>
    </row>
    <row r="1419" spans="9:18" x14ac:dyDescent="0.15">
      <c r="I1419"/>
      <c r="R1419"/>
    </row>
    <row r="1420" spans="9:18" x14ac:dyDescent="0.15">
      <c r="I1420"/>
      <c r="R1420"/>
    </row>
    <row r="1421" spans="9:18" x14ac:dyDescent="0.15">
      <c r="I1421"/>
      <c r="R1421"/>
    </row>
    <row r="1422" spans="9:18" x14ac:dyDescent="0.15">
      <c r="I1422"/>
      <c r="R1422"/>
    </row>
    <row r="1423" spans="9:18" x14ac:dyDescent="0.15">
      <c r="I1423"/>
      <c r="R1423"/>
    </row>
    <row r="1424" spans="9:18" x14ac:dyDescent="0.15">
      <c r="I1424"/>
      <c r="R1424"/>
    </row>
    <row r="1425" spans="9:18" x14ac:dyDescent="0.15">
      <c r="I1425"/>
      <c r="R1425"/>
    </row>
    <row r="1426" spans="9:18" x14ac:dyDescent="0.15">
      <c r="I1426"/>
      <c r="R1426"/>
    </row>
    <row r="1427" spans="9:18" x14ac:dyDescent="0.15">
      <c r="I1427"/>
      <c r="R1427"/>
    </row>
    <row r="1428" spans="9:18" x14ac:dyDescent="0.15">
      <c r="I1428"/>
      <c r="R1428"/>
    </row>
    <row r="1429" spans="9:18" x14ac:dyDescent="0.15">
      <c r="I1429"/>
      <c r="R1429"/>
    </row>
    <row r="1430" spans="9:18" x14ac:dyDescent="0.15">
      <c r="I1430"/>
      <c r="R1430"/>
    </row>
    <row r="1431" spans="9:18" x14ac:dyDescent="0.15">
      <c r="I1431"/>
      <c r="R1431"/>
    </row>
    <row r="1432" spans="9:18" x14ac:dyDescent="0.15">
      <c r="I1432"/>
      <c r="R1432"/>
    </row>
    <row r="1433" spans="9:18" x14ac:dyDescent="0.15">
      <c r="I1433"/>
      <c r="R1433"/>
    </row>
    <row r="1434" spans="9:18" x14ac:dyDescent="0.15">
      <c r="I1434"/>
      <c r="R1434"/>
    </row>
    <row r="1435" spans="9:18" x14ac:dyDescent="0.15">
      <c r="I1435"/>
      <c r="R1435"/>
    </row>
    <row r="1436" spans="9:18" x14ac:dyDescent="0.15">
      <c r="I1436"/>
      <c r="R1436"/>
    </row>
    <row r="1437" spans="9:18" x14ac:dyDescent="0.15">
      <c r="I1437"/>
      <c r="R1437"/>
    </row>
    <row r="1438" spans="9:18" x14ac:dyDescent="0.15">
      <c r="I1438"/>
      <c r="R1438"/>
    </row>
    <row r="1439" spans="9:18" x14ac:dyDescent="0.15">
      <c r="I1439"/>
      <c r="R1439"/>
    </row>
    <row r="1440" spans="9:18" x14ac:dyDescent="0.15">
      <c r="I1440"/>
      <c r="R1440"/>
    </row>
    <row r="1441" spans="9:18" x14ac:dyDescent="0.15">
      <c r="I1441"/>
      <c r="R1441"/>
    </row>
    <row r="1442" spans="9:18" x14ac:dyDescent="0.15">
      <c r="I1442"/>
      <c r="R1442"/>
    </row>
    <row r="1443" spans="9:18" x14ac:dyDescent="0.15">
      <c r="I1443"/>
      <c r="R1443"/>
    </row>
    <row r="1444" spans="9:18" x14ac:dyDescent="0.15">
      <c r="I1444"/>
      <c r="R1444"/>
    </row>
    <row r="1445" spans="9:18" x14ac:dyDescent="0.15">
      <c r="I1445"/>
      <c r="R1445"/>
    </row>
    <row r="1446" spans="9:18" x14ac:dyDescent="0.15">
      <c r="I1446"/>
      <c r="R1446"/>
    </row>
    <row r="1447" spans="9:18" x14ac:dyDescent="0.15">
      <c r="I1447"/>
      <c r="R1447"/>
    </row>
    <row r="1448" spans="9:18" x14ac:dyDescent="0.15">
      <c r="I1448"/>
      <c r="R1448"/>
    </row>
    <row r="1449" spans="9:18" x14ac:dyDescent="0.15">
      <c r="I1449"/>
      <c r="R1449"/>
    </row>
    <row r="1450" spans="9:18" x14ac:dyDescent="0.15">
      <c r="I1450"/>
      <c r="R1450"/>
    </row>
    <row r="1451" spans="9:18" x14ac:dyDescent="0.15">
      <c r="I1451"/>
      <c r="R1451"/>
    </row>
    <row r="1452" spans="9:18" x14ac:dyDescent="0.15">
      <c r="I1452"/>
      <c r="R1452"/>
    </row>
    <row r="1453" spans="9:18" x14ac:dyDescent="0.15">
      <c r="I1453"/>
      <c r="R1453"/>
    </row>
    <row r="1454" spans="9:18" x14ac:dyDescent="0.15">
      <c r="I1454"/>
      <c r="R1454"/>
    </row>
    <row r="1455" spans="9:18" x14ac:dyDescent="0.15">
      <c r="I1455"/>
      <c r="R1455"/>
    </row>
    <row r="1456" spans="9:18" x14ac:dyDescent="0.15">
      <c r="I1456"/>
      <c r="R1456"/>
    </row>
    <row r="1457" spans="9:18" x14ac:dyDescent="0.15">
      <c r="I1457"/>
      <c r="R1457"/>
    </row>
    <row r="1458" spans="9:18" x14ac:dyDescent="0.15">
      <c r="I1458"/>
      <c r="R1458"/>
    </row>
    <row r="1459" spans="9:18" x14ac:dyDescent="0.15">
      <c r="I1459"/>
      <c r="R1459"/>
    </row>
    <row r="1460" spans="9:18" x14ac:dyDescent="0.15">
      <c r="I1460"/>
      <c r="R1460"/>
    </row>
    <row r="1461" spans="9:18" x14ac:dyDescent="0.15">
      <c r="I1461"/>
      <c r="R1461"/>
    </row>
    <row r="1462" spans="9:18" x14ac:dyDescent="0.15">
      <c r="I1462"/>
      <c r="R1462"/>
    </row>
    <row r="1463" spans="9:18" x14ac:dyDescent="0.15">
      <c r="I1463"/>
      <c r="R1463"/>
    </row>
    <row r="1464" spans="9:18" x14ac:dyDescent="0.15">
      <c r="I1464"/>
      <c r="R1464"/>
    </row>
    <row r="1465" spans="9:18" x14ac:dyDescent="0.15">
      <c r="I1465"/>
      <c r="R1465"/>
    </row>
    <row r="1466" spans="9:18" x14ac:dyDescent="0.15">
      <c r="I1466"/>
      <c r="R1466"/>
    </row>
    <row r="1467" spans="9:18" x14ac:dyDescent="0.15">
      <c r="I1467"/>
      <c r="R1467"/>
    </row>
    <row r="1468" spans="9:18" x14ac:dyDescent="0.15">
      <c r="I1468"/>
      <c r="R1468"/>
    </row>
    <row r="1469" spans="9:18" x14ac:dyDescent="0.15">
      <c r="I1469"/>
      <c r="R1469"/>
    </row>
    <row r="1470" spans="9:18" x14ac:dyDescent="0.15">
      <c r="I1470"/>
      <c r="R1470"/>
    </row>
    <row r="1471" spans="9:18" x14ac:dyDescent="0.15">
      <c r="I1471"/>
      <c r="R1471"/>
    </row>
    <row r="1472" spans="9:18" x14ac:dyDescent="0.15">
      <c r="I1472"/>
      <c r="R1472"/>
    </row>
    <row r="1473" spans="9:18" x14ac:dyDescent="0.15">
      <c r="I1473"/>
      <c r="R1473"/>
    </row>
    <row r="1474" spans="9:18" x14ac:dyDescent="0.15">
      <c r="I1474"/>
      <c r="R1474"/>
    </row>
    <row r="1475" spans="9:18" x14ac:dyDescent="0.15">
      <c r="I1475"/>
      <c r="R1475"/>
    </row>
    <row r="1476" spans="9:18" x14ac:dyDescent="0.15">
      <c r="I1476"/>
      <c r="R1476"/>
    </row>
    <row r="1477" spans="9:18" x14ac:dyDescent="0.15">
      <c r="I1477"/>
      <c r="R1477"/>
    </row>
    <row r="1478" spans="9:18" x14ac:dyDescent="0.15">
      <c r="I1478"/>
      <c r="R1478"/>
    </row>
    <row r="1479" spans="9:18" x14ac:dyDescent="0.15">
      <c r="I1479"/>
      <c r="R1479"/>
    </row>
    <row r="1480" spans="9:18" x14ac:dyDescent="0.15">
      <c r="I1480"/>
      <c r="R1480"/>
    </row>
    <row r="1481" spans="9:18" x14ac:dyDescent="0.15">
      <c r="I1481"/>
      <c r="R1481"/>
    </row>
    <row r="1482" spans="9:18" x14ac:dyDescent="0.15">
      <c r="I1482"/>
      <c r="R1482"/>
    </row>
    <row r="1483" spans="9:18" x14ac:dyDescent="0.15">
      <c r="I1483"/>
      <c r="R1483"/>
    </row>
    <row r="1484" spans="9:18" x14ac:dyDescent="0.15">
      <c r="I1484"/>
      <c r="R1484"/>
    </row>
    <row r="1485" spans="9:18" x14ac:dyDescent="0.15">
      <c r="I1485"/>
      <c r="R1485"/>
    </row>
    <row r="1486" spans="9:18" x14ac:dyDescent="0.15">
      <c r="I1486"/>
      <c r="R1486"/>
    </row>
    <row r="1487" spans="9:18" x14ac:dyDescent="0.15">
      <c r="I1487"/>
      <c r="R1487"/>
    </row>
    <row r="1488" spans="9:18" x14ac:dyDescent="0.15">
      <c r="I1488"/>
      <c r="R1488"/>
    </row>
    <row r="1489" spans="9:18" x14ac:dyDescent="0.15">
      <c r="I1489"/>
      <c r="R1489"/>
    </row>
    <row r="1490" spans="9:18" x14ac:dyDescent="0.15">
      <c r="I1490"/>
      <c r="R1490"/>
    </row>
    <row r="1491" spans="9:18" x14ac:dyDescent="0.15">
      <c r="I1491"/>
      <c r="R1491"/>
    </row>
    <row r="1492" spans="9:18" x14ac:dyDescent="0.15">
      <c r="I1492"/>
      <c r="R1492"/>
    </row>
    <row r="1493" spans="9:18" x14ac:dyDescent="0.15">
      <c r="I1493"/>
      <c r="R1493"/>
    </row>
    <row r="1494" spans="9:18" x14ac:dyDescent="0.15">
      <c r="I1494"/>
      <c r="R1494"/>
    </row>
    <row r="1495" spans="9:18" x14ac:dyDescent="0.15">
      <c r="I1495"/>
      <c r="R1495"/>
    </row>
    <row r="1496" spans="9:18" x14ac:dyDescent="0.15">
      <c r="I1496"/>
      <c r="R1496"/>
    </row>
    <row r="1497" spans="9:18" x14ac:dyDescent="0.15">
      <c r="I1497"/>
      <c r="R1497"/>
    </row>
    <row r="1498" spans="9:18" x14ac:dyDescent="0.15">
      <c r="I1498"/>
      <c r="R1498"/>
    </row>
    <row r="1499" spans="9:18" x14ac:dyDescent="0.15">
      <c r="I1499"/>
      <c r="R1499"/>
    </row>
    <row r="1500" spans="9:18" x14ac:dyDescent="0.15">
      <c r="I1500"/>
      <c r="R1500"/>
    </row>
    <row r="1501" spans="9:18" x14ac:dyDescent="0.15">
      <c r="I1501"/>
      <c r="R1501"/>
    </row>
    <row r="1502" spans="9:18" x14ac:dyDescent="0.15">
      <c r="I1502"/>
      <c r="R1502"/>
    </row>
    <row r="1503" spans="9:18" x14ac:dyDescent="0.15">
      <c r="I1503"/>
      <c r="R1503"/>
    </row>
    <row r="1504" spans="9:18" x14ac:dyDescent="0.15">
      <c r="I1504"/>
      <c r="R1504"/>
    </row>
    <row r="1505" spans="9:18" x14ac:dyDescent="0.15">
      <c r="I1505"/>
      <c r="R1505"/>
    </row>
    <row r="1506" spans="9:18" x14ac:dyDescent="0.15">
      <c r="I1506"/>
      <c r="R1506"/>
    </row>
    <row r="1507" spans="9:18" x14ac:dyDescent="0.15">
      <c r="I1507"/>
      <c r="R1507"/>
    </row>
    <row r="1508" spans="9:18" x14ac:dyDescent="0.15">
      <c r="I1508"/>
      <c r="R1508"/>
    </row>
    <row r="1509" spans="9:18" x14ac:dyDescent="0.15">
      <c r="I1509"/>
      <c r="R1509"/>
    </row>
    <row r="1510" spans="9:18" x14ac:dyDescent="0.15">
      <c r="I1510"/>
      <c r="R1510"/>
    </row>
    <row r="1511" spans="9:18" x14ac:dyDescent="0.15">
      <c r="I1511"/>
      <c r="R1511"/>
    </row>
    <row r="1512" spans="9:18" x14ac:dyDescent="0.15">
      <c r="I1512"/>
      <c r="R1512"/>
    </row>
    <row r="1513" spans="9:18" x14ac:dyDescent="0.15">
      <c r="I1513"/>
      <c r="R1513"/>
    </row>
    <row r="1514" spans="9:18" x14ac:dyDescent="0.15">
      <c r="I1514"/>
      <c r="R1514"/>
    </row>
    <row r="1515" spans="9:18" x14ac:dyDescent="0.15">
      <c r="I1515"/>
      <c r="R1515"/>
    </row>
    <row r="1516" spans="9:18" x14ac:dyDescent="0.15">
      <c r="I1516"/>
      <c r="R1516"/>
    </row>
    <row r="1517" spans="9:18" x14ac:dyDescent="0.15">
      <c r="I1517"/>
      <c r="R1517"/>
    </row>
    <row r="1518" spans="9:18" x14ac:dyDescent="0.15">
      <c r="I1518"/>
      <c r="R1518"/>
    </row>
    <row r="1519" spans="9:18" x14ac:dyDescent="0.15">
      <c r="I1519"/>
      <c r="R1519"/>
    </row>
    <row r="1520" spans="9:18" x14ac:dyDescent="0.15">
      <c r="I1520"/>
      <c r="R1520"/>
    </row>
    <row r="1521" spans="9:18" x14ac:dyDescent="0.15">
      <c r="I1521"/>
      <c r="R1521"/>
    </row>
    <row r="1522" spans="9:18" x14ac:dyDescent="0.15">
      <c r="I1522"/>
      <c r="R1522"/>
    </row>
    <row r="1523" spans="9:18" x14ac:dyDescent="0.15">
      <c r="I1523"/>
      <c r="R1523"/>
    </row>
    <row r="1524" spans="9:18" x14ac:dyDescent="0.15">
      <c r="I1524"/>
      <c r="R1524"/>
    </row>
    <row r="1525" spans="9:18" x14ac:dyDescent="0.15">
      <c r="I1525"/>
      <c r="R1525"/>
    </row>
    <row r="1526" spans="9:18" x14ac:dyDescent="0.15">
      <c r="I1526"/>
      <c r="R1526"/>
    </row>
    <row r="1527" spans="9:18" x14ac:dyDescent="0.15">
      <c r="I1527"/>
      <c r="R1527"/>
    </row>
    <row r="1528" spans="9:18" x14ac:dyDescent="0.15">
      <c r="I1528"/>
      <c r="R1528"/>
    </row>
    <row r="1529" spans="9:18" x14ac:dyDescent="0.15">
      <c r="I1529"/>
      <c r="R1529"/>
    </row>
    <row r="1530" spans="9:18" x14ac:dyDescent="0.15">
      <c r="I1530"/>
      <c r="R1530"/>
    </row>
    <row r="1531" spans="9:18" x14ac:dyDescent="0.15">
      <c r="I1531"/>
      <c r="R1531"/>
    </row>
    <row r="1532" spans="9:18" x14ac:dyDescent="0.15">
      <c r="I1532"/>
      <c r="R1532"/>
    </row>
    <row r="1533" spans="9:18" x14ac:dyDescent="0.15">
      <c r="I1533"/>
      <c r="R1533"/>
    </row>
    <row r="1534" spans="9:18" x14ac:dyDescent="0.15">
      <c r="I1534"/>
      <c r="R1534"/>
    </row>
    <row r="1535" spans="9:18" x14ac:dyDescent="0.15">
      <c r="I1535"/>
      <c r="R1535"/>
    </row>
    <row r="1536" spans="9:18" x14ac:dyDescent="0.15">
      <c r="I1536"/>
      <c r="R1536"/>
    </row>
    <row r="1537" spans="9:18" x14ac:dyDescent="0.15">
      <c r="I1537"/>
      <c r="R1537"/>
    </row>
    <row r="1538" spans="9:18" x14ac:dyDescent="0.15">
      <c r="I1538"/>
      <c r="R1538"/>
    </row>
    <row r="1539" spans="9:18" x14ac:dyDescent="0.15">
      <c r="I1539"/>
      <c r="R1539"/>
    </row>
    <row r="1540" spans="9:18" x14ac:dyDescent="0.15">
      <c r="I1540"/>
      <c r="R1540"/>
    </row>
    <row r="1541" spans="9:18" x14ac:dyDescent="0.15">
      <c r="I1541"/>
      <c r="R1541"/>
    </row>
    <row r="1542" spans="9:18" x14ac:dyDescent="0.15">
      <c r="I1542"/>
      <c r="R1542"/>
    </row>
    <row r="1543" spans="9:18" x14ac:dyDescent="0.15">
      <c r="I1543"/>
      <c r="R1543"/>
    </row>
    <row r="1544" spans="9:18" x14ac:dyDescent="0.15">
      <c r="I1544"/>
      <c r="R1544"/>
    </row>
    <row r="1545" spans="9:18" x14ac:dyDescent="0.15">
      <c r="I1545"/>
      <c r="R1545"/>
    </row>
    <row r="1546" spans="9:18" x14ac:dyDescent="0.15">
      <c r="I1546"/>
      <c r="R1546"/>
    </row>
    <row r="1547" spans="9:18" x14ac:dyDescent="0.15">
      <c r="I1547"/>
      <c r="R1547"/>
    </row>
    <row r="1548" spans="9:18" x14ac:dyDescent="0.15">
      <c r="I1548"/>
      <c r="R1548"/>
    </row>
    <row r="1549" spans="9:18" x14ac:dyDescent="0.15">
      <c r="I1549"/>
      <c r="R1549"/>
    </row>
    <row r="1550" spans="9:18" x14ac:dyDescent="0.15">
      <c r="I1550"/>
      <c r="R1550"/>
    </row>
    <row r="1551" spans="9:18" x14ac:dyDescent="0.15">
      <c r="I1551"/>
      <c r="R1551"/>
    </row>
    <row r="1552" spans="9:18" x14ac:dyDescent="0.15">
      <c r="I1552"/>
      <c r="R1552"/>
    </row>
    <row r="1553" spans="9:18" x14ac:dyDescent="0.15">
      <c r="I1553"/>
      <c r="R1553"/>
    </row>
    <row r="1554" spans="9:18" x14ac:dyDescent="0.15">
      <c r="I1554"/>
      <c r="R1554"/>
    </row>
    <row r="1555" spans="9:18" x14ac:dyDescent="0.15">
      <c r="I1555"/>
      <c r="R1555"/>
    </row>
    <row r="1556" spans="9:18" x14ac:dyDescent="0.15">
      <c r="I1556"/>
      <c r="R1556"/>
    </row>
    <row r="1557" spans="9:18" x14ac:dyDescent="0.15">
      <c r="I1557"/>
      <c r="R1557"/>
    </row>
    <row r="1558" spans="9:18" x14ac:dyDescent="0.15">
      <c r="I1558"/>
      <c r="R1558"/>
    </row>
    <row r="1559" spans="9:18" x14ac:dyDescent="0.15">
      <c r="I1559"/>
      <c r="R1559"/>
    </row>
    <row r="1560" spans="9:18" x14ac:dyDescent="0.15">
      <c r="I1560"/>
      <c r="R1560"/>
    </row>
    <row r="1561" spans="9:18" x14ac:dyDescent="0.15">
      <c r="I1561"/>
      <c r="R1561"/>
    </row>
    <row r="1562" spans="9:18" x14ac:dyDescent="0.15">
      <c r="I1562"/>
      <c r="R1562"/>
    </row>
    <row r="1563" spans="9:18" x14ac:dyDescent="0.15">
      <c r="I1563"/>
      <c r="R1563"/>
    </row>
    <row r="1564" spans="9:18" x14ac:dyDescent="0.15">
      <c r="I1564"/>
      <c r="R1564"/>
    </row>
    <row r="1565" spans="9:18" x14ac:dyDescent="0.15">
      <c r="I1565"/>
      <c r="R1565"/>
    </row>
    <row r="1566" spans="9:18" x14ac:dyDescent="0.15">
      <c r="I1566"/>
      <c r="R1566"/>
    </row>
    <row r="1567" spans="9:18" x14ac:dyDescent="0.15">
      <c r="I1567"/>
      <c r="R1567"/>
    </row>
    <row r="1568" spans="9:18" x14ac:dyDescent="0.15">
      <c r="I1568"/>
      <c r="R1568"/>
    </row>
    <row r="1569" spans="9:18" x14ac:dyDescent="0.15">
      <c r="I1569"/>
      <c r="R1569"/>
    </row>
    <row r="1570" spans="9:18" x14ac:dyDescent="0.15">
      <c r="I1570"/>
      <c r="R1570"/>
    </row>
    <row r="1571" spans="9:18" x14ac:dyDescent="0.15">
      <c r="I1571"/>
      <c r="R1571"/>
    </row>
    <row r="1572" spans="9:18" x14ac:dyDescent="0.15">
      <c r="I1572"/>
      <c r="R1572"/>
    </row>
    <row r="1573" spans="9:18" x14ac:dyDescent="0.15">
      <c r="I1573"/>
      <c r="R1573"/>
    </row>
    <row r="1574" spans="9:18" x14ac:dyDescent="0.15">
      <c r="I1574"/>
      <c r="R1574"/>
    </row>
    <row r="1575" spans="9:18" x14ac:dyDescent="0.15">
      <c r="I1575"/>
      <c r="R1575"/>
    </row>
    <row r="1576" spans="9:18" x14ac:dyDescent="0.15">
      <c r="I1576"/>
      <c r="R1576"/>
    </row>
    <row r="1577" spans="9:18" x14ac:dyDescent="0.15">
      <c r="I1577"/>
      <c r="R1577"/>
    </row>
    <row r="1578" spans="9:18" x14ac:dyDescent="0.15">
      <c r="I1578"/>
      <c r="R1578"/>
    </row>
    <row r="1579" spans="9:18" x14ac:dyDescent="0.15">
      <c r="I1579"/>
      <c r="R1579"/>
    </row>
    <row r="1580" spans="9:18" x14ac:dyDescent="0.15">
      <c r="I1580"/>
      <c r="R1580"/>
    </row>
    <row r="1581" spans="9:18" x14ac:dyDescent="0.15">
      <c r="I1581"/>
      <c r="R1581"/>
    </row>
    <row r="1582" spans="9:18" x14ac:dyDescent="0.15">
      <c r="I1582"/>
      <c r="R1582"/>
    </row>
    <row r="1583" spans="9:18" x14ac:dyDescent="0.15">
      <c r="I1583"/>
      <c r="R1583"/>
    </row>
    <row r="1584" spans="9:18" x14ac:dyDescent="0.15">
      <c r="I1584"/>
      <c r="R1584"/>
    </row>
    <row r="1585" spans="9:18" x14ac:dyDescent="0.15">
      <c r="I1585"/>
      <c r="R1585"/>
    </row>
    <row r="1586" spans="9:18" x14ac:dyDescent="0.15">
      <c r="I1586"/>
      <c r="R1586"/>
    </row>
    <row r="1587" spans="9:18" x14ac:dyDescent="0.15">
      <c r="I1587"/>
      <c r="R1587"/>
    </row>
    <row r="1588" spans="9:18" x14ac:dyDescent="0.15">
      <c r="I1588"/>
      <c r="R1588"/>
    </row>
    <row r="1589" spans="9:18" x14ac:dyDescent="0.15">
      <c r="I1589"/>
      <c r="R1589"/>
    </row>
    <row r="1590" spans="9:18" x14ac:dyDescent="0.15">
      <c r="I1590"/>
      <c r="R1590"/>
    </row>
    <row r="1591" spans="9:18" x14ac:dyDescent="0.15">
      <c r="I1591"/>
      <c r="R1591"/>
    </row>
    <row r="1592" spans="9:18" x14ac:dyDescent="0.15">
      <c r="I1592"/>
      <c r="R1592"/>
    </row>
    <row r="1593" spans="9:18" x14ac:dyDescent="0.15">
      <c r="I1593"/>
      <c r="R1593"/>
    </row>
    <row r="1594" spans="9:18" x14ac:dyDescent="0.15">
      <c r="I1594"/>
      <c r="R1594"/>
    </row>
    <row r="1595" spans="9:18" x14ac:dyDescent="0.15">
      <c r="I1595"/>
      <c r="R1595"/>
    </row>
    <row r="1596" spans="9:18" x14ac:dyDescent="0.15">
      <c r="I1596"/>
      <c r="R1596"/>
    </row>
    <row r="1597" spans="9:18" x14ac:dyDescent="0.15">
      <c r="I1597"/>
      <c r="R1597"/>
    </row>
    <row r="1598" spans="9:18" x14ac:dyDescent="0.15">
      <c r="I1598"/>
      <c r="R1598"/>
    </row>
    <row r="1599" spans="9:18" x14ac:dyDescent="0.15">
      <c r="I1599"/>
      <c r="R1599"/>
    </row>
    <row r="1600" spans="9:18" x14ac:dyDescent="0.15">
      <c r="I1600"/>
      <c r="R1600"/>
    </row>
    <row r="1601" spans="9:18" x14ac:dyDescent="0.15">
      <c r="I1601"/>
      <c r="R1601"/>
    </row>
    <row r="1602" spans="9:18" x14ac:dyDescent="0.15">
      <c r="I1602"/>
      <c r="R1602"/>
    </row>
    <row r="1603" spans="9:18" x14ac:dyDescent="0.15">
      <c r="I1603"/>
      <c r="R1603"/>
    </row>
    <row r="1604" spans="9:18" x14ac:dyDescent="0.15">
      <c r="I1604"/>
      <c r="R1604"/>
    </row>
    <row r="1605" spans="9:18" x14ac:dyDescent="0.15">
      <c r="I1605"/>
      <c r="R1605"/>
    </row>
    <row r="1606" spans="9:18" x14ac:dyDescent="0.15">
      <c r="I1606"/>
      <c r="R1606"/>
    </row>
    <row r="1607" spans="9:18" x14ac:dyDescent="0.15">
      <c r="I1607"/>
      <c r="R1607"/>
    </row>
    <row r="1608" spans="9:18" x14ac:dyDescent="0.15">
      <c r="I1608"/>
      <c r="R1608"/>
    </row>
    <row r="1609" spans="9:18" x14ac:dyDescent="0.15">
      <c r="I1609"/>
      <c r="R1609"/>
    </row>
    <row r="1610" spans="9:18" x14ac:dyDescent="0.15">
      <c r="I1610"/>
      <c r="R1610"/>
    </row>
    <row r="1611" spans="9:18" x14ac:dyDescent="0.15">
      <c r="I1611"/>
      <c r="R1611"/>
    </row>
    <row r="1612" spans="9:18" x14ac:dyDescent="0.15">
      <c r="I1612"/>
      <c r="R1612"/>
    </row>
    <row r="1613" spans="9:18" x14ac:dyDescent="0.15">
      <c r="I1613"/>
      <c r="R1613"/>
    </row>
    <row r="1614" spans="9:18" x14ac:dyDescent="0.15">
      <c r="I1614"/>
      <c r="R1614"/>
    </row>
    <row r="1615" spans="9:18" x14ac:dyDescent="0.15">
      <c r="I1615"/>
      <c r="R1615"/>
    </row>
    <row r="1616" spans="9:18" x14ac:dyDescent="0.15">
      <c r="I1616"/>
      <c r="R1616"/>
    </row>
    <row r="1617" spans="9:18" x14ac:dyDescent="0.15">
      <c r="I1617"/>
      <c r="R1617"/>
    </row>
    <row r="1618" spans="9:18" x14ac:dyDescent="0.15">
      <c r="I1618"/>
      <c r="R1618"/>
    </row>
    <row r="1619" spans="9:18" x14ac:dyDescent="0.15">
      <c r="I1619"/>
      <c r="R1619"/>
    </row>
    <row r="1620" spans="9:18" x14ac:dyDescent="0.15">
      <c r="I1620"/>
      <c r="R1620"/>
    </row>
    <row r="1621" spans="9:18" x14ac:dyDescent="0.15">
      <c r="I1621"/>
      <c r="R1621"/>
    </row>
    <row r="1622" spans="9:18" x14ac:dyDescent="0.15">
      <c r="I1622"/>
      <c r="R1622"/>
    </row>
    <row r="1623" spans="9:18" x14ac:dyDescent="0.15">
      <c r="I1623"/>
      <c r="R1623"/>
    </row>
    <row r="1624" spans="9:18" x14ac:dyDescent="0.15">
      <c r="I1624"/>
      <c r="R1624"/>
    </row>
    <row r="1625" spans="9:18" x14ac:dyDescent="0.15">
      <c r="I1625"/>
      <c r="R1625"/>
    </row>
    <row r="1626" spans="9:18" x14ac:dyDescent="0.15">
      <c r="I1626"/>
      <c r="R1626"/>
    </row>
    <row r="1627" spans="9:18" x14ac:dyDescent="0.15">
      <c r="I1627"/>
      <c r="R1627"/>
    </row>
    <row r="1628" spans="9:18" x14ac:dyDescent="0.15">
      <c r="I1628"/>
      <c r="R1628"/>
    </row>
    <row r="1629" spans="9:18" x14ac:dyDescent="0.15">
      <c r="I1629"/>
      <c r="R1629"/>
    </row>
    <row r="1630" spans="9:18" x14ac:dyDescent="0.15">
      <c r="I1630"/>
      <c r="R1630"/>
    </row>
    <row r="1631" spans="9:18" x14ac:dyDescent="0.15">
      <c r="I1631"/>
      <c r="R1631"/>
    </row>
    <row r="1632" spans="9:18" x14ac:dyDescent="0.15">
      <c r="I1632"/>
      <c r="R1632"/>
    </row>
    <row r="1633" spans="9:18" x14ac:dyDescent="0.15">
      <c r="I1633"/>
      <c r="R1633"/>
    </row>
    <row r="1634" spans="9:18" x14ac:dyDescent="0.15">
      <c r="I1634"/>
      <c r="R1634"/>
    </row>
    <row r="1635" spans="9:18" x14ac:dyDescent="0.15">
      <c r="I1635"/>
      <c r="R1635"/>
    </row>
    <row r="1636" spans="9:18" x14ac:dyDescent="0.15">
      <c r="I1636"/>
      <c r="R1636"/>
    </row>
    <row r="1637" spans="9:18" x14ac:dyDescent="0.15">
      <c r="I1637"/>
      <c r="R1637"/>
    </row>
    <row r="1638" spans="9:18" x14ac:dyDescent="0.15">
      <c r="I1638"/>
      <c r="R1638"/>
    </row>
    <row r="1639" spans="9:18" x14ac:dyDescent="0.15">
      <c r="I1639"/>
      <c r="R1639"/>
    </row>
    <row r="1640" spans="9:18" x14ac:dyDescent="0.15">
      <c r="I1640"/>
      <c r="R1640"/>
    </row>
    <row r="1641" spans="9:18" x14ac:dyDescent="0.15">
      <c r="I1641"/>
      <c r="R1641"/>
    </row>
    <row r="1642" spans="9:18" x14ac:dyDescent="0.15">
      <c r="I1642"/>
      <c r="R1642"/>
    </row>
    <row r="1643" spans="9:18" x14ac:dyDescent="0.15">
      <c r="I1643"/>
      <c r="R1643"/>
    </row>
    <row r="1644" spans="9:18" x14ac:dyDescent="0.15">
      <c r="I1644"/>
      <c r="R1644"/>
    </row>
    <row r="1645" spans="9:18" x14ac:dyDescent="0.15">
      <c r="I1645"/>
      <c r="R1645"/>
    </row>
    <row r="1646" spans="9:18" x14ac:dyDescent="0.15">
      <c r="I1646"/>
      <c r="R1646"/>
    </row>
    <row r="1647" spans="9:18" x14ac:dyDescent="0.15">
      <c r="I1647"/>
      <c r="R1647"/>
    </row>
    <row r="1648" spans="9:18" x14ac:dyDescent="0.15">
      <c r="I1648"/>
      <c r="R1648"/>
    </row>
    <row r="1649" spans="9:18" x14ac:dyDescent="0.15">
      <c r="I1649"/>
      <c r="R1649"/>
    </row>
    <row r="1650" spans="9:18" x14ac:dyDescent="0.15">
      <c r="I1650"/>
      <c r="R1650"/>
    </row>
    <row r="1651" spans="9:18" x14ac:dyDescent="0.15">
      <c r="I1651"/>
      <c r="R1651"/>
    </row>
    <row r="1652" spans="9:18" x14ac:dyDescent="0.15">
      <c r="I1652"/>
      <c r="R1652"/>
    </row>
    <row r="1653" spans="9:18" x14ac:dyDescent="0.15">
      <c r="I1653"/>
      <c r="R1653"/>
    </row>
    <row r="1654" spans="9:18" x14ac:dyDescent="0.15">
      <c r="I1654"/>
      <c r="R1654"/>
    </row>
    <row r="1655" spans="9:18" x14ac:dyDescent="0.15">
      <c r="I1655"/>
      <c r="R1655"/>
    </row>
    <row r="1656" spans="9:18" x14ac:dyDescent="0.15">
      <c r="I1656"/>
      <c r="R1656"/>
    </row>
    <row r="1657" spans="9:18" x14ac:dyDescent="0.15">
      <c r="I1657"/>
      <c r="R1657"/>
    </row>
    <row r="1658" spans="9:18" x14ac:dyDescent="0.15">
      <c r="I1658"/>
      <c r="R1658"/>
    </row>
    <row r="1659" spans="9:18" x14ac:dyDescent="0.15">
      <c r="I1659"/>
      <c r="R1659"/>
    </row>
    <row r="1660" spans="9:18" x14ac:dyDescent="0.15">
      <c r="I1660"/>
      <c r="R1660"/>
    </row>
    <row r="1661" spans="9:18" x14ac:dyDescent="0.15">
      <c r="I1661"/>
      <c r="R1661"/>
    </row>
    <row r="1662" spans="9:18" x14ac:dyDescent="0.15">
      <c r="I1662"/>
      <c r="R1662"/>
    </row>
    <row r="1663" spans="9:18" x14ac:dyDescent="0.15">
      <c r="I1663"/>
      <c r="R1663"/>
    </row>
    <row r="1664" spans="9:18" x14ac:dyDescent="0.15">
      <c r="I1664"/>
      <c r="R1664"/>
    </row>
    <row r="1665" spans="9:18" x14ac:dyDescent="0.15">
      <c r="I1665"/>
      <c r="R1665"/>
    </row>
    <row r="1666" spans="9:18" x14ac:dyDescent="0.15">
      <c r="I1666"/>
      <c r="R1666"/>
    </row>
    <row r="1667" spans="9:18" x14ac:dyDescent="0.15">
      <c r="I1667"/>
      <c r="R1667"/>
    </row>
    <row r="1668" spans="9:18" x14ac:dyDescent="0.15">
      <c r="I1668"/>
      <c r="R1668"/>
    </row>
    <row r="1669" spans="9:18" x14ac:dyDescent="0.15">
      <c r="I1669"/>
      <c r="R1669"/>
    </row>
    <row r="1670" spans="9:18" x14ac:dyDescent="0.15">
      <c r="I1670"/>
      <c r="R1670"/>
    </row>
    <row r="1671" spans="9:18" x14ac:dyDescent="0.15">
      <c r="I1671"/>
      <c r="R1671"/>
    </row>
    <row r="1672" spans="9:18" x14ac:dyDescent="0.15">
      <c r="I1672"/>
      <c r="R1672"/>
    </row>
    <row r="1673" spans="9:18" x14ac:dyDescent="0.15">
      <c r="I1673"/>
      <c r="R1673"/>
    </row>
    <row r="1674" spans="9:18" x14ac:dyDescent="0.15">
      <c r="I1674"/>
      <c r="R1674"/>
    </row>
    <row r="1675" spans="9:18" x14ac:dyDescent="0.15">
      <c r="I1675"/>
      <c r="R1675"/>
    </row>
    <row r="1676" spans="9:18" x14ac:dyDescent="0.15">
      <c r="I1676"/>
      <c r="R1676"/>
    </row>
    <row r="1677" spans="9:18" x14ac:dyDescent="0.15">
      <c r="I1677"/>
      <c r="R1677"/>
    </row>
    <row r="1678" spans="9:18" x14ac:dyDescent="0.15">
      <c r="I1678"/>
      <c r="R1678"/>
    </row>
    <row r="1679" spans="9:18" x14ac:dyDescent="0.15">
      <c r="I1679"/>
      <c r="R1679"/>
    </row>
    <row r="1680" spans="9:18" x14ac:dyDescent="0.15">
      <c r="I1680"/>
      <c r="R1680"/>
    </row>
    <row r="1681" spans="9:18" x14ac:dyDescent="0.15">
      <c r="I1681"/>
      <c r="R1681"/>
    </row>
    <row r="1682" spans="9:18" x14ac:dyDescent="0.15">
      <c r="I1682"/>
      <c r="R1682"/>
    </row>
    <row r="1683" spans="9:18" x14ac:dyDescent="0.15">
      <c r="I1683"/>
      <c r="R1683"/>
    </row>
    <row r="1684" spans="9:18" x14ac:dyDescent="0.15">
      <c r="I1684"/>
      <c r="R1684"/>
    </row>
    <row r="1685" spans="9:18" x14ac:dyDescent="0.15">
      <c r="I1685"/>
      <c r="R1685"/>
    </row>
    <row r="1686" spans="9:18" x14ac:dyDescent="0.15">
      <c r="I1686"/>
      <c r="R1686"/>
    </row>
    <row r="1687" spans="9:18" x14ac:dyDescent="0.15">
      <c r="I1687"/>
      <c r="R1687"/>
    </row>
    <row r="1688" spans="9:18" x14ac:dyDescent="0.15">
      <c r="I1688"/>
      <c r="R1688"/>
    </row>
    <row r="1689" spans="9:18" x14ac:dyDescent="0.15">
      <c r="I1689"/>
      <c r="R1689"/>
    </row>
    <row r="1690" spans="9:18" x14ac:dyDescent="0.15">
      <c r="I1690"/>
      <c r="R1690"/>
    </row>
    <row r="1691" spans="9:18" x14ac:dyDescent="0.15">
      <c r="I1691"/>
      <c r="R1691"/>
    </row>
    <row r="1692" spans="9:18" x14ac:dyDescent="0.15">
      <c r="I1692"/>
      <c r="R1692"/>
    </row>
    <row r="1693" spans="9:18" x14ac:dyDescent="0.15">
      <c r="I1693"/>
      <c r="R1693"/>
    </row>
    <row r="1694" spans="9:18" x14ac:dyDescent="0.15">
      <c r="I1694"/>
      <c r="R1694"/>
    </row>
    <row r="1695" spans="9:18" x14ac:dyDescent="0.15">
      <c r="I1695"/>
      <c r="R1695"/>
    </row>
    <row r="1696" spans="9:18" x14ac:dyDescent="0.15">
      <c r="I1696"/>
      <c r="R1696"/>
    </row>
    <row r="1697" spans="9:18" x14ac:dyDescent="0.15">
      <c r="I1697"/>
      <c r="R1697"/>
    </row>
    <row r="1698" spans="9:18" x14ac:dyDescent="0.15">
      <c r="I1698"/>
      <c r="R1698"/>
    </row>
    <row r="1699" spans="9:18" x14ac:dyDescent="0.15">
      <c r="I1699"/>
      <c r="R1699"/>
    </row>
    <row r="1700" spans="9:18" x14ac:dyDescent="0.15">
      <c r="I1700"/>
      <c r="R1700"/>
    </row>
    <row r="1701" spans="9:18" x14ac:dyDescent="0.15">
      <c r="I1701"/>
      <c r="R1701"/>
    </row>
    <row r="1702" spans="9:18" x14ac:dyDescent="0.15">
      <c r="I1702"/>
      <c r="R1702"/>
    </row>
    <row r="1703" spans="9:18" x14ac:dyDescent="0.15">
      <c r="I1703"/>
      <c r="R1703"/>
    </row>
    <row r="1704" spans="9:18" x14ac:dyDescent="0.15">
      <c r="I1704"/>
      <c r="R1704"/>
    </row>
    <row r="1705" spans="9:18" x14ac:dyDescent="0.15">
      <c r="I1705"/>
      <c r="R1705"/>
    </row>
    <row r="1706" spans="9:18" x14ac:dyDescent="0.15">
      <c r="I1706"/>
      <c r="R1706"/>
    </row>
    <row r="1707" spans="9:18" x14ac:dyDescent="0.15">
      <c r="I1707"/>
      <c r="R1707"/>
    </row>
    <row r="1708" spans="9:18" x14ac:dyDescent="0.15">
      <c r="I1708"/>
      <c r="R1708"/>
    </row>
    <row r="1709" spans="9:18" x14ac:dyDescent="0.15">
      <c r="I1709"/>
      <c r="R1709"/>
    </row>
    <row r="1710" spans="9:18" x14ac:dyDescent="0.15">
      <c r="I1710"/>
      <c r="R1710"/>
    </row>
    <row r="1711" spans="9:18" x14ac:dyDescent="0.15">
      <c r="I1711"/>
      <c r="R1711"/>
    </row>
    <row r="1712" spans="9:18" x14ac:dyDescent="0.15">
      <c r="I1712"/>
      <c r="R1712"/>
    </row>
    <row r="1713" spans="9:18" x14ac:dyDescent="0.15">
      <c r="I1713"/>
      <c r="R1713"/>
    </row>
    <row r="1714" spans="9:18" x14ac:dyDescent="0.15">
      <c r="I1714"/>
      <c r="R1714"/>
    </row>
    <row r="1715" spans="9:18" x14ac:dyDescent="0.15">
      <c r="I1715"/>
      <c r="R1715"/>
    </row>
    <row r="1716" spans="9:18" x14ac:dyDescent="0.15">
      <c r="I1716"/>
      <c r="R1716"/>
    </row>
    <row r="1717" spans="9:18" x14ac:dyDescent="0.15">
      <c r="I1717"/>
      <c r="R1717"/>
    </row>
    <row r="1718" spans="9:18" x14ac:dyDescent="0.15">
      <c r="I1718"/>
      <c r="R1718"/>
    </row>
    <row r="1719" spans="9:18" x14ac:dyDescent="0.15">
      <c r="I1719"/>
      <c r="R1719"/>
    </row>
    <row r="1720" spans="9:18" x14ac:dyDescent="0.15">
      <c r="I1720"/>
      <c r="R1720"/>
    </row>
    <row r="1721" spans="9:18" x14ac:dyDescent="0.15">
      <c r="I1721"/>
      <c r="R1721"/>
    </row>
    <row r="1722" spans="9:18" x14ac:dyDescent="0.15">
      <c r="I1722"/>
      <c r="R1722"/>
    </row>
    <row r="1723" spans="9:18" x14ac:dyDescent="0.15">
      <c r="I1723"/>
      <c r="R1723"/>
    </row>
    <row r="1724" spans="9:18" x14ac:dyDescent="0.15">
      <c r="I1724"/>
      <c r="R1724"/>
    </row>
    <row r="1725" spans="9:18" x14ac:dyDescent="0.15">
      <c r="I1725"/>
      <c r="R1725"/>
    </row>
    <row r="1726" spans="9:18" x14ac:dyDescent="0.15">
      <c r="I1726"/>
      <c r="R1726"/>
    </row>
    <row r="1727" spans="9:18" x14ac:dyDescent="0.15">
      <c r="I1727"/>
      <c r="R1727"/>
    </row>
    <row r="1728" spans="9:18" x14ac:dyDescent="0.15">
      <c r="I1728"/>
      <c r="R1728"/>
    </row>
    <row r="1729" spans="9:18" x14ac:dyDescent="0.15">
      <c r="I1729"/>
      <c r="R1729"/>
    </row>
    <row r="1730" spans="9:18" x14ac:dyDescent="0.15">
      <c r="I1730"/>
      <c r="R1730"/>
    </row>
    <row r="1731" spans="9:18" x14ac:dyDescent="0.15">
      <c r="I1731"/>
      <c r="R1731"/>
    </row>
    <row r="1732" spans="9:18" x14ac:dyDescent="0.15">
      <c r="I1732"/>
      <c r="R1732"/>
    </row>
    <row r="1733" spans="9:18" x14ac:dyDescent="0.15">
      <c r="I1733"/>
      <c r="R1733"/>
    </row>
    <row r="1734" spans="9:18" x14ac:dyDescent="0.15">
      <c r="I1734"/>
      <c r="R1734"/>
    </row>
    <row r="1735" spans="9:18" x14ac:dyDescent="0.15">
      <c r="I1735"/>
      <c r="R1735"/>
    </row>
    <row r="1736" spans="9:18" x14ac:dyDescent="0.15">
      <c r="I1736"/>
      <c r="R1736"/>
    </row>
    <row r="1737" spans="9:18" x14ac:dyDescent="0.15">
      <c r="I1737"/>
      <c r="R1737"/>
    </row>
    <row r="1738" spans="9:18" x14ac:dyDescent="0.15">
      <c r="I1738"/>
      <c r="R1738"/>
    </row>
    <row r="1739" spans="9:18" x14ac:dyDescent="0.15">
      <c r="I1739"/>
      <c r="R1739"/>
    </row>
    <row r="1740" spans="9:18" x14ac:dyDescent="0.15">
      <c r="I1740"/>
      <c r="R1740"/>
    </row>
    <row r="1741" spans="9:18" x14ac:dyDescent="0.15">
      <c r="I1741"/>
      <c r="R1741"/>
    </row>
    <row r="1742" spans="9:18" x14ac:dyDescent="0.15">
      <c r="I1742"/>
      <c r="R1742"/>
    </row>
    <row r="1743" spans="9:18" x14ac:dyDescent="0.15">
      <c r="I1743"/>
      <c r="R1743"/>
    </row>
    <row r="1744" spans="9:18" x14ac:dyDescent="0.15">
      <c r="I1744"/>
      <c r="R1744"/>
    </row>
    <row r="1745" spans="9:18" x14ac:dyDescent="0.15">
      <c r="I1745"/>
      <c r="R1745"/>
    </row>
    <row r="1746" spans="9:18" x14ac:dyDescent="0.15">
      <c r="I1746"/>
      <c r="R1746"/>
    </row>
    <row r="1747" spans="9:18" x14ac:dyDescent="0.15">
      <c r="I1747"/>
      <c r="R1747"/>
    </row>
    <row r="1748" spans="9:18" x14ac:dyDescent="0.15">
      <c r="I1748"/>
      <c r="R1748"/>
    </row>
    <row r="1749" spans="9:18" x14ac:dyDescent="0.15">
      <c r="I1749"/>
      <c r="R1749"/>
    </row>
    <row r="1750" spans="9:18" x14ac:dyDescent="0.15">
      <c r="I1750"/>
      <c r="R1750"/>
    </row>
    <row r="1751" spans="9:18" x14ac:dyDescent="0.15">
      <c r="I1751"/>
      <c r="R1751"/>
    </row>
    <row r="1752" spans="9:18" x14ac:dyDescent="0.15">
      <c r="I1752"/>
      <c r="R1752"/>
    </row>
    <row r="1753" spans="9:18" x14ac:dyDescent="0.15">
      <c r="I1753"/>
      <c r="R1753"/>
    </row>
    <row r="1754" spans="9:18" x14ac:dyDescent="0.15">
      <c r="I1754"/>
      <c r="R1754"/>
    </row>
    <row r="1755" spans="9:18" x14ac:dyDescent="0.15">
      <c r="I1755"/>
      <c r="R1755"/>
    </row>
    <row r="1756" spans="9:18" x14ac:dyDescent="0.15">
      <c r="I1756"/>
      <c r="R1756"/>
    </row>
    <row r="1757" spans="9:18" x14ac:dyDescent="0.15">
      <c r="I1757"/>
      <c r="R1757"/>
    </row>
    <row r="1758" spans="9:18" x14ac:dyDescent="0.15">
      <c r="I1758"/>
      <c r="R1758"/>
    </row>
    <row r="1759" spans="9:18" x14ac:dyDescent="0.15">
      <c r="I1759"/>
      <c r="R1759"/>
    </row>
    <row r="1760" spans="9:18" x14ac:dyDescent="0.15">
      <c r="I1760"/>
      <c r="R1760"/>
    </row>
    <row r="1761" spans="9:18" x14ac:dyDescent="0.15">
      <c r="I1761"/>
      <c r="R1761"/>
    </row>
    <row r="1762" spans="9:18" x14ac:dyDescent="0.15">
      <c r="I1762"/>
      <c r="R1762"/>
    </row>
    <row r="1763" spans="9:18" x14ac:dyDescent="0.15">
      <c r="I1763"/>
      <c r="R1763"/>
    </row>
    <row r="1764" spans="9:18" x14ac:dyDescent="0.15">
      <c r="I1764"/>
      <c r="R1764"/>
    </row>
    <row r="1765" spans="9:18" x14ac:dyDescent="0.15">
      <c r="I1765"/>
      <c r="R1765"/>
    </row>
    <row r="1766" spans="9:18" x14ac:dyDescent="0.15">
      <c r="I1766"/>
      <c r="R1766"/>
    </row>
    <row r="1767" spans="9:18" x14ac:dyDescent="0.15">
      <c r="I1767"/>
      <c r="R1767"/>
    </row>
    <row r="1768" spans="9:18" x14ac:dyDescent="0.15">
      <c r="I1768"/>
      <c r="R1768"/>
    </row>
    <row r="1769" spans="9:18" x14ac:dyDescent="0.15">
      <c r="I1769"/>
      <c r="R1769"/>
    </row>
    <row r="1770" spans="9:18" x14ac:dyDescent="0.15">
      <c r="I1770"/>
      <c r="R1770"/>
    </row>
    <row r="1771" spans="9:18" x14ac:dyDescent="0.15">
      <c r="I1771"/>
      <c r="R1771"/>
    </row>
    <row r="1772" spans="9:18" x14ac:dyDescent="0.15">
      <c r="I1772"/>
      <c r="R1772"/>
    </row>
    <row r="1773" spans="9:18" x14ac:dyDescent="0.15">
      <c r="I1773"/>
      <c r="R1773"/>
    </row>
    <row r="1774" spans="9:18" x14ac:dyDescent="0.15">
      <c r="I1774"/>
      <c r="R1774"/>
    </row>
    <row r="1775" spans="9:18" x14ac:dyDescent="0.15">
      <c r="I1775"/>
      <c r="R1775"/>
    </row>
    <row r="1776" spans="9:18" x14ac:dyDescent="0.15">
      <c r="I1776"/>
      <c r="R1776"/>
    </row>
    <row r="1777" spans="9:18" x14ac:dyDescent="0.15">
      <c r="I1777"/>
      <c r="R1777"/>
    </row>
    <row r="1778" spans="9:18" x14ac:dyDescent="0.15">
      <c r="I1778"/>
      <c r="R1778"/>
    </row>
    <row r="1779" spans="9:18" x14ac:dyDescent="0.15">
      <c r="I1779"/>
      <c r="R1779"/>
    </row>
    <row r="1780" spans="9:18" x14ac:dyDescent="0.15">
      <c r="I1780"/>
      <c r="R1780"/>
    </row>
    <row r="1781" spans="9:18" x14ac:dyDescent="0.15">
      <c r="I1781"/>
      <c r="R1781"/>
    </row>
    <row r="1782" spans="9:18" x14ac:dyDescent="0.15">
      <c r="I1782"/>
      <c r="R1782"/>
    </row>
    <row r="1783" spans="9:18" x14ac:dyDescent="0.15">
      <c r="I1783"/>
      <c r="R1783"/>
    </row>
    <row r="1784" spans="9:18" x14ac:dyDescent="0.15">
      <c r="I1784"/>
      <c r="R1784"/>
    </row>
    <row r="1785" spans="9:18" x14ac:dyDescent="0.15">
      <c r="I1785"/>
      <c r="R1785"/>
    </row>
    <row r="1786" spans="9:18" x14ac:dyDescent="0.15">
      <c r="I1786"/>
      <c r="R1786"/>
    </row>
    <row r="1787" spans="9:18" x14ac:dyDescent="0.15">
      <c r="I1787"/>
      <c r="R1787"/>
    </row>
    <row r="1788" spans="9:18" x14ac:dyDescent="0.15">
      <c r="I1788"/>
      <c r="R1788"/>
    </row>
    <row r="1789" spans="9:18" x14ac:dyDescent="0.15">
      <c r="I1789"/>
      <c r="R1789"/>
    </row>
    <row r="1790" spans="9:18" x14ac:dyDescent="0.15">
      <c r="I1790"/>
      <c r="R1790"/>
    </row>
    <row r="1791" spans="9:18" x14ac:dyDescent="0.15">
      <c r="I1791"/>
      <c r="R1791"/>
    </row>
    <row r="1792" spans="9:18" x14ac:dyDescent="0.15">
      <c r="I1792"/>
      <c r="R1792"/>
    </row>
    <row r="1793" spans="9:18" x14ac:dyDescent="0.15">
      <c r="I1793"/>
      <c r="R1793"/>
    </row>
    <row r="1794" spans="9:18" x14ac:dyDescent="0.15">
      <c r="I1794"/>
      <c r="R1794"/>
    </row>
    <row r="1795" spans="9:18" x14ac:dyDescent="0.15">
      <c r="I1795"/>
      <c r="R1795"/>
    </row>
    <row r="1796" spans="9:18" x14ac:dyDescent="0.15">
      <c r="I1796"/>
      <c r="R1796"/>
    </row>
    <row r="1797" spans="9:18" x14ac:dyDescent="0.15">
      <c r="I1797"/>
      <c r="R1797"/>
    </row>
    <row r="1798" spans="9:18" x14ac:dyDescent="0.15">
      <c r="I1798"/>
      <c r="R1798"/>
    </row>
    <row r="1799" spans="9:18" x14ac:dyDescent="0.15">
      <c r="I1799"/>
      <c r="R1799"/>
    </row>
    <row r="1800" spans="9:18" x14ac:dyDescent="0.15">
      <c r="I1800"/>
      <c r="R1800"/>
    </row>
    <row r="1801" spans="9:18" x14ac:dyDescent="0.15">
      <c r="I1801"/>
      <c r="R1801"/>
    </row>
    <row r="1802" spans="9:18" x14ac:dyDescent="0.15">
      <c r="I1802"/>
      <c r="R1802"/>
    </row>
    <row r="1803" spans="9:18" x14ac:dyDescent="0.15">
      <c r="I1803"/>
      <c r="R1803"/>
    </row>
    <row r="1804" spans="9:18" x14ac:dyDescent="0.15">
      <c r="I1804"/>
      <c r="R1804"/>
    </row>
    <row r="1805" spans="9:18" x14ac:dyDescent="0.15">
      <c r="I1805"/>
      <c r="R1805"/>
    </row>
    <row r="1806" spans="9:18" x14ac:dyDescent="0.15">
      <c r="I1806"/>
      <c r="R1806"/>
    </row>
    <row r="1807" spans="9:18" x14ac:dyDescent="0.15">
      <c r="I1807"/>
      <c r="R1807"/>
    </row>
    <row r="1808" spans="9:18" x14ac:dyDescent="0.15">
      <c r="I1808"/>
      <c r="R1808"/>
    </row>
    <row r="1809" spans="9:18" x14ac:dyDescent="0.15">
      <c r="I1809"/>
      <c r="R1809"/>
    </row>
    <row r="1810" spans="9:18" x14ac:dyDescent="0.15">
      <c r="I1810"/>
      <c r="R1810"/>
    </row>
    <row r="1811" spans="9:18" x14ac:dyDescent="0.15">
      <c r="I1811"/>
      <c r="R1811"/>
    </row>
    <row r="1812" spans="9:18" x14ac:dyDescent="0.15">
      <c r="I1812"/>
      <c r="R1812"/>
    </row>
    <row r="1813" spans="9:18" x14ac:dyDescent="0.15">
      <c r="I1813"/>
      <c r="R1813"/>
    </row>
    <row r="1814" spans="9:18" x14ac:dyDescent="0.15">
      <c r="I1814"/>
      <c r="R1814"/>
    </row>
    <row r="1815" spans="9:18" x14ac:dyDescent="0.15">
      <c r="I1815"/>
      <c r="R1815"/>
    </row>
    <row r="1816" spans="9:18" x14ac:dyDescent="0.15">
      <c r="I1816"/>
      <c r="R1816"/>
    </row>
    <row r="1817" spans="9:18" x14ac:dyDescent="0.15">
      <c r="I1817"/>
      <c r="R1817"/>
    </row>
    <row r="1818" spans="9:18" x14ac:dyDescent="0.15">
      <c r="I1818"/>
      <c r="R1818"/>
    </row>
    <row r="1819" spans="9:18" x14ac:dyDescent="0.15">
      <c r="I1819"/>
      <c r="R1819"/>
    </row>
    <row r="1820" spans="9:18" x14ac:dyDescent="0.15">
      <c r="I1820"/>
      <c r="R1820"/>
    </row>
    <row r="1821" spans="9:18" x14ac:dyDescent="0.15">
      <c r="I1821"/>
      <c r="R1821"/>
    </row>
    <row r="1822" spans="9:18" x14ac:dyDescent="0.15">
      <c r="I1822"/>
      <c r="R1822"/>
    </row>
    <row r="1823" spans="9:18" x14ac:dyDescent="0.15">
      <c r="I1823"/>
      <c r="R1823"/>
    </row>
    <row r="1824" spans="9:18" x14ac:dyDescent="0.15">
      <c r="I1824"/>
      <c r="R1824"/>
    </row>
    <row r="1825" spans="9:18" x14ac:dyDescent="0.15">
      <c r="I1825"/>
      <c r="R1825"/>
    </row>
    <row r="1826" spans="9:18" x14ac:dyDescent="0.15">
      <c r="I1826"/>
      <c r="R1826"/>
    </row>
    <row r="1827" spans="9:18" x14ac:dyDescent="0.15">
      <c r="I1827"/>
      <c r="R1827"/>
    </row>
    <row r="1828" spans="9:18" x14ac:dyDescent="0.15">
      <c r="I1828"/>
      <c r="R1828"/>
    </row>
    <row r="1829" spans="9:18" x14ac:dyDescent="0.15">
      <c r="I1829"/>
      <c r="R1829"/>
    </row>
    <row r="1830" spans="9:18" x14ac:dyDescent="0.15">
      <c r="I1830"/>
      <c r="R1830"/>
    </row>
    <row r="1831" spans="9:18" x14ac:dyDescent="0.15">
      <c r="I1831"/>
      <c r="R1831"/>
    </row>
    <row r="1832" spans="9:18" x14ac:dyDescent="0.15">
      <c r="I1832"/>
      <c r="R1832"/>
    </row>
    <row r="1833" spans="9:18" x14ac:dyDescent="0.15">
      <c r="I1833"/>
      <c r="R1833"/>
    </row>
    <row r="1834" spans="9:18" x14ac:dyDescent="0.15">
      <c r="I1834"/>
      <c r="R1834"/>
    </row>
    <row r="1835" spans="9:18" x14ac:dyDescent="0.15">
      <c r="I1835"/>
      <c r="R1835"/>
    </row>
    <row r="1836" spans="9:18" x14ac:dyDescent="0.15">
      <c r="I1836"/>
      <c r="R1836"/>
    </row>
    <row r="1837" spans="9:18" x14ac:dyDescent="0.15">
      <c r="I1837"/>
      <c r="R1837"/>
    </row>
    <row r="1838" spans="9:18" x14ac:dyDescent="0.15">
      <c r="I1838"/>
      <c r="R1838"/>
    </row>
    <row r="1839" spans="9:18" x14ac:dyDescent="0.15">
      <c r="I1839"/>
      <c r="R1839"/>
    </row>
    <row r="1840" spans="9:18" x14ac:dyDescent="0.15">
      <c r="I1840"/>
      <c r="R1840"/>
    </row>
    <row r="1841" spans="9:18" x14ac:dyDescent="0.15">
      <c r="I1841"/>
      <c r="R1841"/>
    </row>
    <row r="1842" spans="9:18" x14ac:dyDescent="0.15">
      <c r="I1842"/>
      <c r="R1842"/>
    </row>
    <row r="1843" spans="9:18" x14ac:dyDescent="0.15">
      <c r="I1843"/>
      <c r="R1843"/>
    </row>
    <row r="1844" spans="9:18" x14ac:dyDescent="0.15">
      <c r="I1844"/>
      <c r="R1844"/>
    </row>
    <row r="1845" spans="9:18" x14ac:dyDescent="0.15">
      <c r="I1845"/>
      <c r="R1845"/>
    </row>
    <row r="1846" spans="9:18" x14ac:dyDescent="0.15">
      <c r="I1846"/>
      <c r="R1846"/>
    </row>
    <row r="1847" spans="9:18" x14ac:dyDescent="0.15">
      <c r="I1847"/>
      <c r="R1847"/>
    </row>
    <row r="1848" spans="9:18" x14ac:dyDescent="0.15">
      <c r="I1848"/>
      <c r="R1848"/>
    </row>
    <row r="1849" spans="9:18" x14ac:dyDescent="0.15">
      <c r="I1849"/>
      <c r="R1849"/>
    </row>
    <row r="1850" spans="9:18" x14ac:dyDescent="0.15">
      <c r="I1850"/>
      <c r="R1850"/>
    </row>
    <row r="1851" spans="9:18" x14ac:dyDescent="0.15">
      <c r="I1851"/>
      <c r="R1851"/>
    </row>
    <row r="1852" spans="9:18" x14ac:dyDescent="0.15">
      <c r="I1852"/>
      <c r="R1852"/>
    </row>
    <row r="1853" spans="9:18" x14ac:dyDescent="0.15">
      <c r="I1853"/>
      <c r="R1853"/>
    </row>
    <row r="1854" spans="9:18" x14ac:dyDescent="0.15">
      <c r="I1854"/>
      <c r="R1854"/>
    </row>
    <row r="1855" spans="9:18" x14ac:dyDescent="0.15">
      <c r="I1855"/>
      <c r="R1855"/>
    </row>
    <row r="1856" spans="9:18" x14ac:dyDescent="0.15">
      <c r="I1856"/>
      <c r="R1856"/>
    </row>
    <row r="1857" spans="9:18" x14ac:dyDescent="0.15">
      <c r="I1857"/>
      <c r="R1857"/>
    </row>
    <row r="1858" spans="9:18" x14ac:dyDescent="0.15">
      <c r="I1858"/>
      <c r="R1858"/>
    </row>
    <row r="1859" spans="9:18" x14ac:dyDescent="0.15">
      <c r="I1859"/>
      <c r="R1859"/>
    </row>
    <row r="1860" spans="9:18" x14ac:dyDescent="0.15">
      <c r="I1860"/>
      <c r="R1860"/>
    </row>
    <row r="1861" spans="9:18" x14ac:dyDescent="0.15">
      <c r="I1861"/>
      <c r="R1861"/>
    </row>
    <row r="1862" spans="9:18" x14ac:dyDescent="0.15">
      <c r="I1862"/>
      <c r="R1862"/>
    </row>
    <row r="1863" spans="9:18" x14ac:dyDescent="0.15">
      <c r="I1863"/>
      <c r="R1863"/>
    </row>
    <row r="1864" spans="9:18" x14ac:dyDescent="0.15">
      <c r="I1864"/>
      <c r="R1864"/>
    </row>
    <row r="1865" spans="9:18" x14ac:dyDescent="0.15">
      <c r="I1865"/>
      <c r="R1865"/>
    </row>
    <row r="1866" spans="9:18" x14ac:dyDescent="0.15">
      <c r="I1866"/>
      <c r="R1866"/>
    </row>
    <row r="1867" spans="9:18" x14ac:dyDescent="0.15">
      <c r="I1867"/>
      <c r="R1867"/>
    </row>
    <row r="1868" spans="9:18" x14ac:dyDescent="0.15">
      <c r="I1868"/>
      <c r="R1868"/>
    </row>
    <row r="1869" spans="9:18" x14ac:dyDescent="0.15">
      <c r="I1869"/>
      <c r="R1869"/>
    </row>
    <row r="1870" spans="9:18" x14ac:dyDescent="0.15">
      <c r="I1870"/>
      <c r="R1870"/>
    </row>
    <row r="1871" spans="9:18" x14ac:dyDescent="0.15">
      <c r="I1871"/>
      <c r="R1871"/>
    </row>
    <row r="1872" spans="9:18" x14ac:dyDescent="0.15">
      <c r="I1872"/>
      <c r="R1872"/>
    </row>
    <row r="1873" spans="9:18" x14ac:dyDescent="0.15">
      <c r="I1873"/>
      <c r="R1873"/>
    </row>
    <row r="1874" spans="9:18" x14ac:dyDescent="0.15">
      <c r="I1874"/>
      <c r="R1874"/>
    </row>
    <row r="1875" spans="9:18" x14ac:dyDescent="0.15">
      <c r="I1875"/>
      <c r="R1875"/>
    </row>
    <row r="1876" spans="9:18" x14ac:dyDescent="0.15">
      <c r="I1876"/>
      <c r="R1876"/>
    </row>
    <row r="1877" spans="9:18" x14ac:dyDescent="0.15">
      <c r="I1877"/>
      <c r="R1877"/>
    </row>
    <row r="1878" spans="9:18" x14ac:dyDescent="0.15">
      <c r="I1878"/>
      <c r="R1878"/>
    </row>
    <row r="1879" spans="9:18" x14ac:dyDescent="0.15">
      <c r="I1879"/>
      <c r="R1879"/>
    </row>
    <row r="1880" spans="9:18" x14ac:dyDescent="0.15">
      <c r="I1880"/>
      <c r="R1880"/>
    </row>
    <row r="1881" spans="9:18" x14ac:dyDescent="0.15">
      <c r="I1881"/>
      <c r="R1881"/>
    </row>
    <row r="1882" spans="9:18" x14ac:dyDescent="0.15">
      <c r="I1882"/>
      <c r="R1882"/>
    </row>
    <row r="1883" spans="9:18" x14ac:dyDescent="0.15">
      <c r="I1883"/>
      <c r="R1883"/>
    </row>
    <row r="1884" spans="9:18" x14ac:dyDescent="0.15">
      <c r="I1884"/>
      <c r="R1884"/>
    </row>
    <row r="1885" spans="9:18" x14ac:dyDescent="0.15">
      <c r="I1885"/>
      <c r="R1885"/>
    </row>
    <row r="1886" spans="9:18" x14ac:dyDescent="0.15">
      <c r="I1886"/>
      <c r="R1886"/>
    </row>
    <row r="1887" spans="9:18" x14ac:dyDescent="0.15">
      <c r="I1887"/>
      <c r="R1887"/>
    </row>
    <row r="1888" spans="9:18" x14ac:dyDescent="0.15">
      <c r="I1888"/>
      <c r="R1888"/>
    </row>
    <row r="1889" spans="9:18" x14ac:dyDescent="0.15">
      <c r="I1889"/>
      <c r="R1889"/>
    </row>
    <row r="1890" spans="9:18" x14ac:dyDescent="0.15">
      <c r="I1890"/>
      <c r="R1890"/>
    </row>
    <row r="1891" spans="9:18" x14ac:dyDescent="0.15">
      <c r="I1891"/>
      <c r="R1891"/>
    </row>
    <row r="1892" spans="9:18" x14ac:dyDescent="0.15">
      <c r="I1892"/>
      <c r="R1892"/>
    </row>
    <row r="1893" spans="9:18" x14ac:dyDescent="0.15">
      <c r="I1893"/>
      <c r="R1893"/>
    </row>
    <row r="1894" spans="9:18" x14ac:dyDescent="0.15">
      <c r="I1894"/>
      <c r="R1894"/>
    </row>
    <row r="1895" spans="9:18" x14ac:dyDescent="0.15">
      <c r="I1895"/>
      <c r="R1895"/>
    </row>
    <row r="1896" spans="9:18" x14ac:dyDescent="0.15">
      <c r="I1896"/>
      <c r="R1896"/>
    </row>
    <row r="1897" spans="9:18" x14ac:dyDescent="0.15">
      <c r="I1897"/>
      <c r="R1897"/>
    </row>
    <row r="1898" spans="9:18" x14ac:dyDescent="0.15">
      <c r="I1898"/>
      <c r="R1898"/>
    </row>
    <row r="1899" spans="9:18" x14ac:dyDescent="0.15">
      <c r="I1899"/>
      <c r="R1899"/>
    </row>
    <row r="1900" spans="9:18" x14ac:dyDescent="0.15">
      <c r="I1900"/>
      <c r="R1900"/>
    </row>
    <row r="1901" spans="9:18" x14ac:dyDescent="0.15">
      <c r="I1901"/>
      <c r="R1901"/>
    </row>
    <row r="1902" spans="9:18" x14ac:dyDescent="0.15">
      <c r="I1902"/>
      <c r="R1902"/>
    </row>
    <row r="1903" spans="9:18" x14ac:dyDescent="0.15">
      <c r="I1903"/>
      <c r="R1903"/>
    </row>
    <row r="1904" spans="9:18" x14ac:dyDescent="0.15">
      <c r="I1904"/>
      <c r="R1904"/>
    </row>
    <row r="1905" spans="9:18" x14ac:dyDescent="0.15">
      <c r="I1905"/>
      <c r="R1905"/>
    </row>
    <row r="1906" spans="9:18" x14ac:dyDescent="0.15">
      <c r="I1906"/>
      <c r="R1906"/>
    </row>
    <row r="1907" spans="9:18" x14ac:dyDescent="0.15">
      <c r="I1907"/>
      <c r="R1907"/>
    </row>
    <row r="1908" spans="9:18" x14ac:dyDescent="0.15">
      <c r="I1908"/>
      <c r="R1908"/>
    </row>
    <row r="1909" spans="9:18" x14ac:dyDescent="0.15">
      <c r="I1909"/>
      <c r="R1909"/>
    </row>
    <row r="1910" spans="9:18" x14ac:dyDescent="0.15">
      <c r="I1910"/>
      <c r="R1910"/>
    </row>
    <row r="1911" spans="9:18" x14ac:dyDescent="0.15">
      <c r="I1911"/>
      <c r="R1911"/>
    </row>
    <row r="1912" spans="9:18" x14ac:dyDescent="0.15">
      <c r="I1912"/>
      <c r="R1912"/>
    </row>
    <row r="1913" spans="9:18" x14ac:dyDescent="0.15">
      <c r="I1913"/>
      <c r="R1913"/>
    </row>
    <row r="1914" spans="9:18" x14ac:dyDescent="0.15">
      <c r="I1914"/>
      <c r="R1914"/>
    </row>
    <row r="1915" spans="9:18" x14ac:dyDescent="0.15">
      <c r="I1915"/>
      <c r="R1915"/>
    </row>
    <row r="1916" spans="9:18" x14ac:dyDescent="0.15">
      <c r="I1916"/>
      <c r="R1916"/>
    </row>
    <row r="1917" spans="9:18" x14ac:dyDescent="0.15">
      <c r="I1917"/>
      <c r="R1917"/>
    </row>
    <row r="1918" spans="9:18" x14ac:dyDescent="0.15">
      <c r="I1918"/>
      <c r="R1918"/>
    </row>
    <row r="1919" spans="9:18" x14ac:dyDescent="0.15">
      <c r="I1919"/>
      <c r="R1919"/>
    </row>
    <row r="1920" spans="9:18" x14ac:dyDescent="0.15">
      <c r="I1920"/>
      <c r="R1920"/>
    </row>
    <row r="1921" spans="9:18" x14ac:dyDescent="0.15">
      <c r="I1921"/>
      <c r="R1921"/>
    </row>
    <row r="1922" spans="9:18" x14ac:dyDescent="0.15">
      <c r="I1922"/>
      <c r="R1922"/>
    </row>
    <row r="1923" spans="9:18" x14ac:dyDescent="0.15">
      <c r="I1923"/>
      <c r="R1923"/>
    </row>
    <row r="1924" spans="9:18" x14ac:dyDescent="0.15">
      <c r="I1924"/>
      <c r="R1924"/>
    </row>
    <row r="1925" spans="9:18" x14ac:dyDescent="0.15">
      <c r="I1925"/>
      <c r="R1925"/>
    </row>
    <row r="1926" spans="9:18" x14ac:dyDescent="0.15">
      <c r="I1926"/>
      <c r="R1926"/>
    </row>
    <row r="1927" spans="9:18" x14ac:dyDescent="0.15">
      <c r="I1927"/>
      <c r="R1927"/>
    </row>
    <row r="1928" spans="9:18" x14ac:dyDescent="0.15">
      <c r="I1928"/>
      <c r="R1928"/>
    </row>
    <row r="1929" spans="9:18" x14ac:dyDescent="0.15">
      <c r="I1929"/>
      <c r="R1929"/>
    </row>
    <row r="1930" spans="9:18" x14ac:dyDescent="0.15">
      <c r="I1930"/>
      <c r="R1930"/>
    </row>
    <row r="1931" spans="9:18" x14ac:dyDescent="0.15">
      <c r="I1931"/>
      <c r="R1931"/>
    </row>
    <row r="1932" spans="9:18" x14ac:dyDescent="0.15">
      <c r="I1932"/>
      <c r="R1932"/>
    </row>
    <row r="1933" spans="9:18" x14ac:dyDescent="0.15">
      <c r="I1933"/>
      <c r="R1933"/>
    </row>
    <row r="1934" spans="9:18" x14ac:dyDescent="0.15">
      <c r="I1934"/>
      <c r="R1934"/>
    </row>
    <row r="1935" spans="9:18" x14ac:dyDescent="0.15">
      <c r="I1935"/>
      <c r="R1935"/>
    </row>
    <row r="1936" spans="9:18" x14ac:dyDescent="0.15">
      <c r="I1936"/>
      <c r="R1936"/>
    </row>
    <row r="1937" spans="9:18" x14ac:dyDescent="0.15">
      <c r="I1937"/>
      <c r="R1937"/>
    </row>
    <row r="1938" spans="9:18" x14ac:dyDescent="0.15">
      <c r="I1938"/>
      <c r="R1938"/>
    </row>
    <row r="1939" spans="9:18" x14ac:dyDescent="0.15">
      <c r="I1939"/>
      <c r="R1939"/>
    </row>
    <row r="1940" spans="9:18" x14ac:dyDescent="0.15">
      <c r="I1940"/>
      <c r="R1940"/>
    </row>
    <row r="1941" spans="9:18" x14ac:dyDescent="0.15">
      <c r="I1941"/>
      <c r="R1941"/>
    </row>
    <row r="1942" spans="9:18" x14ac:dyDescent="0.15">
      <c r="I1942"/>
      <c r="R1942"/>
    </row>
    <row r="1943" spans="9:18" x14ac:dyDescent="0.15">
      <c r="I1943"/>
      <c r="R1943"/>
    </row>
    <row r="1944" spans="9:18" x14ac:dyDescent="0.15">
      <c r="I1944"/>
      <c r="R1944"/>
    </row>
    <row r="1945" spans="9:18" x14ac:dyDescent="0.15">
      <c r="I1945"/>
      <c r="R1945"/>
    </row>
    <row r="1946" spans="9:18" x14ac:dyDescent="0.15">
      <c r="I1946"/>
      <c r="R1946"/>
    </row>
    <row r="1947" spans="9:18" x14ac:dyDescent="0.15">
      <c r="I1947"/>
      <c r="R1947"/>
    </row>
    <row r="1948" spans="9:18" x14ac:dyDescent="0.15">
      <c r="I1948"/>
      <c r="R1948"/>
    </row>
    <row r="1949" spans="9:18" x14ac:dyDescent="0.15">
      <c r="I1949"/>
      <c r="R1949"/>
    </row>
    <row r="1950" spans="9:18" x14ac:dyDescent="0.15">
      <c r="I1950"/>
      <c r="R1950"/>
    </row>
    <row r="1951" spans="9:18" x14ac:dyDescent="0.15">
      <c r="I1951"/>
      <c r="R1951"/>
    </row>
    <row r="1952" spans="9:18" x14ac:dyDescent="0.15">
      <c r="I1952"/>
      <c r="R1952"/>
    </row>
    <row r="1953" spans="9:18" x14ac:dyDescent="0.15">
      <c r="I1953"/>
      <c r="R1953"/>
    </row>
    <row r="1954" spans="9:18" x14ac:dyDescent="0.15">
      <c r="I1954"/>
      <c r="R1954"/>
    </row>
    <row r="1955" spans="9:18" x14ac:dyDescent="0.15">
      <c r="I1955"/>
      <c r="R1955"/>
    </row>
    <row r="1956" spans="9:18" x14ac:dyDescent="0.15">
      <c r="I1956"/>
      <c r="R1956"/>
    </row>
    <row r="1957" spans="9:18" x14ac:dyDescent="0.15">
      <c r="I1957"/>
      <c r="R1957"/>
    </row>
    <row r="1958" spans="9:18" x14ac:dyDescent="0.15">
      <c r="I1958"/>
      <c r="R1958"/>
    </row>
    <row r="1959" spans="9:18" x14ac:dyDescent="0.15">
      <c r="I1959"/>
      <c r="R1959"/>
    </row>
    <row r="1960" spans="9:18" x14ac:dyDescent="0.15">
      <c r="I1960"/>
      <c r="R1960"/>
    </row>
    <row r="1961" spans="9:18" x14ac:dyDescent="0.15">
      <c r="I1961"/>
      <c r="R1961"/>
    </row>
    <row r="1962" spans="9:18" x14ac:dyDescent="0.15">
      <c r="I1962"/>
      <c r="R1962"/>
    </row>
    <row r="1963" spans="9:18" x14ac:dyDescent="0.15">
      <c r="I1963"/>
      <c r="R1963"/>
    </row>
    <row r="1964" spans="9:18" x14ac:dyDescent="0.15">
      <c r="I1964"/>
      <c r="R1964"/>
    </row>
    <row r="1965" spans="9:18" x14ac:dyDescent="0.15">
      <c r="I1965"/>
      <c r="R1965"/>
    </row>
    <row r="1966" spans="9:18" x14ac:dyDescent="0.15">
      <c r="I1966"/>
      <c r="R1966"/>
    </row>
    <row r="1967" spans="9:18" x14ac:dyDescent="0.15">
      <c r="I1967"/>
      <c r="R1967"/>
    </row>
    <row r="1968" spans="9:18" x14ac:dyDescent="0.15">
      <c r="I1968"/>
      <c r="R1968"/>
    </row>
    <row r="1969" spans="9:18" x14ac:dyDescent="0.15">
      <c r="I1969"/>
      <c r="R1969"/>
    </row>
    <row r="1970" spans="9:18" x14ac:dyDescent="0.15">
      <c r="I1970"/>
      <c r="R1970"/>
    </row>
    <row r="1971" spans="9:18" x14ac:dyDescent="0.15">
      <c r="I1971"/>
      <c r="R1971"/>
    </row>
    <row r="1972" spans="9:18" x14ac:dyDescent="0.15">
      <c r="I1972"/>
      <c r="R1972"/>
    </row>
    <row r="1973" spans="9:18" x14ac:dyDescent="0.15">
      <c r="I1973"/>
      <c r="R1973"/>
    </row>
    <row r="1974" spans="9:18" x14ac:dyDescent="0.15">
      <c r="I1974"/>
      <c r="R1974"/>
    </row>
    <row r="1975" spans="9:18" x14ac:dyDescent="0.15">
      <c r="I1975"/>
      <c r="R1975"/>
    </row>
    <row r="1976" spans="9:18" x14ac:dyDescent="0.15">
      <c r="I1976"/>
      <c r="R1976"/>
    </row>
    <row r="1977" spans="9:18" x14ac:dyDescent="0.15">
      <c r="I1977"/>
      <c r="R1977"/>
    </row>
    <row r="1978" spans="9:18" x14ac:dyDescent="0.15">
      <c r="I1978"/>
      <c r="R1978"/>
    </row>
    <row r="1979" spans="9:18" x14ac:dyDescent="0.15">
      <c r="I1979"/>
      <c r="R1979"/>
    </row>
    <row r="1980" spans="9:18" x14ac:dyDescent="0.15">
      <c r="I1980"/>
      <c r="R1980"/>
    </row>
    <row r="1981" spans="9:18" x14ac:dyDescent="0.15">
      <c r="I1981"/>
      <c r="R1981"/>
    </row>
    <row r="1982" spans="9:18" x14ac:dyDescent="0.15">
      <c r="I1982"/>
      <c r="R1982"/>
    </row>
    <row r="1983" spans="9:18" x14ac:dyDescent="0.15">
      <c r="I1983"/>
      <c r="R1983"/>
    </row>
    <row r="1984" spans="9:18" x14ac:dyDescent="0.15">
      <c r="I1984"/>
      <c r="R1984"/>
    </row>
    <row r="1985" spans="9:18" x14ac:dyDescent="0.15">
      <c r="I1985"/>
      <c r="R1985"/>
    </row>
    <row r="1986" spans="9:18" x14ac:dyDescent="0.15">
      <c r="I1986"/>
      <c r="R1986"/>
    </row>
    <row r="1987" spans="9:18" x14ac:dyDescent="0.15">
      <c r="I1987"/>
      <c r="R1987"/>
    </row>
    <row r="1988" spans="9:18" x14ac:dyDescent="0.15">
      <c r="I1988"/>
      <c r="R1988"/>
    </row>
  </sheetData>
  <mergeCells count="14">
    <mergeCell ref="B131:H131"/>
    <mergeCell ref="K131:Q131"/>
    <mergeCell ref="B88:H88"/>
    <mergeCell ref="K88:Q88"/>
    <mergeCell ref="B2:H2"/>
    <mergeCell ref="K2:Q2"/>
    <mergeCell ref="B45:H45"/>
    <mergeCell ref="K45:Q45"/>
    <mergeCell ref="B260:H260"/>
    <mergeCell ref="K260:Q260"/>
    <mergeCell ref="K217:Q217"/>
    <mergeCell ref="B217:H217"/>
    <mergeCell ref="B174:H174"/>
    <mergeCell ref="K174:Q174"/>
  </mergeCells>
  <phoneticPr fontId="1"/>
  <pageMargins left="0.7" right="0.7" top="0.75" bottom="0.75" header="0.3" footer="0.3"/>
  <pageSetup paperSize="9" orientation="portrait" horizontalDpi="300" verticalDpi="300" r:id="rId1"/>
  <ignoredErrors>
    <ignoredError sqref="L25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4色組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2026-06-17T09:56:46Z</dcterms:modified>
</cp:coreProperties>
</file>