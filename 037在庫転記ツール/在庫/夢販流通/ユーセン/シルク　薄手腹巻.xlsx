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16EE1289-DF03-4A62-8C10-69F8CB795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薄手はらま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4" i="2" l="1"/>
  <c r="F543" i="2"/>
  <c r="F542" i="2"/>
  <c r="E544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C544" i="2"/>
  <c r="F525" i="2"/>
  <c r="F524" i="2"/>
  <c r="F523" i="2"/>
  <c r="F522" i="2"/>
  <c r="F521" i="2"/>
  <c r="F520" i="2"/>
  <c r="F519" i="2"/>
  <c r="F517" i="2"/>
  <c r="F516" i="2"/>
  <c r="F515" i="2"/>
  <c r="F514" i="2"/>
  <c r="F513" i="2"/>
  <c r="E502" i="2"/>
  <c r="C487" i="2"/>
  <c r="F487" i="2" s="1"/>
  <c r="D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6" i="2"/>
  <c r="F485" i="2"/>
  <c r="F484" i="2"/>
  <c r="F483" i="2"/>
  <c r="F482" i="2"/>
  <c r="F481" i="2"/>
  <c r="F480" i="2"/>
  <c r="F478" i="2"/>
  <c r="F477" i="2"/>
  <c r="F476" i="2"/>
  <c r="F475" i="2"/>
  <c r="F474" i="2"/>
  <c r="E453" i="2"/>
  <c r="F453" i="2" s="1"/>
  <c r="C466" i="2"/>
  <c r="D444" i="2"/>
  <c r="D466" i="2" s="1"/>
  <c r="C443" i="2"/>
  <c r="F443" i="2" s="1"/>
  <c r="F465" i="2"/>
  <c r="F464" i="2"/>
  <c r="F463" i="2"/>
  <c r="F462" i="2"/>
  <c r="F461" i="2"/>
  <c r="F460" i="2"/>
  <c r="F459" i="2"/>
  <c r="F458" i="2"/>
  <c r="F457" i="2"/>
  <c r="F456" i="2"/>
  <c r="F455" i="2"/>
  <c r="F454" i="2"/>
  <c r="F452" i="2"/>
  <c r="F451" i="2"/>
  <c r="F450" i="2"/>
  <c r="F449" i="2"/>
  <c r="F448" i="2"/>
  <c r="F447" i="2"/>
  <c r="F446" i="2"/>
  <c r="F445" i="2"/>
  <c r="F442" i="2"/>
  <c r="F441" i="2"/>
  <c r="F439" i="2"/>
  <c r="F438" i="2"/>
  <c r="F437" i="2"/>
  <c r="F436" i="2"/>
  <c r="F435" i="2"/>
  <c r="D406" i="2"/>
  <c r="C387" i="2"/>
  <c r="F387" i="2" s="1"/>
  <c r="E427" i="2"/>
  <c r="F426" i="2"/>
  <c r="F425" i="2"/>
  <c r="F424" i="2"/>
  <c r="F423" i="2"/>
  <c r="F422" i="2"/>
  <c r="F421" i="2"/>
  <c r="F420" i="2"/>
  <c r="F419" i="2"/>
  <c r="F418" i="2"/>
  <c r="F417" i="2"/>
  <c r="D427" i="2"/>
  <c r="C427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0" i="2"/>
  <c r="F399" i="2"/>
  <c r="F398" i="2"/>
  <c r="F397" i="2"/>
  <c r="F396" i="2"/>
  <c r="D386" i="2"/>
  <c r="F386" i="2" s="1"/>
  <c r="D377" i="2"/>
  <c r="C377" i="2"/>
  <c r="F357" i="2"/>
  <c r="F361" i="2"/>
  <c r="F360" i="2"/>
  <c r="F359" i="2"/>
  <c r="F358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8" i="2"/>
  <c r="F379" i="2"/>
  <c r="F380" i="2"/>
  <c r="F381" i="2"/>
  <c r="F382" i="2"/>
  <c r="F383" i="2"/>
  <c r="E388" i="2"/>
  <c r="F385" i="2"/>
  <c r="F384" i="2"/>
  <c r="C324" i="2"/>
  <c r="C349" i="2" s="1"/>
  <c r="F318" i="2"/>
  <c r="F319" i="2"/>
  <c r="F320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8" i="2"/>
  <c r="F347" i="2"/>
  <c r="E349" i="2"/>
  <c r="D349" i="2"/>
  <c r="F322" i="2"/>
  <c r="F321" i="2"/>
  <c r="E294" i="2"/>
  <c r="D294" i="2"/>
  <c r="F6" i="2"/>
  <c r="F5" i="2"/>
  <c r="F7" i="2"/>
  <c r="F8" i="2"/>
  <c r="F9" i="2"/>
  <c r="F10" i="2"/>
  <c r="C11" i="2"/>
  <c r="D11" i="2"/>
  <c r="E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C37" i="2"/>
  <c r="D37" i="2"/>
  <c r="E37" i="2"/>
  <c r="E38" i="2"/>
  <c r="F45" i="2"/>
  <c r="F46" i="2"/>
  <c r="F47" i="2"/>
  <c r="F48" i="2"/>
  <c r="F49" i="2"/>
  <c r="F51" i="2"/>
  <c r="F52" i="2"/>
  <c r="E53" i="2"/>
  <c r="F53" i="2" s="1"/>
  <c r="D54" i="2"/>
  <c r="F54" i="2" s="1"/>
  <c r="F55" i="2"/>
  <c r="F56" i="2"/>
  <c r="F57" i="2"/>
  <c r="F58" i="2"/>
  <c r="F59" i="2"/>
  <c r="E60" i="2"/>
  <c r="F60" i="2" s="1"/>
  <c r="F61" i="2"/>
  <c r="F62" i="2"/>
  <c r="F63" i="2"/>
  <c r="F64" i="2"/>
  <c r="F65" i="2"/>
  <c r="F66" i="2"/>
  <c r="F67" i="2"/>
  <c r="F68" i="2"/>
  <c r="F69" i="2"/>
  <c r="C70" i="2"/>
  <c r="F70" i="2" s="1"/>
  <c r="E71" i="2"/>
  <c r="F71" i="2" s="1"/>
  <c r="F72" i="2"/>
  <c r="F73" i="2"/>
  <c r="F74" i="2"/>
  <c r="F75" i="2"/>
  <c r="F84" i="2"/>
  <c r="F85" i="2"/>
  <c r="F86" i="2"/>
  <c r="F87" i="2"/>
  <c r="F88" i="2"/>
  <c r="F90" i="2"/>
  <c r="F91" i="2"/>
  <c r="C92" i="2"/>
  <c r="F92" i="2" s="1"/>
  <c r="F93" i="2"/>
  <c r="F94" i="2"/>
  <c r="F95" i="2"/>
  <c r="F96" i="2"/>
  <c r="F97" i="2"/>
  <c r="E98" i="2"/>
  <c r="E115" i="2" s="1"/>
  <c r="F99" i="2"/>
  <c r="F100" i="2"/>
  <c r="F101" i="2"/>
  <c r="F102" i="2"/>
  <c r="F103" i="2"/>
  <c r="F104" i="2"/>
  <c r="D105" i="2"/>
  <c r="F105" i="2" s="1"/>
  <c r="C106" i="2"/>
  <c r="F106" i="2" s="1"/>
  <c r="F107" i="2"/>
  <c r="F108" i="2"/>
  <c r="F109" i="2"/>
  <c r="F110" i="2"/>
  <c r="F111" i="2"/>
  <c r="F112" i="2"/>
  <c r="F113" i="2"/>
  <c r="F114" i="2"/>
  <c r="F123" i="2"/>
  <c r="F124" i="2"/>
  <c r="F125" i="2"/>
  <c r="F126" i="2"/>
  <c r="F127" i="2"/>
  <c r="F129" i="2"/>
  <c r="F130" i="2"/>
  <c r="F131" i="2"/>
  <c r="F132" i="2"/>
  <c r="F133" i="2"/>
  <c r="F134" i="2"/>
  <c r="E135" i="2"/>
  <c r="F135" i="2" s="1"/>
  <c r="F136" i="2"/>
  <c r="F137" i="2"/>
  <c r="F138" i="2"/>
  <c r="F139" i="2"/>
  <c r="F140" i="2"/>
  <c r="F141" i="2"/>
  <c r="D142" i="2"/>
  <c r="F142" i="2" s="1"/>
  <c r="F143" i="2"/>
  <c r="F144" i="2"/>
  <c r="F145" i="2"/>
  <c r="F146" i="2"/>
  <c r="C147" i="2"/>
  <c r="C154" i="2" s="1"/>
  <c r="D147" i="2"/>
  <c r="F147" i="2" s="1"/>
  <c r="F148" i="2"/>
  <c r="F149" i="2"/>
  <c r="F150" i="2"/>
  <c r="D151" i="2"/>
  <c r="E151" i="2"/>
  <c r="E154" i="2" s="1"/>
  <c r="F152" i="2"/>
  <c r="F153" i="2"/>
  <c r="D154" i="2"/>
  <c r="F162" i="2"/>
  <c r="F163" i="2"/>
  <c r="F164" i="2"/>
  <c r="F165" i="2"/>
  <c r="F166" i="2"/>
  <c r="F168" i="2"/>
  <c r="F169" i="2"/>
  <c r="F170" i="2"/>
  <c r="F171" i="2"/>
  <c r="F172" i="2"/>
  <c r="F173" i="2"/>
  <c r="F174" i="2"/>
  <c r="F175" i="2"/>
  <c r="F176" i="2"/>
  <c r="F177" i="2"/>
  <c r="E178" i="2"/>
  <c r="F178" i="2" s="1"/>
  <c r="F179" i="2"/>
  <c r="F180" i="2"/>
  <c r="F181" i="2"/>
  <c r="D182" i="2"/>
  <c r="F182" i="2"/>
  <c r="F183" i="2"/>
  <c r="F184" i="2"/>
  <c r="F185" i="2"/>
  <c r="F186" i="2"/>
  <c r="F187" i="2"/>
  <c r="F188" i="2"/>
  <c r="F189" i="2"/>
  <c r="F190" i="2"/>
  <c r="F191" i="2"/>
  <c r="F192" i="2"/>
  <c r="C193" i="2"/>
  <c r="D193" i="2"/>
  <c r="F201" i="2"/>
  <c r="F202" i="2"/>
  <c r="F203" i="2"/>
  <c r="F204" i="2"/>
  <c r="F205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D225" i="2"/>
  <c r="D232" i="2" s="1"/>
  <c r="E225" i="2"/>
  <c r="F226" i="2"/>
  <c r="F227" i="2"/>
  <c r="F228" i="2"/>
  <c r="F229" i="2"/>
  <c r="F230" i="2"/>
  <c r="F231" i="2"/>
  <c r="C232" i="2"/>
  <c r="F240" i="2"/>
  <c r="F241" i="2"/>
  <c r="F242" i="2"/>
  <c r="F243" i="2"/>
  <c r="F244" i="2"/>
  <c r="F246" i="2"/>
  <c r="C247" i="2"/>
  <c r="C271" i="2" s="1"/>
  <c r="F247" i="2"/>
  <c r="F248" i="2"/>
  <c r="F249" i="2"/>
  <c r="F250" i="2"/>
  <c r="F251" i="2"/>
  <c r="F252" i="2"/>
  <c r="D253" i="2"/>
  <c r="F253" i="2" s="1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E271" i="2"/>
  <c r="F280" i="2"/>
  <c r="F281" i="2"/>
  <c r="F282" i="2"/>
  <c r="F283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279" i="2"/>
  <c r="E310" i="2"/>
  <c r="D115" i="2" l="1"/>
  <c r="C388" i="2"/>
  <c r="F444" i="2"/>
  <c r="F225" i="2"/>
  <c r="F98" i="2"/>
  <c r="C38" i="2"/>
  <c r="D388" i="2"/>
  <c r="E466" i="2"/>
  <c r="F466" i="2" s="1"/>
  <c r="F544" i="2"/>
  <c r="F526" i="2"/>
  <c r="F541" i="2"/>
  <c r="C505" i="2"/>
  <c r="E505" i="2"/>
  <c r="F38" i="2"/>
  <c r="E232" i="2"/>
  <c r="F232" i="2" s="1"/>
  <c r="F151" i="2"/>
  <c r="C44" i="2"/>
  <c r="C50" i="2" s="1"/>
  <c r="E76" i="2"/>
  <c r="D271" i="2"/>
  <c r="F271" i="2" s="1"/>
  <c r="F11" i="2"/>
  <c r="C115" i="2"/>
  <c r="F115" i="2" s="1"/>
  <c r="F37" i="2"/>
  <c r="F377" i="2"/>
  <c r="F427" i="2"/>
  <c r="F416" i="2"/>
  <c r="F388" i="2"/>
  <c r="F349" i="2"/>
  <c r="D38" i="2"/>
  <c r="D44" i="2" s="1"/>
  <c r="D50" i="2" s="1"/>
  <c r="E44" i="2"/>
  <c r="D76" i="2"/>
  <c r="C76" i="2"/>
  <c r="F154" i="2"/>
  <c r="E193" i="2"/>
  <c r="F193" i="2" s="1"/>
  <c r="D310" i="2"/>
  <c r="C310" i="2"/>
  <c r="C77" i="2" l="1"/>
  <c r="C83" i="2" s="1"/>
  <c r="C89" i="2" s="1"/>
  <c r="C116" i="2" s="1"/>
  <c r="C122" i="2" s="1"/>
  <c r="C128" i="2" s="1"/>
  <c r="C155" i="2" s="1"/>
  <c r="C161" i="2" s="1"/>
  <c r="C167" i="2" s="1"/>
  <c r="C194" i="2" s="1"/>
  <c r="C200" i="2" s="1"/>
  <c r="C206" i="2" s="1"/>
  <c r="C233" i="2" s="1"/>
  <c r="C239" i="2" s="1"/>
  <c r="C245" i="2" s="1"/>
  <c r="C272" i="2" s="1"/>
  <c r="F505" i="2"/>
  <c r="F310" i="2"/>
  <c r="F44" i="2"/>
  <c r="E50" i="2"/>
  <c r="F76" i="2"/>
  <c r="D77" i="2"/>
  <c r="D83" i="2" s="1"/>
  <c r="D89" i="2" s="1"/>
  <c r="D116" i="2" s="1"/>
  <c r="D122" i="2" s="1"/>
  <c r="D128" i="2" s="1"/>
  <c r="D155" i="2" s="1"/>
  <c r="D161" i="2" s="1"/>
  <c r="D167" i="2" s="1"/>
  <c r="D194" i="2" s="1"/>
  <c r="D200" i="2" s="1"/>
  <c r="D206" i="2" s="1"/>
  <c r="D233" i="2" s="1"/>
  <c r="D239" i="2" s="1"/>
  <c r="D245" i="2" s="1"/>
  <c r="D272" i="2" s="1"/>
  <c r="F50" i="2" l="1"/>
  <c r="E77" i="2"/>
  <c r="E83" i="2" s="1"/>
  <c r="F83" i="2" s="1"/>
  <c r="F77" i="2"/>
  <c r="E89" i="2" l="1"/>
  <c r="E116" i="2" s="1"/>
  <c r="D278" i="2"/>
  <c r="D284" i="2" s="1"/>
  <c r="D311" i="2" s="1"/>
  <c r="D317" i="2" s="1"/>
  <c r="D323" i="2" s="1"/>
  <c r="D350" i="2" s="1"/>
  <c r="D356" i="2" s="1"/>
  <c r="D362" i="2" s="1"/>
  <c r="D389" i="2" s="1"/>
  <c r="D395" i="2" s="1"/>
  <c r="D401" i="2" s="1"/>
  <c r="D428" i="2" s="1"/>
  <c r="D434" i="2" s="1"/>
  <c r="D440" i="2" l="1"/>
  <c r="D467" i="2" s="1"/>
  <c r="D473" i="2" s="1"/>
  <c r="D479" i="2" s="1"/>
  <c r="D506" i="2" s="1"/>
  <c r="D512" i="2" s="1"/>
  <c r="D518" i="2" s="1"/>
  <c r="D545" i="2" s="1"/>
  <c r="F89" i="2"/>
  <c r="F116" i="2"/>
  <c r="E122" i="2"/>
  <c r="C278" i="2"/>
  <c r="C284" i="2" s="1"/>
  <c r="C311" i="2" s="1"/>
  <c r="C317" i="2" s="1"/>
  <c r="C323" i="2" l="1"/>
  <c r="F122" i="2"/>
  <c r="E128" i="2"/>
  <c r="C350" i="2" l="1"/>
  <c r="E155" i="2"/>
  <c r="F128" i="2"/>
  <c r="C356" i="2" l="1"/>
  <c r="C362" i="2" s="1"/>
  <c r="C389" i="2" s="1"/>
  <c r="C395" i="2" s="1"/>
  <c r="C401" i="2" s="1"/>
  <c r="C428" i="2" s="1"/>
  <c r="C434" i="2" s="1"/>
  <c r="C440" i="2" s="1"/>
  <c r="C467" i="2" s="1"/>
  <c r="C473" i="2" s="1"/>
  <c r="C479" i="2" s="1"/>
  <c r="C506" i="2" s="1"/>
  <c r="C512" i="2" s="1"/>
  <c r="C518" i="2" s="1"/>
  <c r="C545" i="2" s="1"/>
  <c r="F155" i="2"/>
  <c r="E161" i="2"/>
  <c r="F161" i="2" l="1"/>
  <c r="E167" i="2"/>
  <c r="F167" i="2" l="1"/>
  <c r="E194" i="2"/>
  <c r="F194" i="2" l="1"/>
  <c r="E200" i="2"/>
  <c r="E206" i="2" l="1"/>
  <c r="F200" i="2"/>
  <c r="F206" i="2" l="1"/>
  <c r="E233" i="2"/>
  <c r="F233" i="2" l="1"/>
  <c r="E239" i="2"/>
  <c r="E245" i="2" l="1"/>
  <c r="F239" i="2"/>
  <c r="E272" i="2" l="1"/>
  <c r="F245" i="2"/>
  <c r="F272" i="2" l="1"/>
  <c r="E278" i="2"/>
  <c r="F278" i="2" l="1"/>
  <c r="E284" i="2"/>
  <c r="F284" i="2" l="1"/>
  <c r="E311" i="2"/>
  <c r="F311" i="2" l="1"/>
  <c r="E317" i="2"/>
  <c r="E323" i="2" l="1"/>
  <c r="F317" i="2"/>
  <c r="E350" i="2" l="1"/>
  <c r="F323" i="2"/>
  <c r="E356" i="2" l="1"/>
  <c r="F350" i="2"/>
  <c r="E362" i="2" l="1"/>
  <c r="F356" i="2"/>
  <c r="E389" i="2" l="1"/>
  <c r="F362" i="2"/>
  <c r="E395" i="2" l="1"/>
  <c r="F389" i="2"/>
  <c r="E401" i="2" l="1"/>
  <c r="F395" i="2"/>
  <c r="E428" i="2" l="1"/>
  <c r="F401" i="2"/>
  <c r="F428" i="2" l="1"/>
  <c r="E434" i="2"/>
  <c r="E440" i="2" l="1"/>
  <c r="F434" i="2"/>
  <c r="E467" i="2" l="1"/>
  <c r="F440" i="2"/>
  <c r="E473" i="2" l="1"/>
  <c r="F467" i="2"/>
  <c r="E479" i="2" l="1"/>
  <c r="F473" i="2"/>
  <c r="F479" i="2" l="1"/>
  <c r="E506" i="2"/>
  <c r="F506" i="2" l="1"/>
  <c r="E512" i="2"/>
  <c r="E518" i="2" l="1"/>
  <c r="F512" i="2"/>
  <c r="E545" i="2" l="1"/>
  <c r="F545" i="2" s="1"/>
  <c r="F518" i="2"/>
</calcChain>
</file>

<file path=xl/sharedStrings.xml><?xml version="1.0" encoding="utf-8"?>
<sst xmlns="http://schemas.openxmlformats.org/spreadsheetml/2006/main" count="510" uniqueCount="17">
  <si>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</si>
  <si>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</si>
  <si>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</si>
  <si>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</si>
  <si>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</si>
  <si>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</si>
  <si>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ピンク</t>
    <phoneticPr fontId="1"/>
  </si>
  <si>
    <t>オフホワイト</t>
    <phoneticPr fontId="1"/>
  </si>
  <si>
    <t>ネット</t>
    <phoneticPr fontId="1"/>
  </si>
  <si>
    <t>サックス</t>
    <phoneticPr fontId="1"/>
  </si>
  <si>
    <t>絹ごこち薄手シルク腹巻＜夢販在庫＞　H1300</t>
    <rPh sb="0" eb="1">
      <t>キヌ</t>
    </rPh>
    <rPh sb="4" eb="6">
      <t>ウスデ</t>
    </rPh>
    <rPh sb="9" eb="11">
      <t>ハラマキ</t>
    </rPh>
    <rPh sb="12" eb="16">
      <t>ユメハンザイコ</t>
    </rPh>
    <phoneticPr fontId="1"/>
  </si>
  <si>
    <t>YS-28</t>
    <phoneticPr fontId="1"/>
  </si>
  <si>
    <t>在庫確認</t>
    <rPh sb="0" eb="2">
      <t>ザイコ</t>
    </rPh>
    <rPh sb="2" eb="4">
      <t>カクニン</t>
    </rPh>
    <phoneticPr fontId="1"/>
  </si>
  <si>
    <t>西夢</t>
    <rPh sb="0" eb="2">
      <t>ニシユメ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</si>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</sst>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7" xfId="0" applyBorder="1"/>
    <xf numFmtId="56" fontId="0" fillId="0" borderId="2" xfId="0" applyNumberFormat="1" applyBorder="1" applyAlignment="1">
      <alignment horizontal="center"/>
    </xf>
    <xf numFmtId="0" fontId="0" fillId="0" borderId="2" xfId="0" applyBorder="1"/>
    <xf numFmtId="56" fontId="0" fillId="0" borderId="0" xfId="0" applyNumberFormat="1"/>
    <xf numFmtId="56" fontId="3" fillId="0" borderId="0" xfId="0" applyNumberFormat="1" applyFon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56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56" fontId="4" fillId="0" borderId="2" xfId="0" applyNumberFormat="1" applyFont="1" applyBorder="1" applyAlignment="1">
      <alignment horizontal="center"/>
    </xf>
    <xf numFmtId="56" fontId="4" fillId="0" borderId="0" xfId="0" applyNumberFormat="1" applyFont="1"/>
    <xf numFmtId="56" fontId="4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56" fontId="5" fillId="0" borderId="0" xfId="0" applyNumberFormat="1" applyFont="1"/>
    <xf numFmtId="0" fontId="0" fillId="0" borderId="5" xfId="0" applyBorder="1"/>
    <xf numFmtId="0" fontId="0" fillId="0" borderId="4" xfId="0" applyBorder="1"/>
    <xf numFmtId="56" fontId="4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56" fontId="0" fillId="0" borderId="12" xfId="0" applyNumberForma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0" xfId="0" applyBorder="1"/>
    <xf numFmtId="0" fontId="4" fillId="0" borderId="15" xfId="0" applyFon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4" fillId="0" borderId="18" xfId="0" applyFont="1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56" fontId="0" fillId="0" borderId="23" xfId="0" applyNumberFormat="1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56" fontId="0" fillId="0" borderId="20" xfId="0" applyNumberFormat="1" applyBorder="1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0" fillId="3" borderId="26" xfId="0" applyFill="1" applyBorder="1" applyAlignment="1">
      <alignment horizontal="center"/>
    </xf>
    <xf numFmtId="0" fontId="4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26" xfId="0" applyBorder="1"/>
    <xf numFmtId="0" fontId="0" fillId="0" borderId="27" xfId="0" applyBorder="1"/>
    <xf numFmtId="0" fontId="4" fillId="0" borderId="30" xfId="0" applyFont="1" applyBorder="1"/>
    <xf numFmtId="0" fontId="0" fillId="0" borderId="31" xfId="0" applyBorder="1"/>
    <xf numFmtId="0" fontId="4" fillId="0" borderId="31" xfId="0" applyFont="1" applyBorder="1"/>
    <xf numFmtId="56" fontId="4" fillId="0" borderId="12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10" xfId="0" applyFont="1" applyBorder="1"/>
    <xf numFmtId="0" fontId="4" fillId="0" borderId="28" xfId="0" applyFont="1" applyBorder="1"/>
    <xf numFmtId="0" fontId="4" fillId="0" borderId="2" xfId="0" applyFont="1" applyBorder="1"/>
    <xf numFmtId="0" fontId="4" fillId="0" borderId="0" xfId="0" applyFont="1"/>
    <xf numFmtId="0" fontId="6" fillId="0" borderId="12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5"/>
  <sheetViews>
    <sheetView tabSelected="1" topLeftCell="A509" zoomScaleNormal="100" workbookViewId="0">
      <selection activeCell="G541" sqref="G541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1" spans="2:7" ht="18.75" x14ac:dyDescent="0.2">
      <c r="B1" s="17" t="s">
        <v>10</v>
      </c>
      <c r="C1" s="16"/>
      <c r="D1" s="16"/>
      <c r="E1" s="16"/>
      <c r="F1" s="16"/>
    </row>
    <row r="2" spans="2:7" ht="14.25" thickBot="1" x14ac:dyDescent="0.2"/>
    <row r="3" spans="2:7" ht="14.25" thickBot="1" x14ac:dyDescent="0.2">
      <c r="B3" s="15"/>
      <c r="C3" s="24"/>
      <c r="D3" s="24"/>
      <c r="E3" s="24"/>
      <c r="F3" s="25"/>
    </row>
    <row r="4" spans="2:7" s="1" customFormat="1" ht="14.25" thickBot="1" x14ac:dyDescent="0.2">
      <c r="B4" s="14"/>
      <c r="C4" s="34" t="s">
        <v>7</v>
      </c>
      <c r="D4" s="35" t="s">
        <v>6</v>
      </c>
      <c r="E4" s="48" t="s">
        <v>9</v>
      </c>
      <c r="F4" s="5" t="s">
        <v>0</v>
      </c>
    </row>
    <row r="5" spans="2:7" ht="14.25" customHeight="1" x14ac:dyDescent="0.15">
      <c r="B5" s="13" t="s">
        <v>5</v>
      </c>
      <c r="C5" s="36">
        <v>1</v>
      </c>
      <c r="D5" s="32">
        <v>1</v>
      </c>
      <c r="E5" s="49">
        <v>1</v>
      </c>
      <c r="F5" s="56">
        <f t="shared" ref="F5:F38" si="0">E5+D5+C5</f>
        <v>3</v>
      </c>
      <c r="G5" s="9">
        <v>44288</v>
      </c>
    </row>
    <row r="6" spans="2:7" x14ac:dyDescent="0.15">
      <c r="B6" s="12" t="s">
        <v>4</v>
      </c>
      <c r="C6" s="37">
        <v>2</v>
      </c>
      <c r="D6" s="31">
        <v>2</v>
      </c>
      <c r="E6" s="50"/>
      <c r="F6" s="8">
        <f t="shared" si="0"/>
        <v>4</v>
      </c>
      <c r="G6" s="9">
        <v>44329</v>
      </c>
    </row>
    <row r="7" spans="2:7" x14ac:dyDescent="0.15">
      <c r="B7" s="12" t="s">
        <v>4</v>
      </c>
      <c r="C7" s="37">
        <v>3</v>
      </c>
      <c r="D7" s="31"/>
      <c r="E7" s="50"/>
      <c r="F7" s="8">
        <f t="shared" si="0"/>
        <v>3</v>
      </c>
      <c r="G7" s="9">
        <v>44334</v>
      </c>
    </row>
    <row r="8" spans="2:7" x14ac:dyDescent="0.15">
      <c r="B8" s="12" t="s">
        <v>4</v>
      </c>
      <c r="C8" s="37"/>
      <c r="D8" s="31"/>
      <c r="E8" s="50">
        <v>2</v>
      </c>
      <c r="F8" s="8">
        <f t="shared" si="0"/>
        <v>2</v>
      </c>
      <c r="G8" s="9">
        <v>44334</v>
      </c>
    </row>
    <row r="9" spans="2:7" x14ac:dyDescent="0.15">
      <c r="B9" s="12" t="s">
        <v>4</v>
      </c>
      <c r="C9" s="37">
        <v>4</v>
      </c>
      <c r="D9" s="31">
        <v>2</v>
      </c>
      <c r="E9" s="50">
        <v>6</v>
      </c>
      <c r="F9" s="8">
        <f t="shared" si="0"/>
        <v>12</v>
      </c>
      <c r="G9" s="9">
        <v>44351</v>
      </c>
    </row>
    <row r="10" spans="2:7" ht="14.25" thickBot="1" x14ac:dyDescent="0.2">
      <c r="B10" s="11" t="s">
        <v>4</v>
      </c>
      <c r="C10" s="39"/>
      <c r="D10" s="40"/>
      <c r="E10" s="51"/>
      <c r="F10" s="6">
        <f t="shared" si="0"/>
        <v>0</v>
      </c>
      <c r="G10" s="9"/>
    </row>
    <row r="11" spans="2:7" ht="14.25" thickBot="1" x14ac:dyDescent="0.2">
      <c r="B11" s="5" t="s">
        <v>1</v>
      </c>
      <c r="C11" s="43">
        <f>SUM(C5:C10)</f>
        <v>10</v>
      </c>
      <c r="D11" s="44">
        <f>SUM(D5:D10)</f>
        <v>5</v>
      </c>
      <c r="E11" s="52">
        <f>SUM(E5:E10)</f>
        <v>9</v>
      </c>
      <c r="F11" s="4">
        <f t="shared" si="0"/>
        <v>24</v>
      </c>
    </row>
    <row r="12" spans="2:7" x14ac:dyDescent="0.15">
      <c r="B12" s="13" t="s">
        <v>8</v>
      </c>
      <c r="C12" s="42">
        <v>1</v>
      </c>
      <c r="D12" s="33">
        <v>1</v>
      </c>
      <c r="E12" s="53"/>
      <c r="F12" s="55">
        <f t="shared" si="0"/>
        <v>2</v>
      </c>
      <c r="G12" s="9">
        <v>44326</v>
      </c>
    </row>
    <row r="13" spans="2:7" x14ac:dyDescent="0.15">
      <c r="B13" s="7" t="s">
        <v>8</v>
      </c>
      <c r="C13" s="37">
        <v>1</v>
      </c>
      <c r="D13" s="31"/>
      <c r="E13" s="50"/>
      <c r="F13" s="8">
        <f t="shared" si="0"/>
        <v>1</v>
      </c>
      <c r="G13" s="9">
        <v>44329</v>
      </c>
    </row>
    <row r="14" spans="2:7" x14ac:dyDescent="0.15">
      <c r="B14" s="7" t="s">
        <v>8</v>
      </c>
      <c r="C14" s="37">
        <v>1</v>
      </c>
      <c r="D14" s="31"/>
      <c r="E14" s="50"/>
      <c r="F14" s="8">
        <f t="shared" si="0"/>
        <v>1</v>
      </c>
      <c r="G14" s="9">
        <v>44330</v>
      </c>
    </row>
    <row r="15" spans="2:7" x14ac:dyDescent="0.15">
      <c r="B15" s="7" t="s">
        <v>8</v>
      </c>
      <c r="C15" s="37"/>
      <c r="D15" s="31"/>
      <c r="E15" s="50">
        <v>1</v>
      </c>
      <c r="F15" s="8">
        <f t="shared" si="0"/>
        <v>1</v>
      </c>
      <c r="G15" s="9">
        <v>44335</v>
      </c>
    </row>
    <row r="16" spans="2:7" x14ac:dyDescent="0.15">
      <c r="B16" s="7" t="s">
        <v>8</v>
      </c>
      <c r="C16" s="37"/>
      <c r="D16" s="31"/>
      <c r="E16" s="50">
        <v>2</v>
      </c>
      <c r="F16" s="8">
        <f t="shared" si="0"/>
        <v>2</v>
      </c>
      <c r="G16" s="9">
        <v>44347</v>
      </c>
    </row>
    <row r="17" spans="2:7" x14ac:dyDescent="0.15">
      <c r="B17" s="7" t="s">
        <v>8</v>
      </c>
      <c r="C17" s="37">
        <v>1</v>
      </c>
      <c r="D17" s="31">
        <v>1</v>
      </c>
      <c r="E17" s="50">
        <v>1</v>
      </c>
      <c r="F17" s="8">
        <f t="shared" si="0"/>
        <v>3</v>
      </c>
      <c r="G17" s="9">
        <v>44351</v>
      </c>
    </row>
    <row r="18" spans="2:7" x14ac:dyDescent="0.15">
      <c r="B18" s="7" t="s">
        <v>8</v>
      </c>
      <c r="C18" s="37"/>
      <c r="D18" s="31"/>
      <c r="E18" s="50">
        <v>1</v>
      </c>
      <c r="F18" s="8">
        <f t="shared" si="0"/>
        <v>1</v>
      </c>
      <c r="G18" s="9">
        <v>44375</v>
      </c>
    </row>
    <row r="19" spans="2:7" x14ac:dyDescent="0.15">
      <c r="B19" s="7" t="s">
        <v>8</v>
      </c>
      <c r="C19" s="37">
        <v>1</v>
      </c>
      <c r="D19" s="31"/>
      <c r="E19" s="50"/>
      <c r="F19" s="8">
        <f t="shared" si="0"/>
        <v>1</v>
      </c>
      <c r="G19" s="9">
        <v>44376</v>
      </c>
    </row>
    <row r="20" spans="2:7" x14ac:dyDescent="0.15">
      <c r="B20" s="7" t="s">
        <v>8</v>
      </c>
      <c r="C20" s="37">
        <v>1</v>
      </c>
      <c r="D20" s="31"/>
      <c r="E20" s="50"/>
      <c r="F20" s="8">
        <f t="shared" si="0"/>
        <v>1</v>
      </c>
      <c r="G20" s="9">
        <v>44377</v>
      </c>
    </row>
    <row r="21" spans="2:7" x14ac:dyDescent="0.15">
      <c r="B21" s="7" t="s">
        <v>8</v>
      </c>
      <c r="C21" s="37">
        <v>1</v>
      </c>
      <c r="D21" s="31"/>
      <c r="E21" s="50"/>
      <c r="F21" s="8">
        <f t="shared" si="0"/>
        <v>1</v>
      </c>
      <c r="G21" s="9">
        <v>44379</v>
      </c>
    </row>
    <row r="22" spans="2:7" x14ac:dyDescent="0.15">
      <c r="B22" s="7" t="s">
        <v>8</v>
      </c>
      <c r="C22" s="37"/>
      <c r="D22" s="31">
        <v>1</v>
      </c>
      <c r="E22" s="50">
        <v>1</v>
      </c>
      <c r="F22" s="8">
        <f t="shared" si="0"/>
        <v>2</v>
      </c>
      <c r="G22" s="10">
        <v>44382</v>
      </c>
    </row>
    <row r="23" spans="2:7" x14ac:dyDescent="0.15">
      <c r="B23" s="7" t="s">
        <v>8</v>
      </c>
      <c r="C23" s="37">
        <v>1</v>
      </c>
      <c r="D23" s="31"/>
      <c r="E23" s="50"/>
      <c r="F23" s="8">
        <f t="shared" si="0"/>
        <v>1</v>
      </c>
      <c r="G23" s="10">
        <v>44383</v>
      </c>
    </row>
    <row r="24" spans="2:7" x14ac:dyDescent="0.15">
      <c r="B24" s="7" t="s">
        <v>8</v>
      </c>
      <c r="C24" s="37"/>
      <c r="D24" s="31">
        <v>1</v>
      </c>
      <c r="E24" s="50">
        <v>1</v>
      </c>
      <c r="F24" s="8">
        <f t="shared" si="0"/>
        <v>2</v>
      </c>
      <c r="G24" s="9">
        <v>44385</v>
      </c>
    </row>
    <row r="25" spans="2:7" x14ac:dyDescent="0.15">
      <c r="B25" s="7" t="s">
        <v>8</v>
      </c>
      <c r="C25" s="37">
        <v>2</v>
      </c>
      <c r="D25" s="31"/>
      <c r="E25" s="50"/>
      <c r="F25" s="8">
        <f t="shared" si="0"/>
        <v>2</v>
      </c>
      <c r="G25" s="10">
        <v>44389</v>
      </c>
    </row>
    <row r="26" spans="2:7" x14ac:dyDescent="0.15">
      <c r="B26" s="7" t="s">
        <v>8</v>
      </c>
      <c r="C26" s="37"/>
      <c r="D26" s="31"/>
      <c r="E26" s="50">
        <v>1</v>
      </c>
      <c r="F26" s="8">
        <f t="shared" si="0"/>
        <v>1</v>
      </c>
      <c r="G26" s="10">
        <v>44452</v>
      </c>
    </row>
    <row r="27" spans="2:7" x14ac:dyDescent="0.15">
      <c r="B27" s="7"/>
      <c r="C27" s="37"/>
      <c r="D27" s="31"/>
      <c r="E27" s="50"/>
      <c r="F27" s="8">
        <f t="shared" si="0"/>
        <v>0</v>
      </c>
      <c r="G27" s="10"/>
    </row>
    <row r="28" spans="2:7" x14ac:dyDescent="0.15">
      <c r="B28" s="7"/>
      <c r="C28" s="37"/>
      <c r="D28" s="31"/>
      <c r="E28" s="50"/>
      <c r="F28" s="8">
        <f t="shared" si="0"/>
        <v>0</v>
      </c>
      <c r="G28" s="10"/>
    </row>
    <row r="29" spans="2:7" x14ac:dyDescent="0.15">
      <c r="B29" s="7"/>
      <c r="C29" s="37"/>
      <c r="D29" s="31"/>
      <c r="E29" s="50"/>
      <c r="F29" s="8">
        <f t="shared" si="0"/>
        <v>0</v>
      </c>
      <c r="G29" s="10"/>
    </row>
    <row r="30" spans="2:7" x14ac:dyDescent="0.15">
      <c r="B30" s="7"/>
      <c r="C30" s="37"/>
      <c r="D30" s="31"/>
      <c r="E30" s="50"/>
      <c r="F30" s="8">
        <f t="shared" si="0"/>
        <v>0</v>
      </c>
      <c r="G30" s="10"/>
    </row>
    <row r="31" spans="2:7" x14ac:dyDescent="0.15">
      <c r="B31" s="7"/>
      <c r="C31" s="37"/>
      <c r="D31" s="31"/>
      <c r="E31" s="50"/>
      <c r="F31" s="8">
        <f t="shared" si="0"/>
        <v>0</v>
      </c>
      <c r="G31" s="18"/>
    </row>
    <row r="32" spans="2:7" x14ac:dyDescent="0.15">
      <c r="B32" s="7"/>
      <c r="C32" s="37"/>
      <c r="D32" s="31"/>
      <c r="E32" s="50"/>
      <c r="F32" s="8">
        <f t="shared" si="0"/>
        <v>0</v>
      </c>
      <c r="G32" s="18"/>
    </row>
    <row r="33" spans="1:7" x14ac:dyDescent="0.15">
      <c r="B33" s="7"/>
      <c r="C33" s="37"/>
      <c r="D33" s="31"/>
      <c r="E33" s="50"/>
      <c r="F33" s="8">
        <f t="shared" si="0"/>
        <v>0</v>
      </c>
      <c r="G33" s="18"/>
    </row>
    <row r="34" spans="1:7" x14ac:dyDescent="0.15">
      <c r="B34" s="7"/>
      <c r="C34" s="37"/>
      <c r="D34" s="31"/>
      <c r="E34" s="50"/>
      <c r="F34" s="8">
        <f t="shared" si="0"/>
        <v>0</v>
      </c>
      <c r="G34" s="18"/>
    </row>
    <row r="35" spans="1:7" x14ac:dyDescent="0.15">
      <c r="B35" s="7"/>
      <c r="C35" s="37"/>
      <c r="D35" s="31"/>
      <c r="E35" s="50"/>
      <c r="F35" s="8">
        <f t="shared" si="0"/>
        <v>0</v>
      </c>
      <c r="G35" s="18"/>
    </row>
    <row r="36" spans="1:7" ht="14.25" thickBot="1" x14ac:dyDescent="0.2">
      <c r="B36" s="7"/>
      <c r="C36" s="39"/>
      <c r="D36" s="40"/>
      <c r="E36" s="51"/>
      <c r="F36" s="6">
        <f t="shared" si="0"/>
        <v>0</v>
      </c>
      <c r="G36" s="18"/>
    </row>
    <row r="37" spans="1:7" ht="14.25" thickBot="1" x14ac:dyDescent="0.2">
      <c r="B37" s="5" t="s">
        <v>2</v>
      </c>
      <c r="C37" s="43">
        <f>SUM(C12:C36)</f>
        <v>10</v>
      </c>
      <c r="D37" s="44">
        <f>SUM(D12:D36)</f>
        <v>4</v>
      </c>
      <c r="E37" s="52">
        <f>SUM(E12:E36)</f>
        <v>8</v>
      </c>
      <c r="F37" s="4">
        <f t="shared" si="0"/>
        <v>22</v>
      </c>
    </row>
    <row r="38" spans="1:7" ht="14.25" thickBot="1" x14ac:dyDescent="0.2">
      <c r="B38" s="3" t="s">
        <v>3</v>
      </c>
      <c r="C38" s="46">
        <f>+C11-C37</f>
        <v>0</v>
      </c>
      <c r="D38" s="47">
        <f>+D11-D37</f>
        <v>1</v>
      </c>
      <c r="E38" s="54">
        <f>+E11-E37</f>
        <v>1</v>
      </c>
      <c r="F38" s="2">
        <f t="shared" si="0"/>
        <v>2</v>
      </c>
    </row>
    <row r="40" spans="1:7" ht="18.75" x14ac:dyDescent="0.2">
      <c r="B40" s="17" t="s">
        <v>10</v>
      </c>
      <c r="C40" s="16"/>
      <c r="D40" s="16"/>
      <c r="E40" s="16"/>
      <c r="F40" s="16"/>
    </row>
    <row r="41" spans="1:7" ht="14.25" thickBot="1" x14ac:dyDescent="0.2"/>
    <row r="42" spans="1:7" ht="14.25" thickBot="1" x14ac:dyDescent="0.2">
      <c r="B42" s="15"/>
      <c r="C42" s="24"/>
      <c r="D42" s="24"/>
      <c r="E42" s="24"/>
      <c r="F42" s="25"/>
    </row>
    <row r="43" spans="1:7" ht="14.25" thickBot="1" x14ac:dyDescent="0.2">
      <c r="A43" s="1"/>
      <c r="B43" s="14"/>
      <c r="C43" s="34" t="s">
        <v>7</v>
      </c>
      <c r="D43" s="35" t="s">
        <v>6</v>
      </c>
      <c r="E43" s="48" t="s">
        <v>9</v>
      </c>
      <c r="F43" s="5" t="s">
        <v>0</v>
      </c>
    </row>
    <row r="44" spans="1:7" x14ac:dyDescent="0.15">
      <c r="B44" s="13" t="s">
        <v>3</v>
      </c>
      <c r="C44" s="36">
        <f>C38</f>
        <v>0</v>
      </c>
      <c r="D44" s="32">
        <f>D38</f>
        <v>1</v>
      </c>
      <c r="E44" s="49">
        <f>E38</f>
        <v>1</v>
      </c>
      <c r="F44" s="56">
        <f t="shared" ref="F44:F77" si="1">E44+D44+C44</f>
        <v>2</v>
      </c>
    </row>
    <row r="45" spans="1:7" x14ac:dyDescent="0.15">
      <c r="B45" s="12" t="s">
        <v>4</v>
      </c>
      <c r="C45" s="37">
        <v>10</v>
      </c>
      <c r="D45" s="31">
        <v>5</v>
      </c>
      <c r="E45" s="50">
        <v>5</v>
      </c>
      <c r="F45" s="8">
        <f t="shared" si="1"/>
        <v>20</v>
      </c>
      <c r="G45" s="9">
        <v>44391</v>
      </c>
    </row>
    <row r="46" spans="1:7" x14ac:dyDescent="0.15">
      <c r="B46" s="12" t="s">
        <v>4</v>
      </c>
      <c r="C46" s="37"/>
      <c r="D46" s="31"/>
      <c r="E46" s="50">
        <v>10</v>
      </c>
      <c r="F46" s="8">
        <f t="shared" si="1"/>
        <v>10</v>
      </c>
      <c r="G46" s="9">
        <v>44412</v>
      </c>
    </row>
    <row r="47" spans="1:7" x14ac:dyDescent="0.15">
      <c r="B47" s="12" t="s">
        <v>4</v>
      </c>
      <c r="C47" s="37"/>
      <c r="D47" s="31"/>
      <c r="E47" s="50">
        <v>5</v>
      </c>
      <c r="F47" s="8">
        <f t="shared" si="1"/>
        <v>5</v>
      </c>
      <c r="G47" s="9">
        <v>44446</v>
      </c>
    </row>
    <row r="48" spans="1:7" x14ac:dyDescent="0.15">
      <c r="B48" s="12" t="s">
        <v>4</v>
      </c>
      <c r="C48" s="37"/>
      <c r="D48" s="31">
        <v>5</v>
      </c>
      <c r="E48" s="50"/>
      <c r="F48" s="8">
        <f t="shared" si="1"/>
        <v>5</v>
      </c>
      <c r="G48" s="9">
        <v>44454</v>
      </c>
    </row>
    <row r="49" spans="2:7" ht="14.25" thickBot="1" x14ac:dyDescent="0.2">
      <c r="B49" s="11" t="s">
        <v>4</v>
      </c>
      <c r="C49" s="39">
        <v>5</v>
      </c>
      <c r="D49" s="40">
        <v>5</v>
      </c>
      <c r="E49" s="51"/>
      <c r="F49" s="6">
        <f t="shared" si="1"/>
        <v>10</v>
      </c>
      <c r="G49" s="9">
        <v>44517</v>
      </c>
    </row>
    <row r="50" spans="2:7" ht="14.25" thickBot="1" x14ac:dyDescent="0.2">
      <c r="B50" s="5" t="s">
        <v>1</v>
      </c>
      <c r="C50" s="43">
        <f>SUM(C44:C49)</f>
        <v>15</v>
      </c>
      <c r="D50" s="44">
        <f>SUM(D44:D49)</f>
        <v>16</v>
      </c>
      <c r="E50" s="52">
        <f>SUM(E44:E49)</f>
        <v>21</v>
      </c>
      <c r="F50" s="4">
        <f t="shared" si="1"/>
        <v>52</v>
      </c>
    </row>
    <row r="51" spans="2:7" x14ac:dyDescent="0.15">
      <c r="B51" s="7" t="s">
        <v>8</v>
      </c>
      <c r="C51" s="42">
        <v>1</v>
      </c>
      <c r="D51" s="33"/>
      <c r="E51" s="53"/>
      <c r="F51" s="55">
        <f t="shared" si="1"/>
        <v>1</v>
      </c>
      <c r="G51" s="10">
        <v>44392</v>
      </c>
    </row>
    <row r="52" spans="2:7" x14ac:dyDescent="0.15">
      <c r="B52" s="7" t="s">
        <v>8</v>
      </c>
      <c r="C52" s="37"/>
      <c r="D52" s="31"/>
      <c r="E52" s="50">
        <v>2</v>
      </c>
      <c r="F52" s="8">
        <f t="shared" si="1"/>
        <v>2</v>
      </c>
      <c r="G52" s="9">
        <v>44397</v>
      </c>
    </row>
    <row r="53" spans="2:7" x14ac:dyDescent="0.15">
      <c r="B53" s="7" t="s">
        <v>8</v>
      </c>
      <c r="C53" s="37"/>
      <c r="D53" s="31"/>
      <c r="E53" s="50">
        <f>1+1</f>
        <v>2</v>
      </c>
      <c r="F53" s="8">
        <f t="shared" si="1"/>
        <v>2</v>
      </c>
      <c r="G53" s="9">
        <v>44401</v>
      </c>
    </row>
    <row r="54" spans="2:7" x14ac:dyDescent="0.15">
      <c r="B54" s="7" t="s">
        <v>8</v>
      </c>
      <c r="C54" s="37"/>
      <c r="D54" s="31">
        <f>1+1</f>
        <v>2</v>
      </c>
      <c r="E54" s="50">
        <v>1</v>
      </c>
      <c r="F54" s="8">
        <f t="shared" si="1"/>
        <v>3</v>
      </c>
      <c r="G54" s="9">
        <v>44403</v>
      </c>
    </row>
    <row r="55" spans="2:7" x14ac:dyDescent="0.15">
      <c r="B55" s="7" t="s">
        <v>8</v>
      </c>
      <c r="C55" s="37"/>
      <c r="D55" s="31"/>
      <c r="E55" s="50">
        <v>1</v>
      </c>
      <c r="F55" s="8">
        <f t="shared" si="1"/>
        <v>1</v>
      </c>
      <c r="G55" s="9">
        <v>44404</v>
      </c>
    </row>
    <row r="56" spans="2:7" x14ac:dyDescent="0.15">
      <c r="B56" s="7" t="s">
        <v>8</v>
      </c>
      <c r="C56" s="37"/>
      <c r="D56" s="31">
        <v>1</v>
      </c>
      <c r="E56" s="50">
        <v>1</v>
      </c>
      <c r="F56" s="8">
        <f t="shared" si="1"/>
        <v>2</v>
      </c>
      <c r="G56" s="9">
        <v>44413</v>
      </c>
    </row>
    <row r="57" spans="2:7" x14ac:dyDescent="0.15">
      <c r="B57" s="7" t="s">
        <v>8</v>
      </c>
      <c r="C57" s="37"/>
      <c r="D57" s="31">
        <v>1</v>
      </c>
      <c r="E57" s="50"/>
      <c r="F57" s="8">
        <f t="shared" si="1"/>
        <v>1</v>
      </c>
      <c r="G57" s="9">
        <v>44414</v>
      </c>
    </row>
    <row r="58" spans="2:7" x14ac:dyDescent="0.15">
      <c r="B58" s="7" t="s">
        <v>8</v>
      </c>
      <c r="C58" s="37"/>
      <c r="D58" s="31">
        <v>1</v>
      </c>
      <c r="E58" s="50">
        <v>1</v>
      </c>
      <c r="F58" s="8">
        <f t="shared" si="1"/>
        <v>2</v>
      </c>
      <c r="G58" s="9">
        <v>44424</v>
      </c>
    </row>
    <row r="59" spans="2:7" x14ac:dyDescent="0.15">
      <c r="B59" s="7" t="s">
        <v>8</v>
      </c>
      <c r="C59" s="37"/>
      <c r="D59" s="31">
        <v>1</v>
      </c>
      <c r="E59" s="50"/>
      <c r="F59" s="8">
        <f t="shared" si="1"/>
        <v>1</v>
      </c>
      <c r="G59" s="9">
        <v>44445</v>
      </c>
    </row>
    <row r="60" spans="2:7" x14ac:dyDescent="0.15">
      <c r="B60" s="7" t="s">
        <v>8</v>
      </c>
      <c r="C60" s="37">
        <v>2</v>
      </c>
      <c r="D60" s="31"/>
      <c r="E60" s="50">
        <f>1+2</f>
        <v>3</v>
      </c>
      <c r="F60" s="8">
        <f t="shared" si="1"/>
        <v>5</v>
      </c>
      <c r="G60" s="9">
        <v>44448</v>
      </c>
    </row>
    <row r="61" spans="2:7" x14ac:dyDescent="0.15">
      <c r="B61" s="7" t="s">
        <v>8</v>
      </c>
      <c r="C61" s="37">
        <v>1</v>
      </c>
      <c r="D61" s="31">
        <v>1</v>
      </c>
      <c r="E61" s="50"/>
      <c r="F61" s="8">
        <f t="shared" si="1"/>
        <v>2</v>
      </c>
      <c r="G61" s="9">
        <v>44470</v>
      </c>
    </row>
    <row r="62" spans="2:7" x14ac:dyDescent="0.15">
      <c r="B62" s="7" t="s">
        <v>8</v>
      </c>
      <c r="C62" s="37">
        <v>1</v>
      </c>
      <c r="D62" s="31"/>
      <c r="E62" s="50"/>
      <c r="F62" s="8">
        <f t="shared" si="1"/>
        <v>1</v>
      </c>
      <c r="G62" s="9">
        <v>44475</v>
      </c>
    </row>
    <row r="63" spans="2:7" x14ac:dyDescent="0.15">
      <c r="B63" s="7" t="s">
        <v>8</v>
      </c>
      <c r="C63" s="37"/>
      <c r="D63" s="31">
        <v>1</v>
      </c>
      <c r="E63" s="50">
        <v>2</v>
      </c>
      <c r="F63" s="8">
        <f t="shared" si="1"/>
        <v>3</v>
      </c>
      <c r="G63" s="9">
        <v>44480</v>
      </c>
    </row>
    <row r="64" spans="2:7" x14ac:dyDescent="0.15">
      <c r="B64" s="7" t="s">
        <v>8</v>
      </c>
      <c r="C64" s="37">
        <v>1</v>
      </c>
      <c r="D64" s="31"/>
      <c r="E64" s="50"/>
      <c r="F64" s="8">
        <f t="shared" si="1"/>
        <v>1</v>
      </c>
      <c r="G64" s="9">
        <v>44490</v>
      </c>
    </row>
    <row r="65" spans="2:7" x14ac:dyDescent="0.15">
      <c r="B65" s="7" t="s">
        <v>8</v>
      </c>
      <c r="C65" s="37"/>
      <c r="D65" s="31">
        <v>1</v>
      </c>
      <c r="E65" s="50"/>
      <c r="F65" s="8">
        <f t="shared" si="1"/>
        <v>1</v>
      </c>
      <c r="G65" s="9">
        <v>44494</v>
      </c>
    </row>
    <row r="66" spans="2:7" x14ac:dyDescent="0.15">
      <c r="B66" s="7" t="s">
        <v>8</v>
      </c>
      <c r="C66" s="37">
        <v>1</v>
      </c>
      <c r="D66" s="31"/>
      <c r="E66" s="50"/>
      <c r="F66" s="8">
        <f t="shared" si="1"/>
        <v>1</v>
      </c>
      <c r="G66" s="9">
        <v>44495</v>
      </c>
    </row>
    <row r="67" spans="2:7" x14ac:dyDescent="0.15">
      <c r="B67" s="7" t="s">
        <v>8</v>
      </c>
      <c r="C67" s="37"/>
      <c r="D67" s="31">
        <v>1</v>
      </c>
      <c r="E67" s="50"/>
      <c r="F67" s="8">
        <f t="shared" si="1"/>
        <v>1</v>
      </c>
      <c r="G67" s="9">
        <v>44498</v>
      </c>
    </row>
    <row r="68" spans="2:7" x14ac:dyDescent="0.15">
      <c r="B68" s="7" t="s">
        <v>8</v>
      </c>
      <c r="C68" s="37">
        <v>1</v>
      </c>
      <c r="D68" s="31"/>
      <c r="E68" s="50"/>
      <c r="F68" s="8">
        <f t="shared" si="1"/>
        <v>1</v>
      </c>
      <c r="G68" s="9">
        <v>44505</v>
      </c>
    </row>
    <row r="69" spans="2:7" x14ac:dyDescent="0.15">
      <c r="B69" s="7" t="s">
        <v>8</v>
      </c>
      <c r="C69" s="37">
        <v>2</v>
      </c>
      <c r="D69" s="31"/>
      <c r="E69" s="50"/>
      <c r="F69" s="8">
        <f t="shared" si="1"/>
        <v>2</v>
      </c>
      <c r="G69" s="9">
        <v>44511</v>
      </c>
    </row>
    <row r="70" spans="2:7" x14ac:dyDescent="0.15">
      <c r="B70" s="7" t="s">
        <v>8</v>
      </c>
      <c r="C70" s="37">
        <f>1+1</f>
        <v>2</v>
      </c>
      <c r="D70" s="31"/>
      <c r="E70" s="50"/>
      <c r="F70" s="8">
        <f t="shared" si="1"/>
        <v>2</v>
      </c>
      <c r="G70" s="9">
        <v>44522</v>
      </c>
    </row>
    <row r="71" spans="2:7" x14ac:dyDescent="0.15">
      <c r="B71" s="7" t="s">
        <v>8</v>
      </c>
      <c r="C71" s="37">
        <v>1</v>
      </c>
      <c r="D71" s="31">
        <v>1</v>
      </c>
      <c r="E71" s="50">
        <f>2+1</f>
        <v>3</v>
      </c>
      <c r="F71" s="8">
        <f t="shared" si="1"/>
        <v>5</v>
      </c>
      <c r="G71" s="9">
        <v>44524</v>
      </c>
    </row>
    <row r="72" spans="2:7" x14ac:dyDescent="0.15">
      <c r="B72" s="7"/>
      <c r="C72" s="37"/>
      <c r="D72" s="31"/>
      <c r="E72" s="50"/>
      <c r="F72" s="8">
        <f t="shared" si="1"/>
        <v>0</v>
      </c>
      <c r="G72" s="9"/>
    </row>
    <row r="73" spans="2:7" x14ac:dyDescent="0.15">
      <c r="B73" s="7"/>
      <c r="C73" s="37"/>
      <c r="D73" s="31"/>
      <c r="E73" s="50"/>
      <c r="F73" s="8">
        <f t="shared" si="1"/>
        <v>0</v>
      </c>
      <c r="G73" s="9"/>
    </row>
    <row r="74" spans="2:7" x14ac:dyDescent="0.15">
      <c r="B74" s="7"/>
      <c r="C74" s="37"/>
      <c r="D74" s="31"/>
      <c r="E74" s="50"/>
      <c r="F74" s="8">
        <f t="shared" si="1"/>
        <v>0</v>
      </c>
    </row>
    <row r="75" spans="2:7" ht="14.25" thickBot="1" x14ac:dyDescent="0.2">
      <c r="B75" s="7"/>
      <c r="C75" s="39"/>
      <c r="D75" s="40"/>
      <c r="E75" s="51"/>
      <c r="F75" s="6">
        <f t="shared" si="1"/>
        <v>0</v>
      </c>
    </row>
    <row r="76" spans="2:7" ht="14.25" thickBot="1" x14ac:dyDescent="0.2">
      <c r="B76" s="5" t="s">
        <v>2</v>
      </c>
      <c r="C76" s="43">
        <f>SUM(C51:C75)</f>
        <v>13</v>
      </c>
      <c r="D76" s="44">
        <f>SUM(D51:D75)</f>
        <v>11</v>
      </c>
      <c r="E76" s="52">
        <f>SUM(E51:E75)</f>
        <v>16</v>
      </c>
      <c r="F76" s="4">
        <f t="shared" si="1"/>
        <v>40</v>
      </c>
    </row>
    <row r="77" spans="2:7" ht="14.25" thickBot="1" x14ac:dyDescent="0.2">
      <c r="B77" s="3" t="s">
        <v>3</v>
      </c>
      <c r="C77" s="46">
        <f>+C50-C76</f>
        <v>2</v>
      </c>
      <c r="D77" s="47">
        <f>+D50-D76</f>
        <v>5</v>
      </c>
      <c r="E77" s="54">
        <f>+E50-E76</f>
        <v>5</v>
      </c>
      <c r="F77" s="2">
        <f t="shared" si="1"/>
        <v>12</v>
      </c>
    </row>
    <row r="79" spans="2:7" ht="18.75" x14ac:dyDescent="0.2">
      <c r="B79" s="17" t="s">
        <v>10</v>
      </c>
      <c r="C79" s="16"/>
      <c r="D79" s="16"/>
      <c r="E79" s="16"/>
      <c r="F79" s="16" t="s">
        <v>11</v>
      </c>
    </row>
    <row r="80" spans="2:7" ht="14.25" thickBot="1" x14ac:dyDescent="0.2"/>
    <row r="81" spans="1:7" ht="14.25" thickBot="1" x14ac:dyDescent="0.2">
      <c r="B81" s="15"/>
      <c r="C81" s="24"/>
      <c r="D81" s="24"/>
      <c r="E81" s="24"/>
      <c r="F81" s="25"/>
    </row>
    <row r="82" spans="1:7" ht="14.25" thickBot="1" x14ac:dyDescent="0.2">
      <c r="A82" s="1"/>
      <c r="B82" s="14"/>
      <c r="C82" s="34" t="s">
        <v>7</v>
      </c>
      <c r="D82" s="35" t="s">
        <v>6</v>
      </c>
      <c r="E82" s="48" t="s">
        <v>9</v>
      </c>
      <c r="F82" s="5" t="s">
        <v>0</v>
      </c>
    </row>
    <row r="83" spans="1:7" x14ac:dyDescent="0.15">
      <c r="B83" s="13" t="s">
        <v>3</v>
      </c>
      <c r="C83" s="36">
        <f>C77</f>
        <v>2</v>
      </c>
      <c r="D83" s="32">
        <f>D77</f>
        <v>5</v>
      </c>
      <c r="E83" s="49">
        <f>E77</f>
        <v>5</v>
      </c>
      <c r="F83" s="56">
        <f t="shared" ref="F83:F116" si="2">E83+D83+C83</f>
        <v>12</v>
      </c>
    </row>
    <row r="84" spans="1:7" x14ac:dyDescent="0.15">
      <c r="B84" s="12" t="s">
        <v>4</v>
      </c>
      <c r="C84" s="37">
        <v>5</v>
      </c>
      <c r="D84" s="31"/>
      <c r="E84" s="50"/>
      <c r="F84" s="8">
        <f t="shared" si="2"/>
        <v>5</v>
      </c>
      <c r="G84" s="9">
        <v>44524</v>
      </c>
    </row>
    <row r="85" spans="1:7" x14ac:dyDescent="0.15">
      <c r="B85" s="12" t="s">
        <v>4</v>
      </c>
      <c r="C85" s="37">
        <v>5</v>
      </c>
      <c r="D85" s="31">
        <v>10</v>
      </c>
      <c r="E85" s="50">
        <v>5</v>
      </c>
      <c r="F85" s="8">
        <f t="shared" si="2"/>
        <v>20</v>
      </c>
      <c r="G85" s="9">
        <v>44538</v>
      </c>
    </row>
    <row r="86" spans="1:7" x14ac:dyDescent="0.15">
      <c r="B86" s="12" t="s">
        <v>4</v>
      </c>
      <c r="C86" s="37">
        <v>5</v>
      </c>
      <c r="D86" s="31">
        <v>5</v>
      </c>
      <c r="E86" s="50">
        <v>5</v>
      </c>
      <c r="F86" s="8">
        <f t="shared" si="2"/>
        <v>15</v>
      </c>
      <c r="G86" s="9">
        <v>44572</v>
      </c>
    </row>
    <row r="87" spans="1:7" x14ac:dyDescent="0.15">
      <c r="B87" s="12" t="s">
        <v>4</v>
      </c>
      <c r="C87" s="37">
        <v>5</v>
      </c>
      <c r="D87" s="31">
        <v>5</v>
      </c>
      <c r="E87" s="50"/>
      <c r="F87" s="8">
        <f t="shared" si="2"/>
        <v>10</v>
      </c>
      <c r="G87" s="9">
        <v>44588</v>
      </c>
    </row>
    <row r="88" spans="1:7" ht="14.25" thickBot="1" x14ac:dyDescent="0.2">
      <c r="B88" s="11" t="s">
        <v>4</v>
      </c>
      <c r="C88" s="39"/>
      <c r="D88" s="40"/>
      <c r="E88" s="51">
        <v>5</v>
      </c>
      <c r="F88" s="6">
        <f t="shared" si="2"/>
        <v>5</v>
      </c>
      <c r="G88" s="9">
        <v>44601</v>
      </c>
    </row>
    <row r="89" spans="1:7" ht="14.25" thickBot="1" x14ac:dyDescent="0.2">
      <c r="B89" s="5" t="s">
        <v>1</v>
      </c>
      <c r="C89" s="43">
        <f>SUM(C83:C88)</f>
        <v>22</v>
      </c>
      <c r="D89" s="44">
        <f>SUM(D83:D88)</f>
        <v>25</v>
      </c>
      <c r="E89" s="52">
        <f>SUM(E83:E88)</f>
        <v>20</v>
      </c>
      <c r="F89" s="4">
        <f t="shared" si="2"/>
        <v>67</v>
      </c>
    </row>
    <row r="90" spans="1:7" x14ac:dyDescent="0.15">
      <c r="B90" s="7" t="s">
        <v>8</v>
      </c>
      <c r="C90" s="42"/>
      <c r="D90" s="33"/>
      <c r="E90" s="53">
        <v>1</v>
      </c>
      <c r="F90" s="55">
        <f t="shared" si="2"/>
        <v>1</v>
      </c>
      <c r="G90" s="9">
        <v>44525</v>
      </c>
    </row>
    <row r="91" spans="1:7" x14ac:dyDescent="0.15">
      <c r="B91" s="7" t="s">
        <v>8</v>
      </c>
      <c r="C91" s="37">
        <v>1</v>
      </c>
      <c r="D91" s="31">
        <v>1</v>
      </c>
      <c r="E91" s="50">
        <v>1</v>
      </c>
      <c r="F91" s="8">
        <f t="shared" si="2"/>
        <v>3</v>
      </c>
      <c r="G91" s="9">
        <v>44529</v>
      </c>
    </row>
    <row r="92" spans="1:7" x14ac:dyDescent="0.15">
      <c r="B92" s="7" t="s">
        <v>8</v>
      </c>
      <c r="C92" s="37">
        <f>1+1</f>
        <v>2</v>
      </c>
      <c r="D92" s="31">
        <v>2</v>
      </c>
      <c r="E92" s="50"/>
      <c r="F92" s="8">
        <f t="shared" si="2"/>
        <v>4</v>
      </c>
      <c r="G92" s="9">
        <v>44530</v>
      </c>
    </row>
    <row r="93" spans="1:7" x14ac:dyDescent="0.15">
      <c r="B93" s="7" t="s">
        <v>8</v>
      </c>
      <c r="C93" s="37">
        <v>1</v>
      </c>
      <c r="D93" s="31">
        <v>1</v>
      </c>
      <c r="E93" s="50"/>
      <c r="F93" s="8">
        <f t="shared" si="2"/>
        <v>2</v>
      </c>
      <c r="G93" s="9">
        <v>44533</v>
      </c>
    </row>
    <row r="94" spans="1:7" x14ac:dyDescent="0.15">
      <c r="B94" s="7" t="s">
        <v>8</v>
      </c>
      <c r="C94" s="37"/>
      <c r="D94" s="31">
        <v>1</v>
      </c>
      <c r="E94" s="50"/>
      <c r="F94" s="8">
        <f t="shared" si="2"/>
        <v>1</v>
      </c>
      <c r="G94" s="9">
        <v>44534</v>
      </c>
    </row>
    <row r="95" spans="1:7" x14ac:dyDescent="0.15">
      <c r="B95" s="7" t="s">
        <v>8</v>
      </c>
      <c r="C95" s="37">
        <v>1</v>
      </c>
      <c r="D95" s="31"/>
      <c r="E95" s="50"/>
      <c r="F95" s="8">
        <f t="shared" si="2"/>
        <v>1</v>
      </c>
      <c r="G95" s="9">
        <v>44537</v>
      </c>
    </row>
    <row r="96" spans="1:7" x14ac:dyDescent="0.15">
      <c r="B96" s="7" t="s">
        <v>8</v>
      </c>
      <c r="C96" s="37"/>
      <c r="D96" s="31"/>
      <c r="E96" s="50">
        <v>1</v>
      </c>
      <c r="F96" s="8">
        <f t="shared" si="2"/>
        <v>1</v>
      </c>
      <c r="G96" s="9">
        <v>44538</v>
      </c>
    </row>
    <row r="97" spans="2:7" x14ac:dyDescent="0.15">
      <c r="B97" s="7" t="s">
        <v>8</v>
      </c>
      <c r="C97" s="37">
        <v>1</v>
      </c>
      <c r="D97" s="31"/>
      <c r="E97" s="50"/>
      <c r="F97" s="8">
        <f t="shared" si="2"/>
        <v>1</v>
      </c>
      <c r="G97" s="9">
        <v>44539</v>
      </c>
    </row>
    <row r="98" spans="2:7" x14ac:dyDescent="0.15">
      <c r="B98" s="7" t="s">
        <v>8</v>
      </c>
      <c r="C98" s="37">
        <v>1</v>
      </c>
      <c r="D98" s="31">
        <v>1</v>
      </c>
      <c r="E98" s="50">
        <f>1+1</f>
        <v>2</v>
      </c>
      <c r="F98" s="8">
        <f t="shared" si="2"/>
        <v>4</v>
      </c>
      <c r="G98" s="9">
        <v>44543</v>
      </c>
    </row>
    <row r="99" spans="2:7" x14ac:dyDescent="0.15">
      <c r="B99" s="7" t="s">
        <v>8</v>
      </c>
      <c r="C99" s="37"/>
      <c r="D99" s="31">
        <v>2</v>
      </c>
      <c r="E99" s="50"/>
      <c r="F99" s="8">
        <f t="shared" si="2"/>
        <v>2</v>
      </c>
      <c r="G99" s="9">
        <v>44545</v>
      </c>
    </row>
    <row r="100" spans="2:7" x14ac:dyDescent="0.15">
      <c r="B100" s="7" t="s">
        <v>8</v>
      </c>
      <c r="C100" s="37">
        <v>1</v>
      </c>
      <c r="D100" s="31"/>
      <c r="E100" s="50"/>
      <c r="F100" s="8">
        <f t="shared" si="2"/>
        <v>1</v>
      </c>
      <c r="G100" s="9">
        <v>44551</v>
      </c>
    </row>
    <row r="101" spans="2:7" x14ac:dyDescent="0.15">
      <c r="B101" s="19" t="s">
        <v>12</v>
      </c>
      <c r="C101" s="37"/>
      <c r="D101" s="31">
        <v>1</v>
      </c>
      <c r="E101" s="50"/>
      <c r="F101" s="8">
        <f t="shared" si="2"/>
        <v>1</v>
      </c>
      <c r="G101" s="20">
        <v>44551</v>
      </c>
    </row>
    <row r="102" spans="2:7" x14ac:dyDescent="0.15">
      <c r="B102" s="7" t="s">
        <v>8</v>
      </c>
      <c r="C102" s="37"/>
      <c r="D102" s="31"/>
      <c r="E102" s="50">
        <v>1</v>
      </c>
      <c r="F102" s="8">
        <f t="shared" si="2"/>
        <v>1</v>
      </c>
      <c r="G102" s="9">
        <v>44552</v>
      </c>
    </row>
    <row r="103" spans="2:7" x14ac:dyDescent="0.15">
      <c r="B103" s="7" t="s">
        <v>8</v>
      </c>
      <c r="C103" s="37">
        <v>1</v>
      </c>
      <c r="D103" s="31"/>
      <c r="E103" s="50"/>
      <c r="F103" s="8">
        <f t="shared" si="2"/>
        <v>1</v>
      </c>
      <c r="G103" s="9">
        <v>44554</v>
      </c>
    </row>
    <row r="104" spans="2:7" x14ac:dyDescent="0.15">
      <c r="B104" s="7" t="s">
        <v>8</v>
      </c>
      <c r="C104" s="37"/>
      <c r="D104" s="31">
        <v>1</v>
      </c>
      <c r="E104" s="50">
        <v>1</v>
      </c>
      <c r="F104" s="8">
        <f t="shared" si="2"/>
        <v>2</v>
      </c>
      <c r="G104" s="9">
        <v>44566</v>
      </c>
    </row>
    <row r="105" spans="2:7" x14ac:dyDescent="0.15">
      <c r="B105" s="7" t="s">
        <v>8</v>
      </c>
      <c r="C105" s="37">
        <v>1</v>
      </c>
      <c r="D105" s="31">
        <f>1+1+3</f>
        <v>5</v>
      </c>
      <c r="E105" s="50">
        <v>1</v>
      </c>
      <c r="F105" s="8">
        <f t="shared" si="2"/>
        <v>7</v>
      </c>
      <c r="G105" s="9">
        <v>44572</v>
      </c>
    </row>
    <row r="106" spans="2:7" x14ac:dyDescent="0.15">
      <c r="B106" s="7" t="s">
        <v>8</v>
      </c>
      <c r="C106" s="37">
        <f>1+3</f>
        <v>4</v>
      </c>
      <c r="D106" s="31"/>
      <c r="E106" s="50"/>
      <c r="F106" s="8">
        <f t="shared" si="2"/>
        <v>4</v>
      </c>
      <c r="G106" s="9">
        <v>44573</v>
      </c>
    </row>
    <row r="107" spans="2:7" x14ac:dyDescent="0.15">
      <c r="B107" s="7" t="s">
        <v>8</v>
      </c>
      <c r="C107" s="37"/>
      <c r="D107" s="31">
        <v>1</v>
      </c>
      <c r="E107" s="50"/>
      <c r="F107" s="8">
        <f t="shared" si="2"/>
        <v>1</v>
      </c>
      <c r="G107" s="9">
        <v>44578</v>
      </c>
    </row>
    <row r="108" spans="2:7" x14ac:dyDescent="0.15">
      <c r="B108" s="7" t="s">
        <v>8</v>
      </c>
      <c r="C108" s="37">
        <v>1</v>
      </c>
      <c r="D108" s="31"/>
      <c r="E108" s="50"/>
      <c r="F108" s="8">
        <f t="shared" si="2"/>
        <v>1</v>
      </c>
      <c r="G108" s="9">
        <v>44585</v>
      </c>
    </row>
    <row r="109" spans="2:7" x14ac:dyDescent="0.15">
      <c r="B109" s="7" t="s">
        <v>8</v>
      </c>
      <c r="C109" s="37"/>
      <c r="D109" s="31"/>
      <c r="E109" s="50">
        <v>3</v>
      </c>
      <c r="F109" s="8">
        <f t="shared" si="2"/>
        <v>3</v>
      </c>
      <c r="G109" s="9">
        <v>44586</v>
      </c>
    </row>
    <row r="110" spans="2:7" x14ac:dyDescent="0.15">
      <c r="B110" s="7" t="s">
        <v>8</v>
      </c>
      <c r="C110" s="37"/>
      <c r="D110" s="31"/>
      <c r="E110" s="50">
        <v>1</v>
      </c>
      <c r="F110" s="8">
        <f t="shared" si="2"/>
        <v>1</v>
      </c>
      <c r="G110" s="9">
        <v>44588</v>
      </c>
    </row>
    <row r="111" spans="2:7" x14ac:dyDescent="0.15">
      <c r="B111" s="7" t="s">
        <v>8</v>
      </c>
      <c r="C111" s="37"/>
      <c r="D111" s="31">
        <v>1</v>
      </c>
      <c r="E111" s="50"/>
      <c r="F111" s="8">
        <f t="shared" si="2"/>
        <v>1</v>
      </c>
      <c r="G111" s="9">
        <v>44597</v>
      </c>
    </row>
    <row r="112" spans="2:7" x14ac:dyDescent="0.15">
      <c r="B112" s="7" t="s">
        <v>8</v>
      </c>
      <c r="C112" s="37">
        <v>2</v>
      </c>
      <c r="D112" s="31">
        <v>2</v>
      </c>
      <c r="E112" s="50">
        <v>2</v>
      </c>
      <c r="F112" s="8">
        <f t="shared" si="2"/>
        <v>6</v>
      </c>
      <c r="G112" s="9">
        <v>44599</v>
      </c>
    </row>
    <row r="113" spans="1:7" x14ac:dyDescent="0.15">
      <c r="B113" s="7" t="s">
        <v>8</v>
      </c>
      <c r="C113" s="37"/>
      <c r="D113" s="31">
        <v>1</v>
      </c>
      <c r="E113" s="50"/>
      <c r="F113" s="8">
        <f t="shared" si="2"/>
        <v>1</v>
      </c>
      <c r="G113" s="9">
        <v>44606</v>
      </c>
    </row>
    <row r="114" spans="1:7" ht="14.25" thickBot="1" x14ac:dyDescent="0.2">
      <c r="B114" s="7" t="s">
        <v>8</v>
      </c>
      <c r="C114" s="39">
        <v>1</v>
      </c>
      <c r="D114" s="40"/>
      <c r="E114" s="51"/>
      <c r="F114" s="6">
        <f t="shared" si="2"/>
        <v>1</v>
      </c>
      <c r="G114" s="9">
        <v>44613</v>
      </c>
    </row>
    <row r="115" spans="1:7" ht="14.25" thickBot="1" x14ac:dyDescent="0.2">
      <c r="B115" s="5" t="s">
        <v>2</v>
      </c>
      <c r="C115" s="43">
        <f>SUM(C90:C114)</f>
        <v>18</v>
      </c>
      <c r="D115" s="44">
        <f>SUM(D90:D114)</f>
        <v>20</v>
      </c>
      <c r="E115" s="52">
        <f>SUM(E90:E114)</f>
        <v>14</v>
      </c>
      <c r="F115" s="4">
        <f t="shared" si="2"/>
        <v>52</v>
      </c>
    </row>
    <row r="116" spans="1:7" ht="14.25" thickBot="1" x14ac:dyDescent="0.2">
      <c r="B116" s="3" t="s">
        <v>3</v>
      </c>
      <c r="C116" s="46">
        <f>+C89-C115</f>
        <v>4</v>
      </c>
      <c r="D116" s="47">
        <f>+D89-D115</f>
        <v>5</v>
      </c>
      <c r="E116" s="54">
        <f>+E89-E115</f>
        <v>6</v>
      </c>
      <c r="F116" s="2">
        <f t="shared" si="2"/>
        <v>15</v>
      </c>
    </row>
    <row r="118" spans="1:7" ht="18.75" x14ac:dyDescent="0.2">
      <c r="B118" s="17" t="s">
        <v>10</v>
      </c>
      <c r="C118" s="16"/>
      <c r="D118" s="16"/>
      <c r="E118" s="16"/>
      <c r="F118" s="16" t="s">
        <v>11</v>
      </c>
    </row>
    <row r="119" spans="1:7" ht="14.25" thickBot="1" x14ac:dyDescent="0.2">
      <c r="F119">
        <v>598</v>
      </c>
    </row>
    <row r="120" spans="1:7" ht="14.25" thickBot="1" x14ac:dyDescent="0.2">
      <c r="B120" s="15"/>
      <c r="C120" s="24"/>
      <c r="D120" s="24"/>
      <c r="E120" s="24"/>
      <c r="F120" s="25"/>
    </row>
    <row r="121" spans="1:7" ht="14.25" thickBot="1" x14ac:dyDescent="0.2">
      <c r="A121" s="1"/>
      <c r="B121" s="14"/>
      <c r="C121" s="34" t="s">
        <v>7</v>
      </c>
      <c r="D121" s="35" t="s">
        <v>6</v>
      </c>
      <c r="E121" s="48" t="s">
        <v>9</v>
      </c>
      <c r="F121" s="5" t="s">
        <v>0</v>
      </c>
    </row>
    <row r="122" spans="1:7" x14ac:dyDescent="0.15">
      <c r="B122" s="13" t="s">
        <v>3</v>
      </c>
      <c r="C122" s="36">
        <f>C116</f>
        <v>4</v>
      </c>
      <c r="D122" s="32">
        <f t="shared" ref="D122" si="3">D116</f>
        <v>5</v>
      </c>
      <c r="E122" s="49">
        <f>E116</f>
        <v>6</v>
      </c>
      <c r="F122" s="56">
        <f t="shared" ref="F122:F155" si="4">E122+D122+C122</f>
        <v>15</v>
      </c>
    </row>
    <row r="123" spans="1:7" x14ac:dyDescent="0.15">
      <c r="B123" s="12" t="s">
        <v>4</v>
      </c>
      <c r="C123" s="37">
        <v>5</v>
      </c>
      <c r="D123" s="31">
        <v>5</v>
      </c>
      <c r="E123" s="50"/>
      <c r="F123" s="8">
        <f t="shared" si="4"/>
        <v>10</v>
      </c>
      <c r="G123" s="9">
        <v>44630</v>
      </c>
    </row>
    <row r="124" spans="1:7" x14ac:dyDescent="0.15">
      <c r="B124" s="12" t="s">
        <v>4</v>
      </c>
      <c r="C124" s="37">
        <v>3</v>
      </c>
      <c r="D124" s="31">
        <v>3</v>
      </c>
      <c r="E124" s="50">
        <v>3</v>
      </c>
      <c r="F124" s="8">
        <f t="shared" si="4"/>
        <v>9</v>
      </c>
      <c r="G124" s="9">
        <v>44644</v>
      </c>
    </row>
    <row r="125" spans="1:7" x14ac:dyDescent="0.15">
      <c r="B125" s="12" t="s">
        <v>4</v>
      </c>
      <c r="C125" s="37">
        <v>5</v>
      </c>
      <c r="D125" s="31">
        <v>5</v>
      </c>
      <c r="E125" s="50"/>
      <c r="F125" s="8">
        <f t="shared" si="4"/>
        <v>10</v>
      </c>
      <c r="G125" s="9">
        <v>44691</v>
      </c>
    </row>
    <row r="126" spans="1:7" x14ac:dyDescent="0.15">
      <c r="B126" s="12" t="s">
        <v>4</v>
      </c>
      <c r="C126" s="37"/>
      <c r="D126" s="31">
        <v>5</v>
      </c>
      <c r="E126" s="50"/>
      <c r="F126" s="8">
        <f t="shared" si="4"/>
        <v>5</v>
      </c>
      <c r="G126" s="9">
        <v>44726</v>
      </c>
    </row>
    <row r="127" spans="1:7" ht="14.25" thickBot="1" x14ac:dyDescent="0.2">
      <c r="B127" s="11" t="s">
        <v>4</v>
      </c>
      <c r="C127" s="39">
        <v>5</v>
      </c>
      <c r="D127" s="40">
        <v>5</v>
      </c>
      <c r="E127" s="51">
        <v>5</v>
      </c>
      <c r="F127" s="6">
        <f t="shared" si="4"/>
        <v>15</v>
      </c>
      <c r="G127" s="9">
        <v>44747</v>
      </c>
    </row>
    <row r="128" spans="1:7" ht="14.25" thickBot="1" x14ac:dyDescent="0.2">
      <c r="B128" s="5" t="s">
        <v>1</v>
      </c>
      <c r="C128" s="43">
        <f>SUM(C122:C127)</f>
        <v>22</v>
      </c>
      <c r="D128" s="44">
        <f>SUM(D122:D127)</f>
        <v>28</v>
      </c>
      <c r="E128" s="52">
        <f>SUM(E122:E127)</f>
        <v>14</v>
      </c>
      <c r="F128" s="4">
        <f t="shared" si="4"/>
        <v>64</v>
      </c>
    </row>
    <row r="129" spans="2:7" x14ac:dyDescent="0.15">
      <c r="B129" s="7" t="s">
        <v>8</v>
      </c>
      <c r="C129" s="42"/>
      <c r="D129" s="33">
        <v>2</v>
      </c>
      <c r="E129" s="53"/>
      <c r="F129" s="55">
        <f t="shared" si="4"/>
        <v>2</v>
      </c>
      <c r="G129" s="9">
        <v>44624</v>
      </c>
    </row>
    <row r="130" spans="2:7" x14ac:dyDescent="0.15">
      <c r="B130" s="7" t="s">
        <v>8</v>
      </c>
      <c r="C130" s="37"/>
      <c r="D130" s="31">
        <v>1</v>
      </c>
      <c r="E130" s="50"/>
      <c r="F130" s="8">
        <f t="shared" si="4"/>
        <v>1</v>
      </c>
      <c r="G130" s="9">
        <v>44625</v>
      </c>
    </row>
    <row r="131" spans="2:7" x14ac:dyDescent="0.15">
      <c r="B131" s="7" t="s">
        <v>8</v>
      </c>
      <c r="C131" s="37">
        <v>1</v>
      </c>
      <c r="D131" s="31"/>
      <c r="E131" s="50"/>
      <c r="F131" s="8">
        <f t="shared" si="4"/>
        <v>1</v>
      </c>
      <c r="G131" s="9">
        <v>44631</v>
      </c>
    </row>
    <row r="132" spans="2:7" x14ac:dyDescent="0.15">
      <c r="B132" s="7" t="s">
        <v>8</v>
      </c>
      <c r="C132" s="37">
        <v>1</v>
      </c>
      <c r="D132" s="31"/>
      <c r="E132" s="50"/>
      <c r="F132" s="8">
        <f t="shared" si="4"/>
        <v>1</v>
      </c>
      <c r="G132" s="9">
        <v>44636</v>
      </c>
    </row>
    <row r="133" spans="2:7" x14ac:dyDescent="0.15">
      <c r="B133" s="7" t="s">
        <v>8</v>
      </c>
      <c r="C133" s="37">
        <v>1</v>
      </c>
      <c r="D133" s="31"/>
      <c r="E133" s="50"/>
      <c r="F133" s="8">
        <f t="shared" si="4"/>
        <v>1</v>
      </c>
      <c r="G133" s="9">
        <v>44644</v>
      </c>
    </row>
    <row r="134" spans="2:7" x14ac:dyDescent="0.15">
      <c r="B134" s="7" t="s">
        <v>8</v>
      </c>
      <c r="C134" s="37"/>
      <c r="D134" s="31">
        <v>1</v>
      </c>
      <c r="E134" s="50"/>
      <c r="F134" s="8">
        <f t="shared" si="4"/>
        <v>1</v>
      </c>
      <c r="G134" s="9">
        <v>44656</v>
      </c>
    </row>
    <row r="135" spans="2:7" x14ac:dyDescent="0.15">
      <c r="B135" s="7" t="s">
        <v>8</v>
      </c>
      <c r="C135" s="37"/>
      <c r="D135" s="31">
        <v>1</v>
      </c>
      <c r="E135" s="50">
        <f>1+1</f>
        <v>2</v>
      </c>
      <c r="F135" s="8">
        <f t="shared" si="4"/>
        <v>3</v>
      </c>
      <c r="G135" s="9">
        <v>44662</v>
      </c>
    </row>
    <row r="136" spans="2:7" x14ac:dyDescent="0.15">
      <c r="B136" s="7" t="s">
        <v>8</v>
      </c>
      <c r="C136" s="37"/>
      <c r="D136" s="31">
        <v>1</v>
      </c>
      <c r="E136" s="50"/>
      <c r="F136" s="8">
        <f t="shared" si="4"/>
        <v>1</v>
      </c>
      <c r="G136" s="9">
        <v>44665</v>
      </c>
    </row>
    <row r="137" spans="2:7" x14ac:dyDescent="0.15">
      <c r="B137" s="7" t="s">
        <v>8</v>
      </c>
      <c r="C137" s="37">
        <v>1</v>
      </c>
      <c r="D137" s="31"/>
      <c r="E137" s="50"/>
      <c r="F137" s="8">
        <f t="shared" si="4"/>
        <v>1</v>
      </c>
      <c r="G137" s="9">
        <v>44669</v>
      </c>
    </row>
    <row r="138" spans="2:7" x14ac:dyDescent="0.15">
      <c r="B138" s="7" t="s">
        <v>8</v>
      </c>
      <c r="C138" s="37">
        <v>1</v>
      </c>
      <c r="D138" s="31">
        <v>1</v>
      </c>
      <c r="E138" s="50">
        <v>1</v>
      </c>
      <c r="F138" s="8">
        <f t="shared" si="4"/>
        <v>3</v>
      </c>
      <c r="G138" s="9">
        <v>44671</v>
      </c>
    </row>
    <row r="139" spans="2:7" x14ac:dyDescent="0.15">
      <c r="B139" s="7" t="s">
        <v>8</v>
      </c>
      <c r="C139" s="37">
        <v>1</v>
      </c>
      <c r="D139" s="31">
        <v>1</v>
      </c>
      <c r="E139" s="50"/>
      <c r="F139" s="8">
        <f t="shared" si="4"/>
        <v>2</v>
      </c>
      <c r="G139" s="9">
        <v>44677</v>
      </c>
    </row>
    <row r="140" spans="2:7" x14ac:dyDescent="0.15">
      <c r="B140" s="7" t="s">
        <v>8</v>
      </c>
      <c r="C140" s="37">
        <v>1</v>
      </c>
      <c r="D140" s="31"/>
      <c r="E140" s="50"/>
      <c r="F140" s="8">
        <f t="shared" si="4"/>
        <v>1</v>
      </c>
      <c r="G140" s="9">
        <v>44678</v>
      </c>
    </row>
    <row r="141" spans="2:7" x14ac:dyDescent="0.15">
      <c r="B141" s="7" t="s">
        <v>8</v>
      </c>
      <c r="C141" s="37">
        <v>1</v>
      </c>
      <c r="D141" s="31"/>
      <c r="E141" s="50"/>
      <c r="F141" s="8">
        <f t="shared" si="4"/>
        <v>1</v>
      </c>
      <c r="G141" s="9">
        <v>44683</v>
      </c>
    </row>
    <row r="142" spans="2:7" x14ac:dyDescent="0.15">
      <c r="B142" s="7" t="s">
        <v>8</v>
      </c>
      <c r="C142" s="37">
        <v>1</v>
      </c>
      <c r="D142" s="31">
        <f>1+1</f>
        <v>2</v>
      </c>
      <c r="E142" s="50"/>
      <c r="F142" s="8">
        <f t="shared" si="4"/>
        <v>3</v>
      </c>
      <c r="G142" s="9">
        <v>44687</v>
      </c>
    </row>
    <row r="143" spans="2:7" x14ac:dyDescent="0.15">
      <c r="B143" s="7" t="s">
        <v>8</v>
      </c>
      <c r="C143" s="37"/>
      <c r="D143" s="31">
        <v>2</v>
      </c>
      <c r="E143" s="50">
        <v>1</v>
      </c>
      <c r="F143" s="8">
        <f t="shared" si="4"/>
        <v>3</v>
      </c>
      <c r="G143" s="9">
        <v>44688</v>
      </c>
    </row>
    <row r="144" spans="2:7" x14ac:dyDescent="0.15">
      <c r="B144" s="7" t="s">
        <v>8</v>
      </c>
      <c r="C144" s="37"/>
      <c r="D144" s="31">
        <v>1</v>
      </c>
      <c r="E144" s="50"/>
      <c r="F144" s="8">
        <f t="shared" si="4"/>
        <v>1</v>
      </c>
      <c r="G144" s="9">
        <v>44697</v>
      </c>
    </row>
    <row r="145" spans="1:7" x14ac:dyDescent="0.15">
      <c r="B145" s="7" t="s">
        <v>8</v>
      </c>
      <c r="C145" s="37"/>
      <c r="D145" s="31"/>
      <c r="E145" s="50">
        <v>1</v>
      </c>
      <c r="F145" s="8">
        <f t="shared" si="4"/>
        <v>1</v>
      </c>
      <c r="G145" s="9">
        <v>44704</v>
      </c>
    </row>
    <row r="146" spans="1:7" x14ac:dyDescent="0.15">
      <c r="B146" s="7" t="s">
        <v>8</v>
      </c>
      <c r="C146" s="37">
        <v>1</v>
      </c>
      <c r="D146" s="31"/>
      <c r="E146" s="50"/>
      <c r="F146" s="8">
        <f t="shared" si="4"/>
        <v>1</v>
      </c>
      <c r="G146" s="9">
        <v>44705</v>
      </c>
    </row>
    <row r="147" spans="1:7" x14ac:dyDescent="0.15">
      <c r="B147" s="7" t="s">
        <v>8</v>
      </c>
      <c r="C147" s="37">
        <f>1+1</f>
        <v>2</v>
      </c>
      <c r="D147" s="31">
        <f>1+2+1</f>
        <v>4</v>
      </c>
      <c r="E147" s="50">
        <v>2</v>
      </c>
      <c r="F147" s="8">
        <f t="shared" si="4"/>
        <v>8</v>
      </c>
      <c r="G147" s="9">
        <v>44725</v>
      </c>
    </row>
    <row r="148" spans="1:7" x14ac:dyDescent="0.15">
      <c r="B148" s="7" t="s">
        <v>8</v>
      </c>
      <c r="C148" s="37">
        <v>1</v>
      </c>
      <c r="D148" s="31">
        <v>1</v>
      </c>
      <c r="E148" s="50"/>
      <c r="F148" s="8">
        <f t="shared" si="4"/>
        <v>2</v>
      </c>
      <c r="G148" s="9">
        <v>44728</v>
      </c>
    </row>
    <row r="149" spans="1:7" x14ac:dyDescent="0.15">
      <c r="B149" s="7" t="s">
        <v>8</v>
      </c>
      <c r="C149" s="37"/>
      <c r="D149" s="31"/>
      <c r="E149" s="50">
        <v>1</v>
      </c>
      <c r="F149" s="8">
        <f t="shared" si="4"/>
        <v>1</v>
      </c>
      <c r="G149" s="9">
        <v>44733</v>
      </c>
    </row>
    <row r="150" spans="1:7" x14ac:dyDescent="0.15">
      <c r="B150" s="7" t="s">
        <v>8</v>
      </c>
      <c r="C150" s="37">
        <v>2</v>
      </c>
      <c r="D150" s="31"/>
      <c r="E150" s="50"/>
      <c r="F150" s="8">
        <f t="shared" si="4"/>
        <v>2</v>
      </c>
      <c r="G150" s="9">
        <v>44739</v>
      </c>
    </row>
    <row r="151" spans="1:7" x14ac:dyDescent="0.15">
      <c r="B151" s="7" t="s">
        <v>8</v>
      </c>
      <c r="C151" s="37">
        <v>1</v>
      </c>
      <c r="D151" s="31">
        <f>1+1</f>
        <v>2</v>
      </c>
      <c r="E151" s="50">
        <f>1+1</f>
        <v>2</v>
      </c>
      <c r="F151" s="8">
        <f t="shared" si="4"/>
        <v>5</v>
      </c>
      <c r="G151" s="9">
        <v>44746</v>
      </c>
    </row>
    <row r="152" spans="1:7" x14ac:dyDescent="0.15">
      <c r="B152" s="7" t="s">
        <v>8</v>
      </c>
      <c r="C152" s="37">
        <v>1</v>
      </c>
      <c r="D152" s="31"/>
      <c r="E152" s="50"/>
      <c r="F152" s="8">
        <f t="shared" si="4"/>
        <v>1</v>
      </c>
      <c r="G152" s="9">
        <v>44747</v>
      </c>
    </row>
    <row r="153" spans="1:7" ht="14.25" thickBot="1" x14ac:dyDescent="0.2">
      <c r="B153" s="7" t="s">
        <v>8</v>
      </c>
      <c r="C153" s="39">
        <v>1</v>
      </c>
      <c r="D153" s="40"/>
      <c r="E153" s="51"/>
      <c r="F153" s="6">
        <f t="shared" si="4"/>
        <v>1</v>
      </c>
      <c r="G153" s="9">
        <v>44749</v>
      </c>
    </row>
    <row r="154" spans="1:7" ht="14.25" thickBot="1" x14ac:dyDescent="0.2">
      <c r="B154" s="5" t="s">
        <v>2</v>
      </c>
      <c r="C154" s="43">
        <f>SUM(C129:C153)</f>
        <v>18</v>
      </c>
      <c r="D154" s="44">
        <f>SUM(D129:D153)</f>
        <v>20</v>
      </c>
      <c r="E154" s="52">
        <f>SUM(E129:E153)</f>
        <v>10</v>
      </c>
      <c r="F154" s="4">
        <f t="shared" si="4"/>
        <v>48</v>
      </c>
    </row>
    <row r="155" spans="1:7" ht="14.25" thickBot="1" x14ac:dyDescent="0.2">
      <c r="B155" s="3" t="s">
        <v>3</v>
      </c>
      <c r="C155" s="46">
        <f>+C128-C154</f>
        <v>4</v>
      </c>
      <c r="D155" s="47">
        <f>+D128-D154</f>
        <v>8</v>
      </c>
      <c r="E155" s="54">
        <f>+E128-E154</f>
        <v>4</v>
      </c>
      <c r="F155" s="2">
        <f t="shared" si="4"/>
        <v>16</v>
      </c>
    </row>
    <row r="157" spans="1:7" ht="18.75" x14ac:dyDescent="0.2">
      <c r="B157" s="17" t="s">
        <v>10</v>
      </c>
      <c r="C157" s="16"/>
      <c r="D157" s="16"/>
      <c r="E157" s="16"/>
      <c r="F157" s="16" t="s">
        <v>11</v>
      </c>
    </row>
    <row r="158" spans="1:7" ht="14.25" thickBot="1" x14ac:dyDescent="0.2">
      <c r="F158">
        <v>598</v>
      </c>
    </row>
    <row r="159" spans="1:7" ht="14.25" thickBot="1" x14ac:dyDescent="0.2">
      <c r="B159" s="15"/>
      <c r="C159" s="24"/>
      <c r="D159" s="24"/>
      <c r="E159" s="24"/>
      <c r="F159" s="25"/>
    </row>
    <row r="160" spans="1:7" ht="14.25" thickBot="1" x14ac:dyDescent="0.2">
      <c r="A160" s="1"/>
      <c r="B160" s="14"/>
      <c r="C160" s="34" t="s">
        <v>7</v>
      </c>
      <c r="D160" s="35" t="s">
        <v>6</v>
      </c>
      <c r="E160" s="48" t="s">
        <v>9</v>
      </c>
      <c r="F160" s="5" t="s">
        <v>0</v>
      </c>
    </row>
    <row r="161" spans="2:7" x14ac:dyDescent="0.15">
      <c r="B161" s="21" t="s">
        <v>3</v>
      </c>
      <c r="C161" s="36">
        <f>C155</f>
        <v>4</v>
      </c>
      <c r="D161" s="32">
        <f t="shared" ref="D161" si="5">D155</f>
        <v>8</v>
      </c>
      <c r="E161" s="49">
        <f>E155</f>
        <v>4</v>
      </c>
      <c r="F161" s="56">
        <f t="shared" ref="F161:F194" si="6">E161+D161+C161</f>
        <v>16</v>
      </c>
    </row>
    <row r="162" spans="2:7" x14ac:dyDescent="0.15">
      <c r="B162" s="12" t="s">
        <v>4</v>
      </c>
      <c r="C162" s="37">
        <v>15</v>
      </c>
      <c r="D162" s="31">
        <v>15</v>
      </c>
      <c r="E162" s="50">
        <v>10</v>
      </c>
      <c r="F162" s="8">
        <f t="shared" si="6"/>
        <v>40</v>
      </c>
      <c r="G162" s="9">
        <v>44767</v>
      </c>
    </row>
    <row r="163" spans="2:7" x14ac:dyDescent="0.15">
      <c r="B163" s="22" t="s">
        <v>4</v>
      </c>
      <c r="C163" s="37">
        <v>-1</v>
      </c>
      <c r="D163" s="31"/>
      <c r="E163" s="50">
        <v>-1</v>
      </c>
      <c r="F163" s="8">
        <f t="shared" si="6"/>
        <v>-2</v>
      </c>
      <c r="G163" s="23">
        <v>44799</v>
      </c>
    </row>
    <row r="164" spans="2:7" x14ac:dyDescent="0.15">
      <c r="B164" s="12" t="s">
        <v>4</v>
      </c>
      <c r="C164" s="37"/>
      <c r="D164" s="31"/>
      <c r="E164" s="50">
        <v>5</v>
      </c>
      <c r="F164" s="8">
        <f t="shared" si="6"/>
        <v>5</v>
      </c>
      <c r="G164" s="9">
        <v>44831</v>
      </c>
    </row>
    <row r="165" spans="2:7" x14ac:dyDescent="0.15">
      <c r="B165" s="12" t="s">
        <v>4</v>
      </c>
      <c r="C165" s="37">
        <v>5</v>
      </c>
      <c r="D165" s="31"/>
      <c r="E165" s="50"/>
      <c r="F165" s="8">
        <f t="shared" si="6"/>
        <v>5</v>
      </c>
      <c r="G165" s="9">
        <v>44944</v>
      </c>
    </row>
    <row r="166" spans="2:7" ht="14.25" thickBot="1" x14ac:dyDescent="0.2">
      <c r="B166" s="11" t="s">
        <v>4</v>
      </c>
      <c r="C166" s="39"/>
      <c r="D166" s="40"/>
      <c r="E166" s="51"/>
      <c r="F166" s="6">
        <f t="shared" si="6"/>
        <v>0</v>
      </c>
      <c r="G166" s="9"/>
    </row>
    <row r="167" spans="2:7" ht="14.25" thickBot="1" x14ac:dyDescent="0.2">
      <c r="B167" s="5" t="s">
        <v>1</v>
      </c>
      <c r="C167" s="43">
        <f>SUM(C161:C166)</f>
        <v>23</v>
      </c>
      <c r="D167" s="44">
        <f>SUM(D161:D166)</f>
        <v>23</v>
      </c>
      <c r="E167" s="52">
        <f>SUM(E161:E166)</f>
        <v>18</v>
      </c>
      <c r="F167" s="4">
        <f t="shared" si="6"/>
        <v>64</v>
      </c>
    </row>
    <row r="168" spans="2:7" x14ac:dyDescent="0.15">
      <c r="B168" s="7" t="s">
        <v>8</v>
      </c>
      <c r="C168" s="42">
        <v>1</v>
      </c>
      <c r="D168" s="33"/>
      <c r="E168" s="53">
        <v>2</v>
      </c>
      <c r="F168" s="55">
        <f t="shared" si="6"/>
        <v>3</v>
      </c>
      <c r="G168" s="9">
        <v>44754</v>
      </c>
    </row>
    <row r="169" spans="2:7" x14ac:dyDescent="0.15">
      <c r="B169" s="7" t="s">
        <v>8</v>
      </c>
      <c r="C169" s="37"/>
      <c r="D169" s="31">
        <v>1</v>
      </c>
      <c r="E169" s="50"/>
      <c r="F169" s="8">
        <f t="shared" si="6"/>
        <v>1</v>
      </c>
      <c r="G169" s="9">
        <v>44755</v>
      </c>
    </row>
    <row r="170" spans="2:7" x14ac:dyDescent="0.15">
      <c r="B170" s="7" t="s">
        <v>8</v>
      </c>
      <c r="C170" s="37"/>
      <c r="D170" s="31"/>
      <c r="E170" s="50">
        <v>1</v>
      </c>
      <c r="F170" s="8">
        <f t="shared" si="6"/>
        <v>1</v>
      </c>
      <c r="G170" s="9">
        <v>44758</v>
      </c>
    </row>
    <row r="171" spans="2:7" x14ac:dyDescent="0.15">
      <c r="B171" s="7" t="s">
        <v>8</v>
      </c>
      <c r="C171" s="37">
        <v>1</v>
      </c>
      <c r="D171" s="31">
        <v>1</v>
      </c>
      <c r="E171" s="50"/>
      <c r="F171" s="8">
        <f t="shared" si="6"/>
        <v>2</v>
      </c>
      <c r="G171" s="9">
        <v>44761</v>
      </c>
    </row>
    <row r="172" spans="2:7" x14ac:dyDescent="0.15">
      <c r="B172" s="7" t="s">
        <v>8</v>
      </c>
      <c r="C172" s="37"/>
      <c r="D172" s="31">
        <v>1</v>
      </c>
      <c r="E172" s="50"/>
      <c r="F172" s="8">
        <f t="shared" si="6"/>
        <v>1</v>
      </c>
      <c r="G172" s="9">
        <v>44763</v>
      </c>
    </row>
    <row r="173" spans="2:7" x14ac:dyDescent="0.15">
      <c r="B173" s="7" t="s">
        <v>8</v>
      </c>
      <c r="C173" s="37"/>
      <c r="D173" s="31">
        <v>1</v>
      </c>
      <c r="E173" s="50"/>
      <c r="F173" s="8">
        <f t="shared" si="6"/>
        <v>1</v>
      </c>
      <c r="G173" s="9">
        <v>44764</v>
      </c>
    </row>
    <row r="174" spans="2:7" x14ac:dyDescent="0.15">
      <c r="B174" s="7" t="s">
        <v>8</v>
      </c>
      <c r="C174" s="37">
        <v>1</v>
      </c>
      <c r="D174" s="31">
        <v>1</v>
      </c>
      <c r="E174" s="50">
        <v>3</v>
      </c>
      <c r="F174" s="8">
        <f t="shared" si="6"/>
        <v>5</v>
      </c>
      <c r="G174" s="9">
        <v>44768</v>
      </c>
    </row>
    <row r="175" spans="2:7" x14ac:dyDescent="0.15">
      <c r="B175" s="7" t="s">
        <v>8</v>
      </c>
      <c r="C175" s="37">
        <v>2</v>
      </c>
      <c r="D175" s="31"/>
      <c r="E175" s="50"/>
      <c r="F175" s="8">
        <f t="shared" si="6"/>
        <v>2</v>
      </c>
      <c r="G175" s="9">
        <v>44775</v>
      </c>
    </row>
    <row r="176" spans="2:7" x14ac:dyDescent="0.15">
      <c r="B176" s="7" t="s">
        <v>8</v>
      </c>
      <c r="C176" s="37">
        <v>1</v>
      </c>
      <c r="D176" s="31">
        <v>1</v>
      </c>
      <c r="E176" s="50"/>
      <c r="F176" s="8">
        <f t="shared" si="6"/>
        <v>2</v>
      </c>
      <c r="G176" s="9">
        <v>44782</v>
      </c>
    </row>
    <row r="177" spans="2:7" x14ac:dyDescent="0.15">
      <c r="B177" s="7" t="s">
        <v>8</v>
      </c>
      <c r="C177" s="37">
        <v>1</v>
      </c>
      <c r="D177" s="31">
        <v>1</v>
      </c>
      <c r="E177" s="50">
        <v>1</v>
      </c>
      <c r="F177" s="8">
        <f t="shared" si="6"/>
        <v>3</v>
      </c>
      <c r="G177" s="9">
        <v>44795</v>
      </c>
    </row>
    <row r="178" spans="2:7" x14ac:dyDescent="0.15">
      <c r="B178" s="7" t="s">
        <v>8</v>
      </c>
      <c r="C178" s="37">
        <v>1</v>
      </c>
      <c r="D178" s="31">
        <v>1</v>
      </c>
      <c r="E178" s="50">
        <f>1+2</f>
        <v>3</v>
      </c>
      <c r="F178" s="8">
        <f t="shared" si="6"/>
        <v>5</v>
      </c>
      <c r="G178" s="9">
        <v>44809</v>
      </c>
    </row>
    <row r="179" spans="2:7" x14ac:dyDescent="0.15">
      <c r="B179" s="7" t="s">
        <v>8</v>
      </c>
      <c r="C179" s="37"/>
      <c r="D179" s="31">
        <v>1</v>
      </c>
      <c r="E179" s="50"/>
      <c r="F179" s="8">
        <f t="shared" si="6"/>
        <v>1</v>
      </c>
      <c r="G179" s="9">
        <v>44863</v>
      </c>
    </row>
    <row r="180" spans="2:7" x14ac:dyDescent="0.15">
      <c r="B180" s="7" t="s">
        <v>8</v>
      </c>
      <c r="C180" s="37"/>
      <c r="D180" s="31">
        <v>1</v>
      </c>
      <c r="E180" s="50"/>
      <c r="F180" s="8">
        <f t="shared" si="6"/>
        <v>1</v>
      </c>
      <c r="G180" s="9">
        <v>44869</v>
      </c>
    </row>
    <row r="181" spans="2:7" x14ac:dyDescent="0.15">
      <c r="B181" s="7" t="s">
        <v>8</v>
      </c>
      <c r="C181" s="37">
        <v>1</v>
      </c>
      <c r="D181" s="31"/>
      <c r="E181" s="50"/>
      <c r="F181" s="8">
        <f t="shared" si="6"/>
        <v>1</v>
      </c>
      <c r="G181" s="9">
        <v>44893</v>
      </c>
    </row>
    <row r="182" spans="2:7" x14ac:dyDescent="0.15">
      <c r="B182" s="7" t="s">
        <v>8</v>
      </c>
      <c r="C182" s="37"/>
      <c r="D182" s="31">
        <f>1+1</f>
        <v>2</v>
      </c>
      <c r="E182" s="50"/>
      <c r="F182" s="8">
        <f t="shared" si="6"/>
        <v>2</v>
      </c>
      <c r="G182" s="9">
        <v>44894</v>
      </c>
    </row>
    <row r="183" spans="2:7" x14ac:dyDescent="0.15">
      <c r="B183" s="7" t="s">
        <v>8</v>
      </c>
      <c r="C183" s="37">
        <v>1</v>
      </c>
      <c r="D183" s="31">
        <v>1</v>
      </c>
      <c r="E183" s="50">
        <v>1</v>
      </c>
      <c r="F183" s="8">
        <f t="shared" si="6"/>
        <v>3</v>
      </c>
      <c r="G183" s="9">
        <v>44902</v>
      </c>
    </row>
    <row r="184" spans="2:7" x14ac:dyDescent="0.15">
      <c r="B184" s="7" t="s">
        <v>8</v>
      </c>
      <c r="C184" s="37">
        <v>1</v>
      </c>
      <c r="D184" s="31"/>
      <c r="E184" s="50"/>
      <c r="F184" s="8">
        <f t="shared" si="6"/>
        <v>1</v>
      </c>
      <c r="G184" s="9">
        <v>44914</v>
      </c>
    </row>
    <row r="185" spans="2:7" x14ac:dyDescent="0.15">
      <c r="B185" s="7" t="s">
        <v>8</v>
      </c>
      <c r="C185" s="37"/>
      <c r="D185" s="31">
        <v>1</v>
      </c>
      <c r="E185" s="50"/>
      <c r="F185" s="8">
        <f t="shared" si="6"/>
        <v>1</v>
      </c>
      <c r="G185" s="9">
        <v>44916</v>
      </c>
    </row>
    <row r="186" spans="2:7" x14ac:dyDescent="0.15">
      <c r="B186" s="7" t="s">
        <v>8</v>
      </c>
      <c r="C186" s="37">
        <v>5</v>
      </c>
      <c r="D186" s="31"/>
      <c r="E186" s="50"/>
      <c r="F186" s="8">
        <f t="shared" si="6"/>
        <v>5</v>
      </c>
      <c r="G186" s="9">
        <v>44942</v>
      </c>
    </row>
    <row r="187" spans="2:7" x14ac:dyDescent="0.15">
      <c r="B187" s="7" t="s">
        <v>8</v>
      </c>
      <c r="C187" s="37"/>
      <c r="D187" s="31"/>
      <c r="E187" s="50">
        <v>1</v>
      </c>
      <c r="F187" s="8">
        <f t="shared" si="6"/>
        <v>1</v>
      </c>
      <c r="G187" s="9">
        <v>44951</v>
      </c>
    </row>
    <row r="188" spans="2:7" x14ac:dyDescent="0.15">
      <c r="B188" s="7" t="s">
        <v>8</v>
      </c>
      <c r="C188" s="37"/>
      <c r="D188" s="31">
        <v>1</v>
      </c>
      <c r="E188" s="50"/>
      <c r="F188" s="8">
        <f t="shared" si="6"/>
        <v>1</v>
      </c>
      <c r="G188" s="9">
        <v>44958</v>
      </c>
    </row>
    <row r="189" spans="2:7" x14ac:dyDescent="0.15">
      <c r="B189" s="7" t="s">
        <v>8</v>
      </c>
      <c r="C189" s="37">
        <v>1</v>
      </c>
      <c r="D189" s="31">
        <v>1</v>
      </c>
      <c r="E189" s="50"/>
      <c r="F189" s="8">
        <f t="shared" si="6"/>
        <v>2</v>
      </c>
      <c r="G189" s="9">
        <v>44960</v>
      </c>
    </row>
    <row r="190" spans="2:7" x14ac:dyDescent="0.15">
      <c r="B190" s="7" t="s">
        <v>8</v>
      </c>
      <c r="C190" s="37"/>
      <c r="D190" s="31">
        <v>1</v>
      </c>
      <c r="E190" s="50">
        <v>2</v>
      </c>
      <c r="F190" s="8">
        <f t="shared" si="6"/>
        <v>3</v>
      </c>
      <c r="G190" s="9">
        <v>44967</v>
      </c>
    </row>
    <row r="191" spans="2:7" x14ac:dyDescent="0.15">
      <c r="B191" s="7" t="s">
        <v>8</v>
      </c>
      <c r="C191" s="37">
        <v>3</v>
      </c>
      <c r="D191" s="31">
        <v>1</v>
      </c>
      <c r="E191" s="50"/>
      <c r="F191" s="8">
        <f t="shared" si="6"/>
        <v>4</v>
      </c>
      <c r="G191" s="9">
        <v>44972</v>
      </c>
    </row>
    <row r="192" spans="2:7" ht="14.25" thickBot="1" x14ac:dyDescent="0.2">
      <c r="B192" s="7" t="s">
        <v>13</v>
      </c>
      <c r="C192" s="39"/>
      <c r="D192" s="40">
        <v>1</v>
      </c>
      <c r="E192" s="51"/>
      <c r="F192" s="6">
        <f t="shared" si="6"/>
        <v>1</v>
      </c>
      <c r="G192" s="9">
        <v>44984</v>
      </c>
    </row>
    <row r="193" spans="1:7" ht="14.25" thickBot="1" x14ac:dyDescent="0.2">
      <c r="B193" s="5" t="s">
        <v>2</v>
      </c>
      <c r="C193" s="43">
        <f>SUM(C168:C192)</f>
        <v>20</v>
      </c>
      <c r="D193" s="44">
        <f>SUM(D168:D192)</f>
        <v>19</v>
      </c>
      <c r="E193" s="52">
        <f>SUM(E168:E192)</f>
        <v>14</v>
      </c>
      <c r="F193" s="4">
        <f t="shared" si="6"/>
        <v>53</v>
      </c>
    </row>
    <row r="194" spans="1:7" ht="14.25" thickBot="1" x14ac:dyDescent="0.2">
      <c r="B194" s="3" t="s">
        <v>3</v>
      </c>
      <c r="C194" s="46">
        <f>+C167-C193</f>
        <v>3</v>
      </c>
      <c r="D194" s="47">
        <f>+D167-D193</f>
        <v>4</v>
      </c>
      <c r="E194" s="54">
        <f>+E167-E193</f>
        <v>4</v>
      </c>
      <c r="F194" s="2">
        <f t="shared" si="6"/>
        <v>11</v>
      </c>
    </row>
    <row r="196" spans="1:7" ht="18.75" x14ac:dyDescent="0.2">
      <c r="B196" s="17" t="s">
        <v>10</v>
      </c>
      <c r="C196" s="16"/>
      <c r="D196" s="16"/>
      <c r="E196" s="16"/>
      <c r="F196" s="16" t="s">
        <v>11</v>
      </c>
    </row>
    <row r="197" spans="1:7" ht="14.25" thickBot="1" x14ac:dyDescent="0.2">
      <c r="F197">
        <v>598</v>
      </c>
    </row>
    <row r="198" spans="1:7" ht="14.25" thickBot="1" x14ac:dyDescent="0.2">
      <c r="B198" s="15"/>
      <c r="C198" s="24"/>
      <c r="D198" s="24"/>
      <c r="E198" s="24"/>
      <c r="F198" s="25"/>
    </row>
    <row r="199" spans="1:7" ht="14.25" thickBot="1" x14ac:dyDescent="0.2">
      <c r="A199" s="1"/>
      <c r="B199" s="14"/>
      <c r="C199" s="34" t="s">
        <v>7</v>
      </c>
      <c r="D199" s="35" t="s">
        <v>6</v>
      </c>
      <c r="E199" s="48" t="s">
        <v>9</v>
      </c>
      <c r="F199" s="5" t="s">
        <v>0</v>
      </c>
    </row>
    <row r="200" spans="1:7" x14ac:dyDescent="0.15">
      <c r="B200" s="21" t="s">
        <v>3</v>
      </c>
      <c r="C200" s="36">
        <f>C194</f>
        <v>3</v>
      </c>
      <c r="D200" s="32">
        <f t="shared" ref="D200" si="7">D194</f>
        <v>4</v>
      </c>
      <c r="E200" s="49">
        <f>E194</f>
        <v>4</v>
      </c>
      <c r="F200" s="56">
        <f t="shared" ref="F200:F233" si="8">E200+D200+C200</f>
        <v>11</v>
      </c>
    </row>
    <row r="201" spans="1:7" x14ac:dyDescent="0.15">
      <c r="B201" s="12" t="s">
        <v>4</v>
      </c>
      <c r="C201" s="37">
        <v>5</v>
      </c>
      <c r="D201" s="31">
        <v>5</v>
      </c>
      <c r="E201" s="50">
        <v>3</v>
      </c>
      <c r="F201" s="8">
        <f t="shared" si="8"/>
        <v>13</v>
      </c>
      <c r="G201" s="9">
        <v>45017</v>
      </c>
    </row>
    <row r="202" spans="1:7" x14ac:dyDescent="0.15">
      <c r="B202" s="12" t="s">
        <v>4</v>
      </c>
      <c r="C202" s="37">
        <v>10</v>
      </c>
      <c r="D202" s="31">
        <v>10</v>
      </c>
      <c r="E202" s="50">
        <v>5</v>
      </c>
      <c r="F202" s="8">
        <f t="shared" si="8"/>
        <v>25</v>
      </c>
      <c r="G202" s="9">
        <v>45059</v>
      </c>
    </row>
    <row r="203" spans="1:7" x14ac:dyDescent="0.15">
      <c r="B203" s="12" t="s">
        <v>4</v>
      </c>
      <c r="C203" s="37"/>
      <c r="D203" s="31"/>
      <c r="E203" s="50">
        <v>5</v>
      </c>
      <c r="F203" s="8">
        <f t="shared" si="8"/>
        <v>5</v>
      </c>
      <c r="G203" s="9">
        <v>45106</v>
      </c>
    </row>
    <row r="204" spans="1:7" x14ac:dyDescent="0.15">
      <c r="B204" s="12" t="s">
        <v>4</v>
      </c>
      <c r="C204" s="37"/>
      <c r="D204" s="31"/>
      <c r="E204" s="50"/>
      <c r="F204" s="8">
        <f t="shared" si="8"/>
        <v>0</v>
      </c>
      <c r="G204" s="9"/>
    </row>
    <row r="205" spans="1:7" ht="14.25" thickBot="1" x14ac:dyDescent="0.2">
      <c r="B205" s="11" t="s">
        <v>4</v>
      </c>
      <c r="C205" s="39"/>
      <c r="D205" s="40"/>
      <c r="E205" s="51"/>
      <c r="F205" s="6">
        <f t="shared" si="8"/>
        <v>0</v>
      </c>
      <c r="G205" s="9"/>
    </row>
    <row r="206" spans="1:7" ht="14.25" thickBot="1" x14ac:dyDescent="0.2">
      <c r="B206" s="5" t="s">
        <v>1</v>
      </c>
      <c r="C206" s="43">
        <f>SUM(C200:C205)</f>
        <v>18</v>
      </c>
      <c r="D206" s="44">
        <f>SUM(D200:D205)</f>
        <v>19</v>
      </c>
      <c r="E206" s="52">
        <f>SUM(E200:E205)</f>
        <v>17</v>
      </c>
      <c r="F206" s="4">
        <f t="shared" si="8"/>
        <v>54</v>
      </c>
    </row>
    <row r="207" spans="1:7" x14ac:dyDescent="0.15">
      <c r="B207" s="7" t="s">
        <v>8</v>
      </c>
      <c r="C207" s="42">
        <v>1</v>
      </c>
      <c r="D207" s="33"/>
      <c r="E207" s="53"/>
      <c r="F207" s="55">
        <f t="shared" si="8"/>
        <v>1</v>
      </c>
      <c r="G207" s="9">
        <v>44985</v>
      </c>
    </row>
    <row r="208" spans="1:7" x14ac:dyDescent="0.15">
      <c r="B208" s="7" t="s">
        <v>8</v>
      </c>
      <c r="C208" s="37"/>
      <c r="D208" s="31"/>
      <c r="E208" s="50">
        <v>1</v>
      </c>
      <c r="F208" s="8">
        <f t="shared" si="8"/>
        <v>1</v>
      </c>
      <c r="G208" s="9">
        <v>44992</v>
      </c>
    </row>
    <row r="209" spans="2:7" x14ac:dyDescent="0.15">
      <c r="B209" s="7" t="s">
        <v>8</v>
      </c>
      <c r="C209" s="37">
        <v>1</v>
      </c>
      <c r="D209" s="31">
        <v>3</v>
      </c>
      <c r="E209" s="50"/>
      <c r="F209" s="8">
        <f t="shared" si="8"/>
        <v>4</v>
      </c>
      <c r="G209" s="9">
        <v>45012</v>
      </c>
    </row>
    <row r="210" spans="2:7" x14ac:dyDescent="0.15">
      <c r="B210" s="7" t="s">
        <v>8</v>
      </c>
      <c r="C210" s="37">
        <v>1</v>
      </c>
      <c r="D210" s="31"/>
      <c r="E210" s="50"/>
      <c r="F210" s="8">
        <f t="shared" si="8"/>
        <v>1</v>
      </c>
      <c r="G210" s="9">
        <v>45013</v>
      </c>
    </row>
    <row r="211" spans="2:7" x14ac:dyDescent="0.15">
      <c r="B211" s="7" t="s">
        <v>8</v>
      </c>
      <c r="C211" s="37"/>
      <c r="D211" s="31"/>
      <c r="E211" s="50">
        <v>1</v>
      </c>
      <c r="F211" s="8">
        <f t="shared" si="8"/>
        <v>1</v>
      </c>
      <c r="G211" s="9">
        <v>45017</v>
      </c>
    </row>
    <row r="212" spans="2:7" x14ac:dyDescent="0.15">
      <c r="B212" s="7" t="s">
        <v>8</v>
      </c>
      <c r="C212" s="37"/>
      <c r="D212" s="31">
        <v>3</v>
      </c>
      <c r="E212" s="50"/>
      <c r="F212" s="8">
        <f t="shared" si="8"/>
        <v>3</v>
      </c>
      <c r="G212" s="9">
        <v>45019</v>
      </c>
    </row>
    <row r="213" spans="2:7" x14ac:dyDescent="0.15">
      <c r="B213" s="7" t="s">
        <v>8</v>
      </c>
      <c r="C213" s="37"/>
      <c r="D213" s="31">
        <v>1</v>
      </c>
      <c r="E213" s="50"/>
      <c r="F213" s="8">
        <f t="shared" si="8"/>
        <v>1</v>
      </c>
      <c r="G213" s="9">
        <v>45021</v>
      </c>
    </row>
    <row r="214" spans="2:7" x14ac:dyDescent="0.15">
      <c r="B214" s="7" t="s">
        <v>8</v>
      </c>
      <c r="C214" s="37">
        <v>1</v>
      </c>
      <c r="D214" s="31"/>
      <c r="E214" s="50"/>
      <c r="F214" s="8">
        <f t="shared" si="8"/>
        <v>1</v>
      </c>
      <c r="G214" s="9">
        <v>45027</v>
      </c>
    </row>
    <row r="215" spans="2:7" x14ac:dyDescent="0.15">
      <c r="B215" s="7" t="s">
        <v>8</v>
      </c>
      <c r="C215" s="37">
        <v>1</v>
      </c>
      <c r="D215" s="31"/>
      <c r="E215" s="50">
        <v>1</v>
      </c>
      <c r="F215" s="8">
        <f t="shared" si="8"/>
        <v>2</v>
      </c>
      <c r="G215" s="9">
        <v>45040</v>
      </c>
    </row>
    <row r="216" spans="2:7" x14ac:dyDescent="0.15">
      <c r="B216" s="7" t="s">
        <v>8</v>
      </c>
      <c r="C216" s="37"/>
      <c r="D216" s="31"/>
      <c r="E216" s="50">
        <v>1</v>
      </c>
      <c r="F216" s="8">
        <f t="shared" si="8"/>
        <v>1</v>
      </c>
      <c r="G216" s="9">
        <v>45041</v>
      </c>
    </row>
    <row r="217" spans="2:7" x14ac:dyDescent="0.15">
      <c r="B217" s="7" t="s">
        <v>8</v>
      </c>
      <c r="C217" s="37">
        <v>1</v>
      </c>
      <c r="D217" s="31">
        <v>1</v>
      </c>
      <c r="E217" s="50">
        <v>1</v>
      </c>
      <c r="F217" s="8">
        <f t="shared" si="8"/>
        <v>3</v>
      </c>
      <c r="G217" s="9">
        <v>45042</v>
      </c>
    </row>
    <row r="218" spans="2:7" x14ac:dyDescent="0.15">
      <c r="B218" s="7" t="s">
        <v>8</v>
      </c>
      <c r="C218" s="37"/>
      <c r="D218" s="31">
        <v>1</v>
      </c>
      <c r="E218" s="50"/>
      <c r="F218" s="8">
        <f t="shared" si="8"/>
        <v>1</v>
      </c>
      <c r="G218" s="9">
        <v>45047</v>
      </c>
    </row>
    <row r="219" spans="2:7" x14ac:dyDescent="0.15">
      <c r="B219" s="7" t="s">
        <v>8</v>
      </c>
      <c r="C219" s="37">
        <v>1</v>
      </c>
      <c r="D219" s="31"/>
      <c r="E219" s="50"/>
      <c r="F219" s="8">
        <f t="shared" si="8"/>
        <v>1</v>
      </c>
      <c r="G219" s="9">
        <v>45048</v>
      </c>
    </row>
    <row r="220" spans="2:7" x14ac:dyDescent="0.15">
      <c r="B220" s="7" t="s">
        <v>8</v>
      </c>
      <c r="C220" s="37">
        <v>1</v>
      </c>
      <c r="D220" s="31"/>
      <c r="E220" s="50"/>
      <c r="F220" s="8">
        <f t="shared" si="8"/>
        <v>1</v>
      </c>
      <c r="G220" s="9">
        <v>45054</v>
      </c>
    </row>
    <row r="221" spans="2:7" x14ac:dyDescent="0.15">
      <c r="B221" s="7" t="s">
        <v>8</v>
      </c>
      <c r="C221" s="37"/>
      <c r="D221" s="31">
        <v>1</v>
      </c>
      <c r="E221" s="50"/>
      <c r="F221" s="8">
        <f t="shared" si="8"/>
        <v>1</v>
      </c>
      <c r="G221" s="9">
        <v>45061</v>
      </c>
    </row>
    <row r="222" spans="2:7" x14ac:dyDescent="0.15">
      <c r="B222" s="7" t="s">
        <v>8</v>
      </c>
      <c r="C222" s="37"/>
      <c r="D222" s="31"/>
      <c r="E222" s="50">
        <v>1</v>
      </c>
      <c r="F222" s="8">
        <f t="shared" si="8"/>
        <v>1</v>
      </c>
      <c r="G222" s="9">
        <v>45062</v>
      </c>
    </row>
    <row r="223" spans="2:7" x14ac:dyDescent="0.15">
      <c r="B223" s="7" t="s">
        <v>8</v>
      </c>
      <c r="C223" s="37"/>
      <c r="D223" s="31">
        <v>1</v>
      </c>
      <c r="E223" s="50"/>
      <c r="F223" s="8">
        <f t="shared" si="8"/>
        <v>1</v>
      </c>
      <c r="G223" s="9">
        <v>45078</v>
      </c>
    </row>
    <row r="224" spans="2:7" x14ac:dyDescent="0.15">
      <c r="B224" s="7" t="s">
        <v>8</v>
      </c>
      <c r="C224" s="37">
        <v>1</v>
      </c>
      <c r="D224" s="31"/>
      <c r="E224" s="50"/>
      <c r="F224" s="8">
        <f t="shared" si="8"/>
        <v>1</v>
      </c>
      <c r="G224" s="9">
        <v>45096</v>
      </c>
    </row>
    <row r="225" spans="1:7" x14ac:dyDescent="0.15">
      <c r="B225" s="7" t="s">
        <v>8</v>
      </c>
      <c r="C225" s="37"/>
      <c r="D225" s="31">
        <f>1+1</f>
        <v>2</v>
      </c>
      <c r="E225" s="50">
        <f>1+1</f>
        <v>2</v>
      </c>
      <c r="F225" s="8">
        <f t="shared" si="8"/>
        <v>4</v>
      </c>
      <c r="G225" s="9">
        <v>45098</v>
      </c>
    </row>
    <row r="226" spans="1:7" x14ac:dyDescent="0.15">
      <c r="B226" s="7" t="s">
        <v>8</v>
      </c>
      <c r="C226" s="37">
        <v>1</v>
      </c>
      <c r="D226" s="31"/>
      <c r="E226" s="50">
        <v>1</v>
      </c>
      <c r="F226" s="8">
        <f t="shared" si="8"/>
        <v>2</v>
      </c>
      <c r="G226" s="9">
        <v>45100</v>
      </c>
    </row>
    <row r="227" spans="1:7" x14ac:dyDescent="0.15">
      <c r="B227" s="7" t="s">
        <v>8</v>
      </c>
      <c r="C227" s="37">
        <v>1</v>
      </c>
      <c r="D227" s="31"/>
      <c r="E227" s="50">
        <v>1</v>
      </c>
      <c r="F227" s="8">
        <f t="shared" si="8"/>
        <v>2</v>
      </c>
      <c r="G227" s="9">
        <v>45103</v>
      </c>
    </row>
    <row r="228" spans="1:7" x14ac:dyDescent="0.15">
      <c r="B228" s="7" t="s">
        <v>8</v>
      </c>
      <c r="C228" s="37">
        <v>1</v>
      </c>
      <c r="D228" s="31">
        <v>1</v>
      </c>
      <c r="E228" s="50">
        <v>1</v>
      </c>
      <c r="F228" s="8">
        <f t="shared" si="8"/>
        <v>3</v>
      </c>
      <c r="G228" s="9">
        <v>45106</v>
      </c>
    </row>
    <row r="229" spans="1:7" x14ac:dyDescent="0.15">
      <c r="B229" s="7" t="s">
        <v>8</v>
      </c>
      <c r="C229" s="37">
        <v>2</v>
      </c>
      <c r="D229" s="31">
        <v>1</v>
      </c>
      <c r="E229" s="50">
        <v>1</v>
      </c>
      <c r="F229" s="8">
        <f t="shared" si="8"/>
        <v>4</v>
      </c>
      <c r="G229" s="9">
        <v>45110</v>
      </c>
    </row>
    <row r="230" spans="1:7" x14ac:dyDescent="0.15">
      <c r="B230" s="7" t="s">
        <v>8</v>
      </c>
      <c r="C230" s="37">
        <v>1</v>
      </c>
      <c r="D230" s="31">
        <v>1</v>
      </c>
      <c r="E230" s="50">
        <v>1</v>
      </c>
      <c r="F230" s="8">
        <f t="shared" si="8"/>
        <v>3</v>
      </c>
      <c r="G230" s="9">
        <v>45113</v>
      </c>
    </row>
    <row r="231" spans="1:7" ht="14.25" thickBot="1" x14ac:dyDescent="0.2">
      <c r="B231" s="7" t="s">
        <v>8</v>
      </c>
      <c r="C231" s="39">
        <v>1</v>
      </c>
      <c r="D231" s="40"/>
      <c r="E231" s="51">
        <v>1</v>
      </c>
      <c r="F231" s="6">
        <f t="shared" si="8"/>
        <v>2</v>
      </c>
      <c r="G231" s="9">
        <v>45117</v>
      </c>
    </row>
    <row r="232" spans="1:7" ht="14.25" thickBot="1" x14ac:dyDescent="0.2">
      <c r="B232" s="5" t="s">
        <v>2</v>
      </c>
      <c r="C232" s="43">
        <f>SUM(C207:C231)</f>
        <v>16</v>
      </c>
      <c r="D232" s="44">
        <f>SUM(D207:D231)</f>
        <v>16</v>
      </c>
      <c r="E232" s="52">
        <f>SUM(E207:E231)</f>
        <v>14</v>
      </c>
      <c r="F232" s="4">
        <f t="shared" si="8"/>
        <v>46</v>
      </c>
    </row>
    <row r="233" spans="1:7" ht="14.25" thickBot="1" x14ac:dyDescent="0.2">
      <c r="B233" s="3" t="s">
        <v>3</v>
      </c>
      <c r="C233" s="46">
        <f>+C206-C232</f>
        <v>2</v>
      </c>
      <c r="D233" s="47">
        <f>+D206-D232</f>
        <v>3</v>
      </c>
      <c r="E233" s="54">
        <f>+E206-E232</f>
        <v>3</v>
      </c>
      <c r="F233" s="2">
        <f t="shared" si="8"/>
        <v>8</v>
      </c>
    </row>
    <row r="235" spans="1:7" ht="18.75" x14ac:dyDescent="0.2">
      <c r="B235" s="17" t="s">
        <v>10</v>
      </c>
      <c r="C235" s="16"/>
      <c r="D235" s="16"/>
      <c r="E235" s="16"/>
      <c r="F235" s="16" t="s">
        <v>11</v>
      </c>
    </row>
    <row r="236" spans="1:7" ht="14.25" thickBot="1" x14ac:dyDescent="0.2">
      <c r="F236">
        <v>598</v>
      </c>
    </row>
    <row r="237" spans="1:7" ht="14.25" thickBot="1" x14ac:dyDescent="0.2">
      <c r="B237" s="15"/>
      <c r="C237" s="24"/>
      <c r="D237" s="24"/>
      <c r="E237" s="24"/>
      <c r="F237" s="25"/>
    </row>
    <row r="238" spans="1:7" ht="14.25" thickBot="1" x14ac:dyDescent="0.2">
      <c r="A238" s="1"/>
      <c r="B238" s="14"/>
      <c r="C238" s="34" t="s">
        <v>7</v>
      </c>
      <c r="D238" s="35" t="s">
        <v>6</v>
      </c>
      <c r="E238" s="48" t="s">
        <v>9</v>
      </c>
      <c r="F238" s="5" t="s">
        <v>0</v>
      </c>
    </row>
    <row r="239" spans="1:7" x14ac:dyDescent="0.15">
      <c r="B239" s="21" t="s">
        <v>3</v>
      </c>
      <c r="C239" s="36">
        <f>C233</f>
        <v>2</v>
      </c>
      <c r="D239" s="32">
        <f t="shared" ref="D239" si="9">D233</f>
        <v>3</v>
      </c>
      <c r="E239" s="49">
        <f>E233</f>
        <v>3</v>
      </c>
      <c r="F239" s="56">
        <f t="shared" ref="F239:F272" si="10">E239+D239+C239</f>
        <v>8</v>
      </c>
    </row>
    <row r="240" spans="1:7" x14ac:dyDescent="0.15">
      <c r="B240" s="12" t="s">
        <v>4</v>
      </c>
      <c r="C240" s="37">
        <v>5</v>
      </c>
      <c r="D240" s="31">
        <v>5</v>
      </c>
      <c r="E240" s="50">
        <v>5</v>
      </c>
      <c r="F240" s="8">
        <f t="shared" si="10"/>
        <v>15</v>
      </c>
      <c r="G240" s="9">
        <v>45118</v>
      </c>
    </row>
    <row r="241" spans="2:7" x14ac:dyDescent="0.15">
      <c r="B241" s="12" t="s">
        <v>4</v>
      </c>
      <c r="C241" s="37">
        <v>5</v>
      </c>
      <c r="D241" s="31">
        <v>5</v>
      </c>
      <c r="E241" s="50">
        <v>5</v>
      </c>
      <c r="F241" s="8">
        <f t="shared" si="10"/>
        <v>15</v>
      </c>
      <c r="G241" s="9">
        <v>45127</v>
      </c>
    </row>
    <row r="242" spans="2:7" x14ac:dyDescent="0.15">
      <c r="B242" s="12" t="s">
        <v>14</v>
      </c>
      <c r="C242" s="37">
        <v>-1</v>
      </c>
      <c r="D242" s="31"/>
      <c r="E242" s="50">
        <v>-1</v>
      </c>
      <c r="F242" s="8">
        <f t="shared" si="10"/>
        <v>-2</v>
      </c>
      <c r="G242" s="9">
        <v>45146</v>
      </c>
    </row>
    <row r="243" spans="2:7" x14ac:dyDescent="0.15">
      <c r="B243" s="12" t="s">
        <v>4</v>
      </c>
      <c r="C243" s="37">
        <v>5</v>
      </c>
      <c r="D243" s="31">
        <v>5</v>
      </c>
      <c r="E243" s="50"/>
      <c r="F243" s="8">
        <f t="shared" si="10"/>
        <v>10</v>
      </c>
      <c r="G243" s="9">
        <v>45155</v>
      </c>
    </row>
    <row r="244" spans="2:7" ht="14.25" thickBot="1" x14ac:dyDescent="0.2">
      <c r="B244" s="11" t="s">
        <v>4</v>
      </c>
      <c r="C244" s="39">
        <v>3</v>
      </c>
      <c r="D244" s="40">
        <v>10</v>
      </c>
      <c r="E244" s="51">
        <v>3</v>
      </c>
      <c r="F244" s="6">
        <f t="shared" si="10"/>
        <v>16</v>
      </c>
      <c r="G244" s="9">
        <v>45171</v>
      </c>
    </row>
    <row r="245" spans="2:7" ht="14.25" thickBot="1" x14ac:dyDescent="0.2">
      <c r="B245" s="5" t="s">
        <v>1</v>
      </c>
      <c r="C245" s="43">
        <f>SUM(C239:C244)</f>
        <v>19</v>
      </c>
      <c r="D245" s="44">
        <f>SUM(D239:D244)</f>
        <v>28</v>
      </c>
      <c r="E245" s="52">
        <f>SUM(E239:E244)</f>
        <v>15</v>
      </c>
      <c r="F245" s="4">
        <f t="shared" si="10"/>
        <v>62</v>
      </c>
    </row>
    <row r="246" spans="2:7" x14ac:dyDescent="0.15">
      <c r="B246" s="7" t="s">
        <v>8</v>
      </c>
      <c r="C246" s="42"/>
      <c r="D246" s="33">
        <v>1</v>
      </c>
      <c r="E246" s="53"/>
      <c r="F246" s="55">
        <f t="shared" si="10"/>
        <v>1</v>
      </c>
      <c r="G246" s="9">
        <v>45117</v>
      </c>
    </row>
    <row r="247" spans="2:7" x14ac:dyDescent="0.15">
      <c r="B247" s="7" t="s">
        <v>8</v>
      </c>
      <c r="C247" s="37">
        <f>1+1</f>
        <v>2</v>
      </c>
      <c r="D247" s="31"/>
      <c r="E247" s="50">
        <v>1</v>
      </c>
      <c r="F247" s="8">
        <f t="shared" si="10"/>
        <v>3</v>
      </c>
      <c r="G247" s="9">
        <v>45125</v>
      </c>
    </row>
    <row r="248" spans="2:7" x14ac:dyDescent="0.15">
      <c r="B248" s="7" t="s">
        <v>8</v>
      </c>
      <c r="C248" s="37">
        <v>2</v>
      </c>
      <c r="D248" s="31"/>
      <c r="E248" s="50"/>
      <c r="F248" s="8">
        <f t="shared" si="10"/>
        <v>2</v>
      </c>
      <c r="G248" s="9">
        <v>45131</v>
      </c>
    </row>
    <row r="249" spans="2:7" x14ac:dyDescent="0.15">
      <c r="B249" s="7" t="s">
        <v>8</v>
      </c>
      <c r="C249" s="37">
        <v>1</v>
      </c>
      <c r="D249" s="31"/>
      <c r="E249" s="50"/>
      <c r="F249" s="8">
        <f t="shared" si="10"/>
        <v>1</v>
      </c>
      <c r="G249" s="9">
        <v>45132</v>
      </c>
    </row>
    <row r="250" spans="2:7" x14ac:dyDescent="0.15">
      <c r="B250" s="7" t="s">
        <v>8</v>
      </c>
      <c r="C250" s="37"/>
      <c r="D250" s="31">
        <v>3</v>
      </c>
      <c r="E250" s="50"/>
      <c r="F250" s="8">
        <f t="shared" si="10"/>
        <v>3</v>
      </c>
      <c r="G250" s="9">
        <v>45138</v>
      </c>
    </row>
    <row r="251" spans="2:7" x14ac:dyDescent="0.15">
      <c r="B251" s="7" t="s">
        <v>8</v>
      </c>
      <c r="C251" s="37">
        <v>1</v>
      </c>
      <c r="D251" s="31">
        <v>2</v>
      </c>
      <c r="E251" s="50"/>
      <c r="F251" s="8">
        <f t="shared" si="10"/>
        <v>3</v>
      </c>
      <c r="G251" s="9">
        <v>45143</v>
      </c>
    </row>
    <row r="252" spans="2:7" x14ac:dyDescent="0.15">
      <c r="B252" s="7" t="s">
        <v>8</v>
      </c>
      <c r="C252" s="37"/>
      <c r="D252" s="31"/>
      <c r="E252" s="50">
        <v>1</v>
      </c>
      <c r="F252" s="8">
        <f t="shared" si="10"/>
        <v>1</v>
      </c>
      <c r="G252" s="9">
        <v>45147</v>
      </c>
    </row>
    <row r="253" spans="2:7" x14ac:dyDescent="0.15">
      <c r="B253" s="7" t="s">
        <v>8</v>
      </c>
      <c r="C253" s="37"/>
      <c r="D253" s="31">
        <f>1+1</f>
        <v>2</v>
      </c>
      <c r="E253" s="50">
        <v>1</v>
      </c>
      <c r="F253" s="8">
        <f t="shared" si="10"/>
        <v>3</v>
      </c>
      <c r="G253" s="9">
        <v>45148</v>
      </c>
    </row>
    <row r="254" spans="2:7" x14ac:dyDescent="0.15">
      <c r="B254" s="7" t="s">
        <v>8</v>
      </c>
      <c r="C254" s="37"/>
      <c r="D254" s="31">
        <v>1</v>
      </c>
      <c r="E254" s="50"/>
      <c r="F254" s="8">
        <f t="shared" si="10"/>
        <v>1</v>
      </c>
      <c r="G254" s="9">
        <v>45149</v>
      </c>
    </row>
    <row r="255" spans="2:7" x14ac:dyDescent="0.15">
      <c r="B255" s="7" t="s">
        <v>8</v>
      </c>
      <c r="C255" s="37"/>
      <c r="D255" s="31">
        <v>2</v>
      </c>
      <c r="E255" s="50"/>
      <c r="F255" s="8">
        <f t="shared" si="10"/>
        <v>2</v>
      </c>
      <c r="G255" s="9">
        <v>45154</v>
      </c>
    </row>
    <row r="256" spans="2:7" x14ac:dyDescent="0.15">
      <c r="B256" s="7" t="s">
        <v>8</v>
      </c>
      <c r="C256" s="37">
        <v>1</v>
      </c>
      <c r="D256" s="31">
        <v>1</v>
      </c>
      <c r="E256" s="50"/>
      <c r="F256" s="8">
        <f t="shared" si="10"/>
        <v>2</v>
      </c>
      <c r="G256" s="9">
        <v>45159</v>
      </c>
    </row>
    <row r="257" spans="2:7" x14ac:dyDescent="0.15">
      <c r="B257" s="7" t="s">
        <v>8</v>
      </c>
      <c r="C257" s="37"/>
      <c r="D257" s="31">
        <v>1</v>
      </c>
      <c r="E257" s="50">
        <v>2</v>
      </c>
      <c r="F257" s="8">
        <f t="shared" si="10"/>
        <v>3</v>
      </c>
      <c r="G257" s="9">
        <v>45166</v>
      </c>
    </row>
    <row r="258" spans="2:7" x14ac:dyDescent="0.15">
      <c r="B258" s="7" t="s">
        <v>8</v>
      </c>
      <c r="C258" s="37"/>
      <c r="D258" s="31">
        <v>1</v>
      </c>
      <c r="E258" s="50">
        <v>2</v>
      </c>
      <c r="F258" s="8">
        <f t="shared" si="10"/>
        <v>3</v>
      </c>
      <c r="G258" s="9">
        <v>45173</v>
      </c>
    </row>
    <row r="259" spans="2:7" x14ac:dyDescent="0.15">
      <c r="B259" s="7" t="s">
        <v>8</v>
      </c>
      <c r="C259" s="37"/>
      <c r="D259" s="31"/>
      <c r="E259" s="50">
        <v>1</v>
      </c>
      <c r="F259" s="8">
        <f t="shared" si="10"/>
        <v>1</v>
      </c>
      <c r="G259" s="9">
        <v>45180</v>
      </c>
    </row>
    <row r="260" spans="2:7" x14ac:dyDescent="0.15">
      <c r="B260" s="7"/>
      <c r="C260" s="37"/>
      <c r="D260" s="31"/>
      <c r="E260" s="50"/>
      <c r="F260" s="8">
        <f t="shared" si="10"/>
        <v>0</v>
      </c>
      <c r="G260" s="9"/>
    </row>
    <row r="261" spans="2:7" x14ac:dyDescent="0.15">
      <c r="B261" s="7"/>
      <c r="C261" s="37"/>
      <c r="D261" s="31"/>
      <c r="E261" s="50"/>
      <c r="F261" s="8">
        <f t="shared" si="10"/>
        <v>0</v>
      </c>
      <c r="G261" s="9"/>
    </row>
    <row r="262" spans="2:7" x14ac:dyDescent="0.15">
      <c r="B262" s="7"/>
      <c r="C262" s="37"/>
      <c r="D262" s="31"/>
      <c r="E262" s="50"/>
      <c r="F262" s="8">
        <f t="shared" si="10"/>
        <v>0</v>
      </c>
      <c r="G262" s="9"/>
    </row>
    <row r="263" spans="2:7" x14ac:dyDescent="0.15">
      <c r="B263" s="7"/>
      <c r="C263" s="37"/>
      <c r="D263" s="31"/>
      <c r="E263" s="50"/>
      <c r="F263" s="8">
        <f t="shared" si="10"/>
        <v>0</v>
      </c>
      <c r="G263" s="9"/>
    </row>
    <row r="264" spans="2:7" x14ac:dyDescent="0.15">
      <c r="B264" s="7"/>
      <c r="C264" s="37"/>
      <c r="D264" s="31"/>
      <c r="E264" s="50"/>
      <c r="F264" s="8">
        <f t="shared" si="10"/>
        <v>0</v>
      </c>
      <c r="G264" s="9"/>
    </row>
    <row r="265" spans="2:7" x14ac:dyDescent="0.15">
      <c r="B265" s="7"/>
      <c r="C265" s="37"/>
      <c r="D265" s="31"/>
      <c r="E265" s="50"/>
      <c r="F265" s="8">
        <f t="shared" si="10"/>
        <v>0</v>
      </c>
      <c r="G265" s="9"/>
    </row>
    <row r="266" spans="2:7" x14ac:dyDescent="0.15">
      <c r="B266" s="7"/>
      <c r="C266" s="37"/>
      <c r="D266" s="31"/>
      <c r="E266" s="50"/>
      <c r="F266" s="8">
        <f t="shared" si="10"/>
        <v>0</v>
      </c>
      <c r="G266" s="9"/>
    </row>
    <row r="267" spans="2:7" x14ac:dyDescent="0.15">
      <c r="B267" s="7"/>
      <c r="C267" s="37"/>
      <c r="D267" s="31"/>
      <c r="E267" s="50"/>
      <c r="F267" s="8">
        <f t="shared" si="10"/>
        <v>0</v>
      </c>
      <c r="G267" s="9"/>
    </row>
    <row r="268" spans="2:7" x14ac:dyDescent="0.15">
      <c r="B268" s="7"/>
      <c r="C268" s="37"/>
      <c r="D268" s="31"/>
      <c r="E268" s="50"/>
      <c r="F268" s="8">
        <f t="shared" si="10"/>
        <v>0</v>
      </c>
      <c r="G268" s="9"/>
    </row>
    <row r="269" spans="2:7" x14ac:dyDescent="0.15">
      <c r="B269" s="7"/>
      <c r="C269" s="37"/>
      <c r="D269" s="31"/>
      <c r="E269" s="50"/>
      <c r="F269" s="8">
        <f t="shared" si="10"/>
        <v>0</v>
      </c>
      <c r="G269" s="9"/>
    </row>
    <row r="270" spans="2:7" ht="14.25" thickBot="1" x14ac:dyDescent="0.2">
      <c r="B270" s="7"/>
      <c r="C270" s="39"/>
      <c r="D270" s="40"/>
      <c r="E270" s="51"/>
      <c r="F270" s="6">
        <f t="shared" si="10"/>
        <v>0</v>
      </c>
      <c r="G270" s="9"/>
    </row>
    <row r="271" spans="2:7" ht="14.25" thickBot="1" x14ac:dyDescent="0.2">
      <c r="B271" s="5" t="s">
        <v>2</v>
      </c>
      <c r="C271" s="43">
        <f>SUM(C246:C270)</f>
        <v>7</v>
      </c>
      <c r="D271" s="44">
        <f>SUM(D246:D270)</f>
        <v>14</v>
      </c>
      <c r="E271" s="52">
        <f>SUM(E246:E270)</f>
        <v>8</v>
      </c>
      <c r="F271" s="4">
        <f t="shared" si="10"/>
        <v>29</v>
      </c>
    </row>
    <row r="272" spans="2:7" ht="14.25" thickBot="1" x14ac:dyDescent="0.2">
      <c r="B272" s="3" t="s">
        <v>3</v>
      </c>
      <c r="C272" s="46">
        <f>+C245-C271</f>
        <v>12</v>
      </c>
      <c r="D272" s="47">
        <f>+D245-D271</f>
        <v>14</v>
      </c>
      <c r="E272" s="54">
        <f>+E245-E271</f>
        <v>7</v>
      </c>
      <c r="F272" s="2">
        <f t="shared" si="10"/>
        <v>33</v>
      </c>
    </row>
    <row r="274" spans="1:7" ht="18.75" x14ac:dyDescent="0.2">
      <c r="B274" s="17" t="s">
        <v>10</v>
      </c>
      <c r="C274" s="16"/>
      <c r="D274" s="16"/>
      <c r="E274" s="16"/>
      <c r="F274" s="16" t="s">
        <v>11</v>
      </c>
    </row>
    <row r="275" spans="1:7" ht="14.25" thickBot="1" x14ac:dyDescent="0.2">
      <c r="F275">
        <v>598</v>
      </c>
    </row>
    <row r="276" spans="1:7" ht="14.25" thickBot="1" x14ac:dyDescent="0.2">
      <c r="B276" s="15"/>
      <c r="C276" s="24"/>
      <c r="D276" s="24"/>
      <c r="E276" s="24"/>
      <c r="F276" s="25"/>
    </row>
    <row r="277" spans="1:7" ht="14.25" thickBot="1" x14ac:dyDescent="0.2">
      <c r="A277" s="1"/>
      <c r="B277" s="15"/>
      <c r="C277" s="34" t="s">
        <v>7</v>
      </c>
      <c r="D277" s="35" t="s">
        <v>6</v>
      </c>
      <c r="E277" s="48" t="s">
        <v>9</v>
      </c>
      <c r="F277" s="5" t="s">
        <v>0</v>
      </c>
    </row>
    <row r="278" spans="1:7" x14ac:dyDescent="0.15">
      <c r="B278" s="26" t="s">
        <v>3</v>
      </c>
      <c r="C278" s="36">
        <f>C272</f>
        <v>12</v>
      </c>
      <c r="D278" s="32">
        <f t="shared" ref="D278" si="11">D272</f>
        <v>14</v>
      </c>
      <c r="E278" s="49">
        <f>E272</f>
        <v>7</v>
      </c>
      <c r="F278" s="56">
        <f>E278+D278+C278</f>
        <v>33</v>
      </c>
    </row>
    <row r="279" spans="1:7" x14ac:dyDescent="0.15">
      <c r="B279" s="27" t="s">
        <v>4</v>
      </c>
      <c r="C279" s="37"/>
      <c r="D279" s="31"/>
      <c r="E279" s="50">
        <v>5</v>
      </c>
      <c r="F279" s="8">
        <f>E279+D279+C279</f>
        <v>5</v>
      </c>
      <c r="G279" s="9">
        <v>45191</v>
      </c>
    </row>
    <row r="280" spans="1:7" x14ac:dyDescent="0.15">
      <c r="B280" s="27" t="s">
        <v>4</v>
      </c>
      <c r="C280" s="37">
        <v>5</v>
      </c>
      <c r="D280" s="31">
        <v>5</v>
      </c>
      <c r="E280" s="50">
        <v>5</v>
      </c>
      <c r="F280" s="8">
        <f t="shared" ref="F280:F311" si="12">E280+D280+C280</f>
        <v>15</v>
      </c>
      <c r="G280" s="9">
        <v>45206</v>
      </c>
    </row>
    <row r="281" spans="1:7" x14ac:dyDescent="0.15">
      <c r="B281" s="27" t="s">
        <v>4</v>
      </c>
      <c r="C281" s="37">
        <v>3</v>
      </c>
      <c r="D281" s="31"/>
      <c r="E281" s="50"/>
      <c r="F281" s="8">
        <f t="shared" si="12"/>
        <v>3</v>
      </c>
      <c r="G281" s="9">
        <v>45390</v>
      </c>
    </row>
    <row r="282" spans="1:7" x14ac:dyDescent="0.15">
      <c r="B282" s="27" t="s">
        <v>4</v>
      </c>
      <c r="C282" s="37"/>
      <c r="D282" s="31"/>
      <c r="E282" s="50"/>
      <c r="F282" s="8">
        <f t="shared" si="12"/>
        <v>0</v>
      </c>
      <c r="G282" s="9"/>
    </row>
    <row r="283" spans="1:7" ht="14.25" thickBot="1" x14ac:dyDescent="0.2">
      <c r="B283" s="38" t="s">
        <v>4</v>
      </c>
      <c r="C283" s="39"/>
      <c r="D283" s="40"/>
      <c r="E283" s="51"/>
      <c r="F283" s="6">
        <f t="shared" si="12"/>
        <v>0</v>
      </c>
      <c r="G283" s="9"/>
    </row>
    <row r="284" spans="1:7" ht="14.25" thickBot="1" x14ac:dyDescent="0.2">
      <c r="B284" s="28" t="s">
        <v>1</v>
      </c>
      <c r="C284" s="43">
        <f>SUM(C278:C283)</f>
        <v>20</v>
      </c>
      <c r="D284" s="44">
        <f>SUM(D278:D283)</f>
        <v>19</v>
      </c>
      <c r="E284" s="52">
        <f>SUM(E278:E283)</f>
        <v>17</v>
      </c>
      <c r="F284" s="4">
        <f t="shared" si="12"/>
        <v>56</v>
      </c>
    </row>
    <row r="285" spans="1:7" x14ac:dyDescent="0.15">
      <c r="B285" s="41" t="s">
        <v>8</v>
      </c>
      <c r="C285" s="42"/>
      <c r="D285" s="33">
        <v>1</v>
      </c>
      <c r="E285" s="53"/>
      <c r="F285" s="55">
        <f t="shared" si="12"/>
        <v>1</v>
      </c>
      <c r="G285" s="9">
        <v>45194</v>
      </c>
    </row>
    <row r="286" spans="1:7" x14ac:dyDescent="0.15">
      <c r="B286" s="29" t="s">
        <v>8</v>
      </c>
      <c r="C286" s="37"/>
      <c r="D286" s="31"/>
      <c r="E286" s="50">
        <v>1</v>
      </c>
      <c r="F286" s="8">
        <f t="shared" si="12"/>
        <v>1</v>
      </c>
      <c r="G286" s="9">
        <v>45202</v>
      </c>
    </row>
    <row r="287" spans="1:7" x14ac:dyDescent="0.15">
      <c r="B287" s="29" t="s">
        <v>8</v>
      </c>
      <c r="C287" s="37"/>
      <c r="D287" s="31">
        <v>1</v>
      </c>
      <c r="E287" s="50"/>
      <c r="F287" s="8">
        <f t="shared" si="12"/>
        <v>1</v>
      </c>
      <c r="G287" s="9">
        <v>45206</v>
      </c>
    </row>
    <row r="288" spans="1:7" x14ac:dyDescent="0.15">
      <c r="B288" s="29" t="s">
        <v>8</v>
      </c>
      <c r="C288" s="37">
        <v>1</v>
      </c>
      <c r="D288" s="31">
        <v>1</v>
      </c>
      <c r="E288" s="50"/>
      <c r="F288" s="8">
        <f t="shared" si="12"/>
        <v>2</v>
      </c>
      <c r="G288" s="9">
        <v>45215</v>
      </c>
    </row>
    <row r="289" spans="2:7" x14ac:dyDescent="0.15">
      <c r="B289" s="29" t="s">
        <v>8</v>
      </c>
      <c r="C289" s="37">
        <v>1</v>
      </c>
      <c r="D289" s="31"/>
      <c r="E289" s="50"/>
      <c r="F289" s="8">
        <f t="shared" si="12"/>
        <v>1</v>
      </c>
      <c r="G289" s="9">
        <v>45218</v>
      </c>
    </row>
    <row r="290" spans="2:7" x14ac:dyDescent="0.15">
      <c r="B290" s="29" t="s">
        <v>8</v>
      </c>
      <c r="C290" s="37">
        <v>1</v>
      </c>
      <c r="D290" s="31">
        <v>1</v>
      </c>
      <c r="E290" s="50">
        <v>1</v>
      </c>
      <c r="F290" s="8">
        <f t="shared" si="12"/>
        <v>3</v>
      </c>
      <c r="G290" s="9">
        <v>45243</v>
      </c>
    </row>
    <row r="291" spans="2:7" x14ac:dyDescent="0.15">
      <c r="B291" s="29" t="s">
        <v>8</v>
      </c>
      <c r="C291" s="37"/>
      <c r="D291" s="31"/>
      <c r="E291" s="50">
        <v>1</v>
      </c>
      <c r="F291" s="8">
        <f t="shared" si="12"/>
        <v>1</v>
      </c>
      <c r="G291" s="9">
        <v>45248</v>
      </c>
    </row>
    <row r="292" spans="2:7" x14ac:dyDescent="0.15">
      <c r="B292" s="29" t="s">
        <v>8</v>
      </c>
      <c r="C292" s="37"/>
      <c r="D292" s="31">
        <v>1</v>
      </c>
      <c r="E292" s="50"/>
      <c r="F292" s="8">
        <f t="shared" si="12"/>
        <v>1</v>
      </c>
      <c r="G292" s="9">
        <v>45250</v>
      </c>
    </row>
    <row r="293" spans="2:7" x14ac:dyDescent="0.15">
      <c r="B293" s="29" t="s">
        <v>8</v>
      </c>
      <c r="C293" s="37"/>
      <c r="D293" s="31"/>
      <c r="E293" s="50">
        <v>1</v>
      </c>
      <c r="F293" s="8">
        <f t="shared" si="12"/>
        <v>1</v>
      </c>
      <c r="G293" s="9">
        <v>45254</v>
      </c>
    </row>
    <row r="294" spans="2:7" x14ac:dyDescent="0.15">
      <c r="B294" s="29" t="s">
        <v>8</v>
      </c>
      <c r="C294" s="37"/>
      <c r="D294" s="31">
        <f>1+1</f>
        <v>2</v>
      </c>
      <c r="E294" s="50">
        <f>1+1</f>
        <v>2</v>
      </c>
      <c r="F294" s="8">
        <f t="shared" si="12"/>
        <v>4</v>
      </c>
      <c r="G294" s="9">
        <v>45257</v>
      </c>
    </row>
    <row r="295" spans="2:7" x14ac:dyDescent="0.15">
      <c r="B295" s="29" t="s">
        <v>8</v>
      </c>
      <c r="C295" s="37"/>
      <c r="D295" s="31">
        <v>1</v>
      </c>
      <c r="E295" s="50"/>
      <c r="F295" s="8">
        <f t="shared" si="12"/>
        <v>1</v>
      </c>
      <c r="G295" s="9">
        <v>45262</v>
      </c>
    </row>
    <row r="296" spans="2:7" x14ac:dyDescent="0.15">
      <c r="B296" s="29" t="s">
        <v>8</v>
      </c>
      <c r="C296" s="37"/>
      <c r="D296" s="31">
        <v>1</v>
      </c>
      <c r="E296" s="50">
        <v>1</v>
      </c>
      <c r="F296" s="8">
        <f t="shared" si="12"/>
        <v>2</v>
      </c>
      <c r="G296" s="9">
        <v>45268</v>
      </c>
    </row>
    <row r="297" spans="2:7" x14ac:dyDescent="0.15">
      <c r="B297" s="29" t="s">
        <v>8</v>
      </c>
      <c r="C297" s="37">
        <v>3</v>
      </c>
      <c r="D297" s="31"/>
      <c r="E297" s="50"/>
      <c r="F297" s="8">
        <f t="shared" si="12"/>
        <v>3</v>
      </c>
      <c r="G297" s="9">
        <v>45279</v>
      </c>
    </row>
    <row r="298" spans="2:7" x14ac:dyDescent="0.15">
      <c r="B298" s="29" t="s">
        <v>8</v>
      </c>
      <c r="C298" s="37"/>
      <c r="D298" s="31">
        <v>1</v>
      </c>
      <c r="E298" s="50"/>
      <c r="F298" s="8">
        <f t="shared" si="12"/>
        <v>1</v>
      </c>
      <c r="G298" s="9">
        <v>45296</v>
      </c>
    </row>
    <row r="299" spans="2:7" x14ac:dyDescent="0.15">
      <c r="B299" s="29" t="s">
        <v>8</v>
      </c>
      <c r="C299" s="37">
        <v>3</v>
      </c>
      <c r="D299" s="31"/>
      <c r="E299" s="50"/>
      <c r="F299" s="8">
        <f t="shared" si="12"/>
        <v>3</v>
      </c>
      <c r="G299" s="9">
        <v>45300</v>
      </c>
    </row>
    <row r="300" spans="2:7" x14ac:dyDescent="0.15">
      <c r="B300" s="29" t="s">
        <v>8</v>
      </c>
      <c r="C300" s="37"/>
      <c r="D300" s="31">
        <v>1</v>
      </c>
      <c r="E300" s="50"/>
      <c r="F300" s="8">
        <f t="shared" si="12"/>
        <v>1</v>
      </c>
      <c r="G300" s="9">
        <v>45306</v>
      </c>
    </row>
    <row r="301" spans="2:7" x14ac:dyDescent="0.15">
      <c r="B301" s="29" t="s">
        <v>8</v>
      </c>
      <c r="C301" s="37">
        <v>1</v>
      </c>
      <c r="D301" s="31"/>
      <c r="E301" s="50"/>
      <c r="F301" s="8">
        <f t="shared" si="12"/>
        <v>1</v>
      </c>
      <c r="G301" s="9">
        <v>45309</v>
      </c>
    </row>
    <row r="302" spans="2:7" x14ac:dyDescent="0.15">
      <c r="B302" s="29" t="s">
        <v>8</v>
      </c>
      <c r="C302" s="37"/>
      <c r="D302" s="31"/>
      <c r="E302" s="50">
        <v>1</v>
      </c>
      <c r="F302" s="8">
        <f t="shared" si="12"/>
        <v>1</v>
      </c>
      <c r="G302" s="9">
        <v>45320</v>
      </c>
    </row>
    <row r="303" spans="2:7" x14ac:dyDescent="0.15">
      <c r="B303" s="29" t="s">
        <v>8</v>
      </c>
      <c r="C303" s="37">
        <v>1</v>
      </c>
      <c r="D303" s="31">
        <v>1</v>
      </c>
      <c r="E303" s="50"/>
      <c r="F303" s="8">
        <f t="shared" si="12"/>
        <v>2</v>
      </c>
      <c r="G303" s="9">
        <v>45338</v>
      </c>
    </row>
    <row r="304" spans="2:7" x14ac:dyDescent="0.15">
      <c r="B304" s="29" t="s">
        <v>8</v>
      </c>
      <c r="C304" s="37"/>
      <c r="D304" s="31"/>
      <c r="E304" s="50">
        <v>3</v>
      </c>
      <c r="F304" s="8">
        <f t="shared" si="12"/>
        <v>3</v>
      </c>
      <c r="G304" s="9">
        <v>45394</v>
      </c>
    </row>
    <row r="305" spans="1:7" x14ac:dyDescent="0.15">
      <c r="B305" s="29" t="s">
        <v>8</v>
      </c>
      <c r="C305" s="37">
        <v>1</v>
      </c>
      <c r="D305" s="31"/>
      <c r="E305" s="50"/>
      <c r="F305" s="8">
        <f t="shared" si="12"/>
        <v>1</v>
      </c>
      <c r="G305" s="9">
        <v>45397</v>
      </c>
    </row>
    <row r="306" spans="1:7" x14ac:dyDescent="0.15">
      <c r="B306" s="29" t="s">
        <v>8</v>
      </c>
      <c r="C306" s="37"/>
      <c r="D306" s="31"/>
      <c r="E306" s="50">
        <v>1</v>
      </c>
      <c r="F306" s="8">
        <f t="shared" si="12"/>
        <v>1</v>
      </c>
      <c r="G306" s="9">
        <v>45398</v>
      </c>
    </row>
    <row r="307" spans="1:7" x14ac:dyDescent="0.15">
      <c r="B307" s="29" t="s">
        <v>8</v>
      </c>
      <c r="C307" s="37">
        <v>1</v>
      </c>
      <c r="D307" s="31"/>
      <c r="E307" s="50"/>
      <c r="F307" s="8">
        <f t="shared" si="12"/>
        <v>1</v>
      </c>
      <c r="G307" s="9">
        <v>45419</v>
      </c>
    </row>
    <row r="308" spans="1:7" x14ac:dyDescent="0.15">
      <c r="B308" s="29" t="s">
        <v>8</v>
      </c>
      <c r="C308" s="37"/>
      <c r="D308" s="31"/>
      <c r="E308" s="50">
        <v>1</v>
      </c>
      <c r="F308" s="8">
        <f t="shared" si="12"/>
        <v>1</v>
      </c>
      <c r="G308" s="9">
        <v>45423</v>
      </c>
    </row>
    <row r="309" spans="1:7" ht="14.25" thickBot="1" x14ac:dyDescent="0.2">
      <c r="B309" s="29" t="s">
        <v>8</v>
      </c>
      <c r="C309" s="39">
        <v>1</v>
      </c>
      <c r="D309" s="40"/>
      <c r="E309" s="51"/>
      <c r="F309" s="6">
        <f t="shared" si="12"/>
        <v>1</v>
      </c>
      <c r="G309" s="9">
        <v>45436</v>
      </c>
    </row>
    <row r="310" spans="1:7" ht="14.25" thickBot="1" x14ac:dyDescent="0.2">
      <c r="B310" s="28" t="s">
        <v>2</v>
      </c>
      <c r="C310" s="43">
        <f>SUM(C285:C309)</f>
        <v>14</v>
      </c>
      <c r="D310" s="44">
        <f>SUM(D285:D309)</f>
        <v>12</v>
      </c>
      <c r="E310" s="52">
        <f>SUM(E285:E309)</f>
        <v>13</v>
      </c>
      <c r="F310" s="4">
        <f t="shared" si="12"/>
        <v>39</v>
      </c>
    </row>
    <row r="311" spans="1:7" ht="14.25" thickBot="1" x14ac:dyDescent="0.2">
      <c r="B311" s="30" t="s">
        <v>3</v>
      </c>
      <c r="C311" s="46">
        <f>+C284-C310</f>
        <v>6</v>
      </c>
      <c r="D311" s="47">
        <f>+D284-D310</f>
        <v>7</v>
      </c>
      <c r="E311" s="54">
        <f>+E284-E310</f>
        <v>4</v>
      </c>
      <c r="F311" s="2">
        <f t="shared" si="12"/>
        <v>17</v>
      </c>
    </row>
    <row r="313" spans="1:7" ht="18.75" x14ac:dyDescent="0.2">
      <c r="B313" s="17" t="s">
        <v>10</v>
      </c>
      <c r="C313" s="16"/>
      <c r="D313" s="16"/>
      <c r="E313" s="16"/>
      <c r="F313" s="16" t="s">
        <v>11</v>
      </c>
    </row>
    <row r="314" spans="1:7" ht="14.25" thickBot="1" x14ac:dyDescent="0.2">
      <c r="F314">
        <v>598</v>
      </c>
    </row>
    <row r="315" spans="1:7" ht="14.25" thickBot="1" x14ac:dyDescent="0.2">
      <c r="B315" s="15"/>
      <c r="C315" s="24"/>
      <c r="D315" s="24"/>
      <c r="E315" s="24"/>
      <c r="F315" s="25"/>
    </row>
    <row r="316" spans="1:7" ht="14.25" thickBot="1" x14ac:dyDescent="0.2">
      <c r="A316" s="1"/>
      <c r="B316" s="15"/>
      <c r="C316" s="34" t="s">
        <v>7</v>
      </c>
      <c r="D316" s="35" t="s">
        <v>6</v>
      </c>
      <c r="E316" s="48" t="s">
        <v>9</v>
      </c>
      <c r="F316" s="5" t="s">
        <v>0</v>
      </c>
    </row>
    <row r="317" spans="1:7" x14ac:dyDescent="0.15">
      <c r="B317" s="26" t="s">
        <v>3</v>
      </c>
      <c r="C317" s="36">
        <f>C311</f>
        <v>6</v>
      </c>
      <c r="D317" s="32">
        <f t="shared" ref="D317" si="13">D311</f>
        <v>7</v>
      </c>
      <c r="E317" s="49">
        <f>E311</f>
        <v>4</v>
      </c>
      <c r="F317" s="56">
        <f>E317+D317+C317</f>
        <v>17</v>
      </c>
    </row>
    <row r="318" spans="1:7" x14ac:dyDescent="0.15">
      <c r="B318" s="27" t="s">
        <v>4</v>
      </c>
      <c r="C318" s="37">
        <v>5</v>
      </c>
      <c r="D318" s="31">
        <v>3</v>
      </c>
      <c r="E318" s="50">
        <v>5</v>
      </c>
      <c r="F318" s="8">
        <f t="shared" ref="F318:F320" si="14">E318+D318+C318</f>
        <v>13</v>
      </c>
      <c r="G318" s="9">
        <v>45455</v>
      </c>
    </row>
    <row r="319" spans="1:7" x14ac:dyDescent="0.15">
      <c r="B319" s="27" t="s">
        <v>4</v>
      </c>
      <c r="C319" s="37"/>
      <c r="D319" s="31">
        <v>-1</v>
      </c>
      <c r="E319" s="50"/>
      <c r="F319" s="8">
        <f t="shared" si="14"/>
        <v>-1</v>
      </c>
      <c r="G319" s="9"/>
    </row>
    <row r="320" spans="1:7" x14ac:dyDescent="0.15">
      <c r="B320" s="27" t="s">
        <v>4</v>
      </c>
      <c r="C320" s="37">
        <v>5</v>
      </c>
      <c r="D320" s="31">
        <v>8</v>
      </c>
      <c r="E320" s="50"/>
      <c r="F320" s="8">
        <f t="shared" si="14"/>
        <v>13</v>
      </c>
      <c r="G320" s="9">
        <v>45476</v>
      </c>
    </row>
    <row r="321" spans="2:7" x14ac:dyDescent="0.15">
      <c r="B321" s="27" t="s">
        <v>4</v>
      </c>
      <c r="C321" s="37">
        <v>5</v>
      </c>
      <c r="D321" s="31"/>
      <c r="E321" s="50"/>
      <c r="F321" s="8">
        <f t="shared" ref="F321:F350" si="15">E321+D321+C321</f>
        <v>5</v>
      </c>
      <c r="G321" s="9">
        <v>45493</v>
      </c>
    </row>
    <row r="322" spans="2:7" ht="14.25" thickBot="1" x14ac:dyDescent="0.2">
      <c r="B322" s="38" t="s">
        <v>14</v>
      </c>
      <c r="C322" s="39">
        <v>0</v>
      </c>
      <c r="D322" s="40">
        <v>0</v>
      </c>
      <c r="E322" s="51">
        <v>0</v>
      </c>
      <c r="F322" s="6">
        <f t="shared" si="15"/>
        <v>0</v>
      </c>
      <c r="G322" s="9">
        <v>45526</v>
      </c>
    </row>
    <row r="323" spans="2:7" ht="14.25" thickBot="1" x14ac:dyDescent="0.2">
      <c r="B323" s="28" t="s">
        <v>1</v>
      </c>
      <c r="C323" s="43">
        <f>SUM(C317:C322)</f>
        <v>21</v>
      </c>
      <c r="D323" s="44">
        <f>SUM(D317:D322)</f>
        <v>17</v>
      </c>
      <c r="E323" s="52">
        <f>SUM(E317:E322)</f>
        <v>9</v>
      </c>
      <c r="F323" s="4">
        <f t="shared" si="15"/>
        <v>47</v>
      </c>
    </row>
    <row r="324" spans="2:7" x14ac:dyDescent="0.15">
      <c r="B324" s="29" t="s">
        <v>8</v>
      </c>
      <c r="C324" s="37">
        <f>1+1</f>
        <v>2</v>
      </c>
      <c r="D324" s="31">
        <v>1</v>
      </c>
      <c r="E324" s="50"/>
      <c r="F324" s="8">
        <f t="shared" ref="F324:F346" si="16">E324+D324+C324</f>
        <v>3</v>
      </c>
      <c r="G324" s="9">
        <v>45453</v>
      </c>
    </row>
    <row r="325" spans="2:7" x14ac:dyDescent="0.15">
      <c r="B325" s="29" t="s">
        <v>8</v>
      </c>
      <c r="C325" s="37">
        <v>1</v>
      </c>
      <c r="D325" s="31"/>
      <c r="E325" s="50"/>
      <c r="F325" s="8">
        <f t="shared" si="16"/>
        <v>1</v>
      </c>
      <c r="G325" s="9">
        <v>45455</v>
      </c>
    </row>
    <row r="326" spans="2:7" x14ac:dyDescent="0.15">
      <c r="B326" s="29" t="s">
        <v>8</v>
      </c>
      <c r="C326" s="37"/>
      <c r="D326" s="31">
        <v>2</v>
      </c>
      <c r="E326" s="50"/>
      <c r="F326" s="8">
        <f t="shared" si="16"/>
        <v>2</v>
      </c>
      <c r="G326" s="9">
        <v>45461</v>
      </c>
    </row>
    <row r="327" spans="2:7" x14ac:dyDescent="0.15">
      <c r="B327" s="29" t="s">
        <v>8</v>
      </c>
      <c r="C327" s="37">
        <v>1</v>
      </c>
      <c r="D327" s="31"/>
      <c r="E327" s="50"/>
      <c r="F327" s="8">
        <f t="shared" si="16"/>
        <v>1</v>
      </c>
      <c r="G327" s="9">
        <v>45462</v>
      </c>
    </row>
    <row r="328" spans="2:7" x14ac:dyDescent="0.15">
      <c r="B328" s="29" t="s">
        <v>8</v>
      </c>
      <c r="C328" s="37">
        <v>1</v>
      </c>
      <c r="D328" s="31"/>
      <c r="E328" s="50"/>
      <c r="F328" s="8">
        <f t="shared" si="16"/>
        <v>1</v>
      </c>
      <c r="G328" s="9">
        <v>45463</v>
      </c>
    </row>
    <row r="329" spans="2:7" x14ac:dyDescent="0.15">
      <c r="B329" s="29" t="s">
        <v>8</v>
      </c>
      <c r="C329" s="37"/>
      <c r="D329" s="31">
        <v>2</v>
      </c>
      <c r="E329" s="50"/>
      <c r="F329" s="8">
        <f t="shared" si="16"/>
        <v>2</v>
      </c>
      <c r="G329" s="9">
        <v>45467</v>
      </c>
    </row>
    <row r="330" spans="2:7" x14ac:dyDescent="0.15">
      <c r="B330" s="29" t="s">
        <v>8</v>
      </c>
      <c r="C330" s="37">
        <v>1</v>
      </c>
      <c r="D330" s="31"/>
      <c r="E330" s="50"/>
      <c r="F330" s="8">
        <f t="shared" si="16"/>
        <v>1</v>
      </c>
      <c r="G330" s="9">
        <v>45469</v>
      </c>
    </row>
    <row r="331" spans="2:7" x14ac:dyDescent="0.15">
      <c r="B331" s="29" t="s">
        <v>8</v>
      </c>
      <c r="C331" s="37"/>
      <c r="D331" s="31">
        <v>1</v>
      </c>
      <c r="E331" s="50"/>
      <c r="F331" s="8">
        <f t="shared" si="16"/>
        <v>1</v>
      </c>
      <c r="G331" s="9">
        <v>45472</v>
      </c>
    </row>
    <row r="332" spans="2:7" x14ac:dyDescent="0.15">
      <c r="B332" s="29" t="s">
        <v>8</v>
      </c>
      <c r="C332" s="37"/>
      <c r="D332" s="31">
        <v>1</v>
      </c>
      <c r="E332" s="50"/>
      <c r="F332" s="8">
        <f t="shared" si="16"/>
        <v>1</v>
      </c>
      <c r="G332" s="9">
        <v>45474</v>
      </c>
    </row>
    <row r="333" spans="2:7" x14ac:dyDescent="0.15">
      <c r="B333" s="29" t="s">
        <v>8</v>
      </c>
      <c r="C333" s="37">
        <v>1</v>
      </c>
      <c r="D333" s="31"/>
      <c r="E333" s="50"/>
      <c r="F333" s="8">
        <f t="shared" si="16"/>
        <v>1</v>
      </c>
      <c r="G333" s="9">
        <v>45476</v>
      </c>
    </row>
    <row r="334" spans="2:7" x14ac:dyDescent="0.15">
      <c r="B334" s="29" t="s">
        <v>8</v>
      </c>
      <c r="C334" s="37">
        <v>1</v>
      </c>
      <c r="D334" s="31"/>
      <c r="E334" s="50"/>
      <c r="F334" s="8">
        <f t="shared" si="16"/>
        <v>1</v>
      </c>
      <c r="G334" s="9">
        <v>45477</v>
      </c>
    </row>
    <row r="335" spans="2:7" x14ac:dyDescent="0.15">
      <c r="B335" s="29" t="s">
        <v>8</v>
      </c>
      <c r="C335" s="37">
        <v>1</v>
      </c>
      <c r="D335" s="31"/>
      <c r="E335" s="50"/>
      <c r="F335" s="8">
        <f t="shared" si="16"/>
        <v>1</v>
      </c>
      <c r="G335" s="9">
        <v>45481</v>
      </c>
    </row>
    <row r="336" spans="2:7" x14ac:dyDescent="0.15">
      <c r="B336" s="29" t="s">
        <v>8</v>
      </c>
      <c r="C336" s="37">
        <v>1</v>
      </c>
      <c r="D336" s="31"/>
      <c r="E336" s="50"/>
      <c r="F336" s="8">
        <f t="shared" si="16"/>
        <v>1</v>
      </c>
      <c r="G336" s="9">
        <v>45489</v>
      </c>
    </row>
    <row r="337" spans="2:7" x14ac:dyDescent="0.15">
      <c r="B337" s="29" t="s">
        <v>8</v>
      </c>
      <c r="C337" s="37"/>
      <c r="D337" s="31">
        <v>1</v>
      </c>
      <c r="E337" s="50"/>
      <c r="F337" s="8">
        <f t="shared" si="16"/>
        <v>1</v>
      </c>
      <c r="G337" s="9">
        <v>45493</v>
      </c>
    </row>
    <row r="338" spans="2:7" x14ac:dyDescent="0.15">
      <c r="B338" s="29" t="s">
        <v>8</v>
      </c>
      <c r="C338" s="37"/>
      <c r="D338" s="31"/>
      <c r="E338" s="50">
        <v>1</v>
      </c>
      <c r="F338" s="8">
        <f t="shared" si="16"/>
        <v>1</v>
      </c>
      <c r="G338" s="9">
        <v>45496</v>
      </c>
    </row>
    <row r="339" spans="2:7" x14ac:dyDescent="0.15">
      <c r="B339" s="29" t="s">
        <v>8</v>
      </c>
      <c r="C339" s="37">
        <v>1</v>
      </c>
      <c r="D339" s="31"/>
      <c r="E339" s="50"/>
      <c r="F339" s="8">
        <f t="shared" si="16"/>
        <v>1</v>
      </c>
      <c r="G339" s="9">
        <v>45498</v>
      </c>
    </row>
    <row r="340" spans="2:7" x14ac:dyDescent="0.15">
      <c r="B340" s="29" t="s">
        <v>8</v>
      </c>
      <c r="C340" s="37">
        <v>2</v>
      </c>
      <c r="D340" s="31"/>
      <c r="E340" s="50"/>
      <c r="F340" s="8">
        <f t="shared" si="16"/>
        <v>2</v>
      </c>
      <c r="G340" s="9">
        <v>45505</v>
      </c>
    </row>
    <row r="341" spans="2:7" x14ac:dyDescent="0.15">
      <c r="B341" s="29" t="s">
        <v>8</v>
      </c>
      <c r="C341" s="37">
        <v>1</v>
      </c>
      <c r="D341" s="31">
        <v>2</v>
      </c>
      <c r="E341" s="50"/>
      <c r="F341" s="8">
        <f t="shared" si="16"/>
        <v>3</v>
      </c>
      <c r="G341" s="9">
        <v>45510</v>
      </c>
    </row>
    <row r="342" spans="2:7" x14ac:dyDescent="0.15">
      <c r="B342" s="29" t="s">
        <v>8</v>
      </c>
      <c r="C342" s="37"/>
      <c r="D342" s="31">
        <v>1</v>
      </c>
      <c r="E342" s="50"/>
      <c r="F342" s="8">
        <f t="shared" si="16"/>
        <v>1</v>
      </c>
      <c r="G342" s="9">
        <v>45521</v>
      </c>
    </row>
    <row r="343" spans="2:7" x14ac:dyDescent="0.15">
      <c r="B343" s="29" t="s">
        <v>8</v>
      </c>
      <c r="C343" s="37"/>
      <c r="D343" s="31">
        <v>1</v>
      </c>
      <c r="E343" s="50"/>
      <c r="F343" s="8">
        <f t="shared" si="16"/>
        <v>1</v>
      </c>
      <c r="G343" s="9">
        <v>45530</v>
      </c>
    </row>
    <row r="344" spans="2:7" x14ac:dyDescent="0.15">
      <c r="B344" s="29"/>
      <c r="C344" s="37"/>
      <c r="D344" s="31"/>
      <c r="E344" s="50"/>
      <c r="F344" s="8">
        <f t="shared" si="16"/>
        <v>0</v>
      </c>
      <c r="G344" s="9"/>
    </row>
    <row r="345" spans="2:7" x14ac:dyDescent="0.15">
      <c r="B345" s="29"/>
      <c r="C345" s="37"/>
      <c r="D345" s="31"/>
      <c r="E345" s="50"/>
      <c r="F345" s="8">
        <f t="shared" si="16"/>
        <v>0</v>
      </c>
      <c r="G345" s="9"/>
    </row>
    <row r="346" spans="2:7" x14ac:dyDescent="0.15">
      <c r="B346" s="29"/>
      <c r="C346" s="37"/>
      <c r="D346" s="31"/>
      <c r="E346" s="50"/>
      <c r="F346" s="8">
        <f t="shared" si="16"/>
        <v>0</v>
      </c>
      <c r="G346" s="9"/>
    </row>
    <row r="347" spans="2:7" x14ac:dyDescent="0.15">
      <c r="B347" s="29"/>
      <c r="C347" s="37"/>
      <c r="D347" s="31"/>
      <c r="E347" s="50"/>
      <c r="F347" s="8">
        <f t="shared" si="15"/>
        <v>0</v>
      </c>
      <c r="G347" s="9"/>
    </row>
    <row r="348" spans="2:7" ht="14.25" thickBot="1" x14ac:dyDescent="0.2">
      <c r="B348" s="45"/>
      <c r="C348" s="39"/>
      <c r="D348" s="40"/>
      <c r="E348" s="51"/>
      <c r="F348" s="6">
        <f t="shared" si="15"/>
        <v>0</v>
      </c>
      <c r="G348" s="9"/>
    </row>
    <row r="349" spans="2:7" ht="14.25" thickBot="1" x14ac:dyDescent="0.2">
      <c r="B349" s="28" t="s">
        <v>2</v>
      </c>
      <c r="C349" s="43">
        <f>SUM(C324:C348)</f>
        <v>14</v>
      </c>
      <c r="D349" s="44">
        <f>SUM(D324:D348)</f>
        <v>12</v>
      </c>
      <c r="E349" s="52">
        <f>SUM(E324:E348)</f>
        <v>1</v>
      </c>
      <c r="F349" s="4">
        <f t="shared" si="15"/>
        <v>27</v>
      </c>
    </row>
    <row r="350" spans="2:7" ht="14.25" thickBot="1" x14ac:dyDescent="0.2">
      <c r="B350" s="30" t="s">
        <v>3</v>
      </c>
      <c r="C350" s="46">
        <f>+C323-C349</f>
        <v>7</v>
      </c>
      <c r="D350" s="47">
        <f>+D323-D349</f>
        <v>5</v>
      </c>
      <c r="E350" s="54">
        <f>+E323-E349</f>
        <v>8</v>
      </c>
      <c r="F350" s="2">
        <f t="shared" si="15"/>
        <v>20</v>
      </c>
    </row>
    <row r="352" spans="2:7" ht="18.75" x14ac:dyDescent="0.2">
      <c r="B352" s="17" t="s">
        <v>10</v>
      </c>
      <c r="C352" s="16"/>
      <c r="D352" s="16"/>
      <c r="E352" s="16"/>
      <c r="F352" s="16" t="s">
        <v>11</v>
      </c>
    </row>
    <row r="353" spans="1:7" ht="14.25" thickBot="1" x14ac:dyDescent="0.2">
      <c r="F353">
        <v>598</v>
      </c>
    </row>
    <row r="354" spans="1:7" ht="14.25" thickBot="1" x14ac:dyDescent="0.2">
      <c r="B354" s="15"/>
      <c r="C354" s="24"/>
      <c r="D354" s="24"/>
      <c r="E354" s="24"/>
      <c r="F354" s="25"/>
    </row>
    <row r="355" spans="1:7" ht="14.25" thickBot="1" x14ac:dyDescent="0.2">
      <c r="A355" s="1"/>
      <c r="B355" s="15"/>
      <c r="C355" s="34" t="s">
        <v>7</v>
      </c>
      <c r="D355" s="35" t="s">
        <v>6</v>
      </c>
      <c r="E355" s="48" t="s">
        <v>9</v>
      </c>
      <c r="F355" s="5" t="s">
        <v>0</v>
      </c>
    </row>
    <row r="356" spans="1:7" x14ac:dyDescent="0.15">
      <c r="B356" s="26" t="s">
        <v>3</v>
      </c>
      <c r="C356" s="36">
        <f>C350</f>
        <v>7</v>
      </c>
      <c r="D356" s="32">
        <f t="shared" ref="D356" si="17">D350</f>
        <v>5</v>
      </c>
      <c r="E356" s="49">
        <f>E350</f>
        <v>8</v>
      </c>
      <c r="F356" s="56">
        <f>E356+D356+C356</f>
        <v>20</v>
      </c>
    </row>
    <row r="357" spans="1:7" x14ac:dyDescent="0.15">
      <c r="B357" s="27" t="s">
        <v>4</v>
      </c>
      <c r="C357" s="37">
        <v>5</v>
      </c>
      <c r="D357" s="31"/>
      <c r="E357" s="50"/>
      <c r="F357" s="8">
        <f>E357+D357+C357</f>
        <v>5</v>
      </c>
      <c r="G357" s="9">
        <v>45544</v>
      </c>
    </row>
    <row r="358" spans="1:7" x14ac:dyDescent="0.15">
      <c r="B358" s="27" t="s">
        <v>4</v>
      </c>
      <c r="C358" s="37">
        <v>3</v>
      </c>
      <c r="D358" s="31">
        <v>5</v>
      </c>
      <c r="E358" s="50">
        <v>3</v>
      </c>
      <c r="F358" s="8">
        <f t="shared" ref="F358:F361" si="18">E358+D358+C358</f>
        <v>11</v>
      </c>
      <c r="G358" s="9">
        <v>45567</v>
      </c>
    </row>
    <row r="359" spans="1:7" x14ac:dyDescent="0.15">
      <c r="B359" s="27" t="s">
        <v>4</v>
      </c>
      <c r="C359" s="37">
        <v>8</v>
      </c>
      <c r="D359" s="31">
        <v>10</v>
      </c>
      <c r="E359" s="50"/>
      <c r="F359" s="8">
        <f t="shared" si="18"/>
        <v>18</v>
      </c>
      <c r="G359" s="9">
        <v>45616</v>
      </c>
    </row>
    <row r="360" spans="1:7" x14ac:dyDescent="0.15">
      <c r="B360" s="27" t="s">
        <v>4</v>
      </c>
      <c r="C360" s="37">
        <v>5</v>
      </c>
      <c r="D360" s="31">
        <v>5</v>
      </c>
      <c r="E360" s="50"/>
      <c r="F360" s="8">
        <f t="shared" si="18"/>
        <v>10</v>
      </c>
      <c r="G360" s="9">
        <v>45635</v>
      </c>
    </row>
    <row r="361" spans="1:7" ht="14.25" thickBot="1" x14ac:dyDescent="0.2">
      <c r="B361" s="27" t="s">
        <v>4</v>
      </c>
      <c r="C361" s="37"/>
      <c r="D361" s="31"/>
      <c r="E361" s="50"/>
      <c r="F361" s="8">
        <f t="shared" si="18"/>
        <v>0</v>
      </c>
      <c r="G361" s="9"/>
    </row>
    <row r="362" spans="1:7" ht="14.25" thickBot="1" x14ac:dyDescent="0.2">
      <c r="B362" s="28" t="s">
        <v>1</v>
      </c>
      <c r="C362" s="43">
        <f>SUM(C356:C361)</f>
        <v>28</v>
      </c>
      <c r="D362" s="44">
        <f>SUM(D356:D361)</f>
        <v>25</v>
      </c>
      <c r="E362" s="52">
        <f>SUM(E356:E361)</f>
        <v>11</v>
      </c>
      <c r="F362" s="4">
        <f t="shared" ref="F362:F389" si="19">E362+D362+C362</f>
        <v>64</v>
      </c>
    </row>
    <row r="363" spans="1:7" x14ac:dyDescent="0.15">
      <c r="B363" s="29" t="s">
        <v>8</v>
      </c>
      <c r="C363" s="37">
        <v>1</v>
      </c>
      <c r="D363" s="31"/>
      <c r="E363" s="50"/>
      <c r="F363" s="8">
        <f t="shared" ref="F363:F383" si="20">E363+D363+C363</f>
        <v>1</v>
      </c>
      <c r="G363" s="9">
        <v>45539</v>
      </c>
    </row>
    <row r="364" spans="1:7" x14ac:dyDescent="0.15">
      <c r="B364" s="29" t="s">
        <v>8</v>
      </c>
      <c r="C364" s="37">
        <v>1</v>
      </c>
      <c r="D364" s="31"/>
      <c r="E364" s="50"/>
      <c r="F364" s="8">
        <f t="shared" si="20"/>
        <v>1</v>
      </c>
      <c r="G364" s="9">
        <v>45544</v>
      </c>
    </row>
    <row r="365" spans="1:7" x14ac:dyDescent="0.15">
      <c r="B365" s="29" t="s">
        <v>8</v>
      </c>
      <c r="C365" s="37"/>
      <c r="D365" s="31"/>
      <c r="E365" s="50">
        <v>1</v>
      </c>
      <c r="F365" s="8">
        <f t="shared" si="20"/>
        <v>1</v>
      </c>
      <c r="G365" s="9">
        <v>45545</v>
      </c>
    </row>
    <row r="366" spans="1:7" x14ac:dyDescent="0.15">
      <c r="B366" s="29" t="s">
        <v>8</v>
      </c>
      <c r="C366" s="37">
        <v>1</v>
      </c>
      <c r="D366" s="31"/>
      <c r="E366" s="50"/>
      <c r="F366" s="8">
        <f t="shared" si="20"/>
        <v>1</v>
      </c>
      <c r="G366" s="9">
        <v>45547</v>
      </c>
    </row>
    <row r="367" spans="1:7" x14ac:dyDescent="0.15">
      <c r="B367" s="29" t="s">
        <v>8</v>
      </c>
      <c r="C367" s="37">
        <v>1</v>
      </c>
      <c r="D367" s="31">
        <v>1</v>
      </c>
      <c r="E367" s="50">
        <v>1</v>
      </c>
      <c r="F367" s="8">
        <f t="shared" si="20"/>
        <v>3</v>
      </c>
      <c r="G367" s="9">
        <v>45552</v>
      </c>
    </row>
    <row r="368" spans="1:7" x14ac:dyDescent="0.15">
      <c r="B368" s="29" t="s">
        <v>8</v>
      </c>
      <c r="C368" s="37">
        <v>1</v>
      </c>
      <c r="D368" s="31">
        <v>1</v>
      </c>
      <c r="E368" s="50">
        <v>1</v>
      </c>
      <c r="F368" s="8">
        <f t="shared" si="20"/>
        <v>3</v>
      </c>
      <c r="G368" s="9">
        <v>45559</v>
      </c>
    </row>
    <row r="369" spans="2:7" x14ac:dyDescent="0.15">
      <c r="B369" s="29" t="s">
        <v>8</v>
      </c>
      <c r="C369" s="37">
        <v>2</v>
      </c>
      <c r="D369" s="31"/>
      <c r="E369" s="50"/>
      <c r="F369" s="8">
        <f t="shared" si="20"/>
        <v>2</v>
      </c>
      <c r="G369" s="9">
        <v>45567</v>
      </c>
    </row>
    <row r="370" spans="2:7" x14ac:dyDescent="0.15">
      <c r="B370" s="29" t="s">
        <v>8</v>
      </c>
      <c r="C370" s="37"/>
      <c r="D370" s="31">
        <v>1</v>
      </c>
      <c r="E370" s="50"/>
      <c r="F370" s="8">
        <f t="shared" si="20"/>
        <v>1</v>
      </c>
      <c r="G370" s="9">
        <v>45584</v>
      </c>
    </row>
    <row r="371" spans="2:7" x14ac:dyDescent="0.15">
      <c r="B371" s="29" t="s">
        <v>8</v>
      </c>
      <c r="C371" s="37">
        <v>1</v>
      </c>
      <c r="D371" s="31"/>
      <c r="E371" s="50"/>
      <c r="F371" s="8">
        <f t="shared" si="20"/>
        <v>1</v>
      </c>
      <c r="G371" s="9">
        <v>45588</v>
      </c>
    </row>
    <row r="372" spans="2:7" x14ac:dyDescent="0.15">
      <c r="B372" s="29" t="s">
        <v>8</v>
      </c>
      <c r="C372" s="37"/>
      <c r="D372" s="31">
        <v>1</v>
      </c>
      <c r="E372" s="50"/>
      <c r="F372" s="8">
        <f t="shared" si="20"/>
        <v>1</v>
      </c>
      <c r="G372" s="9">
        <v>45593</v>
      </c>
    </row>
    <row r="373" spans="2:7" x14ac:dyDescent="0.15">
      <c r="B373" s="29" t="s">
        <v>8</v>
      </c>
      <c r="C373" s="37">
        <v>1</v>
      </c>
      <c r="D373" s="31"/>
      <c r="E373" s="50"/>
      <c r="F373" s="8">
        <f t="shared" si="20"/>
        <v>1</v>
      </c>
      <c r="G373" s="9">
        <v>45598</v>
      </c>
    </row>
    <row r="374" spans="2:7" x14ac:dyDescent="0.15">
      <c r="B374" s="29" t="s">
        <v>8</v>
      </c>
      <c r="C374" s="37"/>
      <c r="D374" s="31">
        <v>1</v>
      </c>
      <c r="E374" s="50"/>
      <c r="F374" s="8">
        <f t="shared" si="20"/>
        <v>1</v>
      </c>
      <c r="G374" s="9">
        <v>45601</v>
      </c>
    </row>
    <row r="375" spans="2:7" x14ac:dyDescent="0.15">
      <c r="B375" s="29" t="s">
        <v>8</v>
      </c>
      <c r="C375" s="37">
        <v>1</v>
      </c>
      <c r="D375" s="31"/>
      <c r="E375" s="50"/>
      <c r="F375" s="8">
        <f t="shared" si="20"/>
        <v>1</v>
      </c>
      <c r="G375" s="9">
        <v>45603</v>
      </c>
    </row>
    <row r="376" spans="2:7" x14ac:dyDescent="0.15">
      <c r="B376" s="29" t="s">
        <v>8</v>
      </c>
      <c r="C376" s="37"/>
      <c r="D376" s="31">
        <v>2</v>
      </c>
      <c r="E376" s="50">
        <v>1</v>
      </c>
      <c r="F376" s="8">
        <f t="shared" si="20"/>
        <v>3</v>
      </c>
      <c r="G376" s="9">
        <v>45604</v>
      </c>
    </row>
    <row r="377" spans="2:7" x14ac:dyDescent="0.15">
      <c r="B377" s="29" t="s">
        <v>8</v>
      </c>
      <c r="C377" s="37">
        <f>1+2</f>
        <v>3</v>
      </c>
      <c r="D377" s="31">
        <f>1+1</f>
        <v>2</v>
      </c>
      <c r="E377" s="50"/>
      <c r="F377" s="8">
        <f t="shared" si="20"/>
        <v>5</v>
      </c>
      <c r="G377" s="9">
        <v>45607</v>
      </c>
    </row>
    <row r="378" spans="2:7" x14ac:dyDescent="0.15">
      <c r="B378" s="29" t="s">
        <v>8</v>
      </c>
      <c r="C378" s="37"/>
      <c r="D378" s="31">
        <v>1</v>
      </c>
      <c r="E378" s="50"/>
      <c r="F378" s="8">
        <f t="shared" si="20"/>
        <v>1</v>
      </c>
      <c r="G378" s="9">
        <v>45612</v>
      </c>
    </row>
    <row r="379" spans="2:7" x14ac:dyDescent="0.15">
      <c r="B379" s="29" t="s">
        <v>8</v>
      </c>
      <c r="C379" s="37">
        <v>1</v>
      </c>
      <c r="D379" s="31">
        <v>1</v>
      </c>
      <c r="E379" s="50"/>
      <c r="F379" s="8">
        <f t="shared" si="20"/>
        <v>2</v>
      </c>
      <c r="G379" s="9">
        <v>45621</v>
      </c>
    </row>
    <row r="380" spans="2:7" x14ac:dyDescent="0.15">
      <c r="B380" s="29" t="s">
        <v>8</v>
      </c>
      <c r="C380" s="37">
        <v>1</v>
      </c>
      <c r="D380" s="31"/>
      <c r="E380" s="50"/>
      <c r="F380" s="8">
        <f t="shared" si="20"/>
        <v>1</v>
      </c>
      <c r="G380" s="9">
        <v>45622</v>
      </c>
    </row>
    <row r="381" spans="2:7" x14ac:dyDescent="0.15">
      <c r="B381" s="29" t="s">
        <v>8</v>
      </c>
      <c r="C381" s="37">
        <v>1</v>
      </c>
      <c r="D381" s="31"/>
      <c r="E381" s="50"/>
      <c r="F381" s="8">
        <f t="shared" si="20"/>
        <v>1</v>
      </c>
      <c r="G381" s="9">
        <v>45624</v>
      </c>
    </row>
    <row r="382" spans="2:7" x14ac:dyDescent="0.15">
      <c r="B382" s="29" t="s">
        <v>8</v>
      </c>
      <c r="C382" s="37"/>
      <c r="D382" s="31"/>
      <c r="E382" s="50">
        <v>1</v>
      </c>
      <c r="F382" s="8">
        <f t="shared" si="20"/>
        <v>1</v>
      </c>
      <c r="G382" s="9">
        <v>45625</v>
      </c>
    </row>
    <row r="383" spans="2:7" x14ac:dyDescent="0.15">
      <c r="B383" s="29" t="s">
        <v>8</v>
      </c>
      <c r="C383" s="37">
        <v>2</v>
      </c>
      <c r="D383" s="31">
        <v>1</v>
      </c>
      <c r="E383" s="50"/>
      <c r="F383" s="8">
        <f t="shared" si="20"/>
        <v>3</v>
      </c>
      <c r="G383" s="9">
        <v>45632</v>
      </c>
    </row>
    <row r="384" spans="2:7" x14ac:dyDescent="0.15">
      <c r="B384" s="29" t="s">
        <v>8</v>
      </c>
      <c r="C384" s="37">
        <v>1</v>
      </c>
      <c r="D384" s="31"/>
      <c r="E384" s="50"/>
      <c r="F384" s="8">
        <f t="shared" si="19"/>
        <v>1</v>
      </c>
      <c r="G384" s="9">
        <v>45633</v>
      </c>
    </row>
    <row r="385" spans="1:7" x14ac:dyDescent="0.15">
      <c r="B385" s="29" t="s">
        <v>8</v>
      </c>
      <c r="C385" s="37"/>
      <c r="D385" s="31">
        <v>1</v>
      </c>
      <c r="E385" s="50"/>
      <c r="F385" s="8">
        <f t="shared" si="19"/>
        <v>1</v>
      </c>
      <c r="G385" s="9">
        <v>45635</v>
      </c>
    </row>
    <row r="386" spans="1:7" x14ac:dyDescent="0.15">
      <c r="B386" s="29" t="s">
        <v>8</v>
      </c>
      <c r="C386" s="37"/>
      <c r="D386" s="31">
        <f>1+2</f>
        <v>3</v>
      </c>
      <c r="E386" s="50">
        <v>1</v>
      </c>
      <c r="F386" s="8">
        <f t="shared" si="19"/>
        <v>4</v>
      </c>
      <c r="G386" s="9">
        <v>45636</v>
      </c>
    </row>
    <row r="387" spans="1:7" ht="14.25" thickBot="1" x14ac:dyDescent="0.2">
      <c r="B387" s="29" t="s">
        <v>8</v>
      </c>
      <c r="C387" s="39">
        <f>1+2</f>
        <v>3</v>
      </c>
      <c r="D387" s="40"/>
      <c r="E387" s="51">
        <v>1</v>
      </c>
      <c r="F387" s="6">
        <f t="shared" si="19"/>
        <v>4</v>
      </c>
      <c r="G387" s="9">
        <v>45637</v>
      </c>
    </row>
    <row r="388" spans="1:7" ht="14.25" thickBot="1" x14ac:dyDescent="0.2">
      <c r="B388" s="28" t="s">
        <v>2</v>
      </c>
      <c r="C388" s="43">
        <f>SUM(C363:C387)</f>
        <v>22</v>
      </c>
      <c r="D388" s="44">
        <f>SUM(D363:D387)</f>
        <v>16</v>
      </c>
      <c r="E388" s="52">
        <f>SUM(E363:E387)</f>
        <v>7</v>
      </c>
      <c r="F388" s="4">
        <f t="shared" si="19"/>
        <v>45</v>
      </c>
    </row>
    <row r="389" spans="1:7" ht="14.25" thickBot="1" x14ac:dyDescent="0.2">
      <c r="B389" s="30" t="s">
        <v>3</v>
      </c>
      <c r="C389" s="46">
        <f>+C362-C388</f>
        <v>6</v>
      </c>
      <c r="D389" s="47">
        <f>+D362-D388</f>
        <v>9</v>
      </c>
      <c r="E389" s="54">
        <f>+E362-E388</f>
        <v>4</v>
      </c>
      <c r="F389" s="2">
        <f t="shared" si="19"/>
        <v>19</v>
      </c>
    </row>
    <row r="391" spans="1:7" ht="18.75" x14ac:dyDescent="0.2">
      <c r="B391" s="17" t="s">
        <v>10</v>
      </c>
      <c r="C391" s="16"/>
      <c r="D391" s="16"/>
      <c r="E391" s="16"/>
      <c r="F391" s="16" t="s">
        <v>11</v>
      </c>
    </row>
    <row r="392" spans="1:7" ht="14.25" thickBot="1" x14ac:dyDescent="0.2">
      <c r="F392">
        <v>598</v>
      </c>
    </row>
    <row r="393" spans="1:7" ht="14.25" thickBot="1" x14ac:dyDescent="0.2">
      <c r="B393" s="15"/>
      <c r="C393" s="24"/>
      <c r="D393" s="24"/>
      <c r="E393" s="24"/>
      <c r="F393" s="25"/>
    </row>
    <row r="394" spans="1:7" ht="14.25" thickBot="1" x14ac:dyDescent="0.2">
      <c r="A394" s="1"/>
      <c r="B394" s="15"/>
      <c r="C394" s="34" t="s">
        <v>7</v>
      </c>
      <c r="D394" s="35" t="s">
        <v>6</v>
      </c>
      <c r="E394" s="48" t="s">
        <v>9</v>
      </c>
      <c r="F394" s="5" t="s">
        <v>0</v>
      </c>
    </row>
    <row r="395" spans="1:7" x14ac:dyDescent="0.15">
      <c r="B395" s="26" t="s">
        <v>3</v>
      </c>
      <c r="C395" s="36">
        <f>C389</f>
        <v>6</v>
      </c>
      <c r="D395" s="32">
        <f t="shared" ref="D395" si="21">D389</f>
        <v>9</v>
      </c>
      <c r="E395" s="49">
        <f>E389</f>
        <v>4</v>
      </c>
      <c r="F395" s="56">
        <f>E395+D395+C395</f>
        <v>19</v>
      </c>
    </row>
    <row r="396" spans="1:7" x14ac:dyDescent="0.15">
      <c r="B396" s="27" t="s">
        <v>4</v>
      </c>
      <c r="C396" s="37">
        <v>5</v>
      </c>
      <c r="D396" s="31"/>
      <c r="E396" s="50"/>
      <c r="F396" s="8">
        <f>E396+D396+C396</f>
        <v>5</v>
      </c>
      <c r="G396" s="9">
        <v>45642</v>
      </c>
    </row>
    <row r="397" spans="1:7" x14ac:dyDescent="0.15">
      <c r="B397" s="27" t="s">
        <v>4</v>
      </c>
      <c r="C397" s="37"/>
      <c r="D397" s="31">
        <v>5</v>
      </c>
      <c r="E397" s="50">
        <v>5</v>
      </c>
      <c r="F397" s="8">
        <f t="shared" ref="F397:F428" si="22">E397+D397+C397</f>
        <v>10</v>
      </c>
      <c r="G397" s="9">
        <v>45647</v>
      </c>
    </row>
    <row r="398" spans="1:7" x14ac:dyDescent="0.15">
      <c r="B398" s="27" t="s">
        <v>4</v>
      </c>
      <c r="C398" s="37">
        <v>5</v>
      </c>
      <c r="D398" s="31"/>
      <c r="E398" s="50"/>
      <c r="F398" s="8">
        <f t="shared" si="22"/>
        <v>5</v>
      </c>
      <c r="G398" s="9">
        <v>45665</v>
      </c>
    </row>
    <row r="399" spans="1:7" x14ac:dyDescent="0.15">
      <c r="B399" s="27" t="s">
        <v>4</v>
      </c>
      <c r="C399" s="37"/>
      <c r="D399" s="31"/>
      <c r="E399" s="50">
        <v>3</v>
      </c>
      <c r="F399" s="8">
        <f t="shared" si="22"/>
        <v>3</v>
      </c>
      <c r="G399" s="9">
        <v>45725</v>
      </c>
    </row>
    <row r="400" spans="1:7" ht="14.25" thickBot="1" x14ac:dyDescent="0.2">
      <c r="B400" s="27" t="s">
        <v>4</v>
      </c>
      <c r="C400" s="37"/>
      <c r="D400" s="31">
        <v>10</v>
      </c>
      <c r="E400" s="50">
        <v>3</v>
      </c>
      <c r="F400" s="8">
        <f t="shared" si="22"/>
        <v>13</v>
      </c>
      <c r="G400" s="9">
        <v>45779</v>
      </c>
    </row>
    <row r="401" spans="2:7" ht="14.25" thickBot="1" x14ac:dyDescent="0.2">
      <c r="B401" s="28" t="s">
        <v>1</v>
      </c>
      <c r="C401" s="43">
        <f>SUM(C395:C400)</f>
        <v>16</v>
      </c>
      <c r="D401" s="44">
        <f>SUM(D395:D400)</f>
        <v>24</v>
      </c>
      <c r="E401" s="52">
        <f>SUM(E395:E400)</f>
        <v>15</v>
      </c>
      <c r="F401" s="4">
        <f t="shared" si="22"/>
        <v>55</v>
      </c>
    </row>
    <row r="402" spans="2:7" x14ac:dyDescent="0.15">
      <c r="B402" s="29" t="s">
        <v>8</v>
      </c>
      <c r="C402" s="37">
        <v>1</v>
      </c>
      <c r="D402" s="31">
        <v>1</v>
      </c>
      <c r="E402" s="50"/>
      <c r="F402" s="8">
        <f t="shared" si="22"/>
        <v>2</v>
      </c>
      <c r="G402" s="9">
        <v>45638</v>
      </c>
    </row>
    <row r="403" spans="2:7" x14ac:dyDescent="0.15">
      <c r="B403" s="29" t="s">
        <v>8</v>
      </c>
      <c r="C403" s="37"/>
      <c r="D403" s="31"/>
      <c r="E403" s="50">
        <v>1</v>
      </c>
      <c r="F403" s="8">
        <f t="shared" si="22"/>
        <v>1</v>
      </c>
      <c r="G403" s="9">
        <v>45643</v>
      </c>
    </row>
    <row r="404" spans="2:7" x14ac:dyDescent="0.15">
      <c r="B404" s="29" t="s">
        <v>8</v>
      </c>
      <c r="C404" s="37"/>
      <c r="D404" s="31">
        <v>1</v>
      </c>
      <c r="E404" s="50"/>
      <c r="F404" s="8">
        <f t="shared" si="22"/>
        <v>1</v>
      </c>
      <c r="G404" s="9">
        <v>45627</v>
      </c>
    </row>
    <row r="405" spans="2:7" x14ac:dyDescent="0.15">
      <c r="B405" s="29" t="s">
        <v>8</v>
      </c>
      <c r="C405" s="37">
        <v>1</v>
      </c>
      <c r="D405" s="31"/>
      <c r="E405" s="50">
        <v>1</v>
      </c>
      <c r="F405" s="8">
        <f t="shared" si="22"/>
        <v>2</v>
      </c>
      <c r="G405" s="9">
        <v>45664</v>
      </c>
    </row>
    <row r="406" spans="2:7" x14ac:dyDescent="0.15">
      <c r="B406" s="29" t="s">
        <v>8</v>
      </c>
      <c r="C406" s="37"/>
      <c r="D406" s="31">
        <f>1+1</f>
        <v>2</v>
      </c>
      <c r="E406" s="50">
        <v>1</v>
      </c>
      <c r="F406" s="8">
        <f t="shared" si="22"/>
        <v>3</v>
      </c>
      <c r="G406" s="9">
        <v>45671</v>
      </c>
    </row>
    <row r="407" spans="2:7" x14ac:dyDescent="0.15">
      <c r="B407" s="29" t="s">
        <v>8</v>
      </c>
      <c r="C407" s="37">
        <v>1</v>
      </c>
      <c r="D407" s="31"/>
      <c r="E407" s="50"/>
      <c r="F407" s="8">
        <f t="shared" si="22"/>
        <v>1</v>
      </c>
      <c r="G407" s="9">
        <v>45675</v>
      </c>
    </row>
    <row r="408" spans="2:7" x14ac:dyDescent="0.15">
      <c r="B408" s="29" t="s">
        <v>8</v>
      </c>
      <c r="C408" s="37">
        <v>1</v>
      </c>
      <c r="D408" s="31">
        <v>1</v>
      </c>
      <c r="E408" s="50"/>
      <c r="F408" s="8">
        <f t="shared" si="22"/>
        <v>2</v>
      </c>
      <c r="G408" s="9">
        <v>45684</v>
      </c>
    </row>
    <row r="409" spans="2:7" x14ac:dyDescent="0.15">
      <c r="B409" s="29" t="s">
        <v>8</v>
      </c>
      <c r="C409" s="37">
        <v>1</v>
      </c>
      <c r="D409" s="31"/>
      <c r="E409" s="50"/>
      <c r="F409" s="8">
        <f t="shared" si="22"/>
        <v>1</v>
      </c>
      <c r="G409" s="9">
        <v>45694</v>
      </c>
    </row>
    <row r="410" spans="2:7" x14ac:dyDescent="0.15">
      <c r="B410" s="29" t="s">
        <v>8</v>
      </c>
      <c r="C410" s="37"/>
      <c r="D410" s="31">
        <v>2</v>
      </c>
      <c r="E410" s="50">
        <v>1</v>
      </c>
      <c r="F410" s="8">
        <f t="shared" si="22"/>
        <v>3</v>
      </c>
      <c r="G410" s="9">
        <v>45700</v>
      </c>
    </row>
    <row r="411" spans="2:7" x14ac:dyDescent="0.15">
      <c r="B411" s="29" t="s">
        <v>8</v>
      </c>
      <c r="C411" s="37"/>
      <c r="D411" s="31"/>
      <c r="E411" s="50">
        <v>1</v>
      </c>
      <c r="F411" s="8">
        <f t="shared" si="22"/>
        <v>1</v>
      </c>
      <c r="G411" s="9">
        <v>45706</v>
      </c>
    </row>
    <row r="412" spans="2:7" x14ac:dyDescent="0.15">
      <c r="B412" s="29" t="s">
        <v>8</v>
      </c>
      <c r="C412" s="37"/>
      <c r="D412" s="31">
        <v>1</v>
      </c>
      <c r="E412" s="50"/>
      <c r="F412" s="8">
        <f t="shared" si="22"/>
        <v>1</v>
      </c>
      <c r="G412" s="9">
        <v>45713</v>
      </c>
    </row>
    <row r="413" spans="2:7" x14ac:dyDescent="0.15">
      <c r="B413" s="29" t="s">
        <v>8</v>
      </c>
      <c r="C413" s="37"/>
      <c r="D413" s="31">
        <v>1</v>
      </c>
      <c r="E413" s="50"/>
      <c r="F413" s="8">
        <f t="shared" si="22"/>
        <v>1</v>
      </c>
      <c r="G413" s="9">
        <v>45715</v>
      </c>
    </row>
    <row r="414" spans="2:7" x14ac:dyDescent="0.15">
      <c r="B414" s="29" t="s">
        <v>8</v>
      </c>
      <c r="C414" s="37"/>
      <c r="D414" s="31"/>
      <c r="E414" s="50">
        <v>1</v>
      </c>
      <c r="F414" s="8">
        <f t="shared" si="22"/>
        <v>1</v>
      </c>
      <c r="G414" s="9">
        <v>45720</v>
      </c>
    </row>
    <row r="415" spans="2:7" x14ac:dyDescent="0.15">
      <c r="B415" s="29" t="s">
        <v>8</v>
      </c>
      <c r="C415" s="37"/>
      <c r="D415" s="31"/>
      <c r="E415" s="50">
        <v>1</v>
      </c>
      <c r="F415" s="8">
        <f t="shared" si="22"/>
        <v>1</v>
      </c>
      <c r="G415" s="9">
        <v>45726</v>
      </c>
    </row>
    <row r="416" spans="2:7" x14ac:dyDescent="0.15">
      <c r="B416" s="29" t="s">
        <v>8</v>
      </c>
      <c r="C416" s="37">
        <v>1</v>
      </c>
      <c r="D416" s="31"/>
      <c r="E416" s="50"/>
      <c r="F416" s="8">
        <f t="shared" si="22"/>
        <v>1</v>
      </c>
      <c r="G416" s="9">
        <v>45733</v>
      </c>
    </row>
    <row r="417" spans="2:7" x14ac:dyDescent="0.15">
      <c r="B417" s="29" t="s">
        <v>8</v>
      </c>
      <c r="C417" s="37">
        <v>1</v>
      </c>
      <c r="D417" s="31"/>
      <c r="E417" s="50"/>
      <c r="F417" s="8">
        <f t="shared" si="22"/>
        <v>1</v>
      </c>
      <c r="G417" s="9">
        <v>45740</v>
      </c>
    </row>
    <row r="418" spans="2:7" x14ac:dyDescent="0.15">
      <c r="B418" s="29" t="s">
        <v>8</v>
      </c>
      <c r="C418" s="37">
        <v>1</v>
      </c>
      <c r="D418" s="31"/>
      <c r="E418" s="50"/>
      <c r="F418" s="8">
        <f t="shared" si="22"/>
        <v>1</v>
      </c>
      <c r="G418" s="9">
        <v>45741</v>
      </c>
    </row>
    <row r="419" spans="2:7" x14ac:dyDescent="0.15">
      <c r="B419" s="29" t="s">
        <v>8</v>
      </c>
      <c r="C419" s="37"/>
      <c r="D419" s="31"/>
      <c r="E419" s="50">
        <v>1</v>
      </c>
      <c r="F419" s="8">
        <f t="shared" si="22"/>
        <v>1</v>
      </c>
      <c r="G419" s="9">
        <v>45745</v>
      </c>
    </row>
    <row r="420" spans="2:7" x14ac:dyDescent="0.15">
      <c r="B420" s="29" t="s">
        <v>8</v>
      </c>
      <c r="C420" s="37"/>
      <c r="D420" s="31">
        <v>1</v>
      </c>
      <c r="E420" s="50"/>
      <c r="F420" s="8">
        <f t="shared" si="22"/>
        <v>1</v>
      </c>
      <c r="G420" s="9">
        <v>45757</v>
      </c>
    </row>
    <row r="421" spans="2:7" x14ac:dyDescent="0.15">
      <c r="B421" s="29" t="s">
        <v>8</v>
      </c>
      <c r="C421" s="37"/>
      <c r="D421" s="31">
        <v>2</v>
      </c>
      <c r="E421" s="50"/>
      <c r="F421" s="8">
        <f t="shared" si="22"/>
        <v>2</v>
      </c>
      <c r="G421" s="9">
        <v>45775</v>
      </c>
    </row>
    <row r="422" spans="2:7" x14ac:dyDescent="0.15">
      <c r="B422" s="57"/>
      <c r="C422" s="58">
        <v>-2</v>
      </c>
      <c r="D422" s="59">
        <v>1</v>
      </c>
      <c r="E422" s="60"/>
      <c r="F422" s="61">
        <f t="shared" si="22"/>
        <v>-1</v>
      </c>
      <c r="G422" s="62"/>
    </row>
    <row r="423" spans="2:7" x14ac:dyDescent="0.15">
      <c r="B423" s="29" t="s">
        <v>8</v>
      </c>
      <c r="C423" s="37"/>
      <c r="D423" s="31">
        <v>1</v>
      </c>
      <c r="E423" s="50">
        <v>1</v>
      </c>
      <c r="F423" s="8">
        <f t="shared" si="22"/>
        <v>2</v>
      </c>
      <c r="G423" s="9">
        <v>45778</v>
      </c>
    </row>
    <row r="424" spans="2:7" x14ac:dyDescent="0.15">
      <c r="B424" s="29" t="s">
        <v>8</v>
      </c>
      <c r="C424" s="37"/>
      <c r="D424" s="31">
        <v>2</v>
      </c>
      <c r="E424" s="50">
        <v>1</v>
      </c>
      <c r="F424" s="8">
        <f t="shared" si="22"/>
        <v>3</v>
      </c>
      <c r="G424" s="9">
        <v>45784</v>
      </c>
    </row>
    <row r="425" spans="2:7" x14ac:dyDescent="0.15">
      <c r="B425" s="29" t="s">
        <v>8</v>
      </c>
      <c r="C425" s="37"/>
      <c r="D425" s="31"/>
      <c r="E425" s="50">
        <v>1</v>
      </c>
      <c r="F425" s="8">
        <f t="shared" si="22"/>
        <v>1</v>
      </c>
      <c r="G425" s="9">
        <v>45786</v>
      </c>
    </row>
    <row r="426" spans="2:7" ht="14.25" thickBot="1" x14ac:dyDescent="0.2">
      <c r="B426" s="29" t="s">
        <v>8</v>
      </c>
      <c r="C426" s="39"/>
      <c r="D426" s="40">
        <v>2</v>
      </c>
      <c r="E426" s="51"/>
      <c r="F426" s="6">
        <f t="shared" si="22"/>
        <v>2</v>
      </c>
      <c r="G426" s="9">
        <v>45807</v>
      </c>
    </row>
    <row r="427" spans="2:7" ht="14.25" thickBot="1" x14ac:dyDescent="0.2">
      <c r="B427" s="28" t="s">
        <v>2</v>
      </c>
      <c r="C427" s="43">
        <f>SUM(C402:C426)</f>
        <v>6</v>
      </c>
      <c r="D427" s="44">
        <f>SUM(D402:D426)</f>
        <v>18</v>
      </c>
      <c r="E427" s="52">
        <f>SUM(E402:E426)</f>
        <v>11</v>
      </c>
      <c r="F427" s="4">
        <f t="shared" si="22"/>
        <v>35</v>
      </c>
    </row>
    <row r="428" spans="2:7" ht="14.25" thickBot="1" x14ac:dyDescent="0.2">
      <c r="B428" s="30" t="s">
        <v>3</v>
      </c>
      <c r="C428" s="46">
        <f>+C401-C427</f>
        <v>10</v>
      </c>
      <c r="D428" s="47">
        <f>+D401-D427</f>
        <v>6</v>
      </c>
      <c r="E428" s="54">
        <f>+E401-E427</f>
        <v>4</v>
      </c>
      <c r="F428" s="2">
        <f t="shared" si="22"/>
        <v>20</v>
      </c>
    </row>
    <row r="430" spans="2:7" ht="18.75" x14ac:dyDescent="0.2">
      <c r="B430" s="17" t="s">
        <v>10</v>
      </c>
      <c r="C430" s="16"/>
      <c r="D430" s="16"/>
      <c r="E430" s="16"/>
      <c r="F430" s="16" t="s">
        <v>11</v>
      </c>
    </row>
    <row r="431" spans="2:7" ht="14.25" thickBot="1" x14ac:dyDescent="0.2">
      <c r="F431">
        <v>598</v>
      </c>
    </row>
    <row r="432" spans="2:7" ht="14.25" thickBot="1" x14ac:dyDescent="0.2">
      <c r="B432" s="15"/>
      <c r="C432" s="24"/>
      <c r="D432" s="24"/>
      <c r="E432" s="24"/>
      <c r="F432" s="25"/>
    </row>
    <row r="433" spans="1:7" ht="14.25" thickBot="1" x14ac:dyDescent="0.2">
      <c r="A433" s="1"/>
      <c r="B433" s="15"/>
      <c r="C433" s="34" t="s">
        <v>7</v>
      </c>
      <c r="D433" s="35" t="s">
        <v>6</v>
      </c>
      <c r="E433" s="48" t="s">
        <v>9</v>
      </c>
      <c r="F433" s="5" t="s">
        <v>0</v>
      </c>
    </row>
    <row r="434" spans="1:7" x14ac:dyDescent="0.15">
      <c r="B434" s="26" t="s">
        <v>3</v>
      </c>
      <c r="C434" s="36">
        <f>C428</f>
        <v>10</v>
      </c>
      <c r="D434" s="32">
        <f t="shared" ref="D434" si="23">D428</f>
        <v>6</v>
      </c>
      <c r="E434" s="49">
        <f>E428</f>
        <v>4</v>
      </c>
      <c r="F434" s="56">
        <f>E434+D434+C434</f>
        <v>20</v>
      </c>
    </row>
    <row r="435" spans="1:7" x14ac:dyDescent="0.15">
      <c r="B435" s="27" t="s">
        <v>4</v>
      </c>
      <c r="C435" s="37"/>
      <c r="D435" s="31"/>
      <c r="E435" s="50">
        <v>3</v>
      </c>
      <c r="F435" s="8">
        <f>E435+D435+C435</f>
        <v>3</v>
      </c>
      <c r="G435" s="9">
        <v>45806</v>
      </c>
    </row>
    <row r="436" spans="1:7" x14ac:dyDescent="0.15">
      <c r="B436" s="27" t="s">
        <v>4</v>
      </c>
      <c r="C436" s="37"/>
      <c r="D436" s="31">
        <v>10</v>
      </c>
      <c r="E436" s="50">
        <v>5</v>
      </c>
      <c r="F436" s="8">
        <f t="shared" ref="F436:F467" si="24">E436+D436+C436</f>
        <v>15</v>
      </c>
      <c r="G436" s="9">
        <v>45812</v>
      </c>
    </row>
    <row r="437" spans="1:7" x14ac:dyDescent="0.15">
      <c r="B437" s="27" t="s">
        <v>4</v>
      </c>
      <c r="C437" s="37">
        <v>-2</v>
      </c>
      <c r="D437" s="31"/>
      <c r="E437" s="50">
        <v>-1</v>
      </c>
      <c r="F437" s="8">
        <f t="shared" si="24"/>
        <v>-3</v>
      </c>
      <c r="G437" s="9"/>
    </row>
    <row r="438" spans="1:7" x14ac:dyDescent="0.15">
      <c r="B438" s="27" t="s">
        <v>4</v>
      </c>
      <c r="C438" s="37">
        <v>10</v>
      </c>
      <c r="D438" s="31">
        <v>5</v>
      </c>
      <c r="E438" s="50"/>
      <c r="F438" s="8">
        <f t="shared" si="24"/>
        <v>15</v>
      </c>
      <c r="G438" s="9">
        <v>45838</v>
      </c>
    </row>
    <row r="439" spans="1:7" ht="14.25" thickBot="1" x14ac:dyDescent="0.2">
      <c r="B439" s="27" t="s">
        <v>4</v>
      </c>
      <c r="C439" s="37">
        <v>5</v>
      </c>
      <c r="D439" s="31"/>
      <c r="E439" s="50"/>
      <c r="F439" s="8">
        <f t="shared" si="24"/>
        <v>5</v>
      </c>
      <c r="G439" s="9">
        <v>45847</v>
      </c>
    </row>
    <row r="440" spans="1:7" ht="14.25" thickBot="1" x14ac:dyDescent="0.2">
      <c r="B440" s="28" t="s">
        <v>1</v>
      </c>
      <c r="C440" s="43">
        <f>SUM(C434:C439)</f>
        <v>23</v>
      </c>
      <c r="D440" s="44">
        <f>SUM(D434:D439)</f>
        <v>21</v>
      </c>
      <c r="E440" s="52">
        <f>SUM(E434:E439)</f>
        <v>11</v>
      </c>
      <c r="F440" s="4">
        <f t="shared" si="24"/>
        <v>55</v>
      </c>
    </row>
    <row r="441" spans="1:7" x14ac:dyDescent="0.15">
      <c r="B441" s="29" t="s">
        <v>8</v>
      </c>
      <c r="C441" s="37">
        <v>2</v>
      </c>
      <c r="D441" s="31">
        <v>1</v>
      </c>
      <c r="E441" s="50"/>
      <c r="F441" s="8">
        <f t="shared" si="24"/>
        <v>3</v>
      </c>
      <c r="G441" s="9">
        <v>45810</v>
      </c>
    </row>
    <row r="442" spans="1:7" x14ac:dyDescent="0.15">
      <c r="B442" s="29" t="s">
        <v>8</v>
      </c>
      <c r="C442" s="37">
        <v>2</v>
      </c>
      <c r="D442" s="31">
        <v>1</v>
      </c>
      <c r="E442" s="50"/>
      <c r="F442" s="8">
        <f t="shared" si="24"/>
        <v>3</v>
      </c>
      <c r="G442" s="9">
        <v>45811</v>
      </c>
    </row>
    <row r="443" spans="1:7" x14ac:dyDescent="0.15">
      <c r="B443" s="29" t="s">
        <v>8</v>
      </c>
      <c r="C443" s="37">
        <f>1+2</f>
        <v>3</v>
      </c>
      <c r="D443" s="31">
        <v>1</v>
      </c>
      <c r="E443" s="50">
        <v>1</v>
      </c>
      <c r="F443" s="8">
        <f t="shared" si="24"/>
        <v>5</v>
      </c>
      <c r="G443" s="9">
        <v>45814</v>
      </c>
    </row>
    <row r="444" spans="1:7" x14ac:dyDescent="0.15">
      <c r="B444" s="29" t="s">
        <v>8</v>
      </c>
      <c r="C444" s="37"/>
      <c r="D444" s="31">
        <f>1+2</f>
        <v>3</v>
      </c>
      <c r="E444" s="50">
        <v>2</v>
      </c>
      <c r="F444" s="8">
        <f t="shared" si="24"/>
        <v>5</v>
      </c>
      <c r="G444" s="9">
        <v>45817</v>
      </c>
    </row>
    <row r="445" spans="1:7" x14ac:dyDescent="0.15">
      <c r="B445" s="29" t="s">
        <v>8</v>
      </c>
      <c r="C445" s="37"/>
      <c r="D445" s="31">
        <v>1</v>
      </c>
      <c r="E445" s="50"/>
      <c r="F445" s="8">
        <f t="shared" si="24"/>
        <v>1</v>
      </c>
      <c r="G445" s="9">
        <v>45819</v>
      </c>
    </row>
    <row r="446" spans="1:7" x14ac:dyDescent="0.15">
      <c r="B446" s="29" t="s">
        <v>8</v>
      </c>
      <c r="C446" s="37"/>
      <c r="D446" s="31"/>
      <c r="E446" s="50">
        <v>1</v>
      </c>
      <c r="F446" s="8">
        <f t="shared" si="24"/>
        <v>1</v>
      </c>
      <c r="G446" s="9">
        <v>45834</v>
      </c>
    </row>
    <row r="447" spans="1:7" x14ac:dyDescent="0.15">
      <c r="B447" s="29" t="s">
        <v>8</v>
      </c>
      <c r="C447" s="37">
        <v>2</v>
      </c>
      <c r="D447" s="31"/>
      <c r="E447" s="50"/>
      <c r="F447" s="8">
        <f t="shared" si="24"/>
        <v>2</v>
      </c>
      <c r="G447" s="9">
        <v>45841</v>
      </c>
    </row>
    <row r="448" spans="1:7" x14ac:dyDescent="0.15">
      <c r="B448" s="29" t="s">
        <v>8</v>
      </c>
      <c r="C448" s="37">
        <v>1</v>
      </c>
      <c r="D448" s="31"/>
      <c r="E448" s="50">
        <v>1</v>
      </c>
      <c r="F448" s="8">
        <f t="shared" si="24"/>
        <v>2</v>
      </c>
      <c r="G448" s="9">
        <v>45845</v>
      </c>
    </row>
    <row r="449" spans="2:7" x14ac:dyDescent="0.15">
      <c r="B449" s="29" t="s">
        <v>8</v>
      </c>
      <c r="C449" s="37"/>
      <c r="D449" s="31">
        <v>1</v>
      </c>
      <c r="E449" s="50"/>
      <c r="F449" s="8">
        <f t="shared" si="24"/>
        <v>1</v>
      </c>
      <c r="G449" s="9">
        <v>45852</v>
      </c>
    </row>
    <row r="450" spans="2:7" x14ac:dyDescent="0.15">
      <c r="B450" s="29" t="s">
        <v>8</v>
      </c>
      <c r="C450" s="37"/>
      <c r="D450" s="31"/>
      <c r="E450" s="50">
        <v>2</v>
      </c>
      <c r="F450" s="8">
        <f t="shared" si="24"/>
        <v>2</v>
      </c>
      <c r="G450" s="9">
        <v>45860</v>
      </c>
    </row>
    <row r="451" spans="2:7" x14ac:dyDescent="0.15">
      <c r="B451" s="29" t="s">
        <v>8</v>
      </c>
      <c r="C451" s="37"/>
      <c r="D451" s="31"/>
      <c r="E451" s="50">
        <v>1</v>
      </c>
      <c r="F451" s="8">
        <f t="shared" si="24"/>
        <v>1</v>
      </c>
      <c r="G451" s="9">
        <v>45862</v>
      </c>
    </row>
    <row r="452" spans="2:7" x14ac:dyDescent="0.15">
      <c r="B452" s="29" t="s">
        <v>8</v>
      </c>
      <c r="C452" s="37"/>
      <c r="D452" s="31">
        <v>1</v>
      </c>
      <c r="E452" s="50">
        <v>1</v>
      </c>
      <c r="F452" s="8">
        <f t="shared" si="24"/>
        <v>2</v>
      </c>
      <c r="G452" s="9">
        <v>45867</v>
      </c>
    </row>
    <row r="453" spans="2:7" x14ac:dyDescent="0.15">
      <c r="B453" s="29" t="s">
        <v>8</v>
      </c>
      <c r="C453" s="37">
        <v>1</v>
      </c>
      <c r="D453" s="31"/>
      <c r="E453" s="50">
        <f>1+1</f>
        <v>2</v>
      </c>
      <c r="F453" s="8">
        <f t="shared" si="24"/>
        <v>3</v>
      </c>
      <c r="G453" s="9">
        <v>45874</v>
      </c>
    </row>
    <row r="454" spans="2:7" x14ac:dyDescent="0.15">
      <c r="B454" s="29"/>
      <c r="C454" s="37"/>
      <c r="D454" s="31"/>
      <c r="E454" s="50"/>
      <c r="F454" s="8">
        <f t="shared" si="24"/>
        <v>0</v>
      </c>
      <c r="G454" s="9"/>
    </row>
    <row r="455" spans="2:7" x14ac:dyDescent="0.15">
      <c r="B455" s="29"/>
      <c r="C455" s="37"/>
      <c r="D455" s="31"/>
      <c r="E455" s="50"/>
      <c r="F455" s="8">
        <f t="shared" si="24"/>
        <v>0</v>
      </c>
      <c r="G455" s="9"/>
    </row>
    <row r="456" spans="2:7" x14ac:dyDescent="0.15">
      <c r="B456" s="29"/>
      <c r="C456" s="37"/>
      <c r="D456" s="31"/>
      <c r="E456" s="50"/>
      <c r="F456" s="8">
        <f t="shared" si="24"/>
        <v>0</v>
      </c>
      <c r="G456" s="9"/>
    </row>
    <row r="457" spans="2:7" x14ac:dyDescent="0.15">
      <c r="B457" s="29"/>
      <c r="C457" s="37"/>
      <c r="D457" s="31"/>
      <c r="E457" s="50"/>
      <c r="F457" s="8">
        <f t="shared" si="24"/>
        <v>0</v>
      </c>
      <c r="G457" s="9"/>
    </row>
    <row r="458" spans="2:7" x14ac:dyDescent="0.15">
      <c r="B458" s="29"/>
      <c r="C458" s="37"/>
      <c r="D458" s="31"/>
      <c r="E458" s="50"/>
      <c r="F458" s="8">
        <f t="shared" si="24"/>
        <v>0</v>
      </c>
      <c r="G458" s="9"/>
    </row>
    <row r="459" spans="2:7" x14ac:dyDescent="0.15">
      <c r="B459" s="29"/>
      <c r="C459" s="37"/>
      <c r="D459" s="31"/>
      <c r="E459" s="50"/>
      <c r="F459" s="8">
        <f t="shared" si="24"/>
        <v>0</v>
      </c>
      <c r="G459" s="9"/>
    </row>
    <row r="460" spans="2:7" x14ac:dyDescent="0.15">
      <c r="B460" s="29"/>
      <c r="C460" s="37"/>
      <c r="D460" s="31"/>
      <c r="E460" s="50"/>
      <c r="F460" s="8">
        <f t="shared" si="24"/>
        <v>0</v>
      </c>
      <c r="G460" s="9"/>
    </row>
    <row r="461" spans="2:7" x14ac:dyDescent="0.15">
      <c r="B461" s="57"/>
      <c r="C461" s="58"/>
      <c r="D461" s="59"/>
      <c r="E461" s="60"/>
      <c r="F461" s="61">
        <f t="shared" si="24"/>
        <v>0</v>
      </c>
      <c r="G461" s="62"/>
    </row>
    <row r="462" spans="2:7" x14ac:dyDescent="0.15">
      <c r="B462" s="29"/>
      <c r="C462" s="37"/>
      <c r="D462" s="31"/>
      <c r="E462" s="50"/>
      <c r="F462" s="8">
        <f t="shared" si="24"/>
        <v>0</v>
      </c>
      <c r="G462" s="9"/>
    </row>
    <row r="463" spans="2:7" x14ac:dyDescent="0.15">
      <c r="B463" s="29"/>
      <c r="C463" s="37"/>
      <c r="D463" s="31"/>
      <c r="E463" s="50"/>
      <c r="F463" s="8">
        <f t="shared" si="24"/>
        <v>0</v>
      </c>
      <c r="G463" s="9"/>
    </row>
    <row r="464" spans="2:7" x14ac:dyDescent="0.15">
      <c r="B464" s="29"/>
      <c r="C464" s="37"/>
      <c r="D464" s="31"/>
      <c r="E464" s="50"/>
      <c r="F464" s="8">
        <f t="shared" si="24"/>
        <v>0</v>
      </c>
      <c r="G464" s="9"/>
    </row>
    <row r="465" spans="1:7" ht="14.25" thickBot="1" x14ac:dyDescent="0.2">
      <c r="B465" s="45"/>
      <c r="C465" s="39"/>
      <c r="D465" s="40"/>
      <c r="E465" s="51"/>
      <c r="F465" s="6">
        <f t="shared" si="24"/>
        <v>0</v>
      </c>
    </row>
    <row r="466" spans="1:7" ht="14.25" thickBot="1" x14ac:dyDescent="0.2">
      <c r="B466" s="28" t="s">
        <v>2</v>
      </c>
      <c r="C466" s="43">
        <f>SUM(C441:C465)</f>
        <v>11</v>
      </c>
      <c r="D466" s="44">
        <f>SUM(D441:D465)</f>
        <v>9</v>
      </c>
      <c r="E466" s="52">
        <f>SUM(E441:E465)</f>
        <v>11</v>
      </c>
      <c r="F466" s="4">
        <f t="shared" si="24"/>
        <v>31</v>
      </c>
    </row>
    <row r="467" spans="1:7" ht="14.25" thickBot="1" x14ac:dyDescent="0.2">
      <c r="B467" s="30" t="s">
        <v>3</v>
      </c>
      <c r="C467" s="46">
        <f>+C440-C466</f>
        <v>12</v>
      </c>
      <c r="D467" s="47">
        <f>+D440-D466</f>
        <v>12</v>
      </c>
      <c r="E467" s="54">
        <f>+E440-E466</f>
        <v>0</v>
      </c>
      <c r="F467" s="2">
        <f t="shared" si="24"/>
        <v>24</v>
      </c>
    </row>
    <row r="469" spans="1:7" ht="18.75" x14ac:dyDescent="0.2">
      <c r="B469" s="17" t="s">
        <v>10</v>
      </c>
      <c r="C469" s="16"/>
      <c r="D469" s="16"/>
      <c r="E469" s="16"/>
      <c r="F469" s="16" t="s">
        <v>11</v>
      </c>
    </row>
    <row r="470" spans="1:7" ht="14.25" thickBot="1" x14ac:dyDescent="0.2">
      <c r="F470">
        <v>598</v>
      </c>
    </row>
    <row r="471" spans="1:7" ht="14.25" thickBot="1" x14ac:dyDescent="0.2">
      <c r="B471" s="15"/>
      <c r="C471" s="24"/>
      <c r="D471" s="24"/>
      <c r="E471" s="24"/>
      <c r="F471" s="25"/>
    </row>
    <row r="472" spans="1:7" ht="14.25" thickBot="1" x14ac:dyDescent="0.2">
      <c r="A472" s="1"/>
      <c r="B472" s="15"/>
      <c r="C472" s="34" t="s">
        <v>7</v>
      </c>
      <c r="D472" s="35" t="s">
        <v>6</v>
      </c>
      <c r="E472" s="48" t="s">
        <v>9</v>
      </c>
      <c r="F472" s="5" t="s">
        <v>0</v>
      </c>
    </row>
    <row r="473" spans="1:7" x14ac:dyDescent="0.15">
      <c r="B473" s="26" t="s">
        <v>3</v>
      </c>
      <c r="C473" s="36">
        <f>C467</f>
        <v>12</v>
      </c>
      <c r="D473" s="32">
        <f t="shared" ref="D473" si="25">D467</f>
        <v>12</v>
      </c>
      <c r="E473" s="49">
        <f>E467</f>
        <v>0</v>
      </c>
      <c r="F473" s="56">
        <f>E473+D473+C473</f>
        <v>24</v>
      </c>
    </row>
    <row r="474" spans="1:7" x14ac:dyDescent="0.15">
      <c r="B474" s="27" t="s">
        <v>4</v>
      </c>
      <c r="C474" s="37"/>
      <c r="D474" s="31"/>
      <c r="E474" s="50">
        <v>10</v>
      </c>
      <c r="F474" s="8">
        <f>E474+D474+C474</f>
        <v>10</v>
      </c>
      <c r="G474" s="9">
        <v>45875</v>
      </c>
    </row>
    <row r="475" spans="1:7" x14ac:dyDescent="0.15">
      <c r="B475" s="27" t="s">
        <v>4</v>
      </c>
      <c r="C475" s="37">
        <v>10</v>
      </c>
      <c r="D475" s="31"/>
      <c r="E475" s="50"/>
      <c r="F475" s="8">
        <f t="shared" ref="F475:F506" si="26">E475+D475+C475</f>
        <v>10</v>
      </c>
      <c r="G475" s="9">
        <v>45926</v>
      </c>
    </row>
    <row r="476" spans="1:7" x14ac:dyDescent="0.15">
      <c r="B476" s="27" t="s">
        <v>4</v>
      </c>
      <c r="C476" s="37">
        <v>10</v>
      </c>
      <c r="D476" s="31">
        <v>10</v>
      </c>
      <c r="E476" s="50">
        <v>5</v>
      </c>
      <c r="F476" s="8">
        <f t="shared" si="26"/>
        <v>25</v>
      </c>
      <c r="G476" s="9">
        <v>45946</v>
      </c>
    </row>
    <row r="477" spans="1:7" x14ac:dyDescent="0.15">
      <c r="B477" s="27" t="s">
        <v>4</v>
      </c>
      <c r="C477" s="37"/>
      <c r="D477" s="31"/>
      <c r="E477" s="50">
        <v>5</v>
      </c>
      <c r="F477" s="8">
        <f t="shared" si="26"/>
        <v>5</v>
      </c>
      <c r="G477" s="9">
        <v>45971</v>
      </c>
    </row>
    <row r="478" spans="1:7" ht="14.25" thickBot="1" x14ac:dyDescent="0.2">
      <c r="B478" s="27" t="s">
        <v>4</v>
      </c>
      <c r="C478" s="37"/>
      <c r="D478" s="31"/>
      <c r="E478" s="50"/>
      <c r="F478" s="8">
        <f t="shared" si="26"/>
        <v>0</v>
      </c>
      <c r="G478" s="9"/>
    </row>
    <row r="479" spans="1:7" ht="14.25" thickBot="1" x14ac:dyDescent="0.2">
      <c r="B479" s="28" t="s">
        <v>1</v>
      </c>
      <c r="C479" s="43">
        <f>SUM(C473:C478)</f>
        <v>32</v>
      </c>
      <c r="D479" s="44">
        <f>SUM(D473:D478)</f>
        <v>22</v>
      </c>
      <c r="E479" s="52">
        <f>SUM(E473:E478)</f>
        <v>20</v>
      </c>
      <c r="F479" s="4">
        <f t="shared" si="26"/>
        <v>74</v>
      </c>
    </row>
    <row r="480" spans="1:7" x14ac:dyDescent="0.15">
      <c r="B480" s="29" t="s">
        <v>8</v>
      </c>
      <c r="C480" s="37">
        <v>1</v>
      </c>
      <c r="D480" s="31"/>
      <c r="E480" s="50"/>
      <c r="F480" s="8">
        <f t="shared" si="26"/>
        <v>1</v>
      </c>
      <c r="G480" s="9">
        <v>45877</v>
      </c>
    </row>
    <row r="481" spans="2:7" x14ac:dyDescent="0.15">
      <c r="B481" s="29" t="s">
        <v>8</v>
      </c>
      <c r="C481" s="37">
        <v>1</v>
      </c>
      <c r="D481" s="31"/>
      <c r="E481" s="50"/>
      <c r="F481" s="8">
        <f t="shared" si="26"/>
        <v>1</v>
      </c>
      <c r="G481" s="9">
        <v>45887</v>
      </c>
    </row>
    <row r="482" spans="2:7" x14ac:dyDescent="0.15">
      <c r="B482" s="29" t="s">
        <v>15</v>
      </c>
      <c r="C482" s="37">
        <v>0</v>
      </c>
      <c r="D482" s="31">
        <v>0</v>
      </c>
      <c r="E482" s="50">
        <v>0</v>
      </c>
      <c r="F482" s="8">
        <f t="shared" si="26"/>
        <v>0</v>
      </c>
      <c r="G482" s="9">
        <v>45889</v>
      </c>
    </row>
    <row r="483" spans="2:7" x14ac:dyDescent="0.15">
      <c r="B483" s="29" t="s">
        <v>8</v>
      </c>
      <c r="C483" s="37">
        <v>2</v>
      </c>
      <c r="D483" s="31"/>
      <c r="E483" s="50"/>
      <c r="F483" s="8">
        <f t="shared" si="26"/>
        <v>2</v>
      </c>
      <c r="G483" s="9">
        <v>45891</v>
      </c>
    </row>
    <row r="484" spans="2:7" x14ac:dyDescent="0.15">
      <c r="B484" s="29" t="s">
        <v>8</v>
      </c>
      <c r="C484" s="37">
        <v>1</v>
      </c>
      <c r="D484" s="31">
        <v>1</v>
      </c>
      <c r="E484" s="50">
        <v>1</v>
      </c>
      <c r="F484" s="8">
        <f t="shared" si="26"/>
        <v>3</v>
      </c>
      <c r="G484" s="9">
        <v>45894</v>
      </c>
    </row>
    <row r="485" spans="2:7" x14ac:dyDescent="0.15">
      <c r="B485" s="29" t="s">
        <v>8</v>
      </c>
      <c r="C485" s="37"/>
      <c r="D485" s="31">
        <v>1</v>
      </c>
      <c r="E485" s="50"/>
      <c r="F485" s="8">
        <f t="shared" si="26"/>
        <v>1</v>
      </c>
      <c r="G485" s="9">
        <v>45896</v>
      </c>
    </row>
    <row r="486" spans="2:7" x14ac:dyDescent="0.15">
      <c r="B486" s="29" t="s">
        <v>8</v>
      </c>
      <c r="C486" s="37">
        <v>1</v>
      </c>
      <c r="D486" s="31">
        <v>1</v>
      </c>
      <c r="E486" s="50"/>
      <c r="F486" s="8">
        <f t="shared" si="26"/>
        <v>2</v>
      </c>
      <c r="G486" s="9">
        <v>45898</v>
      </c>
    </row>
    <row r="487" spans="2:7" x14ac:dyDescent="0.15">
      <c r="B487" s="29" t="s">
        <v>8</v>
      </c>
      <c r="C487" s="37">
        <f>1+1</f>
        <v>2</v>
      </c>
      <c r="D487" s="31"/>
      <c r="E487" s="50"/>
      <c r="F487" s="8">
        <f t="shared" si="26"/>
        <v>2</v>
      </c>
      <c r="G487" s="9">
        <v>45904</v>
      </c>
    </row>
    <row r="488" spans="2:7" x14ac:dyDescent="0.15">
      <c r="B488" s="29" t="s">
        <v>8</v>
      </c>
      <c r="C488" s="37">
        <v>1</v>
      </c>
      <c r="D488" s="31"/>
      <c r="E488" s="50"/>
      <c r="F488" s="8">
        <f t="shared" si="26"/>
        <v>1</v>
      </c>
      <c r="G488" s="9">
        <v>45905</v>
      </c>
    </row>
    <row r="489" spans="2:7" x14ac:dyDescent="0.15">
      <c r="B489" s="29" t="s">
        <v>8</v>
      </c>
      <c r="C489" s="37"/>
      <c r="D489" s="31"/>
      <c r="E489" s="50">
        <v>1</v>
      </c>
      <c r="F489" s="8">
        <f t="shared" si="26"/>
        <v>1</v>
      </c>
      <c r="G489" s="9">
        <v>45909</v>
      </c>
    </row>
    <row r="490" spans="2:7" x14ac:dyDescent="0.15">
      <c r="B490" s="29" t="s">
        <v>8</v>
      </c>
      <c r="C490" s="37"/>
      <c r="D490" s="31"/>
      <c r="E490" s="50">
        <v>1</v>
      </c>
      <c r="F490" s="8">
        <f t="shared" si="26"/>
        <v>1</v>
      </c>
      <c r="G490" s="9">
        <v>45910</v>
      </c>
    </row>
    <row r="491" spans="2:7" x14ac:dyDescent="0.15">
      <c r="B491" s="29" t="s">
        <v>8</v>
      </c>
      <c r="C491" s="37">
        <v>2</v>
      </c>
      <c r="D491" s="31">
        <v>1</v>
      </c>
      <c r="E491" s="50">
        <v>1</v>
      </c>
      <c r="F491" s="8">
        <f t="shared" si="26"/>
        <v>4</v>
      </c>
      <c r="G491" s="9">
        <v>45911</v>
      </c>
    </row>
    <row r="492" spans="2:7" x14ac:dyDescent="0.15">
      <c r="B492" s="29" t="s">
        <v>8</v>
      </c>
      <c r="C492" s="37"/>
      <c r="D492" s="31"/>
      <c r="E492" s="50">
        <v>1</v>
      </c>
      <c r="F492" s="8">
        <f t="shared" si="26"/>
        <v>1</v>
      </c>
      <c r="G492" s="9">
        <v>45916</v>
      </c>
    </row>
    <row r="493" spans="2:7" x14ac:dyDescent="0.15">
      <c r="B493" s="29" t="s">
        <v>8</v>
      </c>
      <c r="C493" s="37"/>
      <c r="D493" s="31">
        <v>1</v>
      </c>
      <c r="E493" s="50"/>
      <c r="F493" s="8">
        <f t="shared" si="26"/>
        <v>1</v>
      </c>
      <c r="G493" s="9">
        <v>45919</v>
      </c>
    </row>
    <row r="494" spans="2:7" x14ac:dyDescent="0.15">
      <c r="B494" s="29" t="s">
        <v>8</v>
      </c>
      <c r="C494" s="37">
        <v>1</v>
      </c>
      <c r="D494" s="31"/>
      <c r="E494" s="50"/>
      <c r="F494" s="8">
        <f t="shared" si="26"/>
        <v>1</v>
      </c>
      <c r="G494" s="9">
        <v>45922</v>
      </c>
    </row>
    <row r="495" spans="2:7" x14ac:dyDescent="0.15">
      <c r="B495" s="29" t="s">
        <v>8</v>
      </c>
      <c r="C495" s="37"/>
      <c r="D495" s="31">
        <v>1</v>
      </c>
      <c r="E495" s="50"/>
      <c r="F495" s="8">
        <f t="shared" si="26"/>
        <v>1</v>
      </c>
      <c r="G495" s="9">
        <v>45929</v>
      </c>
    </row>
    <row r="496" spans="2:7" x14ac:dyDescent="0.15">
      <c r="B496" s="29" t="s">
        <v>8</v>
      </c>
      <c r="C496" s="37"/>
      <c r="D496" s="31"/>
      <c r="E496" s="50">
        <v>1</v>
      </c>
      <c r="F496" s="8">
        <f t="shared" si="26"/>
        <v>1</v>
      </c>
      <c r="G496" s="9">
        <v>45930</v>
      </c>
    </row>
    <row r="497" spans="1:7" x14ac:dyDescent="0.15">
      <c r="B497" s="29" t="s">
        <v>8</v>
      </c>
      <c r="C497" s="37"/>
      <c r="D497" s="31">
        <v>1</v>
      </c>
      <c r="E497" s="50"/>
      <c r="F497" s="8">
        <f t="shared" si="26"/>
        <v>1</v>
      </c>
      <c r="G497" s="9">
        <v>45932</v>
      </c>
    </row>
    <row r="498" spans="1:7" x14ac:dyDescent="0.15">
      <c r="B498" s="29" t="s">
        <v>8</v>
      </c>
      <c r="C498" s="37"/>
      <c r="D498" s="31">
        <v>3</v>
      </c>
      <c r="E498" s="50"/>
      <c r="F498" s="8">
        <f t="shared" si="26"/>
        <v>3</v>
      </c>
      <c r="G498" s="9">
        <v>45936</v>
      </c>
    </row>
    <row r="499" spans="1:7" x14ac:dyDescent="0.15">
      <c r="B499" s="29" t="s">
        <v>8</v>
      </c>
      <c r="C499" s="37">
        <v>1</v>
      </c>
      <c r="D499" s="31"/>
      <c r="E499" s="50">
        <v>1</v>
      </c>
      <c r="F499" s="8">
        <f t="shared" si="26"/>
        <v>2</v>
      </c>
      <c r="G499" s="9">
        <v>45937</v>
      </c>
    </row>
    <row r="500" spans="1:7" x14ac:dyDescent="0.15">
      <c r="B500" s="29" t="s">
        <v>8</v>
      </c>
      <c r="C500" s="37"/>
      <c r="D500" s="31">
        <v>1</v>
      </c>
      <c r="E500" s="50"/>
      <c r="F500" s="8">
        <f t="shared" si="26"/>
        <v>1</v>
      </c>
      <c r="G500" s="9">
        <v>45944</v>
      </c>
    </row>
    <row r="501" spans="1:7" x14ac:dyDescent="0.15">
      <c r="B501" s="29" t="s">
        <v>8</v>
      </c>
      <c r="C501" s="37">
        <v>1</v>
      </c>
      <c r="D501" s="31">
        <v>1</v>
      </c>
      <c r="E501" s="50"/>
      <c r="F501" s="8">
        <f t="shared" si="26"/>
        <v>2</v>
      </c>
      <c r="G501" s="9">
        <v>45959</v>
      </c>
    </row>
    <row r="502" spans="1:7" x14ac:dyDescent="0.15">
      <c r="B502" s="29" t="s">
        <v>8</v>
      </c>
      <c r="C502" s="37"/>
      <c r="D502" s="31"/>
      <c r="E502" s="50">
        <f>1+1</f>
        <v>2</v>
      </c>
      <c r="F502" s="8">
        <f t="shared" si="26"/>
        <v>2</v>
      </c>
      <c r="G502" s="9">
        <v>45961</v>
      </c>
    </row>
    <row r="503" spans="1:7" x14ac:dyDescent="0.15">
      <c r="B503" s="29" t="s">
        <v>8</v>
      </c>
      <c r="C503" s="37"/>
      <c r="D503" s="31">
        <v>1</v>
      </c>
      <c r="E503" s="50">
        <v>1</v>
      </c>
      <c r="F503" s="8">
        <f t="shared" si="26"/>
        <v>2</v>
      </c>
      <c r="G503" s="9">
        <v>45965</v>
      </c>
    </row>
    <row r="504" spans="1:7" ht="14.25" thickBot="1" x14ac:dyDescent="0.2">
      <c r="B504" s="29" t="s">
        <v>8</v>
      </c>
      <c r="C504" s="39">
        <v>1</v>
      </c>
      <c r="D504" s="40"/>
      <c r="E504" s="51"/>
      <c r="F504" s="6">
        <f t="shared" si="26"/>
        <v>1</v>
      </c>
      <c r="G504" s="9">
        <v>45979</v>
      </c>
    </row>
    <row r="505" spans="1:7" ht="14.25" thickBot="1" x14ac:dyDescent="0.2">
      <c r="B505" s="28" t="s">
        <v>2</v>
      </c>
      <c r="C505" s="43">
        <f>SUM(C480:C504)</f>
        <v>15</v>
      </c>
      <c r="D505" s="44">
        <f>SUM(D480:D504)</f>
        <v>13</v>
      </c>
      <c r="E505" s="52">
        <f>SUM(E480:E504)</f>
        <v>10</v>
      </c>
      <c r="F505" s="4">
        <f t="shared" si="26"/>
        <v>38</v>
      </c>
    </row>
    <row r="506" spans="1:7" ht="14.25" thickBot="1" x14ac:dyDescent="0.2">
      <c r="B506" s="30" t="s">
        <v>3</v>
      </c>
      <c r="C506" s="46">
        <f>+C479-C505</f>
        <v>17</v>
      </c>
      <c r="D506" s="47">
        <f>+D479-D505</f>
        <v>9</v>
      </c>
      <c r="E506" s="54">
        <f>+E479-E505</f>
        <v>10</v>
      </c>
      <c r="F506" s="2">
        <f t="shared" si="26"/>
        <v>36</v>
      </c>
    </row>
    <row r="508" spans="1:7" ht="18.75" x14ac:dyDescent="0.2">
      <c r="B508" s="17" t="s">
        <v>10</v>
      </c>
      <c r="C508" s="16"/>
      <c r="D508" s="16"/>
      <c r="E508" s="16"/>
      <c r="F508" s="16" t="s">
        <v>11</v>
      </c>
    </row>
    <row r="509" spans="1:7" ht="14.25" thickBot="1" x14ac:dyDescent="0.2">
      <c r="F509">
        <v>598</v>
      </c>
    </row>
    <row r="510" spans="1:7" ht="14.25" thickBot="1" x14ac:dyDescent="0.2">
      <c r="B510" s="15"/>
      <c r="C510" s="24"/>
      <c r="D510" s="24"/>
      <c r="E510" s="24"/>
      <c r="F510" s="25"/>
    </row>
    <row r="511" spans="1:7" ht="14.25" thickBot="1" x14ac:dyDescent="0.2">
      <c r="A511" s="1"/>
      <c r="B511" s="15"/>
      <c r="C511" s="34" t="s">
        <v>7</v>
      </c>
      <c r="D511" s="35" t="s">
        <v>6</v>
      </c>
      <c r="E511" s="48" t="s">
        <v>9</v>
      </c>
      <c r="F511" s="5" t="s">
        <v>0</v>
      </c>
    </row>
    <row r="512" spans="1:7" x14ac:dyDescent="0.15">
      <c r="B512" s="26" t="s">
        <v>3</v>
      </c>
      <c r="C512" s="36">
        <f>C506</f>
        <v>17</v>
      </c>
      <c r="D512" s="32">
        <f t="shared" ref="D512" si="27">D506</f>
        <v>9</v>
      </c>
      <c r="E512" s="49">
        <f>E506</f>
        <v>10</v>
      </c>
      <c r="F512" s="56">
        <f>E512+D512+C512</f>
        <v>36</v>
      </c>
    </row>
    <row r="513" spans="2:7" x14ac:dyDescent="0.15">
      <c r="B513" s="27" t="s">
        <v>4</v>
      </c>
      <c r="C513" s="37"/>
      <c r="D513" s="31">
        <v>3</v>
      </c>
      <c r="E513" s="50"/>
      <c r="F513" s="8">
        <f>E513+D513+C513</f>
        <v>3</v>
      </c>
      <c r="G513" s="9">
        <v>46136</v>
      </c>
    </row>
    <row r="514" spans="2:7" x14ac:dyDescent="0.15">
      <c r="B514" s="27" t="s">
        <v>4</v>
      </c>
      <c r="C514" s="37"/>
      <c r="D514" s="31"/>
      <c r="E514" s="50"/>
      <c r="F514" s="8">
        <f t="shared" ref="F514:F545" si="28">E514+D514+C514</f>
        <v>0</v>
      </c>
    </row>
    <row r="515" spans="2:7" x14ac:dyDescent="0.15">
      <c r="B515" s="27" t="s">
        <v>4</v>
      </c>
      <c r="C515" s="37"/>
      <c r="D515" s="31"/>
      <c r="E515" s="50"/>
      <c r="F515" s="8">
        <f t="shared" si="28"/>
        <v>0</v>
      </c>
    </row>
    <row r="516" spans="2:7" x14ac:dyDescent="0.15">
      <c r="B516" s="63" t="s">
        <v>4</v>
      </c>
      <c r="C516" s="58"/>
      <c r="D516" s="59"/>
      <c r="E516" s="60"/>
      <c r="F516" s="61">
        <f t="shared" si="28"/>
        <v>0</v>
      </c>
    </row>
    <row r="517" spans="2:7" ht="14.25" thickBot="1" x14ac:dyDescent="0.2">
      <c r="B517" s="27" t="s">
        <v>4</v>
      </c>
      <c r="C517" s="37"/>
      <c r="D517" s="31"/>
      <c r="E517" s="50"/>
      <c r="F517" s="8">
        <f t="shared" si="28"/>
        <v>0</v>
      </c>
    </row>
    <row r="518" spans="2:7" ht="14.25" thickBot="1" x14ac:dyDescent="0.2">
      <c r="B518" s="28" t="s">
        <v>1</v>
      </c>
      <c r="C518" s="43">
        <f>SUM(C512:C517)</f>
        <v>17</v>
      </c>
      <c r="D518" s="44">
        <f>SUM(D512:D517)</f>
        <v>12</v>
      </c>
      <c r="E518" s="52">
        <f>SUM(E512:E517)</f>
        <v>10</v>
      </c>
      <c r="F518" s="4">
        <f t="shared" si="28"/>
        <v>39</v>
      </c>
    </row>
    <row r="519" spans="2:7" x14ac:dyDescent="0.15">
      <c r="B519" s="29" t="s">
        <v>8</v>
      </c>
      <c r="C519" s="37">
        <v>2</v>
      </c>
      <c r="D519" s="31"/>
      <c r="E519" s="50"/>
      <c r="F519" s="8">
        <f t="shared" si="28"/>
        <v>2</v>
      </c>
      <c r="G519" s="9">
        <v>45986</v>
      </c>
    </row>
    <row r="520" spans="2:7" x14ac:dyDescent="0.15">
      <c r="B520" s="29" t="s">
        <v>8</v>
      </c>
      <c r="C520" s="37"/>
      <c r="D520" s="31"/>
      <c r="E520" s="50">
        <v>1</v>
      </c>
      <c r="F520" s="8">
        <f t="shared" si="28"/>
        <v>1</v>
      </c>
      <c r="G520" s="9">
        <v>45992</v>
      </c>
    </row>
    <row r="521" spans="2:7" x14ac:dyDescent="0.15">
      <c r="B521" s="29" t="s">
        <v>8</v>
      </c>
      <c r="C521" s="37">
        <v>1</v>
      </c>
      <c r="D521" s="31"/>
      <c r="E521" s="50"/>
      <c r="F521" s="8">
        <f t="shared" si="28"/>
        <v>1</v>
      </c>
      <c r="G521" s="9">
        <v>45993</v>
      </c>
    </row>
    <row r="522" spans="2:7" x14ac:dyDescent="0.15">
      <c r="B522" s="29" t="s">
        <v>8</v>
      </c>
      <c r="C522" s="37"/>
      <c r="D522" s="31">
        <v>1</v>
      </c>
      <c r="E522" s="50"/>
      <c r="F522" s="8">
        <f t="shared" si="28"/>
        <v>1</v>
      </c>
      <c r="G522" s="9">
        <v>46007</v>
      </c>
    </row>
    <row r="523" spans="2:7" x14ac:dyDescent="0.15">
      <c r="B523" s="29" t="s">
        <v>8</v>
      </c>
      <c r="C523" s="37"/>
      <c r="D523" s="31">
        <v>1</v>
      </c>
      <c r="E523" s="50"/>
      <c r="F523" s="8">
        <f t="shared" si="28"/>
        <v>1</v>
      </c>
      <c r="G523" s="9">
        <v>46017</v>
      </c>
    </row>
    <row r="524" spans="2:7" x14ac:dyDescent="0.15">
      <c r="B524" s="29" t="s">
        <v>8</v>
      </c>
      <c r="C524" s="37">
        <v>1</v>
      </c>
      <c r="D524" s="31"/>
      <c r="E524" s="50">
        <v>1</v>
      </c>
      <c r="F524" s="8">
        <f t="shared" si="28"/>
        <v>2</v>
      </c>
      <c r="G524" s="9">
        <v>46027</v>
      </c>
    </row>
    <row r="525" spans="2:7" x14ac:dyDescent="0.15">
      <c r="B525" s="29" t="s">
        <v>8</v>
      </c>
      <c r="C525" s="37"/>
      <c r="D525" s="31">
        <v>1</v>
      </c>
      <c r="E525" s="50"/>
      <c r="F525" s="8">
        <f t="shared" si="28"/>
        <v>1</v>
      </c>
      <c r="G525" s="9">
        <v>46041</v>
      </c>
    </row>
    <row r="526" spans="2:7" x14ac:dyDescent="0.15">
      <c r="B526" s="29" t="s">
        <v>8</v>
      </c>
      <c r="C526" s="37">
        <v>1</v>
      </c>
      <c r="D526" s="31"/>
      <c r="E526" s="50"/>
      <c r="F526" s="8">
        <f t="shared" si="28"/>
        <v>1</v>
      </c>
      <c r="G526" s="9">
        <v>46059</v>
      </c>
    </row>
    <row r="527" spans="2:7" x14ac:dyDescent="0.15">
      <c r="B527" s="29" t="s">
        <v>8</v>
      </c>
      <c r="C527" s="37">
        <v>1</v>
      </c>
      <c r="D527" s="31"/>
      <c r="E527" s="50"/>
      <c r="F527" s="8">
        <f t="shared" si="28"/>
        <v>1</v>
      </c>
      <c r="G527" s="9">
        <v>46062</v>
      </c>
    </row>
    <row r="528" spans="2:7" x14ac:dyDescent="0.15">
      <c r="B528" s="29" t="s">
        <v>8</v>
      </c>
      <c r="C528" s="37">
        <v>1</v>
      </c>
      <c r="D528" s="31"/>
      <c r="E528" s="50"/>
      <c r="F528" s="8">
        <f t="shared" si="28"/>
        <v>1</v>
      </c>
      <c r="G528" s="9">
        <v>46065</v>
      </c>
    </row>
    <row r="529" spans="2:7" x14ac:dyDescent="0.15">
      <c r="B529" s="29" t="s">
        <v>8</v>
      </c>
      <c r="C529" s="37"/>
      <c r="D529" s="31"/>
      <c r="E529" s="50">
        <v>1</v>
      </c>
      <c r="F529" s="8">
        <f t="shared" si="28"/>
        <v>1</v>
      </c>
      <c r="G529" s="9">
        <v>46069</v>
      </c>
    </row>
    <row r="530" spans="2:7" x14ac:dyDescent="0.15">
      <c r="B530" s="29" t="s">
        <v>8</v>
      </c>
      <c r="C530" s="37"/>
      <c r="D530" s="31"/>
      <c r="E530" s="50">
        <v>1</v>
      </c>
      <c r="F530" s="8">
        <f t="shared" si="28"/>
        <v>1</v>
      </c>
      <c r="G530" s="9">
        <v>46072</v>
      </c>
    </row>
    <row r="531" spans="2:7" x14ac:dyDescent="0.15">
      <c r="B531" s="29" t="s">
        <v>16</v>
      </c>
      <c r="C531" s="37">
        <v>0</v>
      </c>
      <c r="D531" s="31">
        <v>0</v>
      </c>
      <c r="E531" s="50">
        <v>0</v>
      </c>
      <c r="F531" s="8">
        <f t="shared" si="28"/>
        <v>0</v>
      </c>
      <c r="G531" s="9">
        <v>46078</v>
      </c>
    </row>
    <row r="532" spans="2:7" x14ac:dyDescent="0.15">
      <c r="B532" s="29" t="s">
        <v>8</v>
      </c>
      <c r="C532" s="37"/>
      <c r="D532" s="31">
        <v>1</v>
      </c>
      <c r="E532" s="50"/>
      <c r="F532" s="8">
        <f t="shared" si="28"/>
        <v>1</v>
      </c>
      <c r="G532" s="9">
        <v>46097</v>
      </c>
    </row>
    <row r="533" spans="2:7" x14ac:dyDescent="0.15">
      <c r="B533" s="29" t="s">
        <v>8</v>
      </c>
      <c r="C533" s="37">
        <v>1</v>
      </c>
      <c r="D533" s="31"/>
      <c r="E533" s="50"/>
      <c r="F533" s="8">
        <f t="shared" si="28"/>
        <v>1</v>
      </c>
      <c r="G533" s="9">
        <v>46107</v>
      </c>
    </row>
    <row r="534" spans="2:7" x14ac:dyDescent="0.15">
      <c r="B534" s="29" t="s">
        <v>8</v>
      </c>
      <c r="C534" s="37">
        <v>1</v>
      </c>
      <c r="D534" s="31">
        <v>1</v>
      </c>
      <c r="E534" s="50"/>
      <c r="F534" s="8">
        <f t="shared" si="28"/>
        <v>2</v>
      </c>
      <c r="G534" s="9">
        <v>46118</v>
      </c>
    </row>
    <row r="535" spans="2:7" x14ac:dyDescent="0.15">
      <c r="B535" s="29" t="s">
        <v>8</v>
      </c>
      <c r="C535" s="37"/>
      <c r="D535" s="31">
        <v>1</v>
      </c>
      <c r="E535" s="50"/>
      <c r="F535" s="8">
        <f t="shared" si="28"/>
        <v>1</v>
      </c>
      <c r="G535" s="9">
        <v>46128</v>
      </c>
    </row>
    <row r="536" spans="2:7" x14ac:dyDescent="0.15">
      <c r="B536" s="29" t="s">
        <v>8</v>
      </c>
      <c r="C536" s="37"/>
      <c r="D536" s="31"/>
      <c r="E536" s="50">
        <v>1</v>
      </c>
      <c r="F536" s="8">
        <f t="shared" si="28"/>
        <v>1</v>
      </c>
      <c r="G536" s="9">
        <v>46133</v>
      </c>
    </row>
    <row r="537" spans="2:7" x14ac:dyDescent="0.15">
      <c r="B537" s="29" t="s">
        <v>8</v>
      </c>
      <c r="C537" s="37"/>
      <c r="D537" s="31"/>
      <c r="E537" s="50">
        <v>1</v>
      </c>
      <c r="F537" s="8">
        <f t="shared" si="28"/>
        <v>1</v>
      </c>
      <c r="G537" s="9">
        <v>46139</v>
      </c>
    </row>
    <row r="538" spans="2:7" x14ac:dyDescent="0.15">
      <c r="B538" s="29" t="s">
        <v>8</v>
      </c>
      <c r="C538" s="37"/>
      <c r="D538" s="31">
        <v>1</v>
      </c>
      <c r="E538" s="50"/>
      <c r="F538" s="8">
        <f t="shared" si="28"/>
        <v>1</v>
      </c>
      <c r="G538" s="9">
        <v>46183</v>
      </c>
    </row>
    <row r="539" spans="2:7" x14ac:dyDescent="0.15">
      <c r="B539" s="29"/>
      <c r="C539" s="37"/>
      <c r="D539" s="31"/>
      <c r="E539" s="50"/>
      <c r="F539" s="8">
        <f t="shared" si="28"/>
        <v>0</v>
      </c>
    </row>
    <row r="540" spans="2:7" x14ac:dyDescent="0.15">
      <c r="B540" s="29"/>
      <c r="C540" s="37"/>
      <c r="D540" s="31"/>
      <c r="E540" s="50"/>
      <c r="F540" s="8">
        <f t="shared" si="28"/>
        <v>0</v>
      </c>
    </row>
    <row r="541" spans="2:7" x14ac:dyDescent="0.15">
      <c r="B541" s="29"/>
      <c r="C541" s="37"/>
      <c r="D541" s="31"/>
      <c r="E541" s="50"/>
      <c r="F541" s="8">
        <f t="shared" si="28"/>
        <v>0</v>
      </c>
    </row>
    <row r="542" spans="2:7" x14ac:dyDescent="0.15">
      <c r="B542" s="29"/>
      <c r="C542" s="37"/>
      <c r="D542" s="31"/>
      <c r="E542" s="50"/>
      <c r="F542" s="8">
        <f t="shared" si="28"/>
        <v>0</v>
      </c>
    </row>
    <row r="543" spans="2:7" ht="14.25" thickBot="1" x14ac:dyDescent="0.2">
      <c r="B543" s="29"/>
      <c r="C543" s="39"/>
      <c r="D543" s="40"/>
      <c r="E543" s="51"/>
      <c r="F543" s="6">
        <f t="shared" si="28"/>
        <v>0</v>
      </c>
    </row>
    <row r="544" spans="2:7" ht="14.25" thickBot="1" x14ac:dyDescent="0.2">
      <c r="B544" s="28" t="s">
        <v>2</v>
      </c>
      <c r="C544" s="43">
        <f>SUM(C519:C543)</f>
        <v>9</v>
      </c>
      <c r="D544" s="44">
        <f>SUM(D519:D543)</f>
        <v>7</v>
      </c>
      <c r="E544" s="52">
        <f>SUM(E519:E543)</f>
        <v>6</v>
      </c>
      <c r="F544" s="4">
        <f t="shared" si="28"/>
        <v>22</v>
      </c>
    </row>
    <row r="545" spans="2:6" ht="14.25" thickBot="1" x14ac:dyDescent="0.2">
      <c r="B545" s="30" t="s">
        <v>3</v>
      </c>
      <c r="C545" s="46">
        <f>+C518-C544</f>
        <v>8</v>
      </c>
      <c r="D545" s="47">
        <f>+D518-D544</f>
        <v>5</v>
      </c>
      <c r="E545" s="54">
        <f>+E518-E544</f>
        <v>4</v>
      </c>
      <c r="F545" s="2">
        <f t="shared" si="28"/>
        <v>17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薄手はらまき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2026-06-10T05:11:04Z</dcterms:modified>
</cp:coreProperties>
</file>