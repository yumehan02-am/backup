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B194D5A9-E3F5-493D-8F32-C00C835432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0分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6" i="1" l="1"/>
  <c r="E246" i="1"/>
  <c r="D271" i="1"/>
  <c r="C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4" i="1"/>
  <c r="E243" i="1"/>
  <c r="E242" i="1"/>
  <c r="E241" i="1"/>
  <c r="E240" i="1"/>
  <c r="D232" i="1"/>
  <c r="C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5" i="1"/>
  <c r="E214" i="1"/>
  <c r="E213" i="1"/>
  <c r="E212" i="1"/>
  <c r="E211" i="1"/>
  <c r="E210" i="1"/>
  <c r="E209" i="1"/>
  <c r="E208" i="1"/>
  <c r="E207" i="1"/>
  <c r="E205" i="1"/>
  <c r="E204" i="1"/>
  <c r="E203" i="1"/>
  <c r="E202" i="1"/>
  <c r="E201" i="1"/>
  <c r="E165" i="1"/>
  <c r="E164" i="1"/>
  <c r="D193" i="1"/>
  <c r="C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6" i="1"/>
  <c r="E163" i="1"/>
  <c r="E162" i="1"/>
  <c r="D154" i="1"/>
  <c r="C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7" i="1"/>
  <c r="E126" i="1"/>
  <c r="E125" i="1"/>
  <c r="E124" i="1"/>
  <c r="E123" i="1"/>
  <c r="D115" i="1"/>
  <c r="C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8" i="1"/>
  <c r="E87" i="1"/>
  <c r="E86" i="1"/>
  <c r="E85" i="1"/>
  <c r="E84" i="1"/>
  <c r="E5" i="1"/>
  <c r="E6" i="1"/>
  <c r="E7" i="1"/>
  <c r="E8" i="1"/>
  <c r="E9" i="1"/>
  <c r="E10" i="1"/>
  <c r="C11" i="1"/>
  <c r="D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C37" i="1"/>
  <c r="D37" i="1"/>
  <c r="E45" i="1"/>
  <c r="E46" i="1"/>
  <c r="E47" i="1"/>
  <c r="E48" i="1"/>
  <c r="E49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C76" i="1"/>
  <c r="D76" i="1"/>
  <c r="E271" i="1" l="1"/>
  <c r="E232" i="1"/>
  <c r="E193" i="1"/>
  <c r="E154" i="1"/>
  <c r="E115" i="1"/>
  <c r="D38" i="1"/>
  <c r="D44" i="1" s="1"/>
  <c r="D50" i="1" s="1"/>
  <c r="D77" i="1" s="1"/>
  <c r="D83" i="1" s="1"/>
  <c r="D89" i="1" s="1"/>
  <c r="D116" i="1" s="1"/>
  <c r="D122" i="1" s="1"/>
  <c r="D128" i="1" s="1"/>
  <c r="D155" i="1" s="1"/>
  <c r="D161" i="1" s="1"/>
  <c r="D167" i="1" s="1"/>
  <c r="D194" i="1" s="1"/>
  <c r="D200" i="1" s="1"/>
  <c r="D206" i="1" s="1"/>
  <c r="D233" i="1" s="1"/>
  <c r="D239" i="1" s="1"/>
  <c r="E37" i="1"/>
  <c r="E11" i="1"/>
  <c r="C38" i="1"/>
  <c r="E76" i="1"/>
  <c r="D245" i="1" l="1"/>
  <c r="C44" i="1"/>
  <c r="E38" i="1"/>
  <c r="D272" i="1" l="1"/>
  <c r="E44" i="1"/>
  <c r="C50" i="1"/>
  <c r="C77" i="1" l="1"/>
  <c r="E50" i="1"/>
  <c r="E77" i="1" l="1"/>
  <c r="C83" i="1"/>
  <c r="C89" i="1" l="1"/>
  <c r="E83" i="1"/>
  <c r="C116" i="1" l="1"/>
  <c r="E89" i="1"/>
  <c r="E116" i="1" l="1"/>
  <c r="C122" i="1"/>
  <c r="C128" i="1" l="1"/>
  <c r="E122" i="1"/>
  <c r="C155" i="1" l="1"/>
  <c r="E128" i="1"/>
  <c r="E155" i="1" l="1"/>
  <c r="C161" i="1"/>
  <c r="C167" i="1" l="1"/>
  <c r="E161" i="1"/>
  <c r="C194" i="1" l="1"/>
  <c r="E167" i="1"/>
  <c r="E194" i="1" l="1"/>
  <c r="C200" i="1"/>
  <c r="C206" i="1" l="1"/>
  <c r="E200" i="1"/>
  <c r="C233" i="1" l="1"/>
  <c r="E206" i="1"/>
  <c r="E233" i="1" l="1"/>
  <c r="C239" i="1"/>
  <c r="C245" i="1" l="1"/>
  <c r="E239" i="1"/>
  <c r="C272" i="1" l="1"/>
  <c r="E272" i="1" s="1"/>
  <c r="E245" i="1"/>
</calcChain>
</file>

<file path=xl/sharedStrings.xml><?xml version="1.0" encoding="utf-8"?>
<sst xmlns="http://schemas.openxmlformats.org/spreadsheetml/2006/main" count="201" uniqueCount="14">
  <si>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</si>
  <si>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</si>
  <si>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ネット</t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</si>
  <si>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</si>
  <si>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</si>
  <si>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</si>
  <si>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チャコール</t>
    <phoneticPr fontId="2"/>
  </si>
  <si>
    <t>ブラック</t>
    <phoneticPr fontId="2"/>
  </si>
  <si>
    <t>超のび裏シルクスパッツ＜夢販在庫＞　S1980</t>
    <rPh sb="0" eb="1">
      <t>チョウ</t>
    </rPh>
    <rPh sb="3" eb="4">
      <t>ウラ</t>
    </rPh>
    <rPh sb="12" eb="16">
      <t>ユメハンザイコ</t>
    </rPh>
    <phoneticPr fontId="2"/>
  </si>
  <si>
    <t>初回</t>
    <rPh sb="0" eb="2">
      <t>ショカイ</t>
    </rPh>
    <phoneticPr fontId="2"/>
  </si>
  <si>
    <t>棚卸</t>
    <rPh sb="0" eb="2">
      <t>タナオロシ</t>
    </rPh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</si>
  <si>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</si>
  <si>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</si>
  <si>
    <t>不良</t>
    <rPh sb="0" eb="2">
      <t>フリョウ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</si>
</sst>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2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56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1" fillId="0" borderId="9" xfId="0" applyFont="1" applyBorder="1"/>
    <xf numFmtId="0" fontId="1" fillId="0" borderId="11" xfId="0" applyFont="1" applyBorder="1"/>
    <xf numFmtId="56" fontId="0" fillId="0" borderId="0" xfId="0" applyNumberForma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56" fontId="3" fillId="0" borderId="12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56" fontId="0" fillId="0" borderId="0" xfId="0" applyNumberFormat="1" applyAlignment="1">
      <alignment horizontal="right"/>
    </xf>
    <xf numFmtId="56" fontId="1" fillId="0" borderId="0" xfId="0" applyNumberFormat="1" applyFont="1"/>
    <xf numFmtId="56" fontId="0" fillId="0" borderId="12" xfId="0" applyNumberForma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/>
    <xf numFmtId="0" fontId="5" fillId="0" borderId="9" xfId="0" applyFont="1" applyBorder="1"/>
    <xf numFmtId="0" fontId="5" fillId="0" borderId="10" xfId="0" applyFont="1" applyBorder="1"/>
    <xf numFmtId="56" fontId="5" fillId="0" borderId="0" xfId="0" applyNumberFormat="1" applyFont="1"/>
    <xf numFmtId="0" fontId="6" fillId="3" borderId="17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2"/>
  <sheetViews>
    <sheetView tabSelected="1" topLeftCell="A236" zoomScaleNormal="100" workbookViewId="0">
      <selection activeCell="F268" sqref="F268"/>
    </sheetView>
  </sheetViews>
  <sheetFormatPr defaultRowHeight="13.5" x14ac:dyDescent="0.15"/>
  <cols>
    <col min="2" max="2" width="22.75" style="1" customWidth="1"/>
    <col min="3" max="4" width="11.75" customWidth="1"/>
    <col min="5" max="5" width="11.375" customWidth="1"/>
    <col min="6" max="6" width="9.25" bestFit="1" customWidth="1"/>
  </cols>
  <sheetData>
    <row r="1" spans="2:6" ht="18.75" x14ac:dyDescent="0.2">
      <c r="B1" s="31" t="s">
        <v>8</v>
      </c>
      <c r="C1" s="30"/>
      <c r="D1" s="30"/>
      <c r="E1" s="30"/>
    </row>
    <row r="2" spans="2:6" ht="14.25" thickBot="1" x14ac:dyDescent="0.2"/>
    <row r="3" spans="2:6" ht="14.25" thickBot="1" x14ac:dyDescent="0.2">
      <c r="B3" s="29"/>
      <c r="C3" s="42"/>
      <c r="D3" s="42"/>
      <c r="E3" s="43"/>
    </row>
    <row r="4" spans="2:6" s="1" customFormat="1" ht="14.25" thickBot="1" x14ac:dyDescent="0.2">
      <c r="B4" s="28"/>
      <c r="C4" s="40" t="s">
        <v>7</v>
      </c>
      <c r="D4" s="41" t="s">
        <v>6</v>
      </c>
      <c r="E4" s="27" t="s">
        <v>5</v>
      </c>
    </row>
    <row r="5" spans="2:6" ht="14.25" customHeight="1" x14ac:dyDescent="0.15">
      <c r="B5" s="34" t="s">
        <v>9</v>
      </c>
      <c r="C5" s="20">
        <v>1</v>
      </c>
      <c r="D5" s="19">
        <v>1</v>
      </c>
      <c r="E5" s="19">
        <f t="shared" ref="E5:E37" si="0">C5+D5</f>
        <v>2</v>
      </c>
      <c r="F5" s="18">
        <v>44288</v>
      </c>
    </row>
    <row r="6" spans="2:6" x14ac:dyDescent="0.15">
      <c r="B6" s="23" t="s">
        <v>4</v>
      </c>
      <c r="C6" s="15">
        <v>1</v>
      </c>
      <c r="D6" s="14">
        <v>1</v>
      </c>
      <c r="E6" s="13">
        <f t="shared" si="0"/>
        <v>2</v>
      </c>
      <c r="F6" s="18">
        <v>44329</v>
      </c>
    </row>
    <row r="7" spans="2:6" x14ac:dyDescent="0.15">
      <c r="B7" s="23" t="s">
        <v>4</v>
      </c>
      <c r="C7" s="15">
        <v>2</v>
      </c>
      <c r="D7" s="14">
        <v>1</v>
      </c>
      <c r="E7" s="13">
        <f t="shared" si="0"/>
        <v>3</v>
      </c>
      <c r="F7" s="18">
        <v>44334</v>
      </c>
    </row>
    <row r="8" spans="2:6" x14ac:dyDescent="0.15">
      <c r="B8" s="23" t="s">
        <v>4</v>
      </c>
      <c r="C8" s="15">
        <v>2</v>
      </c>
      <c r="D8" s="14">
        <v>1</v>
      </c>
      <c r="E8" s="13">
        <f t="shared" si="0"/>
        <v>3</v>
      </c>
      <c r="F8" s="18">
        <v>44334</v>
      </c>
    </row>
    <row r="9" spans="2:6" x14ac:dyDescent="0.15">
      <c r="B9" s="23" t="s">
        <v>4</v>
      </c>
      <c r="C9" s="15">
        <v>4</v>
      </c>
      <c r="D9" s="14">
        <v>3</v>
      </c>
      <c r="E9" s="13">
        <f t="shared" si="0"/>
        <v>7</v>
      </c>
      <c r="F9" s="18">
        <v>44358</v>
      </c>
    </row>
    <row r="10" spans="2:6" ht="14.25" thickBot="1" x14ac:dyDescent="0.2">
      <c r="B10" s="22" t="s">
        <v>4</v>
      </c>
      <c r="C10" s="21">
        <v>5</v>
      </c>
      <c r="D10" s="10">
        <v>2</v>
      </c>
      <c r="E10" s="9">
        <f t="shared" si="0"/>
        <v>7</v>
      </c>
      <c r="F10" s="18">
        <v>44377</v>
      </c>
    </row>
    <row r="11" spans="2:6" ht="14.25" thickBot="1" x14ac:dyDescent="0.2">
      <c r="B11" s="8" t="s">
        <v>3</v>
      </c>
      <c r="C11" s="6">
        <f>SUM(C5:C10)</f>
        <v>15</v>
      </c>
      <c r="D11" s="7">
        <f>SUM(D5:D10)</f>
        <v>9</v>
      </c>
      <c r="E11" s="6">
        <f t="shared" si="0"/>
        <v>24</v>
      </c>
    </row>
    <row r="12" spans="2:6" x14ac:dyDescent="0.15">
      <c r="B12" s="34" t="s">
        <v>2</v>
      </c>
      <c r="C12" s="20">
        <v>1</v>
      </c>
      <c r="D12" s="19"/>
      <c r="E12" s="13">
        <f t="shared" si="0"/>
        <v>1</v>
      </c>
      <c r="F12" s="18">
        <v>44326</v>
      </c>
    </row>
    <row r="13" spans="2:6" x14ac:dyDescent="0.15">
      <c r="B13" s="12" t="s">
        <v>2</v>
      </c>
      <c r="C13" s="15"/>
      <c r="D13" s="14">
        <v>1</v>
      </c>
      <c r="E13" s="13">
        <f t="shared" si="0"/>
        <v>1</v>
      </c>
      <c r="F13" s="18">
        <v>44329</v>
      </c>
    </row>
    <row r="14" spans="2:6" x14ac:dyDescent="0.15">
      <c r="B14" s="12" t="s">
        <v>2</v>
      </c>
      <c r="C14" s="15">
        <v>1</v>
      </c>
      <c r="D14" s="14"/>
      <c r="E14" s="13">
        <f t="shared" si="0"/>
        <v>1</v>
      </c>
      <c r="F14" s="18">
        <v>44330</v>
      </c>
    </row>
    <row r="15" spans="2:6" x14ac:dyDescent="0.15">
      <c r="B15" s="12" t="s">
        <v>2</v>
      </c>
      <c r="C15" s="15">
        <v>2</v>
      </c>
      <c r="D15" s="14"/>
      <c r="E15" s="13">
        <f t="shared" si="0"/>
        <v>2</v>
      </c>
      <c r="F15" s="18">
        <v>44334</v>
      </c>
    </row>
    <row r="16" spans="2:6" x14ac:dyDescent="0.15">
      <c r="B16" s="12" t="s">
        <v>2</v>
      </c>
      <c r="C16" s="17"/>
      <c r="D16" s="16">
        <v>1</v>
      </c>
      <c r="E16" s="13">
        <f t="shared" si="0"/>
        <v>1</v>
      </c>
      <c r="F16" s="18">
        <v>44335</v>
      </c>
    </row>
    <row r="17" spans="2:6" x14ac:dyDescent="0.15">
      <c r="B17" s="12" t="s">
        <v>2</v>
      </c>
      <c r="C17" s="15">
        <v>2</v>
      </c>
      <c r="D17" s="14">
        <v>2</v>
      </c>
      <c r="E17" s="13">
        <f t="shared" si="0"/>
        <v>4</v>
      </c>
      <c r="F17" s="18">
        <v>44354</v>
      </c>
    </row>
    <row r="18" spans="2:6" x14ac:dyDescent="0.15">
      <c r="B18" s="12" t="s">
        <v>2</v>
      </c>
      <c r="C18" s="15">
        <v>1</v>
      </c>
      <c r="D18" s="14"/>
      <c r="E18" s="13">
        <f t="shared" si="0"/>
        <v>1</v>
      </c>
      <c r="F18" s="18">
        <v>44357</v>
      </c>
    </row>
    <row r="19" spans="2:6" x14ac:dyDescent="0.15">
      <c r="B19" s="12" t="s">
        <v>2</v>
      </c>
      <c r="C19" s="15">
        <v>2</v>
      </c>
      <c r="D19" s="14"/>
      <c r="E19" s="13">
        <f t="shared" si="0"/>
        <v>2</v>
      </c>
      <c r="F19" s="18">
        <v>44358</v>
      </c>
    </row>
    <row r="20" spans="2:6" x14ac:dyDescent="0.15">
      <c r="B20" s="12" t="s">
        <v>2</v>
      </c>
      <c r="C20" s="17">
        <v>1</v>
      </c>
      <c r="D20" s="16">
        <v>1</v>
      </c>
      <c r="E20" s="13">
        <f t="shared" si="0"/>
        <v>2</v>
      </c>
      <c r="F20" s="18">
        <v>44377</v>
      </c>
    </row>
    <row r="21" spans="2:6" x14ac:dyDescent="0.15">
      <c r="B21" s="12" t="s">
        <v>2</v>
      </c>
      <c r="C21" s="15">
        <v>1</v>
      </c>
      <c r="D21" s="14"/>
      <c r="E21" s="13">
        <f t="shared" si="0"/>
        <v>1</v>
      </c>
      <c r="F21" s="18">
        <v>44403</v>
      </c>
    </row>
    <row r="22" spans="2:6" x14ac:dyDescent="0.15">
      <c r="B22" s="12" t="s">
        <v>2</v>
      </c>
      <c r="C22" s="17">
        <v>1</v>
      </c>
      <c r="D22" s="16"/>
      <c r="E22" s="13">
        <f t="shared" si="0"/>
        <v>1</v>
      </c>
      <c r="F22" s="18">
        <v>44404</v>
      </c>
    </row>
    <row r="23" spans="2:6" x14ac:dyDescent="0.15">
      <c r="B23" s="12" t="s">
        <v>2</v>
      </c>
      <c r="C23" s="17">
        <v>1</v>
      </c>
      <c r="D23" s="16"/>
      <c r="E23" s="13">
        <f t="shared" si="0"/>
        <v>1</v>
      </c>
      <c r="F23" s="18">
        <v>44405</v>
      </c>
    </row>
    <row r="24" spans="2:6" x14ac:dyDescent="0.15">
      <c r="B24" s="12"/>
      <c r="C24" s="15"/>
      <c r="D24" s="14"/>
      <c r="E24" s="13">
        <f t="shared" si="0"/>
        <v>0</v>
      </c>
      <c r="F24" s="18"/>
    </row>
    <row r="25" spans="2:6" x14ac:dyDescent="0.15">
      <c r="B25" s="12"/>
      <c r="C25" s="17"/>
      <c r="D25" s="16"/>
      <c r="E25" s="13">
        <f t="shared" si="0"/>
        <v>0</v>
      </c>
      <c r="F25" s="33"/>
    </row>
    <row r="26" spans="2:6" x14ac:dyDescent="0.15">
      <c r="B26" s="12"/>
      <c r="C26" s="17"/>
      <c r="D26" s="16"/>
      <c r="E26" s="13">
        <f t="shared" si="0"/>
        <v>0</v>
      </c>
      <c r="F26" s="33"/>
    </row>
    <row r="27" spans="2:6" x14ac:dyDescent="0.15">
      <c r="B27" s="12"/>
      <c r="C27" s="17"/>
      <c r="D27" s="16"/>
      <c r="E27" s="13">
        <f t="shared" si="0"/>
        <v>0</v>
      </c>
      <c r="F27" s="33"/>
    </row>
    <row r="28" spans="2:6" x14ac:dyDescent="0.15">
      <c r="B28" s="12"/>
      <c r="C28" s="17"/>
      <c r="D28" s="16"/>
      <c r="E28" s="13">
        <f t="shared" si="0"/>
        <v>0</v>
      </c>
      <c r="F28" s="33"/>
    </row>
    <row r="29" spans="2:6" x14ac:dyDescent="0.15">
      <c r="B29" s="12"/>
      <c r="C29" s="17"/>
      <c r="D29" s="16"/>
      <c r="E29" s="13">
        <f t="shared" si="0"/>
        <v>0</v>
      </c>
      <c r="F29" s="33"/>
    </row>
    <row r="30" spans="2:6" x14ac:dyDescent="0.15">
      <c r="B30" s="12"/>
      <c r="C30" s="17"/>
      <c r="D30" s="16"/>
      <c r="E30" s="13">
        <f t="shared" si="0"/>
        <v>0</v>
      </c>
      <c r="F30" s="33"/>
    </row>
    <row r="31" spans="2:6" x14ac:dyDescent="0.15">
      <c r="B31" s="12"/>
      <c r="C31" s="15"/>
      <c r="D31" s="14"/>
      <c r="E31" s="13">
        <f t="shared" si="0"/>
        <v>0</v>
      </c>
      <c r="F31" s="32"/>
    </row>
    <row r="32" spans="2:6" x14ac:dyDescent="0.15">
      <c r="B32" s="12"/>
      <c r="C32" s="15"/>
      <c r="D32" s="14"/>
      <c r="E32" s="13">
        <f t="shared" si="0"/>
        <v>0</v>
      </c>
      <c r="F32" s="32"/>
    </row>
    <row r="33" spans="1:6" x14ac:dyDescent="0.15">
      <c r="B33" s="12"/>
      <c r="C33" s="15"/>
      <c r="D33" s="14"/>
      <c r="E33" s="13">
        <f t="shared" si="0"/>
        <v>0</v>
      </c>
      <c r="F33" s="32"/>
    </row>
    <row r="34" spans="1:6" x14ac:dyDescent="0.15">
      <c r="B34" s="12"/>
      <c r="C34" s="15"/>
      <c r="D34" s="14"/>
      <c r="E34" s="13">
        <f t="shared" si="0"/>
        <v>0</v>
      </c>
      <c r="F34" s="32"/>
    </row>
    <row r="35" spans="1:6" x14ac:dyDescent="0.15">
      <c r="B35" s="12"/>
      <c r="C35" s="15"/>
      <c r="D35" s="14"/>
      <c r="E35" s="13">
        <f t="shared" si="0"/>
        <v>0</v>
      </c>
      <c r="F35" s="32"/>
    </row>
    <row r="36" spans="1:6" ht="14.25" thickBot="1" x14ac:dyDescent="0.2">
      <c r="B36" s="12"/>
      <c r="C36" s="11"/>
      <c r="D36" s="10"/>
      <c r="E36" s="9">
        <f t="shared" si="0"/>
        <v>0</v>
      </c>
      <c r="F36" s="32"/>
    </row>
    <row r="37" spans="1:6" ht="14.25" thickBot="1" x14ac:dyDescent="0.2">
      <c r="B37" s="8" t="s">
        <v>1</v>
      </c>
      <c r="C37" s="7">
        <f>SUM(C12:C36)</f>
        <v>13</v>
      </c>
      <c r="D37" s="6">
        <f>SUM(D12:D36)</f>
        <v>5</v>
      </c>
      <c r="E37" s="6">
        <f t="shared" si="0"/>
        <v>18</v>
      </c>
    </row>
    <row r="38" spans="1:6" ht="14.25" thickBot="1" x14ac:dyDescent="0.2">
      <c r="B38" s="5" t="s">
        <v>0</v>
      </c>
      <c r="C38" s="4">
        <f>+C11-C37</f>
        <v>2</v>
      </c>
      <c r="D38" s="3">
        <f>+D11-D37</f>
        <v>4</v>
      </c>
      <c r="E38" s="2">
        <f>C38</f>
        <v>2</v>
      </c>
    </row>
    <row r="40" spans="1:6" ht="18.75" x14ac:dyDescent="0.2">
      <c r="B40" s="31" t="s">
        <v>8</v>
      </c>
      <c r="C40" s="30"/>
      <c r="D40" s="30"/>
      <c r="E40" s="30"/>
    </row>
    <row r="41" spans="1:6" ht="14.25" thickBot="1" x14ac:dyDescent="0.2"/>
    <row r="42" spans="1:6" ht="14.25" thickBot="1" x14ac:dyDescent="0.2">
      <c r="B42" s="29"/>
      <c r="C42" s="42"/>
      <c r="D42" s="42"/>
      <c r="E42" s="43"/>
    </row>
    <row r="43" spans="1:6" ht="14.25" thickBot="1" x14ac:dyDescent="0.2">
      <c r="A43" s="1"/>
      <c r="B43" s="28"/>
      <c r="C43" s="40" t="s">
        <v>7</v>
      </c>
      <c r="D43" s="41" t="s">
        <v>6</v>
      </c>
      <c r="E43" s="27" t="s">
        <v>5</v>
      </c>
    </row>
    <row r="44" spans="1:6" x14ac:dyDescent="0.15">
      <c r="B44" s="26" t="s">
        <v>0</v>
      </c>
      <c r="C44" s="25">
        <f>C38</f>
        <v>2</v>
      </c>
      <c r="D44" s="24">
        <f>D38</f>
        <v>4</v>
      </c>
      <c r="E44" s="24">
        <f t="shared" ref="E44:E76" si="1">C44+D44</f>
        <v>6</v>
      </c>
    </row>
    <row r="45" spans="1:6" x14ac:dyDescent="0.15">
      <c r="B45" s="23" t="s">
        <v>4</v>
      </c>
      <c r="C45" s="15">
        <v>5</v>
      </c>
      <c r="D45" s="14"/>
      <c r="E45" s="13">
        <f t="shared" si="1"/>
        <v>5</v>
      </c>
      <c r="F45" s="18">
        <v>44412</v>
      </c>
    </row>
    <row r="46" spans="1:6" x14ac:dyDescent="0.15">
      <c r="B46" s="23" t="s">
        <v>4</v>
      </c>
      <c r="C46" s="15">
        <v>5</v>
      </c>
      <c r="D46" s="14"/>
      <c r="E46" s="13">
        <f t="shared" si="1"/>
        <v>5</v>
      </c>
      <c r="F46" s="18">
        <v>44517</v>
      </c>
    </row>
    <row r="47" spans="1:6" x14ac:dyDescent="0.15">
      <c r="B47" s="23" t="s">
        <v>4</v>
      </c>
      <c r="C47" s="15"/>
      <c r="D47" s="14">
        <v>3</v>
      </c>
      <c r="E47" s="13">
        <f t="shared" si="1"/>
        <v>3</v>
      </c>
      <c r="F47" s="18">
        <v>44538</v>
      </c>
    </row>
    <row r="48" spans="1:6" x14ac:dyDescent="0.15">
      <c r="B48" s="23" t="s">
        <v>4</v>
      </c>
      <c r="C48" s="15">
        <v>5</v>
      </c>
      <c r="D48" s="14">
        <v>5</v>
      </c>
      <c r="E48" s="13">
        <f t="shared" si="1"/>
        <v>10</v>
      </c>
      <c r="F48" s="18">
        <v>44572</v>
      </c>
    </row>
    <row r="49" spans="2:6" ht="14.25" thickBot="1" x14ac:dyDescent="0.2">
      <c r="B49" s="22" t="s">
        <v>4</v>
      </c>
      <c r="C49" s="21">
        <v>5</v>
      </c>
      <c r="D49" s="10">
        <v>5</v>
      </c>
      <c r="E49" s="9">
        <f t="shared" si="1"/>
        <v>10</v>
      </c>
      <c r="F49" s="18">
        <v>44644</v>
      </c>
    </row>
    <row r="50" spans="2:6" ht="14.25" thickBot="1" x14ac:dyDescent="0.2">
      <c r="B50" s="8" t="s">
        <v>3</v>
      </c>
      <c r="C50" s="6">
        <f>SUM(C44:C49)</f>
        <v>22</v>
      </c>
      <c r="D50" s="7">
        <f>SUM(D44:D49)</f>
        <v>17</v>
      </c>
      <c r="E50" s="6">
        <f t="shared" si="1"/>
        <v>39</v>
      </c>
    </row>
    <row r="51" spans="2:6" x14ac:dyDescent="0.15">
      <c r="B51" s="12" t="s">
        <v>2</v>
      </c>
      <c r="C51" s="20"/>
      <c r="D51" s="19">
        <v>1</v>
      </c>
      <c r="E51" s="13">
        <f t="shared" si="1"/>
        <v>1</v>
      </c>
      <c r="F51" s="18">
        <v>44412</v>
      </c>
    </row>
    <row r="52" spans="2:6" x14ac:dyDescent="0.15">
      <c r="B52" s="12" t="s">
        <v>2</v>
      </c>
      <c r="C52" s="15">
        <v>1</v>
      </c>
      <c r="D52" s="14"/>
      <c r="E52" s="13">
        <f t="shared" si="1"/>
        <v>1</v>
      </c>
      <c r="F52" s="18">
        <v>44445</v>
      </c>
    </row>
    <row r="53" spans="2:6" x14ac:dyDescent="0.15">
      <c r="B53" s="12" t="s">
        <v>2</v>
      </c>
      <c r="C53" s="15">
        <v>2</v>
      </c>
      <c r="D53" s="14"/>
      <c r="E53" s="13">
        <f t="shared" si="1"/>
        <v>2</v>
      </c>
      <c r="F53" s="18">
        <v>44452</v>
      </c>
    </row>
    <row r="54" spans="2:6" x14ac:dyDescent="0.15">
      <c r="B54" s="12" t="s">
        <v>2</v>
      </c>
      <c r="C54" s="17">
        <v>1</v>
      </c>
      <c r="D54" s="16"/>
      <c r="E54" s="13">
        <f t="shared" si="1"/>
        <v>1</v>
      </c>
      <c r="F54" s="18">
        <v>44480</v>
      </c>
    </row>
    <row r="55" spans="2:6" x14ac:dyDescent="0.15">
      <c r="B55" s="12" t="s">
        <v>2</v>
      </c>
      <c r="C55" s="17">
        <v>2</v>
      </c>
      <c r="D55" s="16"/>
      <c r="E55" s="13">
        <f t="shared" si="1"/>
        <v>2</v>
      </c>
      <c r="F55" s="18">
        <v>44497</v>
      </c>
    </row>
    <row r="56" spans="2:6" x14ac:dyDescent="0.15">
      <c r="B56" s="12" t="s">
        <v>2</v>
      </c>
      <c r="C56" s="15">
        <v>1</v>
      </c>
      <c r="D56" s="14"/>
      <c r="E56" s="13">
        <f t="shared" si="1"/>
        <v>1</v>
      </c>
      <c r="F56" s="18">
        <v>44520</v>
      </c>
    </row>
    <row r="57" spans="2:6" x14ac:dyDescent="0.15">
      <c r="B57" s="12" t="s">
        <v>2</v>
      </c>
      <c r="C57" s="15"/>
      <c r="D57" s="14">
        <v>1</v>
      </c>
      <c r="E57" s="13">
        <f t="shared" si="1"/>
        <v>1</v>
      </c>
      <c r="F57" s="18">
        <v>44529</v>
      </c>
    </row>
    <row r="58" spans="2:6" x14ac:dyDescent="0.15">
      <c r="B58" s="12" t="s">
        <v>2</v>
      </c>
      <c r="C58" s="17">
        <v>1</v>
      </c>
      <c r="D58" s="16">
        <v>1</v>
      </c>
      <c r="E58" s="13">
        <f t="shared" si="1"/>
        <v>2</v>
      </c>
      <c r="F58" s="18">
        <v>44536</v>
      </c>
    </row>
    <row r="59" spans="2:6" x14ac:dyDescent="0.15">
      <c r="B59" s="12" t="s">
        <v>2</v>
      </c>
      <c r="C59" s="17">
        <v>1</v>
      </c>
      <c r="D59" s="16">
        <v>1</v>
      </c>
      <c r="E59" s="13">
        <f t="shared" si="1"/>
        <v>2</v>
      </c>
      <c r="F59" s="18">
        <v>44543</v>
      </c>
    </row>
    <row r="60" spans="2:6" x14ac:dyDescent="0.15">
      <c r="B60" s="12" t="s">
        <v>2</v>
      </c>
      <c r="C60" s="15"/>
      <c r="D60" s="14">
        <v>1</v>
      </c>
      <c r="E60" s="13">
        <f t="shared" si="1"/>
        <v>1</v>
      </c>
      <c r="F60" s="18">
        <v>44546</v>
      </c>
    </row>
    <row r="61" spans="2:6" x14ac:dyDescent="0.15">
      <c r="B61" s="12" t="s">
        <v>2</v>
      </c>
      <c r="C61" s="17">
        <v>1</v>
      </c>
      <c r="D61" s="16">
        <v>1</v>
      </c>
      <c r="E61" s="13">
        <f t="shared" si="1"/>
        <v>2</v>
      </c>
      <c r="F61" s="18">
        <v>44566</v>
      </c>
    </row>
    <row r="62" spans="2:6" x14ac:dyDescent="0.15">
      <c r="B62" s="12" t="s">
        <v>2</v>
      </c>
      <c r="C62" s="17"/>
      <c r="D62" s="16">
        <v>1</v>
      </c>
      <c r="E62" s="13">
        <f t="shared" si="1"/>
        <v>1</v>
      </c>
      <c r="F62" s="18">
        <v>44581</v>
      </c>
    </row>
    <row r="63" spans="2:6" x14ac:dyDescent="0.15">
      <c r="B63" s="12" t="s">
        <v>2</v>
      </c>
      <c r="C63" s="15">
        <v>1</v>
      </c>
      <c r="D63" s="14"/>
      <c r="E63" s="13">
        <f t="shared" si="1"/>
        <v>1</v>
      </c>
      <c r="F63" s="18">
        <v>44597</v>
      </c>
    </row>
    <row r="64" spans="2:6" x14ac:dyDescent="0.15">
      <c r="B64" s="12" t="s">
        <v>2</v>
      </c>
      <c r="C64" s="17"/>
      <c r="D64" s="16">
        <v>1</v>
      </c>
      <c r="E64" s="13">
        <f t="shared" si="1"/>
        <v>1</v>
      </c>
      <c r="F64" s="18">
        <v>44627</v>
      </c>
    </row>
    <row r="65" spans="2:6" x14ac:dyDescent="0.15">
      <c r="B65" s="12" t="s">
        <v>2</v>
      </c>
      <c r="C65" s="17"/>
      <c r="D65" s="16">
        <v>1</v>
      </c>
      <c r="E65" s="13">
        <f t="shared" si="1"/>
        <v>1</v>
      </c>
      <c r="F65" s="18">
        <v>44634</v>
      </c>
    </row>
    <row r="66" spans="2:6" x14ac:dyDescent="0.15">
      <c r="B66" s="12" t="s">
        <v>2</v>
      </c>
      <c r="C66" s="17">
        <v>2</v>
      </c>
      <c r="D66" s="16">
        <v>1</v>
      </c>
      <c r="E66" s="13">
        <f t="shared" si="1"/>
        <v>3</v>
      </c>
      <c r="F66" s="18">
        <v>44638</v>
      </c>
    </row>
    <row r="67" spans="2:6" x14ac:dyDescent="0.15">
      <c r="B67" s="12" t="s">
        <v>2</v>
      </c>
      <c r="C67" s="17"/>
      <c r="D67" s="16">
        <v>1</v>
      </c>
      <c r="E67" s="13">
        <f t="shared" si="1"/>
        <v>1</v>
      </c>
      <c r="F67" s="18">
        <v>44645</v>
      </c>
    </row>
    <row r="68" spans="2:6" x14ac:dyDescent="0.15">
      <c r="B68" s="12" t="s">
        <v>2</v>
      </c>
      <c r="C68" s="17">
        <v>2</v>
      </c>
      <c r="D68" s="16"/>
      <c r="E68" s="13">
        <f t="shared" si="1"/>
        <v>2</v>
      </c>
      <c r="F68" s="18">
        <v>44664</v>
      </c>
    </row>
    <row r="69" spans="2:6" x14ac:dyDescent="0.15">
      <c r="B69" s="12" t="s">
        <v>2</v>
      </c>
      <c r="C69" s="17">
        <v>1</v>
      </c>
      <c r="D69" s="16"/>
      <c r="E69" s="13">
        <f t="shared" si="1"/>
        <v>1</v>
      </c>
      <c r="F69" s="18">
        <v>44667</v>
      </c>
    </row>
    <row r="70" spans="2:6" x14ac:dyDescent="0.15">
      <c r="B70" s="12" t="s">
        <v>2</v>
      </c>
      <c r="C70" s="15">
        <v>2</v>
      </c>
      <c r="D70" s="14"/>
      <c r="E70" s="13">
        <f t="shared" si="1"/>
        <v>2</v>
      </c>
      <c r="F70" s="18">
        <v>44707</v>
      </c>
    </row>
    <row r="71" spans="2:6" x14ac:dyDescent="0.15">
      <c r="B71" s="12" t="s">
        <v>2</v>
      </c>
      <c r="C71" s="15"/>
      <c r="D71" s="14">
        <v>1</v>
      </c>
      <c r="E71" s="13">
        <f t="shared" si="1"/>
        <v>1</v>
      </c>
      <c r="F71" s="18">
        <v>44733</v>
      </c>
    </row>
    <row r="72" spans="2:6" x14ac:dyDescent="0.15">
      <c r="B72" s="12" t="s">
        <v>2</v>
      </c>
      <c r="C72" s="15">
        <v>1</v>
      </c>
      <c r="D72" s="14"/>
      <c r="E72" s="13">
        <f t="shared" si="1"/>
        <v>1</v>
      </c>
      <c r="F72" s="18">
        <v>44740</v>
      </c>
    </row>
    <row r="73" spans="2:6" x14ac:dyDescent="0.15">
      <c r="B73" s="12" t="s">
        <v>2</v>
      </c>
      <c r="C73" s="15">
        <v>1</v>
      </c>
      <c r="D73" s="14"/>
      <c r="E73" s="13">
        <f t="shared" si="1"/>
        <v>1</v>
      </c>
      <c r="F73" s="18">
        <v>44754</v>
      </c>
    </row>
    <row r="74" spans="2:6" x14ac:dyDescent="0.15">
      <c r="B74" s="12" t="s">
        <v>2</v>
      </c>
      <c r="C74" s="15">
        <v>1</v>
      </c>
      <c r="D74" s="14"/>
      <c r="E74" s="13">
        <f t="shared" si="1"/>
        <v>1</v>
      </c>
      <c r="F74" s="18">
        <v>44767</v>
      </c>
    </row>
    <row r="75" spans="2:6" ht="14.25" thickBot="1" x14ac:dyDescent="0.2">
      <c r="B75" s="12"/>
      <c r="C75" s="11"/>
      <c r="D75" s="10"/>
      <c r="E75" s="9">
        <f t="shared" si="1"/>
        <v>0</v>
      </c>
    </row>
    <row r="76" spans="2:6" ht="14.25" thickBot="1" x14ac:dyDescent="0.2">
      <c r="B76" s="8" t="s">
        <v>1</v>
      </c>
      <c r="C76" s="7">
        <f>SUM(C51:C75)</f>
        <v>21</v>
      </c>
      <c r="D76" s="6">
        <f>SUM(D51:D75)</f>
        <v>12</v>
      </c>
      <c r="E76" s="6">
        <f t="shared" si="1"/>
        <v>33</v>
      </c>
    </row>
    <row r="77" spans="2:6" ht="14.25" thickBot="1" x14ac:dyDescent="0.2">
      <c r="B77" s="5" t="s">
        <v>0</v>
      </c>
      <c r="C77" s="4">
        <f>+C50-C76</f>
        <v>1</v>
      </c>
      <c r="D77" s="3">
        <f>+D50-D76</f>
        <v>5</v>
      </c>
      <c r="E77" s="2">
        <f>C77</f>
        <v>1</v>
      </c>
    </row>
    <row r="79" spans="2:6" ht="18.75" x14ac:dyDescent="0.2">
      <c r="B79" s="31" t="s">
        <v>8</v>
      </c>
      <c r="C79" s="30"/>
      <c r="D79" s="30"/>
      <c r="E79" s="30"/>
    </row>
    <row r="80" spans="2:6" ht="14.25" thickBot="1" x14ac:dyDescent="0.2">
      <c r="E80">
        <v>911</v>
      </c>
    </row>
    <row r="81" spans="1:6" ht="14.25" thickBot="1" x14ac:dyDescent="0.2">
      <c r="B81" s="29"/>
      <c r="C81" s="42"/>
      <c r="D81" s="42"/>
      <c r="E81" s="43"/>
    </row>
    <row r="82" spans="1:6" ht="14.25" thickBot="1" x14ac:dyDescent="0.2">
      <c r="A82" s="1"/>
      <c r="B82" s="28"/>
      <c r="C82" s="40" t="s">
        <v>7</v>
      </c>
      <c r="D82" s="41" t="s">
        <v>6</v>
      </c>
      <c r="E82" s="27" t="s">
        <v>5</v>
      </c>
    </row>
    <row r="83" spans="1:6" x14ac:dyDescent="0.15">
      <c r="B83" s="26" t="s">
        <v>0</v>
      </c>
      <c r="C83" s="25">
        <f>C77</f>
        <v>1</v>
      </c>
      <c r="D83" s="24">
        <f>D77</f>
        <v>5</v>
      </c>
      <c r="E83" s="24">
        <f t="shared" ref="E83:E115" si="2">C83+D83</f>
        <v>6</v>
      </c>
    </row>
    <row r="84" spans="1:6" x14ac:dyDescent="0.15">
      <c r="B84" s="23" t="s">
        <v>4</v>
      </c>
      <c r="C84" s="15">
        <v>3</v>
      </c>
      <c r="D84" s="14"/>
      <c r="E84" s="13">
        <f t="shared" si="2"/>
        <v>3</v>
      </c>
      <c r="F84" s="18">
        <v>44726</v>
      </c>
    </row>
    <row r="85" spans="1:6" x14ac:dyDescent="0.15">
      <c r="B85" s="35" t="s">
        <v>10</v>
      </c>
      <c r="C85" s="36">
        <v>0</v>
      </c>
      <c r="D85" s="37">
        <v>0</v>
      </c>
      <c r="E85" s="38">
        <f t="shared" si="2"/>
        <v>0</v>
      </c>
      <c r="F85" s="39">
        <v>44796</v>
      </c>
    </row>
    <row r="86" spans="1:6" x14ac:dyDescent="0.15">
      <c r="B86" s="23" t="s">
        <v>4</v>
      </c>
      <c r="C86" s="15">
        <v>5</v>
      </c>
      <c r="D86" s="14"/>
      <c r="E86" s="13">
        <f t="shared" si="2"/>
        <v>5</v>
      </c>
      <c r="F86" s="18">
        <v>44862</v>
      </c>
    </row>
    <row r="87" spans="1:6" x14ac:dyDescent="0.15">
      <c r="B87" s="23" t="s">
        <v>4</v>
      </c>
      <c r="C87" s="15">
        <v>3</v>
      </c>
      <c r="D87" s="14">
        <v>5</v>
      </c>
      <c r="E87" s="13">
        <f t="shared" si="2"/>
        <v>8</v>
      </c>
      <c r="F87" s="18">
        <v>44944</v>
      </c>
    </row>
    <row r="88" spans="1:6" ht="14.25" thickBot="1" x14ac:dyDescent="0.2">
      <c r="B88" s="22" t="s">
        <v>4</v>
      </c>
      <c r="C88" s="21"/>
      <c r="D88" s="10">
        <v>3</v>
      </c>
      <c r="E88" s="9">
        <f t="shared" si="2"/>
        <v>3</v>
      </c>
      <c r="F88" s="18">
        <v>44964</v>
      </c>
    </row>
    <row r="89" spans="1:6" ht="14.25" thickBot="1" x14ac:dyDescent="0.2">
      <c r="B89" s="8" t="s">
        <v>3</v>
      </c>
      <c r="C89" s="6">
        <f>SUM(C83:C88)</f>
        <v>12</v>
      </c>
      <c r="D89" s="7">
        <f>SUM(D83:D88)</f>
        <v>13</v>
      </c>
      <c r="E89" s="6">
        <f t="shared" si="2"/>
        <v>25</v>
      </c>
    </row>
    <row r="90" spans="1:6" x14ac:dyDescent="0.15">
      <c r="B90" s="12" t="s">
        <v>2</v>
      </c>
      <c r="C90" s="20">
        <v>1</v>
      </c>
      <c r="D90" s="19"/>
      <c r="E90" s="13">
        <f t="shared" si="2"/>
        <v>1</v>
      </c>
      <c r="F90" s="18">
        <v>44858</v>
      </c>
    </row>
    <row r="91" spans="1:6" x14ac:dyDescent="0.15">
      <c r="B91" s="12" t="s">
        <v>2</v>
      </c>
      <c r="C91" s="15"/>
      <c r="D91" s="14">
        <v>1</v>
      </c>
      <c r="E91" s="13">
        <f t="shared" si="2"/>
        <v>1</v>
      </c>
      <c r="F91" s="18">
        <v>44872</v>
      </c>
    </row>
    <row r="92" spans="1:6" x14ac:dyDescent="0.15">
      <c r="B92" s="12" t="s">
        <v>2</v>
      </c>
      <c r="C92" s="15">
        <v>1</v>
      </c>
      <c r="D92" s="14">
        <v>1</v>
      </c>
      <c r="E92" s="13">
        <f t="shared" si="2"/>
        <v>2</v>
      </c>
      <c r="F92" s="18">
        <v>44903</v>
      </c>
    </row>
    <row r="93" spans="1:6" x14ac:dyDescent="0.15">
      <c r="B93" s="12" t="s">
        <v>2</v>
      </c>
      <c r="C93" s="17"/>
      <c r="D93" s="16">
        <v>1</v>
      </c>
      <c r="E93" s="13">
        <f t="shared" si="2"/>
        <v>1</v>
      </c>
      <c r="F93" s="18">
        <v>44909</v>
      </c>
    </row>
    <row r="94" spans="1:6" x14ac:dyDescent="0.15">
      <c r="B94" s="12" t="s">
        <v>2</v>
      </c>
      <c r="C94" s="17">
        <v>2</v>
      </c>
      <c r="D94" s="16"/>
      <c r="E94" s="13">
        <f t="shared" si="2"/>
        <v>2</v>
      </c>
      <c r="F94" s="18">
        <v>44910</v>
      </c>
    </row>
    <row r="95" spans="1:6" x14ac:dyDescent="0.15">
      <c r="B95" s="12" t="s">
        <v>2</v>
      </c>
      <c r="C95" s="15">
        <v>1</v>
      </c>
      <c r="D95" s="14"/>
      <c r="E95" s="13">
        <f t="shared" si="2"/>
        <v>1</v>
      </c>
      <c r="F95" s="18">
        <v>44917</v>
      </c>
    </row>
    <row r="96" spans="1:6" x14ac:dyDescent="0.15">
      <c r="B96" s="12" t="s">
        <v>2</v>
      </c>
      <c r="C96" s="15">
        <v>1</v>
      </c>
      <c r="D96" s="14"/>
      <c r="E96" s="13">
        <f t="shared" si="2"/>
        <v>1</v>
      </c>
      <c r="F96" s="18">
        <v>44942</v>
      </c>
    </row>
    <row r="97" spans="2:6" x14ac:dyDescent="0.15">
      <c r="B97" s="12" t="s">
        <v>2</v>
      </c>
      <c r="C97" s="17"/>
      <c r="D97" s="16">
        <v>2</v>
      </c>
      <c r="E97" s="13">
        <f t="shared" si="2"/>
        <v>2</v>
      </c>
      <c r="F97" s="18">
        <v>44944</v>
      </c>
    </row>
    <row r="98" spans="2:6" x14ac:dyDescent="0.15">
      <c r="B98" s="12" t="s">
        <v>2</v>
      </c>
      <c r="C98" s="17">
        <v>2</v>
      </c>
      <c r="D98" s="16"/>
      <c r="E98" s="13">
        <f t="shared" si="2"/>
        <v>2</v>
      </c>
      <c r="F98" s="18">
        <v>44966</v>
      </c>
    </row>
    <row r="99" spans="2:6" x14ac:dyDescent="0.15">
      <c r="B99" s="12" t="s">
        <v>2</v>
      </c>
      <c r="C99" s="15">
        <v>1</v>
      </c>
      <c r="D99" s="14"/>
      <c r="E99" s="13">
        <f t="shared" si="2"/>
        <v>1</v>
      </c>
      <c r="F99" s="18">
        <v>44970</v>
      </c>
    </row>
    <row r="100" spans="2:6" x14ac:dyDescent="0.15">
      <c r="B100" s="12" t="s">
        <v>2</v>
      </c>
      <c r="C100" s="17"/>
      <c r="D100" s="16"/>
      <c r="E100" s="13">
        <f t="shared" si="2"/>
        <v>0</v>
      </c>
    </row>
    <row r="101" spans="2:6" x14ac:dyDescent="0.15">
      <c r="B101" s="12"/>
      <c r="C101" s="17"/>
      <c r="D101" s="16"/>
      <c r="E101" s="13">
        <f t="shared" si="2"/>
        <v>0</v>
      </c>
    </row>
    <row r="102" spans="2:6" x14ac:dyDescent="0.15">
      <c r="B102" s="12"/>
      <c r="C102" s="15"/>
      <c r="D102" s="14"/>
      <c r="E102" s="13">
        <f t="shared" si="2"/>
        <v>0</v>
      </c>
    </row>
    <row r="103" spans="2:6" x14ac:dyDescent="0.15">
      <c r="B103" s="12"/>
      <c r="C103" s="17"/>
      <c r="D103" s="16"/>
      <c r="E103" s="13">
        <f t="shared" si="2"/>
        <v>0</v>
      </c>
    </row>
    <row r="104" spans="2:6" x14ac:dyDescent="0.15">
      <c r="B104" s="12"/>
      <c r="C104" s="17"/>
      <c r="D104" s="16"/>
      <c r="E104" s="13">
        <f t="shared" si="2"/>
        <v>0</v>
      </c>
    </row>
    <row r="105" spans="2:6" x14ac:dyDescent="0.15">
      <c r="B105" s="12"/>
      <c r="C105" s="17"/>
      <c r="D105" s="16"/>
      <c r="E105" s="13">
        <f t="shared" si="2"/>
        <v>0</v>
      </c>
    </row>
    <row r="106" spans="2:6" x14ac:dyDescent="0.15">
      <c r="B106" s="12"/>
      <c r="C106" s="17"/>
      <c r="D106" s="16"/>
      <c r="E106" s="13">
        <f t="shared" si="2"/>
        <v>0</v>
      </c>
    </row>
    <row r="107" spans="2:6" x14ac:dyDescent="0.15">
      <c r="B107" s="12"/>
      <c r="C107" s="17"/>
      <c r="D107" s="16"/>
      <c r="E107" s="13">
        <f t="shared" si="2"/>
        <v>0</v>
      </c>
    </row>
    <row r="108" spans="2:6" x14ac:dyDescent="0.15">
      <c r="B108" s="12"/>
      <c r="C108" s="17"/>
      <c r="D108" s="16"/>
      <c r="E108" s="13">
        <f t="shared" si="2"/>
        <v>0</v>
      </c>
    </row>
    <row r="109" spans="2:6" x14ac:dyDescent="0.15">
      <c r="B109" s="12"/>
      <c r="C109" s="15"/>
      <c r="D109" s="14"/>
      <c r="E109" s="13">
        <f t="shared" si="2"/>
        <v>0</v>
      </c>
    </row>
    <row r="110" spans="2:6" x14ac:dyDescent="0.15">
      <c r="B110" s="12"/>
      <c r="C110" s="15"/>
      <c r="D110" s="14"/>
      <c r="E110" s="13">
        <f t="shared" si="2"/>
        <v>0</v>
      </c>
    </row>
    <row r="111" spans="2:6" x14ac:dyDescent="0.15">
      <c r="B111" s="12"/>
      <c r="C111" s="15"/>
      <c r="D111" s="14"/>
      <c r="E111" s="13">
        <f t="shared" si="2"/>
        <v>0</v>
      </c>
    </row>
    <row r="112" spans="2:6" x14ac:dyDescent="0.15">
      <c r="B112" s="12"/>
      <c r="C112" s="15"/>
      <c r="D112" s="14"/>
      <c r="E112" s="13">
        <f t="shared" si="2"/>
        <v>0</v>
      </c>
    </row>
    <row r="113" spans="1:6" x14ac:dyDescent="0.15">
      <c r="B113" s="12"/>
      <c r="C113" s="15"/>
      <c r="D113" s="14"/>
      <c r="E113" s="13">
        <f t="shared" si="2"/>
        <v>0</v>
      </c>
    </row>
    <row r="114" spans="1:6" ht="14.25" thickBot="1" x14ac:dyDescent="0.2">
      <c r="B114" s="12"/>
      <c r="C114" s="11"/>
      <c r="D114" s="10"/>
      <c r="E114" s="9">
        <f t="shared" si="2"/>
        <v>0</v>
      </c>
    </row>
    <row r="115" spans="1:6" ht="14.25" thickBot="1" x14ac:dyDescent="0.2">
      <c r="B115" s="8" t="s">
        <v>1</v>
      </c>
      <c r="C115" s="7">
        <f>SUM(C90:C114)</f>
        <v>9</v>
      </c>
      <c r="D115" s="6">
        <f>SUM(D90:D114)</f>
        <v>5</v>
      </c>
      <c r="E115" s="6">
        <f t="shared" si="2"/>
        <v>14</v>
      </c>
    </row>
    <row r="116" spans="1:6" ht="14.25" thickBot="1" x14ac:dyDescent="0.2">
      <c r="B116" s="5" t="s">
        <v>0</v>
      </c>
      <c r="C116" s="4">
        <f>+C89-C115</f>
        <v>3</v>
      </c>
      <c r="D116" s="3">
        <f>+D89-D115</f>
        <v>8</v>
      </c>
      <c r="E116" s="2">
        <f>C116</f>
        <v>3</v>
      </c>
    </row>
    <row r="118" spans="1:6" ht="18.75" x14ac:dyDescent="0.2">
      <c r="B118" s="31" t="s">
        <v>8</v>
      </c>
      <c r="C118" s="30"/>
      <c r="D118" s="30"/>
      <c r="E118" s="30"/>
    </row>
    <row r="119" spans="1:6" ht="14.25" thickBot="1" x14ac:dyDescent="0.2">
      <c r="E119">
        <v>911</v>
      </c>
    </row>
    <row r="120" spans="1:6" ht="14.25" thickBot="1" x14ac:dyDescent="0.2">
      <c r="B120" s="29"/>
      <c r="C120" s="42"/>
      <c r="D120" s="42"/>
      <c r="E120" s="43"/>
    </row>
    <row r="121" spans="1:6" ht="14.25" thickBot="1" x14ac:dyDescent="0.2">
      <c r="A121" s="1"/>
      <c r="B121" s="28"/>
      <c r="C121" s="40" t="s">
        <v>7</v>
      </c>
      <c r="D121" s="41" t="s">
        <v>6</v>
      </c>
      <c r="E121" s="27" t="s">
        <v>5</v>
      </c>
    </row>
    <row r="122" spans="1:6" x14ac:dyDescent="0.15">
      <c r="B122" s="26" t="s">
        <v>0</v>
      </c>
      <c r="C122" s="25">
        <f>C116</f>
        <v>3</v>
      </c>
      <c r="D122" s="24">
        <f>D116</f>
        <v>8</v>
      </c>
      <c r="E122" s="24">
        <f t="shared" ref="E122:E154" si="3">C122+D122</f>
        <v>11</v>
      </c>
    </row>
    <row r="123" spans="1:6" x14ac:dyDescent="0.15">
      <c r="B123" s="23" t="s">
        <v>4</v>
      </c>
      <c r="C123" s="15">
        <v>3</v>
      </c>
      <c r="D123" s="14"/>
      <c r="E123" s="13">
        <f t="shared" si="3"/>
        <v>3</v>
      </c>
      <c r="F123" s="18">
        <v>45017</v>
      </c>
    </row>
    <row r="124" spans="1:6" x14ac:dyDescent="0.15">
      <c r="B124" s="23" t="s">
        <v>4</v>
      </c>
      <c r="C124" s="15">
        <v>3</v>
      </c>
      <c r="D124" s="14"/>
      <c r="E124" s="13">
        <f t="shared" si="3"/>
        <v>3</v>
      </c>
      <c r="F124" s="18">
        <v>45106</v>
      </c>
    </row>
    <row r="125" spans="1:6" x14ac:dyDescent="0.15">
      <c r="B125" s="23" t="s">
        <v>11</v>
      </c>
      <c r="C125" s="15">
        <v>0</v>
      </c>
      <c r="D125" s="14">
        <v>0</v>
      </c>
      <c r="E125" s="13">
        <f t="shared" si="3"/>
        <v>0</v>
      </c>
      <c r="F125" s="18">
        <v>45146</v>
      </c>
    </row>
    <row r="126" spans="1:6" x14ac:dyDescent="0.15">
      <c r="B126" s="23" t="s">
        <v>4</v>
      </c>
      <c r="C126" s="15">
        <v>3</v>
      </c>
      <c r="D126" s="14"/>
      <c r="E126" s="13">
        <f t="shared" si="3"/>
        <v>3</v>
      </c>
      <c r="F126" s="18">
        <v>45155</v>
      </c>
    </row>
    <row r="127" spans="1:6" ht="14.25" thickBot="1" x14ac:dyDescent="0.2">
      <c r="B127" s="22" t="s">
        <v>4</v>
      </c>
      <c r="C127" s="21">
        <v>3</v>
      </c>
      <c r="D127" s="10"/>
      <c r="E127" s="9">
        <f t="shared" si="3"/>
        <v>3</v>
      </c>
      <c r="F127" s="18">
        <v>45191</v>
      </c>
    </row>
    <row r="128" spans="1:6" ht="14.25" thickBot="1" x14ac:dyDescent="0.2">
      <c r="B128" s="8" t="s">
        <v>3</v>
      </c>
      <c r="C128" s="6">
        <f>SUM(C122:C127)</f>
        <v>15</v>
      </c>
      <c r="D128" s="7">
        <f>SUM(D122:D127)</f>
        <v>8</v>
      </c>
      <c r="E128" s="6">
        <f t="shared" si="3"/>
        <v>23</v>
      </c>
    </row>
    <row r="129" spans="2:6" x14ac:dyDescent="0.15">
      <c r="B129" s="12" t="s">
        <v>2</v>
      </c>
      <c r="C129" s="20"/>
      <c r="D129" s="19">
        <v>1</v>
      </c>
      <c r="E129" s="13">
        <f t="shared" si="3"/>
        <v>1</v>
      </c>
      <c r="F129" s="18">
        <v>45026</v>
      </c>
    </row>
    <row r="130" spans="2:6" x14ac:dyDescent="0.15">
      <c r="B130" s="12" t="s">
        <v>2</v>
      </c>
      <c r="C130" s="15">
        <v>1</v>
      </c>
      <c r="D130" s="14"/>
      <c r="E130" s="13">
        <f t="shared" si="3"/>
        <v>1</v>
      </c>
      <c r="F130" s="18">
        <v>45059</v>
      </c>
    </row>
    <row r="131" spans="2:6" x14ac:dyDescent="0.15">
      <c r="B131" s="12" t="s">
        <v>2</v>
      </c>
      <c r="C131" s="15">
        <v>1</v>
      </c>
      <c r="D131" s="14"/>
      <c r="E131" s="13">
        <f t="shared" si="3"/>
        <v>1</v>
      </c>
      <c r="F131" s="18">
        <v>45083</v>
      </c>
    </row>
    <row r="132" spans="2:6" x14ac:dyDescent="0.15">
      <c r="B132" s="12" t="s">
        <v>2</v>
      </c>
      <c r="C132" s="17">
        <v>1</v>
      </c>
      <c r="D132" s="16"/>
      <c r="E132" s="13">
        <f t="shared" si="3"/>
        <v>1</v>
      </c>
      <c r="F132" s="18">
        <v>45084</v>
      </c>
    </row>
    <row r="133" spans="2:6" x14ac:dyDescent="0.15">
      <c r="B133" s="12" t="s">
        <v>2</v>
      </c>
      <c r="C133" s="17">
        <v>1</v>
      </c>
      <c r="D133" s="16">
        <v>1</v>
      </c>
      <c r="E133" s="13">
        <f t="shared" si="3"/>
        <v>2</v>
      </c>
      <c r="F133" s="18">
        <v>45089</v>
      </c>
    </row>
    <row r="134" spans="2:6" x14ac:dyDescent="0.15">
      <c r="B134" s="12" t="s">
        <v>2</v>
      </c>
      <c r="C134" s="15">
        <v>2</v>
      </c>
      <c r="D134" s="14"/>
      <c r="E134" s="13">
        <f t="shared" si="3"/>
        <v>2</v>
      </c>
      <c r="F134" s="18">
        <v>45133</v>
      </c>
    </row>
    <row r="135" spans="2:6" x14ac:dyDescent="0.15">
      <c r="B135" s="12" t="s">
        <v>2</v>
      </c>
      <c r="C135" s="15">
        <v>1</v>
      </c>
      <c r="D135" s="14">
        <v>1</v>
      </c>
      <c r="E135" s="13">
        <f t="shared" si="3"/>
        <v>2</v>
      </c>
      <c r="F135" s="18">
        <v>45143</v>
      </c>
    </row>
    <row r="136" spans="2:6" x14ac:dyDescent="0.15">
      <c r="B136" s="12" t="s">
        <v>2</v>
      </c>
      <c r="C136" s="17">
        <v>1</v>
      </c>
      <c r="D136" s="16"/>
      <c r="E136" s="13">
        <f t="shared" si="3"/>
        <v>1</v>
      </c>
      <c r="F136" s="18">
        <v>45175</v>
      </c>
    </row>
    <row r="137" spans="2:6" x14ac:dyDescent="0.15">
      <c r="B137" s="12" t="s">
        <v>2</v>
      </c>
      <c r="C137" s="17">
        <v>1</v>
      </c>
      <c r="D137" s="16"/>
      <c r="E137" s="13">
        <f t="shared" si="3"/>
        <v>1</v>
      </c>
      <c r="F137" s="18">
        <v>45215</v>
      </c>
    </row>
    <row r="138" spans="2:6" x14ac:dyDescent="0.15">
      <c r="B138" s="12" t="s">
        <v>2</v>
      </c>
      <c r="C138" s="15"/>
      <c r="D138" s="14">
        <v>2</v>
      </c>
      <c r="E138" s="13">
        <f t="shared" si="3"/>
        <v>2</v>
      </c>
      <c r="F138" s="18">
        <v>45238</v>
      </c>
    </row>
    <row r="139" spans="2:6" x14ac:dyDescent="0.15">
      <c r="B139" s="12" t="s">
        <v>2</v>
      </c>
      <c r="C139" s="17">
        <v>2</v>
      </c>
      <c r="D139" s="16">
        <v>1</v>
      </c>
      <c r="E139" s="13">
        <f t="shared" si="3"/>
        <v>3</v>
      </c>
      <c r="F139" s="18">
        <v>45240</v>
      </c>
    </row>
    <row r="140" spans="2:6" x14ac:dyDescent="0.15">
      <c r="B140" s="12" t="s">
        <v>2</v>
      </c>
      <c r="C140" s="17">
        <v>2</v>
      </c>
      <c r="D140" s="16"/>
      <c r="E140" s="13">
        <f t="shared" si="3"/>
        <v>2</v>
      </c>
      <c r="F140" s="18">
        <v>45243</v>
      </c>
    </row>
    <row r="141" spans="2:6" x14ac:dyDescent="0.15">
      <c r="B141" s="12"/>
      <c r="C141" s="15"/>
      <c r="D141" s="14"/>
      <c r="E141" s="13">
        <f t="shared" si="3"/>
        <v>0</v>
      </c>
    </row>
    <row r="142" spans="2:6" x14ac:dyDescent="0.15">
      <c r="B142" s="12"/>
      <c r="C142" s="17"/>
      <c r="D142" s="16"/>
      <c r="E142" s="13">
        <f t="shared" si="3"/>
        <v>0</v>
      </c>
    </row>
    <row r="143" spans="2:6" x14ac:dyDescent="0.15">
      <c r="B143" s="12"/>
      <c r="C143" s="17"/>
      <c r="D143" s="16"/>
      <c r="E143" s="13">
        <f t="shared" si="3"/>
        <v>0</v>
      </c>
    </row>
    <row r="144" spans="2:6" x14ac:dyDescent="0.15">
      <c r="B144" s="12"/>
      <c r="C144" s="17"/>
      <c r="D144" s="16"/>
      <c r="E144" s="13">
        <f t="shared" si="3"/>
        <v>0</v>
      </c>
    </row>
    <row r="145" spans="1:5" x14ac:dyDescent="0.15">
      <c r="B145" s="12"/>
      <c r="C145" s="17"/>
      <c r="D145" s="16"/>
      <c r="E145" s="13">
        <f t="shared" si="3"/>
        <v>0</v>
      </c>
    </row>
    <row r="146" spans="1:5" x14ac:dyDescent="0.15">
      <c r="B146" s="12"/>
      <c r="C146" s="17"/>
      <c r="D146" s="16"/>
      <c r="E146" s="13">
        <f t="shared" si="3"/>
        <v>0</v>
      </c>
    </row>
    <row r="147" spans="1:5" x14ac:dyDescent="0.15">
      <c r="B147" s="12"/>
      <c r="C147" s="17"/>
      <c r="D147" s="16"/>
      <c r="E147" s="13">
        <f t="shared" si="3"/>
        <v>0</v>
      </c>
    </row>
    <row r="148" spans="1:5" x14ac:dyDescent="0.15">
      <c r="B148" s="12"/>
      <c r="C148" s="15"/>
      <c r="D148" s="14"/>
      <c r="E148" s="13">
        <f t="shared" si="3"/>
        <v>0</v>
      </c>
    </row>
    <row r="149" spans="1:5" x14ac:dyDescent="0.15">
      <c r="B149" s="12"/>
      <c r="C149" s="15"/>
      <c r="D149" s="14"/>
      <c r="E149" s="13">
        <f t="shared" si="3"/>
        <v>0</v>
      </c>
    </row>
    <row r="150" spans="1:5" x14ac:dyDescent="0.15">
      <c r="B150" s="12"/>
      <c r="C150" s="15"/>
      <c r="D150" s="14"/>
      <c r="E150" s="13">
        <f t="shared" si="3"/>
        <v>0</v>
      </c>
    </row>
    <row r="151" spans="1:5" x14ac:dyDescent="0.15">
      <c r="B151" s="12"/>
      <c r="C151" s="15"/>
      <c r="D151" s="14"/>
      <c r="E151" s="13">
        <f t="shared" si="3"/>
        <v>0</v>
      </c>
    </row>
    <row r="152" spans="1:5" x14ac:dyDescent="0.15">
      <c r="B152" s="12"/>
      <c r="C152" s="15"/>
      <c r="D152" s="14"/>
      <c r="E152" s="13">
        <f t="shared" si="3"/>
        <v>0</v>
      </c>
    </row>
    <row r="153" spans="1:5" ht="14.25" thickBot="1" x14ac:dyDescent="0.2">
      <c r="B153" s="12"/>
      <c r="C153" s="11"/>
      <c r="D153" s="10"/>
      <c r="E153" s="9">
        <f t="shared" si="3"/>
        <v>0</v>
      </c>
    </row>
    <row r="154" spans="1:5" ht="14.25" thickBot="1" x14ac:dyDescent="0.2">
      <c r="B154" s="8" t="s">
        <v>1</v>
      </c>
      <c r="C154" s="7">
        <f>SUM(C129:C153)</f>
        <v>13</v>
      </c>
      <c r="D154" s="6">
        <f>SUM(D129:D153)</f>
        <v>6</v>
      </c>
      <c r="E154" s="6">
        <f t="shared" si="3"/>
        <v>19</v>
      </c>
    </row>
    <row r="155" spans="1:5" ht="14.25" thickBot="1" x14ac:dyDescent="0.2">
      <c r="B155" s="5" t="s">
        <v>0</v>
      </c>
      <c r="C155" s="4">
        <f>+C128-C154</f>
        <v>2</v>
      </c>
      <c r="D155" s="3">
        <f>+D128-D154</f>
        <v>2</v>
      </c>
      <c r="E155" s="2">
        <f>C155</f>
        <v>2</v>
      </c>
    </row>
    <row r="157" spans="1:5" ht="18.75" x14ac:dyDescent="0.2">
      <c r="B157" s="31" t="s">
        <v>8</v>
      </c>
      <c r="C157" s="30"/>
      <c r="D157" s="30"/>
      <c r="E157" s="30"/>
    </row>
    <row r="158" spans="1:5" ht="14.25" thickBot="1" x14ac:dyDescent="0.2">
      <c r="E158">
        <v>911</v>
      </c>
    </row>
    <row r="159" spans="1:5" ht="14.25" thickBot="1" x14ac:dyDescent="0.2">
      <c r="B159" s="29"/>
      <c r="C159" s="42"/>
      <c r="D159" s="42"/>
      <c r="E159" s="43"/>
    </row>
    <row r="160" spans="1:5" ht="14.25" thickBot="1" x14ac:dyDescent="0.2">
      <c r="A160" s="1"/>
      <c r="B160" s="28"/>
      <c r="C160" s="40" t="s">
        <v>7</v>
      </c>
      <c r="D160" s="41" t="s">
        <v>6</v>
      </c>
      <c r="E160" s="27" t="s">
        <v>5</v>
      </c>
    </row>
    <row r="161" spans="2:6" x14ac:dyDescent="0.15">
      <c r="B161" s="26" t="s">
        <v>0</v>
      </c>
      <c r="C161" s="25">
        <f>C155</f>
        <v>2</v>
      </c>
      <c r="D161" s="24">
        <f>D155</f>
        <v>2</v>
      </c>
      <c r="E161" s="24">
        <f t="shared" ref="E161:E193" si="4">C161+D161</f>
        <v>4</v>
      </c>
    </row>
    <row r="162" spans="2:6" x14ac:dyDescent="0.15">
      <c r="B162" s="23" t="s">
        <v>4</v>
      </c>
      <c r="C162" s="15">
        <v>3</v>
      </c>
      <c r="D162" s="14"/>
      <c r="E162" s="13">
        <f t="shared" si="4"/>
        <v>3</v>
      </c>
      <c r="F162" s="18">
        <v>45261</v>
      </c>
    </row>
    <row r="163" spans="2:6" x14ac:dyDescent="0.15">
      <c r="B163" s="23" t="s">
        <v>4</v>
      </c>
      <c r="C163" s="15">
        <v>10</v>
      </c>
      <c r="D163" s="14">
        <v>3</v>
      </c>
      <c r="E163" s="13">
        <f t="shared" si="4"/>
        <v>13</v>
      </c>
      <c r="F163" s="18">
        <v>45281</v>
      </c>
    </row>
    <row r="164" spans="2:6" x14ac:dyDescent="0.15">
      <c r="B164" s="23" t="s">
        <v>4</v>
      </c>
      <c r="C164" s="15"/>
      <c r="D164" s="14">
        <v>3</v>
      </c>
      <c r="E164" s="13">
        <f t="shared" ref="E164:E165" si="5">C164+D164</f>
        <v>3</v>
      </c>
      <c r="F164" s="18">
        <v>45364</v>
      </c>
    </row>
    <row r="165" spans="2:6" x14ac:dyDescent="0.15">
      <c r="B165" s="22" t="s">
        <v>4</v>
      </c>
      <c r="C165" s="21">
        <v>5</v>
      </c>
      <c r="D165" s="10"/>
      <c r="E165" s="14">
        <f t="shared" si="5"/>
        <v>5</v>
      </c>
      <c r="F165" s="18">
        <v>45455</v>
      </c>
    </row>
    <row r="166" spans="2:6" ht="14.25" thickBot="1" x14ac:dyDescent="0.2">
      <c r="B166" s="22" t="s">
        <v>11</v>
      </c>
      <c r="C166" s="21">
        <v>0</v>
      </c>
      <c r="D166" s="10">
        <v>0</v>
      </c>
      <c r="E166" s="9">
        <f t="shared" si="4"/>
        <v>0</v>
      </c>
      <c r="F166" s="18">
        <v>45526</v>
      </c>
    </row>
    <row r="167" spans="2:6" ht="14.25" thickBot="1" x14ac:dyDescent="0.2">
      <c r="B167" s="8" t="s">
        <v>3</v>
      </c>
      <c r="C167" s="6">
        <f>SUM(C161:C166)</f>
        <v>20</v>
      </c>
      <c r="D167" s="7">
        <f>SUM(D161:D166)</f>
        <v>8</v>
      </c>
      <c r="E167" s="6">
        <f t="shared" si="4"/>
        <v>28</v>
      </c>
    </row>
    <row r="168" spans="2:6" x14ac:dyDescent="0.15">
      <c r="B168" s="12" t="s">
        <v>2</v>
      </c>
      <c r="C168" s="20"/>
      <c r="D168" s="19">
        <v>1</v>
      </c>
      <c r="E168" s="13">
        <f t="shared" si="4"/>
        <v>1</v>
      </c>
      <c r="F168" s="18">
        <v>45273</v>
      </c>
    </row>
    <row r="169" spans="2:6" x14ac:dyDescent="0.15">
      <c r="B169" s="12" t="s">
        <v>2</v>
      </c>
      <c r="C169" s="15">
        <v>1</v>
      </c>
      <c r="D169" s="14"/>
      <c r="E169" s="13">
        <f t="shared" si="4"/>
        <v>1</v>
      </c>
      <c r="F169" s="18">
        <v>45278</v>
      </c>
    </row>
    <row r="170" spans="2:6" x14ac:dyDescent="0.15">
      <c r="B170" s="12" t="s">
        <v>2</v>
      </c>
      <c r="C170" s="15">
        <v>1</v>
      </c>
      <c r="D170" s="14"/>
      <c r="E170" s="13">
        <f t="shared" si="4"/>
        <v>1</v>
      </c>
      <c r="F170" s="18">
        <v>45300</v>
      </c>
    </row>
    <row r="171" spans="2:6" x14ac:dyDescent="0.15">
      <c r="B171" s="12" t="s">
        <v>2</v>
      </c>
      <c r="C171" s="17">
        <v>1</v>
      </c>
      <c r="D171" s="16">
        <v>1</v>
      </c>
      <c r="E171" s="13">
        <f t="shared" si="4"/>
        <v>2</v>
      </c>
      <c r="F171" s="18">
        <v>45328</v>
      </c>
    </row>
    <row r="172" spans="2:6" x14ac:dyDescent="0.15">
      <c r="B172" s="12" t="s">
        <v>2</v>
      </c>
      <c r="C172" s="17">
        <v>1</v>
      </c>
      <c r="D172" s="16"/>
      <c r="E172" s="13">
        <f t="shared" si="4"/>
        <v>1</v>
      </c>
      <c r="F172" s="18">
        <v>45362</v>
      </c>
    </row>
    <row r="173" spans="2:6" x14ac:dyDescent="0.15">
      <c r="B173" s="12" t="s">
        <v>2</v>
      </c>
      <c r="C173" s="15">
        <v>1</v>
      </c>
      <c r="D173" s="14"/>
      <c r="E173" s="13">
        <f t="shared" si="4"/>
        <v>1</v>
      </c>
      <c r="F173" s="18">
        <v>45390</v>
      </c>
    </row>
    <row r="174" spans="2:6" x14ac:dyDescent="0.15">
      <c r="B174" s="12" t="s">
        <v>2</v>
      </c>
      <c r="C174" s="15">
        <v>2</v>
      </c>
      <c r="D174" s="14"/>
      <c r="E174" s="13">
        <f t="shared" si="4"/>
        <v>2</v>
      </c>
      <c r="F174" s="18">
        <v>45419</v>
      </c>
    </row>
    <row r="175" spans="2:6" x14ac:dyDescent="0.15">
      <c r="B175" s="12" t="s">
        <v>2</v>
      </c>
      <c r="C175" s="17">
        <v>3</v>
      </c>
      <c r="D175" s="16"/>
      <c r="E175" s="13">
        <f t="shared" si="4"/>
        <v>3</v>
      </c>
      <c r="F175" s="18">
        <v>45455</v>
      </c>
    </row>
    <row r="176" spans="2:6" x14ac:dyDescent="0.15">
      <c r="B176" s="12" t="s">
        <v>2</v>
      </c>
      <c r="C176" s="17">
        <v>1</v>
      </c>
      <c r="D176" s="16"/>
      <c r="E176" s="13">
        <f t="shared" si="4"/>
        <v>1</v>
      </c>
      <c r="F176" s="18">
        <v>45495</v>
      </c>
    </row>
    <row r="177" spans="2:6" x14ac:dyDescent="0.15">
      <c r="B177" s="12" t="s">
        <v>2</v>
      </c>
      <c r="C177" s="15"/>
      <c r="D177" s="14">
        <v>1</v>
      </c>
      <c r="E177" s="13">
        <f>C177+D177</f>
        <v>1</v>
      </c>
      <c r="F177" s="18">
        <v>45530</v>
      </c>
    </row>
    <row r="178" spans="2:6" x14ac:dyDescent="0.15">
      <c r="B178" s="12" t="s">
        <v>2</v>
      </c>
      <c r="C178" s="17">
        <v>1</v>
      </c>
      <c r="D178" s="16"/>
      <c r="E178" s="13">
        <f t="shared" si="4"/>
        <v>1</v>
      </c>
      <c r="F178" s="18">
        <v>45559</v>
      </c>
    </row>
    <row r="179" spans="2:6" x14ac:dyDescent="0.15">
      <c r="B179" s="12" t="s">
        <v>2</v>
      </c>
      <c r="C179" s="17"/>
      <c r="D179" s="16">
        <v>2</v>
      </c>
      <c r="E179" s="13">
        <f t="shared" si="4"/>
        <v>2</v>
      </c>
      <c r="F179" s="18">
        <v>45572</v>
      </c>
    </row>
    <row r="180" spans="2:6" x14ac:dyDescent="0.15">
      <c r="B180" s="12" t="s">
        <v>2</v>
      </c>
      <c r="C180" s="15"/>
      <c r="D180" s="14">
        <v>1</v>
      </c>
      <c r="E180" s="13">
        <f t="shared" si="4"/>
        <v>1</v>
      </c>
      <c r="F180" s="18">
        <v>45576</v>
      </c>
    </row>
    <row r="181" spans="2:6" x14ac:dyDescent="0.15">
      <c r="B181" s="12" t="s">
        <v>2</v>
      </c>
      <c r="C181" s="17">
        <v>1</v>
      </c>
      <c r="D181" s="16"/>
      <c r="E181" s="13">
        <f t="shared" si="4"/>
        <v>1</v>
      </c>
      <c r="F181" s="18">
        <v>45597</v>
      </c>
    </row>
    <row r="182" spans="2:6" x14ac:dyDescent="0.15">
      <c r="B182" s="12" t="s">
        <v>2</v>
      </c>
      <c r="C182" s="17">
        <v>2</v>
      </c>
      <c r="D182" s="16"/>
      <c r="E182" s="13">
        <f t="shared" si="4"/>
        <v>2</v>
      </c>
      <c r="F182" s="18">
        <v>45601</v>
      </c>
    </row>
    <row r="183" spans="2:6" x14ac:dyDescent="0.15">
      <c r="B183" s="12" t="s">
        <v>2</v>
      </c>
      <c r="C183" s="17">
        <v>2</v>
      </c>
      <c r="D183" s="16"/>
      <c r="E183" s="13">
        <f t="shared" si="4"/>
        <v>2</v>
      </c>
      <c r="F183" s="18">
        <v>45612</v>
      </c>
    </row>
    <row r="184" spans="2:6" x14ac:dyDescent="0.15">
      <c r="B184" s="12" t="s">
        <v>2</v>
      </c>
      <c r="C184" s="17">
        <v>-2</v>
      </c>
      <c r="D184" s="16"/>
      <c r="E184" s="13">
        <f t="shared" si="4"/>
        <v>-2</v>
      </c>
      <c r="F184" s="18">
        <v>45621</v>
      </c>
    </row>
    <row r="185" spans="2:6" x14ac:dyDescent="0.15">
      <c r="B185" s="12" t="s">
        <v>2</v>
      </c>
      <c r="C185" s="17">
        <v>1</v>
      </c>
      <c r="D185" s="16"/>
      <c r="E185" s="13">
        <f t="shared" si="4"/>
        <v>1</v>
      </c>
      <c r="F185" s="18">
        <v>45638</v>
      </c>
    </row>
    <row r="186" spans="2:6" x14ac:dyDescent="0.15">
      <c r="B186" s="12" t="s">
        <v>2</v>
      </c>
      <c r="C186" s="17"/>
      <c r="D186" s="16">
        <v>2</v>
      </c>
      <c r="E186" s="13">
        <f t="shared" si="4"/>
        <v>2</v>
      </c>
      <c r="F186" s="18">
        <v>45652</v>
      </c>
    </row>
    <row r="187" spans="2:6" x14ac:dyDescent="0.15">
      <c r="B187" s="12" t="s">
        <v>2</v>
      </c>
      <c r="C187" s="15">
        <v>3</v>
      </c>
      <c r="D187" s="14"/>
      <c r="E187" s="13">
        <f t="shared" si="4"/>
        <v>3</v>
      </c>
      <c r="F187" s="18">
        <v>45663</v>
      </c>
    </row>
    <row r="188" spans="2:6" x14ac:dyDescent="0.15">
      <c r="B188" s="12"/>
      <c r="C188" s="15"/>
      <c r="D188" s="14"/>
      <c r="E188" s="13">
        <f t="shared" si="4"/>
        <v>0</v>
      </c>
    </row>
    <row r="189" spans="2:6" x14ac:dyDescent="0.15">
      <c r="B189" s="12"/>
      <c r="C189" s="15"/>
      <c r="D189" s="14"/>
      <c r="E189" s="13">
        <f t="shared" si="4"/>
        <v>0</v>
      </c>
    </row>
    <row r="190" spans="2:6" x14ac:dyDescent="0.15">
      <c r="B190" s="12"/>
      <c r="C190" s="15"/>
      <c r="D190" s="14"/>
      <c r="E190" s="13">
        <f t="shared" si="4"/>
        <v>0</v>
      </c>
    </row>
    <row r="191" spans="2:6" x14ac:dyDescent="0.15">
      <c r="B191" s="12"/>
      <c r="C191" s="15"/>
      <c r="D191" s="14"/>
      <c r="E191" s="13">
        <f t="shared" si="4"/>
        <v>0</v>
      </c>
    </row>
    <row r="192" spans="2:6" ht="14.25" thickBot="1" x14ac:dyDescent="0.2">
      <c r="B192" s="12"/>
      <c r="C192" s="11"/>
      <c r="D192" s="10"/>
      <c r="E192" s="9">
        <f t="shared" si="4"/>
        <v>0</v>
      </c>
    </row>
    <row r="193" spans="1:6" ht="14.25" thickBot="1" x14ac:dyDescent="0.2">
      <c r="B193" s="8" t="s">
        <v>1</v>
      </c>
      <c r="C193" s="7">
        <f>SUM(C168:C192)</f>
        <v>19</v>
      </c>
      <c r="D193" s="6">
        <f>SUM(D168:D192)</f>
        <v>8</v>
      </c>
      <c r="E193" s="6">
        <f t="shared" si="4"/>
        <v>27</v>
      </c>
    </row>
    <row r="194" spans="1:6" ht="14.25" thickBot="1" x14ac:dyDescent="0.2">
      <c r="B194" s="5" t="s">
        <v>0</v>
      </c>
      <c r="C194" s="4">
        <f>+C167-C193</f>
        <v>1</v>
      </c>
      <c r="D194" s="3">
        <f>+D167-D193</f>
        <v>0</v>
      </c>
      <c r="E194" s="2">
        <f>C194</f>
        <v>1</v>
      </c>
    </row>
    <row r="196" spans="1:6" ht="18.75" x14ac:dyDescent="0.2">
      <c r="B196" s="31" t="s">
        <v>8</v>
      </c>
      <c r="C196" s="30"/>
      <c r="D196" s="30"/>
      <c r="E196" s="30"/>
    </row>
    <row r="197" spans="1:6" ht="14.25" thickBot="1" x14ac:dyDescent="0.2">
      <c r="E197">
        <v>911</v>
      </c>
    </row>
    <row r="198" spans="1:6" ht="14.25" thickBot="1" x14ac:dyDescent="0.2">
      <c r="B198" s="29"/>
      <c r="C198" s="42"/>
      <c r="D198" s="42"/>
      <c r="E198" s="43"/>
    </row>
    <row r="199" spans="1:6" ht="14.25" thickBot="1" x14ac:dyDescent="0.2">
      <c r="A199" s="1"/>
      <c r="B199" s="28"/>
      <c r="C199" s="40" t="s">
        <v>7</v>
      </c>
      <c r="D199" s="41" t="s">
        <v>6</v>
      </c>
      <c r="E199" s="27" t="s">
        <v>5</v>
      </c>
    </row>
    <row r="200" spans="1:6" x14ac:dyDescent="0.15">
      <c r="B200" s="26" t="s">
        <v>0</v>
      </c>
      <c r="C200" s="25">
        <f>C194</f>
        <v>1</v>
      </c>
      <c r="D200" s="24">
        <f>D194</f>
        <v>0</v>
      </c>
      <c r="E200" s="24">
        <f t="shared" ref="E200:E216" si="6">C200+D200</f>
        <v>1</v>
      </c>
    </row>
    <row r="201" spans="1:6" x14ac:dyDescent="0.15">
      <c r="B201" s="23" t="s">
        <v>4</v>
      </c>
      <c r="C201" s="15"/>
      <c r="D201" s="14">
        <v>3</v>
      </c>
      <c r="E201" s="13">
        <f t="shared" si="6"/>
        <v>3</v>
      </c>
      <c r="F201" s="18">
        <v>45602</v>
      </c>
    </row>
    <row r="202" spans="1:6" x14ac:dyDescent="0.15">
      <c r="B202" s="23" t="s">
        <v>4</v>
      </c>
      <c r="C202" s="15">
        <v>5</v>
      </c>
      <c r="D202" s="14"/>
      <c r="E202" s="13">
        <f t="shared" si="6"/>
        <v>5</v>
      </c>
      <c r="F202" s="18">
        <v>45616</v>
      </c>
    </row>
    <row r="203" spans="1:6" x14ac:dyDescent="0.15">
      <c r="B203" s="23" t="s">
        <v>4</v>
      </c>
      <c r="C203" s="15">
        <v>3</v>
      </c>
      <c r="D203" s="14"/>
      <c r="E203" s="13">
        <f t="shared" si="6"/>
        <v>3</v>
      </c>
      <c r="F203" s="18">
        <v>45678</v>
      </c>
    </row>
    <row r="204" spans="1:6" x14ac:dyDescent="0.15">
      <c r="B204" s="22" t="s">
        <v>4</v>
      </c>
      <c r="C204" s="21"/>
      <c r="D204" s="10">
        <v>3</v>
      </c>
      <c r="E204" s="14">
        <f t="shared" si="6"/>
        <v>3</v>
      </c>
      <c r="F204" s="18">
        <v>45725</v>
      </c>
    </row>
    <row r="205" spans="1:6" ht="14.25" thickBot="1" x14ac:dyDescent="0.2">
      <c r="B205" s="22" t="s">
        <v>4</v>
      </c>
      <c r="C205" s="21"/>
      <c r="D205" s="10">
        <v>3</v>
      </c>
      <c r="E205" s="9">
        <f t="shared" si="6"/>
        <v>3</v>
      </c>
      <c r="F205" s="18">
        <v>45759</v>
      </c>
    </row>
    <row r="206" spans="1:6" ht="14.25" thickBot="1" x14ac:dyDescent="0.2">
      <c r="B206" s="8" t="s">
        <v>3</v>
      </c>
      <c r="C206" s="6">
        <f>SUM(C200:C205)</f>
        <v>9</v>
      </c>
      <c r="D206" s="7">
        <f>SUM(D200:D205)</f>
        <v>9</v>
      </c>
      <c r="E206" s="6">
        <f t="shared" si="6"/>
        <v>18</v>
      </c>
    </row>
    <row r="207" spans="1:6" x14ac:dyDescent="0.15">
      <c r="B207" s="12" t="s">
        <v>2</v>
      </c>
      <c r="C207" s="20">
        <v>3</v>
      </c>
      <c r="D207" s="19"/>
      <c r="E207" s="13">
        <f t="shared" si="6"/>
        <v>3</v>
      </c>
      <c r="F207" s="18">
        <v>45667</v>
      </c>
    </row>
    <row r="208" spans="1:6" x14ac:dyDescent="0.15">
      <c r="B208" s="12" t="s">
        <v>2</v>
      </c>
      <c r="C208" s="15"/>
      <c r="D208" s="14">
        <v>-1</v>
      </c>
      <c r="E208" s="13">
        <f t="shared" si="6"/>
        <v>-1</v>
      </c>
      <c r="F208" s="18">
        <v>45673</v>
      </c>
    </row>
    <row r="209" spans="2:6" x14ac:dyDescent="0.15">
      <c r="B209" s="12" t="s">
        <v>2</v>
      </c>
      <c r="C209" s="15"/>
      <c r="D209" s="14">
        <v>1</v>
      </c>
      <c r="E209" s="13">
        <f t="shared" si="6"/>
        <v>1</v>
      </c>
      <c r="F209" s="18">
        <v>45684</v>
      </c>
    </row>
    <row r="210" spans="2:6" x14ac:dyDescent="0.15">
      <c r="B210" s="12" t="s">
        <v>2</v>
      </c>
      <c r="C210" s="17"/>
      <c r="D210" s="16">
        <v>1</v>
      </c>
      <c r="E210" s="13">
        <f t="shared" si="6"/>
        <v>1</v>
      </c>
      <c r="F210" s="18">
        <v>45694</v>
      </c>
    </row>
    <row r="211" spans="2:6" x14ac:dyDescent="0.15">
      <c r="B211" s="12" t="s">
        <v>2</v>
      </c>
      <c r="C211" s="17"/>
      <c r="D211" s="16">
        <v>1</v>
      </c>
      <c r="E211" s="13">
        <f t="shared" si="6"/>
        <v>1</v>
      </c>
      <c r="F211" s="18">
        <v>45709</v>
      </c>
    </row>
    <row r="212" spans="2:6" x14ac:dyDescent="0.15">
      <c r="B212" s="12" t="s">
        <v>2</v>
      </c>
      <c r="C212" s="15">
        <v>1</v>
      </c>
      <c r="D212" s="14">
        <v>3</v>
      </c>
      <c r="E212" s="13">
        <f t="shared" si="6"/>
        <v>4</v>
      </c>
      <c r="F212" s="18">
        <v>45740</v>
      </c>
    </row>
    <row r="213" spans="2:6" x14ac:dyDescent="0.15">
      <c r="B213" s="12" t="s">
        <v>2</v>
      </c>
      <c r="C213" s="15">
        <v>2</v>
      </c>
      <c r="D213" s="14"/>
      <c r="E213" s="13">
        <f t="shared" si="6"/>
        <v>2</v>
      </c>
      <c r="F213" s="18">
        <v>45765</v>
      </c>
    </row>
    <row r="214" spans="2:6" x14ac:dyDescent="0.15">
      <c r="B214" s="12" t="s">
        <v>2</v>
      </c>
      <c r="C214" s="17"/>
      <c r="D214" s="16">
        <v>2</v>
      </c>
      <c r="E214" s="13">
        <f t="shared" si="6"/>
        <v>2</v>
      </c>
      <c r="F214" s="18">
        <v>45775</v>
      </c>
    </row>
    <row r="215" spans="2:6" x14ac:dyDescent="0.15">
      <c r="B215" s="12" t="s">
        <v>13</v>
      </c>
      <c r="C215" s="15">
        <v>1</v>
      </c>
      <c r="D215" s="14"/>
      <c r="E215" s="13">
        <f t="shared" si="6"/>
        <v>1</v>
      </c>
      <c r="F215" s="18"/>
    </row>
    <row r="216" spans="2:6" x14ac:dyDescent="0.15">
      <c r="B216" s="12"/>
      <c r="C216" s="17"/>
      <c r="D216" s="16"/>
      <c r="E216" s="13">
        <f t="shared" si="6"/>
        <v>0</v>
      </c>
      <c r="F216" s="18"/>
    </row>
    <row r="217" spans="2:6" x14ac:dyDescent="0.15">
      <c r="B217" s="12"/>
      <c r="C217" s="17"/>
      <c r="D217" s="16"/>
      <c r="E217" s="13">
        <f t="shared" ref="E217:E232" si="7">C217+D217</f>
        <v>0</v>
      </c>
      <c r="F217" s="18"/>
    </row>
    <row r="218" spans="2:6" x14ac:dyDescent="0.15">
      <c r="B218" s="12"/>
      <c r="C218" s="17"/>
      <c r="D218" s="16"/>
      <c r="E218" s="13">
        <f t="shared" si="7"/>
        <v>0</v>
      </c>
      <c r="F218" s="18"/>
    </row>
    <row r="219" spans="2:6" x14ac:dyDescent="0.15">
      <c r="B219" s="12"/>
      <c r="C219" s="15"/>
      <c r="D219" s="14"/>
      <c r="E219" s="13">
        <f t="shared" si="7"/>
        <v>0</v>
      </c>
      <c r="F219" s="18"/>
    </row>
    <row r="220" spans="2:6" x14ac:dyDescent="0.15">
      <c r="B220" s="12"/>
      <c r="C220" s="17"/>
      <c r="D220" s="16"/>
      <c r="E220" s="13">
        <f t="shared" si="7"/>
        <v>0</v>
      </c>
      <c r="F220" s="18"/>
    </row>
    <row r="221" spans="2:6" x14ac:dyDescent="0.15">
      <c r="B221" s="12"/>
      <c r="C221" s="17"/>
      <c r="D221" s="16"/>
      <c r="E221" s="13">
        <f t="shared" si="7"/>
        <v>0</v>
      </c>
    </row>
    <row r="222" spans="2:6" x14ac:dyDescent="0.15">
      <c r="B222" s="12"/>
      <c r="C222" s="17"/>
      <c r="D222" s="16"/>
      <c r="E222" s="13">
        <f t="shared" si="7"/>
        <v>0</v>
      </c>
    </row>
    <row r="223" spans="2:6" x14ac:dyDescent="0.15">
      <c r="B223" s="12"/>
      <c r="C223" s="17"/>
      <c r="D223" s="16"/>
      <c r="E223" s="13">
        <f t="shared" si="7"/>
        <v>0</v>
      </c>
    </row>
    <row r="224" spans="2:6" x14ac:dyDescent="0.15">
      <c r="B224" s="12"/>
      <c r="C224" s="17"/>
      <c r="D224" s="16"/>
      <c r="E224" s="13">
        <f t="shared" si="7"/>
        <v>0</v>
      </c>
    </row>
    <row r="225" spans="1:6" x14ac:dyDescent="0.15">
      <c r="B225" s="12"/>
      <c r="C225" s="17"/>
      <c r="D225" s="16"/>
      <c r="E225" s="13">
        <f t="shared" si="7"/>
        <v>0</v>
      </c>
    </row>
    <row r="226" spans="1:6" x14ac:dyDescent="0.15">
      <c r="B226" s="12"/>
      <c r="C226" s="15"/>
      <c r="D226" s="14"/>
      <c r="E226" s="13">
        <f t="shared" si="7"/>
        <v>0</v>
      </c>
    </row>
    <row r="227" spans="1:6" x14ac:dyDescent="0.15">
      <c r="B227" s="12"/>
      <c r="C227" s="15"/>
      <c r="D227" s="14"/>
      <c r="E227" s="13">
        <f t="shared" si="7"/>
        <v>0</v>
      </c>
    </row>
    <row r="228" spans="1:6" x14ac:dyDescent="0.15">
      <c r="B228" s="12"/>
      <c r="C228" s="15"/>
      <c r="D228" s="14"/>
      <c r="E228" s="13">
        <f t="shared" si="7"/>
        <v>0</v>
      </c>
    </row>
    <row r="229" spans="1:6" x14ac:dyDescent="0.15">
      <c r="B229" s="12"/>
      <c r="C229" s="15"/>
      <c r="D229" s="14"/>
      <c r="E229" s="13">
        <f t="shared" si="7"/>
        <v>0</v>
      </c>
    </row>
    <row r="230" spans="1:6" x14ac:dyDescent="0.15">
      <c r="B230" s="12"/>
      <c r="C230" s="15"/>
      <c r="D230" s="14"/>
      <c r="E230" s="13">
        <f t="shared" si="7"/>
        <v>0</v>
      </c>
    </row>
    <row r="231" spans="1:6" ht="14.25" thickBot="1" x14ac:dyDescent="0.2">
      <c r="B231" s="12"/>
      <c r="C231" s="11"/>
      <c r="D231" s="10"/>
      <c r="E231" s="9">
        <f t="shared" si="7"/>
        <v>0</v>
      </c>
    </row>
    <row r="232" spans="1:6" ht="14.25" thickBot="1" x14ac:dyDescent="0.2">
      <c r="B232" s="8" t="s">
        <v>1</v>
      </c>
      <c r="C232" s="7">
        <f>SUM(C207:C231)</f>
        <v>7</v>
      </c>
      <c r="D232" s="6">
        <f>SUM(D207:D231)</f>
        <v>7</v>
      </c>
      <c r="E232" s="6">
        <f t="shared" si="7"/>
        <v>14</v>
      </c>
    </row>
    <row r="233" spans="1:6" ht="14.25" thickBot="1" x14ac:dyDescent="0.2">
      <c r="B233" s="5" t="s">
        <v>0</v>
      </c>
      <c r="C233" s="4">
        <f>+C206-C232</f>
        <v>2</v>
      </c>
      <c r="D233" s="3">
        <f>+D206-D232</f>
        <v>2</v>
      </c>
      <c r="E233" s="2">
        <f>C233</f>
        <v>2</v>
      </c>
    </row>
    <row r="235" spans="1:6" ht="18.75" x14ac:dyDescent="0.2">
      <c r="B235" s="31" t="s">
        <v>8</v>
      </c>
      <c r="C235" s="30"/>
      <c r="D235" s="30"/>
      <c r="E235" s="30"/>
    </row>
    <row r="236" spans="1:6" ht="14.25" thickBot="1" x14ac:dyDescent="0.2">
      <c r="E236">
        <v>911</v>
      </c>
    </row>
    <row r="237" spans="1:6" ht="14.25" thickBot="1" x14ac:dyDescent="0.2">
      <c r="B237" s="29"/>
      <c r="C237" s="42"/>
      <c r="D237" s="42"/>
      <c r="E237" s="43"/>
    </row>
    <row r="238" spans="1:6" ht="14.25" thickBot="1" x14ac:dyDescent="0.2">
      <c r="A238" s="1"/>
      <c r="B238" s="28"/>
      <c r="C238" s="40" t="s">
        <v>7</v>
      </c>
      <c r="D238" s="41" t="s">
        <v>6</v>
      </c>
      <c r="E238" s="27" t="s">
        <v>5</v>
      </c>
    </row>
    <row r="239" spans="1:6" x14ac:dyDescent="0.15">
      <c r="B239" s="26" t="s">
        <v>0</v>
      </c>
      <c r="C239" s="25">
        <f>C233</f>
        <v>2</v>
      </c>
      <c r="D239" s="24">
        <f>D233</f>
        <v>2</v>
      </c>
      <c r="E239" s="24">
        <f t="shared" ref="E239:E254" si="8">C239+D239</f>
        <v>4</v>
      </c>
    </row>
    <row r="240" spans="1:6" x14ac:dyDescent="0.15">
      <c r="B240" s="23" t="s">
        <v>4</v>
      </c>
      <c r="C240" s="15">
        <v>3</v>
      </c>
      <c r="D240" s="14">
        <v>3</v>
      </c>
      <c r="E240" s="13">
        <f t="shared" si="8"/>
        <v>6</v>
      </c>
      <c r="F240" s="18">
        <v>45779</v>
      </c>
    </row>
    <row r="241" spans="2:6" x14ac:dyDescent="0.15">
      <c r="B241" s="23" t="s">
        <v>4</v>
      </c>
      <c r="C241" s="15">
        <v>5</v>
      </c>
      <c r="D241" s="14">
        <v>5</v>
      </c>
      <c r="E241" s="13">
        <f t="shared" si="8"/>
        <v>10</v>
      </c>
      <c r="F241" s="18">
        <v>46000</v>
      </c>
    </row>
    <row r="242" spans="2:6" x14ac:dyDescent="0.15">
      <c r="B242" s="23" t="s">
        <v>4</v>
      </c>
      <c r="C242" s="15">
        <v>5</v>
      </c>
      <c r="D242" s="14"/>
      <c r="E242" s="13">
        <f t="shared" si="8"/>
        <v>5</v>
      </c>
      <c r="F242" s="18">
        <v>46032</v>
      </c>
    </row>
    <row r="243" spans="2:6" x14ac:dyDescent="0.15">
      <c r="B243" s="22" t="s">
        <v>4</v>
      </c>
      <c r="C243" s="21"/>
      <c r="D243" s="10">
        <v>2</v>
      </c>
      <c r="E243" s="14">
        <f t="shared" si="8"/>
        <v>2</v>
      </c>
      <c r="F243" s="18">
        <v>46086</v>
      </c>
    </row>
    <row r="244" spans="2:6" ht="14.25" thickBot="1" x14ac:dyDescent="0.2">
      <c r="B244" s="22" t="s">
        <v>4</v>
      </c>
      <c r="C244" s="21"/>
      <c r="D244" s="10"/>
      <c r="E244" s="9">
        <f t="shared" si="8"/>
        <v>0</v>
      </c>
      <c r="F244" s="18"/>
    </row>
    <row r="245" spans="2:6" ht="14.25" thickBot="1" x14ac:dyDescent="0.2">
      <c r="B245" s="8" t="s">
        <v>3</v>
      </c>
      <c r="C245" s="6">
        <f>SUM(C239:C244)</f>
        <v>15</v>
      </c>
      <c r="D245" s="7">
        <f>SUM(D239:D244)</f>
        <v>12</v>
      </c>
      <c r="E245" s="6">
        <f t="shared" si="8"/>
        <v>27</v>
      </c>
    </row>
    <row r="246" spans="2:6" x14ac:dyDescent="0.15">
      <c r="B246" s="12" t="s">
        <v>2</v>
      </c>
      <c r="C246" s="15"/>
      <c r="D246" s="14">
        <v>1</v>
      </c>
      <c r="E246" s="13">
        <f>C246+D246</f>
        <v>1</v>
      </c>
      <c r="F246" s="18">
        <v>45818</v>
      </c>
    </row>
    <row r="247" spans="2:6" x14ac:dyDescent="0.15">
      <c r="B247" s="12" t="s">
        <v>2</v>
      </c>
      <c r="C247" s="15"/>
      <c r="D247" s="14">
        <v>1</v>
      </c>
      <c r="E247" s="13">
        <f t="shared" si="8"/>
        <v>1</v>
      </c>
      <c r="F247" s="18">
        <v>45848</v>
      </c>
    </row>
    <row r="248" spans="2:6" x14ac:dyDescent="0.15">
      <c r="B248" s="12" t="s">
        <v>12</v>
      </c>
      <c r="C248" s="15">
        <v>0</v>
      </c>
      <c r="D248" s="14">
        <v>0</v>
      </c>
      <c r="E248" s="13">
        <f t="shared" si="8"/>
        <v>0</v>
      </c>
      <c r="F248" s="18">
        <v>45889</v>
      </c>
    </row>
    <row r="249" spans="2:6" x14ac:dyDescent="0.15">
      <c r="B249" s="12" t="s">
        <v>2</v>
      </c>
      <c r="C249" s="17">
        <v>1</v>
      </c>
      <c r="D249" s="16"/>
      <c r="E249" s="13">
        <f t="shared" si="8"/>
        <v>1</v>
      </c>
      <c r="F249" s="18">
        <v>45909</v>
      </c>
    </row>
    <row r="250" spans="2:6" x14ac:dyDescent="0.15">
      <c r="B250" s="12" t="s">
        <v>2</v>
      </c>
      <c r="C250" s="17">
        <v>2</v>
      </c>
      <c r="D250" s="16"/>
      <c r="E250" s="13">
        <f t="shared" si="8"/>
        <v>2</v>
      </c>
      <c r="F250" s="18">
        <v>45971</v>
      </c>
    </row>
    <row r="251" spans="2:6" x14ac:dyDescent="0.15">
      <c r="B251" s="12" t="s">
        <v>2</v>
      </c>
      <c r="C251" s="15">
        <v>1</v>
      </c>
      <c r="D251" s="14">
        <v>1</v>
      </c>
      <c r="E251" s="13">
        <f t="shared" si="8"/>
        <v>2</v>
      </c>
      <c r="F251" s="18">
        <v>45978</v>
      </c>
    </row>
    <row r="252" spans="2:6" x14ac:dyDescent="0.15">
      <c r="B252" s="12" t="s">
        <v>2</v>
      </c>
      <c r="C252" s="15">
        <v>1</v>
      </c>
      <c r="D252" s="14">
        <v>1</v>
      </c>
      <c r="E252" s="13">
        <f t="shared" si="8"/>
        <v>2</v>
      </c>
      <c r="F252" s="18">
        <v>45982</v>
      </c>
    </row>
    <row r="253" spans="2:6" x14ac:dyDescent="0.15">
      <c r="B253" s="12" t="s">
        <v>2</v>
      </c>
      <c r="C253" s="17">
        <v>1</v>
      </c>
      <c r="D253" s="16"/>
      <c r="E253" s="13">
        <f t="shared" si="8"/>
        <v>1</v>
      </c>
      <c r="F253" s="18">
        <v>46000</v>
      </c>
    </row>
    <row r="254" spans="2:6" x14ac:dyDescent="0.15">
      <c r="B254" s="12" t="s">
        <v>2</v>
      </c>
      <c r="C254" s="15"/>
      <c r="D254" s="14">
        <v>1</v>
      </c>
      <c r="E254" s="13">
        <f t="shared" si="8"/>
        <v>1</v>
      </c>
      <c r="F254" s="18">
        <v>46006</v>
      </c>
    </row>
    <row r="255" spans="2:6" x14ac:dyDescent="0.15">
      <c r="B255" s="12" t="s">
        <v>2</v>
      </c>
      <c r="C255" s="15">
        <v>2</v>
      </c>
      <c r="D255" s="14"/>
      <c r="E255" s="13">
        <f>C255+D255</f>
        <v>2</v>
      </c>
      <c r="F255" s="18">
        <v>46010</v>
      </c>
    </row>
    <row r="256" spans="2:6" x14ac:dyDescent="0.15">
      <c r="B256" s="12" t="s">
        <v>2</v>
      </c>
      <c r="C256" s="17">
        <v>1</v>
      </c>
      <c r="D256" s="16"/>
      <c r="E256" s="13">
        <f t="shared" ref="E256:E271" si="9">C256+D256</f>
        <v>1</v>
      </c>
      <c r="F256" s="18">
        <v>46013</v>
      </c>
    </row>
    <row r="257" spans="2:6" x14ac:dyDescent="0.15">
      <c r="B257" s="12" t="s">
        <v>2</v>
      </c>
      <c r="C257" s="17">
        <v>2</v>
      </c>
      <c r="D257" s="16"/>
      <c r="E257" s="13">
        <f t="shared" si="9"/>
        <v>2</v>
      </c>
      <c r="F257" s="18">
        <v>46014</v>
      </c>
    </row>
    <row r="258" spans="2:6" x14ac:dyDescent="0.15">
      <c r="B258" s="12" t="s">
        <v>11</v>
      </c>
      <c r="C258" s="15">
        <v>-2</v>
      </c>
      <c r="D258" s="14">
        <v>-1</v>
      </c>
      <c r="E258" s="13">
        <f t="shared" si="9"/>
        <v>-3</v>
      </c>
      <c r="F258" s="18">
        <v>46014</v>
      </c>
    </row>
    <row r="259" spans="2:6" x14ac:dyDescent="0.15">
      <c r="B259" s="12" t="s">
        <v>2</v>
      </c>
      <c r="C259" s="17"/>
      <c r="D259" s="16">
        <v>1</v>
      </c>
      <c r="E259" s="13">
        <f t="shared" si="9"/>
        <v>1</v>
      </c>
      <c r="F259" s="18">
        <v>46027</v>
      </c>
    </row>
    <row r="260" spans="2:6" x14ac:dyDescent="0.15">
      <c r="B260" s="12" t="s">
        <v>2</v>
      </c>
      <c r="C260" s="17">
        <v>1</v>
      </c>
      <c r="D260" s="16"/>
      <c r="E260" s="13">
        <f t="shared" si="9"/>
        <v>1</v>
      </c>
      <c r="F260" s="18">
        <v>46028</v>
      </c>
    </row>
    <row r="261" spans="2:6" x14ac:dyDescent="0.15">
      <c r="B261" s="12" t="s">
        <v>2</v>
      </c>
      <c r="C261" s="17"/>
      <c r="D261" s="16">
        <v>1</v>
      </c>
      <c r="E261" s="13">
        <f t="shared" si="9"/>
        <v>1</v>
      </c>
      <c r="F261" s="18">
        <v>46031</v>
      </c>
    </row>
    <row r="262" spans="2:6" x14ac:dyDescent="0.15">
      <c r="B262" s="12" t="s">
        <v>2</v>
      </c>
      <c r="C262" s="17">
        <v>1</v>
      </c>
      <c r="D262" s="16">
        <v>1</v>
      </c>
      <c r="E262" s="13">
        <f t="shared" si="9"/>
        <v>2</v>
      </c>
      <c r="F262" s="18">
        <v>46048</v>
      </c>
    </row>
    <row r="263" spans="2:6" x14ac:dyDescent="0.15">
      <c r="B263" s="12" t="s">
        <v>11</v>
      </c>
      <c r="C263" s="17">
        <v>0</v>
      </c>
      <c r="D263" s="16">
        <v>1</v>
      </c>
      <c r="E263" s="13">
        <f t="shared" si="9"/>
        <v>1</v>
      </c>
      <c r="F263" s="18">
        <v>46078</v>
      </c>
    </row>
    <row r="264" spans="2:6" x14ac:dyDescent="0.15">
      <c r="B264" s="12" t="s">
        <v>2</v>
      </c>
      <c r="C264" s="17">
        <v>1</v>
      </c>
      <c r="D264" s="16">
        <v>1</v>
      </c>
      <c r="E264" s="13">
        <f t="shared" si="9"/>
        <v>2</v>
      </c>
      <c r="F264" s="18">
        <v>46133</v>
      </c>
    </row>
    <row r="265" spans="2:6" x14ac:dyDescent="0.15">
      <c r="B265" s="12" t="s">
        <v>2</v>
      </c>
      <c r="C265" s="15">
        <v>3</v>
      </c>
      <c r="D265" s="14"/>
      <c r="E265" s="13">
        <f t="shared" si="9"/>
        <v>3</v>
      </c>
      <c r="F265" s="18">
        <v>46139</v>
      </c>
    </row>
    <row r="266" spans="2:6" x14ac:dyDescent="0.15">
      <c r="B266" s="12" t="s">
        <v>2</v>
      </c>
      <c r="C266" s="15"/>
      <c r="D266" s="14">
        <v>1</v>
      </c>
      <c r="E266" s="13">
        <f t="shared" si="9"/>
        <v>1</v>
      </c>
      <c r="F266" s="18">
        <v>46169</v>
      </c>
    </row>
    <row r="267" spans="2:6" x14ac:dyDescent="0.15">
      <c r="B267" s="12" t="s">
        <v>2</v>
      </c>
      <c r="C267" s="15"/>
      <c r="D267" s="14">
        <v>1</v>
      </c>
      <c r="E267" s="13">
        <f t="shared" si="9"/>
        <v>1</v>
      </c>
      <c r="F267" s="18">
        <v>46178</v>
      </c>
    </row>
    <row r="268" spans="2:6" x14ac:dyDescent="0.15">
      <c r="B268" s="12"/>
      <c r="C268" s="15"/>
      <c r="D268" s="14"/>
      <c r="E268" s="13">
        <f t="shared" si="9"/>
        <v>0</v>
      </c>
    </row>
    <row r="269" spans="2:6" x14ac:dyDescent="0.15">
      <c r="B269" s="12"/>
      <c r="C269" s="15"/>
      <c r="D269" s="14"/>
      <c r="E269" s="13">
        <f t="shared" si="9"/>
        <v>0</v>
      </c>
    </row>
    <row r="270" spans="2:6" ht="14.25" thickBot="1" x14ac:dyDescent="0.2">
      <c r="B270" s="12"/>
      <c r="C270" s="11"/>
      <c r="D270" s="10"/>
      <c r="E270" s="9">
        <f t="shared" si="9"/>
        <v>0</v>
      </c>
    </row>
    <row r="271" spans="2:6" ht="14.25" thickBot="1" x14ac:dyDescent="0.2">
      <c r="B271" s="8" t="s">
        <v>1</v>
      </c>
      <c r="C271" s="7">
        <f>SUM(C246:C270)</f>
        <v>15</v>
      </c>
      <c r="D271" s="6">
        <f>SUM(D246:D270)</f>
        <v>11</v>
      </c>
      <c r="E271" s="6">
        <f t="shared" si="9"/>
        <v>26</v>
      </c>
    </row>
    <row r="272" spans="2:6" ht="14.25" thickBot="1" x14ac:dyDescent="0.2">
      <c r="B272" s="5" t="s">
        <v>0</v>
      </c>
      <c r="C272" s="4">
        <f>+C245-C271</f>
        <v>0</v>
      </c>
      <c r="D272" s="3">
        <f>+D245-D271</f>
        <v>1</v>
      </c>
      <c r="E272" s="2">
        <f>C272</f>
        <v>0</v>
      </c>
    </row>
  </sheetData>
  <mergeCells count="7">
    <mergeCell ref="C237:E237"/>
    <mergeCell ref="C198:E198"/>
    <mergeCell ref="C3:E3"/>
    <mergeCell ref="C42:E42"/>
    <mergeCell ref="C81:E81"/>
    <mergeCell ref="C120:E120"/>
    <mergeCell ref="C159:E159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10分丈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2021-12-21T06:40:48Z</dcterms:created>
  <dcterms:modified xsi:type="dcterms:W3CDTF">2026-06-05T07:51:43Z</dcterms:modified>
</cp:coreProperties>
</file>