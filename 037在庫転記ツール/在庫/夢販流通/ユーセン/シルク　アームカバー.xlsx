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79B9E474-F949-4CBB-A681-802114CEB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アームカバー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4" i="2" l="1"/>
  <c r="F154" i="2"/>
  <c r="E154" i="2"/>
  <c r="D154" i="2"/>
  <c r="C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G128" i="2"/>
  <c r="F128" i="2"/>
  <c r="F155" i="2" s="1"/>
  <c r="C128" i="2"/>
  <c r="H127" i="2"/>
  <c r="H126" i="2"/>
  <c r="H125" i="2"/>
  <c r="H124" i="2"/>
  <c r="H123" i="2"/>
  <c r="G122" i="2"/>
  <c r="F122" i="2"/>
  <c r="E122" i="2"/>
  <c r="E128" i="2" s="1"/>
  <c r="D122" i="2"/>
  <c r="D128" i="2" s="1"/>
  <c r="C122" i="2"/>
  <c r="H122" i="2" s="1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D115" i="2"/>
  <c r="H115" i="2" s="1"/>
  <c r="E115" i="2"/>
  <c r="F115" i="2"/>
  <c r="G115" i="2"/>
  <c r="C115" i="2"/>
  <c r="H83" i="2"/>
  <c r="H84" i="2"/>
  <c r="H85" i="2"/>
  <c r="H86" i="2"/>
  <c r="H87" i="2"/>
  <c r="H88" i="2"/>
  <c r="H90" i="2"/>
  <c r="H91" i="2"/>
  <c r="H92" i="2"/>
  <c r="H93" i="2"/>
  <c r="H94" i="2"/>
  <c r="H95" i="2"/>
  <c r="H96" i="2"/>
  <c r="H97" i="2"/>
  <c r="H98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D50" i="2"/>
  <c r="E50" i="2"/>
  <c r="F50" i="2"/>
  <c r="G50" i="2"/>
  <c r="C89" i="2"/>
  <c r="H99" i="2"/>
  <c r="D11" i="2"/>
  <c r="C11" i="2"/>
  <c r="E11" i="2"/>
  <c r="F11" i="2"/>
  <c r="G11" i="2"/>
  <c r="D21" i="2"/>
  <c r="D29" i="2"/>
  <c r="C37" i="2"/>
  <c r="E37" i="2"/>
  <c r="F37" i="2"/>
  <c r="G37" i="2"/>
  <c r="D76" i="2"/>
  <c r="C76" i="2"/>
  <c r="E76" i="2"/>
  <c r="F76" i="2"/>
  <c r="G76" i="2"/>
  <c r="E155" i="2" l="1"/>
  <c r="G155" i="2"/>
  <c r="C155" i="2"/>
  <c r="D155" i="2"/>
  <c r="H154" i="2"/>
  <c r="H128" i="2"/>
  <c r="E38" i="2"/>
  <c r="E44" i="2" s="1"/>
  <c r="E77" i="2" s="1"/>
  <c r="E83" i="2" s="1"/>
  <c r="C38" i="2"/>
  <c r="C44" i="2" s="1"/>
  <c r="C50" i="2" s="1"/>
  <c r="C77" i="2" s="1"/>
  <c r="D37" i="2"/>
  <c r="D38" i="2" s="1"/>
  <c r="D44" i="2" s="1"/>
  <c r="F38" i="2"/>
  <c r="F44" i="2" s="1"/>
  <c r="F77" i="2" s="1"/>
  <c r="F83" i="2" s="1"/>
  <c r="G38" i="2"/>
  <c r="G44" i="2" s="1"/>
  <c r="G77" i="2" s="1"/>
  <c r="G83" i="2" s="1"/>
  <c r="H155" i="2" l="1"/>
  <c r="E89" i="2"/>
  <c r="E116" i="2" s="1"/>
  <c r="G89" i="2"/>
  <c r="G116" i="2" s="1"/>
  <c r="F89" i="2"/>
  <c r="F116" i="2" s="1"/>
  <c r="C83" i="2"/>
  <c r="C116" i="2" l="1"/>
  <c r="D77" i="2"/>
  <c r="D83" i="2" l="1"/>
  <c r="D89" i="2" l="1"/>
  <c r="D116" i="2" l="1"/>
  <c r="H116" i="2" s="1"/>
  <c r="H89" i="2"/>
</calcChain>
</file>

<file path=xl/sharedStrings.xml><?xml version="1.0" encoding="utf-8"?>
<sst xmlns="http://schemas.openxmlformats.org/spreadsheetml/2006/main" count="146" uniqueCount="17">
  <si>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</si>
  <si>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</si>
  <si>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</si>
  <si>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</si>
  <si>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</si>
  <si>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</si>
  <si>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グレー</t>
    <phoneticPr fontId="1"/>
  </si>
  <si>
    <t>ネット</t>
    <phoneticPr fontId="1"/>
  </si>
  <si>
    <t>在庫確認</t>
    <rPh sb="0" eb="4">
      <t>ザイコカクニン</t>
    </rPh>
    <phoneticPr fontId="1"/>
  </si>
  <si>
    <t>パープル</t>
    <phoneticPr fontId="1"/>
  </si>
  <si>
    <t>レンガ</t>
    <phoneticPr fontId="1"/>
  </si>
  <si>
    <t>ペールピンク</t>
    <phoneticPr fontId="1"/>
  </si>
  <si>
    <t>ブラック</t>
    <phoneticPr fontId="1"/>
  </si>
  <si>
    <t>絹のさらさらUVカットアームカバー＜夢販在庫＞　AM1900</t>
    <rPh sb="0" eb="1">
      <t>キヌ</t>
    </rPh>
    <rPh sb="18" eb="22">
      <t>ユメハンザイコ</t>
    </rPh>
    <phoneticPr fontId="1"/>
  </si>
  <si>
    <t>かりん</t>
    <phoneticPr fontId="1"/>
  </si>
  <si>
    <t>撮影用</t>
    <rPh sb="0" eb="2">
      <t>サツエイ</t>
    </rPh>
    <rPh sb="2" eb="3">
      <t>ヨウ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</si>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</sst>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56" fontId="0" fillId="0" borderId="2" xfId="0" applyNumberFormat="1" applyBorder="1" applyAlignment="1">
      <alignment horizontal="center"/>
    </xf>
    <xf numFmtId="0" fontId="0" fillId="0" borderId="12" xfId="0" applyBorder="1"/>
    <xf numFmtId="56" fontId="0" fillId="0" borderId="0" xfId="0" applyNumberFormat="1"/>
    <xf numFmtId="0" fontId="4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56" fontId="4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56" fontId="3" fillId="0" borderId="0" xfId="0" applyNumberFormat="1" applyFont="1"/>
    <xf numFmtId="56" fontId="0" fillId="0" borderId="10" xfId="0" applyNumberFormat="1" applyBorder="1" applyAlignment="1">
      <alignment horizontal="center"/>
    </xf>
    <xf numFmtId="56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14" xfId="0" applyBorder="1" applyAlignment="1">
      <alignment horizontal="center"/>
    </xf>
    <xf numFmtId="0" fontId="4" fillId="0" borderId="16" xfId="0" applyFont="1" applyBorder="1" applyAlignment="1">
      <alignment horizontal="center"/>
    </xf>
    <xf numFmtId="56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8" xfId="0" applyBorder="1"/>
    <xf numFmtId="0" fontId="4" fillId="0" borderId="19" xfId="0" applyFont="1" applyBorder="1"/>
    <xf numFmtId="0" fontId="0" fillId="0" borderId="13" xfId="0" applyBorder="1"/>
    <xf numFmtId="0" fontId="3" fillId="0" borderId="13" xfId="0" applyFont="1" applyBorder="1"/>
    <xf numFmtId="0" fontId="0" fillId="0" borderId="20" xfId="0" applyBorder="1"/>
    <xf numFmtId="0" fontId="0" fillId="0" borderId="21" xfId="0" applyBorder="1"/>
    <xf numFmtId="0" fontId="3" fillId="0" borderId="20" xfId="0" applyFont="1" applyBorder="1"/>
    <xf numFmtId="0" fontId="3" fillId="0" borderId="21" xfId="0" applyFont="1" applyBorder="1"/>
    <xf numFmtId="56" fontId="4" fillId="0" borderId="22" xfId="0" applyNumberFormat="1" applyFont="1" applyBorder="1" applyAlignment="1">
      <alignment horizont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12" xfId="0" applyFont="1" applyBorder="1"/>
    <xf numFmtId="0" fontId="5" fillId="3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56" fontId="0" fillId="0" borderId="22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56" fontId="0" fillId="0" borderId="15" xfId="0" applyNumberFormat="1" applyBorder="1" applyAlignment="1">
      <alignment horizontal="center"/>
    </xf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4" fillId="0" borderId="15" xfId="0" applyFont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11" xfId="0" applyFont="1" applyBorder="1"/>
    <xf numFmtId="56" fontId="4" fillId="0" borderId="0" xfId="0" applyNumberFormat="1" applyFont="1"/>
    <xf numFmtId="0" fontId="0" fillId="0" borderId="15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topLeftCell="A119" zoomScaleNormal="100" workbookViewId="0">
      <selection activeCell="I150" sqref="I150"/>
    </sheetView>
  </sheetViews>
  <sheetFormatPr defaultRowHeight="13.5" x14ac:dyDescent="0.15"/>
  <cols>
    <col min="2" max="2" width="22.75" style="1" customWidth="1"/>
    <col min="3" max="7" width="11.75" customWidth="1"/>
    <col min="8" max="8" width="11.375" customWidth="1"/>
    <col min="9" max="9" width="9.25" bestFit="1" customWidth="1"/>
  </cols>
  <sheetData>
    <row r="1" spans="2:9" ht="18.75" x14ac:dyDescent="0.2">
      <c r="B1" s="15" t="s">
        <v>13</v>
      </c>
      <c r="C1" s="14"/>
      <c r="D1" s="14"/>
      <c r="E1" s="14"/>
      <c r="F1" s="14"/>
      <c r="G1" s="14"/>
      <c r="H1" s="14"/>
      <c r="I1" s="14"/>
    </row>
    <row r="2" spans="2:9" ht="14.25" thickBot="1" x14ac:dyDescent="0.2"/>
    <row r="3" spans="2:9" ht="14.25" thickBot="1" x14ac:dyDescent="0.2">
      <c r="B3" s="13"/>
      <c r="C3" s="20"/>
      <c r="D3" s="20"/>
      <c r="E3" s="20"/>
      <c r="F3" s="20"/>
      <c r="G3" s="20"/>
      <c r="H3" s="21"/>
    </row>
    <row r="4" spans="2:9" s="1" customFormat="1" ht="14.25" thickBot="1" x14ac:dyDescent="0.2">
      <c r="B4" s="12"/>
      <c r="C4" s="40" t="s">
        <v>12</v>
      </c>
      <c r="D4" s="41" t="s">
        <v>6</v>
      </c>
      <c r="E4" s="42" t="s">
        <v>11</v>
      </c>
      <c r="F4" s="43" t="s">
        <v>10</v>
      </c>
      <c r="G4" s="44" t="s">
        <v>9</v>
      </c>
      <c r="H4" s="45" t="s">
        <v>0</v>
      </c>
    </row>
    <row r="5" spans="2:9" ht="14.25" customHeight="1" x14ac:dyDescent="0.15">
      <c r="B5" s="19" t="s">
        <v>5</v>
      </c>
      <c r="C5" s="36">
        <v>8</v>
      </c>
      <c r="D5" s="37">
        <v>5</v>
      </c>
      <c r="E5" s="37">
        <v>2</v>
      </c>
      <c r="F5" s="37">
        <v>1</v>
      </c>
      <c r="G5" s="38">
        <v>1</v>
      </c>
      <c r="H5" s="39">
        <f t="shared" ref="H5:H37" si="0">SUM(C5:G5)</f>
        <v>17</v>
      </c>
      <c r="I5" s="7">
        <v>44277</v>
      </c>
    </row>
    <row r="6" spans="2:9" x14ac:dyDescent="0.15">
      <c r="B6" s="10" t="s">
        <v>15</v>
      </c>
      <c r="C6" s="31">
        <v>1</v>
      </c>
      <c r="D6" s="29">
        <v>1</v>
      </c>
      <c r="E6" s="29">
        <v>1</v>
      </c>
      <c r="F6" s="29">
        <v>1</v>
      </c>
      <c r="G6" s="32">
        <v>1</v>
      </c>
      <c r="H6" s="6">
        <f t="shared" si="0"/>
        <v>5</v>
      </c>
      <c r="I6" s="7"/>
    </row>
    <row r="7" spans="2:9" x14ac:dyDescent="0.15">
      <c r="B7" s="10" t="s">
        <v>4</v>
      </c>
      <c r="C7" s="31"/>
      <c r="D7" s="29"/>
      <c r="E7" s="29"/>
      <c r="F7" s="29"/>
      <c r="G7" s="32">
        <v>2</v>
      </c>
      <c r="H7" s="6">
        <f t="shared" si="0"/>
        <v>2</v>
      </c>
      <c r="I7" s="7">
        <v>44348</v>
      </c>
    </row>
    <row r="8" spans="2:9" x14ac:dyDescent="0.15">
      <c r="B8" s="10" t="s">
        <v>4</v>
      </c>
      <c r="C8" s="31"/>
      <c r="D8" s="29"/>
      <c r="E8" s="29">
        <v>10</v>
      </c>
      <c r="F8" s="29"/>
      <c r="G8" s="32"/>
      <c r="H8" s="6">
        <f t="shared" si="0"/>
        <v>10</v>
      </c>
      <c r="I8" s="7">
        <v>44364</v>
      </c>
    </row>
    <row r="9" spans="2:9" x14ac:dyDescent="0.15">
      <c r="B9" s="10" t="s">
        <v>4</v>
      </c>
      <c r="C9" s="31"/>
      <c r="D9" s="29"/>
      <c r="E9" s="29"/>
      <c r="F9" s="29"/>
      <c r="G9" s="32">
        <v>1</v>
      </c>
      <c r="H9" s="6">
        <f t="shared" si="0"/>
        <v>1</v>
      </c>
      <c r="I9" s="7">
        <v>44358</v>
      </c>
    </row>
    <row r="10" spans="2:9" ht="14.25" thickBot="1" x14ac:dyDescent="0.2">
      <c r="B10" s="9" t="s">
        <v>4</v>
      </c>
      <c r="C10" s="46"/>
      <c r="D10" s="47">
        <v>6</v>
      </c>
      <c r="E10" s="47"/>
      <c r="F10" s="47"/>
      <c r="G10" s="48"/>
      <c r="H10" s="4">
        <f t="shared" si="0"/>
        <v>6</v>
      </c>
      <c r="I10" s="7"/>
    </row>
    <row r="11" spans="2:9" ht="14.25" thickBot="1" x14ac:dyDescent="0.2">
      <c r="B11" s="8" t="s">
        <v>1</v>
      </c>
      <c r="C11" s="53">
        <f>SUM(C5:C10)</f>
        <v>9</v>
      </c>
      <c r="D11" s="54">
        <f>SUM(D5:D10)</f>
        <v>12</v>
      </c>
      <c r="E11" s="54">
        <f>SUM(E5:E10)</f>
        <v>13</v>
      </c>
      <c r="F11" s="54">
        <f>SUM(F5:F10)</f>
        <v>2</v>
      </c>
      <c r="G11" s="55">
        <f>SUM(G5:G10)</f>
        <v>5</v>
      </c>
      <c r="H11" s="55">
        <f t="shared" si="0"/>
        <v>41</v>
      </c>
    </row>
    <row r="12" spans="2:9" x14ac:dyDescent="0.15">
      <c r="B12" s="19" t="s">
        <v>14</v>
      </c>
      <c r="C12" s="50">
        <v>1</v>
      </c>
      <c r="D12" s="51"/>
      <c r="E12" s="51"/>
      <c r="F12" s="51"/>
      <c r="G12" s="52"/>
      <c r="H12" s="6">
        <f t="shared" si="0"/>
        <v>1</v>
      </c>
      <c r="I12" s="7">
        <v>44306</v>
      </c>
    </row>
    <row r="13" spans="2:9" x14ac:dyDescent="0.15">
      <c r="B13" s="5" t="s">
        <v>7</v>
      </c>
      <c r="C13" s="31"/>
      <c r="D13" s="29">
        <v>1</v>
      </c>
      <c r="E13" s="29">
        <v>1</v>
      </c>
      <c r="F13" s="29"/>
      <c r="G13" s="32"/>
      <c r="H13" s="6">
        <f t="shared" si="0"/>
        <v>2</v>
      </c>
      <c r="I13" s="7">
        <v>44312</v>
      </c>
    </row>
    <row r="14" spans="2:9" x14ac:dyDescent="0.15">
      <c r="B14" s="5" t="s">
        <v>7</v>
      </c>
      <c r="C14" s="31">
        <v>1</v>
      </c>
      <c r="D14" s="29"/>
      <c r="E14" s="29"/>
      <c r="F14" s="29"/>
      <c r="G14" s="32"/>
      <c r="H14" s="6">
        <f t="shared" si="0"/>
        <v>1</v>
      </c>
      <c r="I14" s="7">
        <v>44313</v>
      </c>
    </row>
    <row r="15" spans="2:9" x14ac:dyDescent="0.15">
      <c r="B15" s="18" t="s">
        <v>14</v>
      </c>
      <c r="C15" s="33"/>
      <c r="D15" s="30">
        <v>1</v>
      </c>
      <c r="E15" s="30">
        <v>2</v>
      </c>
      <c r="F15" s="30"/>
      <c r="G15" s="34"/>
      <c r="H15" s="6">
        <f t="shared" si="0"/>
        <v>3</v>
      </c>
      <c r="I15" s="7">
        <v>44327</v>
      </c>
    </row>
    <row r="16" spans="2:9" x14ac:dyDescent="0.15">
      <c r="B16" s="5" t="s">
        <v>7</v>
      </c>
      <c r="C16" s="33"/>
      <c r="D16" s="30">
        <v>1</v>
      </c>
      <c r="E16" s="30"/>
      <c r="F16" s="30"/>
      <c r="G16" s="34"/>
      <c r="H16" s="6">
        <f t="shared" si="0"/>
        <v>1</v>
      </c>
      <c r="I16" s="7">
        <v>44330</v>
      </c>
    </row>
    <row r="17" spans="2:9" x14ac:dyDescent="0.15">
      <c r="B17" s="5" t="s">
        <v>7</v>
      </c>
      <c r="C17" s="31"/>
      <c r="D17" s="29"/>
      <c r="E17" s="29"/>
      <c r="F17" s="29"/>
      <c r="G17" s="32">
        <v>1</v>
      </c>
      <c r="H17" s="6">
        <f t="shared" si="0"/>
        <v>1</v>
      </c>
      <c r="I17" s="7">
        <v>44333</v>
      </c>
    </row>
    <row r="18" spans="2:9" x14ac:dyDescent="0.15">
      <c r="B18" s="18" t="s">
        <v>14</v>
      </c>
      <c r="C18" s="31"/>
      <c r="D18" s="29"/>
      <c r="E18" s="29"/>
      <c r="F18" s="29"/>
      <c r="G18" s="32">
        <v>1</v>
      </c>
      <c r="H18" s="6">
        <f t="shared" si="0"/>
        <v>1</v>
      </c>
      <c r="I18" s="7">
        <v>44336</v>
      </c>
    </row>
    <row r="19" spans="2:9" x14ac:dyDescent="0.15">
      <c r="B19" s="5" t="s">
        <v>7</v>
      </c>
      <c r="C19" s="33">
        <v>1</v>
      </c>
      <c r="D19" s="30"/>
      <c r="E19" s="30"/>
      <c r="F19" s="30"/>
      <c r="G19" s="34"/>
      <c r="H19" s="6">
        <f t="shared" si="0"/>
        <v>1</v>
      </c>
      <c r="I19" s="7">
        <v>44343</v>
      </c>
    </row>
    <row r="20" spans="2:9" x14ac:dyDescent="0.15">
      <c r="B20" s="5" t="s">
        <v>7</v>
      </c>
      <c r="C20" s="33"/>
      <c r="D20" s="30">
        <v>1</v>
      </c>
      <c r="E20" s="30"/>
      <c r="F20" s="30"/>
      <c r="G20" s="34"/>
      <c r="H20" s="6">
        <f t="shared" si="0"/>
        <v>1</v>
      </c>
      <c r="I20" s="7">
        <v>44352</v>
      </c>
    </row>
    <row r="21" spans="2:9" x14ac:dyDescent="0.15">
      <c r="B21" s="5" t="s">
        <v>7</v>
      </c>
      <c r="C21" s="31"/>
      <c r="D21" s="29">
        <f>1+1</f>
        <v>2</v>
      </c>
      <c r="E21" s="29"/>
      <c r="F21" s="29"/>
      <c r="G21" s="32">
        <v>1</v>
      </c>
      <c r="H21" s="6">
        <f t="shared" si="0"/>
        <v>3</v>
      </c>
      <c r="I21" s="7">
        <v>44354</v>
      </c>
    </row>
    <row r="22" spans="2:9" x14ac:dyDescent="0.15">
      <c r="B22" s="5" t="s">
        <v>7</v>
      </c>
      <c r="C22" s="33"/>
      <c r="D22" s="30">
        <v>1</v>
      </c>
      <c r="E22" s="30"/>
      <c r="F22" s="30"/>
      <c r="G22" s="34"/>
      <c r="H22" s="6">
        <f t="shared" si="0"/>
        <v>1</v>
      </c>
      <c r="I22" s="17">
        <v>44356</v>
      </c>
    </row>
    <row r="23" spans="2:9" x14ac:dyDescent="0.15">
      <c r="B23" s="5" t="s">
        <v>7</v>
      </c>
      <c r="C23" s="33">
        <v>1</v>
      </c>
      <c r="D23" s="30"/>
      <c r="E23" s="30"/>
      <c r="F23" s="30"/>
      <c r="G23" s="34"/>
      <c r="H23" s="6">
        <f t="shared" si="0"/>
        <v>1</v>
      </c>
      <c r="I23" s="17">
        <v>44358</v>
      </c>
    </row>
    <row r="24" spans="2:9" x14ac:dyDescent="0.15">
      <c r="B24" s="5" t="s">
        <v>7</v>
      </c>
      <c r="C24" s="31"/>
      <c r="D24" s="29"/>
      <c r="E24" s="29">
        <v>1</v>
      </c>
      <c r="F24" s="29"/>
      <c r="G24" s="32"/>
      <c r="H24" s="6">
        <f t="shared" si="0"/>
        <v>1</v>
      </c>
      <c r="I24" s="7">
        <v>44366</v>
      </c>
    </row>
    <row r="25" spans="2:9" x14ac:dyDescent="0.15">
      <c r="B25" s="5" t="s">
        <v>7</v>
      </c>
      <c r="C25" s="33">
        <v>1</v>
      </c>
      <c r="D25" s="30"/>
      <c r="E25" s="30"/>
      <c r="F25" s="30"/>
      <c r="G25" s="34"/>
      <c r="H25" s="6">
        <f t="shared" si="0"/>
        <v>1</v>
      </c>
      <c r="I25" s="17">
        <v>44368</v>
      </c>
    </row>
    <row r="26" spans="2:9" x14ac:dyDescent="0.15">
      <c r="B26" s="5" t="s">
        <v>7</v>
      </c>
      <c r="C26" s="33"/>
      <c r="D26" s="30"/>
      <c r="E26" s="30">
        <v>1</v>
      </c>
      <c r="F26" s="30"/>
      <c r="G26" s="34"/>
      <c r="H26" s="6">
        <f t="shared" si="0"/>
        <v>1</v>
      </c>
      <c r="I26" s="17">
        <v>44383</v>
      </c>
    </row>
    <row r="27" spans="2:9" x14ac:dyDescent="0.15">
      <c r="B27" s="5" t="s">
        <v>7</v>
      </c>
      <c r="C27" s="33"/>
      <c r="D27" s="30">
        <v>1</v>
      </c>
      <c r="E27" s="30"/>
      <c r="F27" s="30"/>
      <c r="G27" s="34"/>
      <c r="H27" s="6">
        <f t="shared" si="0"/>
        <v>1</v>
      </c>
      <c r="I27" s="17">
        <v>44389</v>
      </c>
    </row>
    <row r="28" spans="2:9" x14ac:dyDescent="0.15">
      <c r="B28" s="5" t="s">
        <v>7</v>
      </c>
      <c r="C28" s="33"/>
      <c r="D28" s="30"/>
      <c r="E28" s="30">
        <v>1</v>
      </c>
      <c r="F28" s="30"/>
      <c r="G28" s="34"/>
      <c r="H28" s="6">
        <f t="shared" si="0"/>
        <v>1</v>
      </c>
      <c r="I28" s="17">
        <v>44392</v>
      </c>
    </row>
    <row r="29" spans="2:9" x14ac:dyDescent="0.15">
      <c r="B29" s="5" t="s">
        <v>7</v>
      </c>
      <c r="C29" s="33"/>
      <c r="D29" s="30">
        <f>1+1</f>
        <v>2</v>
      </c>
      <c r="E29" s="30"/>
      <c r="F29" s="30"/>
      <c r="G29" s="34"/>
      <c r="H29" s="6">
        <f t="shared" si="0"/>
        <v>2</v>
      </c>
      <c r="I29" s="17">
        <v>44397</v>
      </c>
    </row>
    <row r="30" spans="2:9" x14ac:dyDescent="0.15">
      <c r="B30" s="5" t="s">
        <v>7</v>
      </c>
      <c r="C30" s="33"/>
      <c r="D30" s="30">
        <v>1</v>
      </c>
      <c r="E30" s="30"/>
      <c r="F30" s="30"/>
      <c r="G30" s="34"/>
      <c r="H30" s="6">
        <f t="shared" si="0"/>
        <v>1</v>
      </c>
      <c r="I30" s="17">
        <v>44404</v>
      </c>
    </row>
    <row r="31" spans="2:9" x14ac:dyDescent="0.15">
      <c r="B31" s="5" t="s">
        <v>7</v>
      </c>
      <c r="C31" s="31">
        <v>1</v>
      </c>
      <c r="D31" s="29"/>
      <c r="E31" s="29"/>
      <c r="F31" s="29"/>
      <c r="G31" s="32"/>
      <c r="H31" s="6">
        <f t="shared" si="0"/>
        <v>1</v>
      </c>
      <c r="I31" s="16">
        <v>44410</v>
      </c>
    </row>
    <row r="32" spans="2:9" x14ac:dyDescent="0.15">
      <c r="B32" s="5"/>
      <c r="C32" s="31"/>
      <c r="D32" s="29"/>
      <c r="E32" s="29"/>
      <c r="F32" s="29"/>
      <c r="G32" s="32"/>
      <c r="H32" s="6">
        <f t="shared" si="0"/>
        <v>0</v>
      </c>
      <c r="I32" s="16"/>
    </row>
    <row r="33" spans="1:9" x14ac:dyDescent="0.15">
      <c r="B33" s="5"/>
      <c r="C33" s="31"/>
      <c r="D33" s="29"/>
      <c r="E33" s="29"/>
      <c r="F33" s="29"/>
      <c r="G33" s="32"/>
      <c r="H33" s="6">
        <f t="shared" si="0"/>
        <v>0</v>
      </c>
      <c r="I33" s="16"/>
    </row>
    <row r="34" spans="1:9" x14ac:dyDescent="0.15">
      <c r="B34" s="5"/>
      <c r="C34" s="31"/>
      <c r="D34" s="29"/>
      <c r="E34" s="29"/>
      <c r="F34" s="29"/>
      <c r="G34" s="32"/>
      <c r="H34" s="6">
        <f t="shared" si="0"/>
        <v>0</v>
      </c>
      <c r="I34" s="16"/>
    </row>
    <row r="35" spans="1:9" x14ac:dyDescent="0.15">
      <c r="B35" s="5"/>
      <c r="C35" s="31"/>
      <c r="D35" s="29"/>
      <c r="E35" s="29"/>
      <c r="F35" s="29"/>
      <c r="G35" s="32"/>
      <c r="H35" s="6">
        <f t="shared" si="0"/>
        <v>0</v>
      </c>
      <c r="I35" s="16"/>
    </row>
    <row r="36" spans="1:9" ht="14.25" thickBot="1" x14ac:dyDescent="0.2">
      <c r="B36" s="5"/>
      <c r="C36" s="46"/>
      <c r="D36" s="47"/>
      <c r="E36" s="47"/>
      <c r="F36" s="47"/>
      <c r="G36" s="48"/>
      <c r="H36" s="6">
        <f t="shared" si="0"/>
        <v>0</v>
      </c>
      <c r="I36" s="16"/>
    </row>
    <row r="37" spans="1:9" ht="14.25" thickBot="1" x14ac:dyDescent="0.2">
      <c r="B37" s="3" t="s">
        <v>2</v>
      </c>
      <c r="C37" s="60">
        <f>SUM(C12:C36)</f>
        <v>6</v>
      </c>
      <c r="D37" s="61">
        <f>SUM(D12:D36)</f>
        <v>11</v>
      </c>
      <c r="E37" s="61">
        <f>SUM(E12:E36)</f>
        <v>6</v>
      </c>
      <c r="F37" s="61">
        <f>SUM(F12:F36)</f>
        <v>0</v>
      </c>
      <c r="G37" s="62">
        <f>SUM(G12:G36)</f>
        <v>3</v>
      </c>
      <c r="H37" s="27">
        <f t="shared" si="0"/>
        <v>26</v>
      </c>
    </row>
    <row r="38" spans="1:9" ht="14.25" thickBot="1" x14ac:dyDescent="0.2">
      <c r="B38" s="2" t="s">
        <v>3</v>
      </c>
      <c r="C38" s="57">
        <f>+C11-C37</f>
        <v>3</v>
      </c>
      <c r="D38" s="58">
        <f>+D11-D37</f>
        <v>1</v>
      </c>
      <c r="E38" s="58">
        <f>+E11-E37</f>
        <v>7</v>
      </c>
      <c r="F38" s="58">
        <f>+F11-F37</f>
        <v>2</v>
      </c>
      <c r="G38" s="59">
        <f>+G11-G37</f>
        <v>2</v>
      </c>
      <c r="H38" s="28">
        <f>SUM(C38:G38)</f>
        <v>15</v>
      </c>
    </row>
    <row r="40" spans="1:9" ht="18.75" x14ac:dyDescent="0.2">
      <c r="B40" s="15" t="s">
        <v>13</v>
      </c>
      <c r="C40" s="14"/>
      <c r="D40" s="14"/>
      <c r="E40" s="14"/>
      <c r="F40" s="14"/>
      <c r="G40" s="14"/>
      <c r="H40" s="14"/>
    </row>
    <row r="41" spans="1:9" ht="14.25" thickBot="1" x14ac:dyDescent="0.2">
      <c r="H41">
        <v>874</v>
      </c>
    </row>
    <row r="42" spans="1:9" ht="14.25" thickBot="1" x14ac:dyDescent="0.2">
      <c r="B42" s="13"/>
      <c r="C42" s="20"/>
      <c r="D42" s="20"/>
      <c r="E42" s="20"/>
      <c r="F42" s="20"/>
      <c r="G42" s="20"/>
      <c r="H42" s="21"/>
    </row>
    <row r="43" spans="1:9" ht="14.25" thickBot="1" x14ac:dyDescent="0.2">
      <c r="A43" s="1"/>
      <c r="B43" s="12"/>
      <c r="C43" s="40" t="s">
        <v>12</v>
      </c>
      <c r="D43" s="41" t="s">
        <v>6</v>
      </c>
      <c r="E43" s="42" t="s">
        <v>11</v>
      </c>
      <c r="F43" s="43" t="s">
        <v>10</v>
      </c>
      <c r="G43" s="44" t="s">
        <v>9</v>
      </c>
      <c r="H43" s="45" t="s">
        <v>0</v>
      </c>
    </row>
    <row r="44" spans="1:9" x14ac:dyDescent="0.15">
      <c r="B44" s="11" t="s">
        <v>5</v>
      </c>
      <c r="C44" s="36">
        <f>C38</f>
        <v>3</v>
      </c>
      <c r="D44" s="37">
        <f>D38</f>
        <v>1</v>
      </c>
      <c r="E44" s="37">
        <f>E38</f>
        <v>7</v>
      </c>
      <c r="F44" s="37">
        <f>F38</f>
        <v>2</v>
      </c>
      <c r="G44" s="38">
        <f>G38</f>
        <v>2</v>
      </c>
      <c r="H44" s="39">
        <f t="shared" ref="H44:H76" si="1">SUM(C44:G44)</f>
        <v>15</v>
      </c>
    </row>
    <row r="45" spans="1:9" x14ac:dyDescent="0.15">
      <c r="B45" s="10" t="s">
        <v>4</v>
      </c>
      <c r="C45" s="31"/>
      <c r="D45" s="29">
        <v>5</v>
      </c>
      <c r="E45" s="29"/>
      <c r="F45" s="29"/>
      <c r="G45" s="32"/>
      <c r="H45" s="6">
        <f t="shared" si="1"/>
        <v>5</v>
      </c>
      <c r="I45" s="7">
        <v>44412</v>
      </c>
    </row>
    <row r="46" spans="1:9" x14ac:dyDescent="0.15">
      <c r="B46" s="10" t="s">
        <v>8</v>
      </c>
      <c r="C46" s="31"/>
      <c r="D46" s="29">
        <v>1</v>
      </c>
      <c r="E46" s="29"/>
      <c r="F46" s="29"/>
      <c r="G46" s="32">
        <v>1</v>
      </c>
      <c r="H46" s="6">
        <f t="shared" si="1"/>
        <v>2</v>
      </c>
      <c r="I46" s="7">
        <v>44434</v>
      </c>
    </row>
    <row r="47" spans="1:9" x14ac:dyDescent="0.15">
      <c r="B47" s="10" t="s">
        <v>4</v>
      </c>
      <c r="C47" s="31">
        <v>3</v>
      </c>
      <c r="D47" s="29"/>
      <c r="E47" s="29">
        <v>10</v>
      </c>
      <c r="F47" s="29">
        <v>2</v>
      </c>
      <c r="G47" s="32"/>
      <c r="H47" s="6">
        <f t="shared" si="1"/>
        <v>15</v>
      </c>
      <c r="I47" s="7">
        <v>44630</v>
      </c>
    </row>
    <row r="48" spans="1:9" x14ac:dyDescent="0.15">
      <c r="B48" s="10" t="s">
        <v>4</v>
      </c>
      <c r="C48" s="31"/>
      <c r="D48" s="29">
        <v>5</v>
      </c>
      <c r="E48" s="29"/>
      <c r="F48" s="29"/>
      <c r="G48" s="32"/>
      <c r="H48" s="6">
        <f t="shared" si="1"/>
        <v>5</v>
      </c>
      <c r="I48" s="7">
        <v>44653</v>
      </c>
    </row>
    <row r="49" spans="2:9" ht="14.25" thickBot="1" x14ac:dyDescent="0.2">
      <c r="B49" s="9" t="s">
        <v>4</v>
      </c>
      <c r="C49" s="46">
        <v>3</v>
      </c>
      <c r="D49" s="47"/>
      <c r="E49" s="47"/>
      <c r="F49" s="47"/>
      <c r="G49" s="48"/>
      <c r="H49" s="4">
        <f t="shared" si="1"/>
        <v>3</v>
      </c>
      <c r="I49" s="7">
        <v>44726</v>
      </c>
    </row>
    <row r="50" spans="2:9" ht="14.25" thickBot="1" x14ac:dyDescent="0.2">
      <c r="B50" s="8" t="s">
        <v>1</v>
      </c>
      <c r="C50" s="53">
        <f>SUM(C44:C49)</f>
        <v>9</v>
      </c>
      <c r="D50" s="54">
        <f t="shared" ref="D50:G50" si="2">SUM(D44:D49)</f>
        <v>12</v>
      </c>
      <c r="E50" s="54">
        <f t="shared" si="2"/>
        <v>17</v>
      </c>
      <c r="F50" s="54">
        <f t="shared" si="2"/>
        <v>4</v>
      </c>
      <c r="G50" s="55">
        <f t="shared" si="2"/>
        <v>3</v>
      </c>
      <c r="H50" s="55">
        <f t="shared" si="1"/>
        <v>45</v>
      </c>
    </row>
    <row r="51" spans="2:9" x14ac:dyDescent="0.15">
      <c r="B51" s="5" t="s">
        <v>7</v>
      </c>
      <c r="C51" s="50"/>
      <c r="D51" s="51"/>
      <c r="E51" s="51">
        <v>1</v>
      </c>
      <c r="F51" s="51"/>
      <c r="G51" s="52"/>
      <c r="H51" s="6">
        <f t="shared" si="1"/>
        <v>1</v>
      </c>
      <c r="I51" s="7">
        <v>44419</v>
      </c>
    </row>
    <row r="52" spans="2:9" x14ac:dyDescent="0.15">
      <c r="B52" s="5" t="s">
        <v>7</v>
      </c>
      <c r="C52" s="31"/>
      <c r="D52" s="29"/>
      <c r="E52" s="29">
        <v>1</v>
      </c>
      <c r="F52" s="29"/>
      <c r="G52" s="32"/>
      <c r="H52" s="6">
        <f t="shared" si="1"/>
        <v>1</v>
      </c>
      <c r="I52" s="7">
        <v>44446</v>
      </c>
    </row>
    <row r="53" spans="2:9" x14ac:dyDescent="0.15">
      <c r="B53" s="5" t="s">
        <v>7</v>
      </c>
      <c r="C53" s="31"/>
      <c r="D53" s="29">
        <v>1</v>
      </c>
      <c r="E53" s="29"/>
      <c r="F53" s="29"/>
      <c r="G53" s="32"/>
      <c r="H53" s="6">
        <f t="shared" si="1"/>
        <v>1</v>
      </c>
      <c r="I53" s="7">
        <v>44452</v>
      </c>
    </row>
    <row r="54" spans="2:9" x14ac:dyDescent="0.15">
      <c r="B54" s="5" t="s">
        <v>7</v>
      </c>
      <c r="C54" s="33"/>
      <c r="D54" s="30"/>
      <c r="E54" s="30">
        <v>1</v>
      </c>
      <c r="F54" s="30"/>
      <c r="G54" s="34"/>
      <c r="H54" s="6">
        <f t="shared" si="1"/>
        <v>1</v>
      </c>
      <c r="I54" s="7">
        <v>44487</v>
      </c>
    </row>
    <row r="55" spans="2:9" x14ac:dyDescent="0.15">
      <c r="B55" s="5" t="s">
        <v>7</v>
      </c>
      <c r="C55" s="33">
        <v>1</v>
      </c>
      <c r="D55" s="30"/>
      <c r="E55" s="30">
        <v>1</v>
      </c>
      <c r="F55" s="30"/>
      <c r="G55" s="34"/>
      <c r="H55" s="6">
        <f t="shared" si="1"/>
        <v>2</v>
      </c>
      <c r="I55" s="7">
        <v>44524</v>
      </c>
    </row>
    <row r="56" spans="2:9" x14ac:dyDescent="0.15">
      <c r="B56" s="5" t="s">
        <v>7</v>
      </c>
      <c r="C56" s="31"/>
      <c r="D56" s="29">
        <v>1</v>
      </c>
      <c r="E56" s="29"/>
      <c r="F56" s="29">
        <v>1</v>
      </c>
      <c r="G56" s="32"/>
      <c r="H56" s="6">
        <f t="shared" si="1"/>
        <v>2</v>
      </c>
      <c r="I56" s="7">
        <v>44578</v>
      </c>
    </row>
    <row r="57" spans="2:9" x14ac:dyDescent="0.15">
      <c r="B57" s="5" t="s">
        <v>7</v>
      </c>
      <c r="C57" s="31"/>
      <c r="D57" s="29"/>
      <c r="E57" s="29">
        <v>1</v>
      </c>
      <c r="F57" s="29"/>
      <c r="G57" s="32"/>
      <c r="H57" s="6">
        <f t="shared" si="1"/>
        <v>1</v>
      </c>
      <c r="I57" s="7">
        <v>44607</v>
      </c>
    </row>
    <row r="58" spans="2:9" x14ac:dyDescent="0.15">
      <c r="B58" s="5" t="s">
        <v>7</v>
      </c>
      <c r="C58" s="33"/>
      <c r="D58" s="30"/>
      <c r="E58" s="30"/>
      <c r="F58" s="30">
        <v>1</v>
      </c>
      <c r="G58" s="34"/>
      <c r="H58" s="6">
        <f t="shared" si="1"/>
        <v>1</v>
      </c>
      <c r="I58" s="7">
        <v>44625</v>
      </c>
    </row>
    <row r="59" spans="2:9" x14ac:dyDescent="0.15">
      <c r="B59" s="5" t="s">
        <v>7</v>
      </c>
      <c r="C59" s="33"/>
      <c r="D59" s="30"/>
      <c r="E59" s="30">
        <v>1</v>
      </c>
      <c r="F59" s="30"/>
      <c r="G59" s="34"/>
      <c r="H59" s="6">
        <f t="shared" si="1"/>
        <v>1</v>
      </c>
      <c r="I59" s="7">
        <v>44627</v>
      </c>
    </row>
    <row r="60" spans="2:9" x14ac:dyDescent="0.15">
      <c r="B60" s="5" t="s">
        <v>7</v>
      </c>
      <c r="C60" s="31"/>
      <c r="D60" s="29">
        <v>1</v>
      </c>
      <c r="E60" s="29"/>
      <c r="F60" s="29"/>
      <c r="G60" s="32"/>
      <c r="H60" s="6">
        <f t="shared" si="1"/>
        <v>1</v>
      </c>
      <c r="I60" s="7">
        <v>44637</v>
      </c>
    </row>
    <row r="61" spans="2:9" x14ac:dyDescent="0.15">
      <c r="B61" s="5" t="s">
        <v>7</v>
      </c>
      <c r="C61" s="33"/>
      <c r="D61" s="30"/>
      <c r="E61" s="30">
        <v>1</v>
      </c>
      <c r="F61" s="30"/>
      <c r="G61" s="34"/>
      <c r="H61" s="6">
        <f t="shared" si="1"/>
        <v>1</v>
      </c>
      <c r="I61" s="7">
        <v>44648</v>
      </c>
    </row>
    <row r="62" spans="2:9" x14ac:dyDescent="0.15">
      <c r="B62" s="5" t="s">
        <v>7</v>
      </c>
      <c r="C62" s="33">
        <v>1</v>
      </c>
      <c r="D62" s="30"/>
      <c r="E62" s="30"/>
      <c r="F62" s="30"/>
      <c r="G62" s="34"/>
      <c r="H62" s="6">
        <f t="shared" si="1"/>
        <v>1</v>
      </c>
      <c r="I62" s="7">
        <v>44655</v>
      </c>
    </row>
    <row r="63" spans="2:9" x14ac:dyDescent="0.15">
      <c r="B63" s="5" t="s">
        <v>7</v>
      </c>
      <c r="C63" s="31"/>
      <c r="D63" s="29"/>
      <c r="E63" s="29">
        <v>1</v>
      </c>
      <c r="F63" s="29"/>
      <c r="G63" s="32"/>
      <c r="H63" s="6">
        <f t="shared" si="1"/>
        <v>1</v>
      </c>
      <c r="I63" s="7">
        <v>44666</v>
      </c>
    </row>
    <row r="64" spans="2:9" x14ac:dyDescent="0.15">
      <c r="B64" s="5" t="s">
        <v>7</v>
      </c>
      <c r="C64" s="33"/>
      <c r="D64" s="30">
        <v>1</v>
      </c>
      <c r="E64" s="30"/>
      <c r="F64" s="30"/>
      <c r="G64" s="34"/>
      <c r="H64" s="6">
        <f t="shared" si="1"/>
        <v>1</v>
      </c>
      <c r="I64" s="7">
        <v>44692</v>
      </c>
    </row>
    <row r="65" spans="2:9" x14ac:dyDescent="0.15">
      <c r="B65" s="5" t="s">
        <v>7</v>
      </c>
      <c r="C65" s="33"/>
      <c r="D65" s="30"/>
      <c r="E65" s="30">
        <v>1</v>
      </c>
      <c r="F65" s="30"/>
      <c r="G65" s="34"/>
      <c r="H65" s="6">
        <f t="shared" si="1"/>
        <v>1</v>
      </c>
      <c r="I65" s="7">
        <v>44704</v>
      </c>
    </row>
    <row r="66" spans="2:9" x14ac:dyDescent="0.15">
      <c r="B66" s="5" t="s">
        <v>7</v>
      </c>
      <c r="C66" s="33"/>
      <c r="D66" s="30"/>
      <c r="E66" s="30">
        <v>1</v>
      </c>
      <c r="F66" s="30"/>
      <c r="G66" s="34"/>
      <c r="H66" s="6">
        <f t="shared" si="1"/>
        <v>1</v>
      </c>
      <c r="I66" s="7">
        <v>44707</v>
      </c>
    </row>
    <row r="67" spans="2:9" x14ac:dyDescent="0.15">
      <c r="B67" s="5" t="s">
        <v>7</v>
      </c>
      <c r="C67" s="33"/>
      <c r="D67" s="30">
        <v>1</v>
      </c>
      <c r="E67" s="30"/>
      <c r="F67" s="30"/>
      <c r="G67" s="34"/>
      <c r="H67" s="6">
        <f t="shared" si="1"/>
        <v>1</v>
      </c>
      <c r="I67" s="7">
        <v>44711</v>
      </c>
    </row>
    <row r="68" spans="2:9" x14ac:dyDescent="0.15">
      <c r="B68" s="5" t="s">
        <v>7</v>
      </c>
      <c r="C68" s="33">
        <v>2</v>
      </c>
      <c r="D68" s="30">
        <v>1</v>
      </c>
      <c r="E68" s="30"/>
      <c r="F68" s="30"/>
      <c r="G68" s="34"/>
      <c r="H68" s="6">
        <f t="shared" si="1"/>
        <v>3</v>
      </c>
      <c r="I68" s="7">
        <v>44718</v>
      </c>
    </row>
    <row r="69" spans="2:9" x14ac:dyDescent="0.15">
      <c r="B69" s="5" t="s">
        <v>7</v>
      </c>
      <c r="C69" s="33"/>
      <c r="D69" s="30"/>
      <c r="E69" s="30">
        <v>1</v>
      </c>
      <c r="F69" s="30"/>
      <c r="G69" s="34"/>
      <c r="H69" s="6">
        <f t="shared" si="1"/>
        <v>1</v>
      </c>
      <c r="I69" s="7">
        <v>44732</v>
      </c>
    </row>
    <row r="70" spans="2:9" x14ac:dyDescent="0.15">
      <c r="B70" s="5" t="s">
        <v>7</v>
      </c>
      <c r="C70" s="31"/>
      <c r="D70" s="29"/>
      <c r="E70" s="29">
        <v>1</v>
      </c>
      <c r="F70" s="29"/>
      <c r="G70" s="32"/>
      <c r="H70" s="6">
        <f t="shared" si="1"/>
        <v>1</v>
      </c>
      <c r="I70" s="7">
        <v>44733</v>
      </c>
    </row>
    <row r="71" spans="2:9" x14ac:dyDescent="0.15">
      <c r="B71" s="5" t="s">
        <v>7</v>
      </c>
      <c r="C71" s="31"/>
      <c r="D71" s="29"/>
      <c r="E71" s="29">
        <v>1</v>
      </c>
      <c r="F71" s="29"/>
      <c r="G71" s="32"/>
      <c r="H71" s="6">
        <f t="shared" si="1"/>
        <v>1</v>
      </c>
      <c r="I71" s="7">
        <v>44736</v>
      </c>
    </row>
    <row r="72" spans="2:9" x14ac:dyDescent="0.15">
      <c r="B72" s="5" t="s">
        <v>7</v>
      </c>
      <c r="C72" s="31">
        <v>2</v>
      </c>
      <c r="D72" s="29"/>
      <c r="E72" s="29">
        <v>1</v>
      </c>
      <c r="F72" s="29"/>
      <c r="G72" s="32"/>
      <c r="H72" s="6">
        <f t="shared" si="1"/>
        <v>3</v>
      </c>
      <c r="I72" s="7">
        <v>44739</v>
      </c>
    </row>
    <row r="73" spans="2:9" x14ac:dyDescent="0.15">
      <c r="B73" s="5" t="s">
        <v>7</v>
      </c>
      <c r="C73" s="31"/>
      <c r="D73" s="29">
        <v>1</v>
      </c>
      <c r="E73" s="29"/>
      <c r="F73" s="29"/>
      <c r="G73" s="32"/>
      <c r="H73" s="6">
        <f t="shared" si="1"/>
        <v>1</v>
      </c>
      <c r="I73" s="7">
        <v>44741</v>
      </c>
    </row>
    <row r="74" spans="2:9" x14ac:dyDescent="0.15">
      <c r="B74" s="5" t="s">
        <v>7</v>
      </c>
      <c r="C74" s="31"/>
      <c r="D74" s="29"/>
      <c r="E74" s="29"/>
      <c r="F74" s="29"/>
      <c r="G74" s="32">
        <v>1</v>
      </c>
      <c r="H74" s="6">
        <f t="shared" si="1"/>
        <v>1</v>
      </c>
      <c r="I74" s="7">
        <v>44749</v>
      </c>
    </row>
    <row r="75" spans="2:9" ht="14.25" thickBot="1" x14ac:dyDescent="0.2">
      <c r="B75" s="5"/>
      <c r="C75" s="46"/>
      <c r="D75" s="47"/>
      <c r="E75" s="47"/>
      <c r="F75" s="47"/>
      <c r="G75" s="48"/>
      <c r="H75" s="6">
        <f t="shared" si="1"/>
        <v>0</v>
      </c>
    </row>
    <row r="76" spans="2:9" ht="14.25" thickBot="1" x14ac:dyDescent="0.2">
      <c r="B76" s="3" t="s">
        <v>2</v>
      </c>
      <c r="C76" s="60">
        <f>SUM(C51:C75)</f>
        <v>6</v>
      </c>
      <c r="D76" s="61">
        <f>SUM(D51:D75)</f>
        <v>7</v>
      </c>
      <c r="E76" s="61">
        <f>SUM(E51:E75)</f>
        <v>14</v>
      </c>
      <c r="F76" s="61">
        <f>SUM(F51:F75)</f>
        <v>2</v>
      </c>
      <c r="G76" s="62">
        <f>SUM(G51:G75)</f>
        <v>1</v>
      </c>
      <c r="H76" s="27">
        <f t="shared" si="1"/>
        <v>30</v>
      </c>
    </row>
    <row r="77" spans="2:9" ht="14.25" thickBot="1" x14ac:dyDescent="0.2">
      <c r="B77" s="2" t="s">
        <v>3</v>
      </c>
      <c r="C77" s="57">
        <f>+C50-C76</f>
        <v>3</v>
      </c>
      <c r="D77" s="58">
        <f>+D50-D76</f>
        <v>5</v>
      </c>
      <c r="E77" s="58">
        <f>+E50-E76</f>
        <v>3</v>
      </c>
      <c r="F77" s="58">
        <f>+F50-F76</f>
        <v>2</v>
      </c>
      <c r="G77" s="59">
        <f>+G50-G76</f>
        <v>2</v>
      </c>
      <c r="H77" s="28">
        <f>SUM(C77:G77)</f>
        <v>15</v>
      </c>
    </row>
    <row r="79" spans="2:9" ht="18.75" x14ac:dyDescent="0.2">
      <c r="B79" s="15" t="s">
        <v>13</v>
      </c>
      <c r="C79" s="14"/>
      <c r="D79" s="14"/>
      <c r="E79" s="14"/>
      <c r="F79" s="14"/>
      <c r="G79" s="14"/>
      <c r="H79" s="14"/>
    </row>
    <row r="80" spans="2:9" ht="14.25" thickBot="1" x14ac:dyDescent="0.2">
      <c r="H80">
        <v>874</v>
      </c>
    </row>
    <row r="81" spans="1:9" ht="14.25" thickBot="1" x14ac:dyDescent="0.2">
      <c r="B81" s="13"/>
      <c r="C81" s="20"/>
      <c r="D81" s="20"/>
      <c r="E81" s="20"/>
      <c r="F81" s="20"/>
      <c r="G81" s="20"/>
      <c r="H81" s="21"/>
    </row>
    <row r="82" spans="1:9" ht="14.25" thickBot="1" x14ac:dyDescent="0.2">
      <c r="A82" s="1"/>
      <c r="B82" s="25"/>
      <c r="C82" s="40" t="s">
        <v>12</v>
      </c>
      <c r="D82" s="41" t="s">
        <v>6</v>
      </c>
      <c r="E82" s="42" t="s">
        <v>11</v>
      </c>
      <c r="F82" s="43" t="s">
        <v>10</v>
      </c>
      <c r="G82" s="44" t="s">
        <v>9</v>
      </c>
      <c r="H82" s="45" t="s">
        <v>0</v>
      </c>
    </row>
    <row r="83" spans="1:9" x14ac:dyDescent="0.15">
      <c r="B83" s="35" t="s">
        <v>5</v>
      </c>
      <c r="C83" s="36">
        <f>C77</f>
        <v>3</v>
      </c>
      <c r="D83" s="37">
        <f>D77</f>
        <v>5</v>
      </c>
      <c r="E83" s="37">
        <f>E77</f>
        <v>3</v>
      </c>
      <c r="F83" s="37">
        <f>F77</f>
        <v>2</v>
      </c>
      <c r="G83" s="38">
        <f>G77</f>
        <v>2</v>
      </c>
      <c r="H83" s="39">
        <f t="shared" ref="H83:H98" si="3">SUM(C83:G83)</f>
        <v>15</v>
      </c>
    </row>
    <row r="84" spans="1:9" x14ac:dyDescent="0.15">
      <c r="B84" s="22" t="s">
        <v>4</v>
      </c>
      <c r="C84" s="31">
        <v>5</v>
      </c>
      <c r="D84" s="29"/>
      <c r="E84" s="29">
        <v>10</v>
      </c>
      <c r="F84" s="29"/>
      <c r="G84" s="32"/>
      <c r="H84" s="6">
        <f t="shared" si="3"/>
        <v>15</v>
      </c>
      <c r="I84" s="7">
        <v>44747</v>
      </c>
    </row>
    <row r="85" spans="1:9" x14ac:dyDescent="0.15">
      <c r="B85" s="22" t="s">
        <v>4</v>
      </c>
      <c r="C85" s="31"/>
      <c r="D85" s="29"/>
      <c r="E85" s="29"/>
      <c r="F85" s="29">
        <v>2</v>
      </c>
      <c r="G85" s="32">
        <v>2</v>
      </c>
      <c r="H85" s="6">
        <f t="shared" si="3"/>
        <v>4</v>
      </c>
      <c r="I85" s="7">
        <v>45017</v>
      </c>
    </row>
    <row r="86" spans="1:9" x14ac:dyDescent="0.15">
      <c r="B86" s="22" t="s">
        <v>4</v>
      </c>
      <c r="C86" s="31">
        <v>3</v>
      </c>
      <c r="D86" s="29">
        <v>3</v>
      </c>
      <c r="E86" s="29"/>
      <c r="F86" s="29"/>
      <c r="G86" s="32">
        <v>1</v>
      </c>
      <c r="H86" s="6">
        <f t="shared" si="3"/>
        <v>7</v>
      </c>
      <c r="I86" s="7">
        <v>45106</v>
      </c>
    </row>
    <row r="87" spans="1:9" x14ac:dyDescent="0.15">
      <c r="B87" s="22" t="s">
        <v>8</v>
      </c>
      <c r="C87" s="31">
        <v>-1</v>
      </c>
      <c r="D87" s="29">
        <v>-1</v>
      </c>
      <c r="E87" s="29">
        <v>-1</v>
      </c>
      <c r="F87" s="29"/>
      <c r="G87" s="32"/>
      <c r="H87" s="6">
        <f t="shared" si="3"/>
        <v>-3</v>
      </c>
      <c r="I87" s="7">
        <v>45146</v>
      </c>
    </row>
    <row r="88" spans="1:9" ht="14.25" thickBot="1" x14ac:dyDescent="0.2">
      <c r="B88" s="63" t="s">
        <v>4</v>
      </c>
      <c r="C88" s="64">
        <v>3</v>
      </c>
      <c r="D88" s="65">
        <v>3</v>
      </c>
      <c r="E88" s="65"/>
      <c r="F88" s="65"/>
      <c r="G88" s="66">
        <v>1</v>
      </c>
      <c r="H88" s="67">
        <f t="shared" si="3"/>
        <v>7</v>
      </c>
      <c r="I88" s="68">
        <v>45350</v>
      </c>
    </row>
    <row r="89" spans="1:9" ht="14.25" thickBot="1" x14ac:dyDescent="0.2">
      <c r="B89" s="23" t="s">
        <v>1</v>
      </c>
      <c r="C89" s="53">
        <f>SUM(C83:C88)</f>
        <v>13</v>
      </c>
      <c r="D89" s="54">
        <f t="shared" ref="D89:F89" si="4">SUM(D83:D88)</f>
        <v>10</v>
      </c>
      <c r="E89" s="54">
        <f t="shared" si="4"/>
        <v>12</v>
      </c>
      <c r="F89" s="54">
        <f t="shared" si="4"/>
        <v>4</v>
      </c>
      <c r="G89" s="55">
        <f>SUM(G83:G88)</f>
        <v>6</v>
      </c>
      <c r="H89" s="55">
        <f t="shared" si="3"/>
        <v>45</v>
      </c>
    </row>
    <row r="90" spans="1:9" x14ac:dyDescent="0.15">
      <c r="B90" s="49" t="s">
        <v>7</v>
      </c>
      <c r="C90" s="50"/>
      <c r="D90" s="51"/>
      <c r="E90" s="51">
        <v>1</v>
      </c>
      <c r="F90" s="51"/>
      <c r="G90" s="52"/>
      <c r="H90" s="6">
        <f t="shared" si="3"/>
        <v>1</v>
      </c>
      <c r="I90" s="7">
        <v>44762</v>
      </c>
    </row>
    <row r="91" spans="1:9" x14ac:dyDescent="0.15">
      <c r="B91" s="24" t="s">
        <v>7</v>
      </c>
      <c r="C91" s="31">
        <v>1</v>
      </c>
      <c r="D91" s="29"/>
      <c r="E91" s="29"/>
      <c r="F91" s="29"/>
      <c r="G91" s="32"/>
      <c r="H91" s="6">
        <f t="shared" si="3"/>
        <v>1</v>
      </c>
      <c r="I91" s="7">
        <v>44767</v>
      </c>
    </row>
    <row r="92" spans="1:9" x14ac:dyDescent="0.15">
      <c r="B92" s="24" t="s">
        <v>7</v>
      </c>
      <c r="C92" s="31"/>
      <c r="D92" s="29"/>
      <c r="E92" s="29"/>
      <c r="F92" s="29"/>
      <c r="G92" s="32">
        <v>1</v>
      </c>
      <c r="H92" s="6">
        <f t="shared" si="3"/>
        <v>1</v>
      </c>
      <c r="I92" s="7">
        <v>44774</v>
      </c>
    </row>
    <row r="93" spans="1:9" x14ac:dyDescent="0.15">
      <c r="B93" s="24" t="s">
        <v>7</v>
      </c>
      <c r="C93" s="33">
        <v>1</v>
      </c>
      <c r="D93" s="30"/>
      <c r="E93" s="30"/>
      <c r="F93" s="30"/>
      <c r="G93" s="34"/>
      <c r="H93" s="6">
        <f t="shared" si="3"/>
        <v>1</v>
      </c>
      <c r="I93" s="7">
        <v>44781</v>
      </c>
    </row>
    <row r="94" spans="1:9" x14ac:dyDescent="0.15">
      <c r="B94" s="24" t="s">
        <v>7</v>
      </c>
      <c r="C94" s="33">
        <v>1</v>
      </c>
      <c r="D94" s="30"/>
      <c r="E94" s="30"/>
      <c r="F94" s="30">
        <v>1</v>
      </c>
      <c r="G94" s="34"/>
      <c r="H94" s="6">
        <f t="shared" si="3"/>
        <v>2</v>
      </c>
      <c r="I94" s="7">
        <v>44790</v>
      </c>
    </row>
    <row r="95" spans="1:9" x14ac:dyDescent="0.15">
      <c r="B95" s="24" t="s">
        <v>7</v>
      </c>
      <c r="C95" s="31">
        <v>1</v>
      </c>
      <c r="D95" s="29">
        <v>2</v>
      </c>
      <c r="E95" s="29">
        <v>1</v>
      </c>
      <c r="F95" s="29"/>
      <c r="G95" s="32">
        <v>1</v>
      </c>
      <c r="H95" s="6">
        <f t="shared" si="3"/>
        <v>5</v>
      </c>
      <c r="I95" s="7">
        <v>44795</v>
      </c>
    </row>
    <row r="96" spans="1:9" x14ac:dyDescent="0.15">
      <c r="B96" s="24" t="s">
        <v>7</v>
      </c>
      <c r="C96" s="31">
        <v>1</v>
      </c>
      <c r="D96" s="29"/>
      <c r="E96" s="29">
        <v>2</v>
      </c>
      <c r="F96" s="29"/>
      <c r="G96" s="32"/>
      <c r="H96" s="6">
        <f t="shared" si="3"/>
        <v>3</v>
      </c>
      <c r="I96" s="7">
        <v>44817</v>
      </c>
    </row>
    <row r="97" spans="2:10" x14ac:dyDescent="0.15">
      <c r="B97" s="24" t="s">
        <v>7</v>
      </c>
      <c r="C97" s="33"/>
      <c r="D97" s="30"/>
      <c r="E97" s="30">
        <v>1</v>
      </c>
      <c r="F97" s="30"/>
      <c r="G97" s="34"/>
      <c r="H97" s="6">
        <f t="shared" si="3"/>
        <v>1</v>
      </c>
      <c r="I97" s="7">
        <v>44824</v>
      </c>
    </row>
    <row r="98" spans="2:10" x14ac:dyDescent="0.15">
      <c r="B98" s="24" t="s">
        <v>7</v>
      </c>
      <c r="C98" s="33"/>
      <c r="D98" s="30">
        <v>1</v>
      </c>
      <c r="E98" s="30"/>
      <c r="F98" s="30"/>
      <c r="G98" s="34"/>
      <c r="H98" s="6">
        <f t="shared" si="3"/>
        <v>1</v>
      </c>
      <c r="I98" s="7">
        <v>45089</v>
      </c>
    </row>
    <row r="99" spans="2:10" x14ac:dyDescent="0.15">
      <c r="B99" s="24" t="s">
        <v>7</v>
      </c>
      <c r="C99" s="31"/>
      <c r="D99" s="29"/>
      <c r="E99" s="29">
        <v>1</v>
      </c>
      <c r="F99" s="29"/>
      <c r="G99" s="32"/>
      <c r="H99" s="6">
        <f t="shared" ref="H99:H115" si="5">SUM(C99:G99)</f>
        <v>1</v>
      </c>
      <c r="I99" s="7">
        <v>45090</v>
      </c>
      <c r="J99" s="7"/>
    </row>
    <row r="100" spans="2:10" x14ac:dyDescent="0.15">
      <c r="B100" s="24" t="s">
        <v>7</v>
      </c>
      <c r="C100" s="33">
        <v>1</v>
      </c>
      <c r="D100" s="30">
        <v>1</v>
      </c>
      <c r="E100" s="30"/>
      <c r="F100" s="30"/>
      <c r="G100" s="34">
        <v>1</v>
      </c>
      <c r="H100" s="6">
        <f t="shared" si="5"/>
        <v>3</v>
      </c>
      <c r="I100" s="7">
        <v>45100</v>
      </c>
    </row>
    <row r="101" spans="2:10" x14ac:dyDescent="0.15">
      <c r="B101" s="24" t="s">
        <v>7</v>
      </c>
      <c r="C101" s="33">
        <v>1</v>
      </c>
      <c r="D101" s="30"/>
      <c r="E101" s="30"/>
      <c r="F101" s="30"/>
      <c r="G101" s="34"/>
      <c r="H101" s="6">
        <f t="shared" si="5"/>
        <v>1</v>
      </c>
      <c r="I101" s="7">
        <v>45104</v>
      </c>
    </row>
    <row r="102" spans="2:10" x14ac:dyDescent="0.15">
      <c r="B102" s="24" t="s">
        <v>7</v>
      </c>
      <c r="C102" s="31"/>
      <c r="D102" s="29">
        <v>1</v>
      </c>
      <c r="E102" s="29"/>
      <c r="F102" s="29"/>
      <c r="G102" s="32"/>
      <c r="H102" s="6">
        <f t="shared" si="5"/>
        <v>1</v>
      </c>
      <c r="I102" s="7">
        <v>45125</v>
      </c>
    </row>
    <row r="103" spans="2:10" x14ac:dyDescent="0.15">
      <c r="B103" s="24" t="s">
        <v>7</v>
      </c>
      <c r="C103" s="33"/>
      <c r="D103" s="30"/>
      <c r="E103" s="30"/>
      <c r="F103" s="30"/>
      <c r="G103" s="34">
        <v>1</v>
      </c>
      <c r="H103" s="6">
        <f t="shared" si="5"/>
        <v>1</v>
      </c>
      <c r="I103" s="7">
        <v>45128</v>
      </c>
    </row>
    <row r="104" spans="2:10" x14ac:dyDescent="0.15">
      <c r="B104" s="24" t="s">
        <v>7</v>
      </c>
      <c r="C104" s="33">
        <v>1</v>
      </c>
      <c r="D104" s="30"/>
      <c r="E104" s="30"/>
      <c r="F104" s="30"/>
      <c r="G104" s="34"/>
      <c r="H104" s="6">
        <f t="shared" si="5"/>
        <v>1</v>
      </c>
      <c r="I104" s="7">
        <v>45161</v>
      </c>
    </row>
    <row r="105" spans="2:10" x14ac:dyDescent="0.15">
      <c r="B105" s="24" t="s">
        <v>7</v>
      </c>
      <c r="C105" s="33"/>
      <c r="D105" s="30">
        <v>1</v>
      </c>
      <c r="E105" s="30"/>
      <c r="F105" s="30">
        <v>1</v>
      </c>
      <c r="G105" s="34"/>
      <c r="H105" s="6">
        <f t="shared" si="5"/>
        <v>2</v>
      </c>
      <c r="I105" s="7">
        <v>45188</v>
      </c>
    </row>
    <row r="106" spans="2:10" x14ac:dyDescent="0.15">
      <c r="B106" s="24" t="s">
        <v>7</v>
      </c>
      <c r="C106" s="33"/>
      <c r="D106" s="30"/>
      <c r="E106" s="30">
        <v>1</v>
      </c>
      <c r="F106" s="30"/>
      <c r="G106" s="34"/>
      <c r="H106" s="6">
        <f t="shared" si="5"/>
        <v>1</v>
      </c>
      <c r="I106" s="7">
        <v>45189</v>
      </c>
    </row>
    <row r="107" spans="2:10" x14ac:dyDescent="0.15">
      <c r="B107" s="24" t="s">
        <v>7</v>
      </c>
      <c r="C107" s="33">
        <v>1</v>
      </c>
      <c r="D107" s="30"/>
      <c r="E107" s="30"/>
      <c r="F107" s="30"/>
      <c r="G107" s="34"/>
      <c r="H107" s="6">
        <f t="shared" si="5"/>
        <v>1</v>
      </c>
      <c r="I107" s="7">
        <v>45278</v>
      </c>
    </row>
    <row r="108" spans="2:10" x14ac:dyDescent="0.15">
      <c r="B108" s="24"/>
      <c r="C108" s="33"/>
      <c r="D108" s="30"/>
      <c r="E108" s="30"/>
      <c r="F108" s="30"/>
      <c r="G108" s="34"/>
      <c r="H108" s="6">
        <f t="shared" si="5"/>
        <v>0</v>
      </c>
      <c r="I108" s="7"/>
    </row>
    <row r="109" spans="2:10" x14ac:dyDescent="0.15">
      <c r="B109" s="24"/>
      <c r="C109" s="31"/>
      <c r="D109" s="29"/>
      <c r="E109" s="29"/>
      <c r="F109" s="29"/>
      <c r="G109" s="32"/>
      <c r="H109" s="6">
        <f t="shared" si="5"/>
        <v>0</v>
      </c>
      <c r="I109" s="7"/>
    </row>
    <row r="110" spans="2:10" x14ac:dyDescent="0.15">
      <c r="B110" s="24"/>
      <c r="C110" s="31"/>
      <c r="D110" s="29"/>
      <c r="E110" s="29"/>
      <c r="F110" s="29"/>
      <c r="G110" s="32"/>
      <c r="H110" s="6">
        <f t="shared" si="5"/>
        <v>0</v>
      </c>
      <c r="I110" s="7"/>
    </row>
    <row r="111" spans="2:10" x14ac:dyDescent="0.15">
      <c r="B111" s="24"/>
      <c r="C111" s="31"/>
      <c r="D111" s="29"/>
      <c r="E111" s="29"/>
      <c r="F111" s="29"/>
      <c r="G111" s="32"/>
      <c r="H111" s="6">
        <f t="shared" si="5"/>
        <v>0</v>
      </c>
      <c r="I111" s="7"/>
    </row>
    <row r="112" spans="2:10" x14ac:dyDescent="0.15">
      <c r="B112" s="24"/>
      <c r="C112" s="31"/>
      <c r="D112" s="29"/>
      <c r="E112" s="29"/>
      <c r="F112" s="29"/>
      <c r="G112" s="32"/>
      <c r="H112" s="6">
        <f t="shared" si="5"/>
        <v>0</v>
      </c>
      <c r="I112" s="7"/>
    </row>
    <row r="113" spans="1:9" x14ac:dyDescent="0.15">
      <c r="B113" s="24"/>
      <c r="C113" s="31"/>
      <c r="D113" s="29"/>
      <c r="E113" s="29"/>
      <c r="F113" s="29"/>
      <c r="G113" s="32"/>
      <c r="H113" s="6">
        <f t="shared" si="5"/>
        <v>0</v>
      </c>
    </row>
    <row r="114" spans="1:9" ht="14.25" thickBot="1" x14ac:dyDescent="0.2">
      <c r="B114" s="56"/>
      <c r="C114" s="46"/>
      <c r="D114" s="47"/>
      <c r="E114" s="47"/>
      <c r="F114" s="47"/>
      <c r="G114" s="48"/>
      <c r="H114" s="6">
        <f t="shared" si="5"/>
        <v>0</v>
      </c>
    </row>
    <row r="115" spans="1:9" ht="14.25" thickBot="1" x14ac:dyDescent="0.2">
      <c r="B115" s="25" t="s">
        <v>2</v>
      </c>
      <c r="C115" s="60">
        <f>SUM(C90:C114)</f>
        <v>9</v>
      </c>
      <c r="D115" s="61">
        <f t="shared" ref="D115:G115" si="6">SUM(D90:D114)</f>
        <v>6</v>
      </c>
      <c r="E115" s="61">
        <f t="shared" si="6"/>
        <v>7</v>
      </c>
      <c r="F115" s="61">
        <f t="shared" si="6"/>
        <v>2</v>
      </c>
      <c r="G115" s="62">
        <f t="shared" si="6"/>
        <v>4</v>
      </c>
      <c r="H115" s="27">
        <f t="shared" si="5"/>
        <v>28</v>
      </c>
    </row>
    <row r="116" spans="1:9" ht="14.25" thickBot="1" x14ac:dyDescent="0.2">
      <c r="B116" s="26" t="s">
        <v>3</v>
      </c>
      <c r="C116" s="57">
        <f>+C89-C115</f>
        <v>4</v>
      </c>
      <c r="D116" s="58">
        <f>+D89-D115</f>
        <v>4</v>
      </c>
      <c r="E116" s="58">
        <f>+E89-E115</f>
        <v>5</v>
      </c>
      <c r="F116" s="58">
        <f>+F89-F115</f>
        <v>2</v>
      </c>
      <c r="G116" s="59">
        <f>+G89-G115</f>
        <v>2</v>
      </c>
      <c r="H116" s="28">
        <f>SUM(C116:G116)</f>
        <v>17</v>
      </c>
    </row>
    <row r="118" spans="1:9" ht="18.75" x14ac:dyDescent="0.2">
      <c r="B118" s="15" t="s">
        <v>13</v>
      </c>
      <c r="C118" s="14"/>
      <c r="D118" s="14"/>
      <c r="E118" s="14"/>
      <c r="F118" s="14"/>
      <c r="G118" s="14"/>
      <c r="H118" s="14"/>
    </row>
    <row r="119" spans="1:9" ht="14.25" thickBot="1" x14ac:dyDescent="0.2">
      <c r="H119">
        <v>874</v>
      </c>
    </row>
    <row r="120" spans="1:9" ht="14.25" thickBot="1" x14ac:dyDescent="0.2">
      <c r="B120" s="13"/>
      <c r="C120" s="20"/>
      <c r="D120" s="20"/>
      <c r="E120" s="20"/>
      <c r="F120" s="20"/>
      <c r="G120" s="20"/>
      <c r="H120" s="21"/>
    </row>
    <row r="121" spans="1:9" ht="14.25" thickBot="1" x14ac:dyDescent="0.2">
      <c r="A121" s="1"/>
      <c r="B121" s="25"/>
      <c r="C121" s="40" t="s">
        <v>12</v>
      </c>
      <c r="D121" s="41" t="s">
        <v>6</v>
      </c>
      <c r="E121" s="42" t="s">
        <v>11</v>
      </c>
      <c r="F121" s="43" t="s">
        <v>10</v>
      </c>
      <c r="G121" s="44" t="s">
        <v>9</v>
      </c>
      <c r="H121" s="45" t="s">
        <v>0</v>
      </c>
    </row>
    <row r="122" spans="1:9" x14ac:dyDescent="0.15">
      <c r="B122" s="35" t="s">
        <v>5</v>
      </c>
      <c r="C122" s="36">
        <f>C116</f>
        <v>4</v>
      </c>
      <c r="D122" s="37">
        <f>D116</f>
        <v>4</v>
      </c>
      <c r="E122" s="37">
        <f>E116</f>
        <v>5</v>
      </c>
      <c r="F122" s="37">
        <f>F116</f>
        <v>2</v>
      </c>
      <c r="G122" s="38">
        <f>G116</f>
        <v>2</v>
      </c>
      <c r="H122" s="39">
        <f t="shared" ref="H122:H154" si="7">SUM(C122:G122)</f>
        <v>17</v>
      </c>
    </row>
    <row r="123" spans="1:9" x14ac:dyDescent="0.15">
      <c r="B123" s="22" t="s">
        <v>4</v>
      </c>
      <c r="C123" s="31"/>
      <c r="D123" s="29"/>
      <c r="E123" s="29">
        <v>3</v>
      </c>
      <c r="F123" s="29"/>
      <c r="G123" s="32"/>
      <c r="H123" s="6">
        <f t="shared" si="7"/>
        <v>3</v>
      </c>
      <c r="I123" s="7">
        <v>45364</v>
      </c>
    </row>
    <row r="124" spans="1:9" x14ac:dyDescent="0.15">
      <c r="B124" s="22" t="s">
        <v>4</v>
      </c>
      <c r="C124" s="31"/>
      <c r="D124" s="29"/>
      <c r="E124" s="29">
        <v>3</v>
      </c>
      <c r="F124" s="29"/>
      <c r="G124" s="32"/>
      <c r="H124" s="6">
        <f t="shared" si="7"/>
        <v>3</v>
      </c>
      <c r="I124" s="7">
        <v>45414</v>
      </c>
    </row>
    <row r="125" spans="1:9" x14ac:dyDescent="0.15">
      <c r="B125" s="22" t="s">
        <v>4</v>
      </c>
      <c r="C125" s="31">
        <v>5</v>
      </c>
      <c r="D125" s="29"/>
      <c r="E125" s="29"/>
      <c r="F125" s="29"/>
      <c r="G125" s="32"/>
      <c r="H125" s="6">
        <f t="shared" si="7"/>
        <v>5</v>
      </c>
      <c r="I125" s="7">
        <v>45440</v>
      </c>
    </row>
    <row r="126" spans="1:9" x14ac:dyDescent="0.15">
      <c r="B126" s="22" t="s">
        <v>4</v>
      </c>
      <c r="C126" s="31"/>
      <c r="D126" s="29"/>
      <c r="E126" s="29"/>
      <c r="F126" s="29"/>
      <c r="G126" s="32">
        <v>3</v>
      </c>
      <c r="H126" s="6">
        <f t="shared" si="7"/>
        <v>3</v>
      </c>
      <c r="I126" s="7">
        <v>45455</v>
      </c>
    </row>
    <row r="127" spans="1:9" ht="14.25" thickBot="1" x14ac:dyDescent="0.2">
      <c r="B127" s="69" t="s">
        <v>4</v>
      </c>
      <c r="C127" s="46"/>
      <c r="D127" s="47">
        <v>2</v>
      </c>
      <c r="E127" s="47"/>
      <c r="F127" s="47">
        <v>2</v>
      </c>
      <c r="G127" s="48">
        <v>2</v>
      </c>
      <c r="H127" s="4">
        <f t="shared" si="7"/>
        <v>6</v>
      </c>
      <c r="I127" s="7">
        <v>45469</v>
      </c>
    </row>
    <row r="128" spans="1:9" ht="14.25" thickBot="1" x14ac:dyDescent="0.2">
      <c r="B128" s="23" t="s">
        <v>1</v>
      </c>
      <c r="C128" s="53">
        <f>SUM(C122:C127)</f>
        <v>9</v>
      </c>
      <c r="D128" s="54">
        <f t="shared" ref="D128:F128" si="8">SUM(D122:D127)</f>
        <v>6</v>
      </c>
      <c r="E128" s="54">
        <f t="shared" si="8"/>
        <v>11</v>
      </c>
      <c r="F128" s="54">
        <f t="shared" si="8"/>
        <v>4</v>
      </c>
      <c r="G128" s="55">
        <f>SUM(G122:G127)</f>
        <v>7</v>
      </c>
      <c r="H128" s="55">
        <f t="shared" si="7"/>
        <v>37</v>
      </c>
    </row>
    <row r="129" spans="2:9" x14ac:dyDescent="0.15">
      <c r="B129" s="24" t="s">
        <v>7</v>
      </c>
      <c r="C129" s="50">
        <v>2</v>
      </c>
      <c r="D129" s="51"/>
      <c r="E129" s="51"/>
      <c r="F129" s="51"/>
      <c r="G129" s="52"/>
      <c r="H129" s="6">
        <f t="shared" si="7"/>
        <v>2</v>
      </c>
      <c r="I129" s="7">
        <v>45387</v>
      </c>
    </row>
    <row r="130" spans="2:9" x14ac:dyDescent="0.15">
      <c r="B130" s="24" t="s">
        <v>7</v>
      </c>
      <c r="C130" s="31"/>
      <c r="D130" s="29"/>
      <c r="E130" s="29"/>
      <c r="F130" s="29"/>
      <c r="G130" s="32">
        <v>1</v>
      </c>
      <c r="H130" s="6">
        <f t="shared" si="7"/>
        <v>1</v>
      </c>
      <c r="I130" s="7">
        <v>45419</v>
      </c>
    </row>
    <row r="131" spans="2:9" x14ac:dyDescent="0.15">
      <c r="B131" s="24" t="s">
        <v>7</v>
      </c>
      <c r="C131" s="31"/>
      <c r="D131" s="29"/>
      <c r="E131" s="29">
        <v>1</v>
      </c>
      <c r="F131" s="29"/>
      <c r="G131" s="32"/>
      <c r="H131" s="6">
        <f t="shared" si="7"/>
        <v>1</v>
      </c>
      <c r="I131" s="7">
        <v>45426</v>
      </c>
    </row>
    <row r="132" spans="2:9" x14ac:dyDescent="0.15">
      <c r="B132" s="24" t="s">
        <v>7</v>
      </c>
      <c r="C132" s="33">
        <v>1</v>
      </c>
      <c r="D132" s="30">
        <v>2</v>
      </c>
      <c r="E132" s="30"/>
      <c r="F132" s="30"/>
      <c r="G132" s="34">
        <v>1</v>
      </c>
      <c r="H132" s="6">
        <f t="shared" si="7"/>
        <v>4</v>
      </c>
      <c r="I132" s="7">
        <v>45428</v>
      </c>
    </row>
    <row r="133" spans="2:9" x14ac:dyDescent="0.15">
      <c r="B133" s="24" t="s">
        <v>7</v>
      </c>
      <c r="C133" s="33">
        <v>1</v>
      </c>
      <c r="D133" s="30"/>
      <c r="E133" s="30"/>
      <c r="F133" s="30"/>
      <c r="G133" s="34"/>
      <c r="H133" s="6">
        <f t="shared" si="7"/>
        <v>1</v>
      </c>
      <c r="I133" s="7">
        <v>45439</v>
      </c>
    </row>
    <row r="134" spans="2:9" x14ac:dyDescent="0.15">
      <c r="B134" s="24" t="s">
        <v>7</v>
      </c>
      <c r="C134" s="31">
        <v>1</v>
      </c>
      <c r="D134" s="29"/>
      <c r="E134" s="29"/>
      <c r="F134" s="29"/>
      <c r="G134" s="32"/>
      <c r="H134" s="6">
        <f t="shared" si="7"/>
        <v>1</v>
      </c>
      <c r="I134" s="7">
        <v>45440</v>
      </c>
    </row>
    <row r="135" spans="2:9" x14ac:dyDescent="0.15">
      <c r="B135" s="24" t="s">
        <v>7</v>
      </c>
      <c r="C135" s="31"/>
      <c r="D135" s="29"/>
      <c r="E135" s="29"/>
      <c r="F135" s="29"/>
      <c r="G135" s="32">
        <v>2</v>
      </c>
      <c r="H135" s="6">
        <f t="shared" si="7"/>
        <v>2</v>
      </c>
      <c r="I135" s="7">
        <v>45455</v>
      </c>
    </row>
    <row r="136" spans="2:9" x14ac:dyDescent="0.15">
      <c r="B136" s="24" t="s">
        <v>7</v>
      </c>
      <c r="C136" s="33"/>
      <c r="D136" s="30"/>
      <c r="E136" s="30">
        <v>1</v>
      </c>
      <c r="F136" s="30"/>
      <c r="G136" s="34"/>
      <c r="H136" s="6">
        <f t="shared" si="7"/>
        <v>1</v>
      </c>
      <c r="I136" s="7">
        <v>45478</v>
      </c>
    </row>
    <row r="137" spans="2:9" x14ac:dyDescent="0.15">
      <c r="B137" s="24" t="s">
        <v>7</v>
      </c>
      <c r="C137" s="33"/>
      <c r="D137" s="30"/>
      <c r="E137" s="30"/>
      <c r="F137" s="30"/>
      <c r="G137" s="34">
        <v>1</v>
      </c>
      <c r="H137" s="6">
        <f t="shared" si="7"/>
        <v>1</v>
      </c>
      <c r="I137" s="7">
        <v>45492</v>
      </c>
    </row>
    <row r="138" spans="2:9" x14ac:dyDescent="0.15">
      <c r="B138" s="24" t="s">
        <v>16</v>
      </c>
      <c r="C138" s="31">
        <v>0</v>
      </c>
      <c r="D138" s="29">
        <v>0</v>
      </c>
      <c r="E138" s="29">
        <v>1</v>
      </c>
      <c r="F138" s="29">
        <v>1</v>
      </c>
      <c r="G138" s="32">
        <v>0</v>
      </c>
      <c r="H138" s="6">
        <f t="shared" si="7"/>
        <v>2</v>
      </c>
      <c r="I138" s="7">
        <v>45526</v>
      </c>
    </row>
    <row r="139" spans="2:9" x14ac:dyDescent="0.15">
      <c r="B139" s="24" t="s">
        <v>7</v>
      </c>
      <c r="C139" s="33"/>
      <c r="D139" s="30"/>
      <c r="E139" s="30">
        <v>1</v>
      </c>
      <c r="F139" s="30"/>
      <c r="G139" s="34"/>
      <c r="H139" s="6">
        <f t="shared" si="7"/>
        <v>1</v>
      </c>
      <c r="I139" s="7">
        <v>45531</v>
      </c>
    </row>
    <row r="140" spans="2:9" x14ac:dyDescent="0.15">
      <c r="B140" s="24" t="s">
        <v>7</v>
      </c>
      <c r="C140" s="33"/>
      <c r="D140" s="30">
        <v>1</v>
      </c>
      <c r="E140" s="30"/>
      <c r="F140" s="30"/>
      <c r="G140" s="34"/>
      <c r="H140" s="6">
        <f t="shared" si="7"/>
        <v>1</v>
      </c>
      <c r="I140" s="7">
        <v>45647</v>
      </c>
    </row>
    <row r="141" spans="2:9" x14ac:dyDescent="0.15">
      <c r="B141" s="24" t="s">
        <v>7</v>
      </c>
      <c r="C141" s="31">
        <v>1</v>
      </c>
      <c r="D141" s="29"/>
      <c r="E141" s="29"/>
      <c r="F141" s="29"/>
      <c r="G141" s="32"/>
      <c r="H141" s="6">
        <f t="shared" si="7"/>
        <v>1</v>
      </c>
      <c r="I141" s="7">
        <v>45799</v>
      </c>
    </row>
    <row r="142" spans="2:9" x14ac:dyDescent="0.15">
      <c r="B142" s="24" t="s">
        <v>7</v>
      </c>
      <c r="C142" s="33"/>
      <c r="D142" s="30"/>
      <c r="E142" s="30"/>
      <c r="F142" s="30"/>
      <c r="G142" s="34">
        <v>1</v>
      </c>
      <c r="H142" s="6">
        <f t="shared" si="7"/>
        <v>1</v>
      </c>
      <c r="I142" s="7">
        <v>45861</v>
      </c>
    </row>
    <row r="143" spans="2:9" x14ac:dyDescent="0.15">
      <c r="B143" s="24" t="s">
        <v>7</v>
      </c>
      <c r="C143" s="33"/>
      <c r="D143" s="30">
        <v>1</v>
      </c>
      <c r="E143" s="30"/>
      <c r="F143" s="30"/>
      <c r="G143" s="34"/>
      <c r="H143" s="6">
        <f t="shared" si="7"/>
        <v>1</v>
      </c>
      <c r="I143" s="7">
        <v>45887</v>
      </c>
    </row>
    <row r="144" spans="2:9" x14ac:dyDescent="0.15">
      <c r="B144" s="24" t="s">
        <v>8</v>
      </c>
      <c r="C144" s="33">
        <v>0</v>
      </c>
      <c r="D144" s="30">
        <v>1</v>
      </c>
      <c r="E144" s="30">
        <v>0</v>
      </c>
      <c r="F144" s="30">
        <v>0</v>
      </c>
      <c r="G144" s="34">
        <v>0</v>
      </c>
      <c r="H144" s="6">
        <f t="shared" si="7"/>
        <v>1</v>
      </c>
      <c r="I144" s="7">
        <v>45889</v>
      </c>
    </row>
    <row r="145" spans="2:9" x14ac:dyDescent="0.15">
      <c r="B145" s="24" t="s">
        <v>7</v>
      </c>
      <c r="C145" s="33"/>
      <c r="D145" s="30"/>
      <c r="E145" s="30">
        <v>1</v>
      </c>
      <c r="F145" s="30"/>
      <c r="G145" s="34"/>
      <c r="H145" s="6">
        <f t="shared" si="7"/>
        <v>1</v>
      </c>
      <c r="I145" s="7">
        <v>45930</v>
      </c>
    </row>
    <row r="146" spans="2:9" x14ac:dyDescent="0.15">
      <c r="B146" s="24" t="s">
        <v>7</v>
      </c>
      <c r="C146" s="33"/>
      <c r="D146" s="30"/>
      <c r="E146" s="30">
        <v>1</v>
      </c>
      <c r="F146" s="30"/>
      <c r="G146" s="34"/>
      <c r="H146" s="6">
        <f t="shared" si="7"/>
        <v>1</v>
      </c>
      <c r="I146" s="7">
        <v>45936</v>
      </c>
    </row>
    <row r="147" spans="2:9" x14ac:dyDescent="0.15">
      <c r="B147" s="24" t="s">
        <v>8</v>
      </c>
      <c r="C147" s="33">
        <v>0</v>
      </c>
      <c r="D147" s="30">
        <v>-2</v>
      </c>
      <c r="E147" s="30">
        <v>-1</v>
      </c>
      <c r="F147" s="30">
        <v>0</v>
      </c>
      <c r="G147" s="34">
        <v>0</v>
      </c>
      <c r="H147" s="6">
        <f t="shared" si="7"/>
        <v>-3</v>
      </c>
      <c r="I147" s="7">
        <v>46078</v>
      </c>
    </row>
    <row r="148" spans="2:9" x14ac:dyDescent="0.15">
      <c r="B148" s="24" t="s">
        <v>7</v>
      </c>
      <c r="C148" s="31"/>
      <c r="D148" s="29"/>
      <c r="E148" s="29">
        <v>1</v>
      </c>
      <c r="F148" s="29"/>
      <c r="G148" s="32"/>
      <c r="H148" s="6">
        <f t="shared" si="7"/>
        <v>1</v>
      </c>
      <c r="I148" s="7">
        <v>46160</v>
      </c>
    </row>
    <row r="149" spans="2:9" x14ac:dyDescent="0.15">
      <c r="B149" s="24"/>
      <c r="C149" s="31"/>
      <c r="D149" s="29"/>
      <c r="E149" s="29"/>
      <c r="F149" s="29"/>
      <c r="G149" s="32"/>
      <c r="H149" s="6">
        <f t="shared" si="7"/>
        <v>0</v>
      </c>
      <c r="I149" s="7"/>
    </row>
    <row r="150" spans="2:9" x14ac:dyDescent="0.15">
      <c r="B150" s="24"/>
      <c r="C150" s="31"/>
      <c r="D150" s="29"/>
      <c r="E150" s="29"/>
      <c r="F150" s="29"/>
      <c r="G150" s="32"/>
      <c r="H150" s="6">
        <f t="shared" si="7"/>
        <v>0</v>
      </c>
      <c r="I150" s="7"/>
    </row>
    <row r="151" spans="2:9" x14ac:dyDescent="0.15">
      <c r="B151" s="24"/>
      <c r="C151" s="31"/>
      <c r="D151" s="29"/>
      <c r="E151" s="29"/>
      <c r="F151" s="29"/>
      <c r="G151" s="32"/>
      <c r="H151" s="6">
        <f t="shared" si="7"/>
        <v>0</v>
      </c>
      <c r="I151" s="7"/>
    </row>
    <row r="152" spans="2:9" x14ac:dyDescent="0.15">
      <c r="B152" s="24"/>
      <c r="C152" s="31"/>
      <c r="D152" s="29"/>
      <c r="E152" s="29"/>
      <c r="F152" s="29"/>
      <c r="G152" s="32"/>
      <c r="H152" s="6">
        <f t="shared" si="7"/>
        <v>0</v>
      </c>
    </row>
    <row r="153" spans="2:9" ht="14.25" thickBot="1" x14ac:dyDescent="0.2">
      <c r="B153" s="56"/>
      <c r="C153" s="46"/>
      <c r="D153" s="47"/>
      <c r="E153" s="47"/>
      <c r="F153" s="47"/>
      <c r="G153" s="48"/>
      <c r="H153" s="6">
        <f t="shared" si="7"/>
        <v>0</v>
      </c>
    </row>
    <row r="154" spans="2:9" ht="14.25" thickBot="1" x14ac:dyDescent="0.2">
      <c r="B154" s="25" t="s">
        <v>2</v>
      </c>
      <c r="C154" s="60">
        <f>SUM(C129:C153)</f>
        <v>6</v>
      </c>
      <c r="D154" s="61">
        <f t="shared" ref="D154:G154" si="9">SUM(D129:D153)</f>
        <v>3</v>
      </c>
      <c r="E154" s="61">
        <f t="shared" si="9"/>
        <v>6</v>
      </c>
      <c r="F154" s="61">
        <f t="shared" si="9"/>
        <v>1</v>
      </c>
      <c r="G154" s="62">
        <f t="shared" si="9"/>
        <v>6</v>
      </c>
      <c r="H154" s="27">
        <f t="shared" si="7"/>
        <v>22</v>
      </c>
    </row>
    <row r="155" spans="2:9" ht="14.25" thickBot="1" x14ac:dyDescent="0.2">
      <c r="B155" s="26" t="s">
        <v>3</v>
      </c>
      <c r="C155" s="57">
        <f>+C128-C154</f>
        <v>3</v>
      </c>
      <c r="D155" s="58">
        <f>+D128-D154</f>
        <v>3</v>
      </c>
      <c r="E155" s="58">
        <f>+E128-E154</f>
        <v>5</v>
      </c>
      <c r="F155" s="58">
        <f>+F128-F154</f>
        <v>3</v>
      </c>
      <c r="G155" s="59">
        <f>+G128-G154</f>
        <v>1</v>
      </c>
      <c r="H155" s="28">
        <f>SUM(C155:G155)</f>
        <v>15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アームカバー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2026-05-18T07:09:10Z</dcterms:modified>
</cp:coreProperties>
</file>