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24226"/>
  <mc:AlternateContent xmlns:mc="http://schemas.openxmlformats.org/markup-compatibility/2006">
    <mc:Choice Requires="x15">
      <x15ac:absPath xmlns:x15ac="http://schemas.microsoft.com/office/spreadsheetml/2010/11/ac" url="\\Yhds220p\10_発注管理\夢販流通\ユーセン\"/>
    </mc:Choice>
  </mc:AlternateContent>
  <xr:revisionPtr revIDLastSave="0" documentId="13_ncr:1_{654051C7-CC3B-4792-88C4-B19E97196F40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ネックウォーマー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I391" i="1" l="1"/>
  <c r="I392" i="1"/>
  <c r="I393" i="1"/>
  <c r="I394" i="1"/>
  <c r="I395" i="1"/>
  <c r="I396" i="1"/>
  <c r="I397" i="1"/>
  <c r="I398" i="1"/>
  <c r="I399" i="1"/>
  <c r="I400" i="1"/>
  <c r="I401" i="1"/>
  <c r="I402" i="1"/>
  <c r="I403" i="1"/>
  <c r="I404" i="1"/>
  <c r="I405" i="1"/>
  <c r="I406" i="1"/>
  <c r="I407" i="1"/>
  <c r="I408" i="1"/>
  <c r="I409" i="1"/>
  <c r="I410" i="1"/>
  <c r="I411" i="1"/>
  <c r="I412" i="1"/>
  <c r="I413" i="1"/>
  <c r="I381" i="1"/>
  <c r="I382" i="1"/>
  <c r="I383" i="1"/>
  <c r="I384" i="1"/>
  <c r="I385" i="1"/>
  <c r="H416" i="1"/>
  <c r="G416" i="1"/>
  <c r="F416" i="1"/>
  <c r="E416" i="1"/>
  <c r="D416" i="1"/>
  <c r="C416" i="1"/>
  <c r="I415" i="1"/>
  <c r="I414" i="1"/>
  <c r="I389" i="1"/>
  <c r="I388" i="1"/>
  <c r="I387" i="1"/>
  <c r="I386" i="1"/>
  <c r="H380" i="1"/>
  <c r="H390" i="1" s="1"/>
  <c r="H417" i="1" s="1"/>
  <c r="G380" i="1"/>
  <c r="G390" i="1" s="1"/>
  <c r="G417" i="1" s="1"/>
  <c r="F380" i="1"/>
  <c r="F390" i="1" s="1"/>
  <c r="F417" i="1" s="1"/>
  <c r="E380" i="1"/>
  <c r="E390" i="1" s="1"/>
  <c r="E417" i="1" s="1"/>
  <c r="C380" i="1"/>
  <c r="C390" i="1" s="1"/>
  <c r="I348" i="1"/>
  <c r="I349" i="1"/>
  <c r="I350" i="1"/>
  <c r="I351" i="1"/>
  <c r="I352" i="1"/>
  <c r="I353" i="1"/>
  <c r="I354" i="1"/>
  <c r="I355" i="1"/>
  <c r="I356" i="1"/>
  <c r="I357" i="1"/>
  <c r="I358" i="1"/>
  <c r="I359" i="1"/>
  <c r="I360" i="1"/>
  <c r="I361" i="1"/>
  <c r="I362" i="1"/>
  <c r="I363" i="1"/>
  <c r="I364" i="1"/>
  <c r="I365" i="1"/>
  <c r="I366" i="1"/>
  <c r="I367" i="1"/>
  <c r="I368" i="1"/>
  <c r="I369" i="1"/>
  <c r="I370" i="1"/>
  <c r="I338" i="1"/>
  <c r="I339" i="1"/>
  <c r="I340" i="1"/>
  <c r="I341" i="1"/>
  <c r="I342" i="1"/>
  <c r="I343" i="1"/>
  <c r="I344" i="1"/>
  <c r="H373" i="1"/>
  <c r="G373" i="1"/>
  <c r="F373" i="1"/>
  <c r="E373" i="1"/>
  <c r="D373" i="1"/>
  <c r="C373" i="1"/>
  <c r="I372" i="1"/>
  <c r="I371" i="1"/>
  <c r="I346" i="1"/>
  <c r="I345" i="1"/>
  <c r="H337" i="1"/>
  <c r="H347" i="1" s="1"/>
  <c r="F337" i="1"/>
  <c r="F347" i="1" s="1"/>
  <c r="E337" i="1"/>
  <c r="E347" i="1" s="1"/>
  <c r="H330" i="1"/>
  <c r="G330" i="1"/>
  <c r="F330" i="1"/>
  <c r="E330" i="1"/>
  <c r="I329" i="1"/>
  <c r="I328" i="1"/>
  <c r="I327" i="1"/>
  <c r="I326" i="1"/>
  <c r="I325" i="1"/>
  <c r="I324" i="1"/>
  <c r="I323" i="1"/>
  <c r="I322" i="1"/>
  <c r="I321" i="1"/>
  <c r="I320" i="1"/>
  <c r="I319" i="1"/>
  <c r="C330" i="1"/>
  <c r="I317" i="1"/>
  <c r="I316" i="1"/>
  <c r="I315" i="1"/>
  <c r="I314" i="1"/>
  <c r="I313" i="1"/>
  <c r="I312" i="1"/>
  <c r="D330" i="1"/>
  <c r="I311" i="1"/>
  <c r="I310" i="1"/>
  <c r="I309" i="1"/>
  <c r="I308" i="1"/>
  <c r="I307" i="1"/>
  <c r="I306" i="1"/>
  <c r="I305" i="1"/>
  <c r="I303" i="1"/>
  <c r="I302" i="1"/>
  <c r="I301" i="1"/>
  <c r="I300" i="1"/>
  <c r="I299" i="1"/>
  <c r="I298" i="1"/>
  <c r="I297" i="1"/>
  <c r="I296" i="1"/>
  <c r="I295" i="1"/>
  <c r="C284" i="1"/>
  <c r="C277" i="1"/>
  <c r="D275" i="1"/>
  <c r="C275" i="1"/>
  <c r="D269" i="1"/>
  <c r="H287" i="1"/>
  <c r="G287" i="1"/>
  <c r="F287" i="1"/>
  <c r="E287" i="1"/>
  <c r="I286" i="1"/>
  <c r="I285" i="1"/>
  <c r="I284" i="1"/>
  <c r="I283" i="1"/>
  <c r="I282" i="1"/>
  <c r="I281" i="1"/>
  <c r="I280" i="1"/>
  <c r="I279" i="1"/>
  <c r="I278" i="1"/>
  <c r="I277" i="1"/>
  <c r="D287" i="1"/>
  <c r="I275" i="1"/>
  <c r="I274" i="1"/>
  <c r="I273" i="1"/>
  <c r="I272" i="1"/>
  <c r="I271" i="1"/>
  <c r="I270" i="1"/>
  <c r="I269" i="1"/>
  <c r="I268" i="1"/>
  <c r="I267" i="1"/>
  <c r="I266" i="1"/>
  <c r="I265" i="1"/>
  <c r="I264" i="1"/>
  <c r="I263" i="1"/>
  <c r="I262" i="1"/>
  <c r="I260" i="1"/>
  <c r="I259" i="1"/>
  <c r="I258" i="1"/>
  <c r="I257" i="1"/>
  <c r="I256" i="1"/>
  <c r="I255" i="1"/>
  <c r="I254" i="1"/>
  <c r="I253" i="1"/>
  <c r="I252" i="1"/>
  <c r="D236" i="1"/>
  <c r="D233" i="1"/>
  <c r="D232" i="1"/>
  <c r="C222" i="1"/>
  <c r="I222" i="1" s="1"/>
  <c r="H244" i="1"/>
  <c r="G244" i="1"/>
  <c r="F244" i="1"/>
  <c r="E244" i="1"/>
  <c r="D244" i="1"/>
  <c r="C244" i="1"/>
  <c r="I243" i="1"/>
  <c r="I242" i="1"/>
  <c r="I241" i="1"/>
  <c r="I240" i="1"/>
  <c r="I239" i="1"/>
  <c r="I238" i="1"/>
  <c r="I237" i="1"/>
  <c r="I236" i="1"/>
  <c r="I235" i="1"/>
  <c r="I234" i="1"/>
  <c r="I233" i="1"/>
  <c r="I232" i="1"/>
  <c r="I231" i="1"/>
  <c r="I230" i="1"/>
  <c r="I229" i="1"/>
  <c r="I228" i="1"/>
  <c r="I227" i="1"/>
  <c r="I226" i="1"/>
  <c r="I225" i="1"/>
  <c r="I224" i="1"/>
  <c r="I223" i="1"/>
  <c r="I221" i="1"/>
  <c r="I220" i="1"/>
  <c r="I219" i="1"/>
  <c r="I217" i="1"/>
  <c r="I216" i="1"/>
  <c r="I215" i="1"/>
  <c r="I214" i="1"/>
  <c r="I213" i="1"/>
  <c r="I212" i="1"/>
  <c r="I211" i="1"/>
  <c r="I210" i="1"/>
  <c r="I209" i="1"/>
  <c r="I187" i="1"/>
  <c r="I166" i="1"/>
  <c r="I167" i="1"/>
  <c r="I168" i="1"/>
  <c r="I169" i="1"/>
  <c r="I170" i="1"/>
  <c r="I171" i="1"/>
  <c r="I172" i="1"/>
  <c r="I176" i="1"/>
  <c r="I177" i="1"/>
  <c r="I178" i="1"/>
  <c r="I179" i="1"/>
  <c r="I180" i="1"/>
  <c r="I181" i="1"/>
  <c r="I182" i="1"/>
  <c r="I183" i="1"/>
  <c r="I184" i="1"/>
  <c r="I185" i="1"/>
  <c r="I186" i="1"/>
  <c r="I188" i="1"/>
  <c r="I189" i="1"/>
  <c r="I190" i="1"/>
  <c r="I191" i="1"/>
  <c r="I192" i="1"/>
  <c r="I193" i="1"/>
  <c r="I194" i="1"/>
  <c r="I195" i="1"/>
  <c r="I196" i="1"/>
  <c r="I197" i="1"/>
  <c r="I198" i="1"/>
  <c r="H201" i="1"/>
  <c r="G201" i="1"/>
  <c r="F201" i="1"/>
  <c r="E201" i="1"/>
  <c r="D201" i="1"/>
  <c r="C201" i="1"/>
  <c r="I200" i="1"/>
  <c r="I199" i="1"/>
  <c r="I174" i="1"/>
  <c r="I173" i="1"/>
  <c r="I128" i="1"/>
  <c r="I129" i="1"/>
  <c r="I130" i="1"/>
  <c r="I131" i="1"/>
  <c r="I127" i="1"/>
  <c r="I5" i="1"/>
  <c r="I36" i="1"/>
  <c r="I35" i="1"/>
  <c r="I34" i="1"/>
  <c r="I33" i="1"/>
  <c r="I32" i="1"/>
  <c r="I31" i="1"/>
  <c r="I30" i="1"/>
  <c r="I29" i="1"/>
  <c r="I28" i="1"/>
  <c r="I27" i="1"/>
  <c r="I26" i="1"/>
  <c r="I25" i="1"/>
  <c r="I24" i="1"/>
  <c r="I23" i="1"/>
  <c r="I21" i="1"/>
  <c r="I20" i="1"/>
  <c r="I19" i="1"/>
  <c r="I18" i="1"/>
  <c r="I17" i="1"/>
  <c r="I16" i="1"/>
  <c r="I15" i="1"/>
  <c r="I14" i="1"/>
  <c r="I13" i="1"/>
  <c r="I10" i="1"/>
  <c r="I9" i="1"/>
  <c r="I8" i="1"/>
  <c r="I7" i="1"/>
  <c r="I6" i="1"/>
  <c r="I75" i="1"/>
  <c r="I74" i="1"/>
  <c r="I73" i="1"/>
  <c r="I72" i="1"/>
  <c r="I71" i="1"/>
  <c r="I70" i="1"/>
  <c r="I69" i="1"/>
  <c r="I68" i="1"/>
  <c r="I66" i="1"/>
  <c r="I65" i="1"/>
  <c r="I64" i="1"/>
  <c r="I63" i="1"/>
  <c r="I61" i="1"/>
  <c r="I60" i="1"/>
  <c r="I59" i="1"/>
  <c r="I58" i="1"/>
  <c r="I57" i="1"/>
  <c r="I56" i="1"/>
  <c r="I55" i="1"/>
  <c r="I54" i="1"/>
  <c r="I53" i="1"/>
  <c r="I52" i="1"/>
  <c r="I51" i="1"/>
  <c r="I49" i="1"/>
  <c r="I48" i="1"/>
  <c r="I47" i="1"/>
  <c r="I46" i="1"/>
  <c r="I45" i="1"/>
  <c r="I114" i="1"/>
  <c r="I113" i="1"/>
  <c r="I112" i="1"/>
  <c r="I111" i="1"/>
  <c r="I110" i="1"/>
  <c r="I109" i="1"/>
  <c r="I108" i="1"/>
  <c r="I107" i="1"/>
  <c r="I106" i="1"/>
  <c r="I105" i="1"/>
  <c r="I104" i="1"/>
  <c r="I103" i="1"/>
  <c r="I102" i="1"/>
  <c r="I101" i="1"/>
  <c r="I100" i="1"/>
  <c r="I99" i="1"/>
  <c r="I98" i="1"/>
  <c r="I97" i="1"/>
  <c r="I96" i="1"/>
  <c r="I95" i="1"/>
  <c r="I94" i="1"/>
  <c r="I93" i="1"/>
  <c r="I92" i="1"/>
  <c r="I91" i="1"/>
  <c r="I90" i="1"/>
  <c r="I88" i="1"/>
  <c r="I87" i="1"/>
  <c r="I86" i="1"/>
  <c r="I85" i="1"/>
  <c r="I84" i="1"/>
  <c r="I123" i="1"/>
  <c r="I124" i="1"/>
  <c r="I125" i="1"/>
  <c r="I126" i="1"/>
  <c r="I133" i="1"/>
  <c r="I134" i="1"/>
  <c r="I135" i="1"/>
  <c r="I136" i="1"/>
  <c r="I137" i="1"/>
  <c r="I138" i="1"/>
  <c r="I139" i="1"/>
  <c r="I140" i="1"/>
  <c r="I141" i="1"/>
  <c r="I142" i="1"/>
  <c r="I143" i="1"/>
  <c r="I144" i="1"/>
  <c r="I145" i="1"/>
  <c r="I146" i="1"/>
  <c r="I147" i="1"/>
  <c r="I148" i="1"/>
  <c r="I149" i="1"/>
  <c r="I150" i="1"/>
  <c r="I151" i="1"/>
  <c r="I152" i="1"/>
  <c r="I153" i="1"/>
  <c r="I154" i="1"/>
  <c r="I155" i="1"/>
  <c r="I156" i="1"/>
  <c r="I157" i="1"/>
  <c r="C11" i="1"/>
  <c r="D11" i="1"/>
  <c r="E11" i="1"/>
  <c r="F11" i="1"/>
  <c r="G11" i="1"/>
  <c r="H11" i="1"/>
  <c r="D12" i="1"/>
  <c r="I12" i="1" s="1"/>
  <c r="C22" i="1"/>
  <c r="I22" i="1" s="1"/>
  <c r="E37" i="1"/>
  <c r="E38" i="1" s="1"/>
  <c r="E44" i="1" s="1"/>
  <c r="E50" i="1" s="1"/>
  <c r="F37" i="1"/>
  <c r="G37" i="1"/>
  <c r="H37" i="1"/>
  <c r="D62" i="1"/>
  <c r="D76" i="1" s="1"/>
  <c r="F67" i="1"/>
  <c r="F76" i="1" s="1"/>
  <c r="C76" i="1"/>
  <c r="E76" i="1"/>
  <c r="G76" i="1"/>
  <c r="H76" i="1"/>
  <c r="C115" i="1"/>
  <c r="D115" i="1"/>
  <c r="E115" i="1"/>
  <c r="F115" i="1"/>
  <c r="G115" i="1"/>
  <c r="H115" i="1"/>
  <c r="E158" i="1"/>
  <c r="F158" i="1"/>
  <c r="G158" i="1"/>
  <c r="C158" i="1"/>
  <c r="D158" i="1"/>
  <c r="H158" i="1"/>
  <c r="I416" i="1" l="1"/>
  <c r="C417" i="1"/>
  <c r="H374" i="1"/>
  <c r="E374" i="1"/>
  <c r="F374" i="1"/>
  <c r="I373" i="1"/>
  <c r="I330" i="1"/>
  <c r="I318" i="1"/>
  <c r="C287" i="1"/>
  <c r="I287" i="1" s="1"/>
  <c r="I276" i="1"/>
  <c r="I244" i="1"/>
  <c r="D37" i="1"/>
  <c r="D38" i="1" s="1"/>
  <c r="D44" i="1" s="1"/>
  <c r="D50" i="1" s="1"/>
  <c r="D77" i="1" s="1"/>
  <c r="D83" i="1" s="1"/>
  <c r="D89" i="1" s="1"/>
  <c r="D116" i="1" s="1"/>
  <c r="C37" i="1"/>
  <c r="C38" i="1" s="1"/>
  <c r="I201" i="1"/>
  <c r="I62" i="1"/>
  <c r="I76" i="1"/>
  <c r="I115" i="1"/>
  <c r="E77" i="1"/>
  <c r="E83" i="1" s="1"/>
  <c r="E89" i="1" s="1"/>
  <c r="E116" i="1" s="1"/>
  <c r="I67" i="1"/>
  <c r="I11" i="1"/>
  <c r="I158" i="1"/>
  <c r="G38" i="1"/>
  <c r="G44" i="1" s="1"/>
  <c r="G50" i="1" s="1"/>
  <c r="G77" i="1" s="1"/>
  <c r="G83" i="1" s="1"/>
  <c r="G89" i="1" s="1"/>
  <c r="G116" i="1" s="1"/>
  <c r="F38" i="1"/>
  <c r="F44" i="1" s="1"/>
  <c r="F50" i="1" s="1"/>
  <c r="F77" i="1" s="1"/>
  <c r="F83" i="1" s="1"/>
  <c r="F89" i="1" s="1"/>
  <c r="F116" i="1" s="1"/>
  <c r="H38" i="1"/>
  <c r="I37" i="1" l="1"/>
  <c r="C44" i="1"/>
  <c r="I38" i="1"/>
  <c r="H44" i="1"/>
  <c r="F122" i="1"/>
  <c r="F132" i="1" s="1"/>
  <c r="F159" i="1" s="1"/>
  <c r="F165" i="1" s="1"/>
  <c r="F175" i="1" s="1"/>
  <c r="F202" i="1" s="1"/>
  <c r="F208" i="1" s="1"/>
  <c r="F218" i="1" s="1"/>
  <c r="F245" i="1" s="1"/>
  <c r="F251" i="1" s="1"/>
  <c r="F261" i="1" s="1"/>
  <c r="F288" i="1" s="1"/>
  <c r="F294" i="1" s="1"/>
  <c r="F304" i="1" s="1"/>
  <c r="F331" i="1" s="1"/>
  <c r="C50" i="1" l="1"/>
  <c r="I44" i="1"/>
  <c r="H50" i="1"/>
  <c r="G122" i="1"/>
  <c r="G132" i="1" s="1"/>
  <c r="G159" i="1" s="1"/>
  <c r="G165" i="1" s="1"/>
  <c r="G175" i="1" s="1"/>
  <c r="G202" i="1" s="1"/>
  <c r="G208" i="1" s="1"/>
  <c r="G218" i="1" s="1"/>
  <c r="G245" i="1" s="1"/>
  <c r="G251" i="1" s="1"/>
  <c r="G261" i="1" s="1"/>
  <c r="G288" i="1" s="1"/>
  <c r="G294" i="1" s="1"/>
  <c r="G304" i="1" s="1"/>
  <c r="G331" i="1" s="1"/>
  <c r="G337" i="1" s="1"/>
  <c r="G347" i="1" s="1"/>
  <c r="G374" i="1" s="1"/>
  <c r="E122" i="1"/>
  <c r="E132" i="1" s="1"/>
  <c r="E159" i="1" s="1"/>
  <c r="E165" i="1" s="1"/>
  <c r="E175" i="1" s="1"/>
  <c r="E202" i="1" s="1"/>
  <c r="E208" i="1" s="1"/>
  <c r="E218" i="1" s="1"/>
  <c r="E245" i="1" s="1"/>
  <c r="E251" i="1" s="1"/>
  <c r="E261" i="1" s="1"/>
  <c r="E288" i="1" s="1"/>
  <c r="E294" i="1" s="1"/>
  <c r="E304" i="1" s="1"/>
  <c r="E331" i="1" s="1"/>
  <c r="C77" i="1" l="1"/>
  <c r="I50" i="1"/>
  <c r="H77" i="1"/>
  <c r="D122" i="1"/>
  <c r="C83" i="1" l="1"/>
  <c r="I77" i="1"/>
  <c r="H83" i="1"/>
  <c r="D132" i="1"/>
  <c r="C89" i="1" l="1"/>
  <c r="I83" i="1"/>
  <c r="H89" i="1"/>
  <c r="D159" i="1"/>
  <c r="D165" i="1" s="1"/>
  <c r="D175" i="1" s="1"/>
  <c r="D202" i="1" s="1"/>
  <c r="D208" i="1" s="1"/>
  <c r="D218" i="1" l="1"/>
  <c r="C116" i="1"/>
  <c r="I89" i="1"/>
  <c r="H116" i="1"/>
  <c r="D245" i="1" l="1"/>
  <c r="D251" i="1" s="1"/>
  <c r="D261" i="1" s="1"/>
  <c r="D288" i="1" s="1"/>
  <c r="D294" i="1" s="1"/>
  <c r="D304" i="1" s="1"/>
  <c r="D331" i="1" s="1"/>
  <c r="D337" i="1" s="1"/>
  <c r="I116" i="1"/>
  <c r="C122" i="1"/>
  <c r="H122" i="1"/>
  <c r="H132" i="1" s="1"/>
  <c r="D347" i="1" l="1"/>
  <c r="C132" i="1"/>
  <c r="I122" i="1"/>
  <c r="H159" i="1"/>
  <c r="H165" i="1" s="1"/>
  <c r="D374" i="1" l="1"/>
  <c r="D380" i="1" s="1"/>
  <c r="H175" i="1"/>
  <c r="C159" i="1"/>
  <c r="I132" i="1"/>
  <c r="D390" i="1" l="1"/>
  <c r="I380" i="1"/>
  <c r="I159" i="1"/>
  <c r="C165" i="1"/>
  <c r="H202" i="1"/>
  <c r="H208" i="1" s="1"/>
  <c r="H218" i="1" s="1"/>
  <c r="H245" i="1" s="1"/>
  <c r="H251" i="1" s="1"/>
  <c r="H261" i="1" s="1"/>
  <c r="H288" i="1" s="1"/>
  <c r="H294" i="1" s="1"/>
  <c r="H304" i="1" s="1"/>
  <c r="H331" i="1" s="1"/>
  <c r="D417" i="1" l="1"/>
  <c r="I417" i="1" s="1"/>
  <c r="I390" i="1"/>
  <c r="C175" i="1"/>
  <c r="I165" i="1"/>
  <c r="C202" i="1" l="1"/>
  <c r="I175" i="1"/>
  <c r="I202" i="1" l="1"/>
  <c r="C208" i="1"/>
  <c r="C218" i="1" l="1"/>
  <c r="I208" i="1"/>
  <c r="C245" i="1" l="1"/>
  <c r="I218" i="1"/>
  <c r="I245" i="1" l="1"/>
  <c r="C251" i="1"/>
  <c r="C261" i="1" l="1"/>
  <c r="I251" i="1"/>
  <c r="I261" i="1" l="1"/>
  <c r="C288" i="1"/>
  <c r="C294" i="1" l="1"/>
  <c r="I288" i="1"/>
  <c r="C304" i="1" l="1"/>
  <c r="I294" i="1"/>
  <c r="C331" i="1" l="1"/>
  <c r="I304" i="1"/>
  <c r="I331" i="1" l="1"/>
  <c r="C337" i="1"/>
  <c r="C347" i="1" l="1"/>
  <c r="I337" i="1"/>
  <c r="C374" i="1" l="1"/>
  <c r="I374" i="1" s="1"/>
  <c r="I347" i="1"/>
</calcChain>
</file>

<file path=xl/sharedStrings.xml><?xml version="1.0" encoding="utf-8"?>
<sst xmlns="http://schemas.openxmlformats.org/spreadsheetml/2006/main" count="414" uniqueCount="19">
  <si>
    <t>計</t>
    <rPh sb="0" eb="1">
      <t>ケイ</t>
    </rPh>
    <phoneticPr fontId="1"/>
  </si>
  <si>
    <t>総数</t>
    <rPh sb="0" eb="2">
      <t>ソウスウ</t>
    </rPh>
    <phoneticPr fontId="1"/>
  </si>
  <si>
    <t>出荷数</t>
    <rPh sb="0" eb="2">
      <t>シュッカ</t>
    </rPh>
    <rPh sb="2" eb="3">
      <t>スウ</t>
    </rPh>
    <phoneticPr fontId="1"/>
  </si>
  <si>
    <t>残数</t>
    <rPh sb="0" eb="2">
      <t>ザンスウ</t>
    </rPh>
    <phoneticPr fontId="1"/>
  </si>
  <si>
    <t>追加</t>
    <rPh sb="0" eb="2">
      <t>ツイカ</t>
    </rPh>
    <phoneticPr fontId="1"/>
  </si>
  <si>
    <t>初回</t>
    <rPh sb="0" eb="2">
      <t>ショカイ</t>
    </rPh>
    <phoneticPr fontId="1"/>
  </si>
  <si>
    <t>シルクガーゼマスクネックウォーマー＜夢販在庫＞　NW1901</t>
    <rPh sb="18" eb="22">
      <t>ユメハンザイコ</t>
    </rPh>
    <phoneticPr fontId="1"/>
  </si>
  <si>
    <t>パープル</t>
    <phoneticPr fontId="1"/>
  </si>
  <si>
    <t>ピンク</t>
    <phoneticPr fontId="1"/>
  </si>
  <si>
    <t>ブラック</t>
    <phoneticPr fontId="1"/>
  </si>
  <si>
    <t>ブルー</t>
    <phoneticPr fontId="1"/>
  </si>
  <si>
    <t>オレンジ</t>
    <phoneticPr fontId="1"/>
  </si>
  <si>
    <t>グリーン</t>
    <phoneticPr fontId="1"/>
  </si>
  <si>
    <t>ネット</t>
    <phoneticPr fontId="1"/>
  </si>
  <si>
    <t>撮影用</t>
    <rPh sb="0" eb="3">
      <t>サツエイヨウ</t>
    </rPh>
    <phoneticPr fontId="1"/>
  </si>
  <si>
    <t>棚卸</t>
    <rPh sb="0" eb="2">
      <t>タナオロシ</t>
    </rPh>
    <phoneticPr fontId="1"/>
  </si>
  <si>
    <t>在庫確認</t>
    <rPh sb="0" eb="4">
      <t>ザイコカクニン</t>
    </rPh>
    <phoneticPr fontId="1"/>
  </si>
  <si>
    <t>8/</t>
    <phoneticPr fontId="1"/>
  </si>
  <si>
    <t>在庫確認</t>
    <rPh sb="0" eb="4">
      <t>ザイコカクニン</t>
    </rPh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</si>
</sst>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name val="ＭＳ Ｐゴシック"/>
      <family val="3"/>
      <charset val="128"/>
    </font>
    <font>
      <sz val="6"/>
      <name val="ＭＳ Ｐゴシック"/>
      <family val="3"/>
      <charset val="128"/>
    </font>
    <font>
      <b/>
      <sz val="16"/>
      <name val="ＭＳ Ｐゴシック"/>
      <family val="3"/>
      <charset val="128"/>
    </font>
    <font>
      <sz val="11"/>
      <name val="ＭＳ Ｐゴシック"/>
      <family val="3"/>
      <charset val="128"/>
    </font>
    <font>
      <sz val="11"/>
      <color rgb="FFFF0000"/>
      <name val="ＭＳ Ｐゴシック"/>
      <family val="3"/>
      <charset val="128"/>
    </font>
    <font>
      <b/>
      <sz val="11"/>
      <color rgb="FFFF0000"/>
      <name val="ＭＳ Ｐゴシック"/>
      <family val="3"/>
      <charset val="128"/>
    </font>
    <font>
      <sz val="11"/>
      <color theme="0"/>
      <name val="ＭＳ Ｐゴシック"/>
      <family val="3"/>
      <charset val="128"/>
    </font>
  </fonts>
  <fills count="9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9" tint="0.39997558519241921"/>
        <bgColor indexed="64"/>
      </patternFill>
    </fill>
  </fills>
  <borders count="24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70">
    <xf numFmtId="0" fontId="0" fillId="0" borderId="0" xfId="0"/>
    <xf numFmtId="0" fontId="0" fillId="0" borderId="0" xfId="0" applyAlignment="1">
      <alignment horizontal="center"/>
    </xf>
    <xf numFmtId="0" fontId="0" fillId="0" borderId="1" xfId="0" applyBorder="1" applyAlignment="1">
      <alignment horizontal="center"/>
    </xf>
    <xf numFmtId="56" fontId="3" fillId="0" borderId="0" xfId="0" applyNumberFormat="1" applyFont="1"/>
    <xf numFmtId="56" fontId="0" fillId="0" borderId="0" xfId="0" applyNumberFormat="1"/>
    <xf numFmtId="56" fontId="0" fillId="0" borderId="0" xfId="0" applyNumberFormat="1" applyAlignment="1">
      <alignment horizontal="right"/>
    </xf>
    <xf numFmtId="0" fontId="2" fillId="2" borderId="0" xfId="0" applyFont="1" applyFill="1"/>
    <xf numFmtId="0" fontId="0" fillId="2" borderId="0" xfId="0" applyFill="1"/>
    <xf numFmtId="0" fontId="0" fillId="0" borderId="6" xfId="0" applyBorder="1" applyAlignment="1">
      <alignment horizontal="center"/>
    </xf>
    <xf numFmtId="0" fontId="0" fillId="0" borderId="2" xfId="0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4" fillId="0" borderId="6" xfId="0" applyFont="1" applyBorder="1"/>
    <xf numFmtId="56" fontId="5" fillId="0" borderId="0" xfId="0" applyNumberFormat="1" applyFont="1"/>
    <xf numFmtId="0" fontId="0" fillId="0" borderId="4" xfId="0" applyBorder="1"/>
    <xf numFmtId="0" fontId="0" fillId="0" borderId="3" xfId="0" applyBorder="1"/>
    <xf numFmtId="0" fontId="0" fillId="0" borderId="9" xfId="0" applyBorder="1" applyAlignment="1">
      <alignment horizontal="center"/>
    </xf>
    <xf numFmtId="0" fontId="0" fillId="0" borderId="10" xfId="0" applyBorder="1" applyAlignment="1">
      <alignment horizontal="center"/>
    </xf>
    <xf numFmtId="0" fontId="4" fillId="0" borderId="11" xfId="0" applyFont="1" applyBorder="1" applyAlignment="1">
      <alignment horizontal="center"/>
    </xf>
    <xf numFmtId="56" fontId="0" fillId="0" borderId="9" xfId="0" applyNumberFormat="1" applyBorder="1" applyAlignment="1">
      <alignment horizontal="center"/>
    </xf>
    <xf numFmtId="0" fontId="0" fillId="0" borderId="11" xfId="0" applyBorder="1" applyAlignment="1">
      <alignment horizontal="center"/>
    </xf>
    <xf numFmtId="0" fontId="0" fillId="0" borderId="8" xfId="0" applyBorder="1"/>
    <xf numFmtId="0" fontId="3" fillId="0" borderId="8" xfId="0" applyFont="1" applyBorder="1"/>
    <xf numFmtId="56" fontId="4" fillId="0" borderId="12" xfId="0" applyNumberFormat="1" applyFont="1" applyBorder="1" applyAlignment="1">
      <alignment horizontal="center"/>
    </xf>
    <xf numFmtId="0" fontId="4" fillId="0" borderId="13" xfId="0" applyFont="1" applyBorder="1"/>
    <xf numFmtId="0" fontId="0" fillId="4" borderId="14" xfId="0" applyFill="1" applyBorder="1" applyAlignment="1">
      <alignment horizontal="center"/>
    </xf>
    <xf numFmtId="0" fontId="0" fillId="8" borderId="14" xfId="0" applyFill="1" applyBorder="1" applyAlignment="1">
      <alignment horizontal="center"/>
    </xf>
    <xf numFmtId="0" fontId="0" fillId="7" borderId="14" xfId="0" applyFill="1" applyBorder="1" applyAlignment="1">
      <alignment horizontal="center"/>
    </xf>
    <xf numFmtId="0" fontId="0" fillId="6" borderId="14" xfId="0" applyFill="1" applyBorder="1" applyAlignment="1">
      <alignment horizontal="center"/>
    </xf>
    <xf numFmtId="0" fontId="0" fillId="0" borderId="16" xfId="0" applyBorder="1"/>
    <xf numFmtId="56" fontId="0" fillId="0" borderId="12" xfId="0" applyNumberFormat="1" applyBorder="1" applyAlignment="1">
      <alignment horizontal="center"/>
    </xf>
    <xf numFmtId="0" fontId="0" fillId="0" borderId="13" xfId="0" applyBorder="1"/>
    <xf numFmtId="0" fontId="4" fillId="0" borderId="14" xfId="0" applyFont="1" applyBorder="1"/>
    <xf numFmtId="0" fontId="0" fillId="0" borderId="15" xfId="0" applyBorder="1"/>
    <xf numFmtId="56" fontId="0" fillId="0" borderId="10" xfId="0" applyNumberFormat="1" applyBorder="1" applyAlignment="1">
      <alignment horizontal="center"/>
    </xf>
    <xf numFmtId="0" fontId="0" fillId="0" borderId="14" xfId="0" applyBorder="1"/>
    <xf numFmtId="0" fontId="4" fillId="0" borderId="15" xfId="0" applyFont="1" applyBorder="1"/>
    <xf numFmtId="0" fontId="6" fillId="5" borderId="17" xfId="0" applyFont="1" applyFill="1" applyBorder="1" applyAlignment="1">
      <alignment horizontal="center"/>
    </xf>
    <xf numFmtId="0" fontId="0" fillId="3" borderId="15" xfId="0" applyFill="1" applyBorder="1" applyAlignment="1">
      <alignment horizontal="center"/>
    </xf>
    <xf numFmtId="0" fontId="4" fillId="0" borderId="18" xfId="0" applyFont="1" applyBorder="1"/>
    <xf numFmtId="0" fontId="4" fillId="0" borderId="19" xfId="0" applyFont="1" applyBorder="1"/>
    <xf numFmtId="0" fontId="0" fillId="0" borderId="20" xfId="0" applyBorder="1"/>
    <xf numFmtId="0" fontId="0" fillId="0" borderId="21" xfId="0" applyBorder="1"/>
    <xf numFmtId="0" fontId="0" fillId="0" borderId="22" xfId="0" applyBorder="1"/>
    <xf numFmtId="0" fontId="0" fillId="0" borderId="23" xfId="0" applyBorder="1"/>
    <xf numFmtId="0" fontId="4" fillId="0" borderId="17" xfId="0" applyFont="1" applyBorder="1"/>
    <xf numFmtId="0" fontId="0" fillId="0" borderId="18" xfId="0" applyBorder="1"/>
    <xf numFmtId="0" fontId="0" fillId="0" borderId="19" xfId="0" applyBorder="1"/>
    <xf numFmtId="0" fontId="3" fillId="0" borderId="20" xfId="0" applyFont="1" applyBorder="1"/>
    <xf numFmtId="0" fontId="3" fillId="0" borderId="21" xfId="0" applyFont="1" applyBorder="1"/>
    <xf numFmtId="0" fontId="0" fillId="0" borderId="17" xfId="0" applyBorder="1"/>
    <xf numFmtId="0" fontId="4" fillId="0" borderId="7" xfId="0" applyFont="1" applyBorder="1"/>
    <xf numFmtId="0" fontId="4" fillId="0" borderId="10" xfId="0" applyFont="1" applyBorder="1" applyAlignment="1">
      <alignment horizontal="center"/>
    </xf>
    <xf numFmtId="0" fontId="4" fillId="0" borderId="22" xfId="0" applyFont="1" applyBorder="1"/>
    <xf numFmtId="0" fontId="4" fillId="0" borderId="16" xfId="0" applyFont="1" applyBorder="1"/>
    <xf numFmtId="0" fontId="4" fillId="0" borderId="23" xfId="0" applyFont="1" applyBorder="1"/>
    <xf numFmtId="0" fontId="4" fillId="0" borderId="5" xfId="0" applyFont="1" applyBorder="1"/>
    <xf numFmtId="56" fontId="4" fillId="0" borderId="0" xfId="0" applyNumberFormat="1" applyFont="1"/>
    <xf numFmtId="0" fontId="4" fillId="0" borderId="20" xfId="0" applyFont="1" applyBorder="1"/>
    <xf numFmtId="0" fontId="4" fillId="0" borderId="8" xfId="0" applyFont="1" applyBorder="1"/>
    <xf numFmtId="0" fontId="4" fillId="0" borderId="21" xfId="0" applyFont="1" applyBorder="1"/>
    <xf numFmtId="0" fontId="4" fillId="0" borderId="2" xfId="0" applyFont="1" applyBorder="1"/>
    <xf numFmtId="0" fontId="4" fillId="0" borderId="0" xfId="0" applyFont="1"/>
    <xf numFmtId="0" fontId="0" fillId="0" borderId="10" xfId="0" applyFont="1" applyBorder="1" applyAlignment="1">
      <alignment horizontal="center"/>
    </xf>
    <xf numFmtId="0" fontId="0" fillId="0" borderId="22" xfId="0" applyFont="1" applyBorder="1"/>
    <xf numFmtId="0" fontId="0" fillId="0" borderId="16" xfId="0" applyFont="1" applyBorder="1"/>
    <xf numFmtId="0" fontId="0" fillId="0" borderId="23" xfId="0" applyFont="1" applyBorder="1"/>
    <xf numFmtId="0" fontId="0" fillId="0" borderId="5" xfId="0" applyFont="1" applyBorder="1"/>
    <xf numFmtId="56" fontId="0" fillId="0" borderId="0" xfId="0" applyNumberFormat="1" applyFont="1"/>
  </cellXfs>
  <cellStyles count="1">
    <cellStyle name="標準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417"/>
  <sheetViews>
    <sheetView tabSelected="1" topLeftCell="A376" zoomScale="90" zoomScaleNormal="90" workbookViewId="0">
      <selection activeCell="K407" sqref="K407"/>
    </sheetView>
  </sheetViews>
  <sheetFormatPr defaultRowHeight="13.5" x14ac:dyDescent="0.15"/>
  <cols>
    <col min="2" max="2" width="22.75" style="1" customWidth="1"/>
    <col min="3" max="8" width="11.75" customWidth="1"/>
    <col min="9" max="9" width="11.375" customWidth="1"/>
    <col min="10" max="10" width="9.25" bestFit="1" customWidth="1"/>
  </cols>
  <sheetData>
    <row r="1" spans="2:10" ht="18.75" x14ac:dyDescent="0.2">
      <c r="B1" s="6" t="s">
        <v>6</v>
      </c>
      <c r="C1" s="7"/>
      <c r="D1" s="7"/>
      <c r="E1" s="7"/>
      <c r="F1" s="7"/>
      <c r="G1" s="7"/>
      <c r="H1" s="7"/>
      <c r="I1" s="7"/>
      <c r="J1" s="7"/>
    </row>
    <row r="2" spans="2:10" ht="14.25" thickBot="1" x14ac:dyDescent="0.2"/>
    <row r="3" spans="2:10" ht="14.25" thickBot="1" x14ac:dyDescent="0.2">
      <c r="B3" s="2"/>
      <c r="C3" s="15"/>
      <c r="D3" s="15"/>
      <c r="E3" s="15"/>
      <c r="F3" s="15"/>
      <c r="G3" s="15"/>
      <c r="H3" s="15"/>
      <c r="I3" s="16"/>
    </row>
    <row r="4" spans="2:10" s="1" customFormat="1" ht="14.25" thickBot="1" x14ac:dyDescent="0.2">
      <c r="B4" s="21"/>
      <c r="C4" s="38" t="s">
        <v>9</v>
      </c>
      <c r="D4" s="26" t="s">
        <v>8</v>
      </c>
      <c r="E4" s="27" t="s">
        <v>11</v>
      </c>
      <c r="F4" s="28" t="s">
        <v>12</v>
      </c>
      <c r="G4" s="29" t="s">
        <v>10</v>
      </c>
      <c r="H4" s="39" t="s">
        <v>7</v>
      </c>
      <c r="I4" s="8" t="s">
        <v>0</v>
      </c>
    </row>
    <row r="5" spans="2:10" ht="14.25" customHeight="1" x14ac:dyDescent="0.15">
      <c r="B5" s="24" t="s">
        <v>5</v>
      </c>
      <c r="C5" s="40">
        <v>2</v>
      </c>
      <c r="D5" s="25">
        <v>8</v>
      </c>
      <c r="E5" s="25">
        <v>1</v>
      </c>
      <c r="F5" s="25">
        <v>2</v>
      </c>
      <c r="G5" s="25">
        <v>1</v>
      </c>
      <c r="H5" s="41">
        <v>1</v>
      </c>
      <c r="I5" s="52">
        <f>SUM(C5:H5)</f>
        <v>15</v>
      </c>
      <c r="J5" s="4">
        <v>44277</v>
      </c>
    </row>
    <row r="6" spans="2:10" x14ac:dyDescent="0.15">
      <c r="B6" s="17" t="s">
        <v>14</v>
      </c>
      <c r="C6" s="42">
        <v>1</v>
      </c>
      <c r="D6" s="22">
        <v>1</v>
      </c>
      <c r="E6" s="22">
        <v>1</v>
      </c>
      <c r="F6" s="22">
        <v>1</v>
      </c>
      <c r="G6" s="22">
        <v>1</v>
      </c>
      <c r="H6" s="43">
        <v>1</v>
      </c>
      <c r="I6" s="9">
        <f t="shared" ref="I6:I38" si="0">SUM(C6:H6)</f>
        <v>6</v>
      </c>
      <c r="J6" s="4"/>
    </row>
    <row r="7" spans="2:10" x14ac:dyDescent="0.15">
      <c r="B7" s="17" t="s">
        <v>4</v>
      </c>
      <c r="C7" s="42">
        <v>2</v>
      </c>
      <c r="D7" s="22"/>
      <c r="E7" s="22"/>
      <c r="F7" s="22"/>
      <c r="G7" s="22"/>
      <c r="H7" s="43"/>
      <c r="I7" s="9">
        <f t="shared" si="0"/>
        <v>2</v>
      </c>
      <c r="J7" s="4">
        <v>44329</v>
      </c>
    </row>
    <row r="8" spans="2:10" x14ac:dyDescent="0.15">
      <c r="B8" s="17" t="s">
        <v>4</v>
      </c>
      <c r="C8" s="42"/>
      <c r="D8" s="22">
        <v>2</v>
      </c>
      <c r="E8" s="22"/>
      <c r="F8" s="22"/>
      <c r="G8" s="22"/>
      <c r="H8" s="43"/>
      <c r="I8" s="9">
        <f t="shared" si="0"/>
        <v>2</v>
      </c>
      <c r="J8" s="4">
        <v>44351</v>
      </c>
    </row>
    <row r="9" spans="2:10" x14ac:dyDescent="0.15">
      <c r="B9" s="17" t="s">
        <v>4</v>
      </c>
      <c r="C9" s="42">
        <v>3</v>
      </c>
      <c r="D9" s="22"/>
      <c r="E9" s="22"/>
      <c r="F9" s="22"/>
      <c r="G9" s="22"/>
      <c r="H9" s="43"/>
      <c r="I9" s="9">
        <f t="shared" si="0"/>
        <v>3</v>
      </c>
      <c r="J9" s="4">
        <v>44358</v>
      </c>
    </row>
    <row r="10" spans="2:10" ht="14.25" thickBot="1" x14ac:dyDescent="0.2">
      <c r="B10" s="18" t="s">
        <v>4</v>
      </c>
      <c r="C10" s="44">
        <v>2</v>
      </c>
      <c r="D10" s="30"/>
      <c r="E10" s="30"/>
      <c r="F10" s="30"/>
      <c r="G10" s="30"/>
      <c r="H10" s="45"/>
      <c r="I10" s="10">
        <f t="shared" si="0"/>
        <v>2</v>
      </c>
      <c r="J10" s="4">
        <v>44377</v>
      </c>
    </row>
    <row r="11" spans="2:10" ht="14.25" thickBot="1" x14ac:dyDescent="0.2">
      <c r="B11" s="19" t="s">
        <v>1</v>
      </c>
      <c r="C11" s="46">
        <f>SUM(C5:C10)</f>
        <v>10</v>
      </c>
      <c r="D11" s="33">
        <f>SUM(D5:D10)</f>
        <v>11</v>
      </c>
      <c r="E11" s="33">
        <f>SUM(E5:E10)</f>
        <v>2</v>
      </c>
      <c r="F11" s="33">
        <f>SUM(F5:F10)</f>
        <v>3</v>
      </c>
      <c r="G11" s="33">
        <f>SUM(G5:G10)</f>
        <v>2</v>
      </c>
      <c r="H11" s="37">
        <f t="shared" ref="H11" si="1">SUM(H5:H10)</f>
        <v>2</v>
      </c>
      <c r="I11" s="11">
        <f t="shared" si="0"/>
        <v>30</v>
      </c>
    </row>
    <row r="12" spans="2:10" x14ac:dyDescent="0.15">
      <c r="B12" s="31" t="s">
        <v>13</v>
      </c>
      <c r="C12" s="47"/>
      <c r="D12" s="32">
        <f>1+1</f>
        <v>2</v>
      </c>
      <c r="E12" s="32"/>
      <c r="F12" s="32"/>
      <c r="G12" s="32"/>
      <c r="H12" s="48"/>
      <c r="I12" s="12">
        <f t="shared" si="0"/>
        <v>2</v>
      </c>
      <c r="J12" s="4">
        <v>44302</v>
      </c>
    </row>
    <row r="13" spans="2:10" x14ac:dyDescent="0.15">
      <c r="B13" s="20" t="s">
        <v>13</v>
      </c>
      <c r="C13" s="42"/>
      <c r="D13" s="22">
        <v>1</v>
      </c>
      <c r="E13" s="22"/>
      <c r="F13" s="22"/>
      <c r="G13" s="22"/>
      <c r="H13" s="43"/>
      <c r="I13" s="9">
        <f t="shared" si="0"/>
        <v>1</v>
      </c>
      <c r="J13" s="4">
        <v>44303</v>
      </c>
    </row>
    <row r="14" spans="2:10" x14ac:dyDescent="0.15">
      <c r="B14" s="20" t="s">
        <v>13</v>
      </c>
      <c r="C14" s="42">
        <v>1</v>
      </c>
      <c r="D14" s="22"/>
      <c r="E14" s="22"/>
      <c r="F14" s="22"/>
      <c r="G14" s="22"/>
      <c r="H14" s="43"/>
      <c r="I14" s="9">
        <f t="shared" si="0"/>
        <v>1</v>
      </c>
      <c r="J14" s="4">
        <v>44326</v>
      </c>
    </row>
    <row r="15" spans="2:10" x14ac:dyDescent="0.15">
      <c r="B15" s="20" t="s">
        <v>13</v>
      </c>
      <c r="C15" s="49">
        <v>1</v>
      </c>
      <c r="D15" s="23"/>
      <c r="E15" s="23"/>
      <c r="F15" s="23"/>
      <c r="G15" s="23"/>
      <c r="H15" s="50"/>
      <c r="I15" s="9">
        <f t="shared" si="0"/>
        <v>1</v>
      </c>
      <c r="J15" s="4">
        <v>44327</v>
      </c>
    </row>
    <row r="16" spans="2:10" x14ac:dyDescent="0.15">
      <c r="B16" s="20" t="s">
        <v>13</v>
      </c>
      <c r="C16" s="49"/>
      <c r="D16" s="23">
        <v>1</v>
      </c>
      <c r="E16" s="23"/>
      <c r="F16" s="23"/>
      <c r="G16" s="23"/>
      <c r="H16" s="50"/>
      <c r="I16" s="9">
        <f t="shared" si="0"/>
        <v>1</v>
      </c>
      <c r="J16" s="4">
        <v>44328</v>
      </c>
    </row>
    <row r="17" spans="2:10" x14ac:dyDescent="0.15">
      <c r="B17" s="20" t="s">
        <v>13</v>
      </c>
      <c r="C17" s="42"/>
      <c r="D17" s="22">
        <v>1</v>
      </c>
      <c r="E17" s="22"/>
      <c r="F17" s="22"/>
      <c r="G17" s="22">
        <v>1</v>
      </c>
      <c r="H17" s="43">
        <v>1</v>
      </c>
      <c r="I17" s="9">
        <f t="shared" si="0"/>
        <v>3</v>
      </c>
      <c r="J17" s="4">
        <v>44330</v>
      </c>
    </row>
    <row r="18" spans="2:10" x14ac:dyDescent="0.15">
      <c r="B18" s="20" t="s">
        <v>13</v>
      </c>
      <c r="C18" s="42"/>
      <c r="D18" s="22">
        <v>1</v>
      </c>
      <c r="E18" s="22"/>
      <c r="F18" s="22"/>
      <c r="G18" s="22"/>
      <c r="H18" s="43"/>
      <c r="I18" s="9">
        <f t="shared" si="0"/>
        <v>1</v>
      </c>
      <c r="J18" s="4">
        <v>44341</v>
      </c>
    </row>
    <row r="19" spans="2:10" x14ac:dyDescent="0.15">
      <c r="B19" s="20" t="s">
        <v>13</v>
      </c>
      <c r="C19" s="49"/>
      <c r="D19" s="23"/>
      <c r="E19" s="23"/>
      <c r="F19" s="23">
        <v>1</v>
      </c>
      <c r="G19" s="23"/>
      <c r="H19" s="50"/>
      <c r="I19" s="9">
        <f t="shared" si="0"/>
        <v>1</v>
      </c>
      <c r="J19" s="4">
        <v>44342</v>
      </c>
    </row>
    <row r="20" spans="2:10" x14ac:dyDescent="0.15">
      <c r="B20" s="20" t="s">
        <v>13</v>
      </c>
      <c r="C20" s="49">
        <v>1</v>
      </c>
      <c r="D20" s="23"/>
      <c r="E20" s="23"/>
      <c r="F20" s="23"/>
      <c r="G20" s="23"/>
      <c r="H20" s="50"/>
      <c r="I20" s="9">
        <f t="shared" si="0"/>
        <v>1</v>
      </c>
      <c r="J20" s="4">
        <v>44354</v>
      </c>
    </row>
    <row r="21" spans="2:10" x14ac:dyDescent="0.15">
      <c r="B21" s="20" t="s">
        <v>13</v>
      </c>
      <c r="C21" s="42">
        <v>1</v>
      </c>
      <c r="D21" s="22"/>
      <c r="E21" s="22"/>
      <c r="F21" s="22"/>
      <c r="G21" s="22"/>
      <c r="H21" s="43"/>
      <c r="I21" s="9">
        <f t="shared" si="0"/>
        <v>1</v>
      </c>
      <c r="J21" s="4">
        <v>44357</v>
      </c>
    </row>
    <row r="22" spans="2:10" x14ac:dyDescent="0.15">
      <c r="B22" s="20" t="s">
        <v>13</v>
      </c>
      <c r="C22" s="49">
        <f>1+1</f>
        <v>2</v>
      </c>
      <c r="D22" s="23"/>
      <c r="E22" s="23"/>
      <c r="F22" s="23"/>
      <c r="G22" s="23"/>
      <c r="H22" s="50"/>
      <c r="I22" s="9">
        <f t="shared" si="0"/>
        <v>2</v>
      </c>
      <c r="J22" s="4">
        <v>44358</v>
      </c>
    </row>
    <row r="23" spans="2:10" x14ac:dyDescent="0.15">
      <c r="B23" s="20" t="s">
        <v>13</v>
      </c>
      <c r="C23" s="49"/>
      <c r="D23" s="23">
        <v>1</v>
      </c>
      <c r="E23" s="23"/>
      <c r="F23" s="23"/>
      <c r="G23" s="23"/>
      <c r="H23" s="50"/>
      <c r="I23" s="9">
        <f t="shared" si="0"/>
        <v>1</v>
      </c>
      <c r="J23" s="3">
        <v>44368</v>
      </c>
    </row>
    <row r="24" spans="2:10" x14ac:dyDescent="0.15">
      <c r="B24" s="20" t="s">
        <v>13</v>
      </c>
      <c r="C24" s="42"/>
      <c r="D24" s="22">
        <v>1</v>
      </c>
      <c r="E24" s="22"/>
      <c r="F24" s="22"/>
      <c r="G24" s="22"/>
      <c r="H24" s="43"/>
      <c r="I24" s="9">
        <f t="shared" si="0"/>
        <v>1</v>
      </c>
      <c r="J24" s="4">
        <v>44375</v>
      </c>
    </row>
    <row r="25" spans="2:10" x14ac:dyDescent="0.15">
      <c r="B25" s="20" t="s">
        <v>13</v>
      </c>
      <c r="C25" s="49"/>
      <c r="D25" s="23">
        <v>1</v>
      </c>
      <c r="E25" s="23"/>
      <c r="F25" s="23"/>
      <c r="G25" s="23"/>
      <c r="H25" s="50"/>
      <c r="I25" s="9">
        <f t="shared" si="0"/>
        <v>1</v>
      </c>
      <c r="J25" s="3">
        <v>44389</v>
      </c>
    </row>
    <row r="26" spans="2:10" x14ac:dyDescent="0.15">
      <c r="B26" s="20" t="s">
        <v>13</v>
      </c>
      <c r="C26" s="49">
        <v>1</v>
      </c>
      <c r="D26" s="23"/>
      <c r="E26" s="23"/>
      <c r="F26" s="23"/>
      <c r="G26" s="23"/>
      <c r="H26" s="50"/>
      <c r="I26" s="9">
        <f t="shared" si="0"/>
        <v>1</v>
      </c>
      <c r="J26" s="3">
        <v>44397</v>
      </c>
    </row>
    <row r="27" spans="2:10" x14ac:dyDescent="0.15">
      <c r="B27" s="20" t="s">
        <v>13</v>
      </c>
      <c r="C27" s="49"/>
      <c r="D27" s="23">
        <v>1</v>
      </c>
      <c r="E27" s="23"/>
      <c r="F27" s="23"/>
      <c r="G27" s="23"/>
      <c r="H27" s="50"/>
      <c r="I27" s="9">
        <f t="shared" si="0"/>
        <v>1</v>
      </c>
      <c r="J27" s="3">
        <v>44480</v>
      </c>
    </row>
    <row r="28" spans="2:10" x14ac:dyDescent="0.15">
      <c r="B28" s="20" t="s">
        <v>13</v>
      </c>
      <c r="C28" s="49"/>
      <c r="D28" s="23">
        <v>1</v>
      </c>
      <c r="E28" s="23"/>
      <c r="F28" s="23"/>
      <c r="G28" s="23"/>
      <c r="H28" s="50"/>
      <c r="I28" s="9">
        <f t="shared" si="0"/>
        <v>1</v>
      </c>
      <c r="J28" s="3">
        <v>44489</v>
      </c>
    </row>
    <row r="29" spans="2:10" x14ac:dyDescent="0.15">
      <c r="B29" s="20"/>
      <c r="C29" s="49"/>
      <c r="D29" s="23"/>
      <c r="E29" s="23"/>
      <c r="F29" s="23"/>
      <c r="G29" s="23"/>
      <c r="H29" s="50"/>
      <c r="I29" s="9">
        <f t="shared" si="0"/>
        <v>0</v>
      </c>
      <c r="J29" s="3"/>
    </row>
    <row r="30" spans="2:10" x14ac:dyDescent="0.15">
      <c r="B30" s="20"/>
      <c r="C30" s="49"/>
      <c r="D30" s="23"/>
      <c r="E30" s="23"/>
      <c r="F30" s="23"/>
      <c r="G30" s="23"/>
      <c r="H30" s="50"/>
      <c r="I30" s="9">
        <f t="shared" si="0"/>
        <v>0</v>
      </c>
      <c r="J30" s="3"/>
    </row>
    <row r="31" spans="2:10" x14ac:dyDescent="0.15">
      <c r="B31" s="20"/>
      <c r="C31" s="42"/>
      <c r="D31" s="22"/>
      <c r="E31" s="22"/>
      <c r="F31" s="22"/>
      <c r="G31" s="22"/>
      <c r="H31" s="43"/>
      <c r="I31" s="9">
        <f t="shared" si="0"/>
        <v>0</v>
      </c>
      <c r="J31" s="5"/>
    </row>
    <row r="32" spans="2:10" x14ac:dyDescent="0.15">
      <c r="B32" s="20"/>
      <c r="C32" s="42"/>
      <c r="D32" s="22"/>
      <c r="E32" s="22"/>
      <c r="F32" s="22"/>
      <c r="G32" s="22"/>
      <c r="H32" s="43"/>
      <c r="I32" s="9">
        <f t="shared" si="0"/>
        <v>0</v>
      </c>
      <c r="J32" s="5"/>
    </row>
    <row r="33" spans="1:10" x14ac:dyDescent="0.15">
      <c r="B33" s="20"/>
      <c r="C33" s="42"/>
      <c r="D33" s="22"/>
      <c r="E33" s="22"/>
      <c r="F33" s="22"/>
      <c r="G33" s="22"/>
      <c r="H33" s="43"/>
      <c r="I33" s="9">
        <f t="shared" si="0"/>
        <v>0</v>
      </c>
      <c r="J33" s="5"/>
    </row>
    <row r="34" spans="1:10" x14ac:dyDescent="0.15">
      <c r="B34" s="20"/>
      <c r="C34" s="42"/>
      <c r="D34" s="22"/>
      <c r="E34" s="22"/>
      <c r="F34" s="22"/>
      <c r="G34" s="22"/>
      <c r="H34" s="43"/>
      <c r="I34" s="9">
        <f t="shared" si="0"/>
        <v>0</v>
      </c>
      <c r="J34" s="5"/>
    </row>
    <row r="35" spans="1:10" x14ac:dyDescent="0.15">
      <c r="B35" s="20"/>
      <c r="C35" s="42"/>
      <c r="D35" s="22"/>
      <c r="E35" s="22"/>
      <c r="F35" s="22"/>
      <c r="G35" s="22"/>
      <c r="H35" s="43"/>
      <c r="I35" s="9">
        <f t="shared" si="0"/>
        <v>0</v>
      </c>
      <c r="J35" s="5"/>
    </row>
    <row r="36" spans="1:10" ht="14.25" thickBot="1" x14ac:dyDescent="0.2">
      <c r="B36" s="35"/>
      <c r="C36" s="44"/>
      <c r="D36" s="30"/>
      <c r="E36" s="30"/>
      <c r="F36" s="30"/>
      <c r="G36" s="30"/>
      <c r="H36" s="45"/>
      <c r="I36" s="10">
        <f t="shared" si="0"/>
        <v>0</v>
      </c>
      <c r="J36" s="5"/>
    </row>
    <row r="37" spans="1:10" ht="14.25" thickBot="1" x14ac:dyDescent="0.2">
      <c r="B37" s="21" t="s">
        <v>2</v>
      </c>
      <c r="C37" s="51">
        <f>SUM(C12:C36)</f>
        <v>7</v>
      </c>
      <c r="D37" s="36">
        <f>SUM(D12:D36)</f>
        <v>11</v>
      </c>
      <c r="E37" s="36">
        <f>SUM(E12:E36)</f>
        <v>0</v>
      </c>
      <c r="F37" s="36">
        <f>SUM(F12:F36)</f>
        <v>1</v>
      </c>
      <c r="G37" s="36">
        <f>SUM(G12:G36)</f>
        <v>1</v>
      </c>
      <c r="H37" s="34">
        <f t="shared" ref="H37" si="2">SUM(H12:H36)</f>
        <v>1</v>
      </c>
      <c r="I37" s="11">
        <f t="shared" si="0"/>
        <v>21</v>
      </c>
    </row>
    <row r="38" spans="1:10" ht="14.25" thickBot="1" x14ac:dyDescent="0.2">
      <c r="B38" s="19" t="s">
        <v>3</v>
      </c>
      <c r="C38" s="46">
        <f>+C11-C37</f>
        <v>3</v>
      </c>
      <c r="D38" s="33">
        <f>+D11-D37</f>
        <v>0</v>
      </c>
      <c r="E38" s="33">
        <f>+E11-E37</f>
        <v>2</v>
      </c>
      <c r="F38" s="33">
        <f>+F11-F37</f>
        <v>2</v>
      </c>
      <c r="G38" s="33">
        <f>+G11-G37</f>
        <v>1</v>
      </c>
      <c r="H38" s="37">
        <f t="shared" ref="H38" si="3">+H11-H37</f>
        <v>1</v>
      </c>
      <c r="I38" s="13">
        <f t="shared" si="0"/>
        <v>9</v>
      </c>
    </row>
    <row r="40" spans="1:10" ht="18.75" x14ac:dyDescent="0.2">
      <c r="B40" s="6" t="s">
        <v>6</v>
      </c>
      <c r="C40" s="7"/>
      <c r="D40" s="7"/>
      <c r="E40" s="7"/>
      <c r="F40" s="7"/>
      <c r="G40" s="7"/>
      <c r="H40" s="7"/>
      <c r="I40" s="7"/>
    </row>
    <row r="41" spans="1:10" ht="14.25" thickBot="1" x14ac:dyDescent="0.2"/>
    <row r="42" spans="1:10" ht="14.25" thickBot="1" x14ac:dyDescent="0.2">
      <c r="B42" s="2"/>
      <c r="C42" s="15"/>
      <c r="D42" s="15"/>
      <c r="E42" s="15"/>
      <c r="F42" s="15"/>
      <c r="G42" s="15"/>
      <c r="H42" s="15"/>
      <c r="I42" s="16"/>
    </row>
    <row r="43" spans="1:10" ht="14.25" thickBot="1" x14ac:dyDescent="0.2">
      <c r="A43" s="1"/>
      <c r="B43" s="21"/>
      <c r="C43" s="38" t="s">
        <v>9</v>
      </c>
      <c r="D43" s="26" t="s">
        <v>8</v>
      </c>
      <c r="E43" s="27" t="s">
        <v>11</v>
      </c>
      <c r="F43" s="28" t="s">
        <v>12</v>
      </c>
      <c r="G43" s="29" t="s">
        <v>10</v>
      </c>
      <c r="H43" s="39" t="s">
        <v>7</v>
      </c>
      <c r="I43" s="8" t="s">
        <v>0</v>
      </c>
    </row>
    <row r="44" spans="1:10" x14ac:dyDescent="0.15">
      <c r="B44" s="24" t="s">
        <v>3</v>
      </c>
      <c r="C44" s="40">
        <f>C38</f>
        <v>3</v>
      </c>
      <c r="D44" s="25">
        <f>D38</f>
        <v>0</v>
      </c>
      <c r="E44" s="25">
        <f>E38</f>
        <v>2</v>
      </c>
      <c r="F44" s="25">
        <f>F38</f>
        <v>2</v>
      </c>
      <c r="G44" s="25">
        <f>G38</f>
        <v>1</v>
      </c>
      <c r="H44" s="41">
        <f t="shared" ref="H44" si="4">H38</f>
        <v>1</v>
      </c>
      <c r="I44" s="52">
        <f>SUM(C44:H44)</f>
        <v>9</v>
      </c>
    </row>
    <row r="45" spans="1:10" x14ac:dyDescent="0.15">
      <c r="B45" s="17" t="s">
        <v>4</v>
      </c>
      <c r="C45" s="42"/>
      <c r="D45" s="22">
        <v>5</v>
      </c>
      <c r="E45" s="22"/>
      <c r="F45" s="22"/>
      <c r="G45" s="22"/>
      <c r="H45" s="43"/>
      <c r="I45" s="9">
        <f t="shared" ref="I45:I77" si="5">SUM(C45:H45)</f>
        <v>5</v>
      </c>
      <c r="J45" s="4">
        <v>44391</v>
      </c>
    </row>
    <row r="46" spans="1:10" x14ac:dyDescent="0.15">
      <c r="B46" s="17" t="s">
        <v>4</v>
      </c>
      <c r="C46" s="42">
        <v>5</v>
      </c>
      <c r="D46" s="22">
        <v>5</v>
      </c>
      <c r="E46" s="22"/>
      <c r="F46" s="22"/>
      <c r="G46" s="22"/>
      <c r="H46" s="43"/>
      <c r="I46" s="9">
        <f t="shared" si="5"/>
        <v>10</v>
      </c>
      <c r="J46" s="4">
        <v>44588</v>
      </c>
    </row>
    <row r="47" spans="1:10" x14ac:dyDescent="0.15">
      <c r="B47" s="17" t="s">
        <v>4</v>
      </c>
      <c r="C47" s="42"/>
      <c r="D47" s="22">
        <v>5</v>
      </c>
      <c r="E47" s="22"/>
      <c r="F47" s="22"/>
      <c r="G47" s="22"/>
      <c r="H47" s="43"/>
      <c r="I47" s="9">
        <f t="shared" si="5"/>
        <v>5</v>
      </c>
      <c r="J47" s="4">
        <v>44600</v>
      </c>
    </row>
    <row r="48" spans="1:10" x14ac:dyDescent="0.15">
      <c r="B48" s="17" t="s">
        <v>4</v>
      </c>
      <c r="C48" s="42"/>
      <c r="D48" s="22">
        <v>5</v>
      </c>
      <c r="E48" s="22"/>
      <c r="F48" s="22"/>
      <c r="G48" s="22"/>
      <c r="H48" s="43"/>
      <c r="I48" s="9">
        <f t="shared" si="5"/>
        <v>5</v>
      </c>
      <c r="J48" s="4">
        <v>44630</v>
      </c>
    </row>
    <row r="49" spans="2:10" ht="14.25" thickBot="1" x14ac:dyDescent="0.2">
      <c r="B49" s="18" t="s">
        <v>4</v>
      </c>
      <c r="C49" s="44"/>
      <c r="D49" s="30"/>
      <c r="E49" s="30">
        <v>2</v>
      </c>
      <c r="F49" s="30">
        <v>2</v>
      </c>
      <c r="G49" s="30"/>
      <c r="H49" s="45"/>
      <c r="I49" s="10">
        <f t="shared" si="5"/>
        <v>4</v>
      </c>
      <c r="J49" s="4">
        <v>44767</v>
      </c>
    </row>
    <row r="50" spans="2:10" ht="14.25" thickBot="1" x14ac:dyDescent="0.2">
      <c r="B50" s="19" t="s">
        <v>1</v>
      </c>
      <c r="C50" s="46">
        <f>SUM(C44:C49)</f>
        <v>8</v>
      </c>
      <c r="D50" s="33">
        <f>SUM(D44:D49)</f>
        <v>20</v>
      </c>
      <c r="E50" s="33">
        <f>SUM(E44:E49)</f>
        <v>4</v>
      </c>
      <c r="F50" s="33">
        <f>SUM(F44:F49)</f>
        <v>4</v>
      </c>
      <c r="G50" s="33">
        <f>SUM(G44:G49)</f>
        <v>1</v>
      </c>
      <c r="H50" s="37">
        <f t="shared" ref="H50" si="6">SUM(H44:H49)</f>
        <v>1</v>
      </c>
      <c r="I50" s="11">
        <f t="shared" si="5"/>
        <v>38</v>
      </c>
    </row>
    <row r="51" spans="2:10" x14ac:dyDescent="0.15">
      <c r="B51" s="31" t="s">
        <v>13</v>
      </c>
      <c r="C51" s="47"/>
      <c r="D51" s="32">
        <v>1</v>
      </c>
      <c r="E51" s="32"/>
      <c r="F51" s="32"/>
      <c r="G51" s="32"/>
      <c r="H51" s="48"/>
      <c r="I51" s="12">
        <f t="shared" si="5"/>
        <v>1</v>
      </c>
      <c r="J51" s="4">
        <v>44536</v>
      </c>
    </row>
    <row r="52" spans="2:10" x14ac:dyDescent="0.15">
      <c r="B52" s="20" t="s">
        <v>13</v>
      </c>
      <c r="C52" s="42">
        <v>1</v>
      </c>
      <c r="D52" s="22"/>
      <c r="E52" s="22">
        <v>1</v>
      </c>
      <c r="F52" s="22"/>
      <c r="G52" s="22"/>
      <c r="H52" s="43"/>
      <c r="I52" s="9">
        <f t="shared" si="5"/>
        <v>2</v>
      </c>
      <c r="J52" s="4">
        <v>44543</v>
      </c>
    </row>
    <row r="53" spans="2:10" x14ac:dyDescent="0.15">
      <c r="B53" s="20" t="s">
        <v>13</v>
      </c>
      <c r="C53" s="42"/>
      <c r="D53" s="22">
        <v>1</v>
      </c>
      <c r="E53" s="22"/>
      <c r="F53" s="22"/>
      <c r="G53" s="22"/>
      <c r="H53" s="43"/>
      <c r="I53" s="9">
        <f t="shared" si="5"/>
        <v>1</v>
      </c>
      <c r="J53" s="4">
        <v>44566</v>
      </c>
    </row>
    <row r="54" spans="2:10" x14ac:dyDescent="0.15">
      <c r="B54" s="20" t="s">
        <v>13</v>
      </c>
      <c r="C54" s="49"/>
      <c r="D54" s="23">
        <v>1</v>
      </c>
      <c r="E54" s="23"/>
      <c r="F54" s="23"/>
      <c r="G54" s="23"/>
      <c r="H54" s="50"/>
      <c r="I54" s="9">
        <f t="shared" si="5"/>
        <v>1</v>
      </c>
      <c r="J54" s="4">
        <v>44572</v>
      </c>
    </row>
    <row r="55" spans="2:10" x14ac:dyDescent="0.15">
      <c r="B55" s="20" t="s">
        <v>13</v>
      </c>
      <c r="C55" s="49"/>
      <c r="D55" s="23">
        <v>2</v>
      </c>
      <c r="E55" s="23"/>
      <c r="F55" s="23"/>
      <c r="G55" s="23"/>
      <c r="H55" s="50"/>
      <c r="I55" s="9">
        <f t="shared" si="5"/>
        <v>2</v>
      </c>
      <c r="J55" s="4">
        <v>44578</v>
      </c>
    </row>
    <row r="56" spans="2:10" x14ac:dyDescent="0.15">
      <c r="B56" s="20" t="s">
        <v>13</v>
      </c>
      <c r="C56" s="42">
        <v>1</v>
      </c>
      <c r="D56" s="22"/>
      <c r="E56" s="22"/>
      <c r="F56" s="22"/>
      <c r="G56" s="22"/>
      <c r="H56" s="43"/>
      <c r="I56" s="9">
        <f t="shared" si="5"/>
        <v>1</v>
      </c>
      <c r="J56" s="4">
        <v>44585</v>
      </c>
    </row>
    <row r="57" spans="2:10" x14ac:dyDescent="0.15">
      <c r="B57" s="20" t="s">
        <v>13</v>
      </c>
      <c r="C57" s="42"/>
      <c r="D57" s="22">
        <v>1</v>
      </c>
      <c r="E57" s="22"/>
      <c r="F57" s="22"/>
      <c r="G57" s="22"/>
      <c r="H57" s="43"/>
      <c r="I57" s="9">
        <f t="shared" si="5"/>
        <v>1</v>
      </c>
      <c r="J57" s="4">
        <v>44588</v>
      </c>
    </row>
    <row r="58" spans="2:10" x14ac:dyDescent="0.15">
      <c r="B58" s="20" t="s">
        <v>13</v>
      </c>
      <c r="C58" s="49"/>
      <c r="D58" s="23">
        <v>1</v>
      </c>
      <c r="E58" s="23"/>
      <c r="F58" s="23"/>
      <c r="G58" s="23"/>
      <c r="H58" s="50"/>
      <c r="I58" s="9">
        <f t="shared" si="5"/>
        <v>1</v>
      </c>
      <c r="J58" s="4">
        <v>44592</v>
      </c>
    </row>
    <row r="59" spans="2:10" x14ac:dyDescent="0.15">
      <c r="B59" s="20" t="s">
        <v>13</v>
      </c>
      <c r="C59" s="49"/>
      <c r="D59" s="23">
        <v>1</v>
      </c>
      <c r="E59" s="23"/>
      <c r="F59" s="23"/>
      <c r="G59" s="23"/>
      <c r="H59" s="50"/>
      <c r="I59" s="9">
        <f t="shared" si="5"/>
        <v>1</v>
      </c>
      <c r="J59" s="4">
        <v>44599</v>
      </c>
    </row>
    <row r="60" spans="2:10" x14ac:dyDescent="0.15">
      <c r="B60" s="20" t="s">
        <v>13</v>
      </c>
      <c r="C60" s="42">
        <v>1</v>
      </c>
      <c r="D60" s="22"/>
      <c r="E60" s="22"/>
      <c r="F60" s="22"/>
      <c r="G60" s="22"/>
      <c r="H60" s="43"/>
      <c r="I60" s="9">
        <f t="shared" si="5"/>
        <v>1</v>
      </c>
      <c r="J60" s="4">
        <v>44600</v>
      </c>
    </row>
    <row r="61" spans="2:10" x14ac:dyDescent="0.15">
      <c r="B61" s="20" t="s">
        <v>13</v>
      </c>
      <c r="C61" s="49">
        <v>1</v>
      </c>
      <c r="D61" s="23"/>
      <c r="E61" s="23"/>
      <c r="F61" s="23"/>
      <c r="G61" s="23"/>
      <c r="H61" s="50"/>
      <c r="I61" s="9">
        <f t="shared" si="5"/>
        <v>1</v>
      </c>
      <c r="J61" s="4">
        <v>44607</v>
      </c>
    </row>
    <row r="62" spans="2:10" x14ac:dyDescent="0.15">
      <c r="B62" s="20" t="s">
        <v>13</v>
      </c>
      <c r="C62" s="49"/>
      <c r="D62" s="23">
        <f>1+1</f>
        <v>2</v>
      </c>
      <c r="E62" s="23"/>
      <c r="F62" s="23"/>
      <c r="G62" s="23"/>
      <c r="H62" s="50"/>
      <c r="I62" s="9">
        <f t="shared" si="5"/>
        <v>2</v>
      </c>
      <c r="J62" s="4">
        <v>44620</v>
      </c>
    </row>
    <row r="63" spans="2:10" x14ac:dyDescent="0.15">
      <c r="B63" s="20" t="s">
        <v>13</v>
      </c>
      <c r="C63" s="42"/>
      <c r="D63" s="22">
        <v>1</v>
      </c>
      <c r="E63" s="22"/>
      <c r="F63" s="22"/>
      <c r="G63" s="22"/>
      <c r="H63" s="43"/>
      <c r="I63" s="9">
        <f t="shared" si="5"/>
        <v>1</v>
      </c>
      <c r="J63" s="4">
        <v>44669</v>
      </c>
    </row>
    <row r="64" spans="2:10" x14ac:dyDescent="0.15">
      <c r="B64" s="20" t="s">
        <v>13</v>
      </c>
      <c r="C64" s="49"/>
      <c r="D64" s="23">
        <v>1</v>
      </c>
      <c r="E64" s="23"/>
      <c r="F64" s="23"/>
      <c r="G64" s="23"/>
      <c r="H64" s="50"/>
      <c r="I64" s="9">
        <f t="shared" si="5"/>
        <v>1</v>
      </c>
      <c r="J64" s="4">
        <v>44676</v>
      </c>
    </row>
    <row r="65" spans="2:10" x14ac:dyDescent="0.15">
      <c r="B65" s="20" t="s">
        <v>13</v>
      </c>
      <c r="C65" s="49"/>
      <c r="D65" s="23">
        <v>1</v>
      </c>
      <c r="E65" s="23"/>
      <c r="F65" s="23"/>
      <c r="G65" s="23"/>
      <c r="H65" s="50"/>
      <c r="I65" s="9">
        <f t="shared" si="5"/>
        <v>1</v>
      </c>
      <c r="J65" s="4">
        <v>44704</v>
      </c>
    </row>
    <row r="66" spans="2:10" x14ac:dyDescent="0.15">
      <c r="B66" s="20" t="s">
        <v>13</v>
      </c>
      <c r="C66" s="49">
        <v>1</v>
      </c>
      <c r="D66" s="23"/>
      <c r="E66" s="23"/>
      <c r="F66" s="23"/>
      <c r="G66" s="23"/>
      <c r="H66" s="50"/>
      <c r="I66" s="9">
        <f t="shared" si="5"/>
        <v>1</v>
      </c>
      <c r="J66" s="4">
        <v>44747</v>
      </c>
    </row>
    <row r="67" spans="2:10" x14ac:dyDescent="0.15">
      <c r="B67" s="20" t="s">
        <v>13</v>
      </c>
      <c r="C67" s="49"/>
      <c r="D67" s="23"/>
      <c r="E67" s="23">
        <v>1</v>
      </c>
      <c r="F67" s="23">
        <f>1+1</f>
        <v>2</v>
      </c>
      <c r="G67" s="23"/>
      <c r="H67" s="50"/>
      <c r="I67" s="9">
        <f t="shared" si="5"/>
        <v>3</v>
      </c>
      <c r="J67" s="4">
        <v>44754</v>
      </c>
    </row>
    <row r="68" spans="2:10" x14ac:dyDescent="0.15">
      <c r="B68" s="20" t="s">
        <v>13</v>
      </c>
      <c r="C68" s="49"/>
      <c r="D68" s="23"/>
      <c r="E68" s="23"/>
      <c r="F68" s="23"/>
      <c r="G68" s="23"/>
      <c r="H68" s="50">
        <v>1</v>
      </c>
      <c r="I68" s="9">
        <f t="shared" si="5"/>
        <v>1</v>
      </c>
      <c r="J68" s="4">
        <v>44764</v>
      </c>
    </row>
    <row r="69" spans="2:10" x14ac:dyDescent="0.15">
      <c r="B69" s="20" t="s">
        <v>13</v>
      </c>
      <c r="C69" s="49"/>
      <c r="D69" s="23">
        <v>1</v>
      </c>
      <c r="E69" s="23"/>
      <c r="F69" s="23"/>
      <c r="G69" s="23"/>
      <c r="H69" s="50"/>
      <c r="I69" s="9">
        <f t="shared" si="5"/>
        <v>1</v>
      </c>
      <c r="J69" s="4">
        <v>44797</v>
      </c>
    </row>
    <row r="70" spans="2:10" x14ac:dyDescent="0.15">
      <c r="B70" s="20"/>
      <c r="C70" s="42"/>
      <c r="D70" s="22"/>
      <c r="E70" s="22"/>
      <c r="F70" s="22"/>
      <c r="G70" s="22"/>
      <c r="H70" s="43"/>
      <c r="I70" s="9">
        <f t="shared" si="5"/>
        <v>0</v>
      </c>
      <c r="J70" s="4"/>
    </row>
    <row r="71" spans="2:10" x14ac:dyDescent="0.15">
      <c r="B71" s="20"/>
      <c r="C71" s="42"/>
      <c r="D71" s="22"/>
      <c r="E71" s="22"/>
      <c r="F71" s="22"/>
      <c r="G71" s="22"/>
      <c r="H71" s="43"/>
      <c r="I71" s="9">
        <f t="shared" si="5"/>
        <v>0</v>
      </c>
    </row>
    <row r="72" spans="2:10" x14ac:dyDescent="0.15">
      <c r="B72" s="20"/>
      <c r="C72" s="42"/>
      <c r="D72" s="22"/>
      <c r="E72" s="22"/>
      <c r="F72" s="22"/>
      <c r="G72" s="22"/>
      <c r="H72" s="43"/>
      <c r="I72" s="9">
        <f t="shared" si="5"/>
        <v>0</v>
      </c>
    </row>
    <row r="73" spans="2:10" x14ac:dyDescent="0.15">
      <c r="B73" s="20"/>
      <c r="C73" s="42"/>
      <c r="D73" s="22"/>
      <c r="E73" s="22"/>
      <c r="F73" s="22"/>
      <c r="G73" s="22"/>
      <c r="H73" s="43"/>
      <c r="I73" s="9">
        <f t="shared" si="5"/>
        <v>0</v>
      </c>
    </row>
    <row r="74" spans="2:10" x14ac:dyDescent="0.15">
      <c r="B74" s="20"/>
      <c r="C74" s="42"/>
      <c r="D74" s="22"/>
      <c r="E74" s="22"/>
      <c r="F74" s="22"/>
      <c r="G74" s="22"/>
      <c r="H74" s="43"/>
      <c r="I74" s="9">
        <f t="shared" si="5"/>
        <v>0</v>
      </c>
    </row>
    <row r="75" spans="2:10" ht="14.25" thickBot="1" x14ac:dyDescent="0.2">
      <c r="B75" s="35"/>
      <c r="C75" s="44"/>
      <c r="D75" s="30"/>
      <c r="E75" s="30"/>
      <c r="F75" s="30"/>
      <c r="G75" s="30"/>
      <c r="H75" s="45"/>
      <c r="I75" s="10">
        <f t="shared" si="5"/>
        <v>0</v>
      </c>
    </row>
    <row r="76" spans="2:10" ht="14.25" thickBot="1" x14ac:dyDescent="0.2">
      <c r="B76" s="21" t="s">
        <v>2</v>
      </c>
      <c r="C76" s="51">
        <f>SUM(C51:C75)</f>
        <v>5</v>
      </c>
      <c r="D76" s="36">
        <f>SUM(D51:D75)</f>
        <v>14</v>
      </c>
      <c r="E76" s="36">
        <f>SUM(E51:E75)</f>
        <v>2</v>
      </c>
      <c r="F76" s="36">
        <f>SUM(F51:F75)</f>
        <v>2</v>
      </c>
      <c r="G76" s="36">
        <f>SUM(G51:G75)</f>
        <v>0</v>
      </c>
      <c r="H76" s="34">
        <f t="shared" ref="H76" si="7">SUM(H51:H75)</f>
        <v>1</v>
      </c>
      <c r="I76" s="11">
        <f t="shared" si="5"/>
        <v>24</v>
      </c>
    </row>
    <row r="77" spans="2:10" ht="14.25" thickBot="1" x14ac:dyDescent="0.2">
      <c r="B77" s="19" t="s">
        <v>3</v>
      </c>
      <c r="C77" s="46">
        <f>+C50-C76</f>
        <v>3</v>
      </c>
      <c r="D77" s="33">
        <f>+D50-D76</f>
        <v>6</v>
      </c>
      <c r="E77" s="33">
        <f>+E50-E76</f>
        <v>2</v>
      </c>
      <c r="F77" s="33">
        <f>+F50-F76</f>
        <v>2</v>
      </c>
      <c r="G77" s="33">
        <f>+G50-G76</f>
        <v>1</v>
      </c>
      <c r="H77" s="37">
        <f t="shared" ref="H77" si="8">+H50-H76</f>
        <v>0</v>
      </c>
      <c r="I77" s="13">
        <f t="shared" si="5"/>
        <v>14</v>
      </c>
    </row>
    <row r="79" spans="2:10" ht="18.75" x14ac:dyDescent="0.2">
      <c r="B79" s="6" t="s">
        <v>6</v>
      </c>
      <c r="C79" s="7"/>
      <c r="D79" s="7"/>
      <c r="E79" s="7"/>
      <c r="F79" s="7"/>
      <c r="G79" s="7"/>
      <c r="H79" s="7"/>
      <c r="I79" s="7">
        <v>874</v>
      </c>
    </row>
    <row r="80" spans="2:10" ht="14.25" thickBot="1" x14ac:dyDescent="0.2"/>
    <row r="81" spans="1:10" ht="14.25" thickBot="1" x14ac:dyDescent="0.2">
      <c r="B81" s="2"/>
      <c r="C81" s="15"/>
      <c r="D81" s="15"/>
      <c r="E81" s="15"/>
      <c r="F81" s="15"/>
      <c r="G81" s="15"/>
      <c r="H81" s="15"/>
      <c r="I81" s="16"/>
    </row>
    <row r="82" spans="1:10" ht="14.25" thickBot="1" x14ac:dyDescent="0.2">
      <c r="A82" s="1"/>
      <c r="B82" s="21"/>
      <c r="C82" s="38" t="s">
        <v>9</v>
      </c>
      <c r="D82" s="26" t="s">
        <v>8</v>
      </c>
      <c r="E82" s="27" t="s">
        <v>11</v>
      </c>
      <c r="F82" s="28" t="s">
        <v>12</v>
      </c>
      <c r="G82" s="29" t="s">
        <v>10</v>
      </c>
      <c r="H82" s="39" t="s">
        <v>7</v>
      </c>
      <c r="I82" s="8" t="s">
        <v>0</v>
      </c>
    </row>
    <row r="83" spans="1:10" x14ac:dyDescent="0.15">
      <c r="B83" s="24" t="s">
        <v>3</v>
      </c>
      <c r="C83" s="40">
        <f>C77</f>
        <v>3</v>
      </c>
      <c r="D83" s="25">
        <f>D77</f>
        <v>6</v>
      </c>
      <c r="E83" s="25">
        <f>E77</f>
        <v>2</v>
      </c>
      <c r="F83" s="25">
        <f>F77</f>
        <v>2</v>
      </c>
      <c r="G83" s="25">
        <f>G77</f>
        <v>1</v>
      </c>
      <c r="H83" s="41">
        <f t="shared" ref="H83" si="9">H77</f>
        <v>0</v>
      </c>
      <c r="I83" s="52">
        <f>SUM(C83:H83)</f>
        <v>14</v>
      </c>
    </row>
    <row r="84" spans="1:10" x14ac:dyDescent="0.15">
      <c r="B84" s="17" t="s">
        <v>15</v>
      </c>
      <c r="C84" s="42"/>
      <c r="D84" s="22"/>
      <c r="E84" s="22"/>
      <c r="F84" s="22"/>
      <c r="G84" s="22">
        <v>-1</v>
      </c>
      <c r="H84" s="43">
        <v>2</v>
      </c>
      <c r="I84" s="9">
        <f t="shared" ref="I84:I116" si="10">SUM(C84:H84)</f>
        <v>1</v>
      </c>
      <c r="J84" s="14">
        <v>44796</v>
      </c>
    </row>
    <row r="85" spans="1:10" x14ac:dyDescent="0.15">
      <c r="B85" s="17" t="s">
        <v>4</v>
      </c>
      <c r="C85" s="42">
        <v>3</v>
      </c>
      <c r="D85" s="22"/>
      <c r="E85" s="22"/>
      <c r="F85" s="22"/>
      <c r="G85" s="22">
        <v>3</v>
      </c>
      <c r="H85" s="43"/>
      <c r="I85" s="9">
        <f t="shared" si="10"/>
        <v>6</v>
      </c>
      <c r="J85" s="4">
        <v>44806</v>
      </c>
    </row>
    <row r="86" spans="1:10" x14ac:dyDescent="0.15">
      <c r="B86" s="17" t="s">
        <v>4</v>
      </c>
      <c r="C86" s="42"/>
      <c r="D86" s="22">
        <v>3</v>
      </c>
      <c r="E86" s="22"/>
      <c r="F86" s="22"/>
      <c r="G86" s="22"/>
      <c r="H86" s="43"/>
      <c r="I86" s="9">
        <f t="shared" si="10"/>
        <v>3</v>
      </c>
      <c r="J86" s="4">
        <v>44854</v>
      </c>
    </row>
    <row r="87" spans="1:10" x14ac:dyDescent="0.15">
      <c r="B87" s="17" t="s">
        <v>4</v>
      </c>
      <c r="C87" s="42"/>
      <c r="D87" s="22">
        <v>3</v>
      </c>
      <c r="E87" s="22"/>
      <c r="F87" s="22"/>
      <c r="G87" s="22"/>
      <c r="H87" s="43"/>
      <c r="I87" s="9">
        <f t="shared" si="10"/>
        <v>3</v>
      </c>
      <c r="J87" s="4">
        <v>44862</v>
      </c>
    </row>
    <row r="88" spans="1:10" ht="14.25" thickBot="1" x14ac:dyDescent="0.2">
      <c r="B88" s="18" t="s">
        <v>4</v>
      </c>
      <c r="C88" s="44">
        <v>2</v>
      </c>
      <c r="D88" s="30">
        <v>3</v>
      </c>
      <c r="E88" s="30"/>
      <c r="F88" s="30"/>
      <c r="G88" s="30">
        <v>2</v>
      </c>
      <c r="H88" s="45"/>
      <c r="I88" s="10">
        <f t="shared" si="10"/>
        <v>7</v>
      </c>
      <c r="J88" s="4">
        <v>44944</v>
      </c>
    </row>
    <row r="89" spans="1:10" ht="14.25" thickBot="1" x14ac:dyDescent="0.2">
      <c r="B89" s="19" t="s">
        <v>1</v>
      </c>
      <c r="C89" s="46">
        <f>SUM(C83:C88)</f>
        <v>8</v>
      </c>
      <c r="D89" s="33">
        <f>SUM(D83:D88)</f>
        <v>15</v>
      </c>
      <c r="E89" s="33">
        <f>SUM(E83:E88)</f>
        <v>2</v>
      </c>
      <c r="F89" s="33">
        <f>SUM(F83:F88)</f>
        <v>2</v>
      </c>
      <c r="G89" s="33">
        <f>SUM(G83:G88)</f>
        <v>5</v>
      </c>
      <c r="H89" s="37">
        <f t="shared" ref="H89" si="11">SUM(H83:H88)</f>
        <v>2</v>
      </c>
      <c r="I89" s="11">
        <f t="shared" si="10"/>
        <v>34</v>
      </c>
    </row>
    <row r="90" spans="1:10" x14ac:dyDescent="0.15">
      <c r="B90" s="31" t="s">
        <v>13</v>
      </c>
      <c r="C90" s="47">
        <v>1</v>
      </c>
      <c r="D90" s="32"/>
      <c r="E90" s="32"/>
      <c r="F90" s="32"/>
      <c r="G90" s="32"/>
      <c r="H90" s="48"/>
      <c r="I90" s="12">
        <f t="shared" si="10"/>
        <v>1</v>
      </c>
      <c r="J90" s="4">
        <v>44803</v>
      </c>
    </row>
    <row r="91" spans="1:10" x14ac:dyDescent="0.15">
      <c r="B91" s="20" t="s">
        <v>13</v>
      </c>
      <c r="C91" s="42"/>
      <c r="D91" s="22"/>
      <c r="E91" s="22"/>
      <c r="F91" s="22"/>
      <c r="G91" s="22">
        <v>1</v>
      </c>
      <c r="H91" s="43"/>
      <c r="I91" s="9">
        <f t="shared" si="10"/>
        <v>1</v>
      </c>
      <c r="J91" s="4">
        <v>44806</v>
      </c>
    </row>
    <row r="92" spans="1:10" x14ac:dyDescent="0.15">
      <c r="B92" s="20" t="s">
        <v>13</v>
      </c>
      <c r="C92" s="42"/>
      <c r="D92" s="22">
        <v>1</v>
      </c>
      <c r="E92" s="22"/>
      <c r="F92" s="22"/>
      <c r="G92" s="22"/>
      <c r="H92" s="43"/>
      <c r="I92" s="9">
        <f t="shared" si="10"/>
        <v>1</v>
      </c>
      <c r="J92" s="4">
        <v>44816</v>
      </c>
    </row>
    <row r="93" spans="1:10" x14ac:dyDescent="0.15">
      <c r="B93" s="20" t="s">
        <v>13</v>
      </c>
      <c r="C93" s="49"/>
      <c r="D93" s="23">
        <v>2</v>
      </c>
      <c r="E93" s="23"/>
      <c r="F93" s="23"/>
      <c r="G93" s="23"/>
      <c r="H93" s="50"/>
      <c r="I93" s="9">
        <f t="shared" si="10"/>
        <v>2</v>
      </c>
      <c r="J93" s="4">
        <v>44817</v>
      </c>
    </row>
    <row r="94" spans="1:10" x14ac:dyDescent="0.15">
      <c r="B94" s="20" t="s">
        <v>13</v>
      </c>
      <c r="C94" s="49"/>
      <c r="D94" s="23"/>
      <c r="E94" s="23">
        <v>1</v>
      </c>
      <c r="F94" s="23"/>
      <c r="G94" s="23"/>
      <c r="H94" s="50"/>
      <c r="I94" s="9">
        <f t="shared" si="10"/>
        <v>1</v>
      </c>
      <c r="J94" s="4">
        <v>44830</v>
      </c>
    </row>
    <row r="95" spans="1:10" x14ac:dyDescent="0.15">
      <c r="B95" s="20" t="s">
        <v>13</v>
      </c>
      <c r="C95" s="42"/>
      <c r="D95" s="22">
        <v>1</v>
      </c>
      <c r="E95" s="22"/>
      <c r="F95" s="22"/>
      <c r="G95" s="22"/>
      <c r="H95" s="43"/>
      <c r="I95" s="9">
        <f t="shared" si="10"/>
        <v>1</v>
      </c>
      <c r="J95" s="4">
        <v>44840</v>
      </c>
    </row>
    <row r="96" spans="1:10" x14ac:dyDescent="0.15">
      <c r="B96" s="20" t="s">
        <v>13</v>
      </c>
      <c r="C96" s="42"/>
      <c r="D96" s="22">
        <v>1</v>
      </c>
      <c r="E96" s="22"/>
      <c r="F96" s="22"/>
      <c r="G96" s="22"/>
      <c r="H96" s="43"/>
      <c r="I96" s="9">
        <f t="shared" si="10"/>
        <v>1</v>
      </c>
      <c r="J96" s="4">
        <v>44845</v>
      </c>
    </row>
    <row r="97" spans="2:10" x14ac:dyDescent="0.15">
      <c r="B97" s="20" t="s">
        <v>13</v>
      </c>
      <c r="C97" s="49"/>
      <c r="D97" s="23">
        <v>2</v>
      </c>
      <c r="E97" s="23"/>
      <c r="F97" s="23"/>
      <c r="G97" s="23"/>
      <c r="H97" s="50"/>
      <c r="I97" s="9">
        <f t="shared" si="10"/>
        <v>2</v>
      </c>
      <c r="J97" s="4">
        <v>44872</v>
      </c>
    </row>
    <row r="98" spans="2:10" x14ac:dyDescent="0.15">
      <c r="B98" s="20" t="s">
        <v>13</v>
      </c>
      <c r="C98" s="49">
        <v>1</v>
      </c>
      <c r="D98" s="23"/>
      <c r="E98" s="23"/>
      <c r="F98" s="23"/>
      <c r="G98" s="23"/>
      <c r="H98" s="50"/>
      <c r="I98" s="9">
        <f t="shared" si="10"/>
        <v>1</v>
      </c>
      <c r="J98" s="4">
        <v>44893</v>
      </c>
    </row>
    <row r="99" spans="2:10" x14ac:dyDescent="0.15">
      <c r="B99" s="20" t="s">
        <v>13</v>
      </c>
      <c r="C99" s="42"/>
      <c r="D99" s="22">
        <v>1</v>
      </c>
      <c r="E99" s="22"/>
      <c r="F99" s="22"/>
      <c r="G99" s="22">
        <v>1</v>
      </c>
      <c r="H99" s="43"/>
      <c r="I99" s="9">
        <f t="shared" si="10"/>
        <v>2</v>
      </c>
      <c r="J99" s="4">
        <v>44897</v>
      </c>
    </row>
    <row r="100" spans="2:10" x14ac:dyDescent="0.15">
      <c r="B100" s="20" t="s">
        <v>13</v>
      </c>
      <c r="C100" s="49">
        <v>1</v>
      </c>
      <c r="D100" s="23">
        <v>1</v>
      </c>
      <c r="E100" s="23"/>
      <c r="F100" s="23"/>
      <c r="G100" s="23"/>
      <c r="H100" s="50"/>
      <c r="I100" s="9">
        <f t="shared" si="10"/>
        <v>2</v>
      </c>
      <c r="J100" s="4">
        <v>44904</v>
      </c>
    </row>
    <row r="101" spans="2:10" x14ac:dyDescent="0.15">
      <c r="B101" s="20" t="s">
        <v>13</v>
      </c>
      <c r="C101" s="49"/>
      <c r="D101" s="23">
        <v>1</v>
      </c>
      <c r="E101" s="23"/>
      <c r="F101" s="23"/>
      <c r="G101" s="23">
        <v>1</v>
      </c>
      <c r="H101" s="50"/>
      <c r="I101" s="9">
        <f t="shared" si="10"/>
        <v>2</v>
      </c>
      <c r="J101" s="4">
        <v>44908</v>
      </c>
    </row>
    <row r="102" spans="2:10" x14ac:dyDescent="0.15">
      <c r="B102" s="20" t="s">
        <v>13</v>
      </c>
      <c r="C102" s="42">
        <v>1</v>
      </c>
      <c r="D102" s="22"/>
      <c r="E102" s="22"/>
      <c r="F102" s="22"/>
      <c r="G102" s="22"/>
      <c r="H102" s="43"/>
      <c r="I102" s="9">
        <f t="shared" si="10"/>
        <v>1</v>
      </c>
      <c r="J102" s="4">
        <v>44917</v>
      </c>
    </row>
    <row r="103" spans="2:10" x14ac:dyDescent="0.15">
      <c r="B103" s="20" t="s">
        <v>13</v>
      </c>
      <c r="C103" s="49"/>
      <c r="D103" s="23"/>
      <c r="E103" s="23"/>
      <c r="F103" s="23">
        <v>1</v>
      </c>
      <c r="G103" s="23"/>
      <c r="H103" s="50"/>
      <c r="I103" s="9">
        <f t="shared" si="10"/>
        <v>1</v>
      </c>
      <c r="J103" s="4">
        <v>44923</v>
      </c>
    </row>
    <row r="104" spans="2:10" x14ac:dyDescent="0.15">
      <c r="B104" s="20" t="s">
        <v>13</v>
      </c>
      <c r="C104" s="49"/>
      <c r="D104" s="23">
        <v>1</v>
      </c>
      <c r="E104" s="23"/>
      <c r="F104" s="23"/>
      <c r="G104" s="23"/>
      <c r="H104" s="50"/>
      <c r="I104" s="9">
        <f t="shared" si="10"/>
        <v>1</v>
      </c>
      <c r="J104" s="4">
        <v>44937</v>
      </c>
    </row>
    <row r="105" spans="2:10" x14ac:dyDescent="0.15">
      <c r="B105" s="20" t="s">
        <v>13</v>
      </c>
      <c r="C105" s="49"/>
      <c r="D105" s="23">
        <v>1</v>
      </c>
      <c r="E105" s="23"/>
      <c r="F105" s="23"/>
      <c r="G105" s="23"/>
      <c r="H105" s="50"/>
      <c r="I105" s="9">
        <f t="shared" si="10"/>
        <v>1</v>
      </c>
      <c r="J105" s="4">
        <v>44942</v>
      </c>
    </row>
    <row r="106" spans="2:10" x14ac:dyDescent="0.15">
      <c r="B106" s="20" t="s">
        <v>13</v>
      </c>
      <c r="C106" s="49">
        <v>1</v>
      </c>
      <c r="D106" s="23"/>
      <c r="E106" s="23"/>
      <c r="F106" s="23"/>
      <c r="G106" s="23">
        <v>1</v>
      </c>
      <c r="H106" s="50"/>
      <c r="I106" s="9">
        <f t="shared" si="10"/>
        <v>2</v>
      </c>
      <c r="J106" s="4">
        <v>44944</v>
      </c>
    </row>
    <row r="107" spans="2:10" x14ac:dyDescent="0.15">
      <c r="B107" s="20" t="s">
        <v>13</v>
      </c>
      <c r="C107" s="49"/>
      <c r="D107" s="23"/>
      <c r="E107" s="23"/>
      <c r="F107" s="23">
        <v>1</v>
      </c>
      <c r="G107" s="23"/>
      <c r="H107" s="50"/>
      <c r="I107" s="9">
        <f t="shared" si="10"/>
        <v>1</v>
      </c>
      <c r="J107" s="4">
        <v>44952</v>
      </c>
    </row>
    <row r="108" spans="2:10" x14ac:dyDescent="0.15">
      <c r="B108" s="20" t="s">
        <v>13</v>
      </c>
      <c r="C108" s="49">
        <v>2</v>
      </c>
      <c r="D108" s="23"/>
      <c r="E108" s="23"/>
      <c r="F108" s="23"/>
      <c r="G108" s="23"/>
      <c r="H108" s="50"/>
      <c r="I108" s="9">
        <f t="shared" si="10"/>
        <v>2</v>
      </c>
      <c r="J108" s="4">
        <v>44953</v>
      </c>
    </row>
    <row r="109" spans="2:10" x14ac:dyDescent="0.15">
      <c r="B109" s="20" t="s">
        <v>13</v>
      </c>
      <c r="C109" s="42"/>
      <c r="D109" s="22">
        <v>1</v>
      </c>
      <c r="E109" s="22"/>
      <c r="F109" s="22"/>
      <c r="G109" s="22"/>
      <c r="H109" s="43"/>
      <c r="I109" s="9">
        <f t="shared" si="10"/>
        <v>1</v>
      </c>
      <c r="J109" s="4">
        <v>44974</v>
      </c>
    </row>
    <row r="110" spans="2:10" x14ac:dyDescent="0.15">
      <c r="B110" s="20" t="s">
        <v>13</v>
      </c>
      <c r="C110" s="42"/>
      <c r="D110" s="22">
        <v>2</v>
      </c>
      <c r="E110" s="22"/>
      <c r="F110" s="22"/>
      <c r="G110" s="22"/>
      <c r="H110" s="43"/>
      <c r="I110" s="9">
        <f t="shared" si="10"/>
        <v>2</v>
      </c>
      <c r="J110" s="4">
        <v>44986</v>
      </c>
    </row>
    <row r="111" spans="2:10" x14ac:dyDescent="0.15">
      <c r="B111" s="20"/>
      <c r="C111" s="42"/>
      <c r="D111" s="22"/>
      <c r="E111" s="22"/>
      <c r="F111" s="22"/>
      <c r="G111" s="22"/>
      <c r="H111" s="43"/>
      <c r="I111" s="9">
        <f t="shared" si="10"/>
        <v>0</v>
      </c>
    </row>
    <row r="112" spans="2:10" x14ac:dyDescent="0.15">
      <c r="B112" s="20"/>
      <c r="C112" s="42"/>
      <c r="D112" s="22"/>
      <c r="E112" s="22"/>
      <c r="F112" s="22"/>
      <c r="G112" s="22"/>
      <c r="H112" s="43"/>
      <c r="I112" s="9">
        <f t="shared" si="10"/>
        <v>0</v>
      </c>
    </row>
    <row r="113" spans="1:10" x14ac:dyDescent="0.15">
      <c r="B113" s="20"/>
      <c r="C113" s="42"/>
      <c r="D113" s="22"/>
      <c r="E113" s="22"/>
      <c r="F113" s="22"/>
      <c r="G113" s="22"/>
      <c r="H113" s="43"/>
      <c r="I113" s="9">
        <f t="shared" si="10"/>
        <v>0</v>
      </c>
    </row>
    <row r="114" spans="1:10" ht="14.25" thickBot="1" x14ac:dyDescent="0.2">
      <c r="B114" s="35"/>
      <c r="C114" s="44"/>
      <c r="D114" s="30"/>
      <c r="E114" s="30"/>
      <c r="F114" s="30"/>
      <c r="G114" s="30"/>
      <c r="H114" s="45"/>
      <c r="I114" s="10">
        <f t="shared" si="10"/>
        <v>0</v>
      </c>
    </row>
    <row r="115" spans="1:10" ht="14.25" thickBot="1" x14ac:dyDescent="0.2">
      <c r="B115" s="21" t="s">
        <v>2</v>
      </c>
      <c r="C115" s="51">
        <f>SUM(C90:C114)</f>
        <v>7</v>
      </c>
      <c r="D115" s="36">
        <f>SUM(D90:D114)</f>
        <v>15</v>
      </c>
      <c r="E115" s="36">
        <f>SUM(E90:E114)</f>
        <v>1</v>
      </c>
      <c r="F115" s="36">
        <f>SUM(F90:F114)</f>
        <v>2</v>
      </c>
      <c r="G115" s="36">
        <f>SUM(G90:G114)</f>
        <v>4</v>
      </c>
      <c r="H115" s="34">
        <f t="shared" ref="H115" si="12">SUM(H90:H114)</f>
        <v>0</v>
      </c>
      <c r="I115" s="11">
        <f t="shared" si="10"/>
        <v>29</v>
      </c>
    </row>
    <row r="116" spans="1:10" ht="14.25" thickBot="1" x14ac:dyDescent="0.2">
      <c r="B116" s="19" t="s">
        <v>3</v>
      </c>
      <c r="C116" s="46">
        <f>+C89-C115</f>
        <v>1</v>
      </c>
      <c r="D116" s="33">
        <f>+D89-D115</f>
        <v>0</v>
      </c>
      <c r="E116" s="33">
        <f>+E89-E115</f>
        <v>1</v>
      </c>
      <c r="F116" s="33">
        <f>+F89-F115</f>
        <v>0</v>
      </c>
      <c r="G116" s="33">
        <f>+G89-G115</f>
        <v>1</v>
      </c>
      <c r="H116" s="37">
        <f t="shared" ref="H116" si="13">+H89-H115</f>
        <v>2</v>
      </c>
      <c r="I116" s="13">
        <f t="shared" si="10"/>
        <v>5</v>
      </c>
    </row>
    <row r="118" spans="1:10" ht="18.75" x14ac:dyDescent="0.2">
      <c r="B118" s="6" t="s">
        <v>6</v>
      </c>
      <c r="C118" s="7"/>
      <c r="D118" s="7"/>
      <c r="E118" s="7"/>
      <c r="F118" s="7"/>
      <c r="G118" s="7"/>
      <c r="H118" s="7"/>
      <c r="I118" s="7">
        <v>874</v>
      </c>
    </row>
    <row r="119" spans="1:10" ht="14.25" thickBot="1" x14ac:dyDescent="0.2"/>
    <row r="120" spans="1:10" ht="14.25" thickBot="1" x14ac:dyDescent="0.2">
      <c r="B120" s="2"/>
      <c r="C120" s="15"/>
      <c r="D120" s="15"/>
      <c r="E120" s="15"/>
      <c r="F120" s="15"/>
      <c r="G120" s="15"/>
      <c r="H120" s="15"/>
      <c r="I120" s="16"/>
    </row>
    <row r="121" spans="1:10" ht="14.25" thickBot="1" x14ac:dyDescent="0.2">
      <c r="A121" s="1"/>
      <c r="B121" s="21"/>
      <c r="C121" s="38" t="s">
        <v>9</v>
      </c>
      <c r="D121" s="26" t="s">
        <v>8</v>
      </c>
      <c r="E121" s="27" t="s">
        <v>11</v>
      </c>
      <c r="F121" s="28" t="s">
        <v>12</v>
      </c>
      <c r="G121" s="29" t="s">
        <v>10</v>
      </c>
      <c r="H121" s="39" t="s">
        <v>7</v>
      </c>
      <c r="I121" s="8" t="s">
        <v>0</v>
      </c>
    </row>
    <row r="122" spans="1:10" x14ac:dyDescent="0.15">
      <c r="B122" s="24" t="s">
        <v>3</v>
      </c>
      <c r="C122" s="40">
        <f>C116</f>
        <v>1</v>
      </c>
      <c r="D122" s="25">
        <f>D116</f>
        <v>0</v>
      </c>
      <c r="E122" s="25">
        <f>E116</f>
        <v>1</v>
      </c>
      <c r="F122" s="25">
        <f>F116</f>
        <v>0</v>
      </c>
      <c r="G122" s="25">
        <f>G116</f>
        <v>1</v>
      </c>
      <c r="H122" s="41">
        <f t="shared" ref="H122" si="14">H116</f>
        <v>2</v>
      </c>
      <c r="I122" s="52">
        <f>SUM(C122:H122)</f>
        <v>5</v>
      </c>
    </row>
    <row r="123" spans="1:10" x14ac:dyDescent="0.15">
      <c r="B123" s="17" t="s">
        <v>4</v>
      </c>
      <c r="C123" s="42">
        <v>3</v>
      </c>
      <c r="D123" s="22">
        <v>5</v>
      </c>
      <c r="E123" s="22">
        <v>2</v>
      </c>
      <c r="F123" s="22">
        <v>3</v>
      </c>
      <c r="G123" s="22">
        <v>3</v>
      </c>
      <c r="H123" s="43"/>
      <c r="I123" s="9">
        <f t="shared" ref="I123:I159" si="15">SUM(C123:H123)</f>
        <v>16</v>
      </c>
      <c r="J123" s="4">
        <v>44964</v>
      </c>
    </row>
    <row r="124" spans="1:10" x14ac:dyDescent="0.15">
      <c r="B124" s="17" t="s">
        <v>4</v>
      </c>
      <c r="C124" s="42"/>
      <c r="D124" s="22">
        <v>3</v>
      </c>
      <c r="E124" s="22"/>
      <c r="F124" s="22"/>
      <c r="G124" s="22"/>
      <c r="H124" s="43"/>
      <c r="I124" s="9">
        <f t="shared" si="15"/>
        <v>3</v>
      </c>
      <c r="J124" s="4">
        <v>45017</v>
      </c>
    </row>
    <row r="125" spans="1:10" x14ac:dyDescent="0.15">
      <c r="B125" s="17" t="s">
        <v>4</v>
      </c>
      <c r="C125" s="42">
        <v>3</v>
      </c>
      <c r="D125" s="22">
        <v>3</v>
      </c>
      <c r="E125" s="22"/>
      <c r="F125" s="22"/>
      <c r="G125" s="22"/>
      <c r="H125" s="43"/>
      <c r="I125" s="9">
        <f t="shared" si="15"/>
        <v>6</v>
      </c>
      <c r="J125" s="4">
        <v>45078</v>
      </c>
    </row>
    <row r="126" spans="1:10" x14ac:dyDescent="0.15">
      <c r="B126" s="17" t="s">
        <v>16</v>
      </c>
      <c r="C126" s="42">
        <v>0</v>
      </c>
      <c r="D126" s="22">
        <v>0</v>
      </c>
      <c r="E126" s="22">
        <v>0</v>
      </c>
      <c r="F126" s="22">
        <v>0</v>
      </c>
      <c r="G126" s="22">
        <v>0</v>
      </c>
      <c r="H126" s="43">
        <v>0</v>
      </c>
      <c r="I126" s="9">
        <f t="shared" si="15"/>
        <v>0</v>
      </c>
      <c r="J126" s="4">
        <v>45146</v>
      </c>
    </row>
    <row r="127" spans="1:10" x14ac:dyDescent="0.15">
      <c r="B127" s="18" t="s">
        <v>4</v>
      </c>
      <c r="C127" s="44">
        <v>5</v>
      </c>
      <c r="D127" s="30">
        <v>3</v>
      </c>
      <c r="E127" s="30"/>
      <c r="F127" s="30"/>
      <c r="G127" s="30"/>
      <c r="H127" s="45"/>
      <c r="I127" s="10">
        <f t="shared" ref="I127:I131" si="16">SUM(C127:H127)</f>
        <v>8</v>
      </c>
      <c r="J127" s="4">
        <v>45191</v>
      </c>
    </row>
    <row r="128" spans="1:10" x14ac:dyDescent="0.15">
      <c r="B128" s="18" t="s">
        <v>4</v>
      </c>
      <c r="C128" s="44"/>
      <c r="D128" s="30">
        <v>3</v>
      </c>
      <c r="E128" s="30"/>
      <c r="F128" s="30"/>
      <c r="G128" s="30"/>
      <c r="H128" s="45">
        <v>1</v>
      </c>
      <c r="I128" s="10">
        <f t="shared" si="16"/>
        <v>4</v>
      </c>
      <c r="J128" s="4">
        <v>45274</v>
      </c>
    </row>
    <row r="129" spans="2:10" x14ac:dyDescent="0.15">
      <c r="B129" s="18" t="s">
        <v>4</v>
      </c>
      <c r="C129" s="44"/>
      <c r="D129" s="30"/>
      <c r="E129" s="30"/>
      <c r="F129" s="30"/>
      <c r="G129" s="30"/>
      <c r="H129" s="45">
        <v>1</v>
      </c>
      <c r="I129" s="10">
        <f t="shared" si="16"/>
        <v>1</v>
      </c>
      <c r="J129" s="4">
        <v>45281</v>
      </c>
    </row>
    <row r="130" spans="2:10" x14ac:dyDescent="0.15">
      <c r="B130" s="18" t="s">
        <v>4</v>
      </c>
      <c r="C130" s="44"/>
      <c r="D130" s="30"/>
      <c r="E130" s="30"/>
      <c r="F130" s="30">
        <v>2</v>
      </c>
      <c r="G130" s="30"/>
      <c r="H130" s="45"/>
      <c r="I130" s="10">
        <f t="shared" si="16"/>
        <v>2</v>
      </c>
      <c r="J130" s="4">
        <v>45302</v>
      </c>
    </row>
    <row r="131" spans="2:10" ht="14.25" thickBot="1" x14ac:dyDescent="0.2">
      <c r="B131" s="53" t="s">
        <v>4</v>
      </c>
      <c r="C131" s="54"/>
      <c r="D131" s="55"/>
      <c r="E131" s="55"/>
      <c r="F131" s="55"/>
      <c r="G131" s="55"/>
      <c r="H131" s="56">
        <v>2</v>
      </c>
      <c r="I131" s="57">
        <f t="shared" si="16"/>
        <v>2</v>
      </c>
      <c r="J131" s="58">
        <v>45350</v>
      </c>
    </row>
    <row r="132" spans="2:10" ht="14.25" thickBot="1" x14ac:dyDescent="0.2">
      <c r="B132" s="19" t="s">
        <v>1</v>
      </c>
      <c r="C132" s="46">
        <f>SUM(C122:C131)</f>
        <v>12</v>
      </c>
      <c r="D132" s="33">
        <f>SUM(D122:D131)</f>
        <v>17</v>
      </c>
      <c r="E132" s="33">
        <f>SUM(E122:E131)</f>
        <v>3</v>
      </c>
      <c r="F132" s="33">
        <f>SUM(F122:F131)</f>
        <v>5</v>
      </c>
      <c r="G132" s="33">
        <f>SUM(G122:G131)</f>
        <v>4</v>
      </c>
      <c r="H132" s="37">
        <f t="shared" ref="H132" si="17">SUM(H122:H131)</f>
        <v>6</v>
      </c>
      <c r="I132" s="11">
        <f t="shared" si="15"/>
        <v>47</v>
      </c>
    </row>
    <row r="133" spans="2:10" x14ac:dyDescent="0.15">
      <c r="B133" s="31" t="s">
        <v>13</v>
      </c>
      <c r="C133" s="47"/>
      <c r="D133" s="32">
        <v>1</v>
      </c>
      <c r="E133" s="32"/>
      <c r="F133" s="32"/>
      <c r="G133" s="32"/>
      <c r="H133" s="48"/>
      <c r="I133" s="12">
        <f t="shared" si="15"/>
        <v>1</v>
      </c>
      <c r="J133" s="4">
        <v>45009</v>
      </c>
    </row>
    <row r="134" spans="2:10" x14ac:dyDescent="0.15">
      <c r="B134" s="20" t="s">
        <v>13</v>
      </c>
      <c r="C134" s="42"/>
      <c r="D134" s="22">
        <v>1</v>
      </c>
      <c r="E134" s="22"/>
      <c r="F134" s="22"/>
      <c r="G134" s="22"/>
      <c r="H134" s="43"/>
      <c r="I134" s="9">
        <f t="shared" si="15"/>
        <v>1</v>
      </c>
      <c r="J134" s="4">
        <v>45012</v>
      </c>
    </row>
    <row r="135" spans="2:10" x14ac:dyDescent="0.15">
      <c r="B135" s="20" t="s">
        <v>13</v>
      </c>
      <c r="C135" s="42"/>
      <c r="D135" s="22">
        <v>1</v>
      </c>
      <c r="E135" s="22"/>
      <c r="F135" s="22"/>
      <c r="G135" s="22"/>
      <c r="H135" s="43"/>
      <c r="I135" s="9">
        <f t="shared" si="15"/>
        <v>1</v>
      </c>
      <c r="J135" s="4">
        <v>45033</v>
      </c>
    </row>
    <row r="136" spans="2:10" x14ac:dyDescent="0.15">
      <c r="B136" s="20" t="s">
        <v>13</v>
      </c>
      <c r="C136" s="49">
        <v>1</v>
      </c>
      <c r="D136" s="23"/>
      <c r="E136" s="23"/>
      <c r="F136" s="23"/>
      <c r="G136" s="23"/>
      <c r="H136" s="50"/>
      <c r="I136" s="9">
        <f t="shared" si="15"/>
        <v>1</v>
      </c>
      <c r="J136" s="4">
        <v>45040</v>
      </c>
    </row>
    <row r="137" spans="2:10" x14ac:dyDescent="0.15">
      <c r="B137" s="20" t="s">
        <v>13</v>
      </c>
      <c r="C137" s="49">
        <v>1</v>
      </c>
      <c r="D137" s="23"/>
      <c r="E137" s="23"/>
      <c r="F137" s="23"/>
      <c r="G137" s="23"/>
      <c r="H137" s="50"/>
      <c r="I137" s="9">
        <f t="shared" si="15"/>
        <v>1</v>
      </c>
      <c r="J137" s="4">
        <v>45065</v>
      </c>
    </row>
    <row r="138" spans="2:10" x14ac:dyDescent="0.15">
      <c r="B138" s="20" t="s">
        <v>13</v>
      </c>
      <c r="C138" s="42"/>
      <c r="D138" s="22">
        <v>1</v>
      </c>
      <c r="E138" s="22"/>
      <c r="F138" s="22"/>
      <c r="G138" s="22"/>
      <c r="H138" s="43"/>
      <c r="I138" s="9">
        <f t="shared" si="15"/>
        <v>1</v>
      </c>
      <c r="J138" s="4">
        <v>45068</v>
      </c>
    </row>
    <row r="139" spans="2:10" x14ac:dyDescent="0.15">
      <c r="B139" s="20" t="s">
        <v>13</v>
      </c>
      <c r="C139" s="42"/>
      <c r="D139" s="22">
        <v>1</v>
      </c>
      <c r="E139" s="22"/>
      <c r="F139" s="22"/>
      <c r="G139" s="22"/>
      <c r="H139" s="43"/>
      <c r="I139" s="9">
        <f t="shared" si="15"/>
        <v>1</v>
      </c>
      <c r="J139" s="4">
        <v>45083</v>
      </c>
    </row>
    <row r="140" spans="2:10" x14ac:dyDescent="0.15">
      <c r="B140" s="20" t="s">
        <v>13</v>
      </c>
      <c r="C140" s="49">
        <v>1</v>
      </c>
      <c r="D140" s="23"/>
      <c r="E140" s="23"/>
      <c r="F140" s="23"/>
      <c r="G140" s="23"/>
      <c r="H140" s="50"/>
      <c r="I140" s="9">
        <f t="shared" si="15"/>
        <v>1</v>
      </c>
      <c r="J140" s="4">
        <v>45103</v>
      </c>
    </row>
    <row r="141" spans="2:10" x14ac:dyDescent="0.15">
      <c r="B141" s="20" t="s">
        <v>13</v>
      </c>
      <c r="C141" s="49"/>
      <c r="D141" s="23">
        <v>1</v>
      </c>
      <c r="E141" s="23"/>
      <c r="F141" s="23"/>
      <c r="G141" s="23"/>
      <c r="H141" s="50"/>
      <c r="I141" s="9">
        <f t="shared" si="15"/>
        <v>1</v>
      </c>
      <c r="J141" s="4">
        <v>45174</v>
      </c>
    </row>
    <row r="142" spans="2:10" x14ac:dyDescent="0.15">
      <c r="B142" s="20" t="s">
        <v>13</v>
      </c>
      <c r="C142" s="42">
        <v>2</v>
      </c>
      <c r="D142" s="22"/>
      <c r="E142" s="22"/>
      <c r="F142" s="22"/>
      <c r="G142" s="22"/>
      <c r="H142" s="43"/>
      <c r="I142" s="9">
        <f t="shared" si="15"/>
        <v>2</v>
      </c>
      <c r="J142" s="4">
        <v>45180</v>
      </c>
    </row>
    <row r="143" spans="2:10" x14ac:dyDescent="0.15">
      <c r="B143" s="20" t="s">
        <v>13</v>
      </c>
      <c r="C143" s="49"/>
      <c r="D143" s="23"/>
      <c r="E143" s="23"/>
      <c r="F143" s="23"/>
      <c r="G143" s="23">
        <v>1</v>
      </c>
      <c r="H143" s="50"/>
      <c r="I143" s="9">
        <f t="shared" si="15"/>
        <v>1</v>
      </c>
      <c r="J143" s="4">
        <v>45182</v>
      </c>
    </row>
    <row r="144" spans="2:10" x14ac:dyDescent="0.15">
      <c r="B144" s="20" t="s">
        <v>13</v>
      </c>
      <c r="C144" s="49"/>
      <c r="D144" s="23">
        <v>1</v>
      </c>
      <c r="E144" s="23"/>
      <c r="F144" s="23"/>
      <c r="G144" s="23"/>
      <c r="H144" s="50"/>
      <c r="I144" s="9">
        <f t="shared" si="15"/>
        <v>1</v>
      </c>
      <c r="J144" s="4">
        <v>45184</v>
      </c>
    </row>
    <row r="145" spans="2:10" x14ac:dyDescent="0.15">
      <c r="B145" s="20" t="s">
        <v>13</v>
      </c>
      <c r="C145" s="42">
        <v>1</v>
      </c>
      <c r="D145" s="22"/>
      <c r="E145" s="22"/>
      <c r="F145" s="22"/>
      <c r="G145" s="22"/>
      <c r="H145" s="43"/>
      <c r="I145" s="9">
        <f t="shared" si="15"/>
        <v>1</v>
      </c>
      <c r="J145" s="4">
        <v>45189</v>
      </c>
    </row>
    <row r="146" spans="2:10" x14ac:dyDescent="0.15">
      <c r="B146" s="20" t="s">
        <v>13</v>
      </c>
      <c r="C146" s="49"/>
      <c r="D146" s="23">
        <v>1</v>
      </c>
      <c r="E146" s="23"/>
      <c r="F146" s="23"/>
      <c r="G146" s="23"/>
      <c r="H146" s="50"/>
      <c r="I146" s="9">
        <f t="shared" si="15"/>
        <v>1</v>
      </c>
      <c r="J146" s="4">
        <v>45195</v>
      </c>
    </row>
    <row r="147" spans="2:10" x14ac:dyDescent="0.15">
      <c r="B147" s="20" t="s">
        <v>13</v>
      </c>
      <c r="C147" s="49">
        <v>1</v>
      </c>
      <c r="D147" s="23"/>
      <c r="E147" s="23"/>
      <c r="F147" s="23"/>
      <c r="G147" s="23"/>
      <c r="H147" s="50"/>
      <c r="I147" s="9">
        <f t="shared" si="15"/>
        <v>1</v>
      </c>
      <c r="J147" s="4">
        <v>45218</v>
      </c>
    </row>
    <row r="148" spans="2:10" x14ac:dyDescent="0.15">
      <c r="B148" s="20" t="s">
        <v>13</v>
      </c>
      <c r="C148" s="49"/>
      <c r="D148" s="23">
        <v>1</v>
      </c>
      <c r="E148" s="23"/>
      <c r="F148" s="23"/>
      <c r="G148" s="23"/>
      <c r="H148" s="50"/>
      <c r="I148" s="9">
        <f t="shared" si="15"/>
        <v>1</v>
      </c>
      <c r="J148" s="4">
        <v>45236</v>
      </c>
    </row>
    <row r="149" spans="2:10" x14ac:dyDescent="0.15">
      <c r="B149" s="20" t="s">
        <v>13</v>
      </c>
      <c r="C149" s="49">
        <v>1</v>
      </c>
      <c r="D149" s="23">
        <v>1</v>
      </c>
      <c r="E149" s="23"/>
      <c r="F149" s="23"/>
      <c r="G149" s="23"/>
      <c r="H149" s="50"/>
      <c r="I149" s="9">
        <f t="shared" si="15"/>
        <v>2</v>
      </c>
      <c r="J149" s="4">
        <v>45250</v>
      </c>
    </row>
    <row r="150" spans="2:10" x14ac:dyDescent="0.15">
      <c r="B150" s="20" t="s">
        <v>13</v>
      </c>
      <c r="C150" s="49"/>
      <c r="D150" s="23"/>
      <c r="E150" s="23">
        <v>1</v>
      </c>
      <c r="F150" s="23"/>
      <c r="G150" s="23"/>
      <c r="H150" s="50"/>
      <c r="I150" s="9">
        <f t="shared" si="15"/>
        <v>1</v>
      </c>
      <c r="J150" s="4">
        <v>45257</v>
      </c>
    </row>
    <row r="151" spans="2:10" x14ac:dyDescent="0.15">
      <c r="B151" s="20" t="s">
        <v>13</v>
      </c>
      <c r="C151" s="49"/>
      <c r="D151" s="23">
        <v>1</v>
      </c>
      <c r="E151" s="23"/>
      <c r="F151" s="23"/>
      <c r="G151" s="23">
        <v>1</v>
      </c>
      <c r="H151" s="50">
        <v>1</v>
      </c>
      <c r="I151" s="9">
        <f t="shared" si="15"/>
        <v>3</v>
      </c>
      <c r="J151" s="4">
        <v>45266</v>
      </c>
    </row>
    <row r="152" spans="2:10" x14ac:dyDescent="0.15">
      <c r="B152" s="20" t="s">
        <v>13</v>
      </c>
      <c r="C152" s="42"/>
      <c r="D152" s="22"/>
      <c r="E152" s="22"/>
      <c r="F152" s="22">
        <v>1</v>
      </c>
      <c r="G152" s="22"/>
      <c r="H152" s="43"/>
      <c r="I152" s="9">
        <f t="shared" si="15"/>
        <v>1</v>
      </c>
      <c r="J152" s="4">
        <v>45272</v>
      </c>
    </row>
    <row r="153" spans="2:10" x14ac:dyDescent="0.15">
      <c r="B153" s="20" t="s">
        <v>13</v>
      </c>
      <c r="C153" s="42"/>
      <c r="D153" s="22"/>
      <c r="E153" s="22"/>
      <c r="F153" s="22"/>
      <c r="G153" s="22"/>
      <c r="H153" s="43">
        <v>1</v>
      </c>
      <c r="I153" s="9">
        <f t="shared" si="15"/>
        <v>1</v>
      </c>
      <c r="J153" s="4">
        <v>45274</v>
      </c>
    </row>
    <row r="154" spans="2:10" x14ac:dyDescent="0.15">
      <c r="B154" s="20" t="s">
        <v>13</v>
      </c>
      <c r="C154" s="42"/>
      <c r="D154" s="22">
        <v>1</v>
      </c>
      <c r="E154" s="22"/>
      <c r="F154" s="22"/>
      <c r="G154" s="22"/>
      <c r="H154" s="43"/>
      <c r="I154" s="9">
        <f t="shared" si="15"/>
        <v>1</v>
      </c>
      <c r="J154" s="4">
        <v>45278</v>
      </c>
    </row>
    <row r="155" spans="2:10" x14ac:dyDescent="0.15">
      <c r="B155" s="20" t="s">
        <v>13</v>
      </c>
      <c r="C155" s="42"/>
      <c r="D155" s="22"/>
      <c r="E155" s="22"/>
      <c r="F155" s="22">
        <v>2</v>
      </c>
      <c r="G155" s="22"/>
      <c r="H155" s="43"/>
      <c r="I155" s="9">
        <f t="shared" si="15"/>
        <v>2</v>
      </c>
      <c r="J155" s="4">
        <v>45296</v>
      </c>
    </row>
    <row r="156" spans="2:10" x14ac:dyDescent="0.15">
      <c r="B156" s="20" t="s">
        <v>13</v>
      </c>
      <c r="C156" s="42"/>
      <c r="D156" s="22"/>
      <c r="E156" s="22"/>
      <c r="F156" s="22"/>
      <c r="G156" s="22"/>
      <c r="H156" s="43">
        <v>1</v>
      </c>
      <c r="I156" s="9">
        <f t="shared" si="15"/>
        <v>1</v>
      </c>
      <c r="J156" s="4">
        <v>45341</v>
      </c>
    </row>
    <row r="157" spans="2:10" ht="14.25" thickBot="1" x14ac:dyDescent="0.2">
      <c r="B157" s="20" t="s">
        <v>13</v>
      </c>
      <c r="C157" s="44"/>
      <c r="D157" s="30"/>
      <c r="E157" s="30"/>
      <c r="F157" s="30"/>
      <c r="G157" s="30"/>
      <c r="H157" s="45">
        <v>1</v>
      </c>
      <c r="I157" s="10">
        <f t="shared" si="15"/>
        <v>1</v>
      </c>
      <c r="J157" s="4">
        <v>45348</v>
      </c>
    </row>
    <row r="158" spans="2:10" ht="14.25" thickBot="1" x14ac:dyDescent="0.2">
      <c r="B158" s="21" t="s">
        <v>2</v>
      </c>
      <c r="C158" s="51">
        <f>SUM(C133:C157)</f>
        <v>8</v>
      </c>
      <c r="D158" s="36">
        <f>SUM(D133:D157)</f>
        <v>12</v>
      </c>
      <c r="E158" s="36">
        <f>SUM(E133:E157)</f>
        <v>1</v>
      </c>
      <c r="F158" s="36">
        <f>SUM(F133:F157)</f>
        <v>3</v>
      </c>
      <c r="G158" s="36">
        <f>SUM(G133:G157)</f>
        <v>2</v>
      </c>
      <c r="H158" s="34">
        <f t="shared" ref="H158" si="18">SUM(H133:H157)</f>
        <v>4</v>
      </c>
      <c r="I158" s="11">
        <f t="shared" si="15"/>
        <v>30</v>
      </c>
    </row>
    <row r="159" spans="2:10" ht="14.25" thickBot="1" x14ac:dyDescent="0.2">
      <c r="B159" s="19" t="s">
        <v>3</v>
      </c>
      <c r="C159" s="46">
        <f>+C132-C158</f>
        <v>4</v>
      </c>
      <c r="D159" s="33">
        <f>+D132-D158</f>
        <v>5</v>
      </c>
      <c r="E159" s="33">
        <f>+E132-E158</f>
        <v>2</v>
      </c>
      <c r="F159" s="33">
        <f>+F132-F158</f>
        <v>2</v>
      </c>
      <c r="G159" s="33">
        <f>+G132-G158</f>
        <v>2</v>
      </c>
      <c r="H159" s="37">
        <f t="shared" ref="H159" si="19">+H132-H158</f>
        <v>2</v>
      </c>
      <c r="I159" s="13">
        <f t="shared" si="15"/>
        <v>17</v>
      </c>
    </row>
    <row r="161" spans="1:10" ht="18.75" x14ac:dyDescent="0.2">
      <c r="B161" s="6" t="s">
        <v>6</v>
      </c>
      <c r="C161" s="7"/>
      <c r="D161" s="7"/>
      <c r="E161" s="7"/>
      <c r="F161" s="7"/>
      <c r="G161" s="7"/>
      <c r="H161" s="7"/>
      <c r="I161" s="7">
        <v>874</v>
      </c>
    </row>
    <row r="162" spans="1:10" ht="14.25" thickBot="1" x14ac:dyDescent="0.2"/>
    <row r="163" spans="1:10" ht="14.25" thickBot="1" x14ac:dyDescent="0.2">
      <c r="B163" s="2"/>
      <c r="C163" s="15"/>
      <c r="D163" s="15"/>
      <c r="E163" s="15"/>
      <c r="F163" s="15"/>
      <c r="G163" s="15"/>
      <c r="H163" s="15"/>
      <c r="I163" s="16"/>
    </row>
    <row r="164" spans="1:10" ht="14.25" thickBot="1" x14ac:dyDescent="0.2">
      <c r="A164" s="1"/>
      <c r="B164" s="21"/>
      <c r="C164" s="38" t="s">
        <v>9</v>
      </c>
      <c r="D164" s="26" t="s">
        <v>8</v>
      </c>
      <c r="E164" s="27" t="s">
        <v>11</v>
      </c>
      <c r="F164" s="28" t="s">
        <v>12</v>
      </c>
      <c r="G164" s="29" t="s">
        <v>10</v>
      </c>
      <c r="H164" s="39" t="s">
        <v>7</v>
      </c>
      <c r="I164" s="8" t="s">
        <v>0</v>
      </c>
    </row>
    <row r="165" spans="1:10" x14ac:dyDescent="0.15">
      <c r="B165" s="24" t="s">
        <v>3</v>
      </c>
      <c r="C165" s="40">
        <f>C159</f>
        <v>4</v>
      </c>
      <c r="D165" s="25">
        <f>D159</f>
        <v>5</v>
      </c>
      <c r="E165" s="25">
        <f>E159</f>
        <v>2</v>
      </c>
      <c r="F165" s="25">
        <f>F159</f>
        <v>2</v>
      </c>
      <c r="G165" s="25">
        <f>G159</f>
        <v>2</v>
      </c>
      <c r="H165" s="41">
        <f t="shared" ref="H165" si="20">H159</f>
        <v>2</v>
      </c>
      <c r="I165" s="52">
        <f>SUM(C165:H165)</f>
        <v>17</v>
      </c>
    </row>
    <row r="166" spans="1:10" x14ac:dyDescent="0.15">
      <c r="B166" s="18" t="s">
        <v>4</v>
      </c>
      <c r="C166" s="44"/>
      <c r="D166" s="30">
        <v>5</v>
      </c>
      <c r="E166" s="30"/>
      <c r="F166" s="30"/>
      <c r="G166" s="30"/>
      <c r="H166" s="45"/>
      <c r="I166" s="10">
        <f t="shared" ref="I166:I172" si="21">SUM(C166:H166)</f>
        <v>5</v>
      </c>
      <c r="J166" s="4">
        <v>45364</v>
      </c>
    </row>
    <row r="167" spans="1:10" x14ac:dyDescent="0.15">
      <c r="B167" s="18" t="s">
        <v>4</v>
      </c>
      <c r="C167" s="44">
        <v>3</v>
      </c>
      <c r="D167" s="30"/>
      <c r="E167" s="30">
        <v>1</v>
      </c>
      <c r="F167" s="30">
        <v>1</v>
      </c>
      <c r="G167" s="30">
        <v>1</v>
      </c>
      <c r="H167" s="45">
        <v>1</v>
      </c>
      <c r="I167" s="10">
        <f t="shared" si="21"/>
        <v>7</v>
      </c>
      <c r="J167" s="4">
        <v>45390</v>
      </c>
    </row>
    <row r="168" spans="1:10" x14ac:dyDescent="0.15">
      <c r="B168" s="18" t="s">
        <v>4</v>
      </c>
      <c r="C168" s="44"/>
      <c r="D168" s="30">
        <v>3</v>
      </c>
      <c r="E168" s="30"/>
      <c r="F168" s="30"/>
      <c r="G168" s="30"/>
      <c r="H168" s="45"/>
      <c r="I168" s="10">
        <f t="shared" si="21"/>
        <v>3</v>
      </c>
      <c r="J168" s="4">
        <v>45469</v>
      </c>
    </row>
    <row r="169" spans="1:10" x14ac:dyDescent="0.15">
      <c r="B169" s="18" t="s">
        <v>4</v>
      </c>
      <c r="C169" s="44"/>
      <c r="D169" s="30"/>
      <c r="E169" s="30"/>
      <c r="F169" s="30"/>
      <c r="G169" s="30"/>
      <c r="H169" s="45">
        <v>2</v>
      </c>
      <c r="I169" s="10">
        <f t="shared" si="21"/>
        <v>2</v>
      </c>
      <c r="J169" s="4" t="s">
        <v>17</v>
      </c>
    </row>
    <row r="170" spans="1:10" x14ac:dyDescent="0.15">
      <c r="B170" s="18" t="s">
        <v>16</v>
      </c>
      <c r="C170" s="44"/>
      <c r="D170" s="30"/>
      <c r="E170" s="30"/>
      <c r="F170" s="30"/>
      <c r="G170" s="30">
        <v>-1</v>
      </c>
      <c r="H170" s="45">
        <v>1</v>
      </c>
      <c r="I170" s="10">
        <f t="shared" si="21"/>
        <v>0</v>
      </c>
      <c r="J170" s="4">
        <v>45526</v>
      </c>
    </row>
    <row r="171" spans="1:10" x14ac:dyDescent="0.15">
      <c r="B171" s="18" t="s">
        <v>4</v>
      </c>
      <c r="C171" s="44">
        <v>3</v>
      </c>
      <c r="D171" s="30">
        <v>3</v>
      </c>
      <c r="E171" s="30"/>
      <c r="F171" s="30"/>
      <c r="G171" s="30"/>
      <c r="H171" s="45"/>
      <c r="I171" s="10">
        <f t="shared" si="21"/>
        <v>6</v>
      </c>
      <c r="J171" s="4">
        <v>45544</v>
      </c>
    </row>
    <row r="172" spans="1:10" x14ac:dyDescent="0.15">
      <c r="B172" s="18" t="s">
        <v>4</v>
      </c>
      <c r="C172" s="44">
        <v>-1</v>
      </c>
      <c r="D172" s="30">
        <v>-1</v>
      </c>
      <c r="E172" s="30"/>
      <c r="F172" s="30"/>
      <c r="G172" s="30">
        <v>1</v>
      </c>
      <c r="H172" s="45">
        <v>-1</v>
      </c>
      <c r="I172" s="10">
        <f t="shared" si="21"/>
        <v>-2</v>
      </c>
      <c r="J172" s="4">
        <v>45567</v>
      </c>
    </row>
    <row r="173" spans="1:10" x14ac:dyDescent="0.15">
      <c r="B173" s="18" t="s">
        <v>4</v>
      </c>
      <c r="C173" s="44">
        <v>2</v>
      </c>
      <c r="D173" s="30">
        <v>5</v>
      </c>
      <c r="E173" s="30"/>
      <c r="F173" s="30">
        <v>2</v>
      </c>
      <c r="G173" s="30"/>
      <c r="H173" s="45"/>
      <c r="I173" s="10">
        <f t="shared" ref="I173:I202" si="22">SUM(C173:H173)</f>
        <v>9</v>
      </c>
      <c r="J173" s="4">
        <v>45616</v>
      </c>
    </row>
    <row r="174" spans="1:10" ht="14.25" thickBot="1" x14ac:dyDescent="0.2">
      <c r="B174" s="18" t="s">
        <v>4</v>
      </c>
      <c r="C174" s="44"/>
      <c r="D174" s="30"/>
      <c r="E174" s="30"/>
      <c r="F174" s="30"/>
      <c r="G174" s="30"/>
      <c r="H174" s="45"/>
      <c r="I174" s="10">
        <f t="shared" si="22"/>
        <v>0</v>
      </c>
      <c r="J174" s="4"/>
    </row>
    <row r="175" spans="1:10" ht="14.25" thickBot="1" x14ac:dyDescent="0.2">
      <c r="B175" s="19" t="s">
        <v>1</v>
      </c>
      <c r="C175" s="46">
        <f>SUM(C165:C174)</f>
        <v>11</v>
      </c>
      <c r="D175" s="33">
        <f>SUM(D165:D174)</f>
        <v>20</v>
      </c>
      <c r="E175" s="33">
        <f>SUM(E165:E174)</f>
        <v>3</v>
      </c>
      <c r="F175" s="33">
        <f>SUM(F165:F174)</f>
        <v>5</v>
      </c>
      <c r="G175" s="33">
        <f>SUM(G165:G174)</f>
        <v>3</v>
      </c>
      <c r="H175" s="37">
        <f t="shared" ref="H175" si="23">SUM(H165:H174)</f>
        <v>5</v>
      </c>
      <c r="I175" s="11">
        <f t="shared" si="22"/>
        <v>47</v>
      </c>
    </row>
    <row r="176" spans="1:10" x14ac:dyDescent="0.15">
      <c r="B176" s="20" t="s">
        <v>13</v>
      </c>
      <c r="C176" s="42">
        <v>1</v>
      </c>
      <c r="D176" s="22"/>
      <c r="E176" s="22"/>
      <c r="F176" s="22"/>
      <c r="G176" s="22"/>
      <c r="H176" s="43"/>
      <c r="I176" s="9">
        <f t="shared" ref="I176:I198" si="24">SUM(C176:H176)</f>
        <v>1</v>
      </c>
      <c r="J176" s="4">
        <v>45369</v>
      </c>
    </row>
    <row r="177" spans="2:10" x14ac:dyDescent="0.15">
      <c r="B177" s="20" t="s">
        <v>13</v>
      </c>
      <c r="C177" s="42">
        <v>1</v>
      </c>
      <c r="D177" s="22"/>
      <c r="E177" s="22"/>
      <c r="F177" s="22"/>
      <c r="G177" s="22"/>
      <c r="H177" s="43"/>
      <c r="I177" s="9">
        <f t="shared" si="24"/>
        <v>1</v>
      </c>
      <c r="J177" s="4">
        <v>45412</v>
      </c>
    </row>
    <row r="178" spans="2:10" x14ac:dyDescent="0.15">
      <c r="B178" s="20" t="s">
        <v>13</v>
      </c>
      <c r="C178" s="42">
        <v>1</v>
      </c>
      <c r="D178" s="22">
        <v>1</v>
      </c>
      <c r="E178" s="22"/>
      <c r="F178" s="22"/>
      <c r="G178" s="22"/>
      <c r="H178" s="43"/>
      <c r="I178" s="9">
        <f t="shared" si="24"/>
        <v>2</v>
      </c>
      <c r="J178" s="4">
        <v>45414</v>
      </c>
    </row>
    <row r="179" spans="2:10" x14ac:dyDescent="0.15">
      <c r="B179" s="20" t="s">
        <v>13</v>
      </c>
      <c r="C179" s="42"/>
      <c r="D179" s="22">
        <v>1</v>
      </c>
      <c r="E179" s="22"/>
      <c r="F179" s="22"/>
      <c r="G179" s="22"/>
      <c r="H179" s="43">
        <v>1</v>
      </c>
      <c r="I179" s="9">
        <f t="shared" si="24"/>
        <v>2</v>
      </c>
      <c r="J179" s="4">
        <v>45419</v>
      </c>
    </row>
    <row r="180" spans="2:10" x14ac:dyDescent="0.15">
      <c r="B180" s="20" t="s">
        <v>13</v>
      </c>
      <c r="C180" s="42"/>
      <c r="D180" s="22">
        <v>1</v>
      </c>
      <c r="E180" s="22"/>
      <c r="F180" s="22"/>
      <c r="G180" s="22"/>
      <c r="H180" s="43"/>
      <c r="I180" s="9">
        <f t="shared" si="24"/>
        <v>1</v>
      </c>
      <c r="J180" s="4">
        <v>45442</v>
      </c>
    </row>
    <row r="181" spans="2:10" x14ac:dyDescent="0.15">
      <c r="B181" s="20" t="s">
        <v>13</v>
      </c>
      <c r="C181" s="42"/>
      <c r="D181" s="22">
        <v>1</v>
      </c>
      <c r="E181" s="22"/>
      <c r="F181" s="22"/>
      <c r="G181" s="22"/>
      <c r="H181" s="43"/>
      <c r="I181" s="9">
        <f t="shared" si="24"/>
        <v>1</v>
      </c>
      <c r="J181" s="4">
        <v>45449</v>
      </c>
    </row>
    <row r="182" spans="2:10" x14ac:dyDescent="0.15">
      <c r="B182" s="20" t="s">
        <v>13</v>
      </c>
      <c r="C182" s="42"/>
      <c r="D182" s="22">
        <v>2</v>
      </c>
      <c r="E182" s="22"/>
      <c r="F182" s="22"/>
      <c r="G182" s="22"/>
      <c r="H182" s="43"/>
      <c r="I182" s="9">
        <f t="shared" si="24"/>
        <v>2</v>
      </c>
      <c r="J182" s="4">
        <v>45467</v>
      </c>
    </row>
    <row r="183" spans="2:10" x14ac:dyDescent="0.15">
      <c r="B183" s="20" t="s">
        <v>13</v>
      </c>
      <c r="C183" s="42"/>
      <c r="D183" s="22">
        <v>1</v>
      </c>
      <c r="E183" s="22"/>
      <c r="F183" s="22"/>
      <c r="G183" s="22"/>
      <c r="H183" s="43"/>
      <c r="I183" s="9">
        <f t="shared" si="24"/>
        <v>1</v>
      </c>
      <c r="J183" s="4">
        <v>45484</v>
      </c>
    </row>
    <row r="184" spans="2:10" x14ac:dyDescent="0.15">
      <c r="B184" s="20" t="s">
        <v>13</v>
      </c>
      <c r="C184" s="42"/>
      <c r="D184" s="22"/>
      <c r="E184" s="22"/>
      <c r="F184" s="22"/>
      <c r="G184" s="22"/>
      <c r="H184" s="43">
        <v>1</v>
      </c>
      <c r="I184" s="9">
        <f t="shared" si="24"/>
        <v>1</v>
      </c>
      <c r="J184" s="4">
        <v>45499</v>
      </c>
    </row>
    <row r="185" spans="2:10" x14ac:dyDescent="0.15">
      <c r="B185" s="20" t="s">
        <v>13</v>
      </c>
      <c r="C185" s="42"/>
      <c r="D185" s="22">
        <v>1</v>
      </c>
      <c r="E185" s="22"/>
      <c r="F185" s="22"/>
      <c r="G185" s="22"/>
      <c r="H185" s="43"/>
      <c r="I185" s="9">
        <f t="shared" si="24"/>
        <v>1</v>
      </c>
      <c r="J185" s="4">
        <v>45520</v>
      </c>
    </row>
    <row r="186" spans="2:10" x14ac:dyDescent="0.15">
      <c r="B186" s="20" t="s">
        <v>13</v>
      </c>
      <c r="C186" s="42"/>
      <c r="D186" s="22">
        <v>1</v>
      </c>
      <c r="E186" s="22"/>
      <c r="F186" s="22"/>
      <c r="G186" s="22"/>
      <c r="H186" s="43"/>
      <c r="I186" s="9">
        <f t="shared" si="24"/>
        <v>1</v>
      </c>
      <c r="J186" s="4">
        <v>45523</v>
      </c>
    </row>
    <row r="187" spans="2:10" x14ac:dyDescent="0.15">
      <c r="B187" s="20" t="s">
        <v>13</v>
      </c>
      <c r="C187" s="42">
        <v>1</v>
      </c>
      <c r="D187" s="22"/>
      <c r="E187" s="22"/>
      <c r="F187" s="22"/>
      <c r="G187" s="22"/>
      <c r="H187" s="43"/>
      <c r="I187" s="9">
        <f t="shared" ref="I187" si="25">SUM(C187:H187)</f>
        <v>1</v>
      </c>
      <c r="J187" s="4">
        <v>45540</v>
      </c>
    </row>
    <row r="188" spans="2:10" x14ac:dyDescent="0.15">
      <c r="B188" s="20" t="s">
        <v>13</v>
      </c>
      <c r="C188" s="42"/>
      <c r="D188" s="22"/>
      <c r="E188" s="22"/>
      <c r="F188" s="22"/>
      <c r="G188" s="22">
        <v>1</v>
      </c>
      <c r="H188" s="43"/>
      <c r="I188" s="9">
        <f t="shared" si="24"/>
        <v>1</v>
      </c>
      <c r="J188" s="4">
        <v>45552</v>
      </c>
    </row>
    <row r="189" spans="2:10" x14ac:dyDescent="0.15">
      <c r="B189" s="20" t="s">
        <v>13</v>
      </c>
      <c r="C189" s="42">
        <v>1</v>
      </c>
      <c r="D189" s="22"/>
      <c r="E189" s="22"/>
      <c r="F189" s="22"/>
      <c r="G189" s="22"/>
      <c r="H189" s="43"/>
      <c r="I189" s="9">
        <f t="shared" si="24"/>
        <v>1</v>
      </c>
      <c r="J189" s="4">
        <v>45554</v>
      </c>
    </row>
    <row r="190" spans="2:10" x14ac:dyDescent="0.15">
      <c r="B190" s="20" t="s">
        <v>13</v>
      </c>
      <c r="C190" s="42"/>
      <c r="D190" s="22"/>
      <c r="E190" s="22">
        <v>1</v>
      </c>
      <c r="F190" s="22">
        <v>1</v>
      </c>
      <c r="G190" s="22"/>
      <c r="H190" s="43"/>
      <c r="I190" s="9">
        <f t="shared" si="24"/>
        <v>2</v>
      </c>
      <c r="J190" s="4">
        <v>45561</v>
      </c>
    </row>
    <row r="191" spans="2:10" x14ac:dyDescent="0.15">
      <c r="B191" s="20" t="s">
        <v>13</v>
      </c>
      <c r="C191" s="42">
        <v>1</v>
      </c>
      <c r="D191" s="22"/>
      <c r="E191" s="22"/>
      <c r="F191" s="22"/>
      <c r="G191" s="22"/>
      <c r="H191" s="43"/>
      <c r="I191" s="9">
        <f t="shared" si="24"/>
        <v>1</v>
      </c>
      <c r="J191" s="4">
        <v>45565</v>
      </c>
    </row>
    <row r="192" spans="2:10" x14ac:dyDescent="0.15">
      <c r="B192" s="20" t="s">
        <v>13</v>
      </c>
      <c r="C192" s="42"/>
      <c r="D192" s="22">
        <v>1</v>
      </c>
      <c r="E192" s="22"/>
      <c r="F192" s="22"/>
      <c r="G192" s="22"/>
      <c r="H192" s="43"/>
      <c r="I192" s="9">
        <f t="shared" si="24"/>
        <v>1</v>
      </c>
      <c r="J192" s="4">
        <v>45566</v>
      </c>
    </row>
    <row r="193" spans="2:10" x14ac:dyDescent="0.15">
      <c r="B193" s="20" t="s">
        <v>13</v>
      </c>
      <c r="C193" s="42"/>
      <c r="D193" s="22">
        <v>1</v>
      </c>
      <c r="E193" s="22"/>
      <c r="F193" s="22"/>
      <c r="G193" s="22"/>
      <c r="H193" s="43"/>
      <c r="I193" s="9">
        <f t="shared" si="24"/>
        <v>1</v>
      </c>
      <c r="J193" s="4">
        <v>45576</v>
      </c>
    </row>
    <row r="194" spans="2:10" x14ac:dyDescent="0.15">
      <c r="B194" s="20" t="s">
        <v>13</v>
      </c>
      <c r="C194" s="42"/>
      <c r="D194" s="22">
        <v>1</v>
      </c>
      <c r="E194" s="22"/>
      <c r="F194" s="22"/>
      <c r="G194" s="22"/>
      <c r="H194" s="43"/>
      <c r="I194" s="9">
        <f t="shared" si="24"/>
        <v>1</v>
      </c>
      <c r="J194" s="4">
        <v>45603</v>
      </c>
    </row>
    <row r="195" spans="2:10" x14ac:dyDescent="0.15">
      <c r="B195" s="20" t="s">
        <v>13</v>
      </c>
      <c r="C195" s="42">
        <v>1</v>
      </c>
      <c r="D195" s="22"/>
      <c r="E195" s="22"/>
      <c r="F195" s="22"/>
      <c r="G195" s="22">
        <v>1</v>
      </c>
      <c r="H195" s="43"/>
      <c r="I195" s="9">
        <f t="shared" si="24"/>
        <v>2</v>
      </c>
      <c r="J195" s="4">
        <v>45607</v>
      </c>
    </row>
    <row r="196" spans="2:10" x14ac:dyDescent="0.15">
      <c r="B196" s="20" t="s">
        <v>13</v>
      </c>
      <c r="C196" s="42"/>
      <c r="D196" s="22">
        <v>1</v>
      </c>
      <c r="E196" s="22"/>
      <c r="F196" s="22">
        <v>1</v>
      </c>
      <c r="G196" s="22"/>
      <c r="H196" s="43"/>
      <c r="I196" s="9">
        <f t="shared" si="24"/>
        <v>2</v>
      </c>
      <c r="J196" s="4">
        <v>45608</v>
      </c>
    </row>
    <row r="197" spans="2:10" x14ac:dyDescent="0.15">
      <c r="B197" s="20" t="s">
        <v>13</v>
      </c>
      <c r="C197" s="42"/>
      <c r="D197" s="22">
        <v>1</v>
      </c>
      <c r="E197" s="22"/>
      <c r="F197" s="22"/>
      <c r="G197" s="22"/>
      <c r="H197" s="43"/>
      <c r="I197" s="9">
        <f t="shared" si="24"/>
        <v>1</v>
      </c>
      <c r="J197" s="4">
        <v>45610</v>
      </c>
    </row>
    <row r="198" spans="2:10" x14ac:dyDescent="0.15">
      <c r="B198" s="20" t="s">
        <v>13</v>
      </c>
      <c r="C198" s="42"/>
      <c r="D198" s="22">
        <v>1</v>
      </c>
      <c r="E198" s="22"/>
      <c r="F198" s="22"/>
      <c r="G198" s="22"/>
      <c r="H198" s="43"/>
      <c r="I198" s="9">
        <f t="shared" si="24"/>
        <v>1</v>
      </c>
      <c r="J198" s="4">
        <v>45631</v>
      </c>
    </row>
    <row r="199" spans="2:10" x14ac:dyDescent="0.15">
      <c r="B199" s="20" t="s">
        <v>13</v>
      </c>
      <c r="C199" s="42">
        <v>1</v>
      </c>
      <c r="D199" s="22">
        <v>1</v>
      </c>
      <c r="E199" s="22"/>
      <c r="F199" s="22"/>
      <c r="G199" s="22"/>
      <c r="H199" s="43"/>
      <c r="I199" s="9">
        <f t="shared" si="22"/>
        <v>2</v>
      </c>
      <c r="J199" s="4">
        <v>45635</v>
      </c>
    </row>
    <row r="200" spans="2:10" ht="14.25" thickBot="1" x14ac:dyDescent="0.2">
      <c r="B200" s="20" t="s">
        <v>13</v>
      </c>
      <c r="C200" s="44">
        <v>1</v>
      </c>
      <c r="D200" s="30"/>
      <c r="E200" s="30"/>
      <c r="F200" s="30"/>
      <c r="G200" s="30"/>
      <c r="H200" s="45">
        <v>1</v>
      </c>
      <c r="I200" s="10">
        <f t="shared" si="22"/>
        <v>2</v>
      </c>
      <c r="J200" s="4">
        <v>45636</v>
      </c>
    </row>
    <row r="201" spans="2:10" ht="14.25" thickBot="1" x14ac:dyDescent="0.2">
      <c r="B201" s="21" t="s">
        <v>2</v>
      </c>
      <c r="C201" s="51">
        <f>SUM(C176:C200)</f>
        <v>9</v>
      </c>
      <c r="D201" s="36">
        <f>SUM(D176:D200)</f>
        <v>16</v>
      </c>
      <c r="E201" s="36">
        <f>SUM(E176:E200)</f>
        <v>1</v>
      </c>
      <c r="F201" s="36">
        <f>SUM(F176:F200)</f>
        <v>2</v>
      </c>
      <c r="G201" s="36">
        <f>SUM(G176:G200)</f>
        <v>2</v>
      </c>
      <c r="H201" s="34">
        <f t="shared" ref="H201" si="26">SUM(H176:H200)</f>
        <v>3</v>
      </c>
      <c r="I201" s="11">
        <f t="shared" si="22"/>
        <v>33</v>
      </c>
    </row>
    <row r="202" spans="2:10" ht="14.25" thickBot="1" x14ac:dyDescent="0.2">
      <c r="B202" s="19" t="s">
        <v>3</v>
      </c>
      <c r="C202" s="46">
        <f>+C175-C201</f>
        <v>2</v>
      </c>
      <c r="D202" s="33">
        <f>+D175-D201</f>
        <v>4</v>
      </c>
      <c r="E202" s="33">
        <f>+E175-E201</f>
        <v>2</v>
      </c>
      <c r="F202" s="33">
        <f>+F175-F201</f>
        <v>3</v>
      </c>
      <c r="G202" s="33">
        <f>+G175-G201</f>
        <v>1</v>
      </c>
      <c r="H202" s="37">
        <f t="shared" ref="H202" si="27">+H175-H201</f>
        <v>2</v>
      </c>
      <c r="I202" s="13">
        <f t="shared" si="22"/>
        <v>14</v>
      </c>
    </row>
    <row r="204" spans="2:10" ht="18.75" x14ac:dyDescent="0.2">
      <c r="B204" s="6" t="s">
        <v>6</v>
      </c>
      <c r="C204" s="7"/>
      <c r="D204" s="7"/>
      <c r="E204" s="7"/>
      <c r="F204" s="7"/>
      <c r="G204" s="7"/>
      <c r="H204" s="7"/>
      <c r="I204" s="7">
        <v>874</v>
      </c>
    </row>
    <row r="205" spans="2:10" ht="14.25" thickBot="1" x14ac:dyDescent="0.2"/>
    <row r="206" spans="2:10" ht="14.25" thickBot="1" x14ac:dyDescent="0.2">
      <c r="B206" s="2"/>
      <c r="C206" s="15"/>
      <c r="D206" s="15"/>
      <c r="E206" s="15"/>
      <c r="F206" s="15"/>
      <c r="G206" s="15"/>
      <c r="H206" s="15"/>
      <c r="I206" s="16"/>
    </row>
    <row r="207" spans="2:10" ht="14.25" thickBot="1" x14ac:dyDescent="0.2">
      <c r="B207" s="21"/>
      <c r="C207" s="38" t="s">
        <v>9</v>
      </c>
      <c r="D207" s="26" t="s">
        <v>8</v>
      </c>
      <c r="E207" s="27" t="s">
        <v>11</v>
      </c>
      <c r="F207" s="28" t="s">
        <v>12</v>
      </c>
      <c r="G207" s="29" t="s">
        <v>10</v>
      </c>
      <c r="H207" s="39" t="s">
        <v>7</v>
      </c>
      <c r="I207" s="8" t="s">
        <v>0</v>
      </c>
    </row>
    <row r="208" spans="2:10" x14ac:dyDescent="0.15">
      <c r="B208" s="24" t="s">
        <v>3</v>
      </c>
      <c r="C208" s="40">
        <f>C202</f>
        <v>2</v>
      </c>
      <c r="D208" s="25">
        <f>D202</f>
        <v>4</v>
      </c>
      <c r="E208" s="25">
        <f>E202</f>
        <v>2</v>
      </c>
      <c r="F208" s="25">
        <f>F202</f>
        <v>3</v>
      </c>
      <c r="G208" s="25">
        <f>G202</f>
        <v>1</v>
      </c>
      <c r="H208" s="41">
        <f t="shared" ref="H208" si="28">H202</f>
        <v>2</v>
      </c>
      <c r="I208" s="52">
        <f>SUM(C208:H208)</f>
        <v>14</v>
      </c>
    </row>
    <row r="209" spans="2:10" x14ac:dyDescent="0.15">
      <c r="B209" s="18" t="s">
        <v>4</v>
      </c>
      <c r="C209" s="44">
        <v>5</v>
      </c>
      <c r="D209" s="30"/>
      <c r="E209" s="30">
        <v>2</v>
      </c>
      <c r="F209" s="30"/>
      <c r="G209" s="30">
        <v>2</v>
      </c>
      <c r="H209" s="45"/>
      <c r="I209" s="10">
        <f t="shared" ref="I209:I245" si="29">SUM(C209:H209)</f>
        <v>9</v>
      </c>
      <c r="J209" s="4">
        <v>45642</v>
      </c>
    </row>
    <row r="210" spans="2:10" x14ac:dyDescent="0.15">
      <c r="B210" s="18" t="s">
        <v>4</v>
      </c>
      <c r="C210" s="44">
        <v>-1</v>
      </c>
      <c r="D210" s="30"/>
      <c r="E210" s="30"/>
      <c r="F210" s="30"/>
      <c r="G210" s="30"/>
      <c r="H210" s="45"/>
      <c r="I210" s="10">
        <f t="shared" si="29"/>
        <v>-1</v>
      </c>
    </row>
    <row r="211" spans="2:10" x14ac:dyDescent="0.15">
      <c r="B211" s="18" t="s">
        <v>4</v>
      </c>
      <c r="C211" s="44">
        <v>5</v>
      </c>
      <c r="D211" s="30">
        <v>20</v>
      </c>
      <c r="E211" s="30"/>
      <c r="F211" s="30"/>
      <c r="G211" s="30"/>
      <c r="H211" s="45"/>
      <c r="I211" s="10">
        <f t="shared" si="29"/>
        <v>25</v>
      </c>
      <c r="J211" s="4">
        <v>45647</v>
      </c>
    </row>
    <row r="212" spans="2:10" x14ac:dyDescent="0.15">
      <c r="B212" s="18" t="s">
        <v>4</v>
      </c>
      <c r="C212" s="44">
        <v>3</v>
      </c>
      <c r="D212" s="30"/>
      <c r="E212" s="30"/>
      <c r="F212" s="30"/>
      <c r="G212" s="30"/>
      <c r="H212" s="45">
        <v>1</v>
      </c>
      <c r="I212" s="10">
        <f t="shared" si="29"/>
        <v>4</v>
      </c>
      <c r="J212" s="4">
        <v>45665</v>
      </c>
    </row>
    <row r="213" spans="2:10" x14ac:dyDescent="0.15">
      <c r="B213" s="18" t="s">
        <v>4</v>
      </c>
      <c r="C213" s="44">
        <v>10</v>
      </c>
      <c r="D213" s="30">
        <v>8</v>
      </c>
      <c r="E213" s="30"/>
      <c r="F213" s="30"/>
      <c r="G213" s="30"/>
      <c r="H213" s="45"/>
      <c r="I213" s="10">
        <f t="shared" si="29"/>
        <v>18</v>
      </c>
      <c r="J213" s="4">
        <v>45678</v>
      </c>
    </row>
    <row r="214" spans="2:10" x14ac:dyDescent="0.15">
      <c r="B214" s="18" t="s">
        <v>4</v>
      </c>
      <c r="C214" s="44">
        <v>10</v>
      </c>
      <c r="D214" s="30">
        <v>10</v>
      </c>
      <c r="E214" s="30">
        <v>1</v>
      </c>
      <c r="F214" s="30">
        <v>2</v>
      </c>
      <c r="G214" s="30">
        <v>3</v>
      </c>
      <c r="H214" s="45">
        <v>1</v>
      </c>
      <c r="I214" s="10">
        <f t="shared" si="29"/>
        <v>27</v>
      </c>
      <c r="J214" s="4">
        <v>45686</v>
      </c>
    </row>
    <row r="215" spans="2:10" x14ac:dyDescent="0.15">
      <c r="B215" s="18" t="s">
        <v>4</v>
      </c>
      <c r="C215" s="44"/>
      <c r="D215" s="30"/>
      <c r="E215" s="30"/>
      <c r="F215" s="30"/>
      <c r="G215" s="30"/>
      <c r="H215" s="45"/>
      <c r="I215" s="10">
        <f t="shared" si="29"/>
        <v>0</v>
      </c>
    </row>
    <row r="216" spans="2:10" x14ac:dyDescent="0.15">
      <c r="B216" s="18" t="s">
        <v>4</v>
      </c>
      <c r="C216" s="44"/>
      <c r="D216" s="30"/>
      <c r="E216" s="30"/>
      <c r="F216" s="30"/>
      <c r="G216" s="30"/>
      <c r="H216" s="45"/>
      <c r="I216" s="10">
        <f t="shared" si="29"/>
        <v>0</v>
      </c>
    </row>
    <row r="217" spans="2:10" ht="14.25" thickBot="1" x14ac:dyDescent="0.2">
      <c r="B217" s="18" t="s">
        <v>4</v>
      </c>
      <c r="C217" s="44"/>
      <c r="D217" s="30"/>
      <c r="E217" s="30"/>
      <c r="F217" s="30"/>
      <c r="G217" s="30"/>
      <c r="H217" s="45"/>
      <c r="I217" s="10">
        <f t="shared" si="29"/>
        <v>0</v>
      </c>
    </row>
    <row r="218" spans="2:10" ht="14.25" thickBot="1" x14ac:dyDescent="0.2">
      <c r="B218" s="19" t="s">
        <v>1</v>
      </c>
      <c r="C218" s="46">
        <f>SUM(C208:C217)</f>
        <v>34</v>
      </c>
      <c r="D218" s="33">
        <f>SUM(D208:D217)</f>
        <v>42</v>
      </c>
      <c r="E218" s="33">
        <f>SUM(E208:E217)</f>
        <v>5</v>
      </c>
      <c r="F218" s="33">
        <f>SUM(F208:F217)</f>
        <v>5</v>
      </c>
      <c r="G218" s="33">
        <f>SUM(G208:G217)</f>
        <v>6</v>
      </c>
      <c r="H218" s="37">
        <f t="shared" ref="H218" si="30">SUM(H208:H217)</f>
        <v>4</v>
      </c>
      <c r="I218" s="11">
        <f t="shared" si="29"/>
        <v>96</v>
      </c>
    </row>
    <row r="219" spans="2:10" x14ac:dyDescent="0.15">
      <c r="B219" s="20" t="s">
        <v>13</v>
      </c>
      <c r="C219" s="42"/>
      <c r="D219" s="22"/>
      <c r="E219" s="22">
        <v>1</v>
      </c>
      <c r="F219" s="22"/>
      <c r="G219" s="22"/>
      <c r="H219" s="43"/>
      <c r="I219" s="9">
        <f t="shared" si="29"/>
        <v>1</v>
      </c>
      <c r="J219" s="4">
        <v>45637</v>
      </c>
    </row>
    <row r="220" spans="2:10" x14ac:dyDescent="0.15">
      <c r="B220" s="20" t="s">
        <v>13</v>
      </c>
      <c r="C220" s="42">
        <v>1</v>
      </c>
      <c r="D220" s="22"/>
      <c r="E220" s="22"/>
      <c r="F220" s="22"/>
      <c r="G220" s="22"/>
      <c r="H220" s="43"/>
      <c r="I220" s="9">
        <f t="shared" si="29"/>
        <v>1</v>
      </c>
      <c r="J220" s="4">
        <v>45638</v>
      </c>
    </row>
    <row r="221" spans="2:10" x14ac:dyDescent="0.15">
      <c r="B221" s="20" t="s">
        <v>13</v>
      </c>
      <c r="C221" s="42"/>
      <c r="D221" s="22">
        <v>1</v>
      </c>
      <c r="E221" s="22"/>
      <c r="F221" s="22"/>
      <c r="G221" s="22"/>
      <c r="H221" s="43"/>
      <c r="I221" s="9">
        <f t="shared" si="29"/>
        <v>1</v>
      </c>
      <c r="J221" s="4">
        <v>45642</v>
      </c>
    </row>
    <row r="222" spans="2:10" x14ac:dyDescent="0.15">
      <c r="B222" s="20" t="s">
        <v>13</v>
      </c>
      <c r="C222" s="42">
        <f>2+1</f>
        <v>3</v>
      </c>
      <c r="D222" s="22"/>
      <c r="E222" s="22"/>
      <c r="F222" s="22"/>
      <c r="G222" s="22"/>
      <c r="H222" s="43"/>
      <c r="I222" s="9">
        <f t="shared" si="29"/>
        <v>3</v>
      </c>
      <c r="J222" s="4">
        <v>45643</v>
      </c>
    </row>
    <row r="223" spans="2:10" x14ac:dyDescent="0.15">
      <c r="B223" s="20" t="s">
        <v>13</v>
      </c>
      <c r="C223" s="42"/>
      <c r="D223" s="22">
        <v>1</v>
      </c>
      <c r="E223" s="22"/>
      <c r="F223" s="22"/>
      <c r="G223" s="22"/>
      <c r="H223" s="43"/>
      <c r="I223" s="9">
        <f t="shared" si="29"/>
        <v>1</v>
      </c>
      <c r="J223" s="4">
        <v>45644</v>
      </c>
    </row>
    <row r="224" spans="2:10" x14ac:dyDescent="0.15">
      <c r="B224" s="20" t="s">
        <v>13</v>
      </c>
      <c r="C224" s="42"/>
      <c r="D224" s="22">
        <v>1</v>
      </c>
      <c r="E224" s="22"/>
      <c r="F224" s="22"/>
      <c r="G224" s="22"/>
      <c r="H224" s="43"/>
      <c r="I224" s="9">
        <f t="shared" si="29"/>
        <v>1</v>
      </c>
      <c r="J224" s="4">
        <v>45645</v>
      </c>
    </row>
    <row r="225" spans="2:10" x14ac:dyDescent="0.15">
      <c r="B225" s="20" t="s">
        <v>13</v>
      </c>
      <c r="C225" s="42">
        <v>1</v>
      </c>
      <c r="D225" s="22"/>
      <c r="E225" s="22"/>
      <c r="F225" s="22"/>
      <c r="G225" s="22"/>
      <c r="H225" s="43"/>
      <c r="I225" s="9">
        <f t="shared" si="29"/>
        <v>1</v>
      </c>
      <c r="J225" s="4">
        <v>45649</v>
      </c>
    </row>
    <row r="226" spans="2:10" x14ac:dyDescent="0.15">
      <c r="B226" s="20" t="s">
        <v>13</v>
      </c>
      <c r="C226" s="42"/>
      <c r="D226" s="22"/>
      <c r="E226" s="22"/>
      <c r="F226" s="22"/>
      <c r="G226" s="22">
        <v>1</v>
      </c>
      <c r="H226" s="43">
        <v>1</v>
      </c>
      <c r="I226" s="9">
        <f t="shared" si="29"/>
        <v>2</v>
      </c>
      <c r="J226" s="4">
        <v>45650</v>
      </c>
    </row>
    <row r="227" spans="2:10" x14ac:dyDescent="0.15">
      <c r="B227" s="20" t="s">
        <v>13</v>
      </c>
      <c r="C227" s="42">
        <v>1</v>
      </c>
      <c r="D227" s="22"/>
      <c r="E227" s="22"/>
      <c r="F227" s="22"/>
      <c r="G227" s="22"/>
      <c r="H227" s="43"/>
      <c r="I227" s="9">
        <f t="shared" si="29"/>
        <v>1</v>
      </c>
      <c r="J227" s="4">
        <v>45651</v>
      </c>
    </row>
    <row r="228" spans="2:10" x14ac:dyDescent="0.15">
      <c r="B228" s="20" t="s">
        <v>13</v>
      </c>
      <c r="C228" s="42"/>
      <c r="D228" s="22">
        <v>1</v>
      </c>
      <c r="E228" s="22"/>
      <c r="F228" s="22"/>
      <c r="G228" s="22"/>
      <c r="H228" s="43"/>
      <c r="I228" s="9">
        <f t="shared" si="29"/>
        <v>1</v>
      </c>
      <c r="J228" s="4">
        <v>45665</v>
      </c>
    </row>
    <row r="229" spans="2:10" x14ac:dyDescent="0.15">
      <c r="B229" s="20" t="s">
        <v>13</v>
      </c>
      <c r="C229" s="42"/>
      <c r="D229" s="22">
        <v>1</v>
      </c>
      <c r="E229" s="22"/>
      <c r="F229" s="22"/>
      <c r="G229" s="22"/>
      <c r="H229" s="43"/>
      <c r="I229" s="9">
        <f t="shared" si="29"/>
        <v>1</v>
      </c>
      <c r="J229" s="4">
        <v>45667</v>
      </c>
    </row>
    <row r="230" spans="2:10" x14ac:dyDescent="0.15">
      <c r="B230" s="20" t="s">
        <v>13</v>
      </c>
      <c r="C230" s="42">
        <v>1</v>
      </c>
      <c r="D230" s="22"/>
      <c r="E230" s="22"/>
      <c r="F230" s="22"/>
      <c r="G230" s="22"/>
      <c r="H230" s="43"/>
      <c r="I230" s="9">
        <f t="shared" si="29"/>
        <v>1</v>
      </c>
      <c r="J230" s="4">
        <v>45671</v>
      </c>
    </row>
    <row r="231" spans="2:10" x14ac:dyDescent="0.15">
      <c r="B231" s="20" t="s">
        <v>13</v>
      </c>
      <c r="C231" s="42">
        <v>1</v>
      </c>
      <c r="D231" s="22"/>
      <c r="E231" s="22"/>
      <c r="F231" s="22"/>
      <c r="G231" s="22"/>
      <c r="H231" s="43"/>
      <c r="I231" s="9">
        <f t="shared" si="29"/>
        <v>1</v>
      </c>
      <c r="J231" s="4">
        <v>45672</v>
      </c>
    </row>
    <row r="232" spans="2:10" x14ac:dyDescent="0.15">
      <c r="B232" s="20" t="s">
        <v>13</v>
      </c>
      <c r="C232" s="42">
        <v>2</v>
      </c>
      <c r="D232" s="22">
        <f>2+1</f>
        <v>3</v>
      </c>
      <c r="E232" s="22"/>
      <c r="F232" s="22"/>
      <c r="G232" s="22"/>
      <c r="H232" s="43"/>
      <c r="I232" s="9">
        <f t="shared" si="29"/>
        <v>5</v>
      </c>
      <c r="J232" s="4">
        <v>45673</v>
      </c>
    </row>
    <row r="233" spans="2:10" x14ac:dyDescent="0.15">
      <c r="B233" s="20" t="s">
        <v>13</v>
      </c>
      <c r="C233" s="42">
        <v>1</v>
      </c>
      <c r="D233" s="22">
        <f>1+1</f>
        <v>2</v>
      </c>
      <c r="E233" s="22"/>
      <c r="F233" s="22"/>
      <c r="G233" s="22"/>
      <c r="H233" s="43"/>
      <c r="I233" s="9">
        <f t="shared" si="29"/>
        <v>3</v>
      </c>
      <c r="J233" s="4">
        <v>45674</v>
      </c>
    </row>
    <row r="234" spans="2:10" x14ac:dyDescent="0.15">
      <c r="B234" s="20" t="s">
        <v>13</v>
      </c>
      <c r="C234" s="42">
        <v>2</v>
      </c>
      <c r="D234" s="22">
        <v>2</v>
      </c>
      <c r="E234" s="22"/>
      <c r="F234" s="22">
        <v>1</v>
      </c>
      <c r="G234" s="22"/>
      <c r="H234" s="43"/>
      <c r="I234" s="9">
        <f t="shared" si="29"/>
        <v>5</v>
      </c>
      <c r="J234" s="4">
        <v>45675</v>
      </c>
    </row>
    <row r="235" spans="2:10" x14ac:dyDescent="0.15">
      <c r="B235" s="20" t="s">
        <v>13</v>
      </c>
      <c r="C235" s="42"/>
      <c r="D235" s="22">
        <v>1</v>
      </c>
      <c r="E235" s="22"/>
      <c r="F235" s="22"/>
      <c r="G235" s="22"/>
      <c r="H235" s="43"/>
      <c r="I235" s="9">
        <f t="shared" si="29"/>
        <v>1</v>
      </c>
      <c r="J235" s="4">
        <v>45677</v>
      </c>
    </row>
    <row r="236" spans="2:10" x14ac:dyDescent="0.15">
      <c r="B236" s="20" t="s">
        <v>13</v>
      </c>
      <c r="C236" s="42">
        <v>2</v>
      </c>
      <c r="D236" s="22">
        <f>1+3</f>
        <v>4</v>
      </c>
      <c r="E236" s="22"/>
      <c r="F236" s="22"/>
      <c r="G236" s="22">
        <v>1</v>
      </c>
      <c r="H236" s="43"/>
      <c r="I236" s="9">
        <f t="shared" si="29"/>
        <v>7</v>
      </c>
      <c r="J236" s="4">
        <v>45677</v>
      </c>
    </row>
    <row r="237" spans="2:10" x14ac:dyDescent="0.15">
      <c r="B237" s="20" t="s">
        <v>13</v>
      </c>
      <c r="C237" s="42">
        <v>1</v>
      </c>
      <c r="D237" s="22">
        <v>1</v>
      </c>
      <c r="E237" s="22"/>
      <c r="F237" s="22"/>
      <c r="G237" s="22"/>
      <c r="H237" s="43"/>
      <c r="I237" s="9">
        <f t="shared" si="29"/>
        <v>2</v>
      </c>
      <c r="J237" s="4">
        <v>45678</v>
      </c>
    </row>
    <row r="238" spans="2:10" x14ac:dyDescent="0.15">
      <c r="B238" s="20" t="s">
        <v>13</v>
      </c>
      <c r="C238" s="42"/>
      <c r="D238" s="22">
        <v>1</v>
      </c>
      <c r="E238" s="22"/>
      <c r="F238" s="22"/>
      <c r="G238" s="22">
        <v>1</v>
      </c>
      <c r="H238" s="43"/>
      <c r="I238" s="9">
        <f t="shared" si="29"/>
        <v>2</v>
      </c>
      <c r="J238" s="4">
        <v>45680</v>
      </c>
    </row>
    <row r="239" spans="2:10" x14ac:dyDescent="0.15">
      <c r="B239" s="20" t="s">
        <v>13</v>
      </c>
      <c r="C239" s="42">
        <v>1</v>
      </c>
      <c r="D239" s="22"/>
      <c r="E239" s="22">
        <v>1</v>
      </c>
      <c r="F239" s="22"/>
      <c r="G239" s="22"/>
      <c r="H239" s="43"/>
      <c r="I239" s="9">
        <f t="shared" si="29"/>
        <v>2</v>
      </c>
      <c r="J239" s="4">
        <v>45684</v>
      </c>
    </row>
    <row r="240" spans="2:10" x14ac:dyDescent="0.15">
      <c r="B240" s="20" t="s">
        <v>13</v>
      </c>
      <c r="C240" s="42"/>
      <c r="D240" s="22">
        <v>1</v>
      </c>
      <c r="E240" s="22"/>
      <c r="F240" s="22"/>
      <c r="G240" s="22"/>
      <c r="H240" s="43"/>
      <c r="I240" s="9">
        <f t="shared" si="29"/>
        <v>1</v>
      </c>
      <c r="J240" s="4">
        <v>45685</v>
      </c>
    </row>
    <row r="241" spans="2:10" x14ac:dyDescent="0.15">
      <c r="B241" s="20" t="s">
        <v>13</v>
      </c>
      <c r="C241" s="42"/>
      <c r="D241" s="22"/>
      <c r="E241" s="22"/>
      <c r="F241" s="22"/>
      <c r="G241" s="22">
        <v>1</v>
      </c>
      <c r="H241" s="43"/>
      <c r="I241" s="9">
        <f t="shared" si="29"/>
        <v>1</v>
      </c>
      <c r="J241" s="4">
        <v>45686</v>
      </c>
    </row>
    <row r="242" spans="2:10" x14ac:dyDescent="0.15">
      <c r="B242" s="20" t="s">
        <v>13</v>
      </c>
      <c r="C242" s="42"/>
      <c r="D242" s="22">
        <v>1</v>
      </c>
      <c r="E242" s="22"/>
      <c r="F242" s="22"/>
      <c r="G242" s="22"/>
      <c r="H242" s="43"/>
      <c r="I242" s="9">
        <f t="shared" si="29"/>
        <v>1</v>
      </c>
      <c r="J242" s="4">
        <v>45687</v>
      </c>
    </row>
    <row r="243" spans="2:10" ht="14.25" thickBot="1" x14ac:dyDescent="0.2">
      <c r="B243" s="20" t="s">
        <v>13</v>
      </c>
      <c r="C243" s="44">
        <v>1</v>
      </c>
      <c r="D243" s="30"/>
      <c r="E243" s="30"/>
      <c r="F243" s="30"/>
      <c r="G243" s="30"/>
      <c r="H243" s="45"/>
      <c r="I243" s="10">
        <f t="shared" si="29"/>
        <v>1</v>
      </c>
      <c r="J243" s="4">
        <v>45692</v>
      </c>
    </row>
    <row r="244" spans="2:10" ht="14.25" thickBot="1" x14ac:dyDescent="0.2">
      <c r="B244" s="21" t="s">
        <v>2</v>
      </c>
      <c r="C244" s="51">
        <f>SUM(C219:C243)</f>
        <v>18</v>
      </c>
      <c r="D244" s="36">
        <f>SUM(D219:D243)</f>
        <v>21</v>
      </c>
      <c r="E244" s="36">
        <f>SUM(E219:E243)</f>
        <v>2</v>
      </c>
      <c r="F244" s="36">
        <f>SUM(F219:F243)</f>
        <v>1</v>
      </c>
      <c r="G244" s="36">
        <f>SUM(G219:G243)</f>
        <v>4</v>
      </c>
      <c r="H244" s="34">
        <f t="shared" ref="H244" si="31">SUM(H219:H243)</f>
        <v>1</v>
      </c>
      <c r="I244" s="11">
        <f t="shared" si="29"/>
        <v>47</v>
      </c>
    </row>
    <row r="245" spans="2:10" ht="14.25" thickBot="1" x14ac:dyDescent="0.2">
      <c r="B245" s="19" t="s">
        <v>3</v>
      </c>
      <c r="C245" s="46">
        <f>+C218-C244</f>
        <v>16</v>
      </c>
      <c r="D245" s="33">
        <f>+D218-D244</f>
        <v>21</v>
      </c>
      <c r="E245" s="33">
        <f>+E218-E244</f>
        <v>3</v>
      </c>
      <c r="F245" s="33">
        <f>+F218-F244</f>
        <v>4</v>
      </c>
      <c r="G245" s="33">
        <f>+G218-G244</f>
        <v>2</v>
      </c>
      <c r="H245" s="37">
        <f t="shared" ref="H245" si="32">+H218-H244</f>
        <v>3</v>
      </c>
      <c r="I245" s="13">
        <f t="shared" si="29"/>
        <v>49</v>
      </c>
    </row>
    <row r="247" spans="2:10" ht="18.75" x14ac:dyDescent="0.2">
      <c r="B247" s="6" t="s">
        <v>6</v>
      </c>
      <c r="C247" s="7"/>
      <c r="D247" s="7"/>
      <c r="E247" s="7"/>
      <c r="F247" s="7"/>
      <c r="G247" s="7"/>
      <c r="H247" s="7"/>
      <c r="I247" s="7">
        <v>874</v>
      </c>
    </row>
    <row r="248" spans="2:10" ht="14.25" thickBot="1" x14ac:dyDescent="0.2"/>
    <row r="249" spans="2:10" ht="14.25" thickBot="1" x14ac:dyDescent="0.2">
      <c r="B249" s="2"/>
      <c r="C249" s="15"/>
      <c r="D249" s="15"/>
      <c r="E249" s="15"/>
      <c r="F249" s="15"/>
      <c r="G249" s="15"/>
      <c r="H249" s="15"/>
      <c r="I249" s="16"/>
    </row>
    <row r="250" spans="2:10" ht="14.25" thickBot="1" x14ac:dyDescent="0.2">
      <c r="B250" s="21"/>
      <c r="C250" s="38" t="s">
        <v>9</v>
      </c>
      <c r="D250" s="26" t="s">
        <v>8</v>
      </c>
      <c r="E250" s="27" t="s">
        <v>11</v>
      </c>
      <c r="F250" s="28" t="s">
        <v>12</v>
      </c>
      <c r="G250" s="29" t="s">
        <v>10</v>
      </c>
      <c r="H250" s="39" t="s">
        <v>7</v>
      </c>
      <c r="I250" s="8" t="s">
        <v>0</v>
      </c>
    </row>
    <row r="251" spans="2:10" x14ac:dyDescent="0.15">
      <c r="B251" s="24" t="s">
        <v>3</v>
      </c>
      <c r="C251" s="40">
        <f>C245</f>
        <v>16</v>
      </c>
      <c r="D251" s="25">
        <f>D245</f>
        <v>21</v>
      </c>
      <c r="E251" s="25">
        <f>E245</f>
        <v>3</v>
      </c>
      <c r="F251" s="25">
        <f>F245</f>
        <v>4</v>
      </c>
      <c r="G251" s="25">
        <f>G245</f>
        <v>2</v>
      </c>
      <c r="H251" s="41">
        <f t="shared" ref="H251" si="33">H245</f>
        <v>3</v>
      </c>
      <c r="I251" s="52">
        <f>SUM(C251:H251)</f>
        <v>49</v>
      </c>
    </row>
    <row r="252" spans="2:10" x14ac:dyDescent="0.15">
      <c r="B252" s="18" t="s">
        <v>4</v>
      </c>
      <c r="C252" s="44"/>
      <c r="D252" s="30">
        <v>10</v>
      </c>
      <c r="E252" s="30"/>
      <c r="F252" s="30">
        <v>3</v>
      </c>
      <c r="G252" s="30">
        <v>3</v>
      </c>
      <c r="H252" s="45"/>
      <c r="I252" s="10">
        <f t="shared" ref="I252:I288" si="34">SUM(C252:H252)</f>
        <v>16</v>
      </c>
      <c r="J252" s="4">
        <v>45725</v>
      </c>
    </row>
    <row r="253" spans="2:10" x14ac:dyDescent="0.15">
      <c r="B253" s="18" t="s">
        <v>4</v>
      </c>
      <c r="C253" s="44">
        <v>-1</v>
      </c>
      <c r="D253" s="30">
        <v>-1</v>
      </c>
      <c r="E253" s="30"/>
      <c r="F253" s="30"/>
      <c r="G253" s="30">
        <v>-1</v>
      </c>
      <c r="H253" s="45">
        <v>3</v>
      </c>
      <c r="I253" s="10">
        <f t="shared" si="34"/>
        <v>0</v>
      </c>
      <c r="J253" s="4">
        <v>45757</v>
      </c>
    </row>
    <row r="254" spans="2:10" x14ac:dyDescent="0.15">
      <c r="B254" s="18" t="s">
        <v>4</v>
      </c>
      <c r="C254" s="44">
        <v>10</v>
      </c>
      <c r="D254" s="30">
        <v>10</v>
      </c>
      <c r="E254" s="30">
        <v>3</v>
      </c>
      <c r="F254" s="30">
        <v>5</v>
      </c>
      <c r="G254" s="30">
        <v>5</v>
      </c>
      <c r="H254" s="45"/>
      <c r="I254" s="10">
        <f t="shared" si="34"/>
        <v>33</v>
      </c>
      <c r="J254" s="4">
        <v>45759</v>
      </c>
    </row>
    <row r="255" spans="2:10" x14ac:dyDescent="0.15">
      <c r="B255" s="18" t="s">
        <v>4</v>
      </c>
      <c r="C255" s="44"/>
      <c r="D255" s="30"/>
      <c r="E255" s="30"/>
      <c r="F255" s="30"/>
      <c r="G255" s="30"/>
      <c r="H255" s="45"/>
      <c r="I255" s="10">
        <f t="shared" si="34"/>
        <v>0</v>
      </c>
      <c r="J255" s="4"/>
    </row>
    <row r="256" spans="2:10" x14ac:dyDescent="0.15">
      <c r="B256" s="18" t="s">
        <v>4</v>
      </c>
      <c r="C256" s="44"/>
      <c r="D256" s="30"/>
      <c r="E256" s="30"/>
      <c r="F256" s="30"/>
      <c r="G256" s="30"/>
      <c r="H256" s="45"/>
      <c r="I256" s="10">
        <f t="shared" si="34"/>
        <v>0</v>
      </c>
      <c r="J256" s="4"/>
    </row>
    <row r="257" spans="2:10" x14ac:dyDescent="0.15">
      <c r="B257" s="18" t="s">
        <v>4</v>
      </c>
      <c r="C257" s="44"/>
      <c r="D257" s="30"/>
      <c r="E257" s="30"/>
      <c r="F257" s="30"/>
      <c r="G257" s="30"/>
      <c r="H257" s="45"/>
      <c r="I257" s="10">
        <f t="shared" si="34"/>
        <v>0</v>
      </c>
      <c r="J257" s="4"/>
    </row>
    <row r="258" spans="2:10" x14ac:dyDescent="0.15">
      <c r="B258" s="18" t="s">
        <v>4</v>
      </c>
      <c r="C258" s="44"/>
      <c r="D258" s="30"/>
      <c r="E258" s="30"/>
      <c r="F258" s="30"/>
      <c r="G258" s="30"/>
      <c r="H258" s="45"/>
      <c r="I258" s="10">
        <f t="shared" si="34"/>
        <v>0</v>
      </c>
    </row>
    <row r="259" spans="2:10" x14ac:dyDescent="0.15">
      <c r="B259" s="18" t="s">
        <v>4</v>
      </c>
      <c r="C259" s="44"/>
      <c r="D259" s="30"/>
      <c r="E259" s="30"/>
      <c r="F259" s="30"/>
      <c r="G259" s="30"/>
      <c r="H259" s="45"/>
      <c r="I259" s="10">
        <f t="shared" si="34"/>
        <v>0</v>
      </c>
    </row>
    <row r="260" spans="2:10" ht="14.25" thickBot="1" x14ac:dyDescent="0.2">
      <c r="B260" s="18" t="s">
        <v>4</v>
      </c>
      <c r="C260" s="44"/>
      <c r="D260" s="30"/>
      <c r="E260" s="30"/>
      <c r="F260" s="30"/>
      <c r="G260" s="30"/>
      <c r="H260" s="45"/>
      <c r="I260" s="10">
        <f t="shared" si="34"/>
        <v>0</v>
      </c>
    </row>
    <row r="261" spans="2:10" ht="14.25" thickBot="1" x14ac:dyDescent="0.2">
      <c r="B261" s="19" t="s">
        <v>1</v>
      </c>
      <c r="C261" s="46">
        <f>SUM(C251:C260)</f>
        <v>25</v>
      </c>
      <c r="D261" s="33">
        <f>SUM(D251:D260)</f>
        <v>40</v>
      </c>
      <c r="E261" s="33">
        <f>SUM(E251:E260)</f>
        <v>6</v>
      </c>
      <c r="F261" s="33">
        <f>SUM(F251:F260)</f>
        <v>12</v>
      </c>
      <c r="G261" s="33">
        <f>SUM(G251:G260)</f>
        <v>9</v>
      </c>
      <c r="H261" s="37">
        <f t="shared" ref="H261" si="35">SUM(H251:H260)</f>
        <v>6</v>
      </c>
      <c r="I261" s="11">
        <f t="shared" si="34"/>
        <v>98</v>
      </c>
    </row>
    <row r="262" spans="2:10" x14ac:dyDescent="0.15">
      <c r="B262" s="20" t="s">
        <v>13</v>
      </c>
      <c r="C262" s="42">
        <v>1</v>
      </c>
      <c r="D262" s="22"/>
      <c r="E262" s="22">
        <v>1</v>
      </c>
      <c r="F262" s="22">
        <v>3</v>
      </c>
      <c r="G262" s="22"/>
      <c r="H262" s="43"/>
      <c r="I262" s="9">
        <f t="shared" si="34"/>
        <v>5</v>
      </c>
      <c r="J262" s="4">
        <v>45693</v>
      </c>
    </row>
    <row r="263" spans="2:10" x14ac:dyDescent="0.15">
      <c r="B263" s="20" t="s">
        <v>13</v>
      </c>
      <c r="C263" s="42"/>
      <c r="D263" s="22">
        <v>1</v>
      </c>
      <c r="E263" s="22"/>
      <c r="F263" s="22"/>
      <c r="G263" s="22"/>
      <c r="H263" s="43"/>
      <c r="I263" s="9">
        <f t="shared" si="34"/>
        <v>1</v>
      </c>
      <c r="J263" s="4">
        <v>45694</v>
      </c>
    </row>
    <row r="264" spans="2:10" x14ac:dyDescent="0.15">
      <c r="B264" s="20" t="s">
        <v>13</v>
      </c>
      <c r="C264" s="42"/>
      <c r="D264" s="22">
        <v>3</v>
      </c>
      <c r="E264" s="22"/>
      <c r="F264" s="22"/>
      <c r="G264" s="22">
        <v>1</v>
      </c>
      <c r="H264" s="43"/>
      <c r="I264" s="9">
        <f t="shared" si="34"/>
        <v>4</v>
      </c>
      <c r="J264" s="4">
        <v>45698</v>
      </c>
    </row>
    <row r="265" spans="2:10" x14ac:dyDescent="0.15">
      <c r="B265" s="20" t="s">
        <v>13</v>
      </c>
      <c r="C265" s="42">
        <v>3</v>
      </c>
      <c r="D265" s="22">
        <v>1</v>
      </c>
      <c r="E265" s="22"/>
      <c r="F265" s="22"/>
      <c r="G265" s="22"/>
      <c r="H265" s="43"/>
      <c r="I265" s="9">
        <f t="shared" si="34"/>
        <v>4</v>
      </c>
      <c r="J265" s="4">
        <v>45700</v>
      </c>
    </row>
    <row r="266" spans="2:10" x14ac:dyDescent="0.15">
      <c r="B266" s="20" t="s">
        <v>13</v>
      </c>
      <c r="C266" s="42"/>
      <c r="D266" s="22">
        <v>1</v>
      </c>
      <c r="E266" s="22"/>
      <c r="F266" s="22"/>
      <c r="G266" s="22"/>
      <c r="H266" s="43"/>
      <c r="I266" s="9">
        <f t="shared" si="34"/>
        <v>1</v>
      </c>
      <c r="J266" s="4">
        <v>45703</v>
      </c>
    </row>
    <row r="267" spans="2:10" x14ac:dyDescent="0.15">
      <c r="B267" s="20" t="s">
        <v>13</v>
      </c>
      <c r="C267" s="42">
        <v>2</v>
      </c>
      <c r="D267" s="22"/>
      <c r="E267" s="22"/>
      <c r="F267" s="22"/>
      <c r="G267" s="22"/>
      <c r="H267" s="43"/>
      <c r="I267" s="9">
        <f t="shared" si="34"/>
        <v>2</v>
      </c>
      <c r="J267" s="4">
        <v>45705</v>
      </c>
    </row>
    <row r="268" spans="2:10" x14ac:dyDescent="0.15">
      <c r="B268" s="20" t="s">
        <v>13</v>
      </c>
      <c r="C268" s="42"/>
      <c r="D268" s="22">
        <v>1</v>
      </c>
      <c r="E268" s="22"/>
      <c r="F268" s="22"/>
      <c r="G268" s="22"/>
      <c r="H268" s="43"/>
      <c r="I268" s="9">
        <f t="shared" si="34"/>
        <v>1</v>
      </c>
      <c r="J268" s="4">
        <v>45709</v>
      </c>
    </row>
    <row r="269" spans="2:10" x14ac:dyDescent="0.15">
      <c r="B269" s="20" t="s">
        <v>13</v>
      </c>
      <c r="C269" s="42"/>
      <c r="D269" s="22">
        <f>1+2</f>
        <v>3</v>
      </c>
      <c r="E269" s="22"/>
      <c r="F269" s="22"/>
      <c r="G269" s="22"/>
      <c r="H269" s="43"/>
      <c r="I269" s="9">
        <f t="shared" si="34"/>
        <v>3</v>
      </c>
      <c r="J269" s="4">
        <v>45713</v>
      </c>
    </row>
    <row r="270" spans="2:10" x14ac:dyDescent="0.15">
      <c r="B270" s="20" t="s">
        <v>13</v>
      </c>
      <c r="C270" s="42"/>
      <c r="D270" s="22">
        <v>1</v>
      </c>
      <c r="E270" s="22"/>
      <c r="F270" s="22"/>
      <c r="G270" s="22"/>
      <c r="H270" s="43"/>
      <c r="I270" s="9">
        <f t="shared" si="34"/>
        <v>1</v>
      </c>
      <c r="J270" s="4">
        <v>45714</v>
      </c>
    </row>
    <row r="271" spans="2:10" x14ac:dyDescent="0.15">
      <c r="B271" s="20" t="s">
        <v>13</v>
      </c>
      <c r="C271" s="42">
        <v>1</v>
      </c>
      <c r="D271" s="22"/>
      <c r="E271" s="22"/>
      <c r="F271" s="22"/>
      <c r="G271" s="22"/>
      <c r="H271" s="43"/>
      <c r="I271" s="9">
        <f t="shared" si="34"/>
        <v>1</v>
      </c>
      <c r="J271" s="4">
        <v>45717</v>
      </c>
    </row>
    <row r="272" spans="2:10" x14ac:dyDescent="0.15">
      <c r="B272" s="20" t="s">
        <v>13</v>
      </c>
      <c r="C272" s="42"/>
      <c r="D272" s="22">
        <v>1</v>
      </c>
      <c r="E272" s="22"/>
      <c r="F272" s="22">
        <v>1</v>
      </c>
      <c r="G272" s="22">
        <v>1</v>
      </c>
      <c r="H272" s="43"/>
      <c r="I272" s="9">
        <f t="shared" si="34"/>
        <v>3</v>
      </c>
      <c r="J272" s="4">
        <v>45722</v>
      </c>
    </row>
    <row r="273" spans="2:10" x14ac:dyDescent="0.15">
      <c r="B273" s="20" t="s">
        <v>13</v>
      </c>
      <c r="C273" s="42"/>
      <c r="D273" s="22"/>
      <c r="E273" s="22"/>
      <c r="F273" s="22">
        <v>1</v>
      </c>
      <c r="G273" s="22"/>
      <c r="H273" s="43"/>
      <c r="I273" s="9">
        <f t="shared" si="34"/>
        <v>1</v>
      </c>
      <c r="J273" s="4">
        <v>45731</v>
      </c>
    </row>
    <row r="274" spans="2:10" x14ac:dyDescent="0.15">
      <c r="B274" s="20" t="s">
        <v>13</v>
      </c>
      <c r="C274" s="42">
        <v>1</v>
      </c>
      <c r="D274" s="22"/>
      <c r="E274" s="22"/>
      <c r="F274" s="22"/>
      <c r="G274" s="22"/>
      <c r="H274" s="43"/>
      <c r="I274" s="9">
        <f t="shared" si="34"/>
        <v>1</v>
      </c>
      <c r="J274" s="4">
        <v>45740</v>
      </c>
    </row>
    <row r="275" spans="2:10" x14ac:dyDescent="0.15">
      <c r="B275" s="20" t="s">
        <v>13</v>
      </c>
      <c r="C275" s="42">
        <f>1+1</f>
        <v>2</v>
      </c>
      <c r="D275" s="22">
        <f>4+1+1</f>
        <v>6</v>
      </c>
      <c r="E275" s="22">
        <v>1</v>
      </c>
      <c r="F275" s="22"/>
      <c r="G275" s="22">
        <v>1</v>
      </c>
      <c r="H275" s="43"/>
      <c r="I275" s="9">
        <f t="shared" si="34"/>
        <v>10</v>
      </c>
      <c r="J275" s="4">
        <v>45740</v>
      </c>
    </row>
    <row r="276" spans="2:10" x14ac:dyDescent="0.15">
      <c r="B276" s="20" t="s">
        <v>13</v>
      </c>
      <c r="C276" s="42"/>
      <c r="D276" s="22">
        <v>1</v>
      </c>
      <c r="E276" s="22"/>
      <c r="F276" s="22"/>
      <c r="G276" s="22"/>
      <c r="H276" s="43"/>
      <c r="I276" s="9">
        <f t="shared" si="34"/>
        <v>1</v>
      </c>
      <c r="J276" s="4">
        <v>45745</v>
      </c>
    </row>
    <row r="277" spans="2:10" x14ac:dyDescent="0.15">
      <c r="B277" s="20" t="s">
        <v>13</v>
      </c>
      <c r="C277" s="42">
        <f>1+1</f>
        <v>2</v>
      </c>
      <c r="D277" s="22"/>
      <c r="E277" s="22"/>
      <c r="F277" s="22"/>
      <c r="G277" s="22"/>
      <c r="H277" s="43"/>
      <c r="I277" s="9">
        <f t="shared" si="34"/>
        <v>2</v>
      </c>
      <c r="J277" s="4">
        <v>45747</v>
      </c>
    </row>
    <row r="278" spans="2:10" x14ac:dyDescent="0.15">
      <c r="B278" s="20" t="s">
        <v>13</v>
      </c>
      <c r="C278" s="42">
        <v>1</v>
      </c>
      <c r="D278" s="22"/>
      <c r="E278" s="22"/>
      <c r="F278" s="22">
        <v>1</v>
      </c>
      <c r="G278" s="22"/>
      <c r="H278" s="43">
        <v>2</v>
      </c>
      <c r="I278" s="9">
        <f t="shared" si="34"/>
        <v>4</v>
      </c>
      <c r="J278" s="4">
        <v>45754</v>
      </c>
    </row>
    <row r="279" spans="2:10" x14ac:dyDescent="0.15">
      <c r="B279" s="20" t="s">
        <v>13</v>
      </c>
      <c r="C279" s="42">
        <v>1</v>
      </c>
      <c r="D279" s="22"/>
      <c r="E279" s="22"/>
      <c r="F279" s="22"/>
      <c r="G279" s="22"/>
      <c r="H279" s="43"/>
      <c r="I279" s="9">
        <f t="shared" si="34"/>
        <v>1</v>
      </c>
      <c r="J279" s="4">
        <v>45755</v>
      </c>
    </row>
    <row r="280" spans="2:10" x14ac:dyDescent="0.15">
      <c r="B280" s="20" t="s">
        <v>13</v>
      </c>
      <c r="C280" s="42"/>
      <c r="D280" s="22">
        <v>1</v>
      </c>
      <c r="E280" s="22"/>
      <c r="F280" s="22"/>
      <c r="G280" s="22">
        <v>1</v>
      </c>
      <c r="H280" s="43">
        <v>1</v>
      </c>
      <c r="I280" s="9">
        <f t="shared" si="34"/>
        <v>3</v>
      </c>
      <c r="J280" s="4">
        <v>45757</v>
      </c>
    </row>
    <row r="281" spans="2:10" x14ac:dyDescent="0.15">
      <c r="B281" s="20" t="s">
        <v>13</v>
      </c>
      <c r="C281" s="42"/>
      <c r="D281" s="22">
        <v>1</v>
      </c>
      <c r="E281" s="22"/>
      <c r="F281" s="22"/>
      <c r="G281" s="22">
        <v>1</v>
      </c>
      <c r="H281" s="43">
        <v>1</v>
      </c>
      <c r="I281" s="9">
        <f t="shared" si="34"/>
        <v>3</v>
      </c>
      <c r="J281" s="4">
        <v>45761</v>
      </c>
    </row>
    <row r="282" spans="2:10" x14ac:dyDescent="0.15">
      <c r="B282" s="20" t="s">
        <v>13</v>
      </c>
      <c r="C282" s="42"/>
      <c r="D282" s="22">
        <v>1</v>
      </c>
      <c r="E282" s="22"/>
      <c r="F282" s="22">
        <v>1</v>
      </c>
      <c r="G282" s="22">
        <v>1</v>
      </c>
      <c r="H282" s="43"/>
      <c r="I282" s="9">
        <f t="shared" si="34"/>
        <v>3</v>
      </c>
      <c r="J282" s="4">
        <v>45762</v>
      </c>
    </row>
    <row r="283" spans="2:10" x14ac:dyDescent="0.15">
      <c r="B283" s="20" t="s">
        <v>13</v>
      </c>
      <c r="C283" s="42"/>
      <c r="D283" s="22">
        <v>1</v>
      </c>
      <c r="E283" s="22"/>
      <c r="F283" s="22"/>
      <c r="G283" s="22"/>
      <c r="H283" s="43"/>
      <c r="I283" s="9">
        <f t="shared" si="34"/>
        <v>1</v>
      </c>
      <c r="J283" s="4">
        <v>45764</v>
      </c>
    </row>
    <row r="284" spans="2:10" x14ac:dyDescent="0.15">
      <c r="B284" s="20" t="s">
        <v>13</v>
      </c>
      <c r="C284" s="42">
        <f>1+1</f>
        <v>2</v>
      </c>
      <c r="D284" s="22"/>
      <c r="E284" s="22"/>
      <c r="F284" s="22"/>
      <c r="G284" s="22"/>
      <c r="H284" s="43"/>
      <c r="I284" s="9">
        <f t="shared" si="34"/>
        <v>2</v>
      </c>
      <c r="J284" s="4">
        <v>45768</v>
      </c>
    </row>
    <row r="285" spans="2:10" x14ac:dyDescent="0.15">
      <c r="B285" s="20" t="s">
        <v>13</v>
      </c>
      <c r="C285" s="42">
        <v>1</v>
      </c>
      <c r="D285" s="22"/>
      <c r="E285" s="22"/>
      <c r="F285" s="22"/>
      <c r="G285" s="22"/>
      <c r="H285" s="43"/>
      <c r="I285" s="9">
        <f t="shared" si="34"/>
        <v>1</v>
      </c>
      <c r="J285" s="4">
        <v>45769</v>
      </c>
    </row>
    <row r="286" spans="2:10" ht="14.25" thickBot="1" x14ac:dyDescent="0.2">
      <c r="B286" s="20" t="s">
        <v>13</v>
      </c>
      <c r="C286" s="44">
        <v>1</v>
      </c>
      <c r="D286" s="30">
        <v>1</v>
      </c>
      <c r="E286" s="30"/>
      <c r="F286" s="30"/>
      <c r="G286" s="30"/>
      <c r="H286" s="45"/>
      <c r="I286" s="10">
        <f t="shared" si="34"/>
        <v>2</v>
      </c>
      <c r="J286" s="4">
        <v>45772</v>
      </c>
    </row>
    <row r="287" spans="2:10" ht="14.25" thickBot="1" x14ac:dyDescent="0.2">
      <c r="B287" s="21" t="s">
        <v>2</v>
      </c>
      <c r="C287" s="51">
        <f>SUM(C262:C286)</f>
        <v>18</v>
      </c>
      <c r="D287" s="36">
        <f>SUM(D262:D286)</f>
        <v>24</v>
      </c>
      <c r="E287" s="36">
        <f>SUM(E262:E286)</f>
        <v>2</v>
      </c>
      <c r="F287" s="36">
        <f>SUM(F262:F286)</f>
        <v>7</v>
      </c>
      <c r="G287" s="36">
        <f>SUM(G262:G286)</f>
        <v>6</v>
      </c>
      <c r="H287" s="34">
        <f t="shared" ref="H287" si="36">SUM(H262:H286)</f>
        <v>4</v>
      </c>
      <c r="I287" s="11">
        <f t="shared" si="34"/>
        <v>61</v>
      </c>
    </row>
    <row r="288" spans="2:10" ht="14.25" thickBot="1" x14ac:dyDescent="0.2">
      <c r="B288" s="19" t="s">
        <v>3</v>
      </c>
      <c r="C288" s="46">
        <f>+C261-C287</f>
        <v>7</v>
      </c>
      <c r="D288" s="33">
        <f>+D261-D287</f>
        <v>16</v>
      </c>
      <c r="E288" s="33">
        <f>+E261-E287</f>
        <v>4</v>
      </c>
      <c r="F288" s="33">
        <f>+F261-F287</f>
        <v>5</v>
      </c>
      <c r="G288" s="33">
        <f>+G261-G287</f>
        <v>3</v>
      </c>
      <c r="H288" s="37">
        <f t="shared" ref="H288" si="37">+H261-H287</f>
        <v>2</v>
      </c>
      <c r="I288" s="13">
        <f t="shared" si="34"/>
        <v>37</v>
      </c>
    </row>
    <row r="290" spans="2:10" ht="18.75" x14ac:dyDescent="0.2">
      <c r="B290" s="6" t="s">
        <v>6</v>
      </c>
      <c r="C290" s="7"/>
      <c r="D290" s="7"/>
      <c r="E290" s="7"/>
      <c r="F290" s="7"/>
      <c r="G290" s="7"/>
      <c r="H290" s="7"/>
      <c r="I290" s="7">
        <v>874</v>
      </c>
    </row>
    <row r="291" spans="2:10" ht="14.25" thickBot="1" x14ac:dyDescent="0.2"/>
    <row r="292" spans="2:10" ht="14.25" thickBot="1" x14ac:dyDescent="0.2">
      <c r="B292" s="2"/>
      <c r="C292" s="15"/>
      <c r="D292" s="15"/>
      <c r="E292" s="15"/>
      <c r="F292" s="15"/>
      <c r="G292" s="15"/>
      <c r="H292" s="15"/>
      <c r="I292" s="16"/>
    </row>
    <row r="293" spans="2:10" ht="14.25" thickBot="1" x14ac:dyDescent="0.2">
      <c r="B293" s="21"/>
      <c r="C293" s="38" t="s">
        <v>9</v>
      </c>
      <c r="D293" s="26" t="s">
        <v>8</v>
      </c>
      <c r="E293" s="27" t="s">
        <v>11</v>
      </c>
      <c r="F293" s="28" t="s">
        <v>12</v>
      </c>
      <c r="G293" s="29" t="s">
        <v>10</v>
      </c>
      <c r="H293" s="39" t="s">
        <v>7</v>
      </c>
      <c r="I293" s="8" t="s">
        <v>0</v>
      </c>
    </row>
    <row r="294" spans="2:10" x14ac:dyDescent="0.15">
      <c r="B294" s="24" t="s">
        <v>3</v>
      </c>
      <c r="C294" s="40">
        <f>C288</f>
        <v>7</v>
      </c>
      <c r="D294" s="25">
        <f>D288</f>
        <v>16</v>
      </c>
      <c r="E294" s="25">
        <f>E288</f>
        <v>4</v>
      </c>
      <c r="F294" s="25">
        <f>F288</f>
        <v>5</v>
      </c>
      <c r="G294" s="25">
        <f>G288</f>
        <v>3</v>
      </c>
      <c r="H294" s="41">
        <f t="shared" ref="H294" si="38">H288</f>
        <v>2</v>
      </c>
      <c r="I294" s="52">
        <f>SUM(C294:H294)</f>
        <v>37</v>
      </c>
    </row>
    <row r="295" spans="2:10" x14ac:dyDescent="0.15">
      <c r="B295" s="18" t="s">
        <v>4</v>
      </c>
      <c r="C295" s="44"/>
      <c r="D295" s="30">
        <v>10</v>
      </c>
      <c r="E295" s="30"/>
      <c r="F295" s="30"/>
      <c r="G295" s="30"/>
      <c r="H295" s="45"/>
      <c r="I295" s="10">
        <f t="shared" ref="I295:I331" si="39">SUM(C295:H295)</f>
        <v>10</v>
      </c>
      <c r="J295" s="4">
        <v>45779</v>
      </c>
    </row>
    <row r="296" spans="2:10" x14ac:dyDescent="0.15">
      <c r="B296" s="18" t="s">
        <v>4</v>
      </c>
      <c r="C296" s="44">
        <v>5</v>
      </c>
      <c r="D296" s="30"/>
      <c r="E296" s="30"/>
      <c r="F296" s="30"/>
      <c r="G296" s="30"/>
      <c r="H296" s="45">
        <v>2</v>
      </c>
      <c r="I296" s="10">
        <f t="shared" si="39"/>
        <v>7</v>
      </c>
      <c r="J296" s="4">
        <v>45812</v>
      </c>
    </row>
    <row r="297" spans="2:10" x14ac:dyDescent="0.15">
      <c r="B297" s="18" t="s">
        <v>4</v>
      </c>
      <c r="C297" s="44">
        <v>3</v>
      </c>
      <c r="D297" s="30"/>
      <c r="E297" s="30"/>
      <c r="F297" s="30"/>
      <c r="G297" s="30"/>
      <c r="H297" s="45"/>
      <c r="I297" s="10">
        <f t="shared" si="39"/>
        <v>3</v>
      </c>
      <c r="J297" s="4">
        <v>45847</v>
      </c>
    </row>
    <row r="298" spans="2:10" x14ac:dyDescent="0.15">
      <c r="B298" s="18" t="s">
        <v>4</v>
      </c>
      <c r="C298" s="44"/>
      <c r="D298" s="30"/>
      <c r="E298" s="30"/>
      <c r="F298" s="30">
        <v>3</v>
      </c>
      <c r="G298" s="30"/>
      <c r="H298" s="45"/>
      <c r="I298" s="10">
        <f t="shared" si="39"/>
        <v>3</v>
      </c>
      <c r="J298" s="4">
        <v>45878</v>
      </c>
    </row>
    <row r="299" spans="2:10" x14ac:dyDescent="0.15">
      <c r="B299" s="18" t="s">
        <v>4</v>
      </c>
      <c r="C299" s="44"/>
      <c r="D299" s="30"/>
      <c r="E299" s="30"/>
      <c r="F299" s="30"/>
      <c r="G299" s="30"/>
      <c r="H299" s="45">
        <v>2</v>
      </c>
      <c r="I299" s="10">
        <f t="shared" si="39"/>
        <v>2</v>
      </c>
      <c r="J299" s="4">
        <v>45926</v>
      </c>
    </row>
    <row r="300" spans="2:10" x14ac:dyDescent="0.15">
      <c r="B300" s="18" t="s">
        <v>4</v>
      </c>
      <c r="C300" s="44"/>
      <c r="D300" s="30"/>
      <c r="E300" s="30"/>
      <c r="F300" s="30"/>
      <c r="G300" s="30"/>
      <c r="H300" s="45"/>
      <c r="I300" s="10">
        <f t="shared" si="39"/>
        <v>0</v>
      </c>
    </row>
    <row r="301" spans="2:10" x14ac:dyDescent="0.15">
      <c r="B301" s="18" t="s">
        <v>4</v>
      </c>
      <c r="C301" s="44"/>
      <c r="D301" s="30"/>
      <c r="E301" s="30"/>
      <c r="F301" s="30"/>
      <c r="G301" s="30"/>
      <c r="H301" s="45"/>
      <c r="I301" s="10">
        <f t="shared" si="39"/>
        <v>0</v>
      </c>
    </row>
    <row r="302" spans="2:10" x14ac:dyDescent="0.15">
      <c r="B302" s="18" t="s">
        <v>4</v>
      </c>
      <c r="C302" s="44"/>
      <c r="D302" s="30"/>
      <c r="E302" s="30"/>
      <c r="F302" s="30"/>
      <c r="G302" s="30"/>
      <c r="H302" s="45"/>
      <c r="I302" s="10">
        <f t="shared" si="39"/>
        <v>0</v>
      </c>
    </row>
    <row r="303" spans="2:10" ht="14.25" thickBot="1" x14ac:dyDescent="0.2">
      <c r="B303" s="18" t="s">
        <v>4</v>
      </c>
      <c r="C303" s="44"/>
      <c r="D303" s="30"/>
      <c r="E303" s="30"/>
      <c r="F303" s="30"/>
      <c r="G303" s="30"/>
      <c r="H303" s="45"/>
      <c r="I303" s="10">
        <f t="shared" si="39"/>
        <v>0</v>
      </c>
    </row>
    <row r="304" spans="2:10" ht="14.25" thickBot="1" x14ac:dyDescent="0.2">
      <c r="B304" s="19" t="s">
        <v>1</v>
      </c>
      <c r="C304" s="46">
        <f>SUM(C294:C303)</f>
        <v>15</v>
      </c>
      <c r="D304" s="33">
        <f>SUM(D294:D303)</f>
        <v>26</v>
      </c>
      <c r="E304" s="33">
        <f>SUM(E294:E303)</f>
        <v>4</v>
      </c>
      <c r="F304" s="33">
        <f>SUM(F294:F303)</f>
        <v>8</v>
      </c>
      <c r="G304" s="33">
        <f>SUM(G294:G303)</f>
        <v>3</v>
      </c>
      <c r="H304" s="37">
        <f t="shared" ref="H304" si="40">SUM(H294:H303)</f>
        <v>6</v>
      </c>
      <c r="I304" s="11">
        <f t="shared" si="39"/>
        <v>62</v>
      </c>
    </row>
    <row r="305" spans="2:10" x14ac:dyDescent="0.15">
      <c r="B305" s="20" t="s">
        <v>13</v>
      </c>
      <c r="C305" s="42">
        <v>-1</v>
      </c>
      <c r="D305" s="22">
        <v>2</v>
      </c>
      <c r="E305" s="22"/>
      <c r="F305" s="22"/>
      <c r="G305" s="22"/>
      <c r="H305" s="43"/>
      <c r="I305" s="9">
        <f t="shared" si="39"/>
        <v>1</v>
      </c>
      <c r="J305" s="4">
        <v>45775</v>
      </c>
    </row>
    <row r="306" spans="2:10" x14ac:dyDescent="0.15">
      <c r="B306" s="20" t="s">
        <v>13</v>
      </c>
      <c r="C306" s="59">
        <v>-2</v>
      </c>
      <c r="D306" s="60">
        <v>1</v>
      </c>
      <c r="E306" s="60"/>
      <c r="F306" s="60"/>
      <c r="G306" s="60"/>
      <c r="H306" s="61"/>
      <c r="I306" s="62">
        <f t="shared" si="39"/>
        <v>-1</v>
      </c>
      <c r="J306" s="63"/>
    </row>
    <row r="307" spans="2:10" x14ac:dyDescent="0.15">
      <c r="B307" s="20" t="s">
        <v>13</v>
      </c>
      <c r="C307" s="42"/>
      <c r="D307" s="22">
        <v>1</v>
      </c>
      <c r="E307" s="22"/>
      <c r="F307" s="22"/>
      <c r="G307" s="22"/>
      <c r="H307" s="43"/>
      <c r="I307" s="9">
        <f t="shared" si="39"/>
        <v>1</v>
      </c>
      <c r="J307" s="4">
        <v>45777</v>
      </c>
    </row>
    <row r="308" spans="2:10" x14ac:dyDescent="0.15">
      <c r="B308" s="20" t="s">
        <v>13</v>
      </c>
      <c r="C308" s="42">
        <v>1</v>
      </c>
      <c r="D308" s="22"/>
      <c r="E308" s="22"/>
      <c r="F308" s="22"/>
      <c r="G308" s="22"/>
      <c r="H308" s="43"/>
      <c r="I308" s="9">
        <f t="shared" si="39"/>
        <v>1</v>
      </c>
      <c r="J308" s="4">
        <v>45779</v>
      </c>
    </row>
    <row r="309" spans="2:10" x14ac:dyDescent="0.15">
      <c r="B309" s="20" t="s">
        <v>13</v>
      </c>
      <c r="C309" s="42">
        <v>1</v>
      </c>
      <c r="D309" s="22">
        <v>2</v>
      </c>
      <c r="E309" s="22"/>
      <c r="F309" s="22"/>
      <c r="G309" s="22"/>
      <c r="H309" s="43"/>
      <c r="I309" s="9">
        <f t="shared" si="39"/>
        <v>3</v>
      </c>
      <c r="J309" s="4">
        <v>45784</v>
      </c>
    </row>
    <row r="310" spans="2:10" x14ac:dyDescent="0.15">
      <c r="B310" s="20" t="s">
        <v>13</v>
      </c>
      <c r="C310" s="42">
        <v>1</v>
      </c>
      <c r="D310" s="22"/>
      <c r="E310" s="22"/>
      <c r="F310" s="22"/>
      <c r="G310" s="22"/>
      <c r="H310" s="43"/>
      <c r="I310" s="9">
        <f t="shared" si="39"/>
        <v>1</v>
      </c>
      <c r="J310" s="4">
        <v>45799</v>
      </c>
    </row>
    <row r="311" spans="2:10" x14ac:dyDescent="0.15">
      <c r="B311" s="20" t="s">
        <v>13</v>
      </c>
      <c r="C311" s="42"/>
      <c r="D311" s="22"/>
      <c r="E311" s="22"/>
      <c r="F311" s="22">
        <v>1</v>
      </c>
      <c r="G311" s="22">
        <v>1</v>
      </c>
      <c r="H311" s="43">
        <v>1</v>
      </c>
      <c r="I311" s="9">
        <f t="shared" si="39"/>
        <v>3</v>
      </c>
      <c r="J311" s="4">
        <v>45803</v>
      </c>
    </row>
    <row r="312" spans="2:10" x14ac:dyDescent="0.15">
      <c r="B312" s="20" t="s">
        <v>13</v>
      </c>
      <c r="C312" s="42"/>
      <c r="D312" s="22"/>
      <c r="E312" s="22"/>
      <c r="F312" s="22"/>
      <c r="G312" s="22"/>
      <c r="H312" s="43">
        <v>1</v>
      </c>
      <c r="I312" s="9">
        <f t="shared" si="39"/>
        <v>1</v>
      </c>
      <c r="J312" s="4">
        <v>45833</v>
      </c>
    </row>
    <row r="313" spans="2:10" x14ac:dyDescent="0.15">
      <c r="B313" s="20" t="s">
        <v>13</v>
      </c>
      <c r="C313" s="42">
        <v>1</v>
      </c>
      <c r="D313" s="22"/>
      <c r="E313" s="22"/>
      <c r="F313" s="22"/>
      <c r="G313" s="22"/>
      <c r="H313" s="43"/>
      <c r="I313" s="9">
        <f t="shared" si="39"/>
        <v>1</v>
      </c>
      <c r="J313" s="4">
        <v>45834</v>
      </c>
    </row>
    <row r="314" spans="2:10" x14ac:dyDescent="0.15">
      <c r="B314" s="20" t="s">
        <v>13</v>
      </c>
      <c r="C314" s="42">
        <v>1</v>
      </c>
      <c r="D314" s="22"/>
      <c r="E314" s="22"/>
      <c r="F314" s="22"/>
      <c r="G314" s="22"/>
      <c r="H314" s="43"/>
      <c r="I314" s="9">
        <f t="shared" si="39"/>
        <v>1</v>
      </c>
      <c r="J314" s="4">
        <v>45838</v>
      </c>
    </row>
    <row r="315" spans="2:10" x14ac:dyDescent="0.15">
      <c r="B315" s="20" t="s">
        <v>13</v>
      </c>
      <c r="C315" s="42"/>
      <c r="D315" s="22">
        <v>1</v>
      </c>
      <c r="E315" s="22"/>
      <c r="F315" s="22">
        <v>1</v>
      </c>
      <c r="G315" s="22"/>
      <c r="H315" s="43"/>
      <c r="I315" s="9">
        <f t="shared" si="39"/>
        <v>2</v>
      </c>
      <c r="J315" s="4">
        <v>45843</v>
      </c>
    </row>
    <row r="316" spans="2:10" x14ac:dyDescent="0.15">
      <c r="B316" s="20" t="s">
        <v>13</v>
      </c>
      <c r="C316" s="42"/>
      <c r="D316" s="22"/>
      <c r="E316" s="22"/>
      <c r="F316" s="22">
        <v>1</v>
      </c>
      <c r="G316" s="22"/>
      <c r="H316" s="43"/>
      <c r="I316" s="9">
        <f t="shared" si="39"/>
        <v>1</v>
      </c>
      <c r="J316" s="4">
        <v>45845</v>
      </c>
    </row>
    <row r="317" spans="2:10" x14ac:dyDescent="0.15">
      <c r="B317" s="20" t="s">
        <v>13</v>
      </c>
      <c r="C317" s="42"/>
      <c r="D317" s="22">
        <v>1</v>
      </c>
      <c r="E317" s="22"/>
      <c r="F317" s="22"/>
      <c r="G317" s="22"/>
      <c r="H317" s="43"/>
      <c r="I317" s="9">
        <f t="shared" si="39"/>
        <v>1</v>
      </c>
      <c r="J317" s="4">
        <v>45848</v>
      </c>
    </row>
    <row r="318" spans="2:10" x14ac:dyDescent="0.15">
      <c r="B318" s="20" t="s">
        <v>18</v>
      </c>
      <c r="C318" s="42">
        <v>0</v>
      </c>
      <c r="D318" s="22">
        <v>-1</v>
      </c>
      <c r="E318" s="22">
        <v>0</v>
      </c>
      <c r="F318" s="22">
        <v>0</v>
      </c>
      <c r="G318" s="22">
        <v>0</v>
      </c>
      <c r="H318" s="43">
        <v>0</v>
      </c>
      <c r="I318" s="9">
        <f t="shared" si="39"/>
        <v>-1</v>
      </c>
      <c r="J318" s="4">
        <v>45889</v>
      </c>
    </row>
    <row r="319" spans="2:10" x14ac:dyDescent="0.15">
      <c r="B319" s="20" t="s">
        <v>13</v>
      </c>
      <c r="C319" s="42">
        <v>1</v>
      </c>
      <c r="D319" s="22"/>
      <c r="E319" s="22"/>
      <c r="F319" s="22"/>
      <c r="G319" s="22"/>
      <c r="H319" s="43">
        <v>1</v>
      </c>
      <c r="I319" s="9">
        <f t="shared" si="39"/>
        <v>2</v>
      </c>
      <c r="J319" s="4">
        <v>45890</v>
      </c>
    </row>
    <row r="320" spans="2:10" x14ac:dyDescent="0.15">
      <c r="B320" s="20" t="s">
        <v>13</v>
      </c>
      <c r="C320" s="42">
        <v>1</v>
      </c>
      <c r="D320" s="22">
        <v>1</v>
      </c>
      <c r="E320" s="22"/>
      <c r="F320" s="22"/>
      <c r="G320" s="22"/>
      <c r="H320" s="43"/>
      <c r="I320" s="9">
        <f t="shared" si="39"/>
        <v>2</v>
      </c>
      <c r="J320" s="4">
        <v>45898</v>
      </c>
    </row>
    <row r="321" spans="2:10" x14ac:dyDescent="0.15">
      <c r="B321" s="20" t="s">
        <v>13</v>
      </c>
      <c r="C321" s="42"/>
      <c r="D321" s="22">
        <v>1</v>
      </c>
      <c r="E321" s="22"/>
      <c r="F321" s="22"/>
      <c r="G321" s="22"/>
      <c r="H321" s="43"/>
      <c r="I321" s="9">
        <f t="shared" si="39"/>
        <v>1</v>
      </c>
      <c r="J321" s="4">
        <v>45901</v>
      </c>
    </row>
    <row r="322" spans="2:10" x14ac:dyDescent="0.15">
      <c r="B322" s="20" t="s">
        <v>13</v>
      </c>
      <c r="C322" s="42"/>
      <c r="D322" s="22">
        <v>1</v>
      </c>
      <c r="E322" s="22"/>
      <c r="F322" s="22"/>
      <c r="G322" s="22"/>
      <c r="H322" s="43"/>
      <c r="I322" s="9">
        <f t="shared" si="39"/>
        <v>1</v>
      </c>
      <c r="J322" s="4">
        <v>45905</v>
      </c>
    </row>
    <row r="323" spans="2:10" x14ac:dyDescent="0.15">
      <c r="B323" s="20" t="s">
        <v>13</v>
      </c>
      <c r="C323" s="42">
        <v>2</v>
      </c>
      <c r="D323" s="22"/>
      <c r="E323" s="22"/>
      <c r="F323" s="22"/>
      <c r="G323" s="22"/>
      <c r="H323" s="43"/>
      <c r="I323" s="9">
        <f t="shared" si="39"/>
        <v>2</v>
      </c>
      <c r="J323" s="4">
        <v>45908</v>
      </c>
    </row>
    <row r="324" spans="2:10" x14ac:dyDescent="0.15">
      <c r="B324" s="20" t="s">
        <v>13</v>
      </c>
      <c r="C324" s="42">
        <v>1</v>
      </c>
      <c r="D324" s="22"/>
      <c r="E324" s="22"/>
      <c r="F324" s="22"/>
      <c r="G324" s="22"/>
      <c r="H324" s="43"/>
      <c r="I324" s="9">
        <f t="shared" si="39"/>
        <v>1</v>
      </c>
      <c r="J324" s="4">
        <v>45966</v>
      </c>
    </row>
    <row r="325" spans="2:10" x14ac:dyDescent="0.15">
      <c r="B325" s="20" t="s">
        <v>13</v>
      </c>
      <c r="C325" s="42"/>
      <c r="D325" s="22">
        <v>2</v>
      </c>
      <c r="E325" s="22"/>
      <c r="F325" s="22"/>
      <c r="G325" s="22"/>
      <c r="H325" s="43"/>
      <c r="I325" s="9">
        <f t="shared" si="39"/>
        <v>2</v>
      </c>
      <c r="J325" s="4">
        <v>45967</v>
      </c>
    </row>
    <row r="326" spans="2:10" x14ac:dyDescent="0.15">
      <c r="B326" s="20" t="s">
        <v>13</v>
      </c>
      <c r="C326" s="42"/>
      <c r="D326" s="22">
        <v>1</v>
      </c>
      <c r="E326" s="22"/>
      <c r="F326" s="22"/>
      <c r="G326" s="22"/>
      <c r="H326" s="43"/>
      <c r="I326" s="9">
        <f t="shared" si="39"/>
        <v>1</v>
      </c>
      <c r="J326" s="4">
        <v>45971</v>
      </c>
    </row>
    <row r="327" spans="2:10" x14ac:dyDescent="0.15">
      <c r="B327" s="20" t="s">
        <v>13</v>
      </c>
      <c r="C327" s="42">
        <v>1</v>
      </c>
      <c r="D327" s="22">
        <v>1</v>
      </c>
      <c r="E327" s="22"/>
      <c r="F327" s="22"/>
      <c r="G327" s="22"/>
      <c r="H327" s="43"/>
      <c r="I327" s="9">
        <f t="shared" si="39"/>
        <v>2</v>
      </c>
      <c r="J327" s="4">
        <v>45973</v>
      </c>
    </row>
    <row r="328" spans="2:10" x14ac:dyDescent="0.15">
      <c r="B328" s="20" t="s">
        <v>13</v>
      </c>
      <c r="C328" s="42"/>
      <c r="D328" s="22">
        <v>1</v>
      </c>
      <c r="E328" s="22"/>
      <c r="F328" s="22"/>
      <c r="G328" s="22"/>
      <c r="H328" s="43"/>
      <c r="I328" s="9">
        <f t="shared" si="39"/>
        <v>1</v>
      </c>
      <c r="J328" s="4">
        <v>45979</v>
      </c>
    </row>
    <row r="329" spans="2:10" ht="14.25" thickBot="1" x14ac:dyDescent="0.2">
      <c r="B329" s="20" t="s">
        <v>13</v>
      </c>
      <c r="C329" s="44">
        <v>1</v>
      </c>
      <c r="D329" s="30"/>
      <c r="E329" s="30"/>
      <c r="F329" s="30"/>
      <c r="G329" s="30">
        <v>1</v>
      </c>
      <c r="H329" s="45"/>
      <c r="I329" s="10">
        <f t="shared" si="39"/>
        <v>2</v>
      </c>
      <c r="J329" s="4">
        <v>45987</v>
      </c>
    </row>
    <row r="330" spans="2:10" ht="14.25" thickBot="1" x14ac:dyDescent="0.2">
      <c r="B330" s="21" t="s">
        <v>2</v>
      </c>
      <c r="C330" s="51">
        <f>SUM(C305:C329)</f>
        <v>9</v>
      </c>
      <c r="D330" s="36">
        <f>SUM(D305:D329)</f>
        <v>15</v>
      </c>
      <c r="E330" s="36">
        <f>SUM(E305:E329)</f>
        <v>0</v>
      </c>
      <c r="F330" s="36">
        <f>SUM(F305:F329)</f>
        <v>3</v>
      </c>
      <c r="G330" s="36">
        <f>SUM(G305:G329)</f>
        <v>2</v>
      </c>
      <c r="H330" s="34">
        <f t="shared" ref="H330" si="41">SUM(H305:H329)</f>
        <v>3</v>
      </c>
      <c r="I330" s="11">
        <f t="shared" si="39"/>
        <v>32</v>
      </c>
    </row>
    <row r="331" spans="2:10" ht="14.25" thickBot="1" x14ac:dyDescent="0.2">
      <c r="B331" s="19" t="s">
        <v>3</v>
      </c>
      <c r="C331" s="46">
        <f>+C304-C330</f>
        <v>6</v>
      </c>
      <c r="D331" s="33">
        <f>+D304-D330</f>
        <v>11</v>
      </c>
      <c r="E331" s="33">
        <f>+E304-E330</f>
        <v>4</v>
      </c>
      <c r="F331" s="33">
        <f>+F304-F330</f>
        <v>5</v>
      </c>
      <c r="G331" s="33">
        <f>+G304-G330</f>
        <v>1</v>
      </c>
      <c r="H331" s="37">
        <f t="shared" ref="H331" si="42">+H304-H330</f>
        <v>3</v>
      </c>
      <c r="I331" s="13">
        <f t="shared" si="39"/>
        <v>30</v>
      </c>
    </row>
    <row r="333" spans="2:10" ht="18.75" x14ac:dyDescent="0.2">
      <c r="B333" s="6" t="s">
        <v>6</v>
      </c>
      <c r="C333" s="7"/>
      <c r="D333" s="7"/>
      <c r="E333" s="7"/>
      <c r="F333" s="7"/>
      <c r="G333" s="7"/>
      <c r="H333" s="7"/>
      <c r="I333" s="7">
        <v>874</v>
      </c>
    </row>
    <row r="334" spans="2:10" ht="14.25" thickBot="1" x14ac:dyDescent="0.2"/>
    <row r="335" spans="2:10" ht="14.25" thickBot="1" x14ac:dyDescent="0.2">
      <c r="B335" s="2"/>
      <c r="C335" s="15"/>
      <c r="D335" s="15"/>
      <c r="E335" s="15"/>
      <c r="F335" s="15"/>
      <c r="G335" s="15"/>
      <c r="H335" s="15"/>
      <c r="I335" s="16"/>
    </row>
    <row r="336" spans="2:10" ht="14.25" thickBot="1" x14ac:dyDescent="0.2">
      <c r="B336" s="21"/>
      <c r="C336" s="38" t="s">
        <v>9</v>
      </c>
      <c r="D336" s="26" t="s">
        <v>8</v>
      </c>
      <c r="E336" s="27" t="s">
        <v>11</v>
      </c>
      <c r="F336" s="28" t="s">
        <v>12</v>
      </c>
      <c r="G336" s="29" t="s">
        <v>10</v>
      </c>
      <c r="H336" s="39" t="s">
        <v>7</v>
      </c>
      <c r="I336" s="8" t="s">
        <v>0</v>
      </c>
    </row>
    <row r="337" spans="2:10" x14ac:dyDescent="0.15">
      <c r="B337" s="24" t="s">
        <v>3</v>
      </c>
      <c r="C337" s="40">
        <f>C331</f>
        <v>6</v>
      </c>
      <c r="D337" s="25">
        <f>D331</f>
        <v>11</v>
      </c>
      <c r="E337" s="25">
        <f>E331</f>
        <v>4</v>
      </c>
      <c r="F337" s="25">
        <f>F331</f>
        <v>5</v>
      </c>
      <c r="G337" s="25">
        <f>G331</f>
        <v>1</v>
      </c>
      <c r="H337" s="41">
        <f t="shared" ref="H337" si="43">H331</f>
        <v>3</v>
      </c>
      <c r="I337" s="52">
        <f>SUM(C337:H337)</f>
        <v>30</v>
      </c>
    </row>
    <row r="338" spans="2:10" x14ac:dyDescent="0.15">
      <c r="B338" s="18" t="s">
        <v>4</v>
      </c>
      <c r="C338" s="44"/>
      <c r="D338" s="30"/>
      <c r="E338" s="30"/>
      <c r="F338" s="30"/>
      <c r="G338" s="30">
        <v>2</v>
      </c>
      <c r="H338" s="45"/>
      <c r="I338" s="10">
        <f t="shared" ref="I338:I344" si="44">SUM(C338:H338)</f>
        <v>2</v>
      </c>
      <c r="J338" s="4">
        <v>46000</v>
      </c>
    </row>
    <row r="339" spans="2:10" x14ac:dyDescent="0.15">
      <c r="B339" s="18" t="s">
        <v>4</v>
      </c>
      <c r="C339" s="44"/>
      <c r="D339" s="30">
        <v>10</v>
      </c>
      <c r="E339" s="30"/>
      <c r="F339" s="30"/>
      <c r="G339" s="30"/>
      <c r="H339" s="45"/>
      <c r="I339" s="10">
        <f t="shared" si="44"/>
        <v>10</v>
      </c>
      <c r="J339" s="4">
        <v>46032</v>
      </c>
    </row>
    <row r="340" spans="2:10" x14ac:dyDescent="0.15">
      <c r="B340" s="18" t="s">
        <v>16</v>
      </c>
      <c r="C340" s="44">
        <v>0</v>
      </c>
      <c r="D340" s="30">
        <v>1</v>
      </c>
      <c r="E340" s="30">
        <v>-1</v>
      </c>
      <c r="F340" s="30">
        <v>0</v>
      </c>
      <c r="G340" s="30">
        <v>-1</v>
      </c>
      <c r="H340" s="45">
        <v>1</v>
      </c>
      <c r="I340" s="10">
        <f t="shared" si="44"/>
        <v>0</v>
      </c>
      <c r="J340" s="4">
        <v>46078</v>
      </c>
    </row>
    <row r="341" spans="2:10" x14ac:dyDescent="0.15">
      <c r="B341" s="18" t="s">
        <v>4</v>
      </c>
      <c r="C341" s="44">
        <v>5</v>
      </c>
      <c r="D341" s="30">
        <v>10</v>
      </c>
      <c r="E341" s="30"/>
      <c r="F341" s="30">
        <v>3</v>
      </c>
      <c r="G341" s="30">
        <v>2</v>
      </c>
      <c r="H341" s="45"/>
      <c r="I341" s="10">
        <f t="shared" si="44"/>
        <v>20</v>
      </c>
      <c r="J341" s="4">
        <v>46086</v>
      </c>
    </row>
    <row r="342" spans="2:10" x14ac:dyDescent="0.15">
      <c r="B342" s="18" t="s">
        <v>4</v>
      </c>
      <c r="C342" s="44"/>
      <c r="D342" s="30"/>
      <c r="E342" s="30"/>
      <c r="F342" s="30"/>
      <c r="G342" s="30"/>
      <c r="H342" s="45"/>
      <c r="I342" s="10">
        <f t="shared" si="44"/>
        <v>0</v>
      </c>
    </row>
    <row r="343" spans="2:10" x14ac:dyDescent="0.15">
      <c r="B343" s="18" t="s">
        <v>4</v>
      </c>
      <c r="C343" s="44"/>
      <c r="D343" s="30"/>
      <c r="E343" s="30"/>
      <c r="F343" s="30"/>
      <c r="G343" s="30"/>
      <c r="H343" s="45"/>
      <c r="I343" s="10">
        <f t="shared" si="44"/>
        <v>0</v>
      </c>
    </row>
    <row r="344" spans="2:10" x14ac:dyDescent="0.15">
      <c r="B344" s="18" t="s">
        <v>4</v>
      </c>
      <c r="C344" s="44"/>
      <c r="D344" s="30"/>
      <c r="E344" s="30"/>
      <c r="F344" s="30"/>
      <c r="G344" s="30"/>
      <c r="H344" s="45"/>
      <c r="I344" s="10">
        <f t="shared" si="44"/>
        <v>0</v>
      </c>
    </row>
    <row r="345" spans="2:10" x14ac:dyDescent="0.15">
      <c r="B345" s="18" t="s">
        <v>4</v>
      </c>
      <c r="C345" s="44"/>
      <c r="D345" s="30"/>
      <c r="E345" s="30"/>
      <c r="F345" s="30"/>
      <c r="G345" s="30"/>
      <c r="H345" s="45"/>
      <c r="I345" s="10">
        <f t="shared" ref="I345:I374" si="45">SUM(C345:H345)</f>
        <v>0</v>
      </c>
    </row>
    <row r="346" spans="2:10" ht="14.25" thickBot="1" x14ac:dyDescent="0.2">
      <c r="B346" s="18" t="s">
        <v>4</v>
      </c>
      <c r="C346" s="44"/>
      <c r="D346" s="30"/>
      <c r="E346" s="30"/>
      <c r="F346" s="30"/>
      <c r="G346" s="30"/>
      <c r="H346" s="45"/>
      <c r="I346" s="10">
        <f t="shared" si="45"/>
        <v>0</v>
      </c>
    </row>
    <row r="347" spans="2:10" ht="14.25" thickBot="1" x14ac:dyDescent="0.2">
      <c r="B347" s="19" t="s">
        <v>1</v>
      </c>
      <c r="C347" s="46">
        <f>SUM(C337:C346)</f>
        <v>11</v>
      </c>
      <c r="D347" s="33">
        <f>SUM(D337:D346)</f>
        <v>32</v>
      </c>
      <c r="E347" s="33">
        <f>SUM(E337:E346)</f>
        <v>3</v>
      </c>
      <c r="F347" s="33">
        <f>SUM(F337:F346)</f>
        <v>8</v>
      </c>
      <c r="G347" s="33">
        <f>SUM(G337:G346)</f>
        <v>4</v>
      </c>
      <c r="H347" s="37">
        <f t="shared" ref="H347" si="46">SUM(H337:H346)</f>
        <v>4</v>
      </c>
      <c r="I347" s="11">
        <f t="shared" si="45"/>
        <v>62</v>
      </c>
    </row>
    <row r="348" spans="2:10" x14ac:dyDescent="0.15">
      <c r="B348" s="20" t="s">
        <v>13</v>
      </c>
      <c r="C348" s="42"/>
      <c r="D348" s="22">
        <v>1</v>
      </c>
      <c r="E348" s="22"/>
      <c r="F348" s="22"/>
      <c r="G348" s="22"/>
      <c r="H348" s="43"/>
      <c r="I348" s="9">
        <f t="shared" ref="I348:I370" si="47">SUM(C348:H348)</f>
        <v>1</v>
      </c>
      <c r="J348" s="4">
        <v>45988</v>
      </c>
    </row>
    <row r="349" spans="2:10" x14ac:dyDescent="0.15">
      <c r="B349" s="20" t="s">
        <v>13</v>
      </c>
      <c r="C349" s="42"/>
      <c r="D349" s="22">
        <v>1</v>
      </c>
      <c r="E349" s="22"/>
      <c r="F349" s="22"/>
      <c r="G349" s="22"/>
      <c r="H349" s="43"/>
      <c r="I349" s="9">
        <f t="shared" si="47"/>
        <v>1</v>
      </c>
      <c r="J349" s="4">
        <v>45989</v>
      </c>
    </row>
    <row r="350" spans="2:10" x14ac:dyDescent="0.15">
      <c r="B350" s="20" t="s">
        <v>13</v>
      </c>
      <c r="C350" s="42"/>
      <c r="D350" s="22"/>
      <c r="E350" s="22"/>
      <c r="F350" s="22">
        <v>1</v>
      </c>
      <c r="G350" s="22"/>
      <c r="H350" s="43"/>
      <c r="I350" s="9">
        <f t="shared" si="47"/>
        <v>1</v>
      </c>
      <c r="J350" s="4">
        <v>45994</v>
      </c>
    </row>
    <row r="351" spans="2:10" x14ac:dyDescent="0.15">
      <c r="B351" s="20" t="s">
        <v>13</v>
      </c>
      <c r="C351" s="42"/>
      <c r="D351" s="22">
        <v>2</v>
      </c>
      <c r="E351" s="22"/>
      <c r="F351" s="22"/>
      <c r="G351" s="22"/>
      <c r="H351" s="43"/>
      <c r="I351" s="9">
        <f t="shared" si="47"/>
        <v>2</v>
      </c>
      <c r="J351" s="4">
        <v>46002</v>
      </c>
    </row>
    <row r="352" spans="2:10" x14ac:dyDescent="0.15">
      <c r="B352" s="20" t="s">
        <v>13</v>
      </c>
      <c r="C352" s="42"/>
      <c r="D352" s="22">
        <v>1</v>
      </c>
      <c r="E352" s="22"/>
      <c r="F352" s="22"/>
      <c r="G352" s="22"/>
      <c r="H352" s="43"/>
      <c r="I352" s="9">
        <f t="shared" si="47"/>
        <v>1</v>
      </c>
      <c r="J352" s="4">
        <v>46009</v>
      </c>
    </row>
    <row r="353" spans="2:10" x14ac:dyDescent="0.15">
      <c r="B353" s="20" t="s">
        <v>13</v>
      </c>
      <c r="C353" s="42"/>
      <c r="D353" s="22">
        <v>1</v>
      </c>
      <c r="E353" s="22"/>
      <c r="F353" s="22"/>
      <c r="G353" s="22"/>
      <c r="H353" s="43"/>
      <c r="I353" s="9">
        <f t="shared" si="47"/>
        <v>1</v>
      </c>
      <c r="J353" s="4">
        <v>46015</v>
      </c>
    </row>
    <row r="354" spans="2:10" x14ac:dyDescent="0.15">
      <c r="B354" s="20" t="s">
        <v>13</v>
      </c>
      <c r="C354" s="42">
        <v>1</v>
      </c>
      <c r="D354" s="22">
        <v>3</v>
      </c>
      <c r="E354" s="22"/>
      <c r="F354" s="22"/>
      <c r="G354" s="22"/>
      <c r="H354" s="43"/>
      <c r="I354" s="9">
        <f t="shared" si="47"/>
        <v>4</v>
      </c>
      <c r="J354" s="4">
        <v>46027</v>
      </c>
    </row>
    <row r="355" spans="2:10" x14ac:dyDescent="0.15">
      <c r="B355" s="20" t="s">
        <v>13</v>
      </c>
      <c r="C355" s="42"/>
      <c r="D355" s="22">
        <v>1</v>
      </c>
      <c r="E355" s="22"/>
      <c r="F355" s="22"/>
      <c r="G355" s="22"/>
      <c r="H355" s="43"/>
      <c r="I355" s="9">
        <f t="shared" si="47"/>
        <v>1</v>
      </c>
      <c r="J355" s="4">
        <v>46028</v>
      </c>
    </row>
    <row r="356" spans="2:10" x14ac:dyDescent="0.15">
      <c r="B356" s="20" t="s">
        <v>13</v>
      </c>
      <c r="C356" s="42"/>
      <c r="D356" s="22">
        <v>1</v>
      </c>
      <c r="E356" s="22"/>
      <c r="F356" s="22"/>
      <c r="G356" s="22"/>
      <c r="H356" s="43"/>
      <c r="I356" s="9">
        <f t="shared" si="47"/>
        <v>1</v>
      </c>
      <c r="J356" s="4">
        <v>46035</v>
      </c>
    </row>
    <row r="357" spans="2:10" x14ac:dyDescent="0.15">
      <c r="B357" s="20" t="s">
        <v>13</v>
      </c>
      <c r="C357" s="42"/>
      <c r="D357" s="22"/>
      <c r="E357" s="22"/>
      <c r="F357" s="22">
        <v>1</v>
      </c>
      <c r="G357" s="22"/>
      <c r="H357" s="43"/>
      <c r="I357" s="9">
        <f t="shared" si="47"/>
        <v>1</v>
      </c>
      <c r="J357" s="4">
        <v>46041</v>
      </c>
    </row>
    <row r="358" spans="2:10" x14ac:dyDescent="0.15">
      <c r="B358" s="20" t="s">
        <v>13</v>
      </c>
      <c r="C358" s="42">
        <v>1</v>
      </c>
      <c r="D358" s="22">
        <v>1</v>
      </c>
      <c r="E358" s="22">
        <v>1</v>
      </c>
      <c r="F358" s="22"/>
      <c r="G358" s="22">
        <v>1</v>
      </c>
      <c r="H358" s="43"/>
      <c r="I358" s="9">
        <f t="shared" si="47"/>
        <v>4</v>
      </c>
      <c r="J358" s="4">
        <v>46048</v>
      </c>
    </row>
    <row r="359" spans="2:10" x14ac:dyDescent="0.15">
      <c r="B359" s="20" t="s">
        <v>13</v>
      </c>
      <c r="C359" s="42"/>
      <c r="D359" s="22"/>
      <c r="E359" s="22"/>
      <c r="F359" s="22">
        <v>1</v>
      </c>
      <c r="G359" s="22"/>
      <c r="H359" s="43"/>
      <c r="I359" s="9">
        <f t="shared" si="47"/>
        <v>1</v>
      </c>
      <c r="J359" s="4">
        <v>46055</v>
      </c>
    </row>
    <row r="360" spans="2:10" x14ac:dyDescent="0.15">
      <c r="B360" s="20" t="s">
        <v>13</v>
      </c>
      <c r="C360" s="42"/>
      <c r="D360" s="22">
        <v>1</v>
      </c>
      <c r="E360" s="22"/>
      <c r="F360" s="22"/>
      <c r="G360" s="22"/>
      <c r="H360" s="43"/>
      <c r="I360" s="9">
        <f t="shared" si="47"/>
        <v>1</v>
      </c>
      <c r="J360" s="4">
        <v>46058</v>
      </c>
    </row>
    <row r="361" spans="2:10" x14ac:dyDescent="0.15">
      <c r="B361" s="20" t="s">
        <v>13</v>
      </c>
      <c r="C361" s="42"/>
      <c r="D361" s="22"/>
      <c r="E361" s="22"/>
      <c r="F361" s="22">
        <v>1</v>
      </c>
      <c r="G361" s="22"/>
      <c r="H361" s="43">
        <v>1</v>
      </c>
      <c r="I361" s="9">
        <f t="shared" si="47"/>
        <v>2</v>
      </c>
      <c r="J361" s="4">
        <v>46062</v>
      </c>
    </row>
    <row r="362" spans="2:10" x14ac:dyDescent="0.15">
      <c r="B362" s="20" t="s">
        <v>13</v>
      </c>
      <c r="C362" s="42"/>
      <c r="D362" s="22"/>
      <c r="E362" s="22"/>
      <c r="F362" s="22"/>
      <c r="G362" s="22"/>
      <c r="H362" s="43">
        <v>1</v>
      </c>
      <c r="I362" s="9">
        <f t="shared" si="47"/>
        <v>1</v>
      </c>
      <c r="J362" s="4">
        <v>46069</v>
      </c>
    </row>
    <row r="363" spans="2:10" x14ac:dyDescent="0.15">
      <c r="B363" s="20" t="s">
        <v>13</v>
      </c>
      <c r="C363" s="42">
        <v>1</v>
      </c>
      <c r="D363" s="22"/>
      <c r="E363" s="22"/>
      <c r="F363" s="22"/>
      <c r="G363" s="22"/>
      <c r="H363" s="43"/>
      <c r="I363" s="9">
        <f t="shared" si="47"/>
        <v>1</v>
      </c>
      <c r="J363" s="4">
        <v>46072</v>
      </c>
    </row>
    <row r="364" spans="2:10" x14ac:dyDescent="0.15">
      <c r="B364" s="20" t="s">
        <v>13</v>
      </c>
      <c r="C364" s="42"/>
      <c r="D364" s="22">
        <v>3</v>
      </c>
      <c r="E364" s="22"/>
      <c r="F364" s="22"/>
      <c r="G364" s="22"/>
      <c r="H364" s="43"/>
      <c r="I364" s="9">
        <f t="shared" si="47"/>
        <v>3</v>
      </c>
      <c r="J364" s="4">
        <v>46077</v>
      </c>
    </row>
    <row r="365" spans="2:10" x14ac:dyDescent="0.15">
      <c r="B365" s="20" t="s">
        <v>13</v>
      </c>
      <c r="C365" s="42"/>
      <c r="D365" s="22">
        <v>1</v>
      </c>
      <c r="E365" s="22"/>
      <c r="F365" s="22"/>
      <c r="G365" s="22"/>
      <c r="H365" s="43"/>
      <c r="I365" s="9">
        <f t="shared" si="47"/>
        <v>1</v>
      </c>
      <c r="J365" s="4">
        <v>46078</v>
      </c>
    </row>
    <row r="366" spans="2:10" x14ac:dyDescent="0.15">
      <c r="B366" s="20" t="s">
        <v>13</v>
      </c>
      <c r="C366" s="42">
        <v>1</v>
      </c>
      <c r="D366" s="22"/>
      <c r="E366" s="22"/>
      <c r="F366" s="22"/>
      <c r="G366" s="22"/>
      <c r="H366" s="43"/>
      <c r="I366" s="9">
        <f t="shared" si="47"/>
        <v>1</v>
      </c>
      <c r="J366" s="4">
        <v>46080</v>
      </c>
    </row>
    <row r="367" spans="2:10" x14ac:dyDescent="0.15">
      <c r="B367" s="20" t="s">
        <v>13</v>
      </c>
      <c r="C367" s="42"/>
      <c r="D367" s="22">
        <v>1</v>
      </c>
      <c r="E367" s="22"/>
      <c r="F367" s="22"/>
      <c r="G367" s="22"/>
      <c r="H367" s="43"/>
      <c r="I367" s="9">
        <f t="shared" si="47"/>
        <v>1</v>
      </c>
      <c r="J367" s="4">
        <v>46083</v>
      </c>
    </row>
    <row r="368" spans="2:10" x14ac:dyDescent="0.15">
      <c r="B368" s="20" t="s">
        <v>13</v>
      </c>
      <c r="C368" s="42"/>
      <c r="D368" s="22">
        <v>1</v>
      </c>
      <c r="E368" s="22"/>
      <c r="F368" s="22"/>
      <c r="G368" s="22"/>
      <c r="H368" s="43"/>
      <c r="I368" s="9">
        <f t="shared" si="47"/>
        <v>1</v>
      </c>
      <c r="J368" s="4">
        <v>46091</v>
      </c>
    </row>
    <row r="369" spans="2:10" x14ac:dyDescent="0.15">
      <c r="B369" s="20" t="s">
        <v>13</v>
      </c>
      <c r="C369" s="42"/>
      <c r="D369" s="22"/>
      <c r="E369" s="22"/>
      <c r="F369" s="22"/>
      <c r="G369" s="22">
        <v>1</v>
      </c>
      <c r="H369" s="43"/>
      <c r="I369" s="9">
        <f t="shared" si="47"/>
        <v>1</v>
      </c>
      <c r="J369" s="4">
        <v>46094</v>
      </c>
    </row>
    <row r="370" spans="2:10" x14ac:dyDescent="0.15">
      <c r="B370" s="20" t="s">
        <v>13</v>
      </c>
      <c r="C370" s="42">
        <v>1</v>
      </c>
      <c r="D370" s="22"/>
      <c r="E370" s="22"/>
      <c r="F370" s="22"/>
      <c r="G370" s="22"/>
      <c r="H370" s="43"/>
      <c r="I370" s="9">
        <f t="shared" si="47"/>
        <v>1</v>
      </c>
      <c r="J370" s="4">
        <v>46097</v>
      </c>
    </row>
    <row r="371" spans="2:10" x14ac:dyDescent="0.15">
      <c r="B371" s="20" t="s">
        <v>13</v>
      </c>
      <c r="C371" s="42"/>
      <c r="D371" s="22">
        <v>1</v>
      </c>
      <c r="E371" s="22"/>
      <c r="F371" s="22"/>
      <c r="G371" s="22"/>
      <c r="H371" s="43"/>
      <c r="I371" s="9">
        <f t="shared" si="45"/>
        <v>1</v>
      </c>
      <c r="J371" s="4">
        <v>46104</v>
      </c>
    </row>
    <row r="372" spans="2:10" ht="14.25" thickBot="1" x14ac:dyDescent="0.2">
      <c r="B372" s="20" t="s">
        <v>13</v>
      </c>
      <c r="C372" s="44"/>
      <c r="D372" s="30">
        <v>1</v>
      </c>
      <c r="E372" s="30"/>
      <c r="F372" s="30"/>
      <c r="G372" s="30"/>
      <c r="H372" s="45"/>
      <c r="I372" s="10">
        <f t="shared" si="45"/>
        <v>1</v>
      </c>
      <c r="J372" s="4">
        <v>46122</v>
      </c>
    </row>
    <row r="373" spans="2:10" ht="14.25" thickBot="1" x14ac:dyDescent="0.2">
      <c r="B373" s="21" t="s">
        <v>2</v>
      </c>
      <c r="C373" s="51">
        <f>SUM(C348:C372)</f>
        <v>5</v>
      </c>
      <c r="D373" s="36">
        <f>SUM(D348:D372)</f>
        <v>21</v>
      </c>
      <c r="E373" s="36">
        <f>SUM(E348:E372)</f>
        <v>1</v>
      </c>
      <c r="F373" s="36">
        <f>SUM(F348:F372)</f>
        <v>4</v>
      </c>
      <c r="G373" s="36">
        <f>SUM(G348:G372)</f>
        <v>2</v>
      </c>
      <c r="H373" s="34">
        <f t="shared" ref="H373" si="48">SUM(H348:H372)</f>
        <v>2</v>
      </c>
      <c r="I373" s="11">
        <f t="shared" si="45"/>
        <v>35</v>
      </c>
    </row>
    <row r="374" spans="2:10" ht="14.25" thickBot="1" x14ac:dyDescent="0.2">
      <c r="B374" s="19" t="s">
        <v>3</v>
      </c>
      <c r="C374" s="46">
        <f>+C347-C373</f>
        <v>6</v>
      </c>
      <c r="D374" s="33">
        <f>+D347-D373</f>
        <v>11</v>
      </c>
      <c r="E374" s="33">
        <f>+E347-E373</f>
        <v>2</v>
      </c>
      <c r="F374" s="33">
        <f>+F347-F373</f>
        <v>4</v>
      </c>
      <c r="G374" s="33">
        <f>+G347-G373</f>
        <v>2</v>
      </c>
      <c r="H374" s="37">
        <f t="shared" ref="H374" si="49">+H347-H373</f>
        <v>2</v>
      </c>
      <c r="I374" s="13">
        <f t="shared" si="45"/>
        <v>27</v>
      </c>
    </row>
    <row r="376" spans="2:10" ht="18.75" x14ac:dyDescent="0.2">
      <c r="B376" s="6" t="s">
        <v>6</v>
      </c>
      <c r="C376" s="7"/>
      <c r="D376" s="7"/>
      <c r="E376" s="7"/>
      <c r="F376" s="7"/>
      <c r="G376" s="7"/>
      <c r="H376" s="7"/>
      <c r="I376" s="7">
        <v>874</v>
      </c>
    </row>
    <row r="377" spans="2:10" ht="14.25" thickBot="1" x14ac:dyDescent="0.2"/>
    <row r="378" spans="2:10" ht="14.25" thickBot="1" x14ac:dyDescent="0.2">
      <c r="B378" s="2"/>
      <c r="C378" s="15"/>
      <c r="D378" s="15"/>
      <c r="E378" s="15"/>
      <c r="F378" s="15"/>
      <c r="G378" s="15"/>
      <c r="H378" s="15"/>
      <c r="I378" s="16"/>
    </row>
    <row r="379" spans="2:10" ht="14.25" thickBot="1" x14ac:dyDescent="0.2">
      <c r="B379" s="21"/>
      <c r="C379" s="38" t="s">
        <v>9</v>
      </c>
      <c r="D379" s="26" t="s">
        <v>8</v>
      </c>
      <c r="E379" s="27" t="s">
        <v>11</v>
      </c>
      <c r="F379" s="28" t="s">
        <v>12</v>
      </c>
      <c r="G379" s="29" t="s">
        <v>10</v>
      </c>
      <c r="H379" s="39" t="s">
        <v>7</v>
      </c>
      <c r="I379" s="8" t="s">
        <v>0</v>
      </c>
    </row>
    <row r="380" spans="2:10" x14ac:dyDescent="0.15">
      <c r="B380" s="24" t="s">
        <v>3</v>
      </c>
      <c r="C380" s="40">
        <f>C374</f>
        <v>6</v>
      </c>
      <c r="D380" s="25">
        <f>D374</f>
        <v>11</v>
      </c>
      <c r="E380" s="25">
        <f>E374</f>
        <v>2</v>
      </c>
      <c r="F380" s="25">
        <f>F374</f>
        <v>4</v>
      </c>
      <c r="G380" s="25">
        <f>G374</f>
        <v>2</v>
      </c>
      <c r="H380" s="41">
        <f t="shared" ref="H380" si="50">H374</f>
        <v>2</v>
      </c>
      <c r="I380" s="52">
        <f>SUM(C380:H380)</f>
        <v>27</v>
      </c>
    </row>
    <row r="381" spans="2:10" x14ac:dyDescent="0.15">
      <c r="B381" s="64" t="s">
        <v>4</v>
      </c>
      <c r="C381" s="65">
        <v>5</v>
      </c>
      <c r="D381" s="66"/>
      <c r="E381" s="66"/>
      <c r="F381" s="66"/>
      <c r="G381" s="66"/>
      <c r="H381" s="67">
        <v>2</v>
      </c>
      <c r="I381" s="68">
        <f t="shared" ref="I381:I385" si="51">SUM(C381:H381)</f>
        <v>7</v>
      </c>
      <c r="J381" s="69">
        <v>46191</v>
      </c>
    </row>
    <row r="382" spans="2:10" x14ac:dyDescent="0.15">
      <c r="B382" s="18" t="s">
        <v>4</v>
      </c>
      <c r="C382" s="44"/>
      <c r="D382" s="30"/>
      <c r="E382" s="30"/>
      <c r="F382" s="30"/>
      <c r="G382" s="30"/>
      <c r="H382" s="45"/>
      <c r="I382" s="10">
        <f t="shared" si="51"/>
        <v>0</v>
      </c>
    </row>
    <row r="383" spans="2:10" x14ac:dyDescent="0.15">
      <c r="B383" s="18" t="s">
        <v>4</v>
      </c>
      <c r="C383" s="44"/>
      <c r="D383" s="30"/>
      <c r="E383" s="30"/>
      <c r="F383" s="30"/>
      <c r="G383" s="30"/>
      <c r="H383" s="45"/>
      <c r="I383" s="10">
        <f t="shared" si="51"/>
        <v>0</v>
      </c>
    </row>
    <row r="384" spans="2:10" x14ac:dyDescent="0.15">
      <c r="B384" s="18" t="s">
        <v>4</v>
      </c>
      <c r="C384" s="44"/>
      <c r="D384" s="30"/>
      <c r="E384" s="30"/>
      <c r="F384" s="30"/>
      <c r="G384" s="30"/>
      <c r="H384" s="45"/>
      <c r="I384" s="10">
        <f t="shared" si="51"/>
        <v>0</v>
      </c>
    </row>
    <row r="385" spans="2:10" x14ac:dyDescent="0.15">
      <c r="B385" s="18" t="s">
        <v>4</v>
      </c>
      <c r="C385" s="44"/>
      <c r="D385" s="30"/>
      <c r="E385" s="30"/>
      <c r="F385" s="30"/>
      <c r="G385" s="30"/>
      <c r="H385" s="45"/>
      <c r="I385" s="10">
        <f t="shared" si="51"/>
        <v>0</v>
      </c>
    </row>
    <row r="386" spans="2:10" x14ac:dyDescent="0.15">
      <c r="B386" s="18" t="s">
        <v>4</v>
      </c>
      <c r="C386" s="44"/>
      <c r="D386" s="30"/>
      <c r="E386" s="30"/>
      <c r="F386" s="30"/>
      <c r="G386" s="30"/>
      <c r="H386" s="45"/>
      <c r="I386" s="10">
        <f t="shared" ref="I386:I417" si="52">SUM(C386:H386)</f>
        <v>0</v>
      </c>
    </row>
    <row r="387" spans="2:10" x14ac:dyDescent="0.15">
      <c r="B387" s="18" t="s">
        <v>4</v>
      </c>
      <c r="C387" s="44"/>
      <c r="D387" s="30"/>
      <c r="E387" s="30"/>
      <c r="F387" s="30"/>
      <c r="G387" s="30"/>
      <c r="H387" s="45"/>
      <c r="I387" s="10">
        <f t="shared" si="52"/>
        <v>0</v>
      </c>
    </row>
    <row r="388" spans="2:10" x14ac:dyDescent="0.15">
      <c r="B388" s="18" t="s">
        <v>4</v>
      </c>
      <c r="C388" s="44"/>
      <c r="D388" s="30"/>
      <c r="E388" s="30"/>
      <c r="F388" s="30"/>
      <c r="G388" s="30"/>
      <c r="H388" s="45"/>
      <c r="I388" s="10">
        <f t="shared" si="52"/>
        <v>0</v>
      </c>
    </row>
    <row r="389" spans="2:10" ht="14.25" thickBot="1" x14ac:dyDescent="0.2">
      <c r="B389" s="18" t="s">
        <v>4</v>
      </c>
      <c r="C389" s="44"/>
      <c r="D389" s="30"/>
      <c r="E389" s="30"/>
      <c r="F389" s="30"/>
      <c r="G389" s="30"/>
      <c r="H389" s="45"/>
      <c r="I389" s="10">
        <f t="shared" si="52"/>
        <v>0</v>
      </c>
    </row>
    <row r="390" spans="2:10" ht="14.25" thickBot="1" x14ac:dyDescent="0.2">
      <c r="B390" s="19" t="s">
        <v>1</v>
      </c>
      <c r="C390" s="46">
        <f>SUM(C380:C389)</f>
        <v>11</v>
      </c>
      <c r="D390" s="33">
        <f>SUM(D380:D389)</f>
        <v>11</v>
      </c>
      <c r="E390" s="33">
        <f>SUM(E380:E389)</f>
        <v>2</v>
      </c>
      <c r="F390" s="33">
        <f>SUM(F380:F389)</f>
        <v>4</v>
      </c>
      <c r="G390" s="33">
        <f>SUM(G380:G389)</f>
        <v>2</v>
      </c>
      <c r="H390" s="37">
        <f t="shared" ref="H390" si="53">SUM(H380:H389)</f>
        <v>4</v>
      </c>
      <c r="I390" s="11">
        <f t="shared" si="52"/>
        <v>34</v>
      </c>
    </row>
    <row r="391" spans="2:10" x14ac:dyDescent="0.15">
      <c r="B391" s="20" t="s">
        <v>13</v>
      </c>
      <c r="C391" s="42"/>
      <c r="D391" s="22">
        <v>1</v>
      </c>
      <c r="E391" s="22"/>
      <c r="F391" s="22"/>
      <c r="G391" s="22"/>
      <c r="H391" s="43"/>
      <c r="I391" s="9">
        <f t="shared" ref="I391:I413" si="54">SUM(C391:H391)</f>
        <v>1</v>
      </c>
      <c r="J391" s="4">
        <v>46127</v>
      </c>
    </row>
    <row r="392" spans="2:10" x14ac:dyDescent="0.15">
      <c r="B392" s="20" t="s">
        <v>13</v>
      </c>
      <c r="C392" s="42">
        <v>2</v>
      </c>
      <c r="D392" s="22">
        <v>1</v>
      </c>
      <c r="E392" s="22"/>
      <c r="F392" s="22"/>
      <c r="G392" s="22"/>
      <c r="H392" s="43"/>
      <c r="I392" s="9">
        <f t="shared" si="54"/>
        <v>3</v>
      </c>
      <c r="J392" s="4">
        <v>46128</v>
      </c>
    </row>
    <row r="393" spans="2:10" x14ac:dyDescent="0.15">
      <c r="B393" s="20" t="s">
        <v>13</v>
      </c>
      <c r="C393" s="42"/>
      <c r="D393" s="22">
        <v>1</v>
      </c>
      <c r="E393" s="22"/>
      <c r="F393" s="22"/>
      <c r="G393" s="22"/>
      <c r="H393" s="43"/>
      <c r="I393" s="9">
        <f t="shared" si="54"/>
        <v>1</v>
      </c>
      <c r="J393" s="4">
        <v>46140</v>
      </c>
    </row>
    <row r="394" spans="2:10" x14ac:dyDescent="0.15">
      <c r="B394" s="20" t="s">
        <v>13</v>
      </c>
      <c r="C394" s="42"/>
      <c r="D394" s="22"/>
      <c r="E394" s="22"/>
      <c r="F394" s="22"/>
      <c r="G394" s="22"/>
      <c r="H394" s="43">
        <v>1</v>
      </c>
      <c r="I394" s="9">
        <f t="shared" si="54"/>
        <v>1</v>
      </c>
      <c r="J394" s="4">
        <v>46142</v>
      </c>
    </row>
    <row r="395" spans="2:10" x14ac:dyDescent="0.15">
      <c r="B395" s="20" t="s">
        <v>13</v>
      </c>
      <c r="C395" s="42">
        <v>1</v>
      </c>
      <c r="D395" s="22"/>
      <c r="E395" s="22"/>
      <c r="F395" s="22"/>
      <c r="G395" s="22"/>
      <c r="H395" s="43"/>
      <c r="I395" s="9">
        <f t="shared" si="54"/>
        <v>1</v>
      </c>
      <c r="J395" s="4">
        <v>46156</v>
      </c>
    </row>
    <row r="396" spans="2:10" x14ac:dyDescent="0.15">
      <c r="B396" s="20" t="s">
        <v>13</v>
      </c>
      <c r="C396" s="42"/>
      <c r="D396" s="22">
        <v>1</v>
      </c>
      <c r="E396" s="22"/>
      <c r="F396" s="22"/>
      <c r="G396" s="22"/>
      <c r="H396" s="43"/>
      <c r="I396" s="9">
        <f t="shared" si="54"/>
        <v>1</v>
      </c>
      <c r="J396" s="4">
        <v>46182</v>
      </c>
    </row>
    <row r="397" spans="2:10" x14ac:dyDescent="0.15">
      <c r="B397" s="20" t="s">
        <v>13</v>
      </c>
      <c r="C397" s="42">
        <v>1</v>
      </c>
      <c r="D397" s="22"/>
      <c r="E397" s="22"/>
      <c r="F397" s="22"/>
      <c r="G397" s="22"/>
      <c r="H397" s="43"/>
      <c r="I397" s="9">
        <f t="shared" si="54"/>
        <v>1</v>
      </c>
      <c r="J397" s="4">
        <v>46184</v>
      </c>
    </row>
    <row r="398" spans="2:10" x14ac:dyDescent="0.15">
      <c r="B398" s="20" t="s">
        <v>13</v>
      </c>
      <c r="C398" s="42">
        <v>1</v>
      </c>
      <c r="D398" s="22"/>
      <c r="E398" s="22"/>
      <c r="F398" s="22"/>
      <c r="G398" s="22"/>
      <c r="H398" s="43"/>
      <c r="I398" s="9">
        <f t="shared" si="54"/>
        <v>1</v>
      </c>
      <c r="J398" s="4">
        <v>46188</v>
      </c>
    </row>
    <row r="399" spans="2:10" x14ac:dyDescent="0.15">
      <c r="B399" s="20"/>
      <c r="C399" s="42"/>
      <c r="D399" s="22"/>
      <c r="E399" s="22"/>
      <c r="F399" s="22"/>
      <c r="G399" s="22"/>
      <c r="H399" s="43"/>
      <c r="I399" s="9">
        <f t="shared" si="54"/>
        <v>0</v>
      </c>
      <c r="J399" s="4"/>
    </row>
    <row r="400" spans="2:10" x14ac:dyDescent="0.15">
      <c r="B400" s="20"/>
      <c r="C400" s="42"/>
      <c r="D400" s="22"/>
      <c r="E400" s="22"/>
      <c r="F400" s="22"/>
      <c r="G400" s="22"/>
      <c r="H400" s="43"/>
      <c r="I400" s="9">
        <f t="shared" si="54"/>
        <v>0</v>
      </c>
    </row>
    <row r="401" spans="2:9" x14ac:dyDescent="0.15">
      <c r="B401" s="20"/>
      <c r="C401" s="42"/>
      <c r="D401" s="22"/>
      <c r="E401" s="22"/>
      <c r="F401" s="22"/>
      <c r="G401" s="22"/>
      <c r="H401" s="43"/>
      <c r="I401" s="9">
        <f t="shared" si="54"/>
        <v>0</v>
      </c>
    </row>
    <row r="402" spans="2:9" x14ac:dyDescent="0.15">
      <c r="B402" s="20"/>
      <c r="C402" s="42"/>
      <c r="D402" s="22"/>
      <c r="E402" s="22"/>
      <c r="F402" s="22"/>
      <c r="G402" s="22"/>
      <c r="H402" s="43"/>
      <c r="I402" s="9">
        <f t="shared" si="54"/>
        <v>0</v>
      </c>
    </row>
    <row r="403" spans="2:9" x14ac:dyDescent="0.15">
      <c r="B403" s="20"/>
      <c r="C403" s="42"/>
      <c r="D403" s="22"/>
      <c r="E403" s="22"/>
      <c r="F403" s="22"/>
      <c r="G403" s="22"/>
      <c r="H403" s="43"/>
      <c r="I403" s="9">
        <f t="shared" si="54"/>
        <v>0</v>
      </c>
    </row>
    <row r="404" spans="2:9" x14ac:dyDescent="0.15">
      <c r="B404" s="20"/>
      <c r="C404" s="42"/>
      <c r="D404" s="22"/>
      <c r="E404" s="22"/>
      <c r="F404" s="22"/>
      <c r="G404" s="22"/>
      <c r="H404" s="43"/>
      <c r="I404" s="9">
        <f t="shared" si="54"/>
        <v>0</v>
      </c>
    </row>
    <row r="405" spans="2:9" x14ac:dyDescent="0.15">
      <c r="B405" s="20"/>
      <c r="C405" s="42"/>
      <c r="D405" s="22"/>
      <c r="E405" s="22"/>
      <c r="F405" s="22"/>
      <c r="G405" s="22"/>
      <c r="H405" s="43"/>
      <c r="I405" s="9">
        <f t="shared" si="54"/>
        <v>0</v>
      </c>
    </row>
    <row r="406" spans="2:9" x14ac:dyDescent="0.15">
      <c r="B406" s="20"/>
      <c r="C406" s="42"/>
      <c r="D406" s="22"/>
      <c r="E406" s="22"/>
      <c r="F406" s="22"/>
      <c r="G406" s="22"/>
      <c r="H406" s="43"/>
      <c r="I406" s="9">
        <f t="shared" si="54"/>
        <v>0</v>
      </c>
    </row>
    <row r="407" spans="2:9" x14ac:dyDescent="0.15">
      <c r="B407" s="20"/>
      <c r="C407" s="42"/>
      <c r="D407" s="22"/>
      <c r="E407" s="22"/>
      <c r="F407" s="22"/>
      <c r="G407" s="22"/>
      <c r="H407" s="43"/>
      <c r="I407" s="9">
        <f t="shared" si="54"/>
        <v>0</v>
      </c>
    </row>
    <row r="408" spans="2:9" x14ac:dyDescent="0.15">
      <c r="B408" s="20"/>
      <c r="C408" s="42"/>
      <c r="D408" s="22"/>
      <c r="E408" s="22"/>
      <c r="F408" s="22"/>
      <c r="G408" s="22"/>
      <c r="H408" s="43"/>
      <c r="I408" s="9">
        <f t="shared" si="54"/>
        <v>0</v>
      </c>
    </row>
    <row r="409" spans="2:9" x14ac:dyDescent="0.15">
      <c r="B409" s="20"/>
      <c r="C409" s="42"/>
      <c r="D409" s="22"/>
      <c r="E409" s="22"/>
      <c r="F409" s="22"/>
      <c r="G409" s="22"/>
      <c r="H409" s="43"/>
      <c r="I409" s="9">
        <f t="shared" si="54"/>
        <v>0</v>
      </c>
    </row>
    <row r="410" spans="2:9" x14ac:dyDescent="0.15">
      <c r="B410" s="20"/>
      <c r="C410" s="42"/>
      <c r="D410" s="22"/>
      <c r="E410" s="22"/>
      <c r="F410" s="22"/>
      <c r="G410" s="22"/>
      <c r="H410" s="43"/>
      <c r="I410" s="9">
        <f t="shared" si="54"/>
        <v>0</v>
      </c>
    </row>
    <row r="411" spans="2:9" x14ac:dyDescent="0.15">
      <c r="B411" s="20"/>
      <c r="C411" s="42"/>
      <c r="D411" s="22"/>
      <c r="E411" s="22"/>
      <c r="F411" s="22"/>
      <c r="G411" s="22"/>
      <c r="H411" s="43"/>
      <c r="I411" s="9">
        <f t="shared" si="54"/>
        <v>0</v>
      </c>
    </row>
    <row r="412" spans="2:9" x14ac:dyDescent="0.15">
      <c r="B412" s="20"/>
      <c r="C412" s="42"/>
      <c r="D412" s="22"/>
      <c r="E412" s="22"/>
      <c r="F412" s="22"/>
      <c r="G412" s="22"/>
      <c r="H412" s="43"/>
      <c r="I412" s="9">
        <f t="shared" si="54"/>
        <v>0</v>
      </c>
    </row>
    <row r="413" spans="2:9" x14ac:dyDescent="0.15">
      <c r="B413" s="20"/>
      <c r="C413" s="42"/>
      <c r="D413" s="22"/>
      <c r="E413" s="22"/>
      <c r="F413" s="22"/>
      <c r="G413" s="22"/>
      <c r="H413" s="43"/>
      <c r="I413" s="9">
        <f t="shared" si="54"/>
        <v>0</v>
      </c>
    </row>
    <row r="414" spans="2:9" x14ac:dyDescent="0.15">
      <c r="B414" s="20"/>
      <c r="C414" s="42"/>
      <c r="D414" s="22"/>
      <c r="E414" s="22"/>
      <c r="F414" s="22"/>
      <c r="G414" s="22"/>
      <c r="H414" s="43"/>
      <c r="I414" s="9">
        <f t="shared" si="52"/>
        <v>0</v>
      </c>
    </row>
    <row r="415" spans="2:9" ht="14.25" thickBot="1" x14ac:dyDescent="0.2">
      <c r="B415" s="20"/>
      <c r="C415" s="44"/>
      <c r="D415" s="30"/>
      <c r="E415" s="30"/>
      <c r="F415" s="30"/>
      <c r="G415" s="30"/>
      <c r="H415" s="45"/>
      <c r="I415" s="10">
        <f t="shared" si="52"/>
        <v>0</v>
      </c>
    </row>
    <row r="416" spans="2:9" ht="14.25" thickBot="1" x14ac:dyDescent="0.2">
      <c r="B416" s="21" t="s">
        <v>2</v>
      </c>
      <c r="C416" s="51">
        <f>SUM(C391:C415)</f>
        <v>5</v>
      </c>
      <c r="D416" s="36">
        <f>SUM(D391:D415)</f>
        <v>4</v>
      </c>
      <c r="E416" s="36">
        <f>SUM(E391:E415)</f>
        <v>0</v>
      </c>
      <c r="F416" s="36">
        <f>SUM(F391:F415)</f>
        <v>0</v>
      </c>
      <c r="G416" s="36">
        <f>SUM(G391:G415)</f>
        <v>0</v>
      </c>
      <c r="H416" s="34">
        <f t="shared" ref="H416" si="55">SUM(H391:H415)</f>
        <v>1</v>
      </c>
      <c r="I416" s="11">
        <f t="shared" si="52"/>
        <v>10</v>
      </c>
    </row>
    <row r="417" spans="2:9" ht="14.25" thickBot="1" x14ac:dyDescent="0.2">
      <c r="B417" s="19" t="s">
        <v>3</v>
      </c>
      <c r="C417" s="46">
        <f>+C390-C416</f>
        <v>6</v>
      </c>
      <c r="D417" s="33">
        <f>+D390-D416</f>
        <v>7</v>
      </c>
      <c r="E417" s="33">
        <f>+E390-E416</f>
        <v>2</v>
      </c>
      <c r="F417" s="33">
        <f>+F390-F416</f>
        <v>4</v>
      </c>
      <c r="G417" s="33">
        <f>+G390-G416</f>
        <v>2</v>
      </c>
      <c r="H417" s="37">
        <f t="shared" ref="H417" si="56">+H390-H416</f>
        <v>3</v>
      </c>
      <c r="I417" s="13">
        <f t="shared" si="52"/>
        <v>24</v>
      </c>
    </row>
  </sheetData>
  <phoneticPr fontId="1"/>
  <pageMargins left="0.78700000000000003" right="0.78700000000000003" top="0.98399999999999999" bottom="0.98399999999999999" header="0.51200000000000001" footer="0.51200000000000001"/>
  <pageSetup paperSize="9" orientation="portrait" horizontalDpi="300" verticalDpi="30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ネックウォーマー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AT MR</cp:lastModifiedBy>
  <dcterms:created xsi:type="dcterms:W3CDTF">1997-01-08T22:48:59Z</dcterms:created>
  <dcterms:modified xsi:type="dcterms:W3CDTF">2026-06-18T09:14:12Z</dcterms:modified>
</cp:coreProperties>
</file>