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Yhds220p\10_発注管理\夢販流通\ユーセン\"/>
    </mc:Choice>
  </mc:AlternateContent>
  <xr:revisionPtr revIDLastSave="0" documentId="13_ncr:1_{9C810155-3EEF-486D-80B9-880811CAAE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5本指オープン靴下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46" i="1" l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37" i="1"/>
  <c r="H538" i="1"/>
  <c r="H539" i="1"/>
  <c r="H540" i="1"/>
  <c r="H541" i="1"/>
  <c r="H542" i="1"/>
  <c r="G571" i="1"/>
  <c r="F571" i="1"/>
  <c r="E571" i="1"/>
  <c r="D571" i="1"/>
  <c r="C571" i="1"/>
  <c r="H570" i="1"/>
  <c r="H569" i="1"/>
  <c r="H544" i="1"/>
  <c r="H543" i="1"/>
  <c r="G536" i="1"/>
  <c r="G545" i="1" s="1"/>
  <c r="E536" i="1"/>
  <c r="E545" i="1" s="1"/>
  <c r="D536" i="1"/>
  <c r="D545" i="1" s="1"/>
  <c r="D572" i="1" s="1"/>
  <c r="H504" i="1"/>
  <c r="G529" i="1"/>
  <c r="E529" i="1"/>
  <c r="D529" i="1"/>
  <c r="C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F529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2" i="1"/>
  <c r="H501" i="1"/>
  <c r="H500" i="1"/>
  <c r="H499" i="1"/>
  <c r="H498" i="1"/>
  <c r="H497" i="1"/>
  <c r="H496" i="1"/>
  <c r="H495" i="1"/>
  <c r="F475" i="1"/>
  <c r="G487" i="1"/>
  <c r="E487" i="1"/>
  <c r="D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F487" i="1"/>
  <c r="H467" i="1"/>
  <c r="H466" i="1"/>
  <c r="H465" i="1"/>
  <c r="H464" i="1"/>
  <c r="H463" i="1"/>
  <c r="H462" i="1"/>
  <c r="H460" i="1"/>
  <c r="H459" i="1"/>
  <c r="H458" i="1"/>
  <c r="H457" i="1"/>
  <c r="H456" i="1"/>
  <c r="H455" i="1"/>
  <c r="H454" i="1"/>
  <c r="H453" i="1"/>
  <c r="C434" i="1"/>
  <c r="F430" i="1"/>
  <c r="F445" i="1" s="1"/>
  <c r="F426" i="1"/>
  <c r="H411" i="1"/>
  <c r="H412" i="1"/>
  <c r="H413" i="1"/>
  <c r="H414" i="1"/>
  <c r="H415" i="1"/>
  <c r="H416" i="1"/>
  <c r="H417" i="1"/>
  <c r="H420" i="1"/>
  <c r="H421" i="1"/>
  <c r="H422" i="1"/>
  <c r="H423" i="1"/>
  <c r="H424" i="1"/>
  <c r="H425" i="1"/>
  <c r="H426" i="1"/>
  <c r="H427" i="1"/>
  <c r="H428" i="1"/>
  <c r="H429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G445" i="1"/>
  <c r="E445" i="1"/>
  <c r="D445" i="1"/>
  <c r="H444" i="1"/>
  <c r="H443" i="1"/>
  <c r="C445" i="1"/>
  <c r="H418" i="1"/>
  <c r="C398" i="1"/>
  <c r="H398" i="1" s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9" i="1"/>
  <c r="H369" i="1"/>
  <c r="H370" i="1"/>
  <c r="H371" i="1"/>
  <c r="H372" i="1"/>
  <c r="H373" i="1"/>
  <c r="G403" i="1"/>
  <c r="F403" i="1"/>
  <c r="E403" i="1"/>
  <c r="C403" i="1"/>
  <c r="H402" i="1"/>
  <c r="H401" i="1"/>
  <c r="H400" i="1"/>
  <c r="D403" i="1"/>
  <c r="H376" i="1"/>
  <c r="H375" i="1"/>
  <c r="H374" i="1"/>
  <c r="D341" i="1"/>
  <c r="H341" i="1" s="1"/>
  <c r="H327" i="1"/>
  <c r="H328" i="1"/>
  <c r="H329" i="1"/>
  <c r="H330" i="1"/>
  <c r="H331" i="1"/>
  <c r="H332" i="1"/>
  <c r="H336" i="1"/>
  <c r="H337" i="1"/>
  <c r="H338" i="1"/>
  <c r="H339" i="1"/>
  <c r="H340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G361" i="1"/>
  <c r="F361" i="1"/>
  <c r="E361" i="1"/>
  <c r="C361" i="1"/>
  <c r="H360" i="1"/>
  <c r="H359" i="1"/>
  <c r="H334" i="1"/>
  <c r="H333" i="1"/>
  <c r="C310" i="1"/>
  <c r="H310" i="1" s="1"/>
  <c r="C304" i="1"/>
  <c r="H285" i="1"/>
  <c r="H286" i="1"/>
  <c r="H287" i="1"/>
  <c r="H288" i="1"/>
  <c r="H289" i="1"/>
  <c r="H290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1" i="1"/>
  <c r="H312" i="1"/>
  <c r="H313" i="1"/>
  <c r="H314" i="1"/>
  <c r="H315" i="1"/>
  <c r="H316" i="1"/>
  <c r="G319" i="1"/>
  <c r="E319" i="1"/>
  <c r="D319" i="1"/>
  <c r="H318" i="1"/>
  <c r="H317" i="1"/>
  <c r="F319" i="1"/>
  <c r="H292" i="1"/>
  <c r="H291" i="1"/>
  <c r="F259" i="1"/>
  <c r="G277" i="1"/>
  <c r="F277" i="1"/>
  <c r="E277" i="1"/>
  <c r="D277" i="1"/>
  <c r="C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0" i="1"/>
  <c r="H249" i="1"/>
  <c r="H248" i="1"/>
  <c r="H247" i="1"/>
  <c r="H246" i="1"/>
  <c r="H245" i="1"/>
  <c r="H244" i="1"/>
  <c r="H243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0" i="1"/>
  <c r="H9" i="1"/>
  <c r="H8" i="1"/>
  <c r="H7" i="1"/>
  <c r="H6" i="1"/>
  <c r="H5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49" i="1"/>
  <c r="H48" i="1"/>
  <c r="H47" i="1"/>
  <c r="H46" i="1"/>
  <c r="H4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8" i="1"/>
  <c r="H87" i="1"/>
  <c r="H86" i="1"/>
  <c r="H85" i="1"/>
  <c r="H8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7" i="1"/>
  <c r="H126" i="1"/>
  <c r="H125" i="1"/>
  <c r="H124" i="1"/>
  <c r="H123" i="1"/>
  <c r="H162" i="1"/>
  <c r="H163" i="1"/>
  <c r="H164" i="1"/>
  <c r="H165" i="1"/>
  <c r="H166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6" i="1"/>
  <c r="H187" i="1"/>
  <c r="H188" i="1"/>
  <c r="H189" i="1"/>
  <c r="H190" i="1"/>
  <c r="H191" i="1"/>
  <c r="H192" i="1"/>
  <c r="H185" i="1"/>
  <c r="H201" i="1"/>
  <c r="H202" i="1"/>
  <c r="H203" i="1"/>
  <c r="H204" i="1"/>
  <c r="H205" i="1"/>
  <c r="H206" i="1"/>
  <c r="H207" i="1"/>
  <c r="H208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2" i="1"/>
  <c r="H233" i="1"/>
  <c r="H234" i="1"/>
  <c r="H231" i="1"/>
  <c r="C222" i="1"/>
  <c r="H571" i="1" l="1"/>
  <c r="E572" i="1"/>
  <c r="G572" i="1"/>
  <c r="H430" i="1"/>
  <c r="H529" i="1"/>
  <c r="C487" i="1"/>
  <c r="H487" i="1" s="1"/>
  <c r="H468" i="1"/>
  <c r="H445" i="1"/>
  <c r="H403" i="1"/>
  <c r="D361" i="1"/>
  <c r="H361" i="1" s="1"/>
  <c r="C319" i="1"/>
  <c r="H319" i="1" s="1"/>
  <c r="H277" i="1"/>
  <c r="C235" i="1"/>
  <c r="D235" i="1"/>
  <c r="G235" i="1"/>
  <c r="F235" i="1"/>
  <c r="E235" i="1"/>
  <c r="C193" i="1"/>
  <c r="D193" i="1"/>
  <c r="G193" i="1"/>
  <c r="F193" i="1"/>
  <c r="E193" i="1"/>
  <c r="C154" i="1"/>
  <c r="D154" i="1"/>
  <c r="G154" i="1"/>
  <c r="F154" i="1"/>
  <c r="E154" i="1"/>
  <c r="C115" i="1"/>
  <c r="D115" i="1"/>
  <c r="G115" i="1"/>
  <c r="F115" i="1"/>
  <c r="E115" i="1"/>
  <c r="E11" i="1"/>
  <c r="F11" i="1"/>
  <c r="G11" i="1"/>
  <c r="D11" i="1"/>
  <c r="C11" i="1"/>
  <c r="E37" i="1"/>
  <c r="F37" i="1"/>
  <c r="G37" i="1"/>
  <c r="D37" i="1"/>
  <c r="C37" i="1"/>
  <c r="H37" i="1" s="1"/>
  <c r="E76" i="1"/>
  <c r="F76" i="1"/>
  <c r="G76" i="1"/>
  <c r="D76" i="1"/>
  <c r="C76" i="1"/>
  <c r="H115" i="1" l="1"/>
  <c r="H193" i="1"/>
  <c r="H76" i="1"/>
  <c r="H11" i="1"/>
  <c r="H154" i="1"/>
  <c r="H235" i="1"/>
  <c r="F38" i="1"/>
  <c r="F44" i="1" s="1"/>
  <c r="F50" i="1" s="1"/>
  <c r="F77" i="1" s="1"/>
  <c r="F83" i="1" s="1"/>
  <c r="F89" i="1" s="1"/>
  <c r="F116" i="1" s="1"/>
  <c r="F122" i="1" s="1"/>
  <c r="F128" i="1" s="1"/>
  <c r="F155" i="1" s="1"/>
  <c r="F161" i="1" s="1"/>
  <c r="F167" i="1" s="1"/>
  <c r="F194" i="1" s="1"/>
  <c r="F200" i="1" s="1"/>
  <c r="F209" i="1" s="1"/>
  <c r="C38" i="1"/>
  <c r="D38" i="1"/>
  <c r="D44" i="1" s="1"/>
  <c r="D50" i="1" s="1"/>
  <c r="D77" i="1" s="1"/>
  <c r="D83" i="1" s="1"/>
  <c r="D89" i="1" s="1"/>
  <c r="D116" i="1" s="1"/>
  <c r="D122" i="1" s="1"/>
  <c r="D128" i="1" s="1"/>
  <c r="D155" i="1" s="1"/>
  <c r="D161" i="1" s="1"/>
  <c r="D167" i="1" s="1"/>
  <c r="D194" i="1" s="1"/>
  <c r="D200" i="1" s="1"/>
  <c r="D209" i="1" s="1"/>
  <c r="E38" i="1"/>
  <c r="E44" i="1" s="1"/>
  <c r="G38" i="1"/>
  <c r="G44" i="1" s="1"/>
  <c r="G50" i="1" s="1"/>
  <c r="G77" i="1" s="1"/>
  <c r="G83" i="1" s="1"/>
  <c r="G89" i="1" s="1"/>
  <c r="G116" i="1" s="1"/>
  <c r="G122" i="1" s="1"/>
  <c r="G128" i="1" s="1"/>
  <c r="G155" i="1" s="1"/>
  <c r="G161" i="1" s="1"/>
  <c r="G167" i="1" s="1"/>
  <c r="G194" i="1" s="1"/>
  <c r="G200" i="1" s="1"/>
  <c r="G209" i="1" s="1"/>
  <c r="C44" i="1" l="1"/>
  <c r="H38" i="1"/>
  <c r="G236" i="1"/>
  <c r="G242" i="1" s="1"/>
  <c r="D236" i="1"/>
  <c r="D242" i="1" s="1"/>
  <c r="D251" i="1" s="1"/>
  <c r="D278" i="1" s="1"/>
  <c r="D284" i="1" s="1"/>
  <c r="D293" i="1" s="1"/>
  <c r="D320" i="1" s="1"/>
  <c r="D326" i="1" s="1"/>
  <c r="D335" i="1" s="1"/>
  <c r="D362" i="1" s="1"/>
  <c r="D368" i="1" s="1"/>
  <c r="D377" i="1" s="1"/>
  <c r="F236" i="1"/>
  <c r="F242" i="1" s="1"/>
  <c r="F251" i="1" s="1"/>
  <c r="F278" i="1" s="1"/>
  <c r="F284" i="1" s="1"/>
  <c r="F293" i="1" s="1"/>
  <c r="F320" i="1" s="1"/>
  <c r="F326" i="1" s="1"/>
  <c r="F335" i="1" s="1"/>
  <c r="F362" i="1" s="1"/>
  <c r="F368" i="1" s="1"/>
  <c r="F377" i="1" s="1"/>
  <c r="F404" i="1" s="1"/>
  <c r="F410" i="1" s="1"/>
  <c r="F419" i="1" s="1"/>
  <c r="F446" i="1" s="1"/>
  <c r="F452" i="1" s="1"/>
  <c r="F461" i="1" s="1"/>
  <c r="F488" i="1" s="1"/>
  <c r="F494" i="1" s="1"/>
  <c r="F503" i="1" s="1"/>
  <c r="F530" i="1" s="1"/>
  <c r="F536" i="1" s="1"/>
  <c r="E50" i="1"/>
  <c r="F545" i="1" l="1"/>
  <c r="C50" i="1"/>
  <c r="H44" i="1"/>
  <c r="D404" i="1"/>
  <c r="G251" i="1"/>
  <c r="E77" i="1"/>
  <c r="F572" i="1" l="1"/>
  <c r="D410" i="1"/>
  <c r="D419" i="1" s="1"/>
  <c r="D446" i="1" s="1"/>
  <c r="D452" i="1" s="1"/>
  <c r="D461" i="1" s="1"/>
  <c r="D488" i="1" s="1"/>
  <c r="D494" i="1" s="1"/>
  <c r="D503" i="1" s="1"/>
  <c r="D530" i="1" s="1"/>
  <c r="C77" i="1"/>
  <c r="H50" i="1"/>
  <c r="G278" i="1"/>
  <c r="E83" i="1"/>
  <c r="E89" i="1" s="1"/>
  <c r="G284" i="1" l="1"/>
  <c r="G293" i="1" s="1"/>
  <c r="G320" i="1" s="1"/>
  <c r="G326" i="1" s="1"/>
  <c r="G335" i="1" s="1"/>
  <c r="G362" i="1" s="1"/>
  <c r="G368" i="1" s="1"/>
  <c r="G377" i="1" s="1"/>
  <c r="G404" i="1" s="1"/>
  <c r="G410" i="1" s="1"/>
  <c r="G419" i="1" s="1"/>
  <c r="G446" i="1" s="1"/>
  <c r="G452" i="1" s="1"/>
  <c r="G461" i="1" s="1"/>
  <c r="G488" i="1" s="1"/>
  <c r="G494" i="1" s="1"/>
  <c r="G503" i="1" s="1"/>
  <c r="G530" i="1" s="1"/>
  <c r="C83" i="1"/>
  <c r="H77" i="1"/>
  <c r="E116" i="1"/>
  <c r="C89" i="1" l="1"/>
  <c r="H83" i="1"/>
  <c r="E122" i="1"/>
  <c r="C116" i="1" l="1"/>
  <c r="H89" i="1"/>
  <c r="E128" i="1"/>
  <c r="C122" i="1" l="1"/>
  <c r="H116" i="1"/>
  <c r="E155" i="1"/>
  <c r="C128" i="1" l="1"/>
  <c r="H122" i="1"/>
  <c r="E161" i="1"/>
  <c r="C155" i="1" l="1"/>
  <c r="H128" i="1"/>
  <c r="E167" i="1"/>
  <c r="C161" i="1" l="1"/>
  <c r="H155" i="1"/>
  <c r="E194" i="1"/>
  <c r="C167" i="1" l="1"/>
  <c r="H161" i="1"/>
  <c r="E200" i="1"/>
  <c r="E209" i="1" s="1"/>
  <c r="C194" i="1" l="1"/>
  <c r="H167" i="1"/>
  <c r="E236" i="1"/>
  <c r="E242" i="1" l="1"/>
  <c r="E251" i="1" s="1"/>
  <c r="E278" i="1" s="1"/>
  <c r="E284" i="1" s="1"/>
  <c r="E293" i="1" s="1"/>
  <c r="E320" i="1" s="1"/>
  <c r="E326" i="1" s="1"/>
  <c r="E335" i="1" s="1"/>
  <c r="E362" i="1" s="1"/>
  <c r="E368" i="1" s="1"/>
  <c r="E377" i="1" s="1"/>
  <c r="E404" i="1" s="1"/>
  <c r="E410" i="1" s="1"/>
  <c r="E419" i="1" s="1"/>
  <c r="E446" i="1" s="1"/>
  <c r="E452" i="1" s="1"/>
  <c r="E461" i="1" s="1"/>
  <c r="E488" i="1" s="1"/>
  <c r="E494" i="1" s="1"/>
  <c r="E503" i="1" s="1"/>
  <c r="E530" i="1" s="1"/>
  <c r="C200" i="1"/>
  <c r="H194" i="1"/>
  <c r="C209" i="1" l="1"/>
  <c r="H200" i="1"/>
  <c r="C236" i="1" l="1"/>
  <c r="H209" i="1"/>
  <c r="C242" i="1" l="1"/>
  <c r="H236" i="1"/>
  <c r="C251" i="1" l="1"/>
  <c r="H242" i="1"/>
  <c r="C278" i="1" l="1"/>
  <c r="H251" i="1"/>
  <c r="C284" i="1" l="1"/>
  <c r="H278" i="1"/>
  <c r="C293" i="1" l="1"/>
  <c r="H284" i="1"/>
  <c r="C320" i="1" l="1"/>
  <c r="H293" i="1"/>
  <c r="C326" i="1" l="1"/>
  <c r="H320" i="1"/>
  <c r="C335" i="1" l="1"/>
  <c r="H326" i="1"/>
  <c r="H335" i="1" l="1"/>
  <c r="C362" i="1"/>
  <c r="C368" i="1" l="1"/>
  <c r="H362" i="1"/>
  <c r="C377" i="1" l="1"/>
  <c r="H368" i="1"/>
  <c r="C404" i="1" l="1"/>
  <c r="H377" i="1"/>
  <c r="C410" i="1" l="1"/>
  <c r="H404" i="1"/>
  <c r="H410" i="1" l="1"/>
  <c r="C419" i="1"/>
  <c r="H419" i="1" l="1"/>
  <c r="C446" i="1"/>
  <c r="H446" i="1" l="1"/>
  <c r="C452" i="1"/>
  <c r="C461" i="1" l="1"/>
  <c r="H452" i="1"/>
  <c r="C488" i="1" l="1"/>
  <c r="H461" i="1"/>
  <c r="C494" i="1" l="1"/>
  <c r="H488" i="1"/>
  <c r="C503" i="1" l="1"/>
  <c r="H494" i="1"/>
  <c r="H503" i="1" l="1"/>
  <c r="C530" i="1"/>
  <c r="H530" i="1" l="1"/>
  <c r="C536" i="1"/>
  <c r="C545" i="1" l="1"/>
  <c r="H536" i="1"/>
  <c r="C572" i="1" l="1"/>
  <c r="H572" i="1" s="1"/>
  <c r="H545" i="1"/>
</calcChain>
</file>

<file path=xl/sharedStrings.xml><?xml version="1.0" encoding="utf-8"?>
<sst xmlns="http://schemas.openxmlformats.org/spreadsheetml/2006/main" count="520" uniqueCount="17">
  <si>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</si>
  <si>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2"/>
  </si>
  <si>
    <t>在庫確認</t>
    <rPh sb="0" eb="2">
      <t>ザイコ</t>
    </rPh>
    <rPh sb="2" eb="4">
      <t>カクニン</t>
    </rPh>
    <phoneticPr fontId="2"/>
  </si>
  <si>
    <t>ネット</t>
    <phoneticPr fontId="2"/>
  </si>
  <si>
    <t>総数</t>
    <rPh sb="0" eb="2">
      <t>ソウスウ</t>
    </rPh>
    <phoneticPr fontId="2"/>
  </si>
  <si>
    <t>追加</t>
    <rPh sb="0" eb="2">
      <t>ツイカ</t>
    </rPh>
    <phoneticPr fontId="2"/>
  </si>
  <si>
    <t>初回</t>
    <rPh sb="0" eb="2">
      <t>ショカイ</t>
    </rPh>
    <phoneticPr fontId="2"/>
  </si>
  <si>
    <t>計</t>
    <rPh sb="0" eb="1">
      <t>ケイ</t>
    </rPh>
    <phoneticPr fontId="2"/>
  </si>
  <si>
    <t>ブラック</t>
    <phoneticPr fontId="2"/>
  </si>
  <si>
    <t>ピンク</t>
    <phoneticPr fontId="2"/>
  </si>
  <si>
    <t>パープル</t>
    <phoneticPr fontId="2"/>
  </si>
  <si>
    <t>グリーン</t>
    <phoneticPr fontId="2"/>
  </si>
  <si>
    <t>オレンジ</t>
    <phoneticPr fontId="2"/>
  </si>
  <si>
    <t>シルク指汗さわやかソックス＜夢販在庫＞　SO1007</t>
    <rPh sb="3" eb="4">
      <t>ユビ</t>
    </rPh>
    <rPh sb="4" eb="5">
      <t>アセ</t>
    </rPh>
    <rPh sb="14" eb="18">
      <t>ユメハンザイコ</t>
    </rPh>
    <phoneticPr fontId="2"/>
  </si>
  <si>
    <t>在庫確認</t>
    <rPh sb="0" eb="4">
      <t>ザイコカクニン</t>
    </rPh>
    <phoneticPr fontId="2"/>
  </si>
  <si>
    <t>棚卸</t>
    <rPh sb="0" eb="2">
      <t>タナオロシ</t>
    </rPh>
    <phoneticPr fontId="2"/>
  </si>
  <si>
    <t>8/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</si>
</sst>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theme="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1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56" fontId="0" fillId="0" borderId="9" xfId="0" applyNumberForma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0" fillId="0" borderId="12" xfId="0" applyBorder="1"/>
    <xf numFmtId="0" fontId="1" fillId="0" borderId="11" xfId="0" applyFont="1" applyBorder="1"/>
    <xf numFmtId="0" fontId="1" fillId="0" borderId="9" xfId="0" applyFont="1" applyBorder="1"/>
    <xf numFmtId="0" fontId="1" fillId="0" borderId="12" xfId="0" applyFont="1" applyBorder="1"/>
    <xf numFmtId="56" fontId="3" fillId="0" borderId="0" xfId="0" applyNumberFormat="1" applyFont="1"/>
    <xf numFmtId="0" fontId="3" fillId="0" borderId="11" xfId="0" applyFont="1" applyBorder="1"/>
    <xf numFmtId="0" fontId="3" fillId="0" borderId="9" xfId="0" applyFont="1" applyBorder="1"/>
    <xf numFmtId="0" fontId="3" fillId="0" borderId="12" xfId="0" applyFont="1" applyBorder="1"/>
    <xf numFmtId="56" fontId="3" fillId="0" borderId="9" xfId="0" applyNumberFormat="1" applyFont="1" applyBorder="1" applyAlignment="1">
      <alignment horizontal="center"/>
    </xf>
    <xf numFmtId="56" fontId="0" fillId="0" borderId="0" xfId="0" applyNumberFormat="1"/>
    <xf numFmtId="56" fontId="1" fillId="0" borderId="0" xfId="0" applyNumberFormat="1" applyFont="1"/>
    <xf numFmtId="0" fontId="3" fillId="0" borderId="3" xfId="0" applyFont="1" applyBorder="1"/>
    <xf numFmtId="0" fontId="3" fillId="0" borderId="4" xfId="0" applyFont="1" applyBorder="1"/>
    <xf numFmtId="0" fontId="3" fillId="0" borderId="3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14" xfId="0" applyFont="1" applyBorder="1"/>
    <xf numFmtId="0" fontId="3" fillId="0" borderId="15" xfId="0" applyFont="1" applyBorder="1"/>
    <xf numFmtId="56" fontId="3" fillId="0" borderId="14" xfId="0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2" borderId="0" xfId="0" applyFill="1"/>
    <xf numFmtId="0" fontId="4" fillId="2" borderId="0" xfId="0" applyFont="1" applyFill="1"/>
    <xf numFmtId="56" fontId="0" fillId="0" borderId="0" xfId="0" applyNumberFormat="1" applyAlignment="1">
      <alignment horizontal="right"/>
    </xf>
    <xf numFmtId="0" fontId="0" fillId="0" borderId="14" xfId="0" applyBorder="1"/>
    <xf numFmtId="0" fontId="0" fillId="0" borderId="15" xfId="0" applyBorder="1"/>
    <xf numFmtId="56" fontId="0" fillId="0" borderId="14" xfId="0" applyNumberFormat="1" applyBorder="1" applyAlignment="1">
      <alignment horizontal="center"/>
    </xf>
    <xf numFmtId="0" fontId="0" fillId="0" borderId="13" xfId="0" applyBorder="1"/>
    <xf numFmtId="0" fontId="5" fillId="0" borderId="7" xfId="0" applyFont="1" applyBorder="1" applyAlignment="1">
      <alignment horizontal="center"/>
    </xf>
    <xf numFmtId="0" fontId="5" fillId="0" borderId="13" xfId="0" applyFont="1" applyBorder="1"/>
    <xf numFmtId="0" fontId="5" fillId="0" borderId="7" xfId="0" applyFont="1" applyBorder="1"/>
    <xf numFmtId="0" fontId="5" fillId="0" borderId="6" xfId="0" applyFont="1" applyBorder="1"/>
    <xf numFmtId="56" fontId="5" fillId="0" borderId="0" xfId="0" applyNumberFormat="1" applyFont="1"/>
    <xf numFmtId="0" fontId="3" fillId="0" borderId="9" xfId="0" applyFont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6" fillId="5" borderId="16" xfId="0" applyFont="1" applyFill="1" applyBorder="1" applyAlignment="1">
      <alignment horizontal="center"/>
    </xf>
    <xf numFmtId="0" fontId="6" fillId="8" borderId="16" xfId="0" applyFont="1" applyFill="1" applyBorder="1" applyAlignment="1">
      <alignment horizontal="center"/>
    </xf>
    <xf numFmtId="0" fontId="3" fillId="0" borderId="10" xfId="0" applyFont="1" applyBorder="1"/>
    <xf numFmtId="0" fontId="0" fillId="0" borderId="9" xfId="0" applyFont="1" applyBorder="1" applyAlignment="1">
      <alignment horizontal="center"/>
    </xf>
    <xf numFmtId="0" fontId="0" fillId="0" borderId="11" xfId="0" applyFont="1" applyBorder="1"/>
    <xf numFmtId="0" fontId="0" fillId="0" borderId="12" xfId="0" applyFont="1" applyBorder="1"/>
    <xf numFmtId="0" fontId="0" fillId="0" borderId="9" xfId="0" applyFont="1" applyBorder="1"/>
    <xf numFmtId="0" fontId="0" fillId="0" borderId="10" xfId="0" applyFont="1" applyBorder="1"/>
    <xf numFmtId="56" fontId="0" fillId="0" borderId="0" xfId="0" applyNumberFormat="1" applyFont="1"/>
    <xf numFmtId="0" fontId="0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2"/>
  <sheetViews>
    <sheetView tabSelected="1" topLeftCell="A534" zoomScale="90" zoomScaleNormal="90" workbookViewId="0">
      <selection activeCell="L562" sqref="L559:M562"/>
    </sheetView>
  </sheetViews>
  <sheetFormatPr defaultRowHeight="13.5" x14ac:dyDescent="0.15"/>
  <cols>
    <col min="2" max="2" width="22.75" style="1" customWidth="1"/>
    <col min="3" max="7" width="11.75" customWidth="1"/>
    <col min="8" max="8" width="11.375" customWidth="1"/>
    <col min="9" max="9" width="9.25" bestFit="1" customWidth="1"/>
  </cols>
  <sheetData>
    <row r="1" spans="2:9" ht="18.75" x14ac:dyDescent="0.2">
      <c r="B1" s="39" t="s">
        <v>13</v>
      </c>
      <c r="C1" s="38"/>
      <c r="D1" s="38"/>
      <c r="E1" s="38"/>
      <c r="F1" s="38"/>
      <c r="G1" s="38"/>
    </row>
    <row r="2" spans="2:9" ht="14.25" thickBot="1" x14ac:dyDescent="0.2"/>
    <row r="3" spans="2:9" ht="14.25" thickBot="1" x14ac:dyDescent="0.2">
      <c r="B3" s="37"/>
      <c r="C3" s="55"/>
      <c r="D3" s="55"/>
      <c r="E3" s="55"/>
      <c r="F3" s="55"/>
      <c r="G3" s="55"/>
      <c r="H3" s="56"/>
    </row>
    <row r="4" spans="2:9" s="1" customFormat="1" ht="14.25" thickBot="1" x14ac:dyDescent="0.2">
      <c r="B4" s="36"/>
      <c r="C4" s="54" t="s">
        <v>8</v>
      </c>
      <c r="D4" s="53" t="s">
        <v>9</v>
      </c>
      <c r="E4" s="51" t="s">
        <v>12</v>
      </c>
      <c r="F4" s="52" t="s">
        <v>11</v>
      </c>
      <c r="G4" s="57" t="s">
        <v>10</v>
      </c>
      <c r="H4" s="35" t="s">
        <v>7</v>
      </c>
    </row>
    <row r="5" spans="2:9" ht="14.25" customHeight="1" x14ac:dyDescent="0.15">
      <c r="B5" s="43" t="s">
        <v>6</v>
      </c>
      <c r="C5" s="41">
        <v>5</v>
      </c>
      <c r="D5" s="41">
        <v>5</v>
      </c>
      <c r="E5" s="42">
        <v>1</v>
      </c>
      <c r="F5" s="41">
        <v>1</v>
      </c>
      <c r="G5" s="41">
        <v>1</v>
      </c>
      <c r="H5" s="32">
        <f t="shared" ref="H5:H28" si="0">SUM(C5:G5)</f>
        <v>13</v>
      </c>
      <c r="I5" s="25">
        <v>44384</v>
      </c>
    </row>
    <row r="6" spans="2:9" x14ac:dyDescent="0.15">
      <c r="B6" s="31" t="s">
        <v>5</v>
      </c>
      <c r="C6" s="14"/>
      <c r="D6" s="14"/>
      <c r="E6" s="16">
        <v>5</v>
      </c>
      <c r="F6" s="15">
        <v>5</v>
      </c>
      <c r="G6" s="14">
        <v>5</v>
      </c>
      <c r="H6" s="13">
        <f t="shared" si="0"/>
        <v>15</v>
      </c>
      <c r="I6" s="25">
        <v>44391</v>
      </c>
    </row>
    <row r="7" spans="2:9" x14ac:dyDescent="0.15">
      <c r="B7" s="31" t="s">
        <v>5</v>
      </c>
      <c r="C7" s="14">
        <v>5</v>
      </c>
      <c r="D7" s="14"/>
      <c r="E7" s="16"/>
      <c r="F7" s="15"/>
      <c r="G7" s="14"/>
      <c r="H7" s="13">
        <f t="shared" si="0"/>
        <v>5</v>
      </c>
      <c r="I7" s="25">
        <v>44412</v>
      </c>
    </row>
    <row r="8" spans="2:9" x14ac:dyDescent="0.15">
      <c r="B8" s="31" t="s">
        <v>14</v>
      </c>
      <c r="C8" s="14"/>
      <c r="D8" s="14"/>
      <c r="E8" s="16"/>
      <c r="F8" s="15">
        <v>-1</v>
      </c>
      <c r="G8" s="14">
        <v>-1</v>
      </c>
      <c r="H8" s="13">
        <f t="shared" si="0"/>
        <v>-2</v>
      </c>
      <c r="I8" s="25">
        <v>44434</v>
      </c>
    </row>
    <row r="9" spans="2:9" x14ac:dyDescent="0.15">
      <c r="B9" s="31" t="s">
        <v>5</v>
      </c>
      <c r="C9" s="14"/>
      <c r="D9" s="14">
        <v>5</v>
      </c>
      <c r="E9" s="16"/>
      <c r="F9" s="15"/>
      <c r="G9" s="14"/>
      <c r="H9" s="13">
        <f t="shared" si="0"/>
        <v>5</v>
      </c>
      <c r="I9" s="25">
        <v>44454</v>
      </c>
    </row>
    <row r="10" spans="2:9" ht="14.25" thickBot="1" x14ac:dyDescent="0.2">
      <c r="B10" s="30" t="s">
        <v>5</v>
      </c>
      <c r="C10" s="9">
        <v>10</v>
      </c>
      <c r="D10" s="9">
        <v>5</v>
      </c>
      <c r="E10" s="16"/>
      <c r="F10" s="10"/>
      <c r="G10" s="9"/>
      <c r="H10" s="13">
        <f t="shared" si="0"/>
        <v>15</v>
      </c>
      <c r="I10" s="25">
        <v>44463</v>
      </c>
    </row>
    <row r="11" spans="2:9" ht="14.25" thickBot="1" x14ac:dyDescent="0.2">
      <c r="B11" s="29" t="s">
        <v>4</v>
      </c>
      <c r="C11" s="28">
        <f>SUM(C5:C10)</f>
        <v>20</v>
      </c>
      <c r="D11" s="27">
        <f>SUM(D5:D10)</f>
        <v>15</v>
      </c>
      <c r="E11" s="27">
        <f>SUM(E5:E10)</f>
        <v>6</v>
      </c>
      <c r="F11" s="27">
        <f>SUM(F5:F10)</f>
        <v>5</v>
      </c>
      <c r="G11" s="28">
        <f>SUM(G5:G10)</f>
        <v>5</v>
      </c>
      <c r="H11" s="27">
        <f t="shared" si="0"/>
        <v>51</v>
      </c>
    </row>
    <row r="12" spans="2:9" x14ac:dyDescent="0.15">
      <c r="B12" s="43" t="s">
        <v>3</v>
      </c>
      <c r="C12" s="14"/>
      <c r="D12" s="14">
        <v>1</v>
      </c>
      <c r="E12" s="42">
        <v>1</v>
      </c>
      <c r="F12" s="41">
        <v>1</v>
      </c>
      <c r="G12" s="14"/>
      <c r="H12" s="13">
        <f t="shared" si="0"/>
        <v>3</v>
      </c>
      <c r="I12" s="25">
        <v>44389</v>
      </c>
    </row>
    <row r="13" spans="2:9" x14ac:dyDescent="0.15">
      <c r="B13" s="12" t="s">
        <v>3</v>
      </c>
      <c r="C13" s="14">
        <v>1</v>
      </c>
      <c r="D13" s="14"/>
      <c r="E13" s="16"/>
      <c r="F13" s="15">
        <v>1</v>
      </c>
      <c r="G13" s="14"/>
      <c r="H13" s="13">
        <f t="shared" si="0"/>
        <v>2</v>
      </c>
      <c r="I13" s="25">
        <v>44391</v>
      </c>
    </row>
    <row r="14" spans="2:9" x14ac:dyDescent="0.15">
      <c r="B14" s="12" t="s">
        <v>3</v>
      </c>
      <c r="C14" s="14">
        <v>1</v>
      </c>
      <c r="D14" s="14"/>
      <c r="E14" s="16"/>
      <c r="F14" s="15"/>
      <c r="G14" s="14"/>
      <c r="H14" s="13">
        <f t="shared" si="0"/>
        <v>1</v>
      </c>
      <c r="I14" s="25">
        <v>44393</v>
      </c>
    </row>
    <row r="15" spans="2:9" x14ac:dyDescent="0.15">
      <c r="B15" s="12" t="s">
        <v>3</v>
      </c>
      <c r="C15" s="14">
        <v>1</v>
      </c>
      <c r="D15" s="14"/>
      <c r="E15" s="16"/>
      <c r="F15" s="15"/>
      <c r="G15" s="14"/>
      <c r="H15" s="13">
        <f t="shared" si="0"/>
        <v>1</v>
      </c>
      <c r="I15" s="25">
        <v>44403</v>
      </c>
    </row>
    <row r="16" spans="2:9" x14ac:dyDescent="0.15">
      <c r="B16" s="12" t="s">
        <v>3</v>
      </c>
      <c r="C16" s="17">
        <v>1</v>
      </c>
      <c r="D16" s="17">
        <v>1</v>
      </c>
      <c r="E16" s="19"/>
      <c r="F16" s="18"/>
      <c r="G16" s="17">
        <v>1</v>
      </c>
      <c r="H16" s="13">
        <f t="shared" si="0"/>
        <v>3</v>
      </c>
      <c r="I16" s="25">
        <v>44424</v>
      </c>
    </row>
    <row r="17" spans="2:9" x14ac:dyDescent="0.15">
      <c r="B17" s="12" t="s">
        <v>3</v>
      </c>
      <c r="C17" s="14"/>
      <c r="D17" s="14">
        <v>1</v>
      </c>
      <c r="E17" s="16">
        <v>1</v>
      </c>
      <c r="F17" s="15"/>
      <c r="G17" s="14"/>
      <c r="H17" s="13">
        <f t="shared" si="0"/>
        <v>2</v>
      </c>
      <c r="I17" s="25">
        <v>44447</v>
      </c>
    </row>
    <row r="18" spans="2:9" x14ac:dyDescent="0.15">
      <c r="B18" s="12" t="s">
        <v>3</v>
      </c>
      <c r="C18" s="14">
        <v>1</v>
      </c>
      <c r="D18" s="14">
        <v>1</v>
      </c>
      <c r="E18" s="16"/>
      <c r="F18" s="15"/>
      <c r="G18" s="14"/>
      <c r="H18" s="13">
        <f t="shared" si="0"/>
        <v>2</v>
      </c>
      <c r="I18" s="25">
        <v>44449</v>
      </c>
    </row>
    <row r="19" spans="2:9" x14ac:dyDescent="0.15">
      <c r="B19" s="12" t="s">
        <v>3</v>
      </c>
      <c r="C19" s="17"/>
      <c r="D19" s="17">
        <v>1</v>
      </c>
      <c r="E19" s="19"/>
      <c r="F19" s="18"/>
      <c r="G19" s="17"/>
      <c r="H19" s="13">
        <f t="shared" si="0"/>
        <v>1</v>
      </c>
      <c r="I19" s="25">
        <v>44452</v>
      </c>
    </row>
    <row r="20" spans="2:9" x14ac:dyDescent="0.15">
      <c r="B20" s="12" t="s">
        <v>3</v>
      </c>
      <c r="C20" s="17">
        <v>3</v>
      </c>
      <c r="D20" s="17">
        <v>2</v>
      </c>
      <c r="E20" s="19"/>
      <c r="F20" s="18"/>
      <c r="G20" s="17"/>
      <c r="H20" s="13">
        <f t="shared" si="0"/>
        <v>5</v>
      </c>
      <c r="I20" s="25">
        <v>44454</v>
      </c>
    </row>
    <row r="21" spans="2:9" x14ac:dyDescent="0.15">
      <c r="B21" s="12" t="s">
        <v>3</v>
      </c>
      <c r="C21" s="14">
        <v>1</v>
      </c>
      <c r="D21" s="14">
        <v>1</v>
      </c>
      <c r="E21" s="16"/>
      <c r="F21" s="15"/>
      <c r="G21" s="14"/>
      <c r="H21" s="13">
        <f t="shared" si="0"/>
        <v>2</v>
      </c>
      <c r="I21" s="25">
        <v>44455</v>
      </c>
    </row>
    <row r="22" spans="2:9" x14ac:dyDescent="0.15">
      <c r="B22" s="12" t="s">
        <v>3</v>
      </c>
      <c r="C22" s="17">
        <v>1</v>
      </c>
      <c r="D22" s="17"/>
      <c r="E22" s="19"/>
      <c r="F22" s="18"/>
      <c r="G22" s="17">
        <v>1</v>
      </c>
      <c r="H22" s="13">
        <f t="shared" si="0"/>
        <v>2</v>
      </c>
      <c r="I22" s="26">
        <v>44460</v>
      </c>
    </row>
    <row r="23" spans="2:9" x14ac:dyDescent="0.15">
      <c r="B23" s="12" t="s">
        <v>3</v>
      </c>
      <c r="C23" s="17">
        <v>2</v>
      </c>
      <c r="D23" s="17">
        <v>1</v>
      </c>
      <c r="E23" s="19"/>
      <c r="F23" s="18">
        <v>1</v>
      </c>
      <c r="G23" s="17"/>
      <c r="H23" s="13">
        <f t="shared" si="0"/>
        <v>4</v>
      </c>
      <c r="I23" s="26">
        <v>44463</v>
      </c>
    </row>
    <row r="24" spans="2:9" x14ac:dyDescent="0.15">
      <c r="B24" s="12" t="s">
        <v>3</v>
      </c>
      <c r="C24" s="14"/>
      <c r="D24" s="14"/>
      <c r="E24" s="16"/>
      <c r="F24" s="15"/>
      <c r="G24" s="14">
        <v>1</v>
      </c>
      <c r="H24" s="13">
        <f t="shared" si="0"/>
        <v>1</v>
      </c>
      <c r="I24" s="25">
        <v>44473</v>
      </c>
    </row>
    <row r="25" spans="2:9" x14ac:dyDescent="0.15">
      <c r="B25" s="12" t="s">
        <v>3</v>
      </c>
      <c r="C25" s="17"/>
      <c r="D25" s="17">
        <v>1</v>
      </c>
      <c r="E25" s="19"/>
      <c r="F25" s="18"/>
      <c r="G25" s="17"/>
      <c r="H25" s="13">
        <f t="shared" si="0"/>
        <v>1</v>
      </c>
      <c r="I25" s="26">
        <v>44474</v>
      </c>
    </row>
    <row r="26" spans="2:9" x14ac:dyDescent="0.15">
      <c r="B26" s="12" t="s">
        <v>3</v>
      </c>
      <c r="C26" s="17"/>
      <c r="D26" s="17">
        <v>1</v>
      </c>
      <c r="E26" s="19"/>
      <c r="F26" s="18"/>
      <c r="G26" s="17"/>
      <c r="H26" s="13">
        <f t="shared" si="0"/>
        <v>1</v>
      </c>
      <c r="I26" s="26">
        <v>44485</v>
      </c>
    </row>
    <row r="27" spans="2:9" x14ac:dyDescent="0.15">
      <c r="B27" s="12" t="s">
        <v>3</v>
      </c>
      <c r="C27" s="17"/>
      <c r="D27" s="17">
        <v>2</v>
      </c>
      <c r="E27" s="19">
        <v>1</v>
      </c>
      <c r="F27" s="18"/>
      <c r="G27" s="17">
        <v>1</v>
      </c>
      <c r="H27" s="13">
        <f t="shared" si="0"/>
        <v>4</v>
      </c>
      <c r="I27" s="26">
        <v>44491</v>
      </c>
    </row>
    <row r="28" spans="2:9" x14ac:dyDescent="0.15">
      <c r="B28" s="12" t="s">
        <v>3</v>
      </c>
      <c r="C28" s="17"/>
      <c r="D28" s="17">
        <v>1</v>
      </c>
      <c r="E28" s="19"/>
      <c r="F28" s="18"/>
      <c r="G28" s="17">
        <v>1</v>
      </c>
      <c r="H28" s="13">
        <f t="shared" si="0"/>
        <v>2</v>
      </c>
      <c r="I28" s="26">
        <v>44511</v>
      </c>
    </row>
    <row r="29" spans="2:9" x14ac:dyDescent="0.15">
      <c r="B29" s="12"/>
      <c r="C29" s="17"/>
      <c r="D29" s="17"/>
      <c r="E29" s="19"/>
      <c r="F29" s="18"/>
      <c r="G29" s="17"/>
      <c r="H29" s="13">
        <f>SUM(C29:G29)</f>
        <v>0</v>
      </c>
      <c r="I29" s="26"/>
    </row>
    <row r="30" spans="2:9" x14ac:dyDescent="0.15">
      <c r="B30" s="12"/>
      <c r="C30" s="17"/>
      <c r="D30" s="17"/>
      <c r="E30" s="19"/>
      <c r="F30" s="18"/>
      <c r="G30" s="17"/>
      <c r="H30" s="13">
        <f t="shared" ref="H30:H37" si="1">SUM(C30:G30)</f>
        <v>0</v>
      </c>
      <c r="I30" s="26"/>
    </row>
    <row r="31" spans="2:9" x14ac:dyDescent="0.15">
      <c r="B31" s="12"/>
      <c r="C31" s="14"/>
      <c r="D31" s="14"/>
      <c r="E31" s="16"/>
      <c r="F31" s="15"/>
      <c r="G31" s="14"/>
      <c r="H31" s="13">
        <f t="shared" si="1"/>
        <v>0</v>
      </c>
      <c r="I31" s="40"/>
    </row>
    <row r="32" spans="2:9" x14ac:dyDescent="0.15">
      <c r="B32" s="12"/>
      <c r="C32" s="14"/>
      <c r="D32" s="14"/>
      <c r="E32" s="16"/>
      <c r="F32" s="15"/>
      <c r="G32" s="14"/>
      <c r="H32" s="13">
        <f t="shared" si="1"/>
        <v>0</v>
      </c>
      <c r="I32" s="40"/>
    </row>
    <row r="33" spans="1:9" x14ac:dyDescent="0.15">
      <c r="B33" s="12"/>
      <c r="C33" s="14"/>
      <c r="D33" s="14"/>
      <c r="E33" s="16"/>
      <c r="F33" s="15"/>
      <c r="G33" s="14"/>
      <c r="H33" s="13">
        <f t="shared" si="1"/>
        <v>0</v>
      </c>
      <c r="I33" s="40"/>
    </row>
    <row r="34" spans="1:9" x14ac:dyDescent="0.15">
      <c r="B34" s="12"/>
      <c r="C34" s="14"/>
      <c r="D34" s="14"/>
      <c r="E34" s="16"/>
      <c r="F34" s="15"/>
      <c r="G34" s="14"/>
      <c r="H34" s="13">
        <f t="shared" si="1"/>
        <v>0</v>
      </c>
      <c r="I34" s="40"/>
    </row>
    <row r="35" spans="1:9" x14ac:dyDescent="0.15">
      <c r="B35" s="12"/>
      <c r="C35" s="14"/>
      <c r="D35" s="14"/>
      <c r="E35" s="16"/>
      <c r="F35" s="15"/>
      <c r="G35" s="14"/>
      <c r="H35" s="13">
        <f t="shared" si="1"/>
        <v>0</v>
      </c>
      <c r="I35" s="40"/>
    </row>
    <row r="36" spans="1:9" ht="14.25" thickBot="1" x14ac:dyDescent="0.2">
      <c r="B36" s="12"/>
      <c r="C36" s="9"/>
      <c r="D36" s="9"/>
      <c r="E36" s="11"/>
      <c r="F36" s="10"/>
      <c r="G36" s="9"/>
      <c r="H36" s="8">
        <f t="shared" si="1"/>
        <v>0</v>
      </c>
      <c r="I36" s="40"/>
    </row>
    <row r="37" spans="1:9" ht="14.25" thickBot="1" x14ac:dyDescent="0.2">
      <c r="B37" s="7" t="s">
        <v>1</v>
      </c>
      <c r="C37" s="5">
        <f>SUM(C12:C36)</f>
        <v>12</v>
      </c>
      <c r="D37" s="5">
        <f>SUM(D12:D36)</f>
        <v>14</v>
      </c>
      <c r="E37" s="6">
        <f>SUM(E12:E36)</f>
        <v>3</v>
      </c>
      <c r="F37" s="5">
        <f>SUM(F12:F36)</f>
        <v>3</v>
      </c>
      <c r="G37" s="5">
        <f>SUM(G12:G36)</f>
        <v>5</v>
      </c>
      <c r="H37" s="5">
        <f t="shared" si="1"/>
        <v>37</v>
      </c>
    </row>
    <row r="38" spans="1:9" ht="14.25" thickBot="1" x14ac:dyDescent="0.2">
      <c r="B38" s="4" t="s">
        <v>0</v>
      </c>
      <c r="C38" s="2">
        <f>+C11-C37</f>
        <v>8</v>
      </c>
      <c r="D38" s="2">
        <f>+D11-D37</f>
        <v>1</v>
      </c>
      <c r="E38" s="3">
        <f>+E11-E37</f>
        <v>3</v>
      </c>
      <c r="F38" s="2">
        <f>+F11-F37</f>
        <v>2</v>
      </c>
      <c r="G38" s="2">
        <f>+G11-G37</f>
        <v>0</v>
      </c>
      <c r="H38" s="2">
        <f>SUM(C38:G38)</f>
        <v>14</v>
      </c>
    </row>
    <row r="40" spans="1:9" ht="18.75" x14ac:dyDescent="0.2">
      <c r="B40" s="39" t="s">
        <v>13</v>
      </c>
      <c r="C40" s="38"/>
      <c r="D40" s="38"/>
      <c r="E40" s="38"/>
      <c r="F40" s="38"/>
      <c r="G40" s="38"/>
    </row>
    <row r="41" spans="1:9" ht="14.25" thickBot="1" x14ac:dyDescent="0.2"/>
    <row r="42" spans="1:9" ht="14.25" thickBot="1" x14ac:dyDescent="0.2">
      <c r="B42" s="37"/>
      <c r="C42" s="55"/>
      <c r="D42" s="55"/>
      <c r="E42" s="55"/>
      <c r="F42" s="55"/>
      <c r="G42" s="55"/>
      <c r="H42" s="56"/>
    </row>
    <row r="43" spans="1:9" ht="14.25" thickBot="1" x14ac:dyDescent="0.2">
      <c r="A43" s="1"/>
      <c r="B43" s="36"/>
      <c r="C43" s="54" t="s">
        <v>8</v>
      </c>
      <c r="D43" s="53" t="s">
        <v>9</v>
      </c>
      <c r="E43" s="51" t="s">
        <v>12</v>
      </c>
      <c r="F43" s="52" t="s">
        <v>11</v>
      </c>
      <c r="G43" s="57" t="s">
        <v>10</v>
      </c>
      <c r="H43" s="35" t="s">
        <v>7</v>
      </c>
    </row>
    <row r="44" spans="1:9" x14ac:dyDescent="0.15">
      <c r="B44" s="34" t="s">
        <v>6</v>
      </c>
      <c r="C44" s="32">
        <f>C38</f>
        <v>8</v>
      </c>
      <c r="D44" s="32">
        <f>D38</f>
        <v>1</v>
      </c>
      <c r="E44" s="33">
        <f>E38</f>
        <v>3</v>
      </c>
      <c r="F44" s="32">
        <f>F38</f>
        <v>2</v>
      </c>
      <c r="G44" s="32">
        <f>G38</f>
        <v>0</v>
      </c>
      <c r="H44" s="32">
        <f t="shared" ref="H44:H67" si="2">SUM(C44:G44)</f>
        <v>14</v>
      </c>
    </row>
    <row r="45" spans="1:9" x14ac:dyDescent="0.15">
      <c r="B45" s="31" t="s">
        <v>5</v>
      </c>
      <c r="C45" s="14"/>
      <c r="D45" s="14">
        <v>5</v>
      </c>
      <c r="E45" s="16"/>
      <c r="F45" s="15"/>
      <c r="G45" s="14">
        <v>5</v>
      </c>
      <c r="H45" s="13">
        <f t="shared" si="2"/>
        <v>10</v>
      </c>
      <c r="I45" s="25">
        <v>44517</v>
      </c>
    </row>
    <row r="46" spans="1:9" x14ac:dyDescent="0.15">
      <c r="B46" s="31" t="s">
        <v>5</v>
      </c>
      <c r="C46" s="14"/>
      <c r="D46" s="14">
        <v>5</v>
      </c>
      <c r="E46" s="16"/>
      <c r="F46" s="15"/>
      <c r="G46" s="14"/>
      <c r="H46" s="13">
        <f t="shared" si="2"/>
        <v>5</v>
      </c>
      <c r="I46" s="25">
        <v>44550</v>
      </c>
    </row>
    <row r="47" spans="1:9" x14ac:dyDescent="0.15">
      <c r="B47" s="31" t="s">
        <v>5</v>
      </c>
      <c r="C47" s="14">
        <v>5</v>
      </c>
      <c r="D47" s="14"/>
      <c r="E47" s="16"/>
      <c r="F47" s="15"/>
      <c r="G47" s="14"/>
      <c r="H47" s="13">
        <f t="shared" si="2"/>
        <v>5</v>
      </c>
      <c r="I47" s="25">
        <v>44572</v>
      </c>
    </row>
    <row r="48" spans="1:9" x14ac:dyDescent="0.15">
      <c r="B48" s="31" t="s">
        <v>5</v>
      </c>
      <c r="C48" s="14"/>
      <c r="D48" s="14"/>
      <c r="E48" s="16"/>
      <c r="F48" s="15">
        <v>3</v>
      </c>
      <c r="G48" s="14"/>
      <c r="H48" s="13">
        <f t="shared" si="2"/>
        <v>3</v>
      </c>
      <c r="I48" s="25">
        <v>44630</v>
      </c>
    </row>
    <row r="49" spans="2:9" ht="14.25" thickBot="1" x14ac:dyDescent="0.2">
      <c r="B49" s="30" t="s">
        <v>5</v>
      </c>
      <c r="C49" s="9">
        <v>10</v>
      </c>
      <c r="D49" s="9"/>
      <c r="E49" s="44"/>
      <c r="F49" s="10"/>
      <c r="G49" s="9"/>
      <c r="H49" s="13">
        <f t="shared" si="2"/>
        <v>10</v>
      </c>
      <c r="I49" s="25">
        <v>44644</v>
      </c>
    </row>
    <row r="50" spans="2:9" ht="14.25" thickBot="1" x14ac:dyDescent="0.2">
      <c r="B50" s="29" t="s">
        <v>4</v>
      </c>
      <c r="C50" s="28">
        <f>SUM(C44:C49)</f>
        <v>23</v>
      </c>
      <c r="D50" s="27">
        <f>SUM(D44:D49)</f>
        <v>11</v>
      </c>
      <c r="E50" s="27">
        <f>SUM(E44:E49)</f>
        <v>3</v>
      </c>
      <c r="F50" s="27">
        <f>SUM(F44:F49)</f>
        <v>5</v>
      </c>
      <c r="G50" s="28">
        <f>SUM(G44:G49)</f>
        <v>5</v>
      </c>
      <c r="H50" s="27">
        <f t="shared" si="2"/>
        <v>47</v>
      </c>
    </row>
    <row r="51" spans="2:9" x14ac:dyDescent="0.15">
      <c r="B51" s="12" t="s">
        <v>3</v>
      </c>
      <c r="C51" s="17">
        <v>3</v>
      </c>
      <c r="D51" s="17"/>
      <c r="E51" s="19"/>
      <c r="F51" s="18"/>
      <c r="G51" s="17"/>
      <c r="H51" s="13">
        <f t="shared" si="2"/>
        <v>3</v>
      </c>
      <c r="I51" s="26">
        <v>44531</v>
      </c>
    </row>
    <row r="52" spans="2:9" x14ac:dyDescent="0.15">
      <c r="B52" s="12" t="s">
        <v>3</v>
      </c>
      <c r="C52" s="17">
        <v>1</v>
      </c>
      <c r="D52" s="17"/>
      <c r="E52" s="19"/>
      <c r="F52" s="18"/>
      <c r="G52" s="17"/>
      <c r="H52" s="13">
        <f t="shared" si="2"/>
        <v>1</v>
      </c>
      <c r="I52" s="26">
        <v>44536</v>
      </c>
    </row>
    <row r="53" spans="2:9" x14ac:dyDescent="0.15">
      <c r="B53" s="12" t="s">
        <v>3</v>
      </c>
      <c r="C53" s="14"/>
      <c r="D53" s="14">
        <v>2</v>
      </c>
      <c r="E53" s="16"/>
      <c r="F53" s="15"/>
      <c r="G53" s="14"/>
      <c r="H53" s="13">
        <f t="shared" si="2"/>
        <v>2</v>
      </c>
      <c r="I53" s="25">
        <v>44538</v>
      </c>
    </row>
    <row r="54" spans="2:9" x14ac:dyDescent="0.15">
      <c r="B54" s="24" t="s">
        <v>2</v>
      </c>
      <c r="C54" s="21">
        <v>3</v>
      </c>
      <c r="D54" s="21"/>
      <c r="E54" s="23"/>
      <c r="F54" s="22"/>
      <c r="G54" s="21"/>
      <c r="H54" s="13">
        <f t="shared" si="2"/>
        <v>3</v>
      </c>
      <c r="I54" s="20">
        <v>44551</v>
      </c>
    </row>
    <row r="55" spans="2:9" x14ac:dyDescent="0.15">
      <c r="B55" s="12" t="s">
        <v>3</v>
      </c>
      <c r="C55" s="17"/>
      <c r="D55" s="17"/>
      <c r="E55" s="19">
        <v>1</v>
      </c>
      <c r="F55" s="18"/>
      <c r="G55" s="17"/>
      <c r="H55" s="13">
        <f t="shared" si="2"/>
        <v>1</v>
      </c>
      <c r="I55" s="25">
        <v>44566</v>
      </c>
    </row>
    <row r="56" spans="2:9" x14ac:dyDescent="0.15">
      <c r="B56" s="12" t="s">
        <v>3</v>
      </c>
      <c r="C56" s="14"/>
      <c r="D56" s="14">
        <v>1</v>
      </c>
      <c r="E56" s="16"/>
      <c r="F56" s="15"/>
      <c r="G56" s="14">
        <v>1</v>
      </c>
      <c r="H56" s="13">
        <f t="shared" si="2"/>
        <v>2</v>
      </c>
      <c r="I56" s="25">
        <v>44568</v>
      </c>
    </row>
    <row r="57" spans="2:9" x14ac:dyDescent="0.15">
      <c r="B57" s="12" t="s">
        <v>3</v>
      </c>
      <c r="C57" s="14">
        <v>1</v>
      </c>
      <c r="D57" s="14"/>
      <c r="E57" s="16"/>
      <c r="F57" s="15">
        <v>1</v>
      </c>
      <c r="G57" s="14"/>
      <c r="H57" s="13">
        <f t="shared" si="2"/>
        <v>2</v>
      </c>
      <c r="I57" s="25">
        <v>44579</v>
      </c>
    </row>
    <row r="58" spans="2:9" x14ac:dyDescent="0.15">
      <c r="B58" s="12" t="s">
        <v>3</v>
      </c>
      <c r="C58" s="17"/>
      <c r="D58" s="17"/>
      <c r="E58" s="19"/>
      <c r="F58" s="18">
        <v>1</v>
      </c>
      <c r="G58" s="17"/>
      <c r="H58" s="13">
        <f t="shared" si="2"/>
        <v>1</v>
      </c>
      <c r="I58" s="25">
        <v>44606</v>
      </c>
    </row>
    <row r="59" spans="2:9" x14ac:dyDescent="0.15">
      <c r="B59" s="12" t="s">
        <v>3</v>
      </c>
      <c r="C59" s="17">
        <v>1</v>
      </c>
      <c r="D59" s="17"/>
      <c r="E59" s="19"/>
      <c r="F59" s="18"/>
      <c r="G59" s="17"/>
      <c r="H59" s="13">
        <f t="shared" si="2"/>
        <v>1</v>
      </c>
      <c r="I59" s="25">
        <v>44625</v>
      </c>
    </row>
    <row r="60" spans="2:9" x14ac:dyDescent="0.15">
      <c r="B60" s="12" t="s">
        <v>3</v>
      </c>
      <c r="C60" s="14">
        <v>1</v>
      </c>
      <c r="D60" s="14"/>
      <c r="E60" s="16"/>
      <c r="F60" s="15"/>
      <c r="G60" s="14"/>
      <c r="H60" s="13">
        <f t="shared" si="2"/>
        <v>1</v>
      </c>
      <c r="I60" s="25">
        <v>44634</v>
      </c>
    </row>
    <row r="61" spans="2:9" x14ac:dyDescent="0.15">
      <c r="B61" s="12" t="s">
        <v>3</v>
      </c>
      <c r="C61" s="17">
        <v>5</v>
      </c>
      <c r="D61" s="17"/>
      <c r="E61" s="19"/>
      <c r="F61" s="18"/>
      <c r="G61" s="17"/>
      <c r="H61" s="13">
        <f t="shared" si="2"/>
        <v>5</v>
      </c>
      <c r="I61" s="25">
        <v>44644</v>
      </c>
    </row>
    <row r="62" spans="2:9" x14ac:dyDescent="0.15">
      <c r="B62" s="12" t="s">
        <v>3</v>
      </c>
      <c r="C62" s="17"/>
      <c r="D62" s="17">
        <v>2</v>
      </c>
      <c r="E62" s="19">
        <v>2</v>
      </c>
      <c r="F62" s="18"/>
      <c r="G62" s="17"/>
      <c r="H62" s="13">
        <f t="shared" si="2"/>
        <v>4</v>
      </c>
      <c r="I62" s="25">
        <v>44648</v>
      </c>
    </row>
    <row r="63" spans="2:9" x14ac:dyDescent="0.15">
      <c r="B63" s="12" t="s">
        <v>3</v>
      </c>
      <c r="C63" s="14"/>
      <c r="D63" s="14">
        <v>1</v>
      </c>
      <c r="E63" s="16">
        <v>1</v>
      </c>
      <c r="F63" s="15"/>
      <c r="G63" s="14"/>
      <c r="H63" s="13">
        <f t="shared" si="2"/>
        <v>2</v>
      </c>
      <c r="I63" s="25">
        <v>44652</v>
      </c>
    </row>
    <row r="64" spans="2:9" x14ac:dyDescent="0.15">
      <c r="B64" s="12"/>
      <c r="C64" s="17"/>
      <c r="D64" s="17"/>
      <c r="E64" s="19"/>
      <c r="F64" s="18"/>
      <c r="G64" s="17"/>
      <c r="H64" s="13">
        <f t="shared" si="2"/>
        <v>0</v>
      </c>
      <c r="I64" s="25"/>
    </row>
    <row r="65" spans="2:8" x14ac:dyDescent="0.15">
      <c r="B65" s="12"/>
      <c r="C65" s="17"/>
      <c r="D65" s="17"/>
      <c r="E65" s="19"/>
      <c r="F65" s="18"/>
      <c r="G65" s="17"/>
      <c r="H65" s="13">
        <f t="shared" si="2"/>
        <v>0</v>
      </c>
    </row>
    <row r="66" spans="2:8" x14ac:dyDescent="0.15">
      <c r="B66" s="12"/>
      <c r="C66" s="17"/>
      <c r="D66" s="17"/>
      <c r="E66" s="19"/>
      <c r="F66" s="18"/>
      <c r="G66" s="17"/>
      <c r="H66" s="13">
        <f t="shared" si="2"/>
        <v>0</v>
      </c>
    </row>
    <row r="67" spans="2:8" x14ac:dyDescent="0.15">
      <c r="B67" s="12"/>
      <c r="C67" s="17"/>
      <c r="D67" s="17"/>
      <c r="E67" s="19"/>
      <c r="F67" s="18"/>
      <c r="G67" s="17"/>
      <c r="H67" s="13">
        <f t="shared" si="2"/>
        <v>0</v>
      </c>
    </row>
    <row r="68" spans="2:8" x14ac:dyDescent="0.15">
      <c r="B68" s="12"/>
      <c r="C68" s="17"/>
      <c r="D68" s="17"/>
      <c r="E68" s="19"/>
      <c r="F68" s="18"/>
      <c r="G68" s="17"/>
      <c r="H68" s="13">
        <f>SUM(C68:G68)</f>
        <v>0</v>
      </c>
    </row>
    <row r="69" spans="2:8" x14ac:dyDescent="0.15">
      <c r="B69" s="12"/>
      <c r="C69" s="17"/>
      <c r="D69" s="17"/>
      <c r="E69" s="19"/>
      <c r="F69" s="18"/>
      <c r="G69" s="17"/>
      <c r="H69" s="13">
        <f t="shared" ref="H69:H77" si="3">SUM(C69:G69)</f>
        <v>0</v>
      </c>
    </row>
    <row r="70" spans="2:8" x14ac:dyDescent="0.15">
      <c r="B70" s="12"/>
      <c r="C70" s="14"/>
      <c r="D70" s="14"/>
      <c r="E70" s="16"/>
      <c r="F70" s="15"/>
      <c r="G70" s="14"/>
      <c r="H70" s="13">
        <f t="shared" si="3"/>
        <v>0</v>
      </c>
    </row>
    <row r="71" spans="2:8" x14ac:dyDescent="0.15">
      <c r="B71" s="12"/>
      <c r="C71" s="14"/>
      <c r="D71" s="14"/>
      <c r="E71" s="16"/>
      <c r="F71" s="15"/>
      <c r="G71" s="14"/>
      <c r="H71" s="13">
        <f t="shared" si="3"/>
        <v>0</v>
      </c>
    </row>
    <row r="72" spans="2:8" x14ac:dyDescent="0.15">
      <c r="B72" s="12"/>
      <c r="C72" s="14"/>
      <c r="D72" s="14"/>
      <c r="E72" s="16"/>
      <c r="F72" s="15"/>
      <c r="G72" s="14"/>
      <c r="H72" s="13">
        <f t="shared" si="3"/>
        <v>0</v>
      </c>
    </row>
    <row r="73" spans="2:8" x14ac:dyDescent="0.15">
      <c r="B73" s="12"/>
      <c r="C73" s="14"/>
      <c r="D73" s="14"/>
      <c r="E73" s="16"/>
      <c r="F73" s="15"/>
      <c r="G73" s="14"/>
      <c r="H73" s="13">
        <f t="shared" si="3"/>
        <v>0</v>
      </c>
    </row>
    <row r="74" spans="2:8" x14ac:dyDescent="0.15">
      <c r="B74" s="12"/>
      <c r="C74" s="14"/>
      <c r="D74" s="14"/>
      <c r="E74" s="16"/>
      <c r="F74" s="15"/>
      <c r="G74" s="14"/>
      <c r="H74" s="13">
        <f t="shared" si="3"/>
        <v>0</v>
      </c>
    </row>
    <row r="75" spans="2:8" ht="14.25" thickBot="1" x14ac:dyDescent="0.2">
      <c r="B75" s="12"/>
      <c r="C75" s="9"/>
      <c r="D75" s="9"/>
      <c r="E75" s="11"/>
      <c r="F75" s="10"/>
      <c r="G75" s="9"/>
      <c r="H75" s="8">
        <f t="shared" si="3"/>
        <v>0</v>
      </c>
    </row>
    <row r="76" spans="2:8" ht="14.25" thickBot="1" x14ac:dyDescent="0.2">
      <c r="B76" s="7" t="s">
        <v>1</v>
      </c>
      <c r="C76" s="5">
        <f>SUM(C51:C75)</f>
        <v>15</v>
      </c>
      <c r="D76" s="5">
        <f>SUM(D51:D75)</f>
        <v>6</v>
      </c>
      <c r="E76" s="6">
        <f>SUM(E51:E75)</f>
        <v>4</v>
      </c>
      <c r="F76" s="5">
        <f>SUM(F51:F75)</f>
        <v>2</v>
      </c>
      <c r="G76" s="5">
        <f>SUM(G51:G75)</f>
        <v>1</v>
      </c>
      <c r="H76" s="5">
        <f t="shared" si="3"/>
        <v>28</v>
      </c>
    </row>
    <row r="77" spans="2:8" ht="14.25" thickBot="1" x14ac:dyDescent="0.2">
      <c r="B77" s="4" t="s">
        <v>0</v>
      </c>
      <c r="C77" s="2">
        <f>+C50-C76</f>
        <v>8</v>
      </c>
      <c r="D77" s="2">
        <f>+D50-D76</f>
        <v>5</v>
      </c>
      <c r="E77" s="3">
        <f>+E50-E76</f>
        <v>-1</v>
      </c>
      <c r="F77" s="2">
        <f>+F50-F76</f>
        <v>3</v>
      </c>
      <c r="G77" s="2">
        <f>+G50-G76</f>
        <v>4</v>
      </c>
      <c r="H77" s="2">
        <f t="shared" si="3"/>
        <v>19</v>
      </c>
    </row>
    <row r="79" spans="2:8" ht="18.75" x14ac:dyDescent="0.2">
      <c r="B79" s="39" t="s">
        <v>13</v>
      </c>
      <c r="C79" s="38"/>
      <c r="D79" s="38"/>
      <c r="E79" s="38"/>
      <c r="F79" s="38"/>
      <c r="G79" s="38"/>
    </row>
    <row r="80" spans="2:8" ht="14.25" thickBot="1" x14ac:dyDescent="0.2">
      <c r="H80">
        <v>460</v>
      </c>
    </row>
    <row r="81" spans="1:9" ht="14.25" thickBot="1" x14ac:dyDescent="0.2">
      <c r="B81" s="37"/>
      <c r="C81" s="55"/>
      <c r="D81" s="55"/>
      <c r="E81" s="55"/>
      <c r="F81" s="55"/>
      <c r="G81" s="55"/>
      <c r="H81" s="56"/>
    </row>
    <row r="82" spans="1:9" ht="14.25" thickBot="1" x14ac:dyDescent="0.2">
      <c r="A82" s="1"/>
      <c r="B82" s="36"/>
      <c r="C82" s="54" t="s">
        <v>8</v>
      </c>
      <c r="D82" s="53" t="s">
        <v>9</v>
      </c>
      <c r="E82" s="51" t="s">
        <v>12</v>
      </c>
      <c r="F82" s="52" t="s">
        <v>11</v>
      </c>
      <c r="G82" s="57" t="s">
        <v>10</v>
      </c>
      <c r="H82" s="35" t="s">
        <v>7</v>
      </c>
    </row>
    <row r="83" spans="1:9" x14ac:dyDescent="0.15">
      <c r="B83" s="34" t="s">
        <v>6</v>
      </c>
      <c r="C83" s="32">
        <f>C77</f>
        <v>8</v>
      </c>
      <c r="D83" s="32">
        <f>D77</f>
        <v>5</v>
      </c>
      <c r="E83" s="33">
        <f>E77</f>
        <v>-1</v>
      </c>
      <c r="F83" s="32">
        <f>F77</f>
        <v>3</v>
      </c>
      <c r="G83" s="32">
        <f>G77</f>
        <v>4</v>
      </c>
      <c r="H83" s="32">
        <f t="shared" ref="H83:H106" si="4">SUM(C83:G83)</f>
        <v>19</v>
      </c>
    </row>
    <row r="84" spans="1:9" x14ac:dyDescent="0.15">
      <c r="B84" s="31" t="s">
        <v>5</v>
      </c>
      <c r="C84" s="14"/>
      <c r="D84" s="14">
        <v>5</v>
      </c>
      <c r="E84" s="16">
        <v>5</v>
      </c>
      <c r="F84" s="15"/>
      <c r="G84" s="14"/>
      <c r="H84" s="13">
        <f t="shared" si="4"/>
        <v>10</v>
      </c>
      <c r="I84" s="25">
        <v>44653</v>
      </c>
    </row>
    <row r="85" spans="1:9" x14ac:dyDescent="0.15">
      <c r="B85" s="31" t="s">
        <v>5</v>
      </c>
      <c r="C85" s="14"/>
      <c r="D85" s="14"/>
      <c r="E85" s="16">
        <v>3</v>
      </c>
      <c r="F85" s="15">
        <v>5</v>
      </c>
      <c r="G85" s="14">
        <v>3</v>
      </c>
      <c r="H85" s="13">
        <f t="shared" si="4"/>
        <v>11</v>
      </c>
      <c r="I85" s="25">
        <v>44691</v>
      </c>
    </row>
    <row r="86" spans="1:9" x14ac:dyDescent="0.15">
      <c r="B86" s="31" t="s">
        <v>5</v>
      </c>
      <c r="C86" s="14">
        <v>5</v>
      </c>
      <c r="D86" s="14">
        <v>3</v>
      </c>
      <c r="E86" s="16"/>
      <c r="F86" s="15">
        <v>3</v>
      </c>
      <c r="G86" s="14"/>
      <c r="H86" s="13">
        <f t="shared" si="4"/>
        <v>11</v>
      </c>
      <c r="I86" s="25">
        <v>44726</v>
      </c>
    </row>
    <row r="87" spans="1:9" x14ac:dyDescent="0.15">
      <c r="B87" s="31" t="s">
        <v>5</v>
      </c>
      <c r="C87" s="14">
        <v>5</v>
      </c>
      <c r="D87" s="14"/>
      <c r="E87" s="16"/>
      <c r="F87" s="15"/>
      <c r="G87" s="14"/>
      <c r="H87" s="13">
        <f t="shared" si="4"/>
        <v>5</v>
      </c>
      <c r="I87" s="25">
        <v>44747</v>
      </c>
    </row>
    <row r="88" spans="1:9" ht="14.25" thickBot="1" x14ac:dyDescent="0.2">
      <c r="B88" s="45" t="s">
        <v>15</v>
      </c>
      <c r="C88" s="48">
        <v>-2</v>
      </c>
      <c r="D88" s="48">
        <v>-1</v>
      </c>
      <c r="E88" s="46"/>
      <c r="F88" s="47">
        <v>1</v>
      </c>
      <c r="G88" s="48"/>
      <c r="H88" s="13">
        <f t="shared" si="4"/>
        <v>-2</v>
      </c>
      <c r="I88" s="49">
        <v>44796</v>
      </c>
    </row>
    <row r="89" spans="1:9" ht="14.25" thickBot="1" x14ac:dyDescent="0.2">
      <c r="B89" s="29" t="s">
        <v>4</v>
      </c>
      <c r="C89" s="28">
        <f>SUM(C83:C88)</f>
        <v>16</v>
      </c>
      <c r="D89" s="27">
        <f>SUM(D83:D88)</f>
        <v>12</v>
      </c>
      <c r="E89" s="27">
        <f>SUM(E83:E88)</f>
        <v>7</v>
      </c>
      <c r="F89" s="27">
        <f>SUM(F83:F88)</f>
        <v>12</v>
      </c>
      <c r="G89" s="28">
        <f>SUM(G83:G88)</f>
        <v>7</v>
      </c>
      <c r="H89" s="27">
        <f t="shared" si="4"/>
        <v>54</v>
      </c>
    </row>
    <row r="90" spans="1:9" x14ac:dyDescent="0.15">
      <c r="B90" s="12" t="s">
        <v>3</v>
      </c>
      <c r="C90" s="17">
        <v>1</v>
      </c>
      <c r="D90" s="17"/>
      <c r="E90" s="19">
        <v>1</v>
      </c>
      <c r="F90" s="18">
        <v>1</v>
      </c>
      <c r="G90" s="17">
        <v>1</v>
      </c>
      <c r="H90" s="13">
        <f t="shared" si="4"/>
        <v>4</v>
      </c>
      <c r="I90" s="25">
        <v>44655</v>
      </c>
    </row>
    <row r="91" spans="1:9" x14ac:dyDescent="0.15">
      <c r="B91" s="12" t="s">
        <v>3</v>
      </c>
      <c r="C91" s="17"/>
      <c r="D91" s="17"/>
      <c r="E91" s="19"/>
      <c r="F91" s="18">
        <v>1</v>
      </c>
      <c r="G91" s="17"/>
      <c r="H91" s="13">
        <f t="shared" si="4"/>
        <v>1</v>
      </c>
      <c r="I91" s="26">
        <v>44666</v>
      </c>
    </row>
    <row r="92" spans="1:9" x14ac:dyDescent="0.15">
      <c r="B92" s="12" t="s">
        <v>3</v>
      </c>
      <c r="C92" s="14">
        <v>1</v>
      </c>
      <c r="D92" s="14">
        <v>2</v>
      </c>
      <c r="E92" s="16">
        <v>1</v>
      </c>
      <c r="F92" s="15">
        <v>1</v>
      </c>
      <c r="G92" s="14">
        <v>1</v>
      </c>
      <c r="H92" s="13">
        <f t="shared" si="4"/>
        <v>6</v>
      </c>
      <c r="I92" s="25">
        <v>44670</v>
      </c>
    </row>
    <row r="93" spans="1:9" x14ac:dyDescent="0.15">
      <c r="B93" s="12" t="s">
        <v>3</v>
      </c>
      <c r="C93" s="14"/>
      <c r="D93" s="14">
        <v>1</v>
      </c>
      <c r="E93" s="16"/>
      <c r="F93" s="15"/>
      <c r="G93" s="14"/>
      <c r="H93" s="13">
        <f t="shared" si="4"/>
        <v>1</v>
      </c>
      <c r="I93" s="25">
        <v>44678</v>
      </c>
    </row>
    <row r="94" spans="1:9" x14ac:dyDescent="0.15">
      <c r="B94" s="12" t="s">
        <v>3</v>
      </c>
      <c r="C94" s="14"/>
      <c r="D94" s="14">
        <v>1</v>
      </c>
      <c r="E94" s="16"/>
      <c r="F94" s="15">
        <v>1</v>
      </c>
      <c r="G94" s="14"/>
      <c r="H94" s="13">
        <f t="shared" si="4"/>
        <v>2</v>
      </c>
      <c r="I94" s="25">
        <v>44700</v>
      </c>
    </row>
    <row r="95" spans="1:9" x14ac:dyDescent="0.15">
      <c r="B95" s="12" t="s">
        <v>3</v>
      </c>
      <c r="C95" s="14"/>
      <c r="D95" s="14">
        <v>1</v>
      </c>
      <c r="E95" s="16"/>
      <c r="F95" s="15"/>
      <c r="G95" s="14"/>
      <c r="H95" s="13">
        <f t="shared" si="4"/>
        <v>1</v>
      </c>
      <c r="I95" s="25">
        <v>44702</v>
      </c>
    </row>
    <row r="96" spans="1:9" x14ac:dyDescent="0.15">
      <c r="B96" s="12" t="s">
        <v>3</v>
      </c>
      <c r="C96" s="14">
        <v>1</v>
      </c>
      <c r="D96" s="14"/>
      <c r="E96" s="16"/>
      <c r="F96" s="15"/>
      <c r="G96" s="14"/>
      <c r="H96" s="13">
        <f t="shared" si="4"/>
        <v>1</v>
      </c>
      <c r="I96" s="25">
        <v>44704</v>
      </c>
    </row>
    <row r="97" spans="2:9" x14ac:dyDescent="0.15">
      <c r="B97" s="12" t="s">
        <v>3</v>
      </c>
      <c r="C97" s="14">
        <v>3</v>
      </c>
      <c r="D97" s="14"/>
      <c r="E97" s="16"/>
      <c r="F97" s="15">
        <v>1</v>
      </c>
      <c r="G97" s="14">
        <v>1</v>
      </c>
      <c r="H97" s="13">
        <f t="shared" si="4"/>
        <v>5</v>
      </c>
      <c r="I97" s="25">
        <v>44718</v>
      </c>
    </row>
    <row r="98" spans="2:9" x14ac:dyDescent="0.15">
      <c r="B98" s="12" t="s">
        <v>3</v>
      </c>
      <c r="C98" s="14"/>
      <c r="D98" s="14">
        <v>1</v>
      </c>
      <c r="E98" s="16"/>
      <c r="F98" s="15"/>
      <c r="G98" s="14"/>
      <c r="H98" s="13">
        <f t="shared" si="4"/>
        <v>1</v>
      </c>
      <c r="I98" s="25">
        <v>44725</v>
      </c>
    </row>
    <row r="99" spans="2:9" x14ac:dyDescent="0.15">
      <c r="B99" s="12" t="s">
        <v>3</v>
      </c>
      <c r="C99" s="14">
        <v>2</v>
      </c>
      <c r="D99" s="14"/>
      <c r="E99" s="16"/>
      <c r="F99" s="15">
        <v>1</v>
      </c>
      <c r="G99" s="14"/>
      <c r="H99" s="13">
        <f t="shared" si="4"/>
        <v>3</v>
      </c>
      <c r="I99" s="25">
        <v>44732</v>
      </c>
    </row>
    <row r="100" spans="2:9" x14ac:dyDescent="0.15">
      <c r="B100" s="12" t="s">
        <v>3</v>
      </c>
      <c r="C100" s="14">
        <v>1</v>
      </c>
      <c r="D100" s="14"/>
      <c r="E100" s="16"/>
      <c r="F100" s="15"/>
      <c r="G100" s="14"/>
      <c r="H100" s="13">
        <f t="shared" si="4"/>
        <v>1</v>
      </c>
      <c r="I100" s="25">
        <v>44735</v>
      </c>
    </row>
    <row r="101" spans="2:9" x14ac:dyDescent="0.15">
      <c r="B101" s="12" t="s">
        <v>3</v>
      </c>
      <c r="C101" s="14">
        <v>1</v>
      </c>
      <c r="D101" s="14"/>
      <c r="E101" s="16"/>
      <c r="F101" s="15"/>
      <c r="G101" s="14"/>
      <c r="H101" s="13">
        <f t="shared" si="4"/>
        <v>1</v>
      </c>
      <c r="I101" s="25">
        <v>44736</v>
      </c>
    </row>
    <row r="102" spans="2:9" x14ac:dyDescent="0.15">
      <c r="B102" s="12" t="s">
        <v>3</v>
      </c>
      <c r="C102" s="14">
        <v>1</v>
      </c>
      <c r="D102" s="14"/>
      <c r="E102" s="16"/>
      <c r="F102" s="15"/>
      <c r="G102" s="14"/>
      <c r="H102" s="13">
        <f t="shared" si="4"/>
        <v>1</v>
      </c>
      <c r="I102" s="25">
        <v>44740</v>
      </c>
    </row>
    <row r="103" spans="2:9" x14ac:dyDescent="0.15">
      <c r="B103" s="12" t="s">
        <v>3</v>
      </c>
      <c r="C103" s="14">
        <v>1</v>
      </c>
      <c r="D103" s="14"/>
      <c r="E103" s="16">
        <v>1</v>
      </c>
      <c r="F103" s="15">
        <v>1</v>
      </c>
      <c r="G103" s="14"/>
      <c r="H103" s="13">
        <f t="shared" si="4"/>
        <v>3</v>
      </c>
      <c r="I103" s="25">
        <v>44746</v>
      </c>
    </row>
    <row r="104" spans="2:9" x14ac:dyDescent="0.15">
      <c r="B104" s="12" t="s">
        <v>3</v>
      </c>
      <c r="C104" s="14"/>
      <c r="D104" s="14"/>
      <c r="E104" s="16"/>
      <c r="F104" s="15"/>
      <c r="G104" s="14">
        <v>1</v>
      </c>
      <c r="H104" s="13">
        <f t="shared" si="4"/>
        <v>1</v>
      </c>
      <c r="I104" s="25">
        <v>44762</v>
      </c>
    </row>
    <row r="105" spans="2:9" x14ac:dyDescent="0.15">
      <c r="B105" s="12"/>
      <c r="C105" s="14"/>
      <c r="D105" s="14"/>
      <c r="E105" s="16"/>
      <c r="F105" s="15"/>
      <c r="G105" s="14"/>
      <c r="H105" s="13">
        <f t="shared" si="4"/>
        <v>0</v>
      </c>
    </row>
    <row r="106" spans="2:9" x14ac:dyDescent="0.15">
      <c r="B106" s="12"/>
      <c r="C106" s="14"/>
      <c r="D106" s="14"/>
      <c r="E106" s="16"/>
      <c r="F106" s="15"/>
      <c r="G106" s="14"/>
      <c r="H106" s="13">
        <f t="shared" si="4"/>
        <v>0</v>
      </c>
    </row>
    <row r="107" spans="2:9" x14ac:dyDescent="0.15">
      <c r="B107" s="12"/>
      <c r="C107" s="17"/>
      <c r="D107" s="17"/>
      <c r="E107" s="19"/>
      <c r="F107" s="18"/>
      <c r="G107" s="17"/>
      <c r="H107" s="13">
        <f>SUM(C107:G107)</f>
        <v>0</v>
      </c>
    </row>
    <row r="108" spans="2:9" x14ac:dyDescent="0.15">
      <c r="B108" s="12"/>
      <c r="C108" s="17"/>
      <c r="D108" s="17"/>
      <c r="E108" s="19"/>
      <c r="F108" s="18"/>
      <c r="G108" s="17"/>
      <c r="H108" s="13">
        <f t="shared" ref="H108:H116" si="5">SUM(C108:G108)</f>
        <v>0</v>
      </c>
    </row>
    <row r="109" spans="2:9" x14ac:dyDescent="0.15">
      <c r="B109" s="12"/>
      <c r="C109" s="14"/>
      <c r="D109" s="14"/>
      <c r="E109" s="16"/>
      <c r="F109" s="15"/>
      <c r="G109" s="14"/>
      <c r="H109" s="13">
        <f t="shared" si="5"/>
        <v>0</v>
      </c>
    </row>
    <row r="110" spans="2:9" x14ac:dyDescent="0.15">
      <c r="B110" s="12"/>
      <c r="C110" s="14"/>
      <c r="D110" s="14"/>
      <c r="E110" s="16"/>
      <c r="F110" s="15"/>
      <c r="G110" s="14"/>
      <c r="H110" s="13">
        <f t="shared" si="5"/>
        <v>0</v>
      </c>
    </row>
    <row r="111" spans="2:9" x14ac:dyDescent="0.15">
      <c r="B111" s="12"/>
      <c r="C111" s="14"/>
      <c r="D111" s="14"/>
      <c r="E111" s="16"/>
      <c r="F111" s="15"/>
      <c r="G111" s="14"/>
      <c r="H111" s="13">
        <f t="shared" si="5"/>
        <v>0</v>
      </c>
    </row>
    <row r="112" spans="2:9" x14ac:dyDescent="0.15">
      <c r="B112" s="12"/>
      <c r="C112" s="14"/>
      <c r="D112" s="14"/>
      <c r="E112" s="16"/>
      <c r="F112" s="15"/>
      <c r="G112" s="14"/>
      <c r="H112" s="13">
        <f t="shared" si="5"/>
        <v>0</v>
      </c>
    </row>
    <row r="113" spans="1:9" x14ac:dyDescent="0.15">
      <c r="B113" s="12"/>
      <c r="C113" s="14"/>
      <c r="D113" s="14"/>
      <c r="E113" s="16"/>
      <c r="F113" s="15"/>
      <c r="G113" s="14"/>
      <c r="H113" s="13">
        <f t="shared" si="5"/>
        <v>0</v>
      </c>
    </row>
    <row r="114" spans="1:9" ht="14.25" thickBot="1" x14ac:dyDescent="0.2">
      <c r="B114" s="12"/>
      <c r="C114" s="9"/>
      <c r="D114" s="9"/>
      <c r="E114" s="11"/>
      <c r="F114" s="10"/>
      <c r="G114" s="9"/>
      <c r="H114" s="8">
        <f t="shared" si="5"/>
        <v>0</v>
      </c>
    </row>
    <row r="115" spans="1:9" ht="14.25" thickBot="1" x14ac:dyDescent="0.2">
      <c r="B115" s="7" t="s">
        <v>1</v>
      </c>
      <c r="C115" s="5">
        <f>SUM(C90:C114)</f>
        <v>12</v>
      </c>
      <c r="D115" s="5">
        <f>SUM(D90:D114)</f>
        <v>6</v>
      </c>
      <c r="E115" s="6">
        <f>SUM(E90:E114)</f>
        <v>3</v>
      </c>
      <c r="F115" s="5">
        <f>SUM(F90:F114)</f>
        <v>7</v>
      </c>
      <c r="G115" s="5">
        <f>SUM(G90:G114)</f>
        <v>4</v>
      </c>
      <c r="H115" s="5">
        <f t="shared" si="5"/>
        <v>32</v>
      </c>
    </row>
    <row r="116" spans="1:9" ht="14.25" thickBot="1" x14ac:dyDescent="0.2">
      <c r="B116" s="4" t="s">
        <v>0</v>
      </c>
      <c r="C116" s="2">
        <f>+C89-C115</f>
        <v>4</v>
      </c>
      <c r="D116" s="2">
        <f>+D89-D115</f>
        <v>6</v>
      </c>
      <c r="E116" s="3">
        <f>+E89-E115</f>
        <v>4</v>
      </c>
      <c r="F116" s="2">
        <f>+F89-F115</f>
        <v>5</v>
      </c>
      <c r="G116" s="2">
        <f>+G89-G115</f>
        <v>3</v>
      </c>
      <c r="H116" s="2">
        <f t="shared" si="5"/>
        <v>22</v>
      </c>
    </row>
    <row r="118" spans="1:9" ht="18.75" x14ac:dyDescent="0.2">
      <c r="B118" s="39" t="s">
        <v>13</v>
      </c>
      <c r="C118" s="38"/>
      <c r="D118" s="38"/>
      <c r="E118" s="38"/>
      <c r="F118" s="38"/>
      <c r="G118" s="38"/>
    </row>
    <row r="119" spans="1:9" ht="14.25" thickBot="1" x14ac:dyDescent="0.2">
      <c r="H119">
        <v>460</v>
      </c>
    </row>
    <row r="120" spans="1:9" ht="14.25" thickBot="1" x14ac:dyDescent="0.2">
      <c r="B120" s="37"/>
      <c r="C120" s="55"/>
      <c r="D120" s="55"/>
      <c r="E120" s="55"/>
      <c r="F120" s="55"/>
      <c r="G120" s="55"/>
      <c r="H120" s="56"/>
    </row>
    <row r="121" spans="1:9" ht="14.25" thickBot="1" x14ac:dyDescent="0.2">
      <c r="A121" s="1"/>
      <c r="B121" s="36"/>
      <c r="C121" s="54" t="s">
        <v>8</v>
      </c>
      <c r="D121" s="53" t="s">
        <v>9</v>
      </c>
      <c r="E121" s="51" t="s">
        <v>12</v>
      </c>
      <c r="F121" s="52" t="s">
        <v>11</v>
      </c>
      <c r="G121" s="57" t="s">
        <v>10</v>
      </c>
      <c r="H121" s="35" t="s">
        <v>7</v>
      </c>
    </row>
    <row r="122" spans="1:9" x14ac:dyDescent="0.15">
      <c r="B122" s="34" t="s">
        <v>6</v>
      </c>
      <c r="C122" s="32">
        <f>C116</f>
        <v>4</v>
      </c>
      <c r="D122" s="32">
        <f>D116</f>
        <v>6</v>
      </c>
      <c r="E122" s="33">
        <f>E116</f>
        <v>4</v>
      </c>
      <c r="F122" s="32">
        <f>F116</f>
        <v>5</v>
      </c>
      <c r="G122" s="32">
        <f>G116</f>
        <v>3</v>
      </c>
      <c r="H122" s="32">
        <f t="shared" ref="H122:H145" si="6">SUM(C122:G122)</f>
        <v>22</v>
      </c>
    </row>
    <row r="123" spans="1:9" x14ac:dyDescent="0.15">
      <c r="B123" s="31" t="s">
        <v>5</v>
      </c>
      <c r="C123" s="14">
        <v>3</v>
      </c>
      <c r="D123" s="14"/>
      <c r="E123" s="16">
        <v>3</v>
      </c>
      <c r="F123" s="15"/>
      <c r="G123" s="14"/>
      <c r="H123" s="13">
        <f t="shared" si="6"/>
        <v>6</v>
      </c>
      <c r="I123" s="25">
        <v>44831</v>
      </c>
    </row>
    <row r="124" spans="1:9" x14ac:dyDescent="0.15">
      <c r="B124" s="50" t="s">
        <v>5</v>
      </c>
      <c r="C124" s="21">
        <v>-2</v>
      </c>
      <c r="D124" s="21">
        <v>-1</v>
      </c>
      <c r="E124" s="23"/>
      <c r="F124" s="22"/>
      <c r="G124" s="21"/>
      <c r="H124" s="13">
        <f t="shared" si="6"/>
        <v>-3</v>
      </c>
      <c r="I124" s="20"/>
    </row>
    <row r="125" spans="1:9" x14ac:dyDescent="0.15">
      <c r="B125" s="31" t="s">
        <v>5</v>
      </c>
      <c r="C125" s="14">
        <v>3</v>
      </c>
      <c r="D125" s="14"/>
      <c r="E125" s="16"/>
      <c r="F125" s="15"/>
      <c r="G125" s="14"/>
      <c r="H125" s="13">
        <f t="shared" si="6"/>
        <v>3</v>
      </c>
      <c r="I125" s="25">
        <v>44862</v>
      </c>
    </row>
    <row r="126" spans="1:9" x14ac:dyDescent="0.15">
      <c r="B126" s="31" t="s">
        <v>5</v>
      </c>
      <c r="C126" s="14">
        <v>3</v>
      </c>
      <c r="D126" s="14"/>
      <c r="E126" s="16"/>
      <c r="F126" s="15"/>
      <c r="G126" s="14"/>
      <c r="H126" s="13">
        <f t="shared" si="6"/>
        <v>3</v>
      </c>
      <c r="I126" s="25">
        <v>44904</v>
      </c>
    </row>
    <row r="127" spans="1:9" ht="14.25" thickBot="1" x14ac:dyDescent="0.2">
      <c r="B127" s="31" t="s">
        <v>5</v>
      </c>
      <c r="C127" s="14">
        <v>3</v>
      </c>
      <c r="D127" s="14"/>
      <c r="E127" s="16"/>
      <c r="F127" s="15">
        <v>3</v>
      </c>
      <c r="G127" s="14">
        <v>3</v>
      </c>
      <c r="H127" s="13">
        <f t="shared" si="6"/>
        <v>9</v>
      </c>
      <c r="I127" s="25">
        <v>44944</v>
      </c>
    </row>
    <row r="128" spans="1:9" ht="14.25" thickBot="1" x14ac:dyDescent="0.2">
      <c r="B128" s="29" t="s">
        <v>4</v>
      </c>
      <c r="C128" s="28">
        <f>SUM(C122:C127)</f>
        <v>14</v>
      </c>
      <c r="D128" s="27">
        <f>SUM(D122:D127)</f>
        <v>5</v>
      </c>
      <c r="E128" s="27">
        <f>SUM(E122:E127)</f>
        <v>7</v>
      </c>
      <c r="F128" s="27">
        <f>SUM(F122:F127)</f>
        <v>8</v>
      </c>
      <c r="G128" s="28">
        <f>SUM(G122:G127)</f>
        <v>6</v>
      </c>
      <c r="H128" s="27">
        <f t="shared" si="6"/>
        <v>40</v>
      </c>
    </row>
    <row r="129" spans="2:9" x14ac:dyDescent="0.15">
      <c r="B129" s="12" t="s">
        <v>3</v>
      </c>
      <c r="C129" s="17"/>
      <c r="D129" s="17"/>
      <c r="E129" s="19">
        <v>1</v>
      </c>
      <c r="F129" s="18">
        <v>1</v>
      </c>
      <c r="G129" s="17"/>
      <c r="H129" s="13">
        <f t="shared" si="6"/>
        <v>2</v>
      </c>
      <c r="I129" s="25">
        <v>44820</v>
      </c>
    </row>
    <row r="130" spans="2:9" x14ac:dyDescent="0.15">
      <c r="B130" s="12" t="s">
        <v>3</v>
      </c>
      <c r="C130" s="14">
        <v>1</v>
      </c>
      <c r="D130" s="14"/>
      <c r="E130" s="16">
        <v>1</v>
      </c>
      <c r="F130" s="15"/>
      <c r="G130" s="14"/>
      <c r="H130" s="13">
        <f t="shared" si="6"/>
        <v>2</v>
      </c>
      <c r="I130" s="25">
        <v>44824</v>
      </c>
    </row>
    <row r="131" spans="2:9" x14ac:dyDescent="0.15">
      <c r="B131" s="12" t="s">
        <v>3</v>
      </c>
      <c r="C131" s="14">
        <v>1</v>
      </c>
      <c r="D131" s="14"/>
      <c r="E131" s="16"/>
      <c r="F131" s="15"/>
      <c r="G131" s="14"/>
      <c r="H131" s="13">
        <f t="shared" si="6"/>
        <v>1</v>
      </c>
      <c r="I131" s="25">
        <v>44839</v>
      </c>
    </row>
    <row r="132" spans="2:9" x14ac:dyDescent="0.15">
      <c r="B132" s="12" t="s">
        <v>3</v>
      </c>
      <c r="C132" s="14">
        <v>1</v>
      </c>
      <c r="D132" s="14"/>
      <c r="E132" s="16"/>
      <c r="F132" s="15"/>
      <c r="G132" s="14"/>
      <c r="H132" s="13">
        <f t="shared" si="6"/>
        <v>1</v>
      </c>
      <c r="I132" s="25">
        <v>44874</v>
      </c>
    </row>
    <row r="133" spans="2:9" x14ac:dyDescent="0.15">
      <c r="B133" s="12" t="s">
        <v>3</v>
      </c>
      <c r="C133" s="14">
        <v>1</v>
      </c>
      <c r="D133" s="14"/>
      <c r="E133" s="16"/>
      <c r="F133" s="15"/>
      <c r="G133" s="14"/>
      <c r="H133" s="13">
        <f t="shared" si="6"/>
        <v>1</v>
      </c>
      <c r="I133" s="25">
        <v>44881</v>
      </c>
    </row>
    <row r="134" spans="2:9" x14ac:dyDescent="0.15">
      <c r="B134" s="12" t="s">
        <v>3</v>
      </c>
      <c r="C134" s="14"/>
      <c r="D134" s="14"/>
      <c r="E134" s="16"/>
      <c r="F134" s="15">
        <v>1</v>
      </c>
      <c r="G134" s="14"/>
      <c r="H134" s="13">
        <f t="shared" si="6"/>
        <v>1</v>
      </c>
      <c r="I134" s="25">
        <v>44884</v>
      </c>
    </row>
    <row r="135" spans="2:9" x14ac:dyDescent="0.15">
      <c r="B135" s="12" t="s">
        <v>3</v>
      </c>
      <c r="C135" s="14"/>
      <c r="D135" s="14">
        <v>1</v>
      </c>
      <c r="E135" s="16"/>
      <c r="F135" s="15"/>
      <c r="G135" s="14"/>
      <c r="H135" s="13">
        <f t="shared" si="6"/>
        <v>1</v>
      </c>
      <c r="I135" s="25">
        <v>44886</v>
      </c>
    </row>
    <row r="136" spans="2:9" x14ac:dyDescent="0.15">
      <c r="B136" s="12" t="s">
        <v>3</v>
      </c>
      <c r="C136" s="14"/>
      <c r="D136" s="14">
        <v>1</v>
      </c>
      <c r="E136" s="16">
        <v>1</v>
      </c>
      <c r="F136" s="15"/>
      <c r="G136" s="14"/>
      <c r="H136" s="13">
        <f t="shared" si="6"/>
        <v>2</v>
      </c>
      <c r="I136" s="25">
        <v>44889</v>
      </c>
    </row>
    <row r="137" spans="2:9" x14ac:dyDescent="0.15">
      <c r="B137" s="12" t="s">
        <v>3</v>
      </c>
      <c r="C137" s="14">
        <v>1</v>
      </c>
      <c r="D137" s="14"/>
      <c r="E137" s="16"/>
      <c r="F137" s="15"/>
      <c r="G137" s="14"/>
      <c r="H137" s="13">
        <f t="shared" si="6"/>
        <v>1</v>
      </c>
      <c r="I137" s="25">
        <v>44890</v>
      </c>
    </row>
    <row r="138" spans="2:9" x14ac:dyDescent="0.15">
      <c r="B138" s="12" t="s">
        <v>3</v>
      </c>
      <c r="C138" s="14"/>
      <c r="D138" s="14"/>
      <c r="E138" s="16"/>
      <c r="F138" s="15">
        <v>1</v>
      </c>
      <c r="G138" s="14"/>
      <c r="H138" s="13">
        <f t="shared" si="6"/>
        <v>1</v>
      </c>
      <c r="I138" s="25">
        <v>44902</v>
      </c>
    </row>
    <row r="139" spans="2:9" x14ac:dyDescent="0.15">
      <c r="B139" s="12" t="s">
        <v>3</v>
      </c>
      <c r="C139" s="14"/>
      <c r="D139" s="14"/>
      <c r="E139" s="16"/>
      <c r="F139" s="15">
        <v>1</v>
      </c>
      <c r="G139" s="14"/>
      <c r="H139" s="13">
        <f t="shared" si="6"/>
        <v>1</v>
      </c>
      <c r="I139" s="25">
        <v>44903</v>
      </c>
    </row>
    <row r="140" spans="2:9" x14ac:dyDescent="0.15">
      <c r="B140" s="12" t="s">
        <v>3</v>
      </c>
      <c r="C140" s="14">
        <v>2</v>
      </c>
      <c r="D140" s="14"/>
      <c r="E140" s="16">
        <v>1</v>
      </c>
      <c r="F140" s="15"/>
      <c r="G140" s="14"/>
      <c r="H140" s="13">
        <f t="shared" si="6"/>
        <v>3</v>
      </c>
      <c r="I140" s="25">
        <v>44932</v>
      </c>
    </row>
    <row r="141" spans="2:9" x14ac:dyDescent="0.15">
      <c r="B141" s="12" t="s">
        <v>3</v>
      </c>
      <c r="C141" s="14"/>
      <c r="D141" s="14"/>
      <c r="E141" s="16"/>
      <c r="F141" s="15"/>
      <c r="G141" s="14">
        <v>2</v>
      </c>
      <c r="H141" s="13">
        <f t="shared" si="6"/>
        <v>2</v>
      </c>
      <c r="I141" s="25">
        <v>44937</v>
      </c>
    </row>
    <row r="142" spans="2:9" x14ac:dyDescent="0.15">
      <c r="B142" s="12" t="s">
        <v>3</v>
      </c>
      <c r="C142" s="14">
        <v>1</v>
      </c>
      <c r="D142" s="14"/>
      <c r="E142" s="16"/>
      <c r="F142" s="15"/>
      <c r="G142" s="14"/>
      <c r="H142" s="13">
        <f t="shared" si="6"/>
        <v>1</v>
      </c>
      <c r="I142" s="25">
        <v>44942</v>
      </c>
    </row>
    <row r="143" spans="2:9" x14ac:dyDescent="0.15">
      <c r="B143" s="12" t="s">
        <v>3</v>
      </c>
      <c r="C143" s="14">
        <v>2</v>
      </c>
      <c r="D143" s="14"/>
      <c r="E143" s="16"/>
      <c r="F143" s="15"/>
      <c r="G143" s="14">
        <v>1</v>
      </c>
      <c r="H143" s="13">
        <f t="shared" si="6"/>
        <v>3</v>
      </c>
      <c r="I143" s="25">
        <v>44975</v>
      </c>
    </row>
    <row r="144" spans="2:9" x14ac:dyDescent="0.15">
      <c r="B144" s="12" t="s">
        <v>3</v>
      </c>
      <c r="C144" s="14">
        <v>1</v>
      </c>
      <c r="D144" s="14">
        <v>1</v>
      </c>
      <c r="E144" s="16">
        <v>1</v>
      </c>
      <c r="F144" s="15"/>
      <c r="G144" s="14"/>
      <c r="H144" s="13">
        <f t="shared" si="6"/>
        <v>3</v>
      </c>
      <c r="I144" s="25">
        <v>44981</v>
      </c>
    </row>
    <row r="145" spans="1:9" x14ac:dyDescent="0.15">
      <c r="B145" s="12" t="s">
        <v>3</v>
      </c>
      <c r="C145" s="14">
        <v>1</v>
      </c>
      <c r="D145" s="14">
        <v>1</v>
      </c>
      <c r="E145" s="16"/>
      <c r="F145" s="15"/>
      <c r="G145" s="14"/>
      <c r="H145" s="13">
        <f t="shared" si="6"/>
        <v>2</v>
      </c>
      <c r="I145" s="25">
        <v>44994</v>
      </c>
    </row>
    <row r="146" spans="1:9" x14ac:dyDescent="0.15">
      <c r="B146" s="12" t="s">
        <v>3</v>
      </c>
      <c r="C146" s="14"/>
      <c r="D146" s="14"/>
      <c r="E146" s="16"/>
      <c r="F146" s="15">
        <v>1</v>
      </c>
      <c r="G146" s="14"/>
      <c r="H146" s="13">
        <f>SUM(C146:G146)</f>
        <v>1</v>
      </c>
      <c r="I146" s="25">
        <v>45017</v>
      </c>
    </row>
    <row r="147" spans="1:9" x14ac:dyDescent="0.15">
      <c r="B147" s="12"/>
      <c r="C147" s="14"/>
      <c r="D147" s="14"/>
      <c r="E147" s="16"/>
      <c r="F147" s="15"/>
      <c r="G147" s="14"/>
      <c r="H147" s="13">
        <f t="shared" ref="H147:H155" si="7">SUM(C147:G147)</f>
        <v>0</v>
      </c>
    </row>
    <row r="148" spans="1:9" x14ac:dyDescent="0.15">
      <c r="B148" s="12"/>
      <c r="C148" s="14"/>
      <c r="D148" s="14"/>
      <c r="E148" s="16"/>
      <c r="F148" s="15"/>
      <c r="G148" s="14"/>
      <c r="H148" s="13">
        <f t="shared" si="7"/>
        <v>0</v>
      </c>
    </row>
    <row r="149" spans="1:9" x14ac:dyDescent="0.15">
      <c r="B149" s="12"/>
      <c r="C149" s="14"/>
      <c r="D149" s="14"/>
      <c r="E149" s="16"/>
      <c r="F149" s="15"/>
      <c r="G149" s="14"/>
      <c r="H149" s="13">
        <f t="shared" si="7"/>
        <v>0</v>
      </c>
    </row>
    <row r="150" spans="1:9" x14ac:dyDescent="0.15">
      <c r="B150" s="12"/>
      <c r="C150" s="14"/>
      <c r="D150" s="14"/>
      <c r="E150" s="16"/>
      <c r="F150" s="15"/>
      <c r="G150" s="14"/>
      <c r="H150" s="13">
        <f t="shared" si="7"/>
        <v>0</v>
      </c>
    </row>
    <row r="151" spans="1:9" x14ac:dyDescent="0.15">
      <c r="B151" s="12"/>
      <c r="C151" s="14"/>
      <c r="D151" s="14"/>
      <c r="E151" s="16"/>
      <c r="F151" s="15"/>
      <c r="G151" s="14"/>
      <c r="H151" s="13">
        <f t="shared" si="7"/>
        <v>0</v>
      </c>
    </row>
    <row r="152" spans="1:9" x14ac:dyDescent="0.15">
      <c r="B152" s="12"/>
      <c r="C152" s="14"/>
      <c r="D152" s="14"/>
      <c r="E152" s="16"/>
      <c r="F152" s="15"/>
      <c r="G152" s="14"/>
      <c r="H152" s="13">
        <f t="shared" si="7"/>
        <v>0</v>
      </c>
    </row>
    <row r="153" spans="1:9" ht="14.25" thickBot="1" x14ac:dyDescent="0.2">
      <c r="B153" s="12"/>
      <c r="C153" s="9"/>
      <c r="D153" s="9"/>
      <c r="E153" s="11"/>
      <c r="F153" s="10"/>
      <c r="G153" s="9"/>
      <c r="H153" s="8">
        <f t="shared" si="7"/>
        <v>0</v>
      </c>
    </row>
    <row r="154" spans="1:9" ht="14.25" thickBot="1" x14ac:dyDescent="0.2">
      <c r="B154" s="7" t="s">
        <v>1</v>
      </c>
      <c r="C154" s="5">
        <f>SUM(C129:C153)</f>
        <v>12</v>
      </c>
      <c r="D154" s="5">
        <f>SUM(D129:D153)</f>
        <v>4</v>
      </c>
      <c r="E154" s="6">
        <f>SUM(E129:E153)</f>
        <v>5</v>
      </c>
      <c r="F154" s="5">
        <f>SUM(F129:F153)</f>
        <v>5</v>
      </c>
      <c r="G154" s="5">
        <f>SUM(G129:G153)</f>
        <v>3</v>
      </c>
      <c r="H154" s="5">
        <f t="shared" si="7"/>
        <v>29</v>
      </c>
    </row>
    <row r="155" spans="1:9" ht="14.25" thickBot="1" x14ac:dyDescent="0.2">
      <c r="B155" s="4" t="s">
        <v>0</v>
      </c>
      <c r="C155" s="2">
        <f>+C128-C154</f>
        <v>2</v>
      </c>
      <c r="D155" s="2">
        <f>+D128-D154</f>
        <v>1</v>
      </c>
      <c r="E155" s="3">
        <f>+E128-E154</f>
        <v>2</v>
      </c>
      <c r="F155" s="2">
        <f>+F128-F154</f>
        <v>3</v>
      </c>
      <c r="G155" s="2">
        <f>+G128-G154</f>
        <v>3</v>
      </c>
      <c r="H155" s="2">
        <f t="shared" si="7"/>
        <v>11</v>
      </c>
    </row>
    <row r="157" spans="1:9" ht="18.75" x14ac:dyDescent="0.2">
      <c r="B157" s="39" t="s">
        <v>13</v>
      </c>
      <c r="C157" s="38"/>
      <c r="D157" s="38"/>
      <c r="E157" s="38"/>
      <c r="F157" s="38"/>
      <c r="G157" s="38"/>
    </row>
    <row r="158" spans="1:9" ht="14.25" thickBot="1" x14ac:dyDescent="0.2">
      <c r="H158">
        <v>460</v>
      </c>
    </row>
    <row r="159" spans="1:9" ht="14.25" thickBot="1" x14ac:dyDescent="0.2">
      <c r="B159" s="37"/>
      <c r="C159" s="55"/>
      <c r="D159" s="55"/>
      <c r="E159" s="55"/>
      <c r="F159" s="55"/>
      <c r="G159" s="55"/>
      <c r="H159" s="56"/>
    </row>
    <row r="160" spans="1:9" ht="14.25" thickBot="1" x14ac:dyDescent="0.2">
      <c r="A160" s="1"/>
      <c r="B160" s="36"/>
      <c r="C160" s="54" t="s">
        <v>8</v>
      </c>
      <c r="D160" s="53" t="s">
        <v>9</v>
      </c>
      <c r="E160" s="51" t="s">
        <v>12</v>
      </c>
      <c r="F160" s="52" t="s">
        <v>11</v>
      </c>
      <c r="G160" s="57" t="s">
        <v>10</v>
      </c>
      <c r="H160" s="35" t="s">
        <v>7</v>
      </c>
    </row>
    <row r="161" spans="2:9" x14ac:dyDescent="0.15">
      <c r="B161" s="34" t="s">
        <v>6</v>
      </c>
      <c r="C161" s="32">
        <f>C155</f>
        <v>2</v>
      </c>
      <c r="D161" s="32">
        <f>D155</f>
        <v>1</v>
      </c>
      <c r="E161" s="33">
        <f>E155</f>
        <v>2</v>
      </c>
      <c r="F161" s="32">
        <f>F155</f>
        <v>3</v>
      </c>
      <c r="G161" s="32">
        <f>G155</f>
        <v>3</v>
      </c>
      <c r="H161" s="32">
        <f t="shared" ref="H161:H184" si="8">SUM(C161:G161)</f>
        <v>11</v>
      </c>
    </row>
    <row r="162" spans="2:9" x14ac:dyDescent="0.15">
      <c r="B162" s="31" t="s">
        <v>5</v>
      </c>
      <c r="C162" s="14">
        <v>5</v>
      </c>
      <c r="D162" s="14">
        <v>3</v>
      </c>
      <c r="E162" s="16"/>
      <c r="F162" s="15"/>
      <c r="G162" s="14"/>
      <c r="H162" s="13">
        <f t="shared" si="8"/>
        <v>8</v>
      </c>
      <c r="I162" s="25">
        <v>45017</v>
      </c>
    </row>
    <row r="163" spans="2:9" x14ac:dyDescent="0.15">
      <c r="B163" s="31" t="s">
        <v>5</v>
      </c>
      <c r="C163" s="14"/>
      <c r="D163" s="14"/>
      <c r="E163" s="16">
        <v>3</v>
      </c>
      <c r="F163" s="15"/>
      <c r="G163" s="14"/>
      <c r="H163" s="13">
        <f t="shared" si="8"/>
        <v>3</v>
      </c>
      <c r="I163" s="25">
        <v>45059</v>
      </c>
    </row>
    <row r="164" spans="2:9" x14ac:dyDescent="0.15">
      <c r="B164" s="31" t="s">
        <v>5</v>
      </c>
      <c r="C164" s="14"/>
      <c r="D164" s="14"/>
      <c r="E164" s="16"/>
      <c r="F164" s="15">
        <v>5</v>
      </c>
      <c r="G164" s="14"/>
      <c r="H164" s="13">
        <f t="shared" si="8"/>
        <v>5</v>
      </c>
      <c r="I164" s="25">
        <v>45078</v>
      </c>
    </row>
    <row r="165" spans="2:9" x14ac:dyDescent="0.15">
      <c r="B165" s="31" t="s">
        <v>5</v>
      </c>
      <c r="C165" s="14"/>
      <c r="D165" s="14">
        <v>3</v>
      </c>
      <c r="E165" s="16">
        <v>3</v>
      </c>
      <c r="F165" s="15"/>
      <c r="G165" s="14"/>
      <c r="H165" s="13">
        <f t="shared" si="8"/>
        <v>6</v>
      </c>
      <c r="I165" s="25">
        <v>45079</v>
      </c>
    </row>
    <row r="166" spans="2:9" ht="14.25" thickBot="1" x14ac:dyDescent="0.2">
      <c r="B166" s="31" t="s">
        <v>5</v>
      </c>
      <c r="C166" s="14">
        <v>3</v>
      </c>
      <c r="D166" s="14">
        <v>3</v>
      </c>
      <c r="E166" s="16"/>
      <c r="F166" s="15">
        <v>3</v>
      </c>
      <c r="G166" s="14"/>
      <c r="H166" s="13">
        <f t="shared" si="8"/>
        <v>9</v>
      </c>
      <c r="I166" s="25">
        <v>45118</v>
      </c>
    </row>
    <row r="167" spans="2:9" ht="14.25" thickBot="1" x14ac:dyDescent="0.2">
      <c r="B167" s="29" t="s">
        <v>4</v>
      </c>
      <c r="C167" s="28">
        <f>SUM(C161:C166)</f>
        <v>10</v>
      </c>
      <c r="D167" s="27">
        <f>SUM(D161:D166)</f>
        <v>10</v>
      </c>
      <c r="E167" s="27">
        <f>SUM(E161:E166)</f>
        <v>8</v>
      </c>
      <c r="F167" s="27">
        <f>SUM(F161:F166)</f>
        <v>11</v>
      </c>
      <c r="G167" s="28">
        <f>SUM(G161:G166)</f>
        <v>3</v>
      </c>
      <c r="H167" s="27">
        <f t="shared" si="8"/>
        <v>42</v>
      </c>
    </row>
    <row r="168" spans="2:9" x14ac:dyDescent="0.15">
      <c r="B168" s="12" t="s">
        <v>3</v>
      </c>
      <c r="C168" s="17"/>
      <c r="D168" s="17"/>
      <c r="E168" s="19"/>
      <c r="F168" s="18">
        <v>1</v>
      </c>
      <c r="G168" s="17"/>
      <c r="H168" s="13">
        <f t="shared" si="8"/>
        <v>1</v>
      </c>
      <c r="I168" s="25">
        <v>45054</v>
      </c>
    </row>
    <row r="169" spans="2:9" x14ac:dyDescent="0.15">
      <c r="B169" s="12" t="s">
        <v>3</v>
      </c>
      <c r="C169" s="14">
        <v>2</v>
      </c>
      <c r="D169" s="14"/>
      <c r="E169" s="16">
        <v>2</v>
      </c>
      <c r="F169" s="15"/>
      <c r="G169" s="14"/>
      <c r="H169" s="13">
        <f t="shared" si="8"/>
        <v>4</v>
      </c>
      <c r="I169" s="25">
        <v>45057</v>
      </c>
    </row>
    <row r="170" spans="2:9" x14ac:dyDescent="0.15">
      <c r="B170" s="12" t="s">
        <v>3</v>
      </c>
      <c r="C170" s="14"/>
      <c r="D170" s="14">
        <v>4</v>
      </c>
      <c r="E170" s="16">
        <v>3</v>
      </c>
      <c r="F170" s="15">
        <v>4</v>
      </c>
      <c r="G170" s="14"/>
      <c r="H170" s="13">
        <f t="shared" si="8"/>
        <v>11</v>
      </c>
      <c r="I170" s="25">
        <v>45078</v>
      </c>
    </row>
    <row r="171" spans="2:9" x14ac:dyDescent="0.15">
      <c r="B171" s="12" t="s">
        <v>3</v>
      </c>
      <c r="C171" s="14">
        <v>1</v>
      </c>
      <c r="D171" s="14">
        <v>1</v>
      </c>
      <c r="E171" s="16"/>
      <c r="F171" s="15"/>
      <c r="G171" s="14"/>
      <c r="H171" s="13">
        <f t="shared" si="8"/>
        <v>2</v>
      </c>
      <c r="I171" s="25">
        <v>45082</v>
      </c>
    </row>
    <row r="172" spans="2:9" x14ac:dyDescent="0.15">
      <c r="B172" s="12" t="s">
        <v>3</v>
      </c>
      <c r="C172" s="14">
        <v>3</v>
      </c>
      <c r="D172" s="14"/>
      <c r="E172" s="16"/>
      <c r="F172" s="15"/>
      <c r="G172" s="14"/>
      <c r="H172" s="13">
        <f t="shared" si="8"/>
        <v>3</v>
      </c>
      <c r="I172" s="25">
        <v>45132</v>
      </c>
    </row>
    <row r="173" spans="2:9" x14ac:dyDescent="0.15">
      <c r="B173" s="12" t="s">
        <v>3</v>
      </c>
      <c r="C173" s="14">
        <v>1</v>
      </c>
      <c r="D173" s="14"/>
      <c r="E173" s="16"/>
      <c r="F173" s="15"/>
      <c r="G173" s="14"/>
      <c r="H173" s="13">
        <f t="shared" si="8"/>
        <v>1</v>
      </c>
      <c r="I173" s="25">
        <v>45135</v>
      </c>
    </row>
    <row r="174" spans="2:9" x14ac:dyDescent="0.15">
      <c r="B174" s="12" t="s">
        <v>3</v>
      </c>
      <c r="C174" s="14">
        <v>1</v>
      </c>
      <c r="D174" s="14">
        <v>1</v>
      </c>
      <c r="E174" s="16"/>
      <c r="F174" s="15"/>
      <c r="G174" s="14">
        <v>1</v>
      </c>
      <c r="H174" s="13">
        <f t="shared" si="8"/>
        <v>3</v>
      </c>
      <c r="I174" s="25">
        <v>45138</v>
      </c>
    </row>
    <row r="175" spans="2:9" x14ac:dyDescent="0.15">
      <c r="B175" s="12" t="s">
        <v>3</v>
      </c>
      <c r="C175" s="14">
        <v>2</v>
      </c>
      <c r="D175" s="14"/>
      <c r="E175" s="16"/>
      <c r="F175" s="15"/>
      <c r="G175" s="14"/>
      <c r="H175" s="13">
        <f t="shared" si="8"/>
        <v>2</v>
      </c>
      <c r="I175" s="25">
        <v>45138</v>
      </c>
    </row>
    <row r="176" spans="2:9" x14ac:dyDescent="0.15">
      <c r="B176" s="12"/>
      <c r="C176" s="14"/>
      <c r="D176" s="14"/>
      <c r="E176" s="16"/>
      <c r="F176" s="15"/>
      <c r="G176" s="14"/>
      <c r="H176" s="13">
        <f t="shared" si="8"/>
        <v>0</v>
      </c>
      <c r="I176" s="25"/>
    </row>
    <row r="177" spans="2:9" x14ac:dyDescent="0.15">
      <c r="B177" s="12"/>
      <c r="C177" s="14"/>
      <c r="D177" s="14"/>
      <c r="E177" s="16"/>
      <c r="F177" s="15"/>
      <c r="G177" s="14"/>
      <c r="H177" s="13">
        <f t="shared" si="8"/>
        <v>0</v>
      </c>
      <c r="I177" s="25"/>
    </row>
    <row r="178" spans="2:9" x14ac:dyDescent="0.15">
      <c r="B178" s="12"/>
      <c r="C178" s="14"/>
      <c r="D178" s="14"/>
      <c r="E178" s="16"/>
      <c r="F178" s="15"/>
      <c r="G178" s="14"/>
      <c r="H178" s="13">
        <f t="shared" si="8"/>
        <v>0</v>
      </c>
      <c r="I178" s="25"/>
    </row>
    <row r="179" spans="2:9" x14ac:dyDescent="0.15">
      <c r="B179" s="12"/>
      <c r="C179" s="14"/>
      <c r="D179" s="14"/>
      <c r="E179" s="16"/>
      <c r="F179" s="15"/>
      <c r="G179" s="14"/>
      <c r="H179" s="13">
        <f t="shared" si="8"/>
        <v>0</v>
      </c>
      <c r="I179" s="25"/>
    </row>
    <row r="180" spans="2:9" x14ac:dyDescent="0.15">
      <c r="B180" s="12"/>
      <c r="C180" s="14"/>
      <c r="D180" s="14"/>
      <c r="E180" s="16"/>
      <c r="F180" s="15"/>
      <c r="G180" s="14"/>
      <c r="H180" s="13">
        <f t="shared" si="8"/>
        <v>0</v>
      </c>
      <c r="I180" s="25"/>
    </row>
    <row r="181" spans="2:9" x14ac:dyDescent="0.15">
      <c r="B181" s="12"/>
      <c r="C181" s="14"/>
      <c r="D181" s="14"/>
      <c r="E181" s="16"/>
      <c r="F181" s="15"/>
      <c r="G181" s="14"/>
      <c r="H181" s="13">
        <f t="shared" si="8"/>
        <v>0</v>
      </c>
      <c r="I181" s="25"/>
    </row>
    <row r="182" spans="2:9" x14ac:dyDescent="0.15">
      <c r="B182" s="12"/>
      <c r="C182" s="14"/>
      <c r="D182" s="14"/>
      <c r="E182" s="16"/>
      <c r="F182" s="15"/>
      <c r="G182" s="14"/>
      <c r="H182" s="13">
        <f t="shared" si="8"/>
        <v>0</v>
      </c>
      <c r="I182" s="25"/>
    </row>
    <row r="183" spans="2:9" x14ac:dyDescent="0.15">
      <c r="B183" s="12"/>
      <c r="C183" s="14"/>
      <c r="D183" s="14"/>
      <c r="E183" s="16"/>
      <c r="F183" s="15"/>
      <c r="G183" s="14"/>
      <c r="H183" s="13">
        <f t="shared" si="8"/>
        <v>0</v>
      </c>
      <c r="I183" s="25"/>
    </row>
    <row r="184" spans="2:9" x14ac:dyDescent="0.15">
      <c r="B184" s="12"/>
      <c r="C184" s="14"/>
      <c r="D184" s="14"/>
      <c r="E184" s="16"/>
      <c r="F184" s="15"/>
      <c r="G184" s="14"/>
      <c r="H184" s="13">
        <f t="shared" si="8"/>
        <v>0</v>
      </c>
      <c r="I184" s="25"/>
    </row>
    <row r="185" spans="2:9" x14ac:dyDescent="0.15">
      <c r="B185" s="12"/>
      <c r="C185" s="14"/>
      <c r="D185" s="14"/>
      <c r="E185" s="16"/>
      <c r="F185" s="15"/>
      <c r="G185" s="14"/>
      <c r="H185" s="13">
        <f>SUM(C185:G185)</f>
        <v>0</v>
      </c>
    </row>
    <row r="186" spans="2:9" x14ac:dyDescent="0.15">
      <c r="B186" s="12"/>
      <c r="C186" s="14"/>
      <c r="D186" s="14"/>
      <c r="E186" s="16"/>
      <c r="F186" s="15"/>
      <c r="G186" s="14"/>
      <c r="H186" s="13">
        <f t="shared" ref="H186:H194" si="9">SUM(C186:G186)</f>
        <v>0</v>
      </c>
    </row>
    <row r="187" spans="2:9" x14ac:dyDescent="0.15">
      <c r="B187" s="12"/>
      <c r="C187" s="14"/>
      <c r="D187" s="14"/>
      <c r="E187" s="16"/>
      <c r="F187" s="15"/>
      <c r="G187" s="14"/>
      <c r="H187" s="13">
        <f t="shared" si="9"/>
        <v>0</v>
      </c>
    </row>
    <row r="188" spans="2:9" x14ac:dyDescent="0.15">
      <c r="B188" s="12"/>
      <c r="C188" s="14"/>
      <c r="D188" s="14"/>
      <c r="E188" s="16"/>
      <c r="F188" s="15"/>
      <c r="G188" s="14"/>
      <c r="H188" s="13">
        <f t="shared" si="9"/>
        <v>0</v>
      </c>
    </row>
    <row r="189" spans="2:9" x14ac:dyDescent="0.15">
      <c r="B189" s="12"/>
      <c r="C189" s="14"/>
      <c r="D189" s="14"/>
      <c r="E189" s="16"/>
      <c r="F189" s="15"/>
      <c r="G189" s="14"/>
      <c r="H189" s="13">
        <f t="shared" si="9"/>
        <v>0</v>
      </c>
    </row>
    <row r="190" spans="2:9" x14ac:dyDescent="0.15">
      <c r="B190" s="12"/>
      <c r="C190" s="14"/>
      <c r="D190" s="14"/>
      <c r="E190" s="16"/>
      <c r="F190" s="15"/>
      <c r="G190" s="14"/>
      <c r="H190" s="13">
        <f t="shared" si="9"/>
        <v>0</v>
      </c>
    </row>
    <row r="191" spans="2:9" x14ac:dyDescent="0.15">
      <c r="B191" s="12"/>
      <c r="C191" s="14"/>
      <c r="D191" s="14"/>
      <c r="E191" s="16"/>
      <c r="F191" s="15"/>
      <c r="G191" s="14"/>
      <c r="H191" s="13">
        <f t="shared" si="9"/>
        <v>0</v>
      </c>
    </row>
    <row r="192" spans="2:9" ht="14.25" thickBot="1" x14ac:dyDescent="0.2">
      <c r="B192" s="12"/>
      <c r="C192" s="9"/>
      <c r="D192" s="9"/>
      <c r="E192" s="11"/>
      <c r="F192" s="10"/>
      <c r="G192" s="9"/>
      <c r="H192" s="8">
        <f t="shared" si="9"/>
        <v>0</v>
      </c>
    </row>
    <row r="193" spans="1:9" ht="14.25" thickBot="1" x14ac:dyDescent="0.2">
      <c r="B193" s="7" t="s">
        <v>1</v>
      </c>
      <c r="C193" s="5">
        <f>SUM(C168:C192)</f>
        <v>10</v>
      </c>
      <c r="D193" s="5">
        <f>SUM(D168:D192)</f>
        <v>6</v>
      </c>
      <c r="E193" s="6">
        <f>SUM(E168:E192)</f>
        <v>5</v>
      </c>
      <c r="F193" s="5">
        <f>SUM(F168:F192)</f>
        <v>5</v>
      </c>
      <c r="G193" s="5">
        <f>SUM(G168:G192)</f>
        <v>1</v>
      </c>
      <c r="H193" s="5">
        <f t="shared" si="9"/>
        <v>27</v>
      </c>
    </row>
    <row r="194" spans="1:9" ht="14.25" thickBot="1" x14ac:dyDescent="0.2">
      <c r="B194" s="4" t="s">
        <v>0</v>
      </c>
      <c r="C194" s="2">
        <f>+C167-C193</f>
        <v>0</v>
      </c>
      <c r="D194" s="2">
        <f>+D167-D193</f>
        <v>4</v>
      </c>
      <c r="E194" s="3">
        <f>+E167-E193</f>
        <v>3</v>
      </c>
      <c r="F194" s="2">
        <f>+F167-F193</f>
        <v>6</v>
      </c>
      <c r="G194" s="2">
        <f>+G167-G193</f>
        <v>2</v>
      </c>
      <c r="H194" s="2">
        <f t="shared" si="9"/>
        <v>15</v>
      </c>
    </row>
    <row r="196" spans="1:9" ht="18.75" x14ac:dyDescent="0.2">
      <c r="B196" s="39" t="s">
        <v>13</v>
      </c>
      <c r="C196" s="38"/>
      <c r="D196" s="38"/>
      <c r="E196" s="38"/>
      <c r="F196" s="38"/>
      <c r="G196" s="38"/>
    </row>
    <row r="197" spans="1:9" ht="14.25" thickBot="1" x14ac:dyDescent="0.2">
      <c r="H197">
        <v>460</v>
      </c>
    </row>
    <row r="198" spans="1:9" ht="14.25" thickBot="1" x14ac:dyDescent="0.2">
      <c r="B198" s="37"/>
      <c r="C198" s="55"/>
      <c r="D198" s="55"/>
      <c r="E198" s="55"/>
      <c r="F198" s="55"/>
      <c r="G198" s="55"/>
      <c r="H198" s="56"/>
    </row>
    <row r="199" spans="1:9" ht="14.25" thickBot="1" x14ac:dyDescent="0.2">
      <c r="A199" s="1"/>
      <c r="B199" s="36"/>
      <c r="C199" s="58" t="s">
        <v>8</v>
      </c>
      <c r="D199" s="53" t="s">
        <v>9</v>
      </c>
      <c r="E199" s="51" t="s">
        <v>12</v>
      </c>
      <c r="F199" s="52" t="s">
        <v>11</v>
      </c>
      <c r="G199" s="57" t="s">
        <v>10</v>
      </c>
      <c r="H199" s="35" t="s">
        <v>7</v>
      </c>
    </row>
    <row r="200" spans="1:9" x14ac:dyDescent="0.15">
      <c r="B200" s="34" t="s">
        <v>6</v>
      </c>
      <c r="C200" s="32">
        <f>C194</f>
        <v>0</v>
      </c>
      <c r="D200" s="32">
        <f>D194</f>
        <v>4</v>
      </c>
      <c r="E200" s="33">
        <f>E194</f>
        <v>3</v>
      </c>
      <c r="F200" s="32">
        <f>F194</f>
        <v>6</v>
      </c>
      <c r="G200" s="32">
        <f>G194</f>
        <v>2</v>
      </c>
      <c r="H200" s="32">
        <f>SUM(C200:G200)</f>
        <v>15</v>
      </c>
    </row>
    <row r="201" spans="1:9" x14ac:dyDescent="0.15">
      <c r="B201" s="31" t="s">
        <v>5</v>
      </c>
      <c r="C201" s="14">
        <v>3</v>
      </c>
      <c r="D201" s="14">
        <v>3</v>
      </c>
      <c r="E201" s="16"/>
      <c r="F201" s="15"/>
      <c r="G201" s="14"/>
      <c r="H201" s="13">
        <f t="shared" ref="H201:H230" si="10">SUM(C201:G201)</f>
        <v>6</v>
      </c>
      <c r="I201" s="25">
        <v>45127</v>
      </c>
    </row>
    <row r="202" spans="1:9" x14ac:dyDescent="0.15">
      <c r="B202" s="31" t="s">
        <v>14</v>
      </c>
      <c r="C202" s="14">
        <v>-2</v>
      </c>
      <c r="D202" s="14">
        <v>-3</v>
      </c>
      <c r="E202" s="16">
        <v>-1</v>
      </c>
      <c r="F202" s="15">
        <v>-2</v>
      </c>
      <c r="G202" s="14"/>
      <c r="H202" s="13">
        <f t="shared" si="10"/>
        <v>-8</v>
      </c>
      <c r="I202" s="25">
        <v>45146</v>
      </c>
    </row>
    <row r="203" spans="1:9" x14ac:dyDescent="0.15">
      <c r="B203" s="31" t="s">
        <v>5</v>
      </c>
      <c r="C203" s="14">
        <v>6</v>
      </c>
      <c r="D203" s="14"/>
      <c r="E203" s="16">
        <v>1</v>
      </c>
      <c r="F203" s="15"/>
      <c r="G203" s="14">
        <v>1</v>
      </c>
      <c r="H203" s="13">
        <f t="shared" si="10"/>
        <v>8</v>
      </c>
      <c r="I203" s="25">
        <v>45155</v>
      </c>
    </row>
    <row r="204" spans="1:9" x14ac:dyDescent="0.15">
      <c r="B204" s="31" t="s">
        <v>5</v>
      </c>
      <c r="C204" s="14">
        <v>5</v>
      </c>
      <c r="D204" s="14"/>
      <c r="E204" s="16">
        <v>3</v>
      </c>
      <c r="F204" s="15"/>
      <c r="G204" s="14"/>
      <c r="H204" s="13">
        <f t="shared" si="10"/>
        <v>8</v>
      </c>
      <c r="I204" s="25">
        <v>45171</v>
      </c>
    </row>
    <row r="205" spans="1:9" x14ac:dyDescent="0.15">
      <c r="B205" s="31" t="s">
        <v>5</v>
      </c>
      <c r="C205" s="14">
        <v>10</v>
      </c>
      <c r="D205" s="14"/>
      <c r="E205" s="16"/>
      <c r="F205" s="15"/>
      <c r="G205" s="14"/>
      <c r="H205" s="13">
        <f t="shared" si="10"/>
        <v>10</v>
      </c>
      <c r="I205" s="25">
        <v>45191</v>
      </c>
    </row>
    <row r="206" spans="1:9" x14ac:dyDescent="0.15">
      <c r="B206" s="31" t="s">
        <v>5</v>
      </c>
      <c r="C206" s="14"/>
      <c r="D206" s="14"/>
      <c r="E206" s="16"/>
      <c r="F206" s="15">
        <v>2</v>
      </c>
      <c r="G206" s="14"/>
      <c r="H206" s="13">
        <f t="shared" si="10"/>
        <v>2</v>
      </c>
      <c r="I206" s="25">
        <v>45206</v>
      </c>
    </row>
    <row r="207" spans="1:9" x14ac:dyDescent="0.15">
      <c r="B207" s="31" t="s">
        <v>5</v>
      </c>
      <c r="C207" s="14">
        <v>3</v>
      </c>
      <c r="D207" s="14">
        <v>3</v>
      </c>
      <c r="E207" s="16"/>
      <c r="F207" s="15"/>
      <c r="G207" s="14">
        <v>1</v>
      </c>
      <c r="H207" s="13">
        <f t="shared" si="10"/>
        <v>7</v>
      </c>
      <c r="I207" s="25">
        <v>45220</v>
      </c>
    </row>
    <row r="208" spans="1:9" ht="14.25" thickBot="1" x14ac:dyDescent="0.2">
      <c r="B208" s="31" t="s">
        <v>5</v>
      </c>
      <c r="C208" s="14">
        <v>5</v>
      </c>
      <c r="D208" s="14"/>
      <c r="E208" s="16">
        <v>5</v>
      </c>
      <c r="F208" s="15">
        <v>3</v>
      </c>
      <c r="G208" s="14"/>
      <c r="H208" s="13">
        <f t="shared" si="10"/>
        <v>13</v>
      </c>
      <c r="I208" s="25">
        <v>45238</v>
      </c>
    </row>
    <row r="209" spans="2:9" ht="14.25" thickBot="1" x14ac:dyDescent="0.2">
      <c r="B209" s="29" t="s">
        <v>4</v>
      </c>
      <c r="C209" s="27">
        <f>SUM(C200:C208)</f>
        <v>30</v>
      </c>
      <c r="D209" s="27">
        <f>SUM(D200:D208)</f>
        <v>7</v>
      </c>
      <c r="E209" s="27">
        <f>SUM(E200:E208)</f>
        <v>11</v>
      </c>
      <c r="F209" s="27">
        <f t="shared" ref="F209:G209" si="11">SUM(F200:F208)</f>
        <v>9</v>
      </c>
      <c r="G209" s="27">
        <f t="shared" si="11"/>
        <v>4</v>
      </c>
      <c r="H209" s="27">
        <f t="shared" si="10"/>
        <v>61</v>
      </c>
    </row>
    <row r="210" spans="2:9" x14ac:dyDescent="0.15">
      <c r="B210" s="12" t="s">
        <v>3</v>
      </c>
      <c r="C210" s="14">
        <v>1</v>
      </c>
      <c r="D210" s="14">
        <v>1</v>
      </c>
      <c r="E210" s="16"/>
      <c r="F210" s="15"/>
      <c r="G210" s="14"/>
      <c r="H210" s="13">
        <f t="shared" si="10"/>
        <v>2</v>
      </c>
      <c r="I210" s="25">
        <v>45147</v>
      </c>
    </row>
    <row r="211" spans="2:9" x14ac:dyDescent="0.15">
      <c r="B211" s="12" t="s">
        <v>3</v>
      </c>
      <c r="C211" s="14"/>
      <c r="D211" s="14"/>
      <c r="E211" s="16">
        <v>1</v>
      </c>
      <c r="F211" s="15"/>
      <c r="G211" s="14"/>
      <c r="H211" s="13">
        <f t="shared" si="10"/>
        <v>1</v>
      </c>
      <c r="I211" s="25">
        <v>45154</v>
      </c>
    </row>
    <row r="212" spans="2:9" x14ac:dyDescent="0.15">
      <c r="B212" s="12" t="s">
        <v>3</v>
      </c>
      <c r="C212" s="14">
        <v>1</v>
      </c>
      <c r="D212" s="14"/>
      <c r="E212" s="16">
        <v>1</v>
      </c>
      <c r="F212" s="15"/>
      <c r="G212" s="14"/>
      <c r="H212" s="13">
        <f t="shared" si="10"/>
        <v>2</v>
      </c>
      <c r="I212" s="25">
        <v>45155</v>
      </c>
    </row>
    <row r="213" spans="2:9" x14ac:dyDescent="0.15">
      <c r="B213" s="12" t="s">
        <v>3</v>
      </c>
      <c r="C213" s="14">
        <v>2</v>
      </c>
      <c r="D213" s="14"/>
      <c r="E213" s="16"/>
      <c r="F213" s="15"/>
      <c r="G213" s="14"/>
      <c r="H213" s="13">
        <f t="shared" si="10"/>
        <v>2</v>
      </c>
      <c r="I213" s="25">
        <v>45161</v>
      </c>
    </row>
    <row r="214" spans="2:9" x14ac:dyDescent="0.15">
      <c r="B214" s="12" t="s">
        <v>3</v>
      </c>
      <c r="C214" s="14">
        <v>4</v>
      </c>
      <c r="D214" s="14"/>
      <c r="E214" s="16"/>
      <c r="F214" s="15"/>
      <c r="G214" s="14"/>
      <c r="H214" s="13">
        <f t="shared" si="10"/>
        <v>4</v>
      </c>
      <c r="I214" s="25">
        <v>45170</v>
      </c>
    </row>
    <row r="215" spans="2:9" x14ac:dyDescent="0.15">
      <c r="B215" s="12" t="s">
        <v>3</v>
      </c>
      <c r="C215" s="14">
        <v>2</v>
      </c>
      <c r="D215" s="14"/>
      <c r="E215" s="16"/>
      <c r="F215" s="15"/>
      <c r="G215" s="14"/>
      <c r="H215" s="13">
        <f t="shared" si="10"/>
        <v>2</v>
      </c>
      <c r="I215" s="25">
        <v>45173</v>
      </c>
    </row>
    <row r="216" spans="2:9" x14ac:dyDescent="0.15">
      <c r="B216" s="12" t="s">
        <v>3</v>
      </c>
      <c r="C216" s="14">
        <v>1</v>
      </c>
      <c r="D216" s="14"/>
      <c r="E216" s="16"/>
      <c r="F216" s="15"/>
      <c r="G216" s="14"/>
      <c r="H216" s="13">
        <f t="shared" si="10"/>
        <v>1</v>
      </c>
      <c r="I216" s="25">
        <v>45180</v>
      </c>
    </row>
    <row r="217" spans="2:9" x14ac:dyDescent="0.15">
      <c r="B217" s="12" t="s">
        <v>3</v>
      </c>
      <c r="C217" s="14">
        <v>1</v>
      </c>
      <c r="D217" s="14"/>
      <c r="E217" s="16"/>
      <c r="F217" s="15">
        <v>1</v>
      </c>
      <c r="G217" s="14">
        <v>1</v>
      </c>
      <c r="H217" s="13">
        <f t="shared" si="10"/>
        <v>3</v>
      </c>
      <c r="I217" s="25">
        <v>45188</v>
      </c>
    </row>
    <row r="218" spans="2:9" x14ac:dyDescent="0.15">
      <c r="B218" s="12" t="s">
        <v>3</v>
      </c>
      <c r="C218" s="14"/>
      <c r="D218" s="14"/>
      <c r="E218" s="16"/>
      <c r="F218" s="15">
        <v>1</v>
      </c>
      <c r="G218" s="14"/>
      <c r="H218" s="13">
        <f t="shared" si="10"/>
        <v>1</v>
      </c>
      <c r="I218" s="25">
        <v>45189</v>
      </c>
    </row>
    <row r="219" spans="2:9" x14ac:dyDescent="0.15">
      <c r="B219" s="12" t="s">
        <v>3</v>
      </c>
      <c r="C219" s="14">
        <v>2</v>
      </c>
      <c r="D219" s="14">
        <v>1</v>
      </c>
      <c r="E219" s="16">
        <v>1</v>
      </c>
      <c r="F219" s="15"/>
      <c r="G219" s="14">
        <v>1</v>
      </c>
      <c r="H219" s="13">
        <f t="shared" si="10"/>
        <v>5</v>
      </c>
      <c r="I219" s="25">
        <v>45194</v>
      </c>
    </row>
    <row r="220" spans="2:9" x14ac:dyDescent="0.15">
      <c r="B220" s="12" t="s">
        <v>3</v>
      </c>
      <c r="C220" s="14">
        <v>2</v>
      </c>
      <c r="D220" s="14"/>
      <c r="E220" s="16"/>
      <c r="F220" s="15"/>
      <c r="G220" s="14"/>
      <c r="H220" s="13">
        <f t="shared" si="10"/>
        <v>2</v>
      </c>
      <c r="I220" s="25">
        <v>45203</v>
      </c>
    </row>
    <row r="221" spans="2:9" x14ac:dyDescent="0.15">
      <c r="B221" s="12" t="s">
        <v>3</v>
      </c>
      <c r="C221" s="14"/>
      <c r="D221" s="14"/>
      <c r="E221" s="16">
        <v>1</v>
      </c>
      <c r="F221" s="15">
        <v>1</v>
      </c>
      <c r="G221" s="14"/>
      <c r="H221" s="13">
        <f t="shared" si="10"/>
        <v>2</v>
      </c>
      <c r="I221" s="25">
        <v>45204</v>
      </c>
    </row>
    <row r="222" spans="2:9" x14ac:dyDescent="0.15">
      <c r="B222" s="12" t="s">
        <v>3</v>
      </c>
      <c r="C222" s="14">
        <f>1+1</f>
        <v>2</v>
      </c>
      <c r="D222" s="14"/>
      <c r="E222" s="16"/>
      <c r="F222" s="15"/>
      <c r="G222" s="14"/>
      <c r="H222" s="13">
        <f t="shared" si="10"/>
        <v>2</v>
      </c>
      <c r="I222" s="25">
        <v>45215</v>
      </c>
    </row>
    <row r="223" spans="2:9" x14ac:dyDescent="0.15">
      <c r="B223" s="12" t="s">
        <v>3</v>
      </c>
      <c r="C223" s="14"/>
      <c r="D223" s="14"/>
      <c r="E223" s="16"/>
      <c r="F223" s="15">
        <v>1</v>
      </c>
      <c r="G223" s="14"/>
      <c r="H223" s="13">
        <f t="shared" si="10"/>
        <v>1</v>
      </c>
      <c r="I223" s="25">
        <v>45216</v>
      </c>
    </row>
    <row r="224" spans="2:9" x14ac:dyDescent="0.15">
      <c r="B224" s="12" t="s">
        <v>3</v>
      </c>
      <c r="C224" s="14"/>
      <c r="D224" s="14"/>
      <c r="E224" s="16">
        <v>1</v>
      </c>
      <c r="F224" s="15"/>
      <c r="G224" s="14"/>
      <c r="H224" s="13">
        <f t="shared" si="10"/>
        <v>1</v>
      </c>
      <c r="I224" s="25">
        <v>45229</v>
      </c>
    </row>
    <row r="225" spans="2:9" x14ac:dyDescent="0.15">
      <c r="B225" s="12" t="s">
        <v>3</v>
      </c>
      <c r="C225" s="14">
        <v>1</v>
      </c>
      <c r="D225" s="14">
        <v>1</v>
      </c>
      <c r="E225" s="16">
        <v>1</v>
      </c>
      <c r="F225" s="15"/>
      <c r="G225" s="14"/>
      <c r="H225" s="13">
        <f t="shared" si="10"/>
        <v>3</v>
      </c>
      <c r="I225" s="25">
        <v>45234</v>
      </c>
    </row>
    <row r="226" spans="2:9" x14ac:dyDescent="0.15">
      <c r="B226" s="12" t="s">
        <v>3</v>
      </c>
      <c r="C226" s="14"/>
      <c r="D226" s="14">
        <v>1</v>
      </c>
      <c r="E226" s="16">
        <v>2</v>
      </c>
      <c r="F226" s="15">
        <v>1</v>
      </c>
      <c r="G226" s="14"/>
      <c r="H226" s="13">
        <f t="shared" si="10"/>
        <v>4</v>
      </c>
      <c r="I226" s="25">
        <v>45238</v>
      </c>
    </row>
    <row r="227" spans="2:9" x14ac:dyDescent="0.15">
      <c r="B227" s="12" t="s">
        <v>3</v>
      </c>
      <c r="C227" s="14"/>
      <c r="D227" s="14"/>
      <c r="E227" s="16"/>
      <c r="F227" s="15"/>
      <c r="G227" s="14">
        <v>1</v>
      </c>
      <c r="H227" s="13">
        <f t="shared" si="10"/>
        <v>1</v>
      </c>
      <c r="I227" s="25">
        <v>45247</v>
      </c>
    </row>
    <row r="228" spans="2:9" x14ac:dyDescent="0.15">
      <c r="B228" s="12" t="s">
        <v>3</v>
      </c>
      <c r="C228" s="14"/>
      <c r="D228" s="14"/>
      <c r="E228" s="16">
        <v>1</v>
      </c>
      <c r="F228" s="15"/>
      <c r="G228" s="14"/>
      <c r="H228" s="13">
        <f t="shared" si="10"/>
        <v>1</v>
      </c>
      <c r="I228" s="25">
        <v>45250</v>
      </c>
    </row>
    <row r="229" spans="2:9" x14ac:dyDescent="0.15">
      <c r="B229" s="12" t="s">
        <v>3</v>
      </c>
      <c r="C229" s="14"/>
      <c r="D229" s="14"/>
      <c r="E229" s="16"/>
      <c r="F229" s="15"/>
      <c r="G229" s="14">
        <v>1</v>
      </c>
      <c r="H229" s="13">
        <f t="shared" si="10"/>
        <v>1</v>
      </c>
      <c r="I229" s="25">
        <v>45254</v>
      </c>
    </row>
    <row r="230" spans="2:9" x14ac:dyDescent="0.15">
      <c r="B230" s="12" t="s">
        <v>3</v>
      </c>
      <c r="C230" s="14">
        <v>1</v>
      </c>
      <c r="D230" s="14"/>
      <c r="E230" s="16"/>
      <c r="F230" s="15"/>
      <c r="G230" s="14"/>
      <c r="H230" s="13">
        <f t="shared" si="10"/>
        <v>1</v>
      </c>
      <c r="I230" s="25">
        <v>45257</v>
      </c>
    </row>
    <row r="231" spans="2:9" x14ac:dyDescent="0.15">
      <c r="B231" s="12"/>
      <c r="C231" s="14"/>
      <c r="D231" s="14"/>
      <c r="E231" s="16"/>
      <c r="F231" s="15"/>
      <c r="G231" s="14"/>
      <c r="H231" s="13">
        <f>SUM(C231:G231)</f>
        <v>0</v>
      </c>
    </row>
    <row r="232" spans="2:9" x14ac:dyDescent="0.15">
      <c r="B232" s="12"/>
      <c r="C232" s="14"/>
      <c r="D232" s="14"/>
      <c r="E232" s="16"/>
      <c r="F232" s="15"/>
      <c r="G232" s="14"/>
      <c r="H232" s="13">
        <f t="shared" ref="H232:H236" si="12">SUM(C232:G232)</f>
        <v>0</v>
      </c>
    </row>
    <row r="233" spans="2:9" x14ac:dyDescent="0.15">
      <c r="B233" s="12"/>
      <c r="C233" s="14"/>
      <c r="D233" s="14"/>
      <c r="E233" s="16"/>
      <c r="F233" s="15"/>
      <c r="G233" s="14"/>
      <c r="H233" s="13">
        <f t="shared" si="12"/>
        <v>0</v>
      </c>
    </row>
    <row r="234" spans="2:9" ht="14.25" thickBot="1" x14ac:dyDescent="0.2">
      <c r="B234" s="12"/>
      <c r="C234" s="9"/>
      <c r="D234" s="9"/>
      <c r="E234" s="11"/>
      <c r="F234" s="10"/>
      <c r="G234" s="9"/>
      <c r="H234" s="8">
        <f t="shared" si="12"/>
        <v>0</v>
      </c>
    </row>
    <row r="235" spans="2:9" ht="14.25" thickBot="1" x14ac:dyDescent="0.2">
      <c r="B235" s="7" t="s">
        <v>1</v>
      </c>
      <c r="C235" s="5">
        <f>SUM(C210:C234)</f>
        <v>20</v>
      </c>
      <c r="D235" s="5">
        <f>SUM(D210:D234)</f>
        <v>4</v>
      </c>
      <c r="E235" s="6">
        <f>SUM(E210:E234)</f>
        <v>9</v>
      </c>
      <c r="F235" s="5">
        <f>SUM(F210:F234)</f>
        <v>5</v>
      </c>
      <c r="G235" s="5">
        <f>SUM(G210:G234)</f>
        <v>4</v>
      </c>
      <c r="H235" s="5">
        <f t="shared" si="12"/>
        <v>42</v>
      </c>
    </row>
    <row r="236" spans="2:9" ht="14.25" thickBot="1" x14ac:dyDescent="0.2">
      <c r="B236" s="4" t="s">
        <v>0</v>
      </c>
      <c r="C236" s="2">
        <f>+C209-C235</f>
        <v>10</v>
      </c>
      <c r="D236" s="2">
        <f>+D209-D235</f>
        <v>3</v>
      </c>
      <c r="E236" s="3">
        <f>+E209-E235</f>
        <v>2</v>
      </c>
      <c r="F236" s="2">
        <f>+F209-F235</f>
        <v>4</v>
      </c>
      <c r="G236" s="2">
        <f>+G209-G235</f>
        <v>0</v>
      </c>
      <c r="H236" s="2">
        <f t="shared" si="12"/>
        <v>19</v>
      </c>
    </row>
    <row r="238" spans="2:9" ht="18.75" x14ac:dyDescent="0.2">
      <c r="B238" s="39" t="s">
        <v>13</v>
      </c>
      <c r="C238" s="38"/>
      <c r="D238" s="38"/>
      <c r="E238" s="38"/>
      <c r="F238" s="38"/>
      <c r="G238" s="38"/>
    </row>
    <row r="239" spans="2:9" ht="14.25" thickBot="1" x14ac:dyDescent="0.2">
      <c r="H239">
        <v>460</v>
      </c>
    </row>
    <row r="240" spans="2:9" ht="14.25" thickBot="1" x14ac:dyDescent="0.2">
      <c r="B240" s="37"/>
      <c r="C240" s="55"/>
      <c r="D240" s="55"/>
      <c r="E240" s="55"/>
      <c r="F240" s="55"/>
      <c r="G240" s="55"/>
      <c r="H240" s="56"/>
    </row>
    <row r="241" spans="1:9" ht="14.25" thickBot="1" x14ac:dyDescent="0.2">
      <c r="A241" s="1"/>
      <c r="B241" s="36"/>
      <c r="C241" s="58" t="s">
        <v>8</v>
      </c>
      <c r="D241" s="53" t="s">
        <v>9</v>
      </c>
      <c r="E241" s="51" t="s">
        <v>12</v>
      </c>
      <c r="F241" s="52" t="s">
        <v>11</v>
      </c>
      <c r="G241" s="57" t="s">
        <v>10</v>
      </c>
      <c r="H241" s="35" t="s">
        <v>7</v>
      </c>
    </row>
    <row r="242" spans="1:9" x14ac:dyDescent="0.15">
      <c r="B242" s="34" t="s">
        <v>6</v>
      </c>
      <c r="C242" s="32">
        <f>C236</f>
        <v>10</v>
      </c>
      <c r="D242" s="32">
        <f>D236</f>
        <v>3</v>
      </c>
      <c r="E242" s="33">
        <f>E236</f>
        <v>2</v>
      </c>
      <c r="F242" s="32">
        <f>F236</f>
        <v>4</v>
      </c>
      <c r="G242" s="32">
        <f>G236</f>
        <v>0</v>
      </c>
      <c r="H242" s="32">
        <f>SUM(C242:G242)</f>
        <v>19</v>
      </c>
    </row>
    <row r="243" spans="1:9" x14ac:dyDescent="0.15">
      <c r="B243" s="31" t="s">
        <v>5</v>
      </c>
      <c r="C243" s="14"/>
      <c r="D243" s="14"/>
      <c r="E243" s="16">
        <v>3</v>
      </c>
      <c r="F243" s="15"/>
      <c r="G243" s="14">
        <v>3</v>
      </c>
      <c r="H243" s="13">
        <f t="shared" ref="H243:H272" si="13">SUM(C243:G243)</f>
        <v>6</v>
      </c>
      <c r="I243" s="25">
        <v>45261</v>
      </c>
    </row>
    <row r="244" spans="1:9" x14ac:dyDescent="0.15">
      <c r="B244" s="31" t="s">
        <v>5</v>
      </c>
      <c r="C244" s="14"/>
      <c r="D244" s="14">
        <v>3</v>
      </c>
      <c r="E244" s="16"/>
      <c r="F244" s="15"/>
      <c r="G244" s="14"/>
      <c r="H244" s="13">
        <f t="shared" si="13"/>
        <v>3</v>
      </c>
      <c r="I244" s="25">
        <v>45274</v>
      </c>
    </row>
    <row r="245" spans="1:9" x14ac:dyDescent="0.15">
      <c r="B245" s="31" t="s">
        <v>5</v>
      </c>
      <c r="C245" s="14"/>
      <c r="D245" s="14"/>
      <c r="E245" s="16"/>
      <c r="F245" s="15"/>
      <c r="G245" s="14">
        <v>2</v>
      </c>
      <c r="H245" s="13">
        <f t="shared" si="13"/>
        <v>2</v>
      </c>
      <c r="I245" s="25">
        <v>45302</v>
      </c>
    </row>
    <row r="246" spans="1:9" x14ac:dyDescent="0.15">
      <c r="B246" s="31" t="s">
        <v>5</v>
      </c>
      <c r="C246" s="14">
        <v>3</v>
      </c>
      <c r="D246" s="14">
        <v>3</v>
      </c>
      <c r="E246" s="16">
        <v>3</v>
      </c>
      <c r="F246" s="15">
        <v>3</v>
      </c>
      <c r="G246" s="14">
        <v>3</v>
      </c>
      <c r="H246" s="13">
        <f t="shared" si="13"/>
        <v>15</v>
      </c>
      <c r="I246" s="25">
        <v>45320</v>
      </c>
    </row>
    <row r="247" spans="1:9" x14ac:dyDescent="0.15">
      <c r="B247" s="31" t="s">
        <v>5</v>
      </c>
      <c r="C247" s="14">
        <v>10</v>
      </c>
      <c r="D247" s="14"/>
      <c r="E247" s="16"/>
      <c r="F247" s="15"/>
      <c r="G247" s="14"/>
      <c r="H247" s="13">
        <f t="shared" si="13"/>
        <v>10</v>
      </c>
      <c r="I247" s="25">
        <v>45350</v>
      </c>
    </row>
    <row r="248" spans="1:9" x14ac:dyDescent="0.15">
      <c r="B248" s="31" t="s">
        <v>5</v>
      </c>
      <c r="C248" s="14">
        <v>3</v>
      </c>
      <c r="D248" s="14"/>
      <c r="E248" s="16">
        <v>8</v>
      </c>
      <c r="F248" s="15">
        <v>8</v>
      </c>
      <c r="G248" s="14"/>
      <c r="H248" s="13">
        <f t="shared" si="13"/>
        <v>19</v>
      </c>
      <c r="I248" s="25">
        <v>45364</v>
      </c>
    </row>
    <row r="249" spans="1:9" x14ac:dyDescent="0.15">
      <c r="B249" s="31" t="s">
        <v>5</v>
      </c>
      <c r="C249" s="14"/>
      <c r="D249" s="14">
        <v>5</v>
      </c>
      <c r="E249" s="16"/>
      <c r="F249" s="15"/>
      <c r="G249" s="14"/>
      <c r="H249" s="13">
        <f t="shared" si="13"/>
        <v>5</v>
      </c>
      <c r="I249" s="25">
        <v>45390</v>
      </c>
    </row>
    <row r="250" spans="1:9" ht="14.25" thickBot="1" x14ac:dyDescent="0.2">
      <c r="B250" s="31" t="s">
        <v>5</v>
      </c>
      <c r="C250" s="14"/>
      <c r="D250" s="14"/>
      <c r="E250" s="16"/>
      <c r="F250" s="15"/>
      <c r="G250" s="14"/>
      <c r="H250" s="13">
        <f t="shared" si="13"/>
        <v>0</v>
      </c>
      <c r="I250" s="25"/>
    </row>
    <row r="251" spans="1:9" ht="14.25" thickBot="1" x14ac:dyDescent="0.2">
      <c r="B251" s="29" t="s">
        <v>4</v>
      </c>
      <c r="C251" s="27">
        <f>SUM(C242:C250)</f>
        <v>26</v>
      </c>
      <c r="D251" s="27">
        <f>SUM(D242:D250)</f>
        <v>14</v>
      </c>
      <c r="E251" s="27">
        <f>SUM(E242:E250)</f>
        <v>16</v>
      </c>
      <c r="F251" s="27">
        <f t="shared" ref="F251:G251" si="14">SUM(F242:F250)</f>
        <v>15</v>
      </c>
      <c r="G251" s="27">
        <f t="shared" si="14"/>
        <v>8</v>
      </c>
      <c r="H251" s="27">
        <f t="shared" si="13"/>
        <v>79</v>
      </c>
    </row>
    <row r="252" spans="1:9" x14ac:dyDescent="0.15">
      <c r="B252" s="12" t="s">
        <v>3</v>
      </c>
      <c r="C252" s="14"/>
      <c r="D252" s="14"/>
      <c r="E252" s="16"/>
      <c r="F252" s="15"/>
      <c r="G252" s="14">
        <v>1</v>
      </c>
      <c r="H252" s="13">
        <f t="shared" si="13"/>
        <v>1</v>
      </c>
      <c r="I252" s="25">
        <v>45261</v>
      </c>
    </row>
    <row r="253" spans="1:9" x14ac:dyDescent="0.15">
      <c r="B253" s="12" t="s">
        <v>3</v>
      </c>
      <c r="C253" s="14"/>
      <c r="D253" s="14"/>
      <c r="E253" s="16"/>
      <c r="F253" s="15">
        <v>1</v>
      </c>
      <c r="G253" s="14"/>
      <c r="H253" s="13">
        <f t="shared" si="13"/>
        <v>1</v>
      </c>
      <c r="I253" s="25">
        <v>45275</v>
      </c>
    </row>
    <row r="254" spans="1:9" x14ac:dyDescent="0.15">
      <c r="B254" s="12" t="s">
        <v>3</v>
      </c>
      <c r="C254" s="14"/>
      <c r="D254" s="14"/>
      <c r="E254" s="16">
        <v>1</v>
      </c>
      <c r="F254" s="15"/>
      <c r="G254" s="14"/>
      <c r="H254" s="13">
        <f t="shared" si="13"/>
        <v>1</v>
      </c>
      <c r="I254" s="25">
        <v>45279</v>
      </c>
    </row>
    <row r="255" spans="1:9" x14ac:dyDescent="0.15">
      <c r="B255" s="12" t="s">
        <v>3</v>
      </c>
      <c r="C255" s="14">
        <v>2</v>
      </c>
      <c r="D255" s="14"/>
      <c r="E255" s="16">
        <v>1</v>
      </c>
      <c r="F255" s="15"/>
      <c r="G255" s="14">
        <v>1</v>
      </c>
      <c r="H255" s="13">
        <f t="shared" si="13"/>
        <v>4</v>
      </c>
      <c r="I255" s="25">
        <v>45285</v>
      </c>
    </row>
    <row r="256" spans="1:9" x14ac:dyDescent="0.15">
      <c r="B256" s="12" t="s">
        <v>3</v>
      </c>
      <c r="C256" s="14">
        <v>3</v>
      </c>
      <c r="D256" s="14">
        <v>1</v>
      </c>
      <c r="E256" s="16"/>
      <c r="F256" s="15">
        <v>1</v>
      </c>
      <c r="G256" s="14"/>
      <c r="H256" s="13">
        <f t="shared" si="13"/>
        <v>5</v>
      </c>
      <c r="I256" s="25">
        <v>45286</v>
      </c>
    </row>
    <row r="257" spans="2:9" x14ac:dyDescent="0.15">
      <c r="B257" s="12" t="s">
        <v>3</v>
      </c>
      <c r="C257" s="14">
        <v>1</v>
      </c>
      <c r="D257" s="14"/>
      <c r="E257" s="16"/>
      <c r="F257" s="15"/>
      <c r="G257" s="14">
        <v>1</v>
      </c>
      <c r="H257" s="13">
        <f t="shared" si="13"/>
        <v>2</v>
      </c>
      <c r="I257" s="25">
        <v>45287</v>
      </c>
    </row>
    <row r="258" spans="2:9" x14ac:dyDescent="0.15">
      <c r="B258" s="12" t="s">
        <v>3</v>
      </c>
      <c r="C258" s="14"/>
      <c r="D258" s="14">
        <v>1</v>
      </c>
      <c r="E258" s="16">
        <v>1</v>
      </c>
      <c r="F258" s="15"/>
      <c r="G258" s="14"/>
      <c r="H258" s="13">
        <f t="shared" si="13"/>
        <v>2</v>
      </c>
      <c r="I258" s="25">
        <v>45300</v>
      </c>
    </row>
    <row r="259" spans="2:9" x14ac:dyDescent="0.15">
      <c r="B259" s="12" t="s">
        <v>3</v>
      </c>
      <c r="C259" s="14"/>
      <c r="D259" s="14">
        <v>1</v>
      </c>
      <c r="E259" s="16"/>
      <c r="F259" s="15">
        <f>1+1</f>
        <v>2</v>
      </c>
      <c r="G259" s="14"/>
      <c r="H259" s="13">
        <f t="shared" si="13"/>
        <v>3</v>
      </c>
      <c r="I259" s="25">
        <v>45306</v>
      </c>
    </row>
    <row r="260" spans="2:9" x14ac:dyDescent="0.15">
      <c r="B260" s="12" t="s">
        <v>3</v>
      </c>
      <c r="C260" s="14"/>
      <c r="D260" s="14">
        <v>1</v>
      </c>
      <c r="E260" s="16"/>
      <c r="F260" s="15"/>
      <c r="G260" s="14"/>
      <c r="H260" s="13">
        <f t="shared" si="13"/>
        <v>1</v>
      </c>
      <c r="I260" s="25">
        <v>45320</v>
      </c>
    </row>
    <row r="261" spans="2:9" x14ac:dyDescent="0.15">
      <c r="B261" s="12" t="s">
        <v>3</v>
      </c>
      <c r="C261" s="14"/>
      <c r="D261" s="14"/>
      <c r="E261" s="16">
        <v>1</v>
      </c>
      <c r="F261" s="15"/>
      <c r="G261" s="14"/>
      <c r="H261" s="13">
        <f t="shared" si="13"/>
        <v>1</v>
      </c>
      <c r="I261" s="25">
        <v>45323</v>
      </c>
    </row>
    <row r="262" spans="2:9" x14ac:dyDescent="0.15">
      <c r="B262" s="12" t="s">
        <v>3</v>
      </c>
      <c r="C262" s="14">
        <v>1</v>
      </c>
      <c r="D262" s="14"/>
      <c r="E262" s="16"/>
      <c r="F262" s="15"/>
      <c r="G262" s="14"/>
      <c r="H262" s="13">
        <f t="shared" si="13"/>
        <v>1</v>
      </c>
      <c r="I262" s="25">
        <v>45335</v>
      </c>
    </row>
    <row r="263" spans="2:9" x14ac:dyDescent="0.15">
      <c r="B263" s="12" t="s">
        <v>3</v>
      </c>
      <c r="C263" s="14">
        <v>1</v>
      </c>
      <c r="D263" s="14"/>
      <c r="E263" s="16"/>
      <c r="F263" s="15"/>
      <c r="G263" s="14"/>
      <c r="H263" s="13">
        <f t="shared" si="13"/>
        <v>1</v>
      </c>
      <c r="I263" s="25">
        <v>45343</v>
      </c>
    </row>
    <row r="264" spans="2:9" x14ac:dyDescent="0.15">
      <c r="B264" s="12" t="s">
        <v>3</v>
      </c>
      <c r="C264" s="14">
        <v>1</v>
      </c>
      <c r="D264" s="14"/>
      <c r="E264" s="16">
        <v>2</v>
      </c>
      <c r="F264" s="15">
        <v>3</v>
      </c>
      <c r="G264" s="14"/>
      <c r="H264" s="13">
        <f t="shared" si="13"/>
        <v>6</v>
      </c>
      <c r="I264" s="25">
        <v>45348</v>
      </c>
    </row>
    <row r="265" spans="2:9" x14ac:dyDescent="0.15">
      <c r="B265" s="12" t="s">
        <v>3</v>
      </c>
      <c r="C265" s="14"/>
      <c r="D265" s="14">
        <v>1</v>
      </c>
      <c r="E265" s="16"/>
      <c r="F265" s="15"/>
      <c r="G265" s="14"/>
      <c r="H265" s="13">
        <f t="shared" si="13"/>
        <v>1</v>
      </c>
      <c r="I265" s="25">
        <v>45351</v>
      </c>
    </row>
    <row r="266" spans="2:9" x14ac:dyDescent="0.15">
      <c r="B266" s="12" t="s">
        <v>3</v>
      </c>
      <c r="C266" s="14"/>
      <c r="D266" s="14"/>
      <c r="E266" s="16">
        <v>1</v>
      </c>
      <c r="F266" s="15"/>
      <c r="G266" s="14"/>
      <c r="H266" s="13">
        <f t="shared" si="13"/>
        <v>1</v>
      </c>
      <c r="I266" s="25">
        <v>45357</v>
      </c>
    </row>
    <row r="267" spans="2:9" x14ac:dyDescent="0.15">
      <c r="B267" s="12" t="s">
        <v>3</v>
      </c>
      <c r="C267" s="14"/>
      <c r="D267" s="14">
        <v>1</v>
      </c>
      <c r="E267" s="16"/>
      <c r="F267" s="15">
        <v>1</v>
      </c>
      <c r="G267" s="14"/>
      <c r="H267" s="13">
        <f t="shared" si="13"/>
        <v>2</v>
      </c>
      <c r="I267" s="25">
        <v>45364</v>
      </c>
    </row>
    <row r="268" spans="2:9" x14ac:dyDescent="0.15">
      <c r="B268" s="12" t="s">
        <v>3</v>
      </c>
      <c r="C268" s="14">
        <v>1</v>
      </c>
      <c r="D268" s="14"/>
      <c r="E268" s="16"/>
      <c r="F268" s="15"/>
      <c r="G268" s="14"/>
      <c r="H268" s="13">
        <f t="shared" si="13"/>
        <v>1</v>
      </c>
      <c r="I268" s="25">
        <v>45366</v>
      </c>
    </row>
    <row r="269" spans="2:9" x14ac:dyDescent="0.15">
      <c r="B269" s="12" t="s">
        <v>3</v>
      </c>
      <c r="C269" s="14">
        <v>1</v>
      </c>
      <c r="D269" s="14"/>
      <c r="E269" s="16">
        <v>1</v>
      </c>
      <c r="F269" s="15"/>
      <c r="G269" s="14"/>
      <c r="H269" s="13">
        <f t="shared" si="13"/>
        <v>2</v>
      </c>
      <c r="I269" s="25">
        <v>45369</v>
      </c>
    </row>
    <row r="270" spans="2:9" x14ac:dyDescent="0.15">
      <c r="B270" s="12" t="s">
        <v>3</v>
      </c>
      <c r="C270" s="14">
        <v>1</v>
      </c>
      <c r="D270" s="14">
        <v>2</v>
      </c>
      <c r="E270" s="16"/>
      <c r="F270" s="15"/>
      <c r="G270" s="14"/>
      <c r="H270" s="13">
        <f t="shared" si="13"/>
        <v>3</v>
      </c>
      <c r="I270" s="25">
        <v>45376</v>
      </c>
    </row>
    <row r="271" spans="2:9" x14ac:dyDescent="0.15">
      <c r="B271" s="12" t="s">
        <v>3</v>
      </c>
      <c r="C271" s="14"/>
      <c r="D271" s="14">
        <v>1</v>
      </c>
      <c r="E271" s="16"/>
      <c r="F271" s="15"/>
      <c r="G271" s="14">
        <v>1</v>
      </c>
      <c r="H271" s="13">
        <f t="shared" si="13"/>
        <v>2</v>
      </c>
      <c r="I271" s="25">
        <v>45387</v>
      </c>
    </row>
    <row r="272" spans="2:9" x14ac:dyDescent="0.15">
      <c r="B272" s="12" t="s">
        <v>3</v>
      </c>
      <c r="C272" s="14">
        <v>3</v>
      </c>
      <c r="D272" s="14"/>
      <c r="E272" s="16"/>
      <c r="F272" s="15"/>
      <c r="G272" s="14"/>
      <c r="H272" s="13">
        <f t="shared" si="13"/>
        <v>3</v>
      </c>
      <c r="I272" s="25">
        <v>45390</v>
      </c>
    </row>
    <row r="273" spans="1:9" x14ac:dyDescent="0.15">
      <c r="B273" s="12" t="s">
        <v>3</v>
      </c>
      <c r="C273" s="14">
        <v>1</v>
      </c>
      <c r="D273" s="14">
        <v>2</v>
      </c>
      <c r="E273" s="16"/>
      <c r="F273" s="15"/>
      <c r="G273" s="14"/>
      <c r="H273" s="13">
        <f>SUM(C273:G273)</f>
        <v>3</v>
      </c>
      <c r="I273" s="25">
        <v>45391</v>
      </c>
    </row>
    <row r="274" spans="1:9" x14ac:dyDescent="0.15">
      <c r="B274" s="12" t="s">
        <v>3</v>
      </c>
      <c r="C274" s="14"/>
      <c r="D274" s="14"/>
      <c r="E274" s="16">
        <v>1</v>
      </c>
      <c r="F274" s="15">
        <v>1</v>
      </c>
      <c r="G274" s="14"/>
      <c r="H274" s="13">
        <f t="shared" ref="H274:H278" si="15">SUM(C274:G274)</f>
        <v>2</v>
      </c>
      <c r="I274" s="25">
        <v>45392</v>
      </c>
    </row>
    <row r="275" spans="1:9" x14ac:dyDescent="0.15">
      <c r="B275" s="12" t="s">
        <v>3</v>
      </c>
      <c r="C275" s="14"/>
      <c r="D275" s="14"/>
      <c r="E275" s="16">
        <v>1</v>
      </c>
      <c r="F275" s="15"/>
      <c r="G275" s="14">
        <v>1</v>
      </c>
      <c r="H275" s="13">
        <f t="shared" si="15"/>
        <v>2</v>
      </c>
      <c r="I275" s="25">
        <v>45394</v>
      </c>
    </row>
    <row r="276" spans="1:9" ht="14.25" thickBot="1" x14ac:dyDescent="0.2">
      <c r="B276" s="12" t="s">
        <v>3</v>
      </c>
      <c r="C276" s="9">
        <v>1</v>
      </c>
      <c r="D276" s="9"/>
      <c r="E276" s="11"/>
      <c r="F276" s="10"/>
      <c r="G276" s="9"/>
      <c r="H276" s="8">
        <f t="shared" si="15"/>
        <v>1</v>
      </c>
      <c r="I276" s="25">
        <v>45397</v>
      </c>
    </row>
    <row r="277" spans="1:9" ht="14.25" thickBot="1" x14ac:dyDescent="0.2">
      <c r="B277" s="7" t="s">
        <v>1</v>
      </c>
      <c r="C277" s="5">
        <f>SUM(C252:C276)</f>
        <v>17</v>
      </c>
      <c r="D277" s="5">
        <f>SUM(D252:D276)</f>
        <v>11</v>
      </c>
      <c r="E277" s="6">
        <f>SUM(E252:E276)</f>
        <v>10</v>
      </c>
      <c r="F277" s="5">
        <f>SUM(F252:F276)</f>
        <v>9</v>
      </c>
      <c r="G277" s="5">
        <f>SUM(G252:G276)</f>
        <v>5</v>
      </c>
      <c r="H277" s="5">
        <f t="shared" si="15"/>
        <v>52</v>
      </c>
    </row>
    <row r="278" spans="1:9" ht="14.25" thickBot="1" x14ac:dyDescent="0.2">
      <c r="B278" s="4" t="s">
        <v>0</v>
      </c>
      <c r="C278" s="2">
        <f>+C251-C277</f>
        <v>9</v>
      </c>
      <c r="D278" s="2">
        <f>+D251-D277</f>
        <v>3</v>
      </c>
      <c r="E278" s="3">
        <f>+E251-E277</f>
        <v>6</v>
      </c>
      <c r="F278" s="2">
        <f>+F251-F277</f>
        <v>6</v>
      </c>
      <c r="G278" s="2">
        <f>+G251-G277</f>
        <v>3</v>
      </c>
      <c r="H278" s="2">
        <f t="shared" si="15"/>
        <v>27</v>
      </c>
    </row>
    <row r="280" spans="1:9" ht="18.75" x14ac:dyDescent="0.2">
      <c r="B280" s="39" t="s">
        <v>13</v>
      </c>
      <c r="C280" s="38"/>
      <c r="D280" s="38"/>
      <c r="E280" s="38"/>
      <c r="F280" s="38"/>
      <c r="G280" s="38"/>
    </row>
    <row r="281" spans="1:9" ht="14.25" thickBot="1" x14ac:dyDescent="0.2">
      <c r="H281">
        <v>460</v>
      </c>
    </row>
    <row r="282" spans="1:9" ht="14.25" thickBot="1" x14ac:dyDescent="0.2">
      <c r="B282" s="37"/>
      <c r="C282" s="55"/>
      <c r="D282" s="55"/>
      <c r="E282" s="55"/>
      <c r="F282" s="55"/>
      <c r="G282" s="55"/>
      <c r="H282" s="56"/>
    </row>
    <row r="283" spans="1:9" ht="14.25" thickBot="1" x14ac:dyDescent="0.2">
      <c r="A283" s="1"/>
      <c r="B283" s="36"/>
      <c r="C283" s="58" t="s">
        <v>8</v>
      </c>
      <c r="D283" s="53" t="s">
        <v>9</v>
      </c>
      <c r="E283" s="51" t="s">
        <v>12</v>
      </c>
      <c r="F283" s="52" t="s">
        <v>11</v>
      </c>
      <c r="G283" s="57" t="s">
        <v>10</v>
      </c>
      <c r="H283" s="35" t="s">
        <v>7</v>
      </c>
    </row>
    <row r="284" spans="1:9" x14ac:dyDescent="0.15">
      <c r="B284" s="34" t="s">
        <v>6</v>
      </c>
      <c r="C284" s="32">
        <f>C278</f>
        <v>9</v>
      </c>
      <c r="D284" s="32">
        <f>D278</f>
        <v>3</v>
      </c>
      <c r="E284" s="33">
        <f>E278</f>
        <v>6</v>
      </c>
      <c r="F284" s="32">
        <f>F278</f>
        <v>6</v>
      </c>
      <c r="G284" s="32">
        <f>G278</f>
        <v>3</v>
      </c>
      <c r="H284" s="32">
        <f>SUM(C284:G284)</f>
        <v>27</v>
      </c>
    </row>
    <row r="285" spans="1:9" x14ac:dyDescent="0.15">
      <c r="B285" s="31" t="s">
        <v>5</v>
      </c>
      <c r="C285" s="14">
        <v>10</v>
      </c>
      <c r="D285" s="14">
        <v>5</v>
      </c>
      <c r="E285" s="16"/>
      <c r="F285" s="15"/>
      <c r="G285" s="14"/>
      <c r="H285" s="13">
        <f t="shared" ref="H285:H290" si="16">SUM(C285:G285)</f>
        <v>15</v>
      </c>
      <c r="I285" s="25">
        <v>45414</v>
      </c>
    </row>
    <row r="286" spans="1:9" x14ac:dyDescent="0.15">
      <c r="B286" s="31" t="s">
        <v>5</v>
      </c>
      <c r="C286" s="14">
        <v>-5</v>
      </c>
      <c r="D286" s="14"/>
      <c r="E286" s="16"/>
      <c r="F286" s="15"/>
      <c r="G286" s="14"/>
      <c r="H286" s="13">
        <f t="shared" si="16"/>
        <v>-5</v>
      </c>
      <c r="I286" s="25">
        <v>45413</v>
      </c>
    </row>
    <row r="287" spans="1:9" x14ac:dyDescent="0.15">
      <c r="B287" s="31" t="s">
        <v>5</v>
      </c>
      <c r="C287" s="14">
        <v>10</v>
      </c>
      <c r="D287" s="14"/>
      <c r="E287" s="16"/>
      <c r="F287" s="15"/>
      <c r="G287" s="14"/>
      <c r="H287" s="13">
        <f t="shared" si="16"/>
        <v>10</v>
      </c>
      <c r="I287" s="25">
        <v>45434</v>
      </c>
    </row>
    <row r="288" spans="1:9" x14ac:dyDescent="0.15">
      <c r="B288" s="31" t="s">
        <v>5</v>
      </c>
      <c r="C288" s="14">
        <v>5</v>
      </c>
      <c r="D288" s="14">
        <v>5</v>
      </c>
      <c r="E288" s="16"/>
      <c r="F288" s="15"/>
      <c r="G288" s="14"/>
      <c r="H288" s="13">
        <f t="shared" si="16"/>
        <v>10</v>
      </c>
      <c r="I288" s="25">
        <v>45440</v>
      </c>
    </row>
    <row r="289" spans="2:9" x14ac:dyDescent="0.15">
      <c r="B289" s="31" t="s">
        <v>5</v>
      </c>
      <c r="C289" s="14">
        <v>5</v>
      </c>
      <c r="D289" s="14">
        <v>3</v>
      </c>
      <c r="E289" s="16"/>
      <c r="F289" s="15"/>
      <c r="G289" s="14"/>
      <c r="H289" s="13">
        <f t="shared" si="16"/>
        <v>8</v>
      </c>
      <c r="I289" s="25">
        <v>45455</v>
      </c>
    </row>
    <row r="290" spans="2:9" x14ac:dyDescent="0.15">
      <c r="B290" s="31" t="s">
        <v>5</v>
      </c>
      <c r="C290" s="14">
        <v>10</v>
      </c>
      <c r="D290" s="14"/>
      <c r="E290" s="16"/>
      <c r="F290" s="15">
        <v>5</v>
      </c>
      <c r="G290" s="14"/>
      <c r="H290" s="13">
        <f t="shared" si="16"/>
        <v>15</v>
      </c>
      <c r="I290" s="25">
        <v>45476</v>
      </c>
    </row>
    <row r="291" spans="2:9" x14ac:dyDescent="0.15">
      <c r="B291" s="31" t="s">
        <v>5</v>
      </c>
      <c r="C291" s="14"/>
      <c r="D291" s="14"/>
      <c r="E291" s="16"/>
      <c r="F291" s="15"/>
      <c r="G291" s="14"/>
      <c r="H291" s="13">
        <f t="shared" ref="H291:H316" si="17">SUM(C291:G291)</f>
        <v>0</v>
      </c>
      <c r="I291" s="25"/>
    </row>
    <row r="292" spans="2:9" ht="14.25" thickBot="1" x14ac:dyDescent="0.2">
      <c r="B292" s="31" t="s">
        <v>5</v>
      </c>
      <c r="C292" s="14"/>
      <c r="D292" s="14"/>
      <c r="E292" s="16"/>
      <c r="F292" s="15"/>
      <c r="G292" s="14"/>
      <c r="H292" s="13">
        <f t="shared" si="17"/>
        <v>0</v>
      </c>
      <c r="I292" s="25"/>
    </row>
    <row r="293" spans="2:9" ht="14.25" thickBot="1" x14ac:dyDescent="0.2">
      <c r="B293" s="29" t="s">
        <v>4</v>
      </c>
      <c r="C293" s="27">
        <f>SUM(C284:C292)</f>
        <v>44</v>
      </c>
      <c r="D293" s="27">
        <f>SUM(D284:D292)</f>
        <v>16</v>
      </c>
      <c r="E293" s="27">
        <f>SUM(E284:E292)</f>
        <v>6</v>
      </c>
      <c r="F293" s="27">
        <f t="shared" ref="F293:G293" si="18">SUM(F284:F292)</f>
        <v>11</v>
      </c>
      <c r="G293" s="27">
        <f t="shared" si="18"/>
        <v>3</v>
      </c>
      <c r="H293" s="27">
        <f t="shared" si="17"/>
        <v>80</v>
      </c>
    </row>
    <row r="294" spans="2:9" x14ac:dyDescent="0.15">
      <c r="B294" s="12" t="s">
        <v>3</v>
      </c>
      <c r="C294" s="14"/>
      <c r="D294" s="14">
        <v>1</v>
      </c>
      <c r="E294" s="16"/>
      <c r="F294" s="15"/>
      <c r="G294" s="14"/>
      <c r="H294" s="13">
        <f t="shared" si="17"/>
        <v>1</v>
      </c>
      <c r="I294" s="25">
        <v>45404</v>
      </c>
    </row>
    <row r="295" spans="2:9" x14ac:dyDescent="0.15">
      <c r="B295" s="12" t="s">
        <v>3</v>
      </c>
      <c r="C295" s="14">
        <v>1</v>
      </c>
      <c r="D295" s="14"/>
      <c r="E295" s="16">
        <v>1</v>
      </c>
      <c r="F295" s="15"/>
      <c r="G295" s="14"/>
      <c r="H295" s="13">
        <f t="shared" si="17"/>
        <v>2</v>
      </c>
      <c r="I295" s="25">
        <v>45405</v>
      </c>
    </row>
    <row r="296" spans="2:9" x14ac:dyDescent="0.15">
      <c r="B296" s="12" t="s">
        <v>3</v>
      </c>
      <c r="C296" s="14">
        <v>1</v>
      </c>
      <c r="D296" s="14">
        <v>1</v>
      </c>
      <c r="E296" s="16"/>
      <c r="F296" s="15"/>
      <c r="G296" s="14"/>
      <c r="H296" s="13">
        <f t="shared" si="17"/>
        <v>2</v>
      </c>
      <c r="I296" s="25">
        <v>45412</v>
      </c>
    </row>
    <row r="297" spans="2:9" x14ac:dyDescent="0.15">
      <c r="B297" s="12" t="s">
        <v>3</v>
      </c>
      <c r="C297" s="14">
        <v>2</v>
      </c>
      <c r="D297" s="14"/>
      <c r="E297" s="16"/>
      <c r="F297" s="15"/>
      <c r="G297" s="14"/>
      <c r="H297" s="13">
        <f t="shared" si="17"/>
        <v>2</v>
      </c>
      <c r="I297" s="25">
        <v>45413</v>
      </c>
    </row>
    <row r="298" spans="2:9" x14ac:dyDescent="0.15">
      <c r="B298" s="12" t="s">
        <v>3</v>
      </c>
      <c r="C298" s="14">
        <v>1</v>
      </c>
      <c r="D298" s="14"/>
      <c r="E298" s="16"/>
      <c r="F298" s="15"/>
      <c r="G298" s="14"/>
      <c r="H298" s="13">
        <f t="shared" si="17"/>
        <v>1</v>
      </c>
      <c r="I298" s="25">
        <v>45414</v>
      </c>
    </row>
    <row r="299" spans="2:9" x14ac:dyDescent="0.15">
      <c r="B299" s="12" t="s">
        <v>3</v>
      </c>
      <c r="C299" s="14">
        <v>1</v>
      </c>
      <c r="D299" s="14">
        <v>1</v>
      </c>
      <c r="E299" s="16"/>
      <c r="F299" s="15"/>
      <c r="G299" s="14"/>
      <c r="H299" s="13">
        <f t="shared" si="17"/>
        <v>2</v>
      </c>
      <c r="I299" s="25">
        <v>45419</v>
      </c>
    </row>
    <row r="300" spans="2:9" x14ac:dyDescent="0.15">
      <c r="B300" s="12" t="s">
        <v>3</v>
      </c>
      <c r="C300" s="14">
        <v>4</v>
      </c>
      <c r="D300" s="14"/>
      <c r="E300" s="16"/>
      <c r="F300" s="15"/>
      <c r="G300" s="14"/>
      <c r="H300" s="13">
        <f t="shared" si="17"/>
        <v>4</v>
      </c>
      <c r="I300" s="25">
        <v>45432</v>
      </c>
    </row>
    <row r="301" spans="2:9" x14ac:dyDescent="0.15">
      <c r="B301" s="12" t="s">
        <v>3</v>
      </c>
      <c r="C301" s="14"/>
      <c r="D301" s="14">
        <v>1</v>
      </c>
      <c r="E301" s="16"/>
      <c r="F301" s="15"/>
      <c r="G301" s="14"/>
      <c r="H301" s="13">
        <f t="shared" si="17"/>
        <v>1</v>
      </c>
      <c r="I301" s="25">
        <v>45433</v>
      </c>
    </row>
    <row r="302" spans="2:9" x14ac:dyDescent="0.15">
      <c r="B302" s="12" t="s">
        <v>3</v>
      </c>
      <c r="C302" s="14"/>
      <c r="D302" s="14">
        <v>1</v>
      </c>
      <c r="E302" s="16"/>
      <c r="F302" s="15">
        <v>1</v>
      </c>
      <c r="G302" s="14"/>
      <c r="H302" s="13">
        <f t="shared" si="17"/>
        <v>2</v>
      </c>
      <c r="I302" s="25">
        <v>45435</v>
      </c>
    </row>
    <row r="303" spans="2:9" x14ac:dyDescent="0.15">
      <c r="B303" s="12" t="s">
        <v>3</v>
      </c>
      <c r="C303" s="14">
        <v>1</v>
      </c>
      <c r="D303" s="14"/>
      <c r="E303" s="16"/>
      <c r="F303" s="15"/>
      <c r="G303" s="14"/>
      <c r="H303" s="13">
        <f t="shared" si="17"/>
        <v>1</v>
      </c>
      <c r="I303" s="25">
        <v>45436</v>
      </c>
    </row>
    <row r="304" spans="2:9" x14ac:dyDescent="0.15">
      <c r="B304" s="12" t="s">
        <v>3</v>
      </c>
      <c r="C304" s="14">
        <f>3+4</f>
        <v>7</v>
      </c>
      <c r="D304" s="14">
        <v>1</v>
      </c>
      <c r="E304" s="16"/>
      <c r="F304" s="15"/>
      <c r="G304" s="14"/>
      <c r="H304" s="13">
        <f t="shared" si="17"/>
        <v>8</v>
      </c>
      <c r="I304" s="25">
        <v>45439</v>
      </c>
    </row>
    <row r="305" spans="2:9" x14ac:dyDescent="0.15">
      <c r="B305" s="12" t="s">
        <v>3</v>
      </c>
      <c r="C305" s="14"/>
      <c r="D305" s="14">
        <v>1</v>
      </c>
      <c r="E305" s="16">
        <v>1</v>
      </c>
      <c r="F305" s="15"/>
      <c r="G305" s="14">
        <v>1</v>
      </c>
      <c r="H305" s="13">
        <f t="shared" si="17"/>
        <v>3</v>
      </c>
      <c r="I305" s="25">
        <v>45440</v>
      </c>
    </row>
    <row r="306" spans="2:9" x14ac:dyDescent="0.15">
      <c r="B306" s="12" t="s">
        <v>3</v>
      </c>
      <c r="C306" s="14">
        <v>1</v>
      </c>
      <c r="D306" s="14">
        <v>1</v>
      </c>
      <c r="E306" s="16"/>
      <c r="F306" s="15"/>
      <c r="G306" s="14"/>
      <c r="H306" s="13">
        <f t="shared" si="17"/>
        <v>2</v>
      </c>
      <c r="I306" s="25">
        <v>45442</v>
      </c>
    </row>
    <row r="307" spans="2:9" x14ac:dyDescent="0.15">
      <c r="B307" s="12" t="s">
        <v>3</v>
      </c>
      <c r="C307" s="14">
        <v>1</v>
      </c>
      <c r="D307" s="14"/>
      <c r="E307" s="16"/>
      <c r="F307" s="15"/>
      <c r="G307" s="14"/>
      <c r="H307" s="13">
        <f t="shared" si="17"/>
        <v>1</v>
      </c>
      <c r="I307" s="25">
        <v>45443</v>
      </c>
    </row>
    <row r="308" spans="2:9" x14ac:dyDescent="0.15">
      <c r="B308" s="12" t="s">
        <v>3</v>
      </c>
      <c r="C308" s="14">
        <v>1</v>
      </c>
      <c r="D308" s="14"/>
      <c r="E308" s="16"/>
      <c r="F308" s="15"/>
      <c r="G308" s="14"/>
      <c r="H308" s="13">
        <f t="shared" si="17"/>
        <v>1</v>
      </c>
      <c r="I308" s="25">
        <v>45446</v>
      </c>
    </row>
    <row r="309" spans="2:9" x14ac:dyDescent="0.15">
      <c r="B309" s="12" t="s">
        <v>3</v>
      </c>
      <c r="C309" s="14">
        <v>1</v>
      </c>
      <c r="D309" s="14"/>
      <c r="E309" s="16"/>
      <c r="F309" s="15"/>
      <c r="G309" s="14"/>
      <c r="H309" s="13">
        <f t="shared" si="17"/>
        <v>1</v>
      </c>
      <c r="I309" s="25">
        <v>45448</v>
      </c>
    </row>
    <row r="310" spans="2:9" x14ac:dyDescent="0.15">
      <c r="B310" s="12" t="s">
        <v>3</v>
      </c>
      <c r="C310" s="14">
        <f>2+1</f>
        <v>3</v>
      </c>
      <c r="D310" s="14">
        <v>1</v>
      </c>
      <c r="E310" s="16"/>
      <c r="F310" s="15">
        <v>1</v>
      </c>
      <c r="G310" s="14"/>
      <c r="H310" s="13">
        <f t="shared" si="17"/>
        <v>5</v>
      </c>
      <c r="I310" s="25">
        <v>45450</v>
      </c>
    </row>
    <row r="311" spans="2:9" x14ac:dyDescent="0.15">
      <c r="B311" s="12" t="s">
        <v>3</v>
      </c>
      <c r="C311" s="14"/>
      <c r="D311" s="14"/>
      <c r="E311" s="16"/>
      <c r="F311" s="15">
        <v>1</v>
      </c>
      <c r="G311" s="14"/>
      <c r="H311" s="13">
        <f t="shared" si="17"/>
        <v>1</v>
      </c>
      <c r="I311" s="25">
        <v>45453</v>
      </c>
    </row>
    <row r="312" spans="2:9" x14ac:dyDescent="0.15">
      <c r="B312" s="12" t="s">
        <v>3</v>
      </c>
      <c r="C312" s="14">
        <v>3</v>
      </c>
      <c r="D312" s="14"/>
      <c r="E312" s="16">
        <v>1</v>
      </c>
      <c r="F312" s="15"/>
      <c r="G312" s="14"/>
      <c r="H312" s="13">
        <f t="shared" si="17"/>
        <v>4</v>
      </c>
      <c r="I312" s="25">
        <v>45457</v>
      </c>
    </row>
    <row r="313" spans="2:9" x14ac:dyDescent="0.15">
      <c r="B313" s="12" t="s">
        <v>3</v>
      </c>
      <c r="C313" s="14"/>
      <c r="D313" s="14"/>
      <c r="E313" s="16">
        <v>1</v>
      </c>
      <c r="F313" s="15">
        <v>1</v>
      </c>
      <c r="G313" s="14"/>
      <c r="H313" s="13">
        <f t="shared" si="17"/>
        <v>2</v>
      </c>
      <c r="I313" s="25">
        <v>45463</v>
      </c>
    </row>
    <row r="314" spans="2:9" x14ac:dyDescent="0.15">
      <c r="B314" s="12" t="s">
        <v>3</v>
      </c>
      <c r="C314" s="14"/>
      <c r="D314" s="14">
        <v>1</v>
      </c>
      <c r="E314" s="16"/>
      <c r="F314" s="15"/>
      <c r="G314" s="14"/>
      <c r="H314" s="13">
        <f t="shared" si="17"/>
        <v>1</v>
      </c>
      <c r="I314" s="25">
        <v>45469</v>
      </c>
    </row>
    <row r="315" spans="2:9" x14ac:dyDescent="0.15">
      <c r="B315" s="12" t="s">
        <v>3</v>
      </c>
      <c r="C315" s="14">
        <v>2</v>
      </c>
      <c r="D315" s="14"/>
      <c r="E315" s="16"/>
      <c r="F315" s="15"/>
      <c r="G315" s="14"/>
      <c r="H315" s="13">
        <f t="shared" si="17"/>
        <v>2</v>
      </c>
      <c r="I315" s="25">
        <v>45470</v>
      </c>
    </row>
    <row r="316" spans="2:9" x14ac:dyDescent="0.15">
      <c r="B316" s="12" t="s">
        <v>3</v>
      </c>
      <c r="C316" s="14">
        <v>2</v>
      </c>
      <c r="D316" s="14">
        <v>1</v>
      </c>
      <c r="E316" s="16"/>
      <c r="F316" s="15">
        <v>1</v>
      </c>
      <c r="G316" s="14"/>
      <c r="H316" s="13">
        <f t="shared" si="17"/>
        <v>4</v>
      </c>
      <c r="I316" s="25">
        <v>45474</v>
      </c>
    </row>
    <row r="317" spans="2:9" x14ac:dyDescent="0.15">
      <c r="B317" s="12" t="s">
        <v>3</v>
      </c>
      <c r="C317" s="14">
        <v>2</v>
      </c>
      <c r="D317" s="14"/>
      <c r="E317" s="16"/>
      <c r="F317" s="15"/>
      <c r="G317" s="14"/>
      <c r="H317" s="13">
        <f t="shared" ref="H317:H320" si="19">SUM(C317:G317)</f>
        <v>2</v>
      </c>
      <c r="I317" s="25">
        <v>45475</v>
      </c>
    </row>
    <row r="318" spans="2:9" ht="14.25" thickBot="1" x14ac:dyDescent="0.2">
      <c r="B318" s="12" t="s">
        <v>3</v>
      </c>
      <c r="C318" s="9">
        <v>2</v>
      </c>
      <c r="D318" s="9"/>
      <c r="E318" s="11"/>
      <c r="F318" s="10"/>
      <c r="G318" s="9"/>
      <c r="H318" s="8">
        <f t="shared" si="19"/>
        <v>2</v>
      </c>
      <c r="I318" s="25">
        <v>45484</v>
      </c>
    </row>
    <row r="319" spans="2:9" ht="14.25" thickBot="1" x14ac:dyDescent="0.2">
      <c r="B319" s="7" t="s">
        <v>1</v>
      </c>
      <c r="C319" s="5">
        <f>SUM(C294:C318)</f>
        <v>36</v>
      </c>
      <c r="D319" s="5">
        <f>SUM(D294:D318)</f>
        <v>11</v>
      </c>
      <c r="E319" s="6">
        <f>SUM(E294:E318)</f>
        <v>4</v>
      </c>
      <c r="F319" s="5">
        <f>SUM(F294:F318)</f>
        <v>5</v>
      </c>
      <c r="G319" s="5">
        <f>SUM(G294:G318)</f>
        <v>1</v>
      </c>
      <c r="H319" s="5">
        <f t="shared" si="19"/>
        <v>57</v>
      </c>
    </row>
    <row r="320" spans="2:9" ht="14.25" thickBot="1" x14ac:dyDescent="0.2">
      <c r="B320" s="4" t="s">
        <v>0</v>
      </c>
      <c r="C320" s="2">
        <f>+C293-C319</f>
        <v>8</v>
      </c>
      <c r="D320" s="2">
        <f>+D293-D319</f>
        <v>5</v>
      </c>
      <c r="E320" s="3">
        <f>+E293-E319</f>
        <v>2</v>
      </c>
      <c r="F320" s="2">
        <f>+F293-F319</f>
        <v>6</v>
      </c>
      <c r="G320" s="2">
        <f>+G293-G319</f>
        <v>2</v>
      </c>
      <c r="H320" s="2">
        <f t="shared" si="19"/>
        <v>23</v>
      </c>
    </row>
    <row r="322" spans="1:9" ht="18.75" x14ac:dyDescent="0.2">
      <c r="B322" s="39" t="s">
        <v>13</v>
      </c>
      <c r="C322" s="38"/>
      <c r="D322" s="38"/>
      <c r="E322" s="38"/>
      <c r="F322" s="38"/>
      <c r="G322" s="38"/>
    </row>
    <row r="323" spans="1:9" ht="14.25" thickBot="1" x14ac:dyDescent="0.2">
      <c r="H323">
        <v>460</v>
      </c>
    </row>
    <row r="324" spans="1:9" ht="14.25" thickBot="1" x14ac:dyDescent="0.2">
      <c r="B324" s="37"/>
      <c r="C324" s="55"/>
      <c r="D324" s="55"/>
      <c r="E324" s="55"/>
      <c r="F324" s="55"/>
      <c r="G324" s="55"/>
      <c r="H324" s="56"/>
    </row>
    <row r="325" spans="1:9" ht="14.25" thickBot="1" x14ac:dyDescent="0.2">
      <c r="A325" s="1"/>
      <c r="B325" s="36"/>
      <c r="C325" s="58" t="s">
        <v>8</v>
      </c>
      <c r="D325" s="53" t="s">
        <v>9</v>
      </c>
      <c r="E325" s="51" t="s">
        <v>12</v>
      </c>
      <c r="F325" s="52" t="s">
        <v>11</v>
      </c>
      <c r="G325" s="57" t="s">
        <v>10</v>
      </c>
      <c r="H325" s="35" t="s">
        <v>7</v>
      </c>
    </row>
    <row r="326" spans="1:9" x14ac:dyDescent="0.15">
      <c r="B326" s="34" t="s">
        <v>6</v>
      </c>
      <c r="C326" s="32">
        <f>C320</f>
        <v>8</v>
      </c>
      <c r="D326" s="32">
        <f>D320</f>
        <v>5</v>
      </c>
      <c r="E326" s="33">
        <f>E320</f>
        <v>2</v>
      </c>
      <c r="F326" s="32">
        <f>F320</f>
        <v>6</v>
      </c>
      <c r="G326" s="32">
        <f>G320</f>
        <v>2</v>
      </c>
      <c r="H326" s="32">
        <f>SUM(C326:G326)</f>
        <v>23</v>
      </c>
    </row>
    <row r="327" spans="1:9" x14ac:dyDescent="0.15">
      <c r="B327" s="31" t="s">
        <v>5</v>
      </c>
      <c r="C327" s="14">
        <v>-2</v>
      </c>
      <c r="D327" s="14"/>
      <c r="E327" s="16"/>
      <c r="F327" s="15"/>
      <c r="G327" s="14"/>
      <c r="H327" s="13">
        <f t="shared" ref="H327:H332" si="20">SUM(C327:G327)</f>
        <v>-2</v>
      </c>
      <c r="I327" s="25"/>
    </row>
    <row r="328" spans="1:9" x14ac:dyDescent="0.15">
      <c r="B328" s="31" t="s">
        <v>5</v>
      </c>
      <c r="C328" s="14">
        <v>10</v>
      </c>
      <c r="D328" s="14">
        <v>5</v>
      </c>
      <c r="E328" s="16">
        <v>5</v>
      </c>
      <c r="F328" s="15">
        <v>5</v>
      </c>
      <c r="G328" s="14"/>
      <c r="H328" s="13">
        <f t="shared" si="20"/>
        <v>25</v>
      </c>
      <c r="I328" s="25" t="s">
        <v>16</v>
      </c>
    </row>
    <row r="329" spans="1:9" x14ac:dyDescent="0.15">
      <c r="B329" s="31" t="s">
        <v>14</v>
      </c>
      <c r="C329" s="14">
        <v>0</v>
      </c>
      <c r="D329" s="14">
        <v>0</v>
      </c>
      <c r="E329" s="16">
        <v>0</v>
      </c>
      <c r="F329" s="15">
        <v>0</v>
      </c>
      <c r="G329" s="14">
        <v>0</v>
      </c>
      <c r="H329" s="13">
        <f t="shared" si="20"/>
        <v>0</v>
      </c>
      <c r="I329" s="25">
        <v>45526</v>
      </c>
    </row>
    <row r="330" spans="1:9" x14ac:dyDescent="0.15">
      <c r="B330" s="31" t="s">
        <v>5</v>
      </c>
      <c r="C330" s="14">
        <v>10</v>
      </c>
      <c r="D330" s="14"/>
      <c r="E330" s="16">
        <v>3</v>
      </c>
      <c r="F330" s="15"/>
      <c r="G330" s="14"/>
      <c r="H330" s="13">
        <f t="shared" si="20"/>
        <v>13</v>
      </c>
      <c r="I330" s="25">
        <v>45544</v>
      </c>
    </row>
    <row r="331" spans="1:9" x14ac:dyDescent="0.15">
      <c r="B331" s="31" t="s">
        <v>5</v>
      </c>
      <c r="C331" s="14">
        <v>12</v>
      </c>
      <c r="D331" s="14">
        <v>8</v>
      </c>
      <c r="E331" s="16">
        <v>2</v>
      </c>
      <c r="F331" s="15"/>
      <c r="G331" s="14"/>
      <c r="H331" s="13">
        <f t="shared" si="20"/>
        <v>22</v>
      </c>
      <c r="I331" s="25">
        <v>45567</v>
      </c>
    </row>
    <row r="332" spans="1:9" x14ac:dyDescent="0.15">
      <c r="B332" s="31" t="s">
        <v>5</v>
      </c>
      <c r="C332" s="14"/>
      <c r="D332" s="14"/>
      <c r="E332" s="16"/>
      <c r="F332" s="15"/>
      <c r="G332" s="14">
        <v>3</v>
      </c>
      <c r="H332" s="13">
        <f t="shared" si="20"/>
        <v>3</v>
      </c>
      <c r="I332" s="25">
        <v>45602</v>
      </c>
    </row>
    <row r="333" spans="1:9" x14ac:dyDescent="0.15">
      <c r="B333" s="31" t="s">
        <v>5</v>
      </c>
      <c r="C333" s="14"/>
      <c r="D333" s="14"/>
      <c r="E333" s="16"/>
      <c r="F333" s="15"/>
      <c r="G333" s="14"/>
      <c r="H333" s="13">
        <f t="shared" ref="H333:H362" si="21">SUM(C333:G333)</f>
        <v>0</v>
      </c>
      <c r="I333" s="25"/>
    </row>
    <row r="334" spans="1:9" ht="14.25" thickBot="1" x14ac:dyDescent="0.2">
      <c r="B334" s="31" t="s">
        <v>5</v>
      </c>
      <c r="C334" s="14"/>
      <c r="D334" s="14"/>
      <c r="E334" s="16"/>
      <c r="F334" s="15"/>
      <c r="G334" s="14"/>
      <c r="H334" s="13">
        <f t="shared" si="21"/>
        <v>0</v>
      </c>
      <c r="I334" s="25"/>
    </row>
    <row r="335" spans="1:9" ht="14.25" thickBot="1" x14ac:dyDescent="0.2">
      <c r="B335" s="29" t="s">
        <v>4</v>
      </c>
      <c r="C335" s="27">
        <f>SUM(C326:C334)</f>
        <v>38</v>
      </c>
      <c r="D335" s="27">
        <f>SUM(D326:D334)</f>
        <v>18</v>
      </c>
      <c r="E335" s="27">
        <f>SUM(E326:E334)</f>
        <v>12</v>
      </c>
      <c r="F335" s="27">
        <f t="shared" ref="F335:G335" si="22">SUM(F326:F334)</f>
        <v>11</v>
      </c>
      <c r="G335" s="27">
        <f t="shared" si="22"/>
        <v>5</v>
      </c>
      <c r="H335" s="27">
        <f t="shared" si="21"/>
        <v>84</v>
      </c>
    </row>
    <row r="336" spans="1:9" x14ac:dyDescent="0.15">
      <c r="B336" s="12" t="s">
        <v>3</v>
      </c>
      <c r="C336" s="14">
        <v>1</v>
      </c>
      <c r="D336" s="14">
        <v>1</v>
      </c>
      <c r="E336" s="16"/>
      <c r="F336" s="15"/>
      <c r="G336" s="14"/>
      <c r="H336" s="13">
        <f t="shared" ref="H336:H358" si="23">SUM(C336:G336)</f>
        <v>2</v>
      </c>
      <c r="I336" s="25">
        <v>45489</v>
      </c>
    </row>
    <row r="337" spans="2:9" x14ac:dyDescent="0.15">
      <c r="B337" s="12" t="s">
        <v>3</v>
      </c>
      <c r="C337" s="14"/>
      <c r="D337" s="14"/>
      <c r="E337" s="16"/>
      <c r="F337" s="15">
        <v>1</v>
      </c>
      <c r="G337" s="14"/>
      <c r="H337" s="13">
        <f t="shared" si="23"/>
        <v>1</v>
      </c>
      <c r="I337" s="25">
        <v>45493</v>
      </c>
    </row>
    <row r="338" spans="2:9" x14ac:dyDescent="0.15">
      <c r="B338" s="12" t="s">
        <v>3</v>
      </c>
      <c r="C338" s="14">
        <v>1</v>
      </c>
      <c r="D338" s="14"/>
      <c r="E338" s="16">
        <v>1</v>
      </c>
      <c r="F338" s="15"/>
      <c r="G338" s="14"/>
      <c r="H338" s="13">
        <f t="shared" si="23"/>
        <v>2</v>
      </c>
      <c r="I338" s="25">
        <v>45495</v>
      </c>
    </row>
    <row r="339" spans="2:9" x14ac:dyDescent="0.15">
      <c r="B339" s="12" t="s">
        <v>3</v>
      </c>
      <c r="C339" s="14">
        <v>1</v>
      </c>
      <c r="D339" s="14"/>
      <c r="E339" s="16">
        <v>1</v>
      </c>
      <c r="F339" s="15">
        <v>1</v>
      </c>
      <c r="G339" s="14"/>
      <c r="H339" s="13">
        <f t="shared" si="23"/>
        <v>3</v>
      </c>
      <c r="I339" s="25">
        <v>45496</v>
      </c>
    </row>
    <row r="340" spans="2:9" x14ac:dyDescent="0.15">
      <c r="B340" s="12" t="s">
        <v>3</v>
      </c>
      <c r="C340" s="14">
        <v>1</v>
      </c>
      <c r="D340" s="14"/>
      <c r="E340" s="16"/>
      <c r="F340" s="15"/>
      <c r="G340" s="14"/>
      <c r="H340" s="13">
        <f t="shared" si="23"/>
        <v>1</v>
      </c>
      <c r="I340" s="25">
        <v>45499</v>
      </c>
    </row>
    <row r="341" spans="2:9" x14ac:dyDescent="0.15">
      <c r="B341" s="12" t="s">
        <v>3</v>
      </c>
      <c r="C341" s="14">
        <v>2</v>
      </c>
      <c r="D341" s="14">
        <f>1+1</f>
        <v>2</v>
      </c>
      <c r="E341" s="16"/>
      <c r="F341" s="15">
        <v>2</v>
      </c>
      <c r="G341" s="14"/>
      <c r="H341" s="13">
        <f t="shared" si="23"/>
        <v>6</v>
      </c>
      <c r="I341" s="25">
        <v>45503</v>
      </c>
    </row>
    <row r="342" spans="2:9" x14ac:dyDescent="0.15">
      <c r="B342" s="12" t="s">
        <v>3</v>
      </c>
      <c r="C342" s="14">
        <v>2</v>
      </c>
      <c r="D342" s="14"/>
      <c r="E342" s="16">
        <v>1</v>
      </c>
      <c r="F342" s="15">
        <v>1</v>
      </c>
      <c r="G342" s="14"/>
      <c r="H342" s="13">
        <f t="shared" si="23"/>
        <v>4</v>
      </c>
      <c r="I342" s="25">
        <v>45511</v>
      </c>
    </row>
    <row r="343" spans="2:9" x14ac:dyDescent="0.15">
      <c r="B343" s="12" t="s">
        <v>3</v>
      </c>
      <c r="C343" s="14">
        <v>1</v>
      </c>
      <c r="D343" s="14"/>
      <c r="E343" s="16"/>
      <c r="F343" s="15"/>
      <c r="G343" s="14"/>
      <c r="H343" s="13">
        <f t="shared" si="23"/>
        <v>1</v>
      </c>
      <c r="I343" s="25">
        <v>45513</v>
      </c>
    </row>
    <row r="344" spans="2:9" x14ac:dyDescent="0.15">
      <c r="B344" s="12" t="s">
        <v>3</v>
      </c>
      <c r="C344" s="14">
        <v>1</v>
      </c>
      <c r="D344" s="14">
        <v>2</v>
      </c>
      <c r="E344" s="16"/>
      <c r="F344" s="15"/>
      <c r="G344" s="14"/>
      <c r="H344" s="13">
        <f t="shared" si="23"/>
        <v>3</v>
      </c>
      <c r="I344" s="25">
        <v>45520</v>
      </c>
    </row>
    <row r="345" spans="2:9" x14ac:dyDescent="0.15">
      <c r="B345" s="12" t="s">
        <v>3</v>
      </c>
      <c r="C345" s="14">
        <v>1</v>
      </c>
      <c r="D345" s="14"/>
      <c r="E345" s="16"/>
      <c r="F345" s="15"/>
      <c r="G345" s="14"/>
      <c r="H345" s="13">
        <f t="shared" si="23"/>
        <v>1</v>
      </c>
      <c r="I345" s="25">
        <v>45523</v>
      </c>
    </row>
    <row r="346" spans="2:9" x14ac:dyDescent="0.15">
      <c r="B346" s="12" t="s">
        <v>3</v>
      </c>
      <c r="C346" s="14">
        <v>1</v>
      </c>
      <c r="D346" s="14">
        <v>1</v>
      </c>
      <c r="E346" s="16">
        <v>1</v>
      </c>
      <c r="F346" s="15"/>
      <c r="G346" s="14"/>
      <c r="H346" s="13">
        <f t="shared" si="23"/>
        <v>3</v>
      </c>
      <c r="I346" s="25">
        <v>45530</v>
      </c>
    </row>
    <row r="347" spans="2:9" x14ac:dyDescent="0.15">
      <c r="B347" s="12" t="s">
        <v>3</v>
      </c>
      <c r="C347" s="14">
        <v>2</v>
      </c>
      <c r="D347" s="14"/>
      <c r="E347" s="16">
        <v>1</v>
      </c>
      <c r="F347" s="15"/>
      <c r="G347" s="14"/>
      <c r="H347" s="13">
        <f t="shared" si="23"/>
        <v>3</v>
      </c>
      <c r="I347" s="25">
        <v>45537</v>
      </c>
    </row>
    <row r="348" spans="2:9" x14ac:dyDescent="0.15">
      <c r="B348" s="12" t="s">
        <v>3</v>
      </c>
      <c r="C348" s="14"/>
      <c r="D348" s="14"/>
      <c r="E348" s="16">
        <v>1</v>
      </c>
      <c r="F348" s="15"/>
      <c r="G348" s="14"/>
      <c r="H348" s="13">
        <f t="shared" si="23"/>
        <v>1</v>
      </c>
      <c r="I348" s="25">
        <v>45538</v>
      </c>
    </row>
    <row r="349" spans="2:9" x14ac:dyDescent="0.15">
      <c r="B349" s="12" t="s">
        <v>3</v>
      </c>
      <c r="C349" s="14">
        <v>4</v>
      </c>
      <c r="D349" s="14"/>
      <c r="E349" s="16"/>
      <c r="F349" s="15"/>
      <c r="G349" s="14"/>
      <c r="H349" s="13">
        <f t="shared" si="23"/>
        <v>4</v>
      </c>
      <c r="I349" s="25">
        <v>45544</v>
      </c>
    </row>
    <row r="350" spans="2:9" x14ac:dyDescent="0.15">
      <c r="B350" s="12" t="s">
        <v>3</v>
      </c>
      <c r="C350" s="14">
        <v>1</v>
      </c>
      <c r="D350" s="14">
        <v>1</v>
      </c>
      <c r="E350" s="16"/>
      <c r="F350" s="15">
        <v>1</v>
      </c>
      <c r="G350" s="14"/>
      <c r="H350" s="13">
        <f t="shared" si="23"/>
        <v>3</v>
      </c>
      <c r="I350" s="25">
        <v>45545</v>
      </c>
    </row>
    <row r="351" spans="2:9" x14ac:dyDescent="0.15">
      <c r="B351" s="12" t="s">
        <v>3</v>
      </c>
      <c r="C351" s="14">
        <v>1</v>
      </c>
      <c r="D351" s="14"/>
      <c r="E351" s="16"/>
      <c r="F351" s="15"/>
      <c r="G351" s="14"/>
      <c r="H351" s="13">
        <f t="shared" si="23"/>
        <v>1</v>
      </c>
      <c r="I351" s="25">
        <v>45546</v>
      </c>
    </row>
    <row r="352" spans="2:9" x14ac:dyDescent="0.15">
      <c r="B352" s="12" t="s">
        <v>3</v>
      </c>
      <c r="C352" s="14">
        <v>4</v>
      </c>
      <c r="D352" s="14">
        <v>1</v>
      </c>
      <c r="E352" s="16">
        <v>1</v>
      </c>
      <c r="F352" s="15">
        <v>1</v>
      </c>
      <c r="G352" s="14"/>
      <c r="H352" s="13">
        <f t="shared" si="23"/>
        <v>7</v>
      </c>
      <c r="I352" s="25">
        <v>45559</v>
      </c>
    </row>
    <row r="353" spans="1:9" x14ac:dyDescent="0.15">
      <c r="B353" s="12" t="s">
        <v>3</v>
      </c>
      <c r="C353" s="14">
        <v>1</v>
      </c>
      <c r="D353" s="14">
        <v>1</v>
      </c>
      <c r="E353" s="16"/>
      <c r="F353" s="15"/>
      <c r="G353" s="14"/>
      <c r="H353" s="13">
        <f t="shared" si="23"/>
        <v>2</v>
      </c>
      <c r="I353" s="25">
        <v>45565</v>
      </c>
    </row>
    <row r="354" spans="1:9" x14ac:dyDescent="0.15">
      <c r="B354" s="12" t="s">
        <v>3</v>
      </c>
      <c r="C354" s="14">
        <v>1</v>
      </c>
      <c r="D354" s="14"/>
      <c r="E354" s="16"/>
      <c r="F354" s="15"/>
      <c r="G354" s="14"/>
      <c r="H354" s="13">
        <f t="shared" si="23"/>
        <v>1</v>
      </c>
      <c r="I354" s="25">
        <v>45566</v>
      </c>
    </row>
    <row r="355" spans="1:9" x14ac:dyDescent="0.15">
      <c r="B355" s="12" t="s">
        <v>3</v>
      </c>
      <c r="C355" s="14"/>
      <c r="D355" s="14"/>
      <c r="E355" s="16"/>
      <c r="F355" s="15"/>
      <c r="G355" s="14">
        <v>1</v>
      </c>
      <c r="H355" s="13">
        <f t="shared" si="23"/>
        <v>1</v>
      </c>
      <c r="I355" s="25">
        <v>45567</v>
      </c>
    </row>
    <row r="356" spans="1:9" x14ac:dyDescent="0.15">
      <c r="B356" s="12" t="s">
        <v>3</v>
      </c>
      <c r="C356" s="14"/>
      <c r="D356" s="14">
        <v>1</v>
      </c>
      <c r="E356" s="16">
        <v>1</v>
      </c>
      <c r="F356" s="15"/>
      <c r="G356" s="14">
        <v>1</v>
      </c>
      <c r="H356" s="13">
        <f t="shared" si="23"/>
        <v>3</v>
      </c>
      <c r="I356" s="25">
        <v>45569</v>
      </c>
    </row>
    <row r="357" spans="1:9" x14ac:dyDescent="0.15">
      <c r="B357" s="12" t="s">
        <v>3</v>
      </c>
      <c r="C357" s="14"/>
      <c r="D357" s="14">
        <v>1</v>
      </c>
      <c r="E357" s="16"/>
      <c r="F357" s="15"/>
      <c r="G357" s="14"/>
      <c r="H357" s="13">
        <f t="shared" si="23"/>
        <v>1</v>
      </c>
      <c r="I357" s="25">
        <v>45573</v>
      </c>
    </row>
    <row r="358" spans="1:9" x14ac:dyDescent="0.15">
      <c r="B358" s="12" t="s">
        <v>3</v>
      </c>
      <c r="C358" s="14"/>
      <c r="D358" s="14">
        <v>1</v>
      </c>
      <c r="E358" s="16"/>
      <c r="F358" s="15"/>
      <c r="G358" s="14"/>
      <c r="H358" s="13">
        <f t="shared" si="23"/>
        <v>1</v>
      </c>
      <c r="I358" s="25">
        <v>45583</v>
      </c>
    </row>
    <row r="359" spans="1:9" x14ac:dyDescent="0.15">
      <c r="B359" s="12" t="s">
        <v>3</v>
      </c>
      <c r="C359" s="14">
        <v>1</v>
      </c>
      <c r="D359" s="14"/>
      <c r="E359" s="16"/>
      <c r="F359" s="15"/>
      <c r="G359" s="14"/>
      <c r="H359" s="13">
        <f t="shared" si="21"/>
        <v>1</v>
      </c>
      <c r="I359" s="25">
        <v>45602</v>
      </c>
    </row>
    <row r="360" spans="1:9" ht="14.25" thickBot="1" x14ac:dyDescent="0.2">
      <c r="B360" s="12" t="s">
        <v>3</v>
      </c>
      <c r="C360" s="9"/>
      <c r="D360" s="9"/>
      <c r="E360" s="11">
        <v>1</v>
      </c>
      <c r="F360" s="10">
        <v>1</v>
      </c>
      <c r="G360" s="9"/>
      <c r="H360" s="8">
        <f t="shared" si="21"/>
        <v>2</v>
      </c>
      <c r="I360" s="25">
        <v>45621</v>
      </c>
    </row>
    <row r="361" spans="1:9" ht="14.25" thickBot="1" x14ac:dyDescent="0.2">
      <c r="B361" s="7" t="s">
        <v>1</v>
      </c>
      <c r="C361" s="5">
        <f>SUM(C336:C360)</f>
        <v>27</v>
      </c>
      <c r="D361" s="5">
        <f>SUM(D336:D360)</f>
        <v>12</v>
      </c>
      <c r="E361" s="6">
        <f>SUM(E336:E360)</f>
        <v>9</v>
      </c>
      <c r="F361" s="5">
        <f>SUM(F336:F360)</f>
        <v>8</v>
      </c>
      <c r="G361" s="5">
        <f>SUM(G336:G360)</f>
        <v>2</v>
      </c>
      <c r="H361" s="5">
        <f t="shared" si="21"/>
        <v>58</v>
      </c>
    </row>
    <row r="362" spans="1:9" ht="14.25" thickBot="1" x14ac:dyDescent="0.2">
      <c r="B362" s="4" t="s">
        <v>0</v>
      </c>
      <c r="C362" s="2">
        <f>+C335-C361</f>
        <v>11</v>
      </c>
      <c r="D362" s="2">
        <f>+D335-D361</f>
        <v>6</v>
      </c>
      <c r="E362" s="3">
        <f>+E335-E361</f>
        <v>3</v>
      </c>
      <c r="F362" s="2">
        <f>+F335-F361</f>
        <v>3</v>
      </c>
      <c r="G362" s="2">
        <f>+G335-G361</f>
        <v>3</v>
      </c>
      <c r="H362" s="2">
        <f t="shared" si="21"/>
        <v>26</v>
      </c>
    </row>
    <row r="364" spans="1:9" ht="18.75" x14ac:dyDescent="0.2">
      <c r="B364" s="39" t="s">
        <v>13</v>
      </c>
      <c r="C364" s="38"/>
      <c r="D364" s="38"/>
      <c r="E364" s="38"/>
      <c r="F364" s="38"/>
      <c r="G364" s="38"/>
    </row>
    <row r="365" spans="1:9" ht="14.25" thickBot="1" x14ac:dyDescent="0.2">
      <c r="H365">
        <v>460</v>
      </c>
    </row>
    <row r="366" spans="1:9" ht="14.25" thickBot="1" x14ac:dyDescent="0.2">
      <c r="B366" s="37"/>
      <c r="C366" s="55"/>
      <c r="D366" s="55"/>
      <c r="E366" s="55"/>
      <c r="F366" s="55"/>
      <c r="G366" s="55"/>
      <c r="H366" s="56"/>
    </row>
    <row r="367" spans="1:9" ht="14.25" thickBot="1" x14ac:dyDescent="0.2">
      <c r="A367" s="1"/>
      <c r="B367" s="36"/>
      <c r="C367" s="58" t="s">
        <v>8</v>
      </c>
      <c r="D367" s="53" t="s">
        <v>9</v>
      </c>
      <c r="E367" s="51" t="s">
        <v>12</v>
      </c>
      <c r="F367" s="52" t="s">
        <v>11</v>
      </c>
      <c r="G367" s="57" t="s">
        <v>10</v>
      </c>
      <c r="H367" s="35" t="s">
        <v>7</v>
      </c>
    </row>
    <row r="368" spans="1:9" x14ac:dyDescent="0.15">
      <c r="B368" s="34" t="s">
        <v>6</v>
      </c>
      <c r="C368" s="32">
        <f>C362</f>
        <v>11</v>
      </c>
      <c r="D368" s="32">
        <f>D362</f>
        <v>6</v>
      </c>
      <c r="E368" s="33">
        <f>E362</f>
        <v>3</v>
      </c>
      <c r="F368" s="32">
        <f>F362</f>
        <v>3</v>
      </c>
      <c r="G368" s="32">
        <f>G362</f>
        <v>3</v>
      </c>
      <c r="H368" s="32">
        <f>SUM(C368:G368)</f>
        <v>26</v>
      </c>
    </row>
    <row r="369" spans="2:9" x14ac:dyDescent="0.15">
      <c r="B369" s="31" t="s">
        <v>5</v>
      </c>
      <c r="C369" s="14"/>
      <c r="D369" s="14"/>
      <c r="E369" s="16">
        <v>3</v>
      </c>
      <c r="F369" s="15">
        <v>3</v>
      </c>
      <c r="G369" s="14"/>
      <c r="H369" s="13">
        <f t="shared" ref="H369:H373" si="24">SUM(C369:G369)</f>
        <v>6</v>
      </c>
      <c r="I369" s="25">
        <v>45635</v>
      </c>
    </row>
    <row r="370" spans="2:9" x14ac:dyDescent="0.15">
      <c r="B370" s="50" t="s">
        <v>5</v>
      </c>
      <c r="C370" s="21"/>
      <c r="D370" s="21">
        <v>-1</v>
      </c>
      <c r="E370" s="23">
        <v>-1</v>
      </c>
      <c r="F370" s="22">
        <v>-1</v>
      </c>
      <c r="G370" s="21"/>
      <c r="H370" s="59">
        <f t="shared" si="24"/>
        <v>-3</v>
      </c>
      <c r="I370" s="20">
        <v>45638</v>
      </c>
    </row>
    <row r="371" spans="2:9" x14ac:dyDescent="0.15">
      <c r="B371" s="31" t="s">
        <v>5</v>
      </c>
      <c r="C371" s="14">
        <v>10</v>
      </c>
      <c r="D371" s="14">
        <v>5</v>
      </c>
      <c r="E371" s="16">
        <v>2</v>
      </c>
      <c r="F371" s="15">
        <v>2</v>
      </c>
      <c r="G371" s="14"/>
      <c r="H371" s="13">
        <f t="shared" si="24"/>
        <v>19</v>
      </c>
      <c r="I371" s="25">
        <v>45642</v>
      </c>
    </row>
    <row r="372" spans="2:9" x14ac:dyDescent="0.15">
      <c r="B372" s="31" t="s">
        <v>5</v>
      </c>
      <c r="C372" s="14"/>
      <c r="D372" s="14"/>
      <c r="E372" s="16">
        <v>3</v>
      </c>
      <c r="F372" s="15"/>
      <c r="G372" s="14"/>
      <c r="H372" s="13">
        <f t="shared" si="24"/>
        <v>3</v>
      </c>
      <c r="I372" s="25">
        <v>45665</v>
      </c>
    </row>
    <row r="373" spans="2:9" x14ac:dyDescent="0.15">
      <c r="B373" s="31" t="s">
        <v>5</v>
      </c>
      <c r="C373" s="14">
        <v>5</v>
      </c>
      <c r="D373" s="14"/>
      <c r="E373" s="16"/>
      <c r="F373" s="15"/>
      <c r="G373" s="14"/>
      <c r="H373" s="13">
        <f t="shared" si="24"/>
        <v>5</v>
      </c>
      <c r="I373" s="25">
        <v>45663</v>
      </c>
    </row>
    <row r="374" spans="2:9" x14ac:dyDescent="0.15">
      <c r="B374" s="31" t="s">
        <v>5</v>
      </c>
      <c r="C374" s="14"/>
      <c r="D374" s="14">
        <v>5</v>
      </c>
      <c r="E374" s="16"/>
      <c r="F374" s="15">
        <v>5</v>
      </c>
      <c r="G374" s="14"/>
      <c r="H374" s="13">
        <f t="shared" ref="H374:H404" si="25">SUM(C374:G374)</f>
        <v>10</v>
      </c>
      <c r="I374" s="25">
        <v>45686</v>
      </c>
    </row>
    <row r="375" spans="2:9" x14ac:dyDescent="0.15">
      <c r="B375" s="31" t="s">
        <v>5</v>
      </c>
      <c r="C375" s="14"/>
      <c r="D375" s="14"/>
      <c r="E375" s="16">
        <v>3</v>
      </c>
      <c r="F375" s="15">
        <v>5</v>
      </c>
      <c r="G375" s="14"/>
      <c r="H375" s="13">
        <f t="shared" si="25"/>
        <v>8</v>
      </c>
      <c r="I375" s="25">
        <v>45725</v>
      </c>
    </row>
    <row r="376" spans="2:9" ht="14.25" thickBot="1" x14ac:dyDescent="0.2">
      <c r="B376" s="31" t="s">
        <v>5</v>
      </c>
      <c r="C376" s="14"/>
      <c r="D376" s="14"/>
      <c r="E376" s="16"/>
      <c r="F376" s="15"/>
      <c r="G376" s="14"/>
      <c r="H376" s="13">
        <f t="shared" si="25"/>
        <v>0</v>
      </c>
    </row>
    <row r="377" spans="2:9" ht="14.25" thickBot="1" x14ac:dyDescent="0.2">
      <c r="B377" s="29" t="s">
        <v>4</v>
      </c>
      <c r="C377" s="27">
        <f>SUM(C368:C376)</f>
        <v>26</v>
      </c>
      <c r="D377" s="27">
        <f>SUM(D368:D376)</f>
        <v>15</v>
      </c>
      <c r="E377" s="27">
        <f>SUM(E368:E376)</f>
        <v>13</v>
      </c>
      <c r="F377" s="27">
        <f t="shared" ref="F377:G377" si="26">SUM(F368:F376)</f>
        <v>17</v>
      </c>
      <c r="G377" s="27">
        <f t="shared" si="26"/>
        <v>3</v>
      </c>
      <c r="H377" s="27">
        <f t="shared" si="25"/>
        <v>74</v>
      </c>
    </row>
    <row r="378" spans="2:9" x14ac:dyDescent="0.15">
      <c r="B378" s="12" t="s">
        <v>3</v>
      </c>
      <c r="C378" s="14"/>
      <c r="D378" s="14"/>
      <c r="E378" s="16">
        <v>1</v>
      </c>
      <c r="F378" s="15">
        <v>1</v>
      </c>
      <c r="G378" s="14"/>
      <c r="H378" s="13">
        <f t="shared" ref="H378:H399" si="27">SUM(C378:G378)</f>
        <v>2</v>
      </c>
      <c r="I378" s="25">
        <v>45622</v>
      </c>
    </row>
    <row r="379" spans="2:9" x14ac:dyDescent="0.15">
      <c r="B379" s="12" t="s">
        <v>3</v>
      </c>
      <c r="C379" s="14">
        <v>1</v>
      </c>
      <c r="D379" s="14">
        <v>1</v>
      </c>
      <c r="E379" s="16">
        <v>1</v>
      </c>
      <c r="F379" s="15">
        <v>1</v>
      </c>
      <c r="G379" s="14"/>
      <c r="H379" s="13">
        <f t="shared" si="27"/>
        <v>4</v>
      </c>
      <c r="I379" s="25">
        <v>45623</v>
      </c>
    </row>
    <row r="380" spans="2:9" x14ac:dyDescent="0.15">
      <c r="B380" s="12" t="s">
        <v>3</v>
      </c>
      <c r="C380" s="14"/>
      <c r="D380" s="14">
        <v>1</v>
      </c>
      <c r="E380" s="16"/>
      <c r="F380" s="15"/>
      <c r="G380" s="14"/>
      <c r="H380" s="13">
        <f t="shared" si="27"/>
        <v>1</v>
      </c>
      <c r="I380" s="25">
        <v>45631</v>
      </c>
    </row>
    <row r="381" spans="2:9" x14ac:dyDescent="0.15">
      <c r="B381" s="12" t="s">
        <v>3</v>
      </c>
      <c r="C381" s="14"/>
      <c r="D381" s="14">
        <v>1</v>
      </c>
      <c r="E381" s="16"/>
      <c r="F381" s="15"/>
      <c r="G381" s="14"/>
      <c r="H381" s="13">
        <f t="shared" si="27"/>
        <v>1</v>
      </c>
      <c r="I381" s="25">
        <v>45632</v>
      </c>
    </row>
    <row r="382" spans="2:9" x14ac:dyDescent="0.15">
      <c r="B382" s="12" t="s">
        <v>3</v>
      </c>
      <c r="C382" s="14">
        <v>2</v>
      </c>
      <c r="D382" s="14"/>
      <c r="E382" s="16"/>
      <c r="F382" s="15"/>
      <c r="G382" s="14"/>
      <c r="H382" s="13">
        <f t="shared" si="27"/>
        <v>2</v>
      </c>
      <c r="I382" s="25">
        <v>45635</v>
      </c>
    </row>
    <row r="383" spans="2:9" x14ac:dyDescent="0.15">
      <c r="B383" s="12" t="s">
        <v>3</v>
      </c>
      <c r="C383" s="14">
        <v>1</v>
      </c>
      <c r="D383" s="14"/>
      <c r="E383" s="16"/>
      <c r="F383" s="15"/>
      <c r="G383" s="14"/>
      <c r="H383" s="13">
        <f t="shared" si="27"/>
        <v>1</v>
      </c>
      <c r="I383" s="25">
        <v>45636</v>
      </c>
    </row>
    <row r="384" spans="2:9" x14ac:dyDescent="0.15">
      <c r="B384" s="12" t="s">
        <v>3</v>
      </c>
      <c r="C384" s="14">
        <v>2</v>
      </c>
      <c r="D384" s="14"/>
      <c r="E384" s="16"/>
      <c r="F384" s="15"/>
      <c r="G384" s="14"/>
      <c r="H384" s="13">
        <f t="shared" si="27"/>
        <v>2</v>
      </c>
      <c r="I384" s="25">
        <v>45638</v>
      </c>
    </row>
    <row r="385" spans="2:9" x14ac:dyDescent="0.15">
      <c r="B385" s="12" t="s">
        <v>3</v>
      </c>
      <c r="C385" s="14">
        <v>1</v>
      </c>
      <c r="D385" s="14"/>
      <c r="E385" s="16">
        <v>1</v>
      </c>
      <c r="F385" s="15"/>
      <c r="G385" s="14"/>
      <c r="H385" s="13">
        <f t="shared" si="27"/>
        <v>2</v>
      </c>
      <c r="I385" s="25">
        <v>45643</v>
      </c>
    </row>
    <row r="386" spans="2:9" x14ac:dyDescent="0.15">
      <c r="B386" s="12" t="s">
        <v>3</v>
      </c>
      <c r="C386" s="14"/>
      <c r="D386" s="14"/>
      <c r="E386" s="16">
        <v>1</v>
      </c>
      <c r="F386" s="15"/>
      <c r="G386" s="14">
        <v>1</v>
      </c>
      <c r="H386" s="13">
        <f t="shared" si="27"/>
        <v>2</v>
      </c>
      <c r="I386" s="25">
        <v>45646</v>
      </c>
    </row>
    <row r="387" spans="2:9" x14ac:dyDescent="0.15">
      <c r="B387" s="12" t="s">
        <v>3</v>
      </c>
      <c r="C387" s="14">
        <v>1</v>
      </c>
      <c r="D387" s="14"/>
      <c r="E387" s="16">
        <v>1</v>
      </c>
      <c r="F387" s="15"/>
      <c r="G387" s="14"/>
      <c r="H387" s="13">
        <f t="shared" si="27"/>
        <v>2</v>
      </c>
      <c r="I387" s="25">
        <v>45651</v>
      </c>
    </row>
    <row r="388" spans="2:9" x14ac:dyDescent="0.15">
      <c r="B388" s="12" t="s">
        <v>3</v>
      </c>
      <c r="C388" s="14"/>
      <c r="D388" s="14"/>
      <c r="E388" s="16"/>
      <c r="F388" s="15">
        <v>1</v>
      </c>
      <c r="G388" s="14"/>
      <c r="H388" s="13">
        <f t="shared" si="27"/>
        <v>1</v>
      </c>
      <c r="I388" s="25">
        <v>45663</v>
      </c>
    </row>
    <row r="389" spans="2:9" x14ac:dyDescent="0.15">
      <c r="B389" s="12" t="s">
        <v>3</v>
      </c>
      <c r="C389" s="14"/>
      <c r="D389" s="14">
        <v>1</v>
      </c>
      <c r="E389" s="16"/>
      <c r="F389" s="15"/>
      <c r="G389" s="14"/>
      <c r="H389" s="13">
        <f t="shared" si="27"/>
        <v>1</v>
      </c>
      <c r="I389" s="25">
        <v>45666</v>
      </c>
    </row>
    <row r="390" spans="2:9" x14ac:dyDescent="0.15">
      <c r="B390" s="12" t="s">
        <v>3</v>
      </c>
      <c r="C390" s="14"/>
      <c r="D390" s="14">
        <v>1</v>
      </c>
      <c r="E390" s="16"/>
      <c r="F390" s="15"/>
      <c r="G390" s="14"/>
      <c r="H390" s="13">
        <f t="shared" si="27"/>
        <v>1</v>
      </c>
      <c r="I390" s="25">
        <v>45671</v>
      </c>
    </row>
    <row r="391" spans="2:9" x14ac:dyDescent="0.15">
      <c r="B391" s="12" t="s">
        <v>3</v>
      </c>
      <c r="C391" s="14">
        <v>1</v>
      </c>
      <c r="D391" s="14"/>
      <c r="E391" s="16">
        <v>1</v>
      </c>
      <c r="F391" s="15">
        <v>1</v>
      </c>
      <c r="G391" s="14"/>
      <c r="H391" s="13">
        <f t="shared" si="27"/>
        <v>3</v>
      </c>
      <c r="I391" s="25">
        <v>45677</v>
      </c>
    </row>
    <row r="392" spans="2:9" x14ac:dyDescent="0.15">
      <c r="B392" s="12" t="s">
        <v>3</v>
      </c>
      <c r="C392" s="14"/>
      <c r="D392" s="14">
        <v>1</v>
      </c>
      <c r="E392" s="16"/>
      <c r="F392" s="15"/>
      <c r="G392" s="14"/>
      <c r="H392" s="13">
        <f t="shared" si="27"/>
        <v>1</v>
      </c>
      <c r="I392" s="25">
        <v>45681</v>
      </c>
    </row>
    <row r="393" spans="2:9" x14ac:dyDescent="0.15">
      <c r="B393" s="12" t="s">
        <v>3</v>
      </c>
      <c r="C393" s="14"/>
      <c r="D393" s="14"/>
      <c r="E393" s="16"/>
      <c r="F393" s="15">
        <v>2</v>
      </c>
      <c r="G393" s="14"/>
      <c r="H393" s="13">
        <f t="shared" si="27"/>
        <v>2</v>
      </c>
      <c r="I393" s="25">
        <v>45684</v>
      </c>
    </row>
    <row r="394" spans="2:9" x14ac:dyDescent="0.15">
      <c r="B394" s="12" t="s">
        <v>3</v>
      </c>
      <c r="C394" s="14">
        <v>1</v>
      </c>
      <c r="D394" s="14"/>
      <c r="E394" s="16">
        <v>1</v>
      </c>
      <c r="F394" s="15">
        <v>3</v>
      </c>
      <c r="G394" s="14"/>
      <c r="H394" s="13">
        <f t="shared" si="27"/>
        <v>5</v>
      </c>
      <c r="I394" s="25">
        <v>45691</v>
      </c>
    </row>
    <row r="395" spans="2:9" x14ac:dyDescent="0.15">
      <c r="B395" s="12" t="s">
        <v>3</v>
      </c>
      <c r="C395" s="14">
        <v>1</v>
      </c>
      <c r="D395" s="14"/>
      <c r="E395" s="16"/>
      <c r="F395" s="15"/>
      <c r="G395" s="14"/>
      <c r="H395" s="13">
        <f t="shared" si="27"/>
        <v>1</v>
      </c>
      <c r="I395" s="25">
        <v>45692</v>
      </c>
    </row>
    <row r="396" spans="2:9" x14ac:dyDescent="0.15">
      <c r="B396" s="12" t="s">
        <v>3</v>
      </c>
      <c r="C396" s="14"/>
      <c r="D396" s="14"/>
      <c r="E396" s="16">
        <v>1</v>
      </c>
      <c r="F396" s="15"/>
      <c r="G396" s="14"/>
      <c r="H396" s="13">
        <f t="shared" si="27"/>
        <v>1</v>
      </c>
      <c r="I396" s="25">
        <v>45700</v>
      </c>
    </row>
    <row r="397" spans="2:9" x14ac:dyDescent="0.15">
      <c r="B397" s="12" t="s">
        <v>3</v>
      </c>
      <c r="C397" s="14">
        <v>1</v>
      </c>
      <c r="D397" s="14"/>
      <c r="E397" s="16"/>
      <c r="F397" s="15"/>
      <c r="G397" s="14"/>
      <c r="H397" s="13">
        <f t="shared" si="27"/>
        <v>1</v>
      </c>
      <c r="I397" s="25">
        <v>45705</v>
      </c>
    </row>
    <row r="398" spans="2:9" x14ac:dyDescent="0.15">
      <c r="B398" s="12" t="s">
        <v>3</v>
      </c>
      <c r="C398" s="14">
        <f>1+2</f>
        <v>3</v>
      </c>
      <c r="D398" s="14"/>
      <c r="E398" s="16"/>
      <c r="F398" s="15">
        <v>2</v>
      </c>
      <c r="G398" s="14"/>
      <c r="H398" s="13">
        <f t="shared" si="27"/>
        <v>5</v>
      </c>
      <c r="I398" s="25">
        <v>45713</v>
      </c>
    </row>
    <row r="399" spans="2:9" x14ac:dyDescent="0.15">
      <c r="B399" s="12" t="s">
        <v>3</v>
      </c>
      <c r="C399" s="14"/>
      <c r="D399" s="14">
        <v>1</v>
      </c>
      <c r="E399" s="16"/>
      <c r="F399" s="15"/>
      <c r="G399" s="14"/>
      <c r="H399" s="13">
        <f t="shared" si="27"/>
        <v>1</v>
      </c>
      <c r="I399" s="25">
        <v>45728</v>
      </c>
    </row>
    <row r="400" spans="2:9" x14ac:dyDescent="0.15">
      <c r="B400" s="12" t="s">
        <v>3</v>
      </c>
      <c r="C400" s="14"/>
      <c r="D400" s="14">
        <v>1</v>
      </c>
      <c r="E400" s="16"/>
      <c r="F400" s="15">
        <v>1</v>
      </c>
      <c r="G400" s="14"/>
      <c r="H400" s="13">
        <f t="shared" si="25"/>
        <v>2</v>
      </c>
      <c r="I400" s="25">
        <v>45737</v>
      </c>
    </row>
    <row r="401" spans="1:9" x14ac:dyDescent="0.15">
      <c r="B401" s="12" t="s">
        <v>3</v>
      </c>
      <c r="C401" s="14">
        <v>1</v>
      </c>
      <c r="D401" s="14"/>
      <c r="E401" s="16"/>
      <c r="F401" s="15"/>
      <c r="G401" s="14"/>
      <c r="H401" s="13">
        <f t="shared" si="25"/>
        <v>1</v>
      </c>
      <c r="I401" s="25">
        <v>4</v>
      </c>
    </row>
    <row r="402" spans="1:9" ht="14.25" thickBot="1" x14ac:dyDescent="0.2">
      <c r="B402" s="12" t="s">
        <v>3</v>
      </c>
      <c r="C402" s="9">
        <v>1</v>
      </c>
      <c r="D402" s="9"/>
      <c r="E402" s="11"/>
      <c r="F402" s="10"/>
      <c r="G402" s="9"/>
      <c r="H402" s="8">
        <f t="shared" si="25"/>
        <v>1</v>
      </c>
      <c r="I402" s="25">
        <v>45742</v>
      </c>
    </row>
    <row r="403" spans="1:9" ht="14.25" thickBot="1" x14ac:dyDescent="0.2">
      <c r="B403" s="7" t="s">
        <v>1</v>
      </c>
      <c r="C403" s="5">
        <f>SUM(C378:C402)</f>
        <v>17</v>
      </c>
      <c r="D403" s="5">
        <f>SUM(D378:D402)</f>
        <v>8</v>
      </c>
      <c r="E403" s="6">
        <f>SUM(E378:E402)</f>
        <v>8</v>
      </c>
      <c r="F403" s="5">
        <f>SUM(F378:F402)</f>
        <v>12</v>
      </c>
      <c r="G403" s="5">
        <f>SUM(G378:G402)</f>
        <v>1</v>
      </c>
      <c r="H403" s="5">
        <f t="shared" si="25"/>
        <v>46</v>
      </c>
    </row>
    <row r="404" spans="1:9" ht="14.25" thickBot="1" x14ac:dyDescent="0.2">
      <c r="B404" s="4" t="s">
        <v>0</v>
      </c>
      <c r="C404" s="2">
        <f>+C377-C403</f>
        <v>9</v>
      </c>
      <c r="D404" s="2">
        <f>+D377-D403</f>
        <v>7</v>
      </c>
      <c r="E404" s="3">
        <f>+E377-E403</f>
        <v>5</v>
      </c>
      <c r="F404" s="2">
        <f>+F377-F403</f>
        <v>5</v>
      </c>
      <c r="G404" s="2">
        <f>+G377-G403</f>
        <v>2</v>
      </c>
      <c r="H404" s="2">
        <f t="shared" si="25"/>
        <v>28</v>
      </c>
    </row>
    <row r="406" spans="1:9" ht="18.75" x14ac:dyDescent="0.2">
      <c r="B406" s="39" t="s">
        <v>13</v>
      </c>
      <c r="C406" s="38"/>
      <c r="D406" s="38"/>
      <c r="E406" s="38"/>
      <c r="F406" s="38"/>
      <c r="G406" s="38"/>
    </row>
    <row r="407" spans="1:9" ht="14.25" thickBot="1" x14ac:dyDescent="0.2">
      <c r="H407">
        <v>460</v>
      </c>
    </row>
    <row r="408" spans="1:9" ht="14.25" thickBot="1" x14ac:dyDescent="0.2">
      <c r="B408" s="37"/>
      <c r="C408" s="55"/>
      <c r="D408" s="55"/>
      <c r="E408" s="55"/>
      <c r="F408" s="55"/>
      <c r="G408" s="55"/>
      <c r="H408" s="56"/>
    </row>
    <row r="409" spans="1:9" ht="14.25" thickBot="1" x14ac:dyDescent="0.2">
      <c r="A409" s="1"/>
      <c r="B409" s="36"/>
      <c r="C409" s="58" t="s">
        <v>8</v>
      </c>
      <c r="D409" s="53" t="s">
        <v>9</v>
      </c>
      <c r="E409" s="51" t="s">
        <v>12</v>
      </c>
      <c r="F409" s="52" t="s">
        <v>11</v>
      </c>
      <c r="G409" s="57" t="s">
        <v>10</v>
      </c>
      <c r="H409" s="35" t="s">
        <v>7</v>
      </c>
    </row>
    <row r="410" spans="1:9" x14ac:dyDescent="0.15">
      <c r="B410" s="34" t="s">
        <v>6</v>
      </c>
      <c r="C410" s="32">
        <f>C404</f>
        <v>9</v>
      </c>
      <c r="D410" s="32">
        <f>D404</f>
        <v>7</v>
      </c>
      <c r="E410" s="33">
        <f>E404</f>
        <v>5</v>
      </c>
      <c r="F410" s="32">
        <f>F404</f>
        <v>5</v>
      </c>
      <c r="G410" s="32">
        <f>G404</f>
        <v>2</v>
      </c>
      <c r="H410" s="32">
        <f>SUM(C410:G410)</f>
        <v>28</v>
      </c>
    </row>
    <row r="411" spans="1:9" x14ac:dyDescent="0.15">
      <c r="B411" s="31" t="s">
        <v>5</v>
      </c>
      <c r="C411" s="14"/>
      <c r="D411" s="14">
        <v>3</v>
      </c>
      <c r="E411" s="16">
        <v>3</v>
      </c>
      <c r="F411" s="15">
        <v>3</v>
      </c>
      <c r="G411" s="14">
        <v>2</v>
      </c>
      <c r="H411" s="13">
        <f t="shared" ref="H411:H417" si="28">SUM(C411:G411)</f>
        <v>11</v>
      </c>
      <c r="I411" s="25">
        <v>45779</v>
      </c>
    </row>
    <row r="412" spans="1:9" x14ac:dyDescent="0.15">
      <c r="B412" s="31" t="s">
        <v>5</v>
      </c>
      <c r="C412" s="14">
        <v>10</v>
      </c>
      <c r="D412" s="14"/>
      <c r="E412" s="16"/>
      <c r="F412" s="15">
        <v>10</v>
      </c>
      <c r="G412" s="14">
        <v>2</v>
      </c>
      <c r="H412" s="13">
        <f t="shared" si="28"/>
        <v>22</v>
      </c>
      <c r="I412" s="25">
        <v>45806</v>
      </c>
    </row>
    <row r="413" spans="1:9" x14ac:dyDescent="0.15">
      <c r="B413" s="31" t="s">
        <v>5</v>
      </c>
      <c r="C413" s="14">
        <v>1</v>
      </c>
      <c r="D413" s="14">
        <v>2</v>
      </c>
      <c r="E413" s="16">
        <v>2</v>
      </c>
      <c r="F413" s="15">
        <v>-2</v>
      </c>
      <c r="G413" s="14"/>
      <c r="H413" s="13">
        <f t="shared" si="28"/>
        <v>3</v>
      </c>
    </row>
    <row r="414" spans="1:9" x14ac:dyDescent="0.15">
      <c r="B414" s="31" t="s">
        <v>5</v>
      </c>
      <c r="C414" s="14">
        <v>5</v>
      </c>
      <c r="D414" s="14"/>
      <c r="E414" s="16"/>
      <c r="F414" s="15">
        <v>5</v>
      </c>
      <c r="G414" s="14">
        <v>2</v>
      </c>
      <c r="H414" s="13">
        <f t="shared" si="28"/>
        <v>12</v>
      </c>
      <c r="I414" s="25">
        <v>45838</v>
      </c>
    </row>
    <row r="415" spans="1:9" x14ac:dyDescent="0.15">
      <c r="B415" s="31" t="s">
        <v>5</v>
      </c>
      <c r="C415" s="14"/>
      <c r="D415" s="14"/>
      <c r="E415" s="16"/>
      <c r="F415" s="15">
        <v>5</v>
      </c>
      <c r="G415" s="14"/>
      <c r="H415" s="13">
        <f t="shared" si="28"/>
        <v>5</v>
      </c>
      <c r="I415" s="25">
        <v>45847</v>
      </c>
    </row>
    <row r="416" spans="1:9" x14ac:dyDescent="0.15">
      <c r="B416" s="31" t="s">
        <v>5</v>
      </c>
      <c r="C416" s="14"/>
      <c r="D416" s="14"/>
      <c r="E416" s="16"/>
      <c r="F416" s="15"/>
      <c r="G416" s="14"/>
      <c r="H416" s="13">
        <f t="shared" si="28"/>
        <v>0</v>
      </c>
    </row>
    <row r="417" spans="2:9" x14ac:dyDescent="0.15">
      <c r="B417" s="31" t="s">
        <v>5</v>
      </c>
      <c r="C417" s="14"/>
      <c r="D417" s="14"/>
      <c r="E417" s="16"/>
      <c r="F417" s="15"/>
      <c r="G417" s="14"/>
      <c r="H417" s="13">
        <f t="shared" si="28"/>
        <v>0</v>
      </c>
    </row>
    <row r="418" spans="2:9" ht="14.25" thickBot="1" x14ac:dyDescent="0.2">
      <c r="B418" s="31" t="s">
        <v>5</v>
      </c>
      <c r="C418" s="14"/>
      <c r="D418" s="14"/>
      <c r="E418" s="16"/>
      <c r="F418" s="15"/>
      <c r="G418" s="14"/>
      <c r="H418" s="13">
        <f t="shared" ref="H418:H446" si="29">SUM(C418:G418)</f>
        <v>0</v>
      </c>
    </row>
    <row r="419" spans="2:9" ht="14.25" thickBot="1" x14ac:dyDescent="0.2">
      <c r="B419" s="29" t="s">
        <v>4</v>
      </c>
      <c r="C419" s="27">
        <f>SUM(C410:C418)</f>
        <v>25</v>
      </c>
      <c r="D419" s="27">
        <f>SUM(D410:D418)</f>
        <v>12</v>
      </c>
      <c r="E419" s="27">
        <f>SUM(E410:E418)</f>
        <v>10</v>
      </c>
      <c r="F419" s="27">
        <f t="shared" ref="F419:G419" si="30">SUM(F410:F418)</f>
        <v>26</v>
      </c>
      <c r="G419" s="27">
        <f t="shared" si="30"/>
        <v>8</v>
      </c>
      <c r="H419" s="27">
        <f t="shared" si="29"/>
        <v>81</v>
      </c>
    </row>
    <row r="420" spans="2:9" x14ac:dyDescent="0.15">
      <c r="B420" s="12" t="s">
        <v>3</v>
      </c>
      <c r="C420" s="14"/>
      <c r="D420" s="14"/>
      <c r="E420" s="16"/>
      <c r="F420" s="15">
        <v>1</v>
      </c>
      <c r="G420" s="14"/>
      <c r="H420" s="13">
        <f t="shared" ref="H420:H442" si="31">SUM(C420:G420)</f>
        <v>1</v>
      </c>
      <c r="I420" s="25">
        <v>45750</v>
      </c>
    </row>
    <row r="421" spans="2:9" x14ac:dyDescent="0.15">
      <c r="B421" s="12" t="s">
        <v>3</v>
      </c>
      <c r="C421" s="14"/>
      <c r="D421" s="14"/>
      <c r="E421" s="16">
        <v>1</v>
      </c>
      <c r="F421" s="15"/>
      <c r="G421" s="14"/>
      <c r="H421" s="13">
        <f t="shared" si="31"/>
        <v>1</v>
      </c>
      <c r="I421" s="25">
        <v>45758</v>
      </c>
    </row>
    <row r="422" spans="2:9" x14ac:dyDescent="0.15">
      <c r="B422" s="12" t="s">
        <v>3</v>
      </c>
      <c r="C422" s="14"/>
      <c r="D422" s="14"/>
      <c r="E422" s="16"/>
      <c r="F422" s="15">
        <v>1</v>
      </c>
      <c r="G422" s="14">
        <v>1</v>
      </c>
      <c r="H422" s="13">
        <f t="shared" si="31"/>
        <v>2</v>
      </c>
      <c r="I422" s="25">
        <v>45761</v>
      </c>
    </row>
    <row r="423" spans="2:9" x14ac:dyDescent="0.15">
      <c r="B423" s="12" t="s">
        <v>3</v>
      </c>
      <c r="C423" s="14">
        <v>1</v>
      </c>
      <c r="D423" s="14">
        <v>1</v>
      </c>
      <c r="E423" s="16"/>
      <c r="F423" s="15"/>
      <c r="G423" s="14"/>
      <c r="H423" s="13">
        <f t="shared" si="31"/>
        <v>2</v>
      </c>
      <c r="I423" s="25">
        <v>45770</v>
      </c>
    </row>
    <row r="424" spans="2:9" x14ac:dyDescent="0.15">
      <c r="B424" s="12" t="s">
        <v>3</v>
      </c>
      <c r="C424" s="14">
        <v>1</v>
      </c>
      <c r="D424" s="14">
        <v>1</v>
      </c>
      <c r="E424" s="16"/>
      <c r="F424" s="15"/>
      <c r="G424" s="14"/>
      <c r="H424" s="13">
        <f t="shared" si="31"/>
        <v>2</v>
      </c>
      <c r="I424" s="25">
        <v>45772</v>
      </c>
    </row>
    <row r="425" spans="2:9" x14ac:dyDescent="0.15">
      <c r="B425" s="24"/>
      <c r="C425" s="21"/>
      <c r="D425" s="21">
        <v>-1</v>
      </c>
      <c r="E425" s="23">
        <v>-1</v>
      </c>
      <c r="F425" s="22">
        <v>-1</v>
      </c>
      <c r="G425" s="21"/>
      <c r="H425" s="59">
        <f t="shared" si="31"/>
        <v>-3</v>
      </c>
      <c r="I425" s="20"/>
    </row>
    <row r="426" spans="2:9" x14ac:dyDescent="0.15">
      <c r="B426" s="12" t="s">
        <v>3</v>
      </c>
      <c r="C426" s="14"/>
      <c r="D426" s="14"/>
      <c r="E426" s="16"/>
      <c r="F426" s="15">
        <f>1+2</f>
        <v>3</v>
      </c>
      <c r="G426" s="14">
        <v>1</v>
      </c>
      <c r="H426" s="13">
        <f t="shared" si="31"/>
        <v>4</v>
      </c>
      <c r="I426" s="25">
        <v>45789</v>
      </c>
    </row>
    <row r="427" spans="2:9" x14ac:dyDescent="0.15">
      <c r="B427" s="12" t="s">
        <v>3</v>
      </c>
      <c r="C427" s="14">
        <v>5</v>
      </c>
      <c r="D427" s="14"/>
      <c r="E427" s="16"/>
      <c r="F427" s="15">
        <v>3</v>
      </c>
      <c r="G427" s="14"/>
      <c r="H427" s="13">
        <f t="shared" si="31"/>
        <v>8</v>
      </c>
      <c r="I427" s="25">
        <v>45790</v>
      </c>
    </row>
    <row r="428" spans="2:9" x14ac:dyDescent="0.15">
      <c r="B428" s="12" t="s">
        <v>3</v>
      </c>
      <c r="C428" s="14">
        <v>1</v>
      </c>
      <c r="D428" s="14"/>
      <c r="E428" s="16"/>
      <c r="F428" s="15">
        <v>1</v>
      </c>
      <c r="G428" s="14">
        <v>1</v>
      </c>
      <c r="H428" s="13">
        <f t="shared" si="31"/>
        <v>3</v>
      </c>
      <c r="I428" s="25">
        <v>45792</v>
      </c>
    </row>
    <row r="429" spans="2:9" x14ac:dyDescent="0.15">
      <c r="B429" s="12" t="s">
        <v>3</v>
      </c>
      <c r="C429" s="14">
        <v>1</v>
      </c>
      <c r="D429" s="14"/>
      <c r="E429" s="16"/>
      <c r="F429" s="15"/>
      <c r="G429" s="14"/>
      <c r="H429" s="13">
        <f t="shared" si="31"/>
        <v>1</v>
      </c>
      <c r="I429" s="25">
        <v>45796</v>
      </c>
    </row>
    <row r="430" spans="2:9" x14ac:dyDescent="0.15">
      <c r="B430" s="12" t="s">
        <v>3</v>
      </c>
      <c r="C430" s="14"/>
      <c r="D430" s="14"/>
      <c r="E430" s="16"/>
      <c r="F430" s="15">
        <f>2+1</f>
        <v>3</v>
      </c>
      <c r="G430" s="14"/>
      <c r="H430" s="13">
        <f t="shared" si="31"/>
        <v>3</v>
      </c>
      <c r="I430" s="25">
        <v>45805</v>
      </c>
    </row>
    <row r="431" spans="2:9" x14ac:dyDescent="0.15">
      <c r="B431" s="12" t="s">
        <v>3</v>
      </c>
      <c r="C431" s="14">
        <v>1</v>
      </c>
      <c r="D431" s="14"/>
      <c r="E431" s="16"/>
      <c r="F431" s="15"/>
      <c r="G431" s="14"/>
      <c r="H431" s="13">
        <f t="shared" si="31"/>
        <v>1</v>
      </c>
      <c r="I431" s="25">
        <v>45811</v>
      </c>
    </row>
    <row r="432" spans="2:9" x14ac:dyDescent="0.15">
      <c r="B432" s="12" t="s">
        <v>3</v>
      </c>
      <c r="C432" s="14"/>
      <c r="D432" s="14">
        <v>1</v>
      </c>
      <c r="E432" s="16"/>
      <c r="F432" s="15">
        <v>2</v>
      </c>
      <c r="G432" s="14"/>
      <c r="H432" s="13">
        <f t="shared" si="31"/>
        <v>3</v>
      </c>
      <c r="I432" s="25">
        <v>45824</v>
      </c>
    </row>
    <row r="433" spans="2:9" x14ac:dyDescent="0.15">
      <c r="B433" s="12" t="s">
        <v>3</v>
      </c>
      <c r="C433" s="14">
        <v>1</v>
      </c>
      <c r="D433" s="14"/>
      <c r="E433" s="16"/>
      <c r="F433" s="15">
        <v>1</v>
      </c>
      <c r="G433" s="14">
        <v>1</v>
      </c>
      <c r="H433" s="13">
        <f t="shared" si="31"/>
        <v>3</v>
      </c>
      <c r="I433" s="25">
        <v>45826</v>
      </c>
    </row>
    <row r="434" spans="2:9" x14ac:dyDescent="0.15">
      <c r="B434" s="12" t="s">
        <v>3</v>
      </c>
      <c r="C434" s="14">
        <f>1+1</f>
        <v>2</v>
      </c>
      <c r="D434" s="14"/>
      <c r="E434" s="16">
        <v>1</v>
      </c>
      <c r="F434" s="15">
        <v>1</v>
      </c>
      <c r="G434" s="14"/>
      <c r="H434" s="13">
        <f t="shared" si="31"/>
        <v>4</v>
      </c>
      <c r="I434" s="25">
        <v>45828</v>
      </c>
    </row>
    <row r="435" spans="2:9" x14ac:dyDescent="0.15">
      <c r="B435" s="12" t="s">
        <v>3</v>
      </c>
      <c r="C435" s="14"/>
      <c r="D435" s="14">
        <v>1</v>
      </c>
      <c r="E435" s="16">
        <v>2</v>
      </c>
      <c r="F435" s="15"/>
      <c r="G435" s="14"/>
      <c r="H435" s="13">
        <f t="shared" si="31"/>
        <v>3</v>
      </c>
      <c r="I435" s="25">
        <v>45831</v>
      </c>
    </row>
    <row r="436" spans="2:9" x14ac:dyDescent="0.15">
      <c r="B436" s="12" t="s">
        <v>3</v>
      </c>
      <c r="C436" s="14">
        <v>1</v>
      </c>
      <c r="D436" s="14">
        <v>1</v>
      </c>
      <c r="E436" s="16"/>
      <c r="F436" s="15"/>
      <c r="G436" s="14"/>
      <c r="H436" s="13">
        <f t="shared" si="31"/>
        <v>2</v>
      </c>
      <c r="I436" s="25">
        <v>45833</v>
      </c>
    </row>
    <row r="437" spans="2:9" x14ac:dyDescent="0.15">
      <c r="B437" s="12" t="s">
        <v>3</v>
      </c>
      <c r="C437" s="14">
        <v>1</v>
      </c>
      <c r="D437" s="14">
        <v>1</v>
      </c>
      <c r="E437" s="16"/>
      <c r="F437" s="15">
        <v>1</v>
      </c>
      <c r="G437" s="14"/>
      <c r="H437" s="13">
        <f t="shared" si="31"/>
        <v>3</v>
      </c>
      <c r="I437" s="25">
        <v>45838</v>
      </c>
    </row>
    <row r="438" spans="2:9" x14ac:dyDescent="0.15">
      <c r="B438" s="12" t="s">
        <v>3</v>
      </c>
      <c r="C438" s="14"/>
      <c r="D438" s="14"/>
      <c r="E438" s="16"/>
      <c r="F438" s="15"/>
      <c r="G438" s="14">
        <v>1</v>
      </c>
      <c r="H438" s="13">
        <f t="shared" si="31"/>
        <v>1</v>
      </c>
      <c r="I438" s="25">
        <v>45847</v>
      </c>
    </row>
    <row r="439" spans="2:9" x14ac:dyDescent="0.15">
      <c r="B439" s="12" t="s">
        <v>3</v>
      </c>
      <c r="C439" s="14"/>
      <c r="D439" s="14"/>
      <c r="E439" s="16"/>
      <c r="F439" s="15">
        <v>2</v>
      </c>
      <c r="G439" s="14"/>
      <c r="H439" s="13">
        <f t="shared" si="31"/>
        <v>2</v>
      </c>
      <c r="I439" s="25">
        <v>45852</v>
      </c>
    </row>
    <row r="440" spans="2:9" x14ac:dyDescent="0.15">
      <c r="B440" s="12" t="s">
        <v>3</v>
      </c>
      <c r="C440" s="14"/>
      <c r="D440" s="14"/>
      <c r="E440" s="16"/>
      <c r="F440" s="15"/>
      <c r="G440" s="14">
        <v>1</v>
      </c>
      <c r="H440" s="13">
        <f t="shared" si="31"/>
        <v>1</v>
      </c>
      <c r="I440" s="25">
        <v>45853</v>
      </c>
    </row>
    <row r="441" spans="2:9" x14ac:dyDescent="0.15">
      <c r="B441" s="12" t="s">
        <v>3</v>
      </c>
      <c r="C441" s="14">
        <v>6</v>
      </c>
      <c r="D441" s="14"/>
      <c r="E441" s="16"/>
      <c r="F441" s="15"/>
      <c r="G441" s="14"/>
      <c r="H441" s="13">
        <f t="shared" si="31"/>
        <v>6</v>
      </c>
      <c r="I441" s="25">
        <v>45854</v>
      </c>
    </row>
    <row r="442" spans="2:9" x14ac:dyDescent="0.15">
      <c r="B442" s="12" t="s">
        <v>3</v>
      </c>
      <c r="C442" s="14">
        <v>1</v>
      </c>
      <c r="D442" s="14">
        <v>1</v>
      </c>
      <c r="E442" s="16"/>
      <c r="F442" s="15"/>
      <c r="G442" s="14"/>
      <c r="H442" s="13">
        <f t="shared" si="31"/>
        <v>2</v>
      </c>
      <c r="I442" s="25">
        <v>45860</v>
      </c>
    </row>
    <row r="443" spans="2:9" x14ac:dyDescent="0.15">
      <c r="B443" s="12" t="s">
        <v>3</v>
      </c>
      <c r="C443" s="14">
        <v>1</v>
      </c>
      <c r="D443" s="14"/>
      <c r="E443" s="16"/>
      <c r="F443" s="15"/>
      <c r="G443" s="14">
        <v>1</v>
      </c>
      <c r="H443" s="13">
        <f t="shared" si="29"/>
        <v>2</v>
      </c>
      <c r="I443" s="25">
        <v>45861</v>
      </c>
    </row>
    <row r="444" spans="2:9" ht="14.25" thickBot="1" x14ac:dyDescent="0.2">
      <c r="B444" s="12" t="s">
        <v>3</v>
      </c>
      <c r="C444" s="9"/>
      <c r="D444" s="9"/>
      <c r="E444" s="11">
        <v>1</v>
      </c>
      <c r="F444" s="10"/>
      <c r="G444" s="9">
        <v>1</v>
      </c>
      <c r="H444" s="8">
        <f t="shared" si="29"/>
        <v>2</v>
      </c>
      <c r="I444" s="25">
        <v>45862</v>
      </c>
    </row>
    <row r="445" spans="2:9" ht="14.25" thickBot="1" x14ac:dyDescent="0.2">
      <c r="B445" s="7" t="s">
        <v>1</v>
      </c>
      <c r="C445" s="5">
        <f>SUM(C420:C444)</f>
        <v>23</v>
      </c>
      <c r="D445" s="5">
        <f>SUM(D420:D444)</f>
        <v>6</v>
      </c>
      <c r="E445" s="6">
        <f>SUM(E420:E444)</f>
        <v>4</v>
      </c>
      <c r="F445" s="5">
        <f>SUM(F420:F444)</f>
        <v>18</v>
      </c>
      <c r="G445" s="5">
        <f>SUM(G420:G444)</f>
        <v>8</v>
      </c>
      <c r="H445" s="5">
        <f t="shared" si="29"/>
        <v>59</v>
      </c>
    </row>
    <row r="446" spans="2:9" ht="14.25" thickBot="1" x14ac:dyDescent="0.2">
      <c r="B446" s="4" t="s">
        <v>0</v>
      </c>
      <c r="C446" s="2">
        <f>+C419-C445</f>
        <v>2</v>
      </c>
      <c r="D446" s="2">
        <f>+D419-D445</f>
        <v>6</v>
      </c>
      <c r="E446" s="3">
        <f>+E419-E445</f>
        <v>6</v>
      </c>
      <c r="F446" s="2">
        <f>+F419-F445</f>
        <v>8</v>
      </c>
      <c r="G446" s="2">
        <f>+G419-G445</f>
        <v>0</v>
      </c>
      <c r="H446" s="2">
        <f t="shared" si="29"/>
        <v>22</v>
      </c>
    </row>
    <row r="448" spans="2:9" ht="18.75" x14ac:dyDescent="0.2">
      <c r="B448" s="39" t="s">
        <v>13</v>
      </c>
      <c r="C448" s="38"/>
      <c r="D448" s="38"/>
      <c r="E448" s="38"/>
      <c r="F448" s="38"/>
      <c r="G448" s="38"/>
    </row>
    <row r="449" spans="2:9" ht="14.25" thickBot="1" x14ac:dyDescent="0.2">
      <c r="H449">
        <v>460</v>
      </c>
    </row>
    <row r="450" spans="2:9" ht="14.25" thickBot="1" x14ac:dyDescent="0.2">
      <c r="B450" s="37"/>
      <c r="C450" s="55"/>
      <c r="D450" s="55"/>
      <c r="E450" s="55"/>
      <c r="F450" s="55"/>
      <c r="G450" s="55"/>
      <c r="H450" s="56"/>
    </row>
    <row r="451" spans="2:9" ht="14.25" thickBot="1" x14ac:dyDescent="0.2">
      <c r="B451" s="36"/>
      <c r="C451" s="58" t="s">
        <v>8</v>
      </c>
      <c r="D451" s="53" t="s">
        <v>9</v>
      </c>
      <c r="E451" s="51" t="s">
        <v>12</v>
      </c>
      <c r="F451" s="52" t="s">
        <v>11</v>
      </c>
      <c r="G451" s="57" t="s">
        <v>10</v>
      </c>
      <c r="H451" s="35" t="s">
        <v>7</v>
      </c>
    </row>
    <row r="452" spans="2:9" x14ac:dyDescent="0.15">
      <c r="B452" s="34" t="s">
        <v>6</v>
      </c>
      <c r="C452" s="32">
        <f>C446</f>
        <v>2</v>
      </c>
      <c r="D452" s="32">
        <f>D446</f>
        <v>6</v>
      </c>
      <c r="E452" s="33">
        <f>E446</f>
        <v>6</v>
      </c>
      <c r="F452" s="32">
        <f>F446</f>
        <v>8</v>
      </c>
      <c r="G452" s="32">
        <f>G446</f>
        <v>0</v>
      </c>
      <c r="H452" s="32">
        <f>SUM(C452:G452)</f>
        <v>22</v>
      </c>
    </row>
    <row r="453" spans="2:9" x14ac:dyDescent="0.15">
      <c r="B453" s="31" t="s">
        <v>5</v>
      </c>
      <c r="C453" s="14">
        <v>10</v>
      </c>
      <c r="D453" s="14">
        <v>5</v>
      </c>
      <c r="E453" s="16"/>
      <c r="F453" s="15"/>
      <c r="G453" s="14">
        <v>3</v>
      </c>
      <c r="H453" s="13">
        <f t="shared" ref="H453:H488" si="32">SUM(C453:G453)</f>
        <v>18</v>
      </c>
      <c r="I453" s="25">
        <v>45878</v>
      </c>
    </row>
    <row r="454" spans="2:9" x14ac:dyDescent="0.15">
      <c r="B454" s="31" t="s">
        <v>14</v>
      </c>
      <c r="C454" s="14">
        <v>-1</v>
      </c>
      <c r="D454" s="14">
        <v>-2</v>
      </c>
      <c r="E454" s="16">
        <v>0</v>
      </c>
      <c r="F454" s="15">
        <v>0</v>
      </c>
      <c r="G454" s="14">
        <v>0</v>
      </c>
      <c r="H454" s="13">
        <f t="shared" si="32"/>
        <v>-3</v>
      </c>
      <c r="I454" s="25">
        <v>45889</v>
      </c>
    </row>
    <row r="455" spans="2:9" x14ac:dyDescent="0.15">
      <c r="B455" s="31" t="s">
        <v>5</v>
      </c>
      <c r="C455" s="14"/>
      <c r="D455" s="14">
        <v>10</v>
      </c>
      <c r="E455" s="16"/>
      <c r="F455" s="15"/>
      <c r="G455" s="14"/>
      <c r="H455" s="13">
        <f t="shared" si="32"/>
        <v>10</v>
      </c>
      <c r="I455" s="25">
        <v>45926</v>
      </c>
    </row>
    <row r="456" spans="2:9" x14ac:dyDescent="0.15">
      <c r="B456" s="31" t="s">
        <v>5</v>
      </c>
      <c r="C456" s="14">
        <v>5</v>
      </c>
      <c r="D456" s="14"/>
      <c r="E456" s="16"/>
      <c r="F456" s="15">
        <v>10</v>
      </c>
      <c r="G456" s="14">
        <v>2</v>
      </c>
      <c r="H456" s="13">
        <f t="shared" si="32"/>
        <v>17</v>
      </c>
      <c r="I456" s="25">
        <v>45930</v>
      </c>
    </row>
    <row r="457" spans="2:9" x14ac:dyDescent="0.15">
      <c r="B457" s="31" t="s">
        <v>5</v>
      </c>
      <c r="C457" s="14">
        <v>5</v>
      </c>
      <c r="D457" s="14">
        <v>10</v>
      </c>
      <c r="E457" s="16">
        <v>2</v>
      </c>
      <c r="F457" s="15"/>
      <c r="G457" s="14">
        <v>2</v>
      </c>
      <c r="H457" s="13">
        <f t="shared" si="32"/>
        <v>19</v>
      </c>
      <c r="I457" s="25">
        <v>45948</v>
      </c>
    </row>
    <row r="458" spans="2:9" x14ac:dyDescent="0.15">
      <c r="B458" s="50" t="s">
        <v>5</v>
      </c>
      <c r="C458" s="21"/>
      <c r="D458" s="21"/>
      <c r="E458" s="23">
        <v>3</v>
      </c>
      <c r="F458" s="22"/>
      <c r="G458" s="21">
        <v>3</v>
      </c>
      <c r="H458" s="59">
        <f t="shared" si="32"/>
        <v>6</v>
      </c>
      <c r="I458" s="20">
        <v>45971</v>
      </c>
    </row>
    <row r="459" spans="2:9" x14ac:dyDescent="0.15">
      <c r="B459" s="31" t="s">
        <v>5</v>
      </c>
      <c r="C459" s="14"/>
      <c r="D459" s="14"/>
      <c r="E459" s="16"/>
      <c r="F459" s="15"/>
      <c r="G459" s="14"/>
      <c r="H459" s="13">
        <f t="shared" si="32"/>
        <v>0</v>
      </c>
    </row>
    <row r="460" spans="2:9" ht="14.25" thickBot="1" x14ac:dyDescent="0.2">
      <c r="B460" s="31" t="s">
        <v>5</v>
      </c>
      <c r="C460" s="14"/>
      <c r="D460" s="14"/>
      <c r="E460" s="16"/>
      <c r="F460" s="15"/>
      <c r="G460" s="14"/>
      <c r="H460" s="13">
        <f t="shared" si="32"/>
        <v>0</v>
      </c>
    </row>
    <row r="461" spans="2:9" ht="14.25" thickBot="1" x14ac:dyDescent="0.2">
      <c r="B461" s="29" t="s">
        <v>4</v>
      </c>
      <c r="C461" s="27">
        <f>SUM(C452:C460)</f>
        <v>21</v>
      </c>
      <c r="D461" s="27">
        <f>SUM(D452:D460)</f>
        <v>29</v>
      </c>
      <c r="E461" s="27">
        <f>SUM(E452:E460)</f>
        <v>11</v>
      </c>
      <c r="F461" s="27">
        <f t="shared" ref="F461:G461" si="33">SUM(F452:F460)</f>
        <v>18</v>
      </c>
      <c r="G461" s="27">
        <f t="shared" si="33"/>
        <v>10</v>
      </c>
      <c r="H461" s="27">
        <f t="shared" si="32"/>
        <v>89</v>
      </c>
    </row>
    <row r="462" spans="2:9" x14ac:dyDescent="0.15">
      <c r="B462" s="12" t="s">
        <v>3</v>
      </c>
      <c r="C462" s="14"/>
      <c r="D462" s="14">
        <v>3</v>
      </c>
      <c r="E462" s="16"/>
      <c r="F462" s="15"/>
      <c r="G462" s="14"/>
      <c r="H462" s="13">
        <f t="shared" si="32"/>
        <v>3</v>
      </c>
      <c r="I462" s="25">
        <v>45866</v>
      </c>
    </row>
    <row r="463" spans="2:9" x14ac:dyDescent="0.15">
      <c r="B463" s="12" t="s">
        <v>3</v>
      </c>
      <c r="C463" s="14"/>
      <c r="D463" s="14">
        <v>1</v>
      </c>
      <c r="E463" s="16"/>
      <c r="F463" s="15">
        <v>3</v>
      </c>
      <c r="G463" s="14"/>
      <c r="H463" s="13">
        <f t="shared" si="32"/>
        <v>4</v>
      </c>
      <c r="I463" s="25">
        <v>45887</v>
      </c>
    </row>
    <row r="464" spans="2:9" x14ac:dyDescent="0.15">
      <c r="B464" s="12" t="s">
        <v>3</v>
      </c>
      <c r="C464" s="14"/>
      <c r="D464" s="14"/>
      <c r="E464" s="16"/>
      <c r="F464" s="15">
        <v>1</v>
      </c>
      <c r="G464" s="14"/>
      <c r="H464" s="13">
        <f t="shared" si="32"/>
        <v>1</v>
      </c>
      <c r="I464" s="25">
        <v>45894</v>
      </c>
    </row>
    <row r="465" spans="2:9" x14ac:dyDescent="0.15">
      <c r="B465" s="12" t="s">
        <v>3</v>
      </c>
      <c r="C465" s="14"/>
      <c r="D465" s="14"/>
      <c r="E465" s="16"/>
      <c r="F465" s="15">
        <v>1</v>
      </c>
      <c r="G465" s="14"/>
      <c r="H465" s="13">
        <f t="shared" si="32"/>
        <v>1</v>
      </c>
      <c r="I465" s="25">
        <v>45901</v>
      </c>
    </row>
    <row r="466" spans="2:9" x14ac:dyDescent="0.15">
      <c r="B466" s="12" t="s">
        <v>3</v>
      </c>
      <c r="C466" s="14">
        <v>1</v>
      </c>
      <c r="D466" s="14"/>
      <c r="E466" s="16"/>
      <c r="F466" s="15"/>
      <c r="G466" s="14"/>
      <c r="H466" s="13">
        <f t="shared" si="32"/>
        <v>1</v>
      </c>
      <c r="I466" s="25">
        <v>45903</v>
      </c>
    </row>
    <row r="467" spans="2:9" x14ac:dyDescent="0.15">
      <c r="B467" s="12" t="s">
        <v>3</v>
      </c>
      <c r="C467" s="14">
        <v>1</v>
      </c>
      <c r="D467" s="14"/>
      <c r="E467" s="16"/>
      <c r="F467" s="15"/>
      <c r="G467" s="14"/>
      <c r="H467" s="13">
        <f t="shared" si="32"/>
        <v>1</v>
      </c>
      <c r="I467" s="25">
        <v>45904</v>
      </c>
    </row>
    <row r="468" spans="2:9" x14ac:dyDescent="0.15">
      <c r="B468" s="12" t="s">
        <v>3</v>
      </c>
      <c r="C468" s="14">
        <v>1</v>
      </c>
      <c r="D468" s="14"/>
      <c r="E468" s="16"/>
      <c r="F468" s="15"/>
      <c r="G468" s="14"/>
      <c r="H468" s="13">
        <f t="shared" si="32"/>
        <v>1</v>
      </c>
      <c r="I468" s="25">
        <v>45908</v>
      </c>
    </row>
    <row r="469" spans="2:9" x14ac:dyDescent="0.15">
      <c r="B469" s="12" t="s">
        <v>3</v>
      </c>
      <c r="C469" s="14"/>
      <c r="D469" s="14"/>
      <c r="E469" s="16">
        <v>1</v>
      </c>
      <c r="F469" s="15"/>
      <c r="G469" s="14"/>
      <c r="H469" s="13">
        <f t="shared" si="32"/>
        <v>1</v>
      </c>
      <c r="I469" s="25">
        <v>45910</v>
      </c>
    </row>
    <row r="470" spans="2:9" x14ac:dyDescent="0.15">
      <c r="B470" s="12" t="s">
        <v>3</v>
      </c>
      <c r="C470" s="14">
        <v>2</v>
      </c>
      <c r="D470" s="14">
        <v>4</v>
      </c>
      <c r="E470" s="16"/>
      <c r="F470" s="15"/>
      <c r="G470" s="14"/>
      <c r="H470" s="13">
        <f t="shared" si="32"/>
        <v>6</v>
      </c>
      <c r="I470" s="25">
        <v>45916</v>
      </c>
    </row>
    <row r="471" spans="2:9" x14ac:dyDescent="0.15">
      <c r="B471" s="12" t="s">
        <v>3</v>
      </c>
      <c r="C471" s="14"/>
      <c r="D471" s="14"/>
      <c r="E471" s="16"/>
      <c r="F471" s="15">
        <v>1</v>
      </c>
      <c r="G471" s="14">
        <v>1</v>
      </c>
      <c r="H471" s="13">
        <f t="shared" si="32"/>
        <v>2</v>
      </c>
      <c r="I471" s="25">
        <v>45919</v>
      </c>
    </row>
    <row r="472" spans="2:9" x14ac:dyDescent="0.15">
      <c r="B472" s="12" t="s">
        <v>3</v>
      </c>
      <c r="C472" s="14">
        <v>1</v>
      </c>
      <c r="D472" s="14">
        <v>1</v>
      </c>
      <c r="E472" s="16"/>
      <c r="F472" s="15"/>
      <c r="G472" s="14"/>
      <c r="H472" s="13">
        <f t="shared" si="32"/>
        <v>2</v>
      </c>
      <c r="I472" s="25">
        <v>45922</v>
      </c>
    </row>
    <row r="473" spans="2:9" x14ac:dyDescent="0.15">
      <c r="B473" s="12" t="s">
        <v>3</v>
      </c>
      <c r="C473" s="14">
        <v>1</v>
      </c>
      <c r="D473" s="14"/>
      <c r="E473" s="16">
        <v>1</v>
      </c>
      <c r="F473" s="15">
        <v>1</v>
      </c>
      <c r="G473" s="14">
        <v>1</v>
      </c>
      <c r="H473" s="13">
        <f t="shared" si="32"/>
        <v>4</v>
      </c>
      <c r="I473" s="25">
        <v>45924</v>
      </c>
    </row>
    <row r="474" spans="2:9" x14ac:dyDescent="0.15">
      <c r="B474" s="12" t="s">
        <v>3</v>
      </c>
      <c r="C474" s="14"/>
      <c r="D474" s="14">
        <v>3</v>
      </c>
      <c r="E474" s="16"/>
      <c r="F474" s="15"/>
      <c r="G474" s="14"/>
      <c r="H474" s="13">
        <f t="shared" si="32"/>
        <v>3</v>
      </c>
      <c r="I474" s="25">
        <v>45926</v>
      </c>
    </row>
    <row r="475" spans="2:9" x14ac:dyDescent="0.15">
      <c r="B475" s="12" t="s">
        <v>3</v>
      </c>
      <c r="C475" s="14"/>
      <c r="D475" s="14">
        <v>1</v>
      </c>
      <c r="E475" s="16"/>
      <c r="F475" s="15">
        <f>2+1</f>
        <v>3</v>
      </c>
      <c r="G475" s="14"/>
      <c r="H475" s="13">
        <f t="shared" si="32"/>
        <v>4</v>
      </c>
      <c r="I475" s="25">
        <v>45930</v>
      </c>
    </row>
    <row r="476" spans="2:9" x14ac:dyDescent="0.15">
      <c r="B476" s="12" t="s">
        <v>3</v>
      </c>
      <c r="C476" s="14">
        <v>1</v>
      </c>
      <c r="D476" s="14">
        <v>1</v>
      </c>
      <c r="E476" s="16">
        <v>1</v>
      </c>
      <c r="F476" s="15">
        <v>1</v>
      </c>
      <c r="G476" s="14">
        <v>1</v>
      </c>
      <c r="H476" s="13">
        <f t="shared" si="32"/>
        <v>5</v>
      </c>
      <c r="I476" s="25">
        <v>45936</v>
      </c>
    </row>
    <row r="477" spans="2:9" x14ac:dyDescent="0.15">
      <c r="B477" s="12" t="s">
        <v>3</v>
      </c>
      <c r="C477" s="14">
        <v>2</v>
      </c>
      <c r="D477" s="14"/>
      <c r="E477" s="16">
        <v>2</v>
      </c>
      <c r="F477" s="15"/>
      <c r="G477" s="14"/>
      <c r="H477" s="13">
        <f t="shared" si="32"/>
        <v>4</v>
      </c>
      <c r="I477" s="25">
        <v>45946</v>
      </c>
    </row>
    <row r="478" spans="2:9" x14ac:dyDescent="0.15">
      <c r="B478" s="12" t="s">
        <v>3</v>
      </c>
      <c r="C478" s="14"/>
      <c r="D478" s="14"/>
      <c r="E478" s="16"/>
      <c r="F478" s="15"/>
      <c r="G478" s="14">
        <v>1</v>
      </c>
      <c r="H478" s="13">
        <f t="shared" si="32"/>
        <v>1</v>
      </c>
      <c r="I478" s="25">
        <v>45947</v>
      </c>
    </row>
    <row r="479" spans="2:9" x14ac:dyDescent="0.15">
      <c r="B479" s="12" t="s">
        <v>3</v>
      </c>
      <c r="C479" s="14">
        <v>2</v>
      </c>
      <c r="D479" s="14"/>
      <c r="E479" s="16">
        <v>2</v>
      </c>
      <c r="F479" s="15"/>
      <c r="G479" s="14">
        <v>2</v>
      </c>
      <c r="H479" s="13">
        <f t="shared" si="32"/>
        <v>6</v>
      </c>
      <c r="I479" s="25">
        <v>45950</v>
      </c>
    </row>
    <row r="480" spans="2:9" x14ac:dyDescent="0.15">
      <c r="B480" s="12" t="s">
        <v>3</v>
      </c>
      <c r="C480" s="14"/>
      <c r="D480" s="14">
        <v>3</v>
      </c>
      <c r="E480" s="16">
        <v>1</v>
      </c>
      <c r="F480" s="15"/>
      <c r="G480" s="14"/>
      <c r="H480" s="13">
        <f t="shared" si="32"/>
        <v>4</v>
      </c>
      <c r="I480" s="25">
        <v>45957</v>
      </c>
    </row>
    <row r="481" spans="2:9" x14ac:dyDescent="0.15">
      <c r="B481" s="12" t="s">
        <v>3</v>
      </c>
      <c r="C481" s="14">
        <v>1</v>
      </c>
      <c r="D481" s="14"/>
      <c r="E481" s="16"/>
      <c r="F481" s="15"/>
      <c r="G481" s="14"/>
      <c r="H481" s="13">
        <f t="shared" si="32"/>
        <v>1</v>
      </c>
      <c r="I481" s="25">
        <v>45960</v>
      </c>
    </row>
    <row r="482" spans="2:9" x14ac:dyDescent="0.15">
      <c r="B482" s="12" t="s">
        <v>3</v>
      </c>
      <c r="C482" s="14">
        <v>1</v>
      </c>
      <c r="D482" s="14"/>
      <c r="E482" s="16"/>
      <c r="F482" s="15"/>
      <c r="G482" s="14"/>
      <c r="H482" s="13">
        <f t="shared" si="32"/>
        <v>1</v>
      </c>
      <c r="I482" s="25">
        <v>45961</v>
      </c>
    </row>
    <row r="483" spans="2:9" x14ac:dyDescent="0.15">
      <c r="B483" s="12" t="s">
        <v>3</v>
      </c>
      <c r="C483" s="14">
        <v>1</v>
      </c>
      <c r="D483" s="14"/>
      <c r="E483" s="16"/>
      <c r="F483" s="15"/>
      <c r="G483" s="14"/>
      <c r="H483" s="13">
        <f t="shared" si="32"/>
        <v>1</v>
      </c>
      <c r="I483" s="25">
        <v>45965</v>
      </c>
    </row>
    <row r="484" spans="2:9" x14ac:dyDescent="0.15">
      <c r="B484" s="12" t="s">
        <v>3</v>
      </c>
      <c r="C484" s="14">
        <v>1</v>
      </c>
      <c r="D484" s="14"/>
      <c r="E484" s="16"/>
      <c r="F484" s="15">
        <v>1</v>
      </c>
      <c r="G484" s="14">
        <v>1</v>
      </c>
      <c r="H484" s="13">
        <f t="shared" si="32"/>
        <v>3</v>
      </c>
      <c r="I484" s="25">
        <v>45966</v>
      </c>
    </row>
    <row r="485" spans="2:9" x14ac:dyDescent="0.15">
      <c r="B485" s="12" t="s">
        <v>3</v>
      </c>
      <c r="C485" s="14"/>
      <c r="D485" s="14">
        <v>3</v>
      </c>
      <c r="E485" s="16">
        <v>1</v>
      </c>
      <c r="F485" s="15">
        <v>2</v>
      </c>
      <c r="G485" s="14">
        <v>1</v>
      </c>
      <c r="H485" s="13">
        <f t="shared" si="32"/>
        <v>7</v>
      </c>
      <c r="I485" s="25">
        <v>45971</v>
      </c>
    </row>
    <row r="486" spans="2:9" ht="14.25" thickBot="1" x14ac:dyDescent="0.2">
      <c r="B486" s="12" t="s">
        <v>3</v>
      </c>
      <c r="C486" s="9">
        <v>1</v>
      </c>
      <c r="D486" s="9"/>
      <c r="E486" s="11"/>
      <c r="F486" s="10"/>
      <c r="G486" s="9"/>
      <c r="H486" s="8">
        <f t="shared" si="32"/>
        <v>1</v>
      </c>
      <c r="I486" s="25">
        <v>45974</v>
      </c>
    </row>
    <row r="487" spans="2:9" ht="14.25" thickBot="1" x14ac:dyDescent="0.2">
      <c r="B487" s="7" t="s">
        <v>1</v>
      </c>
      <c r="C487" s="5">
        <f>SUM(C462:C486)</f>
        <v>17</v>
      </c>
      <c r="D487" s="5">
        <f>SUM(D462:D486)</f>
        <v>20</v>
      </c>
      <c r="E487" s="6">
        <f>SUM(E462:E486)</f>
        <v>9</v>
      </c>
      <c r="F487" s="5">
        <f>SUM(F462:F486)</f>
        <v>14</v>
      </c>
      <c r="G487" s="5">
        <f>SUM(G462:G486)</f>
        <v>8</v>
      </c>
      <c r="H487" s="5">
        <f t="shared" si="32"/>
        <v>68</v>
      </c>
    </row>
    <row r="488" spans="2:9" ht="14.25" thickBot="1" x14ac:dyDescent="0.2">
      <c r="B488" s="4" t="s">
        <v>0</v>
      </c>
      <c r="C488" s="2">
        <f>+C461-C487</f>
        <v>4</v>
      </c>
      <c r="D488" s="2">
        <f>+D461-D487</f>
        <v>9</v>
      </c>
      <c r="E488" s="3">
        <f>+E461-E487</f>
        <v>2</v>
      </c>
      <c r="F488" s="2">
        <f>+F461-F487</f>
        <v>4</v>
      </c>
      <c r="G488" s="2">
        <f>+G461-G487</f>
        <v>2</v>
      </c>
      <c r="H488" s="2">
        <f t="shared" si="32"/>
        <v>21</v>
      </c>
    </row>
    <row r="490" spans="2:9" ht="18.75" x14ac:dyDescent="0.2">
      <c r="B490" s="39" t="s">
        <v>13</v>
      </c>
      <c r="C490" s="38"/>
      <c r="D490" s="38"/>
      <c r="E490" s="38"/>
      <c r="F490" s="38"/>
      <c r="G490" s="38"/>
    </row>
    <row r="491" spans="2:9" ht="14.25" thickBot="1" x14ac:dyDescent="0.2">
      <c r="H491">
        <v>460</v>
      </c>
    </row>
    <row r="492" spans="2:9" ht="14.25" thickBot="1" x14ac:dyDescent="0.2">
      <c r="B492" s="37"/>
      <c r="C492" s="55"/>
      <c r="D492" s="55"/>
      <c r="E492" s="55"/>
      <c r="F492" s="55"/>
      <c r="G492" s="55"/>
      <c r="H492" s="56"/>
    </row>
    <row r="493" spans="2:9" ht="14.25" thickBot="1" x14ac:dyDescent="0.2">
      <c r="B493" s="36"/>
      <c r="C493" s="58" t="s">
        <v>8</v>
      </c>
      <c r="D493" s="53" t="s">
        <v>9</v>
      </c>
      <c r="E493" s="51" t="s">
        <v>12</v>
      </c>
      <c r="F493" s="52" t="s">
        <v>11</v>
      </c>
      <c r="G493" s="57" t="s">
        <v>10</v>
      </c>
      <c r="H493" s="35" t="s">
        <v>7</v>
      </c>
    </row>
    <row r="494" spans="2:9" x14ac:dyDescent="0.15">
      <c r="B494" s="34" t="s">
        <v>6</v>
      </c>
      <c r="C494" s="32">
        <f>C488</f>
        <v>4</v>
      </c>
      <c r="D494" s="32">
        <f>D488</f>
        <v>9</v>
      </c>
      <c r="E494" s="33">
        <f>E488</f>
        <v>2</v>
      </c>
      <c r="F494" s="32">
        <f>F488</f>
        <v>4</v>
      </c>
      <c r="G494" s="32">
        <f>G488</f>
        <v>2</v>
      </c>
      <c r="H494" s="32">
        <f>SUM(C494:G494)</f>
        <v>21</v>
      </c>
    </row>
    <row r="495" spans="2:9" x14ac:dyDescent="0.15">
      <c r="B495" s="31" t="s">
        <v>5</v>
      </c>
      <c r="C495" s="14">
        <v>10</v>
      </c>
      <c r="D495" s="14">
        <v>5</v>
      </c>
      <c r="E495" s="16">
        <v>3</v>
      </c>
      <c r="F495" s="15">
        <v>3</v>
      </c>
      <c r="G495" s="14">
        <v>3</v>
      </c>
      <c r="H495" s="13">
        <f t="shared" ref="H495:H530" si="34">SUM(C495:G495)</f>
        <v>24</v>
      </c>
      <c r="I495" s="25">
        <v>46000</v>
      </c>
    </row>
    <row r="496" spans="2:9" x14ac:dyDescent="0.15">
      <c r="B496" s="31" t="s">
        <v>5</v>
      </c>
      <c r="C496" s="14">
        <v>10</v>
      </c>
      <c r="D496" s="14"/>
      <c r="E496" s="16"/>
      <c r="F496" s="15"/>
      <c r="G496" s="14">
        <v>3</v>
      </c>
      <c r="H496" s="13">
        <f t="shared" si="34"/>
        <v>13</v>
      </c>
      <c r="I496" s="25">
        <v>46032</v>
      </c>
    </row>
    <row r="497" spans="2:9" x14ac:dyDescent="0.15">
      <c r="B497" s="31" t="s">
        <v>5</v>
      </c>
      <c r="C497" s="14"/>
      <c r="D497" s="14"/>
      <c r="E497" s="16">
        <v>2</v>
      </c>
      <c r="F497" s="15"/>
      <c r="G497" s="14">
        <v>2</v>
      </c>
      <c r="H497" s="13">
        <f t="shared" si="34"/>
        <v>4</v>
      </c>
      <c r="I497" s="25">
        <v>46056</v>
      </c>
    </row>
    <row r="498" spans="2:9" x14ac:dyDescent="0.15">
      <c r="B498" s="31" t="s">
        <v>14</v>
      </c>
      <c r="C498" s="14">
        <v>0</v>
      </c>
      <c r="D498" s="14">
        <v>0</v>
      </c>
      <c r="E498" s="16">
        <v>0</v>
      </c>
      <c r="F498" s="15">
        <v>0</v>
      </c>
      <c r="G498" s="14">
        <v>0</v>
      </c>
      <c r="H498" s="13">
        <f t="shared" si="34"/>
        <v>0</v>
      </c>
      <c r="I498" s="25">
        <v>46054</v>
      </c>
    </row>
    <row r="499" spans="2:9" x14ac:dyDescent="0.15">
      <c r="B499" s="31" t="s">
        <v>5</v>
      </c>
      <c r="C499" s="14">
        <v>3</v>
      </c>
      <c r="D499" s="14"/>
      <c r="E499" s="16"/>
      <c r="F499" s="15">
        <v>3</v>
      </c>
      <c r="G499" s="14">
        <v>2</v>
      </c>
      <c r="H499" s="13">
        <f t="shared" si="34"/>
        <v>8</v>
      </c>
      <c r="I499" s="25">
        <v>46136</v>
      </c>
    </row>
    <row r="500" spans="2:9" x14ac:dyDescent="0.15">
      <c r="B500" s="31" t="s">
        <v>5</v>
      </c>
      <c r="C500" s="14"/>
      <c r="D500" s="14"/>
      <c r="E500" s="16"/>
      <c r="F500" s="15"/>
      <c r="G500" s="14"/>
      <c r="H500" s="13">
        <f t="shared" si="34"/>
        <v>0</v>
      </c>
    </row>
    <row r="501" spans="2:9" x14ac:dyDescent="0.15">
      <c r="B501" s="31" t="s">
        <v>5</v>
      </c>
      <c r="C501" s="14"/>
      <c r="D501" s="14"/>
      <c r="E501" s="16"/>
      <c r="F501" s="15"/>
      <c r="G501" s="14"/>
      <c r="H501" s="13">
        <f t="shared" si="34"/>
        <v>0</v>
      </c>
    </row>
    <row r="502" spans="2:9" ht="14.25" thickBot="1" x14ac:dyDescent="0.2">
      <c r="B502" s="31" t="s">
        <v>5</v>
      </c>
      <c r="C502" s="14"/>
      <c r="D502" s="14"/>
      <c r="E502" s="16"/>
      <c r="F502" s="15"/>
      <c r="G502" s="14"/>
      <c r="H502" s="13">
        <f t="shared" si="34"/>
        <v>0</v>
      </c>
    </row>
    <row r="503" spans="2:9" ht="14.25" thickBot="1" x14ac:dyDescent="0.2">
      <c r="B503" s="29" t="s">
        <v>4</v>
      </c>
      <c r="C503" s="27">
        <f>SUM(C494:C502)</f>
        <v>27</v>
      </c>
      <c r="D503" s="27">
        <f>SUM(D494:D502)</f>
        <v>14</v>
      </c>
      <c r="E503" s="27">
        <f>SUM(E494:E502)</f>
        <v>7</v>
      </c>
      <c r="F503" s="27">
        <f t="shared" ref="F503:G503" si="35">SUM(F494:F502)</f>
        <v>10</v>
      </c>
      <c r="G503" s="27">
        <f t="shared" si="35"/>
        <v>12</v>
      </c>
      <c r="H503" s="27">
        <f t="shared" si="34"/>
        <v>70</v>
      </c>
    </row>
    <row r="504" spans="2:9" x14ac:dyDescent="0.15">
      <c r="B504" s="12" t="s">
        <v>3</v>
      </c>
      <c r="C504" s="14"/>
      <c r="D504" s="14"/>
      <c r="E504" s="16"/>
      <c r="F504" s="15"/>
      <c r="G504" s="14">
        <v>1</v>
      </c>
      <c r="H504" s="13">
        <f>SUM(C504:G504)</f>
        <v>1</v>
      </c>
      <c r="I504" s="25">
        <v>45982</v>
      </c>
    </row>
    <row r="505" spans="2:9" x14ac:dyDescent="0.15">
      <c r="B505" s="12" t="s">
        <v>3</v>
      </c>
      <c r="C505" s="14">
        <v>2</v>
      </c>
      <c r="D505" s="14"/>
      <c r="E505" s="16"/>
      <c r="F505" s="15"/>
      <c r="G505" s="14"/>
      <c r="H505" s="13">
        <f>SUM(C505:G505)</f>
        <v>2</v>
      </c>
      <c r="I505" s="25">
        <v>45992</v>
      </c>
    </row>
    <row r="506" spans="2:9" x14ac:dyDescent="0.15">
      <c r="B506" s="12" t="s">
        <v>3</v>
      </c>
      <c r="C506" s="14"/>
      <c r="D506" s="14"/>
      <c r="E506" s="16"/>
      <c r="F506" s="15"/>
      <c r="G506" s="14">
        <v>1</v>
      </c>
      <c r="H506" s="13">
        <f t="shared" si="34"/>
        <v>1</v>
      </c>
      <c r="I506" s="25">
        <v>45996</v>
      </c>
    </row>
    <row r="507" spans="2:9" x14ac:dyDescent="0.15">
      <c r="B507" s="12" t="s">
        <v>3</v>
      </c>
      <c r="C507" s="14">
        <v>2</v>
      </c>
      <c r="D507" s="14"/>
      <c r="E507" s="16"/>
      <c r="F507" s="15"/>
      <c r="G507" s="14"/>
      <c r="H507" s="13">
        <f t="shared" si="34"/>
        <v>2</v>
      </c>
      <c r="I507" s="25">
        <v>45999</v>
      </c>
    </row>
    <row r="508" spans="2:9" x14ac:dyDescent="0.15">
      <c r="B508" s="12" t="s">
        <v>3</v>
      </c>
      <c r="C508" s="14">
        <v>3</v>
      </c>
      <c r="D508" s="14"/>
      <c r="E508" s="16"/>
      <c r="F508" s="15"/>
      <c r="G508" s="14">
        <v>1</v>
      </c>
      <c r="H508" s="13">
        <f t="shared" si="34"/>
        <v>4</v>
      </c>
      <c r="I508" s="25">
        <v>46002</v>
      </c>
    </row>
    <row r="509" spans="2:9" x14ac:dyDescent="0.15">
      <c r="B509" s="12" t="s">
        <v>3</v>
      </c>
      <c r="C509" s="14">
        <v>1</v>
      </c>
      <c r="D509" s="14"/>
      <c r="E509" s="16">
        <v>1</v>
      </c>
      <c r="F509" s="15"/>
      <c r="G509" s="14"/>
      <c r="H509" s="13">
        <f t="shared" si="34"/>
        <v>2</v>
      </c>
      <c r="I509" s="25">
        <v>46007</v>
      </c>
    </row>
    <row r="510" spans="2:9" x14ac:dyDescent="0.15">
      <c r="B510" s="12" t="s">
        <v>3</v>
      </c>
      <c r="C510" s="14"/>
      <c r="D510" s="14"/>
      <c r="E510" s="16"/>
      <c r="F510" s="15"/>
      <c r="G510" s="14">
        <v>1</v>
      </c>
      <c r="H510" s="13">
        <f t="shared" si="34"/>
        <v>1</v>
      </c>
      <c r="I510" s="25">
        <v>46010</v>
      </c>
    </row>
    <row r="511" spans="2:9" x14ac:dyDescent="0.15">
      <c r="B511" s="12" t="s">
        <v>3</v>
      </c>
      <c r="C511" s="14">
        <v>1</v>
      </c>
      <c r="D511" s="14"/>
      <c r="E511" s="16"/>
      <c r="F511" s="15"/>
      <c r="G511" s="14"/>
      <c r="H511" s="13">
        <f t="shared" si="34"/>
        <v>1</v>
      </c>
      <c r="I511" s="25">
        <v>46013</v>
      </c>
    </row>
    <row r="512" spans="2:9" x14ac:dyDescent="0.15">
      <c r="B512" s="12" t="s">
        <v>3</v>
      </c>
      <c r="C512" s="14">
        <v>1</v>
      </c>
      <c r="D512" s="14"/>
      <c r="E512" s="16"/>
      <c r="F512" s="15"/>
      <c r="G512" s="14"/>
      <c r="H512" s="13">
        <f t="shared" si="34"/>
        <v>1</v>
      </c>
      <c r="I512" s="25">
        <v>46027</v>
      </c>
    </row>
    <row r="513" spans="2:9" x14ac:dyDescent="0.15">
      <c r="B513" s="12" t="s">
        <v>3</v>
      </c>
      <c r="C513" s="14">
        <v>1</v>
      </c>
      <c r="D513" s="14">
        <v>1</v>
      </c>
      <c r="E513" s="16">
        <v>1</v>
      </c>
      <c r="F513" s="15"/>
      <c r="G513" s="14">
        <v>1</v>
      </c>
      <c r="H513" s="13">
        <f t="shared" si="34"/>
        <v>4</v>
      </c>
      <c r="I513" s="25">
        <v>46035</v>
      </c>
    </row>
    <row r="514" spans="2:9" x14ac:dyDescent="0.15">
      <c r="B514" s="12" t="s">
        <v>3</v>
      </c>
      <c r="C514" s="14"/>
      <c r="D514" s="14">
        <v>1</v>
      </c>
      <c r="E514" s="16"/>
      <c r="F514" s="15"/>
      <c r="G514" s="14"/>
      <c r="H514" s="13">
        <f t="shared" si="34"/>
        <v>1</v>
      </c>
      <c r="I514" s="25">
        <v>46038</v>
      </c>
    </row>
    <row r="515" spans="2:9" x14ac:dyDescent="0.15">
      <c r="B515" s="12" t="s">
        <v>3</v>
      </c>
      <c r="C515" s="14"/>
      <c r="D515" s="14"/>
      <c r="E515" s="16"/>
      <c r="F515" s="15">
        <v>1</v>
      </c>
      <c r="G515" s="14"/>
      <c r="H515" s="13">
        <f t="shared" si="34"/>
        <v>1</v>
      </c>
      <c r="I515" s="25">
        <v>46048</v>
      </c>
    </row>
    <row r="516" spans="2:9" x14ac:dyDescent="0.15">
      <c r="B516" s="12" t="s">
        <v>3</v>
      </c>
      <c r="C516" s="14"/>
      <c r="D516" s="14"/>
      <c r="E516" s="16"/>
      <c r="F516" s="15"/>
      <c r="G516" s="14">
        <v>1</v>
      </c>
      <c r="H516" s="13">
        <f t="shared" si="34"/>
        <v>1</v>
      </c>
      <c r="I516" s="25">
        <v>46051</v>
      </c>
    </row>
    <row r="517" spans="2:9" x14ac:dyDescent="0.15">
      <c r="B517" s="12" t="s">
        <v>3</v>
      </c>
      <c r="C517" s="14">
        <v>1</v>
      </c>
      <c r="D517" s="14"/>
      <c r="E517" s="16">
        <v>1</v>
      </c>
      <c r="F517" s="15"/>
      <c r="G517" s="14"/>
      <c r="H517" s="13">
        <f t="shared" si="34"/>
        <v>2</v>
      </c>
      <c r="I517" s="25">
        <v>46055</v>
      </c>
    </row>
    <row r="518" spans="2:9" x14ac:dyDescent="0.15">
      <c r="B518" s="12" t="s">
        <v>3</v>
      </c>
      <c r="C518" s="14">
        <v>1</v>
      </c>
      <c r="D518" s="14"/>
      <c r="E518" s="16"/>
      <c r="F518" s="15"/>
      <c r="G518" s="14"/>
      <c r="H518" s="13">
        <f t="shared" si="34"/>
        <v>1</v>
      </c>
      <c r="I518" s="25">
        <v>46058</v>
      </c>
    </row>
    <row r="519" spans="2:9" x14ac:dyDescent="0.15">
      <c r="B519" s="12" t="s">
        <v>3</v>
      </c>
      <c r="C519" s="14">
        <v>2</v>
      </c>
      <c r="D519" s="14"/>
      <c r="E519" s="16"/>
      <c r="F519" s="15"/>
      <c r="G519" s="14"/>
      <c r="H519" s="13">
        <f t="shared" si="34"/>
        <v>2</v>
      </c>
      <c r="I519" s="25">
        <v>46092</v>
      </c>
    </row>
    <row r="520" spans="2:9" x14ac:dyDescent="0.15">
      <c r="B520" s="12" t="s">
        <v>3</v>
      </c>
      <c r="C520" s="14">
        <v>2</v>
      </c>
      <c r="D520" s="14">
        <v>1</v>
      </c>
      <c r="E520" s="16"/>
      <c r="F520" s="15">
        <v>2</v>
      </c>
      <c r="G520" s="14">
        <v>1</v>
      </c>
      <c r="H520" s="13">
        <f t="shared" si="34"/>
        <v>6</v>
      </c>
      <c r="I520" s="25">
        <v>46097</v>
      </c>
    </row>
    <row r="521" spans="2:9" x14ac:dyDescent="0.15">
      <c r="B521" s="12" t="s">
        <v>3</v>
      </c>
      <c r="C521" s="14"/>
      <c r="D521" s="14">
        <v>1</v>
      </c>
      <c r="E521" s="16"/>
      <c r="F521" s="15"/>
      <c r="G521" s="14"/>
      <c r="H521" s="13">
        <f t="shared" si="34"/>
        <v>1</v>
      </c>
      <c r="I521" s="25">
        <v>46114</v>
      </c>
    </row>
    <row r="522" spans="2:9" x14ac:dyDescent="0.15">
      <c r="B522" s="12" t="s">
        <v>3</v>
      </c>
      <c r="C522" s="14">
        <v>1</v>
      </c>
      <c r="D522" s="14">
        <v>2</v>
      </c>
      <c r="E522" s="16"/>
      <c r="F522" s="15"/>
      <c r="G522" s="14"/>
      <c r="H522" s="13">
        <f t="shared" si="34"/>
        <v>3</v>
      </c>
      <c r="I522" s="25">
        <v>46118</v>
      </c>
    </row>
    <row r="523" spans="2:9" x14ac:dyDescent="0.15">
      <c r="B523" s="12" t="s">
        <v>3</v>
      </c>
      <c r="C523" s="14">
        <v>1</v>
      </c>
      <c r="D523" s="14"/>
      <c r="E523" s="16"/>
      <c r="F523" s="15">
        <v>1</v>
      </c>
      <c r="G523" s="14"/>
      <c r="H523" s="13">
        <f t="shared" si="34"/>
        <v>2</v>
      </c>
      <c r="I523" s="25">
        <v>46122</v>
      </c>
    </row>
    <row r="524" spans="2:9" x14ac:dyDescent="0.15">
      <c r="B524" s="12" t="s">
        <v>3</v>
      </c>
      <c r="C524" s="14"/>
      <c r="D524" s="14"/>
      <c r="E524" s="16"/>
      <c r="F524" s="15"/>
      <c r="G524" s="14">
        <v>1</v>
      </c>
      <c r="H524" s="13">
        <f t="shared" si="34"/>
        <v>1</v>
      </c>
      <c r="I524" s="25">
        <v>46132</v>
      </c>
    </row>
    <row r="525" spans="2:9" x14ac:dyDescent="0.15">
      <c r="B525" s="12" t="s">
        <v>3</v>
      </c>
      <c r="C525" s="14">
        <v>1</v>
      </c>
      <c r="D525" s="14"/>
      <c r="E525" s="16">
        <v>1</v>
      </c>
      <c r="F525" s="15">
        <v>1</v>
      </c>
      <c r="G525" s="14"/>
      <c r="H525" s="13">
        <f t="shared" si="34"/>
        <v>3</v>
      </c>
      <c r="I525" s="25">
        <v>46150</v>
      </c>
    </row>
    <row r="526" spans="2:9" x14ac:dyDescent="0.15">
      <c r="B526" s="12" t="s">
        <v>3</v>
      </c>
      <c r="C526" s="14">
        <v>1</v>
      </c>
      <c r="D526" s="14">
        <v>1</v>
      </c>
      <c r="E526" s="16"/>
      <c r="F526" s="15"/>
      <c r="G526" s="14"/>
      <c r="H526" s="13">
        <f t="shared" si="34"/>
        <v>2</v>
      </c>
      <c r="I526" s="25">
        <v>46162</v>
      </c>
    </row>
    <row r="527" spans="2:9" x14ac:dyDescent="0.15">
      <c r="B527" s="12" t="s">
        <v>3</v>
      </c>
      <c r="C527" s="14"/>
      <c r="D527" s="14"/>
      <c r="E527" s="16"/>
      <c r="F527" s="15">
        <v>1</v>
      </c>
      <c r="G527" s="14"/>
      <c r="H527" s="13">
        <f t="shared" si="34"/>
        <v>1</v>
      </c>
      <c r="I527" s="25">
        <v>46163</v>
      </c>
    </row>
    <row r="528" spans="2:9" ht="14.25" thickBot="1" x14ac:dyDescent="0.2">
      <c r="B528" s="12" t="s">
        <v>3</v>
      </c>
      <c r="C528" s="9">
        <v>1</v>
      </c>
      <c r="D528" s="9"/>
      <c r="E528" s="11"/>
      <c r="F528" s="10">
        <v>1</v>
      </c>
      <c r="G528" s="9"/>
      <c r="H528" s="8">
        <f t="shared" si="34"/>
        <v>2</v>
      </c>
      <c r="I528" s="25">
        <v>46164</v>
      </c>
    </row>
    <row r="529" spans="2:9" ht="14.25" thickBot="1" x14ac:dyDescent="0.2">
      <c r="B529" s="7" t="s">
        <v>1</v>
      </c>
      <c r="C529" s="5">
        <f>SUM(C504:C528)</f>
        <v>22</v>
      </c>
      <c r="D529" s="5">
        <f>SUM(D504:D528)</f>
        <v>7</v>
      </c>
      <c r="E529" s="6">
        <f>SUM(E504:E528)</f>
        <v>4</v>
      </c>
      <c r="F529" s="5">
        <f>SUM(F504:F528)</f>
        <v>7</v>
      </c>
      <c r="G529" s="5">
        <f>SUM(G504:G528)</f>
        <v>8</v>
      </c>
      <c r="H529" s="5">
        <f t="shared" si="34"/>
        <v>48</v>
      </c>
    </row>
    <row r="530" spans="2:9" ht="14.25" thickBot="1" x14ac:dyDescent="0.2">
      <c r="B530" s="4" t="s">
        <v>0</v>
      </c>
      <c r="C530" s="2">
        <f>+C503-C529</f>
        <v>5</v>
      </c>
      <c r="D530" s="2">
        <f>+D503-D529</f>
        <v>7</v>
      </c>
      <c r="E530" s="3">
        <f>+E503-E529</f>
        <v>3</v>
      </c>
      <c r="F530" s="2">
        <f>+F503-F529</f>
        <v>3</v>
      </c>
      <c r="G530" s="2">
        <f>+G503-G529</f>
        <v>4</v>
      </c>
      <c r="H530" s="2">
        <f t="shared" si="34"/>
        <v>22</v>
      </c>
    </row>
    <row r="532" spans="2:9" ht="18.75" x14ac:dyDescent="0.2">
      <c r="B532" s="39" t="s">
        <v>13</v>
      </c>
      <c r="C532" s="38"/>
      <c r="D532" s="38"/>
      <c r="E532" s="38"/>
      <c r="F532" s="38"/>
      <c r="G532" s="38"/>
    </row>
    <row r="533" spans="2:9" ht="14.25" thickBot="1" x14ac:dyDescent="0.2">
      <c r="H533">
        <v>460</v>
      </c>
    </row>
    <row r="534" spans="2:9" ht="14.25" thickBot="1" x14ac:dyDescent="0.2">
      <c r="B534" s="37"/>
      <c r="C534" s="55"/>
      <c r="D534" s="55"/>
      <c r="E534" s="55"/>
      <c r="F534" s="55"/>
      <c r="G534" s="55"/>
      <c r="H534" s="56"/>
    </row>
    <row r="535" spans="2:9" ht="14.25" thickBot="1" x14ac:dyDescent="0.2">
      <c r="B535" s="36"/>
      <c r="C535" s="58" t="s">
        <v>8</v>
      </c>
      <c r="D535" s="53" t="s">
        <v>9</v>
      </c>
      <c r="E535" s="51" t="s">
        <v>12</v>
      </c>
      <c r="F535" s="52" t="s">
        <v>11</v>
      </c>
      <c r="G535" s="57" t="s">
        <v>10</v>
      </c>
      <c r="H535" s="35" t="s">
        <v>7</v>
      </c>
    </row>
    <row r="536" spans="2:9" x14ac:dyDescent="0.15">
      <c r="B536" s="34" t="s">
        <v>6</v>
      </c>
      <c r="C536" s="32">
        <f>C530</f>
        <v>5</v>
      </c>
      <c r="D536" s="32">
        <f>D530</f>
        <v>7</v>
      </c>
      <c r="E536" s="33">
        <f>E530</f>
        <v>3</v>
      </c>
      <c r="F536" s="32">
        <f>F530</f>
        <v>3</v>
      </c>
      <c r="G536" s="32">
        <f>G530</f>
        <v>4</v>
      </c>
      <c r="H536" s="32">
        <f>SUM(C536:G536)</f>
        <v>22</v>
      </c>
    </row>
    <row r="537" spans="2:9" x14ac:dyDescent="0.15">
      <c r="B537" s="60" t="s">
        <v>5</v>
      </c>
      <c r="C537" s="61"/>
      <c r="D537" s="61"/>
      <c r="E537" s="62"/>
      <c r="F537" s="63">
        <v>5</v>
      </c>
      <c r="G537" s="61"/>
      <c r="H537" s="64">
        <f t="shared" ref="H537:H542" si="36">SUM(C537:G537)</f>
        <v>5</v>
      </c>
      <c r="I537" s="65">
        <v>46191</v>
      </c>
    </row>
    <row r="538" spans="2:9" x14ac:dyDescent="0.15">
      <c r="B538" s="60" t="s">
        <v>5</v>
      </c>
      <c r="C538" s="61"/>
      <c r="D538" s="61"/>
      <c r="E538" s="62"/>
      <c r="F538" s="63"/>
      <c r="G538" s="61"/>
      <c r="H538" s="64">
        <f t="shared" si="36"/>
        <v>0</v>
      </c>
      <c r="I538" s="66"/>
    </row>
    <row r="539" spans="2:9" x14ac:dyDescent="0.15">
      <c r="B539" s="31" t="s">
        <v>5</v>
      </c>
      <c r="C539" s="14"/>
      <c r="D539" s="14"/>
      <c r="E539" s="16"/>
      <c r="F539" s="15"/>
      <c r="G539" s="14"/>
      <c r="H539" s="13">
        <f t="shared" si="36"/>
        <v>0</v>
      </c>
    </row>
    <row r="540" spans="2:9" x14ac:dyDescent="0.15">
      <c r="B540" s="31" t="s">
        <v>5</v>
      </c>
      <c r="C540" s="14"/>
      <c r="D540" s="14"/>
      <c r="E540" s="16"/>
      <c r="F540" s="15"/>
      <c r="G540" s="14"/>
      <c r="H540" s="13">
        <f t="shared" si="36"/>
        <v>0</v>
      </c>
    </row>
    <row r="541" spans="2:9" x14ac:dyDescent="0.15">
      <c r="B541" s="31" t="s">
        <v>5</v>
      </c>
      <c r="C541" s="14"/>
      <c r="D541" s="14"/>
      <c r="E541" s="16"/>
      <c r="F541" s="15"/>
      <c r="G541" s="14"/>
      <c r="H541" s="13">
        <f t="shared" si="36"/>
        <v>0</v>
      </c>
    </row>
    <row r="542" spans="2:9" x14ac:dyDescent="0.15">
      <c r="B542" s="31" t="s">
        <v>5</v>
      </c>
      <c r="C542" s="14"/>
      <c r="D542" s="14"/>
      <c r="E542" s="16"/>
      <c r="F542" s="15"/>
      <c r="G542" s="14"/>
      <c r="H542" s="13">
        <f t="shared" si="36"/>
        <v>0</v>
      </c>
    </row>
    <row r="543" spans="2:9" x14ac:dyDescent="0.15">
      <c r="B543" s="31" t="s">
        <v>5</v>
      </c>
      <c r="C543" s="14"/>
      <c r="D543" s="14"/>
      <c r="E543" s="16"/>
      <c r="F543" s="15"/>
      <c r="G543" s="14"/>
      <c r="H543" s="13">
        <f t="shared" ref="H543:H568" si="37">SUM(C543:G543)</f>
        <v>0</v>
      </c>
    </row>
    <row r="544" spans="2:9" ht="14.25" thickBot="1" x14ac:dyDescent="0.2">
      <c r="B544" s="31" t="s">
        <v>5</v>
      </c>
      <c r="C544" s="14"/>
      <c r="D544" s="14"/>
      <c r="E544" s="16"/>
      <c r="F544" s="15"/>
      <c r="G544" s="14"/>
      <c r="H544" s="13">
        <f t="shared" si="37"/>
        <v>0</v>
      </c>
    </row>
    <row r="545" spans="2:9" ht="14.25" thickBot="1" x14ac:dyDescent="0.2">
      <c r="B545" s="29" t="s">
        <v>4</v>
      </c>
      <c r="C545" s="27">
        <f>SUM(C536:C544)</f>
        <v>5</v>
      </c>
      <c r="D545" s="27">
        <f>SUM(D536:D544)</f>
        <v>7</v>
      </c>
      <c r="E545" s="27">
        <f>SUM(E536:E544)</f>
        <v>3</v>
      </c>
      <c r="F545" s="27">
        <f t="shared" ref="F545:G545" si="38">SUM(F536:F544)</f>
        <v>8</v>
      </c>
      <c r="G545" s="27">
        <f t="shared" si="38"/>
        <v>4</v>
      </c>
      <c r="H545" s="27">
        <f t="shared" si="37"/>
        <v>27</v>
      </c>
    </row>
    <row r="546" spans="2:9" x14ac:dyDescent="0.15">
      <c r="B546" s="12" t="s">
        <v>3</v>
      </c>
      <c r="C546" s="14"/>
      <c r="D546" s="14"/>
      <c r="E546" s="16"/>
      <c r="F546" s="15">
        <v>2</v>
      </c>
      <c r="G546" s="14"/>
      <c r="H546" s="13">
        <f t="shared" si="37"/>
        <v>2</v>
      </c>
      <c r="I546" s="25">
        <v>46181</v>
      </c>
    </row>
    <row r="547" spans="2:9" x14ac:dyDescent="0.15">
      <c r="B547" s="12" t="s">
        <v>3</v>
      </c>
      <c r="C547" s="14"/>
      <c r="D547" s="14"/>
      <c r="E547" s="16"/>
      <c r="F547" s="15">
        <v>1</v>
      </c>
      <c r="G547" s="14">
        <v>1</v>
      </c>
      <c r="H547" s="13">
        <f t="shared" si="37"/>
        <v>2</v>
      </c>
      <c r="I547" s="25">
        <v>46183</v>
      </c>
    </row>
    <row r="548" spans="2:9" x14ac:dyDescent="0.15">
      <c r="B548" s="12"/>
      <c r="C548" s="14"/>
      <c r="D548" s="14"/>
      <c r="E548" s="16"/>
      <c r="F548" s="15"/>
      <c r="G548" s="14"/>
      <c r="H548" s="13">
        <f t="shared" si="37"/>
        <v>0</v>
      </c>
    </row>
    <row r="549" spans="2:9" x14ac:dyDescent="0.15">
      <c r="B549" s="12"/>
      <c r="C549" s="14"/>
      <c r="D549" s="14"/>
      <c r="E549" s="16"/>
      <c r="F549" s="15"/>
      <c r="G549" s="14"/>
      <c r="H549" s="13">
        <f t="shared" si="37"/>
        <v>0</v>
      </c>
    </row>
    <row r="550" spans="2:9" x14ac:dyDescent="0.15">
      <c r="B550" s="12"/>
      <c r="C550" s="14"/>
      <c r="D550" s="14"/>
      <c r="E550" s="16"/>
      <c r="F550" s="15"/>
      <c r="G550" s="14"/>
      <c r="H550" s="13">
        <f t="shared" si="37"/>
        <v>0</v>
      </c>
    </row>
    <row r="551" spans="2:9" x14ac:dyDescent="0.15">
      <c r="B551" s="12"/>
      <c r="C551" s="14"/>
      <c r="D551" s="14"/>
      <c r="E551" s="16"/>
      <c r="F551" s="15"/>
      <c r="G551" s="14"/>
      <c r="H551" s="13">
        <f t="shared" si="37"/>
        <v>0</v>
      </c>
    </row>
    <row r="552" spans="2:9" x14ac:dyDescent="0.15">
      <c r="B552" s="12"/>
      <c r="C552" s="14"/>
      <c r="D552" s="14"/>
      <c r="E552" s="16"/>
      <c r="F552" s="15"/>
      <c r="G552" s="14"/>
      <c r="H552" s="13">
        <f t="shared" si="37"/>
        <v>0</v>
      </c>
    </row>
    <row r="553" spans="2:9" x14ac:dyDescent="0.15">
      <c r="B553" s="12"/>
      <c r="C553" s="14"/>
      <c r="D553" s="14"/>
      <c r="E553" s="16"/>
      <c r="F553" s="15"/>
      <c r="G553" s="14"/>
      <c r="H553" s="13">
        <f t="shared" si="37"/>
        <v>0</v>
      </c>
    </row>
    <row r="554" spans="2:9" x14ac:dyDescent="0.15">
      <c r="B554" s="12"/>
      <c r="C554" s="14"/>
      <c r="D554" s="14"/>
      <c r="E554" s="16"/>
      <c r="F554" s="15"/>
      <c r="G554" s="14"/>
      <c r="H554" s="13">
        <f t="shared" si="37"/>
        <v>0</v>
      </c>
    </row>
    <row r="555" spans="2:9" x14ac:dyDescent="0.15">
      <c r="B555" s="12"/>
      <c r="C555" s="14"/>
      <c r="D555" s="14"/>
      <c r="E555" s="16"/>
      <c r="F555" s="15"/>
      <c r="G555" s="14"/>
      <c r="H555" s="13">
        <f t="shared" si="37"/>
        <v>0</v>
      </c>
    </row>
    <row r="556" spans="2:9" x14ac:dyDescent="0.15">
      <c r="B556" s="12"/>
      <c r="C556" s="14"/>
      <c r="D556" s="14"/>
      <c r="E556" s="16"/>
      <c r="F556" s="15"/>
      <c r="G556" s="14"/>
      <c r="H556" s="13">
        <f t="shared" si="37"/>
        <v>0</v>
      </c>
    </row>
    <row r="557" spans="2:9" x14ac:dyDescent="0.15">
      <c r="B557" s="12"/>
      <c r="C557" s="14"/>
      <c r="D557" s="14"/>
      <c r="E557" s="16"/>
      <c r="F557" s="15"/>
      <c r="G557" s="14"/>
      <c r="H557" s="13">
        <f t="shared" si="37"/>
        <v>0</v>
      </c>
    </row>
    <row r="558" spans="2:9" x14ac:dyDescent="0.15">
      <c r="B558" s="12"/>
      <c r="C558" s="14"/>
      <c r="D558" s="14"/>
      <c r="E558" s="16"/>
      <c r="F558" s="15"/>
      <c r="G558" s="14"/>
      <c r="H558" s="13">
        <f t="shared" si="37"/>
        <v>0</v>
      </c>
    </row>
    <row r="559" spans="2:9" x14ac:dyDescent="0.15">
      <c r="B559" s="12"/>
      <c r="C559" s="14"/>
      <c r="D559" s="14"/>
      <c r="E559" s="16"/>
      <c r="F559" s="15"/>
      <c r="G559" s="14"/>
      <c r="H559" s="13">
        <f t="shared" si="37"/>
        <v>0</v>
      </c>
    </row>
    <row r="560" spans="2:9" x14ac:dyDescent="0.15">
      <c r="B560" s="12"/>
      <c r="C560" s="14"/>
      <c r="D560" s="14"/>
      <c r="E560" s="16"/>
      <c r="F560" s="15"/>
      <c r="G560" s="14"/>
      <c r="H560" s="13">
        <f t="shared" si="37"/>
        <v>0</v>
      </c>
    </row>
    <row r="561" spans="2:8" x14ac:dyDescent="0.15">
      <c r="B561" s="12"/>
      <c r="C561" s="14"/>
      <c r="D561" s="14"/>
      <c r="E561" s="16"/>
      <c r="F561" s="15"/>
      <c r="G561" s="14"/>
      <c r="H561" s="13">
        <f t="shared" si="37"/>
        <v>0</v>
      </c>
    </row>
    <row r="562" spans="2:8" x14ac:dyDescent="0.15">
      <c r="B562" s="12"/>
      <c r="C562" s="14"/>
      <c r="D562" s="14"/>
      <c r="E562" s="16"/>
      <c r="F562" s="15"/>
      <c r="G562" s="14"/>
      <c r="H562" s="13">
        <f t="shared" si="37"/>
        <v>0</v>
      </c>
    </row>
    <row r="563" spans="2:8" x14ac:dyDescent="0.15">
      <c r="B563" s="12"/>
      <c r="C563" s="14"/>
      <c r="D563" s="14"/>
      <c r="E563" s="16"/>
      <c r="F563" s="15"/>
      <c r="G563" s="14"/>
      <c r="H563" s="13">
        <f t="shared" si="37"/>
        <v>0</v>
      </c>
    </row>
    <row r="564" spans="2:8" x14ac:dyDescent="0.15">
      <c r="B564" s="12"/>
      <c r="C564" s="14"/>
      <c r="D564" s="14"/>
      <c r="E564" s="16"/>
      <c r="F564" s="15"/>
      <c r="G564" s="14"/>
      <c r="H564" s="13">
        <f t="shared" si="37"/>
        <v>0</v>
      </c>
    </row>
    <row r="565" spans="2:8" x14ac:dyDescent="0.15">
      <c r="B565" s="12"/>
      <c r="C565" s="14"/>
      <c r="D565" s="14"/>
      <c r="E565" s="16"/>
      <c r="F565" s="15"/>
      <c r="G565" s="14"/>
      <c r="H565" s="13">
        <f t="shared" si="37"/>
        <v>0</v>
      </c>
    </row>
    <row r="566" spans="2:8" x14ac:dyDescent="0.15">
      <c r="B566" s="12"/>
      <c r="C566" s="14"/>
      <c r="D566" s="14"/>
      <c r="E566" s="16"/>
      <c r="F566" s="15"/>
      <c r="G566" s="14"/>
      <c r="H566" s="13">
        <f t="shared" si="37"/>
        <v>0</v>
      </c>
    </row>
    <row r="567" spans="2:8" x14ac:dyDescent="0.15">
      <c r="B567" s="12"/>
      <c r="C567" s="14"/>
      <c r="D567" s="14"/>
      <c r="E567" s="16"/>
      <c r="F567" s="15"/>
      <c r="G567" s="14"/>
      <c r="H567" s="13">
        <f t="shared" si="37"/>
        <v>0</v>
      </c>
    </row>
    <row r="568" spans="2:8" x14ac:dyDescent="0.15">
      <c r="B568" s="12"/>
      <c r="C568" s="14"/>
      <c r="D568" s="14"/>
      <c r="E568" s="16"/>
      <c r="F568" s="15"/>
      <c r="G568" s="14"/>
      <c r="H568" s="13">
        <f t="shared" si="37"/>
        <v>0</v>
      </c>
    </row>
    <row r="569" spans="2:8" x14ac:dyDescent="0.15">
      <c r="B569" s="12"/>
      <c r="C569" s="14"/>
      <c r="D569" s="14"/>
      <c r="E569" s="16"/>
      <c r="F569" s="15"/>
      <c r="G569" s="14"/>
      <c r="H569" s="13">
        <f t="shared" ref="H569:H572" si="39">SUM(C569:G569)</f>
        <v>0</v>
      </c>
    </row>
    <row r="570" spans="2:8" ht="14.25" thickBot="1" x14ac:dyDescent="0.2">
      <c r="B570" s="12"/>
      <c r="C570" s="9"/>
      <c r="D570" s="9"/>
      <c r="E570" s="11"/>
      <c r="F570" s="10"/>
      <c r="G570" s="9"/>
      <c r="H570" s="8">
        <f t="shared" si="39"/>
        <v>0</v>
      </c>
    </row>
    <row r="571" spans="2:8" ht="14.25" thickBot="1" x14ac:dyDescent="0.2">
      <c r="B571" s="7" t="s">
        <v>1</v>
      </c>
      <c r="C571" s="5">
        <f>SUM(C546:C570)</f>
        <v>0</v>
      </c>
      <c r="D571" s="5">
        <f>SUM(D546:D570)</f>
        <v>0</v>
      </c>
      <c r="E571" s="6">
        <f>SUM(E546:E570)</f>
        <v>0</v>
      </c>
      <c r="F571" s="5">
        <f>SUM(F546:F570)</f>
        <v>3</v>
      </c>
      <c r="G571" s="5">
        <f>SUM(G546:G570)</f>
        <v>1</v>
      </c>
      <c r="H571" s="5">
        <f t="shared" si="39"/>
        <v>4</v>
      </c>
    </row>
    <row r="572" spans="2:8" ht="14.25" thickBot="1" x14ac:dyDescent="0.2">
      <c r="B572" s="4" t="s">
        <v>0</v>
      </c>
      <c r="C572" s="2">
        <f>+C545-C571</f>
        <v>5</v>
      </c>
      <c r="D572" s="2">
        <f>+D545-D571</f>
        <v>7</v>
      </c>
      <c r="E572" s="3">
        <f>+E545-E571</f>
        <v>3</v>
      </c>
      <c r="F572" s="2">
        <f>+F545-F571</f>
        <v>5</v>
      </c>
      <c r="G572" s="2">
        <f>+G545-G571</f>
        <v>3</v>
      </c>
      <c r="H572" s="2">
        <f t="shared" si="39"/>
        <v>23</v>
      </c>
    </row>
  </sheetData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5本指オープン靴下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</dc:creator>
  <cp:lastModifiedBy>AT MR</cp:lastModifiedBy>
  <dcterms:created xsi:type="dcterms:W3CDTF">2021-12-21T06:46:34Z</dcterms:created>
  <dcterms:modified xsi:type="dcterms:W3CDTF">2026-06-18T09:15:51Z</dcterms:modified>
</cp:coreProperties>
</file>