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CAFED445-FAA4-4B60-A261-4021BBA98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アンゴ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1" l="1"/>
  <c r="F50" i="1"/>
  <c r="F37" i="1"/>
  <c r="F11" i="1"/>
  <c r="F77" i="1" l="1"/>
  <c r="F38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76" i="1"/>
  <c r="E76" i="1"/>
  <c r="D76" i="1"/>
  <c r="C76" i="1"/>
  <c r="H75" i="1"/>
  <c r="H74" i="1"/>
  <c r="H73" i="1"/>
  <c r="H72" i="1"/>
  <c r="H71" i="1"/>
  <c r="H70" i="1"/>
  <c r="H69" i="1"/>
  <c r="H68" i="1"/>
  <c r="H52" i="1"/>
  <c r="H51" i="1"/>
  <c r="H49" i="1"/>
  <c r="H48" i="1"/>
  <c r="H47" i="1"/>
  <c r="H46" i="1"/>
  <c r="H45" i="1"/>
  <c r="G11" i="1"/>
  <c r="E11" i="1"/>
  <c r="G37" i="1"/>
  <c r="E37" i="1"/>
  <c r="H7" i="1"/>
  <c r="H8" i="1"/>
  <c r="H9" i="1"/>
  <c r="H10" i="1"/>
  <c r="H12" i="1"/>
  <c r="H13" i="1"/>
  <c r="H34" i="1"/>
  <c r="H35" i="1"/>
  <c r="H36" i="1"/>
  <c r="H6" i="1"/>
  <c r="H5" i="1"/>
  <c r="H76" i="1" l="1"/>
  <c r="G38" i="1"/>
  <c r="G44" i="1" s="1"/>
  <c r="G50" i="1" s="1"/>
  <c r="G77" i="1" s="1"/>
  <c r="E38" i="1"/>
  <c r="E44" i="1" s="1"/>
  <c r="E50" i="1" s="1"/>
  <c r="E77" i="1" s="1"/>
  <c r="D37" i="1"/>
  <c r="D11" i="1"/>
  <c r="D38" i="1" l="1"/>
  <c r="D44" i="1" s="1"/>
  <c r="D50" i="1" s="1"/>
  <c r="D77" i="1" s="1"/>
  <c r="C37" i="1"/>
  <c r="H37" i="1" s="1"/>
  <c r="C11" i="1"/>
  <c r="H11" i="1" s="1"/>
  <c r="C38" i="1" l="1"/>
  <c r="C44" i="1" l="1"/>
  <c r="H38" i="1"/>
  <c r="C50" i="1" l="1"/>
  <c r="H44" i="1"/>
  <c r="C77" i="1" l="1"/>
  <c r="H77" i="1" s="1"/>
  <c r="H50" i="1"/>
</calcChain>
</file>

<file path=xl/sharedStrings.xml><?xml version="1.0" encoding="utf-8"?>
<sst xmlns="http://schemas.openxmlformats.org/spreadsheetml/2006/main" count="75" uniqueCount="16">
  <si>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</si>
  <si>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</si>
  <si>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</si>
  <si>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</si>
  <si>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</si>
  <si>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</si>
  <si>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グレー</t>
    <phoneticPr fontId="1"/>
  </si>
  <si>
    <t>アンゴラ＆シルクポカポカ靴下　婦人用＜夢販在庫＞</t>
    <rPh sb="12" eb="14">
      <t>クツシタ</t>
    </rPh>
    <rPh sb="15" eb="17">
      <t>フジン</t>
    </rPh>
    <rPh sb="17" eb="18">
      <t>ヨウ</t>
    </rPh>
    <rPh sb="19" eb="23">
      <t>ユメハンザイコ</t>
    </rPh>
    <phoneticPr fontId="1"/>
  </si>
  <si>
    <t>ブラック</t>
    <phoneticPr fontId="1"/>
  </si>
  <si>
    <t>ベージュ</t>
    <phoneticPr fontId="1"/>
  </si>
  <si>
    <t>ピンク</t>
    <phoneticPr fontId="1"/>
  </si>
  <si>
    <t>モスグリーン</t>
    <phoneticPr fontId="1"/>
  </si>
  <si>
    <t>ネット</t>
    <phoneticPr fontId="1"/>
  </si>
  <si>
    <t>棚卸</t>
    <rPh sb="0" eb="2">
      <t>タナオロシ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</si>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</sst>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56" fontId="3" fillId="0" borderId="0" xfId="0" applyNumberFormat="1" applyFont="1"/>
    <xf numFmtId="56" fontId="0" fillId="0" borderId="2" xfId="0" applyNumberFormat="1" applyBorder="1" applyAlignment="1">
      <alignment horizontal="center"/>
    </xf>
    <xf numFmtId="56" fontId="0" fillId="0" borderId="0" xfId="0" applyNumberFormat="1"/>
    <xf numFmtId="56" fontId="0" fillId="0" borderId="0" xfId="0" applyNumberFormat="1" applyAlignment="1">
      <alignment horizontal="right"/>
    </xf>
    <xf numFmtId="0" fontId="0" fillId="0" borderId="3" xfId="0" applyBorder="1"/>
    <xf numFmtId="0" fontId="2" fillId="2" borderId="0" xfId="0" applyFont="1" applyFill="1"/>
    <xf numFmtId="0" fontId="0" fillId="2" borderId="0" xfId="0" applyFill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56" fontId="4" fillId="0" borderId="4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0" applyFont="1" applyBorder="1"/>
    <xf numFmtId="0" fontId="4" fillId="0" borderId="12" xfId="0" applyFon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/>
    <xf numFmtId="0" fontId="4" fillId="0" borderId="10" xfId="0" applyFont="1" applyBorder="1"/>
    <xf numFmtId="0" fontId="4" fillId="0" borderId="4" xfId="0" applyFont="1" applyBorder="1"/>
    <xf numFmtId="0" fontId="0" fillId="0" borderId="17" xfId="0" applyBorder="1"/>
    <xf numFmtId="0" fontId="0" fillId="0" borderId="18" xfId="0" applyBorder="1"/>
    <xf numFmtId="0" fontId="3" fillId="0" borderId="17" xfId="0" applyFont="1" applyBorder="1"/>
    <xf numFmtId="0" fontId="0" fillId="0" borderId="19" xfId="0" applyBorder="1"/>
    <xf numFmtId="0" fontId="0" fillId="0" borderId="20" xfId="0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3" xfId="0" applyFont="1" applyBorder="1"/>
    <xf numFmtId="56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3" xfId="0" applyFont="1" applyBorder="1"/>
    <xf numFmtId="0" fontId="5" fillId="0" borderId="2" xfId="0" applyFont="1" applyBorder="1"/>
    <xf numFmtId="0" fontId="5" fillId="0" borderId="17" xfId="0" applyFont="1" applyBorder="1"/>
    <xf numFmtId="0" fontId="5" fillId="0" borderId="19" xfId="0" applyFont="1" applyBorder="1"/>
    <xf numFmtId="56" fontId="5" fillId="0" borderId="0" xfId="0" applyNumberFormat="1" applyFont="1"/>
    <xf numFmtId="0" fontId="6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41" zoomScaleNormal="100" workbookViewId="0">
      <selection activeCell="I69" sqref="I69"/>
    </sheetView>
  </sheetViews>
  <sheetFormatPr defaultRowHeight="13.5" x14ac:dyDescent="0.15"/>
  <cols>
    <col min="2" max="2" width="22.75" style="1" customWidth="1"/>
    <col min="3" max="7" width="11.75" customWidth="1"/>
    <col min="8" max="8" width="11.375" customWidth="1"/>
    <col min="9" max="9" width="9.25" bestFit="1" customWidth="1"/>
  </cols>
  <sheetData>
    <row r="1" spans="2:9" ht="18.75" x14ac:dyDescent="0.2">
      <c r="B1" s="8" t="s">
        <v>7</v>
      </c>
      <c r="C1" s="9"/>
      <c r="D1" s="9"/>
      <c r="E1" s="9"/>
      <c r="F1" s="9"/>
      <c r="G1" s="9"/>
      <c r="H1" s="9"/>
      <c r="I1" s="9"/>
    </row>
    <row r="2" spans="2:9" ht="14.25" thickBot="1" x14ac:dyDescent="0.2"/>
    <row r="3" spans="2:9" ht="14.25" thickBot="1" x14ac:dyDescent="0.2">
      <c r="B3" s="2"/>
      <c r="C3" s="52"/>
      <c r="D3" s="52"/>
      <c r="E3" s="52"/>
      <c r="F3" s="52"/>
      <c r="G3" s="52"/>
      <c r="H3" s="53"/>
    </row>
    <row r="4" spans="2:9" s="1" customFormat="1" ht="14.25" thickBot="1" x14ac:dyDescent="0.2">
      <c r="B4" s="10"/>
      <c r="C4" s="40" t="s">
        <v>8</v>
      </c>
      <c r="D4" s="10" t="s">
        <v>6</v>
      </c>
      <c r="E4" s="23" t="s">
        <v>9</v>
      </c>
      <c r="F4" s="23" t="s">
        <v>10</v>
      </c>
      <c r="G4" s="23" t="s">
        <v>11</v>
      </c>
      <c r="H4" s="23" t="s">
        <v>0</v>
      </c>
    </row>
    <row r="5" spans="2:9" ht="14.25" customHeight="1" x14ac:dyDescent="0.15">
      <c r="B5" s="39" t="s">
        <v>5</v>
      </c>
      <c r="C5" s="17">
        <v>5</v>
      </c>
      <c r="D5" s="24">
        <v>5</v>
      </c>
      <c r="E5" s="24">
        <v>5</v>
      </c>
      <c r="F5" s="24">
        <v>5</v>
      </c>
      <c r="G5" s="24">
        <v>5</v>
      </c>
      <c r="H5" s="24">
        <f t="shared" ref="H5:H38" si="0">SUM(C5:G5)</f>
        <v>25</v>
      </c>
      <c r="I5" s="5">
        <v>44480</v>
      </c>
    </row>
    <row r="6" spans="2:9" x14ac:dyDescent="0.15">
      <c r="B6" s="11" t="s">
        <v>4</v>
      </c>
      <c r="C6" s="18"/>
      <c r="D6" s="25"/>
      <c r="E6" s="31">
        <v>5</v>
      </c>
      <c r="F6" s="31"/>
      <c r="G6" s="31"/>
      <c r="H6" s="34">
        <f t="shared" si="0"/>
        <v>5</v>
      </c>
      <c r="I6" s="5">
        <v>44572</v>
      </c>
    </row>
    <row r="7" spans="2:9" x14ac:dyDescent="0.15">
      <c r="B7" s="11" t="s">
        <v>4</v>
      </c>
      <c r="C7" s="18">
        <v>5</v>
      </c>
      <c r="D7" s="25"/>
      <c r="E7" s="31">
        <v>5</v>
      </c>
      <c r="F7" s="31"/>
      <c r="G7" s="31"/>
      <c r="H7" s="34">
        <f t="shared" si="0"/>
        <v>10</v>
      </c>
      <c r="I7" s="5">
        <v>44588</v>
      </c>
    </row>
    <row r="8" spans="2:9" x14ac:dyDescent="0.15">
      <c r="B8" s="41" t="s">
        <v>13</v>
      </c>
      <c r="C8" s="42">
        <v>0</v>
      </c>
      <c r="D8" s="43">
        <v>0</v>
      </c>
      <c r="E8" s="44">
        <v>0</v>
      </c>
      <c r="F8" s="44">
        <v>0</v>
      </c>
      <c r="G8" s="44">
        <v>0</v>
      </c>
      <c r="H8" s="45">
        <f t="shared" si="0"/>
        <v>0</v>
      </c>
      <c r="I8" s="46">
        <v>44796</v>
      </c>
    </row>
    <row r="9" spans="2:9" x14ac:dyDescent="0.15">
      <c r="B9" s="11" t="s">
        <v>4</v>
      </c>
      <c r="C9" s="18"/>
      <c r="D9" s="25">
        <v>2</v>
      </c>
      <c r="E9" s="31"/>
      <c r="F9" s="31"/>
      <c r="G9" s="31"/>
      <c r="H9" s="34">
        <f t="shared" si="0"/>
        <v>2</v>
      </c>
      <c r="I9" s="5">
        <v>44854</v>
      </c>
    </row>
    <row r="10" spans="2:9" ht="14.25" thickBot="1" x14ac:dyDescent="0.2">
      <c r="B10" s="12" t="s">
        <v>4</v>
      </c>
      <c r="C10" s="19"/>
      <c r="D10" s="26">
        <v>3</v>
      </c>
      <c r="E10" s="32"/>
      <c r="F10" s="32"/>
      <c r="G10" s="32"/>
      <c r="H10" s="35">
        <f t="shared" si="0"/>
        <v>3</v>
      </c>
      <c r="I10" s="5">
        <v>44902</v>
      </c>
    </row>
    <row r="11" spans="2:9" ht="14.25" thickBot="1" x14ac:dyDescent="0.2">
      <c r="B11" s="36" t="s">
        <v>1</v>
      </c>
      <c r="C11" s="37">
        <f>SUM(C5:C10)</f>
        <v>10</v>
      </c>
      <c r="D11" s="37">
        <f>SUM(D5:D10)</f>
        <v>10</v>
      </c>
      <c r="E11" s="37">
        <f>SUM(E5:E10)</f>
        <v>15</v>
      </c>
      <c r="F11" s="38">
        <f>SUM(F5:F10)</f>
        <v>5</v>
      </c>
      <c r="G11" s="37">
        <f>SUM(G5:G10)</f>
        <v>5</v>
      </c>
      <c r="H11" s="37">
        <f t="shared" si="0"/>
        <v>45</v>
      </c>
    </row>
    <row r="12" spans="2:9" x14ac:dyDescent="0.15">
      <c r="B12" s="39" t="s">
        <v>12</v>
      </c>
      <c r="C12" s="17"/>
      <c r="D12" s="24"/>
      <c r="E12" s="31"/>
      <c r="F12" s="31">
        <v>1</v>
      </c>
      <c r="G12" s="31"/>
      <c r="H12" s="34">
        <f t="shared" si="0"/>
        <v>1</v>
      </c>
      <c r="I12" s="5">
        <v>44480</v>
      </c>
    </row>
    <row r="13" spans="2:9" x14ac:dyDescent="0.15">
      <c r="B13" s="4" t="s">
        <v>12</v>
      </c>
      <c r="C13" s="18"/>
      <c r="D13" s="25"/>
      <c r="E13" s="31"/>
      <c r="F13" s="31"/>
      <c r="G13" s="31">
        <v>1</v>
      </c>
      <c r="H13" s="34">
        <f t="shared" si="0"/>
        <v>1</v>
      </c>
      <c r="I13" s="5">
        <v>44508</v>
      </c>
    </row>
    <row r="14" spans="2:9" x14ac:dyDescent="0.15">
      <c r="B14" s="4" t="s">
        <v>12</v>
      </c>
      <c r="C14" s="18"/>
      <c r="D14" s="25"/>
      <c r="E14" s="31"/>
      <c r="F14" s="31"/>
      <c r="G14" s="31">
        <v>1</v>
      </c>
      <c r="H14" s="34">
        <f t="shared" si="0"/>
        <v>1</v>
      </c>
      <c r="I14" s="5">
        <v>44522</v>
      </c>
    </row>
    <row r="15" spans="2:9" x14ac:dyDescent="0.15">
      <c r="B15" s="4" t="s">
        <v>12</v>
      </c>
      <c r="C15" s="18"/>
      <c r="D15" s="25"/>
      <c r="E15" s="31">
        <v>1</v>
      </c>
      <c r="F15" s="31"/>
      <c r="G15" s="31"/>
      <c r="H15" s="34">
        <f t="shared" si="0"/>
        <v>1</v>
      </c>
      <c r="I15" s="5">
        <v>44531</v>
      </c>
    </row>
    <row r="16" spans="2:9" x14ac:dyDescent="0.15">
      <c r="B16" s="4" t="s">
        <v>12</v>
      </c>
      <c r="C16" s="18"/>
      <c r="D16" s="25">
        <v>1</v>
      </c>
      <c r="E16" s="31">
        <v>2</v>
      </c>
      <c r="F16" s="31"/>
      <c r="G16" s="31"/>
      <c r="H16" s="34">
        <f t="shared" si="0"/>
        <v>3</v>
      </c>
      <c r="I16" s="5">
        <v>44533</v>
      </c>
    </row>
    <row r="17" spans="2:9" x14ac:dyDescent="0.15">
      <c r="B17" s="4" t="s">
        <v>12</v>
      </c>
      <c r="C17" s="18"/>
      <c r="D17" s="25">
        <v>1</v>
      </c>
      <c r="E17" s="31"/>
      <c r="F17" s="31"/>
      <c r="G17" s="31"/>
      <c r="H17" s="34">
        <f t="shared" si="0"/>
        <v>1</v>
      </c>
      <c r="I17" s="5">
        <v>44536</v>
      </c>
    </row>
    <row r="18" spans="2:9" x14ac:dyDescent="0.15">
      <c r="B18" s="4" t="s">
        <v>12</v>
      </c>
      <c r="C18" s="18"/>
      <c r="D18" s="25"/>
      <c r="E18" s="31">
        <v>1</v>
      </c>
      <c r="F18" s="31"/>
      <c r="G18" s="31"/>
      <c r="H18" s="34">
        <f t="shared" si="0"/>
        <v>1</v>
      </c>
      <c r="I18" s="5">
        <v>44557</v>
      </c>
    </row>
    <row r="19" spans="2:9" x14ac:dyDescent="0.15">
      <c r="B19" s="4" t="s">
        <v>12</v>
      </c>
      <c r="C19" s="20"/>
      <c r="D19" s="28"/>
      <c r="E19" s="33">
        <v>1</v>
      </c>
      <c r="F19" s="33"/>
      <c r="G19" s="33"/>
      <c r="H19" s="34">
        <f t="shared" si="0"/>
        <v>1</v>
      </c>
      <c r="I19" s="5">
        <v>44566</v>
      </c>
    </row>
    <row r="20" spans="2:9" x14ac:dyDescent="0.15">
      <c r="B20" s="4" t="s">
        <v>12</v>
      </c>
      <c r="C20" s="20"/>
      <c r="D20" s="28"/>
      <c r="E20" s="33">
        <v>1</v>
      </c>
      <c r="F20" s="33"/>
      <c r="G20" s="33"/>
      <c r="H20" s="34">
        <f t="shared" si="0"/>
        <v>1</v>
      </c>
      <c r="I20" s="5">
        <v>44576</v>
      </c>
    </row>
    <row r="21" spans="2:9" x14ac:dyDescent="0.15">
      <c r="B21" s="4" t="s">
        <v>12</v>
      </c>
      <c r="C21" s="18"/>
      <c r="D21" s="25">
        <v>1</v>
      </c>
      <c r="E21" s="31"/>
      <c r="F21" s="31"/>
      <c r="G21" s="31"/>
      <c r="H21" s="34">
        <f t="shared" si="0"/>
        <v>1</v>
      </c>
      <c r="I21" s="5">
        <v>44578</v>
      </c>
    </row>
    <row r="22" spans="2:9" x14ac:dyDescent="0.15">
      <c r="B22" s="4" t="s">
        <v>12</v>
      </c>
      <c r="C22" s="20"/>
      <c r="D22" s="28"/>
      <c r="E22" s="33"/>
      <c r="F22" s="33"/>
      <c r="G22" s="33">
        <v>1</v>
      </c>
      <c r="H22" s="34">
        <f t="shared" si="0"/>
        <v>1</v>
      </c>
      <c r="I22" s="3">
        <v>44580</v>
      </c>
    </row>
    <row r="23" spans="2:9" x14ac:dyDescent="0.15">
      <c r="B23" s="4" t="s">
        <v>12</v>
      </c>
      <c r="C23" s="20"/>
      <c r="D23" s="28">
        <v>1</v>
      </c>
      <c r="E23" s="33">
        <v>1</v>
      </c>
      <c r="F23" s="33"/>
      <c r="G23" s="33"/>
      <c r="H23" s="34">
        <f t="shared" si="0"/>
        <v>2</v>
      </c>
      <c r="I23" s="3">
        <v>44614</v>
      </c>
    </row>
    <row r="24" spans="2:9" x14ac:dyDescent="0.15">
      <c r="B24" s="4" t="s">
        <v>12</v>
      </c>
      <c r="C24" s="18"/>
      <c r="D24" s="25"/>
      <c r="E24" s="31">
        <v>1</v>
      </c>
      <c r="F24" s="31"/>
      <c r="G24" s="31"/>
      <c r="H24" s="34">
        <f t="shared" si="0"/>
        <v>1</v>
      </c>
      <c r="I24" s="5">
        <v>44779</v>
      </c>
    </row>
    <row r="25" spans="2:9" x14ac:dyDescent="0.15">
      <c r="B25" s="4" t="s">
        <v>12</v>
      </c>
      <c r="C25" s="20"/>
      <c r="D25" s="28">
        <v>1</v>
      </c>
      <c r="E25" s="33"/>
      <c r="F25" s="33"/>
      <c r="G25" s="33"/>
      <c r="H25" s="34">
        <f t="shared" si="0"/>
        <v>1</v>
      </c>
      <c r="I25" s="3">
        <v>44881</v>
      </c>
    </row>
    <row r="26" spans="2:9" x14ac:dyDescent="0.15">
      <c r="B26" s="4" t="s">
        <v>12</v>
      </c>
      <c r="C26" s="20"/>
      <c r="D26" s="28">
        <v>1</v>
      </c>
      <c r="E26" s="33"/>
      <c r="F26" s="33">
        <v>1</v>
      </c>
      <c r="G26" s="33"/>
      <c r="H26" s="34">
        <f t="shared" si="0"/>
        <v>2</v>
      </c>
      <c r="I26" s="3">
        <v>44901</v>
      </c>
    </row>
    <row r="27" spans="2:9" x14ac:dyDescent="0.15">
      <c r="B27" s="4" t="s">
        <v>12</v>
      </c>
      <c r="C27" s="20"/>
      <c r="D27" s="28"/>
      <c r="E27" s="33"/>
      <c r="F27" s="33"/>
      <c r="G27" s="33">
        <v>1</v>
      </c>
      <c r="H27" s="34">
        <f t="shared" si="0"/>
        <v>1</v>
      </c>
      <c r="I27" s="3">
        <v>44910</v>
      </c>
    </row>
    <row r="28" spans="2:9" x14ac:dyDescent="0.15">
      <c r="B28" s="4" t="s">
        <v>12</v>
      </c>
      <c r="C28" s="20"/>
      <c r="D28" s="28">
        <v>1</v>
      </c>
      <c r="E28" s="33"/>
      <c r="F28" s="33"/>
      <c r="G28" s="33"/>
      <c r="H28" s="34">
        <f t="shared" si="0"/>
        <v>1</v>
      </c>
      <c r="I28" s="3">
        <v>44937</v>
      </c>
    </row>
    <row r="29" spans="2:9" x14ac:dyDescent="0.15">
      <c r="B29" s="4" t="s">
        <v>12</v>
      </c>
      <c r="C29" s="20">
        <v>1</v>
      </c>
      <c r="D29" s="28"/>
      <c r="E29" s="33"/>
      <c r="F29" s="33"/>
      <c r="G29" s="33"/>
      <c r="H29" s="34">
        <f t="shared" si="0"/>
        <v>1</v>
      </c>
      <c r="I29" s="3">
        <v>44958</v>
      </c>
    </row>
    <row r="30" spans="2:9" x14ac:dyDescent="0.15">
      <c r="B30" s="4" t="s">
        <v>12</v>
      </c>
      <c r="C30" s="20"/>
      <c r="D30" s="28"/>
      <c r="E30" s="33"/>
      <c r="F30" s="33"/>
      <c r="G30" s="33">
        <v>1</v>
      </c>
      <c r="H30" s="34">
        <f t="shared" si="0"/>
        <v>1</v>
      </c>
      <c r="I30" s="3">
        <v>44970</v>
      </c>
    </row>
    <row r="31" spans="2:9" x14ac:dyDescent="0.15">
      <c r="B31" s="4" t="s">
        <v>14</v>
      </c>
      <c r="C31" s="18">
        <v>0</v>
      </c>
      <c r="D31" s="25">
        <v>0</v>
      </c>
      <c r="E31" s="31">
        <v>0</v>
      </c>
      <c r="F31" s="31">
        <v>0</v>
      </c>
      <c r="G31" s="31">
        <v>0</v>
      </c>
      <c r="H31" s="34">
        <f t="shared" si="0"/>
        <v>0</v>
      </c>
      <c r="I31" s="6">
        <v>45146</v>
      </c>
    </row>
    <row r="32" spans="2:9" x14ac:dyDescent="0.15">
      <c r="B32" s="4" t="s">
        <v>12</v>
      </c>
      <c r="C32" s="18">
        <v>1</v>
      </c>
      <c r="D32" s="25"/>
      <c r="E32" s="31"/>
      <c r="F32" s="31"/>
      <c r="G32" s="31"/>
      <c r="H32" s="34">
        <f t="shared" si="0"/>
        <v>1</v>
      </c>
      <c r="I32" s="6">
        <v>45246</v>
      </c>
    </row>
    <row r="33" spans="1:9" x14ac:dyDescent="0.15">
      <c r="B33" s="4" t="s">
        <v>12</v>
      </c>
      <c r="C33" s="18">
        <v>1</v>
      </c>
      <c r="D33" s="25"/>
      <c r="E33" s="31"/>
      <c r="F33" s="31"/>
      <c r="G33" s="31"/>
      <c r="H33" s="34">
        <f t="shared" si="0"/>
        <v>1</v>
      </c>
      <c r="I33" s="6">
        <v>45248</v>
      </c>
    </row>
    <row r="34" spans="1:9" x14ac:dyDescent="0.15">
      <c r="B34" s="4" t="s">
        <v>12</v>
      </c>
      <c r="C34" s="18">
        <v>1</v>
      </c>
      <c r="D34" s="25"/>
      <c r="E34" s="31"/>
      <c r="F34" s="31"/>
      <c r="G34" s="31"/>
      <c r="H34" s="34">
        <f t="shared" si="0"/>
        <v>1</v>
      </c>
      <c r="I34" s="6">
        <v>45252</v>
      </c>
    </row>
    <row r="35" spans="1:9" x14ac:dyDescent="0.15">
      <c r="B35" s="4" t="s">
        <v>12</v>
      </c>
      <c r="C35" s="18">
        <v>1</v>
      </c>
      <c r="D35" s="25">
        <v>1</v>
      </c>
      <c r="E35" s="31"/>
      <c r="F35" s="31">
        <v>1</v>
      </c>
      <c r="G35" s="31"/>
      <c r="H35" s="34">
        <f t="shared" si="0"/>
        <v>3</v>
      </c>
      <c r="I35" s="6">
        <v>45260</v>
      </c>
    </row>
    <row r="36" spans="1:9" ht="14.25" thickBot="1" x14ac:dyDescent="0.2">
      <c r="B36" s="4" t="s">
        <v>12</v>
      </c>
      <c r="C36" s="22">
        <v>1</v>
      </c>
      <c r="D36" s="26"/>
      <c r="E36" s="32"/>
      <c r="F36" s="32"/>
      <c r="G36" s="32"/>
      <c r="H36" s="35">
        <f t="shared" si="0"/>
        <v>1</v>
      </c>
      <c r="I36" s="6">
        <v>45266</v>
      </c>
    </row>
    <row r="37" spans="1:9" ht="14.25" thickBot="1" x14ac:dyDescent="0.2">
      <c r="B37" s="13" t="s">
        <v>2</v>
      </c>
      <c r="C37" s="7">
        <f>SUM(C12:C36)</f>
        <v>6</v>
      </c>
      <c r="D37" s="27">
        <f>SUM(D12:D36)</f>
        <v>8</v>
      </c>
      <c r="E37" s="27">
        <f>SUM(E12:E36)</f>
        <v>8</v>
      </c>
      <c r="F37" s="27">
        <f>SUM(F12:F36)</f>
        <v>3</v>
      </c>
      <c r="G37" s="27">
        <f>SUM(G12:G36)</f>
        <v>5</v>
      </c>
      <c r="H37" s="27">
        <f t="shared" si="0"/>
        <v>30</v>
      </c>
    </row>
    <row r="38" spans="1:9" ht="14.25" thickBot="1" x14ac:dyDescent="0.2">
      <c r="B38" s="15" t="s">
        <v>3</v>
      </c>
      <c r="C38" s="16">
        <f>+C11-C37</f>
        <v>4</v>
      </c>
      <c r="D38" s="29">
        <f>+D11-D37</f>
        <v>2</v>
      </c>
      <c r="E38" s="29">
        <f>+E11-E37</f>
        <v>7</v>
      </c>
      <c r="F38" s="29">
        <f>+F11-F37</f>
        <v>2</v>
      </c>
      <c r="G38" s="29">
        <f>+G11-G37</f>
        <v>0</v>
      </c>
      <c r="H38" s="29">
        <f t="shared" si="0"/>
        <v>15</v>
      </c>
    </row>
    <row r="40" spans="1:9" ht="18.75" x14ac:dyDescent="0.2">
      <c r="B40" s="8" t="s">
        <v>7</v>
      </c>
      <c r="C40" s="9"/>
      <c r="D40" s="9"/>
      <c r="E40" s="9"/>
      <c r="F40" s="9"/>
      <c r="G40" s="9"/>
      <c r="H40" s="9"/>
    </row>
    <row r="41" spans="1:9" ht="14.25" thickBot="1" x14ac:dyDescent="0.2"/>
    <row r="42" spans="1:9" ht="14.25" thickBot="1" x14ac:dyDescent="0.2">
      <c r="B42" s="2"/>
      <c r="C42" s="52"/>
      <c r="D42" s="52"/>
      <c r="E42" s="52"/>
      <c r="F42" s="52"/>
      <c r="G42" s="52"/>
      <c r="H42" s="53"/>
    </row>
    <row r="43" spans="1:9" ht="14.25" thickBot="1" x14ac:dyDescent="0.2">
      <c r="A43" s="1"/>
      <c r="B43" s="10"/>
      <c r="C43" s="47" t="s">
        <v>8</v>
      </c>
      <c r="D43" s="48" t="s">
        <v>6</v>
      </c>
      <c r="E43" s="49" t="s">
        <v>9</v>
      </c>
      <c r="F43" s="51" t="s">
        <v>10</v>
      </c>
      <c r="G43" s="50" t="s">
        <v>11</v>
      </c>
      <c r="H43" s="23" t="s">
        <v>0</v>
      </c>
    </row>
    <row r="44" spans="1:9" x14ac:dyDescent="0.15">
      <c r="B44" s="14" t="s">
        <v>3</v>
      </c>
      <c r="C44" s="21">
        <f>C38</f>
        <v>4</v>
      </c>
      <c r="D44" s="30">
        <f>D38</f>
        <v>2</v>
      </c>
      <c r="E44" s="30">
        <f>E38</f>
        <v>7</v>
      </c>
      <c r="F44" s="30">
        <v>5</v>
      </c>
      <c r="G44" s="30">
        <f>G38</f>
        <v>0</v>
      </c>
      <c r="H44" s="30">
        <f t="shared" ref="H44:H77" si="1">SUM(C44:G44)</f>
        <v>18</v>
      </c>
    </row>
    <row r="45" spans="1:9" x14ac:dyDescent="0.15">
      <c r="B45" s="11" t="s">
        <v>14</v>
      </c>
      <c r="C45" s="18">
        <v>0</v>
      </c>
      <c r="D45" s="25"/>
      <c r="E45" s="31">
        <v>0</v>
      </c>
      <c r="F45" s="31">
        <v>-4</v>
      </c>
      <c r="G45" s="31"/>
      <c r="H45" s="34">
        <f t="shared" si="1"/>
        <v>-4</v>
      </c>
      <c r="I45" s="5">
        <v>45526</v>
      </c>
    </row>
    <row r="46" spans="1:9" x14ac:dyDescent="0.15">
      <c r="B46" s="11" t="s">
        <v>4</v>
      </c>
      <c r="C46" s="18"/>
      <c r="D46" s="25">
        <v>2</v>
      </c>
      <c r="E46" s="31"/>
      <c r="F46" s="31">
        <v>3</v>
      </c>
      <c r="G46" s="31">
        <v>2</v>
      </c>
      <c r="H46" s="34">
        <f t="shared" si="1"/>
        <v>7</v>
      </c>
      <c r="I46" s="5">
        <v>45567</v>
      </c>
    </row>
    <row r="47" spans="1:9" x14ac:dyDescent="0.15">
      <c r="B47" s="11" t="s">
        <v>4</v>
      </c>
      <c r="C47" s="18">
        <v>3</v>
      </c>
      <c r="D47" s="25">
        <v>2</v>
      </c>
      <c r="E47" s="31">
        <v>3</v>
      </c>
      <c r="F47" s="31">
        <v>2</v>
      </c>
      <c r="G47" s="31">
        <v>2</v>
      </c>
      <c r="H47" s="34">
        <f t="shared" si="1"/>
        <v>12</v>
      </c>
      <c r="I47" s="5">
        <v>45635</v>
      </c>
    </row>
    <row r="48" spans="1:9" x14ac:dyDescent="0.15">
      <c r="B48" s="11" t="s">
        <v>4</v>
      </c>
      <c r="C48" s="18"/>
      <c r="D48" s="25"/>
      <c r="E48" s="31"/>
      <c r="F48" s="31"/>
      <c r="G48" s="31"/>
      <c r="H48" s="34">
        <f t="shared" si="1"/>
        <v>0</v>
      </c>
    </row>
    <row r="49" spans="2:9" ht="14.25" thickBot="1" x14ac:dyDescent="0.2">
      <c r="B49" s="12" t="s">
        <v>4</v>
      </c>
      <c r="C49" s="19"/>
      <c r="D49" s="26"/>
      <c r="E49" s="32"/>
      <c r="F49" s="32"/>
      <c r="G49" s="32"/>
      <c r="H49" s="35">
        <f t="shared" si="1"/>
        <v>0</v>
      </c>
    </row>
    <row r="50" spans="2:9" ht="14.25" thickBot="1" x14ac:dyDescent="0.2">
      <c r="B50" s="36" t="s">
        <v>1</v>
      </c>
      <c r="C50" s="37">
        <f>SUM(C44:C49)</f>
        <v>7</v>
      </c>
      <c r="D50" s="37">
        <f>SUM(D44:D49)</f>
        <v>6</v>
      </c>
      <c r="E50" s="38">
        <f>SUM(E44:E49)</f>
        <v>10</v>
      </c>
      <c r="F50" s="37">
        <f>SUM(F44:F49)</f>
        <v>6</v>
      </c>
      <c r="G50" s="37">
        <f>SUM(G44:G49)</f>
        <v>4</v>
      </c>
      <c r="H50" s="37">
        <f t="shared" si="1"/>
        <v>33</v>
      </c>
    </row>
    <row r="51" spans="2:9" x14ac:dyDescent="0.15">
      <c r="B51" s="4" t="s">
        <v>12</v>
      </c>
      <c r="C51" s="17"/>
      <c r="D51" s="24"/>
      <c r="E51" s="31">
        <v>1</v>
      </c>
      <c r="F51" s="31"/>
      <c r="G51" s="31"/>
      <c r="H51" s="34">
        <f t="shared" si="1"/>
        <v>1</v>
      </c>
      <c r="I51" s="5">
        <v>45267</v>
      </c>
    </row>
    <row r="52" spans="2:9" x14ac:dyDescent="0.15">
      <c r="B52" s="4" t="s">
        <v>12</v>
      </c>
      <c r="C52" s="18">
        <v>1</v>
      </c>
      <c r="D52" s="25"/>
      <c r="E52" s="31">
        <v>1</v>
      </c>
      <c r="F52" s="31"/>
      <c r="G52" s="31"/>
      <c r="H52" s="34">
        <f t="shared" si="1"/>
        <v>2</v>
      </c>
      <c r="I52" s="5">
        <v>45296</v>
      </c>
    </row>
    <row r="53" spans="2:9" x14ac:dyDescent="0.15">
      <c r="B53" s="4" t="s">
        <v>12</v>
      </c>
      <c r="C53" s="18"/>
      <c r="D53" s="25">
        <v>1</v>
      </c>
      <c r="E53" s="31"/>
      <c r="F53" s="31"/>
      <c r="G53" s="31"/>
      <c r="H53" s="34">
        <f t="shared" si="1"/>
        <v>1</v>
      </c>
      <c r="I53" s="5">
        <v>45315</v>
      </c>
    </row>
    <row r="54" spans="2:9" x14ac:dyDescent="0.15">
      <c r="B54" s="4" t="s">
        <v>12</v>
      </c>
      <c r="C54" s="20"/>
      <c r="D54" s="28"/>
      <c r="E54" s="33">
        <v>1</v>
      </c>
      <c r="F54" s="33">
        <v>1</v>
      </c>
      <c r="G54" s="33"/>
      <c r="H54" s="34">
        <f t="shared" si="1"/>
        <v>2</v>
      </c>
      <c r="I54" s="5">
        <v>45320</v>
      </c>
    </row>
    <row r="55" spans="2:9" x14ac:dyDescent="0.15">
      <c r="B55" s="4" t="s">
        <v>12</v>
      </c>
      <c r="C55" s="20"/>
      <c r="D55" s="28"/>
      <c r="E55" s="33"/>
      <c r="F55" s="33">
        <v>1</v>
      </c>
      <c r="G55" s="33"/>
      <c r="H55" s="34">
        <f t="shared" si="1"/>
        <v>1</v>
      </c>
      <c r="I55" s="5">
        <v>45324</v>
      </c>
    </row>
    <row r="56" spans="2:9" x14ac:dyDescent="0.15">
      <c r="B56" s="4" t="s">
        <v>12</v>
      </c>
      <c r="C56" s="18"/>
      <c r="D56" s="25"/>
      <c r="E56" s="31">
        <v>2</v>
      </c>
      <c r="F56" s="31"/>
      <c r="G56" s="31"/>
      <c r="H56" s="34">
        <f t="shared" si="1"/>
        <v>2</v>
      </c>
      <c r="I56" s="5">
        <v>45348</v>
      </c>
    </row>
    <row r="57" spans="2:9" x14ac:dyDescent="0.15">
      <c r="B57" s="4" t="s">
        <v>12</v>
      </c>
      <c r="C57" s="18">
        <v>1</v>
      </c>
      <c r="D57" s="25"/>
      <c r="E57" s="31"/>
      <c r="F57" s="31"/>
      <c r="G57" s="31"/>
      <c r="H57" s="34">
        <f t="shared" si="1"/>
        <v>1</v>
      </c>
      <c r="I57" s="5">
        <v>45404</v>
      </c>
    </row>
    <row r="58" spans="2:9" x14ac:dyDescent="0.15">
      <c r="B58" s="4" t="s">
        <v>12</v>
      </c>
      <c r="C58" s="20"/>
      <c r="D58" s="28">
        <v>1</v>
      </c>
      <c r="E58" s="33"/>
      <c r="F58" s="33"/>
      <c r="G58" s="33"/>
      <c r="H58" s="34">
        <f t="shared" si="1"/>
        <v>1</v>
      </c>
      <c r="I58" s="5">
        <v>45496</v>
      </c>
    </row>
    <row r="59" spans="2:9" x14ac:dyDescent="0.15">
      <c r="B59" s="4" t="s">
        <v>12</v>
      </c>
      <c r="C59" s="20">
        <v>1</v>
      </c>
      <c r="D59" s="28"/>
      <c r="E59" s="33"/>
      <c r="F59" s="33"/>
      <c r="G59" s="33"/>
      <c r="H59" s="34">
        <f t="shared" si="1"/>
        <v>1</v>
      </c>
      <c r="I59" s="5">
        <v>45607</v>
      </c>
    </row>
    <row r="60" spans="2:9" x14ac:dyDescent="0.15">
      <c r="B60" s="4" t="s">
        <v>12</v>
      </c>
      <c r="C60" s="18"/>
      <c r="D60" s="25"/>
      <c r="E60" s="31">
        <v>2</v>
      </c>
      <c r="F60" s="31">
        <v>2</v>
      </c>
      <c r="G60" s="31">
        <v>1</v>
      </c>
      <c r="H60" s="34">
        <f t="shared" si="1"/>
        <v>5</v>
      </c>
      <c r="I60" s="5">
        <v>45623</v>
      </c>
    </row>
    <row r="61" spans="2:9" x14ac:dyDescent="0.15">
      <c r="B61" s="4" t="s">
        <v>12</v>
      </c>
      <c r="C61" s="20">
        <v>2</v>
      </c>
      <c r="D61" s="28">
        <v>1</v>
      </c>
      <c r="E61" s="33"/>
      <c r="F61" s="33"/>
      <c r="G61" s="33">
        <v>1</v>
      </c>
      <c r="H61" s="34">
        <f t="shared" si="1"/>
        <v>4</v>
      </c>
      <c r="I61" s="5">
        <v>45635</v>
      </c>
    </row>
    <row r="62" spans="2:9" x14ac:dyDescent="0.15">
      <c r="B62" s="4" t="s">
        <v>12</v>
      </c>
      <c r="C62" s="20"/>
      <c r="D62" s="28">
        <v>2</v>
      </c>
      <c r="E62" s="33">
        <v>1</v>
      </c>
      <c r="F62" s="33"/>
      <c r="G62" s="33"/>
      <c r="H62" s="34">
        <f t="shared" si="1"/>
        <v>3</v>
      </c>
      <c r="I62" s="5">
        <v>45684</v>
      </c>
    </row>
    <row r="63" spans="2:9" x14ac:dyDescent="0.15">
      <c r="B63" s="4" t="s">
        <v>12</v>
      </c>
      <c r="C63" s="18"/>
      <c r="D63" s="25"/>
      <c r="E63" s="31"/>
      <c r="F63" s="31">
        <v>1</v>
      </c>
      <c r="G63" s="31"/>
      <c r="H63" s="34">
        <f t="shared" si="1"/>
        <v>1</v>
      </c>
      <c r="I63" s="5">
        <v>45726</v>
      </c>
    </row>
    <row r="64" spans="2:9" x14ac:dyDescent="0.15">
      <c r="B64" s="4" t="s">
        <v>15</v>
      </c>
      <c r="C64" s="20">
        <v>0</v>
      </c>
      <c r="D64" s="28">
        <v>0</v>
      </c>
      <c r="E64" s="33">
        <v>0</v>
      </c>
      <c r="F64" s="33">
        <v>0</v>
      </c>
      <c r="G64" s="33">
        <v>0</v>
      </c>
      <c r="H64" s="34">
        <f t="shared" si="1"/>
        <v>0</v>
      </c>
      <c r="I64" s="5">
        <v>45889</v>
      </c>
    </row>
    <row r="65" spans="2:9" x14ac:dyDescent="0.15">
      <c r="B65" s="4" t="s">
        <v>12</v>
      </c>
      <c r="C65" s="20"/>
      <c r="D65" s="28">
        <v>1</v>
      </c>
      <c r="E65" s="33">
        <v>1</v>
      </c>
      <c r="F65" s="33"/>
      <c r="G65" s="33"/>
      <c r="H65" s="34">
        <f t="shared" si="1"/>
        <v>2</v>
      </c>
      <c r="I65" s="5">
        <v>46006</v>
      </c>
    </row>
    <row r="66" spans="2:9" x14ac:dyDescent="0.15">
      <c r="B66" s="4" t="s">
        <v>12</v>
      </c>
      <c r="C66" s="20">
        <v>1</v>
      </c>
      <c r="D66" s="28"/>
      <c r="E66" s="33"/>
      <c r="F66" s="33"/>
      <c r="G66" s="33"/>
      <c r="H66" s="34">
        <f t="shared" si="1"/>
        <v>1</v>
      </c>
      <c r="I66" s="5">
        <v>46011</v>
      </c>
    </row>
    <row r="67" spans="2:9" x14ac:dyDescent="0.15">
      <c r="B67" s="4" t="s">
        <v>12</v>
      </c>
      <c r="C67" s="20"/>
      <c r="D67" s="28"/>
      <c r="E67" s="33"/>
      <c r="F67" s="33">
        <v>1</v>
      </c>
      <c r="G67" s="33"/>
      <c r="H67" s="34">
        <f t="shared" si="1"/>
        <v>1</v>
      </c>
      <c r="I67" s="5">
        <v>46036</v>
      </c>
    </row>
    <row r="68" spans="2:9" x14ac:dyDescent="0.15">
      <c r="B68" s="4" t="s">
        <v>14</v>
      </c>
      <c r="C68" s="20"/>
      <c r="D68" s="28"/>
      <c r="E68" s="33">
        <v>1</v>
      </c>
      <c r="F68" s="33"/>
      <c r="G68" s="33"/>
      <c r="H68" s="34">
        <f t="shared" si="1"/>
        <v>1</v>
      </c>
      <c r="I68" s="5">
        <v>46078</v>
      </c>
    </row>
    <row r="69" spans="2:9" x14ac:dyDescent="0.15">
      <c r="B69" s="4"/>
      <c r="C69" s="20"/>
      <c r="D69" s="28"/>
      <c r="E69" s="33"/>
      <c r="F69" s="33"/>
      <c r="G69" s="33"/>
      <c r="H69" s="34">
        <f t="shared" si="1"/>
        <v>0</v>
      </c>
    </row>
    <row r="70" spans="2:9" x14ac:dyDescent="0.15">
      <c r="B70" s="4"/>
      <c r="C70" s="18"/>
      <c r="D70" s="25"/>
      <c r="E70" s="31"/>
      <c r="F70" s="31"/>
      <c r="G70" s="31"/>
      <c r="H70" s="34">
        <f t="shared" si="1"/>
        <v>0</v>
      </c>
    </row>
    <row r="71" spans="2:9" x14ac:dyDescent="0.15">
      <c r="B71" s="4"/>
      <c r="C71" s="18"/>
      <c r="D71" s="25"/>
      <c r="E71" s="31"/>
      <c r="F71" s="31"/>
      <c r="G71" s="31"/>
      <c r="H71" s="34">
        <f t="shared" si="1"/>
        <v>0</v>
      </c>
    </row>
    <row r="72" spans="2:9" x14ac:dyDescent="0.15">
      <c r="B72" s="4"/>
      <c r="C72" s="18"/>
      <c r="D72" s="25"/>
      <c r="E72" s="31"/>
      <c r="F72" s="31"/>
      <c r="G72" s="31"/>
      <c r="H72" s="34">
        <f t="shared" si="1"/>
        <v>0</v>
      </c>
    </row>
    <row r="73" spans="2:9" x14ac:dyDescent="0.15">
      <c r="B73" s="4"/>
      <c r="C73" s="18"/>
      <c r="D73" s="25"/>
      <c r="E73" s="31"/>
      <c r="F73" s="31"/>
      <c r="G73" s="31"/>
      <c r="H73" s="34">
        <f t="shared" si="1"/>
        <v>0</v>
      </c>
    </row>
    <row r="74" spans="2:9" x14ac:dyDescent="0.15">
      <c r="B74" s="4"/>
      <c r="C74" s="18"/>
      <c r="D74" s="25"/>
      <c r="E74" s="31"/>
      <c r="F74" s="31"/>
      <c r="G74" s="31"/>
      <c r="H74" s="34">
        <f t="shared" si="1"/>
        <v>0</v>
      </c>
    </row>
    <row r="75" spans="2:9" ht="14.25" thickBot="1" x14ac:dyDescent="0.2">
      <c r="B75" s="4"/>
      <c r="C75" s="22"/>
      <c r="D75" s="26"/>
      <c r="E75" s="32"/>
      <c r="F75" s="32"/>
      <c r="G75" s="32"/>
      <c r="H75" s="35">
        <f t="shared" si="1"/>
        <v>0</v>
      </c>
    </row>
    <row r="76" spans="2:9" ht="14.25" thickBot="1" x14ac:dyDescent="0.2">
      <c r="B76" s="13" t="s">
        <v>2</v>
      </c>
      <c r="C76" s="7">
        <f>SUM(C51:C75)</f>
        <v>6</v>
      </c>
      <c r="D76" s="27">
        <f>SUM(D51:D75)</f>
        <v>6</v>
      </c>
      <c r="E76" s="27">
        <f>SUM(E51:E75)</f>
        <v>10</v>
      </c>
      <c r="F76" s="27">
        <f>SUM(F51:F75)</f>
        <v>6</v>
      </c>
      <c r="G76" s="27">
        <f>SUM(G51:G75)</f>
        <v>2</v>
      </c>
      <c r="H76" s="27">
        <f t="shared" si="1"/>
        <v>30</v>
      </c>
    </row>
    <row r="77" spans="2:9" ht="14.25" thickBot="1" x14ac:dyDescent="0.2">
      <c r="B77" s="15" t="s">
        <v>3</v>
      </c>
      <c r="C77" s="16">
        <f>+C50-C76</f>
        <v>1</v>
      </c>
      <c r="D77" s="29">
        <f>+D50-D76</f>
        <v>0</v>
      </c>
      <c r="E77" s="29">
        <f>+E50-E76</f>
        <v>0</v>
      </c>
      <c r="F77" s="29">
        <f>+F50-F76</f>
        <v>0</v>
      </c>
      <c r="G77" s="29">
        <f>+G50-G76</f>
        <v>2</v>
      </c>
      <c r="H77" s="29">
        <f t="shared" si="1"/>
        <v>3</v>
      </c>
    </row>
  </sheetData>
  <mergeCells count="2">
    <mergeCell ref="C3:H3"/>
    <mergeCell ref="C42:H42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アンゴラ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dcterms:created xsi:type="dcterms:W3CDTF">1997-01-08T22:48:59Z</dcterms:created>
  <dcterms:modified xsi:type="dcterms:W3CDTF">2026-02-25T10:16:07Z</dcterms:modified>
</cp:coreProperties>
</file>