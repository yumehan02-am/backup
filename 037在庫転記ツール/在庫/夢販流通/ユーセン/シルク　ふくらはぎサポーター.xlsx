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5DDF5E02-7A61-46E7-91A6-FF708FB5D5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ふくらはぎｻﾎﾟｰﾀ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4" i="1" l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398" i="1"/>
  <c r="E399" i="1"/>
  <c r="E400" i="1"/>
  <c r="D429" i="1"/>
  <c r="C429" i="1"/>
  <c r="E428" i="1"/>
  <c r="E427" i="1"/>
  <c r="E402" i="1"/>
  <c r="E401" i="1"/>
  <c r="D397" i="1"/>
  <c r="D403" i="1" s="1"/>
  <c r="C397" i="1"/>
  <c r="C403" i="1" s="1"/>
  <c r="D390" i="1"/>
  <c r="C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3" i="1"/>
  <c r="E362" i="1"/>
  <c r="E361" i="1"/>
  <c r="E360" i="1"/>
  <c r="E359" i="1"/>
  <c r="D332" i="1"/>
  <c r="C327" i="1"/>
  <c r="E327" i="1" s="1"/>
  <c r="E326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D351" i="1"/>
  <c r="E350" i="1"/>
  <c r="E349" i="1"/>
  <c r="E348" i="1"/>
  <c r="E347" i="1"/>
  <c r="E346" i="1"/>
  <c r="E345" i="1"/>
  <c r="E344" i="1"/>
  <c r="E324" i="1"/>
  <c r="E323" i="1"/>
  <c r="E322" i="1"/>
  <c r="E321" i="1"/>
  <c r="E320" i="1"/>
  <c r="D293" i="1"/>
  <c r="C293" i="1"/>
  <c r="E293" i="1" s="1"/>
  <c r="C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2" i="1"/>
  <c r="E291" i="1"/>
  <c r="E290" i="1"/>
  <c r="E289" i="1"/>
  <c r="D312" i="1"/>
  <c r="E287" i="1"/>
  <c r="E285" i="1"/>
  <c r="E284" i="1"/>
  <c r="E283" i="1"/>
  <c r="E282" i="1"/>
  <c r="E281" i="1"/>
  <c r="D249" i="1"/>
  <c r="D273" i="1" s="1"/>
  <c r="E242" i="1"/>
  <c r="E243" i="1"/>
  <c r="E244" i="1"/>
  <c r="C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8" i="1"/>
  <c r="E246" i="1"/>
  <c r="E245" i="1"/>
  <c r="C229" i="1"/>
  <c r="D228" i="1"/>
  <c r="C228" i="1"/>
  <c r="C218" i="1"/>
  <c r="E218" i="1" s="1"/>
  <c r="C213" i="1"/>
  <c r="D212" i="1"/>
  <c r="E212" i="1" s="1"/>
  <c r="E205" i="1"/>
  <c r="E206" i="1"/>
  <c r="E233" i="1"/>
  <c r="E232" i="1"/>
  <c r="E231" i="1"/>
  <c r="E230" i="1"/>
  <c r="E229" i="1"/>
  <c r="E227" i="1"/>
  <c r="E226" i="1"/>
  <c r="E225" i="1"/>
  <c r="E224" i="1"/>
  <c r="E223" i="1"/>
  <c r="E222" i="1"/>
  <c r="E221" i="1"/>
  <c r="E220" i="1"/>
  <c r="E219" i="1"/>
  <c r="E217" i="1"/>
  <c r="E216" i="1"/>
  <c r="E215" i="1"/>
  <c r="E214" i="1"/>
  <c r="E213" i="1"/>
  <c r="E211" i="1"/>
  <c r="E210" i="1"/>
  <c r="E209" i="1"/>
  <c r="E207" i="1"/>
  <c r="E204" i="1"/>
  <c r="E203" i="1"/>
  <c r="D39" i="1"/>
  <c r="E36" i="1"/>
  <c r="E37" i="1"/>
  <c r="E38" i="1"/>
  <c r="E11" i="1"/>
  <c r="E5" i="1"/>
  <c r="E6" i="1"/>
  <c r="E7" i="1"/>
  <c r="E8" i="1"/>
  <c r="E9" i="1"/>
  <c r="E10" i="1"/>
  <c r="E12" i="1"/>
  <c r="C13" i="1"/>
  <c r="D13" i="1"/>
  <c r="E14" i="1"/>
  <c r="E15" i="1"/>
  <c r="E16" i="1"/>
  <c r="C17" i="1"/>
  <c r="C39" i="1" s="1"/>
  <c r="E39" i="1" s="1"/>
  <c r="E17" i="1"/>
  <c r="C18" i="1"/>
  <c r="E18" i="1" s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C70" i="1"/>
  <c r="C78" i="1" s="1"/>
  <c r="E70" i="1"/>
  <c r="E71" i="1"/>
  <c r="E72" i="1"/>
  <c r="E73" i="1"/>
  <c r="E74" i="1"/>
  <c r="E75" i="1"/>
  <c r="E76" i="1"/>
  <c r="E77" i="1"/>
  <c r="D78" i="1"/>
  <c r="E86" i="1"/>
  <c r="E87" i="1"/>
  <c r="E88" i="1"/>
  <c r="E89" i="1"/>
  <c r="E90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D107" i="1"/>
  <c r="E107" i="1" s="1"/>
  <c r="E108" i="1"/>
  <c r="E109" i="1"/>
  <c r="E110" i="1"/>
  <c r="E111" i="1"/>
  <c r="E112" i="1"/>
  <c r="E113" i="1"/>
  <c r="E114" i="1"/>
  <c r="E115" i="1"/>
  <c r="E116" i="1"/>
  <c r="C117" i="1"/>
  <c r="E117" i="1" s="1"/>
  <c r="D117" i="1"/>
  <c r="E125" i="1"/>
  <c r="E126" i="1"/>
  <c r="E127" i="1"/>
  <c r="E128" i="1"/>
  <c r="E129" i="1"/>
  <c r="E131" i="1"/>
  <c r="E132" i="1"/>
  <c r="E133" i="1"/>
  <c r="E134" i="1"/>
  <c r="D135" i="1"/>
  <c r="E135" i="1"/>
  <c r="E136" i="1"/>
  <c r="E137" i="1"/>
  <c r="E138" i="1"/>
  <c r="E139" i="1"/>
  <c r="E140" i="1"/>
  <c r="E141" i="1"/>
  <c r="E142" i="1"/>
  <c r="E143" i="1"/>
  <c r="E144" i="1"/>
  <c r="E145" i="1"/>
  <c r="C146" i="1"/>
  <c r="C156" i="1" s="1"/>
  <c r="E156" i="1" s="1"/>
  <c r="E146" i="1"/>
  <c r="E147" i="1"/>
  <c r="E148" i="1"/>
  <c r="E149" i="1"/>
  <c r="E150" i="1"/>
  <c r="E151" i="1"/>
  <c r="E152" i="1"/>
  <c r="E153" i="1"/>
  <c r="E154" i="1"/>
  <c r="E155" i="1"/>
  <c r="D156" i="1"/>
  <c r="E164" i="1"/>
  <c r="E165" i="1"/>
  <c r="E166" i="1"/>
  <c r="E167" i="1"/>
  <c r="E168" i="1"/>
  <c r="E170" i="1"/>
  <c r="E171" i="1"/>
  <c r="E172" i="1"/>
  <c r="E173" i="1"/>
  <c r="E174" i="1"/>
  <c r="E176" i="1"/>
  <c r="E177" i="1"/>
  <c r="E178" i="1"/>
  <c r="E179" i="1"/>
  <c r="E180" i="1"/>
  <c r="E181" i="1"/>
  <c r="E182" i="1"/>
  <c r="E183" i="1"/>
  <c r="E185" i="1"/>
  <c r="E186" i="1"/>
  <c r="E187" i="1"/>
  <c r="E188" i="1"/>
  <c r="E189" i="1"/>
  <c r="E190" i="1"/>
  <c r="E191" i="1"/>
  <c r="E192" i="1"/>
  <c r="E193" i="1"/>
  <c r="E194" i="1"/>
  <c r="E184" i="1"/>
  <c r="D175" i="1"/>
  <c r="D195" i="1" s="1"/>
  <c r="C195" i="1"/>
  <c r="D430" i="1" l="1"/>
  <c r="E429" i="1"/>
  <c r="C430" i="1"/>
  <c r="E430" i="1" s="1"/>
  <c r="E403" i="1"/>
  <c r="E397" i="1"/>
  <c r="E175" i="1"/>
  <c r="C351" i="1"/>
  <c r="E390" i="1"/>
  <c r="E351" i="1"/>
  <c r="E312" i="1"/>
  <c r="E288" i="1"/>
  <c r="E249" i="1"/>
  <c r="E273" i="1"/>
  <c r="E228" i="1"/>
  <c r="C234" i="1"/>
  <c r="D234" i="1"/>
  <c r="E195" i="1"/>
  <c r="E13" i="1"/>
  <c r="E78" i="1"/>
  <c r="E234" i="1" l="1"/>
  <c r="D40" i="1"/>
  <c r="D46" i="1" s="1"/>
  <c r="C40" i="1" l="1"/>
  <c r="D52" i="1"/>
  <c r="D79" i="1" s="1"/>
  <c r="D85" i="1" s="1"/>
  <c r="D91" i="1" s="1"/>
  <c r="D118" i="1" s="1"/>
  <c r="D124" i="1" s="1"/>
  <c r="D130" i="1" s="1"/>
  <c r="D157" i="1" s="1"/>
  <c r="C46" i="1" l="1"/>
  <c r="E40" i="1"/>
  <c r="C52" i="1" l="1"/>
  <c r="E46" i="1"/>
  <c r="D163" i="1"/>
  <c r="E52" i="1" l="1"/>
  <c r="C79" i="1"/>
  <c r="D169" i="1"/>
  <c r="E79" i="1" l="1"/>
  <c r="C85" i="1"/>
  <c r="D196" i="1"/>
  <c r="D202" i="1" s="1"/>
  <c r="D208" i="1" s="1"/>
  <c r="D235" i="1" s="1"/>
  <c r="D241" i="1" l="1"/>
  <c r="D247" i="1" s="1"/>
  <c r="D274" i="1" s="1"/>
  <c r="D280" i="1" s="1"/>
  <c r="D286" i="1" s="1"/>
  <c r="D313" i="1" s="1"/>
  <c r="D319" i="1" s="1"/>
  <c r="D325" i="1" s="1"/>
  <c r="D352" i="1" s="1"/>
  <c r="D358" i="1" s="1"/>
  <c r="D364" i="1" s="1"/>
  <c r="D391" i="1" s="1"/>
  <c r="E85" i="1"/>
  <c r="C91" i="1"/>
  <c r="C118" i="1" s="1"/>
  <c r="E91" i="1" l="1"/>
  <c r="E118" i="1" l="1"/>
  <c r="C124" i="1"/>
  <c r="C130" i="1" l="1"/>
  <c r="E124" i="1"/>
  <c r="E130" i="1" l="1"/>
  <c r="C157" i="1"/>
  <c r="E157" i="1" l="1"/>
  <c r="C163" i="1"/>
  <c r="C169" i="1" l="1"/>
  <c r="E163" i="1"/>
  <c r="C196" i="1" l="1"/>
  <c r="E169" i="1"/>
  <c r="E196" i="1" l="1"/>
  <c r="C202" i="1"/>
  <c r="C208" i="1" l="1"/>
  <c r="E202" i="1"/>
  <c r="E208" i="1" l="1"/>
  <c r="C235" i="1"/>
  <c r="C241" i="1" l="1"/>
  <c r="E235" i="1"/>
  <c r="C247" i="1" l="1"/>
  <c r="E241" i="1"/>
  <c r="E247" i="1" l="1"/>
  <c r="C274" i="1"/>
  <c r="C280" i="1" l="1"/>
  <c r="E274" i="1"/>
  <c r="C286" i="1" l="1"/>
  <c r="E280" i="1"/>
  <c r="C313" i="1" l="1"/>
  <c r="E286" i="1"/>
  <c r="C319" i="1" l="1"/>
  <c r="E313" i="1"/>
  <c r="C325" i="1" l="1"/>
  <c r="E319" i="1"/>
  <c r="E325" i="1" l="1"/>
  <c r="C352" i="1"/>
  <c r="C358" i="1" l="1"/>
  <c r="E352" i="1"/>
  <c r="C364" i="1" l="1"/>
  <c r="E358" i="1"/>
  <c r="E364" i="1" l="1"/>
  <c r="C391" i="1"/>
  <c r="E391" i="1" s="1"/>
</calcChain>
</file>

<file path=xl/sharedStrings.xml><?xml version="1.0" encoding="utf-8"?>
<sst xmlns="http://schemas.openxmlformats.org/spreadsheetml/2006/main" count="386" uniqueCount="18">
  <si>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</si>
  <si>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</si>
  <si>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</si>
  <si>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</si>
  <si>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</si>
  <si>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グレー</t>
    <phoneticPr fontId="2"/>
  </si>
  <si>
    <t>ベージュ</t>
    <phoneticPr fontId="2"/>
  </si>
  <si>
    <t>シルクDXふくらはぎサポーター＜夢販在庫＞　SP980</t>
    <rPh sb="16" eb="20">
      <t>ユメハンザイコ</t>
    </rPh>
    <phoneticPr fontId="2"/>
  </si>
  <si>
    <t>ネット</t>
    <phoneticPr fontId="2"/>
  </si>
  <si>
    <t>初回</t>
    <rPh sb="0" eb="2">
      <t>ショカイ</t>
    </rPh>
    <phoneticPr fontId="2"/>
  </si>
  <si>
    <t>電話注文品</t>
    <rPh sb="0" eb="5">
      <t>デンワチュウモンヒン</t>
    </rPh>
    <phoneticPr fontId="2"/>
  </si>
  <si>
    <t>ネット返品</t>
    <rPh sb="3" eb="5">
      <t>ヘンピン</t>
    </rPh>
    <phoneticPr fontId="2"/>
  </si>
  <si>
    <t>棚卸</t>
    <rPh sb="0" eb="2">
      <t>タナオロシ</t>
    </rPh>
    <phoneticPr fontId="2"/>
  </si>
  <si>
    <t>在庫確認</t>
    <rPh sb="0" eb="4">
      <t>ザイコカクニン</t>
    </rPh>
    <phoneticPr fontId="2"/>
  </si>
  <si>
    <t>計</t>
    <phoneticPr fontId="2"/>
  </si>
  <si>
    <t>8/</t>
    <phoneticPr fontId="2"/>
  </si>
  <si>
    <t>在庫確認</t>
    <rPh sb="0" eb="4">
      <t>ザイコカクニン</t>
    </rPh>
    <phoneticPr fontId="2"/>
  </si>
  <si>
    <t>在庫確認</t>
    <rPh sb="0" eb="4">
      <t>ザイコカクニン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</si>
</sst>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3" fillId="0" borderId="3" xfId="0" applyFont="1" applyBorder="1"/>
    <xf numFmtId="0" fontId="0" fillId="0" borderId="11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56" fontId="0" fillId="0" borderId="0" xfId="0" applyNumberFormat="1" applyAlignment="1">
      <alignment horizontal="right"/>
    </xf>
    <xf numFmtId="56" fontId="1" fillId="0" borderId="0" xfId="0" applyNumberFormat="1" applyFont="1"/>
    <xf numFmtId="56" fontId="0" fillId="0" borderId="0" xfId="0" applyNumberFormat="1"/>
    <xf numFmtId="0" fontId="3" fillId="0" borderId="0" xfId="0" applyFont="1"/>
    <xf numFmtId="0" fontId="3" fillId="0" borderId="8" xfId="0" applyFont="1" applyBorder="1"/>
    <xf numFmtId="56" fontId="3" fillId="0" borderId="0" xfId="0" applyNumberFormat="1" applyFont="1"/>
    <xf numFmtId="56" fontId="5" fillId="0" borderId="0" xfId="0" applyNumberFormat="1" applyFont="1"/>
    <xf numFmtId="0" fontId="0" fillId="0" borderId="9" xfId="0" applyBorder="1"/>
    <xf numFmtId="0" fontId="0" fillId="0" borderId="10" xfId="0" applyBorder="1"/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56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56" fontId="3" fillId="0" borderId="14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56" fontId="0" fillId="0" borderId="14" xfId="0" applyNumberFormat="1" applyBorder="1" applyAlignment="1">
      <alignment horizontal="center"/>
    </xf>
    <xf numFmtId="0" fontId="3" fillId="0" borderId="15" xfId="0" applyFont="1" applyBorder="1"/>
    <xf numFmtId="56" fontId="0" fillId="0" borderId="16" xfId="0" applyNumberFormat="1" applyBorder="1" applyAlignment="1">
      <alignment horizontal="center"/>
    </xf>
    <xf numFmtId="0" fontId="0" fillId="0" borderId="15" xfId="0" applyBorder="1"/>
    <xf numFmtId="0" fontId="0" fillId="4" borderId="1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56" fontId="0" fillId="0" borderId="24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/>
    <xf numFmtId="56" fontId="3" fillId="0" borderId="13" xfId="0" applyNumberFormat="1" applyFont="1" applyBorder="1" applyAlignment="1">
      <alignment horizontal="center"/>
    </xf>
    <xf numFmtId="56" fontId="3" fillId="0" borderId="12" xfId="0" applyNumberFormat="1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" fillId="0" borderId="7" xfId="0" applyFont="1" applyBorder="1"/>
    <xf numFmtId="0" fontId="0" fillId="0" borderId="12" xfId="0" applyFont="1" applyBorder="1" applyAlignment="1">
      <alignment horizontal="center"/>
    </xf>
    <xf numFmtId="0" fontId="0" fillId="0" borderId="20" xfId="0" applyFont="1" applyBorder="1"/>
    <xf numFmtId="0" fontId="0" fillId="0" borderId="21" xfId="0" applyFont="1" applyBorder="1"/>
    <xf numFmtId="0" fontId="0" fillId="0" borderId="7" xfId="0" applyFont="1" applyBorder="1"/>
    <xf numFmtId="56" fontId="0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0"/>
  <sheetViews>
    <sheetView tabSelected="1" topLeftCell="A368" zoomScaleNormal="100" workbookViewId="0">
      <selection activeCell="H388" sqref="H388"/>
    </sheetView>
  </sheetViews>
  <sheetFormatPr defaultRowHeight="13.5" x14ac:dyDescent="0.15"/>
  <cols>
    <col min="2" max="2" width="22.75" style="1" customWidth="1"/>
    <col min="3" max="4" width="11.75" customWidth="1"/>
    <col min="5" max="5" width="11.375" customWidth="1"/>
    <col min="6" max="6" width="9.25" bestFit="1" customWidth="1"/>
  </cols>
  <sheetData>
    <row r="1" spans="2:6" ht="18.75" x14ac:dyDescent="0.2">
      <c r="B1" s="15" t="s">
        <v>7</v>
      </c>
      <c r="C1" s="14"/>
      <c r="D1" s="14"/>
      <c r="E1" s="19"/>
      <c r="F1" s="19"/>
    </row>
    <row r="2" spans="2:6" ht="14.25" thickBot="1" x14ac:dyDescent="0.2"/>
    <row r="3" spans="2:6" ht="14.25" thickBot="1" x14ac:dyDescent="0.2">
      <c r="B3" s="13"/>
      <c r="C3" s="23"/>
      <c r="D3" s="23"/>
      <c r="E3" s="24"/>
    </row>
    <row r="4" spans="2:6" s="1" customFormat="1" ht="14.25" thickBot="1" x14ac:dyDescent="0.2">
      <c r="B4" s="28"/>
      <c r="C4" s="35" t="s">
        <v>5</v>
      </c>
      <c r="D4" s="36" t="s">
        <v>6</v>
      </c>
      <c r="E4" s="7" t="s">
        <v>4</v>
      </c>
    </row>
    <row r="5" spans="2:6" ht="14.25" customHeight="1" x14ac:dyDescent="0.15">
      <c r="B5" s="29" t="s">
        <v>9</v>
      </c>
      <c r="C5" s="37">
        <v>5</v>
      </c>
      <c r="D5" s="38">
        <v>5</v>
      </c>
      <c r="E5" s="20">
        <f>SUM(C5:D5)</f>
        <v>10</v>
      </c>
      <c r="F5" s="18">
        <v>44384</v>
      </c>
    </row>
    <row r="6" spans="2:6" x14ac:dyDescent="0.15">
      <c r="B6" s="25" t="s">
        <v>3</v>
      </c>
      <c r="C6" s="39">
        <v>10</v>
      </c>
      <c r="D6" s="40">
        <v>10</v>
      </c>
      <c r="E6" s="11">
        <f t="shared" ref="E6:E40" si="0">SUM(C6:D6)</f>
        <v>20</v>
      </c>
      <c r="F6" s="18">
        <v>44412</v>
      </c>
    </row>
    <row r="7" spans="2:6" x14ac:dyDescent="0.15">
      <c r="B7" s="25" t="s">
        <v>3</v>
      </c>
      <c r="C7" s="39"/>
      <c r="D7" s="40">
        <v>5</v>
      </c>
      <c r="E7" s="11">
        <f t="shared" si="0"/>
        <v>5</v>
      </c>
      <c r="F7" s="18">
        <v>44572</v>
      </c>
    </row>
    <row r="8" spans="2:6" x14ac:dyDescent="0.15">
      <c r="B8" s="25" t="s">
        <v>3</v>
      </c>
      <c r="C8" s="39">
        <v>10</v>
      </c>
      <c r="D8" s="40"/>
      <c r="E8" s="11">
        <f t="shared" si="0"/>
        <v>10</v>
      </c>
      <c r="F8" s="18">
        <v>44644</v>
      </c>
    </row>
    <row r="9" spans="2:6" x14ac:dyDescent="0.15">
      <c r="B9" s="25" t="s">
        <v>3</v>
      </c>
      <c r="C9" s="39"/>
      <c r="D9" s="40">
        <v>5</v>
      </c>
      <c r="E9" s="11">
        <f t="shared" si="0"/>
        <v>5</v>
      </c>
      <c r="F9" s="21">
        <v>44653</v>
      </c>
    </row>
    <row r="10" spans="2:6" x14ac:dyDescent="0.15">
      <c r="B10" s="30" t="s">
        <v>3</v>
      </c>
      <c r="C10" s="41"/>
      <c r="D10" s="42"/>
      <c r="E10" s="9">
        <f t="shared" si="0"/>
        <v>0</v>
      </c>
      <c r="F10" s="18"/>
    </row>
    <row r="11" spans="2:6" x14ac:dyDescent="0.15">
      <c r="B11" s="25" t="s">
        <v>3</v>
      </c>
      <c r="C11" s="39"/>
      <c r="D11" s="40"/>
      <c r="E11" s="11">
        <f t="shared" ref="E11" si="1">SUM(C11:D11)</f>
        <v>0</v>
      </c>
      <c r="F11" s="18"/>
    </row>
    <row r="12" spans="2:6" ht="14.25" thickBot="1" x14ac:dyDescent="0.2">
      <c r="B12" s="47" t="s">
        <v>3</v>
      </c>
      <c r="C12" s="48"/>
      <c r="D12" s="49"/>
      <c r="E12" s="8">
        <f t="shared" si="0"/>
        <v>0</v>
      </c>
      <c r="F12" s="18"/>
    </row>
    <row r="13" spans="2:6" ht="14.25" thickBot="1" x14ac:dyDescent="0.2">
      <c r="B13" s="50" t="s">
        <v>2</v>
      </c>
      <c r="C13" s="43">
        <f>SUM(C5:C12)</f>
        <v>25</v>
      </c>
      <c r="D13" s="32">
        <f>SUM(D5:D12)</f>
        <v>25</v>
      </c>
      <c r="E13" s="12">
        <f t="shared" si="0"/>
        <v>50</v>
      </c>
    </row>
    <row r="14" spans="2:6" x14ac:dyDescent="0.15">
      <c r="B14" s="31" t="s">
        <v>8</v>
      </c>
      <c r="C14" s="44"/>
      <c r="D14" s="45">
        <v>2</v>
      </c>
      <c r="E14" s="10">
        <f t="shared" si="0"/>
        <v>2</v>
      </c>
      <c r="F14" s="18">
        <v>44396</v>
      </c>
    </row>
    <row r="15" spans="2:6" x14ac:dyDescent="0.15">
      <c r="B15" s="27" t="s">
        <v>8</v>
      </c>
      <c r="C15" s="39"/>
      <c r="D15" s="40">
        <v>1</v>
      </c>
      <c r="E15" s="11">
        <f t="shared" si="0"/>
        <v>1</v>
      </c>
      <c r="F15" s="18">
        <v>44397</v>
      </c>
    </row>
    <row r="16" spans="2:6" x14ac:dyDescent="0.15">
      <c r="B16" s="27" t="s">
        <v>8</v>
      </c>
      <c r="C16" s="39"/>
      <c r="D16" s="40">
        <v>1</v>
      </c>
      <c r="E16" s="11">
        <f t="shared" si="0"/>
        <v>1</v>
      </c>
      <c r="F16" s="18">
        <v>44398</v>
      </c>
    </row>
    <row r="17" spans="2:6" x14ac:dyDescent="0.15">
      <c r="B17" s="27" t="s">
        <v>8</v>
      </c>
      <c r="C17" s="39">
        <f>1+1</f>
        <v>2</v>
      </c>
      <c r="D17" s="40">
        <v>1</v>
      </c>
      <c r="E17" s="11">
        <f t="shared" si="0"/>
        <v>3</v>
      </c>
      <c r="F17" s="18">
        <v>44403</v>
      </c>
    </row>
    <row r="18" spans="2:6" x14ac:dyDescent="0.15">
      <c r="B18" s="27" t="s">
        <v>8</v>
      </c>
      <c r="C18" s="39">
        <f>1+1</f>
        <v>2</v>
      </c>
      <c r="D18" s="40"/>
      <c r="E18" s="11">
        <f t="shared" si="0"/>
        <v>2</v>
      </c>
      <c r="F18" s="18">
        <v>44404</v>
      </c>
    </row>
    <row r="19" spans="2:6" x14ac:dyDescent="0.15">
      <c r="B19" s="27" t="s">
        <v>8</v>
      </c>
      <c r="C19" s="39"/>
      <c r="D19" s="40">
        <v>1</v>
      </c>
      <c r="E19" s="11">
        <f t="shared" si="0"/>
        <v>1</v>
      </c>
      <c r="F19" s="18">
        <v>44412</v>
      </c>
    </row>
    <row r="20" spans="2:6" x14ac:dyDescent="0.15">
      <c r="B20" s="27" t="s">
        <v>8</v>
      </c>
      <c r="C20" s="39">
        <v>1</v>
      </c>
      <c r="D20" s="40"/>
      <c r="E20" s="11">
        <f t="shared" si="0"/>
        <v>1</v>
      </c>
      <c r="F20" s="18">
        <v>44414</v>
      </c>
    </row>
    <row r="21" spans="2:6" x14ac:dyDescent="0.15">
      <c r="B21" s="27" t="s">
        <v>8</v>
      </c>
      <c r="C21" s="39"/>
      <c r="D21" s="40">
        <v>2</v>
      </c>
      <c r="E21" s="11">
        <f t="shared" si="0"/>
        <v>2</v>
      </c>
      <c r="F21" s="18">
        <v>44418</v>
      </c>
    </row>
    <row r="22" spans="2:6" x14ac:dyDescent="0.15">
      <c r="B22" s="27" t="s">
        <v>8</v>
      </c>
      <c r="C22" s="39">
        <v>1</v>
      </c>
      <c r="D22" s="40"/>
      <c r="E22" s="11">
        <f t="shared" si="0"/>
        <v>1</v>
      </c>
      <c r="F22" s="18">
        <v>44419</v>
      </c>
    </row>
    <row r="23" spans="2:6" x14ac:dyDescent="0.15">
      <c r="B23" s="27" t="s">
        <v>8</v>
      </c>
      <c r="C23" s="39"/>
      <c r="D23" s="40">
        <v>1</v>
      </c>
      <c r="E23" s="11">
        <f t="shared" si="0"/>
        <v>1</v>
      </c>
      <c r="F23" s="18">
        <v>44433</v>
      </c>
    </row>
    <row r="24" spans="2:6" x14ac:dyDescent="0.15">
      <c r="B24" s="27" t="s">
        <v>8</v>
      </c>
      <c r="C24" s="39">
        <v>1</v>
      </c>
      <c r="D24" s="40"/>
      <c r="E24" s="11">
        <f t="shared" si="0"/>
        <v>1</v>
      </c>
      <c r="F24" s="18">
        <v>44445</v>
      </c>
    </row>
    <row r="25" spans="2:6" x14ac:dyDescent="0.15">
      <c r="B25" s="27" t="s">
        <v>8</v>
      </c>
      <c r="C25" s="39">
        <v>1</v>
      </c>
      <c r="D25" s="40"/>
      <c r="E25" s="11">
        <f t="shared" si="0"/>
        <v>1</v>
      </c>
      <c r="F25" s="17">
        <v>44460</v>
      </c>
    </row>
    <row r="26" spans="2:6" x14ac:dyDescent="0.15">
      <c r="B26" s="27" t="s">
        <v>8</v>
      </c>
      <c r="C26" s="39">
        <v>1</v>
      </c>
      <c r="D26" s="40"/>
      <c r="E26" s="11">
        <f t="shared" si="0"/>
        <v>1</v>
      </c>
      <c r="F26" s="18">
        <v>44532</v>
      </c>
    </row>
    <row r="27" spans="2:6" x14ac:dyDescent="0.15">
      <c r="B27" s="27" t="s">
        <v>8</v>
      </c>
      <c r="C27" s="39"/>
      <c r="D27" s="40">
        <v>1</v>
      </c>
      <c r="E27" s="11">
        <f t="shared" si="0"/>
        <v>1</v>
      </c>
      <c r="F27" s="17">
        <v>44557</v>
      </c>
    </row>
    <row r="28" spans="2:6" x14ac:dyDescent="0.15">
      <c r="B28" s="27" t="s">
        <v>8</v>
      </c>
      <c r="C28" s="39"/>
      <c r="D28" s="40">
        <v>2</v>
      </c>
      <c r="E28" s="11">
        <f t="shared" si="0"/>
        <v>2</v>
      </c>
      <c r="F28" s="17">
        <v>44566</v>
      </c>
    </row>
    <row r="29" spans="2:6" x14ac:dyDescent="0.15">
      <c r="B29" s="27" t="s">
        <v>8</v>
      </c>
      <c r="C29" s="39">
        <v>1</v>
      </c>
      <c r="D29" s="40"/>
      <c r="E29" s="11">
        <f t="shared" si="0"/>
        <v>1</v>
      </c>
      <c r="F29" s="17">
        <v>44586</v>
      </c>
    </row>
    <row r="30" spans="2:6" x14ac:dyDescent="0.15">
      <c r="B30" s="27" t="s">
        <v>8</v>
      </c>
      <c r="C30" s="39"/>
      <c r="D30" s="40">
        <v>1</v>
      </c>
      <c r="E30" s="11">
        <f t="shared" si="0"/>
        <v>1</v>
      </c>
      <c r="F30" s="17">
        <v>44589</v>
      </c>
    </row>
    <row r="31" spans="2:6" x14ac:dyDescent="0.15">
      <c r="B31" s="27" t="s">
        <v>10</v>
      </c>
      <c r="C31" s="39">
        <v>1</v>
      </c>
      <c r="D31" s="40"/>
      <c r="E31" s="11">
        <f t="shared" si="0"/>
        <v>1</v>
      </c>
      <c r="F31" s="17">
        <v>44637</v>
      </c>
    </row>
    <row r="32" spans="2:6" x14ac:dyDescent="0.15">
      <c r="B32" s="27" t="s">
        <v>10</v>
      </c>
      <c r="C32" s="39">
        <v>3</v>
      </c>
      <c r="D32" s="40"/>
      <c r="E32" s="11">
        <f t="shared" si="0"/>
        <v>3</v>
      </c>
      <c r="F32" s="17">
        <v>44638</v>
      </c>
    </row>
    <row r="33" spans="1:6" x14ac:dyDescent="0.15">
      <c r="B33" s="27" t="s">
        <v>8</v>
      </c>
      <c r="C33" s="39">
        <v>1</v>
      </c>
      <c r="D33" s="40"/>
      <c r="E33" s="11">
        <f t="shared" si="0"/>
        <v>1</v>
      </c>
      <c r="F33" s="16">
        <v>44638</v>
      </c>
    </row>
    <row r="34" spans="1:6" x14ac:dyDescent="0.15">
      <c r="B34" s="27" t="s">
        <v>8</v>
      </c>
      <c r="C34" s="39"/>
      <c r="D34" s="40">
        <v>1</v>
      </c>
      <c r="E34" s="11">
        <f t="shared" si="0"/>
        <v>1</v>
      </c>
      <c r="F34" s="16">
        <v>44643</v>
      </c>
    </row>
    <row r="35" spans="1:6" x14ac:dyDescent="0.15">
      <c r="B35" s="27" t="s">
        <v>8</v>
      </c>
      <c r="C35" s="39"/>
      <c r="D35" s="40">
        <v>2</v>
      </c>
      <c r="E35" s="11">
        <f t="shared" si="0"/>
        <v>2</v>
      </c>
      <c r="F35" s="16">
        <v>44648</v>
      </c>
    </row>
    <row r="36" spans="1:6" x14ac:dyDescent="0.15">
      <c r="B36" s="27" t="s">
        <v>8</v>
      </c>
      <c r="C36" s="39"/>
      <c r="D36" s="40">
        <v>1</v>
      </c>
      <c r="E36" s="11">
        <f t="shared" si="0"/>
        <v>1</v>
      </c>
      <c r="F36" s="16">
        <v>44655</v>
      </c>
    </row>
    <row r="37" spans="1:6" x14ac:dyDescent="0.15">
      <c r="B37" s="27" t="s">
        <v>8</v>
      </c>
      <c r="C37" s="39"/>
      <c r="D37" s="40">
        <v>1</v>
      </c>
      <c r="E37" s="11">
        <f t="shared" si="0"/>
        <v>1</v>
      </c>
      <c r="F37" s="16">
        <v>44662</v>
      </c>
    </row>
    <row r="38" spans="1:6" ht="14.25" thickBot="1" x14ac:dyDescent="0.2">
      <c r="B38" s="27" t="s">
        <v>8</v>
      </c>
      <c r="C38" s="39"/>
      <c r="D38" s="40">
        <v>1</v>
      </c>
      <c r="E38" s="11">
        <f t="shared" si="0"/>
        <v>1</v>
      </c>
      <c r="F38" s="16">
        <v>44665</v>
      </c>
    </row>
    <row r="39" spans="1:6" ht="14.25" thickBot="1" x14ac:dyDescent="0.2">
      <c r="B39" s="7" t="s">
        <v>1</v>
      </c>
      <c r="C39" s="5">
        <f>SUM(C14:C38)</f>
        <v>15</v>
      </c>
      <c r="D39" s="6">
        <f>SUM(D14:D38)</f>
        <v>19</v>
      </c>
      <c r="E39" s="5">
        <f>SUM(C39:D39)</f>
        <v>34</v>
      </c>
    </row>
    <row r="40" spans="1:6" ht="14.25" thickBot="1" x14ac:dyDescent="0.2">
      <c r="B40" s="4" t="s">
        <v>0</v>
      </c>
      <c r="C40" s="2">
        <f>+C13-C39</f>
        <v>10</v>
      </c>
      <c r="D40" s="3">
        <f>+D13-D39</f>
        <v>6</v>
      </c>
      <c r="E40" s="2">
        <f t="shared" si="0"/>
        <v>16</v>
      </c>
    </row>
    <row r="42" spans="1:6" ht="18.75" x14ac:dyDescent="0.2">
      <c r="B42" s="15" t="s">
        <v>7</v>
      </c>
      <c r="C42" s="14"/>
      <c r="D42" s="14"/>
    </row>
    <row r="43" spans="1:6" ht="14.25" thickBot="1" x14ac:dyDescent="0.2">
      <c r="E43">
        <v>451</v>
      </c>
    </row>
    <row r="44" spans="1:6" ht="14.25" thickBot="1" x14ac:dyDescent="0.2">
      <c r="B44" s="13"/>
      <c r="C44" s="23"/>
      <c r="D44" s="23"/>
      <c r="E44" s="24"/>
    </row>
    <row r="45" spans="1:6" ht="14.25" thickBot="1" x14ac:dyDescent="0.2">
      <c r="A45" s="1"/>
      <c r="B45" s="28"/>
      <c r="C45" s="35" t="s">
        <v>5</v>
      </c>
      <c r="D45" s="36" t="s">
        <v>6</v>
      </c>
      <c r="E45" s="7" t="s">
        <v>4</v>
      </c>
    </row>
    <row r="46" spans="1:6" x14ac:dyDescent="0.15">
      <c r="B46" s="29" t="s">
        <v>0</v>
      </c>
      <c r="C46" s="37">
        <f>C40</f>
        <v>10</v>
      </c>
      <c r="D46" s="38">
        <f>D40</f>
        <v>6</v>
      </c>
      <c r="E46" s="20">
        <f t="shared" ref="E46:E66" si="2">SUM(C46:D46)</f>
        <v>16</v>
      </c>
    </row>
    <row r="47" spans="1:6" x14ac:dyDescent="0.15">
      <c r="B47" s="25" t="s">
        <v>3</v>
      </c>
      <c r="C47" s="39"/>
      <c r="D47" s="40">
        <v>10</v>
      </c>
      <c r="E47" s="11">
        <f t="shared" si="2"/>
        <v>10</v>
      </c>
      <c r="F47" s="18">
        <v>44691</v>
      </c>
    </row>
    <row r="48" spans="1:6" x14ac:dyDescent="0.15">
      <c r="B48" s="25" t="s">
        <v>3</v>
      </c>
      <c r="C48" s="39">
        <v>3</v>
      </c>
      <c r="D48" s="40">
        <v>10</v>
      </c>
      <c r="E48" s="11">
        <f t="shared" si="2"/>
        <v>13</v>
      </c>
      <c r="F48" s="18">
        <v>44726</v>
      </c>
    </row>
    <row r="49" spans="2:6" x14ac:dyDescent="0.15">
      <c r="B49" s="25" t="s">
        <v>3</v>
      </c>
      <c r="C49" s="39">
        <v>3</v>
      </c>
      <c r="D49" s="40">
        <v>5</v>
      </c>
      <c r="E49" s="11">
        <f t="shared" si="2"/>
        <v>8</v>
      </c>
      <c r="F49" s="18">
        <v>44747</v>
      </c>
    </row>
    <row r="50" spans="2:6" x14ac:dyDescent="0.15">
      <c r="B50" s="25" t="s">
        <v>12</v>
      </c>
      <c r="C50" s="39">
        <v>0</v>
      </c>
      <c r="D50" s="40">
        <v>4</v>
      </c>
      <c r="E50" s="11">
        <f t="shared" si="2"/>
        <v>4</v>
      </c>
      <c r="F50" s="22">
        <v>44796</v>
      </c>
    </row>
    <row r="51" spans="2:6" ht="14.25" thickBot="1" x14ac:dyDescent="0.2">
      <c r="B51" s="30" t="s">
        <v>3</v>
      </c>
      <c r="C51" s="41">
        <v>10</v>
      </c>
      <c r="D51" s="42"/>
      <c r="E51" s="9">
        <f t="shared" si="2"/>
        <v>10</v>
      </c>
      <c r="F51" s="18">
        <v>44806</v>
      </c>
    </row>
    <row r="52" spans="2:6" ht="14.25" thickBot="1" x14ac:dyDescent="0.2">
      <c r="B52" s="26" t="s">
        <v>2</v>
      </c>
      <c r="C52" s="43">
        <f>SUM(C46:C51)</f>
        <v>26</v>
      </c>
      <c r="D52" s="32">
        <f>SUM(D46:D51)</f>
        <v>35</v>
      </c>
      <c r="E52" s="12">
        <f t="shared" si="2"/>
        <v>61</v>
      </c>
    </row>
    <row r="53" spans="2:6" x14ac:dyDescent="0.15">
      <c r="B53" s="31" t="s">
        <v>8</v>
      </c>
      <c r="C53" s="44">
        <v>1</v>
      </c>
      <c r="D53" s="45">
        <v>2</v>
      </c>
      <c r="E53" s="10">
        <f t="shared" si="2"/>
        <v>3</v>
      </c>
      <c r="F53" s="18">
        <v>44669</v>
      </c>
    </row>
    <row r="54" spans="2:6" x14ac:dyDescent="0.15">
      <c r="B54" s="27" t="s">
        <v>8</v>
      </c>
      <c r="C54" s="39"/>
      <c r="D54" s="40">
        <v>1</v>
      </c>
      <c r="E54" s="11">
        <f t="shared" si="2"/>
        <v>1</v>
      </c>
      <c r="F54" s="18">
        <v>44670</v>
      </c>
    </row>
    <row r="55" spans="2:6" x14ac:dyDescent="0.15">
      <c r="B55" s="27" t="s">
        <v>8</v>
      </c>
      <c r="C55" s="39"/>
      <c r="D55" s="40">
        <v>1</v>
      </c>
      <c r="E55" s="11">
        <f t="shared" si="2"/>
        <v>1</v>
      </c>
      <c r="F55" s="18">
        <v>44687</v>
      </c>
    </row>
    <row r="56" spans="2:6" x14ac:dyDescent="0.15">
      <c r="B56" s="27" t="s">
        <v>8</v>
      </c>
      <c r="C56" s="39">
        <v>2</v>
      </c>
      <c r="D56" s="40"/>
      <c r="E56" s="11">
        <f t="shared" si="2"/>
        <v>2</v>
      </c>
      <c r="F56" s="18">
        <v>44690</v>
      </c>
    </row>
    <row r="57" spans="2:6" x14ac:dyDescent="0.15">
      <c r="B57" s="27" t="s">
        <v>8</v>
      </c>
      <c r="C57" s="39"/>
      <c r="D57" s="40">
        <v>1</v>
      </c>
      <c r="E57" s="11">
        <f t="shared" si="2"/>
        <v>1</v>
      </c>
      <c r="F57" s="18">
        <v>44694</v>
      </c>
    </row>
    <row r="58" spans="2:6" x14ac:dyDescent="0.15">
      <c r="B58" s="27" t="s">
        <v>8</v>
      </c>
      <c r="C58" s="39"/>
      <c r="D58" s="40">
        <v>2</v>
      </c>
      <c r="E58" s="11">
        <f t="shared" si="2"/>
        <v>2</v>
      </c>
      <c r="F58" s="18">
        <v>44697</v>
      </c>
    </row>
    <row r="59" spans="2:6" x14ac:dyDescent="0.15">
      <c r="B59" s="27" t="s">
        <v>8</v>
      </c>
      <c r="C59" s="39">
        <v>1</v>
      </c>
      <c r="D59" s="40"/>
      <c r="E59" s="11">
        <f t="shared" si="2"/>
        <v>1</v>
      </c>
      <c r="F59" s="18">
        <v>44704</v>
      </c>
    </row>
    <row r="60" spans="2:6" x14ac:dyDescent="0.15">
      <c r="B60" s="27" t="s">
        <v>8</v>
      </c>
      <c r="C60" s="39">
        <v>2</v>
      </c>
      <c r="D60" s="40"/>
      <c r="E60" s="11">
        <f t="shared" si="2"/>
        <v>2</v>
      </c>
      <c r="F60" s="18">
        <v>44706</v>
      </c>
    </row>
    <row r="61" spans="2:6" x14ac:dyDescent="0.15">
      <c r="B61" s="27" t="s">
        <v>8</v>
      </c>
      <c r="C61" s="39"/>
      <c r="D61" s="40">
        <v>1</v>
      </c>
      <c r="E61" s="11">
        <f t="shared" si="2"/>
        <v>1</v>
      </c>
      <c r="F61" s="18">
        <v>44714</v>
      </c>
    </row>
    <row r="62" spans="2:6" x14ac:dyDescent="0.15">
      <c r="B62" s="27" t="s">
        <v>8</v>
      </c>
      <c r="C62" s="39"/>
      <c r="D62" s="40">
        <v>2</v>
      </c>
      <c r="E62" s="11">
        <f t="shared" si="2"/>
        <v>2</v>
      </c>
      <c r="F62" s="18">
        <v>44715</v>
      </c>
    </row>
    <row r="63" spans="2:6" x14ac:dyDescent="0.15">
      <c r="B63" s="27" t="s">
        <v>8</v>
      </c>
      <c r="C63" s="39"/>
      <c r="D63" s="40">
        <v>4</v>
      </c>
      <c r="E63" s="11">
        <f t="shared" si="2"/>
        <v>4</v>
      </c>
      <c r="F63" s="18">
        <v>44718</v>
      </c>
    </row>
    <row r="64" spans="2:6" x14ac:dyDescent="0.15">
      <c r="B64" s="27" t="s">
        <v>8</v>
      </c>
      <c r="C64" s="39"/>
      <c r="D64" s="40">
        <v>2</v>
      </c>
      <c r="E64" s="11">
        <f t="shared" si="2"/>
        <v>2</v>
      </c>
      <c r="F64" s="18">
        <v>44725</v>
      </c>
    </row>
    <row r="65" spans="2:6" x14ac:dyDescent="0.15">
      <c r="B65" s="27" t="s">
        <v>8</v>
      </c>
      <c r="C65" s="39"/>
      <c r="D65" s="40">
        <v>1</v>
      </c>
      <c r="E65" s="11">
        <f t="shared" si="2"/>
        <v>1</v>
      </c>
      <c r="F65" s="18">
        <v>44733</v>
      </c>
    </row>
    <row r="66" spans="2:6" x14ac:dyDescent="0.15">
      <c r="B66" s="27" t="s">
        <v>8</v>
      </c>
      <c r="C66" s="39">
        <v>2</v>
      </c>
      <c r="D66" s="40">
        <v>2</v>
      </c>
      <c r="E66" s="11">
        <f t="shared" si="2"/>
        <v>4</v>
      </c>
      <c r="F66" s="18">
        <v>44740</v>
      </c>
    </row>
    <row r="67" spans="2:6" x14ac:dyDescent="0.15">
      <c r="B67" s="27" t="s">
        <v>11</v>
      </c>
      <c r="C67" s="39">
        <v>-1</v>
      </c>
      <c r="D67" s="40">
        <v>-2</v>
      </c>
      <c r="E67" s="11">
        <f>SUM(C67:D67)</f>
        <v>-3</v>
      </c>
      <c r="F67" s="18">
        <v>44748</v>
      </c>
    </row>
    <row r="68" spans="2:6" x14ac:dyDescent="0.15">
      <c r="B68" s="27" t="s">
        <v>8</v>
      </c>
      <c r="C68" s="39">
        <v>1</v>
      </c>
      <c r="D68" s="40">
        <v>1</v>
      </c>
      <c r="E68" s="11">
        <f t="shared" ref="E68:E79" si="3">SUM(C68:D68)</f>
        <v>2</v>
      </c>
      <c r="F68" s="18">
        <v>44753</v>
      </c>
    </row>
    <row r="69" spans="2:6" x14ac:dyDescent="0.15">
      <c r="B69" s="27" t="s">
        <v>8</v>
      </c>
      <c r="C69" s="39"/>
      <c r="D69" s="40">
        <v>2</v>
      </c>
      <c r="E69" s="11">
        <f t="shared" si="3"/>
        <v>2</v>
      </c>
      <c r="F69" s="18">
        <v>44763</v>
      </c>
    </row>
    <row r="70" spans="2:6" x14ac:dyDescent="0.15">
      <c r="B70" s="27" t="s">
        <v>8</v>
      </c>
      <c r="C70" s="39">
        <f>1+2</f>
        <v>3</v>
      </c>
      <c r="D70" s="40">
        <v>1</v>
      </c>
      <c r="E70" s="11">
        <f t="shared" si="3"/>
        <v>4</v>
      </c>
      <c r="F70" s="18">
        <v>44771</v>
      </c>
    </row>
    <row r="71" spans="2:6" x14ac:dyDescent="0.15">
      <c r="B71" s="27" t="s">
        <v>8</v>
      </c>
      <c r="C71" s="39">
        <v>1</v>
      </c>
      <c r="D71" s="40"/>
      <c r="E71" s="11">
        <f t="shared" si="3"/>
        <v>1</v>
      </c>
      <c r="F71" s="18">
        <v>44775</v>
      </c>
    </row>
    <row r="72" spans="2:6" x14ac:dyDescent="0.15">
      <c r="B72" s="27" t="s">
        <v>8</v>
      </c>
      <c r="C72" s="39">
        <v>2</v>
      </c>
      <c r="D72" s="40"/>
      <c r="E72" s="11">
        <f t="shared" si="3"/>
        <v>2</v>
      </c>
      <c r="F72" s="18">
        <v>44790</v>
      </c>
    </row>
    <row r="73" spans="2:6" x14ac:dyDescent="0.15">
      <c r="B73" s="27" t="s">
        <v>8</v>
      </c>
      <c r="C73" s="39"/>
      <c r="D73" s="40">
        <v>3</v>
      </c>
      <c r="E73" s="11">
        <f t="shared" si="3"/>
        <v>3</v>
      </c>
      <c r="F73" s="18">
        <v>44791</v>
      </c>
    </row>
    <row r="74" spans="2:6" x14ac:dyDescent="0.15">
      <c r="B74" s="27" t="s">
        <v>8</v>
      </c>
      <c r="C74" s="39">
        <v>1</v>
      </c>
      <c r="D74" s="40">
        <v>2</v>
      </c>
      <c r="E74" s="11">
        <f t="shared" si="3"/>
        <v>3</v>
      </c>
      <c r="F74" s="18">
        <v>44799</v>
      </c>
    </row>
    <row r="75" spans="2:6" x14ac:dyDescent="0.15">
      <c r="B75" s="27" t="s">
        <v>8</v>
      </c>
      <c r="C75" s="39"/>
      <c r="D75" s="40">
        <v>1</v>
      </c>
      <c r="E75" s="11">
        <f t="shared" si="3"/>
        <v>1</v>
      </c>
      <c r="F75" s="18">
        <v>44802</v>
      </c>
    </row>
    <row r="76" spans="2:6" x14ac:dyDescent="0.15">
      <c r="B76" s="27" t="s">
        <v>8</v>
      </c>
      <c r="C76" s="39"/>
      <c r="D76" s="40">
        <v>1</v>
      </c>
      <c r="E76" s="11">
        <f t="shared" si="3"/>
        <v>1</v>
      </c>
      <c r="F76" s="18">
        <v>44804</v>
      </c>
    </row>
    <row r="77" spans="2:6" ht="14.25" thickBot="1" x14ac:dyDescent="0.2">
      <c r="B77" s="33"/>
      <c r="C77" s="41"/>
      <c r="D77" s="42"/>
      <c r="E77" s="9">
        <f t="shared" si="3"/>
        <v>0</v>
      </c>
    </row>
    <row r="78" spans="2:6" ht="14.25" thickBot="1" x14ac:dyDescent="0.2">
      <c r="B78" s="28" t="s">
        <v>1</v>
      </c>
      <c r="C78" s="46">
        <f>SUM(C53:C77)</f>
        <v>15</v>
      </c>
      <c r="D78" s="34">
        <f>SUM(D53:D77)</f>
        <v>28</v>
      </c>
      <c r="E78" s="5">
        <f t="shared" si="3"/>
        <v>43</v>
      </c>
    </row>
    <row r="79" spans="2:6" ht="14.25" thickBot="1" x14ac:dyDescent="0.2">
      <c r="B79" s="26" t="s">
        <v>0</v>
      </c>
      <c r="C79" s="43">
        <f>+C52-C78</f>
        <v>11</v>
      </c>
      <c r="D79" s="32">
        <f>+D52-D78</f>
        <v>7</v>
      </c>
      <c r="E79" s="12">
        <f t="shared" si="3"/>
        <v>18</v>
      </c>
    </row>
    <row r="81" spans="1:6" ht="18.75" x14ac:dyDescent="0.2">
      <c r="B81" s="15" t="s">
        <v>7</v>
      </c>
      <c r="C81" s="14"/>
      <c r="D81" s="14"/>
    </row>
    <row r="82" spans="1:6" ht="14.25" thickBot="1" x14ac:dyDescent="0.2">
      <c r="E82">
        <v>451</v>
      </c>
    </row>
    <row r="83" spans="1:6" ht="14.25" thickBot="1" x14ac:dyDescent="0.2">
      <c r="B83" s="13"/>
      <c r="C83" s="23"/>
      <c r="D83" s="23"/>
      <c r="E83" s="24"/>
    </row>
    <row r="84" spans="1:6" ht="14.25" thickBot="1" x14ac:dyDescent="0.2">
      <c r="A84" s="1"/>
      <c r="B84" s="28"/>
      <c r="C84" s="35" t="s">
        <v>5</v>
      </c>
      <c r="D84" s="36" t="s">
        <v>6</v>
      </c>
      <c r="E84" s="7" t="s">
        <v>4</v>
      </c>
    </row>
    <row r="85" spans="1:6" x14ac:dyDescent="0.15">
      <c r="B85" s="29" t="s">
        <v>0</v>
      </c>
      <c r="C85" s="37">
        <f>C79</f>
        <v>11</v>
      </c>
      <c r="D85" s="38">
        <f>D79</f>
        <v>7</v>
      </c>
      <c r="E85" s="20">
        <f t="shared" ref="E85:E105" si="4">SUM(C85:D85)</f>
        <v>18</v>
      </c>
    </row>
    <row r="86" spans="1:6" x14ac:dyDescent="0.15">
      <c r="B86" s="25" t="s">
        <v>3</v>
      </c>
      <c r="C86" s="39"/>
      <c r="D86" s="40">
        <v>1</v>
      </c>
      <c r="E86" s="11">
        <f t="shared" si="4"/>
        <v>1</v>
      </c>
      <c r="F86" s="18"/>
    </row>
    <row r="87" spans="1:6" x14ac:dyDescent="0.15">
      <c r="B87" s="25" t="s">
        <v>3</v>
      </c>
      <c r="C87" s="39"/>
      <c r="D87" s="40">
        <v>5</v>
      </c>
      <c r="E87" s="11">
        <f t="shared" si="4"/>
        <v>5</v>
      </c>
      <c r="F87" s="18">
        <v>44883</v>
      </c>
    </row>
    <row r="88" spans="1:6" x14ac:dyDescent="0.15">
      <c r="B88" s="25" t="s">
        <v>3</v>
      </c>
      <c r="C88" s="39">
        <v>3</v>
      </c>
      <c r="D88" s="40"/>
      <c r="E88" s="11">
        <f t="shared" si="4"/>
        <v>3</v>
      </c>
      <c r="F88" s="18">
        <v>44964</v>
      </c>
    </row>
    <row r="89" spans="1:6" x14ac:dyDescent="0.15">
      <c r="B89" s="25" t="s">
        <v>3</v>
      </c>
      <c r="C89" s="39"/>
      <c r="D89" s="40">
        <v>5</v>
      </c>
      <c r="E89" s="11">
        <f t="shared" si="4"/>
        <v>5</v>
      </c>
      <c r="F89" s="18">
        <v>45017</v>
      </c>
    </row>
    <row r="90" spans="1:6" ht="14.25" thickBot="1" x14ac:dyDescent="0.2">
      <c r="B90" s="30" t="s">
        <v>3</v>
      </c>
      <c r="C90" s="41"/>
      <c r="D90" s="42">
        <v>-2</v>
      </c>
      <c r="E90" s="9">
        <f t="shared" si="4"/>
        <v>-2</v>
      </c>
      <c r="F90" s="18">
        <v>45059</v>
      </c>
    </row>
    <row r="91" spans="1:6" ht="14.25" thickBot="1" x14ac:dyDescent="0.2">
      <c r="B91" s="26" t="s">
        <v>2</v>
      </c>
      <c r="C91" s="43">
        <f>SUM(C85:C90)</f>
        <v>14</v>
      </c>
      <c r="D91" s="32">
        <f>SUM(D85:D90)</f>
        <v>16</v>
      </c>
      <c r="E91" s="12">
        <f t="shared" si="4"/>
        <v>30</v>
      </c>
    </row>
    <row r="92" spans="1:6" x14ac:dyDescent="0.15">
      <c r="B92" s="31" t="s">
        <v>8</v>
      </c>
      <c r="C92" s="44">
        <v>1</v>
      </c>
      <c r="D92" s="45"/>
      <c r="E92" s="10">
        <f t="shared" si="4"/>
        <v>1</v>
      </c>
      <c r="F92" s="18">
        <v>44816</v>
      </c>
    </row>
    <row r="93" spans="1:6" x14ac:dyDescent="0.15">
      <c r="B93" s="27" t="s">
        <v>8</v>
      </c>
      <c r="C93" s="39">
        <v>2</v>
      </c>
      <c r="D93" s="40"/>
      <c r="E93" s="11">
        <f t="shared" si="4"/>
        <v>2</v>
      </c>
      <c r="F93" s="18">
        <v>44819</v>
      </c>
    </row>
    <row r="94" spans="1:6" x14ac:dyDescent="0.15">
      <c r="B94" s="27" t="s">
        <v>8</v>
      </c>
      <c r="C94" s="39"/>
      <c r="D94" s="40">
        <v>1</v>
      </c>
      <c r="E94" s="11">
        <f t="shared" si="4"/>
        <v>1</v>
      </c>
      <c r="F94" s="18">
        <v>44824</v>
      </c>
    </row>
    <row r="95" spans="1:6" x14ac:dyDescent="0.15">
      <c r="B95" s="27" t="s">
        <v>8</v>
      </c>
      <c r="C95" s="39"/>
      <c r="D95" s="40">
        <v>1</v>
      </c>
      <c r="E95" s="11">
        <f t="shared" si="4"/>
        <v>1</v>
      </c>
      <c r="F95" s="18">
        <v>44839</v>
      </c>
    </row>
    <row r="96" spans="1:6" x14ac:dyDescent="0.15">
      <c r="B96" s="27" t="s">
        <v>8</v>
      </c>
      <c r="C96" s="39">
        <v>1</v>
      </c>
      <c r="D96" s="40"/>
      <c r="E96" s="11">
        <f t="shared" si="4"/>
        <v>1</v>
      </c>
      <c r="F96" s="18">
        <v>44858</v>
      </c>
    </row>
    <row r="97" spans="2:6" x14ac:dyDescent="0.15">
      <c r="B97" s="27" t="s">
        <v>8</v>
      </c>
      <c r="C97" s="39"/>
      <c r="D97" s="40">
        <v>1</v>
      </c>
      <c r="E97" s="11">
        <f t="shared" si="4"/>
        <v>1</v>
      </c>
      <c r="F97" s="18">
        <v>44861</v>
      </c>
    </row>
    <row r="98" spans="2:6" x14ac:dyDescent="0.15">
      <c r="B98" s="27" t="s">
        <v>8</v>
      </c>
      <c r="C98" s="39"/>
      <c r="D98" s="40">
        <v>1</v>
      </c>
      <c r="E98" s="11">
        <f t="shared" si="4"/>
        <v>1</v>
      </c>
      <c r="F98" s="18">
        <v>44873</v>
      </c>
    </row>
    <row r="99" spans="2:6" x14ac:dyDescent="0.15">
      <c r="B99" s="27" t="s">
        <v>8</v>
      </c>
      <c r="C99" s="39">
        <v>1</v>
      </c>
      <c r="D99" s="40"/>
      <c r="E99" s="11">
        <f t="shared" si="4"/>
        <v>1</v>
      </c>
      <c r="F99" s="18">
        <v>44893</v>
      </c>
    </row>
    <row r="100" spans="2:6" x14ac:dyDescent="0.15">
      <c r="B100" s="27" t="s">
        <v>8</v>
      </c>
      <c r="C100" s="39"/>
      <c r="D100" s="40">
        <v>1</v>
      </c>
      <c r="E100" s="11">
        <f t="shared" si="4"/>
        <v>1</v>
      </c>
      <c r="F100" s="18">
        <v>44917</v>
      </c>
    </row>
    <row r="101" spans="2:6" x14ac:dyDescent="0.15">
      <c r="B101" s="27" t="s">
        <v>8</v>
      </c>
      <c r="C101" s="39"/>
      <c r="D101" s="40">
        <v>1</v>
      </c>
      <c r="E101" s="11">
        <f t="shared" si="4"/>
        <v>1</v>
      </c>
      <c r="F101" s="18">
        <v>44921</v>
      </c>
    </row>
    <row r="102" spans="2:6" x14ac:dyDescent="0.15">
      <c r="B102" s="27" t="s">
        <v>8</v>
      </c>
      <c r="C102" s="39">
        <v>1</v>
      </c>
      <c r="D102" s="40"/>
      <c r="E102" s="11">
        <f t="shared" si="4"/>
        <v>1</v>
      </c>
      <c r="F102" s="18">
        <v>44942</v>
      </c>
    </row>
    <row r="103" spans="2:6" x14ac:dyDescent="0.15">
      <c r="B103" s="27" t="s">
        <v>8</v>
      </c>
      <c r="C103" s="39"/>
      <c r="D103" s="40">
        <v>1</v>
      </c>
      <c r="E103" s="11">
        <f t="shared" si="4"/>
        <v>1</v>
      </c>
      <c r="F103" s="18">
        <v>44984</v>
      </c>
    </row>
    <row r="104" spans="2:6" x14ac:dyDescent="0.15">
      <c r="B104" s="27" t="s">
        <v>8</v>
      </c>
      <c r="C104" s="39"/>
      <c r="D104" s="40">
        <v>1</v>
      </c>
      <c r="E104" s="11">
        <f t="shared" si="4"/>
        <v>1</v>
      </c>
      <c r="F104" s="18">
        <v>45012</v>
      </c>
    </row>
    <row r="105" spans="2:6" x14ac:dyDescent="0.15">
      <c r="B105" s="27" t="s">
        <v>8</v>
      </c>
      <c r="C105" s="39">
        <v>2</v>
      </c>
      <c r="D105" s="40">
        <v>3</v>
      </c>
      <c r="E105" s="11">
        <f t="shared" si="4"/>
        <v>5</v>
      </c>
      <c r="F105" s="18">
        <v>45020</v>
      </c>
    </row>
    <row r="106" spans="2:6" x14ac:dyDescent="0.15">
      <c r="B106" s="27" t="s">
        <v>8</v>
      </c>
      <c r="C106" s="39">
        <v>1</v>
      </c>
      <c r="D106" s="40"/>
      <c r="E106" s="11">
        <f>SUM(C106:D106)</f>
        <v>1</v>
      </c>
      <c r="F106" s="18">
        <v>45033</v>
      </c>
    </row>
    <row r="107" spans="2:6" x14ac:dyDescent="0.15">
      <c r="B107" s="27" t="s">
        <v>8</v>
      </c>
      <c r="C107" s="39">
        <v>1</v>
      </c>
      <c r="D107" s="40">
        <f>1+2</f>
        <v>3</v>
      </c>
      <c r="E107" s="11">
        <f t="shared" ref="E107:E118" si="5">SUM(C107:D107)</f>
        <v>4</v>
      </c>
      <c r="F107" s="18">
        <v>45037</v>
      </c>
    </row>
    <row r="108" spans="2:6" x14ac:dyDescent="0.15">
      <c r="B108" s="27" t="s">
        <v>8</v>
      </c>
      <c r="C108" s="39">
        <v>1</v>
      </c>
      <c r="D108" s="40">
        <v>1</v>
      </c>
      <c r="E108" s="11">
        <f t="shared" si="5"/>
        <v>2</v>
      </c>
      <c r="F108" s="18">
        <v>45040</v>
      </c>
    </row>
    <row r="109" spans="2:6" x14ac:dyDescent="0.15">
      <c r="B109" s="27" t="s">
        <v>8</v>
      </c>
      <c r="C109" s="39">
        <v>2</v>
      </c>
      <c r="D109" s="40">
        <v>1</v>
      </c>
      <c r="E109" s="11">
        <f t="shared" si="5"/>
        <v>3</v>
      </c>
      <c r="F109" s="18">
        <v>45047</v>
      </c>
    </row>
    <row r="110" spans="2:6" x14ac:dyDescent="0.15">
      <c r="B110" s="27" t="s">
        <v>8</v>
      </c>
      <c r="C110" s="39">
        <v>1</v>
      </c>
      <c r="D110" s="40"/>
      <c r="E110" s="11">
        <f t="shared" si="5"/>
        <v>1</v>
      </c>
      <c r="F110" s="18">
        <v>45054</v>
      </c>
    </row>
    <row r="111" spans="2:6" x14ac:dyDescent="0.15">
      <c r="B111" s="27"/>
      <c r="C111" s="39"/>
      <c r="D111" s="40"/>
      <c r="E111" s="11">
        <f t="shared" si="5"/>
        <v>0</v>
      </c>
      <c r="F111" s="18"/>
    </row>
    <row r="112" spans="2:6" x14ac:dyDescent="0.15">
      <c r="B112" s="27"/>
      <c r="C112" s="39"/>
      <c r="D112" s="40"/>
      <c r="E112" s="11">
        <f t="shared" si="5"/>
        <v>0</v>
      </c>
      <c r="F112" s="18"/>
    </row>
    <row r="113" spans="1:6" x14ac:dyDescent="0.15">
      <c r="B113" s="27"/>
      <c r="C113" s="39"/>
      <c r="D113" s="40"/>
      <c r="E113" s="11">
        <f t="shared" si="5"/>
        <v>0</v>
      </c>
      <c r="F113" s="18"/>
    </row>
    <row r="114" spans="1:6" x14ac:dyDescent="0.15">
      <c r="B114" s="27"/>
      <c r="C114" s="39"/>
      <c r="D114" s="40"/>
      <c r="E114" s="11">
        <f t="shared" si="5"/>
        <v>0</v>
      </c>
      <c r="F114" s="18"/>
    </row>
    <row r="115" spans="1:6" x14ac:dyDescent="0.15">
      <c r="B115" s="27"/>
      <c r="C115" s="39"/>
      <c r="D115" s="40"/>
      <c r="E115" s="11">
        <f t="shared" si="5"/>
        <v>0</v>
      </c>
      <c r="F115" s="18"/>
    </row>
    <row r="116" spans="1:6" ht="14.25" thickBot="1" x14ac:dyDescent="0.2">
      <c r="B116" s="33"/>
      <c r="C116" s="41"/>
      <c r="D116" s="42"/>
      <c r="E116" s="9">
        <f t="shared" si="5"/>
        <v>0</v>
      </c>
    </row>
    <row r="117" spans="1:6" ht="14.25" thickBot="1" x14ac:dyDescent="0.2">
      <c r="B117" s="28" t="s">
        <v>1</v>
      </c>
      <c r="C117" s="46">
        <f>SUM(C92:C116)</f>
        <v>14</v>
      </c>
      <c r="D117" s="34">
        <f>SUM(D92:D116)</f>
        <v>16</v>
      </c>
      <c r="E117" s="5">
        <f t="shared" si="5"/>
        <v>30</v>
      </c>
    </row>
    <row r="118" spans="1:6" ht="14.25" thickBot="1" x14ac:dyDescent="0.2">
      <c r="B118" s="26" t="s">
        <v>0</v>
      </c>
      <c r="C118" s="43">
        <f>+C91-C117</f>
        <v>0</v>
      </c>
      <c r="D118" s="32">
        <f>+D91-D117</f>
        <v>0</v>
      </c>
      <c r="E118" s="12">
        <f t="shared" si="5"/>
        <v>0</v>
      </c>
    </row>
    <row r="120" spans="1:6" ht="18.75" x14ac:dyDescent="0.2">
      <c r="B120" s="15" t="s">
        <v>7</v>
      </c>
      <c r="C120" s="14"/>
      <c r="D120" s="14"/>
    </row>
    <row r="121" spans="1:6" ht="14.25" thickBot="1" x14ac:dyDescent="0.2">
      <c r="E121">
        <v>451</v>
      </c>
    </row>
    <row r="122" spans="1:6" ht="14.25" thickBot="1" x14ac:dyDescent="0.2">
      <c r="B122" s="13"/>
      <c r="C122" s="23"/>
      <c r="D122" s="23"/>
      <c r="E122" s="24"/>
    </row>
    <row r="123" spans="1:6" ht="14.25" thickBot="1" x14ac:dyDescent="0.2">
      <c r="A123" s="1"/>
      <c r="B123" s="28"/>
      <c r="C123" s="35" t="s">
        <v>5</v>
      </c>
      <c r="D123" s="36" t="s">
        <v>6</v>
      </c>
      <c r="E123" s="7" t="s">
        <v>14</v>
      </c>
    </row>
    <row r="124" spans="1:6" x14ac:dyDescent="0.15">
      <c r="B124" s="29" t="s">
        <v>0</v>
      </c>
      <c r="C124" s="37">
        <f>C118</f>
        <v>0</v>
      </c>
      <c r="D124" s="38">
        <f>D118</f>
        <v>0</v>
      </c>
      <c r="E124" s="20">
        <f t="shared" ref="E124:E144" si="6">SUM(C124:D124)</f>
        <v>0</v>
      </c>
    </row>
    <row r="125" spans="1:6" x14ac:dyDescent="0.15">
      <c r="B125" s="25" t="s">
        <v>3</v>
      </c>
      <c r="C125" s="39">
        <v>10</v>
      </c>
      <c r="D125" s="40">
        <v>10</v>
      </c>
      <c r="E125" s="11">
        <f t="shared" si="6"/>
        <v>20</v>
      </c>
      <c r="F125" s="18">
        <v>45059</v>
      </c>
    </row>
    <row r="126" spans="1:6" x14ac:dyDescent="0.15">
      <c r="B126" s="25" t="s">
        <v>3</v>
      </c>
      <c r="C126" s="39"/>
      <c r="D126" s="40">
        <v>10</v>
      </c>
      <c r="E126" s="11">
        <f t="shared" si="6"/>
        <v>10</v>
      </c>
      <c r="F126" s="18">
        <v>45078</v>
      </c>
    </row>
    <row r="127" spans="1:6" x14ac:dyDescent="0.15">
      <c r="B127" s="25" t="s">
        <v>3</v>
      </c>
      <c r="C127" s="39">
        <v>10</v>
      </c>
      <c r="D127" s="40"/>
      <c r="E127" s="11">
        <f t="shared" si="6"/>
        <v>10</v>
      </c>
      <c r="F127" s="18">
        <v>45106</v>
      </c>
    </row>
    <row r="128" spans="1:6" x14ac:dyDescent="0.15">
      <c r="B128" s="25" t="s">
        <v>3</v>
      </c>
      <c r="C128" s="39"/>
      <c r="D128" s="40">
        <v>10</v>
      </c>
      <c r="E128" s="11">
        <f t="shared" si="6"/>
        <v>10</v>
      </c>
      <c r="F128" s="18">
        <v>45118</v>
      </c>
    </row>
    <row r="129" spans="2:6" ht="14.25" thickBot="1" x14ac:dyDescent="0.2">
      <c r="B129" s="30" t="s">
        <v>3</v>
      </c>
      <c r="C129" s="41">
        <v>5</v>
      </c>
      <c r="D129" s="42">
        <v>5</v>
      </c>
      <c r="E129" s="9">
        <f t="shared" si="6"/>
        <v>10</v>
      </c>
      <c r="F129" s="18">
        <v>45127</v>
      </c>
    </row>
    <row r="130" spans="2:6" ht="14.25" thickBot="1" x14ac:dyDescent="0.2">
      <c r="B130" s="26" t="s">
        <v>2</v>
      </c>
      <c r="C130" s="43">
        <f>SUM(C124:C129)</f>
        <v>25</v>
      </c>
      <c r="D130" s="32">
        <f>SUM(D124:D129)</f>
        <v>35</v>
      </c>
      <c r="E130" s="12">
        <f t="shared" si="6"/>
        <v>60</v>
      </c>
    </row>
    <row r="131" spans="2:6" x14ac:dyDescent="0.15">
      <c r="B131" s="31" t="s">
        <v>8</v>
      </c>
      <c r="C131" s="44"/>
      <c r="D131" s="45">
        <v>3</v>
      </c>
      <c r="E131" s="10">
        <f t="shared" si="6"/>
        <v>3</v>
      </c>
      <c r="F131" s="18">
        <v>45059</v>
      </c>
    </row>
    <row r="132" spans="2:6" x14ac:dyDescent="0.15">
      <c r="B132" s="27" t="s">
        <v>8</v>
      </c>
      <c r="C132" s="39">
        <v>1</v>
      </c>
      <c r="D132" s="40"/>
      <c r="E132" s="11">
        <f t="shared" si="6"/>
        <v>1</v>
      </c>
      <c r="F132" s="18">
        <v>45061</v>
      </c>
    </row>
    <row r="133" spans="2:6" x14ac:dyDescent="0.15">
      <c r="B133" s="27" t="s">
        <v>8</v>
      </c>
      <c r="C133" s="39">
        <v>1</v>
      </c>
      <c r="D133" s="40"/>
      <c r="E133" s="11">
        <f t="shared" si="6"/>
        <v>1</v>
      </c>
      <c r="F133" s="18">
        <v>45062</v>
      </c>
    </row>
    <row r="134" spans="2:6" x14ac:dyDescent="0.15">
      <c r="B134" s="27" t="s">
        <v>8</v>
      </c>
      <c r="C134" s="39"/>
      <c r="D134" s="40">
        <v>1</v>
      </c>
      <c r="E134" s="11">
        <f t="shared" si="6"/>
        <v>1</v>
      </c>
      <c r="F134" s="18">
        <v>45066</v>
      </c>
    </row>
    <row r="135" spans="2:6" x14ac:dyDescent="0.15">
      <c r="B135" s="27" t="s">
        <v>8</v>
      </c>
      <c r="C135" s="39">
        <v>1</v>
      </c>
      <c r="D135" s="40">
        <f>2+1</f>
        <v>3</v>
      </c>
      <c r="E135" s="11">
        <f t="shared" si="6"/>
        <v>4</v>
      </c>
      <c r="F135" s="18">
        <v>45071</v>
      </c>
    </row>
    <row r="136" spans="2:6" x14ac:dyDescent="0.15">
      <c r="B136" s="27" t="s">
        <v>8</v>
      </c>
      <c r="C136" s="39"/>
      <c r="D136" s="40">
        <v>1</v>
      </c>
      <c r="E136" s="11">
        <f t="shared" si="6"/>
        <v>1</v>
      </c>
      <c r="F136" s="18">
        <v>45072</v>
      </c>
    </row>
    <row r="137" spans="2:6" x14ac:dyDescent="0.15">
      <c r="B137" s="27" t="s">
        <v>8</v>
      </c>
      <c r="C137" s="39">
        <v>2</v>
      </c>
      <c r="D137" s="40"/>
      <c r="E137" s="11">
        <f t="shared" si="6"/>
        <v>2</v>
      </c>
      <c r="F137" s="18">
        <v>45082</v>
      </c>
    </row>
    <row r="138" spans="2:6" x14ac:dyDescent="0.15">
      <c r="B138" s="27" t="s">
        <v>8</v>
      </c>
      <c r="C138" s="39">
        <v>1</v>
      </c>
      <c r="D138" s="40"/>
      <c r="E138" s="11">
        <f t="shared" si="6"/>
        <v>1</v>
      </c>
      <c r="F138" s="18">
        <v>45089</v>
      </c>
    </row>
    <row r="139" spans="2:6" x14ac:dyDescent="0.15">
      <c r="B139" s="27" t="s">
        <v>8</v>
      </c>
      <c r="C139" s="39"/>
      <c r="D139" s="40">
        <v>1</v>
      </c>
      <c r="E139" s="11">
        <f t="shared" si="6"/>
        <v>1</v>
      </c>
      <c r="F139" s="18">
        <v>45090</v>
      </c>
    </row>
    <row r="140" spans="2:6" x14ac:dyDescent="0.15">
      <c r="B140" s="27" t="s">
        <v>8</v>
      </c>
      <c r="C140" s="39">
        <v>1</v>
      </c>
      <c r="D140" s="40"/>
      <c r="E140" s="11">
        <f t="shared" si="6"/>
        <v>1</v>
      </c>
      <c r="F140" s="18">
        <v>45097</v>
      </c>
    </row>
    <row r="141" spans="2:6" x14ac:dyDescent="0.15">
      <c r="B141" s="27" t="s">
        <v>8</v>
      </c>
      <c r="C141" s="39"/>
      <c r="D141" s="40">
        <v>3</v>
      </c>
      <c r="E141" s="11">
        <f t="shared" si="6"/>
        <v>3</v>
      </c>
      <c r="F141" s="18">
        <v>45098</v>
      </c>
    </row>
    <row r="142" spans="2:6" x14ac:dyDescent="0.15">
      <c r="B142" s="27" t="s">
        <v>8</v>
      </c>
      <c r="C142" s="39">
        <v>1</v>
      </c>
      <c r="D142" s="40">
        <v>1</v>
      </c>
      <c r="E142" s="11">
        <f t="shared" si="6"/>
        <v>2</v>
      </c>
      <c r="F142" s="18">
        <v>45105</v>
      </c>
    </row>
    <row r="143" spans="2:6" x14ac:dyDescent="0.15">
      <c r="B143" s="27" t="s">
        <v>8</v>
      </c>
      <c r="C143" s="39"/>
      <c r="D143" s="40">
        <v>2</v>
      </c>
      <c r="E143" s="11">
        <f t="shared" si="6"/>
        <v>2</v>
      </c>
      <c r="F143" s="18">
        <v>45106</v>
      </c>
    </row>
    <row r="144" spans="2:6" x14ac:dyDescent="0.15">
      <c r="B144" s="27" t="s">
        <v>8</v>
      </c>
      <c r="C144" s="39"/>
      <c r="D144" s="40">
        <v>1</v>
      </c>
      <c r="E144" s="11">
        <f t="shared" si="6"/>
        <v>1</v>
      </c>
      <c r="F144" s="18">
        <v>45107</v>
      </c>
    </row>
    <row r="145" spans="2:6" x14ac:dyDescent="0.15">
      <c r="B145" s="27" t="s">
        <v>8</v>
      </c>
      <c r="C145" s="39"/>
      <c r="D145" s="40">
        <v>1</v>
      </c>
      <c r="E145" s="11">
        <f>SUM(C145:D145)</f>
        <v>1</v>
      </c>
      <c r="F145" s="18">
        <v>45108</v>
      </c>
    </row>
    <row r="146" spans="2:6" x14ac:dyDescent="0.15">
      <c r="B146" s="27" t="s">
        <v>8</v>
      </c>
      <c r="C146" s="39">
        <f>1+1</f>
        <v>2</v>
      </c>
      <c r="D146" s="40">
        <v>1</v>
      </c>
      <c r="E146" s="11">
        <f t="shared" ref="E146:E157" si="7">SUM(C146:D146)</f>
        <v>3</v>
      </c>
      <c r="F146" s="18">
        <v>45110</v>
      </c>
    </row>
    <row r="147" spans="2:6" x14ac:dyDescent="0.15">
      <c r="B147" s="27" t="s">
        <v>8</v>
      </c>
      <c r="C147" s="39">
        <v>1</v>
      </c>
      <c r="D147" s="40">
        <v>1</v>
      </c>
      <c r="E147" s="11">
        <f t="shared" si="7"/>
        <v>2</v>
      </c>
      <c r="F147" s="18">
        <v>45113</v>
      </c>
    </row>
    <row r="148" spans="2:6" x14ac:dyDescent="0.15">
      <c r="B148" s="27" t="s">
        <v>8</v>
      </c>
      <c r="C148" s="39">
        <v>1</v>
      </c>
      <c r="D148" s="40">
        <v>1</v>
      </c>
      <c r="E148" s="11">
        <f t="shared" si="7"/>
        <v>2</v>
      </c>
      <c r="F148" s="18">
        <v>45118</v>
      </c>
    </row>
    <row r="149" spans="2:6" x14ac:dyDescent="0.15">
      <c r="B149" s="27" t="s">
        <v>8</v>
      </c>
      <c r="C149" s="39">
        <v>1</v>
      </c>
      <c r="D149" s="40">
        <v>1</v>
      </c>
      <c r="E149" s="11">
        <f t="shared" si="7"/>
        <v>2</v>
      </c>
      <c r="F149" s="18">
        <v>45125</v>
      </c>
    </row>
    <row r="150" spans="2:6" x14ac:dyDescent="0.15">
      <c r="B150" s="27" t="s">
        <v>8</v>
      </c>
      <c r="C150" s="39"/>
      <c r="D150" s="40">
        <v>1</v>
      </c>
      <c r="E150" s="11">
        <f t="shared" si="7"/>
        <v>1</v>
      </c>
      <c r="F150" s="18">
        <v>45126</v>
      </c>
    </row>
    <row r="151" spans="2:6" x14ac:dyDescent="0.15">
      <c r="B151" s="27" t="s">
        <v>8</v>
      </c>
      <c r="C151" s="39">
        <v>2</v>
      </c>
      <c r="D151" s="40">
        <v>3</v>
      </c>
      <c r="E151" s="11">
        <f t="shared" si="7"/>
        <v>5</v>
      </c>
      <c r="F151" s="18">
        <v>45127</v>
      </c>
    </row>
    <row r="152" spans="2:6" x14ac:dyDescent="0.15">
      <c r="B152" s="27" t="s">
        <v>8</v>
      </c>
      <c r="C152" s="39">
        <v>1</v>
      </c>
      <c r="D152" s="40"/>
      <c r="E152" s="11">
        <f t="shared" si="7"/>
        <v>1</v>
      </c>
      <c r="F152" s="18">
        <v>45131</v>
      </c>
    </row>
    <row r="153" spans="2:6" x14ac:dyDescent="0.15">
      <c r="B153" s="27" t="s">
        <v>8</v>
      </c>
      <c r="C153" s="39">
        <v>1</v>
      </c>
      <c r="D153" s="40"/>
      <c r="E153" s="11">
        <f t="shared" si="7"/>
        <v>1</v>
      </c>
      <c r="F153" s="18">
        <v>45139</v>
      </c>
    </row>
    <row r="154" spans="2:6" x14ac:dyDescent="0.15">
      <c r="B154" s="27" t="s">
        <v>13</v>
      </c>
      <c r="C154" s="39">
        <v>1</v>
      </c>
      <c r="D154" s="40"/>
      <c r="E154" s="11">
        <f t="shared" si="7"/>
        <v>1</v>
      </c>
      <c r="F154" s="18">
        <v>45146</v>
      </c>
    </row>
    <row r="155" spans="2:6" ht="14.25" thickBot="1" x14ac:dyDescent="0.2">
      <c r="B155" s="33" t="s">
        <v>8</v>
      </c>
      <c r="C155" s="41"/>
      <c r="D155" s="42">
        <v>1</v>
      </c>
      <c r="E155" s="9">
        <f t="shared" si="7"/>
        <v>1</v>
      </c>
      <c r="F155" s="18">
        <v>45154</v>
      </c>
    </row>
    <row r="156" spans="2:6" ht="14.25" thickBot="1" x14ac:dyDescent="0.2">
      <c r="B156" s="28" t="s">
        <v>1</v>
      </c>
      <c r="C156" s="46">
        <f>SUM(C131:C155)</f>
        <v>18</v>
      </c>
      <c r="D156" s="34">
        <f>SUM(D131:D155)</f>
        <v>26</v>
      </c>
      <c r="E156" s="5">
        <f t="shared" si="7"/>
        <v>44</v>
      </c>
    </row>
    <row r="157" spans="2:6" ht="14.25" thickBot="1" x14ac:dyDescent="0.2">
      <c r="B157" s="26" t="s">
        <v>0</v>
      </c>
      <c r="C157" s="43">
        <f>+C130-C156</f>
        <v>7</v>
      </c>
      <c r="D157" s="32">
        <f>+D130-D156</f>
        <v>9</v>
      </c>
      <c r="E157" s="12">
        <f t="shared" si="7"/>
        <v>16</v>
      </c>
    </row>
    <row r="159" spans="2:6" ht="18.75" x14ac:dyDescent="0.2">
      <c r="B159" s="15" t="s">
        <v>7</v>
      </c>
      <c r="C159" s="14"/>
      <c r="D159" s="14"/>
    </row>
    <row r="160" spans="2:6" ht="14.25" thickBot="1" x14ac:dyDescent="0.2">
      <c r="E160">
        <v>451</v>
      </c>
    </row>
    <row r="161" spans="1:6" ht="14.25" thickBot="1" x14ac:dyDescent="0.2">
      <c r="B161" s="13"/>
      <c r="C161" s="23"/>
      <c r="D161" s="23"/>
      <c r="E161" s="24"/>
    </row>
    <row r="162" spans="1:6" ht="14.25" thickBot="1" x14ac:dyDescent="0.2">
      <c r="A162" s="1"/>
      <c r="B162" s="28"/>
      <c r="C162" s="35" t="s">
        <v>5</v>
      </c>
      <c r="D162" s="36" t="s">
        <v>6</v>
      </c>
      <c r="E162" s="7" t="s">
        <v>4</v>
      </c>
    </row>
    <row r="163" spans="1:6" x14ac:dyDescent="0.15">
      <c r="B163" s="29" t="s">
        <v>0</v>
      </c>
      <c r="C163" s="37">
        <f>C157</f>
        <v>7</v>
      </c>
      <c r="D163" s="38">
        <f>D157</f>
        <v>9</v>
      </c>
      <c r="E163" s="20">
        <f t="shared" ref="E163:E183" si="8">SUM(C163:D163)</f>
        <v>16</v>
      </c>
    </row>
    <row r="164" spans="1:6" x14ac:dyDescent="0.15">
      <c r="B164" s="25" t="s">
        <v>3</v>
      </c>
      <c r="C164" s="39">
        <v>10</v>
      </c>
      <c r="D164" s="40">
        <v>10</v>
      </c>
      <c r="E164" s="11">
        <f t="shared" si="8"/>
        <v>20</v>
      </c>
      <c r="F164" s="18">
        <v>45155</v>
      </c>
    </row>
    <row r="165" spans="1:6" x14ac:dyDescent="0.15">
      <c r="B165" s="25" t="s">
        <v>3</v>
      </c>
      <c r="C165" s="39"/>
      <c r="D165" s="40">
        <v>8</v>
      </c>
      <c r="E165" s="11">
        <f t="shared" si="8"/>
        <v>8</v>
      </c>
      <c r="F165" s="18">
        <v>45238</v>
      </c>
    </row>
    <row r="166" spans="1:6" x14ac:dyDescent="0.15">
      <c r="B166" s="25" t="s">
        <v>3</v>
      </c>
      <c r="C166" s="39"/>
      <c r="D166" s="40">
        <v>10</v>
      </c>
      <c r="E166" s="11">
        <f t="shared" si="8"/>
        <v>10</v>
      </c>
      <c r="F166" s="18">
        <v>45414</v>
      </c>
    </row>
    <row r="167" spans="1:6" x14ac:dyDescent="0.15">
      <c r="B167" s="25" t="s">
        <v>3</v>
      </c>
      <c r="C167" s="39"/>
      <c r="D167" s="40">
        <v>5</v>
      </c>
      <c r="E167" s="11">
        <f t="shared" si="8"/>
        <v>5</v>
      </c>
      <c r="F167" s="18">
        <v>45434</v>
      </c>
    </row>
    <row r="168" spans="1:6" ht="14.25" thickBot="1" x14ac:dyDescent="0.2">
      <c r="B168" s="30" t="s">
        <v>3</v>
      </c>
      <c r="C168" s="41"/>
      <c r="D168" s="42"/>
      <c r="E168" s="9">
        <f t="shared" si="8"/>
        <v>0</v>
      </c>
    </row>
    <row r="169" spans="1:6" ht="14.25" thickBot="1" x14ac:dyDescent="0.2">
      <c r="B169" s="26" t="s">
        <v>2</v>
      </c>
      <c r="C169" s="43">
        <f>SUM(C163:C168)</f>
        <v>17</v>
      </c>
      <c r="D169" s="32">
        <f>SUM(D163:D168)</f>
        <v>42</v>
      </c>
      <c r="E169" s="12">
        <f t="shared" si="8"/>
        <v>59</v>
      </c>
    </row>
    <row r="170" spans="1:6" x14ac:dyDescent="0.15">
      <c r="B170" s="31" t="s">
        <v>8</v>
      </c>
      <c r="C170" s="44"/>
      <c r="D170" s="45">
        <v>1</v>
      </c>
      <c r="E170" s="10">
        <f t="shared" si="8"/>
        <v>1</v>
      </c>
      <c r="F170" s="18">
        <v>45159</v>
      </c>
    </row>
    <row r="171" spans="1:6" x14ac:dyDescent="0.15">
      <c r="B171" s="27" t="s">
        <v>8</v>
      </c>
      <c r="C171" s="39"/>
      <c r="D171" s="40">
        <v>1</v>
      </c>
      <c r="E171" s="11">
        <f t="shared" si="8"/>
        <v>1</v>
      </c>
      <c r="F171" s="18">
        <v>45170</v>
      </c>
    </row>
    <row r="172" spans="1:6" x14ac:dyDescent="0.15">
      <c r="B172" s="27" t="s">
        <v>8</v>
      </c>
      <c r="C172" s="39"/>
      <c r="D172" s="40">
        <v>1</v>
      </c>
      <c r="E172" s="11">
        <f t="shared" si="8"/>
        <v>1</v>
      </c>
      <c r="F172" s="18">
        <v>45189</v>
      </c>
    </row>
    <row r="173" spans="1:6" x14ac:dyDescent="0.15">
      <c r="B173" s="27" t="s">
        <v>8</v>
      </c>
      <c r="C173" s="39"/>
      <c r="D173" s="40">
        <v>2</v>
      </c>
      <c r="E173" s="11">
        <f t="shared" si="8"/>
        <v>2</v>
      </c>
      <c r="F173" s="18">
        <v>45215</v>
      </c>
    </row>
    <row r="174" spans="1:6" x14ac:dyDescent="0.15">
      <c r="B174" s="27" t="s">
        <v>8</v>
      </c>
      <c r="C174" s="39"/>
      <c r="D174" s="40">
        <v>1</v>
      </c>
      <c r="E174" s="11">
        <f t="shared" si="8"/>
        <v>1</v>
      </c>
      <c r="F174" s="18">
        <v>45220</v>
      </c>
    </row>
    <row r="175" spans="1:6" x14ac:dyDescent="0.15">
      <c r="B175" s="27" t="s">
        <v>8</v>
      </c>
      <c r="C175" s="39"/>
      <c r="D175" s="40">
        <f>1+1</f>
        <v>2</v>
      </c>
      <c r="E175" s="11">
        <f t="shared" si="8"/>
        <v>2</v>
      </c>
      <c r="F175" s="18">
        <v>45224</v>
      </c>
    </row>
    <row r="176" spans="1:6" x14ac:dyDescent="0.15">
      <c r="B176" s="27" t="s">
        <v>8</v>
      </c>
      <c r="C176" s="39">
        <v>1</v>
      </c>
      <c r="D176" s="40"/>
      <c r="E176" s="11">
        <f t="shared" si="8"/>
        <v>1</v>
      </c>
      <c r="F176" s="18">
        <v>45276</v>
      </c>
    </row>
    <row r="177" spans="2:6" x14ac:dyDescent="0.15">
      <c r="B177" s="27" t="s">
        <v>8</v>
      </c>
      <c r="C177" s="39"/>
      <c r="D177" s="40">
        <v>1</v>
      </c>
      <c r="E177" s="11">
        <f t="shared" si="8"/>
        <v>1</v>
      </c>
      <c r="F177" s="18">
        <v>45278</v>
      </c>
    </row>
    <row r="178" spans="2:6" x14ac:dyDescent="0.15">
      <c r="B178" s="27" t="s">
        <v>8</v>
      </c>
      <c r="C178" s="39"/>
      <c r="D178" s="40">
        <v>1</v>
      </c>
      <c r="E178" s="11">
        <f t="shared" si="8"/>
        <v>1</v>
      </c>
      <c r="F178" s="18">
        <v>45301</v>
      </c>
    </row>
    <row r="179" spans="2:6" x14ac:dyDescent="0.15">
      <c r="B179" s="27" t="s">
        <v>8</v>
      </c>
      <c r="C179" s="39">
        <v>1</v>
      </c>
      <c r="D179" s="40"/>
      <c r="E179" s="11">
        <f t="shared" si="8"/>
        <v>1</v>
      </c>
      <c r="F179" s="18">
        <v>45306</v>
      </c>
    </row>
    <row r="180" spans="2:6" x14ac:dyDescent="0.15">
      <c r="B180" s="27" t="s">
        <v>8</v>
      </c>
      <c r="C180" s="39"/>
      <c r="D180" s="40">
        <v>1</v>
      </c>
      <c r="E180" s="11">
        <f t="shared" si="8"/>
        <v>1</v>
      </c>
      <c r="F180" s="18">
        <v>45317</v>
      </c>
    </row>
    <row r="181" spans="2:6" x14ac:dyDescent="0.15">
      <c r="B181" s="27" t="s">
        <v>8</v>
      </c>
      <c r="C181" s="39"/>
      <c r="D181" s="40">
        <v>1</v>
      </c>
      <c r="E181" s="11">
        <f t="shared" si="8"/>
        <v>1</v>
      </c>
      <c r="F181" s="18">
        <v>45327</v>
      </c>
    </row>
    <row r="182" spans="2:6" x14ac:dyDescent="0.15">
      <c r="B182" s="27" t="s">
        <v>8</v>
      </c>
      <c r="C182" s="39"/>
      <c r="D182" s="40">
        <v>2</v>
      </c>
      <c r="E182" s="11">
        <f t="shared" si="8"/>
        <v>2</v>
      </c>
      <c r="F182" s="18">
        <v>45341</v>
      </c>
    </row>
    <row r="183" spans="2:6" x14ac:dyDescent="0.15">
      <c r="B183" s="27" t="s">
        <v>8</v>
      </c>
      <c r="C183" s="39"/>
      <c r="D183" s="40">
        <v>2</v>
      </c>
      <c r="E183" s="11">
        <f t="shared" si="8"/>
        <v>2</v>
      </c>
      <c r="F183" s="18">
        <v>45366</v>
      </c>
    </row>
    <row r="184" spans="2:6" x14ac:dyDescent="0.15">
      <c r="B184" s="27" t="s">
        <v>8</v>
      </c>
      <c r="C184" s="39"/>
      <c r="D184" s="40">
        <v>1</v>
      </c>
      <c r="E184" s="11">
        <f>SUM(C184:D184)</f>
        <v>1</v>
      </c>
      <c r="F184" s="18">
        <v>45384</v>
      </c>
    </row>
    <row r="185" spans="2:6" x14ac:dyDescent="0.15">
      <c r="B185" s="27" t="s">
        <v>8</v>
      </c>
      <c r="C185" s="39">
        <v>1</v>
      </c>
      <c r="D185" s="40"/>
      <c r="E185" s="11">
        <f t="shared" ref="E185:E196" si="9">SUM(C185:D185)</f>
        <v>1</v>
      </c>
      <c r="F185" s="18">
        <v>45387</v>
      </c>
    </row>
    <row r="186" spans="2:6" x14ac:dyDescent="0.15">
      <c r="B186" s="27" t="s">
        <v>8</v>
      </c>
      <c r="C186" s="39"/>
      <c r="D186" s="40">
        <v>1</v>
      </c>
      <c r="E186" s="11">
        <f t="shared" si="9"/>
        <v>1</v>
      </c>
      <c r="F186" s="18">
        <v>45398</v>
      </c>
    </row>
    <row r="187" spans="2:6" x14ac:dyDescent="0.15">
      <c r="B187" s="27" t="s">
        <v>8</v>
      </c>
      <c r="C187" s="39"/>
      <c r="D187" s="40">
        <v>3</v>
      </c>
      <c r="E187" s="11">
        <f t="shared" si="9"/>
        <v>3</v>
      </c>
      <c r="F187" s="18">
        <v>45408</v>
      </c>
    </row>
    <row r="188" spans="2:6" x14ac:dyDescent="0.15">
      <c r="B188" s="27" t="s">
        <v>8</v>
      </c>
      <c r="C188" s="39"/>
      <c r="D188" s="40">
        <v>1</v>
      </c>
      <c r="E188" s="11">
        <f t="shared" si="9"/>
        <v>1</v>
      </c>
      <c r="F188" s="18">
        <v>45412</v>
      </c>
    </row>
    <row r="189" spans="2:6" x14ac:dyDescent="0.15">
      <c r="B189" s="27" t="s">
        <v>8</v>
      </c>
      <c r="C189" s="39"/>
      <c r="D189" s="40">
        <v>1</v>
      </c>
      <c r="E189" s="11">
        <f t="shared" si="9"/>
        <v>1</v>
      </c>
      <c r="F189" s="18">
        <v>45421</v>
      </c>
    </row>
    <row r="190" spans="2:6" x14ac:dyDescent="0.15">
      <c r="B190" s="27" t="s">
        <v>8</v>
      </c>
      <c r="C190" s="39">
        <v>1</v>
      </c>
      <c r="D190" s="40"/>
      <c r="E190" s="11">
        <f t="shared" si="9"/>
        <v>1</v>
      </c>
      <c r="F190" s="18">
        <v>45423</v>
      </c>
    </row>
    <row r="191" spans="2:6" x14ac:dyDescent="0.15">
      <c r="B191" s="27" t="s">
        <v>8</v>
      </c>
      <c r="C191" s="39">
        <v>1</v>
      </c>
      <c r="D191" s="40"/>
      <c r="E191" s="11">
        <f t="shared" si="9"/>
        <v>1</v>
      </c>
      <c r="F191" s="18">
        <v>45425</v>
      </c>
    </row>
    <row r="192" spans="2:6" x14ac:dyDescent="0.15">
      <c r="B192" s="27" t="s">
        <v>8</v>
      </c>
      <c r="C192" s="39"/>
      <c r="D192" s="40">
        <v>1</v>
      </c>
      <c r="E192" s="11">
        <f t="shared" si="9"/>
        <v>1</v>
      </c>
      <c r="F192" s="18">
        <v>45426</v>
      </c>
    </row>
    <row r="193" spans="1:6" x14ac:dyDescent="0.15">
      <c r="B193" s="27" t="s">
        <v>8</v>
      </c>
      <c r="C193" s="39"/>
      <c r="D193" s="40">
        <v>3</v>
      </c>
      <c r="E193" s="11">
        <f t="shared" si="9"/>
        <v>3</v>
      </c>
      <c r="F193" s="18">
        <v>45432</v>
      </c>
    </row>
    <row r="194" spans="1:6" ht="14.25" thickBot="1" x14ac:dyDescent="0.2">
      <c r="B194" s="27" t="s">
        <v>11</v>
      </c>
      <c r="C194" s="41">
        <v>-1</v>
      </c>
      <c r="D194" s="42"/>
      <c r="E194" s="9">
        <f t="shared" si="9"/>
        <v>-1</v>
      </c>
      <c r="F194" s="18">
        <v>45432</v>
      </c>
    </row>
    <row r="195" spans="1:6" ht="14.25" thickBot="1" x14ac:dyDescent="0.2">
      <c r="B195" s="28" t="s">
        <v>1</v>
      </c>
      <c r="C195" s="46">
        <f>SUM(C170:C194)</f>
        <v>4</v>
      </c>
      <c r="D195" s="34">
        <f>SUM(D170:D194)</f>
        <v>27</v>
      </c>
      <c r="E195" s="5">
        <f t="shared" si="9"/>
        <v>31</v>
      </c>
    </row>
    <row r="196" spans="1:6" ht="14.25" thickBot="1" x14ac:dyDescent="0.2">
      <c r="B196" s="26" t="s">
        <v>0</v>
      </c>
      <c r="C196" s="43">
        <f>+C169-C195</f>
        <v>13</v>
      </c>
      <c r="D196" s="32">
        <f>+D169-D195</f>
        <v>15</v>
      </c>
      <c r="E196" s="12">
        <f t="shared" si="9"/>
        <v>28</v>
      </c>
    </row>
    <row r="198" spans="1:6" ht="18.75" x14ac:dyDescent="0.2">
      <c r="B198" s="15" t="s">
        <v>7</v>
      </c>
      <c r="C198" s="14"/>
      <c r="D198" s="14"/>
    </row>
    <row r="199" spans="1:6" ht="14.25" thickBot="1" x14ac:dyDescent="0.2">
      <c r="E199">
        <v>451</v>
      </c>
    </row>
    <row r="200" spans="1:6" ht="14.25" thickBot="1" x14ac:dyDescent="0.2">
      <c r="B200" s="13"/>
      <c r="C200" s="23"/>
      <c r="D200" s="23"/>
      <c r="E200" s="24"/>
    </row>
    <row r="201" spans="1:6" ht="14.25" thickBot="1" x14ac:dyDescent="0.2">
      <c r="A201" s="1"/>
      <c r="B201" s="28"/>
      <c r="C201" s="35" t="s">
        <v>5</v>
      </c>
      <c r="D201" s="36" t="s">
        <v>6</v>
      </c>
      <c r="E201" s="7" t="s">
        <v>4</v>
      </c>
    </row>
    <row r="202" spans="1:6" x14ac:dyDescent="0.15">
      <c r="B202" s="29" t="s">
        <v>0</v>
      </c>
      <c r="C202" s="37">
        <f>C196</f>
        <v>13</v>
      </c>
      <c r="D202" s="38">
        <f>D196</f>
        <v>15</v>
      </c>
      <c r="E202" s="20">
        <f t="shared" ref="E202:E222" si="10">SUM(C202:D202)</f>
        <v>28</v>
      </c>
    </row>
    <row r="203" spans="1:6" x14ac:dyDescent="0.15">
      <c r="B203" s="25" t="s">
        <v>3</v>
      </c>
      <c r="C203" s="39">
        <v>10</v>
      </c>
      <c r="D203" s="40">
        <v>10</v>
      </c>
      <c r="E203" s="11">
        <f t="shared" si="10"/>
        <v>20</v>
      </c>
      <c r="F203" s="18">
        <v>45469</v>
      </c>
    </row>
    <row r="204" spans="1:6" x14ac:dyDescent="0.15">
      <c r="B204" s="25" t="s">
        <v>3</v>
      </c>
      <c r="C204" s="39">
        <v>8</v>
      </c>
      <c r="D204" s="40">
        <v>8</v>
      </c>
      <c r="E204" s="11">
        <f t="shared" si="10"/>
        <v>16</v>
      </c>
      <c r="F204" s="18">
        <v>45476</v>
      </c>
    </row>
    <row r="205" spans="1:6" x14ac:dyDescent="0.15">
      <c r="B205" s="25" t="s">
        <v>3</v>
      </c>
      <c r="C205" s="39">
        <v>10</v>
      </c>
      <c r="D205" s="40">
        <v>10</v>
      </c>
      <c r="E205" s="11">
        <f t="shared" ref="E205:E206" si="11">SUM(C205:D205)</f>
        <v>20</v>
      </c>
      <c r="F205" s="18">
        <v>45493</v>
      </c>
    </row>
    <row r="206" spans="1:6" x14ac:dyDescent="0.15">
      <c r="B206" s="25" t="s">
        <v>3</v>
      </c>
      <c r="C206" s="39"/>
      <c r="D206" s="40"/>
      <c r="E206" s="11">
        <f t="shared" si="11"/>
        <v>0</v>
      </c>
      <c r="F206" s="18"/>
    </row>
    <row r="207" spans="1:6" ht="14.25" thickBot="1" x14ac:dyDescent="0.2">
      <c r="B207" s="30" t="s">
        <v>3</v>
      </c>
      <c r="C207" s="41"/>
      <c r="D207" s="42"/>
      <c r="E207" s="9">
        <f t="shared" si="10"/>
        <v>0</v>
      </c>
    </row>
    <row r="208" spans="1:6" ht="14.25" thickBot="1" x14ac:dyDescent="0.2">
      <c r="B208" s="26" t="s">
        <v>2</v>
      </c>
      <c r="C208" s="43">
        <f>SUM(C202:C207)</f>
        <v>41</v>
      </c>
      <c r="D208" s="32">
        <f>SUM(D202:D207)</f>
        <v>43</v>
      </c>
      <c r="E208" s="12">
        <f t="shared" si="10"/>
        <v>84</v>
      </c>
    </row>
    <row r="209" spans="2:6" x14ac:dyDescent="0.15">
      <c r="B209" s="27" t="s">
        <v>8</v>
      </c>
      <c r="C209" s="44">
        <v>3</v>
      </c>
      <c r="D209" s="45">
        <v>3</v>
      </c>
      <c r="E209" s="10">
        <f t="shared" si="10"/>
        <v>6</v>
      </c>
      <c r="F209" s="18">
        <v>45439</v>
      </c>
    </row>
    <row r="210" spans="2:6" x14ac:dyDescent="0.15">
      <c r="B210" s="27" t="s">
        <v>8</v>
      </c>
      <c r="C210" s="39">
        <v>1</v>
      </c>
      <c r="D210" s="40"/>
      <c r="E210" s="11">
        <f t="shared" si="10"/>
        <v>1</v>
      </c>
      <c r="F210" s="18">
        <v>45446</v>
      </c>
    </row>
    <row r="211" spans="2:6" x14ac:dyDescent="0.15">
      <c r="B211" s="27" t="s">
        <v>8</v>
      </c>
      <c r="C211" s="39">
        <v>1</v>
      </c>
      <c r="D211" s="40"/>
      <c r="E211" s="11">
        <f t="shared" si="10"/>
        <v>1</v>
      </c>
      <c r="F211" s="18">
        <v>45453</v>
      </c>
    </row>
    <row r="212" spans="2:6" x14ac:dyDescent="0.15">
      <c r="B212" s="27" t="s">
        <v>8</v>
      </c>
      <c r="C212" s="39"/>
      <c r="D212" s="40">
        <f>2+2</f>
        <v>4</v>
      </c>
      <c r="E212" s="11">
        <f t="shared" si="10"/>
        <v>4</v>
      </c>
      <c r="F212" s="18">
        <v>45454</v>
      </c>
    </row>
    <row r="213" spans="2:6" x14ac:dyDescent="0.15">
      <c r="B213" s="27" t="s">
        <v>8</v>
      </c>
      <c r="C213" s="39">
        <f>1+1</f>
        <v>2</v>
      </c>
      <c r="D213" s="40">
        <v>1</v>
      </c>
      <c r="E213" s="11">
        <f t="shared" si="10"/>
        <v>3</v>
      </c>
      <c r="F213" s="18">
        <v>45455</v>
      </c>
    </row>
    <row r="214" spans="2:6" x14ac:dyDescent="0.15">
      <c r="B214" s="27" t="s">
        <v>8</v>
      </c>
      <c r="C214" s="39"/>
      <c r="D214" s="40">
        <v>2</v>
      </c>
      <c r="E214" s="11">
        <f t="shared" si="10"/>
        <v>2</v>
      </c>
      <c r="F214" s="18">
        <v>45457</v>
      </c>
    </row>
    <row r="215" spans="2:6" x14ac:dyDescent="0.15">
      <c r="B215" s="27" t="s">
        <v>8</v>
      </c>
      <c r="C215" s="39"/>
      <c r="D215" s="40">
        <v>1</v>
      </c>
      <c r="E215" s="11">
        <f t="shared" si="10"/>
        <v>1</v>
      </c>
      <c r="F215" s="18">
        <v>45458</v>
      </c>
    </row>
    <row r="216" spans="2:6" x14ac:dyDescent="0.15">
      <c r="B216" s="27" t="s">
        <v>8</v>
      </c>
      <c r="C216" s="39">
        <v>1</v>
      </c>
      <c r="D216" s="40"/>
      <c r="E216" s="11">
        <f t="shared" si="10"/>
        <v>1</v>
      </c>
      <c r="F216" s="18">
        <v>45460</v>
      </c>
    </row>
    <row r="217" spans="2:6" x14ac:dyDescent="0.15">
      <c r="B217" s="27" t="s">
        <v>8</v>
      </c>
      <c r="C217" s="39">
        <v>2</v>
      </c>
      <c r="D217" s="40"/>
      <c r="E217" s="11">
        <f t="shared" si="10"/>
        <v>2</v>
      </c>
      <c r="F217" s="18">
        <v>45464</v>
      </c>
    </row>
    <row r="218" spans="2:6" x14ac:dyDescent="0.15">
      <c r="B218" s="27" t="s">
        <v>8</v>
      </c>
      <c r="C218" s="39">
        <f>1+2</f>
        <v>3</v>
      </c>
      <c r="D218" s="40">
        <v>2</v>
      </c>
      <c r="E218" s="11">
        <f t="shared" si="10"/>
        <v>5</v>
      </c>
      <c r="F218" s="18">
        <v>45467</v>
      </c>
    </row>
    <row r="219" spans="2:6" x14ac:dyDescent="0.15">
      <c r="B219" s="27" t="s">
        <v>8</v>
      </c>
      <c r="C219" s="39">
        <v>3</v>
      </c>
      <c r="D219" s="40">
        <v>3</v>
      </c>
      <c r="E219" s="11">
        <f t="shared" si="10"/>
        <v>6</v>
      </c>
      <c r="F219" s="18">
        <v>45469</v>
      </c>
    </row>
    <row r="220" spans="2:6" x14ac:dyDescent="0.15">
      <c r="B220" s="27" t="s">
        <v>8</v>
      </c>
      <c r="C220" s="39">
        <v>2</v>
      </c>
      <c r="D220" s="40">
        <v>2</v>
      </c>
      <c r="E220" s="11">
        <f t="shared" si="10"/>
        <v>4</v>
      </c>
      <c r="F220" s="18">
        <v>45474</v>
      </c>
    </row>
    <row r="221" spans="2:6" x14ac:dyDescent="0.15">
      <c r="B221" s="27" t="s">
        <v>8</v>
      </c>
      <c r="C221" s="39">
        <v>1</v>
      </c>
      <c r="D221" s="40">
        <v>1</v>
      </c>
      <c r="E221" s="11">
        <f t="shared" si="10"/>
        <v>2</v>
      </c>
      <c r="F221" s="18">
        <v>45475</v>
      </c>
    </row>
    <row r="222" spans="2:6" x14ac:dyDescent="0.15">
      <c r="B222" s="27" t="s">
        <v>8</v>
      </c>
      <c r="C222" s="39"/>
      <c r="D222" s="40">
        <v>2</v>
      </c>
      <c r="E222" s="11">
        <f t="shared" si="10"/>
        <v>2</v>
      </c>
      <c r="F222" s="18">
        <v>45476</v>
      </c>
    </row>
    <row r="223" spans="2:6" x14ac:dyDescent="0.15">
      <c r="B223" s="27" t="s">
        <v>8</v>
      </c>
      <c r="C223" s="39">
        <v>1</v>
      </c>
      <c r="D223" s="40"/>
      <c r="E223" s="11">
        <f>SUM(C223:D223)</f>
        <v>1</v>
      </c>
      <c r="F223" s="18">
        <v>45477</v>
      </c>
    </row>
    <row r="224" spans="2:6" x14ac:dyDescent="0.15">
      <c r="B224" s="27" t="s">
        <v>8</v>
      </c>
      <c r="C224" s="39">
        <v>1</v>
      </c>
      <c r="D224" s="40"/>
      <c r="E224" s="11">
        <f t="shared" ref="E224:E235" si="12">SUM(C224:D224)</f>
        <v>1</v>
      </c>
      <c r="F224" s="18">
        <v>45478</v>
      </c>
    </row>
    <row r="225" spans="1:6" x14ac:dyDescent="0.15">
      <c r="B225" s="27" t="s">
        <v>8</v>
      </c>
      <c r="C225" s="39">
        <v>1</v>
      </c>
      <c r="D225" s="40">
        <v>1</v>
      </c>
      <c r="E225" s="11">
        <f t="shared" si="12"/>
        <v>2</v>
      </c>
      <c r="F225" s="18">
        <v>45479</v>
      </c>
    </row>
    <row r="226" spans="1:6" x14ac:dyDescent="0.15">
      <c r="B226" s="27" t="s">
        <v>8</v>
      </c>
      <c r="C226" s="39">
        <v>1</v>
      </c>
      <c r="D226" s="40">
        <v>2</v>
      </c>
      <c r="E226" s="11">
        <f t="shared" si="12"/>
        <v>3</v>
      </c>
      <c r="F226" s="18">
        <v>45481</v>
      </c>
    </row>
    <row r="227" spans="1:6" x14ac:dyDescent="0.15">
      <c r="B227" s="27" t="s">
        <v>8</v>
      </c>
      <c r="C227" s="39">
        <v>1</v>
      </c>
      <c r="D227" s="40"/>
      <c r="E227" s="11">
        <f t="shared" si="12"/>
        <v>1</v>
      </c>
      <c r="F227" s="18">
        <v>45484</v>
      </c>
    </row>
    <row r="228" spans="1:6" x14ac:dyDescent="0.15">
      <c r="B228" s="27" t="s">
        <v>8</v>
      </c>
      <c r="C228" s="39">
        <f>1+1</f>
        <v>2</v>
      </c>
      <c r="D228" s="40">
        <f>2+1+1</f>
        <v>4</v>
      </c>
      <c r="E228" s="11">
        <f t="shared" si="12"/>
        <v>6</v>
      </c>
      <c r="F228" s="18">
        <v>45489</v>
      </c>
    </row>
    <row r="229" spans="1:6" x14ac:dyDescent="0.15">
      <c r="B229" s="27" t="s">
        <v>8</v>
      </c>
      <c r="C229" s="39">
        <f>3+1</f>
        <v>4</v>
      </c>
      <c r="D229" s="40">
        <v>2</v>
      </c>
      <c r="E229" s="11">
        <f t="shared" si="12"/>
        <v>6</v>
      </c>
      <c r="F229" s="18">
        <v>45495</v>
      </c>
    </row>
    <row r="230" spans="1:6" x14ac:dyDescent="0.15">
      <c r="B230" s="27" t="s">
        <v>8</v>
      </c>
      <c r="C230" s="39"/>
      <c r="D230" s="40">
        <v>1</v>
      </c>
      <c r="E230" s="11">
        <f t="shared" si="12"/>
        <v>1</v>
      </c>
      <c r="F230" s="18">
        <v>45498</v>
      </c>
    </row>
    <row r="231" spans="1:6" x14ac:dyDescent="0.15">
      <c r="B231" s="27" t="s">
        <v>8</v>
      </c>
      <c r="C231" s="39"/>
      <c r="D231" s="40">
        <v>1</v>
      </c>
      <c r="E231" s="11">
        <f t="shared" si="12"/>
        <v>1</v>
      </c>
      <c r="F231" s="18">
        <v>45499</v>
      </c>
    </row>
    <row r="232" spans="1:6" x14ac:dyDescent="0.15">
      <c r="B232" s="27" t="s">
        <v>8</v>
      </c>
      <c r="C232" s="39"/>
      <c r="D232" s="40">
        <v>1</v>
      </c>
      <c r="E232" s="11">
        <f t="shared" si="12"/>
        <v>1</v>
      </c>
      <c r="F232" s="18">
        <v>45502</v>
      </c>
    </row>
    <row r="233" spans="1:6" ht="14.25" thickBot="1" x14ac:dyDescent="0.2">
      <c r="B233" s="27" t="s">
        <v>8</v>
      </c>
      <c r="C233" s="41">
        <v>1</v>
      </c>
      <c r="D233" s="42"/>
      <c r="E233" s="9">
        <f t="shared" si="12"/>
        <v>1</v>
      </c>
      <c r="F233" s="18">
        <v>45505</v>
      </c>
    </row>
    <row r="234" spans="1:6" ht="14.25" thickBot="1" x14ac:dyDescent="0.2">
      <c r="B234" s="28" t="s">
        <v>1</v>
      </c>
      <c r="C234" s="46">
        <f>SUM(C209:C233)</f>
        <v>31</v>
      </c>
      <c r="D234" s="34">
        <f>SUM(D209:D233)</f>
        <v>33</v>
      </c>
      <c r="E234" s="5">
        <f t="shared" si="12"/>
        <v>64</v>
      </c>
    </row>
    <row r="235" spans="1:6" ht="14.25" thickBot="1" x14ac:dyDescent="0.2">
      <c r="B235" s="26" t="s">
        <v>0</v>
      </c>
      <c r="C235" s="43">
        <f>+C208-C234</f>
        <v>10</v>
      </c>
      <c r="D235" s="32">
        <f>+D208-D234</f>
        <v>10</v>
      </c>
      <c r="E235" s="12">
        <f t="shared" si="12"/>
        <v>20</v>
      </c>
    </row>
    <row r="237" spans="1:6" ht="18.75" x14ac:dyDescent="0.2">
      <c r="B237" s="15" t="s">
        <v>7</v>
      </c>
      <c r="C237" s="14"/>
      <c r="D237" s="14"/>
    </row>
    <row r="238" spans="1:6" ht="14.25" thickBot="1" x14ac:dyDescent="0.2">
      <c r="E238">
        <v>451</v>
      </c>
    </row>
    <row r="239" spans="1:6" ht="14.25" thickBot="1" x14ac:dyDescent="0.2">
      <c r="B239" s="13"/>
      <c r="C239" s="23"/>
      <c r="D239" s="23"/>
      <c r="E239" s="24"/>
    </row>
    <row r="240" spans="1:6" ht="14.25" thickBot="1" x14ac:dyDescent="0.2">
      <c r="A240" s="1"/>
      <c r="B240" s="28"/>
      <c r="C240" s="35" t="s">
        <v>5</v>
      </c>
      <c r="D240" s="36" t="s">
        <v>6</v>
      </c>
      <c r="E240" s="7" t="s">
        <v>4</v>
      </c>
    </row>
    <row r="241" spans="2:6" x14ac:dyDescent="0.15">
      <c r="B241" s="29" t="s">
        <v>0</v>
      </c>
      <c r="C241" s="37">
        <f>C235</f>
        <v>10</v>
      </c>
      <c r="D241" s="38">
        <f>D235</f>
        <v>10</v>
      </c>
      <c r="E241" s="20">
        <f t="shared" ref="E241:E261" si="13">SUM(C241:D241)</f>
        <v>20</v>
      </c>
    </row>
    <row r="242" spans="2:6" x14ac:dyDescent="0.15">
      <c r="B242" s="25" t="s">
        <v>3</v>
      </c>
      <c r="C242" s="39">
        <v>5</v>
      </c>
      <c r="D242" s="40">
        <v>10</v>
      </c>
      <c r="E242" s="11">
        <f t="shared" ref="E242:E244" si="14">SUM(C242:D242)</f>
        <v>15</v>
      </c>
      <c r="F242" s="18" t="s">
        <v>15</v>
      </c>
    </row>
    <row r="243" spans="2:6" x14ac:dyDescent="0.15">
      <c r="B243" s="25" t="s">
        <v>13</v>
      </c>
      <c r="C243" s="39">
        <v>1</v>
      </c>
      <c r="D243" s="40">
        <v>-2</v>
      </c>
      <c r="E243" s="11">
        <f t="shared" si="14"/>
        <v>-1</v>
      </c>
      <c r="F243" s="18">
        <v>45526</v>
      </c>
    </row>
    <row r="244" spans="2:6" x14ac:dyDescent="0.15">
      <c r="B244" s="25" t="s">
        <v>3</v>
      </c>
      <c r="C244" s="39"/>
      <c r="D244" s="40">
        <v>5</v>
      </c>
      <c r="E244" s="11">
        <f t="shared" si="14"/>
        <v>5</v>
      </c>
      <c r="F244" s="18">
        <v>45635</v>
      </c>
    </row>
    <row r="245" spans="2:6" x14ac:dyDescent="0.15">
      <c r="B245" s="25" t="s">
        <v>3</v>
      </c>
      <c r="C245" s="39"/>
      <c r="D245" s="40">
        <v>5</v>
      </c>
      <c r="E245" s="11">
        <f t="shared" si="13"/>
        <v>5</v>
      </c>
      <c r="F245" s="18">
        <v>45678</v>
      </c>
    </row>
    <row r="246" spans="2:6" ht="14.25" thickBot="1" x14ac:dyDescent="0.2">
      <c r="B246" s="30" t="s">
        <v>3</v>
      </c>
      <c r="C246" s="41"/>
      <c r="D246" s="42">
        <v>3</v>
      </c>
      <c r="E246" s="9">
        <f t="shared" si="13"/>
        <v>3</v>
      </c>
      <c r="F246" s="18">
        <v>45686</v>
      </c>
    </row>
    <row r="247" spans="2:6" ht="14.25" thickBot="1" x14ac:dyDescent="0.2">
      <c r="B247" s="26" t="s">
        <v>2</v>
      </c>
      <c r="C247" s="43">
        <f>SUM(C241:C246)</f>
        <v>16</v>
      </c>
      <c r="D247" s="32">
        <f>SUM(D241:D246)</f>
        <v>31</v>
      </c>
      <c r="E247" s="12">
        <f t="shared" si="13"/>
        <v>47</v>
      </c>
    </row>
    <row r="248" spans="2:6" x14ac:dyDescent="0.15">
      <c r="B248" s="27" t="s">
        <v>8</v>
      </c>
      <c r="C248" s="44"/>
      <c r="D248" s="45">
        <v>1</v>
      </c>
      <c r="E248" s="10">
        <f t="shared" si="13"/>
        <v>1</v>
      </c>
      <c r="F248" s="18">
        <v>45505</v>
      </c>
    </row>
    <row r="249" spans="2:6" x14ac:dyDescent="0.15">
      <c r="B249" s="27" t="s">
        <v>8</v>
      </c>
      <c r="C249" s="39">
        <v>1</v>
      </c>
      <c r="D249" s="40">
        <f>1+1</f>
        <v>2</v>
      </c>
      <c r="E249" s="11">
        <f t="shared" si="13"/>
        <v>3</v>
      </c>
      <c r="F249" s="18">
        <v>45506</v>
      </c>
    </row>
    <row r="250" spans="2:6" x14ac:dyDescent="0.15">
      <c r="B250" s="27" t="s">
        <v>8</v>
      </c>
      <c r="C250" s="39"/>
      <c r="D250" s="40">
        <v>1</v>
      </c>
      <c r="E250" s="11">
        <f t="shared" si="13"/>
        <v>1</v>
      </c>
      <c r="F250" s="18">
        <v>45512</v>
      </c>
    </row>
    <row r="251" spans="2:6" x14ac:dyDescent="0.15">
      <c r="B251" s="27" t="s">
        <v>8</v>
      </c>
      <c r="C251" s="39"/>
      <c r="D251" s="40">
        <v>1</v>
      </c>
      <c r="E251" s="11">
        <f t="shared" si="13"/>
        <v>1</v>
      </c>
      <c r="F251" s="18">
        <v>45513</v>
      </c>
    </row>
    <row r="252" spans="2:6" x14ac:dyDescent="0.15">
      <c r="B252" s="27" t="s">
        <v>8</v>
      </c>
      <c r="C252" s="39"/>
      <c r="D252" s="40">
        <v>1</v>
      </c>
      <c r="E252" s="11">
        <f t="shared" si="13"/>
        <v>1</v>
      </c>
      <c r="F252" s="18">
        <v>45515</v>
      </c>
    </row>
    <row r="253" spans="2:6" x14ac:dyDescent="0.15">
      <c r="B253" s="27" t="s">
        <v>8</v>
      </c>
      <c r="C253" s="39">
        <v>1</v>
      </c>
      <c r="D253" s="40">
        <v>1</v>
      </c>
      <c r="E253" s="11">
        <f t="shared" si="13"/>
        <v>2</v>
      </c>
      <c r="F253" s="18">
        <v>45520</v>
      </c>
    </row>
    <row r="254" spans="2:6" x14ac:dyDescent="0.15">
      <c r="B254" s="27" t="s">
        <v>8</v>
      </c>
      <c r="C254" s="39"/>
      <c r="D254" s="40">
        <v>1</v>
      </c>
      <c r="E254" s="11">
        <f t="shared" si="13"/>
        <v>1</v>
      </c>
      <c r="F254" s="18">
        <v>45523</v>
      </c>
    </row>
    <row r="255" spans="2:6" x14ac:dyDescent="0.15">
      <c r="B255" s="27" t="s">
        <v>8</v>
      </c>
      <c r="C255" s="39">
        <v>1</v>
      </c>
      <c r="D255" s="40">
        <v>1</v>
      </c>
      <c r="E255" s="11">
        <f t="shared" si="13"/>
        <v>2</v>
      </c>
      <c r="F255" s="18">
        <v>45556</v>
      </c>
    </row>
    <row r="256" spans="2:6" x14ac:dyDescent="0.15">
      <c r="B256" s="27" t="s">
        <v>8</v>
      </c>
      <c r="C256" s="39">
        <v>1</v>
      </c>
      <c r="D256" s="40"/>
      <c r="E256" s="11">
        <f t="shared" si="13"/>
        <v>1</v>
      </c>
      <c r="F256" s="18">
        <v>45570</v>
      </c>
    </row>
    <row r="257" spans="2:6" x14ac:dyDescent="0.15">
      <c r="B257" s="27" t="s">
        <v>8</v>
      </c>
      <c r="C257" s="39"/>
      <c r="D257" s="40">
        <v>1</v>
      </c>
      <c r="E257" s="11">
        <f t="shared" si="13"/>
        <v>1</v>
      </c>
      <c r="F257" s="18">
        <v>45572</v>
      </c>
    </row>
    <row r="258" spans="2:6" x14ac:dyDescent="0.15">
      <c r="B258" s="27" t="s">
        <v>8</v>
      </c>
      <c r="C258" s="39"/>
      <c r="D258" s="40">
        <v>1</v>
      </c>
      <c r="E258" s="11">
        <f t="shared" si="13"/>
        <v>1</v>
      </c>
      <c r="F258" s="18">
        <v>45580</v>
      </c>
    </row>
    <row r="259" spans="2:6" x14ac:dyDescent="0.15">
      <c r="B259" s="27" t="s">
        <v>8</v>
      </c>
      <c r="C259" s="39">
        <v>1</v>
      </c>
      <c r="D259" s="40">
        <v>1</v>
      </c>
      <c r="E259" s="11">
        <f t="shared" si="13"/>
        <v>2</v>
      </c>
      <c r="F259" s="18">
        <v>45607</v>
      </c>
    </row>
    <row r="260" spans="2:6" x14ac:dyDescent="0.15">
      <c r="B260" s="27" t="s">
        <v>8</v>
      </c>
      <c r="C260" s="39">
        <v>1</v>
      </c>
      <c r="D260" s="40">
        <v>1</v>
      </c>
      <c r="E260" s="11">
        <f t="shared" si="13"/>
        <v>2</v>
      </c>
      <c r="F260" s="18">
        <v>45609</v>
      </c>
    </row>
    <row r="261" spans="2:6" x14ac:dyDescent="0.15">
      <c r="B261" s="27" t="s">
        <v>8</v>
      </c>
      <c r="C261" s="39">
        <v>1</v>
      </c>
      <c r="D261" s="40"/>
      <c r="E261" s="11">
        <f t="shared" si="13"/>
        <v>1</v>
      </c>
      <c r="F261" s="18">
        <v>45623</v>
      </c>
    </row>
    <row r="262" spans="2:6" x14ac:dyDescent="0.15">
      <c r="B262" s="27" t="s">
        <v>8</v>
      </c>
      <c r="C262" s="39">
        <v>1</v>
      </c>
      <c r="D262" s="40">
        <v>1</v>
      </c>
      <c r="E262" s="11">
        <f>SUM(C262:D262)</f>
        <v>2</v>
      </c>
      <c r="F262" s="18">
        <v>45663</v>
      </c>
    </row>
    <row r="263" spans="2:6" x14ac:dyDescent="0.15">
      <c r="B263" s="27" t="s">
        <v>8</v>
      </c>
      <c r="C263" s="39"/>
      <c r="D263" s="40">
        <v>1</v>
      </c>
      <c r="E263" s="11">
        <f t="shared" ref="E263:E274" si="15">SUM(C263:D263)</f>
        <v>1</v>
      </c>
      <c r="F263" s="18">
        <v>45665</v>
      </c>
    </row>
    <row r="264" spans="2:6" x14ac:dyDescent="0.15">
      <c r="B264" s="27" t="s">
        <v>8</v>
      </c>
      <c r="C264" s="39"/>
      <c r="D264" s="40">
        <v>1</v>
      </c>
      <c r="E264" s="11">
        <f t="shared" si="15"/>
        <v>1</v>
      </c>
      <c r="F264" s="18">
        <v>45667</v>
      </c>
    </row>
    <row r="265" spans="2:6" x14ac:dyDescent="0.15">
      <c r="B265" s="27" t="s">
        <v>8</v>
      </c>
      <c r="C265" s="39">
        <v>2</v>
      </c>
      <c r="D265" s="40">
        <v>2</v>
      </c>
      <c r="E265" s="11">
        <f t="shared" si="15"/>
        <v>4</v>
      </c>
      <c r="F265" s="18">
        <v>45668</v>
      </c>
    </row>
    <row r="266" spans="2:6" x14ac:dyDescent="0.15">
      <c r="B266" s="27" t="s">
        <v>8</v>
      </c>
      <c r="C266" s="39"/>
      <c r="D266" s="40">
        <v>1</v>
      </c>
      <c r="E266" s="11">
        <f t="shared" si="15"/>
        <v>1</v>
      </c>
      <c r="F266" s="18">
        <v>45673</v>
      </c>
    </row>
    <row r="267" spans="2:6" x14ac:dyDescent="0.15">
      <c r="B267" s="27" t="s">
        <v>8</v>
      </c>
      <c r="C267" s="39"/>
      <c r="D267" s="40">
        <v>1</v>
      </c>
      <c r="E267" s="11">
        <f t="shared" si="15"/>
        <v>1</v>
      </c>
      <c r="F267" s="18">
        <v>45677</v>
      </c>
    </row>
    <row r="268" spans="2:6" x14ac:dyDescent="0.15">
      <c r="B268" s="27" t="s">
        <v>8</v>
      </c>
      <c r="C268" s="39"/>
      <c r="D268" s="40">
        <v>2</v>
      </c>
      <c r="E268" s="11">
        <f t="shared" si="15"/>
        <v>2</v>
      </c>
      <c r="F268" s="18">
        <v>45681</v>
      </c>
    </row>
    <row r="269" spans="2:6" x14ac:dyDescent="0.15">
      <c r="B269" s="27" t="s">
        <v>8</v>
      </c>
      <c r="C269" s="39"/>
      <c r="D269" s="40">
        <v>2</v>
      </c>
      <c r="E269" s="11">
        <f t="shared" si="15"/>
        <v>2</v>
      </c>
      <c r="F269" s="18">
        <v>45687</v>
      </c>
    </row>
    <row r="270" spans="2:6" x14ac:dyDescent="0.15">
      <c r="B270" s="27" t="s">
        <v>8</v>
      </c>
      <c r="C270" s="39">
        <v>1</v>
      </c>
      <c r="D270" s="40"/>
      <c r="E270" s="11">
        <f t="shared" si="15"/>
        <v>1</v>
      </c>
      <c r="F270" s="18">
        <v>45733</v>
      </c>
    </row>
    <row r="271" spans="2:6" x14ac:dyDescent="0.15">
      <c r="B271" s="27" t="s">
        <v>8</v>
      </c>
      <c r="C271" s="39">
        <v>1</v>
      </c>
      <c r="D271" s="40"/>
      <c r="E271" s="11">
        <f t="shared" si="15"/>
        <v>1</v>
      </c>
      <c r="F271" s="18">
        <v>45737</v>
      </c>
    </row>
    <row r="272" spans="2:6" ht="14.25" thickBot="1" x14ac:dyDescent="0.2">
      <c r="B272" s="27" t="s">
        <v>8</v>
      </c>
      <c r="C272" s="41">
        <v>1</v>
      </c>
      <c r="D272" s="42"/>
      <c r="E272" s="9">
        <f t="shared" si="15"/>
        <v>1</v>
      </c>
      <c r="F272" s="18">
        <v>45744</v>
      </c>
    </row>
    <row r="273" spans="1:6" ht="14.25" thickBot="1" x14ac:dyDescent="0.2">
      <c r="B273" s="28" t="s">
        <v>1</v>
      </c>
      <c r="C273" s="46">
        <f>SUM(C248:C272)</f>
        <v>13</v>
      </c>
      <c r="D273" s="34">
        <f>SUM(D248:D272)</f>
        <v>24</v>
      </c>
      <c r="E273" s="5">
        <f t="shared" si="15"/>
        <v>37</v>
      </c>
    </row>
    <row r="274" spans="1:6" ht="14.25" thickBot="1" x14ac:dyDescent="0.2">
      <c r="B274" s="26" t="s">
        <v>0</v>
      </c>
      <c r="C274" s="43">
        <f>+C247-C273</f>
        <v>3</v>
      </c>
      <c r="D274" s="32">
        <f>+D247-D273</f>
        <v>7</v>
      </c>
      <c r="E274" s="12">
        <f t="shared" si="15"/>
        <v>10</v>
      </c>
    </row>
    <row r="276" spans="1:6" ht="18.75" x14ac:dyDescent="0.2">
      <c r="B276" s="15" t="s">
        <v>7</v>
      </c>
      <c r="C276" s="14"/>
      <c r="D276" s="14"/>
    </row>
    <row r="277" spans="1:6" ht="14.25" thickBot="1" x14ac:dyDescent="0.2">
      <c r="E277">
        <v>451</v>
      </c>
    </row>
    <row r="278" spans="1:6" ht="14.25" thickBot="1" x14ac:dyDescent="0.2">
      <c r="B278" s="13"/>
      <c r="C278" s="23"/>
      <c r="D278" s="23"/>
      <c r="E278" s="24"/>
    </row>
    <row r="279" spans="1:6" ht="14.25" thickBot="1" x14ac:dyDescent="0.2">
      <c r="A279" s="1"/>
      <c r="B279" s="28"/>
      <c r="C279" s="35" t="s">
        <v>5</v>
      </c>
      <c r="D279" s="36" t="s">
        <v>6</v>
      </c>
      <c r="E279" s="7" t="s">
        <v>4</v>
      </c>
    </row>
    <row r="280" spans="1:6" x14ac:dyDescent="0.15">
      <c r="B280" s="29" t="s">
        <v>0</v>
      </c>
      <c r="C280" s="37">
        <f>C274</f>
        <v>3</v>
      </c>
      <c r="D280" s="38">
        <f>D274</f>
        <v>7</v>
      </c>
      <c r="E280" s="20">
        <f t="shared" ref="E280:E300" si="16">SUM(C280:D280)</f>
        <v>10</v>
      </c>
    </row>
    <row r="281" spans="1:6" x14ac:dyDescent="0.15">
      <c r="B281" s="25" t="s">
        <v>3</v>
      </c>
      <c r="C281" s="39"/>
      <c r="D281" s="40">
        <v>5</v>
      </c>
      <c r="E281" s="11">
        <f t="shared" si="16"/>
        <v>5</v>
      </c>
      <c r="F281" s="18">
        <v>45759</v>
      </c>
    </row>
    <row r="282" spans="1:6" x14ac:dyDescent="0.15">
      <c r="B282" s="25" t="s">
        <v>3</v>
      </c>
      <c r="C282" s="39">
        <v>5</v>
      </c>
      <c r="D282" s="40">
        <v>5</v>
      </c>
      <c r="E282" s="11">
        <f t="shared" si="16"/>
        <v>10</v>
      </c>
      <c r="F282" s="18">
        <v>45806</v>
      </c>
    </row>
    <row r="283" spans="1:6" x14ac:dyDescent="0.15">
      <c r="B283" s="25" t="s">
        <v>3</v>
      </c>
      <c r="C283" s="39"/>
      <c r="D283" s="40">
        <v>5</v>
      </c>
      <c r="E283" s="11">
        <f t="shared" si="16"/>
        <v>5</v>
      </c>
      <c r="F283" s="18">
        <v>45812</v>
      </c>
    </row>
    <row r="284" spans="1:6" x14ac:dyDescent="0.15">
      <c r="B284" s="25" t="s">
        <v>3</v>
      </c>
      <c r="C284" s="39">
        <v>5</v>
      </c>
      <c r="D284" s="40">
        <v>10</v>
      </c>
      <c r="E284" s="11">
        <f t="shared" si="16"/>
        <v>15</v>
      </c>
      <c r="F284" s="18">
        <v>45838</v>
      </c>
    </row>
    <row r="285" spans="1:6" ht="14.25" thickBot="1" x14ac:dyDescent="0.2">
      <c r="B285" s="30" t="s">
        <v>3</v>
      </c>
      <c r="C285" s="41">
        <v>20</v>
      </c>
      <c r="D285" s="42">
        <v>10</v>
      </c>
      <c r="E285" s="9">
        <f t="shared" si="16"/>
        <v>30</v>
      </c>
      <c r="F285" s="18">
        <v>45847</v>
      </c>
    </row>
    <row r="286" spans="1:6" ht="14.25" thickBot="1" x14ac:dyDescent="0.2">
      <c r="B286" s="26" t="s">
        <v>2</v>
      </c>
      <c r="C286" s="43">
        <f>SUM(C280:C285)</f>
        <v>33</v>
      </c>
      <c r="D286" s="32">
        <f>SUM(D280:D285)</f>
        <v>42</v>
      </c>
      <c r="E286" s="12">
        <f t="shared" si="16"/>
        <v>75</v>
      </c>
    </row>
    <row r="287" spans="1:6" x14ac:dyDescent="0.15">
      <c r="B287" s="27" t="s">
        <v>8</v>
      </c>
      <c r="C287" s="44"/>
      <c r="D287" s="45">
        <v>1</v>
      </c>
      <c r="E287" s="10">
        <f t="shared" si="16"/>
        <v>1</v>
      </c>
      <c r="F287" s="18">
        <v>45768</v>
      </c>
    </row>
    <row r="288" spans="1:6" x14ac:dyDescent="0.15">
      <c r="B288" s="27" t="s">
        <v>8</v>
      </c>
      <c r="C288" s="39"/>
      <c r="D288" s="40">
        <v>1</v>
      </c>
      <c r="E288" s="11">
        <f t="shared" si="16"/>
        <v>1</v>
      </c>
      <c r="F288" s="18">
        <v>45772</v>
      </c>
    </row>
    <row r="289" spans="2:6" x14ac:dyDescent="0.15">
      <c r="B289" s="51"/>
      <c r="C289" s="52">
        <v>-1</v>
      </c>
      <c r="D289" s="53">
        <v>1</v>
      </c>
      <c r="E289" s="54">
        <f t="shared" si="16"/>
        <v>0</v>
      </c>
      <c r="F289" s="21"/>
    </row>
    <row r="290" spans="2:6" x14ac:dyDescent="0.15">
      <c r="B290" s="27" t="s">
        <v>8</v>
      </c>
      <c r="C290" s="39"/>
      <c r="D290" s="40">
        <v>1</v>
      </c>
      <c r="E290" s="11">
        <f t="shared" si="16"/>
        <v>1</v>
      </c>
      <c r="F290" s="18">
        <v>45789</v>
      </c>
    </row>
    <row r="291" spans="2:6" x14ac:dyDescent="0.15">
      <c r="B291" s="27" t="s">
        <v>8</v>
      </c>
      <c r="C291" s="39"/>
      <c r="D291" s="40">
        <v>1</v>
      </c>
      <c r="E291" s="11">
        <f t="shared" si="16"/>
        <v>1</v>
      </c>
      <c r="F291" s="18">
        <v>45793</v>
      </c>
    </row>
    <row r="292" spans="2:6" x14ac:dyDescent="0.15">
      <c r="B292" s="27" t="s">
        <v>8</v>
      </c>
      <c r="C292" s="39"/>
      <c r="D292" s="40">
        <v>1</v>
      </c>
      <c r="E292" s="11">
        <f t="shared" si="16"/>
        <v>1</v>
      </c>
      <c r="F292" s="18">
        <v>45800</v>
      </c>
    </row>
    <row r="293" spans="2:6" x14ac:dyDescent="0.15">
      <c r="B293" s="27" t="s">
        <v>8</v>
      </c>
      <c r="C293" s="39">
        <f>1+1</f>
        <v>2</v>
      </c>
      <c r="D293" s="40">
        <f>2+2</f>
        <v>4</v>
      </c>
      <c r="E293" s="11">
        <f t="shared" si="16"/>
        <v>6</v>
      </c>
      <c r="F293" s="18">
        <v>45803</v>
      </c>
    </row>
    <row r="294" spans="2:6" x14ac:dyDescent="0.15">
      <c r="B294" s="27" t="s">
        <v>8</v>
      </c>
      <c r="C294" s="39"/>
      <c r="D294" s="40">
        <v>1</v>
      </c>
      <c r="E294" s="11">
        <f t="shared" si="16"/>
        <v>1</v>
      </c>
      <c r="F294" s="18">
        <v>45806</v>
      </c>
    </row>
    <row r="295" spans="2:6" x14ac:dyDescent="0.15">
      <c r="B295" s="27" t="s">
        <v>8</v>
      </c>
      <c r="C295" s="39"/>
      <c r="D295" s="40">
        <v>1</v>
      </c>
      <c r="E295" s="11">
        <f t="shared" si="16"/>
        <v>1</v>
      </c>
      <c r="F295" s="18">
        <v>45808</v>
      </c>
    </row>
    <row r="296" spans="2:6" x14ac:dyDescent="0.15">
      <c r="B296" s="27" t="s">
        <v>8</v>
      </c>
      <c r="C296" s="39"/>
      <c r="D296" s="40">
        <v>1</v>
      </c>
      <c r="E296" s="11">
        <f t="shared" si="16"/>
        <v>1</v>
      </c>
      <c r="F296" s="18">
        <v>45813</v>
      </c>
    </row>
    <row r="297" spans="2:6" x14ac:dyDescent="0.15">
      <c r="B297" s="27" t="s">
        <v>8</v>
      </c>
      <c r="C297" s="39"/>
      <c r="D297" s="40">
        <v>1</v>
      </c>
      <c r="E297" s="11">
        <f t="shared" si="16"/>
        <v>1</v>
      </c>
      <c r="F297" s="18">
        <v>45814</v>
      </c>
    </row>
    <row r="298" spans="2:6" x14ac:dyDescent="0.15">
      <c r="B298" s="27" t="s">
        <v>8</v>
      </c>
      <c r="C298" s="39">
        <v>2</v>
      </c>
      <c r="D298" s="40"/>
      <c r="E298" s="11">
        <f t="shared" si="16"/>
        <v>2</v>
      </c>
      <c r="F298" s="18">
        <v>45818</v>
      </c>
    </row>
    <row r="299" spans="2:6" x14ac:dyDescent="0.15">
      <c r="B299" s="27" t="s">
        <v>8</v>
      </c>
      <c r="C299" s="39">
        <v>1</v>
      </c>
      <c r="D299" s="40"/>
      <c r="E299" s="11">
        <f t="shared" si="16"/>
        <v>1</v>
      </c>
      <c r="F299" s="18">
        <v>45819</v>
      </c>
    </row>
    <row r="300" spans="2:6" x14ac:dyDescent="0.15">
      <c r="B300" s="27" t="s">
        <v>8</v>
      </c>
      <c r="C300" s="39"/>
      <c r="D300" s="40">
        <v>2</v>
      </c>
      <c r="E300" s="11">
        <f t="shared" si="16"/>
        <v>2</v>
      </c>
      <c r="F300" s="18">
        <v>45820</v>
      </c>
    </row>
    <row r="301" spans="2:6" x14ac:dyDescent="0.15">
      <c r="B301" s="27" t="s">
        <v>8</v>
      </c>
      <c r="C301" s="39">
        <v>2</v>
      </c>
      <c r="D301" s="40">
        <v>2</v>
      </c>
      <c r="E301" s="11">
        <f>SUM(C301:D301)</f>
        <v>4</v>
      </c>
      <c r="F301" s="18">
        <v>45824</v>
      </c>
    </row>
    <row r="302" spans="2:6" x14ac:dyDescent="0.15">
      <c r="B302" s="27" t="s">
        <v>8</v>
      </c>
      <c r="C302" s="39">
        <v>1</v>
      </c>
      <c r="D302" s="40">
        <v>1</v>
      </c>
      <c r="E302" s="11">
        <f t="shared" ref="E302:E313" si="17">SUM(C302:D302)</f>
        <v>2</v>
      </c>
      <c r="F302" s="18">
        <v>45826</v>
      </c>
    </row>
    <row r="303" spans="2:6" x14ac:dyDescent="0.15">
      <c r="B303" s="27" t="s">
        <v>8</v>
      </c>
      <c r="C303" s="39"/>
      <c r="D303" s="40">
        <v>1</v>
      </c>
      <c r="E303" s="11">
        <f t="shared" si="17"/>
        <v>1</v>
      </c>
      <c r="F303" s="18">
        <v>45828</v>
      </c>
    </row>
    <row r="304" spans="2:6" x14ac:dyDescent="0.15">
      <c r="B304" s="27" t="s">
        <v>8</v>
      </c>
      <c r="C304" s="39"/>
      <c r="D304" s="40">
        <v>1</v>
      </c>
      <c r="E304" s="11">
        <f t="shared" si="17"/>
        <v>1</v>
      </c>
      <c r="F304" s="18">
        <v>45831</v>
      </c>
    </row>
    <row r="305" spans="1:6" x14ac:dyDescent="0.15">
      <c r="B305" s="27" t="s">
        <v>8</v>
      </c>
      <c r="C305" s="39"/>
      <c r="D305" s="40">
        <v>1</v>
      </c>
      <c r="E305" s="11">
        <f t="shared" si="17"/>
        <v>1</v>
      </c>
      <c r="F305" s="18">
        <v>45833</v>
      </c>
    </row>
    <row r="306" spans="1:6" x14ac:dyDescent="0.15">
      <c r="B306" s="27" t="s">
        <v>8</v>
      </c>
      <c r="C306" s="39">
        <v>4</v>
      </c>
      <c r="D306" s="40">
        <v>2</v>
      </c>
      <c r="E306" s="11">
        <f t="shared" si="17"/>
        <v>6</v>
      </c>
      <c r="F306" s="18">
        <v>45838</v>
      </c>
    </row>
    <row r="307" spans="1:6" x14ac:dyDescent="0.15">
      <c r="B307" s="27" t="s">
        <v>8</v>
      </c>
      <c r="C307" s="39"/>
      <c r="D307" s="40">
        <v>1</v>
      </c>
      <c r="E307" s="11">
        <f t="shared" si="17"/>
        <v>1</v>
      </c>
      <c r="F307" s="18">
        <v>45839</v>
      </c>
    </row>
    <row r="308" spans="1:6" x14ac:dyDescent="0.15">
      <c r="B308" s="27" t="s">
        <v>8</v>
      </c>
      <c r="C308" s="39">
        <v>1</v>
      </c>
      <c r="D308" s="40"/>
      <c r="E308" s="11">
        <f t="shared" si="17"/>
        <v>1</v>
      </c>
      <c r="F308" s="18">
        <v>45843</v>
      </c>
    </row>
    <row r="309" spans="1:6" x14ac:dyDescent="0.15">
      <c r="B309" s="27" t="s">
        <v>8</v>
      </c>
      <c r="C309" s="39">
        <v>1</v>
      </c>
      <c r="D309" s="40"/>
      <c r="E309" s="11">
        <f t="shared" si="17"/>
        <v>1</v>
      </c>
      <c r="F309" s="18">
        <v>45847</v>
      </c>
    </row>
    <row r="310" spans="1:6" x14ac:dyDescent="0.15">
      <c r="B310" s="27" t="s">
        <v>8</v>
      </c>
      <c r="C310" s="39"/>
      <c r="D310" s="40">
        <v>1</v>
      </c>
      <c r="E310" s="11">
        <f t="shared" si="17"/>
        <v>1</v>
      </c>
      <c r="F310" s="18">
        <v>45853</v>
      </c>
    </row>
    <row r="311" spans="1:6" ht="14.25" thickBot="1" x14ac:dyDescent="0.2">
      <c r="B311" s="27" t="s">
        <v>8</v>
      </c>
      <c r="C311" s="41">
        <v>1</v>
      </c>
      <c r="D311" s="42"/>
      <c r="E311" s="9">
        <f t="shared" si="17"/>
        <v>1</v>
      </c>
      <c r="F311" s="18">
        <v>45854</v>
      </c>
    </row>
    <row r="312" spans="1:6" ht="14.25" thickBot="1" x14ac:dyDescent="0.2">
      <c r="B312" s="28" t="s">
        <v>1</v>
      </c>
      <c r="C312" s="46">
        <f>SUM(C287:C311)</f>
        <v>14</v>
      </c>
      <c r="D312" s="34">
        <f>SUM(D287:D311)</f>
        <v>26</v>
      </c>
      <c r="E312" s="5">
        <f t="shared" si="17"/>
        <v>40</v>
      </c>
    </row>
    <row r="313" spans="1:6" ht="14.25" thickBot="1" x14ac:dyDescent="0.2">
      <c r="B313" s="26" t="s">
        <v>0</v>
      </c>
      <c r="C313" s="43">
        <f>+C286-C312</f>
        <v>19</v>
      </c>
      <c r="D313" s="32">
        <f>+D286-D312</f>
        <v>16</v>
      </c>
      <c r="E313" s="12">
        <f t="shared" si="17"/>
        <v>35</v>
      </c>
    </row>
    <row r="315" spans="1:6" ht="18.75" x14ac:dyDescent="0.2">
      <c r="B315" s="15" t="s">
        <v>7</v>
      </c>
      <c r="C315" s="14"/>
      <c r="D315" s="14"/>
    </row>
    <row r="316" spans="1:6" ht="14.25" thickBot="1" x14ac:dyDescent="0.2">
      <c r="E316">
        <v>451</v>
      </c>
    </row>
    <row r="317" spans="1:6" ht="14.25" thickBot="1" x14ac:dyDescent="0.2">
      <c r="B317" s="13"/>
      <c r="C317" s="23"/>
      <c r="D317" s="23"/>
      <c r="E317" s="24"/>
    </row>
    <row r="318" spans="1:6" ht="14.25" thickBot="1" x14ac:dyDescent="0.2">
      <c r="A318" s="1"/>
      <c r="B318" s="28"/>
      <c r="C318" s="35" t="s">
        <v>5</v>
      </c>
      <c r="D318" s="36" t="s">
        <v>6</v>
      </c>
      <c r="E318" s="7" t="s">
        <v>4</v>
      </c>
    </row>
    <row r="319" spans="1:6" x14ac:dyDescent="0.15">
      <c r="B319" s="29" t="s">
        <v>0</v>
      </c>
      <c r="C319" s="37">
        <f>C313</f>
        <v>19</v>
      </c>
      <c r="D319" s="38">
        <f>D313</f>
        <v>16</v>
      </c>
      <c r="E319" s="20">
        <f t="shared" ref="E319:E343" si="18">SUM(C319:D319)</f>
        <v>35</v>
      </c>
    </row>
    <row r="320" spans="1:6" x14ac:dyDescent="0.15">
      <c r="B320" s="25" t="s">
        <v>3</v>
      </c>
      <c r="C320" s="39"/>
      <c r="D320" s="40">
        <v>5</v>
      </c>
      <c r="E320" s="11">
        <f t="shared" si="18"/>
        <v>5</v>
      </c>
      <c r="F320" s="18">
        <v>45875</v>
      </c>
    </row>
    <row r="321" spans="2:6" x14ac:dyDescent="0.15">
      <c r="B321" s="25" t="s">
        <v>3</v>
      </c>
      <c r="C321" s="39">
        <v>3</v>
      </c>
      <c r="D321" s="40">
        <v>3</v>
      </c>
      <c r="E321" s="11">
        <f t="shared" si="18"/>
        <v>6</v>
      </c>
      <c r="F321" s="18">
        <v>45926</v>
      </c>
    </row>
    <row r="322" spans="2:6" x14ac:dyDescent="0.15">
      <c r="B322" s="25" t="s">
        <v>3</v>
      </c>
      <c r="C322" s="39">
        <v>2</v>
      </c>
      <c r="D322" s="40">
        <v>2</v>
      </c>
      <c r="E322" s="11">
        <f t="shared" si="18"/>
        <v>4</v>
      </c>
      <c r="F322" s="18">
        <v>46032</v>
      </c>
    </row>
    <row r="323" spans="2:6" x14ac:dyDescent="0.15">
      <c r="B323" s="25" t="s">
        <v>3</v>
      </c>
      <c r="C323" s="39"/>
      <c r="D323" s="40"/>
      <c r="E323" s="11">
        <f t="shared" si="18"/>
        <v>0</v>
      </c>
      <c r="F323" s="18"/>
    </row>
    <row r="324" spans="2:6" ht="14.25" thickBot="1" x14ac:dyDescent="0.2">
      <c r="B324" s="30" t="s">
        <v>3</v>
      </c>
      <c r="C324" s="41"/>
      <c r="D324" s="42"/>
      <c r="E324" s="9">
        <f t="shared" si="18"/>
        <v>0</v>
      </c>
      <c r="F324" s="18"/>
    </row>
    <row r="325" spans="2:6" ht="14.25" thickBot="1" x14ac:dyDescent="0.2">
      <c r="B325" s="26" t="s">
        <v>2</v>
      </c>
      <c r="C325" s="43">
        <f>SUM(C319:C324)</f>
        <v>24</v>
      </c>
      <c r="D325" s="32">
        <f>SUM(D319:D324)</f>
        <v>26</v>
      </c>
      <c r="E325" s="12">
        <f t="shared" si="18"/>
        <v>50</v>
      </c>
    </row>
    <row r="326" spans="2:6" x14ac:dyDescent="0.15">
      <c r="B326" s="27" t="s">
        <v>8</v>
      </c>
      <c r="C326" s="39">
        <v>2</v>
      </c>
      <c r="D326" s="40">
        <v>1</v>
      </c>
      <c r="E326" s="11">
        <f t="shared" si="18"/>
        <v>3</v>
      </c>
      <c r="F326" s="18">
        <v>45855</v>
      </c>
    </row>
    <row r="327" spans="2:6" x14ac:dyDescent="0.15">
      <c r="B327" s="27" t="s">
        <v>8</v>
      </c>
      <c r="C327" s="39">
        <f>2+1</f>
        <v>3</v>
      </c>
      <c r="D327" s="40">
        <v>2</v>
      </c>
      <c r="E327" s="11">
        <f t="shared" si="18"/>
        <v>5</v>
      </c>
      <c r="F327" s="18">
        <v>45860</v>
      </c>
    </row>
    <row r="328" spans="2:6" x14ac:dyDescent="0.15">
      <c r="B328" s="27" t="s">
        <v>8</v>
      </c>
      <c r="C328" s="39"/>
      <c r="D328" s="40">
        <v>2</v>
      </c>
      <c r="E328" s="11">
        <f t="shared" si="18"/>
        <v>2</v>
      </c>
      <c r="F328" s="18">
        <v>45862</v>
      </c>
    </row>
    <row r="329" spans="2:6" x14ac:dyDescent="0.15">
      <c r="B329" s="27" t="s">
        <v>8</v>
      </c>
      <c r="C329" s="39">
        <v>1</v>
      </c>
      <c r="D329" s="40">
        <v>1</v>
      </c>
      <c r="E329" s="11">
        <f t="shared" si="18"/>
        <v>2</v>
      </c>
      <c r="F329" s="18">
        <v>45866</v>
      </c>
    </row>
    <row r="330" spans="2:6" x14ac:dyDescent="0.15">
      <c r="B330" s="27" t="s">
        <v>8</v>
      </c>
      <c r="C330" s="39">
        <v>1</v>
      </c>
      <c r="D330" s="40"/>
      <c r="E330" s="11">
        <f t="shared" si="18"/>
        <v>1</v>
      </c>
      <c r="F330" s="18">
        <v>45868</v>
      </c>
    </row>
    <row r="331" spans="2:6" x14ac:dyDescent="0.15">
      <c r="B331" s="27" t="s">
        <v>8</v>
      </c>
      <c r="C331" s="39">
        <v>1</v>
      </c>
      <c r="D331" s="40">
        <v>2</v>
      </c>
      <c r="E331" s="11">
        <f t="shared" si="18"/>
        <v>3</v>
      </c>
      <c r="F331" s="18">
        <v>45873</v>
      </c>
    </row>
    <row r="332" spans="2:6" x14ac:dyDescent="0.15">
      <c r="B332" s="27" t="s">
        <v>8</v>
      </c>
      <c r="C332" s="39"/>
      <c r="D332" s="40">
        <f>1+1</f>
        <v>2</v>
      </c>
      <c r="E332" s="11">
        <f t="shared" si="18"/>
        <v>2</v>
      </c>
      <c r="F332" s="18">
        <v>45875</v>
      </c>
    </row>
    <row r="333" spans="2:6" x14ac:dyDescent="0.15">
      <c r="B333" s="27" t="s">
        <v>8</v>
      </c>
      <c r="C333" s="39">
        <v>1</v>
      </c>
      <c r="D333" s="40">
        <v>1</v>
      </c>
      <c r="E333" s="11">
        <f t="shared" si="18"/>
        <v>2</v>
      </c>
      <c r="F333" s="18">
        <v>45876</v>
      </c>
    </row>
    <row r="334" spans="2:6" x14ac:dyDescent="0.15">
      <c r="B334" s="27" t="s">
        <v>8</v>
      </c>
      <c r="C334" s="39"/>
      <c r="D334" s="40">
        <v>1</v>
      </c>
      <c r="E334" s="11">
        <f t="shared" si="18"/>
        <v>1</v>
      </c>
      <c r="F334" s="18">
        <v>45877</v>
      </c>
    </row>
    <row r="335" spans="2:6" x14ac:dyDescent="0.15">
      <c r="B335" s="27" t="s">
        <v>8</v>
      </c>
      <c r="C335" s="39">
        <v>1</v>
      </c>
      <c r="D335" s="40">
        <v>3</v>
      </c>
      <c r="E335" s="11">
        <f t="shared" si="18"/>
        <v>4</v>
      </c>
      <c r="F335" s="18">
        <v>45887</v>
      </c>
    </row>
    <row r="336" spans="2:6" x14ac:dyDescent="0.15">
      <c r="B336" s="27" t="s">
        <v>16</v>
      </c>
      <c r="C336" s="39">
        <v>1</v>
      </c>
      <c r="D336" s="40">
        <v>0</v>
      </c>
      <c r="E336" s="11">
        <f t="shared" si="18"/>
        <v>1</v>
      </c>
      <c r="F336" s="18">
        <v>45889</v>
      </c>
    </row>
    <row r="337" spans="2:6" x14ac:dyDescent="0.15">
      <c r="B337" s="27" t="s">
        <v>8</v>
      </c>
      <c r="C337" s="39">
        <v>1</v>
      </c>
      <c r="D337" s="40"/>
      <c r="E337" s="11">
        <f t="shared" si="18"/>
        <v>1</v>
      </c>
      <c r="F337" s="18">
        <v>45894</v>
      </c>
    </row>
    <row r="338" spans="2:6" x14ac:dyDescent="0.15">
      <c r="B338" s="27" t="s">
        <v>8</v>
      </c>
      <c r="C338" s="39">
        <v>1</v>
      </c>
      <c r="D338" s="40"/>
      <c r="E338" s="11">
        <f t="shared" si="18"/>
        <v>1</v>
      </c>
      <c r="F338" s="18">
        <v>45910</v>
      </c>
    </row>
    <row r="339" spans="2:6" x14ac:dyDescent="0.15">
      <c r="B339" s="27" t="s">
        <v>8</v>
      </c>
      <c r="C339" s="39">
        <v>1</v>
      </c>
      <c r="D339" s="40"/>
      <c r="E339" s="11">
        <f t="shared" si="18"/>
        <v>1</v>
      </c>
      <c r="F339" s="18">
        <v>45924</v>
      </c>
    </row>
    <row r="340" spans="2:6" x14ac:dyDescent="0.15">
      <c r="B340" s="27" t="s">
        <v>8</v>
      </c>
      <c r="C340" s="39"/>
      <c r="D340" s="40">
        <v>1</v>
      </c>
      <c r="E340" s="11">
        <f t="shared" si="18"/>
        <v>1</v>
      </c>
      <c r="F340" s="18">
        <v>45936</v>
      </c>
    </row>
    <row r="341" spans="2:6" x14ac:dyDescent="0.15">
      <c r="B341" s="27" t="s">
        <v>8</v>
      </c>
      <c r="C341" s="39">
        <v>1</v>
      </c>
      <c r="D341" s="40"/>
      <c r="E341" s="11">
        <f t="shared" si="18"/>
        <v>1</v>
      </c>
      <c r="F341" s="18">
        <v>45937</v>
      </c>
    </row>
    <row r="342" spans="2:6" x14ac:dyDescent="0.15">
      <c r="B342" s="27" t="s">
        <v>8</v>
      </c>
      <c r="C342" s="39">
        <v>1</v>
      </c>
      <c r="D342" s="40">
        <v>1</v>
      </c>
      <c r="E342" s="11">
        <f t="shared" si="18"/>
        <v>2</v>
      </c>
      <c r="F342" s="18">
        <v>45940</v>
      </c>
    </row>
    <row r="343" spans="2:6" x14ac:dyDescent="0.15">
      <c r="B343" s="27" t="s">
        <v>8</v>
      </c>
      <c r="C343" s="39"/>
      <c r="D343" s="40">
        <v>1</v>
      </c>
      <c r="E343" s="11">
        <f t="shared" si="18"/>
        <v>1</v>
      </c>
      <c r="F343" s="18">
        <v>45950</v>
      </c>
    </row>
    <row r="344" spans="2:6" x14ac:dyDescent="0.15">
      <c r="B344" s="27" t="s">
        <v>8</v>
      </c>
      <c r="C344" s="39"/>
      <c r="D344" s="40">
        <v>1</v>
      </c>
      <c r="E344" s="11">
        <f t="shared" ref="E344:E352" si="19">SUM(C344:D344)</f>
        <v>1</v>
      </c>
      <c r="F344" s="18">
        <v>45954</v>
      </c>
    </row>
    <row r="345" spans="2:6" x14ac:dyDescent="0.15">
      <c r="B345" s="27" t="s">
        <v>8</v>
      </c>
      <c r="C345" s="39"/>
      <c r="D345" s="40">
        <v>1</v>
      </c>
      <c r="E345" s="11">
        <f t="shared" si="19"/>
        <v>1</v>
      </c>
      <c r="F345" s="18">
        <v>45957</v>
      </c>
    </row>
    <row r="346" spans="2:6" x14ac:dyDescent="0.15">
      <c r="B346" s="27" t="s">
        <v>8</v>
      </c>
      <c r="C346" s="39">
        <v>1</v>
      </c>
      <c r="D346" s="40"/>
      <c r="E346" s="11">
        <f t="shared" si="19"/>
        <v>1</v>
      </c>
      <c r="F346" s="18">
        <v>45966</v>
      </c>
    </row>
    <row r="347" spans="2:6" x14ac:dyDescent="0.15">
      <c r="B347" s="27" t="s">
        <v>8</v>
      </c>
      <c r="C347" s="39">
        <v>1</v>
      </c>
      <c r="D347" s="40"/>
      <c r="E347" s="11">
        <f t="shared" si="19"/>
        <v>1</v>
      </c>
      <c r="F347" s="18">
        <v>45993</v>
      </c>
    </row>
    <row r="348" spans="2:6" x14ac:dyDescent="0.15">
      <c r="B348" s="27" t="s">
        <v>8</v>
      </c>
      <c r="C348" s="39">
        <v>1</v>
      </c>
      <c r="D348" s="40"/>
      <c r="E348" s="11">
        <f t="shared" si="19"/>
        <v>1</v>
      </c>
      <c r="F348" s="18">
        <v>46001</v>
      </c>
    </row>
    <row r="349" spans="2:6" x14ac:dyDescent="0.15">
      <c r="B349" s="27" t="s">
        <v>8</v>
      </c>
      <c r="C349" s="39"/>
      <c r="D349" s="40">
        <v>1</v>
      </c>
      <c r="E349" s="11">
        <f t="shared" si="19"/>
        <v>1</v>
      </c>
      <c r="F349" s="18">
        <v>46013</v>
      </c>
    </row>
    <row r="350" spans="2:6" ht="14.25" thickBot="1" x14ac:dyDescent="0.2">
      <c r="B350" s="27" t="s">
        <v>8</v>
      </c>
      <c r="C350" s="41">
        <v>1</v>
      </c>
      <c r="D350" s="42"/>
      <c r="E350" s="9">
        <f t="shared" si="19"/>
        <v>1</v>
      </c>
      <c r="F350" s="18">
        <v>46027</v>
      </c>
    </row>
    <row r="351" spans="2:6" ht="14.25" thickBot="1" x14ac:dyDescent="0.2">
      <c r="B351" s="28" t="s">
        <v>1</v>
      </c>
      <c r="C351" s="46">
        <f>SUM(C326:C350)</f>
        <v>20</v>
      </c>
      <c r="D351" s="34">
        <f>SUM(D326:D350)</f>
        <v>21</v>
      </c>
      <c r="E351" s="5">
        <f t="shared" si="19"/>
        <v>41</v>
      </c>
    </row>
    <row r="352" spans="2:6" ht="14.25" thickBot="1" x14ac:dyDescent="0.2">
      <c r="B352" s="26" t="s">
        <v>0</v>
      </c>
      <c r="C352" s="43">
        <f>+C325-C351</f>
        <v>4</v>
      </c>
      <c r="D352" s="32">
        <f>+D325-D351</f>
        <v>5</v>
      </c>
      <c r="E352" s="12">
        <f t="shared" si="19"/>
        <v>9</v>
      </c>
    </row>
    <row r="354" spans="1:6" ht="18.75" x14ac:dyDescent="0.2">
      <c r="B354" s="15" t="s">
        <v>7</v>
      </c>
      <c r="C354" s="14"/>
      <c r="D354" s="14"/>
    </row>
    <row r="355" spans="1:6" ht="14.25" thickBot="1" x14ac:dyDescent="0.2">
      <c r="E355">
        <v>451</v>
      </c>
    </row>
    <row r="356" spans="1:6" ht="14.25" thickBot="1" x14ac:dyDescent="0.2">
      <c r="B356" s="13"/>
      <c r="C356" s="23"/>
      <c r="D356" s="23"/>
      <c r="E356" s="24"/>
    </row>
    <row r="357" spans="1:6" ht="14.25" thickBot="1" x14ac:dyDescent="0.2">
      <c r="A357" s="1"/>
      <c r="B357" s="28"/>
      <c r="C357" s="35" t="s">
        <v>5</v>
      </c>
      <c r="D357" s="36" t="s">
        <v>6</v>
      </c>
      <c r="E357" s="7" t="s">
        <v>4</v>
      </c>
    </row>
    <row r="358" spans="1:6" x14ac:dyDescent="0.15">
      <c r="B358" s="29" t="s">
        <v>0</v>
      </c>
      <c r="C358" s="37">
        <f>C352</f>
        <v>4</v>
      </c>
      <c r="D358" s="38">
        <f>D352</f>
        <v>5</v>
      </c>
      <c r="E358" s="20">
        <f t="shared" ref="E358:E391" si="20">SUM(C358:D358)</f>
        <v>9</v>
      </c>
    </row>
    <row r="359" spans="1:6" x14ac:dyDescent="0.15">
      <c r="B359" s="25" t="s">
        <v>3</v>
      </c>
      <c r="C359" s="39">
        <v>5</v>
      </c>
      <c r="D359" s="40">
        <v>5</v>
      </c>
      <c r="E359" s="11">
        <f t="shared" si="20"/>
        <v>10</v>
      </c>
      <c r="F359" s="18">
        <v>46086</v>
      </c>
    </row>
    <row r="360" spans="1:6" x14ac:dyDescent="0.15">
      <c r="B360" s="25" t="s">
        <v>3</v>
      </c>
      <c r="C360" s="39">
        <v>10</v>
      </c>
      <c r="D360" s="40">
        <v>10</v>
      </c>
      <c r="E360" s="11">
        <f t="shared" si="20"/>
        <v>20</v>
      </c>
      <c r="F360" s="18">
        <v>46105</v>
      </c>
    </row>
    <row r="361" spans="1:6" x14ac:dyDescent="0.15">
      <c r="B361" s="55" t="s">
        <v>3</v>
      </c>
      <c r="C361" s="56">
        <v>10</v>
      </c>
      <c r="D361" s="57">
        <v>10</v>
      </c>
      <c r="E361" s="58">
        <f t="shared" si="20"/>
        <v>20</v>
      </c>
      <c r="F361" s="59">
        <v>46191</v>
      </c>
    </row>
    <row r="362" spans="1:6" x14ac:dyDescent="0.15">
      <c r="B362" s="25" t="s">
        <v>3</v>
      </c>
      <c r="C362" s="39"/>
      <c r="D362" s="40"/>
      <c r="E362" s="11">
        <f t="shared" si="20"/>
        <v>0</v>
      </c>
    </row>
    <row r="363" spans="1:6" ht="14.25" thickBot="1" x14ac:dyDescent="0.2">
      <c r="B363" s="30" t="s">
        <v>3</v>
      </c>
      <c r="C363" s="41"/>
      <c r="D363" s="42"/>
      <c r="E363" s="9">
        <f t="shared" si="20"/>
        <v>0</v>
      </c>
    </row>
    <row r="364" spans="1:6" ht="14.25" thickBot="1" x14ac:dyDescent="0.2">
      <c r="B364" s="26" t="s">
        <v>2</v>
      </c>
      <c r="C364" s="43">
        <f>SUM(C358:C363)</f>
        <v>29</v>
      </c>
      <c r="D364" s="32">
        <f>SUM(D358:D363)</f>
        <v>30</v>
      </c>
      <c r="E364" s="12">
        <f t="shared" si="20"/>
        <v>59</v>
      </c>
    </row>
    <row r="365" spans="1:6" x14ac:dyDescent="0.15">
      <c r="B365" s="27" t="s">
        <v>8</v>
      </c>
      <c r="C365" s="39">
        <v>1</v>
      </c>
      <c r="D365" s="40">
        <v>2</v>
      </c>
      <c r="E365" s="11">
        <f t="shared" si="20"/>
        <v>3</v>
      </c>
      <c r="F365" s="18">
        <v>46053</v>
      </c>
    </row>
    <row r="366" spans="1:6" x14ac:dyDescent="0.15">
      <c r="B366" s="27" t="s">
        <v>8</v>
      </c>
      <c r="C366" s="39">
        <v>1</v>
      </c>
      <c r="D366" s="40"/>
      <c r="E366" s="11">
        <f t="shared" si="20"/>
        <v>1</v>
      </c>
      <c r="F366" s="18">
        <v>46057</v>
      </c>
    </row>
    <row r="367" spans="1:6" x14ac:dyDescent="0.15">
      <c r="B367" s="27" t="s">
        <v>8</v>
      </c>
      <c r="C367" s="39">
        <v>1</v>
      </c>
      <c r="D367" s="40"/>
      <c r="E367" s="11">
        <f t="shared" si="20"/>
        <v>1</v>
      </c>
      <c r="F367" s="18">
        <v>46065</v>
      </c>
    </row>
    <row r="368" spans="1:6" x14ac:dyDescent="0.15">
      <c r="B368" s="27" t="s">
        <v>8</v>
      </c>
      <c r="C368" s="39"/>
      <c r="D368" s="40">
        <v>2</v>
      </c>
      <c r="E368" s="11">
        <f t="shared" si="20"/>
        <v>2</v>
      </c>
      <c r="F368" s="18">
        <v>46077</v>
      </c>
    </row>
    <row r="369" spans="2:6" x14ac:dyDescent="0.15">
      <c r="B369" s="27" t="s">
        <v>17</v>
      </c>
      <c r="C369" s="39">
        <v>0</v>
      </c>
      <c r="D369" s="40">
        <v>0</v>
      </c>
      <c r="E369" s="11">
        <f t="shared" si="20"/>
        <v>0</v>
      </c>
      <c r="F369" s="18">
        <v>46078</v>
      </c>
    </row>
    <row r="370" spans="2:6" x14ac:dyDescent="0.15">
      <c r="B370" s="27" t="s">
        <v>8</v>
      </c>
      <c r="C370" s="39"/>
      <c r="D370" s="40">
        <v>1</v>
      </c>
      <c r="E370" s="11">
        <f t="shared" si="20"/>
        <v>1</v>
      </c>
      <c r="F370" s="18">
        <v>46079</v>
      </c>
    </row>
    <row r="371" spans="2:6" x14ac:dyDescent="0.15">
      <c r="B371" s="27" t="s">
        <v>8</v>
      </c>
      <c r="C371" s="39">
        <v>1</v>
      </c>
      <c r="D371" s="40"/>
      <c r="E371" s="11">
        <f t="shared" si="20"/>
        <v>1</v>
      </c>
      <c r="F371" s="18">
        <v>46080</v>
      </c>
    </row>
    <row r="372" spans="2:6" x14ac:dyDescent="0.15">
      <c r="B372" s="27" t="s">
        <v>8</v>
      </c>
      <c r="C372" s="39">
        <v>1</v>
      </c>
      <c r="D372" s="40"/>
      <c r="E372" s="11">
        <f t="shared" si="20"/>
        <v>1</v>
      </c>
      <c r="F372" s="18">
        <v>46085</v>
      </c>
    </row>
    <row r="373" spans="2:6" x14ac:dyDescent="0.15">
      <c r="B373" s="27" t="s">
        <v>8</v>
      </c>
      <c r="C373" s="39"/>
      <c r="D373" s="40">
        <v>1</v>
      </c>
      <c r="E373" s="11">
        <f t="shared" si="20"/>
        <v>1</v>
      </c>
      <c r="F373" s="18">
        <v>46086</v>
      </c>
    </row>
    <row r="374" spans="2:6" x14ac:dyDescent="0.15">
      <c r="B374" s="27" t="s">
        <v>8</v>
      </c>
      <c r="C374" s="39"/>
      <c r="D374" s="40">
        <v>1</v>
      </c>
      <c r="E374" s="11">
        <f t="shared" si="20"/>
        <v>1</v>
      </c>
      <c r="F374" s="18">
        <v>46087</v>
      </c>
    </row>
    <row r="375" spans="2:6" x14ac:dyDescent="0.15">
      <c r="B375" s="27" t="s">
        <v>8</v>
      </c>
      <c r="C375" s="39"/>
      <c r="D375" s="40">
        <v>1</v>
      </c>
      <c r="E375" s="11">
        <f t="shared" si="20"/>
        <v>1</v>
      </c>
      <c r="F375" s="18">
        <v>46094</v>
      </c>
    </row>
    <row r="376" spans="2:6" x14ac:dyDescent="0.15">
      <c r="B376" s="27" t="s">
        <v>8</v>
      </c>
      <c r="C376" s="39">
        <v>2</v>
      </c>
      <c r="D376" s="40">
        <v>2</v>
      </c>
      <c r="E376" s="11">
        <f t="shared" si="20"/>
        <v>4</v>
      </c>
      <c r="F376" s="18">
        <v>46097</v>
      </c>
    </row>
    <row r="377" spans="2:6" x14ac:dyDescent="0.15">
      <c r="B377" s="27" t="s">
        <v>8</v>
      </c>
      <c r="C377" s="39">
        <v>2</v>
      </c>
      <c r="D377" s="40"/>
      <c r="E377" s="11">
        <f t="shared" si="20"/>
        <v>2</v>
      </c>
      <c r="F377" s="18">
        <v>46118</v>
      </c>
    </row>
    <row r="378" spans="2:6" x14ac:dyDescent="0.15">
      <c r="B378" s="27" t="s">
        <v>8</v>
      </c>
      <c r="C378" s="39">
        <v>1</v>
      </c>
      <c r="D378" s="40"/>
      <c r="E378" s="11">
        <f t="shared" si="20"/>
        <v>1</v>
      </c>
      <c r="F378" s="18">
        <v>46142</v>
      </c>
    </row>
    <row r="379" spans="2:6" x14ac:dyDescent="0.15">
      <c r="B379" s="27" t="s">
        <v>8</v>
      </c>
      <c r="C379" s="39"/>
      <c r="D379" s="40">
        <v>2</v>
      </c>
      <c r="E379" s="11">
        <f t="shared" si="20"/>
        <v>2</v>
      </c>
      <c r="F379" s="18">
        <v>46149</v>
      </c>
    </row>
    <row r="380" spans="2:6" x14ac:dyDescent="0.15">
      <c r="B380" s="27" t="s">
        <v>8</v>
      </c>
      <c r="C380" s="39"/>
      <c r="D380" s="40">
        <v>2</v>
      </c>
      <c r="E380" s="11">
        <f t="shared" si="20"/>
        <v>2</v>
      </c>
      <c r="F380" s="18">
        <v>46150</v>
      </c>
    </row>
    <row r="381" spans="2:6" x14ac:dyDescent="0.15">
      <c r="B381" s="27" t="s">
        <v>8</v>
      </c>
      <c r="C381" s="39"/>
      <c r="D381" s="40">
        <v>1</v>
      </c>
      <c r="E381" s="11">
        <f t="shared" si="20"/>
        <v>1</v>
      </c>
      <c r="F381" s="18">
        <v>46157</v>
      </c>
    </row>
    <row r="382" spans="2:6" x14ac:dyDescent="0.15">
      <c r="B382" s="27" t="s">
        <v>8</v>
      </c>
      <c r="C382" s="39">
        <v>1</v>
      </c>
      <c r="D382" s="40"/>
      <c r="E382" s="11">
        <f t="shared" si="20"/>
        <v>1</v>
      </c>
      <c r="F382" s="18">
        <v>46160</v>
      </c>
    </row>
    <row r="383" spans="2:6" x14ac:dyDescent="0.15">
      <c r="B383" s="27" t="s">
        <v>8</v>
      </c>
      <c r="C383" s="39">
        <v>1</v>
      </c>
      <c r="D383" s="40">
        <v>1</v>
      </c>
      <c r="E383" s="11">
        <f t="shared" si="20"/>
        <v>2</v>
      </c>
      <c r="F383" s="18">
        <v>46164</v>
      </c>
    </row>
    <row r="384" spans="2:6" x14ac:dyDescent="0.15">
      <c r="B384" s="27" t="s">
        <v>8</v>
      </c>
      <c r="C384" s="39"/>
      <c r="D384" s="40">
        <v>2</v>
      </c>
      <c r="E384" s="11">
        <f t="shared" si="20"/>
        <v>2</v>
      </c>
      <c r="F384" s="18">
        <v>46167</v>
      </c>
    </row>
    <row r="385" spans="1:6" x14ac:dyDescent="0.15">
      <c r="B385" s="27" t="s">
        <v>8</v>
      </c>
      <c r="C385" s="39">
        <v>2</v>
      </c>
      <c r="D385" s="40">
        <v>2</v>
      </c>
      <c r="E385" s="11">
        <f t="shared" si="20"/>
        <v>4</v>
      </c>
      <c r="F385" s="18">
        <v>46174</v>
      </c>
    </row>
    <row r="386" spans="1:6" x14ac:dyDescent="0.15">
      <c r="B386" s="27" t="s">
        <v>8</v>
      </c>
      <c r="C386" s="39">
        <v>2</v>
      </c>
      <c r="D386" s="40"/>
      <c r="E386" s="11">
        <f t="shared" si="20"/>
        <v>2</v>
      </c>
      <c r="F386" s="18">
        <v>46178</v>
      </c>
    </row>
    <row r="387" spans="1:6" x14ac:dyDescent="0.15">
      <c r="B387" s="27" t="s">
        <v>8</v>
      </c>
      <c r="C387" s="39">
        <v>3</v>
      </c>
      <c r="D387" s="40"/>
      <c r="E387" s="11">
        <f t="shared" si="20"/>
        <v>3</v>
      </c>
      <c r="F387" s="18">
        <v>46181</v>
      </c>
    </row>
    <row r="388" spans="1:6" x14ac:dyDescent="0.15">
      <c r="B388" s="27"/>
      <c r="C388" s="39"/>
      <c r="D388" s="40"/>
      <c r="E388" s="11">
        <f t="shared" si="20"/>
        <v>0</v>
      </c>
    </row>
    <row r="389" spans="1:6" ht="14.25" thickBot="1" x14ac:dyDescent="0.2">
      <c r="B389" s="27"/>
      <c r="C389" s="41"/>
      <c r="D389" s="42"/>
      <c r="E389" s="9">
        <f t="shared" si="20"/>
        <v>0</v>
      </c>
    </row>
    <row r="390" spans="1:6" ht="14.25" thickBot="1" x14ac:dyDescent="0.2">
      <c r="B390" s="28" t="s">
        <v>1</v>
      </c>
      <c r="C390" s="46">
        <f>SUM(C365:C389)</f>
        <v>19</v>
      </c>
      <c r="D390" s="34">
        <f>SUM(D365:D389)</f>
        <v>20</v>
      </c>
      <c r="E390" s="5">
        <f t="shared" si="20"/>
        <v>39</v>
      </c>
    </row>
    <row r="391" spans="1:6" ht="14.25" thickBot="1" x14ac:dyDescent="0.2">
      <c r="B391" s="26" t="s">
        <v>0</v>
      </c>
      <c r="C391" s="43">
        <f>+C364-C390</f>
        <v>10</v>
      </c>
      <c r="D391" s="32">
        <f>+D364-D390</f>
        <v>10</v>
      </c>
      <c r="E391" s="12">
        <f t="shared" si="20"/>
        <v>20</v>
      </c>
    </row>
    <row r="393" spans="1:6" ht="18.75" x14ac:dyDescent="0.2">
      <c r="B393" s="15" t="s">
        <v>7</v>
      </c>
      <c r="C393" s="14"/>
      <c r="D393" s="14"/>
    </row>
    <row r="394" spans="1:6" ht="14.25" thickBot="1" x14ac:dyDescent="0.2">
      <c r="E394">
        <v>451</v>
      </c>
    </row>
    <row r="395" spans="1:6" ht="14.25" thickBot="1" x14ac:dyDescent="0.2">
      <c r="B395" s="13"/>
      <c r="C395" s="23"/>
      <c r="D395" s="23"/>
      <c r="E395" s="24"/>
    </row>
    <row r="396" spans="1:6" ht="14.25" thickBot="1" x14ac:dyDescent="0.2">
      <c r="A396" s="1"/>
      <c r="B396" s="28"/>
      <c r="C396" s="35" t="s">
        <v>5</v>
      </c>
      <c r="D396" s="36" t="s">
        <v>6</v>
      </c>
      <c r="E396" s="7" t="s">
        <v>4</v>
      </c>
    </row>
    <row r="397" spans="1:6" x14ac:dyDescent="0.15">
      <c r="B397" s="29" t="s">
        <v>0</v>
      </c>
      <c r="C397" s="37">
        <f>C391</f>
        <v>10</v>
      </c>
      <c r="D397" s="38">
        <f>D391</f>
        <v>10</v>
      </c>
      <c r="E397" s="20">
        <f t="shared" ref="E397:E430" si="21">SUM(C397:D397)</f>
        <v>20</v>
      </c>
    </row>
    <row r="398" spans="1:6" x14ac:dyDescent="0.15">
      <c r="B398" s="25" t="s">
        <v>3</v>
      </c>
      <c r="C398" s="39"/>
      <c r="D398" s="40"/>
      <c r="E398" s="11">
        <f t="shared" ref="E398:E400" si="22">SUM(C398:D398)</f>
        <v>0</v>
      </c>
    </row>
    <row r="399" spans="1:6" x14ac:dyDescent="0.15">
      <c r="B399" s="25" t="s">
        <v>3</v>
      </c>
      <c r="C399" s="39"/>
      <c r="D399" s="40"/>
      <c r="E399" s="11">
        <f t="shared" si="22"/>
        <v>0</v>
      </c>
    </row>
    <row r="400" spans="1:6" x14ac:dyDescent="0.15">
      <c r="B400" s="25" t="s">
        <v>3</v>
      </c>
      <c r="C400" s="39"/>
      <c r="D400" s="40"/>
      <c r="E400" s="11">
        <f t="shared" si="22"/>
        <v>0</v>
      </c>
    </row>
    <row r="401" spans="2:5" x14ac:dyDescent="0.15">
      <c r="B401" s="25" t="s">
        <v>3</v>
      </c>
      <c r="C401" s="39"/>
      <c r="D401" s="40"/>
      <c r="E401" s="11">
        <f t="shared" si="21"/>
        <v>0</v>
      </c>
    </row>
    <row r="402" spans="2:5" ht="14.25" thickBot="1" x14ac:dyDescent="0.2">
      <c r="B402" s="30" t="s">
        <v>3</v>
      </c>
      <c r="C402" s="41"/>
      <c r="D402" s="42"/>
      <c r="E402" s="9">
        <f t="shared" si="21"/>
        <v>0</v>
      </c>
    </row>
    <row r="403" spans="2:5" ht="14.25" thickBot="1" x14ac:dyDescent="0.2">
      <c r="B403" s="26" t="s">
        <v>2</v>
      </c>
      <c r="C403" s="43">
        <f>SUM(C397:C402)</f>
        <v>10</v>
      </c>
      <c r="D403" s="32">
        <f>SUM(D397:D402)</f>
        <v>10</v>
      </c>
      <c r="E403" s="12">
        <f t="shared" si="21"/>
        <v>20</v>
      </c>
    </row>
    <row r="404" spans="2:5" x14ac:dyDescent="0.15">
      <c r="B404" s="27"/>
      <c r="C404" s="39"/>
      <c r="D404" s="40"/>
      <c r="E404" s="11">
        <f t="shared" ref="E404:E426" si="23">SUM(C404:D404)</f>
        <v>0</v>
      </c>
    </row>
    <row r="405" spans="2:5" x14ac:dyDescent="0.15">
      <c r="B405" s="27"/>
      <c r="C405" s="39"/>
      <c r="D405" s="40"/>
      <c r="E405" s="11">
        <f t="shared" si="23"/>
        <v>0</v>
      </c>
    </row>
    <row r="406" spans="2:5" x14ac:dyDescent="0.15">
      <c r="B406" s="27"/>
      <c r="C406" s="39"/>
      <c r="D406" s="40"/>
      <c r="E406" s="11">
        <f t="shared" si="23"/>
        <v>0</v>
      </c>
    </row>
    <row r="407" spans="2:5" x14ac:dyDescent="0.15">
      <c r="B407" s="27"/>
      <c r="C407" s="39"/>
      <c r="D407" s="40"/>
      <c r="E407" s="11">
        <f t="shared" si="23"/>
        <v>0</v>
      </c>
    </row>
    <row r="408" spans="2:5" x14ac:dyDescent="0.15">
      <c r="B408" s="27"/>
      <c r="C408" s="39"/>
      <c r="D408" s="40"/>
      <c r="E408" s="11">
        <f t="shared" si="23"/>
        <v>0</v>
      </c>
    </row>
    <row r="409" spans="2:5" x14ac:dyDescent="0.15">
      <c r="B409" s="27"/>
      <c r="C409" s="39"/>
      <c r="D409" s="40"/>
      <c r="E409" s="11">
        <f t="shared" si="23"/>
        <v>0</v>
      </c>
    </row>
    <row r="410" spans="2:5" x14ac:dyDescent="0.15">
      <c r="B410" s="27"/>
      <c r="C410" s="39"/>
      <c r="D410" s="40"/>
      <c r="E410" s="11">
        <f t="shared" si="23"/>
        <v>0</v>
      </c>
    </row>
    <row r="411" spans="2:5" x14ac:dyDescent="0.15">
      <c r="B411" s="27"/>
      <c r="C411" s="39"/>
      <c r="D411" s="40"/>
      <c r="E411" s="11">
        <f t="shared" si="23"/>
        <v>0</v>
      </c>
    </row>
    <row r="412" spans="2:5" x14ac:dyDescent="0.15">
      <c r="B412" s="27"/>
      <c r="C412" s="39"/>
      <c r="D412" s="40"/>
      <c r="E412" s="11">
        <f t="shared" si="23"/>
        <v>0</v>
      </c>
    </row>
    <row r="413" spans="2:5" x14ac:dyDescent="0.15">
      <c r="B413" s="27"/>
      <c r="C413" s="39"/>
      <c r="D413" s="40"/>
      <c r="E413" s="11">
        <f t="shared" si="23"/>
        <v>0</v>
      </c>
    </row>
    <row r="414" spans="2:5" x14ac:dyDescent="0.15">
      <c r="B414" s="27"/>
      <c r="C414" s="39"/>
      <c r="D414" s="40"/>
      <c r="E414" s="11">
        <f t="shared" si="23"/>
        <v>0</v>
      </c>
    </row>
    <row r="415" spans="2:5" x14ac:dyDescent="0.15">
      <c r="B415" s="27"/>
      <c r="C415" s="39"/>
      <c r="D415" s="40"/>
      <c r="E415" s="11">
        <f t="shared" si="23"/>
        <v>0</v>
      </c>
    </row>
    <row r="416" spans="2:5" x14ac:dyDescent="0.15">
      <c r="B416" s="27"/>
      <c r="C416" s="39"/>
      <c r="D416" s="40"/>
      <c r="E416" s="11">
        <f t="shared" si="23"/>
        <v>0</v>
      </c>
    </row>
    <row r="417" spans="2:5" x14ac:dyDescent="0.15">
      <c r="B417" s="27"/>
      <c r="C417" s="39"/>
      <c r="D417" s="40"/>
      <c r="E417" s="11">
        <f t="shared" si="23"/>
        <v>0</v>
      </c>
    </row>
    <row r="418" spans="2:5" x14ac:dyDescent="0.15">
      <c r="B418" s="27"/>
      <c r="C418" s="39"/>
      <c r="D418" s="40"/>
      <c r="E418" s="11">
        <f t="shared" si="23"/>
        <v>0</v>
      </c>
    </row>
    <row r="419" spans="2:5" x14ac:dyDescent="0.15">
      <c r="B419" s="27"/>
      <c r="C419" s="39"/>
      <c r="D419" s="40"/>
      <c r="E419" s="11">
        <f t="shared" si="23"/>
        <v>0</v>
      </c>
    </row>
    <row r="420" spans="2:5" x14ac:dyDescent="0.15">
      <c r="B420" s="27"/>
      <c r="C420" s="39"/>
      <c r="D420" s="40"/>
      <c r="E420" s="11">
        <f t="shared" si="23"/>
        <v>0</v>
      </c>
    </row>
    <row r="421" spans="2:5" x14ac:dyDescent="0.15">
      <c r="B421" s="27"/>
      <c r="C421" s="39"/>
      <c r="D421" s="40"/>
      <c r="E421" s="11">
        <f t="shared" si="23"/>
        <v>0</v>
      </c>
    </row>
    <row r="422" spans="2:5" x14ac:dyDescent="0.15">
      <c r="B422" s="27"/>
      <c r="C422" s="39"/>
      <c r="D422" s="40"/>
      <c r="E422" s="11">
        <f t="shared" si="23"/>
        <v>0</v>
      </c>
    </row>
    <row r="423" spans="2:5" x14ac:dyDescent="0.15">
      <c r="B423" s="27"/>
      <c r="C423" s="39"/>
      <c r="D423" s="40"/>
      <c r="E423" s="11">
        <f t="shared" si="23"/>
        <v>0</v>
      </c>
    </row>
    <row r="424" spans="2:5" x14ac:dyDescent="0.15">
      <c r="B424" s="27"/>
      <c r="C424" s="39"/>
      <c r="D424" s="40"/>
      <c r="E424" s="11">
        <f t="shared" si="23"/>
        <v>0</v>
      </c>
    </row>
    <row r="425" spans="2:5" x14ac:dyDescent="0.15">
      <c r="B425" s="27"/>
      <c r="C425" s="39"/>
      <c r="D425" s="40"/>
      <c r="E425" s="11">
        <f t="shared" si="23"/>
        <v>0</v>
      </c>
    </row>
    <row r="426" spans="2:5" x14ac:dyDescent="0.15">
      <c r="B426" s="27"/>
      <c r="C426" s="39"/>
      <c r="D426" s="40"/>
      <c r="E426" s="11">
        <f t="shared" si="23"/>
        <v>0</v>
      </c>
    </row>
    <row r="427" spans="2:5" x14ac:dyDescent="0.15">
      <c r="B427" s="27"/>
      <c r="C427" s="39"/>
      <c r="D427" s="40"/>
      <c r="E427" s="11">
        <f t="shared" si="21"/>
        <v>0</v>
      </c>
    </row>
    <row r="428" spans="2:5" ht="14.25" thickBot="1" x14ac:dyDescent="0.2">
      <c r="B428" s="27"/>
      <c r="C428" s="41"/>
      <c r="D428" s="42"/>
      <c r="E428" s="9">
        <f t="shared" si="21"/>
        <v>0</v>
      </c>
    </row>
    <row r="429" spans="2:5" ht="14.25" thickBot="1" x14ac:dyDescent="0.2">
      <c r="B429" s="28" t="s">
        <v>1</v>
      </c>
      <c r="C429" s="46">
        <f>SUM(C404:C428)</f>
        <v>0</v>
      </c>
      <c r="D429" s="34">
        <f>SUM(D404:D428)</f>
        <v>0</v>
      </c>
      <c r="E429" s="5">
        <f t="shared" si="21"/>
        <v>0</v>
      </c>
    </row>
    <row r="430" spans="2:5" ht="14.25" thickBot="1" x14ac:dyDescent="0.2">
      <c r="B430" s="26" t="s">
        <v>0</v>
      </c>
      <c r="C430" s="43">
        <f>+C403-C429</f>
        <v>10</v>
      </c>
      <c r="D430" s="32">
        <f>+D403-D429</f>
        <v>10</v>
      </c>
      <c r="E430" s="12">
        <f t="shared" si="21"/>
        <v>20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ふくらはぎｻﾎﾟｰﾀｰ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dcterms:created xsi:type="dcterms:W3CDTF">2021-12-21T06:42:05Z</dcterms:created>
  <dcterms:modified xsi:type="dcterms:W3CDTF">2026-06-18T09:15:19Z</dcterms:modified>
</cp:coreProperties>
</file>