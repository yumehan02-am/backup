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3DB0562B-CC8D-4595-B378-760F279C97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タイツ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5" i="4" l="1"/>
  <c r="C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8" i="4"/>
  <c r="E197" i="4"/>
  <c r="E196" i="4"/>
  <c r="E195" i="4"/>
  <c r="E194" i="4"/>
  <c r="D193" i="4"/>
  <c r="D199" i="4" s="1"/>
  <c r="D187" i="4"/>
  <c r="E186" i="4"/>
  <c r="E185" i="4"/>
  <c r="E184" i="4"/>
  <c r="E183" i="4"/>
  <c r="E182" i="4"/>
  <c r="E181" i="4"/>
  <c r="E180" i="4"/>
  <c r="E179" i="4"/>
  <c r="E178" i="4"/>
  <c r="E177" i="4"/>
  <c r="E176" i="4"/>
  <c r="C187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0" i="4"/>
  <c r="E159" i="4"/>
  <c r="E158" i="4"/>
  <c r="E157" i="4"/>
  <c r="E156" i="4"/>
  <c r="C137" i="4"/>
  <c r="E137" i="4" s="1"/>
  <c r="E134" i="4"/>
  <c r="D149" i="4"/>
  <c r="E148" i="4"/>
  <c r="E147" i="4"/>
  <c r="E146" i="4"/>
  <c r="E145" i="4"/>
  <c r="E144" i="4"/>
  <c r="E143" i="4"/>
  <c r="E142" i="4"/>
  <c r="E141" i="4"/>
  <c r="E140" i="4"/>
  <c r="E139" i="4"/>
  <c r="E138" i="4"/>
  <c r="E136" i="4"/>
  <c r="E135" i="4"/>
  <c r="E133" i="4"/>
  <c r="E132" i="4"/>
  <c r="E131" i="4"/>
  <c r="E130" i="4"/>
  <c r="E129" i="4"/>
  <c r="E128" i="4"/>
  <c r="E127" i="4"/>
  <c r="E126" i="4"/>
  <c r="E125" i="4"/>
  <c r="E124" i="4"/>
  <c r="E122" i="4"/>
  <c r="E121" i="4"/>
  <c r="E120" i="4"/>
  <c r="E119" i="4"/>
  <c r="E118" i="4"/>
  <c r="E61" i="4"/>
  <c r="E86" i="4"/>
  <c r="D111" i="4"/>
  <c r="C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4" i="4"/>
  <c r="E83" i="4"/>
  <c r="E82" i="4"/>
  <c r="E81" i="4"/>
  <c r="E80" i="4"/>
  <c r="D73" i="4"/>
  <c r="C73" i="4"/>
  <c r="E72" i="4"/>
  <c r="E71" i="4"/>
  <c r="E70" i="4"/>
  <c r="E69" i="4"/>
  <c r="E68" i="4"/>
  <c r="E67" i="4"/>
  <c r="E66" i="4"/>
  <c r="E65" i="4"/>
  <c r="E64" i="4"/>
  <c r="E63" i="4"/>
  <c r="E62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6" i="4"/>
  <c r="E45" i="4"/>
  <c r="E44" i="4"/>
  <c r="E43" i="4"/>
  <c r="E42" i="4"/>
  <c r="D35" i="4"/>
  <c r="C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D9" i="4"/>
  <c r="C9" i="4"/>
  <c r="E8" i="4"/>
  <c r="E7" i="4"/>
  <c r="E6" i="4"/>
  <c r="E5" i="4"/>
  <c r="E4" i="4"/>
  <c r="E3" i="4"/>
  <c r="D226" i="4" l="1"/>
  <c r="E225" i="4"/>
  <c r="E187" i="4"/>
  <c r="E175" i="4"/>
  <c r="C149" i="4"/>
  <c r="E149" i="4" s="1"/>
  <c r="E111" i="4"/>
  <c r="E73" i="4"/>
  <c r="E35" i="4"/>
  <c r="E9" i="4"/>
  <c r="D36" i="4"/>
  <c r="D41" i="4" s="1"/>
  <c r="D47" i="4" s="1"/>
  <c r="D74" i="4" s="1"/>
  <c r="D79" i="4" s="1"/>
  <c r="D85" i="4" s="1"/>
  <c r="D112" i="4" s="1"/>
  <c r="D117" i="4" s="1"/>
  <c r="D123" i="4" s="1"/>
  <c r="D150" i="4" s="1"/>
  <c r="D155" i="4" s="1"/>
  <c r="D161" i="4" s="1"/>
  <c r="D188" i="4" s="1"/>
  <c r="C36" i="4"/>
  <c r="C41" i="4" l="1"/>
  <c r="E36" i="4"/>
  <c r="C47" i="4" l="1"/>
  <c r="E41" i="4"/>
  <c r="E47" i="4" l="1"/>
  <c r="C74" i="4"/>
  <c r="E74" i="4" l="1"/>
  <c r="C79" i="4"/>
  <c r="C85" i="4" l="1"/>
  <c r="E79" i="4"/>
  <c r="E85" i="4" l="1"/>
  <c r="C112" i="4"/>
  <c r="E112" i="4" l="1"/>
  <c r="C117" i="4"/>
  <c r="C123" i="4" l="1"/>
  <c r="E117" i="4"/>
  <c r="C150" i="4" l="1"/>
  <c r="E123" i="4"/>
  <c r="E150" i="4" l="1"/>
  <c r="C155" i="4"/>
  <c r="E155" i="4" l="1"/>
  <c r="C161" i="4"/>
  <c r="E161" i="4" l="1"/>
  <c r="C188" i="4"/>
  <c r="E188" i="4" l="1"/>
  <c r="C193" i="4"/>
  <c r="C199" i="4" l="1"/>
  <c r="E193" i="4"/>
  <c r="E199" i="4" l="1"/>
  <c r="C226" i="4"/>
  <c r="E226" i="4" s="1"/>
</calcChain>
</file>

<file path=xl/sharedStrings.xml><?xml version="1.0" encoding="utf-8"?>
<sst xmlns="http://schemas.openxmlformats.org/spreadsheetml/2006/main" count="169" uniqueCount="15">
  <si>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</si>
  <si>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</si>
  <si>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</si>
  <si>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</si>
  <si>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</si>
  <si>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</si>
  <si>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ブラック</t>
    <phoneticPr fontId="1"/>
  </si>
  <si>
    <t>チャコール</t>
    <phoneticPr fontId="1"/>
  </si>
  <si>
    <t>ネット</t>
    <phoneticPr fontId="1"/>
  </si>
  <si>
    <t>超のび裏シルクタイツ＜夢販在庫＞</t>
    <rPh sb="0" eb="1">
      <t>チョウ</t>
    </rPh>
    <rPh sb="3" eb="4">
      <t>ウラ</t>
    </rPh>
    <rPh sb="11" eb="15">
      <t>ユメハンザイコ</t>
    </rPh>
    <phoneticPr fontId="1"/>
  </si>
  <si>
    <t>ネット</t>
    <phoneticPr fontId="1"/>
  </si>
  <si>
    <t>YS-33-1</t>
    <phoneticPr fontId="1"/>
  </si>
  <si>
    <t>棚卸</t>
    <rPh sb="0" eb="2">
      <t>タナオロシ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</si>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</sst>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56" fontId="3" fillId="0" borderId="0" xfId="0" applyNumberFormat="1" applyFont="1"/>
    <xf numFmtId="56" fontId="0" fillId="0" borderId="1" xfId="0" applyNumberFormat="1" applyBorder="1" applyAlignment="1">
      <alignment horizontal="center"/>
    </xf>
    <xf numFmtId="56" fontId="0" fillId="0" borderId="0" xfId="0" applyNumberFormat="1"/>
    <xf numFmtId="56" fontId="0" fillId="0" borderId="0" xfId="0" applyNumberFormat="1" applyAlignment="1">
      <alignment horizontal="right"/>
    </xf>
    <xf numFmtId="0" fontId="0" fillId="0" borderId="2" xfId="0" applyBorder="1"/>
    <xf numFmtId="0" fontId="2" fillId="2" borderId="0" xfId="0" applyFont="1" applyFill="1"/>
    <xf numFmtId="0" fontId="0" fillId="2" borderId="0" xfId="0" applyFill="1"/>
    <xf numFmtId="56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56" fontId="4" fillId="0" borderId="3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/>
    <xf numFmtId="0" fontId="4" fillId="0" borderId="10" xfId="0" applyFont="1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4" fillId="0" borderId="15" xfId="0" applyFont="1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3" fillId="0" borderId="1" xfId="0" applyFont="1" applyBorder="1"/>
    <xf numFmtId="0" fontId="4" fillId="0" borderId="8" xfId="0" applyFont="1" applyBorder="1"/>
    <xf numFmtId="0" fontId="4" fillId="0" borderId="3" xfId="0" applyFont="1" applyBorder="1"/>
    <xf numFmtId="0" fontId="0" fillId="0" borderId="16" xfId="0" applyBorder="1"/>
    <xf numFmtId="0" fontId="0" fillId="0" borderId="17" xfId="0" applyBorder="1"/>
    <xf numFmtId="0" fontId="5" fillId="3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1" xfId="0" applyFont="1" applyBorder="1"/>
    <xf numFmtId="0" fontId="6" fillId="0" borderId="1" xfId="0" applyFont="1" applyBorder="1"/>
    <xf numFmtId="0" fontId="6" fillId="0" borderId="16" xfId="0" applyFont="1" applyBorder="1"/>
    <xf numFmtId="56" fontId="6" fillId="0" borderId="0" xfId="0" applyNumberFormat="1" applyFont="1"/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/>
    <xf numFmtId="0" fontId="4" fillId="0" borderId="1" xfId="0" applyFont="1" applyBorder="1"/>
    <xf numFmtId="0" fontId="4" fillId="0" borderId="16" xfId="0" applyFont="1" applyBorder="1"/>
    <xf numFmtId="56" fontId="4" fillId="0" borderId="0" xfId="0" applyNumberFormat="1" applyFont="1"/>
    <xf numFmtId="0" fontId="0" fillId="5" borderId="11" xfId="0" applyFill="1" applyBorder="1"/>
    <xf numFmtId="0" fontId="0" fillId="5" borderId="12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tabSelected="1" topLeftCell="A186" zoomScale="90" zoomScaleNormal="90" workbookViewId="0">
      <selection activeCell="F214" sqref="F214"/>
    </sheetView>
  </sheetViews>
  <sheetFormatPr defaultRowHeight="13.5" x14ac:dyDescent="0.15"/>
  <cols>
    <col min="1" max="1" width="2.625" customWidth="1"/>
    <col min="2" max="2" width="22.75" style="1" customWidth="1"/>
    <col min="3" max="4" width="11.75" customWidth="1"/>
    <col min="5" max="5" width="11.375" customWidth="1"/>
    <col min="6" max="6" width="9.25" bestFit="1" customWidth="1"/>
  </cols>
  <sheetData>
    <row r="1" spans="2:6" ht="19.5" thickBot="1" x14ac:dyDescent="0.25">
      <c r="B1" s="7" t="s">
        <v>9</v>
      </c>
      <c r="C1" s="8"/>
      <c r="D1" s="8"/>
      <c r="E1" s="8" t="s">
        <v>11</v>
      </c>
    </row>
    <row r="2" spans="2:6" s="1" customFormat="1" ht="14.25" thickBot="1" x14ac:dyDescent="0.2">
      <c r="B2" s="10"/>
      <c r="C2" s="33" t="s">
        <v>6</v>
      </c>
      <c r="D2" s="34" t="s">
        <v>7</v>
      </c>
      <c r="E2" s="22" t="s">
        <v>0</v>
      </c>
    </row>
    <row r="3" spans="2:6" ht="14.25" customHeight="1" x14ac:dyDescent="0.15">
      <c r="B3" s="9" t="s">
        <v>5</v>
      </c>
      <c r="C3" s="16">
        <v>5</v>
      </c>
      <c r="D3" s="24">
        <v>5</v>
      </c>
      <c r="E3" s="24">
        <f>C3+D3</f>
        <v>10</v>
      </c>
      <c r="F3" s="4">
        <v>44446</v>
      </c>
    </row>
    <row r="4" spans="2:6" x14ac:dyDescent="0.15">
      <c r="B4" s="11" t="s">
        <v>4</v>
      </c>
      <c r="C4" s="17">
        <v>5</v>
      </c>
      <c r="D4" s="25"/>
      <c r="E4" s="31">
        <f>C4+D4</f>
        <v>5</v>
      </c>
      <c r="F4" s="4">
        <v>44524</v>
      </c>
    </row>
    <row r="5" spans="2:6" x14ac:dyDescent="0.15">
      <c r="B5" s="11" t="s">
        <v>4</v>
      </c>
      <c r="C5" s="17">
        <v>3</v>
      </c>
      <c r="D5" s="25"/>
      <c r="E5" s="31">
        <f t="shared" ref="E5:E35" si="0">C5+D5</f>
        <v>3</v>
      </c>
      <c r="F5" s="4">
        <v>44572</v>
      </c>
    </row>
    <row r="6" spans="2:6" x14ac:dyDescent="0.15">
      <c r="B6" s="11" t="s">
        <v>4</v>
      </c>
      <c r="C6" s="17">
        <v>5</v>
      </c>
      <c r="D6" s="25"/>
      <c r="E6" s="31">
        <f t="shared" si="0"/>
        <v>5</v>
      </c>
      <c r="F6" s="4">
        <v>44588</v>
      </c>
    </row>
    <row r="7" spans="2:6" x14ac:dyDescent="0.15">
      <c r="B7" s="35" t="s">
        <v>12</v>
      </c>
      <c r="C7" s="36">
        <v>0</v>
      </c>
      <c r="D7" s="37">
        <v>0</v>
      </c>
      <c r="E7" s="38">
        <f t="shared" si="0"/>
        <v>0</v>
      </c>
      <c r="F7" s="39">
        <v>44796</v>
      </c>
    </row>
    <row r="8" spans="2:6" ht="14.25" thickBot="1" x14ac:dyDescent="0.2">
      <c r="B8" s="11" t="s">
        <v>4</v>
      </c>
      <c r="C8" s="18">
        <v>5</v>
      </c>
      <c r="D8" s="26"/>
      <c r="E8" s="32">
        <f t="shared" si="0"/>
        <v>5</v>
      </c>
      <c r="F8" s="4">
        <v>44874</v>
      </c>
    </row>
    <row r="9" spans="2:6" ht="14.25" thickBot="1" x14ac:dyDescent="0.2">
      <c r="B9" s="12" t="s">
        <v>1</v>
      </c>
      <c r="C9" s="27">
        <f>SUM(C3:C8)</f>
        <v>23</v>
      </c>
      <c r="D9" s="6">
        <f>SUM(D3:D8)</f>
        <v>5</v>
      </c>
      <c r="E9" s="27">
        <f t="shared" si="0"/>
        <v>28</v>
      </c>
    </row>
    <row r="10" spans="2:6" x14ac:dyDescent="0.15">
      <c r="B10" s="9" t="s">
        <v>10</v>
      </c>
      <c r="C10" s="16">
        <v>1</v>
      </c>
      <c r="D10" s="24"/>
      <c r="E10" s="31">
        <f t="shared" si="0"/>
        <v>1</v>
      </c>
      <c r="F10" s="4">
        <v>44502</v>
      </c>
    </row>
    <row r="11" spans="2:6" x14ac:dyDescent="0.15">
      <c r="B11" s="3" t="s">
        <v>8</v>
      </c>
      <c r="C11" s="17">
        <v>2</v>
      </c>
      <c r="D11" s="25"/>
      <c r="E11" s="31">
        <f t="shared" si="0"/>
        <v>2</v>
      </c>
      <c r="F11" s="4">
        <v>44522</v>
      </c>
    </row>
    <row r="12" spans="2:6" x14ac:dyDescent="0.15">
      <c r="B12" s="3" t="s">
        <v>8</v>
      </c>
      <c r="C12" s="17">
        <v>2</v>
      </c>
      <c r="D12" s="25"/>
      <c r="E12" s="31">
        <f t="shared" si="0"/>
        <v>2</v>
      </c>
      <c r="F12" s="4">
        <v>44525</v>
      </c>
    </row>
    <row r="13" spans="2:6" x14ac:dyDescent="0.15">
      <c r="B13" s="3" t="s">
        <v>8</v>
      </c>
      <c r="C13" s="17">
        <v>1</v>
      </c>
      <c r="D13" s="25"/>
      <c r="E13" s="31">
        <f t="shared" si="0"/>
        <v>1</v>
      </c>
      <c r="F13" s="4">
        <v>44553</v>
      </c>
    </row>
    <row r="14" spans="2:6" x14ac:dyDescent="0.15">
      <c r="B14" s="3" t="s">
        <v>8</v>
      </c>
      <c r="C14" s="19">
        <v>1</v>
      </c>
      <c r="D14" s="28"/>
      <c r="E14" s="31">
        <f t="shared" si="0"/>
        <v>1</v>
      </c>
      <c r="F14" s="4">
        <v>44557</v>
      </c>
    </row>
    <row r="15" spans="2:6" x14ac:dyDescent="0.15">
      <c r="B15" s="3" t="s">
        <v>8</v>
      </c>
      <c r="C15" s="17">
        <v>1</v>
      </c>
      <c r="D15" s="25"/>
      <c r="E15" s="31">
        <f t="shared" si="0"/>
        <v>1</v>
      </c>
      <c r="F15" s="4">
        <v>44566</v>
      </c>
    </row>
    <row r="16" spans="2:6" x14ac:dyDescent="0.15">
      <c r="B16" s="3" t="s">
        <v>8</v>
      </c>
      <c r="C16" s="17">
        <v>1</v>
      </c>
      <c r="D16" s="25">
        <v>1</v>
      </c>
      <c r="E16" s="31">
        <f t="shared" si="0"/>
        <v>2</v>
      </c>
      <c r="F16" s="4">
        <v>44572</v>
      </c>
    </row>
    <row r="17" spans="2:6" x14ac:dyDescent="0.15">
      <c r="B17" s="3" t="s">
        <v>8</v>
      </c>
      <c r="C17" s="17">
        <v>1</v>
      </c>
      <c r="D17" s="25"/>
      <c r="E17" s="31">
        <f t="shared" si="0"/>
        <v>1</v>
      </c>
      <c r="F17" s="4">
        <v>44578</v>
      </c>
    </row>
    <row r="18" spans="2:6" x14ac:dyDescent="0.15">
      <c r="B18" s="3" t="s">
        <v>8</v>
      </c>
      <c r="C18" s="19">
        <v>1</v>
      </c>
      <c r="D18" s="28"/>
      <c r="E18" s="31">
        <f t="shared" si="0"/>
        <v>1</v>
      </c>
      <c r="F18" s="4">
        <v>44622</v>
      </c>
    </row>
    <row r="19" spans="2:6" x14ac:dyDescent="0.15">
      <c r="B19" s="3" t="s">
        <v>8</v>
      </c>
      <c r="C19" s="17">
        <v>1</v>
      </c>
      <c r="D19" s="25"/>
      <c r="E19" s="31">
        <f t="shared" si="0"/>
        <v>1</v>
      </c>
      <c r="F19" s="4">
        <v>44627</v>
      </c>
    </row>
    <row r="20" spans="2:6" x14ac:dyDescent="0.15">
      <c r="B20" s="3" t="s">
        <v>8</v>
      </c>
      <c r="C20" s="19">
        <v>1</v>
      </c>
      <c r="D20" s="28"/>
      <c r="E20" s="31">
        <f t="shared" si="0"/>
        <v>1</v>
      </c>
      <c r="F20" s="4">
        <v>44638</v>
      </c>
    </row>
    <row r="21" spans="2:6" x14ac:dyDescent="0.15">
      <c r="B21" s="3" t="s">
        <v>8</v>
      </c>
      <c r="C21" s="19">
        <v>1</v>
      </c>
      <c r="D21" s="28">
        <v>1</v>
      </c>
      <c r="E21" s="31">
        <f t="shared" si="0"/>
        <v>2</v>
      </c>
      <c r="F21" s="4">
        <v>44651</v>
      </c>
    </row>
    <row r="22" spans="2:6" x14ac:dyDescent="0.15">
      <c r="B22" s="3" t="s">
        <v>8</v>
      </c>
      <c r="C22" s="17">
        <v>1</v>
      </c>
      <c r="D22" s="25"/>
      <c r="E22" s="31">
        <f t="shared" si="0"/>
        <v>1</v>
      </c>
      <c r="F22" s="4">
        <v>44740</v>
      </c>
    </row>
    <row r="23" spans="2:6" x14ac:dyDescent="0.15">
      <c r="B23" s="3" t="s">
        <v>8</v>
      </c>
      <c r="C23" s="19">
        <v>2</v>
      </c>
      <c r="D23" s="28">
        <v>1</v>
      </c>
      <c r="E23" s="31">
        <f t="shared" si="0"/>
        <v>3</v>
      </c>
      <c r="F23" s="2">
        <v>44847</v>
      </c>
    </row>
    <row r="24" spans="2:6" x14ac:dyDescent="0.15">
      <c r="B24" s="3" t="s">
        <v>8</v>
      </c>
      <c r="C24" s="19">
        <v>1</v>
      </c>
      <c r="D24" s="28"/>
      <c r="E24" s="31">
        <f t="shared" si="0"/>
        <v>1</v>
      </c>
      <c r="F24" s="2">
        <v>44858</v>
      </c>
    </row>
    <row r="25" spans="2:6" x14ac:dyDescent="0.15">
      <c r="B25" s="3" t="s">
        <v>8</v>
      </c>
      <c r="C25" s="19">
        <v>3</v>
      </c>
      <c r="D25" s="28"/>
      <c r="E25" s="31">
        <f t="shared" si="0"/>
        <v>3</v>
      </c>
      <c r="F25" s="2">
        <v>44874</v>
      </c>
    </row>
    <row r="26" spans="2:6" x14ac:dyDescent="0.15">
      <c r="B26" s="3" t="s">
        <v>8</v>
      </c>
      <c r="C26" s="19">
        <v>1</v>
      </c>
      <c r="D26" s="28">
        <v>1</v>
      </c>
      <c r="E26" s="31">
        <f t="shared" si="0"/>
        <v>2</v>
      </c>
      <c r="F26" s="2">
        <v>44889</v>
      </c>
    </row>
    <row r="27" spans="2:6" x14ac:dyDescent="0.15">
      <c r="B27" s="3"/>
      <c r="C27" s="19"/>
      <c r="D27" s="28"/>
      <c r="E27" s="31">
        <f t="shared" si="0"/>
        <v>0</v>
      </c>
      <c r="F27" s="2"/>
    </row>
    <row r="28" spans="2:6" x14ac:dyDescent="0.15">
      <c r="B28" s="3"/>
      <c r="C28" s="19"/>
      <c r="D28" s="28"/>
      <c r="E28" s="31">
        <f t="shared" si="0"/>
        <v>0</v>
      </c>
      <c r="F28" s="2"/>
    </row>
    <row r="29" spans="2:6" x14ac:dyDescent="0.15">
      <c r="B29" s="3"/>
      <c r="C29" s="17"/>
      <c r="D29" s="25"/>
      <c r="E29" s="31">
        <f t="shared" si="0"/>
        <v>0</v>
      </c>
      <c r="F29" s="5"/>
    </row>
    <row r="30" spans="2:6" x14ac:dyDescent="0.15">
      <c r="B30" s="3"/>
      <c r="C30" s="17"/>
      <c r="D30" s="25"/>
      <c r="E30" s="31">
        <f t="shared" si="0"/>
        <v>0</v>
      </c>
      <c r="F30" s="5"/>
    </row>
    <row r="31" spans="2:6" x14ac:dyDescent="0.15">
      <c r="B31" s="3"/>
      <c r="C31" s="17"/>
      <c r="D31" s="25"/>
      <c r="E31" s="31">
        <f t="shared" si="0"/>
        <v>0</v>
      </c>
      <c r="F31" s="5"/>
    </row>
    <row r="32" spans="2:6" x14ac:dyDescent="0.15">
      <c r="B32" s="3"/>
      <c r="C32" s="17"/>
      <c r="D32" s="25"/>
      <c r="E32" s="31">
        <f t="shared" si="0"/>
        <v>0</v>
      </c>
      <c r="F32" s="5"/>
    </row>
    <row r="33" spans="1:6" x14ac:dyDescent="0.15">
      <c r="B33" s="3"/>
      <c r="C33" s="17"/>
      <c r="D33" s="25"/>
      <c r="E33" s="31">
        <f t="shared" si="0"/>
        <v>0</v>
      </c>
      <c r="F33" s="5"/>
    </row>
    <row r="34" spans="1:6" ht="14.25" thickBot="1" x14ac:dyDescent="0.2">
      <c r="B34" s="3"/>
      <c r="C34" s="21"/>
      <c r="D34" s="26"/>
      <c r="E34" s="32">
        <f t="shared" si="0"/>
        <v>0</v>
      </c>
      <c r="F34" s="5"/>
    </row>
    <row r="35" spans="1:6" ht="14.25" thickBot="1" x14ac:dyDescent="0.2">
      <c r="B35" s="12" t="s">
        <v>2</v>
      </c>
      <c r="C35" s="6">
        <f>SUM(C10:C34)</f>
        <v>22</v>
      </c>
      <c r="D35" s="27">
        <f>SUM(D10:D34)</f>
        <v>4</v>
      </c>
      <c r="E35" s="27">
        <f t="shared" si="0"/>
        <v>26</v>
      </c>
    </row>
    <row r="36" spans="1:6" ht="14.25" thickBot="1" x14ac:dyDescent="0.2">
      <c r="B36" s="14" t="s">
        <v>3</v>
      </c>
      <c r="C36" s="15">
        <f>+C9-C35</f>
        <v>1</v>
      </c>
      <c r="D36" s="29">
        <f>+D9-D35</f>
        <v>1</v>
      </c>
      <c r="E36" s="23">
        <f>C36</f>
        <v>1</v>
      </c>
    </row>
    <row r="39" spans="1:6" ht="19.5" thickBot="1" x14ac:dyDescent="0.25">
      <c r="B39" s="7" t="s">
        <v>9</v>
      </c>
      <c r="C39" s="8"/>
      <c r="D39" s="8"/>
      <c r="E39" s="8">
        <v>1058</v>
      </c>
    </row>
    <row r="40" spans="1:6" ht="14.25" thickBot="1" x14ac:dyDescent="0.2">
      <c r="A40" s="1"/>
      <c r="B40" s="10"/>
      <c r="C40" s="33" t="s">
        <v>6</v>
      </c>
      <c r="D40" s="34" t="s">
        <v>7</v>
      </c>
      <c r="E40" s="22" t="s">
        <v>0</v>
      </c>
    </row>
    <row r="41" spans="1:6" x14ac:dyDescent="0.15">
      <c r="B41" s="13" t="s">
        <v>3</v>
      </c>
      <c r="C41" s="20">
        <f>C36</f>
        <v>1</v>
      </c>
      <c r="D41" s="30">
        <f>D36</f>
        <v>1</v>
      </c>
      <c r="E41" s="30">
        <f>C41+D41</f>
        <v>2</v>
      </c>
    </row>
    <row r="42" spans="1:6" x14ac:dyDescent="0.15">
      <c r="B42" s="11" t="s">
        <v>4</v>
      </c>
      <c r="C42" s="17">
        <v>5</v>
      </c>
      <c r="D42" s="25"/>
      <c r="E42" s="31">
        <f>C42+D42</f>
        <v>5</v>
      </c>
      <c r="F42" s="4">
        <v>44884</v>
      </c>
    </row>
    <row r="43" spans="1:6" x14ac:dyDescent="0.15">
      <c r="B43" s="11" t="s">
        <v>4</v>
      </c>
      <c r="C43" s="17"/>
      <c r="D43" s="25">
        <v>3</v>
      </c>
      <c r="E43" s="31">
        <f t="shared" ref="E43:E73" si="1">C43+D43</f>
        <v>3</v>
      </c>
      <c r="F43" s="4">
        <v>44904</v>
      </c>
    </row>
    <row r="44" spans="1:6" x14ac:dyDescent="0.15">
      <c r="B44" s="11" t="s">
        <v>4</v>
      </c>
      <c r="C44" s="17">
        <v>3</v>
      </c>
      <c r="D44" s="25"/>
      <c r="E44" s="31">
        <f t="shared" si="1"/>
        <v>3</v>
      </c>
      <c r="F44" s="4">
        <v>44944</v>
      </c>
    </row>
    <row r="45" spans="1:6" x14ac:dyDescent="0.15">
      <c r="B45" s="11" t="s">
        <v>4</v>
      </c>
      <c r="C45" s="17">
        <v>3</v>
      </c>
      <c r="D45" s="25"/>
      <c r="E45" s="31">
        <f t="shared" si="1"/>
        <v>3</v>
      </c>
      <c r="F45" s="4">
        <v>45059</v>
      </c>
    </row>
    <row r="46" spans="1:6" ht="14.25" thickBot="1" x14ac:dyDescent="0.2">
      <c r="B46" s="40" t="s">
        <v>4</v>
      </c>
      <c r="C46" s="18">
        <v>5</v>
      </c>
      <c r="D46" s="26">
        <v>3</v>
      </c>
      <c r="E46" s="32">
        <f t="shared" si="1"/>
        <v>8</v>
      </c>
      <c r="F46" s="4">
        <v>45079</v>
      </c>
    </row>
    <row r="47" spans="1:6" ht="14.25" thickBot="1" x14ac:dyDescent="0.2">
      <c r="B47" s="12" t="s">
        <v>1</v>
      </c>
      <c r="C47" s="27">
        <f>SUM(C41:C46)</f>
        <v>17</v>
      </c>
      <c r="D47" s="6">
        <f>SUM(D41:D46)</f>
        <v>7</v>
      </c>
      <c r="E47" s="27">
        <f t="shared" si="1"/>
        <v>24</v>
      </c>
    </row>
    <row r="48" spans="1:6" x14ac:dyDescent="0.15">
      <c r="B48" s="3" t="s">
        <v>8</v>
      </c>
      <c r="C48" s="16">
        <v>1</v>
      </c>
      <c r="D48" s="24"/>
      <c r="E48" s="31">
        <f t="shared" si="1"/>
        <v>1</v>
      </c>
      <c r="F48" s="4">
        <v>44893</v>
      </c>
    </row>
    <row r="49" spans="2:6" x14ac:dyDescent="0.15">
      <c r="B49" s="3" t="s">
        <v>8</v>
      </c>
      <c r="C49" s="17">
        <v>2</v>
      </c>
      <c r="D49" s="25"/>
      <c r="E49" s="31">
        <f t="shared" si="1"/>
        <v>2</v>
      </c>
      <c r="F49" s="4">
        <v>44921</v>
      </c>
    </row>
    <row r="50" spans="2:6" x14ac:dyDescent="0.15">
      <c r="B50" s="3" t="s">
        <v>8</v>
      </c>
      <c r="C50" s="17">
        <v>1</v>
      </c>
      <c r="D50" s="25"/>
      <c r="E50" s="31">
        <f t="shared" si="1"/>
        <v>1</v>
      </c>
      <c r="F50" s="4">
        <v>44931</v>
      </c>
    </row>
    <row r="51" spans="2:6" x14ac:dyDescent="0.15">
      <c r="B51" s="3" t="s">
        <v>8</v>
      </c>
      <c r="C51" s="19">
        <v>1</v>
      </c>
      <c r="D51" s="28"/>
      <c r="E51" s="31">
        <f t="shared" si="1"/>
        <v>1</v>
      </c>
      <c r="F51" s="4">
        <v>44936</v>
      </c>
    </row>
    <row r="52" spans="2:6" x14ac:dyDescent="0.15">
      <c r="B52" s="3" t="s">
        <v>8</v>
      </c>
      <c r="C52" s="19"/>
      <c r="D52" s="28">
        <v>1</v>
      </c>
      <c r="E52" s="31">
        <f t="shared" si="1"/>
        <v>1</v>
      </c>
      <c r="F52" s="4">
        <v>44937</v>
      </c>
    </row>
    <row r="53" spans="2:6" x14ac:dyDescent="0.15">
      <c r="B53" s="3" t="s">
        <v>8</v>
      </c>
      <c r="C53" s="17">
        <v>1</v>
      </c>
      <c r="D53" s="25"/>
      <c r="E53" s="31">
        <f t="shared" si="1"/>
        <v>1</v>
      </c>
      <c r="F53" s="4">
        <v>44970</v>
      </c>
    </row>
    <row r="54" spans="2:6" x14ac:dyDescent="0.15">
      <c r="B54" s="3" t="s">
        <v>8</v>
      </c>
      <c r="C54" s="17"/>
      <c r="D54" s="25">
        <v>2</v>
      </c>
      <c r="E54" s="31">
        <f t="shared" si="1"/>
        <v>2</v>
      </c>
      <c r="F54" s="4">
        <v>44973</v>
      </c>
    </row>
    <row r="55" spans="2:6" x14ac:dyDescent="0.15">
      <c r="B55" s="3" t="s">
        <v>8</v>
      </c>
      <c r="C55" s="19">
        <v>2</v>
      </c>
      <c r="D55" s="28"/>
      <c r="E55" s="31">
        <f t="shared" si="1"/>
        <v>2</v>
      </c>
      <c r="F55" s="4">
        <v>45007</v>
      </c>
    </row>
    <row r="56" spans="2:6" x14ac:dyDescent="0.15">
      <c r="B56" s="3" t="s">
        <v>8</v>
      </c>
      <c r="C56" s="19">
        <v>1</v>
      </c>
      <c r="D56" s="28"/>
      <c r="E56" s="31">
        <f t="shared" si="1"/>
        <v>1</v>
      </c>
      <c r="F56" s="4">
        <v>45054</v>
      </c>
    </row>
    <row r="57" spans="2:6" x14ac:dyDescent="0.15">
      <c r="B57" s="3" t="s">
        <v>8</v>
      </c>
      <c r="C57" s="17">
        <v>1</v>
      </c>
      <c r="D57" s="25"/>
      <c r="E57" s="31">
        <f t="shared" si="1"/>
        <v>1</v>
      </c>
      <c r="F57" s="4">
        <v>45062</v>
      </c>
    </row>
    <row r="58" spans="2:6" x14ac:dyDescent="0.15">
      <c r="B58" s="3" t="s">
        <v>8</v>
      </c>
      <c r="C58" s="19">
        <v>1</v>
      </c>
      <c r="D58" s="28"/>
      <c r="E58" s="31">
        <f t="shared" si="1"/>
        <v>1</v>
      </c>
      <c r="F58" s="4">
        <v>45065</v>
      </c>
    </row>
    <row r="59" spans="2:6" x14ac:dyDescent="0.15">
      <c r="B59" s="3" t="s">
        <v>8</v>
      </c>
      <c r="C59" s="19">
        <v>3</v>
      </c>
      <c r="D59" s="28">
        <v>1</v>
      </c>
      <c r="E59" s="31">
        <f t="shared" si="1"/>
        <v>4</v>
      </c>
      <c r="F59" s="4">
        <v>45078</v>
      </c>
    </row>
    <row r="60" spans="2:6" x14ac:dyDescent="0.15">
      <c r="B60" s="3" t="s">
        <v>8</v>
      </c>
      <c r="C60" s="17">
        <v>2</v>
      </c>
      <c r="D60" s="25"/>
      <c r="E60" s="31">
        <f t="shared" si="1"/>
        <v>2</v>
      </c>
      <c r="F60" s="4">
        <v>45089</v>
      </c>
    </row>
    <row r="61" spans="2:6" x14ac:dyDescent="0.15">
      <c r="B61" s="3"/>
      <c r="C61" s="19"/>
      <c r="D61" s="28"/>
      <c r="E61" s="31">
        <f t="shared" ref="E61" si="2">C61+D61</f>
        <v>0</v>
      </c>
    </row>
    <row r="62" spans="2:6" x14ac:dyDescent="0.15">
      <c r="B62" s="3"/>
      <c r="C62" s="19"/>
      <c r="D62" s="28"/>
      <c r="E62" s="31">
        <f t="shared" si="1"/>
        <v>0</v>
      </c>
    </row>
    <row r="63" spans="2:6" x14ac:dyDescent="0.15">
      <c r="B63" s="3"/>
      <c r="C63" s="19"/>
      <c r="D63" s="28"/>
      <c r="E63" s="31">
        <f t="shared" si="1"/>
        <v>0</v>
      </c>
    </row>
    <row r="64" spans="2:6" x14ac:dyDescent="0.15">
      <c r="B64" s="3"/>
      <c r="C64" s="19"/>
      <c r="D64" s="28"/>
      <c r="E64" s="31">
        <f t="shared" si="1"/>
        <v>0</v>
      </c>
    </row>
    <row r="65" spans="1:6" x14ac:dyDescent="0.15">
      <c r="B65" s="3"/>
      <c r="C65" s="19"/>
      <c r="D65" s="28"/>
      <c r="E65" s="31">
        <f t="shared" si="1"/>
        <v>0</v>
      </c>
    </row>
    <row r="66" spans="1:6" x14ac:dyDescent="0.15">
      <c r="B66" s="3"/>
      <c r="C66" s="19"/>
      <c r="D66" s="28"/>
      <c r="E66" s="31">
        <f t="shared" si="1"/>
        <v>0</v>
      </c>
    </row>
    <row r="67" spans="1:6" x14ac:dyDescent="0.15">
      <c r="B67" s="3"/>
      <c r="C67" s="17"/>
      <c r="D67" s="25"/>
      <c r="E67" s="31">
        <f t="shared" si="1"/>
        <v>0</v>
      </c>
    </row>
    <row r="68" spans="1:6" x14ac:dyDescent="0.15">
      <c r="B68" s="3"/>
      <c r="C68" s="17"/>
      <c r="D68" s="25"/>
      <c r="E68" s="31">
        <f t="shared" si="1"/>
        <v>0</v>
      </c>
    </row>
    <row r="69" spans="1:6" x14ac:dyDescent="0.15">
      <c r="B69" s="3"/>
      <c r="C69" s="17"/>
      <c r="D69" s="25"/>
      <c r="E69" s="31">
        <f t="shared" si="1"/>
        <v>0</v>
      </c>
    </row>
    <row r="70" spans="1:6" x14ac:dyDescent="0.15">
      <c r="B70" s="3"/>
      <c r="C70" s="17"/>
      <c r="D70" s="25"/>
      <c r="E70" s="31">
        <f t="shared" si="1"/>
        <v>0</v>
      </c>
    </row>
    <row r="71" spans="1:6" x14ac:dyDescent="0.15">
      <c r="B71" s="3"/>
      <c r="C71" s="17"/>
      <c r="D71" s="25"/>
      <c r="E71" s="31">
        <f t="shared" si="1"/>
        <v>0</v>
      </c>
    </row>
    <row r="72" spans="1:6" ht="14.25" thickBot="1" x14ac:dyDescent="0.2">
      <c r="B72" s="3"/>
      <c r="C72" s="21"/>
      <c r="D72" s="26"/>
      <c r="E72" s="32">
        <f t="shared" si="1"/>
        <v>0</v>
      </c>
    </row>
    <row r="73" spans="1:6" ht="14.25" thickBot="1" x14ac:dyDescent="0.2">
      <c r="B73" s="12" t="s">
        <v>2</v>
      </c>
      <c r="C73" s="6">
        <f>SUM(C48:C72)</f>
        <v>16</v>
      </c>
      <c r="D73" s="27">
        <f>SUM(D48:D72)</f>
        <v>4</v>
      </c>
      <c r="E73" s="27">
        <f t="shared" si="1"/>
        <v>20</v>
      </c>
    </row>
    <row r="74" spans="1:6" ht="14.25" thickBot="1" x14ac:dyDescent="0.2">
      <c r="B74" s="14" t="s">
        <v>3</v>
      </c>
      <c r="C74" s="15">
        <f>+C47-C73</f>
        <v>1</v>
      </c>
      <c r="D74" s="29">
        <f>+D47-D73</f>
        <v>3</v>
      </c>
      <c r="E74" s="23">
        <f>C74</f>
        <v>1</v>
      </c>
    </row>
    <row r="77" spans="1:6" ht="19.5" thickBot="1" x14ac:dyDescent="0.25">
      <c r="B77" s="7" t="s">
        <v>9</v>
      </c>
      <c r="C77" s="8"/>
      <c r="D77" s="8"/>
      <c r="E77" s="8">
        <v>1058</v>
      </c>
    </row>
    <row r="78" spans="1:6" ht="14.25" thickBot="1" x14ac:dyDescent="0.2">
      <c r="A78" s="1"/>
      <c r="B78" s="10"/>
      <c r="C78" s="33" t="s">
        <v>6</v>
      </c>
      <c r="D78" s="34" t="s">
        <v>7</v>
      </c>
      <c r="E78" s="22" t="s">
        <v>0</v>
      </c>
    </row>
    <row r="79" spans="1:6" x14ac:dyDescent="0.15">
      <c r="B79" s="13" t="s">
        <v>3</v>
      </c>
      <c r="C79" s="20">
        <f>C74</f>
        <v>1</v>
      </c>
      <c r="D79" s="30">
        <f>D74</f>
        <v>3</v>
      </c>
      <c r="E79" s="30">
        <f>C79+D79</f>
        <v>4</v>
      </c>
    </row>
    <row r="80" spans="1:6" x14ac:dyDescent="0.15">
      <c r="B80" s="11" t="s">
        <v>4</v>
      </c>
      <c r="C80" s="17">
        <v>5</v>
      </c>
      <c r="D80" s="25"/>
      <c r="E80" s="31">
        <f>C80+D80</f>
        <v>5</v>
      </c>
      <c r="F80" s="4">
        <v>45105</v>
      </c>
    </row>
    <row r="81" spans="2:6" x14ac:dyDescent="0.15">
      <c r="B81" s="11" t="s">
        <v>4</v>
      </c>
      <c r="C81" s="17">
        <v>3</v>
      </c>
      <c r="D81" s="25"/>
      <c r="E81" s="31">
        <f t="shared" ref="E81:E111" si="3">C81+D81</f>
        <v>3</v>
      </c>
      <c r="F81" s="4">
        <v>45118</v>
      </c>
    </row>
    <row r="82" spans="2:6" x14ac:dyDescent="0.15">
      <c r="B82" s="11" t="s">
        <v>13</v>
      </c>
      <c r="C82" s="17">
        <v>0</v>
      </c>
      <c r="D82" s="25">
        <v>0</v>
      </c>
      <c r="E82" s="31">
        <f t="shared" si="3"/>
        <v>0</v>
      </c>
      <c r="F82" s="4">
        <v>45146</v>
      </c>
    </row>
    <row r="83" spans="2:6" x14ac:dyDescent="0.15">
      <c r="B83" s="41" t="s">
        <v>13</v>
      </c>
      <c r="C83" s="42">
        <v>-2</v>
      </c>
      <c r="D83" s="43">
        <v>-1</v>
      </c>
      <c r="E83" s="44">
        <f t="shared" si="3"/>
        <v>-3</v>
      </c>
      <c r="F83" s="45">
        <v>45204</v>
      </c>
    </row>
    <row r="84" spans="2:6" ht="14.25" thickBot="1" x14ac:dyDescent="0.2">
      <c r="B84" s="40" t="s">
        <v>4</v>
      </c>
      <c r="C84" s="18">
        <v>5</v>
      </c>
      <c r="D84" s="26"/>
      <c r="E84" s="32">
        <f t="shared" si="3"/>
        <v>5</v>
      </c>
      <c r="F84" s="4">
        <v>45171</v>
      </c>
    </row>
    <row r="85" spans="2:6" ht="14.25" thickBot="1" x14ac:dyDescent="0.2">
      <c r="B85" s="12" t="s">
        <v>1</v>
      </c>
      <c r="C85" s="27">
        <f>SUM(C79:C84)</f>
        <v>12</v>
      </c>
      <c r="D85" s="6">
        <f>SUM(D79:D84)</f>
        <v>2</v>
      </c>
      <c r="E85" s="27">
        <f t="shared" si="3"/>
        <v>14</v>
      </c>
    </row>
    <row r="86" spans="2:6" x14ac:dyDescent="0.15">
      <c r="B86" s="3" t="s">
        <v>8</v>
      </c>
      <c r="C86" s="19">
        <v>2</v>
      </c>
      <c r="D86" s="28"/>
      <c r="E86" s="31">
        <f t="shared" si="3"/>
        <v>2</v>
      </c>
      <c r="F86" s="4">
        <v>45105</v>
      </c>
    </row>
    <row r="87" spans="2:6" x14ac:dyDescent="0.15">
      <c r="B87" s="3" t="s">
        <v>8</v>
      </c>
      <c r="C87" s="17">
        <v>1</v>
      </c>
      <c r="D87" s="25"/>
      <c r="E87" s="31">
        <f t="shared" si="3"/>
        <v>1</v>
      </c>
      <c r="F87" s="4">
        <v>45113</v>
      </c>
    </row>
    <row r="88" spans="2:6" x14ac:dyDescent="0.15">
      <c r="B88" s="3" t="s">
        <v>8</v>
      </c>
      <c r="C88" s="17">
        <v>1</v>
      </c>
      <c r="D88" s="25"/>
      <c r="E88" s="31">
        <f t="shared" si="3"/>
        <v>1</v>
      </c>
      <c r="F88" s="4">
        <v>45118</v>
      </c>
    </row>
    <row r="89" spans="2:6" x14ac:dyDescent="0.15">
      <c r="B89" s="3" t="s">
        <v>8</v>
      </c>
      <c r="C89" s="19">
        <v>2</v>
      </c>
      <c r="D89" s="28"/>
      <c r="E89" s="31">
        <f t="shared" si="3"/>
        <v>2</v>
      </c>
      <c r="F89" s="4">
        <v>45155</v>
      </c>
    </row>
    <row r="90" spans="2:6" x14ac:dyDescent="0.15">
      <c r="B90" s="3" t="s">
        <v>8</v>
      </c>
      <c r="C90" s="19">
        <v>1</v>
      </c>
      <c r="D90" s="28">
        <v>1</v>
      </c>
      <c r="E90" s="31">
        <f t="shared" si="3"/>
        <v>2</v>
      </c>
      <c r="F90" s="4">
        <v>45195</v>
      </c>
    </row>
    <row r="91" spans="2:6" x14ac:dyDescent="0.15">
      <c r="B91" s="3" t="s">
        <v>8</v>
      </c>
      <c r="C91" s="17">
        <v>1</v>
      </c>
      <c r="D91" s="25"/>
      <c r="E91" s="31">
        <f t="shared" si="3"/>
        <v>1</v>
      </c>
      <c r="F91" s="4">
        <v>45198</v>
      </c>
    </row>
    <row r="92" spans="2:6" x14ac:dyDescent="0.15">
      <c r="B92" s="3"/>
      <c r="C92" s="17"/>
      <c r="D92" s="25"/>
      <c r="E92" s="31">
        <f t="shared" si="3"/>
        <v>0</v>
      </c>
    </row>
    <row r="93" spans="2:6" x14ac:dyDescent="0.15">
      <c r="B93" s="3"/>
      <c r="C93" s="19"/>
      <c r="D93" s="28"/>
      <c r="E93" s="31">
        <f t="shared" si="3"/>
        <v>0</v>
      </c>
    </row>
    <row r="94" spans="2:6" x14ac:dyDescent="0.15">
      <c r="B94" s="3"/>
      <c r="C94" s="19"/>
      <c r="D94" s="28"/>
      <c r="E94" s="31">
        <f t="shared" si="3"/>
        <v>0</v>
      </c>
    </row>
    <row r="95" spans="2:6" x14ac:dyDescent="0.15">
      <c r="B95" s="3"/>
      <c r="C95" s="17"/>
      <c r="D95" s="25"/>
      <c r="E95" s="31">
        <f t="shared" si="3"/>
        <v>0</v>
      </c>
    </row>
    <row r="96" spans="2:6" x14ac:dyDescent="0.15">
      <c r="B96" s="3"/>
      <c r="C96" s="19"/>
      <c r="D96" s="28"/>
      <c r="E96" s="31">
        <f t="shared" si="3"/>
        <v>0</v>
      </c>
    </row>
    <row r="97" spans="2:5" x14ac:dyDescent="0.15">
      <c r="B97" s="3"/>
      <c r="C97" s="19"/>
      <c r="D97" s="28"/>
      <c r="E97" s="31">
        <f t="shared" si="3"/>
        <v>0</v>
      </c>
    </row>
    <row r="98" spans="2:5" x14ac:dyDescent="0.15">
      <c r="B98" s="3"/>
      <c r="C98" s="17"/>
      <c r="D98" s="25"/>
      <c r="E98" s="31">
        <f t="shared" si="3"/>
        <v>0</v>
      </c>
    </row>
    <row r="99" spans="2:5" x14ac:dyDescent="0.15">
      <c r="B99" s="3"/>
      <c r="C99" s="19"/>
      <c r="D99" s="28"/>
      <c r="E99" s="31">
        <f t="shared" si="3"/>
        <v>0</v>
      </c>
    </row>
    <row r="100" spans="2:5" x14ac:dyDescent="0.15">
      <c r="B100" s="3"/>
      <c r="C100" s="19"/>
      <c r="D100" s="28"/>
      <c r="E100" s="31">
        <f t="shared" si="3"/>
        <v>0</v>
      </c>
    </row>
    <row r="101" spans="2:5" x14ac:dyDescent="0.15">
      <c r="B101" s="3"/>
      <c r="C101" s="19"/>
      <c r="D101" s="28"/>
      <c r="E101" s="31">
        <f t="shared" si="3"/>
        <v>0</v>
      </c>
    </row>
    <row r="102" spans="2:5" x14ac:dyDescent="0.15">
      <c r="B102" s="3"/>
      <c r="C102" s="19"/>
      <c r="D102" s="28"/>
      <c r="E102" s="31">
        <f t="shared" si="3"/>
        <v>0</v>
      </c>
    </row>
    <row r="103" spans="2:5" x14ac:dyDescent="0.15">
      <c r="B103" s="3"/>
      <c r="C103" s="19"/>
      <c r="D103" s="28"/>
      <c r="E103" s="31">
        <f t="shared" si="3"/>
        <v>0</v>
      </c>
    </row>
    <row r="104" spans="2:5" x14ac:dyDescent="0.15">
      <c r="B104" s="3"/>
      <c r="C104" s="19"/>
      <c r="D104" s="28"/>
      <c r="E104" s="31">
        <f t="shared" si="3"/>
        <v>0</v>
      </c>
    </row>
    <row r="105" spans="2:5" x14ac:dyDescent="0.15">
      <c r="B105" s="3"/>
      <c r="C105" s="17"/>
      <c r="D105" s="25"/>
      <c r="E105" s="31">
        <f t="shared" si="3"/>
        <v>0</v>
      </c>
    </row>
    <row r="106" spans="2:5" x14ac:dyDescent="0.15">
      <c r="B106" s="3"/>
      <c r="C106" s="17"/>
      <c r="D106" s="25"/>
      <c r="E106" s="31">
        <f t="shared" si="3"/>
        <v>0</v>
      </c>
    </row>
    <row r="107" spans="2:5" x14ac:dyDescent="0.15">
      <c r="B107" s="3"/>
      <c r="C107" s="17"/>
      <c r="D107" s="25"/>
      <c r="E107" s="31">
        <f t="shared" si="3"/>
        <v>0</v>
      </c>
    </row>
    <row r="108" spans="2:5" x14ac:dyDescent="0.15">
      <c r="B108" s="3"/>
      <c r="C108" s="17"/>
      <c r="D108" s="25"/>
      <c r="E108" s="31">
        <f t="shared" si="3"/>
        <v>0</v>
      </c>
    </row>
    <row r="109" spans="2:5" x14ac:dyDescent="0.15">
      <c r="B109" s="3"/>
      <c r="C109" s="17"/>
      <c r="D109" s="25"/>
      <c r="E109" s="31">
        <f t="shared" si="3"/>
        <v>0</v>
      </c>
    </row>
    <row r="110" spans="2:5" ht="14.25" thickBot="1" x14ac:dyDescent="0.2">
      <c r="B110" s="3"/>
      <c r="C110" s="21"/>
      <c r="D110" s="26"/>
      <c r="E110" s="32">
        <f t="shared" si="3"/>
        <v>0</v>
      </c>
    </row>
    <row r="111" spans="2:5" ht="14.25" thickBot="1" x14ac:dyDescent="0.2">
      <c r="B111" s="12" t="s">
        <v>2</v>
      </c>
      <c r="C111" s="6">
        <f>SUM(C86:C110)</f>
        <v>8</v>
      </c>
      <c r="D111" s="27">
        <f>SUM(D86:D110)</f>
        <v>1</v>
      </c>
      <c r="E111" s="27">
        <f t="shared" si="3"/>
        <v>9</v>
      </c>
    </row>
    <row r="112" spans="2:5" ht="14.25" thickBot="1" x14ac:dyDescent="0.2">
      <c r="B112" s="14" t="s">
        <v>3</v>
      </c>
      <c r="C112" s="15">
        <f>+C85-C111</f>
        <v>4</v>
      </c>
      <c r="D112" s="29">
        <f>+D85-D111</f>
        <v>1</v>
      </c>
      <c r="E112" s="23">
        <f>C112</f>
        <v>4</v>
      </c>
    </row>
    <row r="115" spans="1:6" ht="19.5" thickBot="1" x14ac:dyDescent="0.25">
      <c r="B115" s="7" t="s">
        <v>9</v>
      </c>
      <c r="C115" s="8"/>
      <c r="D115" s="8"/>
      <c r="E115" s="8">
        <v>1058</v>
      </c>
    </row>
    <row r="116" spans="1:6" ht="14.25" thickBot="1" x14ac:dyDescent="0.2">
      <c r="A116" s="1"/>
      <c r="B116" s="10"/>
      <c r="C116" s="33" t="s">
        <v>6</v>
      </c>
      <c r="D116" s="34" t="s">
        <v>7</v>
      </c>
      <c r="E116" s="22" t="s">
        <v>0</v>
      </c>
    </row>
    <row r="117" spans="1:6" x14ac:dyDescent="0.15">
      <c r="B117" s="13" t="s">
        <v>3</v>
      </c>
      <c r="C117" s="20">
        <f>C112</f>
        <v>4</v>
      </c>
      <c r="D117" s="30">
        <f>D112</f>
        <v>1</v>
      </c>
      <c r="E117" s="30">
        <f>C117+D117</f>
        <v>5</v>
      </c>
    </row>
    <row r="118" spans="1:6" x14ac:dyDescent="0.15">
      <c r="B118" s="11" t="s">
        <v>4</v>
      </c>
      <c r="C118" s="17">
        <v>5</v>
      </c>
      <c r="D118" s="25">
        <v>5</v>
      </c>
      <c r="E118" s="31">
        <f>C118+D118</f>
        <v>10</v>
      </c>
      <c r="F118" s="4">
        <v>45206</v>
      </c>
    </row>
    <row r="119" spans="1:6" x14ac:dyDescent="0.15">
      <c r="B119" s="11" t="s">
        <v>4</v>
      </c>
      <c r="C119" s="17">
        <v>8</v>
      </c>
      <c r="D119" s="25"/>
      <c r="E119" s="31">
        <f t="shared" ref="E119:E149" si="4">C119+D119</f>
        <v>8</v>
      </c>
      <c r="F119" s="4">
        <v>45220</v>
      </c>
    </row>
    <row r="120" spans="1:6" x14ac:dyDescent="0.15">
      <c r="B120" s="11" t="s">
        <v>4</v>
      </c>
      <c r="C120" s="17">
        <v>0</v>
      </c>
      <c r="D120" s="25">
        <v>5</v>
      </c>
      <c r="E120" s="31">
        <f t="shared" si="4"/>
        <v>5</v>
      </c>
      <c r="F120" s="4">
        <v>45238</v>
      </c>
    </row>
    <row r="121" spans="1:6" x14ac:dyDescent="0.15">
      <c r="B121" s="41" t="s">
        <v>4</v>
      </c>
      <c r="C121" s="42">
        <v>-1</v>
      </c>
      <c r="D121" s="43">
        <v>1</v>
      </c>
      <c r="E121" s="44">
        <f t="shared" si="4"/>
        <v>0</v>
      </c>
      <c r="F121" s="45"/>
    </row>
    <row r="122" spans="1:6" ht="14.25" thickBot="1" x14ac:dyDescent="0.2">
      <c r="B122" s="11" t="s">
        <v>4</v>
      </c>
      <c r="C122" s="18">
        <v>28</v>
      </c>
      <c r="D122" s="26"/>
      <c r="E122" s="32">
        <f t="shared" si="4"/>
        <v>28</v>
      </c>
      <c r="F122" s="4">
        <v>45246</v>
      </c>
    </row>
    <row r="123" spans="1:6" ht="14.25" thickBot="1" x14ac:dyDescent="0.2">
      <c r="B123" s="12" t="s">
        <v>1</v>
      </c>
      <c r="C123" s="27">
        <f>SUM(C117:C122)</f>
        <v>44</v>
      </c>
      <c r="D123" s="6">
        <f>SUM(D117:D122)</f>
        <v>12</v>
      </c>
      <c r="E123" s="27">
        <f t="shared" si="4"/>
        <v>56</v>
      </c>
    </row>
    <row r="124" spans="1:6" x14ac:dyDescent="0.15">
      <c r="B124" s="3" t="s">
        <v>8</v>
      </c>
      <c r="C124" s="19">
        <v>1</v>
      </c>
      <c r="D124" s="28">
        <v>1</v>
      </c>
      <c r="E124" s="31">
        <f t="shared" si="4"/>
        <v>2</v>
      </c>
      <c r="F124" s="4">
        <v>45204</v>
      </c>
    </row>
    <row r="125" spans="1:6" x14ac:dyDescent="0.15">
      <c r="B125" s="3" t="s">
        <v>8</v>
      </c>
      <c r="C125" s="17"/>
      <c r="D125" s="25">
        <v>2</v>
      </c>
      <c r="E125" s="31">
        <f t="shared" si="4"/>
        <v>2</v>
      </c>
      <c r="F125" s="4">
        <v>45206</v>
      </c>
    </row>
    <row r="126" spans="1:6" x14ac:dyDescent="0.15">
      <c r="B126" s="3" t="s">
        <v>8</v>
      </c>
      <c r="C126" s="17">
        <v>1</v>
      </c>
      <c r="D126" s="25"/>
      <c r="E126" s="31">
        <f t="shared" si="4"/>
        <v>1</v>
      </c>
      <c r="F126" s="4">
        <v>45211</v>
      </c>
    </row>
    <row r="127" spans="1:6" x14ac:dyDescent="0.15">
      <c r="B127" s="3" t="s">
        <v>8</v>
      </c>
      <c r="C127" s="19">
        <v>4</v>
      </c>
      <c r="D127" s="28"/>
      <c r="E127" s="31">
        <f t="shared" si="4"/>
        <v>4</v>
      </c>
      <c r="F127" s="4">
        <v>45215</v>
      </c>
    </row>
    <row r="128" spans="1:6" x14ac:dyDescent="0.15">
      <c r="B128" s="3" t="s">
        <v>8</v>
      </c>
      <c r="C128" s="19">
        <v>2</v>
      </c>
      <c r="D128" s="28"/>
      <c r="E128" s="31">
        <f t="shared" si="4"/>
        <v>2</v>
      </c>
      <c r="F128" s="4">
        <v>45222</v>
      </c>
    </row>
    <row r="129" spans="2:6" x14ac:dyDescent="0.15">
      <c r="B129" s="3" t="s">
        <v>8</v>
      </c>
      <c r="C129" s="17"/>
      <c r="D129" s="25">
        <v>1</v>
      </c>
      <c r="E129" s="31">
        <f t="shared" si="4"/>
        <v>1</v>
      </c>
      <c r="F129" s="4">
        <v>45223</v>
      </c>
    </row>
    <row r="130" spans="2:6" x14ac:dyDescent="0.15">
      <c r="B130" s="3" t="s">
        <v>8</v>
      </c>
      <c r="C130" s="17">
        <v>2</v>
      </c>
      <c r="D130" s="25">
        <v>2</v>
      </c>
      <c r="E130" s="31">
        <f t="shared" si="4"/>
        <v>4</v>
      </c>
      <c r="F130" s="4">
        <v>45224</v>
      </c>
    </row>
    <row r="131" spans="2:6" x14ac:dyDescent="0.15">
      <c r="B131" s="3" t="s">
        <v>8</v>
      </c>
      <c r="C131" s="19">
        <v>2</v>
      </c>
      <c r="D131" s="28">
        <v>1</v>
      </c>
      <c r="E131" s="31">
        <f t="shared" si="4"/>
        <v>3</v>
      </c>
      <c r="F131" s="4">
        <v>45225</v>
      </c>
    </row>
    <row r="132" spans="2:6" x14ac:dyDescent="0.15">
      <c r="B132" s="3" t="s">
        <v>8</v>
      </c>
      <c r="C132" s="19">
        <v>2</v>
      </c>
      <c r="D132" s="28"/>
      <c r="E132" s="31">
        <f t="shared" si="4"/>
        <v>2</v>
      </c>
      <c r="F132" s="4">
        <v>45229</v>
      </c>
    </row>
    <row r="133" spans="2:6" x14ac:dyDescent="0.15">
      <c r="B133" s="3" t="s">
        <v>8</v>
      </c>
      <c r="C133" s="17">
        <v>2</v>
      </c>
      <c r="D133" s="25"/>
      <c r="E133" s="31">
        <f t="shared" si="4"/>
        <v>2</v>
      </c>
      <c r="F133" s="4">
        <v>45239</v>
      </c>
    </row>
    <row r="134" spans="2:6" x14ac:dyDescent="0.15">
      <c r="B134" s="3" t="s">
        <v>8</v>
      </c>
      <c r="C134" s="19">
        <v>7</v>
      </c>
      <c r="D134" s="28">
        <v>1</v>
      </c>
      <c r="E134" s="31">
        <f t="shared" si="4"/>
        <v>8</v>
      </c>
      <c r="F134" s="4">
        <v>45246</v>
      </c>
    </row>
    <row r="135" spans="2:6" x14ac:dyDescent="0.15">
      <c r="B135" s="3" t="s">
        <v>8</v>
      </c>
      <c r="C135" s="19">
        <v>1</v>
      </c>
      <c r="D135" s="28"/>
      <c r="E135" s="31">
        <f t="shared" si="4"/>
        <v>1</v>
      </c>
      <c r="F135" s="4">
        <v>45247</v>
      </c>
    </row>
    <row r="136" spans="2:6" x14ac:dyDescent="0.15">
      <c r="B136" s="3" t="s">
        <v>8</v>
      </c>
      <c r="C136" s="17">
        <v>5</v>
      </c>
      <c r="D136" s="25"/>
      <c r="E136" s="31">
        <f t="shared" si="4"/>
        <v>5</v>
      </c>
      <c r="F136" s="4">
        <v>45254</v>
      </c>
    </row>
    <row r="137" spans="2:6" x14ac:dyDescent="0.15">
      <c r="B137" s="3" t="s">
        <v>8</v>
      </c>
      <c r="C137" s="19">
        <f>6+2</f>
        <v>8</v>
      </c>
      <c r="D137" s="28"/>
      <c r="E137" s="31">
        <f t="shared" si="4"/>
        <v>8</v>
      </c>
      <c r="F137" s="4">
        <v>45257</v>
      </c>
    </row>
    <row r="138" spans="2:6" x14ac:dyDescent="0.15">
      <c r="B138" s="3" t="s">
        <v>8</v>
      </c>
      <c r="C138" s="19">
        <v>1</v>
      </c>
      <c r="D138" s="28"/>
      <c r="E138" s="31">
        <f t="shared" si="4"/>
        <v>1</v>
      </c>
      <c r="F138" s="4">
        <v>45259</v>
      </c>
    </row>
    <row r="139" spans="2:6" x14ac:dyDescent="0.15">
      <c r="B139" s="3" t="s">
        <v>8</v>
      </c>
      <c r="C139" s="19">
        <v>1</v>
      </c>
      <c r="D139" s="28"/>
      <c r="E139" s="31">
        <f t="shared" si="4"/>
        <v>1</v>
      </c>
      <c r="F139" s="4">
        <v>45265</v>
      </c>
    </row>
    <row r="140" spans="2:6" x14ac:dyDescent="0.15">
      <c r="B140" s="3" t="s">
        <v>8</v>
      </c>
      <c r="C140" s="19"/>
      <c r="D140" s="28">
        <v>2</v>
      </c>
      <c r="E140" s="31">
        <f t="shared" si="4"/>
        <v>2</v>
      </c>
      <c r="F140" s="4">
        <v>45266</v>
      </c>
    </row>
    <row r="141" spans="2:6" x14ac:dyDescent="0.15">
      <c r="B141" s="3"/>
      <c r="C141" s="19"/>
      <c r="D141" s="28"/>
      <c r="E141" s="31">
        <f t="shared" si="4"/>
        <v>0</v>
      </c>
    </row>
    <row r="142" spans="2:6" x14ac:dyDescent="0.15">
      <c r="B142" s="3"/>
      <c r="C142" s="19"/>
      <c r="D142" s="28"/>
      <c r="E142" s="31">
        <f t="shared" si="4"/>
        <v>0</v>
      </c>
    </row>
    <row r="143" spans="2:6" x14ac:dyDescent="0.15">
      <c r="B143" s="3"/>
      <c r="C143" s="17"/>
      <c r="D143" s="25"/>
      <c r="E143" s="31">
        <f t="shared" si="4"/>
        <v>0</v>
      </c>
    </row>
    <row r="144" spans="2:6" x14ac:dyDescent="0.15">
      <c r="B144" s="3"/>
      <c r="C144" s="17"/>
      <c r="D144" s="25"/>
      <c r="E144" s="31">
        <f t="shared" si="4"/>
        <v>0</v>
      </c>
    </row>
    <row r="145" spans="1:6" x14ac:dyDescent="0.15">
      <c r="B145" s="3"/>
      <c r="C145" s="17"/>
      <c r="D145" s="25"/>
      <c r="E145" s="31">
        <f t="shared" si="4"/>
        <v>0</v>
      </c>
    </row>
    <row r="146" spans="1:6" x14ac:dyDescent="0.15">
      <c r="B146" s="3"/>
      <c r="C146" s="17"/>
      <c r="D146" s="25"/>
      <c r="E146" s="31">
        <f t="shared" si="4"/>
        <v>0</v>
      </c>
    </row>
    <row r="147" spans="1:6" x14ac:dyDescent="0.15">
      <c r="B147" s="3"/>
      <c r="C147" s="17"/>
      <c r="D147" s="25"/>
      <c r="E147" s="31">
        <f t="shared" si="4"/>
        <v>0</v>
      </c>
    </row>
    <row r="148" spans="1:6" ht="14.25" thickBot="1" x14ac:dyDescent="0.2">
      <c r="B148" s="3"/>
      <c r="C148" s="21"/>
      <c r="D148" s="26"/>
      <c r="E148" s="32">
        <f t="shared" si="4"/>
        <v>0</v>
      </c>
    </row>
    <row r="149" spans="1:6" ht="14.25" thickBot="1" x14ac:dyDescent="0.2">
      <c r="B149" s="12" t="s">
        <v>2</v>
      </c>
      <c r="C149" s="6">
        <f>SUM(C124:C148)</f>
        <v>39</v>
      </c>
      <c r="D149" s="27">
        <f>SUM(D124:D148)</f>
        <v>10</v>
      </c>
      <c r="E149" s="27">
        <f t="shared" si="4"/>
        <v>49</v>
      </c>
    </row>
    <row r="150" spans="1:6" ht="14.25" thickBot="1" x14ac:dyDescent="0.2">
      <c r="B150" s="14" t="s">
        <v>3</v>
      </c>
      <c r="C150" s="15">
        <f>+C123-C149</f>
        <v>5</v>
      </c>
      <c r="D150" s="29">
        <f>+D123-D149</f>
        <v>2</v>
      </c>
      <c r="E150" s="23">
        <f>C150</f>
        <v>5</v>
      </c>
    </row>
    <row r="153" spans="1:6" ht="19.5" thickBot="1" x14ac:dyDescent="0.25">
      <c r="B153" s="7" t="s">
        <v>9</v>
      </c>
      <c r="C153" s="8"/>
      <c r="D153" s="8"/>
      <c r="E153" s="8">
        <v>1058</v>
      </c>
    </row>
    <row r="154" spans="1:6" ht="14.25" thickBot="1" x14ac:dyDescent="0.2">
      <c r="A154" s="1"/>
      <c r="B154" s="10"/>
      <c r="C154" s="33" t="s">
        <v>6</v>
      </c>
      <c r="D154" s="34" t="s">
        <v>7</v>
      </c>
      <c r="E154" s="22" t="s">
        <v>0</v>
      </c>
    </row>
    <row r="155" spans="1:6" x14ac:dyDescent="0.15">
      <c r="B155" s="13" t="s">
        <v>3</v>
      </c>
      <c r="C155" s="20">
        <f>C150</f>
        <v>5</v>
      </c>
      <c r="D155" s="30">
        <f>D150</f>
        <v>2</v>
      </c>
      <c r="E155" s="30">
        <f>C155+D155</f>
        <v>7</v>
      </c>
    </row>
    <row r="156" spans="1:6" x14ac:dyDescent="0.15">
      <c r="B156" s="11" t="s">
        <v>4</v>
      </c>
      <c r="C156" s="17">
        <v>20</v>
      </c>
      <c r="D156" s="25">
        <v>3</v>
      </c>
      <c r="E156" s="31">
        <f>C156+D156</f>
        <v>23</v>
      </c>
      <c r="F156" s="4">
        <v>45261</v>
      </c>
    </row>
    <row r="157" spans="1:6" x14ac:dyDescent="0.15">
      <c r="B157" s="11" t="s">
        <v>4</v>
      </c>
      <c r="C157" s="17"/>
      <c r="D157" s="25">
        <v>5</v>
      </c>
      <c r="E157" s="31">
        <f t="shared" ref="E157:E187" si="5">C157+D157</f>
        <v>5</v>
      </c>
      <c r="F157" s="4">
        <v>45274</v>
      </c>
    </row>
    <row r="158" spans="1:6" x14ac:dyDescent="0.15">
      <c r="B158" s="11" t="s">
        <v>4</v>
      </c>
      <c r="C158" s="17">
        <v>10</v>
      </c>
      <c r="D158" s="25"/>
      <c r="E158" s="31">
        <f t="shared" si="5"/>
        <v>10</v>
      </c>
      <c r="F158" s="4">
        <v>45281</v>
      </c>
    </row>
    <row r="159" spans="1:6" x14ac:dyDescent="0.15">
      <c r="B159" s="11" t="s">
        <v>4</v>
      </c>
      <c r="C159" s="17">
        <v>10</v>
      </c>
      <c r="D159" s="25"/>
      <c r="E159" s="31">
        <f t="shared" si="5"/>
        <v>10</v>
      </c>
      <c r="F159" s="4">
        <v>45302</v>
      </c>
    </row>
    <row r="160" spans="1:6" ht="14.25" thickBot="1" x14ac:dyDescent="0.2">
      <c r="B160" s="11" t="s">
        <v>4</v>
      </c>
      <c r="C160" s="18">
        <v>3</v>
      </c>
      <c r="D160" s="26"/>
      <c r="E160" s="32">
        <f t="shared" si="5"/>
        <v>3</v>
      </c>
      <c r="F160" s="4">
        <v>45390</v>
      </c>
    </row>
    <row r="161" spans="2:6" ht="14.25" thickBot="1" x14ac:dyDescent="0.2">
      <c r="B161" s="12" t="s">
        <v>1</v>
      </c>
      <c r="C161" s="27">
        <f>SUM(C155:C160)</f>
        <v>48</v>
      </c>
      <c r="D161" s="6">
        <f>SUM(D155:D160)</f>
        <v>10</v>
      </c>
      <c r="E161" s="27">
        <f t="shared" si="5"/>
        <v>58</v>
      </c>
    </row>
    <row r="162" spans="2:6" x14ac:dyDescent="0.15">
      <c r="B162" s="3" t="s">
        <v>8</v>
      </c>
      <c r="C162" s="19">
        <v>6</v>
      </c>
      <c r="D162" s="28">
        <v>3</v>
      </c>
      <c r="E162" s="31">
        <f t="shared" si="5"/>
        <v>9</v>
      </c>
      <c r="F162" s="4">
        <v>45271</v>
      </c>
    </row>
    <row r="163" spans="2:6" x14ac:dyDescent="0.15">
      <c r="B163" s="3" t="s">
        <v>8</v>
      </c>
      <c r="C163" s="17">
        <v>2</v>
      </c>
      <c r="D163" s="25"/>
      <c r="E163" s="31">
        <f t="shared" si="5"/>
        <v>2</v>
      </c>
      <c r="F163" s="4">
        <v>45272</v>
      </c>
    </row>
    <row r="164" spans="2:6" x14ac:dyDescent="0.15">
      <c r="B164" s="3" t="s">
        <v>8</v>
      </c>
      <c r="C164" s="17">
        <v>2</v>
      </c>
      <c r="D164" s="25"/>
      <c r="E164" s="31">
        <f t="shared" si="5"/>
        <v>2</v>
      </c>
      <c r="F164" s="4">
        <v>45275</v>
      </c>
    </row>
    <row r="165" spans="2:6" x14ac:dyDescent="0.15">
      <c r="B165" s="3" t="s">
        <v>8</v>
      </c>
      <c r="C165" s="19">
        <v>2</v>
      </c>
      <c r="D165" s="28"/>
      <c r="E165" s="31">
        <f t="shared" si="5"/>
        <v>2</v>
      </c>
      <c r="F165" s="4">
        <v>45276</v>
      </c>
    </row>
    <row r="166" spans="2:6" x14ac:dyDescent="0.15">
      <c r="B166" s="3" t="s">
        <v>8</v>
      </c>
      <c r="C166" s="19">
        <v>1</v>
      </c>
      <c r="D166" s="28"/>
      <c r="E166" s="31">
        <f t="shared" si="5"/>
        <v>1</v>
      </c>
      <c r="F166" s="4">
        <v>45278</v>
      </c>
    </row>
    <row r="167" spans="2:6" x14ac:dyDescent="0.15">
      <c r="B167" s="3" t="s">
        <v>8</v>
      </c>
      <c r="C167" s="17">
        <v>2</v>
      </c>
      <c r="D167" s="25"/>
      <c r="E167" s="31">
        <f t="shared" si="5"/>
        <v>2</v>
      </c>
      <c r="F167" s="4">
        <v>45279</v>
      </c>
    </row>
    <row r="168" spans="2:6" x14ac:dyDescent="0.15">
      <c r="B168" s="3" t="s">
        <v>8</v>
      </c>
      <c r="C168" s="17">
        <v>7</v>
      </c>
      <c r="D168" s="25"/>
      <c r="E168" s="31">
        <f t="shared" si="5"/>
        <v>7</v>
      </c>
      <c r="F168" s="4">
        <v>45280</v>
      </c>
    </row>
    <row r="169" spans="2:6" x14ac:dyDescent="0.15">
      <c r="B169" s="3" t="s">
        <v>8</v>
      </c>
      <c r="C169" s="19">
        <v>1</v>
      </c>
      <c r="D169" s="28"/>
      <c r="E169" s="31">
        <f t="shared" si="5"/>
        <v>1</v>
      </c>
      <c r="F169" s="4">
        <v>45286</v>
      </c>
    </row>
    <row r="170" spans="2:6" x14ac:dyDescent="0.15">
      <c r="B170" s="3" t="s">
        <v>8</v>
      </c>
      <c r="C170" s="19">
        <v>1</v>
      </c>
      <c r="D170" s="28"/>
      <c r="E170" s="31">
        <f t="shared" si="5"/>
        <v>1</v>
      </c>
      <c r="F170" s="4">
        <v>45306</v>
      </c>
    </row>
    <row r="171" spans="2:6" x14ac:dyDescent="0.15">
      <c r="B171" s="3" t="s">
        <v>8</v>
      </c>
      <c r="C171" s="17">
        <v>2</v>
      </c>
      <c r="D171" s="25"/>
      <c r="E171" s="31">
        <f t="shared" si="5"/>
        <v>2</v>
      </c>
      <c r="F171" s="4">
        <v>45316</v>
      </c>
    </row>
    <row r="172" spans="2:6" x14ac:dyDescent="0.15">
      <c r="B172" s="3" t="s">
        <v>8</v>
      </c>
      <c r="C172" s="19">
        <v>1</v>
      </c>
      <c r="D172" s="28"/>
      <c r="E172" s="31">
        <f t="shared" si="5"/>
        <v>1</v>
      </c>
      <c r="F172" s="4">
        <v>45329</v>
      </c>
    </row>
    <row r="173" spans="2:6" x14ac:dyDescent="0.15">
      <c r="B173" s="3" t="s">
        <v>8</v>
      </c>
      <c r="C173" s="19">
        <v>2</v>
      </c>
      <c r="D173" s="28"/>
      <c r="E173" s="31">
        <f t="shared" si="5"/>
        <v>2</v>
      </c>
      <c r="F173" s="4">
        <v>45348</v>
      </c>
    </row>
    <row r="174" spans="2:6" x14ac:dyDescent="0.15">
      <c r="B174" s="3" t="s">
        <v>8</v>
      </c>
      <c r="C174" s="17">
        <v>1</v>
      </c>
      <c r="D174" s="25"/>
      <c r="E174" s="31">
        <f t="shared" si="5"/>
        <v>1</v>
      </c>
      <c r="F174" s="4">
        <v>45357</v>
      </c>
    </row>
    <row r="175" spans="2:6" x14ac:dyDescent="0.15">
      <c r="B175" s="3" t="s">
        <v>8</v>
      </c>
      <c r="C175" s="19">
        <v>2</v>
      </c>
      <c r="D175" s="28"/>
      <c r="E175" s="31">
        <f t="shared" si="5"/>
        <v>2</v>
      </c>
      <c r="F175" s="4">
        <v>45358</v>
      </c>
    </row>
    <row r="176" spans="2:6" x14ac:dyDescent="0.15">
      <c r="B176" s="3" t="s">
        <v>8</v>
      </c>
      <c r="C176" s="19">
        <v>2</v>
      </c>
      <c r="D176" s="28">
        <v>2</v>
      </c>
      <c r="E176" s="31">
        <f t="shared" si="5"/>
        <v>4</v>
      </c>
      <c r="F176" s="4">
        <v>45362</v>
      </c>
    </row>
    <row r="177" spans="1:6" x14ac:dyDescent="0.15">
      <c r="B177" s="3" t="s">
        <v>8</v>
      </c>
      <c r="C177" s="19">
        <v>1</v>
      </c>
      <c r="D177" s="28"/>
      <c r="E177" s="31">
        <f t="shared" si="5"/>
        <v>1</v>
      </c>
      <c r="F177" s="4">
        <v>45376</v>
      </c>
    </row>
    <row r="178" spans="1:6" x14ac:dyDescent="0.15">
      <c r="B178" s="3" t="s">
        <v>8</v>
      </c>
      <c r="C178" s="19">
        <v>1</v>
      </c>
      <c r="D178" s="28"/>
      <c r="E178" s="31">
        <f t="shared" si="5"/>
        <v>1</v>
      </c>
      <c r="F178" s="4">
        <v>45380</v>
      </c>
    </row>
    <row r="179" spans="1:6" x14ac:dyDescent="0.15">
      <c r="B179" s="3" t="s">
        <v>8</v>
      </c>
      <c r="C179" s="19">
        <v>2</v>
      </c>
      <c r="D179" s="28"/>
      <c r="E179" s="31">
        <f t="shared" si="5"/>
        <v>2</v>
      </c>
      <c r="F179" s="4">
        <v>45398</v>
      </c>
    </row>
    <row r="180" spans="1:6" x14ac:dyDescent="0.15">
      <c r="B180" s="3" t="s">
        <v>8</v>
      </c>
      <c r="C180" s="19">
        <v>1</v>
      </c>
      <c r="D180" s="28"/>
      <c r="E180" s="31">
        <f t="shared" si="5"/>
        <v>1</v>
      </c>
      <c r="F180" s="4">
        <v>45412</v>
      </c>
    </row>
    <row r="181" spans="1:6" x14ac:dyDescent="0.15">
      <c r="B181" s="3" t="s">
        <v>8</v>
      </c>
      <c r="C181" s="17">
        <v>1</v>
      </c>
      <c r="D181" s="25"/>
      <c r="E181" s="31">
        <f t="shared" si="5"/>
        <v>1</v>
      </c>
      <c r="F181" s="4">
        <v>45413</v>
      </c>
    </row>
    <row r="182" spans="1:6" x14ac:dyDescent="0.15">
      <c r="B182" s="3" t="s">
        <v>8</v>
      </c>
      <c r="C182" s="17">
        <v>1</v>
      </c>
      <c r="D182" s="25"/>
      <c r="E182" s="31">
        <f t="shared" si="5"/>
        <v>1</v>
      </c>
      <c r="F182" s="4">
        <v>45432</v>
      </c>
    </row>
    <row r="183" spans="1:6" x14ac:dyDescent="0.15">
      <c r="B183" s="3" t="s">
        <v>8</v>
      </c>
      <c r="C183" s="17">
        <v>2</v>
      </c>
      <c r="D183" s="25"/>
      <c r="E183" s="31">
        <f t="shared" si="5"/>
        <v>2</v>
      </c>
      <c r="F183" s="4">
        <v>45454</v>
      </c>
    </row>
    <row r="184" spans="1:6" x14ac:dyDescent="0.15">
      <c r="B184" s="3" t="s">
        <v>8</v>
      </c>
      <c r="C184" s="17">
        <v>2</v>
      </c>
      <c r="D184" s="25"/>
      <c r="E184" s="31">
        <f t="shared" si="5"/>
        <v>2</v>
      </c>
      <c r="F184" s="4">
        <v>45456</v>
      </c>
    </row>
    <row r="185" spans="1:6" x14ac:dyDescent="0.15">
      <c r="B185" s="3" t="s">
        <v>8</v>
      </c>
      <c r="C185" s="17">
        <v>1</v>
      </c>
      <c r="D185" s="25"/>
      <c r="E185" s="31">
        <f t="shared" si="5"/>
        <v>1</v>
      </c>
      <c r="F185" s="4">
        <v>45478</v>
      </c>
    </row>
    <row r="186" spans="1:6" ht="14.25" thickBot="1" x14ac:dyDescent="0.2">
      <c r="B186" s="3" t="s">
        <v>8</v>
      </c>
      <c r="C186" s="21">
        <v>1</v>
      </c>
      <c r="D186" s="26"/>
      <c r="E186" s="32">
        <f t="shared" si="5"/>
        <v>1</v>
      </c>
      <c r="F186" s="4">
        <v>45509</v>
      </c>
    </row>
    <row r="187" spans="1:6" ht="14.25" thickBot="1" x14ac:dyDescent="0.2">
      <c r="B187" s="12" t="s">
        <v>2</v>
      </c>
      <c r="C187" s="6">
        <f>SUM(C162:C186)</f>
        <v>47</v>
      </c>
      <c r="D187" s="27">
        <f>SUM(D162:D186)</f>
        <v>5</v>
      </c>
      <c r="E187" s="27">
        <f t="shared" si="5"/>
        <v>52</v>
      </c>
    </row>
    <row r="188" spans="1:6" ht="14.25" thickBot="1" x14ac:dyDescent="0.2">
      <c r="B188" s="14" t="s">
        <v>3</v>
      </c>
      <c r="C188" s="15">
        <f>+C161-C187</f>
        <v>1</v>
      </c>
      <c r="D188" s="29">
        <f>+D161-D187</f>
        <v>5</v>
      </c>
      <c r="E188" s="23">
        <f>C188</f>
        <v>1</v>
      </c>
    </row>
    <row r="191" spans="1:6" ht="19.5" thickBot="1" x14ac:dyDescent="0.25">
      <c r="B191" s="7" t="s">
        <v>9</v>
      </c>
      <c r="C191" s="8"/>
      <c r="D191" s="8"/>
      <c r="E191" s="8">
        <v>1058</v>
      </c>
    </row>
    <row r="192" spans="1:6" ht="14.25" thickBot="1" x14ac:dyDescent="0.2">
      <c r="A192" s="1"/>
      <c r="B192" s="10"/>
      <c r="C192" s="33" t="s">
        <v>6</v>
      </c>
      <c r="D192" s="34" t="s">
        <v>7</v>
      </c>
      <c r="E192" s="22" t="s">
        <v>0</v>
      </c>
    </row>
    <row r="193" spans="2:6" x14ac:dyDescent="0.15">
      <c r="B193" s="13" t="s">
        <v>3</v>
      </c>
      <c r="C193" s="20">
        <f>C188</f>
        <v>1</v>
      </c>
      <c r="D193" s="30">
        <f>D188</f>
        <v>5</v>
      </c>
      <c r="E193" s="30">
        <f>C193+D193</f>
        <v>6</v>
      </c>
    </row>
    <row r="194" spans="2:6" x14ac:dyDescent="0.15">
      <c r="B194" s="11" t="s">
        <v>13</v>
      </c>
      <c r="C194" s="46">
        <v>1</v>
      </c>
      <c r="D194" s="25">
        <v>0</v>
      </c>
      <c r="E194" s="31">
        <f>C194+D194</f>
        <v>1</v>
      </c>
      <c r="F194" s="4">
        <v>45526</v>
      </c>
    </row>
    <row r="195" spans="2:6" x14ac:dyDescent="0.15">
      <c r="B195" s="11" t="s">
        <v>4</v>
      </c>
      <c r="C195" s="46"/>
      <c r="D195" s="25">
        <v>3</v>
      </c>
      <c r="E195" s="31">
        <f t="shared" ref="E195:E225" si="6">C195+D195</f>
        <v>3</v>
      </c>
      <c r="F195" s="4">
        <v>45642</v>
      </c>
    </row>
    <row r="196" spans="2:6" x14ac:dyDescent="0.15">
      <c r="B196" s="11" t="s">
        <v>4</v>
      </c>
      <c r="C196" s="46"/>
      <c r="D196" s="25">
        <v>3</v>
      </c>
      <c r="E196" s="31">
        <f t="shared" si="6"/>
        <v>3</v>
      </c>
      <c r="F196" s="4">
        <v>45678</v>
      </c>
    </row>
    <row r="197" spans="2:6" x14ac:dyDescent="0.15">
      <c r="B197" s="11" t="s">
        <v>4</v>
      </c>
      <c r="C197" s="46"/>
      <c r="D197" s="25"/>
      <c r="E197" s="31">
        <f t="shared" si="6"/>
        <v>0</v>
      </c>
      <c r="F197" s="4"/>
    </row>
    <row r="198" spans="2:6" ht="14.25" thickBot="1" x14ac:dyDescent="0.2">
      <c r="B198" s="11" t="s">
        <v>4</v>
      </c>
      <c r="C198" s="47"/>
      <c r="D198" s="26"/>
      <c r="E198" s="32">
        <f t="shared" si="6"/>
        <v>0</v>
      </c>
      <c r="F198" s="4"/>
    </row>
    <row r="199" spans="2:6" ht="14.25" thickBot="1" x14ac:dyDescent="0.2">
      <c r="B199" s="12" t="s">
        <v>1</v>
      </c>
      <c r="C199" s="27">
        <f>SUM(C193:C198)</f>
        <v>2</v>
      </c>
      <c r="D199" s="6">
        <f>SUM(D193:D198)</f>
        <v>11</v>
      </c>
      <c r="E199" s="27">
        <f t="shared" si="6"/>
        <v>13</v>
      </c>
    </row>
    <row r="200" spans="2:6" x14ac:dyDescent="0.15">
      <c r="B200" s="3" t="s">
        <v>8</v>
      </c>
      <c r="C200" s="19"/>
      <c r="D200" s="28">
        <v>1</v>
      </c>
      <c r="E200" s="31">
        <f t="shared" si="6"/>
        <v>1</v>
      </c>
      <c r="F200" s="4">
        <v>45540</v>
      </c>
    </row>
    <row r="201" spans="2:6" x14ac:dyDescent="0.15">
      <c r="B201" s="3" t="s">
        <v>8</v>
      </c>
      <c r="C201" s="17">
        <v>1</v>
      </c>
      <c r="D201" s="25"/>
      <c r="E201" s="31">
        <f t="shared" si="6"/>
        <v>1</v>
      </c>
      <c r="F201" s="4">
        <v>45544</v>
      </c>
    </row>
    <row r="202" spans="2:6" x14ac:dyDescent="0.15">
      <c r="B202" s="3" t="s">
        <v>8</v>
      </c>
      <c r="C202" s="17">
        <v>1</v>
      </c>
      <c r="D202" s="25"/>
      <c r="E202" s="31">
        <f t="shared" si="6"/>
        <v>1</v>
      </c>
      <c r="F202" s="4">
        <v>45556</v>
      </c>
    </row>
    <row r="203" spans="2:6" x14ac:dyDescent="0.15">
      <c r="B203" s="3" t="s">
        <v>8</v>
      </c>
      <c r="C203" s="19"/>
      <c r="D203" s="28">
        <v>1</v>
      </c>
      <c r="E203" s="31">
        <f t="shared" si="6"/>
        <v>1</v>
      </c>
      <c r="F203" s="4">
        <v>45628</v>
      </c>
    </row>
    <row r="204" spans="2:6" x14ac:dyDescent="0.15">
      <c r="B204" s="3" t="s">
        <v>8</v>
      </c>
      <c r="C204" s="19"/>
      <c r="D204" s="28">
        <v>1</v>
      </c>
      <c r="E204" s="31">
        <f t="shared" si="6"/>
        <v>1</v>
      </c>
      <c r="F204" s="4">
        <v>45635</v>
      </c>
    </row>
    <row r="205" spans="2:6" x14ac:dyDescent="0.15">
      <c r="B205" s="3" t="s">
        <v>8</v>
      </c>
      <c r="C205" s="17"/>
      <c r="D205" s="25">
        <v>2</v>
      </c>
      <c r="E205" s="31">
        <f t="shared" si="6"/>
        <v>2</v>
      </c>
      <c r="F205" s="4">
        <v>45674</v>
      </c>
    </row>
    <row r="206" spans="2:6" x14ac:dyDescent="0.15">
      <c r="B206" s="3" t="s">
        <v>14</v>
      </c>
      <c r="C206" s="17"/>
      <c r="D206" s="25">
        <v>1</v>
      </c>
      <c r="E206" s="31">
        <f t="shared" si="6"/>
        <v>1</v>
      </c>
      <c r="F206" s="4">
        <v>45889</v>
      </c>
    </row>
    <row r="207" spans="2:6" x14ac:dyDescent="0.15">
      <c r="B207" s="3" t="s">
        <v>8</v>
      </c>
      <c r="C207" s="19"/>
      <c r="D207" s="28">
        <v>2</v>
      </c>
      <c r="E207" s="31">
        <f t="shared" si="6"/>
        <v>2</v>
      </c>
      <c r="F207" s="4">
        <v>45987</v>
      </c>
    </row>
    <row r="208" spans="2:6" x14ac:dyDescent="0.15">
      <c r="B208" s="3" t="s">
        <v>8</v>
      </c>
      <c r="C208" s="19"/>
      <c r="D208" s="28">
        <v>1</v>
      </c>
      <c r="E208" s="31">
        <f t="shared" si="6"/>
        <v>1</v>
      </c>
      <c r="F208" s="4">
        <v>46045</v>
      </c>
    </row>
    <row r="209" spans="2:6" x14ac:dyDescent="0.15">
      <c r="B209" s="3" t="s">
        <v>13</v>
      </c>
      <c r="C209" s="17">
        <v>0</v>
      </c>
      <c r="D209" s="25">
        <v>0</v>
      </c>
      <c r="E209" s="31">
        <f t="shared" si="6"/>
        <v>0</v>
      </c>
      <c r="F209" s="4">
        <v>46078</v>
      </c>
    </row>
    <row r="210" spans="2:6" x14ac:dyDescent="0.15">
      <c r="B210" s="3" t="s">
        <v>8</v>
      </c>
      <c r="C210" s="19"/>
      <c r="D210" s="28">
        <v>1</v>
      </c>
      <c r="E210" s="31">
        <f t="shared" si="6"/>
        <v>1</v>
      </c>
      <c r="F210" s="4">
        <v>46129</v>
      </c>
    </row>
    <row r="211" spans="2:6" x14ac:dyDescent="0.15">
      <c r="B211" s="3" t="s">
        <v>8</v>
      </c>
      <c r="C211" s="19"/>
      <c r="D211" s="28">
        <v>1</v>
      </c>
      <c r="E211" s="31">
        <f t="shared" si="6"/>
        <v>1</v>
      </c>
      <c r="F211" s="4">
        <v>46167</v>
      </c>
    </row>
    <row r="212" spans="2:6" x14ac:dyDescent="0.15">
      <c r="B212" s="3"/>
      <c r="C212" s="17"/>
      <c r="D212" s="25"/>
      <c r="E212" s="31">
        <f t="shared" si="6"/>
        <v>0</v>
      </c>
      <c r="F212" s="4"/>
    </row>
    <row r="213" spans="2:6" x14ac:dyDescent="0.15">
      <c r="B213" s="3"/>
      <c r="C213" s="19"/>
      <c r="D213" s="28"/>
      <c r="E213" s="31">
        <f t="shared" si="6"/>
        <v>0</v>
      </c>
      <c r="F213" s="4"/>
    </row>
    <row r="214" spans="2:6" x14ac:dyDescent="0.15">
      <c r="B214" s="3"/>
      <c r="C214" s="19"/>
      <c r="D214" s="28"/>
      <c r="E214" s="31">
        <f t="shared" si="6"/>
        <v>0</v>
      </c>
      <c r="F214" s="4"/>
    </row>
    <row r="215" spans="2:6" x14ac:dyDescent="0.15">
      <c r="B215" s="3"/>
      <c r="C215" s="19"/>
      <c r="D215" s="28"/>
      <c r="E215" s="31">
        <f t="shared" si="6"/>
        <v>0</v>
      </c>
      <c r="F215" s="4"/>
    </row>
    <row r="216" spans="2:6" x14ac:dyDescent="0.15">
      <c r="B216" s="3"/>
      <c r="C216" s="19"/>
      <c r="D216" s="28"/>
      <c r="E216" s="31">
        <f t="shared" si="6"/>
        <v>0</v>
      </c>
      <c r="F216" s="4"/>
    </row>
    <row r="217" spans="2:6" x14ac:dyDescent="0.15">
      <c r="B217" s="3"/>
      <c r="C217" s="19"/>
      <c r="D217" s="28"/>
      <c r="E217" s="31">
        <f t="shared" si="6"/>
        <v>0</v>
      </c>
      <c r="F217" s="4"/>
    </row>
    <row r="218" spans="2:6" x14ac:dyDescent="0.15">
      <c r="B218" s="3"/>
      <c r="C218" s="19"/>
      <c r="D218" s="28"/>
      <c r="E218" s="31">
        <f t="shared" si="6"/>
        <v>0</v>
      </c>
      <c r="F218" s="4"/>
    </row>
    <row r="219" spans="2:6" x14ac:dyDescent="0.15">
      <c r="B219" s="3"/>
      <c r="C219" s="17"/>
      <c r="D219" s="25"/>
      <c r="E219" s="31">
        <f t="shared" si="6"/>
        <v>0</v>
      </c>
      <c r="F219" s="4"/>
    </row>
    <row r="220" spans="2:6" x14ac:dyDescent="0.15">
      <c r="B220" s="3"/>
      <c r="C220" s="17"/>
      <c r="D220" s="25"/>
      <c r="E220" s="31">
        <f t="shared" si="6"/>
        <v>0</v>
      </c>
      <c r="F220" s="4"/>
    </row>
    <row r="221" spans="2:6" x14ac:dyDescent="0.15">
      <c r="B221" s="3"/>
      <c r="C221" s="17"/>
      <c r="D221" s="25"/>
      <c r="E221" s="31">
        <f t="shared" si="6"/>
        <v>0</v>
      </c>
      <c r="F221" s="4"/>
    </row>
    <row r="222" spans="2:6" x14ac:dyDescent="0.15">
      <c r="B222" s="3"/>
      <c r="C222" s="17"/>
      <c r="D222" s="25"/>
      <c r="E222" s="31">
        <f t="shared" si="6"/>
        <v>0</v>
      </c>
      <c r="F222" s="4"/>
    </row>
    <row r="223" spans="2:6" x14ac:dyDescent="0.15">
      <c r="B223" s="3"/>
      <c r="C223" s="17"/>
      <c r="D223" s="25"/>
      <c r="E223" s="31">
        <f t="shared" si="6"/>
        <v>0</v>
      </c>
    </row>
    <row r="224" spans="2:6" ht="14.25" thickBot="1" x14ac:dyDescent="0.2">
      <c r="B224" s="3"/>
      <c r="C224" s="21"/>
      <c r="D224" s="26"/>
      <c r="E224" s="32">
        <f t="shared" si="6"/>
        <v>0</v>
      </c>
    </row>
    <row r="225" spans="2:5" ht="14.25" thickBot="1" x14ac:dyDescent="0.2">
      <c r="B225" s="12" t="s">
        <v>2</v>
      </c>
      <c r="C225" s="6">
        <f>SUM(C200:C224)</f>
        <v>2</v>
      </c>
      <c r="D225" s="27">
        <f>SUM(D200:D224)</f>
        <v>11</v>
      </c>
      <c r="E225" s="27">
        <f t="shared" si="6"/>
        <v>13</v>
      </c>
    </row>
    <row r="226" spans="2:5" ht="14.25" thickBot="1" x14ac:dyDescent="0.2">
      <c r="B226" s="14" t="s">
        <v>3</v>
      </c>
      <c r="C226" s="15">
        <f>+C199-C225</f>
        <v>0</v>
      </c>
      <c r="D226" s="29">
        <f>+D199-D225</f>
        <v>0</v>
      </c>
      <c r="E226" s="23">
        <f>C226</f>
        <v>0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タイツ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村田敦彦</cp:lastModifiedBy>
  <dcterms:created xsi:type="dcterms:W3CDTF">1997-01-08T22:48:59Z</dcterms:created>
  <dcterms:modified xsi:type="dcterms:W3CDTF">2026-05-25T05:40:49Z</dcterms:modified>
</cp:coreProperties>
</file>