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ユーセン\"/>
    </mc:Choice>
  </mc:AlternateContent>
  <xr:revisionPtr revIDLastSave="0" documentId="13_ncr:1_{37439490-6486-4D1D-9E4F-41612454D6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ショーツ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3" i="2" l="1"/>
  <c r="E53" i="2"/>
  <c r="F53" i="2"/>
  <c r="G53" i="2"/>
  <c r="H53" i="2"/>
  <c r="C53" i="2"/>
  <c r="I50" i="2"/>
  <c r="I51" i="2"/>
  <c r="I52" i="2"/>
  <c r="C79" i="2"/>
  <c r="D79" i="2"/>
  <c r="E79" i="2"/>
  <c r="F79" i="2"/>
  <c r="G79" i="2"/>
  <c r="H79" i="2"/>
  <c r="I5" i="2"/>
  <c r="I6" i="2"/>
  <c r="I7" i="2"/>
  <c r="I8" i="2"/>
  <c r="I9" i="2"/>
  <c r="I10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12" i="2"/>
  <c r="I53" i="2" l="1"/>
  <c r="E37" i="2"/>
  <c r="F37" i="2"/>
  <c r="G37" i="2"/>
  <c r="E11" i="2"/>
  <c r="F11" i="2"/>
  <c r="G11" i="2"/>
  <c r="F38" i="2" l="1"/>
  <c r="F44" i="2" s="1"/>
  <c r="F80" i="2" s="1"/>
  <c r="E38" i="2"/>
  <c r="E44" i="2" s="1"/>
  <c r="E80" i="2" s="1"/>
  <c r="G38" i="2"/>
  <c r="G44" i="2" s="1"/>
  <c r="G80" i="2" s="1"/>
  <c r="C11" i="2"/>
  <c r="D11" i="2"/>
  <c r="H11" i="2"/>
  <c r="C37" i="2"/>
  <c r="D37" i="2"/>
  <c r="H37" i="2"/>
  <c r="I45" i="2"/>
  <c r="I46" i="2"/>
  <c r="I47" i="2"/>
  <c r="I48" i="2"/>
  <c r="I49" i="2"/>
  <c r="I54" i="2"/>
  <c r="I55" i="2"/>
  <c r="I56" i="2"/>
  <c r="I57" i="2"/>
  <c r="I58" i="2"/>
  <c r="I59" i="2"/>
  <c r="I60" i="2"/>
  <c r="I61" i="2"/>
  <c r="I62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37" i="2" l="1"/>
  <c r="I11" i="2"/>
  <c r="I63" i="2"/>
  <c r="H38" i="2"/>
  <c r="H44" i="2" s="1"/>
  <c r="H80" i="2" s="1"/>
  <c r="D38" i="2"/>
  <c r="D44" i="2" s="1"/>
  <c r="D80" i="2" s="1"/>
  <c r="C38" i="2"/>
  <c r="C44" i="2" s="1"/>
  <c r="C80" i="2" s="1"/>
  <c r="I38" i="2" l="1"/>
  <c r="I79" i="2"/>
  <c r="I44" i="2"/>
  <c r="I80" i="2" l="1"/>
</calcChain>
</file>

<file path=xl/sharedStrings.xml><?xml version="1.0" encoding="utf-8"?>
<sst xmlns="http://schemas.openxmlformats.org/spreadsheetml/2006/main" count="71" uniqueCount="20">
  <si>
    <t>計</t>
    <rPh sb="0" eb="1">
      <t>ケイ</t>
    </rPh>
    <phoneticPr fontId="1"/>
  </si>
  <si>
    <t>総数</t>
    <rPh sb="0" eb="2">
      <t>ソウスウ</t>
    </rPh>
    <phoneticPr fontId="1"/>
  </si>
  <si>
    <t>出荷数</t>
    <rPh sb="0" eb="2">
      <t>シュッカ</t>
    </rPh>
    <rPh sb="2" eb="3">
      <t>スウ</t>
    </rPh>
    <phoneticPr fontId="1"/>
  </si>
  <si>
    <t>残数</t>
    <rPh sb="0" eb="2">
      <t>ザンスウ</t>
    </rPh>
    <phoneticPr fontId="1"/>
  </si>
  <si>
    <t>追加</t>
    <rPh sb="0" eb="2">
      <t>ツイカ</t>
    </rPh>
    <phoneticPr fontId="1"/>
  </si>
  <si>
    <t>初回</t>
    <rPh sb="0" eb="2">
      <t>ショカイ</t>
    </rPh>
    <phoneticPr fontId="1"/>
  </si>
  <si>
    <t>グレーベージュ</t>
    <phoneticPr fontId="1"/>
  </si>
  <si>
    <t>ピンクベージュ</t>
    <phoneticPr fontId="1"/>
  </si>
  <si>
    <t>M</t>
    <phoneticPr fontId="1"/>
  </si>
  <si>
    <t>L</t>
    <phoneticPr fontId="1"/>
  </si>
  <si>
    <t>LL</t>
    <phoneticPr fontId="1"/>
  </si>
  <si>
    <t>M</t>
    <phoneticPr fontId="1"/>
  </si>
  <si>
    <t>L</t>
    <phoneticPr fontId="1"/>
  </si>
  <si>
    <t>LL</t>
    <phoneticPr fontId="1"/>
  </si>
  <si>
    <t>シルクゆったりレース付きショーツ＜夢販在庫＞</t>
    <rPh sb="10" eb="11">
      <t>ツ</t>
    </rPh>
    <rPh sb="17" eb="21">
      <t>ユメハンザイコ</t>
    </rPh>
    <phoneticPr fontId="1"/>
  </si>
  <si>
    <t>ネット</t>
    <phoneticPr fontId="1"/>
  </si>
  <si>
    <t>在庫確認</t>
    <rPh sb="0" eb="4">
      <t>ザイコカクニン</t>
    </rPh>
    <phoneticPr fontId="1"/>
  </si>
  <si>
    <t>8/</t>
    <phoneticPr fontId="1"/>
  </si>
  <si>
    <t>追加</t>
    <rPh sb="0" eb="2">
      <t>ツイカ</t>
    </rPh>
    <phoneticPr fontId="1"/>
  </si>
  <si>
    <t>在庫確認</t>
    <rPh sb="0" eb="4">
      <t>ザイコカクニン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</si>
</sst>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4" fillId="0" borderId="16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9" xfId="0" applyFont="1" applyBorder="1" applyAlignment="1">
      <alignment horizontal="center"/>
    </xf>
    <xf numFmtId="0" fontId="0" fillId="0" borderId="8" xfId="0" applyBorder="1"/>
    <xf numFmtId="0" fontId="0" fillId="0" borderId="3" xfId="0" applyBorder="1"/>
    <xf numFmtId="0" fontId="0" fillId="0" borderId="8" xfId="0" applyBorder="1" applyAlignment="1">
      <alignment horizontal="center"/>
    </xf>
    <xf numFmtId="0" fontId="0" fillId="0" borderId="18" xfId="0" applyBorder="1"/>
    <xf numFmtId="0" fontId="0" fillId="0" borderId="7" xfId="0" applyBorder="1"/>
    <xf numFmtId="0" fontId="0" fillId="0" borderId="14" xfId="0" applyBorder="1"/>
    <xf numFmtId="56" fontId="0" fillId="0" borderId="2" xfId="0" applyNumberFormat="1" applyBorder="1" applyAlignment="1">
      <alignment horizontal="center"/>
    </xf>
    <xf numFmtId="0" fontId="0" fillId="0" borderId="17" xfId="0" applyBorder="1"/>
    <xf numFmtId="0" fontId="0" fillId="0" borderId="2" xfId="0" applyBorder="1"/>
    <xf numFmtId="0" fontId="0" fillId="0" borderId="12" xfId="0" applyBorder="1"/>
    <xf numFmtId="0" fontId="3" fillId="0" borderId="17" xfId="0" applyFont="1" applyBorder="1"/>
    <xf numFmtId="0" fontId="3" fillId="0" borderId="2" xfId="0" applyFont="1" applyBorder="1"/>
    <xf numFmtId="0" fontId="3" fillId="0" borderId="12" xfId="0" applyFont="1" applyBorder="1"/>
    <xf numFmtId="56" fontId="0" fillId="0" borderId="0" xfId="0" applyNumberFormat="1"/>
    <xf numFmtId="56" fontId="3" fillId="0" borderId="0" xfId="0" applyNumberFormat="1" applyFont="1"/>
    <xf numFmtId="0" fontId="0" fillId="0" borderId="9" xfId="0" applyBorder="1"/>
    <xf numFmtId="0" fontId="0" fillId="0" borderId="19" xfId="0" applyBorder="1"/>
    <xf numFmtId="0" fontId="0" fillId="0" borderId="13" xfId="0" applyBorder="1"/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11" xfId="0" applyBorder="1"/>
    <xf numFmtId="56" fontId="0" fillId="0" borderId="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2" fillId="2" borderId="0" xfId="0" applyFont="1" applyFill="1"/>
    <xf numFmtId="56" fontId="0" fillId="0" borderId="0" xfId="0" applyNumberFormat="1" applyAlignment="1">
      <alignment horizontal="right"/>
    </xf>
    <xf numFmtId="0" fontId="0" fillId="0" borderId="20" xfId="0" applyBorder="1"/>
    <xf numFmtId="56" fontId="0" fillId="0" borderId="22" xfId="0" applyNumberFormat="1" applyBorder="1" applyAlignment="1">
      <alignment horizontal="center"/>
    </xf>
    <xf numFmtId="0" fontId="4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5" xfId="0" applyBorder="1"/>
    <xf numFmtId="0" fontId="3" fillId="0" borderId="25" xfId="0" applyFont="1" applyBorder="1"/>
    <xf numFmtId="0" fontId="4" fillId="0" borderId="26" xfId="0" applyFont="1" applyBorder="1"/>
    <xf numFmtId="0" fontId="0" fillId="0" borderId="27" xfId="0" applyBorder="1"/>
    <xf numFmtId="0" fontId="0" fillId="0" borderId="28" xfId="0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23" xfId="0" applyBorder="1"/>
    <xf numFmtId="0" fontId="3" fillId="0" borderId="30" xfId="0" applyFont="1" applyBorder="1"/>
    <xf numFmtId="0" fontId="4" fillId="0" borderId="32" xfId="0" applyFont="1" applyBorder="1"/>
    <xf numFmtId="0" fontId="0" fillId="0" borderId="33" xfId="0" applyBorder="1"/>
    <xf numFmtId="0" fontId="0" fillId="0" borderId="34" xfId="0" applyBorder="1"/>
    <xf numFmtId="0" fontId="3" fillId="0" borderId="33" xfId="0" applyFont="1" applyBorder="1"/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6" xfId="0" applyBorder="1"/>
    <xf numFmtId="0" fontId="0" fillId="4" borderId="2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3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tabSelected="1" topLeftCell="A43" zoomScaleNormal="100" workbookViewId="0">
      <selection activeCell="C69" sqref="C69"/>
    </sheetView>
  </sheetViews>
  <sheetFormatPr defaultRowHeight="13.5" x14ac:dyDescent="0.15"/>
  <cols>
    <col min="2" max="2" width="22.75" style="1" customWidth="1"/>
    <col min="3" max="9" width="8.625" customWidth="1"/>
    <col min="10" max="10" width="9.25" bestFit="1" customWidth="1"/>
  </cols>
  <sheetData>
    <row r="1" spans="2:10" ht="18.75" x14ac:dyDescent="0.2">
      <c r="B1" s="34" t="s">
        <v>14</v>
      </c>
      <c r="C1" s="33"/>
      <c r="D1" s="33"/>
      <c r="E1" s="33"/>
      <c r="F1" s="33"/>
      <c r="G1" s="33"/>
      <c r="H1" s="33"/>
      <c r="I1" s="33"/>
    </row>
    <row r="2" spans="2:10" ht="14.25" thickBot="1" x14ac:dyDescent="0.2">
      <c r="I2">
        <v>1058</v>
      </c>
    </row>
    <row r="3" spans="2:10" ht="14.25" thickBot="1" x14ac:dyDescent="0.2">
      <c r="B3" s="32"/>
      <c r="C3" s="61" t="s">
        <v>6</v>
      </c>
      <c r="D3" s="62"/>
      <c r="E3" s="63"/>
      <c r="F3" s="64" t="s">
        <v>7</v>
      </c>
      <c r="G3" s="65"/>
      <c r="H3" s="66"/>
      <c r="I3" s="36"/>
    </row>
    <row r="4" spans="2:10" s="1" customFormat="1" ht="14.25" thickBot="1" x14ac:dyDescent="0.2">
      <c r="B4" s="30"/>
      <c r="C4" s="31" t="s">
        <v>8</v>
      </c>
      <c r="D4" s="45" t="s">
        <v>9</v>
      </c>
      <c r="E4" s="29" t="s">
        <v>10</v>
      </c>
      <c r="F4" s="31" t="s">
        <v>11</v>
      </c>
      <c r="G4" s="45" t="s">
        <v>12</v>
      </c>
      <c r="H4" s="29" t="s">
        <v>13</v>
      </c>
      <c r="I4" s="8" t="s">
        <v>0</v>
      </c>
    </row>
    <row r="5" spans="2:10" ht="14.25" customHeight="1" x14ac:dyDescent="0.15">
      <c r="B5" s="28" t="s">
        <v>5</v>
      </c>
      <c r="C5" s="27">
        <v>3</v>
      </c>
      <c r="D5" s="46">
        <v>3</v>
      </c>
      <c r="E5" s="44">
        <v>3</v>
      </c>
      <c r="F5" s="40">
        <v>3</v>
      </c>
      <c r="G5" s="46">
        <v>3</v>
      </c>
      <c r="H5" s="44">
        <v>3</v>
      </c>
      <c r="I5" s="13">
        <f t="shared" ref="I5:I8" si="0">C5+D5+E5+F5+G5+H5</f>
        <v>18</v>
      </c>
      <c r="J5" s="19"/>
    </row>
    <row r="6" spans="2:10" x14ac:dyDescent="0.15">
      <c r="B6" s="25" t="s">
        <v>4</v>
      </c>
      <c r="C6" s="15"/>
      <c r="D6" s="47"/>
      <c r="E6" s="13"/>
      <c r="F6" s="41"/>
      <c r="G6" s="52">
        <v>2</v>
      </c>
      <c r="H6" s="13"/>
      <c r="I6" s="13">
        <f t="shared" si="0"/>
        <v>2</v>
      </c>
      <c r="J6" s="19">
        <v>44964</v>
      </c>
    </row>
    <row r="7" spans="2:10" x14ac:dyDescent="0.15">
      <c r="B7" s="25" t="s">
        <v>16</v>
      </c>
      <c r="C7" s="15">
        <v>0</v>
      </c>
      <c r="D7" s="47">
        <v>0</v>
      </c>
      <c r="E7" s="13">
        <v>0</v>
      </c>
      <c r="F7" s="41">
        <v>0</v>
      </c>
      <c r="G7" s="52">
        <v>0</v>
      </c>
      <c r="H7" s="13">
        <v>0</v>
      </c>
      <c r="I7" s="13">
        <f t="shared" si="0"/>
        <v>0</v>
      </c>
      <c r="J7" s="19">
        <v>45146</v>
      </c>
    </row>
    <row r="8" spans="2:10" x14ac:dyDescent="0.15">
      <c r="B8" s="25" t="s">
        <v>4</v>
      </c>
      <c r="C8" s="15"/>
      <c r="D8" s="47"/>
      <c r="E8" s="13">
        <v>1</v>
      </c>
      <c r="F8" s="41">
        <v>3</v>
      </c>
      <c r="G8" s="52"/>
      <c r="H8" s="13">
        <v>1</v>
      </c>
      <c r="I8" s="13">
        <f t="shared" si="0"/>
        <v>5</v>
      </c>
      <c r="J8" s="19">
        <v>45320</v>
      </c>
    </row>
    <row r="9" spans="2:10" x14ac:dyDescent="0.15">
      <c r="B9" s="25" t="s">
        <v>4</v>
      </c>
      <c r="C9" s="15"/>
      <c r="D9" s="47"/>
      <c r="E9" s="13"/>
      <c r="F9" s="41">
        <v>2</v>
      </c>
      <c r="G9" s="52">
        <v>2</v>
      </c>
      <c r="H9" s="13"/>
      <c r="I9" s="13">
        <f t="shared" ref="I9:I37" si="1">C9+D9+E9+F9+G9+H9</f>
        <v>4</v>
      </c>
      <c r="J9" s="19">
        <v>45440</v>
      </c>
    </row>
    <row r="10" spans="2:10" ht="14.25" thickBot="1" x14ac:dyDescent="0.2">
      <c r="B10" s="24" t="s">
        <v>4</v>
      </c>
      <c r="C10" s="23"/>
      <c r="D10" s="48"/>
      <c r="E10" s="9">
        <v>3</v>
      </c>
      <c r="G10" s="53"/>
      <c r="H10" s="9">
        <v>4</v>
      </c>
      <c r="I10" s="9">
        <f t="shared" si="1"/>
        <v>7</v>
      </c>
      <c r="J10" s="19">
        <v>45476</v>
      </c>
    </row>
    <row r="11" spans="2:10" ht="14.25" thickBot="1" x14ac:dyDescent="0.2">
      <c r="B11" s="8" t="s">
        <v>1</v>
      </c>
      <c r="C11" s="39">
        <f>SUM(C5:C10)</f>
        <v>3</v>
      </c>
      <c r="D11" s="49">
        <f>SUM(D5:D10)</f>
        <v>3</v>
      </c>
      <c r="E11" s="36">
        <f t="shared" ref="E11:G11" si="2">SUM(E5:E10)</f>
        <v>7</v>
      </c>
      <c r="F11" s="39">
        <f t="shared" si="2"/>
        <v>8</v>
      </c>
      <c r="G11" s="49">
        <f t="shared" si="2"/>
        <v>7</v>
      </c>
      <c r="H11" s="7">
        <f>SUM(H5:H10)</f>
        <v>8</v>
      </c>
      <c r="I11" s="6">
        <f t="shared" si="1"/>
        <v>36</v>
      </c>
    </row>
    <row r="12" spans="2:10" x14ac:dyDescent="0.15">
      <c r="B12" s="28" t="s">
        <v>15</v>
      </c>
      <c r="C12" s="27"/>
      <c r="D12" s="46"/>
      <c r="E12" s="13"/>
      <c r="F12" s="41"/>
      <c r="G12" s="52">
        <v>1</v>
      </c>
      <c r="H12" s="13"/>
      <c r="I12" s="13">
        <f>C12+D12+E12+F12+G12+H12</f>
        <v>1</v>
      </c>
      <c r="J12" s="19">
        <v>44851</v>
      </c>
    </row>
    <row r="13" spans="2:10" x14ac:dyDescent="0.15">
      <c r="B13" s="37" t="s">
        <v>15</v>
      </c>
      <c r="C13" s="15"/>
      <c r="D13" s="47"/>
      <c r="E13" s="13"/>
      <c r="F13" s="41"/>
      <c r="G13" s="52">
        <v>1</v>
      </c>
      <c r="H13" s="13"/>
      <c r="I13" s="13">
        <f t="shared" si="1"/>
        <v>1</v>
      </c>
      <c r="J13" s="19">
        <v>44904</v>
      </c>
    </row>
    <row r="14" spans="2:10" x14ac:dyDescent="0.15">
      <c r="B14" s="37" t="s">
        <v>15</v>
      </c>
      <c r="C14" s="15"/>
      <c r="D14" s="47"/>
      <c r="E14" s="13">
        <v>1</v>
      </c>
      <c r="F14" s="41"/>
      <c r="G14" s="52"/>
      <c r="H14" s="13"/>
      <c r="I14" s="13">
        <f t="shared" si="1"/>
        <v>1</v>
      </c>
      <c r="J14" s="19">
        <v>44961</v>
      </c>
    </row>
    <row r="15" spans="2:10" x14ac:dyDescent="0.15">
      <c r="B15" s="37" t="s">
        <v>15</v>
      </c>
      <c r="C15" s="15"/>
      <c r="D15" s="47"/>
      <c r="E15" s="13"/>
      <c r="F15" s="41"/>
      <c r="G15" s="52"/>
      <c r="H15" s="13">
        <v>2</v>
      </c>
      <c r="I15" s="13">
        <f t="shared" si="1"/>
        <v>2</v>
      </c>
      <c r="J15" s="19">
        <v>45121</v>
      </c>
    </row>
    <row r="16" spans="2:10" x14ac:dyDescent="0.15">
      <c r="B16" s="37" t="s">
        <v>15</v>
      </c>
      <c r="C16" s="15"/>
      <c r="D16" s="47"/>
      <c r="E16" s="13">
        <v>1</v>
      </c>
      <c r="F16" s="41"/>
      <c r="G16" s="52"/>
      <c r="H16" s="13"/>
      <c r="I16" s="13">
        <f t="shared" si="1"/>
        <v>1</v>
      </c>
      <c r="J16" s="19">
        <v>45202</v>
      </c>
    </row>
    <row r="17" spans="2:10" x14ac:dyDescent="0.15">
      <c r="B17" s="37" t="s">
        <v>15</v>
      </c>
      <c r="C17" s="15">
        <v>1</v>
      </c>
      <c r="D17" s="47"/>
      <c r="E17" s="13"/>
      <c r="F17" s="41">
        <v>2</v>
      </c>
      <c r="G17" s="52"/>
      <c r="H17" s="13"/>
      <c r="I17" s="13">
        <f t="shared" si="1"/>
        <v>3</v>
      </c>
      <c r="J17" s="19">
        <v>45278</v>
      </c>
    </row>
    <row r="18" spans="2:10" x14ac:dyDescent="0.15">
      <c r="B18" s="37" t="s">
        <v>15</v>
      </c>
      <c r="C18" s="15"/>
      <c r="D18" s="47"/>
      <c r="E18" s="13"/>
      <c r="F18" s="41">
        <v>2</v>
      </c>
      <c r="G18" s="52"/>
      <c r="H18" s="13"/>
      <c r="I18" s="13">
        <f t="shared" si="1"/>
        <v>2</v>
      </c>
      <c r="J18" s="19">
        <v>45320</v>
      </c>
    </row>
    <row r="19" spans="2:10" x14ac:dyDescent="0.15">
      <c r="B19" s="37" t="s">
        <v>15</v>
      </c>
      <c r="C19" s="15"/>
      <c r="D19" s="47">
        <v>1</v>
      </c>
      <c r="E19" s="13"/>
      <c r="F19" s="41"/>
      <c r="G19" s="52"/>
      <c r="H19" s="13"/>
      <c r="I19" s="13">
        <f t="shared" si="1"/>
        <v>1</v>
      </c>
      <c r="J19" s="19">
        <v>45355</v>
      </c>
    </row>
    <row r="20" spans="2:10" x14ac:dyDescent="0.15">
      <c r="B20" s="37" t="s">
        <v>15</v>
      </c>
      <c r="C20" s="15"/>
      <c r="D20" s="47"/>
      <c r="E20" s="13"/>
      <c r="F20" s="41">
        <v>2</v>
      </c>
      <c r="G20" s="52">
        <v>2</v>
      </c>
      <c r="H20" s="13"/>
      <c r="I20" s="13">
        <f t="shared" si="1"/>
        <v>4</v>
      </c>
      <c r="J20" s="19">
        <v>45439</v>
      </c>
    </row>
    <row r="21" spans="2:10" x14ac:dyDescent="0.15">
      <c r="B21" s="37" t="s">
        <v>15</v>
      </c>
      <c r="C21" s="15"/>
      <c r="D21" s="47"/>
      <c r="E21" s="13">
        <v>1</v>
      </c>
      <c r="F21" s="41"/>
      <c r="G21" s="52"/>
      <c r="H21" s="13">
        <v>1</v>
      </c>
      <c r="I21" s="13">
        <f t="shared" si="1"/>
        <v>2</v>
      </c>
      <c r="J21" s="19">
        <v>45448</v>
      </c>
    </row>
    <row r="22" spans="2:10" x14ac:dyDescent="0.15">
      <c r="B22" s="37" t="s">
        <v>15</v>
      </c>
      <c r="C22" s="18"/>
      <c r="D22" s="50"/>
      <c r="E22" s="16"/>
      <c r="F22" s="42"/>
      <c r="G22" s="54"/>
      <c r="H22" s="16">
        <v>1</v>
      </c>
      <c r="I22" s="13">
        <f t="shared" si="1"/>
        <v>1</v>
      </c>
      <c r="J22" s="20">
        <v>45472</v>
      </c>
    </row>
    <row r="23" spans="2:10" x14ac:dyDescent="0.15">
      <c r="B23" s="37" t="s">
        <v>15</v>
      </c>
      <c r="C23" s="18"/>
      <c r="D23" s="50"/>
      <c r="E23" s="16">
        <v>2</v>
      </c>
      <c r="F23" s="42"/>
      <c r="G23" s="54"/>
      <c r="H23" s="16">
        <v>2</v>
      </c>
      <c r="I23" s="13">
        <f t="shared" si="1"/>
        <v>4</v>
      </c>
      <c r="J23" s="20">
        <v>45476</v>
      </c>
    </row>
    <row r="24" spans="2:10" x14ac:dyDescent="0.15">
      <c r="B24" s="37" t="s">
        <v>15</v>
      </c>
      <c r="C24" s="15"/>
      <c r="D24" s="47"/>
      <c r="E24" s="13"/>
      <c r="F24" s="41"/>
      <c r="G24" s="52"/>
      <c r="H24" s="13">
        <v>1</v>
      </c>
      <c r="I24" s="13">
        <f t="shared" si="1"/>
        <v>1</v>
      </c>
      <c r="J24" s="19">
        <v>45499</v>
      </c>
    </row>
    <row r="25" spans="2:10" x14ac:dyDescent="0.15">
      <c r="B25" s="37" t="s">
        <v>15</v>
      </c>
      <c r="C25" s="18"/>
      <c r="D25" s="50"/>
      <c r="E25" s="16"/>
      <c r="F25" s="42">
        <v>2</v>
      </c>
      <c r="G25" s="54"/>
      <c r="H25" s="16"/>
      <c r="I25" s="13">
        <f t="shared" si="1"/>
        <v>2</v>
      </c>
      <c r="J25" s="20">
        <v>45505</v>
      </c>
    </row>
    <row r="26" spans="2:10" x14ac:dyDescent="0.15">
      <c r="B26" s="12"/>
      <c r="C26" s="18"/>
      <c r="D26" s="50"/>
      <c r="E26" s="16"/>
      <c r="F26" s="42"/>
      <c r="G26" s="54"/>
      <c r="H26" s="16"/>
      <c r="I26" s="13">
        <f t="shared" si="1"/>
        <v>0</v>
      </c>
      <c r="J26" s="20"/>
    </row>
    <row r="27" spans="2:10" x14ac:dyDescent="0.15">
      <c r="B27" s="12"/>
      <c r="C27" s="18"/>
      <c r="D27" s="50"/>
      <c r="E27" s="16"/>
      <c r="F27" s="42"/>
      <c r="G27" s="54"/>
      <c r="H27" s="16"/>
      <c r="I27" s="13">
        <f t="shared" si="1"/>
        <v>0</v>
      </c>
      <c r="J27" s="20"/>
    </row>
    <row r="28" spans="2:10" x14ac:dyDescent="0.15">
      <c r="B28" s="12"/>
      <c r="C28" s="18"/>
      <c r="D28" s="50"/>
      <c r="E28" s="16"/>
      <c r="F28" s="42"/>
      <c r="G28" s="54"/>
      <c r="H28" s="16"/>
      <c r="I28" s="13">
        <f t="shared" si="1"/>
        <v>0</v>
      </c>
      <c r="J28" s="20"/>
    </row>
    <row r="29" spans="2:10" x14ac:dyDescent="0.15">
      <c r="B29" s="12"/>
      <c r="C29" s="18"/>
      <c r="D29" s="50"/>
      <c r="E29" s="16"/>
      <c r="F29" s="42"/>
      <c r="G29" s="54"/>
      <c r="H29" s="16"/>
      <c r="I29" s="13">
        <f t="shared" si="1"/>
        <v>0</v>
      </c>
      <c r="J29" s="20"/>
    </row>
    <row r="30" spans="2:10" x14ac:dyDescent="0.15">
      <c r="B30" s="12"/>
      <c r="C30" s="18"/>
      <c r="D30" s="50"/>
      <c r="E30" s="16"/>
      <c r="F30" s="42"/>
      <c r="G30" s="54"/>
      <c r="H30" s="16"/>
      <c r="I30" s="13">
        <f t="shared" si="1"/>
        <v>0</v>
      </c>
      <c r="J30" s="20"/>
    </row>
    <row r="31" spans="2:10" x14ac:dyDescent="0.15">
      <c r="B31" s="12"/>
      <c r="C31" s="15"/>
      <c r="D31" s="47"/>
      <c r="E31" s="13"/>
      <c r="F31" s="41"/>
      <c r="G31" s="52"/>
      <c r="H31" s="13"/>
      <c r="I31" s="13">
        <f t="shared" si="1"/>
        <v>0</v>
      </c>
      <c r="J31" s="35"/>
    </row>
    <row r="32" spans="2:10" x14ac:dyDescent="0.15">
      <c r="B32" s="12"/>
      <c r="C32" s="15"/>
      <c r="D32" s="47"/>
      <c r="E32" s="13"/>
      <c r="F32" s="41"/>
      <c r="G32" s="52"/>
      <c r="H32" s="13"/>
      <c r="I32" s="13">
        <f t="shared" si="1"/>
        <v>0</v>
      </c>
      <c r="J32" s="35"/>
    </row>
    <row r="33" spans="1:10" x14ac:dyDescent="0.15">
      <c r="B33" s="12"/>
      <c r="C33" s="15"/>
      <c r="D33" s="47"/>
      <c r="E33" s="13"/>
      <c r="F33" s="41"/>
      <c r="G33" s="52"/>
      <c r="H33" s="13"/>
      <c r="I33" s="13">
        <f t="shared" si="1"/>
        <v>0</v>
      </c>
      <c r="J33" s="35"/>
    </row>
    <row r="34" spans="1:10" x14ac:dyDescent="0.15">
      <c r="B34" s="12"/>
      <c r="C34" s="15"/>
      <c r="D34" s="47"/>
      <c r="E34" s="13"/>
      <c r="F34" s="41"/>
      <c r="G34" s="52"/>
      <c r="H34" s="13"/>
      <c r="I34" s="13">
        <f t="shared" si="1"/>
        <v>0</v>
      </c>
      <c r="J34" s="35"/>
    </row>
    <row r="35" spans="1:10" x14ac:dyDescent="0.15">
      <c r="B35" s="12"/>
      <c r="C35" s="15"/>
      <c r="D35" s="47"/>
      <c r="E35" s="13"/>
      <c r="F35" s="41"/>
      <c r="G35" s="52"/>
      <c r="H35" s="13"/>
      <c r="I35" s="13">
        <f t="shared" si="1"/>
        <v>0</v>
      </c>
      <c r="J35" s="35"/>
    </row>
    <row r="36" spans="1:10" ht="14.25" thickBot="1" x14ac:dyDescent="0.2">
      <c r="B36" s="12"/>
      <c r="C36" s="11"/>
      <c r="D36" s="48"/>
      <c r="E36" s="9"/>
      <c r="G36" s="53"/>
      <c r="H36" s="9"/>
      <c r="I36" s="9">
        <f t="shared" si="1"/>
        <v>0</v>
      </c>
      <c r="J36" s="35"/>
    </row>
    <row r="37" spans="1:10" ht="14.25" thickBot="1" x14ac:dyDescent="0.2">
      <c r="B37" s="8" t="s">
        <v>2</v>
      </c>
      <c r="C37" s="7">
        <f>SUM(C12:C36)</f>
        <v>1</v>
      </c>
      <c r="D37" s="49">
        <f>SUM(D12:D36)</f>
        <v>1</v>
      </c>
      <c r="E37" s="36">
        <f t="shared" ref="E37:G37" si="3">SUM(E12:E36)</f>
        <v>5</v>
      </c>
      <c r="F37" s="39">
        <f t="shared" si="3"/>
        <v>8</v>
      </c>
      <c r="G37" s="49">
        <f t="shared" si="3"/>
        <v>4</v>
      </c>
      <c r="H37" s="36">
        <f>SUM(H12:H36)</f>
        <v>7</v>
      </c>
      <c r="I37" s="6">
        <f t="shared" si="1"/>
        <v>26</v>
      </c>
    </row>
    <row r="38" spans="1:10" ht="14.25" thickBot="1" x14ac:dyDescent="0.2">
      <c r="B38" s="5" t="s">
        <v>3</v>
      </c>
      <c r="C38" s="4">
        <f>+C11-C37</f>
        <v>2</v>
      </c>
      <c r="D38" s="51">
        <f>+D11-D37</f>
        <v>2</v>
      </c>
      <c r="E38" s="2">
        <f t="shared" ref="E38:G38" si="4">+E11-E37</f>
        <v>2</v>
      </c>
      <c r="F38" s="43">
        <f t="shared" si="4"/>
        <v>0</v>
      </c>
      <c r="G38" s="51">
        <f t="shared" si="4"/>
        <v>3</v>
      </c>
      <c r="H38" s="2">
        <f>+H11-H37</f>
        <v>1</v>
      </c>
      <c r="I38" s="38">
        <f>+I11-I37</f>
        <v>10</v>
      </c>
    </row>
    <row r="40" spans="1:10" ht="18.75" x14ac:dyDescent="0.2">
      <c r="B40" s="34" t="s">
        <v>14</v>
      </c>
      <c r="C40" s="33"/>
      <c r="D40" s="33"/>
      <c r="E40" s="33"/>
      <c r="F40" s="33"/>
      <c r="G40" s="33"/>
      <c r="H40" s="33"/>
      <c r="I40" s="33"/>
    </row>
    <row r="41" spans="1:10" ht="14.25" thickBot="1" x14ac:dyDescent="0.2">
      <c r="I41">
        <v>1058</v>
      </c>
    </row>
    <row r="42" spans="1:10" ht="14.25" thickBot="1" x14ac:dyDescent="0.2">
      <c r="B42" s="8"/>
      <c r="C42" s="67" t="s">
        <v>6</v>
      </c>
      <c r="D42" s="68"/>
      <c r="E42" s="68"/>
      <c r="F42" s="68" t="s">
        <v>7</v>
      </c>
      <c r="G42" s="68"/>
      <c r="H42" s="68"/>
      <c r="I42" s="60"/>
    </row>
    <row r="43" spans="1:10" ht="14.25" thickBot="1" x14ac:dyDescent="0.2">
      <c r="A43" s="1"/>
      <c r="B43" s="8"/>
      <c r="C43" s="57" t="s">
        <v>8</v>
      </c>
      <c r="D43" s="58" t="s">
        <v>9</v>
      </c>
      <c r="E43" s="58" t="s">
        <v>10</v>
      </c>
      <c r="F43" s="58" t="s">
        <v>11</v>
      </c>
      <c r="G43" s="58" t="s">
        <v>12</v>
      </c>
      <c r="H43" s="58" t="s">
        <v>13</v>
      </c>
      <c r="I43" s="59" t="s">
        <v>0</v>
      </c>
    </row>
    <row r="44" spans="1:10" x14ac:dyDescent="0.15">
      <c r="B44" s="37" t="s">
        <v>3</v>
      </c>
      <c r="C44" s="26">
        <f>C38</f>
        <v>2</v>
      </c>
      <c r="D44" s="26">
        <f>D38</f>
        <v>2</v>
      </c>
      <c r="E44" s="26">
        <f t="shared" ref="E44:G44" si="5">E38</f>
        <v>2</v>
      </c>
      <c r="F44" s="26">
        <f t="shared" si="5"/>
        <v>0</v>
      </c>
      <c r="G44" s="26">
        <f t="shared" si="5"/>
        <v>3</v>
      </c>
      <c r="H44" s="26">
        <f>H38</f>
        <v>1</v>
      </c>
      <c r="I44" s="26">
        <f t="shared" ref="I44:I80" si="6">C44+D44+H44</f>
        <v>5</v>
      </c>
    </row>
    <row r="45" spans="1:10" x14ac:dyDescent="0.15">
      <c r="B45" s="25" t="s">
        <v>4</v>
      </c>
      <c r="C45" s="14"/>
      <c r="D45" s="14"/>
      <c r="E45" s="14"/>
      <c r="F45" s="14">
        <v>4</v>
      </c>
      <c r="G45" s="14"/>
      <c r="H45" s="14">
        <v>2</v>
      </c>
      <c r="I45" s="14">
        <f t="shared" si="6"/>
        <v>2</v>
      </c>
      <c r="J45" s="19" t="s">
        <v>17</v>
      </c>
    </row>
    <row r="46" spans="1:10" x14ac:dyDescent="0.15">
      <c r="B46" s="25" t="s">
        <v>16</v>
      </c>
      <c r="C46" s="14">
        <v>0</v>
      </c>
      <c r="D46" s="14">
        <v>-1</v>
      </c>
      <c r="E46" s="14">
        <v>0</v>
      </c>
      <c r="F46" s="14">
        <v>0</v>
      </c>
      <c r="G46" s="14">
        <v>0</v>
      </c>
      <c r="H46" s="14">
        <v>0</v>
      </c>
      <c r="I46" s="14">
        <f t="shared" si="6"/>
        <v>-1</v>
      </c>
      <c r="J46" s="19">
        <v>45526</v>
      </c>
    </row>
    <row r="47" spans="1:10" x14ac:dyDescent="0.15">
      <c r="B47" s="25" t="s">
        <v>4</v>
      </c>
      <c r="C47" s="14"/>
      <c r="D47" s="14">
        <v>2</v>
      </c>
      <c r="E47" s="14"/>
      <c r="F47" s="14"/>
      <c r="G47" s="14"/>
      <c r="H47" s="14"/>
      <c r="I47" s="14">
        <f t="shared" si="6"/>
        <v>2</v>
      </c>
      <c r="J47" s="19">
        <v>45544</v>
      </c>
    </row>
    <row r="48" spans="1:10" x14ac:dyDescent="0.15">
      <c r="B48" s="25" t="s">
        <v>4</v>
      </c>
      <c r="C48" s="14"/>
      <c r="D48" s="14"/>
      <c r="E48" s="14"/>
      <c r="F48" s="14"/>
      <c r="G48" s="14"/>
      <c r="H48" s="14">
        <v>2</v>
      </c>
      <c r="I48" s="14">
        <f t="shared" si="6"/>
        <v>2</v>
      </c>
      <c r="J48" s="19">
        <v>45616</v>
      </c>
    </row>
    <row r="49" spans="2:10" x14ac:dyDescent="0.15">
      <c r="B49" s="25" t="s">
        <v>4</v>
      </c>
      <c r="C49" s="14">
        <v>2</v>
      </c>
      <c r="D49" s="14"/>
      <c r="E49" s="14"/>
      <c r="F49" s="14"/>
      <c r="G49" s="14"/>
      <c r="H49" s="14"/>
      <c r="I49" s="14">
        <f t="shared" si="6"/>
        <v>2</v>
      </c>
      <c r="J49" s="19">
        <v>45779</v>
      </c>
    </row>
    <row r="50" spans="2:10" x14ac:dyDescent="0.15">
      <c r="B50" s="25" t="s">
        <v>4</v>
      </c>
      <c r="C50" s="14"/>
      <c r="D50" s="14">
        <v>2</v>
      </c>
      <c r="E50" s="14"/>
      <c r="F50" s="14"/>
      <c r="G50" s="14"/>
      <c r="H50" s="14"/>
      <c r="I50" s="14">
        <f t="shared" ref="I50:I52" si="7">C50+D50+H50</f>
        <v>2</v>
      </c>
      <c r="J50" s="19">
        <v>45878</v>
      </c>
    </row>
    <row r="51" spans="2:10" x14ac:dyDescent="0.15">
      <c r="B51" s="25" t="s">
        <v>4</v>
      </c>
      <c r="C51" s="14">
        <v>2</v>
      </c>
      <c r="D51" s="14"/>
      <c r="E51" s="14"/>
      <c r="F51" s="14"/>
      <c r="G51" s="14"/>
      <c r="H51" s="14"/>
      <c r="I51" s="14">
        <f t="shared" si="7"/>
        <v>2</v>
      </c>
      <c r="J51" s="19">
        <v>45926</v>
      </c>
    </row>
    <row r="52" spans="2:10" ht="14.25" thickBot="1" x14ac:dyDescent="0.2">
      <c r="B52" s="56" t="s">
        <v>4</v>
      </c>
      <c r="C52" s="22"/>
      <c r="D52" s="22"/>
      <c r="E52" s="22"/>
      <c r="F52" s="22"/>
      <c r="G52" s="22"/>
      <c r="H52" s="22"/>
      <c r="I52" s="22">
        <f t="shared" si="7"/>
        <v>0</v>
      </c>
      <c r="J52" s="19"/>
    </row>
    <row r="53" spans="2:10" ht="14.25" thickBot="1" x14ac:dyDescent="0.2">
      <c r="B53" s="55" t="s">
        <v>1</v>
      </c>
      <c r="C53" s="21">
        <f>SUM(C44:C52)</f>
        <v>6</v>
      </c>
      <c r="D53" s="21">
        <f t="shared" ref="D53:H53" si="8">SUM(D44:D52)</f>
        <v>5</v>
      </c>
      <c r="E53" s="21">
        <f t="shared" si="8"/>
        <v>2</v>
      </c>
      <c r="F53" s="21">
        <f t="shared" si="8"/>
        <v>4</v>
      </c>
      <c r="G53" s="21">
        <f t="shared" si="8"/>
        <v>3</v>
      </c>
      <c r="H53" s="21">
        <f t="shared" si="8"/>
        <v>5</v>
      </c>
      <c r="I53" s="21">
        <f t="shared" ref="I53" si="9">SUM(I44:I52)</f>
        <v>16</v>
      </c>
    </row>
    <row r="54" spans="2:10" x14ac:dyDescent="0.15">
      <c r="B54" s="37" t="s">
        <v>15</v>
      </c>
      <c r="C54" s="18"/>
      <c r="D54" s="17"/>
      <c r="E54" s="16"/>
      <c r="F54" s="16"/>
      <c r="G54" s="16">
        <v>1</v>
      </c>
      <c r="H54" s="16"/>
      <c r="I54" s="13">
        <f t="shared" si="6"/>
        <v>0</v>
      </c>
      <c r="J54" s="20">
        <v>45546</v>
      </c>
    </row>
    <row r="55" spans="2:10" x14ac:dyDescent="0.15">
      <c r="B55" s="37" t="s">
        <v>15</v>
      </c>
      <c r="C55" s="15"/>
      <c r="D55" s="14"/>
      <c r="E55" s="13"/>
      <c r="F55" s="13"/>
      <c r="G55" s="13"/>
      <c r="H55" s="13">
        <v>1</v>
      </c>
      <c r="I55" s="13">
        <f t="shared" si="6"/>
        <v>1</v>
      </c>
      <c r="J55" s="19">
        <v>45552</v>
      </c>
    </row>
    <row r="56" spans="2:10" x14ac:dyDescent="0.15">
      <c r="B56" s="37" t="s">
        <v>15</v>
      </c>
      <c r="C56" s="15"/>
      <c r="D56" s="14"/>
      <c r="E56" s="13"/>
      <c r="F56" s="13"/>
      <c r="G56" s="13"/>
      <c r="H56" s="13">
        <v>2</v>
      </c>
      <c r="I56" s="13">
        <f t="shared" si="6"/>
        <v>2</v>
      </c>
      <c r="J56" s="19">
        <v>45610</v>
      </c>
    </row>
    <row r="57" spans="2:10" x14ac:dyDescent="0.15">
      <c r="B57" s="37" t="s">
        <v>15</v>
      </c>
      <c r="C57" s="18">
        <v>1</v>
      </c>
      <c r="D57" s="17">
        <v>1</v>
      </c>
      <c r="E57" s="16"/>
      <c r="F57" s="16">
        <v>1</v>
      </c>
      <c r="G57" s="16"/>
      <c r="H57" s="16"/>
      <c r="I57" s="13">
        <f t="shared" si="6"/>
        <v>2</v>
      </c>
      <c r="J57" s="19">
        <v>45775</v>
      </c>
    </row>
    <row r="58" spans="2:10" x14ac:dyDescent="0.15">
      <c r="B58" s="37" t="s">
        <v>15</v>
      </c>
      <c r="C58" s="18"/>
      <c r="D58" s="17"/>
      <c r="E58" s="16"/>
      <c r="F58" s="16"/>
      <c r="G58" s="16"/>
      <c r="H58" s="16">
        <v>1</v>
      </c>
      <c r="I58" s="13">
        <f t="shared" si="6"/>
        <v>1</v>
      </c>
      <c r="J58" s="19">
        <v>45838</v>
      </c>
    </row>
    <row r="59" spans="2:10" x14ac:dyDescent="0.15">
      <c r="B59" s="12" t="s">
        <v>18</v>
      </c>
      <c r="C59" s="15"/>
      <c r="D59" s="14"/>
      <c r="E59" s="13"/>
      <c r="F59" s="13"/>
      <c r="G59" s="13"/>
      <c r="H59" s="13">
        <v>-2</v>
      </c>
      <c r="I59" s="13">
        <f t="shared" si="6"/>
        <v>-2</v>
      </c>
      <c r="J59" s="19">
        <v>45847</v>
      </c>
    </row>
    <row r="60" spans="2:10" x14ac:dyDescent="0.15">
      <c r="B60" s="37" t="s">
        <v>15</v>
      </c>
      <c r="C60" s="15"/>
      <c r="D60" s="14">
        <v>1</v>
      </c>
      <c r="E60" s="13"/>
      <c r="F60" s="13"/>
      <c r="G60" s="13"/>
      <c r="H60" s="13"/>
      <c r="I60" s="13">
        <f t="shared" si="6"/>
        <v>1</v>
      </c>
      <c r="J60" s="19">
        <v>45852</v>
      </c>
    </row>
    <row r="61" spans="2:10" x14ac:dyDescent="0.15">
      <c r="B61" s="37" t="s">
        <v>15</v>
      </c>
      <c r="C61" s="15">
        <v>2</v>
      </c>
      <c r="D61" s="14"/>
      <c r="E61" s="13"/>
      <c r="F61" s="13"/>
      <c r="G61" s="13"/>
      <c r="H61" s="13"/>
      <c r="I61" s="13">
        <f t="shared" si="6"/>
        <v>2</v>
      </c>
      <c r="J61" s="19">
        <v>45887</v>
      </c>
    </row>
    <row r="62" spans="2:10" x14ac:dyDescent="0.15">
      <c r="B62" s="12" t="s">
        <v>19</v>
      </c>
      <c r="C62" s="15">
        <v>0</v>
      </c>
      <c r="D62" s="14">
        <v>0</v>
      </c>
      <c r="E62" s="13">
        <v>0</v>
      </c>
      <c r="F62" s="13">
        <v>0</v>
      </c>
      <c r="G62" s="13">
        <v>0</v>
      </c>
      <c r="H62" s="13">
        <v>0</v>
      </c>
      <c r="I62" s="13">
        <f t="shared" si="6"/>
        <v>0</v>
      </c>
      <c r="J62" s="19">
        <v>45889</v>
      </c>
    </row>
    <row r="63" spans="2:10" x14ac:dyDescent="0.15">
      <c r="B63" s="12" t="s">
        <v>16</v>
      </c>
      <c r="C63" s="15">
        <v>0</v>
      </c>
      <c r="D63" s="14">
        <v>0</v>
      </c>
      <c r="E63" s="13">
        <v>0</v>
      </c>
      <c r="F63" s="13">
        <v>0</v>
      </c>
      <c r="G63" s="13">
        <v>0</v>
      </c>
      <c r="H63" s="13">
        <v>0</v>
      </c>
      <c r="I63" s="13">
        <f t="shared" si="6"/>
        <v>0</v>
      </c>
      <c r="J63" s="19">
        <v>46078</v>
      </c>
    </row>
    <row r="64" spans="2:10" x14ac:dyDescent="0.15">
      <c r="B64" s="37" t="s">
        <v>15</v>
      </c>
      <c r="C64" s="18"/>
      <c r="D64" s="17"/>
      <c r="E64" s="16"/>
      <c r="F64" s="16">
        <v>1</v>
      </c>
      <c r="G64" s="16">
        <v>2</v>
      </c>
      <c r="H64" s="16"/>
      <c r="I64" s="13">
        <f t="shared" si="6"/>
        <v>0</v>
      </c>
      <c r="J64" s="19">
        <v>46106</v>
      </c>
    </row>
    <row r="65" spans="2:10" x14ac:dyDescent="0.15">
      <c r="B65" s="37" t="s">
        <v>15</v>
      </c>
      <c r="C65" s="18"/>
      <c r="D65" s="17"/>
      <c r="E65" s="16"/>
      <c r="F65" s="16"/>
      <c r="G65" s="16"/>
      <c r="H65" s="16">
        <v>1</v>
      </c>
      <c r="I65" s="13">
        <f t="shared" si="6"/>
        <v>1</v>
      </c>
      <c r="J65" s="19">
        <v>46155</v>
      </c>
    </row>
    <row r="66" spans="2:10" x14ac:dyDescent="0.15">
      <c r="B66" s="37" t="s">
        <v>15</v>
      </c>
      <c r="C66" s="15"/>
      <c r="D66" s="14"/>
      <c r="E66" s="13"/>
      <c r="F66" s="13"/>
      <c r="G66" s="13"/>
      <c r="H66" s="13">
        <v>1</v>
      </c>
      <c r="I66" s="13">
        <f t="shared" si="6"/>
        <v>1</v>
      </c>
      <c r="J66" s="19">
        <v>46171</v>
      </c>
    </row>
    <row r="67" spans="2:10" x14ac:dyDescent="0.15">
      <c r="B67" s="37" t="s">
        <v>15</v>
      </c>
      <c r="C67" s="18"/>
      <c r="D67" s="17"/>
      <c r="E67" s="16">
        <v>2</v>
      </c>
      <c r="F67" s="16"/>
      <c r="G67" s="16"/>
      <c r="H67" s="16"/>
      <c r="I67" s="13">
        <f t="shared" si="6"/>
        <v>0</v>
      </c>
      <c r="J67" s="19">
        <v>46175</v>
      </c>
    </row>
    <row r="68" spans="2:10" x14ac:dyDescent="0.15">
      <c r="B68" s="37" t="s">
        <v>15</v>
      </c>
      <c r="C68" s="18"/>
      <c r="D68" s="17"/>
      <c r="E68" s="16"/>
      <c r="F68" s="16"/>
      <c r="G68" s="16"/>
      <c r="H68" s="16">
        <v>1</v>
      </c>
      <c r="I68" s="13">
        <f t="shared" si="6"/>
        <v>1</v>
      </c>
      <c r="J68" s="19">
        <v>46185</v>
      </c>
    </row>
    <row r="69" spans="2:10" x14ac:dyDescent="0.15">
      <c r="B69" s="12"/>
      <c r="C69" s="18"/>
      <c r="D69" s="17"/>
      <c r="E69" s="16"/>
      <c r="F69" s="16"/>
      <c r="G69" s="16"/>
      <c r="H69" s="16"/>
      <c r="I69" s="13">
        <f t="shared" si="6"/>
        <v>0</v>
      </c>
      <c r="J69" s="19"/>
    </row>
    <row r="70" spans="2:10" x14ac:dyDescent="0.15">
      <c r="B70" s="12"/>
      <c r="C70" s="18"/>
      <c r="D70" s="17"/>
      <c r="E70" s="16"/>
      <c r="F70" s="16"/>
      <c r="G70" s="16"/>
      <c r="H70" s="16"/>
      <c r="I70" s="13">
        <f t="shared" si="6"/>
        <v>0</v>
      </c>
      <c r="J70" s="19"/>
    </row>
    <row r="71" spans="2:10" x14ac:dyDescent="0.15">
      <c r="B71" s="12"/>
      <c r="C71" s="18"/>
      <c r="D71" s="17"/>
      <c r="E71" s="16"/>
      <c r="F71" s="16"/>
      <c r="G71" s="16"/>
      <c r="H71" s="16"/>
      <c r="I71" s="13">
        <f t="shared" si="6"/>
        <v>0</v>
      </c>
      <c r="J71" s="19"/>
    </row>
    <row r="72" spans="2:10" x14ac:dyDescent="0.15">
      <c r="B72" s="12"/>
      <c r="C72" s="18"/>
      <c r="D72" s="17"/>
      <c r="E72" s="16"/>
      <c r="F72" s="16"/>
      <c r="G72" s="16"/>
      <c r="H72" s="16"/>
      <c r="I72" s="13">
        <f t="shared" si="6"/>
        <v>0</v>
      </c>
      <c r="J72" s="19"/>
    </row>
    <row r="73" spans="2:10" x14ac:dyDescent="0.15">
      <c r="B73" s="12"/>
      <c r="C73" s="15"/>
      <c r="D73" s="14"/>
      <c r="E73" s="13"/>
      <c r="F73" s="13"/>
      <c r="G73" s="13"/>
      <c r="H73" s="13"/>
      <c r="I73" s="13">
        <f t="shared" si="6"/>
        <v>0</v>
      </c>
      <c r="J73" s="19"/>
    </row>
    <row r="74" spans="2:10" x14ac:dyDescent="0.15">
      <c r="B74" s="12"/>
      <c r="C74" s="15"/>
      <c r="D74" s="14"/>
      <c r="E74" s="13"/>
      <c r="F74" s="13"/>
      <c r="G74" s="13"/>
      <c r="H74" s="13"/>
      <c r="I74" s="13">
        <f t="shared" si="6"/>
        <v>0</v>
      </c>
      <c r="J74" s="19"/>
    </row>
    <row r="75" spans="2:10" x14ac:dyDescent="0.15">
      <c r="B75" s="12"/>
      <c r="C75" s="15"/>
      <c r="D75" s="14"/>
      <c r="E75" s="13"/>
      <c r="F75" s="13"/>
      <c r="G75" s="13"/>
      <c r="H75" s="13"/>
      <c r="I75" s="13">
        <f t="shared" si="6"/>
        <v>0</v>
      </c>
      <c r="J75" s="19"/>
    </row>
    <row r="76" spans="2:10" x14ac:dyDescent="0.15">
      <c r="B76" s="12"/>
      <c r="C76" s="15"/>
      <c r="D76" s="14"/>
      <c r="E76" s="13"/>
      <c r="F76" s="13"/>
      <c r="G76" s="13"/>
      <c r="H76" s="13"/>
      <c r="I76" s="13">
        <f t="shared" si="6"/>
        <v>0</v>
      </c>
      <c r="J76" s="19"/>
    </row>
    <row r="77" spans="2:10" x14ac:dyDescent="0.15">
      <c r="B77" s="12"/>
      <c r="C77" s="15"/>
      <c r="D77" s="14"/>
      <c r="E77" s="13"/>
      <c r="F77" s="13"/>
      <c r="G77" s="13"/>
      <c r="H77" s="13"/>
      <c r="I77" s="13">
        <f t="shared" si="6"/>
        <v>0</v>
      </c>
    </row>
    <row r="78" spans="2:10" ht="14.25" thickBot="1" x14ac:dyDescent="0.2">
      <c r="B78" s="12"/>
      <c r="C78" s="11"/>
      <c r="D78" s="10"/>
      <c r="E78" s="9"/>
      <c r="F78" s="9"/>
      <c r="G78" s="9"/>
      <c r="H78" s="9"/>
      <c r="I78" s="9">
        <f t="shared" si="6"/>
        <v>0</v>
      </c>
    </row>
    <row r="79" spans="2:10" ht="14.25" thickBot="1" x14ac:dyDescent="0.2">
      <c r="B79" s="8" t="s">
        <v>2</v>
      </c>
      <c r="C79" s="7">
        <f>SUM(C54:C78)</f>
        <v>3</v>
      </c>
      <c r="D79" s="6">
        <f>SUM(D54:D78)</f>
        <v>2</v>
      </c>
      <c r="E79" s="6">
        <f t="shared" ref="E79:G79" si="10">SUM(E54:E78)</f>
        <v>2</v>
      </c>
      <c r="F79" s="6">
        <f t="shared" si="10"/>
        <v>2</v>
      </c>
      <c r="G79" s="6">
        <f t="shared" si="10"/>
        <v>3</v>
      </c>
      <c r="H79" s="6">
        <f>SUM(H54:H78)</f>
        <v>5</v>
      </c>
      <c r="I79" s="6">
        <f t="shared" si="6"/>
        <v>10</v>
      </c>
    </row>
    <row r="80" spans="2:10" ht="14.25" thickBot="1" x14ac:dyDescent="0.2">
      <c r="B80" s="5" t="s">
        <v>3</v>
      </c>
      <c r="C80" s="4">
        <f>+C53-C79</f>
        <v>3</v>
      </c>
      <c r="D80" s="3">
        <f>+D53-D79</f>
        <v>3</v>
      </c>
      <c r="E80" s="3">
        <f t="shared" ref="E80:G80" si="11">+E53-E79</f>
        <v>0</v>
      </c>
      <c r="F80" s="3">
        <f t="shared" si="11"/>
        <v>2</v>
      </c>
      <c r="G80" s="3">
        <f t="shared" si="11"/>
        <v>0</v>
      </c>
      <c r="H80" s="2">
        <f>+H53-H79</f>
        <v>0</v>
      </c>
      <c r="I80" s="2">
        <f t="shared" si="6"/>
        <v>6</v>
      </c>
    </row>
  </sheetData>
  <mergeCells count="4">
    <mergeCell ref="C3:E3"/>
    <mergeCell ref="F3:H3"/>
    <mergeCell ref="C42:E42"/>
    <mergeCell ref="F42:H42"/>
  </mergeCells>
  <phoneticPr fontId="1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ショーツ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 MR</cp:lastModifiedBy>
  <dcterms:created xsi:type="dcterms:W3CDTF">1997-01-08T22:48:59Z</dcterms:created>
  <dcterms:modified xsi:type="dcterms:W3CDTF">2026-06-12T04:51:54Z</dcterms:modified>
</cp:coreProperties>
</file>