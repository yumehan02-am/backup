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yhds220p\10_発注管理\夢販流通\ユーセン\"/>
    </mc:Choice>
  </mc:AlternateContent>
  <xr:revisionPtr revIDLastSave="0" documentId="13_ncr:1_{A166DF17-A589-4CEA-A868-CAEF9EC0A8A4}" xr6:coauthVersionLast="47" xr6:coauthVersionMax="47" xr10:uidLastSave="{00000000-0000-0000-0000-000000000000}"/>
  <bookViews>
    <workbookView xWindow="330" yWindow="1230" windowWidth="14190" windowHeight="13305" xr2:uid="{00000000-000D-0000-FFFF-FFFF00000000}"/>
  </bookViews>
  <sheets>
    <sheet name="5分丈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56" i="1" l="1"/>
  <c r="C156" i="1"/>
  <c r="E156" i="1" s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29" i="1"/>
  <c r="E128" i="1"/>
  <c r="E127" i="1"/>
  <c r="E126" i="1"/>
  <c r="E125" i="1"/>
  <c r="C124" i="1"/>
  <c r="C130" i="1" s="1"/>
  <c r="D117" i="1"/>
  <c r="C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0" i="1"/>
  <c r="E89" i="1"/>
  <c r="E88" i="1"/>
  <c r="E87" i="1"/>
  <c r="E86" i="1"/>
  <c r="D85" i="1"/>
  <c r="E85" i="1" s="1"/>
  <c r="C85" i="1"/>
  <c r="C91" i="1" s="1"/>
  <c r="D78" i="1"/>
  <c r="C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1" i="1"/>
  <c r="E50" i="1"/>
  <c r="E49" i="1"/>
  <c r="E48" i="1"/>
  <c r="E47" i="1"/>
  <c r="D39" i="1"/>
  <c r="C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D13" i="1"/>
  <c r="C13" i="1"/>
  <c r="E12" i="1"/>
  <c r="E11" i="1"/>
  <c r="E10" i="1"/>
  <c r="E9" i="1"/>
  <c r="E8" i="1"/>
  <c r="E7" i="1"/>
  <c r="E6" i="1"/>
  <c r="E5" i="1"/>
  <c r="C157" i="1" l="1"/>
  <c r="E117" i="1"/>
  <c r="C118" i="1"/>
  <c r="D91" i="1"/>
  <c r="D118" i="1" s="1"/>
  <c r="D124" i="1" s="1"/>
  <c r="D130" i="1" s="1"/>
  <c r="D157" i="1" s="1"/>
  <c r="E78" i="1"/>
  <c r="D40" i="1"/>
  <c r="D46" i="1" s="1"/>
  <c r="D52" i="1" s="1"/>
  <c r="D79" i="1" s="1"/>
  <c r="E39" i="1"/>
  <c r="E13" i="1"/>
  <c r="C40" i="1"/>
  <c r="C46" i="1" s="1"/>
  <c r="C52" i="1" s="1"/>
  <c r="E130" i="1" l="1"/>
  <c r="E124" i="1"/>
  <c r="E157" i="1"/>
  <c r="E91" i="1"/>
  <c r="E118" i="1"/>
  <c r="E40" i="1"/>
  <c r="E46" i="1"/>
  <c r="E52" i="1"/>
  <c r="C79" i="1"/>
  <c r="E79" i="1" s="1"/>
</calcChain>
</file>

<file path=xl/sharedStrings.xml><?xml version="1.0" encoding="utf-8"?>
<sst xmlns="http://schemas.openxmlformats.org/spreadsheetml/2006/main" count="114" uniqueCount="14">
  <si>
    <t>超のび裏シルク5分丈パンツ＜夢販在庫＞　S1600</t>
    <rPh sb="0" eb="1">
      <t>チョウ</t>
    </rPh>
    <rPh sb="3" eb="4">
      <t>ウラ</t>
    </rPh>
    <rPh sb="8" eb="9">
      <t>ブ</t>
    </rPh>
    <rPh sb="9" eb="10">
      <t>タケ</t>
    </rPh>
    <rPh sb="14" eb="18">
      <t>ユメハンザイコ</t>
    </rPh>
    <phoneticPr fontId="3"/>
  </si>
  <si>
    <t>ブラック</t>
    <phoneticPr fontId="3"/>
  </si>
  <si>
    <t>ベージュ</t>
    <phoneticPr fontId="3"/>
  </si>
  <si>
    <t>計</t>
    <rPh sb="0" eb="1">
      <t>ケイ</t>
    </rPh>
    <phoneticPr fontId="3"/>
  </si>
  <si>
    <t>初回</t>
    <rPh sb="0" eb="2">
      <t>ショカイ</t>
    </rPh>
    <phoneticPr fontId="3"/>
  </si>
  <si>
    <t>追加</t>
    <rPh sb="0" eb="2">
      <t>ツイカ</t>
    </rPh>
    <phoneticPr fontId="3"/>
  </si>
  <si>
    <t>総数</t>
    <rPh sb="0" eb="2">
      <t>ソウスウ</t>
    </rPh>
    <phoneticPr fontId="3"/>
  </si>
  <si>
    <t>ネット</t>
    <phoneticPr fontId="3"/>
  </si>
  <si>
    <t>出荷数</t>
    <rPh sb="0" eb="2">
      <t>シュッカ</t>
    </rPh>
    <rPh sb="2" eb="3">
      <t>スウ</t>
    </rPh>
    <phoneticPr fontId="3"/>
  </si>
  <si>
    <t>残数</t>
    <rPh sb="0" eb="2">
      <t>ザンスウ</t>
    </rPh>
    <phoneticPr fontId="3"/>
  </si>
  <si>
    <t>棚卸</t>
    <rPh sb="0" eb="2">
      <t>タナオロシ</t>
    </rPh>
    <phoneticPr fontId="3"/>
  </si>
  <si>
    <t>在庫確認</t>
    <rPh sb="0" eb="4">
      <t>ザイコカクニン</t>
    </rPh>
    <phoneticPr fontId="3"/>
  </si>
  <si>
    <t>在庫確認</t>
    <rPh sb="0" eb="4">
      <t>ザイコカクニン</t>
    </rPh>
    <phoneticPr fontId="3"/>
  </si>
  <si>
    <t>在庫確認</t>
    <rPh sb="0" eb="4">
      <t>ザイコカクニン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</si>
</sst>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sz val="11"/>
      <color theme="0"/>
      <name val="ＭＳ Ｐゴシック"/>
      <family val="3"/>
      <charset val="128"/>
    </font>
    <font>
      <sz val="11"/>
      <color rgb="FFEE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2" borderId="0" xfId="0" applyFont="1" applyFill="1"/>
    <xf numFmtId="0" fontId="0" fillId="2" borderId="0" xfId="0" applyFill="1"/>
    <xf numFmtId="0" fontId="4" fillId="2" borderId="0" xfId="0" applyFont="1" applyFill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56" fontId="0" fillId="0" borderId="6" xfId="0" applyNumberFormat="1" applyBorder="1" applyAlignment="1">
      <alignment horizontal="center"/>
    </xf>
    <xf numFmtId="0" fontId="0" fillId="0" borderId="7" xfId="0" applyBorder="1"/>
    <xf numFmtId="0" fontId="0" fillId="0" borderId="6" xfId="0" applyBorder="1"/>
    <xf numFmtId="56" fontId="0" fillId="0" borderId="0" xfId="0" applyNumberFormat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4" fillId="0" borderId="14" xfId="0" applyFont="1" applyBorder="1" applyAlignment="1">
      <alignment horizontal="center"/>
    </xf>
    <xf numFmtId="0" fontId="4" fillId="0" borderId="14" xfId="0" applyFont="1" applyBorder="1"/>
    <xf numFmtId="56" fontId="0" fillId="0" borderId="8" xfId="0" applyNumberFormat="1" applyBorder="1" applyAlignment="1">
      <alignment horizontal="center"/>
    </xf>
    <xf numFmtId="0" fontId="1" fillId="0" borderId="9" xfId="0" applyFont="1" applyBorder="1"/>
    <xf numFmtId="0" fontId="1" fillId="0" borderId="8" xfId="0" applyFont="1" applyBorder="1"/>
    <xf numFmtId="56" fontId="1" fillId="0" borderId="0" xfId="0" applyNumberFormat="1" applyFont="1"/>
    <xf numFmtId="56" fontId="0" fillId="0" borderId="0" xfId="0" applyNumberFormat="1" applyAlignment="1">
      <alignment horizontal="right"/>
    </xf>
    <xf numFmtId="0" fontId="0" fillId="0" borderId="15" xfId="0" applyBorder="1"/>
    <xf numFmtId="0" fontId="0" fillId="0" borderId="14" xfId="0" applyBorder="1" applyAlignment="1">
      <alignment horizontal="center"/>
    </xf>
    <xf numFmtId="0" fontId="0" fillId="0" borderId="16" xfId="0" applyBorder="1"/>
    <xf numFmtId="0" fontId="0" fillId="0" borderId="14" xfId="0" applyBorder="1"/>
    <xf numFmtId="0" fontId="4" fillId="0" borderId="17" xfId="0" applyFont="1" applyBorder="1" applyAlignment="1">
      <alignment horizontal="center"/>
    </xf>
    <xf numFmtId="0" fontId="4" fillId="0" borderId="18" xfId="0" applyFont="1" applyBorder="1"/>
    <xf numFmtId="0" fontId="4" fillId="0" borderId="17" xfId="0" applyFont="1" applyBorder="1"/>
    <xf numFmtId="56" fontId="4" fillId="0" borderId="6" xfId="0" applyNumberFormat="1" applyFont="1" applyBorder="1" applyAlignment="1">
      <alignment horizontal="center"/>
    </xf>
    <xf numFmtId="0" fontId="4" fillId="0" borderId="7" xfId="0" applyFont="1" applyBorder="1"/>
    <xf numFmtId="0" fontId="4" fillId="0" borderId="6" xfId="0" applyFont="1" applyBorder="1"/>
    <xf numFmtId="0" fontId="5" fillId="0" borderId="8" xfId="0" applyFont="1" applyBorder="1" applyAlignment="1">
      <alignment horizontal="center"/>
    </xf>
    <xf numFmtId="0" fontId="5" fillId="0" borderId="9" xfId="0" applyFont="1" applyBorder="1"/>
    <xf numFmtId="0" fontId="5" fillId="0" borderId="8" xfId="0" applyFont="1" applyBorder="1"/>
    <xf numFmtId="0" fontId="5" fillId="0" borderId="10" xfId="0" applyFont="1" applyBorder="1"/>
    <xf numFmtId="56" fontId="5" fillId="0" borderId="0" xfId="0" applyNumberFormat="1" applyFont="1"/>
    <xf numFmtId="0" fontId="6" fillId="3" borderId="2" xfId="0" applyFont="1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5" borderId="9" xfId="0" applyFill="1" applyBorder="1"/>
    <xf numFmtId="0" fontId="7" fillId="0" borderId="12" xfId="0" applyFont="1" applyBorder="1" applyAlignment="1">
      <alignment horizontal="center"/>
    </xf>
    <xf numFmtId="0" fontId="7" fillId="5" borderId="11" xfId="0" applyFont="1" applyFill="1" applyBorder="1"/>
    <xf numFmtId="0" fontId="7" fillId="0" borderId="12" xfId="0" applyFont="1" applyBorder="1"/>
    <xf numFmtId="0" fontId="7" fillId="0" borderId="13" xfId="0" applyFont="1" applyBorder="1"/>
    <xf numFmtId="56" fontId="7" fillId="0" borderId="0" xfId="0" applyNumberFormat="1" applyFo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5" borderId="8" xfId="0" applyFill="1" applyBorder="1"/>
    <xf numFmtId="0" fontId="7" fillId="5" borderId="12" xfId="0" applyFont="1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7"/>
  <sheetViews>
    <sheetView tabSelected="1" topLeftCell="A110" zoomScale="110" zoomScaleNormal="110" workbookViewId="0">
      <selection activeCell="H122" sqref="H122"/>
    </sheetView>
  </sheetViews>
  <sheetFormatPr defaultRowHeight="13.5" x14ac:dyDescent="0.15"/>
  <cols>
    <col min="2" max="2" width="22.75" style="4" customWidth="1"/>
    <col min="3" max="4" width="11.75" customWidth="1"/>
    <col min="5" max="5" width="11.375" customWidth="1"/>
    <col min="6" max="6" width="9.25" bestFit="1" customWidth="1"/>
  </cols>
  <sheetData>
    <row r="1" spans="2:6" ht="18.75" x14ac:dyDescent="0.2">
      <c r="B1" s="1" t="s">
        <v>0</v>
      </c>
      <c r="C1" s="2"/>
      <c r="D1" s="2"/>
      <c r="E1" s="3"/>
      <c r="F1" s="3"/>
    </row>
    <row r="2" spans="2:6" ht="14.25" thickBot="1" x14ac:dyDescent="0.2">
      <c r="F2">
        <v>736</v>
      </c>
    </row>
    <row r="3" spans="2:6" ht="14.25" thickBot="1" x14ac:dyDescent="0.2">
      <c r="B3" s="5"/>
      <c r="C3" s="50"/>
      <c r="D3" s="50"/>
      <c r="E3" s="51"/>
    </row>
    <row r="4" spans="2:6" s="4" customFormat="1" ht="14.25" thickBot="1" x14ac:dyDescent="0.2">
      <c r="B4" s="6"/>
      <c r="C4" s="41" t="s">
        <v>1</v>
      </c>
      <c r="D4" s="42" t="s">
        <v>2</v>
      </c>
      <c r="E4" s="7" t="s">
        <v>3</v>
      </c>
    </row>
    <row r="5" spans="2:6" ht="14.25" customHeight="1" x14ac:dyDescent="0.15">
      <c r="B5" s="8" t="s">
        <v>4</v>
      </c>
      <c r="C5" s="9">
        <v>5</v>
      </c>
      <c r="D5" s="10">
        <v>5</v>
      </c>
      <c r="E5" s="10">
        <f t="shared" ref="E5:E40" si="0">SUM(C5:D5)</f>
        <v>10</v>
      </c>
      <c r="F5" s="11">
        <v>44384</v>
      </c>
    </row>
    <row r="6" spans="2:6" x14ac:dyDescent="0.15">
      <c r="B6" s="12" t="s">
        <v>5</v>
      </c>
      <c r="C6" s="13">
        <v>5</v>
      </c>
      <c r="D6" s="14"/>
      <c r="E6" s="15">
        <f t="shared" si="0"/>
        <v>5</v>
      </c>
      <c r="F6" s="11">
        <v>44412</v>
      </c>
    </row>
    <row r="7" spans="2:6" x14ac:dyDescent="0.15">
      <c r="B7" s="12" t="s">
        <v>5</v>
      </c>
      <c r="C7" s="13"/>
      <c r="D7" s="14">
        <v>5</v>
      </c>
      <c r="E7" s="15">
        <f t="shared" si="0"/>
        <v>5</v>
      </c>
      <c r="F7" s="11">
        <v>44550</v>
      </c>
    </row>
    <row r="8" spans="2:6" x14ac:dyDescent="0.15">
      <c r="B8" s="12" t="s">
        <v>5</v>
      </c>
      <c r="C8" s="13"/>
      <c r="D8" s="14">
        <v>3</v>
      </c>
      <c r="E8" s="15">
        <f t="shared" si="0"/>
        <v>3</v>
      </c>
      <c r="F8" s="11">
        <v>44726</v>
      </c>
    </row>
    <row r="9" spans="2:6" x14ac:dyDescent="0.15">
      <c r="B9" s="36" t="s">
        <v>10</v>
      </c>
      <c r="C9" s="37">
        <v>1</v>
      </c>
      <c r="D9" s="38">
        <v>-1</v>
      </c>
      <c r="E9" s="39">
        <f t="shared" si="0"/>
        <v>0</v>
      </c>
      <c r="F9" s="40">
        <v>44796</v>
      </c>
    </row>
    <row r="10" spans="2:6" x14ac:dyDescent="0.15">
      <c r="B10" s="12" t="s">
        <v>5</v>
      </c>
      <c r="C10" s="13">
        <v>3</v>
      </c>
      <c r="D10" s="14">
        <v>3</v>
      </c>
      <c r="E10" s="15">
        <f t="shared" si="0"/>
        <v>6</v>
      </c>
      <c r="F10" s="11">
        <v>44944</v>
      </c>
    </row>
    <row r="11" spans="2:6" x14ac:dyDescent="0.15">
      <c r="B11" s="12" t="s">
        <v>5</v>
      </c>
      <c r="C11" s="13">
        <v>3</v>
      </c>
      <c r="D11" s="14"/>
      <c r="E11" s="15">
        <f t="shared" si="0"/>
        <v>3</v>
      </c>
      <c r="F11" s="11">
        <v>45059</v>
      </c>
    </row>
    <row r="12" spans="2:6" ht="14.25" thickBot="1" x14ac:dyDescent="0.2">
      <c r="B12" s="12" t="s">
        <v>5</v>
      </c>
      <c r="C12" s="16"/>
      <c r="D12" s="17">
        <v>3</v>
      </c>
      <c r="E12" s="18">
        <f t="shared" si="0"/>
        <v>3</v>
      </c>
      <c r="F12" s="11">
        <v>45106</v>
      </c>
    </row>
    <row r="13" spans="2:6" ht="14.25" thickBot="1" x14ac:dyDescent="0.2">
      <c r="B13" s="19" t="s">
        <v>6</v>
      </c>
      <c r="C13" s="20">
        <f>SUM(C5:C12)</f>
        <v>17</v>
      </c>
      <c r="D13" s="20">
        <f>SUM(D5:D12)</f>
        <v>18</v>
      </c>
      <c r="E13" s="20">
        <f t="shared" si="0"/>
        <v>35</v>
      </c>
    </row>
    <row r="14" spans="2:6" x14ac:dyDescent="0.15">
      <c r="B14" s="8" t="s">
        <v>7</v>
      </c>
      <c r="C14" s="9">
        <v>1</v>
      </c>
      <c r="D14" s="10"/>
      <c r="E14" s="15">
        <f t="shared" si="0"/>
        <v>1</v>
      </c>
      <c r="F14" s="11">
        <v>44385</v>
      </c>
    </row>
    <row r="15" spans="2:6" x14ac:dyDescent="0.15">
      <c r="B15" s="21" t="s">
        <v>7</v>
      </c>
      <c r="C15" s="13">
        <v>1</v>
      </c>
      <c r="D15" s="14">
        <v>2</v>
      </c>
      <c r="E15" s="15">
        <f t="shared" si="0"/>
        <v>3</v>
      </c>
      <c r="F15" s="11">
        <v>44397</v>
      </c>
    </row>
    <row r="16" spans="2:6" x14ac:dyDescent="0.15">
      <c r="B16" s="21" t="s">
        <v>7</v>
      </c>
      <c r="C16" s="13">
        <v>1</v>
      </c>
      <c r="D16" s="14"/>
      <c r="E16" s="15">
        <f t="shared" si="0"/>
        <v>1</v>
      </c>
      <c r="F16" s="11">
        <v>44398</v>
      </c>
    </row>
    <row r="17" spans="2:6" x14ac:dyDescent="0.15">
      <c r="B17" s="21" t="s">
        <v>7</v>
      </c>
      <c r="C17" s="13"/>
      <c r="D17" s="14">
        <v>1</v>
      </c>
      <c r="E17" s="15">
        <f t="shared" si="0"/>
        <v>1</v>
      </c>
      <c r="F17" s="11">
        <v>44506</v>
      </c>
    </row>
    <row r="18" spans="2:6" x14ac:dyDescent="0.15">
      <c r="B18" s="21" t="s">
        <v>7</v>
      </c>
      <c r="C18" s="13">
        <v>1</v>
      </c>
      <c r="D18" s="14"/>
      <c r="E18" s="15">
        <f t="shared" si="0"/>
        <v>1</v>
      </c>
      <c r="F18" s="11">
        <v>44536</v>
      </c>
    </row>
    <row r="19" spans="2:6" x14ac:dyDescent="0.15">
      <c r="B19" s="21" t="s">
        <v>7</v>
      </c>
      <c r="C19" s="22"/>
      <c r="D19" s="23">
        <v>1</v>
      </c>
      <c r="E19" s="15">
        <f t="shared" si="0"/>
        <v>1</v>
      </c>
      <c r="F19" s="11">
        <v>44543</v>
      </c>
    </row>
    <row r="20" spans="2:6" x14ac:dyDescent="0.15">
      <c r="B20" s="21" t="s">
        <v>7</v>
      </c>
      <c r="C20" s="13">
        <v>1</v>
      </c>
      <c r="D20" s="14"/>
      <c r="E20" s="15">
        <f t="shared" si="0"/>
        <v>1</v>
      </c>
      <c r="F20" s="11">
        <v>44572</v>
      </c>
    </row>
    <row r="21" spans="2:6" x14ac:dyDescent="0.15">
      <c r="B21" s="21" t="s">
        <v>7</v>
      </c>
      <c r="C21" s="13"/>
      <c r="D21" s="14">
        <v>1</v>
      </c>
      <c r="E21" s="15">
        <f t="shared" si="0"/>
        <v>1</v>
      </c>
      <c r="F21" s="11">
        <v>44620</v>
      </c>
    </row>
    <row r="22" spans="2:6" x14ac:dyDescent="0.15">
      <c r="B22" s="21" t="s">
        <v>7</v>
      </c>
      <c r="C22" s="22"/>
      <c r="D22" s="23">
        <v>1</v>
      </c>
      <c r="E22" s="15">
        <f t="shared" si="0"/>
        <v>1</v>
      </c>
      <c r="F22" s="11">
        <v>44678</v>
      </c>
    </row>
    <row r="23" spans="2:6" x14ac:dyDescent="0.15">
      <c r="B23" s="21" t="s">
        <v>7</v>
      </c>
      <c r="C23" s="13">
        <v>1</v>
      </c>
      <c r="D23" s="14"/>
      <c r="E23" s="15">
        <f t="shared" si="0"/>
        <v>1</v>
      </c>
      <c r="F23" s="11">
        <v>44697</v>
      </c>
    </row>
    <row r="24" spans="2:6" x14ac:dyDescent="0.15">
      <c r="B24" s="21" t="s">
        <v>7</v>
      </c>
      <c r="C24" s="22"/>
      <c r="D24" s="23">
        <v>2</v>
      </c>
      <c r="E24" s="15">
        <f t="shared" si="0"/>
        <v>2</v>
      </c>
      <c r="F24" s="24">
        <v>44721</v>
      </c>
    </row>
    <row r="25" spans="2:6" x14ac:dyDescent="0.15">
      <c r="B25" s="21" t="s">
        <v>7</v>
      </c>
      <c r="C25" s="22">
        <v>1</v>
      </c>
      <c r="D25" s="23"/>
      <c r="E25" s="15">
        <f t="shared" si="0"/>
        <v>1</v>
      </c>
      <c r="F25" s="24">
        <v>44739</v>
      </c>
    </row>
    <row r="26" spans="2:6" x14ac:dyDescent="0.15">
      <c r="B26" s="21" t="s">
        <v>7</v>
      </c>
      <c r="C26" s="13"/>
      <c r="D26" s="14">
        <v>1</v>
      </c>
      <c r="E26" s="15">
        <f t="shared" si="0"/>
        <v>1</v>
      </c>
      <c r="F26" s="11">
        <v>44747</v>
      </c>
    </row>
    <row r="27" spans="2:6" x14ac:dyDescent="0.15">
      <c r="B27" s="21" t="s">
        <v>7</v>
      </c>
      <c r="C27" s="22">
        <v>1</v>
      </c>
      <c r="D27" s="23">
        <v>1</v>
      </c>
      <c r="E27" s="15">
        <f t="shared" si="0"/>
        <v>2</v>
      </c>
      <c r="F27" s="24">
        <v>44908</v>
      </c>
    </row>
    <row r="28" spans="2:6" x14ac:dyDescent="0.15">
      <c r="B28" s="21" t="s">
        <v>7</v>
      </c>
      <c r="C28" s="22">
        <v>3</v>
      </c>
      <c r="D28" s="23">
        <v>1</v>
      </c>
      <c r="E28" s="15">
        <f t="shared" si="0"/>
        <v>4</v>
      </c>
      <c r="F28" s="24">
        <v>44921</v>
      </c>
    </row>
    <row r="29" spans="2:6" x14ac:dyDescent="0.15">
      <c r="B29" s="21" t="s">
        <v>7</v>
      </c>
      <c r="C29" s="22"/>
      <c r="D29" s="23">
        <v>1</v>
      </c>
      <c r="E29" s="15">
        <f t="shared" si="0"/>
        <v>1</v>
      </c>
      <c r="F29" s="24">
        <v>45028</v>
      </c>
    </row>
    <row r="30" spans="2:6" x14ac:dyDescent="0.15">
      <c r="B30" s="21" t="s">
        <v>7</v>
      </c>
      <c r="C30" s="22">
        <v>1</v>
      </c>
      <c r="D30" s="23"/>
      <c r="E30" s="15">
        <f t="shared" si="0"/>
        <v>1</v>
      </c>
      <c r="F30" s="24">
        <v>45034</v>
      </c>
    </row>
    <row r="31" spans="2:6" x14ac:dyDescent="0.15">
      <c r="B31" s="21" t="s">
        <v>7</v>
      </c>
      <c r="C31" s="22">
        <v>1</v>
      </c>
      <c r="D31" s="23">
        <v>1</v>
      </c>
      <c r="E31" s="15">
        <f t="shared" si="0"/>
        <v>2</v>
      </c>
      <c r="F31" s="24">
        <v>45047</v>
      </c>
    </row>
    <row r="32" spans="2:6" x14ac:dyDescent="0.15">
      <c r="B32" s="21" t="s">
        <v>11</v>
      </c>
      <c r="C32" s="22">
        <v>0</v>
      </c>
      <c r="D32" s="23">
        <v>0</v>
      </c>
      <c r="E32" s="15">
        <f t="shared" si="0"/>
        <v>0</v>
      </c>
      <c r="F32" s="24">
        <v>45146</v>
      </c>
    </row>
    <row r="33" spans="1:6" x14ac:dyDescent="0.15">
      <c r="B33" s="21" t="s">
        <v>7</v>
      </c>
      <c r="C33" s="13">
        <v>1</v>
      </c>
      <c r="D33" s="14"/>
      <c r="E33" s="15">
        <f t="shared" si="0"/>
        <v>1</v>
      </c>
      <c r="F33" s="25">
        <v>45189</v>
      </c>
    </row>
    <row r="34" spans="1:6" x14ac:dyDescent="0.15">
      <c r="B34" s="21" t="s">
        <v>7</v>
      </c>
      <c r="C34" s="13">
        <v>1</v>
      </c>
      <c r="D34" s="14"/>
      <c r="E34" s="15">
        <f t="shared" si="0"/>
        <v>1</v>
      </c>
      <c r="F34" s="25">
        <v>45205</v>
      </c>
    </row>
    <row r="35" spans="1:6" x14ac:dyDescent="0.15">
      <c r="B35" s="21" t="s">
        <v>7</v>
      </c>
      <c r="C35" s="13">
        <v>2</v>
      </c>
      <c r="D35" s="14"/>
      <c r="E35" s="15">
        <f t="shared" si="0"/>
        <v>2</v>
      </c>
      <c r="F35" s="25">
        <v>45240</v>
      </c>
    </row>
    <row r="36" spans="1:6" x14ac:dyDescent="0.15">
      <c r="B36" s="21"/>
      <c r="C36" s="13"/>
      <c r="D36" s="14"/>
      <c r="E36" s="15">
        <f t="shared" si="0"/>
        <v>0</v>
      </c>
      <c r="F36" s="25"/>
    </row>
    <row r="37" spans="1:6" x14ac:dyDescent="0.15">
      <c r="B37" s="21"/>
      <c r="C37" s="13"/>
      <c r="D37" s="14"/>
      <c r="E37" s="15">
        <f t="shared" si="0"/>
        <v>0</v>
      </c>
      <c r="F37" s="25"/>
    </row>
    <row r="38" spans="1:6" ht="14.25" thickBot="1" x14ac:dyDescent="0.2">
      <c r="B38" s="21"/>
      <c r="C38" s="26"/>
      <c r="D38" s="17"/>
      <c r="E38" s="18">
        <f t="shared" si="0"/>
        <v>0</v>
      </c>
      <c r="F38" s="25"/>
    </row>
    <row r="39" spans="1:6" ht="14.25" thickBot="1" x14ac:dyDescent="0.2">
      <c r="B39" s="27" t="s">
        <v>8</v>
      </c>
      <c r="C39" s="28">
        <f>SUM(C14:C38)</f>
        <v>17</v>
      </c>
      <c r="D39" s="29">
        <f>SUM(D14:D38)</f>
        <v>13</v>
      </c>
      <c r="E39" s="29">
        <f t="shared" si="0"/>
        <v>30</v>
      </c>
    </row>
    <row r="40" spans="1:6" ht="14.25" thickBot="1" x14ac:dyDescent="0.2">
      <c r="B40" s="30" t="s">
        <v>9</v>
      </c>
      <c r="C40" s="31">
        <f>+C13-C39</f>
        <v>0</v>
      </c>
      <c r="D40" s="32">
        <f>+D13-D39</f>
        <v>5</v>
      </c>
      <c r="E40" s="32">
        <f t="shared" si="0"/>
        <v>5</v>
      </c>
    </row>
    <row r="42" spans="1:6" ht="18.75" x14ac:dyDescent="0.2">
      <c r="B42" s="1" t="s">
        <v>0</v>
      </c>
      <c r="C42" s="2"/>
      <c r="D42" s="2"/>
      <c r="E42" s="2"/>
      <c r="F42" s="2"/>
    </row>
    <row r="43" spans="1:6" ht="14.25" thickBot="1" x14ac:dyDescent="0.2">
      <c r="F43">
        <v>736</v>
      </c>
    </row>
    <row r="44" spans="1:6" ht="14.25" thickBot="1" x14ac:dyDescent="0.2">
      <c r="B44" s="5"/>
      <c r="C44" s="50"/>
      <c r="D44" s="50"/>
      <c r="E44" s="51"/>
    </row>
    <row r="45" spans="1:6" ht="14.25" thickBot="1" x14ac:dyDescent="0.2">
      <c r="A45" s="4"/>
      <c r="B45" s="6"/>
      <c r="C45" s="41" t="s">
        <v>1</v>
      </c>
      <c r="D45" s="42" t="s">
        <v>2</v>
      </c>
      <c r="E45" s="7" t="s">
        <v>3</v>
      </c>
    </row>
    <row r="46" spans="1:6" x14ac:dyDescent="0.15">
      <c r="B46" s="33" t="s">
        <v>9</v>
      </c>
      <c r="C46" s="34">
        <f>C40</f>
        <v>0</v>
      </c>
      <c r="D46" s="35">
        <f>D40</f>
        <v>5</v>
      </c>
      <c r="E46" s="35">
        <f t="shared" ref="E46:E79" si="1">SUM(C46:D46)</f>
        <v>5</v>
      </c>
    </row>
    <row r="47" spans="1:6" x14ac:dyDescent="0.15">
      <c r="B47" s="12" t="s">
        <v>5</v>
      </c>
      <c r="C47" s="13">
        <v>5</v>
      </c>
      <c r="D47" s="14"/>
      <c r="E47" s="15">
        <f t="shared" si="1"/>
        <v>5</v>
      </c>
      <c r="F47" s="11">
        <v>45246</v>
      </c>
    </row>
    <row r="48" spans="1:6" x14ac:dyDescent="0.15">
      <c r="B48" s="12" t="s">
        <v>5</v>
      </c>
      <c r="C48" s="13">
        <v>3</v>
      </c>
      <c r="D48" s="14"/>
      <c r="E48" s="15">
        <f t="shared" si="1"/>
        <v>3</v>
      </c>
      <c r="F48" s="11">
        <v>45390</v>
      </c>
    </row>
    <row r="49" spans="2:6" x14ac:dyDescent="0.15">
      <c r="B49" s="12" t="s">
        <v>5</v>
      </c>
      <c r="C49" s="13"/>
      <c r="D49" s="14">
        <v>3</v>
      </c>
      <c r="E49" s="15">
        <f t="shared" si="1"/>
        <v>3</v>
      </c>
      <c r="F49" s="11">
        <v>45414</v>
      </c>
    </row>
    <row r="50" spans="2:6" x14ac:dyDescent="0.15">
      <c r="B50" s="12" t="s">
        <v>5</v>
      </c>
      <c r="C50" s="13">
        <v>10</v>
      </c>
      <c r="D50" s="14"/>
      <c r="E50" s="15">
        <f t="shared" si="1"/>
        <v>10</v>
      </c>
      <c r="F50" s="11">
        <v>45478</v>
      </c>
    </row>
    <row r="51" spans="2:6" ht="14.25" thickBot="1" x14ac:dyDescent="0.2">
      <c r="B51" s="43" t="s">
        <v>5</v>
      </c>
      <c r="C51" s="16">
        <v>5</v>
      </c>
      <c r="D51" s="17"/>
      <c r="E51" s="18">
        <f t="shared" si="1"/>
        <v>5</v>
      </c>
      <c r="F51" s="11">
        <v>45493</v>
      </c>
    </row>
    <row r="52" spans="2:6" ht="14.25" thickBot="1" x14ac:dyDescent="0.2">
      <c r="B52" s="19" t="s">
        <v>6</v>
      </c>
      <c r="C52" s="20">
        <f>SUM(C46:C51)</f>
        <v>23</v>
      </c>
      <c r="D52" s="20">
        <f>SUM(D46:D51)</f>
        <v>8</v>
      </c>
      <c r="E52" s="20">
        <f t="shared" si="1"/>
        <v>31</v>
      </c>
    </row>
    <row r="53" spans="2:6" x14ac:dyDescent="0.15">
      <c r="B53" s="21" t="s">
        <v>7</v>
      </c>
      <c r="C53" s="9"/>
      <c r="D53" s="10">
        <v>1</v>
      </c>
      <c r="E53" s="15">
        <f t="shared" si="1"/>
        <v>1</v>
      </c>
      <c r="F53" s="11">
        <v>45267</v>
      </c>
    </row>
    <row r="54" spans="2:6" x14ac:dyDescent="0.15">
      <c r="B54" s="21" t="s">
        <v>7</v>
      </c>
      <c r="C54" s="13">
        <v>1</v>
      </c>
      <c r="D54" s="14"/>
      <c r="E54" s="15">
        <f t="shared" si="1"/>
        <v>1</v>
      </c>
      <c r="F54" s="11">
        <v>45307</v>
      </c>
    </row>
    <row r="55" spans="2:6" x14ac:dyDescent="0.15">
      <c r="B55" s="21" t="s">
        <v>7</v>
      </c>
      <c r="C55" s="13">
        <v>1</v>
      </c>
      <c r="D55" s="14"/>
      <c r="E55" s="15">
        <f t="shared" si="1"/>
        <v>1</v>
      </c>
      <c r="F55" s="11">
        <v>45335</v>
      </c>
    </row>
    <row r="56" spans="2:6" x14ac:dyDescent="0.15">
      <c r="B56" s="21" t="s">
        <v>7</v>
      </c>
      <c r="C56" s="22">
        <v>1</v>
      </c>
      <c r="D56" s="23">
        <v>1</v>
      </c>
      <c r="E56" s="15">
        <f t="shared" si="1"/>
        <v>2</v>
      </c>
      <c r="F56" s="11">
        <v>45376</v>
      </c>
    </row>
    <row r="57" spans="2:6" x14ac:dyDescent="0.15">
      <c r="B57" s="21" t="s">
        <v>7</v>
      </c>
      <c r="C57" s="22">
        <v>1</v>
      </c>
      <c r="D57" s="23"/>
      <c r="E57" s="15">
        <f t="shared" si="1"/>
        <v>1</v>
      </c>
      <c r="F57" s="11">
        <v>45388</v>
      </c>
    </row>
    <row r="58" spans="2:6" x14ac:dyDescent="0.15">
      <c r="B58" s="21" t="s">
        <v>7</v>
      </c>
      <c r="C58" s="13"/>
      <c r="D58" s="14">
        <v>1</v>
      </c>
      <c r="E58" s="15">
        <f t="shared" si="1"/>
        <v>1</v>
      </c>
      <c r="F58" s="11">
        <v>45404</v>
      </c>
    </row>
    <row r="59" spans="2:6" x14ac:dyDescent="0.15">
      <c r="B59" s="21" t="s">
        <v>7</v>
      </c>
      <c r="C59" s="13">
        <v>3</v>
      </c>
      <c r="D59" s="14"/>
      <c r="E59" s="15">
        <f t="shared" si="1"/>
        <v>3</v>
      </c>
      <c r="F59" s="11">
        <v>45468</v>
      </c>
    </row>
    <row r="60" spans="2:6" x14ac:dyDescent="0.15">
      <c r="B60" s="21" t="s">
        <v>7</v>
      </c>
      <c r="C60" s="22">
        <v>1</v>
      </c>
      <c r="D60" s="23"/>
      <c r="E60" s="15">
        <f t="shared" si="1"/>
        <v>1</v>
      </c>
      <c r="F60" s="11">
        <v>45478</v>
      </c>
    </row>
    <row r="61" spans="2:6" x14ac:dyDescent="0.15">
      <c r="B61" s="21" t="s">
        <v>7</v>
      </c>
      <c r="C61" s="22">
        <v>2</v>
      </c>
      <c r="D61" s="23"/>
      <c r="E61" s="15">
        <f t="shared" si="1"/>
        <v>2</v>
      </c>
      <c r="F61" s="11">
        <v>45481</v>
      </c>
    </row>
    <row r="62" spans="2:6" x14ac:dyDescent="0.15">
      <c r="B62" s="21" t="s">
        <v>7</v>
      </c>
      <c r="C62" s="13"/>
      <c r="D62" s="14">
        <v>1</v>
      </c>
      <c r="E62" s="15">
        <f t="shared" si="1"/>
        <v>1</v>
      </c>
      <c r="F62" s="11">
        <v>45510</v>
      </c>
    </row>
    <row r="63" spans="2:6" x14ac:dyDescent="0.15">
      <c r="B63" s="21" t="s">
        <v>12</v>
      </c>
      <c r="C63" s="22"/>
      <c r="D63" s="23">
        <v>-1</v>
      </c>
      <c r="E63" s="15">
        <f t="shared" si="1"/>
        <v>-1</v>
      </c>
      <c r="F63" s="11">
        <v>45526</v>
      </c>
    </row>
    <row r="64" spans="2:6" x14ac:dyDescent="0.15">
      <c r="B64" s="21"/>
      <c r="C64" s="22"/>
      <c r="D64" s="23"/>
      <c r="E64" s="15">
        <f t="shared" si="1"/>
        <v>0</v>
      </c>
    </row>
    <row r="65" spans="2:5" x14ac:dyDescent="0.15">
      <c r="B65" s="21"/>
      <c r="C65" s="13"/>
      <c r="D65" s="14"/>
      <c r="E65" s="15">
        <f t="shared" si="1"/>
        <v>0</v>
      </c>
    </row>
    <row r="66" spans="2:5" x14ac:dyDescent="0.15">
      <c r="B66" s="21"/>
      <c r="C66" s="22"/>
      <c r="D66" s="23"/>
      <c r="E66" s="15">
        <f t="shared" si="1"/>
        <v>0</v>
      </c>
    </row>
    <row r="67" spans="2:5" x14ac:dyDescent="0.15">
      <c r="B67" s="21"/>
      <c r="C67" s="22"/>
      <c r="D67" s="23"/>
      <c r="E67" s="15">
        <f t="shared" si="1"/>
        <v>0</v>
      </c>
    </row>
    <row r="68" spans="2:5" x14ac:dyDescent="0.15">
      <c r="B68" s="21"/>
      <c r="C68" s="22"/>
      <c r="D68" s="23"/>
      <c r="E68" s="15">
        <f t="shared" si="1"/>
        <v>0</v>
      </c>
    </row>
    <row r="69" spans="2:5" x14ac:dyDescent="0.15">
      <c r="B69" s="21"/>
      <c r="C69" s="22"/>
      <c r="D69" s="23"/>
      <c r="E69" s="15">
        <f t="shared" si="1"/>
        <v>0</v>
      </c>
    </row>
    <row r="70" spans="2:5" x14ac:dyDescent="0.15">
      <c r="B70" s="21"/>
      <c r="C70" s="22"/>
      <c r="D70" s="23"/>
      <c r="E70" s="15">
        <f t="shared" si="1"/>
        <v>0</v>
      </c>
    </row>
    <row r="71" spans="2:5" x14ac:dyDescent="0.15">
      <c r="B71" s="21"/>
      <c r="C71" s="22"/>
      <c r="D71" s="23"/>
      <c r="E71" s="15">
        <f t="shared" si="1"/>
        <v>0</v>
      </c>
    </row>
    <row r="72" spans="2:5" x14ac:dyDescent="0.15">
      <c r="B72" s="21"/>
      <c r="C72" s="13"/>
      <c r="D72" s="14"/>
      <c r="E72" s="15">
        <f t="shared" si="1"/>
        <v>0</v>
      </c>
    </row>
    <row r="73" spans="2:5" x14ac:dyDescent="0.15">
      <c r="B73" s="21"/>
      <c r="C73" s="13"/>
      <c r="D73" s="14"/>
      <c r="E73" s="15">
        <f t="shared" si="1"/>
        <v>0</v>
      </c>
    </row>
    <row r="74" spans="2:5" x14ac:dyDescent="0.15">
      <c r="B74" s="21"/>
      <c r="C74" s="13"/>
      <c r="D74" s="14"/>
      <c r="E74" s="15">
        <f t="shared" si="1"/>
        <v>0</v>
      </c>
    </row>
    <row r="75" spans="2:5" x14ac:dyDescent="0.15">
      <c r="B75" s="21"/>
      <c r="C75" s="13"/>
      <c r="D75" s="14"/>
      <c r="E75" s="15">
        <f t="shared" si="1"/>
        <v>0</v>
      </c>
    </row>
    <row r="76" spans="2:5" x14ac:dyDescent="0.15">
      <c r="B76" s="21"/>
      <c r="C76" s="13"/>
      <c r="D76" s="14"/>
      <c r="E76" s="15">
        <f t="shared" si="1"/>
        <v>0</v>
      </c>
    </row>
    <row r="77" spans="2:5" ht="14.25" thickBot="1" x14ac:dyDescent="0.2">
      <c r="B77" s="21"/>
      <c r="C77" s="26"/>
      <c r="D77" s="17"/>
      <c r="E77" s="18">
        <f t="shared" si="1"/>
        <v>0</v>
      </c>
    </row>
    <row r="78" spans="2:5" ht="14.25" thickBot="1" x14ac:dyDescent="0.2">
      <c r="B78" s="27" t="s">
        <v>8</v>
      </c>
      <c r="C78" s="28">
        <f>SUM(C53:C77)</f>
        <v>10</v>
      </c>
      <c r="D78" s="29">
        <f>SUM(D53:D77)</f>
        <v>3</v>
      </c>
      <c r="E78" s="29">
        <f t="shared" si="1"/>
        <v>13</v>
      </c>
    </row>
    <row r="79" spans="2:5" ht="14.25" thickBot="1" x14ac:dyDescent="0.2">
      <c r="B79" s="30" t="s">
        <v>9</v>
      </c>
      <c r="C79" s="31">
        <f>+C52-C78</f>
        <v>13</v>
      </c>
      <c r="D79" s="32">
        <f>+D52-D78</f>
        <v>5</v>
      </c>
      <c r="E79" s="32">
        <f t="shared" si="1"/>
        <v>18</v>
      </c>
    </row>
    <row r="81" spans="1:6" ht="18.75" x14ac:dyDescent="0.2">
      <c r="B81" s="1" t="s">
        <v>0</v>
      </c>
      <c r="C81" s="2"/>
      <c r="D81" s="2"/>
      <c r="E81" s="2"/>
      <c r="F81" s="2"/>
    </row>
    <row r="82" spans="1:6" ht="14.25" thickBot="1" x14ac:dyDescent="0.2">
      <c r="F82">
        <v>736</v>
      </c>
    </row>
    <row r="83" spans="1:6" ht="14.25" thickBot="1" x14ac:dyDescent="0.2">
      <c r="B83" s="5"/>
      <c r="C83" s="50"/>
      <c r="D83" s="50"/>
      <c r="E83" s="51"/>
    </row>
    <row r="84" spans="1:6" ht="14.25" thickBot="1" x14ac:dyDescent="0.2">
      <c r="A84" s="4"/>
      <c r="B84" s="6"/>
      <c r="C84" s="41" t="s">
        <v>1</v>
      </c>
      <c r="D84" s="42" t="s">
        <v>2</v>
      </c>
      <c r="E84" s="7" t="s">
        <v>3</v>
      </c>
    </row>
    <row r="85" spans="1:6" x14ac:dyDescent="0.15">
      <c r="B85" s="33" t="s">
        <v>9</v>
      </c>
      <c r="C85" s="34">
        <f>C79</f>
        <v>13</v>
      </c>
      <c r="D85" s="35">
        <f>D79</f>
        <v>5</v>
      </c>
      <c r="E85" s="35">
        <f t="shared" ref="E85:E118" si="2">SUM(C85:D85)</f>
        <v>18</v>
      </c>
    </row>
    <row r="86" spans="1:6" x14ac:dyDescent="0.15">
      <c r="B86" s="12" t="s">
        <v>5</v>
      </c>
      <c r="C86" s="13"/>
      <c r="D86" s="14">
        <v>5</v>
      </c>
      <c r="E86" s="15">
        <f t="shared" si="2"/>
        <v>5</v>
      </c>
      <c r="F86" s="11">
        <v>45544</v>
      </c>
    </row>
    <row r="87" spans="1:6" x14ac:dyDescent="0.15">
      <c r="B87" s="12" t="s">
        <v>5</v>
      </c>
      <c r="C87" s="13">
        <v>5</v>
      </c>
      <c r="D87" s="14"/>
      <c r="E87" s="15">
        <f t="shared" si="2"/>
        <v>5</v>
      </c>
      <c r="F87" s="11">
        <v>45642</v>
      </c>
    </row>
    <row r="88" spans="1:6" x14ac:dyDescent="0.15">
      <c r="B88" s="12" t="s">
        <v>5</v>
      </c>
      <c r="C88" s="44">
        <v>0</v>
      </c>
      <c r="D88" s="14"/>
      <c r="E88" s="15">
        <f t="shared" si="2"/>
        <v>0</v>
      </c>
      <c r="F88" s="11">
        <v>45806</v>
      </c>
    </row>
    <row r="89" spans="1:6" x14ac:dyDescent="0.15">
      <c r="B89" s="12" t="s">
        <v>5</v>
      </c>
      <c r="C89" s="44"/>
      <c r="D89" s="14">
        <v>5</v>
      </c>
      <c r="E89" s="15">
        <f t="shared" si="2"/>
        <v>5</v>
      </c>
      <c r="F89" s="11">
        <v>45838</v>
      </c>
    </row>
    <row r="90" spans="1:6" ht="14.25" thickBot="1" x14ac:dyDescent="0.2">
      <c r="B90" s="45" t="s">
        <v>5</v>
      </c>
      <c r="C90" s="46"/>
      <c r="D90" s="47"/>
      <c r="E90" s="48">
        <f t="shared" si="2"/>
        <v>0</v>
      </c>
      <c r="F90" s="49"/>
    </row>
    <row r="91" spans="1:6" ht="14.25" thickBot="1" x14ac:dyDescent="0.2">
      <c r="B91" s="19" t="s">
        <v>6</v>
      </c>
      <c r="C91" s="20">
        <f>SUM(C85:C90)</f>
        <v>18</v>
      </c>
      <c r="D91" s="20">
        <f>SUM(D85:D90)</f>
        <v>15</v>
      </c>
      <c r="E91" s="20">
        <f t="shared" si="2"/>
        <v>33</v>
      </c>
    </row>
    <row r="92" spans="1:6" x14ac:dyDescent="0.15">
      <c r="B92" s="21" t="s">
        <v>7</v>
      </c>
      <c r="C92" s="9">
        <v>2</v>
      </c>
      <c r="D92" s="10"/>
      <c r="E92" s="15">
        <f t="shared" si="2"/>
        <v>2</v>
      </c>
      <c r="F92" s="11">
        <v>45552</v>
      </c>
    </row>
    <row r="93" spans="1:6" x14ac:dyDescent="0.15">
      <c r="B93" s="21" t="s">
        <v>7</v>
      </c>
      <c r="C93" s="13">
        <v>2</v>
      </c>
      <c r="D93" s="14"/>
      <c r="E93" s="15">
        <f t="shared" si="2"/>
        <v>2</v>
      </c>
      <c r="F93" s="11">
        <v>45565</v>
      </c>
    </row>
    <row r="94" spans="1:6" x14ac:dyDescent="0.15">
      <c r="B94" s="21" t="s">
        <v>7</v>
      </c>
      <c r="C94" s="13">
        <v>1</v>
      </c>
      <c r="D94" s="14"/>
      <c r="E94" s="15">
        <f t="shared" si="2"/>
        <v>1</v>
      </c>
      <c r="F94" s="11">
        <v>45622</v>
      </c>
    </row>
    <row r="95" spans="1:6" x14ac:dyDescent="0.15">
      <c r="B95" s="21" t="s">
        <v>7</v>
      </c>
      <c r="C95" s="22">
        <v>2</v>
      </c>
      <c r="D95" s="23"/>
      <c r="E95" s="15">
        <f t="shared" si="2"/>
        <v>2</v>
      </c>
      <c r="F95" s="11">
        <v>45631</v>
      </c>
    </row>
    <row r="96" spans="1:6" x14ac:dyDescent="0.15">
      <c r="B96" s="21" t="s">
        <v>7</v>
      </c>
      <c r="C96" s="22">
        <v>1</v>
      </c>
      <c r="D96" s="23"/>
      <c r="E96" s="15">
        <f t="shared" si="2"/>
        <v>1</v>
      </c>
      <c r="F96" s="11">
        <v>45637</v>
      </c>
    </row>
    <row r="97" spans="2:6" x14ac:dyDescent="0.15">
      <c r="B97" s="21" t="s">
        <v>7</v>
      </c>
      <c r="C97" s="13"/>
      <c r="D97" s="14">
        <v>1</v>
      </c>
      <c r="E97" s="15">
        <f t="shared" si="2"/>
        <v>1</v>
      </c>
      <c r="F97" s="11">
        <v>45672</v>
      </c>
    </row>
    <row r="98" spans="2:6" x14ac:dyDescent="0.15">
      <c r="B98" s="21" t="s">
        <v>7</v>
      </c>
      <c r="C98" s="13">
        <v>1</v>
      </c>
      <c r="D98" s="14"/>
      <c r="E98" s="15">
        <f t="shared" si="2"/>
        <v>1</v>
      </c>
      <c r="F98" s="11">
        <v>45740</v>
      </c>
    </row>
    <row r="99" spans="2:6" x14ac:dyDescent="0.15">
      <c r="B99" s="21" t="s">
        <v>7</v>
      </c>
      <c r="C99" s="22">
        <v>2</v>
      </c>
      <c r="D99" s="23"/>
      <c r="E99" s="15">
        <f t="shared" si="2"/>
        <v>2</v>
      </c>
      <c r="F99" s="11">
        <v>45743</v>
      </c>
    </row>
    <row r="100" spans="2:6" x14ac:dyDescent="0.15">
      <c r="B100" s="21" t="s">
        <v>7</v>
      </c>
      <c r="C100" s="22"/>
      <c r="D100" s="23">
        <v>1</v>
      </c>
      <c r="E100" s="15">
        <f t="shared" si="2"/>
        <v>1</v>
      </c>
      <c r="F100" s="11">
        <v>45744</v>
      </c>
    </row>
    <row r="101" spans="2:6" x14ac:dyDescent="0.15">
      <c r="B101" s="21" t="s">
        <v>7</v>
      </c>
      <c r="C101" s="13">
        <v>2</v>
      </c>
      <c r="D101" s="14"/>
      <c r="E101" s="15">
        <f t="shared" si="2"/>
        <v>2</v>
      </c>
      <c r="F101" s="11">
        <v>45747</v>
      </c>
    </row>
    <row r="102" spans="2:6" x14ac:dyDescent="0.15">
      <c r="B102" s="21" t="s">
        <v>7</v>
      </c>
      <c r="C102" s="22">
        <v>1</v>
      </c>
      <c r="D102" s="23">
        <v>1</v>
      </c>
      <c r="E102" s="15">
        <f t="shared" si="2"/>
        <v>2</v>
      </c>
      <c r="F102" s="11">
        <v>45771</v>
      </c>
    </row>
    <row r="103" spans="2:6" x14ac:dyDescent="0.15">
      <c r="B103" s="21" t="s">
        <v>7</v>
      </c>
      <c r="C103" s="22"/>
      <c r="D103" s="23">
        <v>1</v>
      </c>
      <c r="E103" s="15">
        <f t="shared" si="2"/>
        <v>1</v>
      </c>
      <c r="F103" s="11">
        <v>45784</v>
      </c>
    </row>
    <row r="104" spans="2:6" x14ac:dyDescent="0.15">
      <c r="B104" s="21" t="s">
        <v>7</v>
      </c>
      <c r="C104" s="13"/>
      <c r="D104" s="14">
        <v>1</v>
      </c>
      <c r="E104" s="15">
        <f t="shared" si="2"/>
        <v>1</v>
      </c>
      <c r="F104" s="11">
        <v>45796</v>
      </c>
    </row>
    <row r="105" spans="2:6" x14ac:dyDescent="0.15">
      <c r="B105" s="21" t="s">
        <v>7</v>
      </c>
      <c r="C105" s="22"/>
      <c r="D105" s="23">
        <v>-1</v>
      </c>
      <c r="E105" s="15">
        <f t="shared" si="2"/>
        <v>-1</v>
      </c>
      <c r="F105" s="11">
        <v>45800</v>
      </c>
    </row>
    <row r="106" spans="2:6" x14ac:dyDescent="0.15">
      <c r="B106" s="21" t="s">
        <v>7</v>
      </c>
      <c r="C106" s="22">
        <v>1</v>
      </c>
      <c r="D106" s="23">
        <v>1</v>
      </c>
      <c r="E106" s="15">
        <f t="shared" si="2"/>
        <v>2</v>
      </c>
      <c r="F106" s="11">
        <v>45803</v>
      </c>
    </row>
    <row r="107" spans="2:6" x14ac:dyDescent="0.15">
      <c r="B107" s="21" t="s">
        <v>7</v>
      </c>
      <c r="C107" s="22">
        <v>1</v>
      </c>
      <c r="D107" s="23"/>
      <c r="E107" s="15">
        <f t="shared" si="2"/>
        <v>1</v>
      </c>
      <c r="F107" s="11">
        <v>45819</v>
      </c>
    </row>
    <row r="108" spans="2:6" x14ac:dyDescent="0.15">
      <c r="B108" s="21" t="s">
        <v>7</v>
      </c>
      <c r="C108" s="22"/>
      <c r="D108" s="23">
        <v>2</v>
      </c>
      <c r="E108" s="15">
        <f t="shared" si="2"/>
        <v>2</v>
      </c>
      <c r="F108" s="11">
        <v>45826</v>
      </c>
    </row>
    <row r="109" spans="2:6" x14ac:dyDescent="0.15">
      <c r="B109" s="21" t="s">
        <v>7</v>
      </c>
      <c r="C109" s="22">
        <v>1</v>
      </c>
      <c r="D109" s="23">
        <v>1</v>
      </c>
      <c r="E109" s="15">
        <f t="shared" si="2"/>
        <v>2</v>
      </c>
      <c r="F109" s="11">
        <v>45833</v>
      </c>
    </row>
    <row r="110" spans="2:6" x14ac:dyDescent="0.15">
      <c r="B110" s="21" t="s">
        <v>7</v>
      </c>
      <c r="C110" s="22">
        <v>1</v>
      </c>
      <c r="D110" s="23"/>
      <c r="E110" s="15">
        <f t="shared" si="2"/>
        <v>1</v>
      </c>
      <c r="F110" s="11">
        <v>45838</v>
      </c>
    </row>
    <row r="111" spans="2:6" x14ac:dyDescent="0.15">
      <c r="B111" s="21" t="s">
        <v>7</v>
      </c>
      <c r="C111" s="13"/>
      <c r="D111" s="14">
        <v>1</v>
      </c>
      <c r="E111" s="15">
        <f t="shared" si="2"/>
        <v>1</v>
      </c>
      <c r="F111" s="11">
        <v>45846</v>
      </c>
    </row>
    <row r="112" spans="2:6" x14ac:dyDescent="0.15">
      <c r="B112" s="21" t="s">
        <v>13</v>
      </c>
      <c r="C112" s="13">
        <v>0</v>
      </c>
      <c r="D112" s="14">
        <v>0</v>
      </c>
      <c r="E112" s="15">
        <f t="shared" si="2"/>
        <v>0</v>
      </c>
      <c r="F112" s="11">
        <v>45889</v>
      </c>
    </row>
    <row r="113" spans="1:6" x14ac:dyDescent="0.15">
      <c r="B113" s="21" t="s">
        <v>7</v>
      </c>
      <c r="C113" s="13"/>
      <c r="D113" s="14">
        <v>1</v>
      </c>
      <c r="E113" s="15">
        <f t="shared" si="2"/>
        <v>1</v>
      </c>
      <c r="F113" s="11">
        <v>45924</v>
      </c>
    </row>
    <row r="114" spans="1:6" x14ac:dyDescent="0.15">
      <c r="B114" s="21" t="s">
        <v>7</v>
      </c>
      <c r="C114" s="13"/>
      <c r="D114" s="14">
        <v>1</v>
      </c>
      <c r="E114" s="15">
        <f t="shared" si="2"/>
        <v>1</v>
      </c>
      <c r="F114" s="11">
        <v>45936</v>
      </c>
    </row>
    <row r="115" spans="1:6" x14ac:dyDescent="0.15">
      <c r="B115" s="21" t="s">
        <v>7</v>
      </c>
      <c r="C115" s="13"/>
      <c r="D115" s="14">
        <v>1</v>
      </c>
      <c r="E115" s="15">
        <f t="shared" si="2"/>
        <v>1</v>
      </c>
      <c r="F115" s="11">
        <v>45944</v>
      </c>
    </row>
    <row r="116" spans="1:6" ht="14.25" thickBot="1" x14ac:dyDescent="0.2">
      <c r="B116" s="21" t="s">
        <v>7</v>
      </c>
      <c r="C116" s="26"/>
      <c r="D116" s="17">
        <v>1</v>
      </c>
      <c r="E116" s="18">
        <f t="shared" si="2"/>
        <v>1</v>
      </c>
      <c r="F116" s="11">
        <v>45971</v>
      </c>
    </row>
    <row r="117" spans="1:6" ht="14.25" thickBot="1" x14ac:dyDescent="0.2">
      <c r="B117" s="27" t="s">
        <v>8</v>
      </c>
      <c r="C117" s="28">
        <f>SUM(C92:C116)</f>
        <v>18</v>
      </c>
      <c r="D117" s="29">
        <f>SUM(D92:D116)</f>
        <v>13</v>
      </c>
      <c r="E117" s="29">
        <f t="shared" si="2"/>
        <v>31</v>
      </c>
    </row>
    <row r="118" spans="1:6" ht="14.25" thickBot="1" x14ac:dyDescent="0.2">
      <c r="B118" s="30" t="s">
        <v>9</v>
      </c>
      <c r="C118" s="31">
        <f>+C91-C117</f>
        <v>0</v>
      </c>
      <c r="D118" s="32">
        <f>+D91-D117</f>
        <v>2</v>
      </c>
      <c r="E118" s="32">
        <f t="shared" si="2"/>
        <v>2</v>
      </c>
    </row>
    <row r="120" spans="1:6" ht="18.75" x14ac:dyDescent="0.2">
      <c r="B120" s="1" t="s">
        <v>0</v>
      </c>
      <c r="C120" s="2"/>
      <c r="D120" s="2"/>
      <c r="E120" s="2"/>
    </row>
    <row r="121" spans="1:6" ht="14.25" thickBot="1" x14ac:dyDescent="0.2"/>
    <row r="122" spans="1:6" ht="14.25" thickBot="1" x14ac:dyDescent="0.2">
      <c r="B122" s="5"/>
      <c r="C122" s="50"/>
      <c r="D122" s="50"/>
      <c r="E122" s="51"/>
    </row>
    <row r="123" spans="1:6" ht="14.25" thickBot="1" x14ac:dyDescent="0.2">
      <c r="A123" s="4"/>
      <c r="B123" s="6"/>
      <c r="C123" s="41" t="s">
        <v>1</v>
      </c>
      <c r="D123" s="42" t="s">
        <v>2</v>
      </c>
      <c r="E123" s="7" t="s">
        <v>3</v>
      </c>
    </row>
    <row r="124" spans="1:6" x14ac:dyDescent="0.15">
      <c r="B124" s="33" t="s">
        <v>9</v>
      </c>
      <c r="C124" s="34">
        <f>C118</f>
        <v>0</v>
      </c>
      <c r="D124" s="35">
        <f>D118</f>
        <v>2</v>
      </c>
      <c r="E124" s="35">
        <f t="shared" ref="E124:E157" si="3">SUM(C124:D124)</f>
        <v>2</v>
      </c>
    </row>
    <row r="125" spans="1:6" x14ac:dyDescent="0.15">
      <c r="B125" s="12" t="s">
        <v>5</v>
      </c>
      <c r="C125" s="44"/>
      <c r="D125" s="52"/>
      <c r="E125" s="15">
        <f t="shared" si="3"/>
        <v>0</v>
      </c>
    </row>
    <row r="126" spans="1:6" x14ac:dyDescent="0.15">
      <c r="B126" s="12" t="s">
        <v>5</v>
      </c>
      <c r="C126" s="44"/>
      <c r="D126" s="52"/>
      <c r="E126" s="15">
        <f t="shared" si="3"/>
        <v>0</v>
      </c>
    </row>
    <row r="127" spans="1:6" x14ac:dyDescent="0.15">
      <c r="B127" s="12" t="s">
        <v>5</v>
      </c>
      <c r="C127" s="44"/>
      <c r="D127" s="52"/>
      <c r="E127" s="15">
        <f t="shared" si="3"/>
        <v>0</v>
      </c>
    </row>
    <row r="128" spans="1:6" x14ac:dyDescent="0.15">
      <c r="B128" s="12" t="s">
        <v>5</v>
      </c>
      <c r="C128" s="44"/>
      <c r="D128" s="52"/>
      <c r="E128" s="15">
        <f t="shared" si="3"/>
        <v>0</v>
      </c>
    </row>
    <row r="129" spans="2:6" ht="14.25" thickBot="1" x14ac:dyDescent="0.2">
      <c r="B129" s="45" t="s">
        <v>5</v>
      </c>
      <c r="C129" s="46"/>
      <c r="D129" s="53"/>
      <c r="E129" s="48">
        <f t="shared" si="3"/>
        <v>0</v>
      </c>
    </row>
    <row r="130" spans="2:6" ht="14.25" thickBot="1" x14ac:dyDescent="0.2">
      <c r="B130" s="19" t="s">
        <v>6</v>
      </c>
      <c r="C130" s="20">
        <f>SUM(C124:C129)</f>
        <v>0</v>
      </c>
      <c r="D130" s="20">
        <f>SUM(D124:D129)</f>
        <v>2</v>
      </c>
      <c r="E130" s="20">
        <f t="shared" si="3"/>
        <v>2</v>
      </c>
    </row>
    <row r="131" spans="2:6" x14ac:dyDescent="0.15">
      <c r="B131" s="21" t="s">
        <v>7</v>
      </c>
      <c r="C131" s="9"/>
      <c r="D131" s="10">
        <v>1</v>
      </c>
      <c r="E131" s="15">
        <f t="shared" si="3"/>
        <v>1</v>
      </c>
      <c r="F131" s="11">
        <v>45986</v>
      </c>
    </row>
    <row r="132" spans="2:6" x14ac:dyDescent="0.15">
      <c r="B132" s="21" t="s">
        <v>7</v>
      </c>
      <c r="C132" s="13"/>
      <c r="D132" s="14">
        <v>1</v>
      </c>
      <c r="E132" s="15">
        <f t="shared" si="3"/>
        <v>1</v>
      </c>
      <c r="F132" s="11">
        <v>45999</v>
      </c>
    </row>
    <row r="133" spans="2:6" x14ac:dyDescent="0.15">
      <c r="B133" s="21"/>
      <c r="C133" s="13"/>
      <c r="D133" s="14"/>
      <c r="E133" s="15">
        <f t="shared" si="3"/>
        <v>0</v>
      </c>
    </row>
    <row r="134" spans="2:6" x14ac:dyDescent="0.15">
      <c r="B134" s="21"/>
      <c r="C134" s="22"/>
      <c r="D134" s="23"/>
      <c r="E134" s="15">
        <f t="shared" si="3"/>
        <v>0</v>
      </c>
    </row>
    <row r="135" spans="2:6" x14ac:dyDescent="0.15">
      <c r="B135" s="21"/>
      <c r="C135" s="22"/>
      <c r="D135" s="23"/>
      <c r="E135" s="15">
        <f t="shared" si="3"/>
        <v>0</v>
      </c>
    </row>
    <row r="136" spans="2:6" x14ac:dyDescent="0.15">
      <c r="B136" s="21"/>
      <c r="C136" s="13"/>
      <c r="D136" s="14"/>
      <c r="E136" s="15">
        <f t="shared" si="3"/>
        <v>0</v>
      </c>
    </row>
    <row r="137" spans="2:6" x14ac:dyDescent="0.15">
      <c r="B137" s="21"/>
      <c r="C137" s="13"/>
      <c r="D137" s="14"/>
      <c r="E137" s="15">
        <f t="shared" si="3"/>
        <v>0</v>
      </c>
    </row>
    <row r="138" spans="2:6" x14ac:dyDescent="0.15">
      <c r="B138" s="21"/>
      <c r="C138" s="22"/>
      <c r="D138" s="23"/>
      <c r="E138" s="15">
        <f t="shared" si="3"/>
        <v>0</v>
      </c>
    </row>
    <row r="139" spans="2:6" x14ac:dyDescent="0.15">
      <c r="B139" s="21"/>
      <c r="C139" s="22"/>
      <c r="D139" s="23"/>
      <c r="E139" s="15">
        <f t="shared" si="3"/>
        <v>0</v>
      </c>
    </row>
    <row r="140" spans="2:6" x14ac:dyDescent="0.15">
      <c r="B140" s="21"/>
      <c r="C140" s="13"/>
      <c r="D140" s="14"/>
      <c r="E140" s="15">
        <f t="shared" si="3"/>
        <v>0</v>
      </c>
    </row>
    <row r="141" spans="2:6" x14ac:dyDescent="0.15">
      <c r="B141" s="21"/>
      <c r="C141" s="22"/>
      <c r="D141" s="23"/>
      <c r="E141" s="15">
        <f t="shared" si="3"/>
        <v>0</v>
      </c>
    </row>
    <row r="142" spans="2:6" x14ac:dyDescent="0.15">
      <c r="B142" s="21"/>
      <c r="C142" s="22"/>
      <c r="D142" s="23"/>
      <c r="E142" s="15">
        <f t="shared" si="3"/>
        <v>0</v>
      </c>
    </row>
    <row r="143" spans="2:6" x14ac:dyDescent="0.15">
      <c r="B143" s="21"/>
      <c r="C143" s="13"/>
      <c r="D143" s="14"/>
      <c r="E143" s="15">
        <f t="shared" si="3"/>
        <v>0</v>
      </c>
    </row>
    <row r="144" spans="2:6" x14ac:dyDescent="0.15">
      <c r="B144" s="21"/>
      <c r="C144" s="22"/>
      <c r="D144" s="23"/>
      <c r="E144" s="15">
        <f t="shared" si="3"/>
        <v>0</v>
      </c>
    </row>
    <row r="145" spans="2:5" x14ac:dyDescent="0.15">
      <c r="B145" s="21"/>
      <c r="C145" s="22"/>
      <c r="D145" s="23"/>
      <c r="E145" s="15">
        <f t="shared" si="3"/>
        <v>0</v>
      </c>
    </row>
    <row r="146" spans="2:5" x14ac:dyDescent="0.15">
      <c r="B146" s="21"/>
      <c r="C146" s="22"/>
      <c r="D146" s="23"/>
      <c r="E146" s="15">
        <f t="shared" si="3"/>
        <v>0</v>
      </c>
    </row>
    <row r="147" spans="2:5" x14ac:dyDescent="0.15">
      <c r="B147" s="21"/>
      <c r="C147" s="22"/>
      <c r="D147" s="23"/>
      <c r="E147" s="15">
        <f t="shared" si="3"/>
        <v>0</v>
      </c>
    </row>
    <row r="148" spans="2:5" x14ac:dyDescent="0.15">
      <c r="B148" s="21"/>
      <c r="C148" s="22"/>
      <c r="D148" s="23"/>
      <c r="E148" s="15">
        <f t="shared" si="3"/>
        <v>0</v>
      </c>
    </row>
    <row r="149" spans="2:5" x14ac:dyDescent="0.15">
      <c r="B149" s="21"/>
      <c r="C149" s="22"/>
      <c r="D149" s="23"/>
      <c r="E149" s="15">
        <f t="shared" si="3"/>
        <v>0</v>
      </c>
    </row>
    <row r="150" spans="2:5" x14ac:dyDescent="0.15">
      <c r="B150" s="21"/>
      <c r="C150" s="13"/>
      <c r="D150" s="14"/>
      <c r="E150" s="15">
        <f t="shared" si="3"/>
        <v>0</v>
      </c>
    </row>
    <row r="151" spans="2:5" x14ac:dyDescent="0.15">
      <c r="B151" s="21"/>
      <c r="C151" s="13"/>
      <c r="D151" s="14"/>
      <c r="E151" s="15">
        <f t="shared" si="3"/>
        <v>0</v>
      </c>
    </row>
    <row r="152" spans="2:5" x14ac:dyDescent="0.15">
      <c r="B152" s="21"/>
      <c r="C152" s="13"/>
      <c r="D152" s="14"/>
      <c r="E152" s="15">
        <f t="shared" si="3"/>
        <v>0</v>
      </c>
    </row>
    <row r="153" spans="2:5" x14ac:dyDescent="0.15">
      <c r="B153" s="21"/>
      <c r="C153" s="13"/>
      <c r="D153" s="14"/>
      <c r="E153" s="15">
        <f t="shared" si="3"/>
        <v>0</v>
      </c>
    </row>
    <row r="154" spans="2:5" x14ac:dyDescent="0.15">
      <c r="B154" s="21"/>
      <c r="C154" s="13"/>
      <c r="D154" s="14"/>
      <c r="E154" s="15">
        <f t="shared" si="3"/>
        <v>0</v>
      </c>
    </row>
    <row r="155" spans="2:5" ht="14.25" thickBot="1" x14ac:dyDescent="0.2">
      <c r="B155" s="21"/>
      <c r="C155" s="26"/>
      <c r="D155" s="17"/>
      <c r="E155" s="18">
        <f t="shared" si="3"/>
        <v>0</v>
      </c>
    </row>
    <row r="156" spans="2:5" ht="14.25" thickBot="1" x14ac:dyDescent="0.2">
      <c r="B156" s="27" t="s">
        <v>8</v>
      </c>
      <c r="C156" s="28">
        <f>SUM(C131:C155)</f>
        <v>0</v>
      </c>
      <c r="D156" s="29">
        <f>SUM(D131:D155)</f>
        <v>2</v>
      </c>
      <c r="E156" s="29">
        <f t="shared" si="3"/>
        <v>2</v>
      </c>
    </row>
    <row r="157" spans="2:5" ht="14.25" thickBot="1" x14ac:dyDescent="0.2">
      <c r="B157" s="30" t="s">
        <v>9</v>
      </c>
      <c r="C157" s="31">
        <f>+C130-C156</f>
        <v>0</v>
      </c>
      <c r="D157" s="32">
        <f>+D130-D156</f>
        <v>0</v>
      </c>
      <c r="E157" s="32">
        <f t="shared" si="3"/>
        <v>0</v>
      </c>
    </row>
  </sheetData>
  <mergeCells count="4">
    <mergeCell ref="C3:E3"/>
    <mergeCell ref="C44:E44"/>
    <mergeCell ref="C83:E83"/>
    <mergeCell ref="C122:E122"/>
  </mergeCells>
  <phoneticPr fontId="3"/>
  <pageMargins left="0.78700000000000003" right="0.78700000000000003" top="0.98399999999999999" bottom="0.98399999999999999" header="0.51200000000000001" footer="0.51200000000000001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5分丈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yumeh</dc:creator>
  <cp:lastModifiedBy>聡祐 松島</cp:lastModifiedBy>
  <dcterms:created xsi:type="dcterms:W3CDTF">2021-12-21T06:40:00Z</dcterms:created>
  <dcterms:modified xsi:type="dcterms:W3CDTF">2025-12-12T07:35:29Z</dcterms:modified>
</cp:coreProperties>
</file>