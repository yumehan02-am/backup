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733E99DE-1ED3-49FD-8C90-0A94799DB3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分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3" i="1" l="1"/>
  <c r="E272" i="1"/>
  <c r="E271" i="1"/>
  <c r="E270" i="1"/>
  <c r="E269" i="1"/>
  <c r="E268" i="1"/>
  <c r="E267" i="1"/>
  <c r="E266" i="1"/>
  <c r="E265" i="1"/>
  <c r="E264" i="1"/>
  <c r="E263" i="1"/>
  <c r="E262" i="1"/>
  <c r="E261" i="1"/>
  <c r="C273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6" i="1"/>
  <c r="E245" i="1"/>
  <c r="E244" i="1"/>
  <c r="E243" i="1"/>
  <c r="E242" i="1"/>
  <c r="C221" i="1"/>
  <c r="E221" i="1" s="1"/>
  <c r="D234" i="1"/>
  <c r="C234" i="1"/>
  <c r="E233" i="1"/>
  <c r="E232" i="1"/>
  <c r="E231" i="1"/>
  <c r="E230" i="1"/>
  <c r="E229" i="1"/>
  <c r="E228" i="1"/>
  <c r="E227" i="1"/>
  <c r="E225" i="1"/>
  <c r="E224" i="1"/>
  <c r="E223" i="1"/>
  <c r="E222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C208" i="1"/>
  <c r="E207" i="1"/>
  <c r="E206" i="1"/>
  <c r="E205" i="1"/>
  <c r="E204" i="1"/>
  <c r="E203" i="1"/>
  <c r="C202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D195" i="1"/>
  <c r="C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68" i="1"/>
  <c r="E167" i="1"/>
  <c r="E166" i="1"/>
  <c r="E165" i="1"/>
  <c r="E164" i="1"/>
  <c r="D163" i="1"/>
  <c r="D169" i="1" s="1"/>
  <c r="C163" i="1"/>
  <c r="C169" i="1" s="1"/>
  <c r="E132" i="1"/>
  <c r="E131" i="1"/>
  <c r="D156" i="1"/>
  <c r="C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29" i="1"/>
  <c r="E128" i="1"/>
  <c r="E127" i="1"/>
  <c r="E126" i="1"/>
  <c r="E125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D117" i="1"/>
  <c r="C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90" i="1"/>
  <c r="E89" i="1"/>
  <c r="E88" i="1"/>
  <c r="E87" i="1"/>
  <c r="E86" i="1"/>
  <c r="E273" i="1" l="1"/>
  <c r="E260" i="1"/>
  <c r="C235" i="1"/>
  <c r="C241" i="1" s="1"/>
  <c r="C247" i="1" s="1"/>
  <c r="C274" i="1" s="1"/>
  <c r="E234" i="1"/>
  <c r="D196" i="1"/>
  <c r="D202" i="1" s="1"/>
  <c r="E195" i="1"/>
  <c r="C196" i="1"/>
  <c r="E169" i="1"/>
  <c r="E163" i="1"/>
  <c r="E156" i="1"/>
  <c r="E117" i="1"/>
  <c r="E5" i="1"/>
  <c r="E6" i="1"/>
  <c r="E7" i="1"/>
  <c r="E8" i="1"/>
  <c r="E9" i="1"/>
  <c r="E10" i="1"/>
  <c r="E11" i="1"/>
  <c r="E12" i="1"/>
  <c r="C13" i="1"/>
  <c r="D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C39" i="1"/>
  <c r="D39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C78" i="1"/>
  <c r="D78" i="1"/>
  <c r="D208" i="1" l="1"/>
  <c r="E202" i="1"/>
  <c r="E196" i="1"/>
  <c r="E78" i="1"/>
  <c r="C40" i="1"/>
  <c r="C46" i="1" s="1"/>
  <c r="E39" i="1"/>
  <c r="E13" i="1"/>
  <c r="D40" i="1"/>
  <c r="D46" i="1" s="1"/>
  <c r="D52" i="1" s="1"/>
  <c r="D79" i="1" s="1"/>
  <c r="D85" i="1" s="1"/>
  <c r="D91" i="1" s="1"/>
  <c r="D118" i="1" s="1"/>
  <c r="D124" i="1" s="1"/>
  <c r="D130" i="1" s="1"/>
  <c r="D157" i="1" s="1"/>
  <c r="D235" i="1" l="1"/>
  <c r="E208" i="1"/>
  <c r="E40" i="1"/>
  <c r="E46" i="1"/>
  <c r="C52" i="1"/>
  <c r="E235" i="1" l="1"/>
  <c r="D241" i="1"/>
  <c r="C79" i="1"/>
  <c r="E52" i="1"/>
  <c r="D247" i="1" l="1"/>
  <c r="E241" i="1"/>
  <c r="E79" i="1"/>
  <c r="C85" i="1"/>
  <c r="D274" i="1" l="1"/>
  <c r="E274" i="1" s="1"/>
  <c r="E247" i="1"/>
  <c r="C91" i="1"/>
  <c r="E85" i="1"/>
  <c r="C118" i="1" l="1"/>
  <c r="E91" i="1"/>
  <c r="E118" i="1" l="1"/>
  <c r="C124" i="1"/>
  <c r="C130" i="1" l="1"/>
  <c r="E124" i="1"/>
  <c r="E130" i="1" l="1"/>
  <c r="C157" i="1"/>
  <c r="E157" i="1" s="1"/>
</calcChain>
</file>

<file path=xl/sharedStrings.xml><?xml version="1.0" encoding="utf-8"?>
<sst xmlns="http://schemas.openxmlformats.org/spreadsheetml/2006/main" count="193" uniqueCount="14">
  <si>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</si>
  <si>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</si>
  <si>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</si>
  <si>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</si>
  <si>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</si>
  <si>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ベージュ</t>
    <phoneticPr fontId="2"/>
  </si>
  <si>
    <t>ブラック</t>
    <phoneticPr fontId="2"/>
  </si>
  <si>
    <t>超のび裏シルク7分丈パンツ＜夢販在庫＞　S1850</t>
    <rPh sb="0" eb="1">
      <t>チョウ</t>
    </rPh>
    <rPh sb="3" eb="4">
      <t>ウラ</t>
    </rPh>
    <rPh sb="8" eb="9">
      <t>ブ</t>
    </rPh>
    <rPh sb="9" eb="10">
      <t>タケ</t>
    </rPh>
    <rPh sb="14" eb="18">
      <t>ユメハンザイコ</t>
    </rPh>
    <phoneticPr fontId="2"/>
  </si>
  <si>
    <t>ネット</t>
    <phoneticPr fontId="2"/>
  </si>
  <si>
    <t>初回</t>
    <rPh sb="0" eb="2">
      <t>ショカイ</t>
    </rPh>
    <phoneticPr fontId="2"/>
  </si>
  <si>
    <t>棚卸</t>
    <rPh sb="0" eb="2">
      <t>タナオロシ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</si>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</sst>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56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1" fillId="0" borderId="8" xfId="0" applyFont="1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56" fontId="0" fillId="0" borderId="11" xfId="0" applyNumberForma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13" xfId="0" applyBorder="1"/>
    <xf numFmtId="0" fontId="0" fillId="0" borderId="8" xfId="0" applyBorder="1" applyAlignment="1">
      <alignment horizontal="center"/>
    </xf>
    <xf numFmtId="56" fontId="0" fillId="0" borderId="0" xfId="0" applyNumberFormat="1"/>
    <xf numFmtId="0" fontId="3" fillId="0" borderId="11" xfId="0" applyFont="1" applyBorder="1"/>
    <xf numFmtId="0" fontId="3" fillId="0" borderId="12" xfId="0" applyFont="1" applyBorder="1"/>
    <xf numFmtId="56" fontId="3" fillId="0" borderId="11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0" fontId="3" fillId="2" borderId="0" xfId="0" applyFont="1" applyFill="1"/>
    <xf numFmtId="0" fontId="5" fillId="0" borderId="8" xfId="0" applyFont="1" applyBorder="1" applyAlignment="1">
      <alignment horizontal="center"/>
    </xf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/>
    <xf numFmtId="56" fontId="5" fillId="0" borderId="0" xfId="0" applyNumberFormat="1" applyFont="1"/>
    <xf numFmtId="0" fontId="0" fillId="0" borderId="6" xfId="0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56" fontId="3" fillId="0" borderId="8" xfId="0" applyNumberFormat="1" applyFont="1" applyBorder="1" applyAlignment="1">
      <alignment horizontal="center"/>
    </xf>
    <xf numFmtId="0" fontId="3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/>
    <xf numFmtId="0" fontId="3" fillId="5" borderId="10" xfId="0" applyFont="1" applyFill="1" applyBorder="1"/>
    <xf numFmtId="56" fontId="3" fillId="0" borderId="0" xfId="0" applyNumberFormat="1" applyFont="1"/>
    <xf numFmtId="0" fontId="3" fillId="0" borderId="8" xfId="0" applyFont="1" applyBorder="1" applyAlignment="1">
      <alignment horizontal="center"/>
    </xf>
    <xf numFmtId="0" fontId="3" fillId="5" borderId="13" xfId="0" applyFont="1" applyFill="1" applyBorder="1"/>
    <xf numFmtId="0" fontId="3" fillId="0" borderId="6" xfId="0" applyFont="1" applyBorder="1"/>
    <xf numFmtId="0" fontId="3" fillId="0" borderId="5" xfId="0" applyFont="1" applyBorder="1"/>
    <xf numFmtId="0" fontId="7" fillId="0" borderId="8" xfId="0" applyFont="1" applyBorder="1"/>
    <xf numFmtId="0" fontId="7" fillId="0" borderId="9" xfId="0" applyFont="1" applyBorder="1"/>
    <xf numFmtId="56" fontId="7" fillId="0" borderId="0" xfId="0" applyNumberFormat="1" applyFont="1"/>
    <xf numFmtId="0" fontId="0" fillId="5" borderId="10" xfId="0" applyFill="1" applyBorder="1"/>
    <xf numFmtId="0" fontId="0" fillId="5" borderId="13" xfId="0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tabSelected="1" topLeftCell="A238" zoomScaleNormal="100" workbookViewId="0">
      <selection activeCell="F254" sqref="F254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6" ht="18.75" x14ac:dyDescent="0.2">
      <c r="B1" s="32" t="s">
        <v>7</v>
      </c>
      <c r="C1" s="31"/>
      <c r="D1" s="31"/>
      <c r="E1" s="35"/>
      <c r="F1" s="35"/>
    </row>
    <row r="2" spans="2:6" ht="14.25" thickBot="1" x14ac:dyDescent="0.2">
      <c r="F2">
        <v>851</v>
      </c>
    </row>
    <row r="3" spans="2:6" ht="14.25" thickBot="1" x14ac:dyDescent="0.2">
      <c r="B3" s="30"/>
      <c r="C3" s="60"/>
      <c r="D3" s="60"/>
      <c r="E3" s="61"/>
    </row>
    <row r="4" spans="2:6" s="1" customFormat="1" ht="14.25" thickBot="1" x14ac:dyDescent="0.2">
      <c r="B4" s="29"/>
      <c r="C4" s="42" t="s">
        <v>6</v>
      </c>
      <c r="D4" s="43" t="s">
        <v>5</v>
      </c>
      <c r="E4" s="28" t="s">
        <v>4</v>
      </c>
    </row>
    <row r="5" spans="2:6" ht="14.25" customHeight="1" x14ac:dyDescent="0.15">
      <c r="B5" s="19" t="s">
        <v>9</v>
      </c>
      <c r="C5" s="18">
        <v>5</v>
      </c>
      <c r="D5" s="17">
        <v>5</v>
      </c>
      <c r="E5" s="17">
        <f t="shared" ref="E5:E40" si="0">SUM(C5:D5)</f>
        <v>10</v>
      </c>
      <c r="F5" s="24">
        <v>44384</v>
      </c>
    </row>
    <row r="6" spans="2:6" x14ac:dyDescent="0.15">
      <c r="B6" s="23" t="s">
        <v>3</v>
      </c>
      <c r="C6" s="14">
        <v>3</v>
      </c>
      <c r="D6" s="13"/>
      <c r="E6" s="12">
        <f t="shared" si="0"/>
        <v>3</v>
      </c>
      <c r="F6" s="24">
        <v>44517</v>
      </c>
    </row>
    <row r="7" spans="2:6" x14ac:dyDescent="0.15">
      <c r="B7" s="23" t="s">
        <v>3</v>
      </c>
      <c r="C7" s="14"/>
      <c r="D7" s="13">
        <v>3</v>
      </c>
      <c r="E7" s="12">
        <f t="shared" si="0"/>
        <v>3</v>
      </c>
      <c r="F7" s="24">
        <v>44606</v>
      </c>
    </row>
    <row r="8" spans="2:6" x14ac:dyDescent="0.15">
      <c r="B8" s="23" t="s">
        <v>3</v>
      </c>
      <c r="C8" s="14">
        <v>3</v>
      </c>
      <c r="D8" s="13">
        <v>3</v>
      </c>
      <c r="E8" s="12">
        <f t="shared" si="0"/>
        <v>6</v>
      </c>
      <c r="F8" s="24">
        <v>44630</v>
      </c>
    </row>
    <row r="9" spans="2:6" x14ac:dyDescent="0.15">
      <c r="B9" s="23" t="s">
        <v>3</v>
      </c>
      <c r="C9" s="14">
        <v>2</v>
      </c>
      <c r="D9" s="13">
        <v>2</v>
      </c>
      <c r="E9" s="12">
        <f t="shared" si="0"/>
        <v>4</v>
      </c>
      <c r="F9" s="24">
        <v>44726</v>
      </c>
    </row>
    <row r="10" spans="2:6" x14ac:dyDescent="0.15">
      <c r="B10" s="23" t="s">
        <v>3</v>
      </c>
      <c r="C10" s="14"/>
      <c r="D10" s="13">
        <v>3</v>
      </c>
      <c r="E10" s="12">
        <f t="shared" si="0"/>
        <v>3</v>
      </c>
      <c r="F10" s="24">
        <v>44747</v>
      </c>
    </row>
    <row r="11" spans="2:6" x14ac:dyDescent="0.15">
      <c r="B11" s="36" t="s">
        <v>10</v>
      </c>
      <c r="C11" s="37">
        <v>0</v>
      </c>
      <c r="D11" s="38">
        <v>0</v>
      </c>
      <c r="E11" s="39">
        <f t="shared" si="0"/>
        <v>0</v>
      </c>
      <c r="F11" s="40">
        <v>44799</v>
      </c>
    </row>
    <row r="12" spans="2:6" ht="14.25" thickBot="1" x14ac:dyDescent="0.2">
      <c r="B12" s="23" t="s">
        <v>3</v>
      </c>
      <c r="C12" s="22">
        <v>5</v>
      </c>
      <c r="D12" s="9"/>
      <c r="E12" s="8">
        <f t="shared" si="0"/>
        <v>5</v>
      </c>
      <c r="F12" s="24">
        <v>44831</v>
      </c>
    </row>
    <row r="13" spans="2:6" ht="14.25" thickBot="1" x14ac:dyDescent="0.2">
      <c r="B13" s="21" t="s">
        <v>2</v>
      </c>
      <c r="C13" s="20">
        <f>SUM(C5:C12)</f>
        <v>18</v>
      </c>
      <c r="D13" s="20">
        <f>SUM(D5:D12)</f>
        <v>16</v>
      </c>
      <c r="E13" s="20">
        <f t="shared" si="0"/>
        <v>34</v>
      </c>
    </row>
    <row r="14" spans="2:6" x14ac:dyDescent="0.15">
      <c r="B14" s="19" t="s">
        <v>8</v>
      </c>
      <c r="C14" s="18"/>
      <c r="D14" s="17">
        <v>1</v>
      </c>
      <c r="E14" s="12">
        <f t="shared" si="0"/>
        <v>1</v>
      </c>
      <c r="F14" s="24">
        <v>44392</v>
      </c>
    </row>
    <row r="15" spans="2:6" x14ac:dyDescent="0.15">
      <c r="B15" s="11" t="s">
        <v>8</v>
      </c>
      <c r="C15" s="14">
        <v>1</v>
      </c>
      <c r="D15" s="13"/>
      <c r="E15" s="12">
        <f t="shared" si="0"/>
        <v>1</v>
      </c>
      <c r="F15" s="24">
        <v>44403</v>
      </c>
    </row>
    <row r="16" spans="2:6" x14ac:dyDescent="0.15">
      <c r="B16" s="11" t="s">
        <v>8</v>
      </c>
      <c r="C16" s="14">
        <v>1</v>
      </c>
      <c r="D16" s="13"/>
      <c r="E16" s="12">
        <f t="shared" si="0"/>
        <v>1</v>
      </c>
      <c r="F16" s="24">
        <v>44404</v>
      </c>
    </row>
    <row r="17" spans="2:6" x14ac:dyDescent="0.15">
      <c r="B17" s="11" t="s">
        <v>8</v>
      </c>
      <c r="C17" s="14">
        <v>1</v>
      </c>
      <c r="D17" s="13"/>
      <c r="E17" s="12">
        <f t="shared" si="0"/>
        <v>1</v>
      </c>
      <c r="F17" s="24">
        <v>44449</v>
      </c>
    </row>
    <row r="18" spans="2:6" x14ac:dyDescent="0.15">
      <c r="B18" s="11" t="s">
        <v>8</v>
      </c>
      <c r="C18" s="14">
        <v>2</v>
      </c>
      <c r="D18" s="13"/>
      <c r="E18" s="12">
        <f t="shared" si="0"/>
        <v>2</v>
      </c>
      <c r="F18" s="24">
        <v>44526</v>
      </c>
    </row>
    <row r="19" spans="2:6" x14ac:dyDescent="0.15">
      <c r="B19" s="11" t="s">
        <v>8</v>
      </c>
      <c r="C19" s="16"/>
      <c r="D19" s="15">
        <v>2</v>
      </c>
      <c r="E19" s="12">
        <f t="shared" si="0"/>
        <v>2</v>
      </c>
      <c r="F19" s="24">
        <v>44582</v>
      </c>
    </row>
    <row r="20" spans="2:6" x14ac:dyDescent="0.15">
      <c r="B20" s="11" t="s">
        <v>8</v>
      </c>
      <c r="C20" s="14"/>
      <c r="D20" s="13">
        <v>2</v>
      </c>
      <c r="E20" s="12">
        <f t="shared" si="0"/>
        <v>2</v>
      </c>
      <c r="F20" s="24">
        <v>44602</v>
      </c>
    </row>
    <row r="21" spans="2:6" x14ac:dyDescent="0.15">
      <c r="B21" s="11" t="s">
        <v>8</v>
      </c>
      <c r="C21" s="14">
        <v>1</v>
      </c>
      <c r="D21" s="13"/>
      <c r="E21" s="12">
        <f t="shared" si="0"/>
        <v>1</v>
      </c>
      <c r="F21" s="24">
        <v>44606</v>
      </c>
    </row>
    <row r="22" spans="2:6" x14ac:dyDescent="0.15">
      <c r="B22" s="11" t="s">
        <v>8</v>
      </c>
      <c r="C22" s="16"/>
      <c r="D22" s="15">
        <v>1</v>
      </c>
      <c r="E22" s="12">
        <f t="shared" si="0"/>
        <v>1</v>
      </c>
      <c r="F22" s="24">
        <v>44617</v>
      </c>
    </row>
    <row r="23" spans="2:6" x14ac:dyDescent="0.15">
      <c r="B23" s="11" t="s">
        <v>8</v>
      </c>
      <c r="C23" s="14"/>
      <c r="D23" s="13">
        <v>1</v>
      </c>
      <c r="E23" s="12">
        <f t="shared" si="0"/>
        <v>1</v>
      </c>
      <c r="F23" s="24">
        <v>44627</v>
      </c>
    </row>
    <row r="24" spans="2:6" x14ac:dyDescent="0.15">
      <c r="B24" s="11" t="s">
        <v>8</v>
      </c>
      <c r="C24" s="16"/>
      <c r="D24" s="15">
        <v>1</v>
      </c>
      <c r="E24" s="12">
        <f t="shared" si="0"/>
        <v>1</v>
      </c>
      <c r="F24" s="34">
        <v>44662</v>
      </c>
    </row>
    <row r="25" spans="2:6" x14ac:dyDescent="0.15">
      <c r="B25" s="11" t="s">
        <v>8</v>
      </c>
      <c r="C25" s="16">
        <v>2</v>
      </c>
      <c r="D25" s="15"/>
      <c r="E25" s="12">
        <f t="shared" si="0"/>
        <v>2</v>
      </c>
      <c r="F25" s="34">
        <v>44687</v>
      </c>
    </row>
    <row r="26" spans="2:6" x14ac:dyDescent="0.15">
      <c r="B26" s="11" t="s">
        <v>8</v>
      </c>
      <c r="C26" s="14">
        <v>1</v>
      </c>
      <c r="D26" s="13">
        <v>1</v>
      </c>
      <c r="E26" s="12">
        <f t="shared" si="0"/>
        <v>2</v>
      </c>
      <c r="F26" s="24">
        <v>44691</v>
      </c>
    </row>
    <row r="27" spans="2:6" x14ac:dyDescent="0.15">
      <c r="B27" s="11" t="s">
        <v>8</v>
      </c>
      <c r="C27" s="16"/>
      <c r="D27" s="15">
        <v>2</v>
      </c>
      <c r="E27" s="12">
        <f t="shared" si="0"/>
        <v>2</v>
      </c>
      <c r="F27" s="34">
        <v>44735</v>
      </c>
    </row>
    <row r="28" spans="2:6" x14ac:dyDescent="0.15">
      <c r="B28" s="11" t="s">
        <v>8</v>
      </c>
      <c r="C28" s="16"/>
      <c r="D28" s="15">
        <v>1</v>
      </c>
      <c r="E28" s="12">
        <f t="shared" si="0"/>
        <v>1</v>
      </c>
      <c r="F28" s="34">
        <v>44761</v>
      </c>
    </row>
    <row r="29" spans="2:6" x14ac:dyDescent="0.15">
      <c r="B29" s="11" t="s">
        <v>8</v>
      </c>
      <c r="C29" s="16">
        <v>1</v>
      </c>
      <c r="D29" s="15"/>
      <c r="E29" s="12">
        <f t="shared" si="0"/>
        <v>1</v>
      </c>
      <c r="F29" s="34">
        <v>44784</v>
      </c>
    </row>
    <row r="30" spans="2:6" x14ac:dyDescent="0.15">
      <c r="B30" s="11" t="s">
        <v>8</v>
      </c>
      <c r="C30" s="16">
        <v>1</v>
      </c>
      <c r="D30" s="15"/>
      <c r="E30" s="12">
        <f t="shared" si="0"/>
        <v>1</v>
      </c>
      <c r="F30" s="34">
        <v>44816</v>
      </c>
    </row>
    <row r="31" spans="2:6" x14ac:dyDescent="0.15">
      <c r="B31" s="11" t="s">
        <v>8</v>
      </c>
      <c r="C31" s="16">
        <v>1</v>
      </c>
      <c r="D31" s="15">
        <v>1</v>
      </c>
      <c r="E31" s="12">
        <f t="shared" si="0"/>
        <v>2</v>
      </c>
      <c r="F31" s="34">
        <v>44824</v>
      </c>
    </row>
    <row r="32" spans="2:6" x14ac:dyDescent="0.15">
      <c r="B32" s="11" t="s">
        <v>8</v>
      </c>
      <c r="C32" s="16">
        <v>2</v>
      </c>
      <c r="D32" s="15">
        <v>1</v>
      </c>
      <c r="E32" s="12">
        <f t="shared" si="0"/>
        <v>3</v>
      </c>
      <c r="F32" s="34">
        <v>44831</v>
      </c>
    </row>
    <row r="33" spans="1:6" x14ac:dyDescent="0.15">
      <c r="B33" s="11" t="s">
        <v>8</v>
      </c>
      <c r="C33" s="14"/>
      <c r="D33" s="13">
        <v>2</v>
      </c>
      <c r="E33" s="12">
        <f t="shared" si="0"/>
        <v>2</v>
      </c>
      <c r="F33" s="33">
        <v>44837</v>
      </c>
    </row>
    <row r="34" spans="1:6" x14ac:dyDescent="0.15">
      <c r="B34" s="11" t="s">
        <v>8</v>
      </c>
      <c r="C34" s="14">
        <v>1</v>
      </c>
      <c r="D34" s="13"/>
      <c r="E34" s="12">
        <f t="shared" si="0"/>
        <v>1</v>
      </c>
      <c r="F34" s="33">
        <v>44839</v>
      </c>
    </row>
    <row r="35" spans="1:6" x14ac:dyDescent="0.15">
      <c r="B35" s="11"/>
      <c r="C35" s="14"/>
      <c r="D35" s="13"/>
      <c r="E35" s="12">
        <f t="shared" si="0"/>
        <v>0</v>
      </c>
      <c r="F35" s="33"/>
    </row>
    <row r="36" spans="1:6" x14ac:dyDescent="0.15">
      <c r="B36" s="11"/>
      <c r="C36" s="14"/>
      <c r="D36" s="13"/>
      <c r="E36" s="12">
        <f t="shared" si="0"/>
        <v>0</v>
      </c>
      <c r="F36" s="33"/>
    </row>
    <row r="37" spans="1:6" x14ac:dyDescent="0.15">
      <c r="B37" s="11"/>
      <c r="C37" s="14"/>
      <c r="D37" s="13"/>
      <c r="E37" s="12">
        <f t="shared" si="0"/>
        <v>0</v>
      </c>
      <c r="F37" s="33"/>
    </row>
    <row r="38" spans="1:6" ht="14.25" thickBot="1" x14ac:dyDescent="0.2">
      <c r="B38" s="11"/>
      <c r="C38" s="10"/>
      <c r="D38" s="9"/>
      <c r="E38" s="8">
        <f t="shared" si="0"/>
        <v>0</v>
      </c>
      <c r="F38" s="33"/>
    </row>
    <row r="39" spans="1:6" ht="14.25" thickBot="1" x14ac:dyDescent="0.2">
      <c r="B39" s="7" t="s">
        <v>1</v>
      </c>
      <c r="C39" s="6">
        <f>SUM(C14:C38)</f>
        <v>15</v>
      </c>
      <c r="D39" s="5">
        <f>SUM(D14:D38)</f>
        <v>16</v>
      </c>
      <c r="E39" s="5">
        <f t="shared" si="0"/>
        <v>31</v>
      </c>
    </row>
    <row r="40" spans="1:6" ht="14.25" thickBot="1" x14ac:dyDescent="0.2">
      <c r="B40" s="4" t="s">
        <v>0</v>
      </c>
      <c r="C40" s="3">
        <f>+C13-C39</f>
        <v>3</v>
      </c>
      <c r="D40" s="2">
        <f>+D13-D39</f>
        <v>0</v>
      </c>
      <c r="E40" s="2">
        <f t="shared" si="0"/>
        <v>3</v>
      </c>
    </row>
    <row r="42" spans="1:6" ht="18.75" x14ac:dyDescent="0.2">
      <c r="B42" s="32" t="s">
        <v>7</v>
      </c>
      <c r="C42" s="31"/>
      <c r="D42" s="31"/>
      <c r="E42" s="31"/>
      <c r="F42" s="31"/>
    </row>
    <row r="43" spans="1:6" ht="14.25" thickBot="1" x14ac:dyDescent="0.2">
      <c r="E43">
        <v>851</v>
      </c>
    </row>
    <row r="44" spans="1:6" ht="14.25" thickBot="1" x14ac:dyDescent="0.2">
      <c r="B44" s="30"/>
      <c r="C44" s="60"/>
      <c r="D44" s="60"/>
      <c r="E44" s="61"/>
    </row>
    <row r="45" spans="1:6" ht="14.25" thickBot="1" x14ac:dyDescent="0.2">
      <c r="A45" s="1"/>
      <c r="B45" s="29"/>
      <c r="C45" s="42" t="s">
        <v>6</v>
      </c>
      <c r="D45" s="43" t="s">
        <v>5</v>
      </c>
      <c r="E45" s="28" t="s">
        <v>4</v>
      </c>
    </row>
    <row r="46" spans="1:6" x14ac:dyDescent="0.15">
      <c r="B46" s="27" t="s">
        <v>0</v>
      </c>
      <c r="C46" s="26">
        <f>C40</f>
        <v>3</v>
      </c>
      <c r="D46" s="25">
        <f>D40</f>
        <v>0</v>
      </c>
      <c r="E46" s="25">
        <f t="shared" ref="E46:E79" si="1">SUM(C46:D46)</f>
        <v>3</v>
      </c>
    </row>
    <row r="47" spans="1:6" x14ac:dyDescent="0.15">
      <c r="B47" s="23" t="s">
        <v>3</v>
      </c>
      <c r="C47" s="14"/>
      <c r="D47" s="13">
        <v>3</v>
      </c>
      <c r="E47" s="12">
        <f t="shared" si="1"/>
        <v>3</v>
      </c>
      <c r="F47" s="24">
        <v>44854</v>
      </c>
    </row>
    <row r="48" spans="1:6" x14ac:dyDescent="0.15">
      <c r="B48" s="23" t="s">
        <v>3</v>
      </c>
      <c r="C48" s="14">
        <v>3</v>
      </c>
      <c r="D48" s="13"/>
      <c r="E48" s="12">
        <f t="shared" si="1"/>
        <v>3</v>
      </c>
      <c r="F48" s="24">
        <v>44883</v>
      </c>
    </row>
    <row r="49" spans="2:6" x14ac:dyDescent="0.15">
      <c r="B49" s="23" t="s">
        <v>3</v>
      </c>
      <c r="C49" s="14">
        <v>3</v>
      </c>
      <c r="D49" s="13">
        <v>3</v>
      </c>
      <c r="E49" s="12">
        <f t="shared" si="1"/>
        <v>6</v>
      </c>
      <c r="F49" s="24">
        <v>44944</v>
      </c>
    </row>
    <row r="50" spans="2:6" x14ac:dyDescent="0.15">
      <c r="B50" s="23" t="s">
        <v>3</v>
      </c>
      <c r="C50" s="14">
        <v>3</v>
      </c>
      <c r="D50" s="13"/>
      <c r="E50" s="12">
        <f t="shared" si="1"/>
        <v>3</v>
      </c>
      <c r="F50" s="24">
        <v>44964</v>
      </c>
    </row>
    <row r="51" spans="2:6" ht="14.25" thickBot="1" x14ac:dyDescent="0.2">
      <c r="B51" s="41" t="s">
        <v>3</v>
      </c>
      <c r="C51" s="22"/>
      <c r="D51" s="9">
        <v>5</v>
      </c>
      <c r="E51" s="8">
        <f t="shared" si="1"/>
        <v>5</v>
      </c>
      <c r="F51" s="24">
        <v>45017</v>
      </c>
    </row>
    <row r="52" spans="2:6" ht="14.25" thickBot="1" x14ac:dyDescent="0.2">
      <c r="B52" s="21" t="s">
        <v>2</v>
      </c>
      <c r="C52" s="20">
        <f>SUM(C46:C51)</f>
        <v>12</v>
      </c>
      <c r="D52" s="20">
        <f>SUM(D46:D51)</f>
        <v>11</v>
      </c>
      <c r="E52" s="20">
        <f t="shared" si="1"/>
        <v>23</v>
      </c>
    </row>
    <row r="53" spans="2:6" x14ac:dyDescent="0.15">
      <c r="B53" s="11" t="s">
        <v>8</v>
      </c>
      <c r="C53" s="18">
        <v>1</v>
      </c>
      <c r="D53" s="17"/>
      <c r="E53" s="12">
        <f t="shared" si="1"/>
        <v>1</v>
      </c>
      <c r="F53" s="24">
        <v>44869</v>
      </c>
    </row>
    <row r="54" spans="2:6" x14ac:dyDescent="0.15">
      <c r="B54" s="11" t="s">
        <v>8</v>
      </c>
      <c r="C54" s="14">
        <v>1</v>
      </c>
      <c r="D54" s="13"/>
      <c r="E54" s="12">
        <f t="shared" si="1"/>
        <v>1</v>
      </c>
      <c r="F54" s="24">
        <v>44886</v>
      </c>
    </row>
    <row r="55" spans="2:6" x14ac:dyDescent="0.15">
      <c r="B55" s="11" t="s">
        <v>8</v>
      </c>
      <c r="C55" s="14">
        <v>1</v>
      </c>
      <c r="D55" s="13"/>
      <c r="E55" s="12">
        <f t="shared" si="1"/>
        <v>1</v>
      </c>
      <c r="F55" s="24">
        <v>44889</v>
      </c>
    </row>
    <row r="56" spans="2:6" x14ac:dyDescent="0.15">
      <c r="B56" s="11" t="s">
        <v>8</v>
      </c>
      <c r="C56" s="16"/>
      <c r="D56" s="15">
        <v>1</v>
      </c>
      <c r="E56" s="12">
        <f t="shared" si="1"/>
        <v>1</v>
      </c>
      <c r="F56" s="24">
        <v>44900</v>
      </c>
    </row>
    <row r="57" spans="2:6" x14ac:dyDescent="0.15">
      <c r="B57" s="11" t="s">
        <v>8</v>
      </c>
      <c r="C57" s="16"/>
      <c r="D57" s="15">
        <v>1</v>
      </c>
      <c r="E57" s="12">
        <f t="shared" si="1"/>
        <v>1</v>
      </c>
      <c r="F57" s="24">
        <v>44917</v>
      </c>
    </row>
    <row r="58" spans="2:6" x14ac:dyDescent="0.15">
      <c r="B58" s="11" t="s">
        <v>8</v>
      </c>
      <c r="C58" s="14">
        <v>3</v>
      </c>
      <c r="D58" s="13"/>
      <c r="E58" s="12">
        <f t="shared" si="1"/>
        <v>3</v>
      </c>
      <c r="F58" s="24">
        <v>44921</v>
      </c>
    </row>
    <row r="59" spans="2:6" x14ac:dyDescent="0.15">
      <c r="B59" s="11" t="s">
        <v>8</v>
      </c>
      <c r="C59" s="14"/>
      <c r="D59" s="13">
        <v>1</v>
      </c>
      <c r="E59" s="12">
        <f t="shared" si="1"/>
        <v>1</v>
      </c>
      <c r="F59" s="24">
        <v>44952</v>
      </c>
    </row>
    <row r="60" spans="2:6" x14ac:dyDescent="0.15">
      <c r="B60" s="11" t="s">
        <v>8</v>
      </c>
      <c r="C60" s="16">
        <v>1</v>
      </c>
      <c r="D60" s="15"/>
      <c r="E60" s="12">
        <f t="shared" si="1"/>
        <v>1</v>
      </c>
      <c r="F60" s="24">
        <v>44956</v>
      </c>
    </row>
    <row r="61" spans="2:6" x14ac:dyDescent="0.15">
      <c r="B61" s="11" t="s">
        <v>8</v>
      </c>
      <c r="C61" s="16"/>
      <c r="D61" s="15">
        <v>1</v>
      </c>
      <c r="E61" s="12">
        <f t="shared" si="1"/>
        <v>1</v>
      </c>
      <c r="F61" s="24">
        <v>44984</v>
      </c>
    </row>
    <row r="62" spans="2:6" x14ac:dyDescent="0.15">
      <c r="B62" s="11" t="s">
        <v>8</v>
      </c>
      <c r="C62" s="14"/>
      <c r="D62" s="13">
        <v>1</v>
      </c>
      <c r="E62" s="12">
        <f t="shared" si="1"/>
        <v>1</v>
      </c>
      <c r="F62" s="24">
        <v>45012</v>
      </c>
    </row>
    <row r="63" spans="2:6" x14ac:dyDescent="0.15">
      <c r="B63" s="11" t="s">
        <v>8</v>
      </c>
      <c r="C63" s="16">
        <v>1</v>
      </c>
      <c r="D63" s="15">
        <v>1</v>
      </c>
      <c r="E63" s="12">
        <f t="shared" si="1"/>
        <v>2</v>
      </c>
      <c r="F63" s="24">
        <v>45014</v>
      </c>
    </row>
    <row r="64" spans="2:6" x14ac:dyDescent="0.15">
      <c r="B64" s="11" t="s">
        <v>8</v>
      </c>
      <c r="C64" s="16"/>
      <c r="D64" s="15">
        <v>2</v>
      </c>
      <c r="E64" s="12">
        <f t="shared" si="1"/>
        <v>2</v>
      </c>
      <c r="F64" s="24">
        <v>45022</v>
      </c>
    </row>
    <row r="65" spans="2:6" x14ac:dyDescent="0.15">
      <c r="B65" s="11" t="s">
        <v>8</v>
      </c>
      <c r="C65" s="14"/>
      <c r="D65" s="13">
        <v>2</v>
      </c>
      <c r="E65" s="12">
        <f t="shared" si="1"/>
        <v>2</v>
      </c>
      <c r="F65" s="24">
        <v>45040</v>
      </c>
    </row>
    <row r="66" spans="2:6" x14ac:dyDescent="0.15">
      <c r="B66" s="11"/>
      <c r="C66" s="16"/>
      <c r="D66" s="15"/>
      <c r="E66" s="12">
        <f t="shared" si="1"/>
        <v>0</v>
      </c>
    </row>
    <row r="67" spans="2:6" x14ac:dyDescent="0.15">
      <c r="B67" s="11"/>
      <c r="C67" s="16"/>
      <c r="D67" s="15"/>
      <c r="E67" s="12">
        <f t="shared" si="1"/>
        <v>0</v>
      </c>
    </row>
    <row r="68" spans="2:6" x14ac:dyDescent="0.15">
      <c r="B68" s="11"/>
      <c r="C68" s="16"/>
      <c r="D68" s="15"/>
      <c r="E68" s="12">
        <f t="shared" si="1"/>
        <v>0</v>
      </c>
    </row>
    <row r="69" spans="2:6" x14ac:dyDescent="0.15">
      <c r="B69" s="11"/>
      <c r="C69" s="16"/>
      <c r="D69" s="15"/>
      <c r="E69" s="12">
        <f t="shared" si="1"/>
        <v>0</v>
      </c>
    </row>
    <row r="70" spans="2:6" x14ac:dyDescent="0.15">
      <c r="B70" s="11"/>
      <c r="C70" s="16"/>
      <c r="D70" s="15"/>
      <c r="E70" s="12">
        <f t="shared" si="1"/>
        <v>0</v>
      </c>
    </row>
    <row r="71" spans="2:6" x14ac:dyDescent="0.15">
      <c r="B71" s="11"/>
      <c r="C71" s="16"/>
      <c r="D71" s="15"/>
      <c r="E71" s="12">
        <f t="shared" si="1"/>
        <v>0</v>
      </c>
    </row>
    <row r="72" spans="2:6" x14ac:dyDescent="0.15">
      <c r="B72" s="11"/>
      <c r="C72" s="14"/>
      <c r="D72" s="13"/>
      <c r="E72" s="12">
        <f t="shared" si="1"/>
        <v>0</v>
      </c>
    </row>
    <row r="73" spans="2:6" x14ac:dyDescent="0.15">
      <c r="B73" s="11"/>
      <c r="C73" s="14"/>
      <c r="D73" s="13"/>
      <c r="E73" s="12">
        <f t="shared" si="1"/>
        <v>0</v>
      </c>
    </row>
    <row r="74" spans="2:6" x14ac:dyDescent="0.15">
      <c r="B74" s="11"/>
      <c r="C74" s="14"/>
      <c r="D74" s="13"/>
      <c r="E74" s="12">
        <f t="shared" si="1"/>
        <v>0</v>
      </c>
    </row>
    <row r="75" spans="2:6" x14ac:dyDescent="0.15">
      <c r="B75" s="11"/>
      <c r="C75" s="14"/>
      <c r="D75" s="13"/>
      <c r="E75" s="12">
        <f t="shared" si="1"/>
        <v>0</v>
      </c>
    </row>
    <row r="76" spans="2:6" x14ac:dyDescent="0.15">
      <c r="B76" s="11"/>
      <c r="C76" s="14"/>
      <c r="D76" s="13"/>
      <c r="E76" s="12">
        <f t="shared" si="1"/>
        <v>0</v>
      </c>
    </row>
    <row r="77" spans="2:6" ht="14.25" thickBot="1" x14ac:dyDescent="0.2">
      <c r="B77" s="11"/>
      <c r="C77" s="10"/>
      <c r="D77" s="9"/>
      <c r="E77" s="8">
        <f t="shared" si="1"/>
        <v>0</v>
      </c>
    </row>
    <row r="78" spans="2:6" ht="14.25" thickBot="1" x14ac:dyDescent="0.2">
      <c r="B78" s="7" t="s">
        <v>1</v>
      </c>
      <c r="C78" s="6">
        <f>SUM(C53:C77)</f>
        <v>8</v>
      </c>
      <c r="D78" s="5">
        <f>SUM(D53:D77)</f>
        <v>10</v>
      </c>
      <c r="E78" s="5">
        <f t="shared" si="1"/>
        <v>18</v>
      </c>
    </row>
    <row r="79" spans="2:6" ht="14.25" thickBot="1" x14ac:dyDescent="0.2">
      <c r="B79" s="4" t="s">
        <v>0</v>
      </c>
      <c r="C79" s="3">
        <f>+C52-C78</f>
        <v>4</v>
      </c>
      <c r="D79" s="2">
        <f>+D52-D78</f>
        <v>1</v>
      </c>
      <c r="E79" s="2">
        <f t="shared" si="1"/>
        <v>5</v>
      </c>
    </row>
    <row r="81" spans="1:6" ht="18.75" x14ac:dyDescent="0.2">
      <c r="B81" s="32" t="s">
        <v>7</v>
      </c>
      <c r="C81" s="31"/>
      <c r="D81" s="31"/>
      <c r="E81" s="31"/>
    </row>
    <row r="82" spans="1:6" ht="14.25" thickBot="1" x14ac:dyDescent="0.2">
      <c r="E82">
        <v>851</v>
      </c>
    </row>
    <row r="83" spans="1:6" ht="14.25" thickBot="1" x14ac:dyDescent="0.2">
      <c r="B83" s="30"/>
      <c r="C83" s="60"/>
      <c r="D83" s="60"/>
      <c r="E83" s="61"/>
    </row>
    <row r="84" spans="1:6" ht="14.25" thickBot="1" x14ac:dyDescent="0.2">
      <c r="A84" s="1"/>
      <c r="B84" s="29"/>
      <c r="C84" s="42" t="s">
        <v>6</v>
      </c>
      <c r="D84" s="43" t="s">
        <v>5</v>
      </c>
      <c r="E84" s="28" t="s">
        <v>4</v>
      </c>
    </row>
    <row r="85" spans="1:6" x14ac:dyDescent="0.15">
      <c r="B85" s="27" t="s">
        <v>0</v>
      </c>
      <c r="C85" s="26">
        <f>C79</f>
        <v>4</v>
      </c>
      <c r="D85" s="25">
        <f>D79</f>
        <v>1</v>
      </c>
      <c r="E85" s="25">
        <f t="shared" ref="E85:E118" si="2">SUM(C85:D85)</f>
        <v>5</v>
      </c>
    </row>
    <row r="86" spans="1:6" x14ac:dyDescent="0.15">
      <c r="B86" s="23" t="s">
        <v>3</v>
      </c>
      <c r="C86" s="14"/>
      <c r="D86" s="13">
        <v>3</v>
      </c>
      <c r="E86" s="12">
        <f t="shared" si="2"/>
        <v>3</v>
      </c>
      <c r="F86" s="24">
        <v>45059</v>
      </c>
    </row>
    <row r="87" spans="1:6" x14ac:dyDescent="0.15">
      <c r="B87" s="23" t="s">
        <v>3</v>
      </c>
      <c r="C87" s="14"/>
      <c r="D87" s="13">
        <v>3</v>
      </c>
      <c r="E87" s="12">
        <f t="shared" si="2"/>
        <v>3</v>
      </c>
      <c r="F87" s="24">
        <v>45078</v>
      </c>
    </row>
    <row r="88" spans="1:6" x14ac:dyDescent="0.15">
      <c r="B88" s="23" t="s">
        <v>3</v>
      </c>
      <c r="C88" s="14">
        <v>3</v>
      </c>
      <c r="D88" s="13"/>
      <c r="E88" s="12">
        <f t="shared" si="2"/>
        <v>3</v>
      </c>
      <c r="F88" s="24">
        <v>45127</v>
      </c>
    </row>
    <row r="89" spans="1:6" x14ac:dyDescent="0.15">
      <c r="B89" s="23" t="s">
        <v>11</v>
      </c>
      <c r="C89" s="14">
        <v>1</v>
      </c>
      <c r="D89" s="13"/>
      <c r="E89" s="12">
        <f t="shared" si="2"/>
        <v>1</v>
      </c>
      <c r="F89" s="24">
        <v>45146</v>
      </c>
    </row>
    <row r="90" spans="1:6" ht="14.25" thickBot="1" x14ac:dyDescent="0.2">
      <c r="B90" s="41" t="s">
        <v>3</v>
      </c>
      <c r="C90" s="22">
        <v>3</v>
      </c>
      <c r="D90" s="9"/>
      <c r="E90" s="8">
        <f t="shared" si="2"/>
        <v>3</v>
      </c>
      <c r="F90" s="24">
        <v>45274</v>
      </c>
    </row>
    <row r="91" spans="1:6" ht="14.25" thickBot="1" x14ac:dyDescent="0.2">
      <c r="B91" s="21" t="s">
        <v>2</v>
      </c>
      <c r="C91" s="20">
        <f>SUM(C85:C90)</f>
        <v>11</v>
      </c>
      <c r="D91" s="20">
        <f>SUM(D85:D90)</f>
        <v>7</v>
      </c>
      <c r="E91" s="20">
        <f t="shared" si="2"/>
        <v>18</v>
      </c>
    </row>
    <row r="92" spans="1:6" x14ac:dyDescent="0.15">
      <c r="B92" s="11" t="s">
        <v>8</v>
      </c>
      <c r="C92" s="16"/>
      <c r="D92" s="15">
        <v>2</v>
      </c>
      <c r="E92" s="12">
        <f t="shared" ref="E92:E104" si="3">SUM(C92:D92)</f>
        <v>2</v>
      </c>
      <c r="F92" s="24">
        <v>45066</v>
      </c>
    </row>
    <row r="93" spans="1:6" x14ac:dyDescent="0.15">
      <c r="B93" s="11" t="s">
        <v>8</v>
      </c>
      <c r="C93" s="16">
        <v>1</v>
      </c>
      <c r="D93" s="15"/>
      <c r="E93" s="12">
        <f t="shared" si="3"/>
        <v>1</v>
      </c>
      <c r="F93" s="24">
        <v>45105</v>
      </c>
    </row>
    <row r="94" spans="1:6" x14ac:dyDescent="0.15">
      <c r="B94" s="11" t="s">
        <v>8</v>
      </c>
      <c r="C94" s="16">
        <v>1</v>
      </c>
      <c r="D94" s="15"/>
      <c r="E94" s="12">
        <f t="shared" si="3"/>
        <v>1</v>
      </c>
      <c r="F94" s="24">
        <v>45118</v>
      </c>
    </row>
    <row r="95" spans="1:6" x14ac:dyDescent="0.15">
      <c r="B95" s="11" t="s">
        <v>8</v>
      </c>
      <c r="C95" s="16">
        <v>2</v>
      </c>
      <c r="D95" s="15"/>
      <c r="E95" s="12">
        <f t="shared" si="3"/>
        <v>2</v>
      </c>
      <c r="F95" s="24">
        <v>45184</v>
      </c>
    </row>
    <row r="96" spans="1:6" x14ac:dyDescent="0.15">
      <c r="B96" s="11" t="s">
        <v>8</v>
      </c>
      <c r="C96" s="16">
        <v>1</v>
      </c>
      <c r="D96" s="15"/>
      <c r="E96" s="12">
        <f t="shared" si="3"/>
        <v>1</v>
      </c>
      <c r="F96" s="24">
        <v>45215</v>
      </c>
    </row>
    <row r="97" spans="2:6" x14ac:dyDescent="0.15">
      <c r="B97" s="11" t="s">
        <v>8</v>
      </c>
      <c r="C97" s="16">
        <v>2</v>
      </c>
      <c r="D97" s="15"/>
      <c r="E97" s="12">
        <f t="shared" si="3"/>
        <v>2</v>
      </c>
      <c r="F97" s="24">
        <v>45267</v>
      </c>
    </row>
    <row r="98" spans="2:6" x14ac:dyDescent="0.15">
      <c r="B98" s="11" t="s">
        <v>8</v>
      </c>
      <c r="C98" s="16">
        <v>1</v>
      </c>
      <c r="D98" s="15">
        <v>1</v>
      </c>
      <c r="E98" s="12">
        <f t="shared" si="3"/>
        <v>2</v>
      </c>
      <c r="F98" s="24">
        <v>45390</v>
      </c>
    </row>
    <row r="99" spans="2:6" x14ac:dyDescent="0.15">
      <c r="B99" s="11" t="s">
        <v>8</v>
      </c>
      <c r="C99" s="16">
        <v>1</v>
      </c>
      <c r="D99" s="15">
        <v>1</v>
      </c>
      <c r="E99" s="12">
        <f t="shared" si="3"/>
        <v>2</v>
      </c>
      <c r="F99" s="24">
        <v>45404</v>
      </c>
    </row>
    <row r="100" spans="2:6" x14ac:dyDescent="0.15">
      <c r="B100" s="11" t="s">
        <v>8</v>
      </c>
      <c r="C100" s="16">
        <v>1</v>
      </c>
      <c r="D100" s="15"/>
      <c r="E100" s="12">
        <f t="shared" si="3"/>
        <v>1</v>
      </c>
      <c r="F100" s="24">
        <v>45407</v>
      </c>
    </row>
    <row r="101" spans="2:6" x14ac:dyDescent="0.15">
      <c r="B101" s="11" t="s">
        <v>8</v>
      </c>
      <c r="C101" s="16">
        <v>1</v>
      </c>
      <c r="D101" s="15"/>
      <c r="E101" s="12">
        <f t="shared" si="3"/>
        <v>1</v>
      </c>
      <c r="F101" s="24">
        <v>45421</v>
      </c>
    </row>
    <row r="102" spans="2:6" x14ac:dyDescent="0.15">
      <c r="B102" s="11" t="s">
        <v>8</v>
      </c>
      <c r="C102" s="16"/>
      <c r="D102" s="15">
        <v>1</v>
      </c>
      <c r="E102" s="12">
        <f t="shared" si="3"/>
        <v>1</v>
      </c>
      <c r="F102" s="24">
        <v>45422</v>
      </c>
    </row>
    <row r="103" spans="2:6" x14ac:dyDescent="0.15">
      <c r="B103" s="11"/>
      <c r="C103" s="16"/>
      <c r="D103" s="15"/>
      <c r="E103" s="12">
        <f t="shared" si="3"/>
        <v>0</v>
      </c>
      <c r="F103" s="24"/>
    </row>
    <row r="104" spans="2:6" x14ac:dyDescent="0.15">
      <c r="B104" s="11"/>
      <c r="C104" s="16"/>
      <c r="D104" s="15"/>
      <c r="E104" s="12">
        <f t="shared" si="3"/>
        <v>0</v>
      </c>
    </row>
    <row r="105" spans="2:6" x14ac:dyDescent="0.15">
      <c r="B105" s="11"/>
      <c r="C105" s="16"/>
      <c r="D105" s="15"/>
      <c r="E105" s="12">
        <f t="shared" si="2"/>
        <v>0</v>
      </c>
    </row>
    <row r="106" spans="2:6" x14ac:dyDescent="0.15">
      <c r="B106" s="11"/>
      <c r="C106" s="16"/>
      <c r="D106" s="15"/>
      <c r="E106" s="12">
        <f t="shared" si="2"/>
        <v>0</v>
      </c>
    </row>
    <row r="107" spans="2:6" x14ac:dyDescent="0.15">
      <c r="B107" s="11"/>
      <c r="C107" s="16"/>
      <c r="D107" s="15"/>
      <c r="E107" s="12">
        <f t="shared" si="2"/>
        <v>0</v>
      </c>
    </row>
    <row r="108" spans="2:6" x14ac:dyDescent="0.15">
      <c r="B108" s="11"/>
      <c r="C108" s="16"/>
      <c r="D108" s="15"/>
      <c r="E108" s="12">
        <f t="shared" si="2"/>
        <v>0</v>
      </c>
    </row>
    <row r="109" spans="2:6" x14ac:dyDescent="0.15">
      <c r="B109" s="11"/>
      <c r="C109" s="16"/>
      <c r="D109" s="15"/>
      <c r="E109" s="12">
        <f t="shared" si="2"/>
        <v>0</v>
      </c>
    </row>
    <row r="110" spans="2:6" x14ac:dyDescent="0.15">
      <c r="B110" s="11"/>
      <c r="C110" s="16"/>
      <c r="D110" s="15"/>
      <c r="E110" s="12">
        <f t="shared" si="2"/>
        <v>0</v>
      </c>
    </row>
    <row r="111" spans="2:6" x14ac:dyDescent="0.15">
      <c r="B111" s="11"/>
      <c r="C111" s="14"/>
      <c r="D111" s="13"/>
      <c r="E111" s="12">
        <f t="shared" si="2"/>
        <v>0</v>
      </c>
    </row>
    <row r="112" spans="2:6" x14ac:dyDescent="0.15">
      <c r="B112" s="11"/>
      <c r="C112" s="14"/>
      <c r="D112" s="13"/>
      <c r="E112" s="12">
        <f t="shared" si="2"/>
        <v>0</v>
      </c>
    </row>
    <row r="113" spans="1:6" x14ac:dyDescent="0.15">
      <c r="B113" s="11"/>
      <c r="C113" s="14"/>
      <c r="D113" s="13"/>
      <c r="E113" s="12">
        <f t="shared" si="2"/>
        <v>0</v>
      </c>
    </row>
    <row r="114" spans="1:6" x14ac:dyDescent="0.15">
      <c r="B114" s="11"/>
      <c r="C114" s="14"/>
      <c r="D114" s="13"/>
      <c r="E114" s="12">
        <f t="shared" si="2"/>
        <v>0</v>
      </c>
    </row>
    <row r="115" spans="1:6" x14ac:dyDescent="0.15">
      <c r="B115" s="11"/>
      <c r="C115" s="14"/>
      <c r="D115" s="13"/>
      <c r="E115" s="12">
        <f t="shared" si="2"/>
        <v>0</v>
      </c>
    </row>
    <row r="116" spans="1:6" ht="14.25" thickBot="1" x14ac:dyDescent="0.2">
      <c r="B116" s="11"/>
      <c r="C116" s="10"/>
      <c r="D116" s="9"/>
      <c r="E116" s="8">
        <f t="shared" si="2"/>
        <v>0</v>
      </c>
    </row>
    <row r="117" spans="1:6" ht="14.25" thickBot="1" x14ac:dyDescent="0.2">
      <c r="B117" s="7" t="s">
        <v>1</v>
      </c>
      <c r="C117" s="6">
        <f>SUM(C92:C116)</f>
        <v>11</v>
      </c>
      <c r="D117" s="5">
        <f>SUM(D92:D116)</f>
        <v>5</v>
      </c>
      <c r="E117" s="5">
        <f t="shared" si="2"/>
        <v>16</v>
      </c>
    </row>
    <row r="118" spans="1:6" ht="14.25" thickBot="1" x14ac:dyDescent="0.2">
      <c r="B118" s="4" t="s">
        <v>0</v>
      </c>
      <c r="C118" s="3">
        <f>+C91-C117</f>
        <v>0</v>
      </c>
      <c r="D118" s="2">
        <f>+D91-D117</f>
        <v>2</v>
      </c>
      <c r="E118" s="2">
        <f t="shared" si="2"/>
        <v>2</v>
      </c>
    </row>
    <row r="120" spans="1:6" ht="18.75" x14ac:dyDescent="0.2">
      <c r="B120" s="32" t="s">
        <v>7</v>
      </c>
      <c r="C120" s="31"/>
      <c r="D120" s="31"/>
      <c r="E120" s="31"/>
    </row>
    <row r="121" spans="1:6" ht="14.25" thickBot="1" x14ac:dyDescent="0.2">
      <c r="E121">
        <v>851</v>
      </c>
    </row>
    <row r="122" spans="1:6" ht="14.25" thickBot="1" x14ac:dyDescent="0.2">
      <c r="B122" s="30"/>
      <c r="C122" s="60"/>
      <c r="D122" s="60"/>
      <c r="E122" s="61"/>
    </row>
    <row r="123" spans="1:6" ht="14.25" thickBot="1" x14ac:dyDescent="0.2">
      <c r="A123" s="1"/>
      <c r="B123" s="29"/>
      <c r="C123" s="42" t="s">
        <v>6</v>
      </c>
      <c r="D123" s="43" t="s">
        <v>5</v>
      </c>
      <c r="E123" s="28" t="s">
        <v>4</v>
      </c>
    </row>
    <row r="124" spans="1:6" x14ac:dyDescent="0.15">
      <c r="B124" s="27" t="s">
        <v>0</v>
      </c>
      <c r="C124" s="26">
        <f>C118</f>
        <v>0</v>
      </c>
      <c r="D124" s="25">
        <f>D118</f>
        <v>2</v>
      </c>
      <c r="E124" s="25">
        <f t="shared" ref="E124:E157" si="4">SUM(C124:D124)</f>
        <v>2</v>
      </c>
    </row>
    <row r="125" spans="1:6" x14ac:dyDescent="0.15">
      <c r="B125" s="23" t="s">
        <v>3</v>
      </c>
      <c r="C125" s="14">
        <v>3</v>
      </c>
      <c r="D125" s="13"/>
      <c r="E125" s="12">
        <f t="shared" si="4"/>
        <v>3</v>
      </c>
      <c r="F125" s="24">
        <v>45414</v>
      </c>
    </row>
    <row r="126" spans="1:6" x14ac:dyDescent="0.15">
      <c r="B126" s="23" t="s">
        <v>3</v>
      </c>
      <c r="C126" s="14">
        <v>3</v>
      </c>
      <c r="D126" s="13">
        <v>3</v>
      </c>
      <c r="E126" s="12">
        <f t="shared" si="4"/>
        <v>6</v>
      </c>
      <c r="F126" s="24">
        <v>45434</v>
      </c>
    </row>
    <row r="127" spans="1:6" x14ac:dyDescent="0.15">
      <c r="B127" s="23" t="s">
        <v>3</v>
      </c>
      <c r="C127" s="14"/>
      <c r="D127" s="13">
        <v>5</v>
      </c>
      <c r="E127" s="12">
        <f t="shared" si="4"/>
        <v>5</v>
      </c>
      <c r="F127" s="24">
        <v>45455</v>
      </c>
    </row>
    <row r="128" spans="1:6" x14ac:dyDescent="0.15">
      <c r="B128" s="23" t="s">
        <v>3</v>
      </c>
      <c r="C128" s="14">
        <v>3</v>
      </c>
      <c r="D128" s="13">
        <v>3</v>
      </c>
      <c r="E128" s="12">
        <f t="shared" si="4"/>
        <v>6</v>
      </c>
      <c r="F128" s="24">
        <v>45493</v>
      </c>
    </row>
    <row r="129" spans="2:6" ht="14.25" thickBot="1" x14ac:dyDescent="0.2">
      <c r="B129" s="41" t="s">
        <v>11</v>
      </c>
      <c r="C129" s="22">
        <v>0</v>
      </c>
      <c r="D129" s="9">
        <v>1</v>
      </c>
      <c r="E129" s="8">
        <f t="shared" si="4"/>
        <v>1</v>
      </c>
      <c r="F129" s="24">
        <v>45526</v>
      </c>
    </row>
    <row r="130" spans="2:6" ht="14.25" thickBot="1" x14ac:dyDescent="0.2">
      <c r="B130" s="21" t="s">
        <v>2</v>
      </c>
      <c r="C130" s="20">
        <f>SUM(C124:C129)</f>
        <v>9</v>
      </c>
      <c r="D130" s="20">
        <f>SUM(D124:D129)</f>
        <v>14</v>
      </c>
      <c r="E130" s="20">
        <f t="shared" si="4"/>
        <v>23</v>
      </c>
    </row>
    <row r="131" spans="2:6" x14ac:dyDescent="0.15">
      <c r="B131" s="11" t="s">
        <v>8</v>
      </c>
      <c r="C131" s="16">
        <v>1</v>
      </c>
      <c r="D131" s="15"/>
      <c r="E131" s="12">
        <f t="shared" si="4"/>
        <v>1</v>
      </c>
      <c r="F131" s="24">
        <v>45425</v>
      </c>
    </row>
    <row r="132" spans="2:6" x14ac:dyDescent="0.15">
      <c r="B132" s="11" t="s">
        <v>8</v>
      </c>
      <c r="C132" s="16"/>
      <c r="D132" s="15">
        <v>1</v>
      </c>
      <c r="E132" s="12">
        <f t="shared" si="4"/>
        <v>1</v>
      </c>
      <c r="F132" s="24">
        <v>45426</v>
      </c>
    </row>
    <row r="133" spans="2:6" x14ac:dyDescent="0.15">
      <c r="B133" s="11" t="s">
        <v>8</v>
      </c>
      <c r="C133" s="16">
        <v>1</v>
      </c>
      <c r="D133" s="15"/>
      <c r="E133" s="12">
        <f t="shared" si="4"/>
        <v>1</v>
      </c>
      <c r="F133" s="24">
        <v>45432</v>
      </c>
    </row>
    <row r="134" spans="2:6" x14ac:dyDescent="0.15">
      <c r="B134" s="11" t="s">
        <v>8</v>
      </c>
      <c r="C134" s="16"/>
      <c r="D134" s="15">
        <v>2</v>
      </c>
      <c r="E134" s="12">
        <f t="shared" si="4"/>
        <v>2</v>
      </c>
      <c r="F134" s="24">
        <v>45446</v>
      </c>
    </row>
    <row r="135" spans="2:6" x14ac:dyDescent="0.15">
      <c r="B135" s="11" t="s">
        <v>8</v>
      </c>
      <c r="C135" s="16"/>
      <c r="D135" s="15">
        <v>3</v>
      </c>
      <c r="E135" s="12">
        <f t="shared" si="4"/>
        <v>3</v>
      </c>
      <c r="F135" s="24">
        <v>45455</v>
      </c>
    </row>
    <row r="136" spans="2:6" x14ac:dyDescent="0.15">
      <c r="B136" s="11" t="s">
        <v>8</v>
      </c>
      <c r="C136" s="16"/>
      <c r="D136" s="15">
        <v>1</v>
      </c>
      <c r="E136" s="12">
        <f t="shared" si="4"/>
        <v>1</v>
      </c>
      <c r="F136" s="24">
        <v>45478</v>
      </c>
    </row>
    <row r="137" spans="2:6" x14ac:dyDescent="0.15">
      <c r="B137" s="11" t="s">
        <v>8</v>
      </c>
      <c r="C137" s="16">
        <v>1</v>
      </c>
      <c r="D137" s="15"/>
      <c r="E137" s="12">
        <f t="shared" si="4"/>
        <v>1</v>
      </c>
      <c r="F137" s="24">
        <v>45489</v>
      </c>
    </row>
    <row r="138" spans="2:6" x14ac:dyDescent="0.15">
      <c r="B138" s="11" t="s">
        <v>8</v>
      </c>
      <c r="C138" s="16">
        <v>1</v>
      </c>
      <c r="D138" s="15">
        <v>1</v>
      </c>
      <c r="E138" s="12">
        <f t="shared" si="4"/>
        <v>2</v>
      </c>
      <c r="F138" s="24">
        <v>45492</v>
      </c>
    </row>
    <row r="139" spans="2:6" x14ac:dyDescent="0.15">
      <c r="B139" s="11" t="s">
        <v>8</v>
      </c>
      <c r="C139" s="16">
        <v>1</v>
      </c>
      <c r="D139" s="15"/>
      <c r="E139" s="12">
        <f t="shared" si="4"/>
        <v>1</v>
      </c>
      <c r="F139" s="24">
        <v>45509</v>
      </c>
    </row>
    <row r="140" spans="2:6" x14ac:dyDescent="0.15">
      <c r="B140" s="11" t="s">
        <v>8</v>
      </c>
      <c r="C140" s="16"/>
      <c r="D140" s="15">
        <v>1</v>
      </c>
      <c r="E140" s="12">
        <f t="shared" si="4"/>
        <v>1</v>
      </c>
      <c r="F140" s="24">
        <v>45510</v>
      </c>
    </row>
    <row r="141" spans="2:6" x14ac:dyDescent="0.15">
      <c r="B141" s="11" t="s">
        <v>8</v>
      </c>
      <c r="C141" s="16">
        <v>2</v>
      </c>
      <c r="D141" s="15"/>
      <c r="E141" s="12">
        <f t="shared" si="4"/>
        <v>2</v>
      </c>
      <c r="F141" s="24">
        <v>45541</v>
      </c>
    </row>
    <row r="142" spans="2:6" x14ac:dyDescent="0.15">
      <c r="B142" s="11" t="s">
        <v>8</v>
      </c>
      <c r="C142" s="16">
        <v>1</v>
      </c>
      <c r="D142" s="15"/>
      <c r="E142" s="12">
        <f t="shared" si="4"/>
        <v>1</v>
      </c>
      <c r="F142" s="24">
        <v>45546</v>
      </c>
    </row>
    <row r="143" spans="2:6" x14ac:dyDescent="0.15">
      <c r="B143" s="11"/>
      <c r="C143" s="16"/>
      <c r="D143" s="15"/>
      <c r="E143" s="12">
        <f t="shared" si="4"/>
        <v>0</v>
      </c>
    </row>
    <row r="144" spans="2:6" x14ac:dyDescent="0.15">
      <c r="B144" s="11"/>
      <c r="C144" s="16"/>
      <c r="D144" s="15"/>
      <c r="E144" s="12">
        <f t="shared" si="4"/>
        <v>0</v>
      </c>
    </row>
    <row r="145" spans="2:5" x14ac:dyDescent="0.15">
      <c r="B145" s="11"/>
      <c r="C145" s="16"/>
      <c r="D145" s="15"/>
      <c r="E145" s="12">
        <f t="shared" si="4"/>
        <v>0</v>
      </c>
    </row>
    <row r="146" spans="2:5" x14ac:dyDescent="0.15">
      <c r="B146" s="11"/>
      <c r="C146" s="16"/>
      <c r="D146" s="15"/>
      <c r="E146" s="12">
        <f t="shared" si="4"/>
        <v>0</v>
      </c>
    </row>
    <row r="147" spans="2:5" x14ac:dyDescent="0.15">
      <c r="B147" s="11"/>
      <c r="C147" s="16"/>
      <c r="D147" s="15"/>
      <c r="E147" s="12">
        <f t="shared" si="4"/>
        <v>0</v>
      </c>
    </row>
    <row r="148" spans="2:5" x14ac:dyDescent="0.15">
      <c r="B148" s="11"/>
      <c r="C148" s="16"/>
      <c r="D148" s="15"/>
      <c r="E148" s="12">
        <f t="shared" si="4"/>
        <v>0</v>
      </c>
    </row>
    <row r="149" spans="2:5" x14ac:dyDescent="0.15">
      <c r="B149" s="11"/>
      <c r="C149" s="16"/>
      <c r="D149" s="15"/>
      <c r="E149" s="12">
        <f t="shared" si="4"/>
        <v>0</v>
      </c>
    </row>
    <row r="150" spans="2:5" x14ac:dyDescent="0.15">
      <c r="B150" s="11"/>
      <c r="C150" s="14"/>
      <c r="D150" s="13"/>
      <c r="E150" s="12">
        <f t="shared" si="4"/>
        <v>0</v>
      </c>
    </row>
    <row r="151" spans="2:5" x14ac:dyDescent="0.15">
      <c r="B151" s="11"/>
      <c r="C151" s="14"/>
      <c r="D151" s="13"/>
      <c r="E151" s="12">
        <f t="shared" si="4"/>
        <v>0</v>
      </c>
    </row>
    <row r="152" spans="2:5" x14ac:dyDescent="0.15">
      <c r="B152" s="11"/>
      <c r="C152" s="14"/>
      <c r="D152" s="13"/>
      <c r="E152" s="12">
        <f t="shared" si="4"/>
        <v>0</v>
      </c>
    </row>
    <row r="153" spans="2:5" x14ac:dyDescent="0.15">
      <c r="B153" s="11"/>
      <c r="C153" s="14"/>
      <c r="D153" s="13"/>
      <c r="E153" s="12">
        <f t="shared" si="4"/>
        <v>0</v>
      </c>
    </row>
    <row r="154" spans="2:5" x14ac:dyDescent="0.15">
      <c r="B154" s="11"/>
      <c r="C154" s="14"/>
      <c r="D154" s="13"/>
      <c r="E154" s="12">
        <f t="shared" si="4"/>
        <v>0</v>
      </c>
    </row>
    <row r="155" spans="2:5" ht="14.25" thickBot="1" x14ac:dyDescent="0.2">
      <c r="B155" s="11"/>
      <c r="C155" s="10"/>
      <c r="D155" s="9"/>
      <c r="E155" s="8">
        <f t="shared" si="4"/>
        <v>0</v>
      </c>
    </row>
    <row r="156" spans="2:5" ht="14.25" thickBot="1" x14ac:dyDescent="0.2">
      <c r="B156" s="7" t="s">
        <v>1</v>
      </c>
      <c r="C156" s="6">
        <f>SUM(C131:C155)</f>
        <v>8</v>
      </c>
      <c r="D156" s="5">
        <f>SUM(D131:D155)</f>
        <v>9</v>
      </c>
      <c r="E156" s="5">
        <f t="shared" si="4"/>
        <v>17</v>
      </c>
    </row>
    <row r="157" spans="2:5" ht="14.25" thickBot="1" x14ac:dyDescent="0.2">
      <c r="B157" s="4" t="s">
        <v>0</v>
      </c>
      <c r="C157" s="3">
        <f>+C130-C156</f>
        <v>1</v>
      </c>
      <c r="D157" s="2">
        <f>+D130-D156</f>
        <v>5</v>
      </c>
      <c r="E157" s="2">
        <f t="shared" si="4"/>
        <v>6</v>
      </c>
    </row>
    <row r="159" spans="2:5" ht="18.75" x14ac:dyDescent="0.2">
      <c r="B159" s="32" t="s">
        <v>7</v>
      </c>
      <c r="C159" s="31"/>
      <c r="D159" s="31"/>
      <c r="E159" s="31"/>
    </row>
    <row r="160" spans="2:5" ht="14.25" thickBot="1" x14ac:dyDescent="0.2">
      <c r="E160">
        <v>851</v>
      </c>
    </row>
    <row r="161" spans="1:6" ht="14.25" thickBot="1" x14ac:dyDescent="0.2">
      <c r="B161" s="30"/>
      <c r="C161" s="60"/>
      <c r="D161" s="60"/>
      <c r="E161" s="61"/>
    </row>
    <row r="162" spans="1:6" ht="14.25" thickBot="1" x14ac:dyDescent="0.2">
      <c r="A162" s="1"/>
      <c r="B162" s="29"/>
      <c r="C162" s="42" t="s">
        <v>6</v>
      </c>
      <c r="D162" s="43" t="s">
        <v>5</v>
      </c>
      <c r="E162" s="28" t="s">
        <v>4</v>
      </c>
    </row>
    <row r="163" spans="1:6" x14ac:dyDescent="0.15">
      <c r="B163" s="27" t="s">
        <v>0</v>
      </c>
      <c r="C163" s="26">
        <f>C157</f>
        <v>1</v>
      </c>
      <c r="D163" s="25">
        <f>D157</f>
        <v>5</v>
      </c>
      <c r="E163" s="25">
        <f t="shared" ref="E163:E196" si="5">SUM(C163:D163)</f>
        <v>6</v>
      </c>
    </row>
    <row r="164" spans="1:6" x14ac:dyDescent="0.15">
      <c r="B164" s="23" t="s">
        <v>3</v>
      </c>
      <c r="C164" s="14">
        <v>5</v>
      </c>
      <c r="D164" s="13"/>
      <c r="E164" s="12">
        <f t="shared" si="5"/>
        <v>5</v>
      </c>
      <c r="F164" s="24">
        <v>45567</v>
      </c>
    </row>
    <row r="165" spans="1:6" x14ac:dyDescent="0.15">
      <c r="B165" s="23" t="s">
        <v>3</v>
      </c>
      <c r="C165" s="14"/>
      <c r="D165" s="13">
        <v>5</v>
      </c>
      <c r="E165" s="12">
        <f t="shared" si="5"/>
        <v>5</v>
      </c>
      <c r="F165" s="24">
        <v>45635</v>
      </c>
    </row>
    <row r="166" spans="1:6" x14ac:dyDescent="0.15">
      <c r="B166" s="23" t="s">
        <v>3</v>
      </c>
      <c r="C166" s="14">
        <v>5</v>
      </c>
      <c r="D166" s="13"/>
      <c r="E166" s="12">
        <f t="shared" si="5"/>
        <v>5</v>
      </c>
      <c r="F166" s="24">
        <v>45665</v>
      </c>
    </row>
    <row r="167" spans="1:6" x14ac:dyDescent="0.15">
      <c r="B167" s="23" t="s">
        <v>3</v>
      </c>
      <c r="C167" s="14">
        <v>3</v>
      </c>
      <c r="D167" s="13"/>
      <c r="E167" s="12">
        <f t="shared" si="5"/>
        <v>3</v>
      </c>
      <c r="F167" s="24">
        <v>45725</v>
      </c>
    </row>
    <row r="168" spans="1:6" ht="14.25" thickBot="1" x14ac:dyDescent="0.2">
      <c r="B168" s="23" t="s">
        <v>3</v>
      </c>
      <c r="C168" s="22">
        <v>3</v>
      </c>
      <c r="D168" s="9"/>
      <c r="E168" s="8">
        <f t="shared" si="5"/>
        <v>3</v>
      </c>
      <c r="F168" s="24">
        <v>45779</v>
      </c>
    </row>
    <row r="169" spans="1:6" ht="14.25" thickBot="1" x14ac:dyDescent="0.2">
      <c r="B169" s="21" t="s">
        <v>2</v>
      </c>
      <c r="C169" s="20">
        <f>SUM(C163:C168)</f>
        <v>17</v>
      </c>
      <c r="D169" s="20">
        <f>SUM(D163:D168)</f>
        <v>10</v>
      </c>
      <c r="E169" s="20">
        <f t="shared" si="5"/>
        <v>27</v>
      </c>
    </row>
    <row r="170" spans="1:6" x14ac:dyDescent="0.15">
      <c r="B170" s="11" t="s">
        <v>8</v>
      </c>
      <c r="C170" s="16"/>
      <c r="D170" s="15"/>
      <c r="E170" s="12">
        <f t="shared" ref="E170:E181" si="6">SUM(C170:D170)</f>
        <v>0</v>
      </c>
      <c r="F170" s="24">
        <v>45572</v>
      </c>
    </row>
    <row r="171" spans="1:6" x14ac:dyDescent="0.15">
      <c r="B171" s="11" t="s">
        <v>8</v>
      </c>
      <c r="C171" s="16">
        <v>2</v>
      </c>
      <c r="D171" s="15"/>
      <c r="E171" s="12">
        <f t="shared" si="6"/>
        <v>2</v>
      </c>
      <c r="F171" s="24">
        <v>45595</v>
      </c>
    </row>
    <row r="172" spans="1:6" x14ac:dyDescent="0.15">
      <c r="B172" s="11" t="s">
        <v>8</v>
      </c>
      <c r="C172" s="16">
        <v>-1</v>
      </c>
      <c r="D172" s="15"/>
      <c r="E172" s="12">
        <f t="shared" si="6"/>
        <v>-1</v>
      </c>
      <c r="F172" s="24">
        <v>45607</v>
      </c>
    </row>
    <row r="173" spans="1:6" x14ac:dyDescent="0.15">
      <c r="B173" s="11" t="s">
        <v>8</v>
      </c>
      <c r="C173" s="16">
        <v>1</v>
      </c>
      <c r="D173" s="15"/>
      <c r="E173" s="12">
        <f t="shared" si="6"/>
        <v>1</v>
      </c>
      <c r="F173" s="24">
        <v>45622</v>
      </c>
    </row>
    <row r="174" spans="1:6" x14ac:dyDescent="0.15">
      <c r="B174" s="11" t="s">
        <v>8</v>
      </c>
      <c r="C174" s="16"/>
      <c r="D174" s="15">
        <v>2</v>
      </c>
      <c r="E174" s="12">
        <f t="shared" si="6"/>
        <v>2</v>
      </c>
      <c r="F174" s="24">
        <v>45631</v>
      </c>
    </row>
    <row r="175" spans="1:6" x14ac:dyDescent="0.15">
      <c r="B175" s="11" t="s">
        <v>8</v>
      </c>
      <c r="C175" s="16"/>
      <c r="D175" s="15">
        <v>1</v>
      </c>
      <c r="E175" s="12">
        <f t="shared" si="6"/>
        <v>1</v>
      </c>
      <c r="F175" s="24">
        <v>45643</v>
      </c>
    </row>
    <row r="176" spans="1:6" x14ac:dyDescent="0.15">
      <c r="B176" s="11" t="s">
        <v>8</v>
      </c>
      <c r="C176" s="16">
        <v>2</v>
      </c>
      <c r="D176" s="15"/>
      <c r="E176" s="12">
        <f t="shared" si="6"/>
        <v>2</v>
      </c>
      <c r="F176" s="24">
        <v>45649</v>
      </c>
    </row>
    <row r="177" spans="2:6" x14ac:dyDescent="0.15">
      <c r="B177" s="11" t="s">
        <v>8</v>
      </c>
      <c r="C177" s="16">
        <v>1</v>
      </c>
      <c r="D177" s="15"/>
      <c r="E177" s="12">
        <f t="shared" si="6"/>
        <v>1</v>
      </c>
      <c r="F177" s="24">
        <v>45663</v>
      </c>
    </row>
    <row r="178" spans="2:6" x14ac:dyDescent="0.15">
      <c r="B178" s="11" t="s">
        <v>8</v>
      </c>
      <c r="C178" s="16">
        <v>1</v>
      </c>
      <c r="D178" s="15">
        <v>1</v>
      </c>
      <c r="E178" s="12">
        <f t="shared" si="6"/>
        <v>2</v>
      </c>
      <c r="F178" s="24">
        <v>45700</v>
      </c>
    </row>
    <row r="179" spans="2:6" x14ac:dyDescent="0.15">
      <c r="B179" s="11" t="s">
        <v>8</v>
      </c>
      <c r="C179" s="16">
        <v>1</v>
      </c>
      <c r="D179" s="15"/>
      <c r="E179" s="12">
        <f t="shared" si="6"/>
        <v>1</v>
      </c>
      <c r="F179" s="24">
        <v>45709</v>
      </c>
    </row>
    <row r="180" spans="2:6" x14ac:dyDescent="0.15">
      <c r="B180" s="11" t="s">
        <v>8</v>
      </c>
      <c r="C180" s="16">
        <v>1</v>
      </c>
      <c r="D180" s="15"/>
      <c r="E180" s="12">
        <f t="shared" si="6"/>
        <v>1</v>
      </c>
      <c r="F180" s="24">
        <v>45719</v>
      </c>
    </row>
    <row r="181" spans="2:6" x14ac:dyDescent="0.15">
      <c r="B181" s="11" t="s">
        <v>8</v>
      </c>
      <c r="C181" s="16">
        <v>1</v>
      </c>
      <c r="D181" s="15"/>
      <c r="E181" s="12">
        <f t="shared" si="6"/>
        <v>1</v>
      </c>
      <c r="F181" s="24">
        <v>45742</v>
      </c>
    </row>
    <row r="182" spans="2:6" x14ac:dyDescent="0.15">
      <c r="B182" s="11" t="s">
        <v>8</v>
      </c>
      <c r="C182" s="16"/>
      <c r="D182" s="15">
        <v>1</v>
      </c>
      <c r="E182" s="12">
        <f t="shared" si="5"/>
        <v>1</v>
      </c>
      <c r="F182" s="24">
        <v>45752</v>
      </c>
    </row>
    <row r="183" spans="2:6" x14ac:dyDescent="0.15">
      <c r="B183" s="11" t="s">
        <v>8</v>
      </c>
      <c r="C183" s="16">
        <v>1</v>
      </c>
      <c r="D183" s="15"/>
      <c r="E183" s="12">
        <f t="shared" si="5"/>
        <v>1</v>
      </c>
      <c r="F183" s="24">
        <v>45775</v>
      </c>
    </row>
    <row r="184" spans="2:6" x14ac:dyDescent="0.15">
      <c r="B184" s="44"/>
      <c r="C184" s="45">
        <v>1</v>
      </c>
      <c r="D184" s="46"/>
      <c r="E184" s="47">
        <f t="shared" si="5"/>
        <v>1</v>
      </c>
      <c r="F184" s="48"/>
    </row>
    <row r="185" spans="2:6" x14ac:dyDescent="0.15">
      <c r="B185" s="11" t="s">
        <v>8</v>
      </c>
      <c r="C185" s="16">
        <v>1</v>
      </c>
      <c r="D185" s="15"/>
      <c r="E185" s="12">
        <f t="shared" si="5"/>
        <v>1</v>
      </c>
      <c r="F185" s="24">
        <v>45784</v>
      </c>
    </row>
    <row r="186" spans="2:6" x14ac:dyDescent="0.15">
      <c r="B186" s="11" t="s">
        <v>8</v>
      </c>
      <c r="C186" s="16"/>
      <c r="D186" s="15">
        <v>1</v>
      </c>
      <c r="E186" s="12">
        <f t="shared" si="5"/>
        <v>1</v>
      </c>
      <c r="F186" s="24">
        <v>45799</v>
      </c>
    </row>
    <row r="187" spans="2:6" x14ac:dyDescent="0.15">
      <c r="B187" s="11" t="s">
        <v>8</v>
      </c>
      <c r="C187" s="16"/>
      <c r="D187" s="15">
        <v>1</v>
      </c>
      <c r="E187" s="12">
        <f t="shared" si="5"/>
        <v>1</v>
      </c>
      <c r="F187" s="24">
        <v>45803</v>
      </c>
    </row>
    <row r="188" spans="2:6" x14ac:dyDescent="0.15">
      <c r="B188" s="11" t="s">
        <v>8</v>
      </c>
      <c r="C188" s="16"/>
      <c r="D188" s="15">
        <v>1</v>
      </c>
      <c r="E188" s="12">
        <f t="shared" si="5"/>
        <v>1</v>
      </c>
      <c r="F188" s="24">
        <v>45811</v>
      </c>
    </row>
    <row r="189" spans="2:6" x14ac:dyDescent="0.15">
      <c r="B189" s="11" t="s">
        <v>8</v>
      </c>
      <c r="C189" s="14"/>
      <c r="D189" s="13">
        <v>1</v>
      </c>
      <c r="E189" s="12">
        <f t="shared" si="5"/>
        <v>1</v>
      </c>
      <c r="F189" s="24">
        <v>45814</v>
      </c>
    </row>
    <row r="190" spans="2:6" x14ac:dyDescent="0.15">
      <c r="B190" s="11" t="s">
        <v>8</v>
      </c>
      <c r="C190" s="14"/>
      <c r="D190" s="13">
        <v>1</v>
      </c>
      <c r="E190" s="12">
        <f t="shared" si="5"/>
        <v>1</v>
      </c>
      <c r="F190" s="24">
        <v>45820</v>
      </c>
    </row>
    <row r="191" spans="2:6" x14ac:dyDescent="0.15">
      <c r="B191" s="11"/>
      <c r="C191" s="14"/>
      <c r="D191" s="13"/>
      <c r="E191" s="12">
        <f t="shared" si="5"/>
        <v>0</v>
      </c>
    </row>
    <row r="192" spans="2:6" x14ac:dyDescent="0.15">
      <c r="B192" s="11"/>
      <c r="C192" s="14"/>
      <c r="D192" s="13"/>
      <c r="E192" s="12">
        <f t="shared" si="5"/>
        <v>0</v>
      </c>
    </row>
    <row r="193" spans="1:6" x14ac:dyDescent="0.15">
      <c r="B193" s="11"/>
      <c r="C193" s="14"/>
      <c r="D193" s="13"/>
      <c r="E193" s="12">
        <f t="shared" si="5"/>
        <v>0</v>
      </c>
    </row>
    <row r="194" spans="1:6" ht="14.25" thickBot="1" x14ac:dyDescent="0.2">
      <c r="B194" s="11"/>
      <c r="C194" s="10"/>
      <c r="D194" s="9"/>
      <c r="E194" s="8">
        <f t="shared" si="5"/>
        <v>0</v>
      </c>
    </row>
    <row r="195" spans="1:6" ht="14.25" thickBot="1" x14ac:dyDescent="0.2">
      <c r="B195" s="7" t="s">
        <v>1</v>
      </c>
      <c r="C195" s="6">
        <f>SUM(C170:C194)</f>
        <v>12</v>
      </c>
      <c r="D195" s="5">
        <f>SUM(D170:D194)</f>
        <v>10</v>
      </c>
      <c r="E195" s="5">
        <f t="shared" si="5"/>
        <v>22</v>
      </c>
    </row>
    <row r="196" spans="1:6" ht="14.25" thickBot="1" x14ac:dyDescent="0.2">
      <c r="B196" s="4" t="s">
        <v>0</v>
      </c>
      <c r="C196" s="3">
        <f>+C169-C195</f>
        <v>5</v>
      </c>
      <c r="D196" s="2">
        <f>+D169-D195</f>
        <v>0</v>
      </c>
      <c r="E196" s="2">
        <f t="shared" si="5"/>
        <v>5</v>
      </c>
    </row>
    <row r="198" spans="1:6" ht="18.75" x14ac:dyDescent="0.2">
      <c r="B198" s="32" t="s">
        <v>7</v>
      </c>
      <c r="C198" s="31"/>
      <c r="D198" s="31"/>
      <c r="E198" s="31"/>
    </row>
    <row r="199" spans="1:6" ht="14.25" thickBot="1" x14ac:dyDescent="0.2">
      <c r="E199">
        <v>851</v>
      </c>
    </row>
    <row r="200" spans="1:6" ht="14.25" thickBot="1" x14ac:dyDescent="0.2">
      <c r="B200" s="30"/>
      <c r="C200" s="60"/>
      <c r="D200" s="60"/>
      <c r="E200" s="61"/>
    </row>
    <row r="201" spans="1:6" ht="14.25" thickBot="1" x14ac:dyDescent="0.2">
      <c r="A201" s="1"/>
      <c r="B201" s="29"/>
      <c r="C201" s="42" t="s">
        <v>6</v>
      </c>
      <c r="D201" s="43" t="s">
        <v>5</v>
      </c>
      <c r="E201" s="28" t="s">
        <v>4</v>
      </c>
    </row>
    <row r="202" spans="1:6" x14ac:dyDescent="0.15">
      <c r="B202" s="27" t="s">
        <v>0</v>
      </c>
      <c r="C202" s="26">
        <f>C196</f>
        <v>5</v>
      </c>
      <c r="D202" s="25">
        <f>D196</f>
        <v>0</v>
      </c>
      <c r="E202" s="25">
        <f t="shared" ref="E202:E235" si="7">SUM(C202:D202)</f>
        <v>5</v>
      </c>
    </row>
    <row r="203" spans="1:6" x14ac:dyDescent="0.15">
      <c r="B203" s="23" t="s">
        <v>3</v>
      </c>
      <c r="C203" s="14"/>
      <c r="D203" s="13">
        <v>3</v>
      </c>
      <c r="E203" s="12">
        <f t="shared" si="7"/>
        <v>3</v>
      </c>
      <c r="F203" s="24">
        <v>45806</v>
      </c>
    </row>
    <row r="204" spans="1:6" x14ac:dyDescent="0.15">
      <c r="B204" s="23" t="s">
        <v>3</v>
      </c>
      <c r="C204" s="14"/>
      <c r="D204" s="13">
        <v>5</v>
      </c>
      <c r="E204" s="12">
        <f t="shared" si="7"/>
        <v>5</v>
      </c>
      <c r="F204" s="24">
        <v>45838</v>
      </c>
    </row>
    <row r="205" spans="1:6" x14ac:dyDescent="0.15">
      <c r="B205" s="23" t="s">
        <v>3</v>
      </c>
      <c r="C205" s="14">
        <v>3</v>
      </c>
      <c r="D205" s="13"/>
      <c r="E205" s="12">
        <f t="shared" si="7"/>
        <v>3</v>
      </c>
      <c r="F205" s="24">
        <v>45878</v>
      </c>
    </row>
    <row r="206" spans="1:6" x14ac:dyDescent="0.15">
      <c r="B206" s="23" t="s">
        <v>3</v>
      </c>
      <c r="C206" s="58">
        <v>3</v>
      </c>
      <c r="D206" s="13"/>
      <c r="E206" s="12">
        <f t="shared" si="7"/>
        <v>3</v>
      </c>
      <c r="F206" s="24"/>
    </row>
    <row r="207" spans="1:6" ht="14.25" thickBot="1" x14ac:dyDescent="0.2">
      <c r="B207" s="23" t="s">
        <v>3</v>
      </c>
      <c r="C207" s="59"/>
      <c r="D207" s="9">
        <v>3</v>
      </c>
      <c r="E207" s="8">
        <f t="shared" si="7"/>
        <v>3</v>
      </c>
      <c r="F207" s="24">
        <v>45971</v>
      </c>
    </row>
    <row r="208" spans="1:6" ht="14.25" thickBot="1" x14ac:dyDescent="0.2">
      <c r="B208" s="21" t="s">
        <v>2</v>
      </c>
      <c r="C208" s="20">
        <f>SUM(C202:C207)</f>
        <v>11</v>
      </c>
      <c r="D208" s="20">
        <f>SUM(D202:D207)</f>
        <v>11</v>
      </c>
      <c r="E208" s="20">
        <f t="shared" si="7"/>
        <v>22</v>
      </c>
    </row>
    <row r="209" spans="2:6" x14ac:dyDescent="0.15">
      <c r="B209" s="11" t="s">
        <v>8</v>
      </c>
      <c r="C209" s="16"/>
      <c r="D209" s="15">
        <v>1</v>
      </c>
      <c r="E209" s="12">
        <f t="shared" si="7"/>
        <v>1</v>
      </c>
      <c r="F209" s="24">
        <v>45826</v>
      </c>
    </row>
    <row r="210" spans="2:6" x14ac:dyDescent="0.15">
      <c r="B210" s="11" t="s">
        <v>8</v>
      </c>
      <c r="C210" s="16"/>
      <c r="D210" s="15">
        <v>1</v>
      </c>
      <c r="E210" s="12">
        <f t="shared" si="7"/>
        <v>1</v>
      </c>
      <c r="F210" s="24">
        <v>45827</v>
      </c>
    </row>
    <row r="211" spans="2:6" x14ac:dyDescent="0.15">
      <c r="B211" s="11" t="s">
        <v>8</v>
      </c>
      <c r="C211" s="16">
        <v>1</v>
      </c>
      <c r="D211" s="15"/>
      <c r="E211" s="12">
        <f t="shared" si="7"/>
        <v>1</v>
      </c>
      <c r="F211" s="24">
        <v>45841</v>
      </c>
    </row>
    <row r="212" spans="2:6" x14ac:dyDescent="0.15">
      <c r="B212" s="11" t="s">
        <v>8</v>
      </c>
      <c r="C212" s="16"/>
      <c r="D212" s="15">
        <v>1</v>
      </c>
      <c r="E212" s="12">
        <f t="shared" si="7"/>
        <v>1</v>
      </c>
      <c r="F212" s="24">
        <v>45848</v>
      </c>
    </row>
    <row r="213" spans="2:6" x14ac:dyDescent="0.15">
      <c r="B213" s="11" t="s">
        <v>8</v>
      </c>
      <c r="C213" s="16">
        <v>1</v>
      </c>
      <c r="D213" s="15"/>
      <c r="E213" s="12">
        <f t="shared" si="7"/>
        <v>1</v>
      </c>
      <c r="F213" s="24">
        <v>45852</v>
      </c>
    </row>
    <row r="214" spans="2:6" x14ac:dyDescent="0.15">
      <c r="B214" s="11" t="s">
        <v>8</v>
      </c>
      <c r="C214" s="16"/>
      <c r="D214" s="15">
        <v>1</v>
      </c>
      <c r="E214" s="12">
        <f t="shared" si="7"/>
        <v>1</v>
      </c>
      <c r="F214" s="24">
        <v>45857</v>
      </c>
    </row>
    <row r="215" spans="2:6" x14ac:dyDescent="0.15">
      <c r="B215" s="11" t="s">
        <v>8</v>
      </c>
      <c r="C215" s="16">
        <v>2</v>
      </c>
      <c r="D215" s="15"/>
      <c r="E215" s="12">
        <f t="shared" si="7"/>
        <v>2</v>
      </c>
      <c r="F215" s="24">
        <v>45887</v>
      </c>
    </row>
    <row r="216" spans="2:6" x14ac:dyDescent="0.15">
      <c r="B216" s="11" t="s">
        <v>12</v>
      </c>
      <c r="C216" s="16">
        <v>0</v>
      </c>
      <c r="D216" s="15">
        <v>0</v>
      </c>
      <c r="E216" s="12">
        <f t="shared" si="7"/>
        <v>0</v>
      </c>
      <c r="F216" s="24">
        <v>45889</v>
      </c>
    </row>
    <row r="217" spans="2:6" x14ac:dyDescent="0.15">
      <c r="B217" s="11" t="s">
        <v>8</v>
      </c>
      <c r="C217" s="16">
        <v>1</v>
      </c>
      <c r="D217" s="15"/>
      <c r="E217" s="12">
        <f t="shared" si="7"/>
        <v>1</v>
      </c>
      <c r="F217" s="24">
        <v>45909</v>
      </c>
    </row>
    <row r="218" spans="2:6" x14ac:dyDescent="0.15">
      <c r="B218" s="11" t="s">
        <v>8</v>
      </c>
      <c r="C218" s="16">
        <v>1</v>
      </c>
      <c r="D218" s="15">
        <v>1</v>
      </c>
      <c r="E218" s="12">
        <f t="shared" si="7"/>
        <v>2</v>
      </c>
      <c r="F218" s="24">
        <v>45922</v>
      </c>
    </row>
    <row r="219" spans="2:6" x14ac:dyDescent="0.15">
      <c r="B219" s="11" t="s">
        <v>8</v>
      </c>
      <c r="C219" s="16"/>
      <c r="D219" s="15">
        <v>1</v>
      </c>
      <c r="E219" s="12">
        <f t="shared" si="7"/>
        <v>1</v>
      </c>
      <c r="F219" s="24">
        <v>45944</v>
      </c>
    </row>
    <row r="220" spans="2:6" x14ac:dyDescent="0.15">
      <c r="B220" s="11" t="s">
        <v>8</v>
      </c>
      <c r="C220" s="16">
        <v>1</v>
      </c>
      <c r="D220" s="15"/>
      <c r="E220" s="12">
        <f t="shared" si="7"/>
        <v>1</v>
      </c>
      <c r="F220" s="24">
        <v>45952</v>
      </c>
    </row>
    <row r="221" spans="2:6" x14ac:dyDescent="0.15">
      <c r="B221" s="11" t="s">
        <v>8</v>
      </c>
      <c r="C221" s="16">
        <f>1+2</f>
        <v>3</v>
      </c>
      <c r="D221" s="15"/>
      <c r="E221" s="12">
        <f t="shared" si="7"/>
        <v>3</v>
      </c>
      <c r="F221" s="24">
        <v>45957</v>
      </c>
    </row>
    <row r="222" spans="2:6" x14ac:dyDescent="0.15">
      <c r="B222" s="11" t="s">
        <v>8</v>
      </c>
      <c r="C222" s="16">
        <v>1</v>
      </c>
      <c r="D222" s="15">
        <v>1</v>
      </c>
      <c r="E222" s="12">
        <f t="shared" si="7"/>
        <v>2</v>
      </c>
      <c r="F222" s="24">
        <v>45960</v>
      </c>
    </row>
    <row r="223" spans="2:6" x14ac:dyDescent="0.15">
      <c r="B223" s="11" t="s">
        <v>8</v>
      </c>
      <c r="C223" s="45"/>
      <c r="D223" s="55">
        <v>1</v>
      </c>
      <c r="E223" s="56">
        <f t="shared" si="7"/>
        <v>1</v>
      </c>
      <c r="F223" s="57">
        <v>45971</v>
      </c>
    </row>
    <row r="224" spans="2:6" x14ac:dyDescent="0.15">
      <c r="B224" s="11" t="s">
        <v>8</v>
      </c>
      <c r="C224" s="16"/>
      <c r="D224" s="15">
        <v>2</v>
      </c>
      <c r="E224" s="12">
        <f t="shared" si="7"/>
        <v>2</v>
      </c>
      <c r="F224" s="24">
        <v>45986</v>
      </c>
    </row>
    <row r="225" spans="1:6" x14ac:dyDescent="0.15">
      <c r="B225" s="11" t="s">
        <v>8</v>
      </c>
      <c r="C225" s="16"/>
      <c r="D225" s="15">
        <v>1</v>
      </c>
      <c r="E225" s="12">
        <f t="shared" si="7"/>
        <v>1</v>
      </c>
      <c r="F225" s="24">
        <v>45999</v>
      </c>
    </row>
    <row r="226" spans="1:6" x14ac:dyDescent="0.15">
      <c r="B226" s="11"/>
      <c r="C226" s="16"/>
      <c r="D226" s="15"/>
      <c r="E226" s="12"/>
      <c r="F226" s="24"/>
    </row>
    <row r="227" spans="1:6" x14ac:dyDescent="0.15">
      <c r="B227" s="11"/>
      <c r="C227" s="16"/>
      <c r="D227" s="15"/>
      <c r="E227" s="12">
        <f t="shared" si="7"/>
        <v>0</v>
      </c>
    </row>
    <row r="228" spans="1:6" x14ac:dyDescent="0.15">
      <c r="B228" s="11"/>
      <c r="C228" s="14"/>
      <c r="D228" s="13"/>
      <c r="E228" s="12">
        <f t="shared" si="7"/>
        <v>0</v>
      </c>
    </row>
    <row r="229" spans="1:6" x14ac:dyDescent="0.15">
      <c r="B229" s="11"/>
      <c r="C229" s="14"/>
      <c r="D229" s="13"/>
      <c r="E229" s="12">
        <f t="shared" si="7"/>
        <v>0</v>
      </c>
    </row>
    <row r="230" spans="1:6" x14ac:dyDescent="0.15">
      <c r="B230" s="11"/>
      <c r="C230" s="14"/>
      <c r="D230" s="13"/>
      <c r="E230" s="12">
        <f t="shared" si="7"/>
        <v>0</v>
      </c>
    </row>
    <row r="231" spans="1:6" x14ac:dyDescent="0.15">
      <c r="B231" s="11"/>
      <c r="C231" s="14"/>
      <c r="D231" s="13"/>
      <c r="E231" s="12">
        <f t="shared" si="7"/>
        <v>0</v>
      </c>
    </row>
    <row r="232" spans="1:6" x14ac:dyDescent="0.15">
      <c r="B232" s="11"/>
      <c r="C232" s="14"/>
      <c r="D232" s="13"/>
      <c r="E232" s="12">
        <f t="shared" si="7"/>
        <v>0</v>
      </c>
    </row>
    <row r="233" spans="1:6" ht="14.25" thickBot="1" x14ac:dyDescent="0.2">
      <c r="B233" s="11"/>
      <c r="C233" s="10"/>
      <c r="D233" s="9"/>
      <c r="E233" s="8">
        <f t="shared" si="7"/>
        <v>0</v>
      </c>
    </row>
    <row r="234" spans="1:6" ht="14.25" thickBot="1" x14ac:dyDescent="0.2">
      <c r="B234" s="7" t="s">
        <v>1</v>
      </c>
      <c r="C234" s="6">
        <f>SUM(C209:C233)</f>
        <v>11</v>
      </c>
      <c r="D234" s="5">
        <f>SUM(D209:D233)</f>
        <v>11</v>
      </c>
      <c r="E234" s="5">
        <f t="shared" si="7"/>
        <v>22</v>
      </c>
    </row>
    <row r="235" spans="1:6" ht="14.25" thickBot="1" x14ac:dyDescent="0.2">
      <c r="B235" s="4" t="s">
        <v>0</v>
      </c>
      <c r="C235" s="3">
        <f>+C208-C234</f>
        <v>0</v>
      </c>
      <c r="D235" s="2">
        <f>+D208-D234</f>
        <v>0</v>
      </c>
      <c r="E235" s="2">
        <f t="shared" si="7"/>
        <v>0</v>
      </c>
    </row>
    <row r="237" spans="1:6" ht="18.75" x14ac:dyDescent="0.2">
      <c r="B237" s="32" t="s">
        <v>7</v>
      </c>
      <c r="C237" s="31"/>
      <c r="D237" s="31"/>
      <c r="E237" s="31"/>
    </row>
    <row r="238" spans="1:6" ht="14.25" thickBot="1" x14ac:dyDescent="0.2">
      <c r="E238">
        <v>851</v>
      </c>
    </row>
    <row r="239" spans="1:6" ht="14.25" thickBot="1" x14ac:dyDescent="0.2">
      <c r="B239" s="30"/>
      <c r="C239" s="60"/>
      <c r="D239" s="60"/>
      <c r="E239" s="61"/>
    </row>
    <row r="240" spans="1:6" ht="14.25" thickBot="1" x14ac:dyDescent="0.2">
      <c r="A240" s="1"/>
      <c r="B240" s="29"/>
      <c r="C240" s="42" t="s">
        <v>6</v>
      </c>
      <c r="D240" s="43" t="s">
        <v>5</v>
      </c>
      <c r="E240" s="28" t="s">
        <v>4</v>
      </c>
    </row>
    <row r="241" spans="1:6" x14ac:dyDescent="0.15">
      <c r="B241" s="27" t="s">
        <v>0</v>
      </c>
      <c r="C241" s="26">
        <f>C235</f>
        <v>0</v>
      </c>
      <c r="D241" s="25">
        <f>D235</f>
        <v>0</v>
      </c>
      <c r="E241" s="25">
        <f t="shared" ref="E241:E274" si="8">SUM(C241:D241)</f>
        <v>0</v>
      </c>
    </row>
    <row r="242" spans="1:6" x14ac:dyDescent="0.15">
      <c r="A242" s="48"/>
      <c r="B242" s="23" t="s">
        <v>3</v>
      </c>
      <c r="C242" s="14"/>
      <c r="D242" s="13">
        <v>5</v>
      </c>
      <c r="E242" s="12">
        <f t="shared" si="8"/>
        <v>5</v>
      </c>
      <c r="F242" s="24">
        <v>46000</v>
      </c>
    </row>
    <row r="243" spans="1:6" x14ac:dyDescent="0.15">
      <c r="B243" s="23" t="s">
        <v>3</v>
      </c>
      <c r="C243" s="14"/>
      <c r="D243" s="13"/>
      <c r="E243" s="12">
        <f t="shared" si="8"/>
        <v>0</v>
      </c>
      <c r="F243" s="24"/>
    </row>
    <row r="244" spans="1:6" x14ac:dyDescent="0.15">
      <c r="B244" s="23" t="s">
        <v>3</v>
      </c>
      <c r="C244" s="14"/>
      <c r="D244" s="13"/>
      <c r="E244" s="12">
        <f t="shared" si="8"/>
        <v>0</v>
      </c>
      <c r="F244" s="24"/>
    </row>
    <row r="245" spans="1:6" x14ac:dyDescent="0.15">
      <c r="B245" s="51" t="s">
        <v>3</v>
      </c>
      <c r="C245" s="49"/>
      <c r="D245" s="46"/>
      <c r="E245" s="47">
        <f t="shared" si="8"/>
        <v>0</v>
      </c>
      <c r="F245" s="50"/>
    </row>
    <row r="246" spans="1:6" ht="14.25" thickBot="1" x14ac:dyDescent="0.2">
      <c r="B246" s="51" t="s">
        <v>3</v>
      </c>
      <c r="C246" s="52"/>
      <c r="D246" s="53"/>
      <c r="E246" s="54">
        <f t="shared" si="8"/>
        <v>0</v>
      </c>
      <c r="F246" s="50"/>
    </row>
    <row r="247" spans="1:6" ht="14.25" thickBot="1" x14ac:dyDescent="0.2">
      <c r="B247" s="21" t="s">
        <v>2</v>
      </c>
      <c r="C247" s="20">
        <f>SUM(C241:C246)</f>
        <v>0</v>
      </c>
      <c r="D247" s="20">
        <f>SUM(D241:D246)</f>
        <v>5</v>
      </c>
      <c r="E247" s="20">
        <f t="shared" si="8"/>
        <v>5</v>
      </c>
    </row>
    <row r="248" spans="1:6" x14ac:dyDescent="0.15">
      <c r="B248" s="11" t="s">
        <v>8</v>
      </c>
      <c r="C248" s="16"/>
      <c r="D248" s="15">
        <v>1</v>
      </c>
      <c r="E248" s="12">
        <f t="shared" si="8"/>
        <v>1</v>
      </c>
      <c r="F248" s="24">
        <v>46069</v>
      </c>
    </row>
    <row r="249" spans="1:6" x14ac:dyDescent="0.15">
      <c r="B249" s="11" t="s">
        <v>13</v>
      </c>
      <c r="C249" s="16">
        <v>0</v>
      </c>
      <c r="D249" s="15">
        <v>0</v>
      </c>
      <c r="E249" s="12">
        <f t="shared" si="8"/>
        <v>0</v>
      </c>
      <c r="F249" s="24">
        <v>46078</v>
      </c>
    </row>
    <row r="250" spans="1:6" x14ac:dyDescent="0.15">
      <c r="B250" s="11" t="s">
        <v>8</v>
      </c>
      <c r="C250" s="16"/>
      <c r="D250" s="15">
        <v>1</v>
      </c>
      <c r="E250" s="12">
        <f t="shared" si="8"/>
        <v>1</v>
      </c>
      <c r="F250" s="24">
        <v>46125</v>
      </c>
    </row>
    <row r="251" spans="1:6" x14ac:dyDescent="0.15">
      <c r="B251" s="11" t="s">
        <v>8</v>
      </c>
      <c r="C251" s="16"/>
      <c r="D251" s="15">
        <v>1</v>
      </c>
      <c r="E251" s="12">
        <f t="shared" si="8"/>
        <v>1</v>
      </c>
      <c r="F251" s="24">
        <v>46161</v>
      </c>
    </row>
    <row r="252" spans="1:6" x14ac:dyDescent="0.15">
      <c r="B252" s="11" t="s">
        <v>8</v>
      </c>
      <c r="C252" s="16"/>
      <c r="D252" s="15">
        <v>1</v>
      </c>
      <c r="E252" s="12">
        <f t="shared" si="8"/>
        <v>1</v>
      </c>
      <c r="F252" s="24">
        <v>46174</v>
      </c>
    </row>
    <row r="253" spans="1:6" x14ac:dyDescent="0.15">
      <c r="B253" s="11" t="s">
        <v>8</v>
      </c>
      <c r="C253" s="16"/>
      <c r="D253" s="15">
        <v>1</v>
      </c>
      <c r="E253" s="12">
        <f t="shared" si="8"/>
        <v>1</v>
      </c>
      <c r="F253" s="24">
        <v>46190</v>
      </c>
    </row>
    <row r="254" spans="1:6" x14ac:dyDescent="0.15">
      <c r="B254" s="11"/>
      <c r="C254" s="16"/>
      <c r="D254" s="15"/>
      <c r="E254" s="12">
        <f t="shared" si="8"/>
        <v>0</v>
      </c>
      <c r="F254" s="24"/>
    </row>
    <row r="255" spans="1:6" x14ac:dyDescent="0.15">
      <c r="B255" s="11"/>
      <c r="C255" s="16"/>
      <c r="D255" s="15"/>
      <c r="E255" s="12">
        <f t="shared" si="8"/>
        <v>0</v>
      </c>
      <c r="F255" s="24"/>
    </row>
    <row r="256" spans="1:6" x14ac:dyDescent="0.15">
      <c r="B256" s="11"/>
      <c r="C256" s="16"/>
      <c r="D256" s="15"/>
      <c r="E256" s="12">
        <f t="shared" si="8"/>
        <v>0</v>
      </c>
      <c r="F256" s="24"/>
    </row>
    <row r="257" spans="2:6" x14ac:dyDescent="0.15">
      <c r="B257" s="11"/>
      <c r="C257" s="16"/>
      <c r="D257" s="15"/>
      <c r="E257" s="12">
        <f t="shared" si="8"/>
        <v>0</v>
      </c>
      <c r="F257" s="24"/>
    </row>
    <row r="258" spans="2:6" x14ac:dyDescent="0.15">
      <c r="B258" s="11"/>
      <c r="C258" s="16"/>
      <c r="D258" s="15"/>
      <c r="E258" s="12">
        <f t="shared" si="8"/>
        <v>0</v>
      </c>
      <c r="F258" s="24"/>
    </row>
    <row r="259" spans="2:6" x14ac:dyDescent="0.15">
      <c r="B259" s="11"/>
      <c r="C259" s="16"/>
      <c r="D259" s="15"/>
      <c r="E259" s="12">
        <f t="shared" si="8"/>
        <v>0</v>
      </c>
      <c r="F259" s="24"/>
    </row>
    <row r="260" spans="2:6" x14ac:dyDescent="0.15">
      <c r="B260" s="11"/>
      <c r="C260" s="16"/>
      <c r="D260" s="15"/>
      <c r="E260" s="12">
        <f t="shared" si="8"/>
        <v>0</v>
      </c>
      <c r="F260" s="24"/>
    </row>
    <row r="261" spans="2:6" x14ac:dyDescent="0.15">
      <c r="B261" s="11"/>
      <c r="C261" s="16"/>
      <c r="D261" s="15"/>
      <c r="E261" s="12">
        <f t="shared" si="8"/>
        <v>0</v>
      </c>
      <c r="F261" s="24"/>
    </row>
    <row r="262" spans="2:6" x14ac:dyDescent="0.15">
      <c r="B262" s="11"/>
      <c r="C262" s="45"/>
      <c r="D262" s="55"/>
      <c r="E262" s="56">
        <f t="shared" si="8"/>
        <v>0</v>
      </c>
      <c r="F262" s="57"/>
    </row>
    <row r="263" spans="2:6" x14ac:dyDescent="0.15">
      <c r="B263" s="11"/>
      <c r="C263" s="16"/>
      <c r="D263" s="15"/>
      <c r="E263" s="12">
        <f t="shared" si="8"/>
        <v>0</v>
      </c>
      <c r="F263" s="24"/>
    </row>
    <row r="264" spans="2:6" x14ac:dyDescent="0.15">
      <c r="B264" s="11"/>
      <c r="C264" s="16"/>
      <c r="D264" s="15"/>
      <c r="E264" s="12">
        <f t="shared" si="8"/>
        <v>0</v>
      </c>
      <c r="F264" s="24"/>
    </row>
    <row r="265" spans="2:6" x14ac:dyDescent="0.15">
      <c r="B265" s="11"/>
      <c r="C265" s="16"/>
      <c r="D265" s="15"/>
      <c r="E265" s="12">
        <f t="shared" si="8"/>
        <v>0</v>
      </c>
      <c r="F265" s="24"/>
    </row>
    <row r="266" spans="2:6" x14ac:dyDescent="0.15">
      <c r="B266" s="11"/>
      <c r="C266" s="16"/>
      <c r="D266" s="15"/>
      <c r="E266" s="12">
        <f t="shared" si="8"/>
        <v>0</v>
      </c>
    </row>
    <row r="267" spans="2:6" x14ac:dyDescent="0.15">
      <c r="B267" s="11"/>
      <c r="C267" s="14"/>
      <c r="D267" s="13"/>
      <c r="E267" s="12">
        <f t="shared" si="8"/>
        <v>0</v>
      </c>
    </row>
    <row r="268" spans="2:6" x14ac:dyDescent="0.15">
      <c r="B268" s="11"/>
      <c r="C268" s="14"/>
      <c r="D268" s="13"/>
      <c r="E268" s="12">
        <f t="shared" si="8"/>
        <v>0</v>
      </c>
    </row>
    <row r="269" spans="2:6" x14ac:dyDescent="0.15">
      <c r="B269" s="11"/>
      <c r="C269" s="14"/>
      <c r="D269" s="13"/>
      <c r="E269" s="12">
        <f t="shared" si="8"/>
        <v>0</v>
      </c>
    </row>
    <row r="270" spans="2:6" x14ac:dyDescent="0.15">
      <c r="B270" s="11"/>
      <c r="C270" s="14"/>
      <c r="D270" s="13"/>
      <c r="E270" s="12">
        <f t="shared" si="8"/>
        <v>0</v>
      </c>
    </row>
    <row r="271" spans="2:6" x14ac:dyDescent="0.15">
      <c r="B271" s="11"/>
      <c r="C271" s="14"/>
      <c r="D271" s="13"/>
      <c r="E271" s="12">
        <f t="shared" si="8"/>
        <v>0</v>
      </c>
    </row>
    <row r="272" spans="2:6" ht="14.25" thickBot="1" x14ac:dyDescent="0.2">
      <c r="B272" s="11"/>
      <c r="C272" s="10"/>
      <c r="D272" s="9"/>
      <c r="E272" s="8">
        <f t="shared" si="8"/>
        <v>0</v>
      </c>
    </row>
    <row r="273" spans="2:5" ht="14.25" thickBot="1" x14ac:dyDescent="0.2">
      <c r="B273" s="7" t="s">
        <v>1</v>
      </c>
      <c r="C273" s="6">
        <f>SUM(C248:C272)</f>
        <v>0</v>
      </c>
      <c r="D273" s="5">
        <f>SUM(D248:D272)</f>
        <v>5</v>
      </c>
      <c r="E273" s="5">
        <f t="shared" si="8"/>
        <v>5</v>
      </c>
    </row>
    <row r="274" spans="2:5" ht="14.25" thickBot="1" x14ac:dyDescent="0.2">
      <c r="B274" s="4" t="s">
        <v>0</v>
      </c>
      <c r="C274" s="3">
        <f>+C247-C273</f>
        <v>0</v>
      </c>
      <c r="D274" s="2">
        <f>+D247-D273</f>
        <v>0</v>
      </c>
      <c r="E274" s="2">
        <f t="shared" si="8"/>
        <v>0</v>
      </c>
    </row>
  </sheetData>
  <mergeCells count="7">
    <mergeCell ref="C239:E239"/>
    <mergeCell ref="C200:E200"/>
    <mergeCell ref="C3:E3"/>
    <mergeCell ref="C44:E44"/>
    <mergeCell ref="C83:E83"/>
    <mergeCell ref="C122:E122"/>
    <mergeCell ref="C161:E16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7分丈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2021-12-21T06:40:27Z</dcterms:created>
  <dcterms:modified xsi:type="dcterms:W3CDTF">2026-06-17T04:58:24Z</dcterms:modified>
</cp:coreProperties>
</file>