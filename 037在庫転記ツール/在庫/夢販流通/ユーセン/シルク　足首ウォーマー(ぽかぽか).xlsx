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Yhds220p\10_発注管理\夢販流通\ユーセン\"/>
    </mc:Choice>
  </mc:AlternateContent>
  <xr:revisionPtr revIDLastSave="0" documentId="13_ncr:1_{6E292A78-8D4E-4975-81EA-13341C9F93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裏シルク足首ウォーマー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5" i="1" l="1"/>
  <c r="D225" i="1"/>
  <c r="C225" i="1"/>
  <c r="F225" i="1" s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D199" i="1"/>
  <c r="D226" i="1" s="1"/>
  <c r="F198" i="1"/>
  <c r="F197" i="1"/>
  <c r="F196" i="1"/>
  <c r="F195" i="1"/>
  <c r="F194" i="1"/>
  <c r="D193" i="1"/>
  <c r="E187" i="1"/>
  <c r="D187" i="1"/>
  <c r="C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0" i="1"/>
  <c r="F159" i="1"/>
  <c r="F158" i="1"/>
  <c r="F157" i="1"/>
  <c r="F156" i="1"/>
  <c r="E149" i="1"/>
  <c r="D149" i="1"/>
  <c r="C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D123" i="1"/>
  <c r="F122" i="1"/>
  <c r="F121" i="1"/>
  <c r="F120" i="1"/>
  <c r="F119" i="1"/>
  <c r="F118" i="1"/>
  <c r="E117" i="1"/>
  <c r="E123" i="1" s="1"/>
  <c r="D117" i="1"/>
  <c r="C117" i="1"/>
  <c r="C123" i="1" s="1"/>
  <c r="F80" i="1"/>
  <c r="F81" i="1"/>
  <c r="F82" i="1"/>
  <c r="E111" i="1"/>
  <c r="D111" i="1"/>
  <c r="C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4" i="1"/>
  <c r="F83" i="1"/>
  <c r="F64" i="1"/>
  <c r="F65" i="1"/>
  <c r="F44" i="1"/>
  <c r="F187" i="1" l="1"/>
  <c r="E150" i="1"/>
  <c r="E155" i="1" s="1"/>
  <c r="E161" i="1" s="1"/>
  <c r="E188" i="1" s="1"/>
  <c r="E193" i="1" s="1"/>
  <c r="F149" i="1"/>
  <c r="D150" i="1"/>
  <c r="D155" i="1" s="1"/>
  <c r="D161" i="1" s="1"/>
  <c r="D188" i="1" s="1"/>
  <c r="F123" i="1"/>
  <c r="C150" i="1"/>
  <c r="C155" i="1" s="1"/>
  <c r="C161" i="1" s="1"/>
  <c r="C188" i="1" s="1"/>
  <c r="C193" i="1" s="1"/>
  <c r="C199" i="1" s="1"/>
  <c r="C226" i="1" s="1"/>
  <c r="F117" i="1"/>
  <c r="F111" i="1"/>
  <c r="D28" i="1"/>
  <c r="D35" i="1" s="1"/>
  <c r="C26" i="1"/>
  <c r="F26" i="1" s="1"/>
  <c r="E73" i="1"/>
  <c r="D73" i="1"/>
  <c r="C73" i="1"/>
  <c r="F72" i="1"/>
  <c r="F71" i="1"/>
  <c r="F70" i="1"/>
  <c r="F69" i="1"/>
  <c r="F68" i="1"/>
  <c r="F67" i="1"/>
  <c r="F66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6" i="1"/>
  <c r="F45" i="1"/>
  <c r="F43" i="1"/>
  <c r="F42" i="1"/>
  <c r="E35" i="1"/>
  <c r="F34" i="1"/>
  <c r="F33" i="1"/>
  <c r="F32" i="1"/>
  <c r="F31" i="1"/>
  <c r="F30" i="1"/>
  <c r="F29" i="1"/>
  <c r="F27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E9" i="1"/>
  <c r="D9" i="1"/>
  <c r="C9" i="1"/>
  <c r="F8" i="1"/>
  <c r="F7" i="1"/>
  <c r="F6" i="1"/>
  <c r="F5" i="1"/>
  <c r="F4" i="1"/>
  <c r="F3" i="1"/>
  <c r="E199" i="1" l="1"/>
  <c r="F193" i="1"/>
  <c r="F155" i="1"/>
  <c r="F188" i="1"/>
  <c r="F161" i="1"/>
  <c r="F150" i="1"/>
  <c r="F28" i="1"/>
  <c r="C35" i="1"/>
  <c r="F35" i="1" s="1"/>
  <c r="F73" i="1"/>
  <c r="F9" i="1"/>
  <c r="D36" i="1"/>
  <c r="D41" i="1" s="1"/>
  <c r="D47" i="1" s="1"/>
  <c r="D74" i="1" s="1"/>
  <c r="D79" i="1" s="1"/>
  <c r="D85" i="1" s="1"/>
  <c r="D112" i="1" s="1"/>
  <c r="E36" i="1"/>
  <c r="E41" i="1" s="1"/>
  <c r="E47" i="1" s="1"/>
  <c r="E74" i="1" s="1"/>
  <c r="E79" i="1" s="1"/>
  <c r="E85" i="1" s="1"/>
  <c r="E112" i="1" s="1"/>
  <c r="E226" i="1" l="1"/>
  <c r="F226" i="1" s="1"/>
  <c r="F199" i="1"/>
  <c r="C36" i="1"/>
  <c r="C41" i="1" s="1"/>
  <c r="F41" i="1" s="1"/>
  <c r="C47" i="1" l="1"/>
  <c r="F47" i="1" s="1"/>
  <c r="F36" i="1"/>
  <c r="C74" i="1" l="1"/>
  <c r="F74" i="1" l="1"/>
  <c r="C79" i="1"/>
  <c r="C85" i="1" l="1"/>
  <c r="F79" i="1"/>
  <c r="C112" i="1" l="1"/>
  <c r="F112" i="1" s="1"/>
  <c r="F85" i="1"/>
</calcChain>
</file>

<file path=xl/sharedStrings.xml><?xml version="1.0" encoding="utf-8"?>
<sst xmlns="http://schemas.openxmlformats.org/spreadsheetml/2006/main" count="195" uniqueCount="17">
  <si>
    <t>ブラック</t>
    <phoneticPr fontId="3"/>
  </si>
  <si>
    <t>計</t>
    <rPh sb="0" eb="1">
      <t>ケイ</t>
    </rPh>
    <phoneticPr fontId="3"/>
  </si>
  <si>
    <t>初回</t>
    <rPh sb="0" eb="2">
      <t>ショカイ</t>
    </rPh>
    <phoneticPr fontId="3"/>
  </si>
  <si>
    <t>追加</t>
    <rPh sb="0" eb="2">
      <t>ツイカ</t>
    </rPh>
    <phoneticPr fontId="3"/>
  </si>
  <si>
    <t>総数</t>
    <rPh sb="0" eb="2">
      <t>ソウスウ</t>
    </rPh>
    <phoneticPr fontId="3"/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</si>
  <si>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</si>
  <si>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</si>
  <si>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裏シルク　やさしいぬくもり足首ウォーマー＜夢販在庫＞</t>
    <rPh sb="0" eb="1">
      <t>ウラ</t>
    </rPh>
    <rPh sb="13" eb="15">
      <t>アシクビ</t>
    </rPh>
    <rPh sb="21" eb="25">
      <t>ユメハンザイコ</t>
    </rPh>
    <phoneticPr fontId="3"/>
  </si>
  <si>
    <t>ベージュ</t>
    <phoneticPr fontId="3"/>
  </si>
  <si>
    <t>グレー</t>
    <phoneticPr fontId="3"/>
  </si>
  <si>
    <t>ネット</t>
    <phoneticPr fontId="3"/>
  </si>
  <si>
    <t>YS-35</t>
    <phoneticPr fontId="3"/>
  </si>
  <si>
    <t>在庫確認</t>
    <rPh sb="0" eb="4">
      <t>ザイコカクニン</t>
    </rPh>
    <phoneticPr fontId="3"/>
  </si>
  <si>
    <t>棚卸</t>
    <rPh sb="0" eb="2">
      <t>タナオロシ</t>
    </rPh>
    <phoneticPr fontId="3"/>
  </si>
  <si>
    <t>在庫</t>
    <rPh sb="0" eb="2">
      <t>ザイコ</t>
    </rPh>
    <phoneticPr fontId="3"/>
  </si>
  <si>
    <t>在庫確認</t>
    <rPh sb="0" eb="4">
      <t>ザイコカクニン</t>
    </rPh>
    <phoneticPr fontId="3"/>
  </si>
  <si>
    <t>調整</t>
    <rPh sb="0" eb="2">
      <t>チョウセイ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</si>
</sst>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2" borderId="0" xfId="0" applyFont="1" applyFill="1"/>
    <xf numFmtId="0" fontId="0" fillId="2" borderId="0" xfId="0" applyFill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56" fontId="0" fillId="0" borderId="4" xfId="0" applyNumberFormat="1" applyBorder="1" applyAlignment="1">
      <alignment horizontal="center"/>
    </xf>
    <xf numFmtId="0" fontId="0" fillId="0" borderId="5" xfId="0" applyBorder="1"/>
    <xf numFmtId="0" fontId="0" fillId="0" borderId="4" xfId="0" applyBorder="1"/>
    <xf numFmtId="56" fontId="0" fillId="0" borderId="0" xfId="0" applyNumberFormat="1"/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0" borderId="13" xfId="0" applyFont="1" applyBorder="1" applyAlignment="1">
      <alignment horizontal="center"/>
    </xf>
    <xf numFmtId="0" fontId="4" fillId="0" borderId="13" xfId="0" applyFont="1" applyBorder="1"/>
    <xf numFmtId="0" fontId="4" fillId="0" borderId="14" xfId="0" applyFont="1" applyBorder="1"/>
    <xf numFmtId="56" fontId="0" fillId="0" borderId="6" xfId="0" applyNumberFormat="1" applyBorder="1" applyAlignment="1">
      <alignment horizontal="center"/>
    </xf>
    <xf numFmtId="0" fontId="1" fillId="0" borderId="7" xfId="0" applyFont="1" applyBorder="1"/>
    <xf numFmtId="0" fontId="1" fillId="0" borderId="6" xfId="0" applyFont="1" applyBorder="1"/>
    <xf numFmtId="0" fontId="1" fillId="0" borderId="8" xfId="0" applyFont="1" applyBorder="1"/>
    <xf numFmtId="56" fontId="1" fillId="0" borderId="0" xfId="0" applyNumberFormat="1" applyFont="1"/>
    <xf numFmtId="56" fontId="0" fillId="0" borderId="0" xfId="0" applyNumberFormat="1" applyAlignment="1">
      <alignment horizontal="right"/>
    </xf>
    <xf numFmtId="0" fontId="0" fillId="0" borderId="15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3" xfId="0" applyBorder="1"/>
    <xf numFmtId="0" fontId="4" fillId="0" borderId="16" xfId="0" applyFont="1" applyBorder="1" applyAlignment="1">
      <alignment horizontal="center"/>
    </xf>
    <xf numFmtId="0" fontId="4" fillId="0" borderId="17" xfId="0" applyFont="1" applyBorder="1"/>
    <xf numFmtId="0" fontId="4" fillId="0" borderId="16" xfId="0" applyFont="1" applyBorder="1"/>
    <xf numFmtId="56" fontId="4" fillId="0" borderId="4" xfId="0" applyNumberFormat="1" applyFont="1" applyBorder="1" applyAlignment="1">
      <alignment horizontal="center"/>
    </xf>
    <xf numFmtId="0" fontId="4" fillId="0" borderId="5" xfId="0" applyFont="1" applyBorder="1"/>
    <xf numFmtId="0" fontId="4" fillId="0" borderId="4" xfId="0" applyFont="1" applyBorder="1"/>
    <xf numFmtId="0" fontId="5" fillId="3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56" fontId="4" fillId="0" borderId="6" xfId="0" applyNumberFormat="1" applyFont="1" applyBorder="1" applyAlignment="1">
      <alignment horizontal="center"/>
    </xf>
    <xf numFmtId="0" fontId="4" fillId="0" borderId="7" xfId="0" applyFont="1" applyBorder="1"/>
    <xf numFmtId="0" fontId="4" fillId="0" borderId="6" xfId="0" applyFont="1" applyBorder="1"/>
    <xf numFmtId="0" fontId="4" fillId="0" borderId="8" xfId="0" applyFont="1" applyBorder="1"/>
    <xf numFmtId="0" fontId="4" fillId="0" borderId="9" xfId="0" applyFont="1" applyBorder="1"/>
    <xf numFmtId="56" fontId="4" fillId="0" borderId="0" xfId="0" applyNumberFormat="1" applyFont="1"/>
    <xf numFmtId="0" fontId="4" fillId="0" borderId="10" xfId="0" applyFont="1" applyBorder="1" applyAlignment="1">
      <alignment horizontal="center"/>
    </xf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6" fillId="0" borderId="6" xfId="0" applyFont="1" applyBorder="1" applyAlignment="1">
      <alignment horizontal="center"/>
    </xf>
    <xf numFmtId="0" fontId="6" fillId="0" borderId="7" xfId="0" applyFont="1" applyBorder="1"/>
    <xf numFmtId="0" fontId="6" fillId="0" borderId="6" xfId="0" applyFont="1" applyBorder="1"/>
    <xf numFmtId="0" fontId="6" fillId="0" borderId="8" xfId="0" applyFont="1" applyBorder="1"/>
    <xf numFmtId="0" fontId="6" fillId="0" borderId="9" xfId="0" applyFont="1" applyBorder="1"/>
    <xf numFmtId="56" fontId="6" fillId="0" borderId="0" xfId="0" applyNumberFormat="1" applyFont="1"/>
    <xf numFmtId="0" fontId="0" fillId="0" borderId="10" xfId="0" applyBorder="1" applyAlignment="1">
      <alignment horizontal="center"/>
    </xf>
    <xf numFmtId="0" fontId="0" fillId="0" borderId="18" xfId="0" applyBorder="1"/>
    <xf numFmtId="0" fontId="0" fillId="0" borderId="6" xfId="0" applyFont="1" applyBorder="1" applyAlignment="1">
      <alignment horizontal="center"/>
    </xf>
    <xf numFmtId="0" fontId="0" fillId="0" borderId="7" xfId="0" applyFont="1" applyBorder="1"/>
    <xf numFmtId="0" fontId="0" fillId="0" borderId="6" xfId="0" applyFont="1" applyBorder="1"/>
    <xf numFmtId="0" fontId="0" fillId="0" borderId="8" xfId="0" applyFont="1" applyBorder="1"/>
    <xf numFmtId="0" fontId="0" fillId="0" borderId="9" xfId="0" applyFont="1" applyBorder="1"/>
    <xf numFmtId="56" fontId="0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6"/>
  <sheetViews>
    <sheetView tabSelected="1" topLeftCell="A186" zoomScale="90" zoomScaleNormal="90" workbookViewId="0">
      <selection activeCell="I208" sqref="I208"/>
    </sheetView>
  </sheetViews>
  <sheetFormatPr defaultRowHeight="13.5" x14ac:dyDescent="0.15"/>
  <cols>
    <col min="2" max="2" width="22.75" style="3" customWidth="1"/>
    <col min="3" max="5" width="11.75" customWidth="1"/>
    <col min="6" max="6" width="11.375" customWidth="1"/>
    <col min="7" max="7" width="9.25" bestFit="1" customWidth="1"/>
  </cols>
  <sheetData>
    <row r="1" spans="2:7" ht="19.5" thickBot="1" x14ac:dyDescent="0.25">
      <c r="B1" s="1" t="s">
        <v>7</v>
      </c>
      <c r="C1" s="2"/>
      <c r="D1" s="2"/>
      <c r="E1" s="2"/>
      <c r="F1" s="2"/>
      <c r="G1" t="s">
        <v>11</v>
      </c>
    </row>
    <row r="2" spans="2:7" s="3" customFormat="1" ht="14.25" thickBot="1" x14ac:dyDescent="0.2">
      <c r="B2" s="4"/>
      <c r="C2" s="37" t="s">
        <v>0</v>
      </c>
      <c r="D2" s="38" t="s">
        <v>8</v>
      </c>
      <c r="E2" s="39" t="s">
        <v>9</v>
      </c>
      <c r="F2" s="5" t="s">
        <v>1</v>
      </c>
    </row>
    <row r="3" spans="2:7" ht="14.25" customHeight="1" x14ac:dyDescent="0.15">
      <c r="B3" s="6" t="s">
        <v>2</v>
      </c>
      <c r="C3" s="7">
        <v>5</v>
      </c>
      <c r="D3" s="8">
        <v>5</v>
      </c>
      <c r="E3" s="8">
        <v>5</v>
      </c>
      <c r="F3" s="8">
        <f t="shared" ref="F3:F36" si="0">SUM(C3:E3)</f>
        <v>15</v>
      </c>
      <c r="G3" s="9">
        <v>44446</v>
      </c>
    </row>
    <row r="4" spans="2:7" x14ac:dyDescent="0.15">
      <c r="B4" s="10" t="s">
        <v>3</v>
      </c>
      <c r="C4" s="11">
        <v>10</v>
      </c>
      <c r="D4" s="12"/>
      <c r="E4" s="13"/>
      <c r="F4" s="14">
        <f t="shared" si="0"/>
        <v>10</v>
      </c>
      <c r="G4" s="9">
        <v>44524</v>
      </c>
    </row>
    <row r="5" spans="2:7" x14ac:dyDescent="0.15">
      <c r="B5" s="10" t="s">
        <v>3</v>
      </c>
      <c r="C5" s="11">
        <v>10</v>
      </c>
      <c r="D5" s="12"/>
      <c r="E5" s="13"/>
      <c r="F5" s="14">
        <f t="shared" si="0"/>
        <v>10</v>
      </c>
      <c r="G5" s="9">
        <v>44538</v>
      </c>
    </row>
    <row r="6" spans="2:7" x14ac:dyDescent="0.15">
      <c r="B6" s="10" t="s">
        <v>3</v>
      </c>
      <c r="C6" s="11"/>
      <c r="D6" s="12">
        <v>5</v>
      </c>
      <c r="E6" s="13"/>
      <c r="F6" s="14">
        <f t="shared" si="0"/>
        <v>5</v>
      </c>
      <c r="G6" s="9">
        <v>44551</v>
      </c>
    </row>
    <row r="7" spans="2:7" x14ac:dyDescent="0.15">
      <c r="B7" s="10" t="s">
        <v>3</v>
      </c>
      <c r="C7" s="11"/>
      <c r="D7" s="12"/>
      <c r="E7" s="13">
        <v>5</v>
      </c>
      <c r="F7" s="14">
        <f t="shared" si="0"/>
        <v>5</v>
      </c>
      <c r="G7" s="9">
        <v>44551</v>
      </c>
    </row>
    <row r="8" spans="2:7" ht="14.25" thickBot="1" x14ac:dyDescent="0.2">
      <c r="B8" s="46" t="s">
        <v>3</v>
      </c>
      <c r="C8" s="41"/>
      <c r="D8" s="47"/>
      <c r="E8" s="48"/>
      <c r="F8" s="49">
        <f t="shared" si="0"/>
        <v>0</v>
      </c>
      <c r="G8" s="45"/>
    </row>
    <row r="9" spans="2:7" ht="14.25" thickBot="1" x14ac:dyDescent="0.2">
      <c r="B9" s="18" t="s">
        <v>4</v>
      </c>
      <c r="C9" s="19">
        <f>SUM(C3:C8)</f>
        <v>25</v>
      </c>
      <c r="D9" s="19">
        <f>SUM(D3:D8)</f>
        <v>10</v>
      </c>
      <c r="E9" s="20">
        <f>SUM(E3:E8)</f>
        <v>10</v>
      </c>
      <c r="F9" s="19">
        <f t="shared" si="0"/>
        <v>45</v>
      </c>
    </row>
    <row r="10" spans="2:7" x14ac:dyDescent="0.15">
      <c r="B10" s="6" t="s">
        <v>10</v>
      </c>
      <c r="C10" s="7">
        <v>1</v>
      </c>
      <c r="D10" s="8">
        <v>1</v>
      </c>
      <c r="E10" s="13"/>
      <c r="F10" s="14">
        <f t="shared" si="0"/>
        <v>2</v>
      </c>
      <c r="G10" s="9">
        <v>44489</v>
      </c>
    </row>
    <row r="11" spans="2:7" x14ac:dyDescent="0.15">
      <c r="B11" s="21" t="s">
        <v>10</v>
      </c>
      <c r="C11" s="11">
        <v>1</v>
      </c>
      <c r="D11" s="12"/>
      <c r="E11" s="13"/>
      <c r="F11" s="14">
        <f t="shared" si="0"/>
        <v>1</v>
      </c>
      <c r="G11" s="9">
        <v>44497</v>
      </c>
    </row>
    <row r="12" spans="2:7" x14ac:dyDescent="0.15">
      <c r="B12" s="21" t="s">
        <v>10</v>
      </c>
      <c r="C12" s="11"/>
      <c r="D12" s="12"/>
      <c r="E12" s="13">
        <v>1</v>
      </c>
      <c r="F12" s="14">
        <f t="shared" si="0"/>
        <v>1</v>
      </c>
      <c r="G12" s="9">
        <v>44506</v>
      </c>
    </row>
    <row r="13" spans="2:7" x14ac:dyDescent="0.15">
      <c r="B13" s="21" t="s">
        <v>10</v>
      </c>
      <c r="C13" s="11">
        <v>1</v>
      </c>
      <c r="D13" s="12"/>
      <c r="E13" s="13"/>
      <c r="F13" s="14">
        <f t="shared" si="0"/>
        <v>1</v>
      </c>
      <c r="G13" s="9">
        <v>44516</v>
      </c>
    </row>
    <row r="14" spans="2:7" x14ac:dyDescent="0.15">
      <c r="B14" s="21" t="s">
        <v>10</v>
      </c>
      <c r="C14" s="11">
        <v>2</v>
      </c>
      <c r="D14" s="12"/>
      <c r="E14" s="13"/>
      <c r="F14" s="14">
        <f t="shared" si="0"/>
        <v>2</v>
      </c>
      <c r="G14" s="9">
        <v>44522</v>
      </c>
    </row>
    <row r="15" spans="2:7" x14ac:dyDescent="0.15">
      <c r="B15" s="21" t="s">
        <v>10</v>
      </c>
      <c r="C15" s="11">
        <v>3</v>
      </c>
      <c r="D15" s="12"/>
      <c r="E15" s="13"/>
      <c r="F15" s="14">
        <f t="shared" si="0"/>
        <v>3</v>
      </c>
      <c r="G15" s="9">
        <v>44524</v>
      </c>
    </row>
    <row r="16" spans="2:7" x14ac:dyDescent="0.15">
      <c r="B16" s="21" t="s">
        <v>10</v>
      </c>
      <c r="C16" s="11">
        <v>1</v>
      </c>
      <c r="D16" s="12"/>
      <c r="E16" s="13"/>
      <c r="F16" s="14">
        <f t="shared" si="0"/>
        <v>1</v>
      </c>
      <c r="G16" s="9">
        <v>44529</v>
      </c>
    </row>
    <row r="17" spans="2:7" x14ac:dyDescent="0.15">
      <c r="B17" s="21" t="s">
        <v>10</v>
      </c>
      <c r="C17" s="22">
        <v>1</v>
      </c>
      <c r="D17" s="23"/>
      <c r="E17" s="24"/>
      <c r="F17" s="14">
        <f t="shared" si="0"/>
        <v>1</v>
      </c>
      <c r="G17" s="9">
        <v>44533</v>
      </c>
    </row>
    <row r="18" spans="2:7" x14ac:dyDescent="0.15">
      <c r="B18" s="21" t="s">
        <v>10</v>
      </c>
      <c r="C18" s="22">
        <v>1</v>
      </c>
      <c r="D18" s="23">
        <v>1</v>
      </c>
      <c r="E18" s="24"/>
      <c r="F18" s="14">
        <f t="shared" si="0"/>
        <v>2</v>
      </c>
      <c r="G18" s="9">
        <v>44536</v>
      </c>
    </row>
    <row r="19" spans="2:7" x14ac:dyDescent="0.15">
      <c r="B19" s="21" t="s">
        <v>10</v>
      </c>
      <c r="C19" s="11">
        <v>1</v>
      </c>
      <c r="D19" s="12">
        <v>1</v>
      </c>
      <c r="E19" s="13"/>
      <c r="F19" s="14">
        <f t="shared" si="0"/>
        <v>2</v>
      </c>
      <c r="G19" s="9">
        <v>44537</v>
      </c>
    </row>
    <row r="20" spans="2:7" x14ac:dyDescent="0.15">
      <c r="B20" s="21" t="s">
        <v>10</v>
      </c>
      <c r="C20" s="22"/>
      <c r="D20" s="23">
        <v>1</v>
      </c>
      <c r="E20" s="24"/>
      <c r="F20" s="14">
        <f t="shared" si="0"/>
        <v>1</v>
      </c>
      <c r="G20" s="25">
        <v>44544</v>
      </c>
    </row>
    <row r="21" spans="2:7" x14ac:dyDescent="0.15">
      <c r="B21" s="21" t="s">
        <v>10</v>
      </c>
      <c r="C21" s="22">
        <v>1</v>
      </c>
      <c r="D21" s="23"/>
      <c r="E21" s="24"/>
      <c r="F21" s="14">
        <f t="shared" si="0"/>
        <v>1</v>
      </c>
      <c r="G21" s="25">
        <v>44545</v>
      </c>
    </row>
    <row r="22" spans="2:7" x14ac:dyDescent="0.15">
      <c r="B22" s="21" t="s">
        <v>10</v>
      </c>
      <c r="C22" s="11"/>
      <c r="D22" s="12"/>
      <c r="E22" s="13">
        <v>1</v>
      </c>
      <c r="F22" s="14">
        <f t="shared" si="0"/>
        <v>1</v>
      </c>
      <c r="G22" s="9">
        <v>44547</v>
      </c>
    </row>
    <row r="23" spans="2:7" x14ac:dyDescent="0.15">
      <c r="B23" s="21" t="s">
        <v>10</v>
      </c>
      <c r="C23" s="22">
        <v>1</v>
      </c>
      <c r="D23" s="23"/>
      <c r="E23" s="24">
        <v>1</v>
      </c>
      <c r="F23" s="14">
        <f t="shared" si="0"/>
        <v>2</v>
      </c>
      <c r="G23" s="25">
        <v>44550</v>
      </c>
    </row>
    <row r="24" spans="2:7" x14ac:dyDescent="0.15">
      <c r="B24" s="40" t="s">
        <v>12</v>
      </c>
      <c r="C24" s="41"/>
      <c r="D24" s="42"/>
      <c r="E24" s="43">
        <v>1</v>
      </c>
      <c r="F24" s="44">
        <f t="shared" si="0"/>
        <v>1</v>
      </c>
      <c r="G24" s="45">
        <v>44551</v>
      </c>
    </row>
    <row r="25" spans="2:7" x14ac:dyDescent="0.15">
      <c r="B25" s="21" t="s">
        <v>10</v>
      </c>
      <c r="C25" s="22">
        <v>1</v>
      </c>
      <c r="D25" s="23"/>
      <c r="E25" s="24"/>
      <c r="F25" s="14">
        <f t="shared" si="0"/>
        <v>1</v>
      </c>
      <c r="G25" s="25">
        <v>44552</v>
      </c>
    </row>
    <row r="26" spans="2:7" x14ac:dyDescent="0.15">
      <c r="B26" s="21" t="s">
        <v>10</v>
      </c>
      <c r="C26" s="22">
        <f>1+1+1</f>
        <v>3</v>
      </c>
      <c r="D26" s="23"/>
      <c r="E26" s="24">
        <v>1</v>
      </c>
      <c r="F26" s="14">
        <f t="shared" si="0"/>
        <v>4</v>
      </c>
      <c r="G26" s="25">
        <v>44553</v>
      </c>
    </row>
    <row r="27" spans="2:7" x14ac:dyDescent="0.15">
      <c r="B27" s="21" t="s">
        <v>10</v>
      </c>
      <c r="C27" s="22">
        <v>1</v>
      </c>
      <c r="D27" s="23">
        <v>1</v>
      </c>
      <c r="E27" s="24"/>
      <c r="F27" s="14">
        <f t="shared" si="0"/>
        <v>2</v>
      </c>
      <c r="G27" s="25">
        <v>44557</v>
      </c>
    </row>
    <row r="28" spans="2:7" x14ac:dyDescent="0.15">
      <c r="B28" s="21" t="s">
        <v>10</v>
      </c>
      <c r="C28" s="22">
        <v>2</v>
      </c>
      <c r="D28" s="23">
        <f>2+1</f>
        <v>3</v>
      </c>
      <c r="E28" s="24"/>
      <c r="F28" s="14">
        <f t="shared" si="0"/>
        <v>5</v>
      </c>
      <c r="G28" s="25">
        <v>44572</v>
      </c>
    </row>
    <row r="29" spans="2:7" x14ac:dyDescent="0.15">
      <c r="B29" s="21" t="s">
        <v>10</v>
      </c>
      <c r="C29" s="11">
        <v>1</v>
      </c>
      <c r="D29" s="12"/>
      <c r="E29" s="13"/>
      <c r="F29" s="14">
        <f t="shared" si="0"/>
        <v>1</v>
      </c>
      <c r="G29" s="25">
        <v>44573</v>
      </c>
    </row>
    <row r="30" spans="2:7" x14ac:dyDescent="0.15">
      <c r="B30" s="21" t="s">
        <v>10</v>
      </c>
      <c r="C30" s="11"/>
      <c r="D30" s="12">
        <v>1</v>
      </c>
      <c r="E30" s="13"/>
      <c r="F30" s="14">
        <f t="shared" si="0"/>
        <v>1</v>
      </c>
      <c r="G30" s="26">
        <v>44578</v>
      </c>
    </row>
    <row r="31" spans="2:7" x14ac:dyDescent="0.15">
      <c r="B31" s="21" t="s">
        <v>10</v>
      </c>
      <c r="C31" s="11"/>
      <c r="D31" s="12">
        <v>1</v>
      </c>
      <c r="E31" s="13"/>
      <c r="F31" s="14">
        <f t="shared" si="0"/>
        <v>1</v>
      </c>
      <c r="G31" s="26">
        <v>44579</v>
      </c>
    </row>
    <row r="32" spans="2:7" x14ac:dyDescent="0.15">
      <c r="B32" s="21" t="s">
        <v>10</v>
      </c>
      <c r="C32" s="11"/>
      <c r="D32" s="12"/>
      <c r="E32" s="13">
        <v>1</v>
      </c>
      <c r="F32" s="14">
        <f t="shared" si="0"/>
        <v>1</v>
      </c>
      <c r="G32" s="26">
        <v>44585</v>
      </c>
    </row>
    <row r="33" spans="1:7" x14ac:dyDescent="0.15">
      <c r="B33" s="21" t="s">
        <v>10</v>
      </c>
      <c r="C33" s="11">
        <v>1</v>
      </c>
      <c r="D33" s="12"/>
      <c r="E33" s="13"/>
      <c r="F33" s="14">
        <f t="shared" si="0"/>
        <v>1</v>
      </c>
      <c r="G33" s="26">
        <v>44586</v>
      </c>
    </row>
    <row r="34" spans="1:7" ht="14.25" thickBot="1" x14ac:dyDescent="0.2">
      <c r="B34" s="21" t="s">
        <v>10</v>
      </c>
      <c r="C34" s="27">
        <v>1</v>
      </c>
      <c r="D34" s="15"/>
      <c r="E34" s="16"/>
      <c r="F34" s="17">
        <f t="shared" si="0"/>
        <v>1</v>
      </c>
      <c r="G34" s="26">
        <v>44587</v>
      </c>
    </row>
    <row r="35" spans="1:7" ht="14.25" thickBot="1" x14ac:dyDescent="0.2">
      <c r="B35" s="28" t="s">
        <v>5</v>
      </c>
      <c r="C35" s="29">
        <f>SUM(C10:C34)</f>
        <v>24</v>
      </c>
      <c r="D35" s="30">
        <f>SUM(D10:D34)</f>
        <v>10</v>
      </c>
      <c r="E35" s="30">
        <f>SUM(E10:E34)</f>
        <v>6</v>
      </c>
      <c r="F35" s="30">
        <f t="shared" si="0"/>
        <v>40</v>
      </c>
    </row>
    <row r="36" spans="1:7" ht="14.25" thickBot="1" x14ac:dyDescent="0.2">
      <c r="B36" s="31" t="s">
        <v>6</v>
      </c>
      <c r="C36" s="32">
        <f>+C9-C35</f>
        <v>1</v>
      </c>
      <c r="D36" s="33">
        <f>+D9-D35</f>
        <v>0</v>
      </c>
      <c r="E36" s="33">
        <f>+E9-E35</f>
        <v>4</v>
      </c>
      <c r="F36" s="33">
        <f t="shared" si="0"/>
        <v>5</v>
      </c>
    </row>
    <row r="39" spans="1:7" ht="19.5" thickBot="1" x14ac:dyDescent="0.25">
      <c r="B39" s="1" t="s">
        <v>7</v>
      </c>
      <c r="C39" s="2"/>
      <c r="D39" s="2"/>
      <c r="E39" s="2"/>
      <c r="F39" s="2"/>
      <c r="G39">
        <v>552</v>
      </c>
    </row>
    <row r="40" spans="1:7" ht="14.25" thickBot="1" x14ac:dyDescent="0.2">
      <c r="A40" s="3"/>
      <c r="B40" s="4"/>
      <c r="C40" s="37" t="s">
        <v>0</v>
      </c>
      <c r="D40" s="38" t="s">
        <v>8</v>
      </c>
      <c r="E40" s="39" t="s">
        <v>9</v>
      </c>
      <c r="F40" s="5" t="s">
        <v>1</v>
      </c>
    </row>
    <row r="41" spans="1:7" x14ac:dyDescent="0.15">
      <c r="B41" s="34" t="s">
        <v>2</v>
      </c>
      <c r="C41" s="35">
        <f>C36</f>
        <v>1</v>
      </c>
      <c r="D41" s="36">
        <f>D36</f>
        <v>0</v>
      </c>
      <c r="E41" s="36">
        <f>E36</f>
        <v>4</v>
      </c>
      <c r="F41" s="36">
        <f t="shared" ref="F41:F74" si="1">SUM(C41:E41)</f>
        <v>5</v>
      </c>
    </row>
    <row r="42" spans="1:7" x14ac:dyDescent="0.15">
      <c r="B42" s="10" t="s">
        <v>3</v>
      </c>
      <c r="C42" s="11">
        <v>5</v>
      </c>
      <c r="D42" s="12">
        <v>5</v>
      </c>
      <c r="E42" s="13"/>
      <c r="F42" s="14">
        <f t="shared" si="1"/>
        <v>10</v>
      </c>
      <c r="G42" s="9">
        <v>44601</v>
      </c>
    </row>
    <row r="43" spans="1:7" x14ac:dyDescent="0.15">
      <c r="B43" s="50" t="s">
        <v>13</v>
      </c>
      <c r="C43" s="51">
        <v>1</v>
      </c>
      <c r="D43" s="52"/>
      <c r="E43" s="53">
        <v>-1</v>
      </c>
      <c r="F43" s="54">
        <f t="shared" si="1"/>
        <v>0</v>
      </c>
      <c r="G43" s="55">
        <v>44796</v>
      </c>
    </row>
    <row r="44" spans="1:7" x14ac:dyDescent="0.15">
      <c r="B44" s="10" t="s">
        <v>3</v>
      </c>
      <c r="C44" s="11">
        <v>3</v>
      </c>
      <c r="D44" s="12">
        <v>5</v>
      </c>
      <c r="E44" s="13">
        <v>3</v>
      </c>
      <c r="F44" s="14">
        <f t="shared" ref="F44" si="2">SUM(C44:E44)</f>
        <v>11</v>
      </c>
      <c r="G44" s="9">
        <v>44806</v>
      </c>
    </row>
    <row r="45" spans="1:7" x14ac:dyDescent="0.15">
      <c r="B45" s="10" t="s">
        <v>3</v>
      </c>
      <c r="C45" s="11">
        <v>10</v>
      </c>
      <c r="D45" s="12">
        <v>10</v>
      </c>
      <c r="E45" s="13">
        <v>5</v>
      </c>
      <c r="F45" s="14">
        <f t="shared" si="1"/>
        <v>25</v>
      </c>
      <c r="G45" s="9">
        <v>44883</v>
      </c>
    </row>
    <row r="46" spans="1:7" ht="14.25" thickBot="1" x14ac:dyDescent="0.2">
      <c r="B46" s="56" t="s">
        <v>3</v>
      </c>
      <c r="C46" s="57"/>
      <c r="D46" s="15"/>
      <c r="E46" s="16">
        <v>3</v>
      </c>
      <c r="F46" s="17">
        <f t="shared" si="1"/>
        <v>3</v>
      </c>
      <c r="G46" s="9">
        <v>44904</v>
      </c>
    </row>
    <row r="47" spans="1:7" ht="14.25" thickBot="1" x14ac:dyDescent="0.2">
      <c r="B47" s="18" t="s">
        <v>4</v>
      </c>
      <c r="C47" s="19">
        <f>SUM(C41:C46)</f>
        <v>20</v>
      </c>
      <c r="D47" s="19">
        <f>SUM(D41:D46)</f>
        <v>20</v>
      </c>
      <c r="E47" s="20">
        <f>SUM(E41:E46)</f>
        <v>14</v>
      </c>
      <c r="F47" s="19">
        <f t="shared" si="1"/>
        <v>54</v>
      </c>
    </row>
    <row r="48" spans="1:7" x14ac:dyDescent="0.15">
      <c r="B48" s="21" t="s">
        <v>10</v>
      </c>
      <c r="C48" s="7">
        <v>1</v>
      </c>
      <c r="D48" s="8"/>
      <c r="E48" s="13"/>
      <c r="F48" s="14">
        <f t="shared" si="1"/>
        <v>1</v>
      </c>
      <c r="G48" s="9">
        <v>44596</v>
      </c>
    </row>
    <row r="49" spans="2:7" x14ac:dyDescent="0.15">
      <c r="B49" s="21" t="s">
        <v>10</v>
      </c>
      <c r="C49" s="11"/>
      <c r="D49" s="12">
        <v>1</v>
      </c>
      <c r="E49" s="13"/>
      <c r="F49" s="14">
        <f t="shared" si="1"/>
        <v>1</v>
      </c>
      <c r="G49" s="9">
        <v>44600</v>
      </c>
    </row>
    <row r="50" spans="2:7" x14ac:dyDescent="0.15">
      <c r="B50" s="21" t="s">
        <v>10</v>
      </c>
      <c r="C50" s="11"/>
      <c r="D50" s="12">
        <v>1</v>
      </c>
      <c r="E50" s="13"/>
      <c r="F50" s="14">
        <f t="shared" si="1"/>
        <v>1</v>
      </c>
      <c r="G50" s="9">
        <v>44629</v>
      </c>
    </row>
    <row r="51" spans="2:7" x14ac:dyDescent="0.15">
      <c r="B51" s="21" t="s">
        <v>10</v>
      </c>
      <c r="C51" s="22"/>
      <c r="D51" s="23">
        <v>1</v>
      </c>
      <c r="E51" s="24"/>
      <c r="F51" s="14">
        <f t="shared" si="1"/>
        <v>1</v>
      </c>
      <c r="G51" s="9">
        <v>44631</v>
      </c>
    </row>
    <row r="52" spans="2:7" x14ac:dyDescent="0.15">
      <c r="B52" s="21" t="s">
        <v>10</v>
      </c>
      <c r="C52" s="22">
        <v>1</v>
      </c>
      <c r="D52" s="23"/>
      <c r="E52" s="24"/>
      <c r="F52" s="14">
        <f t="shared" si="1"/>
        <v>1</v>
      </c>
      <c r="G52" s="9">
        <v>44642</v>
      </c>
    </row>
    <row r="53" spans="2:7" x14ac:dyDescent="0.15">
      <c r="B53" s="21" t="s">
        <v>10</v>
      </c>
      <c r="C53" s="11"/>
      <c r="D53" s="12">
        <v>1</v>
      </c>
      <c r="E53" s="13">
        <v>1</v>
      </c>
      <c r="F53" s="14">
        <f t="shared" si="1"/>
        <v>2</v>
      </c>
      <c r="G53" s="9">
        <v>44669</v>
      </c>
    </row>
    <row r="54" spans="2:7" x14ac:dyDescent="0.15">
      <c r="B54" s="21" t="s">
        <v>10</v>
      </c>
      <c r="C54" s="11"/>
      <c r="D54" s="12">
        <v>1</v>
      </c>
      <c r="E54" s="13"/>
      <c r="F54" s="14">
        <f t="shared" si="1"/>
        <v>1</v>
      </c>
      <c r="G54" s="9">
        <v>44683</v>
      </c>
    </row>
    <row r="55" spans="2:7" x14ac:dyDescent="0.15">
      <c r="B55" s="21" t="s">
        <v>10</v>
      </c>
      <c r="C55" s="22">
        <v>1</v>
      </c>
      <c r="D55" s="23"/>
      <c r="E55" s="24"/>
      <c r="F55" s="14">
        <f t="shared" si="1"/>
        <v>1</v>
      </c>
      <c r="G55" s="9">
        <v>44739</v>
      </c>
    </row>
    <row r="56" spans="2:7" x14ac:dyDescent="0.15">
      <c r="B56" s="21" t="s">
        <v>10</v>
      </c>
      <c r="C56" s="22"/>
      <c r="D56" s="23"/>
      <c r="E56" s="24">
        <v>1</v>
      </c>
      <c r="F56" s="14">
        <f t="shared" si="1"/>
        <v>1</v>
      </c>
      <c r="G56" s="9">
        <v>44790</v>
      </c>
    </row>
    <row r="57" spans="2:7" x14ac:dyDescent="0.15">
      <c r="B57" s="21" t="s">
        <v>10</v>
      </c>
      <c r="C57" s="11"/>
      <c r="D57" s="12">
        <v>1</v>
      </c>
      <c r="E57" s="13"/>
      <c r="F57" s="14">
        <f t="shared" si="1"/>
        <v>1</v>
      </c>
      <c r="G57" s="9">
        <v>44830</v>
      </c>
    </row>
    <row r="58" spans="2:7" x14ac:dyDescent="0.15">
      <c r="B58" s="21" t="s">
        <v>10</v>
      </c>
      <c r="C58" s="22"/>
      <c r="D58" s="23">
        <v>1</v>
      </c>
      <c r="E58" s="24">
        <v>1</v>
      </c>
      <c r="F58" s="14">
        <f t="shared" si="1"/>
        <v>2</v>
      </c>
      <c r="G58" s="9">
        <v>44861</v>
      </c>
    </row>
    <row r="59" spans="2:7" x14ac:dyDescent="0.15">
      <c r="B59" s="21" t="s">
        <v>10</v>
      </c>
      <c r="C59" s="22">
        <v>1</v>
      </c>
      <c r="D59" s="23"/>
      <c r="E59" s="24"/>
      <c r="F59" s="14">
        <f t="shared" si="1"/>
        <v>1</v>
      </c>
      <c r="G59" s="9">
        <v>44865</v>
      </c>
    </row>
    <row r="60" spans="2:7" x14ac:dyDescent="0.15">
      <c r="B60" s="21" t="s">
        <v>10</v>
      </c>
      <c r="C60" s="11"/>
      <c r="D60" s="12">
        <v>1</v>
      </c>
      <c r="E60" s="13">
        <v>1</v>
      </c>
      <c r="F60" s="14">
        <f t="shared" si="1"/>
        <v>2</v>
      </c>
      <c r="G60" s="9">
        <v>44872</v>
      </c>
    </row>
    <row r="61" spans="2:7" x14ac:dyDescent="0.15">
      <c r="B61" s="21" t="s">
        <v>10</v>
      </c>
      <c r="C61" s="22">
        <v>1</v>
      </c>
      <c r="D61" s="23"/>
      <c r="E61" s="24"/>
      <c r="F61" s="14">
        <f t="shared" si="1"/>
        <v>1</v>
      </c>
      <c r="G61" s="9">
        <v>44879</v>
      </c>
    </row>
    <row r="62" spans="2:7" x14ac:dyDescent="0.15">
      <c r="B62" s="21" t="s">
        <v>10</v>
      </c>
      <c r="C62" s="22"/>
      <c r="D62" s="23"/>
      <c r="E62" s="24">
        <v>1</v>
      </c>
      <c r="F62" s="14">
        <f t="shared" si="1"/>
        <v>1</v>
      </c>
      <c r="G62" s="9">
        <v>44881</v>
      </c>
    </row>
    <row r="63" spans="2:7" x14ac:dyDescent="0.15">
      <c r="B63" s="21" t="s">
        <v>10</v>
      </c>
      <c r="C63" s="22">
        <v>1</v>
      </c>
      <c r="D63" s="23"/>
      <c r="E63" s="24"/>
      <c r="F63" s="14">
        <f t="shared" si="1"/>
        <v>1</v>
      </c>
      <c r="G63" s="9">
        <v>44882</v>
      </c>
    </row>
    <row r="64" spans="2:7" x14ac:dyDescent="0.15">
      <c r="B64" s="21" t="s">
        <v>10</v>
      </c>
      <c r="C64" s="22">
        <v>2</v>
      </c>
      <c r="D64" s="23"/>
      <c r="E64" s="24"/>
      <c r="F64" s="14">
        <f t="shared" si="1"/>
        <v>2</v>
      </c>
      <c r="G64" s="9">
        <v>44889</v>
      </c>
    </row>
    <row r="65" spans="1:7" x14ac:dyDescent="0.15">
      <c r="B65" s="21" t="s">
        <v>10</v>
      </c>
      <c r="C65" s="22"/>
      <c r="D65" s="23">
        <v>1</v>
      </c>
      <c r="E65" s="24">
        <v>1</v>
      </c>
      <c r="F65" s="14">
        <f t="shared" si="1"/>
        <v>2</v>
      </c>
      <c r="G65" s="9">
        <v>44893</v>
      </c>
    </row>
    <row r="66" spans="1:7" x14ac:dyDescent="0.15">
      <c r="B66" s="21" t="s">
        <v>10</v>
      </c>
      <c r="C66" s="22">
        <v>1</v>
      </c>
      <c r="D66" s="23"/>
      <c r="E66" s="24">
        <v>1</v>
      </c>
      <c r="F66" s="14">
        <f t="shared" si="1"/>
        <v>2</v>
      </c>
      <c r="G66" s="9">
        <v>44907</v>
      </c>
    </row>
    <row r="67" spans="1:7" x14ac:dyDescent="0.15">
      <c r="B67" s="21" t="s">
        <v>10</v>
      </c>
      <c r="C67" s="11"/>
      <c r="D67" s="12">
        <v>1</v>
      </c>
      <c r="E67" s="13"/>
      <c r="F67" s="14">
        <f t="shared" si="1"/>
        <v>1</v>
      </c>
      <c r="G67" s="9">
        <v>44909</v>
      </c>
    </row>
    <row r="68" spans="1:7" x14ac:dyDescent="0.15">
      <c r="B68" s="21" t="s">
        <v>10</v>
      </c>
      <c r="C68" s="11"/>
      <c r="D68" s="12"/>
      <c r="E68" s="13">
        <v>1</v>
      </c>
      <c r="F68" s="14">
        <f t="shared" si="1"/>
        <v>1</v>
      </c>
      <c r="G68" s="9">
        <v>44910</v>
      </c>
    </row>
    <row r="69" spans="1:7" x14ac:dyDescent="0.15">
      <c r="B69" s="21" t="s">
        <v>10</v>
      </c>
      <c r="C69" s="11">
        <v>1</v>
      </c>
      <c r="D69" s="12"/>
      <c r="E69" s="13">
        <v>1</v>
      </c>
      <c r="F69" s="14">
        <f t="shared" si="1"/>
        <v>2</v>
      </c>
      <c r="G69" s="9">
        <v>44915</v>
      </c>
    </row>
    <row r="70" spans="1:7" x14ac:dyDescent="0.15">
      <c r="B70" s="21" t="s">
        <v>10</v>
      </c>
      <c r="C70" s="11">
        <v>2</v>
      </c>
      <c r="D70" s="12"/>
      <c r="E70" s="13"/>
      <c r="F70" s="14">
        <f t="shared" si="1"/>
        <v>2</v>
      </c>
      <c r="G70" s="9">
        <v>44918</v>
      </c>
    </row>
    <row r="71" spans="1:7" x14ac:dyDescent="0.15">
      <c r="B71" s="21" t="s">
        <v>10</v>
      </c>
      <c r="C71" s="11"/>
      <c r="D71" s="12"/>
      <c r="E71" s="13">
        <v>1</v>
      </c>
      <c r="F71" s="14">
        <f t="shared" si="1"/>
        <v>1</v>
      </c>
      <c r="G71" s="9">
        <v>44933</v>
      </c>
    </row>
    <row r="72" spans="1:7" ht="14.25" thickBot="1" x14ac:dyDescent="0.2">
      <c r="B72" s="21" t="s">
        <v>10</v>
      </c>
      <c r="C72" s="27"/>
      <c r="D72" s="15"/>
      <c r="E72" s="16">
        <v>1</v>
      </c>
      <c r="F72" s="17">
        <f t="shared" si="1"/>
        <v>1</v>
      </c>
      <c r="G72" s="9">
        <v>44942</v>
      </c>
    </row>
    <row r="73" spans="1:7" ht="14.25" thickBot="1" x14ac:dyDescent="0.2">
      <c r="B73" s="28" t="s">
        <v>5</v>
      </c>
      <c r="C73" s="29">
        <f>SUM(C48:C72)</f>
        <v>12</v>
      </c>
      <c r="D73" s="30">
        <f>SUM(D48:D72)</f>
        <v>10</v>
      </c>
      <c r="E73" s="30">
        <f>SUM(E48:E72)</f>
        <v>11</v>
      </c>
      <c r="F73" s="30">
        <f t="shared" si="1"/>
        <v>33</v>
      </c>
    </row>
    <row r="74" spans="1:7" ht="14.25" thickBot="1" x14ac:dyDescent="0.2">
      <c r="B74" s="31" t="s">
        <v>6</v>
      </c>
      <c r="C74" s="32">
        <f>+C47-C73</f>
        <v>8</v>
      </c>
      <c r="D74" s="33">
        <f>+D47-D73</f>
        <v>10</v>
      </c>
      <c r="E74" s="33">
        <f>+E47-E73</f>
        <v>3</v>
      </c>
      <c r="F74" s="33">
        <f t="shared" si="1"/>
        <v>21</v>
      </c>
    </row>
    <row r="77" spans="1:7" ht="19.5" thickBot="1" x14ac:dyDescent="0.25">
      <c r="B77" s="1" t="s">
        <v>7</v>
      </c>
      <c r="C77" s="2"/>
      <c r="D77" s="2"/>
      <c r="E77" s="2"/>
      <c r="F77" s="2"/>
      <c r="G77">
        <v>552</v>
      </c>
    </row>
    <row r="78" spans="1:7" ht="14.25" thickBot="1" x14ac:dyDescent="0.2">
      <c r="A78" s="3"/>
      <c r="B78" s="4"/>
      <c r="C78" s="37" t="s">
        <v>0</v>
      </c>
      <c r="D78" s="38" t="s">
        <v>8</v>
      </c>
      <c r="E78" s="39" t="s">
        <v>9</v>
      </c>
      <c r="F78" s="5" t="s">
        <v>1</v>
      </c>
    </row>
    <row r="79" spans="1:7" x14ac:dyDescent="0.15">
      <c r="B79" s="34" t="s">
        <v>14</v>
      </c>
      <c r="C79" s="35">
        <f>C74</f>
        <v>8</v>
      </c>
      <c r="D79" s="36">
        <f>D74</f>
        <v>10</v>
      </c>
      <c r="E79" s="36">
        <f>E74</f>
        <v>3</v>
      </c>
      <c r="F79" s="36">
        <f t="shared" ref="F79:F112" si="3">SUM(C79:E79)</f>
        <v>21</v>
      </c>
    </row>
    <row r="80" spans="1:7" x14ac:dyDescent="0.15">
      <c r="B80" s="10" t="s">
        <v>3</v>
      </c>
      <c r="C80" s="11"/>
      <c r="D80" s="12"/>
      <c r="E80" s="13">
        <v>3</v>
      </c>
      <c r="F80" s="14">
        <f t="shared" ref="F80:F82" si="4">SUM(C80:E80)</f>
        <v>3</v>
      </c>
      <c r="G80" s="9">
        <v>44964</v>
      </c>
    </row>
    <row r="81" spans="2:7" x14ac:dyDescent="0.15">
      <c r="B81" s="10" t="s">
        <v>12</v>
      </c>
      <c r="C81" s="11"/>
      <c r="D81" s="12">
        <v>1</v>
      </c>
      <c r="E81" s="13">
        <v>1</v>
      </c>
      <c r="F81" s="14">
        <f t="shared" si="4"/>
        <v>2</v>
      </c>
      <c r="G81" s="9">
        <v>45146</v>
      </c>
    </row>
    <row r="82" spans="2:7" x14ac:dyDescent="0.15">
      <c r="B82" s="10" t="s">
        <v>3</v>
      </c>
      <c r="C82" s="11">
        <v>5</v>
      </c>
      <c r="D82" s="12"/>
      <c r="E82" s="13">
        <v>5</v>
      </c>
      <c r="F82" s="14">
        <f t="shared" si="4"/>
        <v>10</v>
      </c>
      <c r="G82" s="9">
        <v>45204</v>
      </c>
    </row>
    <row r="83" spans="2:7" x14ac:dyDescent="0.15">
      <c r="B83" s="10" t="s">
        <v>3</v>
      </c>
      <c r="C83" s="11">
        <v>5</v>
      </c>
      <c r="D83" s="12"/>
      <c r="E83" s="13"/>
      <c r="F83" s="14">
        <f t="shared" si="3"/>
        <v>5</v>
      </c>
      <c r="G83" s="9">
        <v>45274</v>
      </c>
    </row>
    <row r="84" spans="2:7" ht="14.25" thickBot="1" x14ac:dyDescent="0.2">
      <c r="B84" s="56" t="s">
        <v>3</v>
      </c>
      <c r="C84" s="57"/>
      <c r="D84" s="15"/>
      <c r="E84" s="16"/>
      <c r="F84" s="17">
        <f t="shared" si="3"/>
        <v>0</v>
      </c>
      <c r="G84" s="9"/>
    </row>
    <row r="85" spans="2:7" ht="14.25" thickBot="1" x14ac:dyDescent="0.2">
      <c r="B85" s="18" t="s">
        <v>4</v>
      </c>
      <c r="C85" s="19">
        <f>SUM(C79:C84)</f>
        <v>18</v>
      </c>
      <c r="D85" s="19">
        <f>SUM(D79:D84)</f>
        <v>11</v>
      </c>
      <c r="E85" s="20">
        <f>SUM(E79:E84)</f>
        <v>12</v>
      </c>
      <c r="F85" s="19">
        <f t="shared" si="3"/>
        <v>41</v>
      </c>
    </row>
    <row r="86" spans="2:7" x14ac:dyDescent="0.15">
      <c r="B86" s="21" t="s">
        <v>10</v>
      </c>
      <c r="C86" s="7">
        <v>1</v>
      </c>
      <c r="D86" s="8"/>
      <c r="E86" s="13"/>
      <c r="F86" s="14">
        <f t="shared" si="3"/>
        <v>1</v>
      </c>
      <c r="G86" s="9">
        <v>44956</v>
      </c>
    </row>
    <row r="87" spans="2:7" x14ac:dyDescent="0.15">
      <c r="B87" s="21" t="s">
        <v>10</v>
      </c>
      <c r="C87" s="11">
        <v>1</v>
      </c>
      <c r="D87" s="12"/>
      <c r="E87" s="13"/>
      <c r="F87" s="14">
        <f t="shared" si="3"/>
        <v>1</v>
      </c>
      <c r="G87" s="9">
        <v>44970</v>
      </c>
    </row>
    <row r="88" spans="2:7" x14ac:dyDescent="0.15">
      <c r="B88" s="21" t="s">
        <v>10</v>
      </c>
      <c r="C88" s="11"/>
      <c r="D88" s="12"/>
      <c r="E88" s="13">
        <v>1</v>
      </c>
      <c r="F88" s="14">
        <f t="shared" si="3"/>
        <v>1</v>
      </c>
      <c r="G88" s="9">
        <v>44972</v>
      </c>
    </row>
    <row r="89" spans="2:7" x14ac:dyDescent="0.15">
      <c r="B89" s="21" t="s">
        <v>10</v>
      </c>
      <c r="C89" s="22">
        <v>1</v>
      </c>
      <c r="D89" s="23"/>
      <c r="E89" s="24"/>
      <c r="F89" s="14">
        <f t="shared" si="3"/>
        <v>1</v>
      </c>
      <c r="G89" s="9">
        <v>45061</v>
      </c>
    </row>
    <row r="90" spans="2:7" x14ac:dyDescent="0.15">
      <c r="B90" s="21" t="s">
        <v>10</v>
      </c>
      <c r="C90" s="22">
        <v>1</v>
      </c>
      <c r="D90" s="23"/>
      <c r="E90" s="24"/>
      <c r="F90" s="14">
        <f t="shared" si="3"/>
        <v>1</v>
      </c>
      <c r="G90" s="9">
        <v>45086</v>
      </c>
    </row>
    <row r="91" spans="2:7" x14ac:dyDescent="0.15">
      <c r="B91" s="21" t="s">
        <v>10</v>
      </c>
      <c r="C91" s="11"/>
      <c r="D91" s="12"/>
      <c r="E91" s="13">
        <v>1</v>
      </c>
      <c r="F91" s="14">
        <f t="shared" si="3"/>
        <v>1</v>
      </c>
      <c r="G91" s="9">
        <v>45133</v>
      </c>
    </row>
    <row r="92" spans="2:7" x14ac:dyDescent="0.15">
      <c r="B92" s="21" t="s">
        <v>10</v>
      </c>
      <c r="C92" s="11"/>
      <c r="D92" s="12">
        <v>1</v>
      </c>
      <c r="E92" s="13"/>
      <c r="F92" s="14">
        <f t="shared" si="3"/>
        <v>1</v>
      </c>
      <c r="G92" s="9">
        <v>45190</v>
      </c>
    </row>
    <row r="93" spans="2:7" x14ac:dyDescent="0.15">
      <c r="B93" s="21" t="s">
        <v>10</v>
      </c>
      <c r="C93" s="22"/>
      <c r="D93" s="23">
        <v>1</v>
      </c>
      <c r="E93" s="24"/>
      <c r="F93" s="14">
        <f t="shared" si="3"/>
        <v>1</v>
      </c>
      <c r="G93" s="9">
        <v>45205</v>
      </c>
    </row>
    <row r="94" spans="2:7" x14ac:dyDescent="0.15">
      <c r="B94" s="21" t="s">
        <v>10</v>
      </c>
      <c r="C94" s="22">
        <v>1</v>
      </c>
      <c r="D94" s="23"/>
      <c r="E94" s="24"/>
      <c r="F94" s="14">
        <f t="shared" si="3"/>
        <v>1</v>
      </c>
      <c r="G94" s="9">
        <v>45209</v>
      </c>
    </row>
    <row r="95" spans="2:7" x14ac:dyDescent="0.15">
      <c r="B95" s="21" t="s">
        <v>10</v>
      </c>
      <c r="C95" s="11"/>
      <c r="D95" s="12"/>
      <c r="E95" s="13">
        <v>1</v>
      </c>
      <c r="F95" s="14">
        <f t="shared" si="3"/>
        <v>1</v>
      </c>
      <c r="G95" s="9">
        <v>45225</v>
      </c>
    </row>
    <row r="96" spans="2:7" x14ac:dyDescent="0.15">
      <c r="B96" s="21" t="s">
        <v>10</v>
      </c>
      <c r="C96" s="22">
        <v>1</v>
      </c>
      <c r="D96" s="23"/>
      <c r="E96" s="24"/>
      <c r="F96" s="14">
        <f t="shared" si="3"/>
        <v>1</v>
      </c>
      <c r="G96" s="9">
        <v>45236</v>
      </c>
    </row>
    <row r="97" spans="2:7" x14ac:dyDescent="0.15">
      <c r="B97" s="21" t="s">
        <v>10</v>
      </c>
      <c r="C97" s="22">
        <v>1</v>
      </c>
      <c r="D97" s="23"/>
      <c r="E97" s="24"/>
      <c r="F97" s="14">
        <f t="shared" si="3"/>
        <v>1</v>
      </c>
      <c r="G97" s="9">
        <v>45248</v>
      </c>
    </row>
    <row r="98" spans="2:7" x14ac:dyDescent="0.15">
      <c r="B98" s="21" t="s">
        <v>10</v>
      </c>
      <c r="C98" s="11">
        <v>1</v>
      </c>
      <c r="D98" s="12"/>
      <c r="E98" s="13"/>
      <c r="F98" s="14">
        <f t="shared" si="3"/>
        <v>1</v>
      </c>
      <c r="G98" s="9">
        <v>45250</v>
      </c>
    </row>
    <row r="99" spans="2:7" x14ac:dyDescent="0.15">
      <c r="B99" s="21" t="s">
        <v>10</v>
      </c>
      <c r="C99" s="22">
        <v>1</v>
      </c>
      <c r="D99" s="23"/>
      <c r="E99" s="24"/>
      <c r="F99" s="14">
        <f t="shared" si="3"/>
        <v>1</v>
      </c>
      <c r="G99" s="9">
        <v>45271</v>
      </c>
    </row>
    <row r="100" spans="2:7" x14ac:dyDescent="0.15">
      <c r="B100" s="21" t="s">
        <v>10</v>
      </c>
      <c r="C100" s="22">
        <v>1</v>
      </c>
      <c r="D100" s="23"/>
      <c r="E100" s="24"/>
      <c r="F100" s="14">
        <f t="shared" si="3"/>
        <v>1</v>
      </c>
      <c r="G100" s="9">
        <v>45272</v>
      </c>
    </row>
    <row r="101" spans="2:7" x14ac:dyDescent="0.15">
      <c r="B101" s="21" t="s">
        <v>10</v>
      </c>
      <c r="C101" s="22">
        <v>1</v>
      </c>
      <c r="D101" s="23"/>
      <c r="E101" s="24"/>
      <c r="F101" s="14">
        <f t="shared" si="3"/>
        <v>1</v>
      </c>
      <c r="G101" s="9">
        <v>45281</v>
      </c>
    </row>
    <row r="102" spans="2:7" x14ac:dyDescent="0.15">
      <c r="B102" s="21" t="s">
        <v>10</v>
      </c>
      <c r="C102" s="22"/>
      <c r="D102" s="23"/>
      <c r="E102" s="24">
        <v>1</v>
      </c>
      <c r="F102" s="14">
        <f t="shared" si="3"/>
        <v>1</v>
      </c>
      <c r="G102" s="9">
        <v>45301</v>
      </c>
    </row>
    <row r="103" spans="2:7" x14ac:dyDescent="0.15">
      <c r="B103" s="21" t="s">
        <v>10</v>
      </c>
      <c r="C103" s="22">
        <v>1</v>
      </c>
      <c r="D103" s="23"/>
      <c r="E103" s="24"/>
      <c r="F103" s="14">
        <f t="shared" si="3"/>
        <v>1</v>
      </c>
      <c r="G103" s="9">
        <v>45306</v>
      </c>
    </row>
    <row r="104" spans="2:7" x14ac:dyDescent="0.15">
      <c r="B104" s="21" t="s">
        <v>10</v>
      </c>
      <c r="C104" s="22"/>
      <c r="D104" s="23"/>
      <c r="E104" s="24">
        <v>1</v>
      </c>
      <c r="F104" s="14">
        <f t="shared" si="3"/>
        <v>1</v>
      </c>
      <c r="G104" s="9">
        <v>45328</v>
      </c>
    </row>
    <row r="105" spans="2:7" x14ac:dyDescent="0.15">
      <c r="B105" s="21" t="s">
        <v>10</v>
      </c>
      <c r="C105" s="11"/>
      <c r="D105" s="12"/>
      <c r="E105" s="13">
        <v>1</v>
      </c>
      <c r="F105" s="14">
        <f t="shared" si="3"/>
        <v>1</v>
      </c>
      <c r="G105" s="9">
        <v>45335</v>
      </c>
    </row>
    <row r="106" spans="2:7" x14ac:dyDescent="0.15">
      <c r="B106" s="21" t="s">
        <v>10</v>
      </c>
      <c r="C106" s="11">
        <v>2</v>
      </c>
      <c r="D106" s="12"/>
      <c r="E106" s="13"/>
      <c r="F106" s="14">
        <f t="shared" si="3"/>
        <v>2</v>
      </c>
      <c r="G106" s="9">
        <v>45404</v>
      </c>
    </row>
    <row r="107" spans="2:7" x14ac:dyDescent="0.15">
      <c r="B107" s="21" t="s">
        <v>10</v>
      </c>
      <c r="C107" s="11"/>
      <c r="D107" s="12"/>
      <c r="E107" s="13">
        <v>1</v>
      </c>
      <c r="F107" s="14">
        <f t="shared" si="3"/>
        <v>1</v>
      </c>
      <c r="G107" s="9">
        <v>45443</v>
      </c>
    </row>
    <row r="108" spans="2:7" x14ac:dyDescent="0.15">
      <c r="B108" s="21" t="s">
        <v>10</v>
      </c>
      <c r="C108" s="11">
        <v>1</v>
      </c>
      <c r="D108" s="12"/>
      <c r="E108" s="13"/>
      <c r="F108" s="14">
        <f t="shared" si="3"/>
        <v>1</v>
      </c>
      <c r="G108" s="9">
        <v>45455</v>
      </c>
    </row>
    <row r="109" spans="2:7" x14ac:dyDescent="0.15">
      <c r="B109" s="21" t="s">
        <v>10</v>
      </c>
      <c r="C109" s="11">
        <v>1</v>
      </c>
      <c r="D109" s="12"/>
      <c r="E109" s="13"/>
      <c r="F109" s="14">
        <f t="shared" si="3"/>
        <v>1</v>
      </c>
      <c r="G109" s="9">
        <v>45467</v>
      </c>
    </row>
    <row r="110" spans="2:7" ht="14.25" thickBot="1" x14ac:dyDescent="0.2">
      <c r="B110" s="21" t="s">
        <v>10</v>
      </c>
      <c r="C110" s="27"/>
      <c r="D110" s="15"/>
      <c r="E110" s="16">
        <v>1</v>
      </c>
      <c r="F110" s="17">
        <f t="shared" si="3"/>
        <v>1</v>
      </c>
      <c r="G110" s="9">
        <v>45491</v>
      </c>
    </row>
    <row r="111" spans="2:7" ht="14.25" thickBot="1" x14ac:dyDescent="0.2">
      <c r="B111" s="28" t="s">
        <v>5</v>
      </c>
      <c r="C111" s="29">
        <f>SUM(C86:C110)</f>
        <v>16</v>
      </c>
      <c r="D111" s="30">
        <f>SUM(D86:D110)</f>
        <v>2</v>
      </c>
      <c r="E111" s="30">
        <f>SUM(E86:E110)</f>
        <v>8</v>
      </c>
      <c r="F111" s="30">
        <f t="shared" si="3"/>
        <v>26</v>
      </c>
    </row>
    <row r="112" spans="2:7" ht="14.25" thickBot="1" x14ac:dyDescent="0.2">
      <c r="B112" s="31" t="s">
        <v>6</v>
      </c>
      <c r="C112" s="32">
        <f>+C85-C111</f>
        <v>2</v>
      </c>
      <c r="D112" s="33">
        <f>+D85-D111</f>
        <v>9</v>
      </c>
      <c r="E112" s="33">
        <f>+E85-E111</f>
        <v>4</v>
      </c>
      <c r="F112" s="33">
        <f t="shared" si="3"/>
        <v>15</v>
      </c>
    </row>
    <row r="115" spans="1:7" ht="19.5" thickBot="1" x14ac:dyDescent="0.25">
      <c r="B115" s="1" t="s">
        <v>7</v>
      </c>
      <c r="C115" s="2"/>
      <c r="D115" s="2"/>
      <c r="E115" s="2"/>
      <c r="F115" s="2"/>
      <c r="G115">
        <v>552</v>
      </c>
    </row>
    <row r="116" spans="1:7" ht="14.25" thickBot="1" x14ac:dyDescent="0.2">
      <c r="A116" s="3"/>
      <c r="B116" s="4"/>
      <c r="C116" s="37" t="s">
        <v>0</v>
      </c>
      <c r="D116" s="38" t="s">
        <v>8</v>
      </c>
      <c r="E116" s="39" t="s">
        <v>9</v>
      </c>
      <c r="F116" s="5" t="s">
        <v>1</v>
      </c>
    </row>
    <row r="117" spans="1:7" x14ac:dyDescent="0.15">
      <c r="B117" s="34" t="s">
        <v>14</v>
      </c>
      <c r="C117" s="35">
        <f>C112</f>
        <v>2</v>
      </c>
      <c r="D117" s="36">
        <f>D112</f>
        <v>9</v>
      </c>
      <c r="E117" s="36">
        <f>E112</f>
        <v>4</v>
      </c>
      <c r="F117" s="36">
        <f t="shared" ref="F117:F150" si="5">SUM(C117:E117)</f>
        <v>15</v>
      </c>
    </row>
    <row r="118" spans="1:7" x14ac:dyDescent="0.15">
      <c r="B118" s="10" t="s">
        <v>12</v>
      </c>
      <c r="C118" s="11"/>
      <c r="D118" s="12">
        <v>1</v>
      </c>
      <c r="E118" s="13"/>
      <c r="F118" s="14">
        <f t="shared" si="5"/>
        <v>1</v>
      </c>
      <c r="G118" s="9">
        <v>45526</v>
      </c>
    </row>
    <row r="119" spans="1:7" x14ac:dyDescent="0.15">
      <c r="B119" s="10" t="s">
        <v>3</v>
      </c>
      <c r="C119" s="11">
        <v>5</v>
      </c>
      <c r="D119" s="12"/>
      <c r="E119" s="13"/>
      <c r="F119" s="14">
        <f t="shared" si="5"/>
        <v>5</v>
      </c>
      <c r="G119" s="9">
        <v>45544</v>
      </c>
    </row>
    <row r="120" spans="1:7" x14ac:dyDescent="0.15">
      <c r="B120" s="10" t="s">
        <v>3</v>
      </c>
      <c r="C120" s="11"/>
      <c r="D120" s="12"/>
      <c r="E120" s="13">
        <v>3</v>
      </c>
      <c r="F120" s="14">
        <f t="shared" si="5"/>
        <v>3</v>
      </c>
      <c r="G120" s="9">
        <v>45602</v>
      </c>
    </row>
    <row r="121" spans="1:7" x14ac:dyDescent="0.15">
      <c r="B121" s="10" t="s">
        <v>3</v>
      </c>
      <c r="C121" s="11"/>
      <c r="D121" s="12"/>
      <c r="E121" s="13">
        <v>2</v>
      </c>
      <c r="F121" s="14">
        <f t="shared" si="5"/>
        <v>2</v>
      </c>
      <c r="G121" s="9">
        <v>45678</v>
      </c>
    </row>
    <row r="122" spans="1:7" ht="14.25" thickBot="1" x14ac:dyDescent="0.2">
      <c r="B122" s="56" t="s">
        <v>3</v>
      </c>
      <c r="C122" s="57"/>
      <c r="D122" s="15"/>
      <c r="E122" s="16">
        <v>3</v>
      </c>
      <c r="F122" s="17">
        <f t="shared" si="5"/>
        <v>3</v>
      </c>
      <c r="G122" s="9">
        <v>45779</v>
      </c>
    </row>
    <row r="123" spans="1:7" ht="14.25" thickBot="1" x14ac:dyDescent="0.2">
      <c r="B123" s="18" t="s">
        <v>4</v>
      </c>
      <c r="C123" s="19">
        <f>SUM(C117:C122)</f>
        <v>7</v>
      </c>
      <c r="D123" s="19">
        <f>SUM(D117:D122)</f>
        <v>10</v>
      </c>
      <c r="E123" s="20">
        <f>SUM(E117:E122)</f>
        <v>12</v>
      </c>
      <c r="F123" s="19">
        <f t="shared" si="5"/>
        <v>29</v>
      </c>
    </row>
    <row r="124" spans="1:7" x14ac:dyDescent="0.15">
      <c r="B124" s="21" t="s">
        <v>10</v>
      </c>
      <c r="C124" s="7"/>
      <c r="D124" s="8">
        <v>1</v>
      </c>
      <c r="E124" s="13"/>
      <c r="F124" s="14">
        <f t="shared" si="5"/>
        <v>1</v>
      </c>
      <c r="G124" s="9">
        <v>45502</v>
      </c>
    </row>
    <row r="125" spans="1:7" x14ac:dyDescent="0.15">
      <c r="B125" s="21" t="s">
        <v>10</v>
      </c>
      <c r="C125" s="11"/>
      <c r="D125" s="12"/>
      <c r="E125" s="13">
        <v>1</v>
      </c>
      <c r="F125" s="14">
        <f t="shared" si="5"/>
        <v>1</v>
      </c>
      <c r="G125" s="9">
        <v>45580</v>
      </c>
    </row>
    <row r="126" spans="1:7" x14ac:dyDescent="0.15">
      <c r="B126" s="21" t="s">
        <v>10</v>
      </c>
      <c r="C126" s="11">
        <v>1</v>
      </c>
      <c r="D126" s="12"/>
      <c r="E126" s="13">
        <v>1</v>
      </c>
      <c r="F126" s="14">
        <f t="shared" si="5"/>
        <v>2</v>
      </c>
      <c r="G126" s="9">
        <v>45593</v>
      </c>
    </row>
    <row r="127" spans="1:7" x14ac:dyDescent="0.15">
      <c r="B127" s="21" t="s">
        <v>10</v>
      </c>
      <c r="C127" s="22"/>
      <c r="D127" s="23"/>
      <c r="E127" s="24">
        <v>1</v>
      </c>
      <c r="F127" s="14">
        <f t="shared" si="5"/>
        <v>1</v>
      </c>
      <c r="G127" s="9">
        <v>45607</v>
      </c>
    </row>
    <row r="128" spans="1:7" x14ac:dyDescent="0.15">
      <c r="B128" s="21" t="s">
        <v>10</v>
      </c>
      <c r="C128" s="22"/>
      <c r="D128" s="23"/>
      <c r="E128" s="24">
        <v>1</v>
      </c>
      <c r="F128" s="14">
        <f t="shared" si="5"/>
        <v>1</v>
      </c>
      <c r="G128" s="9">
        <v>45631</v>
      </c>
    </row>
    <row r="129" spans="2:7" x14ac:dyDescent="0.15">
      <c r="B129" s="21" t="s">
        <v>10</v>
      </c>
      <c r="C129" s="11">
        <v>1</v>
      </c>
      <c r="D129" s="12"/>
      <c r="E129" s="13"/>
      <c r="F129" s="14">
        <f t="shared" si="5"/>
        <v>1</v>
      </c>
      <c r="G129" s="9">
        <v>45642</v>
      </c>
    </row>
    <row r="130" spans="2:7" x14ac:dyDescent="0.15">
      <c r="B130" s="21" t="s">
        <v>10</v>
      </c>
      <c r="C130" s="11"/>
      <c r="D130" s="12">
        <v>1</v>
      </c>
      <c r="E130" s="13"/>
      <c r="F130" s="14">
        <f t="shared" si="5"/>
        <v>1</v>
      </c>
      <c r="G130" s="9">
        <v>45646</v>
      </c>
    </row>
    <row r="131" spans="2:7" x14ac:dyDescent="0.15">
      <c r="B131" s="21" t="s">
        <v>10</v>
      </c>
      <c r="C131" s="22">
        <v>1</v>
      </c>
      <c r="D131" s="23"/>
      <c r="E131" s="24"/>
      <c r="F131" s="14">
        <f t="shared" si="5"/>
        <v>1</v>
      </c>
      <c r="G131" s="9">
        <v>45663</v>
      </c>
    </row>
    <row r="132" spans="2:7" x14ac:dyDescent="0.15">
      <c r="B132" s="21" t="s">
        <v>10</v>
      </c>
      <c r="C132" s="22"/>
      <c r="D132" s="23"/>
      <c r="E132" s="24">
        <v>1</v>
      </c>
      <c r="F132" s="14">
        <f t="shared" si="5"/>
        <v>1</v>
      </c>
      <c r="G132" s="9">
        <v>45667</v>
      </c>
    </row>
    <row r="133" spans="2:7" x14ac:dyDescent="0.15">
      <c r="B133" s="21" t="s">
        <v>10</v>
      </c>
      <c r="C133" s="11"/>
      <c r="D133" s="12">
        <v>2</v>
      </c>
      <c r="E133" s="13">
        <v>2</v>
      </c>
      <c r="F133" s="14">
        <f t="shared" si="5"/>
        <v>4</v>
      </c>
      <c r="G133" s="9">
        <v>45694</v>
      </c>
    </row>
    <row r="134" spans="2:7" x14ac:dyDescent="0.15">
      <c r="B134" s="21" t="s">
        <v>10</v>
      </c>
      <c r="C134" s="22">
        <v>1</v>
      </c>
      <c r="D134" s="23"/>
      <c r="E134" s="24"/>
      <c r="F134" s="14">
        <f t="shared" si="5"/>
        <v>1</v>
      </c>
      <c r="G134" s="9">
        <v>45698</v>
      </c>
    </row>
    <row r="135" spans="2:7" x14ac:dyDescent="0.15">
      <c r="B135" s="21" t="s">
        <v>10</v>
      </c>
      <c r="C135" s="22">
        <v>1</v>
      </c>
      <c r="D135" s="23">
        <v>1</v>
      </c>
      <c r="E135" s="24"/>
      <c r="F135" s="14">
        <f t="shared" si="5"/>
        <v>2</v>
      </c>
      <c r="G135" s="9">
        <v>45786</v>
      </c>
    </row>
    <row r="136" spans="2:7" x14ac:dyDescent="0.15">
      <c r="B136" s="21" t="s">
        <v>10</v>
      </c>
      <c r="C136" s="11">
        <v>1</v>
      </c>
      <c r="D136" s="12"/>
      <c r="E136" s="13"/>
      <c r="F136" s="14">
        <f t="shared" si="5"/>
        <v>1</v>
      </c>
      <c r="G136" s="9">
        <v>45791</v>
      </c>
    </row>
    <row r="137" spans="2:7" x14ac:dyDescent="0.15">
      <c r="B137" s="21" t="s">
        <v>10</v>
      </c>
      <c r="C137" s="22"/>
      <c r="D137" s="23"/>
      <c r="E137" s="24">
        <v>1</v>
      </c>
      <c r="F137" s="14">
        <f t="shared" si="5"/>
        <v>1</v>
      </c>
      <c r="G137" s="9">
        <v>45887</v>
      </c>
    </row>
    <row r="138" spans="2:7" x14ac:dyDescent="0.15">
      <c r="B138" s="21" t="s">
        <v>15</v>
      </c>
      <c r="C138" s="22">
        <v>0</v>
      </c>
      <c r="D138" s="23">
        <v>0</v>
      </c>
      <c r="E138" s="24">
        <v>2</v>
      </c>
      <c r="F138" s="14">
        <f t="shared" si="5"/>
        <v>2</v>
      </c>
      <c r="G138" s="9">
        <v>45889</v>
      </c>
    </row>
    <row r="139" spans="2:7" x14ac:dyDescent="0.15">
      <c r="B139" s="21" t="s">
        <v>10</v>
      </c>
      <c r="C139" s="22"/>
      <c r="D139" s="23"/>
      <c r="E139" s="24">
        <v>1</v>
      </c>
      <c r="F139" s="14">
        <f t="shared" si="5"/>
        <v>1</v>
      </c>
      <c r="G139" s="9">
        <v>45932</v>
      </c>
    </row>
    <row r="140" spans="2:7" x14ac:dyDescent="0.15">
      <c r="B140" s="21" t="s">
        <v>10</v>
      </c>
      <c r="C140" s="22"/>
      <c r="D140" s="23">
        <v>1</v>
      </c>
      <c r="E140" s="24">
        <v>1</v>
      </c>
      <c r="F140" s="14">
        <f t="shared" si="5"/>
        <v>2</v>
      </c>
      <c r="G140" s="9">
        <v>45957</v>
      </c>
    </row>
    <row r="141" spans="2:7" x14ac:dyDescent="0.15">
      <c r="B141" s="21" t="s">
        <v>10</v>
      </c>
      <c r="C141" s="22">
        <v>1</v>
      </c>
      <c r="D141" s="23"/>
      <c r="E141" s="24"/>
      <c r="F141" s="14">
        <f t="shared" si="5"/>
        <v>1</v>
      </c>
      <c r="G141" s="9">
        <v>45978</v>
      </c>
    </row>
    <row r="142" spans="2:7" x14ac:dyDescent="0.15">
      <c r="B142" s="21" t="s">
        <v>10</v>
      </c>
      <c r="C142" s="22"/>
      <c r="D142" s="23">
        <v>1</v>
      </c>
      <c r="E142" s="24"/>
      <c r="F142" s="14">
        <f t="shared" si="5"/>
        <v>1</v>
      </c>
      <c r="G142" s="9">
        <v>45986</v>
      </c>
    </row>
    <row r="143" spans="2:7" x14ac:dyDescent="0.15">
      <c r="B143" s="21"/>
      <c r="C143" s="11"/>
      <c r="D143" s="12"/>
      <c r="E143" s="13"/>
      <c r="F143" s="14">
        <f t="shared" si="5"/>
        <v>0</v>
      </c>
      <c r="G143" s="9"/>
    </row>
    <row r="144" spans="2:7" x14ac:dyDescent="0.15">
      <c r="B144" s="21"/>
      <c r="C144" s="11"/>
      <c r="D144" s="12"/>
      <c r="E144" s="13"/>
      <c r="F144" s="14">
        <f t="shared" si="5"/>
        <v>0</v>
      </c>
      <c r="G144" s="9"/>
    </row>
    <row r="145" spans="1:7" x14ac:dyDescent="0.15">
      <c r="B145" s="21"/>
      <c r="C145" s="11"/>
      <c r="D145" s="12"/>
      <c r="E145" s="13"/>
      <c r="F145" s="14">
        <f t="shared" si="5"/>
        <v>0</v>
      </c>
      <c r="G145" s="9"/>
    </row>
    <row r="146" spans="1:7" x14ac:dyDescent="0.15">
      <c r="B146" s="21"/>
      <c r="C146" s="11"/>
      <c r="D146" s="12"/>
      <c r="E146" s="13"/>
      <c r="F146" s="14">
        <f t="shared" si="5"/>
        <v>0</v>
      </c>
      <c r="G146" s="9"/>
    </row>
    <row r="147" spans="1:7" x14ac:dyDescent="0.15">
      <c r="B147" s="21"/>
      <c r="C147" s="11"/>
      <c r="D147" s="12"/>
      <c r="E147" s="13"/>
      <c r="F147" s="14">
        <f t="shared" si="5"/>
        <v>0</v>
      </c>
      <c r="G147" s="9"/>
    </row>
    <row r="148" spans="1:7" ht="14.25" thickBot="1" x14ac:dyDescent="0.2">
      <c r="B148" s="21"/>
      <c r="C148" s="27"/>
      <c r="D148" s="15"/>
      <c r="E148" s="16"/>
      <c r="F148" s="17">
        <f t="shared" si="5"/>
        <v>0</v>
      </c>
      <c r="G148" s="9"/>
    </row>
    <row r="149" spans="1:7" ht="14.25" thickBot="1" x14ac:dyDescent="0.2">
      <c r="B149" s="28" t="s">
        <v>5</v>
      </c>
      <c r="C149" s="29">
        <f>SUM(C124:C148)</f>
        <v>7</v>
      </c>
      <c r="D149" s="30">
        <f>SUM(D124:D148)</f>
        <v>7</v>
      </c>
      <c r="E149" s="30">
        <f>SUM(E124:E148)</f>
        <v>12</v>
      </c>
      <c r="F149" s="30">
        <f t="shared" si="5"/>
        <v>26</v>
      </c>
    </row>
    <row r="150" spans="1:7" ht="14.25" thickBot="1" x14ac:dyDescent="0.2">
      <c r="B150" s="31" t="s">
        <v>6</v>
      </c>
      <c r="C150" s="32">
        <f>+C123-C149</f>
        <v>0</v>
      </c>
      <c r="D150" s="33">
        <f>+D123-D149</f>
        <v>3</v>
      </c>
      <c r="E150" s="33">
        <f>+E123-E149</f>
        <v>0</v>
      </c>
      <c r="F150" s="33">
        <f t="shared" si="5"/>
        <v>3</v>
      </c>
    </row>
    <row r="153" spans="1:7" ht="19.5" thickBot="1" x14ac:dyDescent="0.25">
      <c r="B153" s="1" t="s">
        <v>7</v>
      </c>
      <c r="C153" s="2"/>
      <c r="D153" s="2"/>
      <c r="E153" s="2"/>
      <c r="F153" s="2"/>
      <c r="G153">
        <v>552</v>
      </c>
    </row>
    <row r="154" spans="1:7" ht="14.25" thickBot="1" x14ac:dyDescent="0.2">
      <c r="A154" s="3"/>
      <c r="B154" s="4"/>
      <c r="C154" s="37" t="s">
        <v>0</v>
      </c>
      <c r="D154" s="38" t="s">
        <v>8</v>
      </c>
      <c r="E154" s="39" t="s">
        <v>9</v>
      </c>
      <c r="F154" s="5" t="s">
        <v>1</v>
      </c>
    </row>
    <row r="155" spans="1:7" x14ac:dyDescent="0.15">
      <c r="B155" s="34" t="s">
        <v>14</v>
      </c>
      <c r="C155" s="35">
        <f>C150</f>
        <v>0</v>
      </c>
      <c r="D155" s="36">
        <f>D150</f>
        <v>3</v>
      </c>
      <c r="E155" s="36">
        <f>E150</f>
        <v>0</v>
      </c>
      <c r="F155" s="36">
        <f t="shared" ref="F155:F188" si="6">SUM(C155:E155)</f>
        <v>3</v>
      </c>
    </row>
    <row r="156" spans="1:7" x14ac:dyDescent="0.15">
      <c r="B156" s="10" t="s">
        <v>3</v>
      </c>
      <c r="C156" s="11">
        <v>3</v>
      </c>
      <c r="D156" s="12"/>
      <c r="E156" s="13"/>
      <c r="F156" s="14">
        <f t="shared" si="6"/>
        <v>3</v>
      </c>
      <c r="G156" s="9">
        <v>45926</v>
      </c>
    </row>
    <row r="157" spans="1:7" x14ac:dyDescent="0.15">
      <c r="B157" s="10" t="s">
        <v>3</v>
      </c>
      <c r="C157" s="11"/>
      <c r="D157" s="12"/>
      <c r="E157" s="13">
        <v>3</v>
      </c>
      <c r="F157" s="14">
        <f t="shared" si="6"/>
        <v>3</v>
      </c>
      <c r="G157" s="9">
        <v>45930</v>
      </c>
    </row>
    <row r="158" spans="1:7" x14ac:dyDescent="0.15">
      <c r="B158" s="10" t="s">
        <v>3</v>
      </c>
      <c r="C158" s="11"/>
      <c r="D158" s="12"/>
      <c r="E158" s="13">
        <v>3</v>
      </c>
      <c r="F158" s="14">
        <f t="shared" si="6"/>
        <v>3</v>
      </c>
      <c r="G158" s="9">
        <v>45971</v>
      </c>
    </row>
    <row r="159" spans="1:7" x14ac:dyDescent="0.15">
      <c r="B159" s="10" t="s">
        <v>3</v>
      </c>
      <c r="C159" s="11">
        <v>5</v>
      </c>
      <c r="D159" s="12">
        <v>2</v>
      </c>
      <c r="E159" s="13"/>
      <c r="F159" s="14">
        <f t="shared" si="6"/>
        <v>7</v>
      </c>
      <c r="G159" s="9">
        <v>46032</v>
      </c>
    </row>
    <row r="160" spans="1:7" ht="14.25" thickBot="1" x14ac:dyDescent="0.2">
      <c r="B160" s="56" t="s">
        <v>12</v>
      </c>
      <c r="C160" s="57">
        <v>1</v>
      </c>
      <c r="D160" s="15">
        <v>2</v>
      </c>
      <c r="E160" s="16">
        <v>1</v>
      </c>
      <c r="F160" s="17">
        <f t="shared" si="6"/>
        <v>4</v>
      </c>
      <c r="G160" s="9">
        <v>46078</v>
      </c>
    </row>
    <row r="161" spans="2:7" ht="14.25" thickBot="1" x14ac:dyDescent="0.2">
      <c r="B161" s="18" t="s">
        <v>4</v>
      </c>
      <c r="C161" s="19">
        <f>SUM(C155:C160)</f>
        <v>9</v>
      </c>
      <c r="D161" s="19">
        <f>SUM(D155:D160)</f>
        <v>7</v>
      </c>
      <c r="E161" s="20">
        <f>SUM(E155:E160)</f>
        <v>7</v>
      </c>
      <c r="F161" s="19">
        <f t="shared" si="6"/>
        <v>23</v>
      </c>
    </row>
    <row r="162" spans="2:7" x14ac:dyDescent="0.15">
      <c r="B162" s="21" t="s">
        <v>10</v>
      </c>
      <c r="C162" s="7">
        <v>1</v>
      </c>
      <c r="D162" s="8"/>
      <c r="E162" s="13"/>
      <c r="F162" s="14">
        <f t="shared" si="6"/>
        <v>1</v>
      </c>
      <c r="G162" s="9">
        <v>45997</v>
      </c>
    </row>
    <row r="163" spans="2:7" x14ac:dyDescent="0.15">
      <c r="B163" s="21" t="s">
        <v>10</v>
      </c>
      <c r="C163" s="11">
        <v>1</v>
      </c>
      <c r="D163" s="12"/>
      <c r="E163" s="13"/>
      <c r="F163" s="14">
        <f t="shared" si="6"/>
        <v>1</v>
      </c>
      <c r="G163" s="9">
        <v>45999</v>
      </c>
    </row>
    <row r="164" spans="2:7" x14ac:dyDescent="0.15">
      <c r="B164" s="21" t="s">
        <v>10</v>
      </c>
      <c r="C164" s="11"/>
      <c r="D164" s="12">
        <v>1</v>
      </c>
      <c r="E164" s="13"/>
      <c r="F164" s="14">
        <f t="shared" si="6"/>
        <v>1</v>
      </c>
      <c r="G164" s="9">
        <v>46006</v>
      </c>
    </row>
    <row r="165" spans="2:7" x14ac:dyDescent="0.15">
      <c r="B165" s="21" t="s">
        <v>10</v>
      </c>
      <c r="C165" s="22"/>
      <c r="D165" s="23"/>
      <c r="E165" s="24">
        <v>1</v>
      </c>
      <c r="F165" s="14">
        <f t="shared" si="6"/>
        <v>1</v>
      </c>
      <c r="G165" s="9">
        <v>46007</v>
      </c>
    </row>
    <row r="166" spans="2:7" x14ac:dyDescent="0.15">
      <c r="B166" s="40" t="s">
        <v>16</v>
      </c>
      <c r="C166" s="41">
        <v>-1</v>
      </c>
      <c r="D166" s="42"/>
      <c r="E166" s="43">
        <v>1</v>
      </c>
      <c r="F166" s="44">
        <f t="shared" si="6"/>
        <v>0</v>
      </c>
      <c r="G166" s="45"/>
    </row>
    <row r="167" spans="2:7" x14ac:dyDescent="0.15">
      <c r="B167" s="21" t="s">
        <v>10</v>
      </c>
      <c r="C167" s="11">
        <v>1</v>
      </c>
      <c r="D167" s="12"/>
      <c r="E167" s="13"/>
      <c r="F167" s="14">
        <f t="shared" si="6"/>
        <v>1</v>
      </c>
      <c r="G167" s="9">
        <v>46029</v>
      </c>
    </row>
    <row r="168" spans="2:7" x14ac:dyDescent="0.15">
      <c r="B168" s="21" t="s">
        <v>10</v>
      </c>
      <c r="C168" s="11"/>
      <c r="D168" s="12">
        <v>1</v>
      </c>
      <c r="E168" s="13"/>
      <c r="F168" s="14">
        <f t="shared" si="6"/>
        <v>1</v>
      </c>
      <c r="G168" s="9">
        <v>46031</v>
      </c>
    </row>
    <row r="169" spans="2:7" x14ac:dyDescent="0.15">
      <c r="B169" s="21" t="s">
        <v>10</v>
      </c>
      <c r="C169" s="22">
        <v>1</v>
      </c>
      <c r="D169" s="23"/>
      <c r="E169" s="24"/>
      <c r="F169" s="14">
        <f t="shared" si="6"/>
        <v>1</v>
      </c>
      <c r="G169" s="9">
        <v>46035</v>
      </c>
    </row>
    <row r="170" spans="2:7" x14ac:dyDescent="0.15">
      <c r="B170" s="21" t="s">
        <v>10</v>
      </c>
      <c r="C170" s="22"/>
      <c r="D170" s="23"/>
      <c r="E170" s="24">
        <v>1</v>
      </c>
      <c r="F170" s="14">
        <f t="shared" si="6"/>
        <v>1</v>
      </c>
      <c r="G170" s="9">
        <v>46037</v>
      </c>
    </row>
    <row r="171" spans="2:7" x14ac:dyDescent="0.15">
      <c r="B171" s="21" t="s">
        <v>10</v>
      </c>
      <c r="C171" s="11"/>
      <c r="D171" s="12">
        <v>1</v>
      </c>
      <c r="E171" s="13"/>
      <c r="F171" s="14">
        <f t="shared" si="6"/>
        <v>1</v>
      </c>
      <c r="G171" s="9">
        <v>46041</v>
      </c>
    </row>
    <row r="172" spans="2:7" x14ac:dyDescent="0.15">
      <c r="B172" s="21" t="s">
        <v>10</v>
      </c>
      <c r="C172" s="22"/>
      <c r="D172" s="23">
        <v>1</v>
      </c>
      <c r="E172" s="24">
        <v>1</v>
      </c>
      <c r="F172" s="14">
        <f t="shared" si="6"/>
        <v>2</v>
      </c>
      <c r="G172" s="9">
        <v>46078</v>
      </c>
    </row>
    <row r="173" spans="2:7" x14ac:dyDescent="0.15">
      <c r="B173" s="21" t="s">
        <v>10</v>
      </c>
      <c r="C173" s="22"/>
      <c r="D173" s="23"/>
      <c r="E173" s="24">
        <v>1</v>
      </c>
      <c r="F173" s="14">
        <f t="shared" si="6"/>
        <v>1</v>
      </c>
      <c r="G173" s="9">
        <v>46083</v>
      </c>
    </row>
    <row r="174" spans="2:7" x14ac:dyDescent="0.15">
      <c r="B174" s="21" t="s">
        <v>10</v>
      </c>
      <c r="C174" s="11"/>
      <c r="D174" s="12"/>
      <c r="E174" s="13">
        <v>1</v>
      </c>
      <c r="F174" s="14">
        <f t="shared" si="6"/>
        <v>1</v>
      </c>
      <c r="G174" s="9">
        <v>46091</v>
      </c>
    </row>
    <row r="175" spans="2:7" x14ac:dyDescent="0.15">
      <c r="B175" s="21" t="s">
        <v>10</v>
      </c>
      <c r="C175" s="22"/>
      <c r="D175" s="23"/>
      <c r="E175" s="24">
        <v>1</v>
      </c>
      <c r="F175" s="14">
        <f t="shared" si="6"/>
        <v>1</v>
      </c>
      <c r="G175" s="9">
        <v>46111</v>
      </c>
    </row>
    <row r="176" spans="2:7" x14ac:dyDescent="0.15">
      <c r="B176" s="21" t="s">
        <v>10</v>
      </c>
      <c r="C176" s="22">
        <v>2</v>
      </c>
      <c r="D176" s="23"/>
      <c r="E176" s="24"/>
      <c r="F176" s="14">
        <f t="shared" si="6"/>
        <v>2</v>
      </c>
      <c r="G176" s="9">
        <v>46119</v>
      </c>
    </row>
    <row r="177" spans="1:7" x14ac:dyDescent="0.15">
      <c r="B177" s="21"/>
      <c r="C177" s="22"/>
      <c r="D177" s="23"/>
      <c r="E177" s="24"/>
      <c r="F177" s="14">
        <f t="shared" si="6"/>
        <v>0</v>
      </c>
      <c r="G177" s="9"/>
    </row>
    <row r="178" spans="1:7" x14ac:dyDescent="0.15">
      <c r="B178" s="21"/>
      <c r="C178" s="22"/>
      <c r="D178" s="23"/>
      <c r="E178" s="24"/>
      <c r="F178" s="14">
        <f t="shared" si="6"/>
        <v>0</v>
      </c>
      <c r="G178" s="9"/>
    </row>
    <row r="179" spans="1:7" x14ac:dyDescent="0.15">
      <c r="B179" s="21"/>
      <c r="C179" s="22"/>
      <c r="D179" s="23"/>
      <c r="E179" s="24"/>
      <c r="F179" s="14">
        <f t="shared" si="6"/>
        <v>0</v>
      </c>
      <c r="G179" s="9"/>
    </row>
    <row r="180" spans="1:7" x14ac:dyDescent="0.15">
      <c r="B180" s="21"/>
      <c r="C180" s="22"/>
      <c r="D180" s="23"/>
      <c r="E180" s="24"/>
      <c r="F180" s="14">
        <f t="shared" si="6"/>
        <v>0</v>
      </c>
      <c r="G180" s="9"/>
    </row>
    <row r="181" spans="1:7" x14ac:dyDescent="0.15">
      <c r="B181" s="21"/>
      <c r="C181" s="11"/>
      <c r="D181" s="12"/>
      <c r="E181" s="13"/>
      <c r="F181" s="14">
        <f t="shared" si="6"/>
        <v>0</v>
      </c>
      <c r="G181" s="9"/>
    </row>
    <row r="182" spans="1:7" x14ac:dyDescent="0.15">
      <c r="B182" s="21"/>
      <c r="C182" s="11"/>
      <c r="D182" s="12"/>
      <c r="E182" s="13"/>
      <c r="F182" s="14">
        <f t="shared" si="6"/>
        <v>0</v>
      </c>
      <c r="G182" s="9"/>
    </row>
    <row r="183" spans="1:7" x14ac:dyDescent="0.15">
      <c r="B183" s="21"/>
      <c r="C183" s="11"/>
      <c r="D183" s="12"/>
      <c r="E183" s="13"/>
      <c r="F183" s="14">
        <f t="shared" si="6"/>
        <v>0</v>
      </c>
      <c r="G183" s="9"/>
    </row>
    <row r="184" spans="1:7" x14ac:dyDescent="0.15">
      <c r="B184" s="21"/>
      <c r="C184" s="11"/>
      <c r="D184" s="12"/>
      <c r="E184" s="13"/>
      <c r="F184" s="14">
        <f t="shared" si="6"/>
        <v>0</v>
      </c>
      <c r="G184" s="9"/>
    </row>
    <row r="185" spans="1:7" x14ac:dyDescent="0.15">
      <c r="B185" s="21"/>
      <c r="C185" s="11"/>
      <c r="D185" s="12"/>
      <c r="E185" s="13"/>
      <c r="F185" s="14">
        <f t="shared" si="6"/>
        <v>0</v>
      </c>
      <c r="G185" s="9"/>
    </row>
    <row r="186" spans="1:7" ht="14.25" thickBot="1" x14ac:dyDescent="0.2">
      <c r="B186" s="21"/>
      <c r="C186" s="27"/>
      <c r="D186" s="15"/>
      <c r="E186" s="16"/>
      <c r="F186" s="17">
        <f t="shared" si="6"/>
        <v>0</v>
      </c>
      <c r="G186" s="9"/>
    </row>
    <row r="187" spans="1:7" ht="14.25" thickBot="1" x14ac:dyDescent="0.2">
      <c r="B187" s="28" t="s">
        <v>5</v>
      </c>
      <c r="C187" s="29">
        <f>SUM(C162:C186)</f>
        <v>5</v>
      </c>
      <c r="D187" s="30">
        <f>SUM(D162:D186)</f>
        <v>4</v>
      </c>
      <c r="E187" s="30">
        <f>SUM(E162:E186)</f>
        <v>7</v>
      </c>
      <c r="F187" s="30">
        <f t="shared" si="6"/>
        <v>16</v>
      </c>
    </row>
    <row r="188" spans="1:7" ht="14.25" thickBot="1" x14ac:dyDescent="0.2">
      <c r="B188" s="31" t="s">
        <v>6</v>
      </c>
      <c r="C188" s="32">
        <f>+C161-C187</f>
        <v>4</v>
      </c>
      <c r="D188" s="33">
        <f>+D161-D187</f>
        <v>3</v>
      </c>
      <c r="E188" s="33">
        <f>+E161-E187</f>
        <v>0</v>
      </c>
      <c r="F188" s="33">
        <f t="shared" si="6"/>
        <v>7</v>
      </c>
    </row>
    <row r="191" spans="1:7" ht="19.5" thickBot="1" x14ac:dyDescent="0.25">
      <c r="B191" s="1" t="s">
        <v>7</v>
      </c>
      <c r="C191" s="2"/>
      <c r="D191" s="2"/>
      <c r="E191" s="2"/>
      <c r="F191" s="2"/>
      <c r="G191">
        <v>552</v>
      </c>
    </row>
    <row r="192" spans="1:7" ht="14.25" thickBot="1" x14ac:dyDescent="0.2">
      <c r="A192" s="3"/>
      <c r="B192" s="4"/>
      <c r="C192" s="37" t="s">
        <v>0</v>
      </c>
      <c r="D192" s="38" t="s">
        <v>8</v>
      </c>
      <c r="E192" s="39" t="s">
        <v>9</v>
      </c>
      <c r="F192" s="5" t="s">
        <v>1</v>
      </c>
    </row>
    <row r="193" spans="2:7" x14ac:dyDescent="0.15">
      <c r="B193" s="34" t="s">
        <v>14</v>
      </c>
      <c r="C193" s="35">
        <f>C188</f>
        <v>4</v>
      </c>
      <c r="D193" s="36">
        <f>D188</f>
        <v>3</v>
      </c>
      <c r="E193" s="36">
        <f>E188</f>
        <v>0</v>
      </c>
      <c r="F193" s="36">
        <f t="shared" ref="F193:F226" si="7">SUM(C193:E193)</f>
        <v>7</v>
      </c>
    </row>
    <row r="194" spans="2:7" x14ac:dyDescent="0.15">
      <c r="B194" s="58" t="s">
        <v>3</v>
      </c>
      <c r="C194" s="59"/>
      <c r="D194" s="60"/>
      <c r="E194" s="61">
        <v>2</v>
      </c>
      <c r="F194" s="62">
        <f t="shared" si="7"/>
        <v>2</v>
      </c>
      <c r="G194" s="63">
        <v>46086</v>
      </c>
    </row>
    <row r="195" spans="2:7" x14ac:dyDescent="0.15">
      <c r="B195" s="58" t="s">
        <v>3</v>
      </c>
      <c r="C195" s="59"/>
      <c r="D195" s="60"/>
      <c r="E195" s="61">
        <v>1</v>
      </c>
      <c r="F195" s="62">
        <f t="shared" si="7"/>
        <v>1</v>
      </c>
      <c r="G195" s="63">
        <v>46136</v>
      </c>
    </row>
    <row r="196" spans="2:7" x14ac:dyDescent="0.15">
      <c r="B196" s="10" t="s">
        <v>3</v>
      </c>
      <c r="C196" s="11"/>
      <c r="D196" s="12"/>
      <c r="E196" s="13"/>
      <c r="F196" s="14">
        <f t="shared" si="7"/>
        <v>0</v>
      </c>
      <c r="G196" s="9"/>
    </row>
    <row r="197" spans="2:7" x14ac:dyDescent="0.15">
      <c r="B197" s="10" t="s">
        <v>3</v>
      </c>
      <c r="C197" s="11"/>
      <c r="D197" s="12"/>
      <c r="E197" s="13"/>
      <c r="F197" s="14">
        <f t="shared" si="7"/>
        <v>0</v>
      </c>
      <c r="G197" s="9"/>
    </row>
    <row r="198" spans="2:7" ht="14.25" thickBot="1" x14ac:dyDescent="0.2">
      <c r="B198" s="10" t="s">
        <v>3</v>
      </c>
      <c r="C198" s="57"/>
      <c r="D198" s="15"/>
      <c r="E198" s="16"/>
      <c r="F198" s="17">
        <f t="shared" si="7"/>
        <v>0</v>
      </c>
      <c r="G198" s="9"/>
    </row>
    <row r="199" spans="2:7" ht="14.25" thickBot="1" x14ac:dyDescent="0.2">
      <c r="B199" s="18" t="s">
        <v>4</v>
      </c>
      <c r="C199" s="19">
        <f>SUM(C193:C198)</f>
        <v>4</v>
      </c>
      <c r="D199" s="19">
        <f>SUM(D193:D198)</f>
        <v>3</v>
      </c>
      <c r="E199" s="20">
        <f>SUM(E193:E198)</f>
        <v>3</v>
      </c>
      <c r="F199" s="19">
        <f t="shared" si="7"/>
        <v>10</v>
      </c>
    </row>
    <row r="200" spans="2:7" x14ac:dyDescent="0.15">
      <c r="B200" s="21" t="s">
        <v>10</v>
      </c>
      <c r="C200" s="7"/>
      <c r="D200" s="8"/>
      <c r="E200" s="13">
        <v>1</v>
      </c>
      <c r="F200" s="14">
        <f t="shared" si="7"/>
        <v>1</v>
      </c>
      <c r="G200" s="9">
        <v>46122</v>
      </c>
    </row>
    <row r="201" spans="2:7" x14ac:dyDescent="0.15">
      <c r="B201" s="21"/>
      <c r="C201" s="11"/>
      <c r="D201" s="12"/>
      <c r="E201" s="13"/>
      <c r="F201" s="14">
        <f t="shared" si="7"/>
        <v>0</v>
      </c>
      <c r="G201" s="9"/>
    </row>
    <row r="202" spans="2:7" x14ac:dyDescent="0.15">
      <c r="B202" s="21"/>
      <c r="C202" s="11"/>
      <c r="D202" s="12"/>
      <c r="E202" s="13"/>
      <c r="F202" s="14">
        <f t="shared" si="7"/>
        <v>0</v>
      </c>
      <c r="G202" s="9"/>
    </row>
    <row r="203" spans="2:7" x14ac:dyDescent="0.15">
      <c r="B203" s="21"/>
      <c r="C203" s="11"/>
      <c r="D203" s="12"/>
      <c r="E203" s="13"/>
      <c r="F203" s="14">
        <f t="shared" si="7"/>
        <v>0</v>
      </c>
      <c r="G203" s="9"/>
    </row>
    <row r="204" spans="2:7" x14ac:dyDescent="0.15">
      <c r="B204" s="21"/>
      <c r="C204" s="11"/>
      <c r="D204" s="12"/>
      <c r="E204" s="13"/>
      <c r="F204" s="44">
        <f t="shared" si="7"/>
        <v>0</v>
      </c>
      <c r="G204" s="45"/>
    </row>
    <row r="205" spans="2:7" x14ac:dyDescent="0.15">
      <c r="B205" s="21"/>
      <c r="C205" s="11"/>
      <c r="D205" s="12"/>
      <c r="E205" s="13"/>
      <c r="F205" s="14">
        <f t="shared" si="7"/>
        <v>0</v>
      </c>
      <c r="G205" s="9"/>
    </row>
    <row r="206" spans="2:7" x14ac:dyDescent="0.15">
      <c r="B206" s="21"/>
      <c r="C206" s="11"/>
      <c r="D206" s="12"/>
      <c r="E206" s="13"/>
      <c r="F206" s="14">
        <f t="shared" si="7"/>
        <v>0</v>
      </c>
      <c r="G206" s="9"/>
    </row>
    <row r="207" spans="2:7" x14ac:dyDescent="0.15">
      <c r="B207" s="21"/>
      <c r="C207" s="11"/>
      <c r="D207" s="12"/>
      <c r="E207" s="13"/>
      <c r="F207" s="14">
        <f t="shared" si="7"/>
        <v>0</v>
      </c>
      <c r="G207" s="9"/>
    </row>
    <row r="208" spans="2:7" x14ac:dyDescent="0.15">
      <c r="B208" s="21"/>
      <c r="C208" s="11"/>
      <c r="D208" s="12"/>
      <c r="E208" s="13"/>
      <c r="F208" s="14">
        <f t="shared" si="7"/>
        <v>0</v>
      </c>
      <c r="G208" s="9"/>
    </row>
    <row r="209" spans="2:7" x14ac:dyDescent="0.15">
      <c r="B209" s="21"/>
      <c r="C209" s="11"/>
      <c r="D209" s="12"/>
      <c r="E209" s="13"/>
      <c r="F209" s="14">
        <f t="shared" si="7"/>
        <v>0</v>
      </c>
      <c r="G209" s="9"/>
    </row>
    <row r="210" spans="2:7" x14ac:dyDescent="0.15">
      <c r="B210" s="21"/>
      <c r="C210" s="11"/>
      <c r="D210" s="12"/>
      <c r="E210" s="13"/>
      <c r="F210" s="14">
        <f t="shared" si="7"/>
        <v>0</v>
      </c>
      <c r="G210" s="9"/>
    </row>
    <row r="211" spans="2:7" x14ac:dyDescent="0.15">
      <c r="B211" s="21"/>
      <c r="C211" s="11"/>
      <c r="D211" s="12"/>
      <c r="E211" s="13"/>
      <c r="F211" s="14">
        <f t="shared" si="7"/>
        <v>0</v>
      </c>
      <c r="G211" s="9"/>
    </row>
    <row r="212" spans="2:7" x14ac:dyDescent="0.15">
      <c r="B212" s="21"/>
      <c r="C212" s="11"/>
      <c r="D212" s="12"/>
      <c r="E212" s="13"/>
      <c r="F212" s="14">
        <f t="shared" si="7"/>
        <v>0</v>
      </c>
      <c r="G212" s="9"/>
    </row>
    <row r="213" spans="2:7" x14ac:dyDescent="0.15">
      <c r="B213" s="21"/>
      <c r="C213" s="11"/>
      <c r="D213" s="12"/>
      <c r="E213" s="13"/>
      <c r="F213" s="14">
        <f t="shared" si="7"/>
        <v>0</v>
      </c>
      <c r="G213" s="9"/>
    </row>
    <row r="214" spans="2:7" x14ac:dyDescent="0.15">
      <c r="B214" s="21"/>
      <c r="C214" s="22"/>
      <c r="D214" s="23"/>
      <c r="E214" s="24"/>
      <c r="F214" s="14">
        <f t="shared" si="7"/>
        <v>0</v>
      </c>
      <c r="G214" s="9"/>
    </row>
    <row r="215" spans="2:7" x14ac:dyDescent="0.15">
      <c r="B215" s="21"/>
      <c r="C215" s="22"/>
      <c r="D215" s="23"/>
      <c r="E215" s="24"/>
      <c r="F215" s="14">
        <f t="shared" si="7"/>
        <v>0</v>
      </c>
      <c r="G215" s="9"/>
    </row>
    <row r="216" spans="2:7" x14ac:dyDescent="0.15">
      <c r="B216" s="21"/>
      <c r="C216" s="22"/>
      <c r="D216" s="23"/>
      <c r="E216" s="24"/>
      <c r="F216" s="14">
        <f t="shared" si="7"/>
        <v>0</v>
      </c>
      <c r="G216" s="9"/>
    </row>
    <row r="217" spans="2:7" x14ac:dyDescent="0.15">
      <c r="B217" s="21"/>
      <c r="C217" s="22"/>
      <c r="D217" s="23"/>
      <c r="E217" s="24"/>
      <c r="F217" s="14">
        <f t="shared" si="7"/>
        <v>0</v>
      </c>
      <c r="G217" s="9"/>
    </row>
    <row r="218" spans="2:7" x14ac:dyDescent="0.15">
      <c r="B218" s="21"/>
      <c r="C218" s="22"/>
      <c r="D218" s="23"/>
      <c r="E218" s="24"/>
      <c r="F218" s="14">
        <f t="shared" si="7"/>
        <v>0</v>
      </c>
      <c r="G218" s="9"/>
    </row>
    <row r="219" spans="2:7" x14ac:dyDescent="0.15">
      <c r="B219" s="21"/>
      <c r="C219" s="11"/>
      <c r="D219" s="12"/>
      <c r="E219" s="13"/>
      <c r="F219" s="14">
        <f t="shared" si="7"/>
        <v>0</v>
      </c>
      <c r="G219" s="9"/>
    </row>
    <row r="220" spans="2:7" x14ac:dyDescent="0.15">
      <c r="B220" s="21"/>
      <c r="C220" s="11"/>
      <c r="D220" s="12"/>
      <c r="E220" s="13"/>
      <c r="F220" s="14">
        <f t="shared" si="7"/>
        <v>0</v>
      </c>
      <c r="G220" s="9"/>
    </row>
    <row r="221" spans="2:7" x14ac:dyDescent="0.15">
      <c r="B221" s="21"/>
      <c r="C221" s="11"/>
      <c r="D221" s="12"/>
      <c r="E221" s="13"/>
      <c r="F221" s="14">
        <f t="shared" si="7"/>
        <v>0</v>
      </c>
      <c r="G221" s="9"/>
    </row>
    <row r="222" spans="2:7" x14ac:dyDescent="0.15">
      <c r="B222" s="21"/>
      <c r="C222" s="11"/>
      <c r="D222" s="12"/>
      <c r="E222" s="13"/>
      <c r="F222" s="14">
        <f t="shared" si="7"/>
        <v>0</v>
      </c>
      <c r="G222" s="9"/>
    </row>
    <row r="223" spans="2:7" x14ac:dyDescent="0.15">
      <c r="B223" s="21"/>
      <c r="C223" s="11"/>
      <c r="D223" s="12"/>
      <c r="E223" s="13"/>
      <c r="F223" s="14">
        <f t="shared" si="7"/>
        <v>0</v>
      </c>
      <c r="G223" s="9"/>
    </row>
    <row r="224" spans="2:7" ht="14.25" thickBot="1" x14ac:dyDescent="0.2">
      <c r="B224" s="21"/>
      <c r="C224" s="27"/>
      <c r="D224" s="15"/>
      <c r="E224" s="16"/>
      <c r="F224" s="17">
        <f t="shared" si="7"/>
        <v>0</v>
      </c>
      <c r="G224" s="9"/>
    </row>
    <row r="225" spans="2:6" ht="14.25" thickBot="1" x14ac:dyDescent="0.2">
      <c r="B225" s="28" t="s">
        <v>5</v>
      </c>
      <c r="C225" s="29">
        <f>SUM(C200:C224)</f>
        <v>0</v>
      </c>
      <c r="D225" s="30">
        <f>SUM(D200:D224)</f>
        <v>0</v>
      </c>
      <c r="E225" s="30">
        <f>SUM(E200:E224)</f>
        <v>1</v>
      </c>
      <c r="F225" s="30">
        <f t="shared" si="7"/>
        <v>1</v>
      </c>
    </row>
    <row r="226" spans="2:6" ht="14.25" thickBot="1" x14ac:dyDescent="0.2">
      <c r="B226" s="31" t="s">
        <v>6</v>
      </c>
      <c r="C226" s="32">
        <f>+C199-C225</f>
        <v>4</v>
      </c>
      <c r="D226" s="33">
        <f>+D199-D225</f>
        <v>3</v>
      </c>
      <c r="E226" s="33">
        <f>+E199-E225</f>
        <v>2</v>
      </c>
      <c r="F226" s="33">
        <f t="shared" si="7"/>
        <v>9</v>
      </c>
    </row>
  </sheetData>
  <phoneticPr fontId="3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裏シルク足首ウォーマー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</dc:creator>
  <cp:lastModifiedBy>AT MR</cp:lastModifiedBy>
  <dcterms:created xsi:type="dcterms:W3CDTF">2021-09-06T08:26:08Z</dcterms:created>
  <dcterms:modified xsi:type="dcterms:W3CDTF">2026-04-23T06:13:20Z</dcterms:modified>
</cp:coreProperties>
</file>