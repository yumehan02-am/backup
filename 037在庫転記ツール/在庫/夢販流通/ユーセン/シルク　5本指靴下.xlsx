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54EBEAD2-980A-4982-98D4-932CE21B43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本指靴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0" i="1" l="1"/>
  <c r="F280" i="1"/>
  <c r="E280" i="1"/>
  <c r="D280" i="1"/>
  <c r="C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3" i="1"/>
  <c r="H252" i="1"/>
  <c r="H251" i="1"/>
  <c r="H250" i="1"/>
  <c r="H249" i="1"/>
  <c r="H248" i="1"/>
  <c r="H247" i="1"/>
  <c r="H246" i="1"/>
  <c r="F245" i="1"/>
  <c r="F254" i="1" s="1"/>
  <c r="E245" i="1"/>
  <c r="E254" i="1" s="1"/>
  <c r="E281" i="1" s="1"/>
  <c r="D245" i="1"/>
  <c r="D254" i="1" s="1"/>
  <c r="C245" i="1"/>
  <c r="C254" i="1" s="1"/>
  <c r="C281" i="1" s="1"/>
  <c r="H187" i="1"/>
  <c r="H188" i="1"/>
  <c r="H189" i="1"/>
  <c r="H191" i="1"/>
  <c r="H192" i="1"/>
  <c r="H193" i="1"/>
  <c r="H194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G238" i="1"/>
  <c r="F238" i="1"/>
  <c r="E238" i="1"/>
  <c r="D238" i="1"/>
  <c r="H237" i="1"/>
  <c r="H236" i="1"/>
  <c r="H235" i="1"/>
  <c r="H211" i="1"/>
  <c r="H210" i="1"/>
  <c r="H209" i="1"/>
  <c r="H208" i="1"/>
  <c r="H207" i="1"/>
  <c r="H206" i="1"/>
  <c r="H205" i="1"/>
  <c r="H204" i="1"/>
  <c r="C190" i="1"/>
  <c r="H190" i="1" s="1"/>
  <c r="H164" i="1"/>
  <c r="H165" i="1"/>
  <c r="H166" i="1"/>
  <c r="H5" i="1"/>
  <c r="H7" i="1"/>
  <c r="H8" i="1"/>
  <c r="H9" i="1"/>
  <c r="H10" i="1"/>
  <c r="H6" i="1"/>
  <c r="H162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76" i="1" s="1"/>
  <c r="H49" i="1"/>
  <c r="H48" i="1"/>
  <c r="H47" i="1"/>
  <c r="H46" i="1"/>
  <c r="H4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0" i="1"/>
  <c r="H88" i="1"/>
  <c r="H87" i="1"/>
  <c r="H86" i="1"/>
  <c r="H85" i="1"/>
  <c r="H8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7" i="1"/>
  <c r="H126" i="1"/>
  <c r="H125" i="1"/>
  <c r="H124" i="1"/>
  <c r="H123" i="1"/>
  <c r="C11" i="1"/>
  <c r="D11" i="1"/>
  <c r="E11" i="1"/>
  <c r="F11" i="1"/>
  <c r="G11" i="1"/>
  <c r="C37" i="1"/>
  <c r="D37" i="1"/>
  <c r="E37" i="1"/>
  <c r="F37" i="1"/>
  <c r="G37" i="1"/>
  <c r="G38" i="1" s="1"/>
  <c r="G44" i="1" s="1"/>
  <c r="G50" i="1" s="1"/>
  <c r="C38" i="1"/>
  <c r="C44" i="1" s="1"/>
  <c r="C50" i="1" s="1"/>
  <c r="D60" i="1"/>
  <c r="C76" i="1"/>
  <c r="D76" i="1"/>
  <c r="E76" i="1"/>
  <c r="F76" i="1"/>
  <c r="G76" i="1"/>
  <c r="F91" i="1"/>
  <c r="H91" i="1" s="1"/>
  <c r="C100" i="1"/>
  <c r="C115" i="1" s="1"/>
  <c r="D115" i="1"/>
  <c r="E115" i="1"/>
  <c r="F115" i="1"/>
  <c r="G115" i="1"/>
  <c r="C154" i="1"/>
  <c r="D154" i="1"/>
  <c r="E154" i="1"/>
  <c r="F154" i="1"/>
  <c r="G154" i="1"/>
  <c r="D196" i="1"/>
  <c r="E196" i="1"/>
  <c r="F196" i="1"/>
  <c r="G196" i="1"/>
  <c r="H163" i="1"/>
  <c r="H167" i="1"/>
  <c r="H168" i="1"/>
  <c r="H169" i="1"/>
  <c r="H171" i="1"/>
  <c r="H172" i="1"/>
  <c r="H173" i="1"/>
  <c r="H174" i="1"/>
  <c r="H175" i="1"/>
  <c r="H177" i="1"/>
  <c r="H178" i="1"/>
  <c r="H179" i="1"/>
  <c r="H180" i="1"/>
  <c r="H181" i="1"/>
  <c r="H182" i="1"/>
  <c r="H183" i="1"/>
  <c r="H184" i="1"/>
  <c r="H185" i="1"/>
  <c r="H186" i="1"/>
  <c r="H195" i="1"/>
  <c r="H280" i="1" l="1"/>
  <c r="D281" i="1"/>
  <c r="F281" i="1"/>
  <c r="D38" i="1"/>
  <c r="D44" i="1" s="1"/>
  <c r="D50" i="1" s="1"/>
  <c r="H154" i="1"/>
  <c r="H37" i="1"/>
  <c r="H238" i="1"/>
  <c r="C238" i="1"/>
  <c r="C196" i="1"/>
  <c r="D77" i="1"/>
  <c r="D83" i="1" s="1"/>
  <c r="D89" i="1" s="1"/>
  <c r="G77" i="1"/>
  <c r="G83" i="1" s="1"/>
  <c r="G89" i="1" s="1"/>
  <c r="G116" i="1" s="1"/>
  <c r="G122" i="1" s="1"/>
  <c r="G128" i="1" s="1"/>
  <c r="G155" i="1" s="1"/>
  <c r="G161" i="1" s="1"/>
  <c r="G170" i="1" s="1"/>
  <c r="G197" i="1" s="1"/>
  <c r="G203" i="1" s="1"/>
  <c r="G212" i="1" s="1"/>
  <c r="G239" i="1" s="1"/>
  <c r="G245" i="1" s="1"/>
  <c r="G254" i="1" s="1"/>
  <c r="G281" i="1" s="1"/>
  <c r="H115" i="1"/>
  <c r="E38" i="1"/>
  <c r="E44" i="1" s="1"/>
  <c r="E50" i="1" s="1"/>
  <c r="E77" i="1" s="1"/>
  <c r="E83" i="1" s="1"/>
  <c r="E89" i="1" s="1"/>
  <c r="E116" i="1" s="1"/>
  <c r="E122" i="1" s="1"/>
  <c r="E128" i="1" s="1"/>
  <c r="E155" i="1" s="1"/>
  <c r="E161" i="1" s="1"/>
  <c r="H196" i="1"/>
  <c r="H11" i="1"/>
  <c r="F38" i="1"/>
  <c r="C77" i="1"/>
  <c r="C83" i="1" s="1"/>
  <c r="C89" i="1" s="1"/>
  <c r="C116" i="1" s="1"/>
  <c r="C122" i="1" s="1"/>
  <c r="C128" i="1" s="1"/>
  <c r="C155" i="1" s="1"/>
  <c r="C161" i="1" s="1"/>
  <c r="D116" i="1"/>
  <c r="D122" i="1" s="1"/>
  <c r="D128" i="1" s="1"/>
  <c r="D155" i="1" s="1"/>
  <c r="D161" i="1" s="1"/>
  <c r="H38" i="1" l="1"/>
  <c r="H44" i="1" s="1"/>
  <c r="H50" i="1" s="1"/>
  <c r="H77" i="1" s="1"/>
  <c r="H83" i="1" s="1"/>
  <c r="H89" i="1" s="1"/>
  <c r="E170" i="1"/>
  <c r="E197" i="1" s="1"/>
  <c r="E203" i="1" s="1"/>
  <c r="E212" i="1" s="1"/>
  <c r="E239" i="1" s="1"/>
  <c r="D170" i="1"/>
  <c r="D197" i="1" s="1"/>
  <c r="D203" i="1" s="1"/>
  <c r="D212" i="1" s="1"/>
  <c r="D239" i="1" s="1"/>
  <c r="H116" i="1"/>
  <c r="H122" i="1" s="1"/>
  <c r="H128" i="1" s="1"/>
  <c r="H155" i="1" s="1"/>
  <c r="H161" i="1" s="1"/>
  <c r="H170" i="1" s="1"/>
  <c r="H197" i="1" s="1"/>
  <c r="H203" i="1" s="1"/>
  <c r="H212" i="1" s="1"/>
  <c r="H239" i="1" s="1"/>
  <c r="H245" i="1" s="1"/>
  <c r="H254" i="1" s="1"/>
  <c r="H281" i="1" s="1"/>
  <c r="C170" i="1"/>
  <c r="C197" i="1" s="1"/>
  <c r="C203" i="1" s="1"/>
  <c r="C212" i="1" s="1"/>
  <c r="C239" i="1" s="1"/>
  <c r="F44" i="1"/>
  <c r="F50" i="1" l="1"/>
  <c r="F77" i="1" l="1"/>
  <c r="F83" i="1" l="1"/>
  <c r="F89" i="1" l="1"/>
  <c r="F116" i="1" l="1"/>
  <c r="F122" i="1" l="1"/>
  <c r="F128" i="1" l="1"/>
  <c r="F155" i="1" l="1"/>
  <c r="F161" i="1" l="1"/>
  <c r="F170" i="1" l="1"/>
  <c r="F197" i="1" s="1"/>
  <c r="F203" i="1" s="1"/>
  <c r="F212" i="1" s="1"/>
  <c r="F239" i="1" s="1"/>
</calcChain>
</file>

<file path=xl/sharedStrings.xml><?xml version="1.0" encoding="utf-8"?>
<sst xmlns="http://schemas.openxmlformats.org/spreadsheetml/2006/main" count="220" uniqueCount="18">
  <si>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</si>
  <si>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</si>
  <si>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在庫確認</t>
    <rPh sb="0" eb="4">
      <t>ザイコカクニン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</si>
  <si>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</si>
  <si>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</si>
  <si>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初回</t>
    <rPh sb="0" eb="2">
      <t>ショカイ</t>
    </rPh>
    <phoneticPr fontId="2"/>
  </si>
  <si>
    <t>計</t>
    <rPh sb="0" eb="1">
      <t>ケイ</t>
    </rPh>
    <phoneticPr fontId="2"/>
  </si>
  <si>
    <t>ベージュ</t>
    <phoneticPr fontId="2"/>
  </si>
  <si>
    <t>ブルーグレー</t>
    <phoneticPr fontId="2"/>
  </si>
  <si>
    <t>ピンク</t>
    <phoneticPr fontId="2"/>
  </si>
  <si>
    <t>チャコール</t>
    <phoneticPr fontId="2"/>
  </si>
  <si>
    <t>ネイビー</t>
    <phoneticPr fontId="2"/>
  </si>
  <si>
    <t>シルクナチュラル5本指ソックス＜夢販在庫＞　SO1005</t>
    <rPh sb="9" eb="11">
      <t>ホンユビ</t>
    </rPh>
    <rPh sb="16" eb="20">
      <t>ユメハンザイコ</t>
    </rPh>
    <phoneticPr fontId="2"/>
  </si>
  <si>
    <t>ネット</t>
    <phoneticPr fontId="2"/>
  </si>
  <si>
    <t>棚卸</t>
    <rPh sb="0" eb="2">
      <t>タナオロシ</t>
    </rPh>
    <phoneticPr fontId="2"/>
  </si>
  <si>
    <t>グレー</t>
    <phoneticPr fontId="2"/>
  </si>
  <si>
    <t>ブラック</t>
    <phoneticPr fontId="2"/>
  </si>
  <si>
    <t>廃色</t>
    <rPh sb="0" eb="1">
      <t>ハイ</t>
    </rPh>
    <rPh sb="1" eb="2">
      <t>イロ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</si>
</sst>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56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4" xfId="0" applyBorder="1"/>
    <xf numFmtId="56" fontId="0" fillId="0" borderId="0" xfId="0" applyNumberFormat="1"/>
    <xf numFmtId="56" fontId="3" fillId="0" borderId="0" xfId="0" applyNumberFormat="1" applyFont="1"/>
    <xf numFmtId="0" fontId="3" fillId="0" borderId="5" xfId="0" applyFont="1" applyBorder="1"/>
    <xf numFmtId="56" fontId="3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56" fontId="3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6" xfId="0" applyNumberFormat="1" applyBorder="1" applyAlignment="1">
      <alignment horizontal="center"/>
    </xf>
    <xf numFmtId="0" fontId="5" fillId="0" borderId="4" xfId="0" applyFont="1" applyBorder="1" applyAlignment="1">
      <alignment horizontal="center"/>
    </xf>
    <xf numFmtId="56" fontId="5" fillId="0" borderId="0" xfId="0" applyNumberFormat="1" applyFont="1"/>
    <xf numFmtId="0" fontId="0" fillId="0" borderId="8" xfId="0" applyBorder="1"/>
    <xf numFmtId="0" fontId="0" fillId="0" borderId="9" xfId="0" applyBorder="1"/>
    <xf numFmtId="0" fontId="0" fillId="0" borderId="12" xfId="0" applyBorder="1" applyAlignment="1">
      <alignment horizontal="center"/>
    </xf>
    <xf numFmtId="0" fontId="3" fillId="0" borderId="14" xfId="0" applyFont="1" applyBorder="1" applyAlignment="1">
      <alignment horizontal="center"/>
    </xf>
    <xf numFmtId="56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56" fontId="3" fillId="0" borderId="15" xfId="0" applyNumberFormat="1" applyFont="1" applyBorder="1" applyAlignment="1">
      <alignment horizontal="center"/>
    </xf>
    <xf numFmtId="0" fontId="3" fillId="0" borderId="16" xfId="0" applyFont="1" applyBorder="1"/>
    <xf numFmtId="0" fontId="0" fillId="6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9" xfId="0" applyBorder="1"/>
    <xf numFmtId="56" fontId="0" fillId="0" borderId="15" xfId="0" applyNumberFormat="1" applyBorder="1" applyAlignment="1">
      <alignment horizontal="center"/>
    </xf>
    <xf numFmtId="0" fontId="0" fillId="0" borderId="16" xfId="0" applyBorder="1"/>
    <xf numFmtId="0" fontId="3" fillId="0" borderId="17" xfId="0" applyFont="1" applyBorder="1"/>
    <xf numFmtId="0" fontId="3" fillId="0" borderId="18" xfId="0" applyFont="1" applyBorder="1"/>
    <xf numFmtId="56" fontId="0" fillId="0" borderId="13" xfId="0" applyNumberForma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6" fillId="5" borderId="20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3" fillId="0" borderId="20" xfId="0" applyFont="1" applyBorder="1"/>
    <xf numFmtId="0" fontId="0" fillId="0" borderId="21" xfId="0" applyBorder="1"/>
    <xf numFmtId="0" fontId="0" fillId="0" borderId="22" xfId="0" applyBorder="1"/>
    <xf numFmtId="0" fontId="1" fillId="0" borderId="23" xfId="0" applyFont="1" applyBorder="1"/>
    <xf numFmtId="0" fontId="1" fillId="0" borderId="24" xfId="0" applyFont="1" applyBorder="1"/>
    <xf numFmtId="0" fontId="0" fillId="0" borderId="20" xfId="0" applyBorder="1"/>
    <xf numFmtId="0" fontId="0" fillId="0" borderId="13" xfId="0" applyBorder="1" applyAlignment="1">
      <alignment horizontal="center"/>
    </xf>
    <xf numFmtId="0" fontId="0" fillId="8" borderId="23" xfId="0" applyFill="1" applyBorder="1" applyAlignment="1">
      <alignment horizontal="center" vertical="center"/>
    </xf>
    <xf numFmtId="0" fontId="0" fillId="8" borderId="25" xfId="0" applyFill="1" applyBorder="1"/>
    <xf numFmtId="0" fontId="0" fillId="6" borderId="23" xfId="0" applyFill="1" applyBorder="1"/>
    <xf numFmtId="0" fontId="0" fillId="6" borderId="25" xfId="0" applyFill="1" applyBorder="1"/>
    <xf numFmtId="56" fontId="3" fillId="0" borderId="12" xfId="0" applyNumberFormat="1" applyFont="1" applyBorder="1" applyAlignment="1">
      <alignment horizontal="center"/>
    </xf>
    <xf numFmtId="0" fontId="3" fillId="0" borderId="23" xfId="0" applyFont="1" applyBorder="1"/>
    <xf numFmtId="0" fontId="3" fillId="0" borderId="11" xfId="0" applyFont="1" applyBorder="1"/>
    <xf numFmtId="0" fontId="3" fillId="0" borderId="24" xfId="0" applyFont="1" applyBorder="1"/>
    <xf numFmtId="0" fontId="3" fillId="0" borderId="4" xfId="0" applyFont="1" applyBorder="1"/>
    <xf numFmtId="0" fontId="3" fillId="0" borderId="0" xfId="0" applyFont="1"/>
    <xf numFmtId="0" fontId="3" fillId="0" borderId="12" xfId="0" applyFont="1" applyBorder="1" applyAlignment="1">
      <alignment horizontal="center"/>
    </xf>
    <xf numFmtId="0" fontId="3" fillId="6" borderId="23" xfId="0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"/>
  <sheetViews>
    <sheetView tabSelected="1" topLeftCell="A242" zoomScaleNormal="100" workbookViewId="0">
      <selection activeCell="I259" sqref="I259"/>
    </sheetView>
  </sheetViews>
  <sheetFormatPr defaultRowHeight="13.5" x14ac:dyDescent="0.15"/>
  <cols>
    <col min="2" max="2" width="22.75" style="1" customWidth="1"/>
    <col min="3" max="7" width="11.75" customWidth="1"/>
    <col min="8" max="8" width="11.375" customWidth="1"/>
    <col min="9" max="9" width="9.25" bestFit="1" customWidth="1"/>
  </cols>
  <sheetData>
    <row r="1" spans="2:9" ht="18.75" x14ac:dyDescent="0.2">
      <c r="B1" s="21" t="s">
        <v>12</v>
      </c>
      <c r="C1" s="20"/>
      <c r="D1" s="20"/>
      <c r="E1" s="20"/>
      <c r="F1" s="20"/>
      <c r="G1" s="20"/>
      <c r="H1" s="20"/>
      <c r="I1" s="20"/>
    </row>
    <row r="2" spans="2:9" ht="14.25" thickBot="1" x14ac:dyDescent="0.2"/>
    <row r="3" spans="2:9" ht="14.25" thickBot="1" x14ac:dyDescent="0.2">
      <c r="B3" s="19"/>
      <c r="C3" s="27"/>
      <c r="D3" s="27"/>
      <c r="E3" s="27"/>
      <c r="F3" s="27"/>
      <c r="G3" s="27"/>
      <c r="H3" s="28"/>
    </row>
    <row r="4" spans="2:9" s="1" customFormat="1" ht="14.25" thickBot="1" x14ac:dyDescent="0.2">
      <c r="B4" s="18"/>
      <c r="C4" s="48" t="s">
        <v>10</v>
      </c>
      <c r="D4" s="37" t="s">
        <v>8</v>
      </c>
      <c r="E4" s="38" t="s">
        <v>7</v>
      </c>
      <c r="F4" s="39" t="s">
        <v>9</v>
      </c>
      <c r="G4" s="49" t="s">
        <v>11</v>
      </c>
      <c r="H4" s="4" t="s">
        <v>6</v>
      </c>
    </row>
    <row r="5" spans="2:9" ht="14.25" customHeight="1" x14ac:dyDescent="0.15">
      <c r="B5" s="24" t="s">
        <v>5</v>
      </c>
      <c r="C5" s="50">
        <v>1</v>
      </c>
      <c r="D5" s="36">
        <v>1</v>
      </c>
      <c r="E5" s="36">
        <v>1</v>
      </c>
      <c r="F5" s="36">
        <v>1</v>
      </c>
      <c r="G5" s="51">
        <v>1</v>
      </c>
      <c r="H5" s="11">
        <f>SUM(C5:G5)</f>
        <v>5</v>
      </c>
      <c r="I5" s="9">
        <v>44288</v>
      </c>
    </row>
    <row r="6" spans="2:9" x14ac:dyDescent="0.15">
      <c r="B6" s="16" t="s">
        <v>4</v>
      </c>
      <c r="C6" s="52"/>
      <c r="D6" s="33"/>
      <c r="E6" s="33">
        <v>2</v>
      </c>
      <c r="F6" s="33">
        <v>4</v>
      </c>
      <c r="G6" s="53">
        <v>2</v>
      </c>
      <c r="H6" s="8">
        <f>SUM(C6:G6)</f>
        <v>8</v>
      </c>
      <c r="I6" s="9">
        <v>44329</v>
      </c>
    </row>
    <row r="7" spans="2:9" x14ac:dyDescent="0.15">
      <c r="B7" s="16" t="s">
        <v>4</v>
      </c>
      <c r="C7" s="52">
        <v>1</v>
      </c>
      <c r="D7" s="33">
        <v>3</v>
      </c>
      <c r="E7" s="33">
        <v>2</v>
      </c>
      <c r="F7" s="33"/>
      <c r="G7" s="53"/>
      <c r="H7" s="8">
        <f t="shared" ref="H7:H10" si="0">SUM(C7:G7)</f>
        <v>6</v>
      </c>
      <c r="I7" s="9">
        <v>44334</v>
      </c>
    </row>
    <row r="8" spans="2:9" x14ac:dyDescent="0.15">
      <c r="B8" s="16" t="s">
        <v>4</v>
      </c>
      <c r="C8" s="52">
        <v>1</v>
      </c>
      <c r="D8" s="33">
        <v>2</v>
      </c>
      <c r="E8" s="33"/>
      <c r="F8" s="33"/>
      <c r="G8" s="53">
        <v>2</v>
      </c>
      <c r="H8" s="8">
        <f t="shared" si="0"/>
        <v>5</v>
      </c>
      <c r="I8" s="9">
        <v>44348</v>
      </c>
    </row>
    <row r="9" spans="2:9" x14ac:dyDescent="0.15">
      <c r="B9" s="16" t="s">
        <v>4</v>
      </c>
      <c r="C9" s="52">
        <v>1</v>
      </c>
      <c r="D9" s="33">
        <v>1</v>
      </c>
      <c r="E9" s="33"/>
      <c r="F9" s="33">
        <v>1</v>
      </c>
      <c r="G9" s="53">
        <v>1</v>
      </c>
      <c r="H9" s="8">
        <f t="shared" si="0"/>
        <v>4</v>
      </c>
      <c r="I9" s="9">
        <v>44351</v>
      </c>
    </row>
    <row r="10" spans="2:9" ht="14.25" thickBot="1" x14ac:dyDescent="0.2">
      <c r="B10" s="15" t="s">
        <v>4</v>
      </c>
      <c r="C10" s="54"/>
      <c r="D10" s="40">
        <v>3</v>
      </c>
      <c r="E10" s="40">
        <v>3</v>
      </c>
      <c r="F10" s="40">
        <v>4</v>
      </c>
      <c r="G10" s="55"/>
      <c r="H10" s="8">
        <f t="shared" si="0"/>
        <v>10</v>
      </c>
      <c r="I10" s="9">
        <v>44377</v>
      </c>
    </row>
    <row r="11" spans="2:9" ht="14.25" thickBot="1" x14ac:dyDescent="0.2">
      <c r="B11" s="14" t="s">
        <v>3</v>
      </c>
      <c r="C11" s="56">
        <f t="shared" ref="C11:H11" si="1">SUM(C5:C10)</f>
        <v>4</v>
      </c>
      <c r="D11" s="43">
        <f t="shared" si="1"/>
        <v>10</v>
      </c>
      <c r="E11" s="43">
        <f t="shared" si="1"/>
        <v>8</v>
      </c>
      <c r="F11" s="43">
        <f t="shared" si="1"/>
        <v>10</v>
      </c>
      <c r="G11" s="44">
        <f t="shared" si="1"/>
        <v>6</v>
      </c>
      <c r="H11" s="13">
        <f t="shared" si="1"/>
        <v>38</v>
      </c>
    </row>
    <row r="12" spans="2:9" x14ac:dyDescent="0.15">
      <c r="B12" s="24" t="s">
        <v>13</v>
      </c>
      <c r="C12" s="57"/>
      <c r="D12" s="42"/>
      <c r="E12" s="42">
        <v>1</v>
      </c>
      <c r="F12" s="42">
        <v>1</v>
      </c>
      <c r="G12" s="58"/>
      <c r="H12" s="7">
        <f t="shared" ref="H12:H33" si="2">SUM(C12:G12)</f>
        <v>2</v>
      </c>
      <c r="I12" s="9">
        <v>44326</v>
      </c>
    </row>
    <row r="13" spans="2:9" x14ac:dyDescent="0.15">
      <c r="B13" s="6" t="s">
        <v>13</v>
      </c>
      <c r="C13" s="52"/>
      <c r="D13" s="33">
        <v>1</v>
      </c>
      <c r="E13" s="33"/>
      <c r="F13" s="33">
        <v>1</v>
      </c>
      <c r="G13" s="53">
        <v>1</v>
      </c>
      <c r="H13" s="8">
        <f t="shared" si="2"/>
        <v>3</v>
      </c>
      <c r="I13" s="9">
        <v>44329</v>
      </c>
    </row>
    <row r="14" spans="2:9" x14ac:dyDescent="0.15">
      <c r="B14" s="6" t="s">
        <v>13</v>
      </c>
      <c r="C14" s="52"/>
      <c r="D14" s="33">
        <v>1</v>
      </c>
      <c r="E14" s="33">
        <v>1</v>
      </c>
      <c r="F14" s="33">
        <v>1</v>
      </c>
      <c r="G14" s="53"/>
      <c r="H14" s="8">
        <f t="shared" si="2"/>
        <v>3</v>
      </c>
      <c r="I14" s="9">
        <v>44334</v>
      </c>
    </row>
    <row r="15" spans="2:9" x14ac:dyDescent="0.15">
      <c r="B15" s="6" t="s">
        <v>13</v>
      </c>
      <c r="C15" s="52"/>
      <c r="D15" s="33"/>
      <c r="E15" s="33"/>
      <c r="F15" s="33"/>
      <c r="G15" s="53">
        <v>1</v>
      </c>
      <c r="H15" s="8">
        <f t="shared" si="2"/>
        <v>1</v>
      </c>
      <c r="I15" s="9">
        <v>44342</v>
      </c>
    </row>
    <row r="16" spans="2:9" x14ac:dyDescent="0.15">
      <c r="B16" s="6" t="s">
        <v>13</v>
      </c>
      <c r="C16" s="52">
        <v>1</v>
      </c>
      <c r="D16" s="33">
        <v>1</v>
      </c>
      <c r="E16" s="33"/>
      <c r="F16" s="33"/>
      <c r="G16" s="53"/>
      <c r="H16" s="8">
        <f t="shared" si="2"/>
        <v>2</v>
      </c>
      <c r="I16" s="9">
        <v>44343</v>
      </c>
    </row>
    <row r="17" spans="2:9" x14ac:dyDescent="0.15">
      <c r="B17" s="6" t="s">
        <v>13</v>
      </c>
      <c r="C17" s="52"/>
      <c r="D17" s="33"/>
      <c r="E17" s="33">
        <v>1</v>
      </c>
      <c r="F17" s="33">
        <v>1</v>
      </c>
      <c r="G17" s="53">
        <v>1</v>
      </c>
      <c r="H17" s="8">
        <f>SUM(C17:G17)</f>
        <v>3</v>
      </c>
      <c r="I17" s="9">
        <v>44352</v>
      </c>
    </row>
    <row r="18" spans="2:9" x14ac:dyDescent="0.15">
      <c r="B18" s="6" t="s">
        <v>13</v>
      </c>
      <c r="C18" s="52"/>
      <c r="D18" s="33">
        <v>1</v>
      </c>
      <c r="E18" s="33"/>
      <c r="F18" s="33"/>
      <c r="G18" s="53"/>
      <c r="H18" s="8">
        <f t="shared" si="2"/>
        <v>1</v>
      </c>
      <c r="I18" s="9">
        <v>44357</v>
      </c>
    </row>
    <row r="19" spans="2:9" x14ac:dyDescent="0.15">
      <c r="B19" s="6" t="s">
        <v>13</v>
      </c>
      <c r="C19" s="59"/>
      <c r="D19" s="34">
        <v>1</v>
      </c>
      <c r="E19" s="34"/>
      <c r="F19" s="34"/>
      <c r="G19" s="60"/>
      <c r="H19" s="8">
        <f t="shared" si="2"/>
        <v>1</v>
      </c>
      <c r="I19" s="9">
        <v>44358</v>
      </c>
    </row>
    <row r="20" spans="2:9" x14ac:dyDescent="0.15">
      <c r="B20" s="6" t="s">
        <v>13</v>
      </c>
      <c r="C20" s="59"/>
      <c r="D20" s="34"/>
      <c r="E20" s="34"/>
      <c r="F20" s="34">
        <v>1</v>
      </c>
      <c r="G20" s="60"/>
      <c r="H20" s="8">
        <f t="shared" si="2"/>
        <v>1</v>
      </c>
      <c r="I20" s="9">
        <v>44362</v>
      </c>
    </row>
    <row r="21" spans="2:9" x14ac:dyDescent="0.15">
      <c r="B21" s="6" t="s">
        <v>13</v>
      </c>
      <c r="C21" s="52">
        <v>1</v>
      </c>
      <c r="D21" s="33"/>
      <c r="E21" s="33"/>
      <c r="F21" s="33"/>
      <c r="G21" s="53"/>
      <c r="H21" s="8">
        <f t="shared" si="2"/>
        <v>1</v>
      </c>
      <c r="I21" s="9">
        <v>44370</v>
      </c>
    </row>
    <row r="22" spans="2:9" x14ac:dyDescent="0.15">
      <c r="B22" s="6" t="s">
        <v>13</v>
      </c>
      <c r="C22" s="59"/>
      <c r="D22" s="34"/>
      <c r="E22" s="34">
        <v>1</v>
      </c>
      <c r="F22" s="34"/>
      <c r="G22" s="60"/>
      <c r="H22" s="8">
        <f t="shared" si="2"/>
        <v>1</v>
      </c>
      <c r="I22" s="23">
        <v>44372</v>
      </c>
    </row>
    <row r="23" spans="2:9" x14ac:dyDescent="0.15">
      <c r="B23" s="6"/>
      <c r="C23" s="59"/>
      <c r="D23" s="34"/>
      <c r="E23" s="34"/>
      <c r="F23" s="34"/>
      <c r="G23" s="60"/>
      <c r="H23" s="8">
        <f t="shared" si="2"/>
        <v>0</v>
      </c>
      <c r="I23" s="23"/>
    </row>
    <row r="24" spans="2:9" x14ac:dyDescent="0.15">
      <c r="B24" s="6"/>
      <c r="C24" s="52"/>
      <c r="D24" s="33"/>
      <c r="E24" s="33"/>
      <c r="F24" s="33"/>
      <c r="G24" s="53"/>
      <c r="H24" s="8">
        <f t="shared" si="2"/>
        <v>0</v>
      </c>
      <c r="I24" s="9"/>
    </row>
    <row r="25" spans="2:9" x14ac:dyDescent="0.15">
      <c r="B25" s="6"/>
      <c r="C25" s="59"/>
      <c r="D25" s="34"/>
      <c r="E25" s="34"/>
      <c r="F25" s="34"/>
      <c r="G25" s="60"/>
      <c r="H25" s="8">
        <f t="shared" si="2"/>
        <v>0</v>
      </c>
      <c r="I25" s="23"/>
    </row>
    <row r="26" spans="2:9" x14ac:dyDescent="0.15">
      <c r="B26" s="6"/>
      <c r="C26" s="59"/>
      <c r="D26" s="34"/>
      <c r="E26" s="34"/>
      <c r="F26" s="34"/>
      <c r="G26" s="60"/>
      <c r="H26" s="8">
        <f t="shared" si="2"/>
        <v>0</v>
      </c>
      <c r="I26" s="23"/>
    </row>
    <row r="27" spans="2:9" x14ac:dyDescent="0.15">
      <c r="B27" s="6"/>
      <c r="C27" s="59"/>
      <c r="D27" s="34"/>
      <c r="E27" s="34"/>
      <c r="F27" s="34"/>
      <c r="G27" s="60"/>
      <c r="H27" s="8">
        <f t="shared" si="2"/>
        <v>0</v>
      </c>
      <c r="I27" s="23"/>
    </row>
    <row r="28" spans="2:9" x14ac:dyDescent="0.15">
      <c r="B28" s="6"/>
      <c r="C28" s="59"/>
      <c r="D28" s="34"/>
      <c r="E28" s="34"/>
      <c r="F28" s="34"/>
      <c r="G28" s="60"/>
      <c r="H28" s="8">
        <f t="shared" si="2"/>
        <v>0</v>
      </c>
      <c r="I28" s="23"/>
    </row>
    <row r="29" spans="2:9" x14ac:dyDescent="0.15">
      <c r="B29" s="6"/>
      <c r="C29" s="59"/>
      <c r="D29" s="34"/>
      <c r="E29" s="34"/>
      <c r="F29" s="34"/>
      <c r="G29" s="60"/>
      <c r="H29" s="8">
        <f t="shared" si="2"/>
        <v>0</v>
      </c>
      <c r="I29" s="23"/>
    </row>
    <row r="30" spans="2:9" x14ac:dyDescent="0.15">
      <c r="B30" s="6"/>
      <c r="C30" s="59"/>
      <c r="D30" s="34"/>
      <c r="E30" s="34"/>
      <c r="F30" s="34"/>
      <c r="G30" s="60"/>
      <c r="H30" s="8">
        <f t="shared" si="2"/>
        <v>0</v>
      </c>
      <c r="I30" s="23"/>
    </row>
    <row r="31" spans="2:9" x14ac:dyDescent="0.15">
      <c r="B31" s="6"/>
      <c r="C31" s="52"/>
      <c r="D31" s="33"/>
      <c r="E31" s="33"/>
      <c r="F31" s="33"/>
      <c r="G31" s="53"/>
      <c r="H31" s="8">
        <f t="shared" si="2"/>
        <v>0</v>
      </c>
      <c r="I31" s="22"/>
    </row>
    <row r="32" spans="2:9" x14ac:dyDescent="0.15">
      <c r="B32" s="6"/>
      <c r="C32" s="52"/>
      <c r="D32" s="33"/>
      <c r="E32" s="33"/>
      <c r="F32" s="33"/>
      <c r="G32" s="53"/>
      <c r="H32" s="8">
        <f t="shared" si="2"/>
        <v>0</v>
      </c>
      <c r="I32" s="22"/>
    </row>
    <row r="33" spans="1:9" x14ac:dyDescent="0.15">
      <c r="B33" s="6"/>
      <c r="C33" s="52"/>
      <c r="D33" s="33"/>
      <c r="E33" s="33"/>
      <c r="F33" s="33"/>
      <c r="G33" s="53"/>
      <c r="H33" s="8">
        <f t="shared" si="2"/>
        <v>0</v>
      </c>
      <c r="I33" s="22"/>
    </row>
    <row r="34" spans="1:9" x14ac:dyDescent="0.15">
      <c r="B34" s="6"/>
      <c r="C34" s="52"/>
      <c r="D34" s="33"/>
      <c r="E34" s="33"/>
      <c r="F34" s="33"/>
      <c r="G34" s="53"/>
      <c r="H34" s="8">
        <f>SUM(C34:G34)</f>
        <v>0</v>
      </c>
      <c r="I34" s="22"/>
    </row>
    <row r="35" spans="1:9" x14ac:dyDescent="0.15">
      <c r="B35" s="6"/>
      <c r="C35" s="52"/>
      <c r="D35" s="33"/>
      <c r="E35" s="33"/>
      <c r="F35" s="33"/>
      <c r="G35" s="53"/>
      <c r="H35" s="8">
        <f t="shared" ref="H35:H36" si="3">SUM(C35:G35)</f>
        <v>0</v>
      </c>
      <c r="I35" s="22"/>
    </row>
    <row r="36" spans="1:9" ht="14.25" thickBot="1" x14ac:dyDescent="0.2">
      <c r="B36" s="6"/>
      <c r="C36" s="54"/>
      <c r="D36" s="40"/>
      <c r="E36" s="40"/>
      <c r="F36" s="40"/>
      <c r="G36" s="55"/>
      <c r="H36" s="5">
        <f t="shared" si="3"/>
        <v>0</v>
      </c>
      <c r="I36" s="22"/>
    </row>
    <row r="37" spans="1:9" ht="14.25" thickBot="1" x14ac:dyDescent="0.2">
      <c r="B37" s="4" t="s">
        <v>1</v>
      </c>
      <c r="C37" s="61">
        <f t="shared" ref="C37:H37" si="4">SUM(C12:C36)</f>
        <v>2</v>
      </c>
      <c r="D37" s="46">
        <f t="shared" si="4"/>
        <v>5</v>
      </c>
      <c r="E37" s="46">
        <f t="shared" si="4"/>
        <v>4</v>
      </c>
      <c r="F37" s="46">
        <f t="shared" si="4"/>
        <v>5</v>
      </c>
      <c r="G37" s="47">
        <f t="shared" si="4"/>
        <v>3</v>
      </c>
      <c r="H37" s="3">
        <f t="shared" si="4"/>
        <v>19</v>
      </c>
    </row>
    <row r="38" spans="1:9" ht="14.25" thickBot="1" x14ac:dyDescent="0.2">
      <c r="B38" s="2" t="s">
        <v>0</v>
      </c>
      <c r="C38" s="56">
        <f t="shared" ref="C38:H38" si="5">+C11-C37</f>
        <v>2</v>
      </c>
      <c r="D38" s="43">
        <f t="shared" si="5"/>
        <v>5</v>
      </c>
      <c r="E38" s="43">
        <f t="shared" si="5"/>
        <v>4</v>
      </c>
      <c r="F38" s="43">
        <f t="shared" si="5"/>
        <v>5</v>
      </c>
      <c r="G38" s="44">
        <f t="shared" si="5"/>
        <v>3</v>
      </c>
      <c r="H38" s="13">
        <f t="shared" si="5"/>
        <v>19</v>
      </c>
    </row>
    <row r="40" spans="1:9" ht="18.75" x14ac:dyDescent="0.2">
      <c r="B40" s="21" t="s">
        <v>12</v>
      </c>
      <c r="C40" s="20"/>
      <c r="D40" s="20"/>
      <c r="E40" s="20"/>
      <c r="F40" s="20"/>
      <c r="G40" s="20"/>
      <c r="H40" s="20"/>
    </row>
    <row r="41" spans="1:9" ht="14.25" thickBot="1" x14ac:dyDescent="0.2"/>
    <row r="42" spans="1:9" ht="14.25" thickBot="1" x14ac:dyDescent="0.2">
      <c r="B42" s="19"/>
      <c r="C42" s="27"/>
      <c r="D42" s="27"/>
      <c r="E42" s="27"/>
      <c r="F42" s="27"/>
      <c r="G42" s="27"/>
      <c r="H42" s="28"/>
    </row>
    <row r="43" spans="1:9" ht="14.25" thickBot="1" x14ac:dyDescent="0.2">
      <c r="A43" s="1"/>
      <c r="B43" s="18"/>
      <c r="C43" s="48" t="s">
        <v>10</v>
      </c>
      <c r="D43" s="37" t="s">
        <v>8</v>
      </c>
      <c r="E43" s="38" t="s">
        <v>7</v>
      </c>
      <c r="F43" s="39" t="s">
        <v>9</v>
      </c>
      <c r="G43" s="49" t="s">
        <v>11</v>
      </c>
      <c r="H43" s="4" t="s">
        <v>6</v>
      </c>
    </row>
    <row r="44" spans="1:9" x14ac:dyDescent="0.15">
      <c r="B44" s="17" t="s">
        <v>5</v>
      </c>
      <c r="C44" s="50">
        <f t="shared" ref="C44:H44" si="6">C38</f>
        <v>2</v>
      </c>
      <c r="D44" s="36">
        <f t="shared" si="6"/>
        <v>5</v>
      </c>
      <c r="E44" s="36">
        <f t="shared" si="6"/>
        <v>4</v>
      </c>
      <c r="F44" s="36">
        <f t="shared" si="6"/>
        <v>5</v>
      </c>
      <c r="G44" s="51">
        <f t="shared" si="6"/>
        <v>3</v>
      </c>
      <c r="H44" s="11">
        <f t="shared" si="6"/>
        <v>19</v>
      </c>
    </row>
    <row r="45" spans="1:9" x14ac:dyDescent="0.15">
      <c r="B45" s="16" t="s">
        <v>4</v>
      </c>
      <c r="C45" s="52">
        <v>5</v>
      </c>
      <c r="D45" s="33"/>
      <c r="E45" s="33"/>
      <c r="F45" s="33"/>
      <c r="G45" s="53"/>
      <c r="H45" s="8">
        <f>SUM(C45:G45)</f>
        <v>5</v>
      </c>
      <c r="I45" s="9">
        <v>44384</v>
      </c>
    </row>
    <row r="46" spans="1:9" x14ac:dyDescent="0.15">
      <c r="B46" s="16" t="s">
        <v>4</v>
      </c>
      <c r="C46" s="52"/>
      <c r="D46" s="33"/>
      <c r="E46" s="33"/>
      <c r="F46" s="33"/>
      <c r="G46" s="53">
        <v>5</v>
      </c>
      <c r="H46" s="8">
        <f t="shared" ref="H46:H72" si="7">SUM(C46:G46)</f>
        <v>5</v>
      </c>
      <c r="I46" s="9">
        <v>44412</v>
      </c>
    </row>
    <row r="47" spans="1:9" x14ac:dyDescent="0.15">
      <c r="B47" s="16" t="s">
        <v>2</v>
      </c>
      <c r="C47" s="52">
        <v>-1</v>
      </c>
      <c r="D47" s="33"/>
      <c r="E47" s="33"/>
      <c r="F47" s="33"/>
      <c r="G47" s="53">
        <v>1</v>
      </c>
      <c r="H47" s="8">
        <f t="shared" si="7"/>
        <v>0</v>
      </c>
      <c r="I47" s="9">
        <v>44434</v>
      </c>
    </row>
    <row r="48" spans="1:9" x14ac:dyDescent="0.15">
      <c r="B48" s="16" t="s">
        <v>4</v>
      </c>
      <c r="C48" s="52">
        <v>5</v>
      </c>
      <c r="D48" s="33"/>
      <c r="E48" s="33"/>
      <c r="F48" s="33"/>
      <c r="G48" s="53"/>
      <c r="H48" s="8">
        <f t="shared" si="7"/>
        <v>5</v>
      </c>
      <c r="I48" s="9">
        <v>44446</v>
      </c>
    </row>
    <row r="49" spans="2:9" ht="14.25" thickBot="1" x14ac:dyDescent="0.2">
      <c r="B49" s="15" t="s">
        <v>4</v>
      </c>
      <c r="C49" s="54">
        <v>5</v>
      </c>
      <c r="D49" s="40"/>
      <c r="E49" s="40"/>
      <c r="F49" s="40"/>
      <c r="G49" s="55"/>
      <c r="H49" s="5">
        <f t="shared" si="7"/>
        <v>5</v>
      </c>
      <c r="I49" s="9">
        <v>44538</v>
      </c>
    </row>
    <row r="50" spans="2:9" ht="14.25" thickBot="1" x14ac:dyDescent="0.2">
      <c r="B50" s="14" t="s">
        <v>3</v>
      </c>
      <c r="C50" s="56">
        <f>SUM(C44:C49)</f>
        <v>16</v>
      </c>
      <c r="D50" s="43">
        <f>SUM(D44:D49)</f>
        <v>5</v>
      </c>
      <c r="E50" s="43">
        <f>SUM(E44:E49)</f>
        <v>4</v>
      </c>
      <c r="F50" s="43">
        <f>SUM(F44:F49)</f>
        <v>5</v>
      </c>
      <c r="G50" s="44">
        <f>SUM(G44:G49)</f>
        <v>9</v>
      </c>
      <c r="H50" s="13">
        <f t="shared" ref="H50" si="8">SUM(H44:H49)</f>
        <v>39</v>
      </c>
    </row>
    <row r="51" spans="2:9" x14ac:dyDescent="0.15">
      <c r="B51" s="6" t="s">
        <v>13</v>
      </c>
      <c r="C51" s="57">
        <v>3</v>
      </c>
      <c r="D51" s="42">
        <v>2</v>
      </c>
      <c r="E51" s="42"/>
      <c r="F51" s="42">
        <v>1</v>
      </c>
      <c r="G51" s="58"/>
      <c r="H51" s="7">
        <f t="shared" si="7"/>
        <v>6</v>
      </c>
      <c r="I51" s="9">
        <v>44384</v>
      </c>
    </row>
    <row r="52" spans="2:9" x14ac:dyDescent="0.15">
      <c r="B52" s="6" t="s">
        <v>13</v>
      </c>
      <c r="C52" s="52"/>
      <c r="D52" s="33"/>
      <c r="E52" s="33"/>
      <c r="F52" s="33"/>
      <c r="G52" s="53">
        <v>1</v>
      </c>
      <c r="H52" s="8">
        <f t="shared" si="7"/>
        <v>1</v>
      </c>
      <c r="I52" s="9">
        <v>44403</v>
      </c>
    </row>
    <row r="53" spans="2:9" x14ac:dyDescent="0.15">
      <c r="B53" s="6" t="s">
        <v>13</v>
      </c>
      <c r="C53" s="52"/>
      <c r="D53" s="33"/>
      <c r="E53" s="33">
        <v>1</v>
      </c>
      <c r="F53" s="33">
        <v>1</v>
      </c>
      <c r="G53" s="53">
        <v>1</v>
      </c>
      <c r="H53" s="8">
        <f t="shared" si="7"/>
        <v>3</v>
      </c>
      <c r="I53" s="9">
        <v>44410</v>
      </c>
    </row>
    <row r="54" spans="2:9" x14ac:dyDescent="0.15">
      <c r="B54" s="6" t="s">
        <v>13</v>
      </c>
      <c r="C54" s="52">
        <v>1</v>
      </c>
      <c r="D54" s="33"/>
      <c r="E54" s="33"/>
      <c r="F54" s="33"/>
      <c r="G54" s="53"/>
      <c r="H54" s="8">
        <f t="shared" si="7"/>
        <v>1</v>
      </c>
      <c r="I54" s="9">
        <v>44426</v>
      </c>
    </row>
    <row r="55" spans="2:9" x14ac:dyDescent="0.15">
      <c r="B55" s="6" t="s">
        <v>13</v>
      </c>
      <c r="C55" s="52">
        <v>1</v>
      </c>
      <c r="D55" s="33">
        <v>1</v>
      </c>
      <c r="E55" s="33"/>
      <c r="F55" s="33"/>
      <c r="G55" s="53"/>
      <c r="H55" s="8">
        <f t="shared" si="7"/>
        <v>2</v>
      </c>
      <c r="I55" s="9">
        <v>44445</v>
      </c>
    </row>
    <row r="56" spans="2:9" x14ac:dyDescent="0.15">
      <c r="B56" s="6" t="s">
        <v>13</v>
      </c>
      <c r="C56" s="52">
        <v>1</v>
      </c>
      <c r="D56" s="33"/>
      <c r="E56" s="33"/>
      <c r="F56" s="33">
        <v>1</v>
      </c>
      <c r="G56" s="53"/>
      <c r="H56" s="8">
        <f t="shared" si="7"/>
        <v>2</v>
      </c>
      <c r="I56" s="9">
        <v>44485</v>
      </c>
    </row>
    <row r="57" spans="2:9" x14ac:dyDescent="0.15">
      <c r="B57" s="6" t="s">
        <v>13</v>
      </c>
      <c r="C57" s="52">
        <v>1</v>
      </c>
      <c r="D57" s="33"/>
      <c r="E57" s="33"/>
      <c r="F57" s="33"/>
      <c r="G57" s="53"/>
      <c r="H57" s="8">
        <f t="shared" si="7"/>
        <v>1</v>
      </c>
      <c r="I57" s="9">
        <v>44490</v>
      </c>
    </row>
    <row r="58" spans="2:9" x14ac:dyDescent="0.15">
      <c r="B58" s="6" t="s">
        <v>13</v>
      </c>
      <c r="C58" s="59">
        <v>3</v>
      </c>
      <c r="D58" s="34"/>
      <c r="E58" s="34"/>
      <c r="F58" s="34"/>
      <c r="G58" s="60"/>
      <c r="H58" s="8">
        <f t="shared" si="7"/>
        <v>3</v>
      </c>
      <c r="I58" s="9">
        <v>44522</v>
      </c>
    </row>
    <row r="59" spans="2:9" x14ac:dyDescent="0.15">
      <c r="B59" s="6" t="s">
        <v>13</v>
      </c>
      <c r="C59" s="59"/>
      <c r="D59" s="34"/>
      <c r="E59" s="34">
        <v>1</v>
      </c>
      <c r="F59" s="34"/>
      <c r="G59" s="60"/>
      <c r="H59" s="8">
        <f t="shared" si="7"/>
        <v>1</v>
      </c>
      <c r="I59" s="9">
        <v>44526</v>
      </c>
    </row>
    <row r="60" spans="2:9" x14ac:dyDescent="0.15">
      <c r="B60" s="6" t="s">
        <v>13</v>
      </c>
      <c r="C60" s="52"/>
      <c r="D60" s="33">
        <f>1+1</f>
        <v>2</v>
      </c>
      <c r="E60" s="33"/>
      <c r="F60" s="33"/>
      <c r="G60" s="53"/>
      <c r="H60" s="8">
        <f t="shared" si="7"/>
        <v>2</v>
      </c>
      <c r="I60" s="9">
        <v>44543</v>
      </c>
    </row>
    <row r="61" spans="2:9" x14ac:dyDescent="0.15">
      <c r="B61" s="6"/>
      <c r="C61" s="59"/>
      <c r="D61" s="34"/>
      <c r="E61" s="34"/>
      <c r="F61" s="34"/>
      <c r="G61" s="60"/>
      <c r="H61" s="8">
        <f t="shared" si="7"/>
        <v>0</v>
      </c>
    </row>
    <row r="62" spans="2:9" x14ac:dyDescent="0.15">
      <c r="B62" s="6"/>
      <c r="C62" s="59"/>
      <c r="D62" s="34"/>
      <c r="E62" s="34"/>
      <c r="F62" s="34"/>
      <c r="G62" s="60"/>
      <c r="H62" s="8">
        <f t="shared" si="7"/>
        <v>0</v>
      </c>
    </row>
    <row r="63" spans="2:9" x14ac:dyDescent="0.15">
      <c r="B63" s="6"/>
      <c r="C63" s="52"/>
      <c r="D63" s="33"/>
      <c r="E63" s="33"/>
      <c r="F63" s="33"/>
      <c r="G63" s="53"/>
      <c r="H63" s="8">
        <f t="shared" si="7"/>
        <v>0</v>
      </c>
    </row>
    <row r="64" spans="2:9" x14ac:dyDescent="0.15">
      <c r="B64" s="6"/>
      <c r="C64" s="59"/>
      <c r="D64" s="34"/>
      <c r="E64" s="34"/>
      <c r="F64" s="34"/>
      <c r="G64" s="60"/>
      <c r="H64" s="8">
        <f t="shared" si="7"/>
        <v>0</v>
      </c>
    </row>
    <row r="65" spans="2:8" x14ac:dyDescent="0.15">
      <c r="B65" s="6"/>
      <c r="C65" s="59"/>
      <c r="D65" s="34"/>
      <c r="E65" s="34"/>
      <c r="F65" s="34"/>
      <c r="G65" s="60"/>
      <c r="H65" s="8">
        <f t="shared" si="7"/>
        <v>0</v>
      </c>
    </row>
    <row r="66" spans="2:8" x14ac:dyDescent="0.15">
      <c r="B66" s="6"/>
      <c r="C66" s="59"/>
      <c r="D66" s="34"/>
      <c r="E66" s="34"/>
      <c r="F66" s="34"/>
      <c r="G66" s="60"/>
      <c r="H66" s="8">
        <f t="shared" si="7"/>
        <v>0</v>
      </c>
    </row>
    <row r="67" spans="2:8" x14ac:dyDescent="0.15">
      <c r="B67" s="6"/>
      <c r="C67" s="59"/>
      <c r="D67" s="34"/>
      <c r="E67" s="34"/>
      <c r="F67" s="34"/>
      <c r="G67" s="60"/>
      <c r="H67" s="8">
        <f t="shared" si="7"/>
        <v>0</v>
      </c>
    </row>
    <row r="68" spans="2:8" x14ac:dyDescent="0.15">
      <c r="B68" s="6"/>
      <c r="C68" s="59"/>
      <c r="D68" s="34"/>
      <c r="E68" s="34"/>
      <c r="F68" s="34"/>
      <c r="G68" s="60"/>
      <c r="H68" s="8">
        <f t="shared" si="7"/>
        <v>0</v>
      </c>
    </row>
    <row r="69" spans="2:8" x14ac:dyDescent="0.15">
      <c r="B69" s="6"/>
      <c r="C69" s="59"/>
      <c r="D69" s="34"/>
      <c r="E69" s="34"/>
      <c r="F69" s="34"/>
      <c r="G69" s="60"/>
      <c r="H69" s="8">
        <f t="shared" si="7"/>
        <v>0</v>
      </c>
    </row>
    <row r="70" spans="2:8" x14ac:dyDescent="0.15">
      <c r="B70" s="6"/>
      <c r="C70" s="52"/>
      <c r="D70" s="33"/>
      <c r="E70" s="33"/>
      <c r="F70" s="33"/>
      <c r="G70" s="53"/>
      <c r="H70" s="8">
        <f t="shared" si="7"/>
        <v>0</v>
      </c>
    </row>
    <row r="71" spans="2:8" x14ac:dyDescent="0.15">
      <c r="B71" s="6"/>
      <c r="C71" s="52"/>
      <c r="D71" s="33"/>
      <c r="E71" s="33"/>
      <c r="F71" s="33"/>
      <c r="G71" s="53"/>
      <c r="H71" s="8">
        <f t="shared" si="7"/>
        <v>0</v>
      </c>
    </row>
    <row r="72" spans="2:8" x14ac:dyDescent="0.15">
      <c r="B72" s="6"/>
      <c r="C72" s="52"/>
      <c r="D72" s="33"/>
      <c r="E72" s="33"/>
      <c r="F72" s="33"/>
      <c r="G72" s="53"/>
      <c r="H72" s="8">
        <f t="shared" si="7"/>
        <v>0</v>
      </c>
    </row>
    <row r="73" spans="2:8" x14ac:dyDescent="0.15">
      <c r="B73" s="6"/>
      <c r="C73" s="52"/>
      <c r="D73" s="33"/>
      <c r="E73" s="33"/>
      <c r="F73" s="33"/>
      <c r="G73" s="53"/>
      <c r="H73" s="8">
        <f>SUM(C73:G73)</f>
        <v>0</v>
      </c>
    </row>
    <row r="74" spans="2:8" x14ac:dyDescent="0.15">
      <c r="B74" s="6"/>
      <c r="C74" s="52"/>
      <c r="D74" s="33"/>
      <c r="E74" s="33"/>
      <c r="F74" s="33"/>
      <c r="G74" s="53"/>
      <c r="H74" s="8">
        <f t="shared" ref="H74:H75" si="9">SUM(C74:G74)</f>
        <v>0</v>
      </c>
    </row>
    <row r="75" spans="2:8" ht="14.25" thickBot="1" x14ac:dyDescent="0.2">
      <c r="B75" s="6"/>
      <c r="C75" s="54"/>
      <c r="D75" s="40"/>
      <c r="E75" s="40"/>
      <c r="F75" s="40"/>
      <c r="G75" s="55"/>
      <c r="H75" s="5">
        <f t="shared" si="9"/>
        <v>0</v>
      </c>
    </row>
    <row r="76" spans="2:8" ht="14.25" thickBot="1" x14ac:dyDescent="0.2">
      <c r="B76" s="4" t="s">
        <v>1</v>
      </c>
      <c r="C76" s="61">
        <f>SUM(C51:C75)</f>
        <v>10</v>
      </c>
      <c r="D76" s="46">
        <f>SUM(D51:D75)</f>
        <v>5</v>
      </c>
      <c r="E76" s="46">
        <f>SUM(E51:E75)</f>
        <v>2</v>
      </c>
      <c r="F76" s="46">
        <f>SUM(F51:F75)</f>
        <v>3</v>
      </c>
      <c r="G76" s="47">
        <f>SUM(G51:G75)</f>
        <v>2</v>
      </c>
      <c r="H76" s="3">
        <f t="shared" ref="H76" si="10">SUM(H51:H75)</f>
        <v>22</v>
      </c>
    </row>
    <row r="77" spans="2:8" ht="14.25" thickBot="1" x14ac:dyDescent="0.2">
      <c r="B77" s="2" t="s">
        <v>0</v>
      </c>
      <c r="C77" s="56">
        <f>+C50-C76</f>
        <v>6</v>
      </c>
      <c r="D77" s="43">
        <f>+D50-D76</f>
        <v>0</v>
      </c>
      <c r="E77" s="43">
        <f>+E50-E76</f>
        <v>2</v>
      </c>
      <c r="F77" s="43">
        <f>+F50-F76</f>
        <v>2</v>
      </c>
      <c r="G77" s="44">
        <f>+G50-G76</f>
        <v>7</v>
      </c>
      <c r="H77" s="13">
        <f t="shared" ref="H77" si="11">+H50-H76</f>
        <v>17</v>
      </c>
    </row>
    <row r="79" spans="2:8" ht="18.75" x14ac:dyDescent="0.2">
      <c r="B79" s="21" t="s">
        <v>12</v>
      </c>
      <c r="C79" s="20"/>
      <c r="D79" s="20"/>
      <c r="E79" s="20"/>
      <c r="F79" s="20"/>
      <c r="G79" s="20"/>
      <c r="H79" s="20"/>
    </row>
    <row r="80" spans="2:8" ht="14.25" thickBot="1" x14ac:dyDescent="0.2"/>
    <row r="81" spans="1:9" ht="14.25" thickBot="1" x14ac:dyDescent="0.2">
      <c r="B81" s="19"/>
      <c r="C81" s="27"/>
      <c r="D81" s="27"/>
      <c r="E81" s="27"/>
      <c r="F81" s="27"/>
      <c r="G81" s="27"/>
      <c r="H81" s="28"/>
    </row>
    <row r="82" spans="1:9" ht="14.25" thickBot="1" x14ac:dyDescent="0.2">
      <c r="A82" s="1"/>
      <c r="B82" s="18"/>
      <c r="C82" s="48" t="s">
        <v>10</v>
      </c>
      <c r="D82" s="37" t="s">
        <v>8</v>
      </c>
      <c r="E82" s="38" t="s">
        <v>7</v>
      </c>
      <c r="F82" s="39" t="s">
        <v>9</v>
      </c>
      <c r="G82" s="49" t="s">
        <v>11</v>
      </c>
      <c r="H82" s="4" t="s">
        <v>6</v>
      </c>
    </row>
    <row r="83" spans="1:9" x14ac:dyDescent="0.15">
      <c r="B83" s="17" t="s">
        <v>5</v>
      </c>
      <c r="C83" s="50">
        <f t="shared" ref="C83:H83" si="12">C77</f>
        <v>6</v>
      </c>
      <c r="D83" s="36">
        <f t="shared" si="12"/>
        <v>0</v>
      </c>
      <c r="E83" s="36">
        <f t="shared" si="12"/>
        <v>2</v>
      </c>
      <c r="F83" s="36">
        <f t="shared" si="12"/>
        <v>2</v>
      </c>
      <c r="G83" s="51">
        <f t="shared" si="12"/>
        <v>7</v>
      </c>
      <c r="H83" s="11">
        <f t="shared" si="12"/>
        <v>17</v>
      </c>
    </row>
    <row r="84" spans="1:9" x14ac:dyDescent="0.15">
      <c r="B84" s="16" t="s">
        <v>4</v>
      </c>
      <c r="C84" s="52"/>
      <c r="D84" s="33">
        <v>5</v>
      </c>
      <c r="E84" s="33"/>
      <c r="F84" s="33"/>
      <c r="G84" s="53"/>
      <c r="H84" s="8">
        <f>SUM(C84:G84)</f>
        <v>5</v>
      </c>
      <c r="I84" s="9">
        <v>44550</v>
      </c>
    </row>
    <row r="85" spans="1:9" x14ac:dyDescent="0.15">
      <c r="B85" s="16" t="s">
        <v>4</v>
      </c>
      <c r="C85" s="52"/>
      <c r="D85" s="33"/>
      <c r="E85" s="33"/>
      <c r="F85" s="33">
        <v>5</v>
      </c>
      <c r="G85" s="53"/>
      <c r="H85" s="8">
        <f t="shared" ref="H85:H111" si="13">SUM(C85:G85)</f>
        <v>5</v>
      </c>
      <c r="I85" s="9">
        <v>44572</v>
      </c>
    </row>
    <row r="86" spans="1:9" x14ac:dyDescent="0.15">
      <c r="B86" s="16" t="s">
        <v>4</v>
      </c>
      <c r="C86" s="52"/>
      <c r="D86" s="33"/>
      <c r="E86" s="33">
        <v>3</v>
      </c>
      <c r="F86" s="33"/>
      <c r="G86" s="53"/>
      <c r="H86" s="8">
        <f t="shared" si="13"/>
        <v>3</v>
      </c>
      <c r="I86" s="9">
        <v>44606</v>
      </c>
    </row>
    <row r="87" spans="1:9" x14ac:dyDescent="0.15">
      <c r="B87" s="16" t="s">
        <v>4</v>
      </c>
      <c r="C87" s="52"/>
      <c r="D87" s="33"/>
      <c r="E87" s="33"/>
      <c r="F87" s="33">
        <v>5</v>
      </c>
      <c r="G87" s="53"/>
      <c r="H87" s="8">
        <f t="shared" si="13"/>
        <v>5</v>
      </c>
      <c r="I87" s="9">
        <v>44630</v>
      </c>
    </row>
    <row r="88" spans="1:9" ht="14.25" thickBot="1" x14ac:dyDescent="0.2">
      <c r="B88" s="15" t="s">
        <v>4</v>
      </c>
      <c r="C88" s="54"/>
      <c r="D88" s="40"/>
      <c r="E88" s="40">
        <v>3</v>
      </c>
      <c r="F88" s="40"/>
      <c r="G88" s="55"/>
      <c r="H88" s="5">
        <f t="shared" si="13"/>
        <v>3</v>
      </c>
      <c r="I88" s="9">
        <v>44653</v>
      </c>
    </row>
    <row r="89" spans="1:9" ht="14.25" thickBot="1" x14ac:dyDescent="0.2">
      <c r="B89" s="14" t="s">
        <v>3</v>
      </c>
      <c r="C89" s="56">
        <f>SUM(C83:C88)</f>
        <v>6</v>
      </c>
      <c r="D89" s="43">
        <f>SUM(D83:D88)</f>
        <v>5</v>
      </c>
      <c r="E89" s="43">
        <f>SUM(E83:E88)</f>
        <v>8</v>
      </c>
      <c r="F89" s="43">
        <f>SUM(F83:F88)</f>
        <v>12</v>
      </c>
      <c r="G89" s="44">
        <f>SUM(G83:G88)</f>
        <v>7</v>
      </c>
      <c r="H89" s="13">
        <f t="shared" ref="H89" si="14">SUM(H83:H88)</f>
        <v>38</v>
      </c>
    </row>
    <row r="90" spans="1:9" x14ac:dyDescent="0.15">
      <c r="B90" s="12" t="s">
        <v>2</v>
      </c>
      <c r="C90" s="57">
        <v>-3</v>
      </c>
      <c r="D90" s="42"/>
      <c r="E90" s="42">
        <v>-1</v>
      </c>
      <c r="F90" s="42"/>
      <c r="G90" s="58"/>
      <c r="H90" s="7">
        <f t="shared" si="13"/>
        <v>-4</v>
      </c>
      <c r="I90" s="10">
        <v>44551</v>
      </c>
    </row>
    <row r="91" spans="1:9" x14ac:dyDescent="0.15">
      <c r="B91" s="6" t="s">
        <v>13</v>
      </c>
      <c r="C91" s="52"/>
      <c r="D91" s="33"/>
      <c r="E91" s="33">
        <v>1</v>
      </c>
      <c r="F91" s="33">
        <f>1+1</f>
        <v>2</v>
      </c>
      <c r="G91" s="53">
        <v>1</v>
      </c>
      <c r="H91" s="8">
        <f t="shared" si="13"/>
        <v>4</v>
      </c>
      <c r="I91" s="9">
        <v>44566</v>
      </c>
    </row>
    <row r="92" spans="1:9" x14ac:dyDescent="0.15">
      <c r="B92" s="6" t="s">
        <v>13</v>
      </c>
      <c r="C92" s="52"/>
      <c r="D92" s="33"/>
      <c r="E92" s="33"/>
      <c r="F92" s="33">
        <v>1</v>
      </c>
      <c r="G92" s="53"/>
      <c r="H92" s="8">
        <f t="shared" si="13"/>
        <v>1</v>
      </c>
      <c r="I92" s="9">
        <v>44572</v>
      </c>
    </row>
    <row r="93" spans="1:9" x14ac:dyDescent="0.15">
      <c r="B93" s="6" t="s">
        <v>13</v>
      </c>
      <c r="C93" s="52"/>
      <c r="D93" s="33"/>
      <c r="E93" s="33"/>
      <c r="F93" s="33">
        <v>1</v>
      </c>
      <c r="G93" s="53"/>
      <c r="H93" s="8">
        <f t="shared" si="13"/>
        <v>1</v>
      </c>
      <c r="I93" s="9">
        <v>44597</v>
      </c>
    </row>
    <row r="94" spans="1:9" x14ac:dyDescent="0.15">
      <c r="B94" s="6" t="s">
        <v>13</v>
      </c>
      <c r="C94" s="52"/>
      <c r="D94" s="33"/>
      <c r="E94" s="33">
        <v>1</v>
      </c>
      <c r="F94" s="33"/>
      <c r="G94" s="53"/>
      <c r="H94" s="8">
        <f t="shared" si="13"/>
        <v>1</v>
      </c>
      <c r="I94" s="9">
        <v>44602</v>
      </c>
    </row>
    <row r="95" spans="1:9" x14ac:dyDescent="0.15">
      <c r="B95" s="6" t="s">
        <v>13</v>
      </c>
      <c r="C95" s="52">
        <v>1</v>
      </c>
      <c r="D95" s="33"/>
      <c r="E95" s="33">
        <v>1</v>
      </c>
      <c r="F95" s="33">
        <v>1</v>
      </c>
      <c r="G95" s="53"/>
      <c r="H95" s="8">
        <f t="shared" si="13"/>
        <v>3</v>
      </c>
      <c r="I95" s="9">
        <v>44607</v>
      </c>
    </row>
    <row r="96" spans="1:9" x14ac:dyDescent="0.15">
      <c r="B96" s="6" t="s">
        <v>13</v>
      </c>
      <c r="C96" s="52">
        <v>1</v>
      </c>
      <c r="D96" s="33"/>
      <c r="E96" s="33"/>
      <c r="F96" s="33"/>
      <c r="G96" s="53"/>
      <c r="H96" s="8">
        <f t="shared" si="13"/>
        <v>1</v>
      </c>
      <c r="I96" s="9">
        <v>44630</v>
      </c>
    </row>
    <row r="97" spans="2:9" x14ac:dyDescent="0.15">
      <c r="B97" s="6" t="s">
        <v>13</v>
      </c>
      <c r="C97" s="59">
        <v>1</v>
      </c>
      <c r="D97" s="34"/>
      <c r="E97" s="34"/>
      <c r="F97" s="34"/>
      <c r="G97" s="60"/>
      <c r="H97" s="8">
        <f t="shared" si="13"/>
        <v>1</v>
      </c>
      <c r="I97" s="9">
        <v>44631</v>
      </c>
    </row>
    <row r="98" spans="2:9" x14ac:dyDescent="0.15">
      <c r="B98" s="6" t="s">
        <v>13</v>
      </c>
      <c r="C98" s="59"/>
      <c r="D98" s="34">
        <v>1</v>
      </c>
      <c r="E98" s="34">
        <v>2</v>
      </c>
      <c r="F98" s="34"/>
      <c r="G98" s="60"/>
      <c r="H98" s="8">
        <f t="shared" si="13"/>
        <v>3</v>
      </c>
      <c r="I98" s="9">
        <v>44648</v>
      </c>
    </row>
    <row r="99" spans="2:9" x14ac:dyDescent="0.15">
      <c r="B99" s="6" t="s">
        <v>13</v>
      </c>
      <c r="C99" s="52"/>
      <c r="D99" s="33"/>
      <c r="E99" s="33">
        <v>1</v>
      </c>
      <c r="F99" s="33"/>
      <c r="G99" s="53">
        <v>1</v>
      </c>
      <c r="H99" s="8">
        <f t="shared" si="13"/>
        <v>2</v>
      </c>
      <c r="I99" s="9">
        <v>44692</v>
      </c>
    </row>
    <row r="100" spans="2:9" x14ac:dyDescent="0.15">
      <c r="B100" s="6" t="s">
        <v>13</v>
      </c>
      <c r="C100" s="59">
        <f>2+1</f>
        <v>3</v>
      </c>
      <c r="D100" s="34"/>
      <c r="E100" s="34"/>
      <c r="F100" s="34"/>
      <c r="G100" s="60"/>
      <c r="H100" s="8">
        <f t="shared" si="13"/>
        <v>3</v>
      </c>
      <c r="I100" s="9">
        <v>44718</v>
      </c>
    </row>
    <row r="101" spans="2:9" x14ac:dyDescent="0.15">
      <c r="B101" s="6" t="s">
        <v>13</v>
      </c>
      <c r="C101" s="59">
        <v>1</v>
      </c>
      <c r="D101" s="34">
        <v>1</v>
      </c>
      <c r="E101" s="34"/>
      <c r="F101" s="34"/>
      <c r="G101" s="60">
        <v>1</v>
      </c>
      <c r="H101" s="8">
        <f t="shared" si="13"/>
        <v>3</v>
      </c>
      <c r="I101" s="9">
        <v>44753</v>
      </c>
    </row>
    <row r="102" spans="2:9" x14ac:dyDescent="0.15">
      <c r="B102" s="6" t="s">
        <v>13</v>
      </c>
      <c r="C102" s="52">
        <v>1</v>
      </c>
      <c r="D102" s="33"/>
      <c r="E102" s="33"/>
      <c r="F102" s="33"/>
      <c r="G102" s="53"/>
      <c r="H102" s="8">
        <f t="shared" si="13"/>
        <v>1</v>
      </c>
      <c r="I102" s="9">
        <v>44762</v>
      </c>
    </row>
    <row r="103" spans="2:9" x14ac:dyDescent="0.15">
      <c r="B103" s="6"/>
      <c r="C103" s="59"/>
      <c r="D103" s="34"/>
      <c r="E103" s="34"/>
      <c r="F103" s="34"/>
      <c r="G103" s="60"/>
      <c r="H103" s="8">
        <f t="shared" si="13"/>
        <v>0</v>
      </c>
    </row>
    <row r="104" spans="2:9" x14ac:dyDescent="0.15">
      <c r="B104" s="6"/>
      <c r="C104" s="59"/>
      <c r="D104" s="34"/>
      <c r="E104" s="34"/>
      <c r="F104" s="34"/>
      <c r="G104" s="60"/>
      <c r="H104" s="8">
        <f t="shared" si="13"/>
        <v>0</v>
      </c>
    </row>
    <row r="105" spans="2:9" x14ac:dyDescent="0.15">
      <c r="B105" s="6"/>
      <c r="C105" s="59"/>
      <c r="D105" s="34"/>
      <c r="E105" s="34"/>
      <c r="F105" s="34"/>
      <c r="G105" s="60"/>
      <c r="H105" s="8">
        <f t="shared" si="13"/>
        <v>0</v>
      </c>
    </row>
    <row r="106" spans="2:9" x14ac:dyDescent="0.15">
      <c r="B106" s="6"/>
      <c r="C106" s="59"/>
      <c r="D106" s="34"/>
      <c r="E106" s="34"/>
      <c r="F106" s="34"/>
      <c r="G106" s="60"/>
      <c r="H106" s="8">
        <f t="shared" si="13"/>
        <v>0</v>
      </c>
    </row>
    <row r="107" spans="2:9" x14ac:dyDescent="0.15">
      <c r="B107" s="6"/>
      <c r="C107" s="59"/>
      <c r="D107" s="34"/>
      <c r="E107" s="34"/>
      <c r="F107" s="34"/>
      <c r="G107" s="60"/>
      <c r="H107" s="8">
        <f t="shared" si="13"/>
        <v>0</v>
      </c>
    </row>
    <row r="108" spans="2:9" x14ac:dyDescent="0.15">
      <c r="B108" s="6"/>
      <c r="C108" s="59"/>
      <c r="D108" s="34"/>
      <c r="E108" s="34"/>
      <c r="F108" s="34"/>
      <c r="G108" s="60"/>
      <c r="H108" s="8">
        <f t="shared" si="13"/>
        <v>0</v>
      </c>
    </row>
    <row r="109" spans="2:9" x14ac:dyDescent="0.15">
      <c r="B109" s="6"/>
      <c r="C109" s="52"/>
      <c r="D109" s="33"/>
      <c r="E109" s="33"/>
      <c r="F109" s="33"/>
      <c r="G109" s="53"/>
      <c r="H109" s="8">
        <f t="shared" si="13"/>
        <v>0</v>
      </c>
    </row>
    <row r="110" spans="2:9" x14ac:dyDescent="0.15">
      <c r="B110" s="6"/>
      <c r="C110" s="52"/>
      <c r="D110" s="33"/>
      <c r="E110" s="33"/>
      <c r="F110" s="33"/>
      <c r="G110" s="53"/>
      <c r="H110" s="8">
        <f t="shared" si="13"/>
        <v>0</v>
      </c>
    </row>
    <row r="111" spans="2:9" x14ac:dyDescent="0.15">
      <c r="B111" s="6"/>
      <c r="C111" s="52"/>
      <c r="D111" s="33"/>
      <c r="E111" s="33"/>
      <c r="F111" s="33"/>
      <c r="G111" s="53"/>
      <c r="H111" s="8">
        <f t="shared" si="13"/>
        <v>0</v>
      </c>
    </row>
    <row r="112" spans="2:9" x14ac:dyDescent="0.15">
      <c r="B112" s="6"/>
      <c r="C112" s="52"/>
      <c r="D112" s="33"/>
      <c r="E112" s="33"/>
      <c r="F112" s="33"/>
      <c r="G112" s="53"/>
      <c r="H112" s="8">
        <f>SUM(C112:G112)</f>
        <v>0</v>
      </c>
    </row>
    <row r="113" spans="1:9" x14ac:dyDescent="0.15">
      <c r="B113" s="6"/>
      <c r="C113" s="52"/>
      <c r="D113" s="33"/>
      <c r="E113" s="33"/>
      <c r="F113" s="33"/>
      <c r="G113" s="53"/>
      <c r="H113" s="8">
        <f t="shared" ref="H113:H114" si="15">SUM(C113:G113)</f>
        <v>0</v>
      </c>
    </row>
    <row r="114" spans="1:9" ht="14.25" thickBot="1" x14ac:dyDescent="0.2">
      <c r="B114" s="6"/>
      <c r="C114" s="54"/>
      <c r="D114" s="40"/>
      <c r="E114" s="40"/>
      <c r="F114" s="40"/>
      <c r="G114" s="55"/>
      <c r="H114" s="5">
        <f t="shared" si="15"/>
        <v>0</v>
      </c>
    </row>
    <row r="115" spans="1:9" ht="14.25" thickBot="1" x14ac:dyDescent="0.2">
      <c r="B115" s="4" t="s">
        <v>1</v>
      </c>
      <c r="C115" s="61">
        <f>SUM(C90:C114)</f>
        <v>5</v>
      </c>
      <c r="D115" s="46">
        <f>SUM(D90:D114)</f>
        <v>2</v>
      </c>
      <c r="E115" s="46">
        <f>SUM(E90:E114)</f>
        <v>5</v>
      </c>
      <c r="F115" s="46">
        <f>SUM(F90:F114)</f>
        <v>5</v>
      </c>
      <c r="G115" s="47">
        <f>SUM(G90:G114)</f>
        <v>3</v>
      </c>
      <c r="H115" s="3">
        <f t="shared" ref="H115" si="16">SUM(H90:H114)</f>
        <v>20</v>
      </c>
    </row>
    <row r="116" spans="1:9" ht="14.25" thickBot="1" x14ac:dyDescent="0.2">
      <c r="B116" s="2" t="s">
        <v>0</v>
      </c>
      <c r="C116" s="56">
        <f>+C89-C115</f>
        <v>1</v>
      </c>
      <c r="D116" s="43">
        <f>+D89-D115</f>
        <v>3</v>
      </c>
      <c r="E116" s="43">
        <f>+E89-E115</f>
        <v>3</v>
      </c>
      <c r="F116" s="43">
        <f>+F89-F115</f>
        <v>7</v>
      </c>
      <c r="G116" s="44">
        <f>+G89-G115</f>
        <v>4</v>
      </c>
      <c r="H116" s="13">
        <f t="shared" ref="H116" si="17">+H89-H115</f>
        <v>18</v>
      </c>
    </row>
    <row r="118" spans="1:9" ht="18.75" x14ac:dyDescent="0.2">
      <c r="B118" s="21" t="s">
        <v>12</v>
      </c>
      <c r="C118" s="20"/>
      <c r="D118" s="20"/>
      <c r="E118" s="20"/>
      <c r="F118" s="20"/>
      <c r="G118" s="20"/>
      <c r="H118" s="20"/>
    </row>
    <row r="119" spans="1:9" ht="14.25" thickBot="1" x14ac:dyDescent="0.2">
      <c r="H119">
        <v>460</v>
      </c>
    </row>
    <row r="120" spans="1:9" ht="14.25" thickBot="1" x14ac:dyDescent="0.2">
      <c r="B120" s="19"/>
      <c r="C120" s="27"/>
      <c r="D120" s="27"/>
      <c r="E120" s="27"/>
      <c r="F120" s="27"/>
      <c r="G120" s="27"/>
      <c r="H120" s="28"/>
    </row>
    <row r="121" spans="1:9" ht="14.25" thickBot="1" x14ac:dyDescent="0.2">
      <c r="A121" s="1"/>
      <c r="B121" s="18"/>
      <c r="C121" s="48" t="s">
        <v>10</v>
      </c>
      <c r="D121" s="37" t="s">
        <v>8</v>
      </c>
      <c r="E121" s="38" t="s">
        <v>7</v>
      </c>
      <c r="F121" s="39" t="s">
        <v>9</v>
      </c>
      <c r="G121" s="49" t="s">
        <v>11</v>
      </c>
      <c r="H121" s="4" t="s">
        <v>6</v>
      </c>
    </row>
    <row r="122" spans="1:9" x14ac:dyDescent="0.15">
      <c r="B122" s="17" t="s">
        <v>5</v>
      </c>
      <c r="C122" s="50">
        <f t="shared" ref="C122:H122" si="18">C116</f>
        <v>1</v>
      </c>
      <c r="D122" s="36">
        <f t="shared" si="18"/>
        <v>3</v>
      </c>
      <c r="E122" s="36">
        <f t="shared" si="18"/>
        <v>3</v>
      </c>
      <c r="F122" s="36">
        <f t="shared" si="18"/>
        <v>7</v>
      </c>
      <c r="G122" s="51">
        <f t="shared" si="18"/>
        <v>4</v>
      </c>
      <c r="H122" s="11">
        <f t="shared" si="18"/>
        <v>18</v>
      </c>
    </row>
    <row r="123" spans="1:9" x14ac:dyDescent="0.15">
      <c r="B123" s="16" t="s">
        <v>4</v>
      </c>
      <c r="C123" s="52">
        <v>3</v>
      </c>
      <c r="D123" s="33"/>
      <c r="E123" s="33">
        <v>3</v>
      </c>
      <c r="F123" s="33"/>
      <c r="G123" s="53"/>
      <c r="H123" s="8">
        <f>SUM(C123:G123)</f>
        <v>6</v>
      </c>
      <c r="I123" s="9">
        <v>44726</v>
      </c>
    </row>
    <row r="124" spans="1:9" x14ac:dyDescent="0.15">
      <c r="B124" s="25" t="s">
        <v>14</v>
      </c>
      <c r="C124" s="52">
        <v>1</v>
      </c>
      <c r="D124" s="33">
        <v>-2</v>
      </c>
      <c r="E124" s="33"/>
      <c r="F124" s="33"/>
      <c r="G124" s="53">
        <v>1</v>
      </c>
      <c r="H124" s="8">
        <f t="shared" ref="H124:H150" si="19">SUM(C124:G124)</f>
        <v>0</v>
      </c>
      <c r="I124" s="26">
        <v>44799</v>
      </c>
    </row>
    <row r="125" spans="1:9" x14ac:dyDescent="0.15">
      <c r="B125" s="16" t="s">
        <v>4</v>
      </c>
      <c r="C125" s="52"/>
      <c r="D125" s="33">
        <v>3</v>
      </c>
      <c r="E125" s="33"/>
      <c r="F125" s="33"/>
      <c r="G125" s="53"/>
      <c r="H125" s="8">
        <f t="shared" si="19"/>
        <v>3</v>
      </c>
      <c r="I125" s="9">
        <v>44806</v>
      </c>
    </row>
    <row r="126" spans="1:9" x14ac:dyDescent="0.15">
      <c r="B126" s="16" t="s">
        <v>4</v>
      </c>
      <c r="C126" s="52">
        <v>3</v>
      </c>
      <c r="D126" s="33"/>
      <c r="E126" s="33"/>
      <c r="F126" s="33"/>
      <c r="G126" s="53"/>
      <c r="H126" s="8">
        <f t="shared" si="19"/>
        <v>3</v>
      </c>
      <c r="I126" s="9">
        <v>44862</v>
      </c>
    </row>
    <row r="127" spans="1:9" ht="14.25" thickBot="1" x14ac:dyDescent="0.2">
      <c r="B127" s="15" t="s">
        <v>4</v>
      </c>
      <c r="C127" s="54">
        <v>3</v>
      </c>
      <c r="D127" s="40"/>
      <c r="E127" s="40"/>
      <c r="F127" s="40"/>
      <c r="G127" s="55"/>
      <c r="H127" s="5">
        <f t="shared" si="19"/>
        <v>3</v>
      </c>
      <c r="I127" s="9">
        <v>44944</v>
      </c>
    </row>
    <row r="128" spans="1:9" ht="14.25" thickBot="1" x14ac:dyDescent="0.2">
      <c r="B128" s="14" t="s">
        <v>3</v>
      </c>
      <c r="C128" s="56">
        <f>SUM(C122:C127)</f>
        <v>11</v>
      </c>
      <c r="D128" s="43">
        <f>SUM(D122:D127)</f>
        <v>4</v>
      </c>
      <c r="E128" s="43">
        <f>SUM(E122:E127)</f>
        <v>6</v>
      </c>
      <c r="F128" s="43">
        <f>SUM(F122:F127)</f>
        <v>7</v>
      </c>
      <c r="G128" s="44">
        <f>SUM(G122:G127)</f>
        <v>5</v>
      </c>
      <c r="H128" s="13">
        <f t="shared" ref="H128" si="20">SUM(H122:H127)</f>
        <v>33</v>
      </c>
    </row>
    <row r="129" spans="2:9" x14ac:dyDescent="0.15">
      <c r="B129" s="6" t="s">
        <v>13</v>
      </c>
      <c r="C129" s="57"/>
      <c r="D129" s="42"/>
      <c r="E129" s="42"/>
      <c r="F129" s="42">
        <v>1</v>
      </c>
      <c r="G129" s="58"/>
      <c r="H129" s="7">
        <f t="shared" si="19"/>
        <v>1</v>
      </c>
      <c r="I129" s="9">
        <v>44806</v>
      </c>
    </row>
    <row r="130" spans="2:9" x14ac:dyDescent="0.15">
      <c r="B130" s="6" t="s">
        <v>13</v>
      </c>
      <c r="C130" s="52">
        <v>1</v>
      </c>
      <c r="D130" s="33"/>
      <c r="E130" s="33"/>
      <c r="F130" s="33"/>
      <c r="G130" s="53"/>
      <c r="H130" s="8">
        <f t="shared" si="19"/>
        <v>1</v>
      </c>
      <c r="I130" s="9">
        <v>44817</v>
      </c>
    </row>
    <row r="131" spans="2:9" x14ac:dyDescent="0.15">
      <c r="B131" s="6" t="s">
        <v>13</v>
      </c>
      <c r="C131" s="52">
        <v>1</v>
      </c>
      <c r="D131" s="33"/>
      <c r="E131" s="33"/>
      <c r="F131" s="33">
        <v>1</v>
      </c>
      <c r="G131" s="53"/>
      <c r="H131" s="8">
        <f t="shared" si="19"/>
        <v>2</v>
      </c>
      <c r="I131" s="9">
        <v>44830</v>
      </c>
    </row>
    <row r="132" spans="2:9" x14ac:dyDescent="0.15">
      <c r="B132" s="6" t="s">
        <v>13</v>
      </c>
      <c r="C132" s="52">
        <v>1</v>
      </c>
      <c r="D132" s="33"/>
      <c r="E132" s="33"/>
      <c r="F132" s="33"/>
      <c r="G132" s="53"/>
      <c r="H132" s="8">
        <f t="shared" si="19"/>
        <v>1</v>
      </c>
      <c r="I132" s="9">
        <v>44858</v>
      </c>
    </row>
    <row r="133" spans="2:9" x14ac:dyDescent="0.15">
      <c r="B133" s="6" t="s">
        <v>13</v>
      </c>
      <c r="C133" s="52">
        <v>1</v>
      </c>
      <c r="D133" s="33"/>
      <c r="E133" s="33"/>
      <c r="F133" s="33"/>
      <c r="G133" s="53"/>
      <c r="H133" s="8">
        <f t="shared" si="19"/>
        <v>1</v>
      </c>
      <c r="I133" s="9">
        <v>44889</v>
      </c>
    </row>
    <row r="134" spans="2:9" x14ac:dyDescent="0.15">
      <c r="B134" s="6" t="s">
        <v>13</v>
      </c>
      <c r="C134" s="52"/>
      <c r="D134" s="33"/>
      <c r="E134" s="33"/>
      <c r="F134" s="33">
        <v>1</v>
      </c>
      <c r="G134" s="53"/>
      <c r="H134" s="8">
        <f t="shared" si="19"/>
        <v>1</v>
      </c>
      <c r="I134" s="9">
        <v>44904</v>
      </c>
    </row>
    <row r="135" spans="2:9" x14ac:dyDescent="0.15">
      <c r="B135" s="6" t="s">
        <v>13</v>
      </c>
      <c r="C135" s="52">
        <v>1</v>
      </c>
      <c r="D135" s="33"/>
      <c r="E135" s="33"/>
      <c r="F135" s="33"/>
      <c r="G135" s="53"/>
      <c r="H135" s="8">
        <f t="shared" si="19"/>
        <v>1</v>
      </c>
      <c r="I135" s="9">
        <v>44918</v>
      </c>
    </row>
    <row r="136" spans="2:9" x14ac:dyDescent="0.15">
      <c r="B136" s="6" t="s">
        <v>13</v>
      </c>
      <c r="C136" s="59">
        <v>1</v>
      </c>
      <c r="D136" s="34"/>
      <c r="E136" s="34"/>
      <c r="F136" s="34"/>
      <c r="G136" s="60"/>
      <c r="H136" s="8">
        <f t="shared" si="19"/>
        <v>1</v>
      </c>
      <c r="I136" s="9">
        <v>44932</v>
      </c>
    </row>
    <row r="137" spans="2:9" x14ac:dyDescent="0.15">
      <c r="B137" s="6" t="s">
        <v>13</v>
      </c>
      <c r="C137" s="59"/>
      <c r="D137" s="34"/>
      <c r="E137" s="34">
        <v>1</v>
      </c>
      <c r="F137" s="34"/>
      <c r="G137" s="60">
        <v>1</v>
      </c>
      <c r="H137" s="8">
        <f t="shared" si="19"/>
        <v>2</v>
      </c>
      <c r="I137" s="9">
        <v>44937</v>
      </c>
    </row>
    <row r="138" spans="2:9" x14ac:dyDescent="0.15">
      <c r="B138" s="6" t="s">
        <v>13</v>
      </c>
      <c r="C138" s="52">
        <v>1</v>
      </c>
      <c r="D138" s="33"/>
      <c r="E138" s="33"/>
      <c r="F138" s="33"/>
      <c r="G138" s="53">
        <v>1</v>
      </c>
      <c r="H138" s="8">
        <f t="shared" si="19"/>
        <v>2</v>
      </c>
      <c r="I138" s="9">
        <v>44953</v>
      </c>
    </row>
    <row r="139" spans="2:9" x14ac:dyDescent="0.15">
      <c r="B139" s="6" t="s">
        <v>13</v>
      </c>
      <c r="C139" s="59">
        <v>1</v>
      </c>
      <c r="D139" s="34"/>
      <c r="E139" s="34"/>
      <c r="F139" s="34"/>
      <c r="G139" s="60"/>
      <c r="H139" s="8">
        <f t="shared" si="19"/>
        <v>1</v>
      </c>
      <c r="I139" s="9">
        <v>44970</v>
      </c>
    </row>
    <row r="140" spans="2:9" x14ac:dyDescent="0.15">
      <c r="B140" s="6" t="s">
        <v>13</v>
      </c>
      <c r="C140" s="59">
        <v>1</v>
      </c>
      <c r="D140" s="34"/>
      <c r="E140" s="34"/>
      <c r="F140" s="34"/>
      <c r="G140" s="60"/>
      <c r="H140" s="8">
        <f t="shared" si="19"/>
        <v>1</v>
      </c>
      <c r="I140" s="9">
        <v>44981</v>
      </c>
    </row>
    <row r="141" spans="2:9" x14ac:dyDescent="0.15">
      <c r="B141" s="6" t="s">
        <v>13</v>
      </c>
      <c r="C141" s="52"/>
      <c r="D141" s="33">
        <v>1</v>
      </c>
      <c r="E141" s="33"/>
      <c r="F141" s="33"/>
      <c r="G141" s="53"/>
      <c r="H141" s="8">
        <f t="shared" si="19"/>
        <v>1</v>
      </c>
      <c r="I141" s="9">
        <v>44991</v>
      </c>
    </row>
    <row r="142" spans="2:9" x14ac:dyDescent="0.15">
      <c r="B142" s="6"/>
      <c r="C142" s="59"/>
      <c r="D142" s="34"/>
      <c r="E142" s="34"/>
      <c r="F142" s="34"/>
      <c r="G142" s="60"/>
      <c r="H142" s="8">
        <f t="shared" si="19"/>
        <v>0</v>
      </c>
    </row>
    <row r="143" spans="2:9" x14ac:dyDescent="0.15">
      <c r="B143" s="6"/>
      <c r="C143" s="59"/>
      <c r="D143" s="34"/>
      <c r="E143" s="34"/>
      <c r="F143" s="34"/>
      <c r="G143" s="60"/>
      <c r="H143" s="8">
        <f t="shared" si="19"/>
        <v>0</v>
      </c>
    </row>
    <row r="144" spans="2:9" x14ac:dyDescent="0.15">
      <c r="B144" s="6"/>
      <c r="C144" s="59"/>
      <c r="D144" s="34"/>
      <c r="E144" s="34"/>
      <c r="F144" s="34"/>
      <c r="G144" s="60"/>
      <c r="H144" s="8">
        <f t="shared" si="19"/>
        <v>0</v>
      </c>
    </row>
    <row r="145" spans="1:8" x14ac:dyDescent="0.15">
      <c r="B145" s="6"/>
      <c r="C145" s="59"/>
      <c r="D145" s="34"/>
      <c r="E145" s="34"/>
      <c r="F145" s="34"/>
      <c r="G145" s="60"/>
      <c r="H145" s="8">
        <f t="shared" si="19"/>
        <v>0</v>
      </c>
    </row>
    <row r="146" spans="1:8" x14ac:dyDescent="0.15">
      <c r="B146" s="6"/>
      <c r="C146" s="59"/>
      <c r="D146" s="34"/>
      <c r="E146" s="34"/>
      <c r="F146" s="34"/>
      <c r="G146" s="60"/>
      <c r="H146" s="8">
        <f t="shared" si="19"/>
        <v>0</v>
      </c>
    </row>
    <row r="147" spans="1:8" x14ac:dyDescent="0.15">
      <c r="B147" s="6"/>
      <c r="C147" s="59"/>
      <c r="D147" s="34"/>
      <c r="E147" s="34"/>
      <c r="F147" s="34"/>
      <c r="G147" s="60"/>
      <c r="H147" s="8">
        <f t="shared" si="19"/>
        <v>0</v>
      </c>
    </row>
    <row r="148" spans="1:8" x14ac:dyDescent="0.15">
      <c r="B148" s="6"/>
      <c r="C148" s="52"/>
      <c r="D148" s="33"/>
      <c r="E148" s="33"/>
      <c r="F148" s="33"/>
      <c r="G148" s="53"/>
      <c r="H148" s="8">
        <f t="shared" si="19"/>
        <v>0</v>
      </c>
    </row>
    <row r="149" spans="1:8" x14ac:dyDescent="0.15">
      <c r="B149" s="6"/>
      <c r="C149" s="52"/>
      <c r="D149" s="33"/>
      <c r="E149" s="33"/>
      <c r="F149" s="33"/>
      <c r="G149" s="53"/>
      <c r="H149" s="8">
        <f t="shared" si="19"/>
        <v>0</v>
      </c>
    </row>
    <row r="150" spans="1:8" x14ac:dyDescent="0.15">
      <c r="B150" s="6"/>
      <c r="C150" s="52"/>
      <c r="D150" s="33"/>
      <c r="E150" s="33"/>
      <c r="F150" s="33"/>
      <c r="G150" s="53"/>
      <c r="H150" s="8">
        <f t="shared" si="19"/>
        <v>0</v>
      </c>
    </row>
    <row r="151" spans="1:8" x14ac:dyDescent="0.15">
      <c r="B151" s="6"/>
      <c r="C151" s="52"/>
      <c r="D151" s="33"/>
      <c r="E151" s="33"/>
      <c r="F151" s="33"/>
      <c r="G151" s="53"/>
      <c r="H151" s="8">
        <f>SUM(C151:G151)</f>
        <v>0</v>
      </c>
    </row>
    <row r="152" spans="1:8" x14ac:dyDescent="0.15">
      <c r="B152" s="6"/>
      <c r="C152" s="52"/>
      <c r="D152" s="33"/>
      <c r="E152" s="33"/>
      <c r="F152" s="33"/>
      <c r="G152" s="53"/>
      <c r="H152" s="8">
        <f t="shared" ref="H152:H153" si="21">SUM(C152:G152)</f>
        <v>0</v>
      </c>
    </row>
    <row r="153" spans="1:8" ht="14.25" thickBot="1" x14ac:dyDescent="0.2">
      <c r="B153" s="6"/>
      <c r="C153" s="54"/>
      <c r="D153" s="40"/>
      <c r="E153" s="40"/>
      <c r="F153" s="40"/>
      <c r="G153" s="55"/>
      <c r="H153" s="5">
        <f t="shared" si="21"/>
        <v>0</v>
      </c>
    </row>
    <row r="154" spans="1:8" ht="14.25" thickBot="1" x14ac:dyDescent="0.2">
      <c r="B154" s="4" t="s">
        <v>1</v>
      </c>
      <c r="C154" s="61">
        <f>SUM(C129:C153)</f>
        <v>9</v>
      </c>
      <c r="D154" s="46">
        <f>SUM(D129:D153)</f>
        <v>1</v>
      </c>
      <c r="E154" s="46">
        <f>SUM(E129:E153)</f>
        <v>1</v>
      </c>
      <c r="F154" s="46">
        <f>SUM(F129:F153)</f>
        <v>3</v>
      </c>
      <c r="G154" s="47">
        <f>SUM(G129:G153)</f>
        <v>2</v>
      </c>
      <c r="H154" s="3">
        <f t="shared" ref="H154" si="22">SUM(H129:H153)</f>
        <v>16</v>
      </c>
    </row>
    <row r="155" spans="1:8" ht="14.25" thickBot="1" x14ac:dyDescent="0.2">
      <c r="B155" s="2" t="s">
        <v>0</v>
      </c>
      <c r="C155" s="56">
        <f t="shared" ref="C155:H155" si="23">+C128-C154</f>
        <v>2</v>
      </c>
      <c r="D155" s="43">
        <f t="shared" si="23"/>
        <v>3</v>
      </c>
      <c r="E155" s="43">
        <f t="shared" si="23"/>
        <v>5</v>
      </c>
      <c r="F155" s="43">
        <f t="shared" si="23"/>
        <v>4</v>
      </c>
      <c r="G155" s="44">
        <f t="shared" si="23"/>
        <v>3</v>
      </c>
      <c r="H155" s="13">
        <f t="shared" si="23"/>
        <v>17</v>
      </c>
    </row>
    <row r="157" spans="1:8" ht="18.75" x14ac:dyDescent="0.2">
      <c r="B157" s="21" t="s">
        <v>12</v>
      </c>
      <c r="C157" s="20"/>
      <c r="D157" s="20"/>
      <c r="E157" s="20"/>
      <c r="F157" s="20"/>
      <c r="G157" s="20"/>
      <c r="H157" s="20"/>
    </row>
    <row r="158" spans="1:8" ht="14.25" thickBot="1" x14ac:dyDescent="0.2">
      <c r="H158">
        <v>460</v>
      </c>
    </row>
    <row r="159" spans="1:8" ht="14.25" thickBot="1" x14ac:dyDescent="0.2">
      <c r="B159" s="19"/>
      <c r="C159" s="27"/>
      <c r="D159" s="27"/>
      <c r="E159" s="27"/>
      <c r="F159" s="27"/>
      <c r="G159" s="27"/>
      <c r="H159" s="28"/>
    </row>
    <row r="160" spans="1:8" ht="14.25" thickBot="1" x14ac:dyDescent="0.2">
      <c r="A160" s="1"/>
      <c r="B160" s="32"/>
      <c r="C160" s="48" t="s">
        <v>16</v>
      </c>
      <c r="D160" s="37" t="s">
        <v>15</v>
      </c>
      <c r="E160" s="38" t="s">
        <v>7</v>
      </c>
      <c r="F160" s="39" t="s">
        <v>9</v>
      </c>
      <c r="G160" s="49" t="s">
        <v>11</v>
      </c>
      <c r="H160" s="4" t="s">
        <v>6</v>
      </c>
    </row>
    <row r="161" spans="2:9" x14ac:dyDescent="0.15">
      <c r="B161" s="35" t="s">
        <v>5</v>
      </c>
      <c r="C161" s="50">
        <f>C155</f>
        <v>2</v>
      </c>
      <c r="D161" s="36">
        <f t="shared" ref="D161:G161" si="24">D155</f>
        <v>3</v>
      </c>
      <c r="E161" s="36">
        <f t="shared" si="24"/>
        <v>5</v>
      </c>
      <c r="F161" s="36">
        <f t="shared" si="24"/>
        <v>4</v>
      </c>
      <c r="G161" s="51">
        <f t="shared" si="24"/>
        <v>3</v>
      </c>
      <c r="H161" s="11">
        <f>H155</f>
        <v>17</v>
      </c>
    </row>
    <row r="162" spans="2:9" x14ac:dyDescent="0.15">
      <c r="B162" s="29" t="s">
        <v>4</v>
      </c>
      <c r="C162" s="52">
        <v>5</v>
      </c>
      <c r="D162" s="33"/>
      <c r="E162" s="33"/>
      <c r="F162" s="33"/>
      <c r="G162" s="53"/>
      <c r="H162" s="8">
        <f>SUM(C162:G162)</f>
        <v>5</v>
      </c>
      <c r="I162" s="9">
        <v>45017</v>
      </c>
    </row>
    <row r="163" spans="2:9" x14ac:dyDescent="0.15">
      <c r="B163" s="29" t="s">
        <v>4</v>
      </c>
      <c r="C163" s="52"/>
      <c r="D163" s="33"/>
      <c r="E163" s="33"/>
      <c r="F163" s="33">
        <v>3</v>
      </c>
      <c r="G163" s="53"/>
      <c r="H163" s="8">
        <f t="shared" ref="H163:H194" si="25">SUM(C163:G163)</f>
        <v>3</v>
      </c>
      <c r="I163" s="9">
        <v>45106</v>
      </c>
    </row>
    <row r="164" spans="2:9" x14ac:dyDescent="0.15">
      <c r="B164" s="29" t="s">
        <v>2</v>
      </c>
      <c r="C164" s="52">
        <v>2</v>
      </c>
      <c r="D164" s="33"/>
      <c r="E164" s="33"/>
      <c r="F164" s="33">
        <v>1</v>
      </c>
      <c r="G164" s="53"/>
      <c r="H164" s="8">
        <f t="shared" si="25"/>
        <v>3</v>
      </c>
      <c r="I164" s="9">
        <v>45146</v>
      </c>
    </row>
    <row r="165" spans="2:9" x14ac:dyDescent="0.15">
      <c r="B165" s="29" t="s">
        <v>4</v>
      </c>
      <c r="C165" s="52"/>
      <c r="D165" s="33"/>
      <c r="E165" s="33"/>
      <c r="F165" s="33"/>
      <c r="G165" s="53">
        <v>3</v>
      </c>
      <c r="H165" s="8">
        <f t="shared" si="25"/>
        <v>3</v>
      </c>
      <c r="I165" s="9">
        <v>45155</v>
      </c>
    </row>
    <row r="166" spans="2:9" x14ac:dyDescent="0.15">
      <c r="B166" s="62" t="s">
        <v>4</v>
      </c>
      <c r="C166" s="54"/>
      <c r="D166" s="40">
        <v>3</v>
      </c>
      <c r="E166" s="40"/>
      <c r="F166" s="40"/>
      <c r="G166" s="55"/>
      <c r="H166" s="8">
        <f t="shared" si="25"/>
        <v>3</v>
      </c>
      <c r="I166" s="9">
        <v>45238</v>
      </c>
    </row>
    <row r="167" spans="2:9" x14ac:dyDescent="0.15">
      <c r="B167" s="62" t="s">
        <v>4</v>
      </c>
      <c r="C167" s="52">
        <v>1</v>
      </c>
      <c r="D167" s="33">
        <v>3</v>
      </c>
      <c r="E167" s="33">
        <v>3</v>
      </c>
      <c r="F167" s="33">
        <v>3</v>
      </c>
      <c r="G167" s="53">
        <v>5</v>
      </c>
      <c r="H167" s="8">
        <f t="shared" si="25"/>
        <v>15</v>
      </c>
      <c r="I167" s="9">
        <v>45274</v>
      </c>
    </row>
    <row r="168" spans="2:9" x14ac:dyDescent="0.15">
      <c r="B168" s="62" t="s">
        <v>4</v>
      </c>
      <c r="C168" s="63" t="s">
        <v>17</v>
      </c>
      <c r="D168" s="33">
        <v>5</v>
      </c>
      <c r="E168" s="33"/>
      <c r="F168" s="33"/>
      <c r="G168" s="53"/>
      <c r="H168" s="8">
        <f t="shared" si="25"/>
        <v>5</v>
      </c>
      <c r="I168" s="9">
        <v>45390</v>
      </c>
    </row>
    <row r="169" spans="2:9" ht="14.25" thickBot="1" x14ac:dyDescent="0.2">
      <c r="B169" s="62" t="s">
        <v>4</v>
      </c>
      <c r="C169" s="64">
        <v>5</v>
      </c>
      <c r="D169" s="40"/>
      <c r="E169" s="40"/>
      <c r="F169" s="40"/>
      <c r="G169" s="55"/>
      <c r="H169" s="5">
        <f t="shared" si="25"/>
        <v>5</v>
      </c>
      <c r="I169" s="9">
        <v>45413</v>
      </c>
    </row>
    <row r="170" spans="2:9" ht="14.25" thickBot="1" x14ac:dyDescent="0.2">
      <c r="B170" s="30" t="s">
        <v>3</v>
      </c>
      <c r="C170" s="56">
        <f>SUM(C161:C169)</f>
        <v>15</v>
      </c>
      <c r="D170" s="43">
        <f t="shared" ref="D170:G170" si="26">SUM(D161:D169)</f>
        <v>14</v>
      </c>
      <c r="E170" s="43">
        <f t="shared" si="26"/>
        <v>8</v>
      </c>
      <c r="F170" s="43">
        <f t="shared" si="26"/>
        <v>11</v>
      </c>
      <c r="G170" s="44">
        <f t="shared" si="26"/>
        <v>11</v>
      </c>
      <c r="H170" s="13">
        <f>SUM(H161:H169)</f>
        <v>59</v>
      </c>
    </row>
    <row r="171" spans="2:9" x14ac:dyDescent="0.15">
      <c r="B171" s="41" t="s">
        <v>13</v>
      </c>
      <c r="C171" s="57">
        <v>1</v>
      </c>
      <c r="D171" s="42"/>
      <c r="E171" s="42"/>
      <c r="F171" s="42"/>
      <c r="G171" s="58"/>
      <c r="H171" s="7">
        <f t="shared" si="25"/>
        <v>1</v>
      </c>
      <c r="I171" s="9">
        <v>45040</v>
      </c>
    </row>
    <row r="172" spans="2:9" x14ac:dyDescent="0.15">
      <c r="B172" s="31" t="s">
        <v>13</v>
      </c>
      <c r="C172" s="52"/>
      <c r="D172" s="33"/>
      <c r="E172" s="33"/>
      <c r="F172" s="33">
        <v>1</v>
      </c>
      <c r="G172" s="53"/>
      <c r="H172" s="8">
        <f t="shared" si="25"/>
        <v>1</v>
      </c>
      <c r="I172" s="9">
        <v>45048</v>
      </c>
    </row>
    <row r="173" spans="2:9" x14ac:dyDescent="0.15">
      <c r="B173" s="31" t="s">
        <v>13</v>
      </c>
      <c r="C173" s="52"/>
      <c r="D173" s="33">
        <v>1</v>
      </c>
      <c r="E173" s="33"/>
      <c r="F173" s="33"/>
      <c r="G173" s="53"/>
      <c r="H173" s="8">
        <f t="shared" si="25"/>
        <v>1</v>
      </c>
      <c r="I173" s="9">
        <v>45061</v>
      </c>
    </row>
    <row r="174" spans="2:9" x14ac:dyDescent="0.15">
      <c r="B174" s="31" t="s">
        <v>13</v>
      </c>
      <c r="C174" s="52"/>
      <c r="D174" s="33"/>
      <c r="E174" s="33"/>
      <c r="F174" s="33">
        <v>1</v>
      </c>
      <c r="G174" s="53"/>
      <c r="H174" s="8">
        <f t="shared" si="25"/>
        <v>1</v>
      </c>
      <c r="I174" s="9">
        <v>45103</v>
      </c>
    </row>
    <row r="175" spans="2:9" x14ac:dyDescent="0.15">
      <c r="B175" s="31" t="s">
        <v>13</v>
      </c>
      <c r="C175" s="52"/>
      <c r="D175" s="33"/>
      <c r="E175" s="33"/>
      <c r="F175" s="33">
        <v>1</v>
      </c>
      <c r="G175" s="53"/>
      <c r="H175" s="8">
        <f t="shared" si="25"/>
        <v>1</v>
      </c>
      <c r="I175" s="9">
        <v>45125</v>
      </c>
    </row>
    <row r="176" spans="2:9" x14ac:dyDescent="0.15">
      <c r="B176" s="31" t="s">
        <v>13</v>
      </c>
      <c r="C176" s="52">
        <v>2</v>
      </c>
      <c r="D176" s="33"/>
      <c r="E176" s="33"/>
      <c r="F176" s="33"/>
      <c r="G176" s="53">
        <v>2</v>
      </c>
      <c r="H176" s="8">
        <f>SUM(C176:G176)</f>
        <v>4</v>
      </c>
      <c r="I176" s="9">
        <v>45131</v>
      </c>
    </row>
    <row r="177" spans="2:9" x14ac:dyDescent="0.15">
      <c r="B177" s="31" t="s">
        <v>13</v>
      </c>
      <c r="C177" s="52"/>
      <c r="D177" s="33"/>
      <c r="E177" s="33"/>
      <c r="F177" s="33"/>
      <c r="G177" s="53">
        <v>1</v>
      </c>
      <c r="H177" s="8">
        <f t="shared" si="25"/>
        <v>1</v>
      </c>
      <c r="I177" s="9">
        <v>45203</v>
      </c>
    </row>
    <row r="178" spans="2:9" x14ac:dyDescent="0.15">
      <c r="B178" s="31" t="s">
        <v>13</v>
      </c>
      <c r="C178" s="59"/>
      <c r="D178" s="34"/>
      <c r="E178" s="34">
        <v>1</v>
      </c>
      <c r="F178" s="34">
        <v>1</v>
      </c>
      <c r="G178" s="60"/>
      <c r="H178" s="8">
        <f t="shared" si="25"/>
        <v>2</v>
      </c>
      <c r="I178" s="9">
        <v>45206</v>
      </c>
    </row>
    <row r="179" spans="2:9" x14ac:dyDescent="0.15">
      <c r="B179" s="31" t="s">
        <v>13</v>
      </c>
      <c r="C179" s="59"/>
      <c r="D179" s="34">
        <v>1</v>
      </c>
      <c r="E179" s="34"/>
      <c r="F179" s="34"/>
      <c r="G179" s="60"/>
      <c r="H179" s="8">
        <f t="shared" si="25"/>
        <v>1</v>
      </c>
      <c r="I179" s="9">
        <v>45226</v>
      </c>
    </row>
    <row r="180" spans="2:9" x14ac:dyDescent="0.15">
      <c r="B180" s="31" t="s">
        <v>13</v>
      </c>
      <c r="C180" s="52"/>
      <c r="D180" s="33">
        <v>1</v>
      </c>
      <c r="E180" s="33">
        <v>1</v>
      </c>
      <c r="F180" s="33">
        <v>1</v>
      </c>
      <c r="G180" s="53">
        <v>1</v>
      </c>
      <c r="H180" s="8">
        <f t="shared" si="25"/>
        <v>4</v>
      </c>
      <c r="I180" s="9">
        <v>45234</v>
      </c>
    </row>
    <row r="181" spans="2:9" x14ac:dyDescent="0.15">
      <c r="B181" s="31" t="s">
        <v>13</v>
      </c>
      <c r="C181" s="59"/>
      <c r="D181" s="34"/>
      <c r="E181" s="34">
        <v>1</v>
      </c>
      <c r="F181" s="34"/>
      <c r="G181" s="60"/>
      <c r="H181" s="8">
        <f t="shared" si="25"/>
        <v>1</v>
      </c>
      <c r="I181" s="9">
        <v>45258</v>
      </c>
    </row>
    <row r="182" spans="2:9" x14ac:dyDescent="0.15">
      <c r="B182" s="31" t="s">
        <v>13</v>
      </c>
      <c r="C182" s="59"/>
      <c r="D182" s="34">
        <v>1</v>
      </c>
      <c r="E182" s="34"/>
      <c r="F182" s="34"/>
      <c r="G182" s="60">
        <v>1</v>
      </c>
      <c r="H182" s="8">
        <f t="shared" si="25"/>
        <v>2</v>
      </c>
      <c r="I182" s="9">
        <v>45260</v>
      </c>
    </row>
    <row r="183" spans="2:9" x14ac:dyDescent="0.15">
      <c r="B183" s="31" t="s">
        <v>13</v>
      </c>
      <c r="C183" s="52"/>
      <c r="D183" s="33">
        <v>1</v>
      </c>
      <c r="E183" s="33"/>
      <c r="F183" s="33"/>
      <c r="G183" s="53"/>
      <c r="H183" s="8">
        <f t="shared" si="25"/>
        <v>1</v>
      </c>
      <c r="I183" s="9">
        <v>45315</v>
      </c>
    </row>
    <row r="184" spans="2:9" x14ac:dyDescent="0.15">
      <c r="B184" s="31" t="s">
        <v>13</v>
      </c>
      <c r="C184" s="59"/>
      <c r="D184" s="34"/>
      <c r="E184" s="34"/>
      <c r="F184" s="34">
        <v>1</v>
      </c>
      <c r="G184" s="60"/>
      <c r="H184" s="8">
        <f t="shared" si="25"/>
        <v>1</v>
      </c>
      <c r="I184" s="9">
        <v>45348</v>
      </c>
    </row>
    <row r="185" spans="2:9" x14ac:dyDescent="0.15">
      <c r="B185" s="31" t="s">
        <v>13</v>
      </c>
      <c r="C185" s="59">
        <v>5</v>
      </c>
      <c r="D185" s="34"/>
      <c r="E185" s="34"/>
      <c r="F185" s="34"/>
      <c r="G185" s="60"/>
      <c r="H185" s="8">
        <f t="shared" si="25"/>
        <v>5</v>
      </c>
      <c r="I185" s="9">
        <v>45350</v>
      </c>
    </row>
    <row r="186" spans="2:9" x14ac:dyDescent="0.15">
      <c r="B186" s="31" t="s">
        <v>13</v>
      </c>
      <c r="C186" s="59">
        <v>1</v>
      </c>
      <c r="D186" s="34"/>
      <c r="E186" s="34"/>
      <c r="F186" s="34"/>
      <c r="G186" s="60"/>
      <c r="H186" s="8">
        <f t="shared" si="25"/>
        <v>1</v>
      </c>
      <c r="I186" s="9">
        <v>45362</v>
      </c>
    </row>
    <row r="187" spans="2:9" x14ac:dyDescent="0.15">
      <c r="B187" s="31" t="s">
        <v>13</v>
      </c>
      <c r="C187" s="59"/>
      <c r="D187" s="34"/>
      <c r="E187" s="34"/>
      <c r="F187" s="34"/>
      <c r="G187" s="60">
        <v>1</v>
      </c>
      <c r="H187" s="8">
        <f t="shared" si="25"/>
        <v>1</v>
      </c>
      <c r="I187" s="9">
        <v>45369</v>
      </c>
    </row>
    <row r="188" spans="2:9" x14ac:dyDescent="0.15">
      <c r="B188" s="31" t="s">
        <v>13</v>
      </c>
      <c r="C188" s="59"/>
      <c r="D188" s="34">
        <v>1</v>
      </c>
      <c r="E188" s="34"/>
      <c r="F188" s="34"/>
      <c r="G188" s="60"/>
      <c r="H188" s="8">
        <f t="shared" si="25"/>
        <v>1</v>
      </c>
      <c r="I188" s="9">
        <v>45376</v>
      </c>
    </row>
    <row r="189" spans="2:9" x14ac:dyDescent="0.15">
      <c r="B189" s="31" t="s">
        <v>13</v>
      </c>
      <c r="C189" s="59"/>
      <c r="D189" s="34"/>
      <c r="E189" s="34"/>
      <c r="F189" s="34">
        <v>1</v>
      </c>
      <c r="G189" s="60"/>
      <c r="H189" s="8">
        <f t="shared" si="25"/>
        <v>1</v>
      </c>
      <c r="I189" s="9">
        <v>45419</v>
      </c>
    </row>
    <row r="190" spans="2:9" x14ac:dyDescent="0.15">
      <c r="B190" s="31" t="s">
        <v>13</v>
      </c>
      <c r="C190" s="52">
        <f>1+1</f>
        <v>2</v>
      </c>
      <c r="D190" s="33"/>
      <c r="E190" s="33"/>
      <c r="F190" s="33"/>
      <c r="G190" s="53"/>
      <c r="H190" s="8">
        <f t="shared" si="25"/>
        <v>2</v>
      </c>
      <c r="I190" s="9">
        <v>45453</v>
      </c>
    </row>
    <row r="191" spans="2:9" x14ac:dyDescent="0.15">
      <c r="B191" s="31" t="s">
        <v>13</v>
      </c>
      <c r="C191" s="52"/>
      <c r="D191" s="33"/>
      <c r="E191" s="33">
        <v>1</v>
      </c>
      <c r="F191" s="33"/>
      <c r="G191" s="53"/>
      <c r="H191" s="8">
        <f t="shared" si="25"/>
        <v>1</v>
      </c>
      <c r="I191" s="9">
        <v>45478</v>
      </c>
    </row>
    <row r="192" spans="2:9" x14ac:dyDescent="0.15">
      <c r="B192" s="31" t="s">
        <v>13</v>
      </c>
      <c r="C192" s="52"/>
      <c r="D192" s="33">
        <v>1</v>
      </c>
      <c r="E192" s="33"/>
      <c r="F192" s="33">
        <v>1</v>
      </c>
      <c r="G192" s="53"/>
      <c r="H192" s="8">
        <f t="shared" si="25"/>
        <v>2</v>
      </c>
      <c r="I192" s="9">
        <v>45506</v>
      </c>
    </row>
    <row r="193" spans="1:9" x14ac:dyDescent="0.15">
      <c r="B193" s="31" t="s">
        <v>2</v>
      </c>
      <c r="C193" s="52"/>
      <c r="D193" s="33">
        <v>5</v>
      </c>
      <c r="E193" s="33"/>
      <c r="F193" s="33"/>
      <c r="G193" s="53"/>
      <c r="H193" s="8">
        <f t="shared" si="25"/>
        <v>5</v>
      </c>
      <c r="I193" s="9">
        <v>45526</v>
      </c>
    </row>
    <row r="194" spans="1:9" x14ac:dyDescent="0.15">
      <c r="B194" s="31"/>
      <c r="C194" s="52"/>
      <c r="D194" s="33"/>
      <c r="E194" s="33"/>
      <c r="F194" s="33"/>
      <c r="G194" s="53"/>
      <c r="H194" s="8">
        <f t="shared" si="25"/>
        <v>0</v>
      </c>
    </row>
    <row r="195" spans="1:9" ht="14.25" thickBot="1" x14ac:dyDescent="0.2">
      <c r="B195" s="45"/>
      <c r="C195" s="54"/>
      <c r="D195" s="40"/>
      <c r="E195" s="40"/>
      <c r="F195" s="40"/>
      <c r="G195" s="55"/>
      <c r="H195" s="5">
        <f t="shared" ref="H195" si="27">SUM(C195:G195)</f>
        <v>0</v>
      </c>
    </row>
    <row r="196" spans="1:9" ht="14.25" thickBot="1" x14ac:dyDescent="0.2">
      <c r="B196" s="32" t="s">
        <v>1</v>
      </c>
      <c r="C196" s="61">
        <f>SUM(C171:C195)</f>
        <v>11</v>
      </c>
      <c r="D196" s="46">
        <f t="shared" ref="D196:G196" si="28">SUM(D171:D195)</f>
        <v>12</v>
      </c>
      <c r="E196" s="46">
        <f t="shared" si="28"/>
        <v>4</v>
      </c>
      <c r="F196" s="46">
        <f t="shared" si="28"/>
        <v>8</v>
      </c>
      <c r="G196" s="47">
        <f t="shared" si="28"/>
        <v>6</v>
      </c>
      <c r="H196" s="3">
        <f>SUM(H171:H195)</f>
        <v>41</v>
      </c>
    </row>
    <row r="197" spans="1:9" ht="14.25" thickBot="1" x14ac:dyDescent="0.2">
      <c r="B197" s="30" t="s">
        <v>0</v>
      </c>
      <c r="C197" s="56">
        <f>+C170-C196</f>
        <v>4</v>
      </c>
      <c r="D197" s="43">
        <f t="shared" ref="D197:G197" si="29">+D170-D196</f>
        <v>2</v>
      </c>
      <c r="E197" s="43">
        <f t="shared" si="29"/>
        <v>4</v>
      </c>
      <c r="F197" s="43">
        <f t="shared" si="29"/>
        <v>3</v>
      </c>
      <c r="G197" s="44">
        <f t="shared" si="29"/>
        <v>5</v>
      </c>
      <c r="H197" s="13">
        <f>+H170-H196</f>
        <v>18</v>
      </c>
    </row>
    <row r="199" spans="1:9" ht="18.75" x14ac:dyDescent="0.2">
      <c r="B199" s="21" t="s">
        <v>12</v>
      </c>
      <c r="C199" s="20"/>
      <c r="D199" s="20"/>
      <c r="E199" s="20"/>
      <c r="F199" s="20"/>
      <c r="G199" s="20"/>
      <c r="H199" s="20"/>
    </row>
    <row r="200" spans="1:9" ht="14.25" thickBot="1" x14ac:dyDescent="0.2">
      <c r="H200">
        <v>460</v>
      </c>
    </row>
    <row r="201" spans="1:9" ht="14.25" thickBot="1" x14ac:dyDescent="0.2">
      <c r="B201" s="19"/>
      <c r="C201" s="27"/>
      <c r="D201" s="27"/>
      <c r="E201" s="27"/>
      <c r="F201" s="27"/>
      <c r="G201" s="27"/>
      <c r="H201" s="28"/>
    </row>
    <row r="202" spans="1:9" ht="14.25" thickBot="1" x14ac:dyDescent="0.2">
      <c r="A202" s="1"/>
      <c r="B202" s="32"/>
      <c r="C202" s="48" t="s">
        <v>16</v>
      </c>
      <c r="D202" s="37" t="s">
        <v>15</v>
      </c>
      <c r="E202" s="38" t="s">
        <v>7</v>
      </c>
      <c r="F202" s="39" t="s">
        <v>9</v>
      </c>
      <c r="G202" s="49" t="s">
        <v>11</v>
      </c>
      <c r="H202" s="4" t="s">
        <v>6</v>
      </c>
    </row>
    <row r="203" spans="1:9" x14ac:dyDescent="0.15">
      <c r="B203" s="35" t="s">
        <v>5</v>
      </c>
      <c r="C203" s="50">
        <f>C197</f>
        <v>4</v>
      </c>
      <c r="D203" s="36">
        <f t="shared" ref="D203:G203" si="30">D197</f>
        <v>2</v>
      </c>
      <c r="E203" s="36">
        <f t="shared" si="30"/>
        <v>4</v>
      </c>
      <c r="F203" s="36">
        <f t="shared" si="30"/>
        <v>3</v>
      </c>
      <c r="G203" s="51">
        <f t="shared" si="30"/>
        <v>5</v>
      </c>
      <c r="H203" s="11">
        <f>H197</f>
        <v>18</v>
      </c>
    </row>
    <row r="204" spans="1:9" x14ac:dyDescent="0.15">
      <c r="B204" s="29" t="s">
        <v>4</v>
      </c>
      <c r="C204" s="65"/>
      <c r="D204" s="33">
        <v>3</v>
      </c>
      <c r="E204" s="33"/>
      <c r="F204" s="33">
        <v>3</v>
      </c>
      <c r="G204" s="53"/>
      <c r="H204" s="8">
        <f>SUM(C204:G204)</f>
        <v>6</v>
      </c>
      <c r="I204" s="9">
        <v>45544</v>
      </c>
    </row>
    <row r="205" spans="1:9" x14ac:dyDescent="0.15">
      <c r="B205" s="29" t="s">
        <v>4</v>
      </c>
      <c r="C205" s="65"/>
      <c r="D205" s="33"/>
      <c r="E205" s="33">
        <v>3</v>
      </c>
      <c r="F205" s="33"/>
      <c r="G205" s="53"/>
      <c r="H205" s="8">
        <f t="shared" ref="H205:H211" si="31">SUM(C205:G205)</f>
        <v>3</v>
      </c>
      <c r="I205" s="9">
        <v>45665</v>
      </c>
    </row>
    <row r="206" spans="1:9" x14ac:dyDescent="0.15">
      <c r="B206" s="29" t="s">
        <v>4</v>
      </c>
      <c r="C206" s="65"/>
      <c r="D206" s="33">
        <v>5</v>
      </c>
      <c r="E206" s="33"/>
      <c r="F206" s="33"/>
      <c r="G206" s="53">
        <v>3</v>
      </c>
      <c r="H206" s="8">
        <f t="shared" si="31"/>
        <v>8</v>
      </c>
      <c r="I206" s="9">
        <v>45678</v>
      </c>
    </row>
    <row r="207" spans="1:9" x14ac:dyDescent="0.15">
      <c r="B207" s="29" t="s">
        <v>4</v>
      </c>
      <c r="C207" s="65"/>
      <c r="D207" s="33"/>
      <c r="E207" s="33"/>
      <c r="F207" s="33">
        <v>3</v>
      </c>
      <c r="G207" s="53"/>
      <c r="H207" s="8">
        <f t="shared" si="31"/>
        <v>3</v>
      </c>
      <c r="I207" s="9">
        <v>45779</v>
      </c>
    </row>
    <row r="208" spans="1:9" x14ac:dyDescent="0.15">
      <c r="B208" s="29" t="s">
        <v>4</v>
      </c>
      <c r="C208" s="66"/>
      <c r="D208" s="40"/>
      <c r="E208" s="40"/>
      <c r="F208" s="40"/>
      <c r="G208" s="55">
        <v>3</v>
      </c>
      <c r="H208" s="8">
        <f t="shared" si="31"/>
        <v>3</v>
      </c>
      <c r="I208" s="9">
        <v>45806</v>
      </c>
    </row>
    <row r="209" spans="2:9" x14ac:dyDescent="0.15">
      <c r="B209" s="29" t="s">
        <v>2</v>
      </c>
      <c r="C209" s="65"/>
      <c r="D209" s="33">
        <v>0</v>
      </c>
      <c r="E209" s="33">
        <v>0</v>
      </c>
      <c r="F209" s="33">
        <v>0</v>
      </c>
      <c r="G209" s="53">
        <v>0</v>
      </c>
      <c r="H209" s="8">
        <f t="shared" si="31"/>
        <v>0</v>
      </c>
      <c r="I209" s="9">
        <v>45889</v>
      </c>
    </row>
    <row r="210" spans="2:9" x14ac:dyDescent="0.15">
      <c r="B210" s="73" t="s">
        <v>4</v>
      </c>
      <c r="C210" s="74"/>
      <c r="D210" s="69"/>
      <c r="E210" s="69"/>
      <c r="F210" s="69">
        <v>3</v>
      </c>
      <c r="G210" s="70"/>
      <c r="H210" s="71">
        <f t="shared" si="31"/>
        <v>3</v>
      </c>
      <c r="I210" s="10">
        <v>45971</v>
      </c>
    </row>
    <row r="211" spans="2:9" ht="14.25" thickBot="1" x14ac:dyDescent="0.2">
      <c r="B211" s="62" t="s">
        <v>4</v>
      </c>
      <c r="C211" s="66"/>
      <c r="D211" s="40"/>
      <c r="E211" s="40"/>
      <c r="F211" s="40"/>
      <c r="G211" s="55"/>
      <c r="H211" s="5">
        <f t="shared" si="31"/>
        <v>0</v>
      </c>
    </row>
    <row r="212" spans="2:9" ht="14.25" thickBot="1" x14ac:dyDescent="0.2">
      <c r="B212" s="30" t="s">
        <v>3</v>
      </c>
      <c r="C212" s="56">
        <f>SUM(C203:C211)</f>
        <v>4</v>
      </c>
      <c r="D212" s="43">
        <f t="shared" ref="D212:G212" si="32">SUM(D203:D211)</f>
        <v>10</v>
      </c>
      <c r="E212" s="43">
        <f t="shared" si="32"/>
        <v>7</v>
      </c>
      <c r="F212" s="43">
        <f t="shared" si="32"/>
        <v>12</v>
      </c>
      <c r="G212" s="44">
        <f t="shared" si="32"/>
        <v>11</v>
      </c>
      <c r="H212" s="13">
        <f>SUM(H203:H211)</f>
        <v>44</v>
      </c>
    </row>
    <row r="213" spans="2:9" x14ac:dyDescent="0.15">
      <c r="B213" s="31" t="s">
        <v>13</v>
      </c>
      <c r="C213" s="52">
        <v>1</v>
      </c>
      <c r="D213" s="33"/>
      <c r="E213" s="33"/>
      <c r="F213" s="33"/>
      <c r="G213" s="53"/>
      <c r="H213" s="8">
        <f t="shared" ref="H213:H234" si="33">SUM(C213:G213)</f>
        <v>1</v>
      </c>
      <c r="I213" s="9">
        <v>45537</v>
      </c>
    </row>
    <row r="214" spans="2:9" x14ac:dyDescent="0.15">
      <c r="B214" s="31" t="s">
        <v>13</v>
      </c>
      <c r="C214" s="52"/>
      <c r="D214" s="33"/>
      <c r="E214" s="33"/>
      <c r="F214" s="33">
        <v>1</v>
      </c>
      <c r="G214" s="53"/>
      <c r="H214" s="8">
        <f t="shared" si="33"/>
        <v>1</v>
      </c>
      <c r="I214" s="9">
        <v>45570</v>
      </c>
    </row>
    <row r="215" spans="2:9" x14ac:dyDescent="0.15">
      <c r="B215" s="31" t="s">
        <v>13</v>
      </c>
      <c r="C215" s="52"/>
      <c r="D215" s="33"/>
      <c r="E215" s="33">
        <v>1</v>
      </c>
      <c r="F215" s="33"/>
      <c r="G215" s="53"/>
      <c r="H215" s="8">
        <f t="shared" si="33"/>
        <v>1</v>
      </c>
      <c r="I215" s="9">
        <v>45615</v>
      </c>
    </row>
    <row r="216" spans="2:9" x14ac:dyDescent="0.15">
      <c r="B216" s="31" t="s">
        <v>13</v>
      </c>
      <c r="C216" s="52">
        <v>1</v>
      </c>
      <c r="D216" s="33"/>
      <c r="E216" s="33"/>
      <c r="F216" s="33"/>
      <c r="G216" s="53"/>
      <c r="H216" s="8">
        <f t="shared" si="33"/>
        <v>1</v>
      </c>
      <c r="I216" s="9">
        <v>45617</v>
      </c>
    </row>
    <row r="217" spans="2:9" x14ac:dyDescent="0.15">
      <c r="B217" s="31" t="s">
        <v>13</v>
      </c>
      <c r="C217" s="52"/>
      <c r="D217" s="33">
        <v>1</v>
      </c>
      <c r="E217" s="33">
        <v>1</v>
      </c>
      <c r="F217" s="33"/>
      <c r="G217" s="53">
        <v>1</v>
      </c>
      <c r="H217" s="8">
        <f t="shared" si="33"/>
        <v>3</v>
      </c>
      <c r="I217" s="9">
        <v>45621</v>
      </c>
    </row>
    <row r="218" spans="2:9" x14ac:dyDescent="0.15">
      <c r="B218" s="31" t="s">
        <v>13</v>
      </c>
      <c r="C218" s="52"/>
      <c r="D218" s="33"/>
      <c r="E218" s="33"/>
      <c r="F218" s="33"/>
      <c r="G218" s="53">
        <v>1</v>
      </c>
      <c r="H218" s="8">
        <f t="shared" si="33"/>
        <v>1</v>
      </c>
      <c r="I218" s="9">
        <v>45624</v>
      </c>
    </row>
    <row r="219" spans="2:9" x14ac:dyDescent="0.15">
      <c r="B219" s="31" t="s">
        <v>13</v>
      </c>
      <c r="C219" s="52"/>
      <c r="D219" s="33">
        <v>1</v>
      </c>
      <c r="E219" s="33">
        <v>1</v>
      </c>
      <c r="F219" s="33"/>
      <c r="G219" s="53"/>
      <c r="H219" s="8">
        <f t="shared" si="33"/>
        <v>2</v>
      </c>
      <c r="I219" s="9">
        <v>45647</v>
      </c>
    </row>
    <row r="220" spans="2:9" x14ac:dyDescent="0.15">
      <c r="B220" s="31" t="s">
        <v>13</v>
      </c>
      <c r="C220" s="52"/>
      <c r="D220" s="33"/>
      <c r="E220" s="33"/>
      <c r="F220" s="33"/>
      <c r="G220" s="53">
        <v>1</v>
      </c>
      <c r="H220" s="8">
        <f t="shared" si="33"/>
        <v>1</v>
      </c>
      <c r="I220" s="9">
        <v>45667</v>
      </c>
    </row>
    <row r="221" spans="2:9" x14ac:dyDescent="0.15">
      <c r="B221" s="31" t="s">
        <v>13</v>
      </c>
      <c r="C221" s="52">
        <v>1</v>
      </c>
      <c r="D221" s="33">
        <v>1</v>
      </c>
      <c r="E221" s="33"/>
      <c r="F221" s="33"/>
      <c r="G221" s="53"/>
      <c r="H221" s="8">
        <f t="shared" si="33"/>
        <v>2</v>
      </c>
      <c r="I221" s="9">
        <v>45668</v>
      </c>
    </row>
    <row r="222" spans="2:9" x14ac:dyDescent="0.15">
      <c r="B222" s="31" t="s">
        <v>13</v>
      </c>
      <c r="C222" s="52">
        <v>1</v>
      </c>
      <c r="D222" s="33"/>
      <c r="E222" s="33"/>
      <c r="F222" s="33"/>
      <c r="G222" s="53">
        <v>1</v>
      </c>
      <c r="H222" s="8">
        <f t="shared" si="33"/>
        <v>2</v>
      </c>
      <c r="I222" s="9">
        <v>45672</v>
      </c>
    </row>
    <row r="223" spans="2:9" x14ac:dyDescent="0.15">
      <c r="B223" s="31" t="s">
        <v>13</v>
      </c>
      <c r="C223" s="52"/>
      <c r="D223" s="33"/>
      <c r="E223" s="33"/>
      <c r="F223" s="33">
        <v>1</v>
      </c>
      <c r="G223" s="53"/>
      <c r="H223" s="8">
        <f t="shared" si="33"/>
        <v>1</v>
      </c>
      <c r="I223" s="9">
        <v>45772</v>
      </c>
    </row>
    <row r="224" spans="2:9" x14ac:dyDescent="0.15">
      <c r="B224" s="67"/>
      <c r="C224" s="68"/>
      <c r="D224" s="69"/>
      <c r="E224" s="69"/>
      <c r="F224" s="69">
        <v>1</v>
      </c>
      <c r="G224" s="70"/>
      <c r="H224" s="71">
        <f t="shared" si="33"/>
        <v>1</v>
      </c>
      <c r="I224" s="72"/>
    </row>
    <row r="225" spans="2:9" x14ac:dyDescent="0.15">
      <c r="B225" s="31" t="s">
        <v>13</v>
      </c>
      <c r="C225" s="52"/>
      <c r="D225" s="33"/>
      <c r="E225" s="33"/>
      <c r="F225" s="33">
        <v>1</v>
      </c>
      <c r="G225" s="53">
        <v>1</v>
      </c>
      <c r="H225" s="8">
        <f t="shared" si="33"/>
        <v>2</v>
      </c>
      <c r="I225" s="9">
        <v>45786</v>
      </c>
    </row>
    <row r="226" spans="2:9" x14ac:dyDescent="0.15">
      <c r="B226" s="31" t="s">
        <v>13</v>
      </c>
      <c r="C226" s="52"/>
      <c r="D226" s="33"/>
      <c r="E226" s="33"/>
      <c r="F226" s="33"/>
      <c r="G226" s="53">
        <v>1</v>
      </c>
      <c r="H226" s="8">
        <f t="shared" si="33"/>
        <v>1</v>
      </c>
      <c r="I226" s="9">
        <v>45797</v>
      </c>
    </row>
    <row r="227" spans="2:9" x14ac:dyDescent="0.15">
      <c r="B227" s="31" t="s">
        <v>13</v>
      </c>
      <c r="C227" s="52"/>
      <c r="D227" s="33"/>
      <c r="E227" s="33"/>
      <c r="F227" s="33">
        <v>1</v>
      </c>
      <c r="G227" s="53"/>
      <c r="H227" s="8">
        <f t="shared" si="33"/>
        <v>1</v>
      </c>
      <c r="I227" s="9">
        <v>45805</v>
      </c>
    </row>
    <row r="228" spans="2:9" x14ac:dyDescent="0.15">
      <c r="B228" s="31" t="s">
        <v>13</v>
      </c>
      <c r="C228" s="52"/>
      <c r="D228" s="33"/>
      <c r="E228" s="33"/>
      <c r="F228" s="33"/>
      <c r="G228" s="53">
        <v>1</v>
      </c>
      <c r="H228" s="8">
        <f t="shared" si="33"/>
        <v>1</v>
      </c>
      <c r="I228" s="9">
        <v>45813</v>
      </c>
    </row>
    <row r="229" spans="2:9" x14ac:dyDescent="0.15">
      <c r="B229" s="31" t="s">
        <v>13</v>
      </c>
      <c r="C229" s="52"/>
      <c r="D229" s="33"/>
      <c r="E229" s="33"/>
      <c r="F229" s="33">
        <v>1</v>
      </c>
      <c r="G229" s="53"/>
      <c r="H229" s="8">
        <f t="shared" si="33"/>
        <v>1</v>
      </c>
      <c r="I229" s="9">
        <v>45847</v>
      </c>
    </row>
    <row r="230" spans="2:9" x14ac:dyDescent="0.15">
      <c r="B230" s="31" t="s">
        <v>13</v>
      </c>
      <c r="C230" s="52"/>
      <c r="D230" s="33"/>
      <c r="E230" s="33">
        <v>1</v>
      </c>
      <c r="F230" s="33"/>
      <c r="G230" s="53"/>
      <c r="H230" s="8">
        <f t="shared" si="33"/>
        <v>1</v>
      </c>
      <c r="I230" s="9">
        <v>45849</v>
      </c>
    </row>
    <row r="231" spans="2:9" x14ac:dyDescent="0.15">
      <c r="B231" s="31" t="s">
        <v>13</v>
      </c>
      <c r="C231" s="52"/>
      <c r="D231" s="33"/>
      <c r="E231" s="33"/>
      <c r="F231" s="33"/>
      <c r="G231" s="53">
        <v>1</v>
      </c>
      <c r="H231" s="8">
        <f t="shared" si="33"/>
        <v>1</v>
      </c>
      <c r="I231" s="9">
        <v>45868</v>
      </c>
    </row>
    <row r="232" spans="2:9" x14ac:dyDescent="0.15">
      <c r="B232" s="31" t="s">
        <v>13</v>
      </c>
      <c r="C232" s="52"/>
      <c r="D232" s="33">
        <v>1</v>
      </c>
      <c r="E232" s="33"/>
      <c r="F232" s="33"/>
      <c r="G232" s="53"/>
      <c r="H232" s="8">
        <f t="shared" si="33"/>
        <v>1</v>
      </c>
      <c r="I232" s="9">
        <v>45901</v>
      </c>
    </row>
    <row r="233" spans="2:9" x14ac:dyDescent="0.15">
      <c r="B233" s="31" t="s">
        <v>13</v>
      </c>
      <c r="C233" s="52"/>
      <c r="D233" s="33"/>
      <c r="E233" s="33">
        <v>1</v>
      </c>
      <c r="F233" s="33"/>
      <c r="G233" s="53"/>
      <c r="H233" s="8">
        <f t="shared" si="33"/>
        <v>1</v>
      </c>
      <c r="I233" s="9">
        <v>45946</v>
      </c>
    </row>
    <row r="234" spans="2:9" x14ac:dyDescent="0.15">
      <c r="B234" s="31" t="s">
        <v>13</v>
      </c>
      <c r="C234" s="52"/>
      <c r="D234" s="33">
        <v>1</v>
      </c>
      <c r="E234" s="33"/>
      <c r="F234" s="33">
        <v>1</v>
      </c>
      <c r="G234" s="53"/>
      <c r="H234" s="8">
        <f t="shared" si="33"/>
        <v>2</v>
      </c>
      <c r="I234" s="9">
        <v>45952</v>
      </c>
    </row>
    <row r="235" spans="2:9" x14ac:dyDescent="0.15">
      <c r="B235" s="31" t="s">
        <v>13</v>
      </c>
      <c r="C235" s="52"/>
      <c r="D235" s="33"/>
      <c r="E235" s="33"/>
      <c r="F235" s="33">
        <v>2</v>
      </c>
      <c r="G235" s="53"/>
      <c r="H235" s="8">
        <f>SUM(C235:G235)</f>
        <v>2</v>
      </c>
      <c r="I235" s="9">
        <v>45957</v>
      </c>
    </row>
    <row r="236" spans="2:9" x14ac:dyDescent="0.15">
      <c r="B236" s="31" t="s">
        <v>13</v>
      </c>
      <c r="C236" s="52"/>
      <c r="D236" s="33"/>
      <c r="E236" s="33"/>
      <c r="F236" s="33">
        <v>1</v>
      </c>
      <c r="G236" s="53"/>
      <c r="H236" s="8">
        <f t="shared" ref="H236:H237" si="34">SUM(C236:G236)</f>
        <v>1</v>
      </c>
      <c r="I236" s="9">
        <v>45982</v>
      </c>
    </row>
    <row r="237" spans="2:9" ht="14.25" thickBot="1" x14ac:dyDescent="0.2">
      <c r="B237" s="31" t="s">
        <v>13</v>
      </c>
      <c r="C237" s="54"/>
      <c r="D237" s="40"/>
      <c r="E237" s="40"/>
      <c r="F237" s="40"/>
      <c r="G237" s="55">
        <v>1</v>
      </c>
      <c r="H237" s="5">
        <f t="shared" si="34"/>
        <v>1</v>
      </c>
      <c r="I237" s="9">
        <v>45996</v>
      </c>
    </row>
    <row r="238" spans="2:9" ht="14.25" thickBot="1" x14ac:dyDescent="0.2">
      <c r="B238" s="32" t="s">
        <v>1</v>
      </c>
      <c r="C238" s="61">
        <f>SUM(C213:C237)</f>
        <v>4</v>
      </c>
      <c r="D238" s="46">
        <f t="shared" ref="D238:G238" si="35">SUM(D213:D237)</f>
        <v>5</v>
      </c>
      <c r="E238" s="46">
        <f t="shared" si="35"/>
        <v>5</v>
      </c>
      <c r="F238" s="46">
        <f t="shared" si="35"/>
        <v>10</v>
      </c>
      <c r="G238" s="47">
        <f t="shared" si="35"/>
        <v>9</v>
      </c>
      <c r="H238" s="3">
        <f>SUM(H213:H237)</f>
        <v>33</v>
      </c>
    </row>
    <row r="239" spans="2:9" ht="14.25" thickBot="1" x14ac:dyDescent="0.2">
      <c r="B239" s="30" t="s">
        <v>0</v>
      </c>
      <c r="C239" s="56">
        <f>+C212-C238</f>
        <v>0</v>
      </c>
      <c r="D239" s="43">
        <f t="shared" ref="D239:G239" si="36">+D212-D238</f>
        <v>5</v>
      </c>
      <c r="E239" s="43">
        <f t="shared" si="36"/>
        <v>2</v>
      </c>
      <c r="F239" s="43">
        <f t="shared" si="36"/>
        <v>2</v>
      </c>
      <c r="G239" s="44">
        <f t="shared" si="36"/>
        <v>2</v>
      </c>
      <c r="H239" s="13">
        <f>+H212-H238</f>
        <v>11</v>
      </c>
    </row>
    <row r="241" spans="2:9" ht="18.75" x14ac:dyDescent="0.2">
      <c r="B241" s="21" t="s">
        <v>12</v>
      </c>
      <c r="C241" s="20"/>
      <c r="D241" s="20"/>
      <c r="E241" s="20"/>
      <c r="F241" s="20"/>
      <c r="G241" s="20"/>
      <c r="H241" s="20"/>
    </row>
    <row r="242" spans="2:9" ht="14.25" thickBot="1" x14ac:dyDescent="0.2">
      <c r="H242">
        <v>460</v>
      </c>
    </row>
    <row r="243" spans="2:9" ht="14.25" thickBot="1" x14ac:dyDescent="0.2">
      <c r="B243" s="19"/>
      <c r="C243" s="27"/>
      <c r="D243" s="27"/>
      <c r="E243" s="27"/>
      <c r="F243" s="27"/>
      <c r="G243" s="27"/>
      <c r="H243" s="28"/>
    </row>
    <row r="244" spans="2:9" ht="14.25" thickBot="1" x14ac:dyDescent="0.2">
      <c r="B244" s="32"/>
      <c r="C244" s="48" t="s">
        <v>16</v>
      </c>
      <c r="D244" s="37" t="s">
        <v>15</v>
      </c>
      <c r="E244" s="38" t="s">
        <v>7</v>
      </c>
      <c r="F244" s="39" t="s">
        <v>9</v>
      </c>
      <c r="G244" s="49" t="s">
        <v>11</v>
      </c>
      <c r="H244" s="4" t="s">
        <v>6</v>
      </c>
    </row>
    <row r="245" spans="2:9" x14ac:dyDescent="0.15">
      <c r="B245" s="35" t="s">
        <v>5</v>
      </c>
      <c r="C245" s="50">
        <f>C239</f>
        <v>0</v>
      </c>
      <c r="D245" s="36">
        <f t="shared" ref="D245:G245" si="37">D239</f>
        <v>5</v>
      </c>
      <c r="E245" s="36">
        <f t="shared" si="37"/>
        <v>2</v>
      </c>
      <c r="F245" s="36">
        <f t="shared" si="37"/>
        <v>2</v>
      </c>
      <c r="G245" s="51">
        <f t="shared" si="37"/>
        <v>2</v>
      </c>
      <c r="H245" s="11">
        <f>H239</f>
        <v>11</v>
      </c>
    </row>
    <row r="246" spans="2:9" x14ac:dyDescent="0.15">
      <c r="B246" s="29" t="s">
        <v>4</v>
      </c>
      <c r="C246" s="65"/>
      <c r="D246" s="33"/>
      <c r="E246" s="33">
        <v>3</v>
      </c>
      <c r="F246" s="33">
        <v>5</v>
      </c>
      <c r="G246" s="53">
        <v>3</v>
      </c>
      <c r="H246" s="8">
        <f>SUM(C246:G246)</f>
        <v>11</v>
      </c>
      <c r="I246" s="9">
        <v>46000</v>
      </c>
    </row>
    <row r="247" spans="2:9" x14ac:dyDescent="0.15">
      <c r="B247" s="29" t="s">
        <v>4</v>
      </c>
      <c r="C247" s="65"/>
      <c r="D247" s="33">
        <v>-1</v>
      </c>
      <c r="E247" s="33">
        <v>0</v>
      </c>
      <c r="F247" s="33">
        <v>0</v>
      </c>
      <c r="G247" s="53">
        <v>0</v>
      </c>
      <c r="H247" s="8">
        <f t="shared" ref="H247:H253" si="38">SUM(C247:G247)</f>
        <v>-1</v>
      </c>
      <c r="I247" s="9">
        <v>46078</v>
      </c>
    </row>
    <row r="248" spans="2:9" x14ac:dyDescent="0.15">
      <c r="B248" s="29" t="s">
        <v>4</v>
      </c>
      <c r="C248" s="65"/>
      <c r="D248" s="33"/>
      <c r="E248" s="33"/>
      <c r="F248" s="33"/>
      <c r="G248" s="53"/>
      <c r="H248" s="8">
        <f t="shared" si="38"/>
        <v>0</v>
      </c>
    </row>
    <row r="249" spans="2:9" x14ac:dyDescent="0.15">
      <c r="B249" s="29" t="s">
        <v>4</v>
      </c>
      <c r="C249" s="65"/>
      <c r="D249" s="33"/>
      <c r="E249" s="33"/>
      <c r="F249" s="33"/>
      <c r="G249" s="53"/>
      <c r="H249" s="8">
        <f t="shared" si="38"/>
        <v>0</v>
      </c>
    </row>
    <row r="250" spans="2:9" x14ac:dyDescent="0.15">
      <c r="B250" s="29" t="s">
        <v>4</v>
      </c>
      <c r="C250" s="66"/>
      <c r="D250" s="40"/>
      <c r="E250" s="40"/>
      <c r="F250" s="40"/>
      <c r="G250" s="55"/>
      <c r="H250" s="8">
        <f t="shared" si="38"/>
        <v>0</v>
      </c>
    </row>
    <row r="251" spans="2:9" x14ac:dyDescent="0.15">
      <c r="B251" s="29" t="s">
        <v>4</v>
      </c>
      <c r="C251" s="65"/>
      <c r="D251" s="33"/>
      <c r="E251" s="33"/>
      <c r="F251" s="33"/>
      <c r="G251" s="53"/>
      <c r="H251" s="8">
        <f t="shared" si="38"/>
        <v>0</v>
      </c>
    </row>
    <row r="252" spans="2:9" x14ac:dyDescent="0.15">
      <c r="B252" s="29" t="s">
        <v>4</v>
      </c>
      <c r="C252" s="75"/>
      <c r="D252" s="33"/>
      <c r="E252" s="33"/>
      <c r="F252" s="33"/>
      <c r="G252" s="53"/>
      <c r="H252" s="8">
        <f t="shared" si="38"/>
        <v>0</v>
      </c>
    </row>
    <row r="253" spans="2:9" ht="14.25" thickBot="1" x14ac:dyDescent="0.2">
      <c r="B253" s="62" t="s">
        <v>4</v>
      </c>
      <c r="C253" s="66"/>
      <c r="D253" s="40"/>
      <c r="E253" s="40"/>
      <c r="F253" s="40"/>
      <c r="G253" s="55"/>
      <c r="H253" s="5">
        <f t="shared" si="38"/>
        <v>0</v>
      </c>
    </row>
    <row r="254" spans="2:9" ht="14.25" thickBot="1" x14ac:dyDescent="0.2">
      <c r="B254" s="30" t="s">
        <v>3</v>
      </c>
      <c r="C254" s="56">
        <f>SUM(C245:C253)</f>
        <v>0</v>
      </c>
      <c r="D254" s="43">
        <f t="shared" ref="D254:G254" si="39">SUM(D245:D253)</f>
        <v>4</v>
      </c>
      <c r="E254" s="43">
        <f t="shared" si="39"/>
        <v>5</v>
      </c>
      <c r="F254" s="43">
        <f t="shared" si="39"/>
        <v>7</v>
      </c>
      <c r="G254" s="44">
        <f t="shared" si="39"/>
        <v>5</v>
      </c>
      <c r="H254" s="13">
        <f>SUM(H245:H253)</f>
        <v>21</v>
      </c>
    </row>
    <row r="255" spans="2:9" x14ac:dyDescent="0.15">
      <c r="B255" s="31" t="s">
        <v>13</v>
      </c>
      <c r="C255" s="52"/>
      <c r="D255" s="33">
        <v>1</v>
      </c>
      <c r="E255" s="33"/>
      <c r="F255" s="33"/>
      <c r="G255" s="53"/>
      <c r="H255" s="8">
        <f t="shared" ref="H255:H276" si="40">SUM(C255:G255)</f>
        <v>1</v>
      </c>
      <c r="I255" s="9">
        <v>46083</v>
      </c>
    </row>
    <row r="256" spans="2:9" x14ac:dyDescent="0.15">
      <c r="B256" s="31" t="s">
        <v>13</v>
      </c>
      <c r="C256" s="52"/>
      <c r="D256" s="33"/>
      <c r="E256" s="33">
        <v>1</v>
      </c>
      <c r="F256" s="33"/>
      <c r="G256" s="53"/>
      <c r="H256" s="8">
        <f t="shared" si="40"/>
        <v>1</v>
      </c>
      <c r="I256" s="9">
        <v>46119</v>
      </c>
    </row>
    <row r="257" spans="2:9" x14ac:dyDescent="0.15">
      <c r="B257" s="31" t="s">
        <v>13</v>
      </c>
      <c r="C257" s="52"/>
      <c r="D257" s="33">
        <v>1</v>
      </c>
      <c r="E257" s="33">
        <v>1</v>
      </c>
      <c r="F257" s="33"/>
      <c r="G257" s="53"/>
      <c r="H257" s="8">
        <f t="shared" si="40"/>
        <v>2</v>
      </c>
      <c r="I257" s="9">
        <v>46140</v>
      </c>
    </row>
    <row r="258" spans="2:9" x14ac:dyDescent="0.15">
      <c r="B258" s="31" t="s">
        <v>13</v>
      </c>
      <c r="C258" s="52"/>
      <c r="D258" s="33">
        <v>1</v>
      </c>
      <c r="E258" s="33"/>
      <c r="F258" s="33"/>
      <c r="G258" s="53"/>
      <c r="H258" s="8">
        <f t="shared" si="40"/>
        <v>1</v>
      </c>
      <c r="I258" s="9">
        <v>46191</v>
      </c>
    </row>
    <row r="259" spans="2:9" x14ac:dyDescent="0.15">
      <c r="B259" s="31"/>
      <c r="C259" s="52"/>
      <c r="D259" s="33"/>
      <c r="E259" s="33"/>
      <c r="F259" s="33"/>
      <c r="G259" s="53"/>
      <c r="H259" s="8">
        <f t="shared" si="40"/>
        <v>0</v>
      </c>
    </row>
    <row r="260" spans="2:9" x14ac:dyDescent="0.15">
      <c r="B260" s="31"/>
      <c r="C260" s="52"/>
      <c r="D260" s="33"/>
      <c r="E260" s="33"/>
      <c r="F260" s="33"/>
      <c r="G260" s="53"/>
      <c r="H260" s="8">
        <f t="shared" si="40"/>
        <v>0</v>
      </c>
    </row>
    <row r="261" spans="2:9" x14ac:dyDescent="0.15">
      <c r="B261" s="31"/>
      <c r="C261" s="52"/>
      <c r="D261" s="33"/>
      <c r="E261" s="33"/>
      <c r="F261" s="33"/>
      <c r="G261" s="53"/>
      <c r="H261" s="8">
        <f t="shared" si="40"/>
        <v>0</v>
      </c>
    </row>
    <row r="262" spans="2:9" x14ac:dyDescent="0.15">
      <c r="B262" s="31"/>
      <c r="C262" s="52"/>
      <c r="D262" s="33"/>
      <c r="E262" s="33"/>
      <c r="F262" s="33"/>
      <c r="G262" s="53"/>
      <c r="H262" s="8">
        <f t="shared" si="40"/>
        <v>0</v>
      </c>
    </row>
    <row r="263" spans="2:9" x14ac:dyDescent="0.15">
      <c r="B263" s="31"/>
      <c r="C263" s="52"/>
      <c r="D263" s="33"/>
      <c r="E263" s="33"/>
      <c r="F263" s="33"/>
      <c r="G263" s="53"/>
      <c r="H263" s="8">
        <f t="shared" si="40"/>
        <v>0</v>
      </c>
    </row>
    <row r="264" spans="2:9" x14ac:dyDescent="0.15">
      <c r="B264" s="31"/>
      <c r="C264" s="52"/>
      <c r="D264" s="33"/>
      <c r="E264" s="33"/>
      <c r="F264" s="33"/>
      <c r="G264" s="53"/>
      <c r="H264" s="8">
        <f t="shared" si="40"/>
        <v>0</v>
      </c>
    </row>
    <row r="265" spans="2:9" x14ac:dyDescent="0.15">
      <c r="B265" s="31"/>
      <c r="C265" s="52"/>
      <c r="D265" s="33"/>
      <c r="E265" s="33"/>
      <c r="F265" s="33"/>
      <c r="G265" s="53"/>
      <c r="H265" s="8">
        <f t="shared" si="40"/>
        <v>0</v>
      </c>
    </row>
    <row r="266" spans="2:9" x14ac:dyDescent="0.15">
      <c r="B266" s="31"/>
      <c r="C266" s="52"/>
      <c r="D266" s="33"/>
      <c r="E266" s="33"/>
      <c r="F266" s="33"/>
      <c r="G266" s="53"/>
      <c r="H266" s="8">
        <f t="shared" si="40"/>
        <v>0</v>
      </c>
    </row>
    <row r="267" spans="2:9" x14ac:dyDescent="0.15">
      <c r="B267" s="31"/>
      <c r="C267" s="52"/>
      <c r="D267" s="33"/>
      <c r="E267" s="33"/>
      <c r="F267" s="33"/>
      <c r="G267" s="53"/>
      <c r="H267" s="8">
        <f t="shared" si="40"/>
        <v>0</v>
      </c>
    </row>
    <row r="268" spans="2:9" x14ac:dyDescent="0.15">
      <c r="B268" s="31"/>
      <c r="C268" s="52"/>
      <c r="D268" s="33"/>
      <c r="E268" s="33"/>
      <c r="F268" s="33"/>
      <c r="G268" s="53"/>
      <c r="H268" s="8">
        <f t="shared" si="40"/>
        <v>0</v>
      </c>
    </row>
    <row r="269" spans="2:9" x14ac:dyDescent="0.15">
      <c r="B269" s="31"/>
      <c r="C269" s="52"/>
      <c r="D269" s="33"/>
      <c r="E269" s="33"/>
      <c r="F269" s="33"/>
      <c r="G269" s="53"/>
      <c r="H269" s="8">
        <f t="shared" si="40"/>
        <v>0</v>
      </c>
    </row>
    <row r="270" spans="2:9" x14ac:dyDescent="0.15">
      <c r="B270" s="31"/>
      <c r="C270" s="52"/>
      <c r="D270" s="33"/>
      <c r="E270" s="33"/>
      <c r="F270" s="33"/>
      <c r="G270" s="53"/>
      <c r="H270" s="8">
        <f t="shared" si="40"/>
        <v>0</v>
      </c>
    </row>
    <row r="271" spans="2:9" x14ac:dyDescent="0.15">
      <c r="B271" s="31"/>
      <c r="C271" s="52"/>
      <c r="D271" s="33"/>
      <c r="E271" s="33"/>
      <c r="F271" s="33"/>
      <c r="G271" s="53"/>
      <c r="H271" s="8">
        <f t="shared" si="40"/>
        <v>0</v>
      </c>
    </row>
    <row r="272" spans="2:9" x14ac:dyDescent="0.15">
      <c r="B272" s="31"/>
      <c r="C272" s="52"/>
      <c r="D272" s="33"/>
      <c r="E272" s="33"/>
      <c r="F272" s="33"/>
      <c r="G272" s="53"/>
      <c r="H272" s="8">
        <f t="shared" si="40"/>
        <v>0</v>
      </c>
    </row>
    <row r="273" spans="2:8" x14ac:dyDescent="0.15">
      <c r="B273" s="31"/>
      <c r="C273" s="52"/>
      <c r="D273" s="33"/>
      <c r="E273" s="33"/>
      <c r="F273" s="33"/>
      <c r="G273" s="53"/>
      <c r="H273" s="8">
        <f t="shared" si="40"/>
        <v>0</v>
      </c>
    </row>
    <row r="274" spans="2:8" x14ac:dyDescent="0.15">
      <c r="B274" s="31"/>
      <c r="C274" s="52"/>
      <c r="D274" s="33"/>
      <c r="E274" s="33"/>
      <c r="F274" s="33"/>
      <c r="G274" s="53"/>
      <c r="H274" s="8">
        <f t="shared" si="40"/>
        <v>0</v>
      </c>
    </row>
    <row r="275" spans="2:8" x14ac:dyDescent="0.15">
      <c r="B275" s="31"/>
      <c r="C275" s="52"/>
      <c r="D275" s="33"/>
      <c r="E275" s="33"/>
      <c r="F275" s="33"/>
      <c r="G275" s="53"/>
      <c r="H275" s="8">
        <f t="shared" si="40"/>
        <v>0</v>
      </c>
    </row>
    <row r="276" spans="2:8" x14ac:dyDescent="0.15">
      <c r="B276" s="31"/>
      <c r="C276" s="52"/>
      <c r="D276" s="33"/>
      <c r="E276" s="33"/>
      <c r="F276" s="33"/>
      <c r="G276" s="53"/>
      <c r="H276" s="8">
        <f t="shared" si="40"/>
        <v>0</v>
      </c>
    </row>
    <row r="277" spans="2:8" x14ac:dyDescent="0.15">
      <c r="B277" s="31"/>
      <c r="C277" s="52"/>
      <c r="D277" s="33"/>
      <c r="E277" s="33"/>
      <c r="F277" s="33"/>
      <c r="G277" s="53"/>
      <c r="H277" s="8">
        <f>SUM(C277:G277)</f>
        <v>0</v>
      </c>
    </row>
    <row r="278" spans="2:8" x14ac:dyDescent="0.15">
      <c r="B278" s="31"/>
      <c r="C278" s="52"/>
      <c r="D278" s="33"/>
      <c r="E278" s="33"/>
      <c r="F278" s="33"/>
      <c r="G278" s="53"/>
      <c r="H278" s="8">
        <f t="shared" ref="H278:H279" si="41">SUM(C278:G278)</f>
        <v>0</v>
      </c>
    </row>
    <row r="279" spans="2:8" ht="14.25" thickBot="1" x14ac:dyDescent="0.2">
      <c r="B279" s="45"/>
      <c r="C279" s="54"/>
      <c r="D279" s="40"/>
      <c r="E279" s="40"/>
      <c r="F279" s="40"/>
      <c r="G279" s="55"/>
      <c r="H279" s="5">
        <f t="shared" si="41"/>
        <v>0</v>
      </c>
    </row>
    <row r="280" spans="2:8" ht="14.25" thickBot="1" x14ac:dyDescent="0.2">
      <c r="B280" s="32" t="s">
        <v>1</v>
      </c>
      <c r="C280" s="61">
        <f>SUM(C255:C279)</f>
        <v>0</v>
      </c>
      <c r="D280" s="46">
        <f t="shared" ref="D280:G280" si="42">SUM(D255:D279)</f>
        <v>3</v>
      </c>
      <c r="E280" s="46">
        <f t="shared" si="42"/>
        <v>2</v>
      </c>
      <c r="F280" s="46">
        <f t="shared" si="42"/>
        <v>0</v>
      </c>
      <c r="G280" s="47">
        <f t="shared" si="42"/>
        <v>0</v>
      </c>
      <c r="H280" s="3">
        <f>SUM(H255:H279)</f>
        <v>5</v>
      </c>
    </row>
    <row r="281" spans="2:8" ht="14.25" thickBot="1" x14ac:dyDescent="0.2">
      <c r="B281" s="30" t="s">
        <v>0</v>
      </c>
      <c r="C281" s="56">
        <f>+C254-C280</f>
        <v>0</v>
      </c>
      <c r="D281" s="43">
        <f t="shared" ref="D281:G281" si="43">+D254-D280</f>
        <v>1</v>
      </c>
      <c r="E281" s="43">
        <f t="shared" si="43"/>
        <v>3</v>
      </c>
      <c r="F281" s="43">
        <f t="shared" si="43"/>
        <v>7</v>
      </c>
      <c r="G281" s="44">
        <f t="shared" si="43"/>
        <v>5</v>
      </c>
      <c r="H281" s="13">
        <f>+H254-H280</f>
        <v>16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5本指靴下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2021-12-21T06:46:09Z</dcterms:created>
  <dcterms:modified xsi:type="dcterms:W3CDTF">2026-06-18T05:35:01Z</dcterms:modified>
</cp:coreProperties>
</file>