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DCDDA4EA-1A92-43B7-9B0A-0D53420A25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足首ウォーマー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7" i="3" l="1"/>
  <c r="E507" i="3"/>
  <c r="C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D507" i="3"/>
  <c r="G482" i="3"/>
  <c r="E481" i="3"/>
  <c r="D481" i="3"/>
  <c r="G480" i="3"/>
  <c r="G479" i="3"/>
  <c r="G478" i="3"/>
  <c r="G477" i="3"/>
  <c r="G476" i="3"/>
  <c r="F475" i="3"/>
  <c r="F481" i="3" s="1"/>
  <c r="F508" i="3" s="1"/>
  <c r="E475" i="3"/>
  <c r="D475" i="3"/>
  <c r="C475" i="3"/>
  <c r="C481" i="3" s="1"/>
  <c r="D444" i="3"/>
  <c r="G444" i="3" s="1"/>
  <c r="C428" i="3"/>
  <c r="F468" i="3"/>
  <c r="E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C468" i="3"/>
  <c r="G454" i="3"/>
  <c r="G453" i="3"/>
  <c r="G452" i="3"/>
  <c r="G451" i="3"/>
  <c r="G450" i="3"/>
  <c r="G449" i="3"/>
  <c r="G448" i="3"/>
  <c r="G447" i="3"/>
  <c r="G446" i="3"/>
  <c r="G445" i="3"/>
  <c r="G443" i="3"/>
  <c r="E442" i="3"/>
  <c r="G441" i="3"/>
  <c r="G440" i="3"/>
  <c r="G439" i="3"/>
  <c r="G438" i="3"/>
  <c r="G437" i="3"/>
  <c r="F436" i="3"/>
  <c r="F442" i="3" s="1"/>
  <c r="E436" i="3"/>
  <c r="C418" i="3"/>
  <c r="G418" i="3" s="1"/>
  <c r="C416" i="3"/>
  <c r="F429" i="3"/>
  <c r="E429" i="3"/>
  <c r="D429" i="3"/>
  <c r="G428" i="3"/>
  <c r="G427" i="3"/>
  <c r="G426" i="3"/>
  <c r="G425" i="3"/>
  <c r="G424" i="3"/>
  <c r="G423" i="3"/>
  <c r="G422" i="3"/>
  <c r="G421" i="3"/>
  <c r="G420" i="3"/>
  <c r="G419" i="3"/>
  <c r="G417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2" i="3"/>
  <c r="G401" i="3"/>
  <c r="G400" i="3"/>
  <c r="G399" i="3"/>
  <c r="G398" i="3"/>
  <c r="F397" i="3"/>
  <c r="F403" i="3" s="1"/>
  <c r="E397" i="3"/>
  <c r="E403" i="3" s="1"/>
  <c r="G389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59" i="3"/>
  <c r="G360" i="3"/>
  <c r="G361" i="3"/>
  <c r="F390" i="3"/>
  <c r="E390" i="3"/>
  <c r="D390" i="3"/>
  <c r="C390" i="3"/>
  <c r="E364" i="3"/>
  <c r="G363" i="3"/>
  <c r="G362" i="3"/>
  <c r="F358" i="3"/>
  <c r="F364" i="3" s="1"/>
  <c r="E358" i="3"/>
  <c r="D358" i="3"/>
  <c r="D364" i="3" s="1"/>
  <c r="C358" i="3"/>
  <c r="C364" i="3" s="1"/>
  <c r="C336" i="3"/>
  <c r="F351" i="3"/>
  <c r="E351" i="3"/>
  <c r="D351" i="3"/>
  <c r="C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4" i="3"/>
  <c r="G323" i="3"/>
  <c r="G322" i="3"/>
  <c r="G321" i="3"/>
  <c r="G320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5" i="3"/>
  <c r="G36" i="3"/>
  <c r="G37" i="3"/>
  <c r="G38" i="3"/>
  <c r="G39" i="3"/>
  <c r="G40" i="3"/>
  <c r="G34" i="3"/>
  <c r="G48" i="3"/>
  <c r="C13" i="3"/>
  <c r="D13" i="3"/>
  <c r="E13" i="3"/>
  <c r="E40" i="3" s="1"/>
  <c r="F13" i="3"/>
  <c r="E25" i="3"/>
  <c r="C28" i="3"/>
  <c r="D30" i="3"/>
  <c r="C39" i="3"/>
  <c r="D39" i="3"/>
  <c r="E39" i="3"/>
  <c r="F39" i="3"/>
  <c r="D40" i="3"/>
  <c r="G47" i="3"/>
  <c r="G49" i="3"/>
  <c r="G50" i="3"/>
  <c r="G51" i="3"/>
  <c r="G53" i="3"/>
  <c r="G54" i="3"/>
  <c r="G55" i="3"/>
  <c r="G56" i="3"/>
  <c r="G57" i="3"/>
  <c r="G58" i="3"/>
  <c r="G59" i="3"/>
  <c r="G60" i="3"/>
  <c r="G61" i="3"/>
  <c r="G62" i="3"/>
  <c r="E63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C78" i="3"/>
  <c r="D78" i="3"/>
  <c r="E78" i="3"/>
  <c r="F78" i="3"/>
  <c r="G86" i="3"/>
  <c r="G87" i="3"/>
  <c r="G88" i="3"/>
  <c r="G89" i="3"/>
  <c r="G90" i="3"/>
  <c r="G92" i="3"/>
  <c r="G93" i="3"/>
  <c r="G94" i="3"/>
  <c r="G95" i="3"/>
  <c r="G96" i="3"/>
  <c r="G97" i="3"/>
  <c r="G98" i="3"/>
  <c r="G99" i="3"/>
  <c r="G100" i="3"/>
  <c r="G101" i="3"/>
  <c r="G102" i="3"/>
  <c r="G103" i="3"/>
  <c r="D104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C117" i="3"/>
  <c r="D117" i="3"/>
  <c r="E117" i="3"/>
  <c r="F117" i="3"/>
  <c r="G125" i="3"/>
  <c r="G126" i="3"/>
  <c r="G127" i="3"/>
  <c r="G128" i="3"/>
  <c r="G129" i="3"/>
  <c r="F131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E146" i="3"/>
  <c r="G146" i="3" s="1"/>
  <c r="F146" i="3"/>
  <c r="F156" i="3" s="1"/>
  <c r="G147" i="3"/>
  <c r="G148" i="3"/>
  <c r="G149" i="3"/>
  <c r="G150" i="3"/>
  <c r="G151" i="3"/>
  <c r="G152" i="3"/>
  <c r="G153" i="3"/>
  <c r="G154" i="3"/>
  <c r="G155" i="3"/>
  <c r="C156" i="3"/>
  <c r="D156" i="3"/>
  <c r="G164" i="3"/>
  <c r="G165" i="3"/>
  <c r="G166" i="3"/>
  <c r="G167" i="3"/>
  <c r="G168" i="3"/>
  <c r="G170" i="3"/>
  <c r="G171" i="3"/>
  <c r="G172" i="3"/>
  <c r="E173" i="3"/>
  <c r="G173" i="3" s="1"/>
  <c r="G174" i="3"/>
  <c r="G175" i="3"/>
  <c r="G176" i="3"/>
  <c r="G177" i="3"/>
  <c r="G178" i="3"/>
  <c r="G179" i="3"/>
  <c r="G180" i="3"/>
  <c r="G181" i="3"/>
  <c r="C182" i="3"/>
  <c r="C195" i="3" s="1"/>
  <c r="G182" i="3"/>
  <c r="E183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D195" i="3"/>
  <c r="E195" i="3"/>
  <c r="F195" i="3"/>
  <c r="G203" i="3"/>
  <c r="G204" i="3"/>
  <c r="G205" i="3"/>
  <c r="G206" i="3"/>
  <c r="G207" i="3"/>
  <c r="C209" i="3"/>
  <c r="G209" i="3"/>
  <c r="G210" i="3"/>
  <c r="G211" i="3"/>
  <c r="G212" i="3"/>
  <c r="G213" i="3"/>
  <c r="G214" i="3"/>
  <c r="G215" i="3"/>
  <c r="F216" i="3"/>
  <c r="G216" i="3" s="1"/>
  <c r="G217" i="3"/>
  <c r="G218" i="3"/>
  <c r="G219" i="3"/>
  <c r="G220" i="3"/>
  <c r="G221" i="3"/>
  <c r="G222" i="3"/>
  <c r="G223" i="3"/>
  <c r="G224" i="3"/>
  <c r="G225" i="3"/>
  <c r="G226" i="3"/>
  <c r="G227" i="3"/>
  <c r="G228" i="3"/>
  <c r="E229" i="3"/>
  <c r="G229" i="3"/>
  <c r="G230" i="3"/>
  <c r="G231" i="3"/>
  <c r="G232" i="3"/>
  <c r="G233" i="3"/>
  <c r="C234" i="3"/>
  <c r="D234" i="3"/>
  <c r="E234" i="3"/>
  <c r="G242" i="3"/>
  <c r="G243" i="3"/>
  <c r="G244" i="3"/>
  <c r="G245" i="3"/>
  <c r="G246" i="3"/>
  <c r="G248" i="3"/>
  <c r="G249" i="3"/>
  <c r="G250" i="3"/>
  <c r="G251" i="3"/>
  <c r="G252" i="3"/>
  <c r="G253" i="3"/>
  <c r="G254" i="3"/>
  <c r="C255" i="3"/>
  <c r="C273" i="3" s="1"/>
  <c r="G255" i="3"/>
  <c r="C256" i="3"/>
  <c r="G256" i="3" s="1"/>
  <c r="G257" i="3"/>
  <c r="G258" i="3"/>
  <c r="G259" i="3"/>
  <c r="G260" i="3"/>
  <c r="C261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D273" i="3"/>
  <c r="E273" i="3"/>
  <c r="F273" i="3"/>
  <c r="G281" i="3"/>
  <c r="G282" i="3"/>
  <c r="G283" i="3"/>
  <c r="G284" i="3"/>
  <c r="G285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9" i="3"/>
  <c r="G310" i="3"/>
  <c r="G311" i="3"/>
  <c r="G308" i="3"/>
  <c r="D312" i="3"/>
  <c r="E312" i="3"/>
  <c r="F312" i="3"/>
  <c r="C312" i="3"/>
  <c r="E508" i="3" l="1"/>
  <c r="C508" i="3"/>
  <c r="G481" i="3"/>
  <c r="G507" i="3"/>
  <c r="D508" i="3"/>
  <c r="G475" i="3"/>
  <c r="E469" i="3"/>
  <c r="F469" i="3"/>
  <c r="D468" i="3"/>
  <c r="G468" i="3" s="1"/>
  <c r="G455" i="3"/>
  <c r="C429" i="3"/>
  <c r="G429" i="3" s="1"/>
  <c r="G416" i="3"/>
  <c r="F430" i="3"/>
  <c r="E430" i="3"/>
  <c r="F391" i="3"/>
  <c r="D391" i="3"/>
  <c r="D397" i="3" s="1"/>
  <c r="D403" i="3" s="1"/>
  <c r="D430" i="3" s="1"/>
  <c r="D436" i="3" s="1"/>
  <c r="D442" i="3" s="1"/>
  <c r="G390" i="3"/>
  <c r="E391" i="3"/>
  <c r="G364" i="3"/>
  <c r="C391" i="3"/>
  <c r="C397" i="3" s="1"/>
  <c r="C403" i="3" s="1"/>
  <c r="G358" i="3"/>
  <c r="G351" i="3"/>
  <c r="G312" i="3"/>
  <c r="C40" i="3"/>
  <c r="F40" i="3"/>
  <c r="G78" i="3"/>
  <c r="G117" i="3"/>
  <c r="E156" i="3"/>
  <c r="G156" i="3" s="1"/>
  <c r="G195" i="3"/>
  <c r="F234" i="3"/>
  <c r="G273" i="3"/>
  <c r="G508" i="3" l="1"/>
  <c r="D469" i="3"/>
  <c r="G403" i="3"/>
  <c r="G397" i="3"/>
  <c r="C430" i="3"/>
  <c r="G391" i="3"/>
  <c r="G234" i="3"/>
  <c r="G430" i="3" l="1"/>
  <c r="C436" i="3"/>
  <c r="E46" i="3"/>
  <c r="E52" i="3" s="1"/>
  <c r="E79" i="3" s="1"/>
  <c r="E85" i="3" s="1"/>
  <c r="E91" i="3" s="1"/>
  <c r="E118" i="3" s="1"/>
  <c r="E124" i="3" s="1"/>
  <c r="E130" i="3" s="1"/>
  <c r="E157" i="3" s="1"/>
  <c r="E163" i="3" s="1"/>
  <c r="E169" i="3" s="1"/>
  <c r="E196" i="3" s="1"/>
  <c r="E202" i="3" s="1"/>
  <c r="E208" i="3" s="1"/>
  <c r="E235" i="3" s="1"/>
  <c r="E241" i="3" s="1"/>
  <c r="E247" i="3" s="1"/>
  <c r="E274" i="3" s="1"/>
  <c r="C46" i="3"/>
  <c r="F46" i="3"/>
  <c r="F52" i="3" s="1"/>
  <c r="F79" i="3" s="1"/>
  <c r="F85" i="3" s="1"/>
  <c r="F91" i="3" s="1"/>
  <c r="F118" i="3" s="1"/>
  <c r="F124" i="3" s="1"/>
  <c r="F130" i="3" s="1"/>
  <c r="F157" i="3" s="1"/>
  <c r="F163" i="3" s="1"/>
  <c r="F169" i="3" s="1"/>
  <c r="F196" i="3" s="1"/>
  <c r="F202" i="3" s="1"/>
  <c r="F208" i="3" s="1"/>
  <c r="F235" i="3" s="1"/>
  <c r="F241" i="3" s="1"/>
  <c r="F247" i="3" s="1"/>
  <c r="F274" i="3" s="1"/>
  <c r="C442" i="3" l="1"/>
  <c r="G436" i="3"/>
  <c r="C52" i="3"/>
  <c r="D46" i="3"/>
  <c r="D52" i="3" s="1"/>
  <c r="D79" i="3" s="1"/>
  <c r="D85" i="3" s="1"/>
  <c r="D91" i="3" s="1"/>
  <c r="D118" i="3" s="1"/>
  <c r="D124" i="3" s="1"/>
  <c r="D130" i="3" s="1"/>
  <c r="D157" i="3" s="1"/>
  <c r="D163" i="3" s="1"/>
  <c r="D169" i="3" s="1"/>
  <c r="D196" i="3" s="1"/>
  <c r="D202" i="3" s="1"/>
  <c r="D208" i="3" s="1"/>
  <c r="D235" i="3" s="1"/>
  <c r="D241" i="3" s="1"/>
  <c r="D247" i="3" s="1"/>
  <c r="D274" i="3" s="1"/>
  <c r="D280" i="3" s="1"/>
  <c r="D286" i="3" s="1"/>
  <c r="D313" i="3" s="1"/>
  <c r="D319" i="3" s="1"/>
  <c r="D325" i="3" s="1"/>
  <c r="D352" i="3" s="1"/>
  <c r="E280" i="3"/>
  <c r="E286" i="3" s="1"/>
  <c r="E313" i="3" s="1"/>
  <c r="E319" i="3" s="1"/>
  <c r="E325" i="3" s="1"/>
  <c r="E352" i="3" s="1"/>
  <c r="G442" i="3" l="1"/>
  <c r="C469" i="3"/>
  <c r="G469" i="3" s="1"/>
  <c r="G46" i="3"/>
  <c r="G52" i="3"/>
  <c r="C79" i="3"/>
  <c r="G79" i="3" l="1"/>
  <c r="C85" i="3"/>
  <c r="G85" i="3" l="1"/>
  <c r="C91" i="3"/>
  <c r="C118" i="3" l="1"/>
  <c r="G91" i="3"/>
  <c r="C124" i="3" l="1"/>
  <c r="G118" i="3"/>
  <c r="F280" i="3"/>
  <c r="C130" i="3" l="1"/>
  <c r="G124" i="3"/>
  <c r="F286" i="3"/>
  <c r="C157" i="3" l="1"/>
  <c r="G130" i="3"/>
  <c r="F313" i="3"/>
  <c r="F319" i="3" s="1"/>
  <c r="F325" i="3" s="1"/>
  <c r="F352" i="3" s="1"/>
  <c r="C163" i="3" l="1"/>
  <c r="G157" i="3"/>
  <c r="C169" i="3" l="1"/>
  <c r="G163" i="3"/>
  <c r="C196" i="3" l="1"/>
  <c r="G169" i="3"/>
  <c r="C202" i="3" l="1"/>
  <c r="G196" i="3"/>
  <c r="G202" i="3" l="1"/>
  <c r="C208" i="3"/>
  <c r="G208" i="3" l="1"/>
  <c r="C235" i="3"/>
  <c r="G235" i="3" l="1"/>
  <c r="C241" i="3"/>
  <c r="G241" i="3" l="1"/>
  <c r="C247" i="3"/>
  <c r="G247" i="3" l="1"/>
  <c r="C274" i="3"/>
  <c r="C280" i="3" l="1"/>
  <c r="G274" i="3"/>
  <c r="C286" i="3" l="1"/>
  <c r="G280" i="3"/>
  <c r="G286" i="3" l="1"/>
  <c r="C313" i="3"/>
  <c r="G313" i="3" l="1"/>
  <c r="C319" i="3"/>
  <c r="G319" i="3" l="1"/>
  <c r="C325" i="3"/>
  <c r="C352" i="3" l="1"/>
  <c r="G352" i="3" s="1"/>
  <c r="G325" i="3"/>
</calcChain>
</file>

<file path=xl/sharedStrings.xml><?xml version="1.0" encoding="utf-8"?>
<sst xmlns="http://schemas.openxmlformats.org/spreadsheetml/2006/main" count="483" uniqueCount="18">
  <si>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</si>
  <si>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</si>
  <si>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</si>
  <si>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</si>
  <si>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</si>
  <si>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</si>
  <si>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ピンク</t>
    <phoneticPr fontId="1"/>
  </si>
  <si>
    <t>ネット</t>
    <phoneticPr fontId="1"/>
  </si>
  <si>
    <t>在庫確認</t>
    <rPh sb="0" eb="4">
      <t>ザイコカクニン</t>
    </rPh>
    <phoneticPr fontId="1"/>
  </si>
  <si>
    <t>ベージュ</t>
    <phoneticPr fontId="1"/>
  </si>
  <si>
    <t>グレー</t>
    <phoneticPr fontId="1"/>
  </si>
  <si>
    <t>サックス</t>
    <phoneticPr fontId="1"/>
  </si>
  <si>
    <t>シルクコットン薄手足首ウォーマー＜夢販在庫＞　LW1001</t>
    <rPh sb="7" eb="9">
      <t>ウスデ</t>
    </rPh>
    <rPh sb="9" eb="11">
      <t>アシクビ</t>
    </rPh>
    <rPh sb="17" eb="21">
      <t>ユメハンザイコ</t>
    </rPh>
    <phoneticPr fontId="1"/>
  </si>
  <si>
    <t>村田さん</t>
    <rPh sb="0" eb="2">
      <t>ムラタ</t>
    </rPh>
    <phoneticPr fontId="1"/>
  </si>
  <si>
    <t>在庫確認</t>
    <rPh sb="0" eb="4">
      <t>ザイコカクニン</t>
    </rPh>
    <phoneticPr fontId="1"/>
  </si>
  <si>
    <t>棚卸</t>
    <rPh sb="0" eb="2">
      <t>タナオロシ</t>
    </rPh>
    <phoneticPr fontId="1"/>
  </si>
  <si>
    <t>8/</t>
    <phoneticPr fontId="1"/>
  </si>
  <si>
    <t>在庫確認</t>
    <rPh sb="0" eb="4">
      <t>ザイコカクニン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</si>
</sst>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56" fontId="0" fillId="0" borderId="2" xfId="0" applyNumberFormat="1" applyBorder="1" applyAlignment="1">
      <alignment horizontal="center"/>
    </xf>
    <xf numFmtId="0" fontId="0" fillId="0" borderId="10" xfId="0" applyBorder="1"/>
    <xf numFmtId="56" fontId="0" fillId="0" borderId="3" xfId="0" applyNumberFormat="1" applyBorder="1" applyAlignment="1">
      <alignment horizontal="center"/>
    </xf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56" fontId="4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56" fontId="0" fillId="0" borderId="0" xfId="0" applyNumberFormat="1" applyAlignment="1">
      <alignment horizontal="right"/>
    </xf>
    <xf numFmtId="56" fontId="3" fillId="0" borderId="0" xfId="0" applyNumberFormat="1" applyFont="1"/>
    <xf numFmtId="56" fontId="0" fillId="0" borderId="0" xfId="0" applyNumberFormat="1"/>
    <xf numFmtId="0" fontId="4" fillId="2" borderId="0" xfId="0" applyFont="1" applyFill="1"/>
    <xf numFmtId="0" fontId="0" fillId="0" borderId="7" xfId="0" applyBorder="1"/>
    <xf numFmtId="0" fontId="0" fillId="0" borderId="2" xfId="0" applyBorder="1"/>
    <xf numFmtId="0" fontId="4" fillId="0" borderId="0" xfId="0" applyFont="1"/>
    <xf numFmtId="0" fontId="4" fillId="0" borderId="10" xfId="0" applyFont="1" applyBorder="1"/>
    <xf numFmtId="56" fontId="4" fillId="0" borderId="0" xfId="0" applyNumberFormat="1" applyFont="1"/>
    <xf numFmtId="56" fontId="4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56" fontId="5" fillId="0" borderId="0" xfId="0" applyNumberFormat="1" applyFont="1"/>
    <xf numFmtId="0" fontId="0" fillId="0" borderId="5" xfId="0" applyBorder="1"/>
    <xf numFmtId="0" fontId="0" fillId="0" borderId="4" xfId="0" applyBorder="1"/>
    <xf numFmtId="0" fontId="0" fillId="0" borderId="12" xfId="0" applyBorder="1" applyAlignment="1">
      <alignment horizontal="center"/>
    </xf>
    <xf numFmtId="0" fontId="4" fillId="0" borderId="13" xfId="0" applyFont="1" applyBorder="1" applyAlignment="1">
      <alignment horizontal="center"/>
    </xf>
    <xf numFmtId="56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/>
    <xf numFmtId="56" fontId="4" fillId="0" borderId="14" xfId="0" applyNumberFormat="1" applyFont="1" applyBorder="1" applyAlignment="1">
      <alignment horizontal="center"/>
    </xf>
    <xf numFmtId="0" fontId="4" fillId="0" borderId="15" xfId="0" applyFont="1" applyBorder="1"/>
    <xf numFmtId="0" fontId="0" fillId="3" borderId="16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8" xfId="0" applyBorder="1"/>
    <xf numFmtId="0" fontId="0" fillId="0" borderId="15" xfId="0" applyBorder="1"/>
    <xf numFmtId="0" fontId="4" fillId="0" borderId="16" xfId="0" applyFont="1" applyBorder="1"/>
    <xf numFmtId="56" fontId="0" fillId="0" borderId="17" xfId="0" applyNumberFormat="1" applyBorder="1" applyAlignment="1">
      <alignment horizontal="center"/>
    </xf>
    <xf numFmtId="0" fontId="0" fillId="0" borderId="16" xfId="0" applyBorder="1"/>
    <xf numFmtId="0" fontId="0" fillId="5" borderId="19" xfId="0" applyFill="1" applyBorder="1" applyAlignment="1">
      <alignment horizontal="center"/>
    </xf>
    <xf numFmtId="0" fontId="4" fillId="0" borderId="20" xfId="0" applyFont="1" applyBorder="1"/>
    <xf numFmtId="0" fontId="0" fillId="0" borderId="21" xfId="0" applyBorder="1"/>
    <xf numFmtId="0" fontId="0" fillId="0" borderId="22" xfId="0" applyBorder="1"/>
    <xf numFmtId="0" fontId="4" fillId="0" borderId="19" xfId="0" applyFont="1" applyBorder="1"/>
    <xf numFmtId="0" fontId="0" fillId="0" borderId="20" xfId="0" applyBorder="1"/>
    <xf numFmtId="0" fontId="0" fillId="0" borderId="19" xfId="0" applyBorder="1"/>
    <xf numFmtId="0" fontId="0" fillId="6" borderId="23" xfId="0" applyFill="1" applyBorder="1" applyAlignment="1">
      <alignment horizontal="center"/>
    </xf>
    <xf numFmtId="0" fontId="4" fillId="0" borderId="24" xfId="0" applyFont="1" applyBorder="1"/>
    <xf numFmtId="0" fontId="0" fillId="0" borderId="25" xfId="0" applyBorder="1"/>
    <xf numFmtId="0" fontId="0" fillId="0" borderId="26" xfId="0" applyBorder="1"/>
    <xf numFmtId="0" fontId="4" fillId="0" borderId="23" xfId="0" applyFont="1" applyBorder="1"/>
    <xf numFmtId="0" fontId="0" fillId="0" borderId="24" xfId="0" applyBorder="1"/>
    <xf numFmtId="0" fontId="0" fillId="0" borderId="23" xfId="0" applyBorder="1"/>
    <xf numFmtId="56" fontId="0" fillId="0" borderId="7" xfId="0" applyNumberFormat="1" applyBorder="1" applyAlignment="1">
      <alignment horizontal="center"/>
    </xf>
    <xf numFmtId="56" fontId="0" fillId="0" borderId="10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1" xfId="0" applyFont="1" applyBorder="1"/>
    <xf numFmtId="0" fontId="4" fillId="0" borderId="11" xfId="0" applyFont="1" applyBorder="1"/>
    <xf numFmtId="0" fontId="4" fillId="0" borderId="25" xfId="0" applyFont="1" applyBorder="1"/>
    <xf numFmtId="0" fontId="4" fillId="0" borderId="2" xfId="0" applyFont="1" applyBorder="1"/>
    <xf numFmtId="0" fontId="0" fillId="0" borderId="12" xfId="0" applyFont="1" applyBorder="1" applyAlignment="1">
      <alignment horizontal="center"/>
    </xf>
    <xf numFmtId="0" fontId="0" fillId="0" borderId="21" xfId="0" applyFont="1" applyBorder="1"/>
    <xf numFmtId="0" fontId="0" fillId="0" borderId="11" xfId="0" applyFont="1" applyBorder="1"/>
    <xf numFmtId="0" fontId="0" fillId="0" borderId="25" xfId="0" applyFont="1" applyBorder="1"/>
    <xf numFmtId="0" fontId="0" fillId="0" borderId="2" xfId="0" applyFont="1" applyBorder="1"/>
    <xf numFmtId="56" fontId="0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8"/>
  <sheetViews>
    <sheetView tabSelected="1" topLeftCell="A471" zoomScale="90" zoomScaleNormal="90" workbookViewId="0">
      <selection activeCell="J495" sqref="J495"/>
    </sheetView>
  </sheetViews>
  <sheetFormatPr defaultRowHeight="13.5" x14ac:dyDescent="0.15"/>
  <cols>
    <col min="2" max="2" width="22.75" style="1" customWidth="1"/>
    <col min="3" max="6" width="11.75" customWidth="1"/>
    <col min="7" max="7" width="11.375" customWidth="1"/>
    <col min="8" max="8" width="9.25" bestFit="1" customWidth="1"/>
  </cols>
  <sheetData>
    <row r="1" spans="2:8" ht="18.75" x14ac:dyDescent="0.2">
      <c r="B1" s="16" t="s">
        <v>12</v>
      </c>
      <c r="C1" s="15"/>
      <c r="D1" s="20"/>
      <c r="E1" s="15"/>
      <c r="F1" s="15"/>
      <c r="G1" s="23"/>
      <c r="H1" s="23"/>
    </row>
    <row r="2" spans="2:8" ht="14.25" thickBot="1" x14ac:dyDescent="0.2"/>
    <row r="3" spans="2:8" ht="14.25" thickBot="1" x14ac:dyDescent="0.2">
      <c r="B3" s="14"/>
      <c r="C3" s="29"/>
      <c r="D3" s="29"/>
      <c r="E3" s="29"/>
      <c r="F3" s="29"/>
      <c r="G3" s="30"/>
    </row>
    <row r="4" spans="2:8" s="1" customFormat="1" ht="14.25" thickBot="1" x14ac:dyDescent="0.2">
      <c r="B4" s="13"/>
      <c r="C4" s="45" t="s">
        <v>10</v>
      </c>
      <c r="D4" s="38" t="s">
        <v>9</v>
      </c>
      <c r="E4" s="39" t="s">
        <v>6</v>
      </c>
      <c r="F4" s="52" t="s">
        <v>11</v>
      </c>
      <c r="G4" s="4" t="s">
        <v>0</v>
      </c>
    </row>
    <row r="5" spans="2:8" ht="14.25" customHeight="1" x14ac:dyDescent="0.15">
      <c r="B5" s="7" t="s">
        <v>5</v>
      </c>
      <c r="C5" s="46">
        <v>1</v>
      </c>
      <c r="D5" s="37">
        <v>1</v>
      </c>
      <c r="E5" s="37">
        <v>1</v>
      </c>
      <c r="F5" s="53">
        <v>1</v>
      </c>
      <c r="G5" s="24">
        <f t="shared" ref="G5:G33" si="0">SUM(C5:F5)</f>
        <v>4</v>
      </c>
      <c r="H5" s="19">
        <v>44288</v>
      </c>
    </row>
    <row r="6" spans="2:8" x14ac:dyDescent="0.15">
      <c r="B6" s="11" t="s">
        <v>4</v>
      </c>
      <c r="C6" s="47"/>
      <c r="D6" s="35">
        <v>1</v>
      </c>
      <c r="E6" s="35">
        <v>2</v>
      </c>
      <c r="F6" s="54"/>
      <c r="G6" s="22">
        <f t="shared" si="0"/>
        <v>3</v>
      </c>
      <c r="H6" s="19">
        <v>44329</v>
      </c>
    </row>
    <row r="7" spans="2:8" x14ac:dyDescent="0.15">
      <c r="B7" s="11" t="s">
        <v>4</v>
      </c>
      <c r="C7" s="47"/>
      <c r="D7" s="35"/>
      <c r="E7" s="35">
        <v>3</v>
      </c>
      <c r="F7" s="54"/>
      <c r="G7" s="22">
        <f t="shared" si="0"/>
        <v>3</v>
      </c>
      <c r="H7" s="19">
        <v>44334</v>
      </c>
    </row>
    <row r="8" spans="2:8" x14ac:dyDescent="0.15">
      <c r="B8" s="11" t="s">
        <v>4</v>
      </c>
      <c r="C8" s="47">
        <v>2</v>
      </c>
      <c r="D8" s="35"/>
      <c r="E8" s="35">
        <v>2</v>
      </c>
      <c r="F8" s="54"/>
      <c r="G8" s="22">
        <f t="shared" si="0"/>
        <v>4</v>
      </c>
      <c r="H8" s="19">
        <v>44334</v>
      </c>
    </row>
    <row r="9" spans="2:8" x14ac:dyDescent="0.15">
      <c r="B9" s="11" t="s">
        <v>4</v>
      </c>
      <c r="C9" s="47">
        <v>1</v>
      </c>
      <c r="D9" s="35">
        <v>3</v>
      </c>
      <c r="E9" s="35">
        <v>3</v>
      </c>
      <c r="F9" s="54">
        <v>2</v>
      </c>
      <c r="G9" s="22">
        <f t="shared" si="0"/>
        <v>9</v>
      </c>
      <c r="H9" s="19">
        <v>44348</v>
      </c>
    </row>
    <row r="10" spans="2:8" x14ac:dyDescent="0.15">
      <c r="B10" s="11" t="s">
        <v>4</v>
      </c>
      <c r="C10" s="47"/>
      <c r="D10" s="35">
        <v>1</v>
      </c>
      <c r="E10" s="35">
        <v>1</v>
      </c>
      <c r="F10" s="54"/>
      <c r="G10" s="22">
        <f t="shared" si="0"/>
        <v>2</v>
      </c>
      <c r="H10" s="19">
        <v>44351</v>
      </c>
    </row>
    <row r="11" spans="2:8" x14ac:dyDescent="0.15">
      <c r="B11" s="11" t="s">
        <v>4</v>
      </c>
      <c r="C11" s="47"/>
      <c r="D11" s="35"/>
      <c r="E11" s="35"/>
      <c r="F11" s="54">
        <v>3</v>
      </c>
      <c r="G11" s="22">
        <f t="shared" si="0"/>
        <v>3</v>
      </c>
      <c r="H11" s="19">
        <v>44358</v>
      </c>
    </row>
    <row r="12" spans="2:8" ht="14.25" thickBot="1" x14ac:dyDescent="0.2">
      <c r="B12" s="10" t="s">
        <v>4</v>
      </c>
      <c r="C12" s="48">
        <v>7</v>
      </c>
      <c r="D12" s="40"/>
      <c r="E12" s="40">
        <v>7</v>
      </c>
      <c r="F12" s="55"/>
      <c r="G12" s="21">
        <f t="shared" si="0"/>
        <v>14</v>
      </c>
      <c r="H12" s="19">
        <v>44377</v>
      </c>
    </row>
    <row r="13" spans="2:8" ht="14.25" thickBot="1" x14ac:dyDescent="0.2">
      <c r="B13" s="9" t="s">
        <v>1</v>
      </c>
      <c r="C13" s="49">
        <f>SUM(C5:C12)</f>
        <v>11</v>
      </c>
      <c r="D13" s="42">
        <f>SUM(D5:D12)</f>
        <v>6</v>
      </c>
      <c r="E13" s="42">
        <f>SUM(E5:E12)</f>
        <v>19</v>
      </c>
      <c r="F13" s="56">
        <f>SUM(F5:F12)</f>
        <v>6</v>
      </c>
      <c r="G13" s="8">
        <f t="shared" si="0"/>
        <v>42</v>
      </c>
    </row>
    <row r="14" spans="2:8" x14ac:dyDescent="0.15">
      <c r="B14" s="60" t="s">
        <v>7</v>
      </c>
      <c r="C14" s="50"/>
      <c r="D14" s="41">
        <v>1</v>
      </c>
      <c r="E14" s="41">
        <v>2</v>
      </c>
      <c r="F14" s="57"/>
      <c r="G14" s="6">
        <f t="shared" si="0"/>
        <v>3</v>
      </c>
      <c r="H14" s="19">
        <v>44329</v>
      </c>
    </row>
    <row r="15" spans="2:8" x14ac:dyDescent="0.15">
      <c r="B15" s="5" t="s">
        <v>13</v>
      </c>
      <c r="C15" s="47"/>
      <c r="D15" s="35"/>
      <c r="E15" s="35">
        <v>1</v>
      </c>
      <c r="F15" s="54"/>
      <c r="G15" s="22">
        <f t="shared" si="0"/>
        <v>1</v>
      </c>
      <c r="H15" s="19">
        <v>44329</v>
      </c>
    </row>
    <row r="16" spans="2:8" x14ac:dyDescent="0.15">
      <c r="B16" s="5" t="s">
        <v>7</v>
      </c>
      <c r="C16" s="47">
        <v>1</v>
      </c>
      <c r="D16" s="35">
        <v>1</v>
      </c>
      <c r="E16" s="35"/>
      <c r="F16" s="54"/>
      <c r="G16" s="22">
        <f t="shared" si="0"/>
        <v>2</v>
      </c>
      <c r="H16" s="19">
        <v>44333</v>
      </c>
    </row>
    <row r="17" spans="2:8" x14ac:dyDescent="0.15">
      <c r="B17" s="5" t="s">
        <v>13</v>
      </c>
      <c r="C17" s="47"/>
      <c r="D17" s="35"/>
      <c r="E17" s="35">
        <v>1</v>
      </c>
      <c r="F17" s="54"/>
      <c r="G17" s="22">
        <f t="shared" si="0"/>
        <v>1</v>
      </c>
      <c r="H17" s="19">
        <v>44334</v>
      </c>
    </row>
    <row r="18" spans="2:8" x14ac:dyDescent="0.15">
      <c r="B18" s="5" t="s">
        <v>7</v>
      </c>
      <c r="C18" s="47">
        <v>1</v>
      </c>
      <c r="D18" s="35"/>
      <c r="E18" s="35">
        <v>1</v>
      </c>
      <c r="F18" s="54"/>
      <c r="G18" s="22">
        <f t="shared" si="0"/>
        <v>2</v>
      </c>
      <c r="H18" s="19">
        <v>44334</v>
      </c>
    </row>
    <row r="19" spans="2:8" x14ac:dyDescent="0.15">
      <c r="B19" s="5" t="s">
        <v>7</v>
      </c>
      <c r="C19" s="47"/>
      <c r="D19" s="35"/>
      <c r="E19" s="35">
        <v>1</v>
      </c>
      <c r="F19" s="54"/>
      <c r="G19" s="22">
        <f t="shared" si="0"/>
        <v>1</v>
      </c>
      <c r="H19" s="19">
        <v>44335</v>
      </c>
    </row>
    <row r="20" spans="2:8" x14ac:dyDescent="0.15">
      <c r="B20" s="5" t="s">
        <v>7</v>
      </c>
      <c r="C20" s="47"/>
      <c r="D20" s="35"/>
      <c r="E20" s="35">
        <v>1</v>
      </c>
      <c r="F20" s="54">
        <v>1</v>
      </c>
      <c r="G20" s="22">
        <f t="shared" si="0"/>
        <v>2</v>
      </c>
      <c r="H20" s="19">
        <v>44341</v>
      </c>
    </row>
    <row r="21" spans="2:8" x14ac:dyDescent="0.15">
      <c r="B21" s="5" t="s">
        <v>7</v>
      </c>
      <c r="C21" s="47"/>
      <c r="D21" s="35">
        <v>1</v>
      </c>
      <c r="E21" s="35"/>
      <c r="F21" s="54"/>
      <c r="G21" s="22">
        <f t="shared" si="0"/>
        <v>1</v>
      </c>
      <c r="H21" s="19">
        <v>44348</v>
      </c>
    </row>
    <row r="22" spans="2:8" x14ac:dyDescent="0.15">
      <c r="B22" s="5" t="s">
        <v>7</v>
      </c>
      <c r="C22" s="47"/>
      <c r="D22" s="35"/>
      <c r="E22" s="35">
        <v>1</v>
      </c>
      <c r="F22" s="54">
        <v>1</v>
      </c>
      <c r="G22" s="22">
        <f t="shared" si="0"/>
        <v>2</v>
      </c>
      <c r="H22" s="19">
        <v>44352</v>
      </c>
    </row>
    <row r="23" spans="2:8" x14ac:dyDescent="0.15">
      <c r="B23" s="5" t="s">
        <v>7</v>
      </c>
      <c r="C23" s="47">
        <v>1</v>
      </c>
      <c r="D23" s="35"/>
      <c r="E23" s="35">
        <v>1</v>
      </c>
      <c r="F23" s="54"/>
      <c r="G23" s="22">
        <f t="shared" si="0"/>
        <v>2</v>
      </c>
      <c r="H23" s="19">
        <v>44357</v>
      </c>
    </row>
    <row r="24" spans="2:8" x14ac:dyDescent="0.15">
      <c r="B24" s="5" t="s">
        <v>7</v>
      </c>
      <c r="C24" s="47">
        <v>1</v>
      </c>
      <c r="D24" s="35"/>
      <c r="E24" s="35"/>
      <c r="F24" s="54"/>
      <c r="G24" s="22">
        <f t="shared" si="0"/>
        <v>1</v>
      </c>
      <c r="H24" s="18">
        <v>44361</v>
      </c>
    </row>
    <row r="25" spans="2:8" x14ac:dyDescent="0.15">
      <c r="B25" s="5" t="s">
        <v>7</v>
      </c>
      <c r="C25" s="47"/>
      <c r="D25" s="35"/>
      <c r="E25" s="35">
        <f>1+1</f>
        <v>2</v>
      </c>
      <c r="F25" s="54"/>
      <c r="G25" s="22">
        <f t="shared" si="0"/>
        <v>2</v>
      </c>
      <c r="H25" s="18">
        <v>44362</v>
      </c>
    </row>
    <row r="26" spans="2:8" x14ac:dyDescent="0.15">
      <c r="B26" s="5" t="s">
        <v>7</v>
      </c>
      <c r="C26" s="47"/>
      <c r="D26" s="35"/>
      <c r="E26" s="35">
        <v>1</v>
      </c>
      <c r="F26" s="54"/>
      <c r="G26" s="22">
        <f t="shared" si="0"/>
        <v>1</v>
      </c>
      <c r="H26" s="19">
        <v>44372</v>
      </c>
    </row>
    <row r="27" spans="2:8" x14ac:dyDescent="0.15">
      <c r="B27" s="5" t="s">
        <v>7</v>
      </c>
      <c r="C27" s="47"/>
      <c r="D27" s="35">
        <v>1</v>
      </c>
      <c r="E27" s="35"/>
      <c r="F27" s="54"/>
      <c r="G27" s="22">
        <f t="shared" si="0"/>
        <v>1</v>
      </c>
      <c r="H27" s="18">
        <v>44375</v>
      </c>
    </row>
    <row r="28" spans="2:8" x14ac:dyDescent="0.15">
      <c r="B28" s="5" t="s">
        <v>7</v>
      </c>
      <c r="C28" s="47">
        <f>1+1</f>
        <v>2</v>
      </c>
      <c r="D28" s="35"/>
      <c r="E28" s="35"/>
      <c r="F28" s="54"/>
      <c r="G28" s="22">
        <f t="shared" si="0"/>
        <v>2</v>
      </c>
      <c r="H28" s="18">
        <v>44377</v>
      </c>
    </row>
    <row r="29" spans="2:8" x14ac:dyDescent="0.15">
      <c r="B29" s="5" t="s">
        <v>7</v>
      </c>
      <c r="C29" s="47">
        <v>2</v>
      </c>
      <c r="D29" s="35"/>
      <c r="E29" s="35"/>
      <c r="F29" s="54"/>
      <c r="G29" s="22">
        <f t="shared" si="0"/>
        <v>2</v>
      </c>
      <c r="H29" s="18">
        <v>44378</v>
      </c>
    </row>
    <row r="30" spans="2:8" x14ac:dyDescent="0.15">
      <c r="B30" s="5" t="s">
        <v>7</v>
      </c>
      <c r="C30" s="47"/>
      <c r="D30" s="35">
        <f>1+1</f>
        <v>2</v>
      </c>
      <c r="E30" s="35">
        <v>1</v>
      </c>
      <c r="F30" s="54"/>
      <c r="G30" s="22">
        <f t="shared" si="0"/>
        <v>3</v>
      </c>
      <c r="H30" s="18">
        <v>44379</v>
      </c>
    </row>
    <row r="31" spans="2:8" x14ac:dyDescent="0.15">
      <c r="B31" s="5" t="s">
        <v>7</v>
      </c>
      <c r="C31" s="47">
        <v>1</v>
      </c>
      <c r="D31" s="35"/>
      <c r="E31" s="35"/>
      <c r="F31" s="54"/>
      <c r="G31" s="22">
        <f t="shared" si="0"/>
        <v>1</v>
      </c>
      <c r="H31" s="18">
        <v>44382</v>
      </c>
    </row>
    <row r="32" spans="2:8" x14ac:dyDescent="0.15">
      <c r="B32" s="5" t="s">
        <v>7</v>
      </c>
      <c r="C32" s="47"/>
      <c r="D32" s="35"/>
      <c r="E32" s="35">
        <v>1</v>
      </c>
      <c r="F32" s="54"/>
      <c r="G32" s="22">
        <f t="shared" si="0"/>
        <v>1</v>
      </c>
      <c r="H32" s="18">
        <v>44386</v>
      </c>
    </row>
    <row r="33" spans="1:8" x14ac:dyDescent="0.15">
      <c r="B33" s="5"/>
      <c r="C33" s="47"/>
      <c r="D33" s="35"/>
      <c r="E33" s="35"/>
      <c r="F33" s="54"/>
      <c r="G33" s="22">
        <f t="shared" si="0"/>
        <v>0</v>
      </c>
      <c r="H33" s="17"/>
    </row>
    <row r="34" spans="1:8" x14ac:dyDescent="0.15">
      <c r="B34" s="5"/>
      <c r="C34" s="47"/>
      <c r="D34" s="35"/>
      <c r="E34" s="35"/>
      <c r="F34" s="54"/>
      <c r="G34" s="22">
        <f>SUM(C34:F34)</f>
        <v>0</v>
      </c>
      <c r="H34" s="17"/>
    </row>
    <row r="35" spans="1:8" x14ac:dyDescent="0.15">
      <c r="B35" s="5"/>
      <c r="C35" s="47"/>
      <c r="D35" s="35"/>
      <c r="E35" s="35"/>
      <c r="F35" s="54"/>
      <c r="G35" s="22">
        <f t="shared" ref="G35:G40" si="1">SUM(C35:F35)</f>
        <v>0</v>
      </c>
      <c r="H35" s="17"/>
    </row>
    <row r="36" spans="1:8" x14ac:dyDescent="0.15">
      <c r="B36" s="5"/>
      <c r="C36" s="47"/>
      <c r="D36" s="35"/>
      <c r="E36" s="35"/>
      <c r="F36" s="54"/>
      <c r="G36" s="22">
        <f t="shared" si="1"/>
        <v>0</v>
      </c>
      <c r="H36" s="17"/>
    </row>
    <row r="37" spans="1:8" x14ac:dyDescent="0.15">
      <c r="B37" s="5"/>
      <c r="C37" s="47"/>
      <c r="D37" s="35"/>
      <c r="E37" s="35"/>
      <c r="F37" s="54"/>
      <c r="G37" s="22">
        <f t="shared" si="1"/>
        <v>0</v>
      </c>
      <c r="H37" s="17"/>
    </row>
    <row r="38" spans="1:8" ht="14.25" thickBot="1" x14ac:dyDescent="0.2">
      <c r="B38" s="59"/>
      <c r="C38" s="48"/>
      <c r="D38" s="40"/>
      <c r="E38" s="40"/>
      <c r="F38" s="55"/>
      <c r="G38" s="21">
        <f t="shared" si="1"/>
        <v>0</v>
      </c>
      <c r="H38" s="17"/>
    </row>
    <row r="39" spans="1:8" ht="14.25" thickBot="1" x14ac:dyDescent="0.2">
      <c r="B39" s="4" t="s">
        <v>2</v>
      </c>
      <c r="C39" s="51">
        <f>SUM(C14:C38)</f>
        <v>9</v>
      </c>
      <c r="D39" s="44">
        <f>SUM(D14:D38)</f>
        <v>6</v>
      </c>
      <c r="E39" s="44">
        <f>SUM(E14:E38)</f>
        <v>14</v>
      </c>
      <c r="F39" s="58">
        <f>SUM(F14:F38)</f>
        <v>2</v>
      </c>
      <c r="G39" s="3">
        <f t="shared" si="1"/>
        <v>31</v>
      </c>
    </row>
    <row r="40" spans="1:8" ht="14.25" thickBot="1" x14ac:dyDescent="0.2">
      <c r="B40" s="9" t="s">
        <v>3</v>
      </c>
      <c r="C40" s="49">
        <f>+C13-C39</f>
        <v>2</v>
      </c>
      <c r="D40" s="42">
        <f>+D13-D39</f>
        <v>0</v>
      </c>
      <c r="E40" s="42">
        <f>+E13-E39</f>
        <v>5</v>
      </c>
      <c r="F40" s="56">
        <f>+F13-F39</f>
        <v>4</v>
      </c>
      <c r="G40" s="8">
        <f t="shared" si="1"/>
        <v>11</v>
      </c>
    </row>
    <row r="42" spans="1:8" ht="18.75" x14ac:dyDescent="0.2">
      <c r="B42" s="16" t="s">
        <v>12</v>
      </c>
      <c r="C42" s="15"/>
      <c r="D42" s="20"/>
      <c r="E42" s="15"/>
      <c r="F42" s="15"/>
    </row>
    <row r="43" spans="1:8" ht="14.25" thickBot="1" x14ac:dyDescent="0.2"/>
    <row r="44" spans="1:8" ht="14.25" thickBot="1" x14ac:dyDescent="0.2">
      <c r="B44" s="14"/>
      <c r="C44" s="29"/>
      <c r="D44" s="29"/>
      <c r="E44" s="29"/>
      <c r="F44" s="29"/>
      <c r="G44" s="30"/>
    </row>
    <row r="45" spans="1:8" ht="14.25" thickBot="1" x14ac:dyDescent="0.2">
      <c r="A45" s="1"/>
      <c r="B45" s="13"/>
      <c r="C45" s="45" t="s">
        <v>10</v>
      </c>
      <c r="D45" s="38" t="s">
        <v>9</v>
      </c>
      <c r="E45" s="39" t="s">
        <v>6</v>
      </c>
      <c r="F45" s="52" t="s">
        <v>11</v>
      </c>
      <c r="G45" s="4" t="s">
        <v>0</v>
      </c>
    </row>
    <row r="46" spans="1:8" x14ac:dyDescent="0.15">
      <c r="B46" s="12" t="s">
        <v>5</v>
      </c>
      <c r="C46" s="46">
        <f>C40</f>
        <v>2</v>
      </c>
      <c r="D46" s="37">
        <f>D40</f>
        <v>0</v>
      </c>
      <c r="E46" s="37">
        <f>E40</f>
        <v>5</v>
      </c>
      <c r="F46" s="53">
        <f>F40</f>
        <v>4</v>
      </c>
      <c r="G46" s="24">
        <f t="shared" ref="G46:G73" si="2">SUM(C46:F46)</f>
        <v>11</v>
      </c>
    </row>
    <row r="47" spans="1:8" x14ac:dyDescent="0.15">
      <c r="B47" s="11" t="s">
        <v>4</v>
      </c>
      <c r="C47" s="47">
        <v>5</v>
      </c>
      <c r="D47" s="35">
        <v>5</v>
      </c>
      <c r="E47" s="35"/>
      <c r="F47" s="54"/>
      <c r="G47" s="22">
        <f t="shared" si="2"/>
        <v>10</v>
      </c>
      <c r="H47" s="19">
        <v>44384</v>
      </c>
    </row>
    <row r="48" spans="1:8" x14ac:dyDescent="0.15">
      <c r="B48" s="11" t="s">
        <v>4</v>
      </c>
      <c r="C48" s="47"/>
      <c r="D48" s="35">
        <v>5</v>
      </c>
      <c r="E48" s="35">
        <v>5</v>
      </c>
      <c r="F48" s="54"/>
      <c r="G48" s="22">
        <f>SUM(C48:F48)</f>
        <v>10</v>
      </c>
      <c r="H48" s="19">
        <v>44391</v>
      </c>
    </row>
    <row r="49" spans="2:8" x14ac:dyDescent="0.15">
      <c r="B49" s="11" t="s">
        <v>8</v>
      </c>
      <c r="C49" s="47">
        <v>1</v>
      </c>
      <c r="D49" s="35"/>
      <c r="E49" s="35"/>
      <c r="F49" s="54">
        <v>-1</v>
      </c>
      <c r="G49" s="22">
        <f t="shared" si="2"/>
        <v>0</v>
      </c>
      <c r="H49" s="19">
        <v>44434</v>
      </c>
    </row>
    <row r="50" spans="2:8" x14ac:dyDescent="0.15">
      <c r="B50" s="11" t="s">
        <v>4</v>
      </c>
      <c r="C50" s="47">
        <v>5</v>
      </c>
      <c r="D50" s="35"/>
      <c r="E50" s="35">
        <v>10</v>
      </c>
      <c r="F50" s="54">
        <v>5</v>
      </c>
      <c r="G50" s="22">
        <f t="shared" si="2"/>
        <v>20</v>
      </c>
      <c r="H50" s="19">
        <v>44446</v>
      </c>
    </row>
    <row r="51" spans="2:8" ht="14.25" thickBot="1" x14ac:dyDescent="0.2">
      <c r="B51" s="10" t="s">
        <v>4</v>
      </c>
      <c r="C51" s="48">
        <v>5</v>
      </c>
      <c r="D51" s="40"/>
      <c r="E51" s="40"/>
      <c r="F51" s="55"/>
      <c r="G51" s="21">
        <f t="shared" si="2"/>
        <v>5</v>
      </c>
      <c r="H51" s="19">
        <v>44463</v>
      </c>
    </row>
    <row r="52" spans="2:8" ht="14.25" thickBot="1" x14ac:dyDescent="0.2">
      <c r="B52" s="9" t="s">
        <v>1</v>
      </c>
      <c r="C52" s="49">
        <f>SUM(C46:C51)</f>
        <v>18</v>
      </c>
      <c r="D52" s="42">
        <f>SUM(D46:D51)</f>
        <v>10</v>
      </c>
      <c r="E52" s="42">
        <f>SUM(E46:E51)</f>
        <v>20</v>
      </c>
      <c r="F52" s="56">
        <f>SUM(F46:F51)</f>
        <v>8</v>
      </c>
      <c r="G52" s="8">
        <f t="shared" si="2"/>
        <v>56</v>
      </c>
    </row>
    <row r="53" spans="2:8" x14ac:dyDescent="0.15">
      <c r="B53" s="5" t="s">
        <v>7</v>
      </c>
      <c r="C53" s="50">
        <v>1</v>
      </c>
      <c r="D53" s="41">
        <v>2</v>
      </c>
      <c r="E53" s="41">
        <v>1</v>
      </c>
      <c r="F53" s="57"/>
      <c r="G53" s="6">
        <f t="shared" si="2"/>
        <v>4</v>
      </c>
      <c r="H53" s="17">
        <v>44389</v>
      </c>
    </row>
    <row r="54" spans="2:8" x14ac:dyDescent="0.15">
      <c r="B54" s="5" t="s">
        <v>7</v>
      </c>
      <c r="C54" s="47"/>
      <c r="D54" s="35"/>
      <c r="E54" s="35">
        <v>2</v>
      </c>
      <c r="F54" s="54"/>
      <c r="G54" s="22">
        <f t="shared" si="2"/>
        <v>2</v>
      </c>
      <c r="H54" s="17">
        <v>44391</v>
      </c>
    </row>
    <row r="55" spans="2:8" x14ac:dyDescent="0.15">
      <c r="B55" s="5" t="s">
        <v>7</v>
      </c>
      <c r="C55" s="47"/>
      <c r="D55" s="35">
        <v>1</v>
      </c>
      <c r="E55" s="35"/>
      <c r="F55" s="54"/>
      <c r="G55" s="22">
        <f t="shared" si="2"/>
        <v>1</v>
      </c>
      <c r="H55" s="19">
        <v>44393</v>
      </c>
    </row>
    <row r="56" spans="2:8" x14ac:dyDescent="0.15">
      <c r="B56" s="5" t="s">
        <v>7</v>
      </c>
      <c r="C56" s="47"/>
      <c r="D56" s="35"/>
      <c r="E56" s="35">
        <v>1</v>
      </c>
      <c r="F56" s="54"/>
      <c r="G56" s="22">
        <f t="shared" si="2"/>
        <v>1</v>
      </c>
      <c r="H56" s="19">
        <v>44396</v>
      </c>
    </row>
    <row r="57" spans="2:8" x14ac:dyDescent="0.15">
      <c r="B57" s="5" t="s">
        <v>7</v>
      </c>
      <c r="C57" s="47">
        <v>1</v>
      </c>
      <c r="D57" s="35"/>
      <c r="E57" s="35"/>
      <c r="F57" s="54"/>
      <c r="G57" s="22">
        <f t="shared" si="2"/>
        <v>1</v>
      </c>
      <c r="H57" s="19">
        <v>44401</v>
      </c>
    </row>
    <row r="58" spans="2:8" x14ac:dyDescent="0.15">
      <c r="B58" s="5" t="s">
        <v>7</v>
      </c>
      <c r="C58" s="47"/>
      <c r="D58" s="35"/>
      <c r="E58" s="35">
        <v>1</v>
      </c>
      <c r="F58" s="54">
        <v>1</v>
      </c>
      <c r="G58" s="22">
        <f t="shared" si="2"/>
        <v>2</v>
      </c>
      <c r="H58" s="19">
        <v>44403</v>
      </c>
    </row>
    <row r="59" spans="2:8" x14ac:dyDescent="0.15">
      <c r="B59" s="5" t="s">
        <v>7</v>
      </c>
      <c r="C59" s="47"/>
      <c r="D59" s="35">
        <v>1</v>
      </c>
      <c r="E59" s="35"/>
      <c r="F59" s="54"/>
      <c r="G59" s="22">
        <f t="shared" si="2"/>
        <v>1</v>
      </c>
      <c r="H59" s="19">
        <v>44407</v>
      </c>
    </row>
    <row r="60" spans="2:8" x14ac:dyDescent="0.15">
      <c r="B60" s="5" t="s">
        <v>7</v>
      </c>
      <c r="C60" s="47">
        <v>1</v>
      </c>
      <c r="D60" s="35"/>
      <c r="E60" s="35">
        <v>1</v>
      </c>
      <c r="F60" s="54"/>
      <c r="G60" s="22">
        <f t="shared" si="2"/>
        <v>2</v>
      </c>
      <c r="H60" s="19">
        <v>44408</v>
      </c>
    </row>
    <row r="61" spans="2:8" x14ac:dyDescent="0.15">
      <c r="B61" s="5" t="s">
        <v>7</v>
      </c>
      <c r="C61" s="47">
        <v>1</v>
      </c>
      <c r="D61" s="35"/>
      <c r="E61" s="35"/>
      <c r="F61" s="54"/>
      <c r="G61" s="22">
        <f t="shared" si="2"/>
        <v>1</v>
      </c>
      <c r="H61" s="19">
        <v>44418</v>
      </c>
    </row>
    <row r="62" spans="2:8" x14ac:dyDescent="0.15">
      <c r="B62" s="5" t="s">
        <v>7</v>
      </c>
      <c r="C62" s="47">
        <v>1</v>
      </c>
      <c r="D62" s="35"/>
      <c r="E62" s="35">
        <v>1</v>
      </c>
      <c r="F62" s="54"/>
      <c r="G62" s="22">
        <f t="shared" si="2"/>
        <v>2</v>
      </c>
      <c r="H62" s="19">
        <v>44419</v>
      </c>
    </row>
    <row r="63" spans="2:8" x14ac:dyDescent="0.15">
      <c r="B63" s="5" t="s">
        <v>7</v>
      </c>
      <c r="C63" s="47"/>
      <c r="D63" s="35"/>
      <c r="E63" s="35">
        <f>1+1</f>
        <v>2</v>
      </c>
      <c r="F63" s="54">
        <v>2</v>
      </c>
      <c r="G63" s="22">
        <f t="shared" si="2"/>
        <v>4</v>
      </c>
      <c r="H63" s="19">
        <v>44424</v>
      </c>
    </row>
    <row r="64" spans="2:8" x14ac:dyDescent="0.15">
      <c r="B64" s="5" t="s">
        <v>7</v>
      </c>
      <c r="C64" s="47">
        <v>1</v>
      </c>
      <c r="D64" s="35">
        <v>1</v>
      </c>
      <c r="E64" s="35"/>
      <c r="F64" s="54"/>
      <c r="G64" s="22">
        <f t="shared" si="2"/>
        <v>2</v>
      </c>
      <c r="H64" s="19">
        <v>44433</v>
      </c>
    </row>
    <row r="65" spans="2:8" x14ac:dyDescent="0.15">
      <c r="B65" s="5" t="s">
        <v>7</v>
      </c>
      <c r="C65" s="47">
        <v>1</v>
      </c>
      <c r="D65" s="35"/>
      <c r="E65" s="35">
        <v>1</v>
      </c>
      <c r="F65" s="54"/>
      <c r="G65" s="22">
        <f t="shared" si="2"/>
        <v>2</v>
      </c>
      <c r="H65" s="19">
        <v>44445</v>
      </c>
    </row>
    <row r="66" spans="2:8" x14ac:dyDescent="0.15">
      <c r="B66" s="5" t="s">
        <v>7</v>
      </c>
      <c r="C66" s="47">
        <v>1</v>
      </c>
      <c r="D66" s="35"/>
      <c r="E66" s="35">
        <v>1</v>
      </c>
      <c r="F66" s="54"/>
      <c r="G66" s="22">
        <f t="shared" si="2"/>
        <v>2</v>
      </c>
      <c r="H66" s="19">
        <v>44446</v>
      </c>
    </row>
    <row r="67" spans="2:8" x14ac:dyDescent="0.15">
      <c r="B67" s="5" t="s">
        <v>7</v>
      </c>
      <c r="C67" s="47">
        <v>1</v>
      </c>
      <c r="D67" s="35"/>
      <c r="E67" s="35"/>
      <c r="F67" s="54"/>
      <c r="G67" s="22">
        <f t="shared" si="2"/>
        <v>1</v>
      </c>
      <c r="H67" s="19">
        <v>44447</v>
      </c>
    </row>
    <row r="68" spans="2:8" x14ac:dyDescent="0.15">
      <c r="B68" s="5" t="s">
        <v>7</v>
      </c>
      <c r="C68" s="47"/>
      <c r="D68" s="35">
        <v>1</v>
      </c>
      <c r="E68" s="35">
        <v>1</v>
      </c>
      <c r="F68" s="54"/>
      <c r="G68" s="22">
        <f t="shared" si="2"/>
        <v>2</v>
      </c>
      <c r="H68" s="19">
        <v>44452</v>
      </c>
    </row>
    <row r="69" spans="2:8" x14ac:dyDescent="0.15">
      <c r="B69" s="5" t="s">
        <v>7</v>
      </c>
      <c r="C69" s="47">
        <v>1</v>
      </c>
      <c r="D69" s="35"/>
      <c r="E69" s="35"/>
      <c r="F69" s="54"/>
      <c r="G69" s="22">
        <f t="shared" si="2"/>
        <v>1</v>
      </c>
      <c r="H69" s="19">
        <v>44463</v>
      </c>
    </row>
    <row r="70" spans="2:8" x14ac:dyDescent="0.15">
      <c r="B70" s="5" t="s">
        <v>7</v>
      </c>
      <c r="C70" s="47"/>
      <c r="D70" s="35"/>
      <c r="E70" s="35">
        <v>1</v>
      </c>
      <c r="F70" s="54"/>
      <c r="G70" s="22">
        <f t="shared" si="2"/>
        <v>1</v>
      </c>
      <c r="H70" s="19">
        <v>44474</v>
      </c>
    </row>
    <row r="71" spans="2:8" x14ac:dyDescent="0.15">
      <c r="B71" s="5" t="s">
        <v>7</v>
      </c>
      <c r="C71" s="47">
        <v>1</v>
      </c>
      <c r="D71" s="35"/>
      <c r="E71" s="35">
        <v>1</v>
      </c>
      <c r="F71" s="54">
        <v>1</v>
      </c>
      <c r="G71" s="22">
        <f t="shared" si="2"/>
        <v>3</v>
      </c>
      <c r="H71" s="19">
        <v>44480</v>
      </c>
    </row>
    <row r="72" spans="2:8" x14ac:dyDescent="0.15">
      <c r="B72" s="5" t="s">
        <v>7</v>
      </c>
      <c r="C72" s="47">
        <v>1</v>
      </c>
      <c r="D72" s="35"/>
      <c r="E72" s="35">
        <v>1</v>
      </c>
      <c r="F72" s="54"/>
      <c r="G72" s="22">
        <f t="shared" si="2"/>
        <v>2</v>
      </c>
      <c r="H72" s="19">
        <v>44483</v>
      </c>
    </row>
    <row r="73" spans="2:8" x14ac:dyDescent="0.15">
      <c r="B73" s="5" t="s">
        <v>7</v>
      </c>
      <c r="C73" s="47">
        <v>1</v>
      </c>
      <c r="D73" s="35"/>
      <c r="E73" s="35"/>
      <c r="F73" s="54"/>
      <c r="G73" s="22">
        <f t="shared" si="2"/>
        <v>1</v>
      </c>
      <c r="H73" s="19">
        <v>44505</v>
      </c>
    </row>
    <row r="74" spans="2:8" x14ac:dyDescent="0.15">
      <c r="B74" s="5" t="s">
        <v>7</v>
      </c>
      <c r="C74" s="47"/>
      <c r="D74" s="35">
        <v>1</v>
      </c>
      <c r="E74" s="35"/>
      <c r="F74" s="54"/>
      <c r="G74" s="22">
        <f>SUM(C74:F74)</f>
        <v>1</v>
      </c>
      <c r="H74" s="19">
        <v>44512</v>
      </c>
    </row>
    <row r="75" spans="2:8" x14ac:dyDescent="0.15">
      <c r="B75" s="5" t="s">
        <v>7</v>
      </c>
      <c r="C75" s="47">
        <v>1</v>
      </c>
      <c r="D75" s="35"/>
      <c r="E75" s="35"/>
      <c r="F75" s="54"/>
      <c r="G75" s="22">
        <f t="shared" ref="G75:G79" si="3">SUM(C75:F75)</f>
        <v>1</v>
      </c>
      <c r="H75" s="19">
        <v>44524</v>
      </c>
    </row>
    <row r="76" spans="2:8" x14ac:dyDescent="0.15">
      <c r="B76" s="5" t="s">
        <v>7</v>
      </c>
      <c r="C76" s="47">
        <v>1</v>
      </c>
      <c r="D76" s="35"/>
      <c r="E76" s="35"/>
      <c r="F76" s="54"/>
      <c r="G76" s="22">
        <f t="shared" si="3"/>
        <v>1</v>
      </c>
      <c r="H76" s="19">
        <v>44526</v>
      </c>
    </row>
    <row r="77" spans="2:8" ht="14.25" thickBot="1" x14ac:dyDescent="0.2">
      <c r="B77" s="5" t="s">
        <v>7</v>
      </c>
      <c r="C77" s="48">
        <v>1</v>
      </c>
      <c r="D77" s="40"/>
      <c r="E77" s="40"/>
      <c r="F77" s="55"/>
      <c r="G77" s="21">
        <f t="shared" si="3"/>
        <v>1</v>
      </c>
      <c r="H77" s="19">
        <v>44529</v>
      </c>
    </row>
    <row r="78" spans="2:8" ht="14.25" thickBot="1" x14ac:dyDescent="0.2">
      <c r="B78" s="4" t="s">
        <v>2</v>
      </c>
      <c r="C78" s="51">
        <f>SUM(C53:C77)</f>
        <v>16</v>
      </c>
      <c r="D78" s="44">
        <f>SUM(D53:D77)</f>
        <v>7</v>
      </c>
      <c r="E78" s="44">
        <f>SUM(E53:E77)</f>
        <v>15</v>
      </c>
      <c r="F78" s="58">
        <f>SUM(F53:F77)</f>
        <v>4</v>
      </c>
      <c r="G78" s="3">
        <f t="shared" si="3"/>
        <v>42</v>
      </c>
    </row>
    <row r="79" spans="2:8" ht="14.25" thickBot="1" x14ac:dyDescent="0.2">
      <c r="B79" s="2" t="s">
        <v>3</v>
      </c>
      <c r="C79" s="49">
        <f>+C52-C78</f>
        <v>2</v>
      </c>
      <c r="D79" s="42">
        <f>+D52-D78</f>
        <v>3</v>
      </c>
      <c r="E79" s="42">
        <f>+E52-E78</f>
        <v>5</v>
      </c>
      <c r="F79" s="56">
        <f>+F52-F78</f>
        <v>4</v>
      </c>
      <c r="G79" s="8">
        <f t="shared" si="3"/>
        <v>14</v>
      </c>
    </row>
    <row r="81" spans="1:8" ht="18.75" x14ac:dyDescent="0.2">
      <c r="B81" s="16" t="s">
        <v>12</v>
      </c>
      <c r="C81" s="15"/>
      <c r="D81" s="20"/>
      <c r="E81" s="15"/>
      <c r="F81" s="15"/>
    </row>
    <row r="82" spans="1:8" ht="14.25" thickBot="1" x14ac:dyDescent="0.2"/>
    <row r="83" spans="1:8" ht="14.25" thickBot="1" x14ac:dyDescent="0.2">
      <c r="B83" s="14"/>
      <c r="C83" s="29"/>
      <c r="D83" s="29"/>
      <c r="E83" s="29"/>
      <c r="F83" s="29"/>
      <c r="G83" s="30"/>
    </row>
    <row r="84" spans="1:8" ht="14.25" thickBot="1" x14ac:dyDescent="0.2">
      <c r="A84" s="1"/>
      <c r="B84" s="13"/>
      <c r="C84" s="45" t="s">
        <v>10</v>
      </c>
      <c r="D84" s="38" t="s">
        <v>9</v>
      </c>
      <c r="E84" s="39" t="s">
        <v>6</v>
      </c>
      <c r="F84" s="52" t="s">
        <v>11</v>
      </c>
      <c r="G84" s="4" t="s">
        <v>0</v>
      </c>
    </row>
    <row r="85" spans="1:8" x14ac:dyDescent="0.15">
      <c r="B85" s="12" t="s">
        <v>5</v>
      </c>
      <c r="C85" s="46">
        <f>C79</f>
        <v>2</v>
      </c>
      <c r="D85" s="37">
        <f>D79</f>
        <v>3</v>
      </c>
      <c r="E85" s="37">
        <f>E79</f>
        <v>5</v>
      </c>
      <c r="F85" s="53">
        <f>F79</f>
        <v>4</v>
      </c>
      <c r="G85" s="24">
        <f t="shared" ref="G85:G112" si="4">SUM(C85:F85)</f>
        <v>14</v>
      </c>
    </row>
    <row r="86" spans="1:8" x14ac:dyDescent="0.15">
      <c r="B86" s="11" t="s">
        <v>4</v>
      </c>
      <c r="C86" s="47">
        <v>10</v>
      </c>
      <c r="D86" s="35"/>
      <c r="E86" s="35">
        <v>5</v>
      </c>
      <c r="F86" s="54"/>
      <c r="G86" s="22">
        <f t="shared" si="4"/>
        <v>15</v>
      </c>
      <c r="H86" s="19">
        <v>44538</v>
      </c>
    </row>
    <row r="87" spans="1:8" x14ac:dyDescent="0.15">
      <c r="B87" s="11" t="s">
        <v>4</v>
      </c>
      <c r="C87" s="47"/>
      <c r="D87" s="35">
        <v>5</v>
      </c>
      <c r="E87" s="35"/>
      <c r="F87" s="54"/>
      <c r="G87" s="22">
        <f t="shared" si="4"/>
        <v>5</v>
      </c>
      <c r="H87" s="19">
        <v>44630</v>
      </c>
    </row>
    <row r="88" spans="1:8" x14ac:dyDescent="0.15">
      <c r="B88" s="11" t="s">
        <v>4</v>
      </c>
      <c r="C88" s="47"/>
      <c r="D88" s="35"/>
      <c r="E88" s="35"/>
      <c r="F88" s="54">
        <v>5</v>
      </c>
      <c r="G88" s="22">
        <f t="shared" si="4"/>
        <v>5</v>
      </c>
      <c r="H88" s="19">
        <v>44644</v>
      </c>
    </row>
    <row r="89" spans="1:8" x14ac:dyDescent="0.15">
      <c r="B89" s="11" t="s">
        <v>4</v>
      </c>
      <c r="C89" s="47">
        <v>3</v>
      </c>
      <c r="D89" s="35"/>
      <c r="E89" s="35">
        <v>3</v>
      </c>
      <c r="F89" s="54"/>
      <c r="G89" s="22">
        <f t="shared" si="4"/>
        <v>6</v>
      </c>
      <c r="H89" s="19">
        <v>44653</v>
      </c>
    </row>
    <row r="90" spans="1:8" ht="14.25" thickBot="1" x14ac:dyDescent="0.2">
      <c r="B90" s="10" t="s">
        <v>4</v>
      </c>
      <c r="C90" s="48"/>
      <c r="D90" s="40">
        <v>5</v>
      </c>
      <c r="E90" s="40"/>
      <c r="F90" s="55">
        <v>5</v>
      </c>
      <c r="G90" s="21">
        <f t="shared" si="4"/>
        <v>10</v>
      </c>
      <c r="H90" s="19">
        <v>44691</v>
      </c>
    </row>
    <row r="91" spans="1:8" ht="14.25" thickBot="1" x14ac:dyDescent="0.2">
      <c r="B91" s="9" t="s">
        <v>1</v>
      </c>
      <c r="C91" s="49">
        <f>SUM(C85:C90)</f>
        <v>15</v>
      </c>
      <c r="D91" s="42">
        <f>SUM(D85:D90)</f>
        <v>13</v>
      </c>
      <c r="E91" s="42">
        <f>SUM(E85:E90)</f>
        <v>13</v>
      </c>
      <c r="F91" s="56">
        <f>SUM(F85:F90)</f>
        <v>14</v>
      </c>
      <c r="G91" s="8">
        <f t="shared" si="4"/>
        <v>55</v>
      </c>
    </row>
    <row r="92" spans="1:8" x14ac:dyDescent="0.15">
      <c r="B92" s="5" t="s">
        <v>7</v>
      </c>
      <c r="C92" s="50">
        <v>1</v>
      </c>
      <c r="D92" s="41"/>
      <c r="E92" s="41"/>
      <c r="F92" s="57"/>
      <c r="G92" s="6">
        <f t="shared" si="4"/>
        <v>1</v>
      </c>
      <c r="H92" s="17">
        <v>44530</v>
      </c>
    </row>
    <row r="93" spans="1:8" x14ac:dyDescent="0.15">
      <c r="B93" s="5" t="s">
        <v>7</v>
      </c>
      <c r="C93" s="47"/>
      <c r="D93" s="35"/>
      <c r="E93" s="35">
        <v>1</v>
      </c>
      <c r="F93" s="54"/>
      <c r="G93" s="22">
        <f t="shared" si="4"/>
        <v>1</v>
      </c>
      <c r="H93" s="17">
        <v>44536</v>
      </c>
    </row>
    <row r="94" spans="1:8" x14ac:dyDescent="0.15">
      <c r="B94" s="5" t="s">
        <v>7</v>
      </c>
      <c r="C94" s="47">
        <v>1</v>
      </c>
      <c r="D94" s="35"/>
      <c r="E94" s="35"/>
      <c r="F94" s="54"/>
      <c r="G94" s="22">
        <f t="shared" si="4"/>
        <v>1</v>
      </c>
      <c r="H94" s="19">
        <v>44538</v>
      </c>
    </row>
    <row r="95" spans="1:8" x14ac:dyDescent="0.15">
      <c r="B95" s="5" t="s">
        <v>7</v>
      </c>
      <c r="C95" s="47">
        <v>1</v>
      </c>
      <c r="D95" s="35"/>
      <c r="E95" s="35"/>
      <c r="F95" s="54"/>
      <c r="G95" s="22">
        <f t="shared" si="4"/>
        <v>1</v>
      </c>
      <c r="H95" s="19">
        <v>44543</v>
      </c>
    </row>
    <row r="96" spans="1:8" x14ac:dyDescent="0.15">
      <c r="B96" s="5" t="s">
        <v>7</v>
      </c>
      <c r="C96" s="47"/>
      <c r="D96" s="35"/>
      <c r="E96" s="35">
        <v>1</v>
      </c>
      <c r="F96" s="54"/>
      <c r="G96" s="22">
        <f t="shared" si="4"/>
        <v>1</v>
      </c>
      <c r="H96" s="19">
        <v>44550</v>
      </c>
    </row>
    <row r="97" spans="2:8" x14ac:dyDescent="0.15">
      <c r="B97" s="26" t="s">
        <v>14</v>
      </c>
      <c r="C97" s="47">
        <v>-2</v>
      </c>
      <c r="D97" s="35"/>
      <c r="E97" s="35"/>
      <c r="F97" s="54"/>
      <c r="G97" s="22">
        <f t="shared" si="4"/>
        <v>-2</v>
      </c>
      <c r="H97" s="25">
        <v>44551</v>
      </c>
    </row>
    <row r="98" spans="2:8" x14ac:dyDescent="0.15">
      <c r="B98" s="5" t="s">
        <v>7</v>
      </c>
      <c r="C98" s="47">
        <v>1</v>
      </c>
      <c r="D98" s="35"/>
      <c r="E98" s="35"/>
      <c r="F98" s="54"/>
      <c r="G98" s="22">
        <f t="shared" si="4"/>
        <v>1</v>
      </c>
      <c r="H98" s="19">
        <v>44566</v>
      </c>
    </row>
    <row r="99" spans="2:8" x14ac:dyDescent="0.15">
      <c r="B99" s="5" t="s">
        <v>7</v>
      </c>
      <c r="C99" s="47">
        <v>1</v>
      </c>
      <c r="D99" s="35"/>
      <c r="E99" s="35"/>
      <c r="F99" s="54"/>
      <c r="G99" s="22">
        <f t="shared" si="4"/>
        <v>1</v>
      </c>
      <c r="H99" s="19">
        <v>44579</v>
      </c>
    </row>
    <row r="100" spans="2:8" x14ac:dyDescent="0.15">
      <c r="B100" s="5" t="s">
        <v>7</v>
      </c>
      <c r="C100" s="47">
        <v>1</v>
      </c>
      <c r="D100" s="35">
        <v>1</v>
      </c>
      <c r="E100" s="35"/>
      <c r="F100" s="54"/>
      <c r="G100" s="22">
        <f t="shared" si="4"/>
        <v>2</v>
      </c>
      <c r="H100" s="19">
        <v>44585</v>
      </c>
    </row>
    <row r="101" spans="2:8" x14ac:dyDescent="0.15">
      <c r="B101" s="5" t="s">
        <v>7</v>
      </c>
      <c r="C101" s="47"/>
      <c r="D101" s="35"/>
      <c r="E101" s="35"/>
      <c r="F101" s="54">
        <v>1</v>
      </c>
      <c r="G101" s="22">
        <f t="shared" si="4"/>
        <v>1</v>
      </c>
      <c r="H101" s="19">
        <v>44602</v>
      </c>
    </row>
    <row r="102" spans="2:8" x14ac:dyDescent="0.15">
      <c r="B102" s="5" t="s">
        <v>7</v>
      </c>
      <c r="C102" s="47">
        <v>1</v>
      </c>
      <c r="D102" s="35"/>
      <c r="E102" s="35"/>
      <c r="F102" s="54"/>
      <c r="G102" s="22">
        <f t="shared" si="4"/>
        <v>1</v>
      </c>
      <c r="H102" s="19">
        <v>44606</v>
      </c>
    </row>
    <row r="103" spans="2:8" x14ac:dyDescent="0.15">
      <c r="B103" s="5" t="s">
        <v>7</v>
      </c>
      <c r="C103" s="47"/>
      <c r="D103" s="35"/>
      <c r="E103" s="35"/>
      <c r="F103" s="54">
        <v>1</v>
      </c>
      <c r="G103" s="22">
        <f t="shared" si="4"/>
        <v>1</v>
      </c>
      <c r="H103" s="19">
        <v>44613</v>
      </c>
    </row>
    <row r="104" spans="2:8" x14ac:dyDescent="0.15">
      <c r="B104" s="5" t="s">
        <v>7</v>
      </c>
      <c r="C104" s="47"/>
      <c r="D104" s="35">
        <f>1+1</f>
        <v>2</v>
      </c>
      <c r="E104" s="35"/>
      <c r="F104" s="54"/>
      <c r="G104" s="22">
        <f t="shared" si="4"/>
        <v>2</v>
      </c>
      <c r="H104" s="19">
        <v>44625</v>
      </c>
    </row>
    <row r="105" spans="2:8" x14ac:dyDescent="0.15">
      <c r="B105" s="5" t="s">
        <v>7</v>
      </c>
      <c r="C105" s="47"/>
      <c r="D105" s="35">
        <v>1</v>
      </c>
      <c r="E105" s="35"/>
      <c r="F105" s="54">
        <v>1</v>
      </c>
      <c r="G105" s="22">
        <f t="shared" si="4"/>
        <v>2</v>
      </c>
      <c r="H105" s="19">
        <v>44629</v>
      </c>
    </row>
    <row r="106" spans="2:8" x14ac:dyDescent="0.15">
      <c r="B106" s="5" t="s">
        <v>7</v>
      </c>
      <c r="C106" s="47">
        <v>1</v>
      </c>
      <c r="D106" s="35"/>
      <c r="E106" s="35"/>
      <c r="F106" s="54">
        <v>1</v>
      </c>
      <c r="G106" s="22">
        <f t="shared" si="4"/>
        <v>2</v>
      </c>
      <c r="H106" s="19">
        <v>44637</v>
      </c>
    </row>
    <row r="107" spans="2:8" x14ac:dyDescent="0.15">
      <c r="B107" s="5" t="s">
        <v>7</v>
      </c>
      <c r="C107" s="47"/>
      <c r="D107" s="35"/>
      <c r="E107" s="35">
        <v>1</v>
      </c>
      <c r="F107" s="54"/>
      <c r="G107" s="22">
        <f t="shared" si="4"/>
        <v>1</v>
      </c>
      <c r="H107" s="19">
        <v>44638</v>
      </c>
    </row>
    <row r="108" spans="2:8" x14ac:dyDescent="0.15">
      <c r="B108" s="5" t="s">
        <v>7</v>
      </c>
      <c r="C108" s="47"/>
      <c r="D108" s="35"/>
      <c r="E108" s="35">
        <v>1</v>
      </c>
      <c r="F108" s="54"/>
      <c r="G108" s="22">
        <f t="shared" si="4"/>
        <v>1</v>
      </c>
      <c r="H108" s="19">
        <v>44642</v>
      </c>
    </row>
    <row r="109" spans="2:8" x14ac:dyDescent="0.15">
      <c r="B109" s="5" t="s">
        <v>7</v>
      </c>
      <c r="C109" s="47"/>
      <c r="D109" s="35">
        <v>1</v>
      </c>
      <c r="E109" s="35"/>
      <c r="F109" s="54"/>
      <c r="G109" s="22">
        <f t="shared" si="4"/>
        <v>1</v>
      </c>
      <c r="H109" s="19">
        <v>44659</v>
      </c>
    </row>
    <row r="110" spans="2:8" x14ac:dyDescent="0.15">
      <c r="B110" s="5" t="s">
        <v>7</v>
      </c>
      <c r="C110" s="47">
        <v>1</v>
      </c>
      <c r="D110" s="35"/>
      <c r="E110" s="35">
        <v>2</v>
      </c>
      <c r="F110" s="54"/>
      <c r="G110" s="22">
        <f t="shared" si="4"/>
        <v>3</v>
      </c>
      <c r="H110" s="19">
        <v>44662</v>
      </c>
    </row>
    <row r="111" spans="2:8" x14ac:dyDescent="0.15">
      <c r="B111" s="5" t="s">
        <v>7</v>
      </c>
      <c r="C111" s="47"/>
      <c r="D111" s="35"/>
      <c r="E111" s="35"/>
      <c r="F111" s="54">
        <v>1</v>
      </c>
      <c r="G111" s="22">
        <f t="shared" si="4"/>
        <v>1</v>
      </c>
      <c r="H111" s="19">
        <v>44667</v>
      </c>
    </row>
    <row r="112" spans="2:8" x14ac:dyDescent="0.15">
      <c r="B112" s="5" t="s">
        <v>7</v>
      </c>
      <c r="C112" s="47"/>
      <c r="D112" s="35"/>
      <c r="E112" s="35">
        <v>1</v>
      </c>
      <c r="F112" s="54"/>
      <c r="G112" s="22">
        <f t="shared" si="4"/>
        <v>1</v>
      </c>
      <c r="H112" s="19">
        <v>44669</v>
      </c>
    </row>
    <row r="113" spans="1:8" x14ac:dyDescent="0.15">
      <c r="B113" s="5" t="s">
        <v>7</v>
      </c>
      <c r="C113" s="47"/>
      <c r="D113" s="35"/>
      <c r="E113" s="35"/>
      <c r="F113" s="54">
        <v>1</v>
      </c>
      <c r="G113" s="22">
        <f>SUM(C113:F113)</f>
        <v>1</v>
      </c>
      <c r="H113" s="19">
        <v>44679</v>
      </c>
    </row>
    <row r="114" spans="1:8" x14ac:dyDescent="0.15">
      <c r="B114" s="5" t="s">
        <v>7</v>
      </c>
      <c r="C114" s="47">
        <v>1</v>
      </c>
      <c r="D114" s="35"/>
      <c r="E114" s="35">
        <v>1</v>
      </c>
      <c r="F114" s="54"/>
      <c r="G114" s="22">
        <f t="shared" ref="G114:G118" si="5">SUM(C114:F114)</f>
        <v>2</v>
      </c>
      <c r="H114" s="19">
        <v>44687</v>
      </c>
    </row>
    <row r="115" spans="1:8" x14ac:dyDescent="0.15">
      <c r="B115" s="5" t="s">
        <v>7</v>
      </c>
      <c r="C115" s="47">
        <v>1</v>
      </c>
      <c r="D115" s="35"/>
      <c r="E115" s="35"/>
      <c r="F115" s="54"/>
      <c r="G115" s="22">
        <f t="shared" si="5"/>
        <v>1</v>
      </c>
      <c r="H115" s="19">
        <v>44693</v>
      </c>
    </row>
    <row r="116" spans="1:8" ht="14.25" thickBot="1" x14ac:dyDescent="0.2">
      <c r="B116" s="5" t="s">
        <v>7</v>
      </c>
      <c r="C116" s="48">
        <v>1</v>
      </c>
      <c r="D116" s="40"/>
      <c r="E116" s="40"/>
      <c r="F116" s="55"/>
      <c r="G116" s="21">
        <f t="shared" si="5"/>
        <v>1</v>
      </c>
      <c r="H116" s="19">
        <v>44712</v>
      </c>
    </row>
    <row r="117" spans="1:8" ht="14.25" thickBot="1" x14ac:dyDescent="0.2">
      <c r="B117" s="4" t="s">
        <v>2</v>
      </c>
      <c r="C117" s="51">
        <f>SUM(C92:C116)</f>
        <v>10</v>
      </c>
      <c r="D117" s="44">
        <f>SUM(D92:D116)</f>
        <v>5</v>
      </c>
      <c r="E117" s="44">
        <f>SUM(E92:E116)</f>
        <v>8</v>
      </c>
      <c r="F117" s="58">
        <f>SUM(F92:F116)</f>
        <v>6</v>
      </c>
      <c r="G117" s="3">
        <f t="shared" si="5"/>
        <v>29</v>
      </c>
    </row>
    <row r="118" spans="1:8" ht="14.25" thickBot="1" x14ac:dyDescent="0.2">
      <c r="B118" s="2" t="s">
        <v>3</v>
      </c>
      <c r="C118" s="49">
        <f>+C91-C117</f>
        <v>5</v>
      </c>
      <c r="D118" s="42">
        <f>+D91-D117</f>
        <v>8</v>
      </c>
      <c r="E118" s="42">
        <f>+E91-E117</f>
        <v>5</v>
      </c>
      <c r="F118" s="56">
        <f>+F91-F117</f>
        <v>8</v>
      </c>
      <c r="G118" s="8">
        <f t="shared" si="5"/>
        <v>26</v>
      </c>
    </row>
    <row r="120" spans="1:8" ht="18.75" x14ac:dyDescent="0.2">
      <c r="B120" s="16" t="s">
        <v>12</v>
      </c>
      <c r="C120" s="15"/>
      <c r="D120" s="20"/>
      <c r="E120" s="15"/>
      <c r="F120" s="15"/>
    </row>
    <row r="121" spans="1:8" ht="14.25" thickBot="1" x14ac:dyDescent="0.2">
      <c r="G121">
        <v>460</v>
      </c>
    </row>
    <row r="122" spans="1:8" ht="14.25" thickBot="1" x14ac:dyDescent="0.2">
      <c r="B122" s="14"/>
      <c r="C122" s="29"/>
      <c r="D122" s="29"/>
      <c r="E122" s="29"/>
      <c r="F122" s="29"/>
      <c r="G122" s="30"/>
    </row>
    <row r="123" spans="1:8" ht="14.25" thickBot="1" x14ac:dyDescent="0.2">
      <c r="A123" s="1"/>
      <c r="B123" s="13"/>
      <c r="C123" s="45" t="s">
        <v>10</v>
      </c>
      <c r="D123" s="38" t="s">
        <v>9</v>
      </c>
      <c r="E123" s="39" t="s">
        <v>6</v>
      </c>
      <c r="F123" s="52" t="s">
        <v>11</v>
      </c>
      <c r="G123" s="4" t="s">
        <v>0</v>
      </c>
    </row>
    <row r="124" spans="1:8" x14ac:dyDescent="0.15">
      <c r="B124" s="12" t="s">
        <v>5</v>
      </c>
      <c r="C124" s="46">
        <f>C118</f>
        <v>5</v>
      </c>
      <c r="D124" s="37">
        <f>D118</f>
        <v>8</v>
      </c>
      <c r="E124" s="37">
        <f>E118</f>
        <v>5</v>
      </c>
      <c r="F124" s="53">
        <f>F118</f>
        <v>8</v>
      </c>
      <c r="G124" s="24">
        <f t="shared" ref="G124:G151" si="6">SUM(C124:F124)</f>
        <v>26</v>
      </c>
    </row>
    <row r="125" spans="1:8" x14ac:dyDescent="0.15">
      <c r="B125" s="11" t="s">
        <v>4</v>
      </c>
      <c r="C125" s="47">
        <v>10</v>
      </c>
      <c r="D125" s="35"/>
      <c r="E125" s="35">
        <v>3</v>
      </c>
      <c r="F125" s="54"/>
      <c r="G125" s="22">
        <f t="shared" si="6"/>
        <v>13</v>
      </c>
      <c r="H125" s="19">
        <v>44726</v>
      </c>
    </row>
    <row r="126" spans="1:8" x14ac:dyDescent="0.15">
      <c r="B126" s="11" t="s">
        <v>4</v>
      </c>
      <c r="C126" s="47"/>
      <c r="D126" s="35"/>
      <c r="E126" s="35">
        <v>5</v>
      </c>
      <c r="F126" s="54">
        <v>5</v>
      </c>
      <c r="G126" s="22">
        <f t="shared" si="6"/>
        <v>10</v>
      </c>
      <c r="H126" s="19">
        <v>44747</v>
      </c>
    </row>
    <row r="127" spans="1:8" x14ac:dyDescent="0.15">
      <c r="B127" s="11" t="s">
        <v>4</v>
      </c>
      <c r="C127" s="47"/>
      <c r="D127" s="35"/>
      <c r="E127" s="35">
        <v>5</v>
      </c>
      <c r="F127" s="54"/>
      <c r="G127" s="22">
        <f t="shared" si="6"/>
        <v>5</v>
      </c>
      <c r="H127" s="19">
        <v>44767</v>
      </c>
    </row>
    <row r="128" spans="1:8" x14ac:dyDescent="0.15">
      <c r="B128" s="27" t="s">
        <v>15</v>
      </c>
      <c r="C128" s="47">
        <v>1</v>
      </c>
      <c r="D128" s="35">
        <v>0</v>
      </c>
      <c r="E128" s="35">
        <v>0</v>
      </c>
      <c r="F128" s="54">
        <v>0</v>
      </c>
      <c r="G128" s="22">
        <f t="shared" si="6"/>
        <v>1</v>
      </c>
      <c r="H128" s="28">
        <v>44796</v>
      </c>
    </row>
    <row r="129" spans="2:8" ht="14.25" thickBot="1" x14ac:dyDescent="0.2">
      <c r="B129" s="11" t="s">
        <v>4</v>
      </c>
      <c r="C129" s="48">
        <v>5</v>
      </c>
      <c r="D129" s="40"/>
      <c r="E129" s="40">
        <v>10</v>
      </c>
      <c r="F129" s="55">
        <v>3</v>
      </c>
      <c r="G129" s="21">
        <f t="shared" si="6"/>
        <v>18</v>
      </c>
      <c r="H129" s="19">
        <v>44806</v>
      </c>
    </row>
    <row r="130" spans="2:8" ht="14.25" thickBot="1" x14ac:dyDescent="0.2">
      <c r="B130" s="9" t="s">
        <v>1</v>
      </c>
      <c r="C130" s="49">
        <f>SUM(C124:C129)</f>
        <v>21</v>
      </c>
      <c r="D130" s="42">
        <f>SUM(D124:D129)</f>
        <v>8</v>
      </c>
      <c r="E130" s="42">
        <f>SUM(E124:E129)</f>
        <v>28</v>
      </c>
      <c r="F130" s="56">
        <f>SUM(F124:F129)</f>
        <v>16</v>
      </c>
      <c r="G130" s="8">
        <f t="shared" si="6"/>
        <v>73</v>
      </c>
    </row>
    <row r="131" spans="2:8" x14ac:dyDescent="0.15">
      <c r="B131" s="5" t="s">
        <v>7</v>
      </c>
      <c r="C131" s="50">
        <v>1</v>
      </c>
      <c r="D131" s="41"/>
      <c r="E131" s="41">
        <v>1</v>
      </c>
      <c r="F131" s="57">
        <f>2+1</f>
        <v>3</v>
      </c>
      <c r="G131" s="6">
        <f t="shared" si="6"/>
        <v>5</v>
      </c>
      <c r="H131" s="17">
        <v>44718</v>
      </c>
    </row>
    <row r="132" spans="2:8" x14ac:dyDescent="0.15">
      <c r="B132" s="5" t="s">
        <v>7</v>
      </c>
      <c r="C132" s="47">
        <v>1</v>
      </c>
      <c r="D132" s="35"/>
      <c r="E132" s="35"/>
      <c r="F132" s="54"/>
      <c r="G132" s="22">
        <f t="shared" si="6"/>
        <v>1</v>
      </c>
      <c r="H132" s="17">
        <v>44719</v>
      </c>
    </row>
    <row r="133" spans="2:8" x14ac:dyDescent="0.15">
      <c r="B133" s="5" t="s">
        <v>7</v>
      </c>
      <c r="C133" s="47">
        <v>1</v>
      </c>
      <c r="D133" s="35"/>
      <c r="E133" s="35"/>
      <c r="F133" s="54"/>
      <c r="G133" s="22">
        <f t="shared" si="6"/>
        <v>1</v>
      </c>
      <c r="H133" s="19">
        <v>44720</v>
      </c>
    </row>
    <row r="134" spans="2:8" x14ac:dyDescent="0.15">
      <c r="B134" s="5" t="s">
        <v>7</v>
      </c>
      <c r="C134" s="47"/>
      <c r="D134" s="35">
        <v>1</v>
      </c>
      <c r="E134" s="35">
        <v>1</v>
      </c>
      <c r="F134" s="54"/>
      <c r="G134" s="22">
        <f t="shared" si="6"/>
        <v>2</v>
      </c>
      <c r="H134" s="19">
        <v>44721</v>
      </c>
    </row>
    <row r="135" spans="2:8" x14ac:dyDescent="0.15">
      <c r="B135" s="5" t="s">
        <v>7</v>
      </c>
      <c r="C135" s="47">
        <v>1</v>
      </c>
      <c r="D135" s="35"/>
      <c r="E135" s="35"/>
      <c r="F135" s="54"/>
      <c r="G135" s="22">
        <f t="shared" si="6"/>
        <v>1</v>
      </c>
      <c r="H135" s="19">
        <v>44722</v>
      </c>
    </row>
    <row r="136" spans="2:8" x14ac:dyDescent="0.15">
      <c r="B136" s="5" t="s">
        <v>7</v>
      </c>
      <c r="C136" s="47"/>
      <c r="D136" s="35"/>
      <c r="E136" s="35">
        <v>1</v>
      </c>
      <c r="F136" s="54"/>
      <c r="G136" s="22">
        <f t="shared" si="6"/>
        <v>1</v>
      </c>
      <c r="H136" s="19">
        <v>44725</v>
      </c>
    </row>
    <row r="137" spans="2:8" x14ac:dyDescent="0.15">
      <c r="B137" s="5" t="s">
        <v>7</v>
      </c>
      <c r="C137" s="47">
        <v>1</v>
      </c>
      <c r="D137" s="35"/>
      <c r="E137" s="35">
        <v>1</v>
      </c>
      <c r="F137" s="54">
        <v>1</v>
      </c>
      <c r="G137" s="22">
        <f t="shared" si="6"/>
        <v>3</v>
      </c>
      <c r="H137" s="19">
        <v>44726</v>
      </c>
    </row>
    <row r="138" spans="2:8" x14ac:dyDescent="0.15">
      <c r="B138" s="5" t="s">
        <v>7</v>
      </c>
      <c r="C138" s="47">
        <v>1</v>
      </c>
      <c r="D138" s="35"/>
      <c r="E138" s="35"/>
      <c r="F138" s="54"/>
      <c r="G138" s="22">
        <f t="shared" si="6"/>
        <v>1</v>
      </c>
      <c r="H138" s="19">
        <v>44729</v>
      </c>
    </row>
    <row r="139" spans="2:8" x14ac:dyDescent="0.15">
      <c r="B139" s="5" t="s">
        <v>7</v>
      </c>
      <c r="C139" s="47">
        <v>1</v>
      </c>
      <c r="D139" s="35"/>
      <c r="E139" s="35"/>
      <c r="F139" s="54"/>
      <c r="G139" s="22">
        <f t="shared" si="6"/>
        <v>1</v>
      </c>
      <c r="H139" s="19">
        <v>44739</v>
      </c>
    </row>
    <row r="140" spans="2:8" x14ac:dyDescent="0.15">
      <c r="B140" s="5" t="s">
        <v>7</v>
      </c>
      <c r="C140" s="47"/>
      <c r="D140" s="35"/>
      <c r="E140" s="35"/>
      <c r="F140" s="54">
        <v>1</v>
      </c>
      <c r="G140" s="22">
        <f t="shared" si="6"/>
        <v>1</v>
      </c>
      <c r="H140" s="19">
        <v>44741</v>
      </c>
    </row>
    <row r="141" spans="2:8" x14ac:dyDescent="0.15">
      <c r="B141" s="5" t="s">
        <v>7</v>
      </c>
      <c r="C141" s="47">
        <v>1</v>
      </c>
      <c r="D141" s="35"/>
      <c r="E141" s="35"/>
      <c r="F141" s="54">
        <v>1</v>
      </c>
      <c r="G141" s="22">
        <f t="shared" si="6"/>
        <v>2</v>
      </c>
      <c r="H141" s="19">
        <v>44747</v>
      </c>
    </row>
    <row r="142" spans="2:8" x14ac:dyDescent="0.15">
      <c r="B142" s="5" t="s">
        <v>7</v>
      </c>
      <c r="C142" s="47"/>
      <c r="D142" s="35"/>
      <c r="E142" s="35">
        <v>1</v>
      </c>
      <c r="F142" s="54"/>
      <c r="G142" s="22">
        <f t="shared" si="6"/>
        <v>1</v>
      </c>
      <c r="H142" s="19">
        <v>44748</v>
      </c>
    </row>
    <row r="143" spans="2:8" x14ac:dyDescent="0.15">
      <c r="B143" s="5" t="s">
        <v>7</v>
      </c>
      <c r="C143" s="47"/>
      <c r="D143" s="35"/>
      <c r="E143" s="35">
        <v>1</v>
      </c>
      <c r="F143" s="54"/>
      <c r="G143" s="22">
        <f t="shared" si="6"/>
        <v>1</v>
      </c>
      <c r="H143" s="19">
        <v>44753</v>
      </c>
    </row>
    <row r="144" spans="2:8" x14ac:dyDescent="0.15">
      <c r="B144" s="5" t="s">
        <v>7</v>
      </c>
      <c r="C144" s="47">
        <v>1</v>
      </c>
      <c r="D144" s="35"/>
      <c r="E144" s="35"/>
      <c r="F144" s="54"/>
      <c r="G144" s="22">
        <f t="shared" si="6"/>
        <v>1</v>
      </c>
      <c r="H144" s="19">
        <v>44755</v>
      </c>
    </row>
    <row r="145" spans="2:8" x14ac:dyDescent="0.15">
      <c r="B145" s="5" t="s">
        <v>7</v>
      </c>
      <c r="C145" s="47"/>
      <c r="D145" s="35">
        <v>1</v>
      </c>
      <c r="E145" s="35"/>
      <c r="F145" s="54"/>
      <c r="G145" s="22">
        <f t="shared" si="6"/>
        <v>1</v>
      </c>
      <c r="H145" s="19">
        <v>44757</v>
      </c>
    </row>
    <row r="146" spans="2:8" x14ac:dyDescent="0.15">
      <c r="B146" s="5" t="s">
        <v>7</v>
      </c>
      <c r="C146" s="47"/>
      <c r="D146" s="35">
        <v>1</v>
      </c>
      <c r="E146" s="35">
        <f>1+1</f>
        <v>2</v>
      </c>
      <c r="F146" s="54">
        <f>1+1</f>
        <v>2</v>
      </c>
      <c r="G146" s="22">
        <f t="shared" si="6"/>
        <v>5</v>
      </c>
      <c r="H146" s="19">
        <v>44761</v>
      </c>
    </row>
    <row r="147" spans="2:8" x14ac:dyDescent="0.15">
      <c r="B147" s="5" t="s">
        <v>7</v>
      </c>
      <c r="C147" s="47"/>
      <c r="D147" s="35"/>
      <c r="E147" s="35">
        <v>1</v>
      </c>
      <c r="F147" s="54">
        <v>1</v>
      </c>
      <c r="G147" s="22">
        <f t="shared" si="6"/>
        <v>2</v>
      </c>
      <c r="H147" s="19">
        <v>44762</v>
      </c>
    </row>
    <row r="148" spans="2:8" x14ac:dyDescent="0.15">
      <c r="B148" s="5" t="s">
        <v>7</v>
      </c>
      <c r="C148" s="47"/>
      <c r="D148" s="35"/>
      <c r="E148" s="35">
        <v>2</v>
      </c>
      <c r="F148" s="54"/>
      <c r="G148" s="22">
        <f t="shared" si="6"/>
        <v>2</v>
      </c>
      <c r="H148" s="19">
        <v>44763</v>
      </c>
    </row>
    <row r="149" spans="2:8" x14ac:dyDescent="0.15">
      <c r="B149" s="5" t="s">
        <v>7</v>
      </c>
      <c r="C149" s="47"/>
      <c r="D149" s="35"/>
      <c r="E149" s="35">
        <v>2</v>
      </c>
      <c r="F149" s="54"/>
      <c r="G149" s="22">
        <f t="shared" si="6"/>
        <v>2</v>
      </c>
      <c r="H149" s="19">
        <v>44764</v>
      </c>
    </row>
    <row r="150" spans="2:8" x14ac:dyDescent="0.15">
      <c r="B150" s="5" t="s">
        <v>7</v>
      </c>
      <c r="C150" s="47"/>
      <c r="D150" s="35"/>
      <c r="E150" s="35">
        <v>1</v>
      </c>
      <c r="F150" s="54"/>
      <c r="G150" s="22">
        <f t="shared" si="6"/>
        <v>1</v>
      </c>
      <c r="H150" s="19">
        <v>44767</v>
      </c>
    </row>
    <row r="151" spans="2:8" x14ac:dyDescent="0.15">
      <c r="B151" s="5" t="s">
        <v>7</v>
      </c>
      <c r="C151" s="47"/>
      <c r="D151" s="35"/>
      <c r="E151" s="35">
        <v>1</v>
      </c>
      <c r="F151" s="54">
        <v>1</v>
      </c>
      <c r="G151" s="22">
        <f t="shared" si="6"/>
        <v>2</v>
      </c>
      <c r="H151" s="19">
        <v>44768</v>
      </c>
    </row>
    <row r="152" spans="2:8" x14ac:dyDescent="0.15">
      <c r="B152" s="5" t="s">
        <v>7</v>
      </c>
      <c r="C152" s="47">
        <v>1</v>
      </c>
      <c r="D152" s="35"/>
      <c r="E152" s="35"/>
      <c r="F152" s="54"/>
      <c r="G152" s="22">
        <f>SUM(C152:F152)</f>
        <v>1</v>
      </c>
      <c r="H152" s="19">
        <v>44769</v>
      </c>
    </row>
    <row r="153" spans="2:8" x14ac:dyDescent="0.15">
      <c r="B153" s="5" t="s">
        <v>7</v>
      </c>
      <c r="C153" s="47"/>
      <c r="D153" s="35"/>
      <c r="E153" s="35">
        <v>1</v>
      </c>
      <c r="F153" s="54"/>
      <c r="G153" s="22">
        <f t="shared" ref="G153:G157" si="7">SUM(C153:F153)</f>
        <v>1</v>
      </c>
      <c r="H153" s="19">
        <v>44778</v>
      </c>
    </row>
    <row r="154" spans="2:8" x14ac:dyDescent="0.15">
      <c r="B154" s="5" t="s">
        <v>7</v>
      </c>
      <c r="C154" s="47">
        <v>1</v>
      </c>
      <c r="D154" s="35"/>
      <c r="E154" s="35"/>
      <c r="F154" s="54"/>
      <c r="G154" s="22">
        <f t="shared" si="7"/>
        <v>1</v>
      </c>
      <c r="H154" s="19">
        <v>44790</v>
      </c>
    </row>
    <row r="155" spans="2:8" ht="14.25" thickBot="1" x14ac:dyDescent="0.2">
      <c r="B155" s="5"/>
      <c r="C155" s="48">
        <v>1</v>
      </c>
      <c r="D155" s="40"/>
      <c r="E155" s="40"/>
      <c r="F155" s="55"/>
      <c r="G155" s="21">
        <f t="shared" si="7"/>
        <v>1</v>
      </c>
      <c r="H155" s="19"/>
    </row>
    <row r="156" spans="2:8" ht="14.25" thickBot="1" x14ac:dyDescent="0.2">
      <c r="B156" s="4" t="s">
        <v>2</v>
      </c>
      <c r="C156" s="51">
        <f>SUM(C131:C155)</f>
        <v>12</v>
      </c>
      <c r="D156" s="44">
        <f>SUM(D131:D155)</f>
        <v>3</v>
      </c>
      <c r="E156" s="44">
        <f>SUM(E131:E155)</f>
        <v>16</v>
      </c>
      <c r="F156" s="58">
        <f>SUM(F131:F155)</f>
        <v>10</v>
      </c>
      <c r="G156" s="3">
        <f t="shared" si="7"/>
        <v>41</v>
      </c>
    </row>
    <row r="157" spans="2:8" ht="14.25" thickBot="1" x14ac:dyDescent="0.2">
      <c r="B157" s="2" t="s">
        <v>3</v>
      </c>
      <c r="C157" s="49">
        <f>+C130-C156</f>
        <v>9</v>
      </c>
      <c r="D157" s="42">
        <f>+D130-D156</f>
        <v>5</v>
      </c>
      <c r="E157" s="42">
        <f>+E130-E156</f>
        <v>12</v>
      </c>
      <c r="F157" s="56">
        <f>+F130-F156</f>
        <v>6</v>
      </c>
      <c r="G157" s="8">
        <f t="shared" si="7"/>
        <v>32</v>
      </c>
    </row>
    <row r="159" spans="2:8" ht="18.75" x14ac:dyDescent="0.2">
      <c r="B159" s="16" t="s">
        <v>12</v>
      </c>
      <c r="C159" s="15"/>
      <c r="D159" s="20"/>
      <c r="E159" s="15"/>
      <c r="F159" s="15"/>
    </row>
    <row r="160" spans="2:8" ht="14.25" thickBot="1" x14ac:dyDescent="0.2">
      <c r="G160">
        <v>460</v>
      </c>
    </row>
    <row r="161" spans="1:8" ht="14.25" thickBot="1" x14ac:dyDescent="0.2">
      <c r="B161" s="14"/>
      <c r="C161" s="29"/>
      <c r="D161" s="29"/>
      <c r="E161" s="29"/>
      <c r="F161" s="29"/>
      <c r="G161" s="30"/>
    </row>
    <row r="162" spans="1:8" ht="14.25" thickBot="1" x14ac:dyDescent="0.2">
      <c r="A162" s="1"/>
      <c r="B162" s="13"/>
      <c r="C162" s="45" t="s">
        <v>10</v>
      </c>
      <c r="D162" s="38" t="s">
        <v>9</v>
      </c>
      <c r="E162" s="39" t="s">
        <v>6</v>
      </c>
      <c r="F162" s="52" t="s">
        <v>11</v>
      </c>
      <c r="G162" s="4" t="s">
        <v>0</v>
      </c>
    </row>
    <row r="163" spans="1:8" x14ac:dyDescent="0.15">
      <c r="B163" s="12" t="s">
        <v>5</v>
      </c>
      <c r="C163" s="46">
        <f>C157</f>
        <v>9</v>
      </c>
      <c r="D163" s="37">
        <f>D157</f>
        <v>5</v>
      </c>
      <c r="E163" s="37">
        <f>E157</f>
        <v>12</v>
      </c>
      <c r="F163" s="53">
        <f>F157</f>
        <v>6</v>
      </c>
      <c r="G163" s="24">
        <f t="shared" ref="G163:G190" si="8">SUM(C163:F163)</f>
        <v>32</v>
      </c>
    </row>
    <row r="164" spans="1:8" x14ac:dyDescent="0.15">
      <c r="B164" s="11" t="s">
        <v>4</v>
      </c>
      <c r="C164" s="47"/>
      <c r="D164" s="35"/>
      <c r="E164" s="35"/>
      <c r="F164" s="54"/>
      <c r="G164" s="22">
        <f t="shared" si="8"/>
        <v>0</v>
      </c>
      <c r="H164" s="19"/>
    </row>
    <row r="165" spans="1:8" x14ac:dyDescent="0.15">
      <c r="B165" s="11" t="s">
        <v>4</v>
      </c>
      <c r="C165" s="47"/>
      <c r="D165" s="35"/>
      <c r="E165" s="35"/>
      <c r="F165" s="54">
        <v>5</v>
      </c>
      <c r="G165" s="22">
        <f t="shared" si="8"/>
        <v>5</v>
      </c>
      <c r="H165" s="19">
        <v>44831</v>
      </c>
    </row>
    <row r="166" spans="1:8" x14ac:dyDescent="0.15">
      <c r="B166" s="11" t="s">
        <v>4</v>
      </c>
      <c r="C166" s="47">
        <v>5</v>
      </c>
      <c r="D166" s="35">
        <v>5</v>
      </c>
      <c r="E166" s="35"/>
      <c r="F166" s="54"/>
      <c r="G166" s="22">
        <f t="shared" si="8"/>
        <v>10</v>
      </c>
      <c r="H166" s="19">
        <v>44854</v>
      </c>
    </row>
    <row r="167" spans="1:8" x14ac:dyDescent="0.15">
      <c r="B167" s="11" t="s">
        <v>4</v>
      </c>
      <c r="C167" s="47"/>
      <c r="D167" s="35"/>
      <c r="E167" s="35">
        <v>5</v>
      </c>
      <c r="F167" s="54"/>
      <c r="G167" s="22">
        <f t="shared" si="8"/>
        <v>5</v>
      </c>
      <c r="H167" s="19">
        <v>44883</v>
      </c>
    </row>
    <row r="168" spans="1:8" ht="14.25" thickBot="1" x14ac:dyDescent="0.2">
      <c r="B168" s="11" t="s">
        <v>4</v>
      </c>
      <c r="C168" s="48"/>
      <c r="D168" s="40">
        <v>5</v>
      </c>
      <c r="E168" s="40">
        <v>5</v>
      </c>
      <c r="F168" s="55"/>
      <c r="G168" s="21">
        <f t="shared" si="8"/>
        <v>10</v>
      </c>
      <c r="H168" s="19">
        <v>44944</v>
      </c>
    </row>
    <row r="169" spans="1:8" ht="14.25" thickBot="1" x14ac:dyDescent="0.2">
      <c r="B169" s="9" t="s">
        <v>1</v>
      </c>
      <c r="C169" s="49">
        <f>SUM(C163:C168)</f>
        <v>14</v>
      </c>
      <c r="D169" s="42">
        <f>SUM(D163:D168)</f>
        <v>15</v>
      </c>
      <c r="E169" s="42">
        <f>SUM(E163:E168)</f>
        <v>22</v>
      </c>
      <c r="F169" s="56">
        <f>SUM(F163:F168)</f>
        <v>11</v>
      </c>
      <c r="G169" s="8">
        <f t="shared" si="8"/>
        <v>62</v>
      </c>
    </row>
    <row r="170" spans="1:8" x14ac:dyDescent="0.15">
      <c r="B170" s="5" t="s">
        <v>7</v>
      </c>
      <c r="C170" s="50">
        <v>1</v>
      </c>
      <c r="D170" s="41">
        <v>2</v>
      </c>
      <c r="E170" s="41"/>
      <c r="F170" s="57"/>
      <c r="G170" s="6">
        <f t="shared" si="8"/>
        <v>3</v>
      </c>
      <c r="H170" s="17">
        <v>44816</v>
      </c>
    </row>
    <row r="171" spans="1:8" x14ac:dyDescent="0.15">
      <c r="B171" s="5" t="s">
        <v>7</v>
      </c>
      <c r="C171" s="47">
        <v>1</v>
      </c>
      <c r="D171" s="35">
        <v>1</v>
      </c>
      <c r="E171" s="35"/>
      <c r="F171" s="54"/>
      <c r="G171" s="22">
        <f t="shared" si="8"/>
        <v>2</v>
      </c>
      <c r="H171" s="17">
        <v>44820</v>
      </c>
    </row>
    <row r="172" spans="1:8" x14ac:dyDescent="0.15">
      <c r="B172" s="5" t="s">
        <v>7</v>
      </c>
      <c r="C172" s="47">
        <v>1</v>
      </c>
      <c r="D172" s="35">
        <v>1</v>
      </c>
      <c r="E172" s="35">
        <v>1</v>
      </c>
      <c r="F172" s="54">
        <v>1</v>
      </c>
      <c r="G172" s="22">
        <f t="shared" si="8"/>
        <v>4</v>
      </c>
      <c r="H172" s="19">
        <v>44838</v>
      </c>
    </row>
    <row r="173" spans="1:8" x14ac:dyDescent="0.15">
      <c r="B173" s="5" t="s">
        <v>7</v>
      </c>
      <c r="C173" s="47">
        <v>1</v>
      </c>
      <c r="D173" s="35"/>
      <c r="E173" s="35">
        <f>2+1</f>
        <v>3</v>
      </c>
      <c r="F173" s="54"/>
      <c r="G173" s="22">
        <f t="shared" si="8"/>
        <v>4</v>
      </c>
      <c r="H173" s="19">
        <v>44845</v>
      </c>
    </row>
    <row r="174" spans="1:8" x14ac:dyDescent="0.15">
      <c r="B174" s="5" t="s">
        <v>7</v>
      </c>
      <c r="C174" s="47">
        <v>1</v>
      </c>
      <c r="D174" s="35"/>
      <c r="E174" s="35">
        <v>1</v>
      </c>
      <c r="F174" s="54"/>
      <c r="G174" s="22">
        <f t="shared" si="8"/>
        <v>2</v>
      </c>
      <c r="H174" s="19">
        <v>44846</v>
      </c>
    </row>
    <row r="175" spans="1:8" x14ac:dyDescent="0.15">
      <c r="B175" s="5" t="s">
        <v>7</v>
      </c>
      <c r="C175" s="47"/>
      <c r="D175" s="35"/>
      <c r="E175" s="35">
        <v>1</v>
      </c>
      <c r="F175" s="54"/>
      <c r="G175" s="22">
        <f t="shared" si="8"/>
        <v>1</v>
      </c>
      <c r="H175" s="19">
        <v>44847</v>
      </c>
    </row>
    <row r="176" spans="1:8" x14ac:dyDescent="0.15">
      <c r="B176" s="5" t="s">
        <v>7</v>
      </c>
      <c r="C176" s="47"/>
      <c r="D176" s="35"/>
      <c r="E176" s="35">
        <v>2</v>
      </c>
      <c r="F176" s="54"/>
      <c r="G176" s="22">
        <f t="shared" si="8"/>
        <v>2</v>
      </c>
      <c r="H176" s="19">
        <v>44872</v>
      </c>
    </row>
    <row r="177" spans="2:8" x14ac:dyDescent="0.15">
      <c r="B177" s="5" t="s">
        <v>7</v>
      </c>
      <c r="C177" s="47"/>
      <c r="D177" s="35">
        <v>1</v>
      </c>
      <c r="E177" s="35">
        <v>1</v>
      </c>
      <c r="F177" s="54"/>
      <c r="G177" s="22">
        <f t="shared" si="8"/>
        <v>2</v>
      </c>
      <c r="H177" s="19">
        <v>44889</v>
      </c>
    </row>
    <row r="178" spans="2:8" x14ac:dyDescent="0.15">
      <c r="B178" s="5" t="s">
        <v>7</v>
      </c>
      <c r="C178" s="47"/>
      <c r="D178" s="35">
        <v>1</v>
      </c>
      <c r="E178" s="35">
        <v>1</v>
      </c>
      <c r="F178" s="54"/>
      <c r="G178" s="22">
        <f t="shared" si="8"/>
        <v>2</v>
      </c>
      <c r="H178" s="19">
        <v>44893</v>
      </c>
    </row>
    <row r="179" spans="2:8" x14ac:dyDescent="0.15">
      <c r="B179" s="5" t="s">
        <v>7</v>
      </c>
      <c r="C179" s="47">
        <v>1</v>
      </c>
      <c r="D179" s="35">
        <v>1</v>
      </c>
      <c r="E179" s="35">
        <v>1</v>
      </c>
      <c r="F179" s="54">
        <v>1</v>
      </c>
      <c r="G179" s="22">
        <f t="shared" si="8"/>
        <v>4</v>
      </c>
      <c r="H179" s="19">
        <v>44898</v>
      </c>
    </row>
    <row r="180" spans="2:8" x14ac:dyDescent="0.15">
      <c r="B180" s="5" t="s">
        <v>7</v>
      </c>
      <c r="C180" s="47"/>
      <c r="D180" s="35"/>
      <c r="E180" s="35">
        <v>1</v>
      </c>
      <c r="F180" s="54"/>
      <c r="G180" s="22">
        <f t="shared" si="8"/>
        <v>1</v>
      </c>
      <c r="H180" s="19">
        <v>44901</v>
      </c>
    </row>
    <row r="181" spans="2:8" x14ac:dyDescent="0.15">
      <c r="B181" s="5" t="s">
        <v>7</v>
      </c>
      <c r="C181" s="47"/>
      <c r="D181" s="35"/>
      <c r="E181" s="35">
        <v>1</v>
      </c>
      <c r="F181" s="54">
        <v>1</v>
      </c>
      <c r="G181" s="22">
        <f t="shared" si="8"/>
        <v>2</v>
      </c>
      <c r="H181" s="19">
        <v>44909</v>
      </c>
    </row>
    <row r="182" spans="2:8" x14ac:dyDescent="0.15">
      <c r="B182" s="5" t="s">
        <v>7</v>
      </c>
      <c r="C182" s="47">
        <f>1+1+1</f>
        <v>3</v>
      </c>
      <c r="D182" s="35"/>
      <c r="E182" s="35"/>
      <c r="F182" s="54"/>
      <c r="G182" s="22">
        <f t="shared" si="8"/>
        <v>3</v>
      </c>
      <c r="H182" s="19">
        <v>44914</v>
      </c>
    </row>
    <row r="183" spans="2:8" x14ac:dyDescent="0.15">
      <c r="B183" s="5" t="s">
        <v>7</v>
      </c>
      <c r="C183" s="47"/>
      <c r="D183" s="35">
        <v>1</v>
      </c>
      <c r="E183" s="35">
        <f>1+1</f>
        <v>2</v>
      </c>
      <c r="F183" s="54">
        <v>1</v>
      </c>
      <c r="G183" s="22">
        <f t="shared" si="8"/>
        <v>4</v>
      </c>
      <c r="H183" s="19">
        <v>44921</v>
      </c>
    </row>
    <row r="184" spans="2:8" x14ac:dyDescent="0.15">
      <c r="B184" s="5" t="s">
        <v>7</v>
      </c>
      <c r="C184" s="47">
        <v>1</v>
      </c>
      <c r="D184" s="35"/>
      <c r="E184" s="35"/>
      <c r="F184" s="54"/>
      <c r="G184" s="22">
        <f t="shared" si="8"/>
        <v>1</v>
      </c>
      <c r="H184" s="19">
        <v>44949</v>
      </c>
    </row>
    <row r="185" spans="2:8" x14ac:dyDescent="0.15">
      <c r="B185" s="5" t="s">
        <v>7</v>
      </c>
      <c r="C185" s="47"/>
      <c r="D185" s="35"/>
      <c r="E185" s="35">
        <v>1</v>
      </c>
      <c r="F185" s="54"/>
      <c r="G185" s="22">
        <f t="shared" si="8"/>
        <v>1</v>
      </c>
      <c r="H185" s="19">
        <v>44967</v>
      </c>
    </row>
    <row r="186" spans="2:8" x14ac:dyDescent="0.15">
      <c r="B186" s="5"/>
      <c r="C186" s="47"/>
      <c r="D186" s="35"/>
      <c r="E186" s="35"/>
      <c r="F186" s="54"/>
      <c r="G186" s="22">
        <f t="shared" si="8"/>
        <v>0</v>
      </c>
      <c r="H186" s="19"/>
    </row>
    <row r="187" spans="2:8" x14ac:dyDescent="0.15">
      <c r="B187" s="5"/>
      <c r="C187" s="47"/>
      <c r="D187" s="35"/>
      <c r="E187" s="35"/>
      <c r="F187" s="54"/>
      <c r="G187" s="22">
        <f t="shared" si="8"/>
        <v>0</v>
      </c>
      <c r="H187" s="19"/>
    </row>
    <row r="188" spans="2:8" x14ac:dyDescent="0.15">
      <c r="B188" s="5"/>
      <c r="C188" s="47"/>
      <c r="D188" s="35"/>
      <c r="E188" s="35"/>
      <c r="F188" s="54"/>
      <c r="G188" s="22">
        <f t="shared" si="8"/>
        <v>0</v>
      </c>
      <c r="H188" s="19"/>
    </row>
    <row r="189" spans="2:8" x14ac:dyDescent="0.15">
      <c r="B189" s="5"/>
      <c r="C189" s="47"/>
      <c r="D189" s="35"/>
      <c r="E189" s="35"/>
      <c r="F189" s="54"/>
      <c r="G189" s="22">
        <f t="shared" si="8"/>
        <v>0</v>
      </c>
      <c r="H189" s="19"/>
    </row>
    <row r="190" spans="2:8" x14ac:dyDescent="0.15">
      <c r="B190" s="5"/>
      <c r="C190" s="47"/>
      <c r="D190" s="35"/>
      <c r="E190" s="35"/>
      <c r="F190" s="54"/>
      <c r="G190" s="22">
        <f t="shared" si="8"/>
        <v>0</v>
      </c>
      <c r="H190" s="19"/>
    </row>
    <row r="191" spans="2:8" x14ac:dyDescent="0.15">
      <c r="B191" s="5"/>
      <c r="C191" s="47"/>
      <c r="D191" s="35"/>
      <c r="E191" s="35"/>
      <c r="F191" s="54"/>
      <c r="G191" s="22">
        <f>SUM(C191:F191)</f>
        <v>0</v>
      </c>
      <c r="H191" s="19"/>
    </row>
    <row r="192" spans="2:8" x14ac:dyDescent="0.15">
      <c r="B192" s="5"/>
      <c r="C192" s="47"/>
      <c r="D192" s="35"/>
      <c r="E192" s="35"/>
      <c r="F192" s="54"/>
      <c r="G192" s="22">
        <f t="shared" ref="G192:G196" si="9">SUM(C192:F192)</f>
        <v>0</v>
      </c>
      <c r="H192" s="19"/>
    </row>
    <row r="193" spans="1:8" x14ac:dyDescent="0.15">
      <c r="B193" s="5"/>
      <c r="C193" s="47"/>
      <c r="D193" s="35"/>
      <c r="E193" s="35"/>
      <c r="F193" s="54"/>
      <c r="G193" s="22">
        <f t="shared" si="9"/>
        <v>0</v>
      </c>
      <c r="H193" s="19"/>
    </row>
    <row r="194" spans="1:8" ht="14.25" thickBot="1" x14ac:dyDescent="0.2">
      <c r="B194" s="5"/>
      <c r="C194" s="48"/>
      <c r="D194" s="40"/>
      <c r="E194" s="40"/>
      <c r="F194" s="55"/>
      <c r="G194" s="21">
        <f t="shared" si="9"/>
        <v>0</v>
      </c>
      <c r="H194" s="19"/>
    </row>
    <row r="195" spans="1:8" ht="14.25" thickBot="1" x14ac:dyDescent="0.2">
      <c r="B195" s="4" t="s">
        <v>2</v>
      </c>
      <c r="C195" s="51">
        <f>SUM(C170:C194)</f>
        <v>10</v>
      </c>
      <c r="D195" s="44">
        <f>SUM(D170:D194)</f>
        <v>8</v>
      </c>
      <c r="E195" s="44">
        <f>SUM(E170:E194)</f>
        <v>16</v>
      </c>
      <c r="F195" s="58">
        <f>SUM(F170:F194)</f>
        <v>4</v>
      </c>
      <c r="G195" s="3">
        <f t="shared" si="9"/>
        <v>38</v>
      </c>
    </row>
    <row r="196" spans="1:8" ht="14.25" thickBot="1" x14ac:dyDescent="0.2">
      <c r="B196" s="2" t="s">
        <v>3</v>
      </c>
      <c r="C196" s="49">
        <f>+C169-C195</f>
        <v>4</v>
      </c>
      <c r="D196" s="42">
        <f>+D169-D195</f>
        <v>7</v>
      </c>
      <c r="E196" s="42">
        <f>+E169-E195</f>
        <v>6</v>
      </c>
      <c r="F196" s="56">
        <f>+F169-F195</f>
        <v>7</v>
      </c>
      <c r="G196" s="8">
        <f t="shared" si="9"/>
        <v>24</v>
      </c>
    </row>
    <row r="198" spans="1:8" ht="18.75" x14ac:dyDescent="0.2">
      <c r="B198" s="16" t="s">
        <v>12</v>
      </c>
      <c r="C198" s="15"/>
      <c r="D198" s="20"/>
      <c r="E198" s="15"/>
      <c r="F198" s="15"/>
    </row>
    <row r="199" spans="1:8" ht="14.25" thickBot="1" x14ac:dyDescent="0.2">
      <c r="G199">
        <v>460</v>
      </c>
    </row>
    <row r="200" spans="1:8" ht="14.25" thickBot="1" x14ac:dyDescent="0.2">
      <c r="B200" s="14"/>
      <c r="C200" s="29"/>
      <c r="D200" s="29"/>
      <c r="E200" s="29"/>
      <c r="F200" s="29"/>
      <c r="G200" s="30"/>
    </row>
    <row r="201" spans="1:8" ht="14.25" thickBot="1" x14ac:dyDescent="0.2">
      <c r="A201" s="1"/>
      <c r="B201" s="13"/>
      <c r="C201" s="45" t="s">
        <v>10</v>
      </c>
      <c r="D201" s="38" t="s">
        <v>9</v>
      </c>
      <c r="E201" s="39" t="s">
        <v>6</v>
      </c>
      <c r="F201" s="52" t="s">
        <v>11</v>
      </c>
      <c r="G201" s="4" t="s">
        <v>0</v>
      </c>
    </row>
    <row r="202" spans="1:8" x14ac:dyDescent="0.15">
      <c r="B202" s="12" t="s">
        <v>5</v>
      </c>
      <c r="C202" s="46">
        <f>C196</f>
        <v>4</v>
      </c>
      <c r="D202" s="37">
        <f>D196</f>
        <v>7</v>
      </c>
      <c r="E202" s="37">
        <f>E196</f>
        <v>6</v>
      </c>
      <c r="F202" s="53">
        <f>F196</f>
        <v>7</v>
      </c>
      <c r="G202" s="24">
        <f t="shared" ref="G202:G229" si="10">SUM(C202:F202)</f>
        <v>24</v>
      </c>
    </row>
    <row r="203" spans="1:8" x14ac:dyDescent="0.15">
      <c r="B203" s="11" t="s">
        <v>4</v>
      </c>
      <c r="C203" s="47">
        <v>3</v>
      </c>
      <c r="D203" s="35"/>
      <c r="E203" s="35"/>
      <c r="F203" s="54"/>
      <c r="G203" s="22">
        <f t="shared" si="10"/>
        <v>3</v>
      </c>
      <c r="H203" s="19">
        <v>44964</v>
      </c>
    </row>
    <row r="204" spans="1:8" x14ac:dyDescent="0.15">
      <c r="B204" s="11" t="s">
        <v>4</v>
      </c>
      <c r="C204" s="47">
        <v>5</v>
      </c>
      <c r="D204" s="35"/>
      <c r="E204" s="35">
        <v>5</v>
      </c>
      <c r="F204" s="54">
        <v>3</v>
      </c>
      <c r="G204" s="22">
        <f t="shared" si="10"/>
        <v>13</v>
      </c>
      <c r="H204" s="19">
        <v>45059</v>
      </c>
    </row>
    <row r="205" spans="1:8" x14ac:dyDescent="0.15">
      <c r="B205" s="11" t="s">
        <v>4</v>
      </c>
      <c r="C205" s="47"/>
      <c r="D205" s="35">
        <v>3</v>
      </c>
      <c r="E205" s="35"/>
      <c r="F205" s="54">
        <v>3</v>
      </c>
      <c r="G205" s="22">
        <f t="shared" si="10"/>
        <v>6</v>
      </c>
      <c r="H205" s="19">
        <v>45106</v>
      </c>
    </row>
    <row r="206" spans="1:8" x14ac:dyDescent="0.15">
      <c r="B206" s="11" t="s">
        <v>4</v>
      </c>
      <c r="C206" s="47">
        <v>5</v>
      </c>
      <c r="D206" s="35">
        <v>10</v>
      </c>
      <c r="E206" s="35"/>
      <c r="F206" s="54">
        <v>5</v>
      </c>
      <c r="G206" s="22">
        <f t="shared" si="10"/>
        <v>20</v>
      </c>
      <c r="H206" s="19">
        <v>45118</v>
      </c>
    </row>
    <row r="207" spans="1:8" ht="14.25" thickBot="1" x14ac:dyDescent="0.2">
      <c r="B207" s="11" t="s">
        <v>4</v>
      </c>
      <c r="C207" s="48">
        <v>3</v>
      </c>
      <c r="D207" s="40">
        <v>3</v>
      </c>
      <c r="E207" s="40">
        <v>3</v>
      </c>
      <c r="F207" s="55">
        <v>3</v>
      </c>
      <c r="G207" s="21">
        <f t="shared" si="10"/>
        <v>12</v>
      </c>
      <c r="H207" s="19">
        <v>45127</v>
      </c>
    </row>
    <row r="208" spans="1:8" ht="14.25" thickBot="1" x14ac:dyDescent="0.2">
      <c r="B208" s="9" t="s">
        <v>1</v>
      </c>
      <c r="C208" s="49">
        <f>SUM(C202:C207)</f>
        <v>20</v>
      </c>
      <c r="D208" s="42">
        <f>SUM(D202:D207)</f>
        <v>23</v>
      </c>
      <c r="E208" s="42">
        <f>SUM(E202:E207)</f>
        <v>14</v>
      </c>
      <c r="F208" s="56">
        <f>SUM(F202:F207)</f>
        <v>21</v>
      </c>
      <c r="G208" s="8">
        <f t="shared" si="10"/>
        <v>78</v>
      </c>
    </row>
    <row r="209" spans="2:8" x14ac:dyDescent="0.15">
      <c r="B209" s="5" t="s">
        <v>7</v>
      </c>
      <c r="C209" s="50">
        <f>2+1</f>
        <v>3</v>
      </c>
      <c r="D209" s="41"/>
      <c r="E209" s="41"/>
      <c r="F209" s="57"/>
      <c r="G209" s="6">
        <f t="shared" si="10"/>
        <v>3</v>
      </c>
      <c r="H209" s="17">
        <v>44970</v>
      </c>
    </row>
    <row r="210" spans="2:8" x14ac:dyDescent="0.15">
      <c r="B210" s="5" t="s">
        <v>7</v>
      </c>
      <c r="C210" s="47"/>
      <c r="D210" s="35"/>
      <c r="E210" s="35">
        <v>1</v>
      </c>
      <c r="F210" s="54"/>
      <c r="G210" s="22">
        <f t="shared" si="10"/>
        <v>1</v>
      </c>
      <c r="H210" s="17">
        <v>44973</v>
      </c>
    </row>
    <row r="211" spans="2:8" x14ac:dyDescent="0.15">
      <c r="B211" s="5" t="s">
        <v>7</v>
      </c>
      <c r="C211" s="47"/>
      <c r="D211" s="35"/>
      <c r="E211" s="35"/>
      <c r="F211" s="54">
        <v>1</v>
      </c>
      <c r="G211" s="22">
        <f t="shared" si="10"/>
        <v>1</v>
      </c>
      <c r="H211" s="19">
        <v>44987</v>
      </c>
    </row>
    <row r="212" spans="2:8" x14ac:dyDescent="0.15">
      <c r="B212" s="5" t="s">
        <v>7</v>
      </c>
      <c r="C212" s="47"/>
      <c r="D212" s="35"/>
      <c r="E212" s="35">
        <v>1</v>
      </c>
      <c r="F212" s="54">
        <v>1</v>
      </c>
      <c r="G212" s="22">
        <f t="shared" si="10"/>
        <v>2</v>
      </c>
      <c r="H212" s="19">
        <v>44991</v>
      </c>
    </row>
    <row r="213" spans="2:8" x14ac:dyDescent="0.15">
      <c r="B213" s="5" t="s">
        <v>7</v>
      </c>
      <c r="C213" s="47"/>
      <c r="D213" s="35"/>
      <c r="E213" s="35">
        <v>1</v>
      </c>
      <c r="F213" s="54">
        <v>1</v>
      </c>
      <c r="G213" s="22">
        <f t="shared" si="10"/>
        <v>2</v>
      </c>
      <c r="H213" s="19">
        <v>45021</v>
      </c>
    </row>
    <row r="214" spans="2:8" x14ac:dyDescent="0.15">
      <c r="B214" s="5" t="s">
        <v>7</v>
      </c>
      <c r="C214" s="47"/>
      <c r="D214" s="35">
        <v>1</v>
      </c>
      <c r="E214" s="35"/>
      <c r="F214" s="54">
        <v>1</v>
      </c>
      <c r="G214" s="22">
        <f t="shared" si="10"/>
        <v>2</v>
      </c>
      <c r="H214" s="19">
        <v>45026</v>
      </c>
    </row>
    <row r="215" spans="2:8" x14ac:dyDescent="0.15">
      <c r="B215" s="5" t="s">
        <v>7</v>
      </c>
      <c r="C215" s="47">
        <v>1</v>
      </c>
      <c r="D215" s="35">
        <v>1</v>
      </c>
      <c r="E215" s="35"/>
      <c r="F215" s="54"/>
      <c r="G215" s="22">
        <f t="shared" si="10"/>
        <v>2</v>
      </c>
      <c r="H215" s="19">
        <v>45040</v>
      </c>
    </row>
    <row r="216" spans="2:8" x14ac:dyDescent="0.15">
      <c r="B216" s="5" t="s">
        <v>7</v>
      </c>
      <c r="C216" s="47"/>
      <c r="D216" s="35"/>
      <c r="E216" s="35"/>
      <c r="F216" s="54">
        <f>1+1</f>
        <v>2</v>
      </c>
      <c r="G216" s="22">
        <f t="shared" si="10"/>
        <v>2</v>
      </c>
      <c r="H216" s="19">
        <v>45054</v>
      </c>
    </row>
    <row r="217" spans="2:8" x14ac:dyDescent="0.15">
      <c r="B217" s="5" t="s">
        <v>7</v>
      </c>
      <c r="C217" s="47"/>
      <c r="D217" s="35"/>
      <c r="E217" s="35">
        <v>1</v>
      </c>
      <c r="F217" s="54"/>
      <c r="G217" s="22">
        <f t="shared" si="10"/>
        <v>1</v>
      </c>
      <c r="H217" s="19">
        <v>45062</v>
      </c>
    </row>
    <row r="218" spans="2:8" x14ac:dyDescent="0.15">
      <c r="B218" s="5" t="s">
        <v>7</v>
      </c>
      <c r="C218" s="47">
        <v>1</v>
      </c>
      <c r="D218" s="35">
        <v>1</v>
      </c>
      <c r="E218" s="35"/>
      <c r="F218" s="54"/>
      <c r="G218" s="22">
        <f t="shared" si="10"/>
        <v>2</v>
      </c>
      <c r="H218" s="19">
        <v>45077</v>
      </c>
    </row>
    <row r="219" spans="2:8" x14ac:dyDescent="0.15">
      <c r="B219" s="5" t="s">
        <v>7</v>
      </c>
      <c r="C219" s="47"/>
      <c r="D219" s="35"/>
      <c r="E219" s="35"/>
      <c r="F219" s="54">
        <v>1</v>
      </c>
      <c r="G219" s="22">
        <f t="shared" si="10"/>
        <v>1</v>
      </c>
      <c r="H219" s="19">
        <v>45082</v>
      </c>
    </row>
    <row r="220" spans="2:8" x14ac:dyDescent="0.15">
      <c r="B220" s="5" t="s">
        <v>7</v>
      </c>
      <c r="C220" s="47"/>
      <c r="D220" s="35">
        <v>1</v>
      </c>
      <c r="E220" s="35"/>
      <c r="F220" s="54"/>
      <c r="G220" s="22">
        <f t="shared" si="10"/>
        <v>1</v>
      </c>
      <c r="H220" s="19">
        <v>45084</v>
      </c>
    </row>
    <row r="221" spans="2:8" x14ac:dyDescent="0.15">
      <c r="B221" s="5" t="s">
        <v>7</v>
      </c>
      <c r="C221" s="47">
        <v>1</v>
      </c>
      <c r="D221" s="35"/>
      <c r="E221" s="35"/>
      <c r="F221" s="54"/>
      <c r="G221" s="22">
        <f t="shared" si="10"/>
        <v>1</v>
      </c>
      <c r="H221" s="19">
        <v>45085</v>
      </c>
    </row>
    <row r="222" spans="2:8" x14ac:dyDescent="0.15">
      <c r="B222" s="5" t="s">
        <v>7</v>
      </c>
      <c r="C222" s="47"/>
      <c r="D222" s="35">
        <v>1</v>
      </c>
      <c r="E222" s="35"/>
      <c r="F222" s="54"/>
      <c r="G222" s="22">
        <f t="shared" si="10"/>
        <v>1</v>
      </c>
      <c r="H222" s="19">
        <v>45103</v>
      </c>
    </row>
    <row r="223" spans="2:8" x14ac:dyDescent="0.15">
      <c r="B223" s="5" t="s">
        <v>7</v>
      </c>
      <c r="C223" s="47">
        <v>1</v>
      </c>
      <c r="D223" s="35"/>
      <c r="E223" s="35"/>
      <c r="F223" s="54"/>
      <c r="G223" s="22">
        <f t="shared" si="10"/>
        <v>1</v>
      </c>
      <c r="H223" s="19">
        <v>45104</v>
      </c>
    </row>
    <row r="224" spans="2:8" x14ac:dyDescent="0.15">
      <c r="B224" s="5" t="s">
        <v>7</v>
      </c>
      <c r="C224" s="47"/>
      <c r="D224" s="35">
        <v>1</v>
      </c>
      <c r="E224" s="35"/>
      <c r="F224" s="54">
        <v>1</v>
      </c>
      <c r="G224" s="22">
        <f t="shared" si="10"/>
        <v>2</v>
      </c>
      <c r="H224" s="19">
        <v>45106</v>
      </c>
    </row>
    <row r="225" spans="1:8" x14ac:dyDescent="0.15">
      <c r="B225" s="5" t="s">
        <v>7</v>
      </c>
      <c r="C225" s="47">
        <v>1</v>
      </c>
      <c r="D225" s="35">
        <v>1</v>
      </c>
      <c r="E225" s="35"/>
      <c r="F225" s="54"/>
      <c r="G225" s="22">
        <f t="shared" si="10"/>
        <v>2</v>
      </c>
      <c r="H225" s="19">
        <v>45107</v>
      </c>
    </row>
    <row r="226" spans="1:8" x14ac:dyDescent="0.15">
      <c r="B226" s="5" t="s">
        <v>7</v>
      </c>
      <c r="C226" s="47"/>
      <c r="D226" s="35">
        <v>2</v>
      </c>
      <c r="E226" s="35"/>
      <c r="F226" s="54"/>
      <c r="G226" s="22">
        <f t="shared" si="10"/>
        <v>2</v>
      </c>
      <c r="H226" s="19">
        <v>45111</v>
      </c>
    </row>
    <row r="227" spans="1:8" x14ac:dyDescent="0.15">
      <c r="B227" s="5" t="s">
        <v>7</v>
      </c>
      <c r="C227" s="47"/>
      <c r="D227" s="35"/>
      <c r="E227" s="35"/>
      <c r="F227" s="54">
        <v>1</v>
      </c>
      <c r="G227" s="22">
        <f t="shared" si="10"/>
        <v>1</v>
      </c>
      <c r="H227" s="19">
        <v>45112</v>
      </c>
    </row>
    <row r="228" spans="1:8" x14ac:dyDescent="0.15">
      <c r="B228" s="5" t="s">
        <v>7</v>
      </c>
      <c r="C228" s="47"/>
      <c r="D228" s="35">
        <v>1</v>
      </c>
      <c r="E228" s="35"/>
      <c r="F228" s="54"/>
      <c r="G228" s="22">
        <f t="shared" si="10"/>
        <v>1</v>
      </c>
      <c r="H228" s="19">
        <v>45114</v>
      </c>
    </row>
    <row r="229" spans="1:8" x14ac:dyDescent="0.15">
      <c r="B229" s="5" t="s">
        <v>7</v>
      </c>
      <c r="C229" s="47"/>
      <c r="D229" s="35"/>
      <c r="E229" s="35">
        <f>1+1</f>
        <v>2</v>
      </c>
      <c r="F229" s="54"/>
      <c r="G229" s="22">
        <f t="shared" si="10"/>
        <v>2</v>
      </c>
      <c r="H229" s="19">
        <v>45117</v>
      </c>
    </row>
    <row r="230" spans="1:8" x14ac:dyDescent="0.15">
      <c r="B230" s="5" t="s">
        <v>7</v>
      </c>
      <c r="C230" s="47">
        <v>1</v>
      </c>
      <c r="D230" s="35"/>
      <c r="E230" s="35"/>
      <c r="F230" s="54"/>
      <c r="G230" s="22">
        <f>SUM(C230:F230)</f>
        <v>1</v>
      </c>
      <c r="H230" s="19">
        <v>45118</v>
      </c>
    </row>
    <row r="231" spans="1:8" x14ac:dyDescent="0.15">
      <c r="B231" s="5" t="s">
        <v>7</v>
      </c>
      <c r="C231" s="47"/>
      <c r="D231" s="35">
        <v>2</v>
      </c>
      <c r="E231" s="35"/>
      <c r="F231" s="54"/>
      <c r="G231" s="22">
        <f t="shared" ref="G231:G235" si="11">SUM(C231:F231)</f>
        <v>2</v>
      </c>
      <c r="H231" s="19">
        <v>45119</v>
      </c>
    </row>
    <row r="232" spans="1:8" x14ac:dyDescent="0.15">
      <c r="B232" s="5" t="s">
        <v>7</v>
      </c>
      <c r="C232" s="47"/>
      <c r="D232" s="35">
        <v>1</v>
      </c>
      <c r="E232" s="35"/>
      <c r="F232" s="54"/>
      <c r="G232" s="22">
        <f t="shared" si="11"/>
        <v>1</v>
      </c>
      <c r="H232" s="19">
        <v>45120</v>
      </c>
    </row>
    <row r="233" spans="1:8" ht="14.25" thickBot="1" x14ac:dyDescent="0.2">
      <c r="B233" s="5" t="s">
        <v>7</v>
      </c>
      <c r="C233" s="48"/>
      <c r="D233" s="40">
        <v>1</v>
      </c>
      <c r="E233" s="40"/>
      <c r="F233" s="55"/>
      <c r="G233" s="21">
        <f t="shared" si="11"/>
        <v>1</v>
      </c>
      <c r="H233" s="19">
        <v>45131</v>
      </c>
    </row>
    <row r="234" spans="1:8" ht="14.25" thickBot="1" x14ac:dyDescent="0.2">
      <c r="B234" s="4" t="s">
        <v>2</v>
      </c>
      <c r="C234" s="51">
        <f>SUM(C209:C233)</f>
        <v>9</v>
      </c>
      <c r="D234" s="44">
        <f>SUM(D209:D233)</f>
        <v>14</v>
      </c>
      <c r="E234" s="44">
        <f>SUM(E209:E233)</f>
        <v>6</v>
      </c>
      <c r="F234" s="58">
        <f>SUM(F209:F233)</f>
        <v>9</v>
      </c>
      <c r="G234" s="3">
        <f t="shared" si="11"/>
        <v>38</v>
      </c>
    </row>
    <row r="235" spans="1:8" ht="14.25" thickBot="1" x14ac:dyDescent="0.2">
      <c r="B235" s="2" t="s">
        <v>3</v>
      </c>
      <c r="C235" s="49">
        <f>+C208-C234</f>
        <v>11</v>
      </c>
      <c r="D235" s="42">
        <f>+D208-D234</f>
        <v>9</v>
      </c>
      <c r="E235" s="42">
        <f>+E208-E234</f>
        <v>8</v>
      </c>
      <c r="F235" s="56">
        <f>+F208-F234</f>
        <v>12</v>
      </c>
      <c r="G235" s="8">
        <f t="shared" si="11"/>
        <v>40</v>
      </c>
    </row>
    <row r="237" spans="1:8" ht="18.75" x14ac:dyDescent="0.2">
      <c r="B237" s="16" t="s">
        <v>12</v>
      </c>
      <c r="C237" s="15"/>
      <c r="D237" s="20"/>
      <c r="E237" s="15"/>
      <c r="F237" s="15"/>
    </row>
    <row r="238" spans="1:8" ht="14.25" thickBot="1" x14ac:dyDescent="0.2">
      <c r="G238">
        <v>460</v>
      </c>
    </row>
    <row r="239" spans="1:8" ht="14.25" thickBot="1" x14ac:dyDescent="0.2">
      <c r="B239" s="14"/>
      <c r="C239" s="29"/>
      <c r="D239" s="29"/>
      <c r="E239" s="29"/>
      <c r="F239" s="29"/>
      <c r="G239" s="30"/>
    </row>
    <row r="240" spans="1:8" ht="14.25" thickBot="1" x14ac:dyDescent="0.2">
      <c r="A240" s="1"/>
      <c r="B240" s="13"/>
      <c r="C240" s="45" t="s">
        <v>10</v>
      </c>
      <c r="D240" s="38" t="s">
        <v>9</v>
      </c>
      <c r="E240" s="39" t="s">
        <v>6</v>
      </c>
      <c r="F240" s="52" t="s">
        <v>11</v>
      </c>
      <c r="G240" s="4" t="s">
        <v>0</v>
      </c>
    </row>
    <row r="241" spans="2:8" x14ac:dyDescent="0.15">
      <c r="B241" s="12" t="s">
        <v>5</v>
      </c>
      <c r="C241" s="46">
        <f>C235</f>
        <v>11</v>
      </c>
      <c r="D241" s="37">
        <f>D235</f>
        <v>9</v>
      </c>
      <c r="E241" s="37">
        <f>E235</f>
        <v>8</v>
      </c>
      <c r="F241" s="53">
        <f>F235</f>
        <v>12</v>
      </c>
      <c r="G241" s="24">
        <f t="shared" ref="G241:G268" si="12">SUM(C241:F241)</f>
        <v>40</v>
      </c>
    </row>
    <row r="242" spans="2:8" x14ac:dyDescent="0.15">
      <c r="B242" s="11" t="s">
        <v>8</v>
      </c>
      <c r="C242" s="47">
        <v>1</v>
      </c>
      <c r="D242" s="35">
        <v>-1</v>
      </c>
      <c r="E242" s="35"/>
      <c r="F242" s="54"/>
      <c r="G242" s="22">
        <f t="shared" si="12"/>
        <v>0</v>
      </c>
      <c r="H242" s="19">
        <v>45146</v>
      </c>
    </row>
    <row r="243" spans="2:8" x14ac:dyDescent="0.15">
      <c r="B243" s="11" t="s">
        <v>4</v>
      </c>
      <c r="C243" s="47"/>
      <c r="D243" s="35">
        <v>5</v>
      </c>
      <c r="E243" s="35">
        <v>5</v>
      </c>
      <c r="F243" s="54"/>
      <c r="G243" s="22">
        <f t="shared" si="12"/>
        <v>10</v>
      </c>
      <c r="H243" s="19">
        <v>45155</v>
      </c>
    </row>
    <row r="244" spans="2:8" x14ac:dyDescent="0.15">
      <c r="B244" s="11" t="s">
        <v>4</v>
      </c>
      <c r="C244" s="47"/>
      <c r="D244" s="35"/>
      <c r="E244" s="35"/>
      <c r="F244" s="54"/>
      <c r="G244" s="22">
        <f t="shared" si="12"/>
        <v>0</v>
      </c>
    </row>
    <row r="245" spans="2:8" x14ac:dyDescent="0.15">
      <c r="B245" s="11" t="s">
        <v>4</v>
      </c>
      <c r="C245" s="47"/>
      <c r="D245" s="35"/>
      <c r="E245" s="35"/>
      <c r="F245" s="54"/>
      <c r="G245" s="22">
        <f t="shared" si="12"/>
        <v>0</v>
      </c>
    </row>
    <row r="246" spans="2:8" ht="14.25" thickBot="1" x14ac:dyDescent="0.2">
      <c r="B246" s="11" t="s">
        <v>4</v>
      </c>
      <c r="C246" s="48">
        <v>20</v>
      </c>
      <c r="D246" s="40"/>
      <c r="E246" s="40"/>
      <c r="F246" s="55"/>
      <c r="G246" s="21">
        <f t="shared" si="12"/>
        <v>20</v>
      </c>
      <c r="H246" s="19">
        <v>45171</v>
      </c>
    </row>
    <row r="247" spans="2:8" ht="14.25" thickBot="1" x14ac:dyDescent="0.2">
      <c r="B247" s="9" t="s">
        <v>1</v>
      </c>
      <c r="C247" s="49">
        <f>SUM(C241:C246)</f>
        <v>32</v>
      </c>
      <c r="D247" s="42">
        <f>SUM(D241:D246)</f>
        <v>13</v>
      </c>
      <c r="E247" s="42">
        <f>SUM(E241:E246)</f>
        <v>13</v>
      </c>
      <c r="F247" s="56">
        <f>SUM(F241:F246)</f>
        <v>12</v>
      </c>
      <c r="G247" s="8">
        <f t="shared" si="12"/>
        <v>70</v>
      </c>
    </row>
    <row r="248" spans="2:8" x14ac:dyDescent="0.15">
      <c r="B248" s="5" t="s">
        <v>7</v>
      </c>
      <c r="C248" s="50"/>
      <c r="D248" s="41"/>
      <c r="E248" s="41">
        <v>1</v>
      </c>
      <c r="F248" s="57">
        <v>1</v>
      </c>
      <c r="G248" s="6">
        <f t="shared" si="12"/>
        <v>2</v>
      </c>
      <c r="H248" s="19">
        <v>45132</v>
      </c>
    </row>
    <row r="249" spans="2:8" x14ac:dyDescent="0.15">
      <c r="B249" s="5" t="s">
        <v>7</v>
      </c>
      <c r="C249" s="47">
        <v>1</v>
      </c>
      <c r="D249" s="35"/>
      <c r="E249" s="35"/>
      <c r="F249" s="54"/>
      <c r="G249" s="22">
        <f t="shared" si="12"/>
        <v>1</v>
      </c>
      <c r="H249" s="19">
        <v>45133</v>
      </c>
    </row>
    <row r="250" spans="2:8" x14ac:dyDescent="0.15">
      <c r="B250" s="5" t="s">
        <v>7</v>
      </c>
      <c r="C250" s="47"/>
      <c r="D250" s="35">
        <v>1</v>
      </c>
      <c r="E250" s="35"/>
      <c r="F250" s="54"/>
      <c r="G250" s="22">
        <f t="shared" si="12"/>
        <v>1</v>
      </c>
      <c r="H250" s="19">
        <v>45138</v>
      </c>
    </row>
    <row r="251" spans="2:8" x14ac:dyDescent="0.15">
      <c r="B251" s="5" t="s">
        <v>7</v>
      </c>
      <c r="C251" s="47">
        <v>1</v>
      </c>
      <c r="D251" s="35"/>
      <c r="E251" s="35"/>
      <c r="F251" s="54"/>
      <c r="G251" s="22">
        <f t="shared" si="12"/>
        <v>1</v>
      </c>
      <c r="H251" s="19">
        <v>45143</v>
      </c>
    </row>
    <row r="252" spans="2:8" x14ac:dyDescent="0.15">
      <c r="B252" s="5" t="s">
        <v>7</v>
      </c>
      <c r="C252" s="47"/>
      <c r="D252" s="35"/>
      <c r="E252" s="35">
        <v>1</v>
      </c>
      <c r="F252" s="54"/>
      <c r="G252" s="22">
        <f t="shared" si="12"/>
        <v>1</v>
      </c>
      <c r="H252" s="19">
        <v>45145</v>
      </c>
    </row>
    <row r="253" spans="2:8" x14ac:dyDescent="0.15">
      <c r="B253" s="5" t="s">
        <v>7</v>
      </c>
      <c r="C253" s="47"/>
      <c r="D253" s="35"/>
      <c r="E253" s="35">
        <v>2</v>
      </c>
      <c r="F253" s="54"/>
      <c r="G253" s="22">
        <f t="shared" si="12"/>
        <v>2</v>
      </c>
      <c r="H253" s="19">
        <v>45146</v>
      </c>
    </row>
    <row r="254" spans="2:8" x14ac:dyDescent="0.15">
      <c r="B254" s="5" t="s">
        <v>7</v>
      </c>
      <c r="C254" s="47">
        <v>1</v>
      </c>
      <c r="D254" s="35"/>
      <c r="E254" s="35"/>
      <c r="F254" s="54"/>
      <c r="G254" s="22">
        <f t="shared" si="12"/>
        <v>1</v>
      </c>
      <c r="H254" s="19">
        <v>45147</v>
      </c>
    </row>
    <row r="255" spans="2:8" x14ac:dyDescent="0.15">
      <c r="B255" s="5" t="s">
        <v>7</v>
      </c>
      <c r="C255" s="47">
        <f>1+1</f>
        <v>2</v>
      </c>
      <c r="D255" s="35"/>
      <c r="E255" s="35"/>
      <c r="F255" s="54"/>
      <c r="G255" s="22">
        <f t="shared" si="12"/>
        <v>2</v>
      </c>
      <c r="H255" s="19">
        <v>45148</v>
      </c>
    </row>
    <row r="256" spans="2:8" x14ac:dyDescent="0.15">
      <c r="B256" s="5" t="s">
        <v>7</v>
      </c>
      <c r="C256" s="47">
        <f>1+1</f>
        <v>2</v>
      </c>
      <c r="D256" s="35"/>
      <c r="E256" s="35"/>
      <c r="F256" s="54"/>
      <c r="G256" s="22">
        <f t="shared" si="12"/>
        <v>2</v>
      </c>
      <c r="H256" s="19">
        <v>45149</v>
      </c>
    </row>
    <row r="257" spans="2:8" x14ac:dyDescent="0.15">
      <c r="B257" s="5" t="s">
        <v>7</v>
      </c>
      <c r="C257" s="47">
        <v>1</v>
      </c>
      <c r="D257" s="35">
        <v>1</v>
      </c>
      <c r="E257" s="35"/>
      <c r="F257" s="54"/>
      <c r="G257" s="22">
        <f t="shared" si="12"/>
        <v>2</v>
      </c>
      <c r="H257" s="19">
        <v>45154</v>
      </c>
    </row>
    <row r="258" spans="2:8" x14ac:dyDescent="0.15">
      <c r="B258" s="5" t="s">
        <v>7</v>
      </c>
      <c r="C258" s="47"/>
      <c r="D258" s="35">
        <v>1</v>
      </c>
      <c r="E258" s="35"/>
      <c r="F258" s="54"/>
      <c r="G258" s="22">
        <f t="shared" si="12"/>
        <v>1</v>
      </c>
      <c r="H258" s="19">
        <v>45155</v>
      </c>
    </row>
    <row r="259" spans="2:8" x14ac:dyDescent="0.15">
      <c r="B259" s="5" t="s">
        <v>7</v>
      </c>
      <c r="C259" s="47">
        <v>2</v>
      </c>
      <c r="D259" s="35"/>
      <c r="E259" s="35"/>
      <c r="F259" s="54"/>
      <c r="G259" s="22">
        <f t="shared" si="12"/>
        <v>2</v>
      </c>
      <c r="H259" s="19">
        <v>45163</v>
      </c>
    </row>
    <row r="260" spans="2:8" x14ac:dyDescent="0.15">
      <c r="B260" s="5" t="s">
        <v>7</v>
      </c>
      <c r="C260" s="47">
        <v>1</v>
      </c>
      <c r="D260" s="35"/>
      <c r="E260" s="35"/>
      <c r="F260" s="54"/>
      <c r="G260" s="22">
        <f t="shared" si="12"/>
        <v>1</v>
      </c>
      <c r="H260" s="19">
        <v>45166</v>
      </c>
    </row>
    <row r="261" spans="2:8" x14ac:dyDescent="0.15">
      <c r="B261" s="5" t="s">
        <v>7</v>
      </c>
      <c r="C261" s="47">
        <f>1+1</f>
        <v>2</v>
      </c>
      <c r="D261" s="35"/>
      <c r="E261" s="35"/>
      <c r="F261" s="54"/>
      <c r="G261" s="22">
        <f t="shared" si="12"/>
        <v>2</v>
      </c>
      <c r="H261" s="19">
        <v>45170</v>
      </c>
    </row>
    <row r="262" spans="2:8" x14ac:dyDescent="0.15">
      <c r="B262" s="5" t="s">
        <v>7</v>
      </c>
      <c r="C262" s="47">
        <v>1</v>
      </c>
      <c r="D262" s="35"/>
      <c r="E262" s="35">
        <v>1</v>
      </c>
      <c r="F262" s="54"/>
      <c r="G262" s="22">
        <f t="shared" si="12"/>
        <v>2</v>
      </c>
      <c r="H262" s="19">
        <v>45190</v>
      </c>
    </row>
    <row r="263" spans="2:8" x14ac:dyDescent="0.15">
      <c r="B263" s="5" t="s">
        <v>7</v>
      </c>
      <c r="C263" s="47"/>
      <c r="D263" s="35">
        <v>1</v>
      </c>
      <c r="E263" s="35"/>
      <c r="F263" s="54"/>
      <c r="G263" s="22">
        <f t="shared" si="12"/>
        <v>1</v>
      </c>
      <c r="H263" s="19">
        <v>45195</v>
      </c>
    </row>
    <row r="264" spans="2:8" x14ac:dyDescent="0.15">
      <c r="B264" s="5" t="s">
        <v>7</v>
      </c>
      <c r="C264" s="47">
        <v>1</v>
      </c>
      <c r="D264" s="35"/>
      <c r="E264" s="35">
        <v>2</v>
      </c>
      <c r="F264" s="54">
        <v>1</v>
      </c>
      <c r="G264" s="22">
        <f t="shared" si="12"/>
        <v>4</v>
      </c>
      <c r="H264" s="19">
        <v>45201</v>
      </c>
    </row>
    <row r="265" spans="2:8" x14ac:dyDescent="0.15">
      <c r="B265" s="5" t="s">
        <v>7</v>
      </c>
      <c r="C265" s="47">
        <v>1</v>
      </c>
      <c r="D265" s="35"/>
      <c r="E265" s="35"/>
      <c r="F265" s="54"/>
      <c r="G265" s="22">
        <f t="shared" si="12"/>
        <v>1</v>
      </c>
      <c r="H265" s="19">
        <v>45203</v>
      </c>
    </row>
    <row r="266" spans="2:8" x14ac:dyDescent="0.15">
      <c r="B266" s="5" t="s">
        <v>7</v>
      </c>
      <c r="C266" s="47">
        <v>1</v>
      </c>
      <c r="D266" s="35"/>
      <c r="E266" s="35">
        <v>1</v>
      </c>
      <c r="F266" s="54"/>
      <c r="G266" s="22">
        <f t="shared" si="12"/>
        <v>2</v>
      </c>
      <c r="H266" s="19">
        <v>45204</v>
      </c>
    </row>
    <row r="267" spans="2:8" x14ac:dyDescent="0.15">
      <c r="B267" s="5" t="s">
        <v>7</v>
      </c>
      <c r="C267" s="47">
        <v>1</v>
      </c>
      <c r="D267" s="35"/>
      <c r="E267" s="35"/>
      <c r="F267" s="54"/>
      <c r="G267" s="22">
        <f t="shared" si="12"/>
        <v>1</v>
      </c>
      <c r="H267" s="19">
        <v>45205</v>
      </c>
    </row>
    <row r="268" spans="2:8" x14ac:dyDescent="0.15">
      <c r="B268" s="5" t="s">
        <v>7</v>
      </c>
      <c r="C268" s="47">
        <v>3</v>
      </c>
      <c r="D268" s="35"/>
      <c r="E268" s="35"/>
      <c r="F268" s="54"/>
      <c r="G268" s="22">
        <f t="shared" si="12"/>
        <v>3</v>
      </c>
      <c r="H268" s="19">
        <v>45209</v>
      </c>
    </row>
    <row r="269" spans="2:8" x14ac:dyDescent="0.15">
      <c r="B269" s="5" t="s">
        <v>7</v>
      </c>
      <c r="C269" s="47"/>
      <c r="D269" s="35">
        <v>1</v>
      </c>
      <c r="E269" s="35"/>
      <c r="F269" s="54"/>
      <c r="G269" s="22">
        <f>SUM(C269:F269)</f>
        <v>1</v>
      </c>
      <c r="H269" s="19">
        <v>45210</v>
      </c>
    </row>
    <row r="270" spans="2:8" x14ac:dyDescent="0.15">
      <c r="B270" s="5" t="s">
        <v>7</v>
      </c>
      <c r="C270" s="47">
        <v>1</v>
      </c>
      <c r="D270" s="35"/>
      <c r="E270" s="35"/>
      <c r="F270" s="54"/>
      <c r="G270" s="22">
        <f t="shared" ref="G270:G274" si="13">SUM(C270:F270)</f>
        <v>1</v>
      </c>
      <c r="H270" s="19">
        <v>45211</v>
      </c>
    </row>
    <row r="271" spans="2:8" x14ac:dyDescent="0.15">
      <c r="B271" s="5" t="s">
        <v>7</v>
      </c>
      <c r="C271" s="47"/>
      <c r="D271" s="35">
        <v>1</v>
      </c>
      <c r="E271" s="35"/>
      <c r="F271" s="54"/>
      <c r="G271" s="22">
        <f t="shared" si="13"/>
        <v>1</v>
      </c>
      <c r="H271" s="19">
        <v>45215</v>
      </c>
    </row>
    <row r="272" spans="2:8" ht="14.25" thickBot="1" x14ac:dyDescent="0.2">
      <c r="B272" s="5" t="s">
        <v>7</v>
      </c>
      <c r="C272" s="48">
        <v>1</v>
      </c>
      <c r="D272" s="40"/>
      <c r="E272" s="40"/>
      <c r="F272" s="55"/>
      <c r="G272" s="21">
        <f t="shared" si="13"/>
        <v>1</v>
      </c>
      <c r="H272" s="19">
        <v>45230</v>
      </c>
    </row>
    <row r="273" spans="1:8" ht="14.25" thickBot="1" x14ac:dyDescent="0.2">
      <c r="B273" s="4" t="s">
        <v>2</v>
      </c>
      <c r="C273" s="51">
        <f>SUM(C248:C272)</f>
        <v>23</v>
      </c>
      <c r="D273" s="44">
        <f>SUM(D248:D272)</f>
        <v>6</v>
      </c>
      <c r="E273" s="44">
        <f>SUM(E248:E272)</f>
        <v>8</v>
      </c>
      <c r="F273" s="58">
        <f>SUM(F248:F272)</f>
        <v>2</v>
      </c>
      <c r="G273" s="3">
        <f t="shared" si="13"/>
        <v>39</v>
      </c>
    </row>
    <row r="274" spans="1:8" ht="14.25" thickBot="1" x14ac:dyDescent="0.2">
      <c r="B274" s="2" t="s">
        <v>3</v>
      </c>
      <c r="C274" s="49">
        <f>+C247-C273</f>
        <v>9</v>
      </c>
      <c r="D274" s="42">
        <f>+D247-D273</f>
        <v>7</v>
      </c>
      <c r="E274" s="42">
        <f>+E247-E273</f>
        <v>5</v>
      </c>
      <c r="F274" s="56">
        <f>+F247-F273</f>
        <v>10</v>
      </c>
      <c r="G274" s="8">
        <f t="shared" si="13"/>
        <v>31</v>
      </c>
    </row>
    <row r="276" spans="1:8" ht="18.75" x14ac:dyDescent="0.2">
      <c r="B276" s="16" t="s">
        <v>12</v>
      </c>
      <c r="C276" s="15"/>
      <c r="D276" s="20"/>
      <c r="E276" s="15"/>
      <c r="F276" s="15"/>
    </row>
    <row r="277" spans="1:8" ht="14.25" thickBot="1" x14ac:dyDescent="0.2">
      <c r="G277">
        <v>460</v>
      </c>
    </row>
    <row r="278" spans="1:8" ht="14.25" thickBot="1" x14ac:dyDescent="0.2">
      <c r="B278" s="14"/>
      <c r="C278" s="29"/>
      <c r="D278" s="29"/>
      <c r="E278" s="29"/>
      <c r="F278" s="29"/>
      <c r="G278" s="30"/>
    </row>
    <row r="279" spans="1:8" ht="14.25" thickBot="1" x14ac:dyDescent="0.2">
      <c r="A279" s="1"/>
      <c r="B279" s="34"/>
      <c r="C279" s="45" t="s">
        <v>10</v>
      </c>
      <c r="D279" s="38" t="s">
        <v>9</v>
      </c>
      <c r="E279" s="39" t="s">
        <v>6</v>
      </c>
      <c r="F279" s="52" t="s">
        <v>11</v>
      </c>
      <c r="G279" s="4" t="s">
        <v>0</v>
      </c>
    </row>
    <row r="280" spans="1:8" x14ac:dyDescent="0.15">
      <c r="B280" s="36" t="s">
        <v>5</v>
      </c>
      <c r="C280" s="46">
        <f>C274</f>
        <v>9</v>
      </c>
      <c r="D280" s="37">
        <f>D274</f>
        <v>7</v>
      </c>
      <c r="E280" s="37">
        <f>E274</f>
        <v>5</v>
      </c>
      <c r="F280" s="53">
        <f>F274</f>
        <v>10</v>
      </c>
      <c r="G280" s="24">
        <f t="shared" ref="G280:G307" si="14">SUM(C280:F280)</f>
        <v>31</v>
      </c>
    </row>
    <row r="281" spans="1:8" x14ac:dyDescent="0.15">
      <c r="B281" s="31" t="s">
        <v>4</v>
      </c>
      <c r="C281" s="47"/>
      <c r="D281" s="35"/>
      <c r="E281" s="35">
        <v>3</v>
      </c>
      <c r="F281" s="54"/>
      <c r="G281" s="22">
        <f t="shared" si="14"/>
        <v>3</v>
      </c>
      <c r="H281" s="19">
        <v>45261</v>
      </c>
    </row>
    <row r="282" spans="1:8" x14ac:dyDescent="0.15">
      <c r="B282" s="31" t="s">
        <v>4</v>
      </c>
      <c r="C282" s="47">
        <v>-2</v>
      </c>
      <c r="D282" s="35"/>
      <c r="E282" s="35"/>
      <c r="F282" s="54"/>
      <c r="G282" s="22">
        <f t="shared" si="14"/>
        <v>-2</v>
      </c>
      <c r="H282" s="19">
        <v>45279</v>
      </c>
    </row>
    <row r="283" spans="1:8" x14ac:dyDescent="0.15">
      <c r="B283" s="31" t="s">
        <v>4</v>
      </c>
      <c r="C283" s="47">
        <v>10</v>
      </c>
      <c r="D283" s="35">
        <v>3</v>
      </c>
      <c r="E283" s="35">
        <v>5</v>
      </c>
      <c r="F283" s="54"/>
      <c r="G283" s="22">
        <f t="shared" si="14"/>
        <v>18</v>
      </c>
      <c r="H283" s="19">
        <v>45281</v>
      </c>
    </row>
    <row r="284" spans="1:8" x14ac:dyDescent="0.15">
      <c r="B284" s="31" t="s">
        <v>4</v>
      </c>
      <c r="C284" s="47">
        <v>10</v>
      </c>
      <c r="D284" s="35"/>
      <c r="E284" s="35"/>
      <c r="F284" s="54"/>
      <c r="G284" s="22">
        <f t="shared" si="14"/>
        <v>10</v>
      </c>
      <c r="H284" s="19">
        <v>45302</v>
      </c>
    </row>
    <row r="285" spans="1:8" ht="14.25" thickBot="1" x14ac:dyDescent="0.2">
      <c r="B285" s="61" t="s">
        <v>4</v>
      </c>
      <c r="C285" s="48"/>
      <c r="D285" s="40">
        <v>3</v>
      </c>
      <c r="E285" s="40">
        <v>3</v>
      </c>
      <c r="F285" s="55"/>
      <c r="G285" s="21">
        <f t="shared" si="14"/>
        <v>6</v>
      </c>
      <c r="H285" s="19">
        <v>45364</v>
      </c>
    </row>
    <row r="286" spans="1:8" ht="14.25" thickBot="1" x14ac:dyDescent="0.2">
      <c r="B286" s="32" t="s">
        <v>1</v>
      </c>
      <c r="C286" s="49">
        <f>SUM(C280:C285)</f>
        <v>27</v>
      </c>
      <c r="D286" s="42">
        <f>SUM(D280:D285)</f>
        <v>13</v>
      </c>
      <c r="E286" s="42">
        <f>SUM(E280:E285)</f>
        <v>16</v>
      </c>
      <c r="F286" s="56">
        <f>SUM(F280:F285)</f>
        <v>10</v>
      </c>
      <c r="G286" s="8">
        <f t="shared" si="14"/>
        <v>66</v>
      </c>
    </row>
    <row r="287" spans="1:8" x14ac:dyDescent="0.15">
      <c r="B287" s="5" t="s">
        <v>7</v>
      </c>
      <c r="C287" s="50"/>
      <c r="D287" s="41">
        <v>1</v>
      </c>
      <c r="E287" s="41"/>
      <c r="F287" s="57"/>
      <c r="G287" s="6">
        <f t="shared" si="14"/>
        <v>1</v>
      </c>
      <c r="H287" s="19">
        <v>45232</v>
      </c>
    </row>
    <row r="288" spans="1:8" x14ac:dyDescent="0.15">
      <c r="B288" s="5" t="s">
        <v>7</v>
      </c>
      <c r="C288" s="47">
        <v>1</v>
      </c>
      <c r="D288" s="35"/>
      <c r="E288" s="35"/>
      <c r="F288" s="54"/>
      <c r="G288" s="22">
        <f t="shared" si="14"/>
        <v>1</v>
      </c>
      <c r="H288" s="19">
        <v>45234</v>
      </c>
    </row>
    <row r="289" spans="2:8" x14ac:dyDescent="0.15">
      <c r="B289" s="5" t="s">
        <v>7</v>
      </c>
      <c r="C289" s="47"/>
      <c r="D289" s="35"/>
      <c r="E289" s="35">
        <v>1</v>
      </c>
      <c r="F289" s="54"/>
      <c r="G289" s="22">
        <f t="shared" si="14"/>
        <v>1</v>
      </c>
      <c r="H289" s="19">
        <v>45248</v>
      </c>
    </row>
    <row r="290" spans="2:8" x14ac:dyDescent="0.15">
      <c r="B290" s="5" t="s">
        <v>7</v>
      </c>
      <c r="C290" s="47"/>
      <c r="D290" s="35">
        <v>1</v>
      </c>
      <c r="E290" s="35"/>
      <c r="F290" s="54"/>
      <c r="G290" s="22">
        <f t="shared" si="14"/>
        <v>1</v>
      </c>
      <c r="H290" s="19">
        <v>45252</v>
      </c>
    </row>
    <row r="291" spans="2:8" x14ac:dyDescent="0.15">
      <c r="B291" s="5" t="s">
        <v>7</v>
      </c>
      <c r="C291" s="47">
        <v>1</v>
      </c>
      <c r="D291" s="35"/>
      <c r="E291" s="35">
        <v>2</v>
      </c>
      <c r="F291" s="54">
        <v>2</v>
      </c>
      <c r="G291" s="22">
        <f t="shared" si="14"/>
        <v>5</v>
      </c>
      <c r="H291" s="19">
        <v>45257</v>
      </c>
    </row>
    <row r="292" spans="2:8" x14ac:dyDescent="0.15">
      <c r="B292" s="5" t="s">
        <v>7</v>
      </c>
      <c r="C292" s="47">
        <v>1</v>
      </c>
      <c r="D292" s="35"/>
      <c r="E292" s="35"/>
      <c r="F292" s="54"/>
      <c r="G292" s="22">
        <f t="shared" si="14"/>
        <v>1</v>
      </c>
      <c r="H292" s="19">
        <v>45264</v>
      </c>
    </row>
    <row r="293" spans="2:8" x14ac:dyDescent="0.15">
      <c r="B293" s="5" t="s">
        <v>7</v>
      </c>
      <c r="C293" s="47">
        <v>1</v>
      </c>
      <c r="D293" s="35"/>
      <c r="E293" s="35">
        <v>1</v>
      </c>
      <c r="F293" s="54"/>
      <c r="G293" s="22">
        <f t="shared" si="14"/>
        <v>2</v>
      </c>
      <c r="H293" s="19">
        <v>45273</v>
      </c>
    </row>
    <row r="294" spans="2:8" x14ac:dyDescent="0.15">
      <c r="B294" s="5" t="s">
        <v>7</v>
      </c>
      <c r="C294" s="47">
        <v>1</v>
      </c>
      <c r="D294" s="35"/>
      <c r="E294" s="35"/>
      <c r="F294" s="54"/>
      <c r="G294" s="22">
        <f t="shared" si="14"/>
        <v>1</v>
      </c>
      <c r="H294" s="19">
        <v>45277</v>
      </c>
    </row>
    <row r="295" spans="2:8" x14ac:dyDescent="0.15">
      <c r="B295" s="5" t="s">
        <v>7</v>
      </c>
      <c r="C295" s="47">
        <v>2</v>
      </c>
      <c r="D295" s="35"/>
      <c r="E295" s="35">
        <v>1</v>
      </c>
      <c r="F295" s="54"/>
      <c r="G295" s="22">
        <f t="shared" si="14"/>
        <v>3</v>
      </c>
      <c r="H295" s="19">
        <v>45278</v>
      </c>
    </row>
    <row r="296" spans="2:8" x14ac:dyDescent="0.15">
      <c r="B296" s="5" t="s">
        <v>7</v>
      </c>
      <c r="C296" s="47">
        <v>1</v>
      </c>
      <c r="D296" s="35"/>
      <c r="E296" s="35">
        <v>1</v>
      </c>
      <c r="F296" s="54"/>
      <c r="G296" s="22">
        <f t="shared" si="14"/>
        <v>2</v>
      </c>
      <c r="H296" s="19">
        <v>45285</v>
      </c>
    </row>
    <row r="297" spans="2:8" x14ac:dyDescent="0.15">
      <c r="B297" s="5" t="s">
        <v>7</v>
      </c>
      <c r="C297" s="47">
        <v>1</v>
      </c>
      <c r="D297" s="35"/>
      <c r="E297" s="35"/>
      <c r="F297" s="54"/>
      <c r="G297" s="22">
        <f t="shared" si="14"/>
        <v>1</v>
      </c>
      <c r="H297" s="19">
        <v>45286</v>
      </c>
    </row>
    <row r="298" spans="2:8" x14ac:dyDescent="0.15">
      <c r="B298" s="5" t="s">
        <v>7</v>
      </c>
      <c r="C298" s="47">
        <v>1</v>
      </c>
      <c r="D298" s="35">
        <v>1</v>
      </c>
      <c r="E298" s="35"/>
      <c r="F298" s="54"/>
      <c r="G298" s="22">
        <f t="shared" si="14"/>
        <v>2</v>
      </c>
      <c r="H298" s="19">
        <v>45296</v>
      </c>
    </row>
    <row r="299" spans="2:8" x14ac:dyDescent="0.15">
      <c r="B299" s="5" t="s">
        <v>7</v>
      </c>
      <c r="C299" s="47">
        <v>1</v>
      </c>
      <c r="D299" s="35"/>
      <c r="E299" s="35"/>
      <c r="F299" s="54"/>
      <c r="G299" s="22">
        <f t="shared" si="14"/>
        <v>1</v>
      </c>
      <c r="H299" s="19">
        <v>45306</v>
      </c>
    </row>
    <row r="300" spans="2:8" x14ac:dyDescent="0.15">
      <c r="B300" s="5" t="s">
        <v>7</v>
      </c>
      <c r="C300" s="47"/>
      <c r="D300" s="35"/>
      <c r="E300" s="35">
        <v>1</v>
      </c>
      <c r="F300" s="54"/>
      <c r="G300" s="22">
        <f t="shared" si="14"/>
        <v>1</v>
      </c>
      <c r="H300" s="19">
        <v>45341</v>
      </c>
    </row>
    <row r="301" spans="2:8" x14ac:dyDescent="0.15">
      <c r="B301" s="5" t="s">
        <v>7</v>
      </c>
      <c r="C301" s="47">
        <v>1</v>
      </c>
      <c r="D301" s="35"/>
      <c r="E301" s="35"/>
      <c r="F301" s="54"/>
      <c r="G301" s="22">
        <f t="shared" si="14"/>
        <v>1</v>
      </c>
      <c r="H301" s="19">
        <v>45366</v>
      </c>
    </row>
    <row r="302" spans="2:8" x14ac:dyDescent="0.15">
      <c r="B302" s="5" t="s">
        <v>7</v>
      </c>
      <c r="C302" s="47">
        <v>1</v>
      </c>
      <c r="D302" s="35"/>
      <c r="E302" s="35"/>
      <c r="F302" s="54"/>
      <c r="G302" s="22">
        <f t="shared" si="14"/>
        <v>1</v>
      </c>
      <c r="H302" s="19">
        <v>45379</v>
      </c>
    </row>
    <row r="303" spans="2:8" x14ac:dyDescent="0.15">
      <c r="B303" s="5" t="s">
        <v>7</v>
      </c>
      <c r="C303" s="47">
        <v>1</v>
      </c>
      <c r="D303" s="35"/>
      <c r="E303" s="35"/>
      <c r="F303" s="54"/>
      <c r="G303" s="22">
        <f t="shared" si="14"/>
        <v>1</v>
      </c>
      <c r="H303" s="19">
        <v>45383</v>
      </c>
    </row>
    <row r="304" spans="2:8" x14ac:dyDescent="0.15">
      <c r="B304" s="5" t="s">
        <v>7</v>
      </c>
      <c r="C304" s="47">
        <v>1</v>
      </c>
      <c r="D304" s="35"/>
      <c r="E304" s="35"/>
      <c r="F304" s="54"/>
      <c r="G304" s="22">
        <f t="shared" si="14"/>
        <v>1</v>
      </c>
      <c r="H304" s="19">
        <v>45394</v>
      </c>
    </row>
    <row r="305" spans="1:8" x14ac:dyDescent="0.15">
      <c r="B305" s="5" t="s">
        <v>7</v>
      </c>
      <c r="C305" s="47">
        <v>2</v>
      </c>
      <c r="D305" s="35">
        <v>1</v>
      </c>
      <c r="E305" s="35">
        <v>1</v>
      </c>
      <c r="F305" s="54">
        <v>1</v>
      </c>
      <c r="G305" s="22">
        <f t="shared" si="14"/>
        <v>5</v>
      </c>
      <c r="H305" s="19">
        <v>45405</v>
      </c>
    </row>
    <row r="306" spans="1:8" x14ac:dyDescent="0.15">
      <c r="B306" s="5"/>
      <c r="C306" s="47"/>
      <c r="D306" s="35"/>
      <c r="E306" s="35"/>
      <c r="F306" s="54"/>
      <c r="G306" s="22">
        <f t="shared" si="14"/>
        <v>0</v>
      </c>
    </row>
    <row r="307" spans="1:8" x14ac:dyDescent="0.15">
      <c r="B307" s="33"/>
      <c r="C307" s="47"/>
      <c r="D307" s="35"/>
      <c r="E307" s="35"/>
      <c r="F307" s="54"/>
      <c r="G307" s="22">
        <f t="shared" si="14"/>
        <v>0</v>
      </c>
    </row>
    <row r="308" spans="1:8" x14ac:dyDescent="0.15">
      <c r="B308" s="33"/>
      <c r="C308" s="47"/>
      <c r="D308" s="35"/>
      <c r="E308" s="35"/>
      <c r="F308" s="54"/>
      <c r="G308" s="22">
        <f>SUM(C308:F308)</f>
        <v>0</v>
      </c>
    </row>
    <row r="309" spans="1:8" x14ac:dyDescent="0.15">
      <c r="B309" s="33"/>
      <c r="C309" s="47"/>
      <c r="D309" s="35"/>
      <c r="E309" s="35"/>
      <c r="F309" s="54"/>
      <c r="G309" s="22">
        <f t="shared" ref="G309:G313" si="15">SUM(C309:F309)</f>
        <v>0</v>
      </c>
    </row>
    <row r="310" spans="1:8" x14ac:dyDescent="0.15">
      <c r="B310" s="33"/>
      <c r="C310" s="47"/>
      <c r="D310" s="35"/>
      <c r="E310" s="35"/>
      <c r="F310" s="54"/>
      <c r="G310" s="22">
        <f t="shared" si="15"/>
        <v>0</v>
      </c>
    </row>
    <row r="311" spans="1:8" ht="14.25" thickBot="1" x14ac:dyDescent="0.2">
      <c r="B311" s="43"/>
      <c r="C311" s="48"/>
      <c r="D311" s="40"/>
      <c r="E311" s="40"/>
      <c r="F311" s="55"/>
      <c r="G311" s="21">
        <f t="shared" si="15"/>
        <v>0</v>
      </c>
    </row>
    <row r="312" spans="1:8" ht="14.25" thickBot="1" x14ac:dyDescent="0.2">
      <c r="B312" s="34" t="s">
        <v>2</v>
      </c>
      <c r="C312" s="51">
        <f>SUM(C287:C311)</f>
        <v>17</v>
      </c>
      <c r="D312" s="44">
        <f>SUM(D287:D311)</f>
        <v>4</v>
      </c>
      <c r="E312" s="44">
        <f>SUM(E287:E311)</f>
        <v>8</v>
      </c>
      <c r="F312" s="58">
        <f>SUM(F287:F311)</f>
        <v>3</v>
      </c>
      <c r="G312" s="3">
        <f t="shared" si="15"/>
        <v>32</v>
      </c>
    </row>
    <row r="313" spans="1:8" ht="14.25" thickBot="1" x14ac:dyDescent="0.2">
      <c r="B313" s="32" t="s">
        <v>3</v>
      </c>
      <c r="C313" s="49">
        <f>+C286-C312</f>
        <v>10</v>
      </c>
      <c r="D313" s="42">
        <f>+D286-D312</f>
        <v>9</v>
      </c>
      <c r="E313" s="42">
        <f>+E286-E312</f>
        <v>8</v>
      </c>
      <c r="F313" s="56">
        <f>+F286-F312</f>
        <v>7</v>
      </c>
      <c r="G313" s="8">
        <f t="shared" si="15"/>
        <v>34</v>
      </c>
    </row>
    <row r="315" spans="1:8" ht="18.75" x14ac:dyDescent="0.2">
      <c r="B315" s="16" t="s">
        <v>12</v>
      </c>
      <c r="C315" s="15"/>
      <c r="D315" s="20"/>
      <c r="E315" s="15"/>
      <c r="F315" s="15"/>
    </row>
    <row r="316" spans="1:8" ht="14.25" thickBot="1" x14ac:dyDescent="0.2">
      <c r="G316">
        <v>460</v>
      </c>
    </row>
    <row r="317" spans="1:8" ht="14.25" thickBot="1" x14ac:dyDescent="0.2">
      <c r="B317" s="14"/>
      <c r="C317" s="29"/>
      <c r="D317" s="29"/>
      <c r="E317" s="29"/>
      <c r="F317" s="29"/>
      <c r="G317" s="30"/>
    </row>
    <row r="318" spans="1:8" ht="14.25" thickBot="1" x14ac:dyDescent="0.2">
      <c r="A318" s="1"/>
      <c r="B318" s="34"/>
      <c r="C318" s="45" t="s">
        <v>10</v>
      </c>
      <c r="D318" s="38" t="s">
        <v>9</v>
      </c>
      <c r="E318" s="39" t="s">
        <v>6</v>
      </c>
      <c r="F318" s="52" t="s">
        <v>11</v>
      </c>
      <c r="G318" s="4" t="s">
        <v>0</v>
      </c>
    </row>
    <row r="319" spans="1:8" x14ac:dyDescent="0.15">
      <c r="B319" s="36" t="s">
        <v>5</v>
      </c>
      <c r="C319" s="46">
        <f>C313</f>
        <v>10</v>
      </c>
      <c r="D319" s="37">
        <f>D313</f>
        <v>9</v>
      </c>
      <c r="E319" s="37">
        <f>E313</f>
        <v>8</v>
      </c>
      <c r="F319" s="53">
        <f>F313</f>
        <v>7</v>
      </c>
      <c r="G319" s="24">
        <f t="shared" ref="G319:G346" si="16">SUM(C319:F319)</f>
        <v>34</v>
      </c>
    </row>
    <row r="320" spans="1:8" x14ac:dyDescent="0.15">
      <c r="B320" s="31" t="s">
        <v>4</v>
      </c>
      <c r="C320" s="47">
        <v>10</v>
      </c>
      <c r="D320" s="35"/>
      <c r="E320" s="35"/>
      <c r="F320" s="54"/>
      <c r="G320" s="22">
        <f t="shared" si="16"/>
        <v>10</v>
      </c>
      <c r="H320" s="19">
        <v>45390</v>
      </c>
    </row>
    <row r="321" spans="2:8" x14ac:dyDescent="0.15">
      <c r="B321" s="31" t="s">
        <v>4</v>
      </c>
      <c r="C321" s="47"/>
      <c r="D321" s="35"/>
      <c r="E321" s="35">
        <v>5</v>
      </c>
      <c r="F321" s="54"/>
      <c r="G321" s="22">
        <f t="shared" si="16"/>
        <v>5</v>
      </c>
      <c r="H321" s="19">
        <v>45455</v>
      </c>
    </row>
    <row r="322" spans="2:8" x14ac:dyDescent="0.15">
      <c r="B322" s="62" t="s">
        <v>4</v>
      </c>
      <c r="C322" s="63">
        <v>10</v>
      </c>
      <c r="D322" s="64">
        <v>5</v>
      </c>
      <c r="E322" s="64">
        <v>5</v>
      </c>
      <c r="F322" s="65">
        <v>5</v>
      </c>
      <c r="G322" s="66">
        <f t="shared" si="16"/>
        <v>25</v>
      </c>
      <c r="H322" s="25">
        <v>45469</v>
      </c>
    </row>
    <row r="323" spans="2:8" x14ac:dyDescent="0.15">
      <c r="B323" s="31" t="s">
        <v>4</v>
      </c>
      <c r="C323" s="47"/>
      <c r="D323" s="35"/>
      <c r="E323" s="35"/>
      <c r="F323" s="54"/>
      <c r="G323" s="22">
        <f t="shared" si="16"/>
        <v>0</v>
      </c>
      <c r="H323" s="19"/>
    </row>
    <row r="324" spans="2:8" ht="14.25" thickBot="1" x14ac:dyDescent="0.2">
      <c r="B324" s="61" t="s">
        <v>4</v>
      </c>
      <c r="C324" s="48"/>
      <c r="D324" s="40"/>
      <c r="E324" s="40"/>
      <c r="F324" s="55"/>
      <c r="G324" s="21">
        <f t="shared" si="16"/>
        <v>0</v>
      </c>
      <c r="H324" s="19"/>
    </row>
    <row r="325" spans="2:8" ht="14.25" thickBot="1" x14ac:dyDescent="0.2">
      <c r="B325" s="32" t="s">
        <v>1</v>
      </c>
      <c r="C325" s="49">
        <f>SUM(C319:C324)</f>
        <v>30</v>
      </c>
      <c r="D325" s="42">
        <f>SUM(D319:D324)</f>
        <v>14</v>
      </c>
      <c r="E325" s="42">
        <f>SUM(E319:E324)</f>
        <v>18</v>
      </c>
      <c r="F325" s="56">
        <f>SUM(F319:F324)</f>
        <v>12</v>
      </c>
      <c r="G325" s="8">
        <f t="shared" si="16"/>
        <v>74</v>
      </c>
    </row>
    <row r="326" spans="2:8" x14ac:dyDescent="0.15">
      <c r="B326" s="5" t="s">
        <v>7</v>
      </c>
      <c r="C326" s="50"/>
      <c r="D326" s="41">
        <v>1</v>
      </c>
      <c r="E326" s="41"/>
      <c r="F326" s="57"/>
      <c r="G326" s="6">
        <f t="shared" si="16"/>
        <v>1</v>
      </c>
      <c r="H326" s="19">
        <v>45407</v>
      </c>
    </row>
    <row r="327" spans="2:8" x14ac:dyDescent="0.15">
      <c r="B327" s="5" t="s">
        <v>7</v>
      </c>
      <c r="C327" s="47">
        <v>1</v>
      </c>
      <c r="D327" s="35"/>
      <c r="E327" s="35"/>
      <c r="F327" s="54"/>
      <c r="G327" s="22">
        <f t="shared" si="16"/>
        <v>1</v>
      </c>
      <c r="H327" s="19">
        <v>45412</v>
      </c>
    </row>
    <row r="328" spans="2:8" x14ac:dyDescent="0.15">
      <c r="B328" s="5" t="s">
        <v>7</v>
      </c>
      <c r="C328" s="47"/>
      <c r="D328" s="35"/>
      <c r="E328" s="35"/>
      <c r="F328" s="54">
        <v>1</v>
      </c>
      <c r="G328" s="22">
        <f t="shared" si="16"/>
        <v>1</v>
      </c>
      <c r="H328" s="19">
        <v>45414</v>
      </c>
    </row>
    <row r="329" spans="2:8" x14ac:dyDescent="0.15">
      <c r="B329" s="5" t="s">
        <v>7</v>
      </c>
      <c r="C329" s="47">
        <v>1</v>
      </c>
      <c r="D329" s="35"/>
      <c r="E329" s="35"/>
      <c r="F329" s="54"/>
      <c r="G329" s="22">
        <f t="shared" si="16"/>
        <v>1</v>
      </c>
      <c r="H329" s="19">
        <v>45432</v>
      </c>
    </row>
    <row r="330" spans="2:8" x14ac:dyDescent="0.15">
      <c r="B330" s="5" t="s">
        <v>7</v>
      </c>
      <c r="C330" s="47"/>
      <c r="D330" s="35"/>
      <c r="E330" s="35">
        <v>1</v>
      </c>
      <c r="F330" s="54"/>
      <c r="G330" s="22">
        <f t="shared" si="16"/>
        <v>1</v>
      </c>
      <c r="H330" s="19">
        <v>45433</v>
      </c>
    </row>
    <row r="331" spans="2:8" x14ac:dyDescent="0.15">
      <c r="B331" s="5" t="s">
        <v>7</v>
      </c>
      <c r="C331" s="47">
        <v>2</v>
      </c>
      <c r="D331" s="35"/>
      <c r="E331" s="35"/>
      <c r="F331" s="54"/>
      <c r="G331" s="22">
        <f t="shared" si="16"/>
        <v>2</v>
      </c>
      <c r="H331" s="19">
        <v>45439</v>
      </c>
    </row>
    <row r="332" spans="2:8" x14ac:dyDescent="0.15">
      <c r="B332" s="5" t="s">
        <v>7</v>
      </c>
      <c r="C332" s="47">
        <v>1</v>
      </c>
      <c r="D332" s="35"/>
      <c r="E332" s="35"/>
      <c r="F332" s="54"/>
      <c r="G332" s="22">
        <f t="shared" si="16"/>
        <v>1</v>
      </c>
      <c r="H332" s="19">
        <v>45441</v>
      </c>
    </row>
    <row r="333" spans="2:8" x14ac:dyDescent="0.15">
      <c r="B333" s="5" t="s">
        <v>7</v>
      </c>
      <c r="C333" s="47"/>
      <c r="D333" s="35">
        <v>1</v>
      </c>
      <c r="E333" s="35">
        <v>1</v>
      </c>
      <c r="F333" s="54">
        <v>1</v>
      </c>
      <c r="G333" s="22">
        <f t="shared" si="16"/>
        <v>3</v>
      </c>
      <c r="H333" s="19">
        <v>45446</v>
      </c>
    </row>
    <row r="334" spans="2:8" x14ac:dyDescent="0.15">
      <c r="B334" s="5" t="s">
        <v>7</v>
      </c>
      <c r="C334" s="47">
        <v>2</v>
      </c>
      <c r="D334" s="35"/>
      <c r="E334" s="35"/>
      <c r="F334" s="54"/>
      <c r="G334" s="22">
        <f t="shared" si="16"/>
        <v>2</v>
      </c>
      <c r="H334" s="19">
        <v>45447</v>
      </c>
    </row>
    <row r="335" spans="2:8" x14ac:dyDescent="0.15">
      <c r="B335" s="5" t="s">
        <v>7</v>
      </c>
      <c r="C335" s="47"/>
      <c r="D335" s="35"/>
      <c r="E335" s="35">
        <v>1</v>
      </c>
      <c r="F335" s="54"/>
      <c r="G335" s="22">
        <f t="shared" si="16"/>
        <v>1</v>
      </c>
      <c r="H335" s="19">
        <v>45449</v>
      </c>
    </row>
    <row r="336" spans="2:8" x14ac:dyDescent="0.15">
      <c r="B336" s="5" t="s">
        <v>7</v>
      </c>
      <c r="C336" s="47">
        <f>2+1</f>
        <v>3</v>
      </c>
      <c r="D336" s="35"/>
      <c r="E336" s="35">
        <v>2</v>
      </c>
      <c r="F336" s="54"/>
      <c r="G336" s="22">
        <f t="shared" si="16"/>
        <v>5</v>
      </c>
      <c r="H336" s="19">
        <v>45450</v>
      </c>
    </row>
    <row r="337" spans="2:8" x14ac:dyDescent="0.15">
      <c r="B337" s="5" t="s">
        <v>7</v>
      </c>
      <c r="C337" s="47">
        <v>1</v>
      </c>
      <c r="D337" s="35">
        <v>1</v>
      </c>
      <c r="E337" s="35">
        <v>1</v>
      </c>
      <c r="F337" s="54">
        <v>1</v>
      </c>
      <c r="G337" s="22">
        <f t="shared" si="16"/>
        <v>4</v>
      </c>
      <c r="H337" s="19">
        <v>45453</v>
      </c>
    </row>
    <row r="338" spans="2:8" x14ac:dyDescent="0.15">
      <c r="B338" s="5" t="s">
        <v>7</v>
      </c>
      <c r="C338" s="47">
        <v>3</v>
      </c>
      <c r="D338" s="35"/>
      <c r="E338" s="35"/>
      <c r="F338" s="54"/>
      <c r="G338" s="22">
        <f t="shared" si="16"/>
        <v>3</v>
      </c>
      <c r="H338" s="19">
        <v>45454</v>
      </c>
    </row>
    <row r="339" spans="2:8" x14ac:dyDescent="0.15">
      <c r="B339" s="5" t="s">
        <v>7</v>
      </c>
      <c r="C339" s="47"/>
      <c r="D339" s="35"/>
      <c r="E339" s="35"/>
      <c r="F339" s="54">
        <v>1</v>
      </c>
      <c r="G339" s="22">
        <f t="shared" si="16"/>
        <v>1</v>
      </c>
      <c r="H339" s="19">
        <v>45455</v>
      </c>
    </row>
    <row r="340" spans="2:8" x14ac:dyDescent="0.15">
      <c r="B340" s="5" t="s">
        <v>7</v>
      </c>
      <c r="C340" s="47"/>
      <c r="D340" s="35">
        <v>1</v>
      </c>
      <c r="E340" s="35">
        <v>1</v>
      </c>
      <c r="F340" s="54"/>
      <c r="G340" s="22">
        <f t="shared" si="16"/>
        <v>2</v>
      </c>
      <c r="H340" s="19">
        <v>45456</v>
      </c>
    </row>
    <row r="341" spans="2:8" x14ac:dyDescent="0.15">
      <c r="B341" s="5" t="s">
        <v>7</v>
      </c>
      <c r="C341" s="47">
        <v>1</v>
      </c>
      <c r="D341" s="35"/>
      <c r="E341" s="35"/>
      <c r="F341" s="54"/>
      <c r="G341" s="22">
        <f t="shared" si="16"/>
        <v>1</v>
      </c>
      <c r="H341" s="19">
        <v>45460</v>
      </c>
    </row>
    <row r="342" spans="2:8" x14ac:dyDescent="0.15">
      <c r="B342" s="5" t="s">
        <v>7</v>
      </c>
      <c r="C342" s="47"/>
      <c r="D342" s="35">
        <v>1</v>
      </c>
      <c r="E342" s="35"/>
      <c r="F342" s="54">
        <v>1</v>
      </c>
      <c r="G342" s="22">
        <f t="shared" si="16"/>
        <v>2</v>
      </c>
      <c r="H342" s="19">
        <v>45461</v>
      </c>
    </row>
    <row r="343" spans="2:8" x14ac:dyDescent="0.15">
      <c r="B343" s="5" t="s">
        <v>7</v>
      </c>
      <c r="C343" s="47"/>
      <c r="D343" s="35">
        <v>1</v>
      </c>
      <c r="E343" s="35"/>
      <c r="F343" s="54"/>
      <c r="G343" s="22">
        <f t="shared" si="16"/>
        <v>1</v>
      </c>
      <c r="H343" s="19">
        <v>45463</v>
      </c>
    </row>
    <row r="344" spans="2:8" x14ac:dyDescent="0.15">
      <c r="B344" s="5" t="s">
        <v>7</v>
      </c>
      <c r="C344" s="47"/>
      <c r="D344" s="35"/>
      <c r="E344" s="35">
        <v>1</v>
      </c>
      <c r="F344" s="54"/>
      <c r="G344" s="22">
        <f t="shared" si="16"/>
        <v>1</v>
      </c>
      <c r="H344" s="19">
        <v>45467</v>
      </c>
    </row>
    <row r="345" spans="2:8" x14ac:dyDescent="0.15">
      <c r="B345" s="5" t="s">
        <v>7</v>
      </c>
      <c r="C345" s="47"/>
      <c r="D345" s="35"/>
      <c r="E345" s="35">
        <v>1</v>
      </c>
      <c r="F345" s="54"/>
      <c r="G345" s="22">
        <f t="shared" si="16"/>
        <v>1</v>
      </c>
      <c r="H345" s="19">
        <v>45468</v>
      </c>
    </row>
    <row r="346" spans="2:8" x14ac:dyDescent="0.15">
      <c r="B346" s="5" t="s">
        <v>7</v>
      </c>
      <c r="C346" s="47">
        <v>1</v>
      </c>
      <c r="D346" s="35"/>
      <c r="E346" s="35"/>
      <c r="F346" s="54"/>
      <c r="G346" s="22">
        <f t="shared" si="16"/>
        <v>1</v>
      </c>
      <c r="H346" s="19">
        <v>45469</v>
      </c>
    </row>
    <row r="347" spans="2:8" x14ac:dyDescent="0.15">
      <c r="B347" s="5" t="s">
        <v>7</v>
      </c>
      <c r="C347" s="47"/>
      <c r="D347" s="35"/>
      <c r="E347" s="35">
        <v>2</v>
      </c>
      <c r="F347" s="54"/>
      <c r="G347" s="22">
        <f>SUM(C347:F347)</f>
        <v>2</v>
      </c>
      <c r="H347" s="19">
        <v>45472</v>
      </c>
    </row>
    <row r="348" spans="2:8" x14ac:dyDescent="0.15">
      <c r="B348" s="5" t="s">
        <v>7</v>
      </c>
      <c r="C348" s="47"/>
      <c r="D348" s="35">
        <v>1</v>
      </c>
      <c r="E348" s="35"/>
      <c r="F348" s="54">
        <v>1</v>
      </c>
      <c r="G348" s="22">
        <f t="shared" ref="G348:G352" si="17">SUM(C348:F348)</f>
        <v>2</v>
      </c>
      <c r="H348" s="19">
        <v>45474</v>
      </c>
    </row>
    <row r="349" spans="2:8" x14ac:dyDescent="0.15">
      <c r="B349" s="5" t="s">
        <v>7</v>
      </c>
      <c r="C349" s="47">
        <v>1</v>
      </c>
      <c r="D349" s="35">
        <v>1</v>
      </c>
      <c r="E349" s="35"/>
      <c r="F349" s="54">
        <v>1</v>
      </c>
      <c r="G349" s="22">
        <f t="shared" si="17"/>
        <v>3</v>
      </c>
      <c r="H349" s="19">
        <v>45478</v>
      </c>
    </row>
    <row r="350" spans="2:8" ht="14.25" thickBot="1" x14ac:dyDescent="0.2">
      <c r="B350" s="5" t="s">
        <v>7</v>
      </c>
      <c r="C350" s="48"/>
      <c r="D350" s="40"/>
      <c r="E350" s="40"/>
      <c r="F350" s="55">
        <v>1</v>
      </c>
      <c r="G350" s="21">
        <f t="shared" si="17"/>
        <v>1</v>
      </c>
      <c r="H350" s="19">
        <v>45479</v>
      </c>
    </row>
    <row r="351" spans="2:8" ht="14.25" thickBot="1" x14ac:dyDescent="0.2">
      <c r="B351" s="34" t="s">
        <v>2</v>
      </c>
      <c r="C351" s="51">
        <f>SUM(C326:C350)</f>
        <v>17</v>
      </c>
      <c r="D351" s="44">
        <f>SUM(D326:D350)</f>
        <v>8</v>
      </c>
      <c r="E351" s="44">
        <f>SUM(E326:E350)</f>
        <v>11</v>
      </c>
      <c r="F351" s="58">
        <f>SUM(F326:F350)</f>
        <v>8</v>
      </c>
      <c r="G351" s="3">
        <f t="shared" si="17"/>
        <v>44</v>
      </c>
    </row>
    <row r="352" spans="2:8" ht="14.25" thickBot="1" x14ac:dyDescent="0.2">
      <c r="B352" s="32" t="s">
        <v>3</v>
      </c>
      <c r="C352" s="49">
        <f>+C325-C351</f>
        <v>13</v>
      </c>
      <c r="D352" s="42">
        <f>+D325-D351</f>
        <v>6</v>
      </c>
      <c r="E352" s="42">
        <f>+E325-E351</f>
        <v>7</v>
      </c>
      <c r="F352" s="56">
        <f>+F325-F351</f>
        <v>4</v>
      </c>
      <c r="G352" s="8">
        <f t="shared" si="17"/>
        <v>30</v>
      </c>
    </row>
    <row r="354" spans="1:8" ht="18.75" x14ac:dyDescent="0.2">
      <c r="B354" s="16" t="s">
        <v>12</v>
      </c>
      <c r="C354" s="15"/>
      <c r="D354" s="20"/>
      <c r="E354" s="15"/>
      <c r="F354" s="15"/>
    </row>
    <row r="355" spans="1:8" ht="14.25" thickBot="1" x14ac:dyDescent="0.2">
      <c r="G355">
        <v>460</v>
      </c>
    </row>
    <row r="356" spans="1:8" ht="14.25" thickBot="1" x14ac:dyDescent="0.2">
      <c r="B356" s="14"/>
      <c r="C356" s="29"/>
      <c r="D356" s="29"/>
      <c r="E356" s="29"/>
      <c r="F356" s="29"/>
      <c r="G356" s="30"/>
    </row>
    <row r="357" spans="1:8" ht="14.25" thickBot="1" x14ac:dyDescent="0.2">
      <c r="A357" s="1"/>
      <c r="B357" s="34"/>
      <c r="C357" s="45" t="s">
        <v>10</v>
      </c>
      <c r="D357" s="38" t="s">
        <v>9</v>
      </c>
      <c r="E357" s="39" t="s">
        <v>6</v>
      </c>
      <c r="F357" s="52" t="s">
        <v>11</v>
      </c>
      <c r="G357" s="4" t="s">
        <v>0</v>
      </c>
    </row>
    <row r="358" spans="1:8" x14ac:dyDescent="0.15">
      <c r="B358" s="36" t="s">
        <v>5</v>
      </c>
      <c r="C358" s="46">
        <f>C352</f>
        <v>13</v>
      </c>
      <c r="D358" s="37">
        <f>D352</f>
        <v>6</v>
      </c>
      <c r="E358" s="37">
        <f>E352</f>
        <v>7</v>
      </c>
      <c r="F358" s="53">
        <f>F352</f>
        <v>4</v>
      </c>
      <c r="G358" s="24">
        <f t="shared" ref="G358:G387" si="18">SUM(C358:F358)</f>
        <v>30</v>
      </c>
    </row>
    <row r="359" spans="1:8" x14ac:dyDescent="0.15">
      <c r="B359" s="31" t="s">
        <v>4</v>
      </c>
      <c r="C359" s="47">
        <v>5</v>
      </c>
      <c r="D359" s="35">
        <v>10</v>
      </c>
      <c r="E359" s="35">
        <v>10</v>
      </c>
      <c r="F359" s="54">
        <v>10</v>
      </c>
      <c r="G359" s="22">
        <f t="shared" ref="G359:G361" si="19">SUM(C359:F359)</f>
        <v>35</v>
      </c>
      <c r="H359" s="19">
        <v>45493</v>
      </c>
    </row>
    <row r="360" spans="1:8" x14ac:dyDescent="0.15">
      <c r="B360" s="31" t="s">
        <v>4</v>
      </c>
      <c r="C360" s="47"/>
      <c r="D360" s="35"/>
      <c r="E360" s="35"/>
      <c r="F360" s="54">
        <v>5</v>
      </c>
      <c r="G360" s="22">
        <f t="shared" si="19"/>
        <v>5</v>
      </c>
      <c r="H360" s="19" t="s">
        <v>16</v>
      </c>
    </row>
    <row r="361" spans="1:8" x14ac:dyDescent="0.15">
      <c r="B361" s="31" t="s">
        <v>8</v>
      </c>
      <c r="C361" s="47">
        <v>-1</v>
      </c>
      <c r="D361" s="35">
        <v>0</v>
      </c>
      <c r="E361" s="35">
        <v>0</v>
      </c>
      <c r="F361" s="54">
        <v>0</v>
      </c>
      <c r="G361" s="22">
        <f t="shared" si="19"/>
        <v>-1</v>
      </c>
      <c r="H361" s="19">
        <v>45526</v>
      </c>
    </row>
    <row r="362" spans="1:8" x14ac:dyDescent="0.15">
      <c r="B362" s="31" t="s">
        <v>4</v>
      </c>
      <c r="C362" s="47"/>
      <c r="D362" s="35"/>
      <c r="E362" s="35">
        <v>5</v>
      </c>
      <c r="F362" s="54"/>
      <c r="G362" s="22">
        <f t="shared" si="18"/>
        <v>5</v>
      </c>
      <c r="H362" s="19">
        <v>45544</v>
      </c>
    </row>
    <row r="363" spans="1:8" ht="14.25" thickBot="1" x14ac:dyDescent="0.2">
      <c r="B363" s="61" t="s">
        <v>4</v>
      </c>
      <c r="C363" s="48"/>
      <c r="D363" s="40"/>
      <c r="E363" s="40">
        <v>5</v>
      </c>
      <c r="F363" s="55"/>
      <c r="G363" s="21">
        <f t="shared" si="18"/>
        <v>5</v>
      </c>
      <c r="H363" s="19">
        <v>45567</v>
      </c>
    </row>
    <row r="364" spans="1:8" ht="14.25" thickBot="1" x14ac:dyDescent="0.2">
      <c r="B364" s="32" t="s">
        <v>1</v>
      </c>
      <c r="C364" s="49">
        <f>SUM(C358:C363)</f>
        <v>17</v>
      </c>
      <c r="D364" s="42">
        <f>SUM(D358:D363)</f>
        <v>16</v>
      </c>
      <c r="E364" s="42">
        <f>SUM(E358:E363)</f>
        <v>27</v>
      </c>
      <c r="F364" s="56">
        <f>SUM(F358:F363)</f>
        <v>19</v>
      </c>
      <c r="G364" s="8">
        <f t="shared" si="18"/>
        <v>79</v>
      </c>
    </row>
    <row r="365" spans="1:8" x14ac:dyDescent="0.15">
      <c r="B365" s="5" t="s">
        <v>7</v>
      </c>
      <c r="C365" s="47"/>
      <c r="D365" s="35"/>
      <c r="E365" s="35">
        <v>2</v>
      </c>
      <c r="F365" s="54">
        <v>1</v>
      </c>
      <c r="G365" s="22">
        <f t="shared" si="18"/>
        <v>3</v>
      </c>
      <c r="H365" s="19">
        <v>45481</v>
      </c>
    </row>
    <row r="366" spans="1:8" x14ac:dyDescent="0.15">
      <c r="B366" s="5" t="s">
        <v>7</v>
      </c>
      <c r="C366" s="47"/>
      <c r="D366" s="35"/>
      <c r="E366" s="35"/>
      <c r="F366" s="54">
        <v>2</v>
      </c>
      <c r="G366" s="22">
        <f t="shared" si="18"/>
        <v>2</v>
      </c>
      <c r="H366" s="19">
        <v>45482</v>
      </c>
    </row>
    <row r="367" spans="1:8" x14ac:dyDescent="0.15">
      <c r="B367" s="5" t="s">
        <v>7</v>
      </c>
      <c r="C367" s="47">
        <v>1</v>
      </c>
      <c r="D367" s="35"/>
      <c r="E367" s="35"/>
      <c r="F367" s="54"/>
      <c r="G367" s="22">
        <f t="shared" si="18"/>
        <v>1</v>
      </c>
      <c r="H367" s="19">
        <v>45484</v>
      </c>
    </row>
    <row r="368" spans="1:8" x14ac:dyDescent="0.15">
      <c r="B368" s="5" t="s">
        <v>7</v>
      </c>
      <c r="C368" s="47"/>
      <c r="D368" s="35">
        <v>1</v>
      </c>
      <c r="E368" s="35"/>
      <c r="F368" s="54"/>
      <c r="G368" s="22">
        <f t="shared" si="18"/>
        <v>1</v>
      </c>
      <c r="H368" s="19">
        <v>45489</v>
      </c>
    </row>
    <row r="369" spans="2:8" x14ac:dyDescent="0.15">
      <c r="B369" s="5" t="s">
        <v>7</v>
      </c>
      <c r="C369" s="47"/>
      <c r="D369" s="35"/>
      <c r="E369" s="35"/>
      <c r="F369" s="54">
        <v>1</v>
      </c>
      <c r="G369" s="22">
        <f t="shared" si="18"/>
        <v>1</v>
      </c>
      <c r="H369" s="19">
        <v>45491</v>
      </c>
    </row>
    <row r="370" spans="2:8" x14ac:dyDescent="0.15">
      <c r="B370" s="5" t="s">
        <v>7</v>
      </c>
      <c r="C370" s="47">
        <v>1</v>
      </c>
      <c r="D370" s="35"/>
      <c r="E370" s="35">
        <v>1</v>
      </c>
      <c r="F370" s="54">
        <v>2</v>
      </c>
      <c r="G370" s="22">
        <f t="shared" si="18"/>
        <v>4</v>
      </c>
      <c r="H370" s="19">
        <v>45495</v>
      </c>
    </row>
    <row r="371" spans="2:8" x14ac:dyDescent="0.15">
      <c r="B371" s="5" t="s">
        <v>7</v>
      </c>
      <c r="C371" s="47"/>
      <c r="D371" s="35"/>
      <c r="E371" s="35"/>
      <c r="F371" s="54">
        <v>1</v>
      </c>
      <c r="G371" s="22">
        <f t="shared" si="18"/>
        <v>1</v>
      </c>
      <c r="H371" s="19">
        <v>45498</v>
      </c>
    </row>
    <row r="372" spans="2:8" x14ac:dyDescent="0.15">
      <c r="B372" s="5" t="s">
        <v>7</v>
      </c>
      <c r="C372" s="47"/>
      <c r="D372" s="35"/>
      <c r="E372" s="35">
        <v>2</v>
      </c>
      <c r="F372" s="54"/>
      <c r="G372" s="22">
        <f t="shared" si="18"/>
        <v>2</v>
      </c>
      <c r="H372" s="19">
        <v>45507</v>
      </c>
    </row>
    <row r="373" spans="2:8" x14ac:dyDescent="0.15">
      <c r="B373" s="5" t="s">
        <v>7</v>
      </c>
      <c r="C373" s="47"/>
      <c r="D373" s="35"/>
      <c r="E373" s="35">
        <v>1</v>
      </c>
      <c r="F373" s="54"/>
      <c r="G373" s="22">
        <f t="shared" si="18"/>
        <v>1</v>
      </c>
      <c r="H373" s="19">
        <v>45509</v>
      </c>
    </row>
    <row r="374" spans="2:8" x14ac:dyDescent="0.15">
      <c r="B374" s="5" t="s">
        <v>7</v>
      </c>
      <c r="C374" s="47"/>
      <c r="D374" s="35"/>
      <c r="E374" s="35">
        <v>1</v>
      </c>
      <c r="F374" s="54"/>
      <c r="G374" s="22">
        <f t="shared" si="18"/>
        <v>1</v>
      </c>
      <c r="H374" s="19">
        <v>45513</v>
      </c>
    </row>
    <row r="375" spans="2:8" x14ac:dyDescent="0.15">
      <c r="B375" s="5" t="s">
        <v>7</v>
      </c>
      <c r="C375" s="47"/>
      <c r="D375" s="35"/>
      <c r="E375" s="35">
        <v>1</v>
      </c>
      <c r="F375" s="54"/>
      <c r="G375" s="22">
        <f t="shared" si="18"/>
        <v>1</v>
      </c>
      <c r="H375" s="19">
        <v>45520</v>
      </c>
    </row>
    <row r="376" spans="2:8" x14ac:dyDescent="0.15">
      <c r="B376" s="5" t="s">
        <v>7</v>
      </c>
      <c r="C376" s="47"/>
      <c r="D376" s="35"/>
      <c r="E376" s="35">
        <v>1</v>
      </c>
      <c r="F376" s="54"/>
      <c r="G376" s="22">
        <f t="shared" si="18"/>
        <v>1</v>
      </c>
      <c r="H376" s="19">
        <v>45523</v>
      </c>
    </row>
    <row r="377" spans="2:8" x14ac:dyDescent="0.15">
      <c r="B377" s="5" t="s">
        <v>7</v>
      </c>
      <c r="C377" s="47">
        <v>1</v>
      </c>
      <c r="D377" s="35"/>
      <c r="E377" s="35">
        <v>1</v>
      </c>
      <c r="F377" s="54"/>
      <c r="G377" s="22">
        <f t="shared" si="18"/>
        <v>2</v>
      </c>
      <c r="H377" s="19">
        <v>45537</v>
      </c>
    </row>
    <row r="378" spans="2:8" x14ac:dyDescent="0.15">
      <c r="B378" s="5" t="s">
        <v>7</v>
      </c>
      <c r="C378" s="47"/>
      <c r="D378" s="35"/>
      <c r="E378" s="35">
        <v>1</v>
      </c>
      <c r="F378" s="54"/>
      <c r="G378" s="22">
        <f t="shared" si="18"/>
        <v>1</v>
      </c>
      <c r="H378" s="19">
        <v>45538</v>
      </c>
    </row>
    <row r="379" spans="2:8" x14ac:dyDescent="0.15">
      <c r="B379" s="5" t="s">
        <v>7</v>
      </c>
      <c r="C379" s="47">
        <v>1</v>
      </c>
      <c r="D379" s="35"/>
      <c r="E379" s="35"/>
      <c r="F379" s="54"/>
      <c r="G379" s="22">
        <f t="shared" si="18"/>
        <v>1</v>
      </c>
      <c r="H379" s="19">
        <v>45539</v>
      </c>
    </row>
    <row r="380" spans="2:8" x14ac:dyDescent="0.15">
      <c r="B380" s="5" t="s">
        <v>7</v>
      </c>
      <c r="C380" s="47"/>
      <c r="D380" s="35"/>
      <c r="E380" s="35"/>
      <c r="F380" s="54">
        <v>1</v>
      </c>
      <c r="G380" s="22">
        <f t="shared" si="18"/>
        <v>1</v>
      </c>
      <c r="H380" s="19">
        <v>45544</v>
      </c>
    </row>
    <row r="381" spans="2:8" x14ac:dyDescent="0.15">
      <c r="B381" s="5" t="s">
        <v>7</v>
      </c>
      <c r="C381" s="47">
        <v>1</v>
      </c>
      <c r="D381" s="35"/>
      <c r="E381" s="35">
        <v>1</v>
      </c>
      <c r="F381" s="54"/>
      <c r="G381" s="22">
        <f t="shared" si="18"/>
        <v>2</v>
      </c>
      <c r="H381" s="19">
        <v>45536</v>
      </c>
    </row>
    <row r="382" spans="2:8" x14ac:dyDescent="0.15">
      <c r="B382" s="5" t="s">
        <v>7</v>
      </c>
      <c r="C382" s="47">
        <v>1</v>
      </c>
      <c r="D382" s="35"/>
      <c r="E382" s="35"/>
      <c r="F382" s="54"/>
      <c r="G382" s="22">
        <f t="shared" si="18"/>
        <v>1</v>
      </c>
      <c r="H382" s="19">
        <v>45547</v>
      </c>
    </row>
    <row r="383" spans="2:8" x14ac:dyDescent="0.15">
      <c r="B383" s="5" t="s">
        <v>7</v>
      </c>
      <c r="C383" s="47"/>
      <c r="D383" s="35">
        <v>1</v>
      </c>
      <c r="E383" s="35"/>
      <c r="F383" s="54"/>
      <c r="G383" s="22">
        <f t="shared" si="18"/>
        <v>1</v>
      </c>
      <c r="H383" s="19">
        <v>45548</v>
      </c>
    </row>
    <row r="384" spans="2:8" x14ac:dyDescent="0.15">
      <c r="B384" s="5" t="s">
        <v>7</v>
      </c>
      <c r="C384" s="47"/>
      <c r="D384" s="35"/>
      <c r="E384" s="35">
        <v>3</v>
      </c>
      <c r="F384" s="54"/>
      <c r="G384" s="22">
        <f t="shared" si="18"/>
        <v>3</v>
      </c>
      <c r="H384" s="19">
        <v>45567</v>
      </c>
    </row>
    <row r="385" spans="1:8" x14ac:dyDescent="0.15">
      <c r="B385" s="5" t="s">
        <v>7</v>
      </c>
      <c r="C385" s="47">
        <v>1</v>
      </c>
      <c r="D385" s="35">
        <v>1</v>
      </c>
      <c r="E385" s="35"/>
      <c r="F385" s="54"/>
      <c r="G385" s="22">
        <f t="shared" si="18"/>
        <v>2</v>
      </c>
      <c r="H385" s="19">
        <v>45572</v>
      </c>
    </row>
    <row r="386" spans="1:8" x14ac:dyDescent="0.15">
      <c r="B386" s="5" t="s">
        <v>7</v>
      </c>
      <c r="C386" s="47"/>
      <c r="D386" s="35"/>
      <c r="E386" s="35">
        <v>1</v>
      </c>
      <c r="F386" s="54"/>
      <c r="G386" s="22">
        <f t="shared" si="18"/>
        <v>1</v>
      </c>
      <c r="H386" s="19">
        <v>45574</v>
      </c>
    </row>
    <row r="387" spans="1:8" x14ac:dyDescent="0.15">
      <c r="B387" s="5" t="s">
        <v>7</v>
      </c>
      <c r="C387" s="47">
        <v>1</v>
      </c>
      <c r="D387" s="35"/>
      <c r="E387" s="35"/>
      <c r="F387" s="54"/>
      <c r="G387" s="22">
        <f t="shared" si="18"/>
        <v>1</v>
      </c>
      <c r="H387" s="19">
        <v>45607</v>
      </c>
    </row>
    <row r="388" spans="1:8" x14ac:dyDescent="0.15">
      <c r="B388" s="5" t="s">
        <v>7</v>
      </c>
      <c r="C388" s="47">
        <v>1</v>
      </c>
      <c r="D388" s="35"/>
      <c r="E388" s="35"/>
      <c r="F388" s="54"/>
      <c r="G388" s="22">
        <f t="shared" ref="G388:G391" si="20">SUM(C388:F388)</f>
        <v>1</v>
      </c>
      <c r="H388" s="19">
        <v>45612</v>
      </c>
    </row>
    <row r="389" spans="1:8" ht="14.25" thickBot="1" x14ac:dyDescent="0.2">
      <c r="B389" s="5" t="s">
        <v>7</v>
      </c>
      <c r="C389" s="47">
        <v>1</v>
      </c>
      <c r="D389" s="35">
        <v>1</v>
      </c>
      <c r="E389" s="35"/>
      <c r="F389" s="54"/>
      <c r="G389" s="22">
        <f t="shared" si="20"/>
        <v>2</v>
      </c>
      <c r="H389" s="19">
        <v>45614</v>
      </c>
    </row>
    <row r="390" spans="1:8" ht="14.25" thickBot="1" x14ac:dyDescent="0.2">
      <c r="B390" s="34" t="s">
        <v>2</v>
      </c>
      <c r="C390" s="51">
        <f>SUM(C365:C389)</f>
        <v>10</v>
      </c>
      <c r="D390" s="44">
        <f>SUM(D365:D389)</f>
        <v>4</v>
      </c>
      <c r="E390" s="44">
        <f>SUM(E365:E389)</f>
        <v>16</v>
      </c>
      <c r="F390" s="58">
        <f>SUM(F365:F389)</f>
        <v>8</v>
      </c>
      <c r="G390" s="3">
        <f t="shared" si="20"/>
        <v>38</v>
      </c>
    </row>
    <row r="391" spans="1:8" ht="14.25" thickBot="1" x14ac:dyDescent="0.2">
      <c r="B391" s="32" t="s">
        <v>3</v>
      </c>
      <c r="C391" s="49">
        <f>+C364-C390</f>
        <v>7</v>
      </c>
      <c r="D391" s="42">
        <f>+D364-D390</f>
        <v>12</v>
      </c>
      <c r="E391" s="42">
        <f>+E364-E390</f>
        <v>11</v>
      </c>
      <c r="F391" s="56">
        <f>+F364-F390</f>
        <v>11</v>
      </c>
      <c r="G391" s="8">
        <f t="shared" si="20"/>
        <v>41</v>
      </c>
    </row>
    <row r="393" spans="1:8" ht="18.75" x14ac:dyDescent="0.2">
      <c r="B393" s="16" t="s">
        <v>12</v>
      </c>
      <c r="C393" s="15"/>
      <c r="D393" s="20"/>
      <c r="E393" s="15"/>
      <c r="F393" s="15"/>
    </row>
    <row r="394" spans="1:8" ht="14.25" thickBot="1" x14ac:dyDescent="0.2">
      <c r="G394">
        <v>460</v>
      </c>
    </row>
    <row r="395" spans="1:8" ht="14.25" thickBot="1" x14ac:dyDescent="0.2">
      <c r="B395" s="14"/>
      <c r="C395" s="29"/>
      <c r="D395" s="29"/>
      <c r="E395" s="29"/>
      <c r="F395" s="29"/>
      <c r="G395" s="30"/>
    </row>
    <row r="396" spans="1:8" ht="14.25" thickBot="1" x14ac:dyDescent="0.2">
      <c r="A396" s="1"/>
      <c r="B396" s="34"/>
      <c r="C396" s="45" t="s">
        <v>10</v>
      </c>
      <c r="D396" s="38" t="s">
        <v>9</v>
      </c>
      <c r="E396" s="39" t="s">
        <v>6</v>
      </c>
      <c r="F396" s="52" t="s">
        <v>11</v>
      </c>
      <c r="G396" s="4" t="s">
        <v>0</v>
      </c>
    </row>
    <row r="397" spans="1:8" x14ac:dyDescent="0.15">
      <c r="B397" s="36" t="s">
        <v>5</v>
      </c>
      <c r="C397" s="46">
        <f>C391</f>
        <v>7</v>
      </c>
      <c r="D397" s="37">
        <f>D391</f>
        <v>12</v>
      </c>
      <c r="E397" s="37">
        <f>E391</f>
        <v>11</v>
      </c>
      <c r="F397" s="53">
        <f>F391</f>
        <v>11</v>
      </c>
      <c r="G397" s="24">
        <f t="shared" ref="G397:G430" si="21">SUM(C397:F397)</f>
        <v>41</v>
      </c>
    </row>
    <row r="398" spans="1:8" x14ac:dyDescent="0.15">
      <c r="B398" s="31" t="s">
        <v>4</v>
      </c>
      <c r="C398" s="47">
        <v>5</v>
      </c>
      <c r="D398" s="35"/>
      <c r="E398" s="35"/>
      <c r="F398" s="54"/>
      <c r="G398" s="22">
        <f t="shared" si="21"/>
        <v>5</v>
      </c>
      <c r="H398" s="19">
        <v>45642</v>
      </c>
    </row>
    <row r="399" spans="1:8" x14ac:dyDescent="0.15">
      <c r="B399" s="31" t="s">
        <v>4</v>
      </c>
      <c r="C399" s="47">
        <v>3</v>
      </c>
      <c r="D399" s="35"/>
      <c r="E399" s="35">
        <v>3</v>
      </c>
      <c r="F399" s="54"/>
      <c r="G399" s="22">
        <f t="shared" si="21"/>
        <v>6</v>
      </c>
      <c r="H399" s="19">
        <v>45665</v>
      </c>
    </row>
    <row r="400" spans="1:8" x14ac:dyDescent="0.15">
      <c r="B400" s="31" t="s">
        <v>4</v>
      </c>
      <c r="C400" s="47">
        <v>10</v>
      </c>
      <c r="D400" s="35"/>
      <c r="E400" s="35"/>
      <c r="F400" s="54"/>
      <c r="G400" s="22">
        <f t="shared" si="21"/>
        <v>10</v>
      </c>
      <c r="H400" s="19">
        <v>45806</v>
      </c>
    </row>
    <row r="401" spans="2:8" x14ac:dyDescent="0.15">
      <c r="B401" s="31" t="s">
        <v>4</v>
      </c>
      <c r="C401" s="47">
        <v>5</v>
      </c>
      <c r="D401" s="35">
        <v>3</v>
      </c>
      <c r="E401" s="35"/>
      <c r="F401" s="54"/>
      <c r="G401" s="22">
        <f t="shared" si="21"/>
        <v>8</v>
      </c>
      <c r="H401" s="19">
        <v>45812</v>
      </c>
    </row>
    <row r="402" spans="2:8" ht="14.25" thickBot="1" x14ac:dyDescent="0.2">
      <c r="B402" s="61" t="s">
        <v>4</v>
      </c>
      <c r="C402" s="48"/>
      <c r="D402" s="40"/>
      <c r="E402" s="40"/>
      <c r="F402" s="55"/>
      <c r="G402" s="21">
        <f t="shared" si="21"/>
        <v>0</v>
      </c>
    </row>
    <row r="403" spans="2:8" ht="14.25" thickBot="1" x14ac:dyDescent="0.2">
      <c r="B403" s="32" t="s">
        <v>1</v>
      </c>
      <c r="C403" s="49">
        <f>SUM(C397:C402)</f>
        <v>30</v>
      </c>
      <c r="D403" s="42">
        <f>SUM(D397:D402)</f>
        <v>15</v>
      </c>
      <c r="E403" s="42">
        <f>SUM(E397:E402)</f>
        <v>14</v>
      </c>
      <c r="F403" s="56">
        <f>SUM(F397:F402)</f>
        <v>11</v>
      </c>
      <c r="G403" s="8">
        <f t="shared" si="21"/>
        <v>70</v>
      </c>
    </row>
    <row r="404" spans="2:8" x14ac:dyDescent="0.15">
      <c r="B404" s="5" t="s">
        <v>7</v>
      </c>
      <c r="C404" s="47">
        <v>1</v>
      </c>
      <c r="D404" s="35"/>
      <c r="E404" s="35"/>
      <c r="F404" s="54"/>
      <c r="G404" s="22">
        <f t="shared" si="21"/>
        <v>1</v>
      </c>
      <c r="H404" s="19">
        <v>45638</v>
      </c>
    </row>
    <row r="405" spans="2:8" x14ac:dyDescent="0.15">
      <c r="B405" s="5" t="s">
        <v>7</v>
      </c>
      <c r="C405" s="47">
        <v>1</v>
      </c>
      <c r="D405" s="35">
        <v>1</v>
      </c>
      <c r="E405" s="35"/>
      <c r="F405" s="54"/>
      <c r="G405" s="22">
        <f t="shared" si="21"/>
        <v>2</v>
      </c>
      <c r="H405" s="19">
        <v>45663</v>
      </c>
    </row>
    <row r="406" spans="2:8" x14ac:dyDescent="0.15">
      <c r="B406" s="5" t="s">
        <v>7</v>
      </c>
      <c r="C406" s="47"/>
      <c r="D406" s="35"/>
      <c r="E406" s="35">
        <v>1</v>
      </c>
      <c r="F406" s="54">
        <v>1</v>
      </c>
      <c r="G406" s="22">
        <f t="shared" si="21"/>
        <v>2</v>
      </c>
      <c r="H406" s="19">
        <v>45668</v>
      </c>
    </row>
    <row r="407" spans="2:8" x14ac:dyDescent="0.15">
      <c r="B407" s="5" t="s">
        <v>7</v>
      </c>
      <c r="C407" s="47">
        <v>1</v>
      </c>
      <c r="D407" s="35"/>
      <c r="E407" s="35"/>
      <c r="F407" s="54"/>
      <c r="G407" s="22">
        <f t="shared" si="21"/>
        <v>1</v>
      </c>
      <c r="H407" s="19">
        <v>45671</v>
      </c>
    </row>
    <row r="408" spans="2:8" x14ac:dyDescent="0.15">
      <c r="B408" s="5" t="s">
        <v>7</v>
      </c>
      <c r="C408" s="47">
        <v>1</v>
      </c>
      <c r="D408" s="35"/>
      <c r="E408" s="35"/>
      <c r="F408" s="54"/>
      <c r="G408" s="22">
        <f t="shared" si="21"/>
        <v>1</v>
      </c>
      <c r="H408" s="19">
        <v>45684</v>
      </c>
    </row>
    <row r="409" spans="2:8" x14ac:dyDescent="0.15">
      <c r="B409" s="5" t="s">
        <v>7</v>
      </c>
      <c r="C409" s="47"/>
      <c r="D409" s="35">
        <v>1</v>
      </c>
      <c r="E409" s="35"/>
      <c r="F409" s="54"/>
      <c r="G409" s="22">
        <f t="shared" si="21"/>
        <v>1</v>
      </c>
      <c r="H409" s="19">
        <v>45693</v>
      </c>
    </row>
    <row r="410" spans="2:8" x14ac:dyDescent="0.15">
      <c r="B410" s="5" t="s">
        <v>7</v>
      </c>
      <c r="C410" s="47"/>
      <c r="D410" s="35"/>
      <c r="E410" s="35">
        <v>1</v>
      </c>
      <c r="F410" s="54"/>
      <c r="G410" s="22">
        <f t="shared" si="21"/>
        <v>1</v>
      </c>
      <c r="H410" s="19">
        <v>45698</v>
      </c>
    </row>
    <row r="411" spans="2:8" x14ac:dyDescent="0.15">
      <c r="B411" s="5" t="s">
        <v>7</v>
      </c>
      <c r="C411" s="47"/>
      <c r="D411" s="35">
        <v>1</v>
      </c>
      <c r="E411" s="35"/>
      <c r="F411" s="54"/>
      <c r="G411" s="22">
        <f t="shared" si="21"/>
        <v>1</v>
      </c>
      <c r="H411" s="19">
        <v>45715</v>
      </c>
    </row>
    <row r="412" spans="2:8" x14ac:dyDescent="0.15">
      <c r="B412" s="5" t="s">
        <v>7</v>
      </c>
      <c r="C412" s="47"/>
      <c r="D412" s="35"/>
      <c r="E412" s="35">
        <v>1</v>
      </c>
      <c r="F412" s="54"/>
      <c r="G412" s="22">
        <f t="shared" si="21"/>
        <v>1</v>
      </c>
      <c r="H412" s="19">
        <v>45752</v>
      </c>
    </row>
    <row r="413" spans="2:8" x14ac:dyDescent="0.15">
      <c r="B413" s="5" t="s">
        <v>7</v>
      </c>
      <c r="C413" s="47">
        <v>1</v>
      </c>
      <c r="D413" s="35"/>
      <c r="E413" s="35"/>
      <c r="F413" s="54">
        <v>1</v>
      </c>
      <c r="G413" s="22">
        <f t="shared" si="21"/>
        <v>2</v>
      </c>
      <c r="H413" s="19">
        <v>45772</v>
      </c>
    </row>
    <row r="414" spans="2:8" x14ac:dyDescent="0.15">
      <c r="B414" s="5" t="s">
        <v>7</v>
      </c>
      <c r="C414" s="47"/>
      <c r="D414" s="35"/>
      <c r="E414" s="35"/>
      <c r="F414" s="54">
        <v>1</v>
      </c>
      <c r="G414" s="22">
        <f t="shared" si="21"/>
        <v>1</v>
      </c>
      <c r="H414" s="19">
        <v>45784</v>
      </c>
    </row>
    <row r="415" spans="2:8" x14ac:dyDescent="0.15">
      <c r="B415" s="5" t="s">
        <v>7</v>
      </c>
      <c r="C415" s="47">
        <v>1</v>
      </c>
      <c r="D415" s="35"/>
      <c r="E415" s="35"/>
      <c r="F415" s="54"/>
      <c r="G415" s="22">
        <f t="shared" si="21"/>
        <v>1</v>
      </c>
      <c r="H415" s="19">
        <v>45786</v>
      </c>
    </row>
    <row r="416" spans="2:8" x14ac:dyDescent="0.15">
      <c r="B416" s="5" t="s">
        <v>7</v>
      </c>
      <c r="C416" s="47">
        <f>1+1</f>
        <v>2</v>
      </c>
      <c r="D416" s="35">
        <v>1</v>
      </c>
      <c r="E416" s="35"/>
      <c r="F416" s="54"/>
      <c r="G416" s="22">
        <f t="shared" si="21"/>
        <v>3</v>
      </c>
      <c r="H416" s="19">
        <v>45789</v>
      </c>
    </row>
    <row r="417" spans="2:8" x14ac:dyDescent="0.15">
      <c r="B417" s="5" t="s">
        <v>7</v>
      </c>
      <c r="C417" s="47">
        <v>1</v>
      </c>
      <c r="D417" s="35"/>
      <c r="E417" s="35"/>
      <c r="F417" s="54"/>
      <c r="G417" s="22">
        <f t="shared" si="21"/>
        <v>1</v>
      </c>
      <c r="H417" s="19">
        <v>45797</v>
      </c>
    </row>
    <row r="418" spans="2:8" x14ac:dyDescent="0.15">
      <c r="B418" s="5" t="s">
        <v>7</v>
      </c>
      <c r="C418" s="47">
        <f>1+1</f>
        <v>2</v>
      </c>
      <c r="D418" s="35"/>
      <c r="E418" s="35"/>
      <c r="F418" s="54"/>
      <c r="G418" s="22">
        <f t="shared" si="21"/>
        <v>2</v>
      </c>
      <c r="H418" s="19">
        <v>45798</v>
      </c>
    </row>
    <row r="419" spans="2:8" x14ac:dyDescent="0.15">
      <c r="B419" s="5" t="s">
        <v>7</v>
      </c>
      <c r="C419" s="47">
        <v>1</v>
      </c>
      <c r="D419" s="35">
        <v>1</v>
      </c>
      <c r="E419" s="35"/>
      <c r="F419" s="54"/>
      <c r="G419" s="22">
        <f t="shared" si="21"/>
        <v>2</v>
      </c>
      <c r="H419" s="19">
        <v>45803</v>
      </c>
    </row>
    <row r="420" spans="2:8" x14ac:dyDescent="0.15">
      <c r="B420" s="5" t="s">
        <v>7</v>
      </c>
      <c r="C420" s="47"/>
      <c r="D420" s="35"/>
      <c r="E420" s="35">
        <v>1</v>
      </c>
      <c r="F420" s="54"/>
      <c r="G420" s="22">
        <f t="shared" si="21"/>
        <v>1</v>
      </c>
      <c r="H420" s="19">
        <v>45817</v>
      </c>
    </row>
    <row r="421" spans="2:8" x14ac:dyDescent="0.15">
      <c r="B421" s="5" t="s">
        <v>7</v>
      </c>
      <c r="C421" s="47">
        <v>1</v>
      </c>
      <c r="D421" s="35"/>
      <c r="E421" s="35"/>
      <c r="F421" s="54">
        <v>1</v>
      </c>
      <c r="G421" s="22">
        <f t="shared" si="21"/>
        <v>2</v>
      </c>
      <c r="H421" s="19">
        <v>45824</v>
      </c>
    </row>
    <row r="422" spans="2:8" x14ac:dyDescent="0.15">
      <c r="B422" s="5" t="s">
        <v>7</v>
      </c>
      <c r="C422" s="47">
        <v>1</v>
      </c>
      <c r="D422" s="35"/>
      <c r="E422" s="35"/>
      <c r="F422" s="54"/>
      <c r="G422" s="22">
        <f t="shared" si="21"/>
        <v>1</v>
      </c>
      <c r="H422" s="19">
        <v>45833</v>
      </c>
    </row>
    <row r="423" spans="2:8" x14ac:dyDescent="0.15">
      <c r="B423" s="5" t="s">
        <v>7</v>
      </c>
      <c r="C423" s="47"/>
      <c r="D423" s="35">
        <v>1</v>
      </c>
      <c r="E423" s="35"/>
      <c r="F423" s="54">
        <v>1</v>
      </c>
      <c r="G423" s="22">
        <f t="shared" si="21"/>
        <v>2</v>
      </c>
      <c r="H423" s="19">
        <v>45841</v>
      </c>
    </row>
    <row r="424" spans="2:8" x14ac:dyDescent="0.15">
      <c r="B424" s="5" t="s">
        <v>7</v>
      </c>
      <c r="C424" s="47"/>
      <c r="D424" s="35"/>
      <c r="E424" s="35">
        <v>1</v>
      </c>
      <c r="F424" s="54"/>
      <c r="G424" s="22">
        <f t="shared" si="21"/>
        <v>1</v>
      </c>
      <c r="H424" s="19">
        <v>45848</v>
      </c>
    </row>
    <row r="425" spans="2:8" x14ac:dyDescent="0.15">
      <c r="B425" s="5" t="s">
        <v>7</v>
      </c>
      <c r="C425" s="47">
        <v>1</v>
      </c>
      <c r="D425" s="35"/>
      <c r="E425" s="35"/>
      <c r="F425" s="54"/>
      <c r="G425" s="22">
        <f t="shared" si="21"/>
        <v>1</v>
      </c>
      <c r="H425" s="19">
        <v>45849</v>
      </c>
    </row>
    <row r="426" spans="2:8" x14ac:dyDescent="0.15">
      <c r="B426" s="5" t="s">
        <v>7</v>
      </c>
      <c r="C426" s="47"/>
      <c r="D426" s="35"/>
      <c r="E426" s="35">
        <v>1</v>
      </c>
      <c r="F426" s="54"/>
      <c r="G426" s="22">
        <f t="shared" si="21"/>
        <v>1</v>
      </c>
      <c r="H426" s="19">
        <v>45852</v>
      </c>
    </row>
    <row r="427" spans="2:8" x14ac:dyDescent="0.15">
      <c r="B427" s="5" t="s">
        <v>7</v>
      </c>
      <c r="C427" s="47"/>
      <c r="D427" s="35">
        <v>1</v>
      </c>
      <c r="E427" s="35"/>
      <c r="F427" s="54"/>
      <c r="G427" s="22">
        <f t="shared" si="21"/>
        <v>1</v>
      </c>
      <c r="H427" s="19">
        <v>45855</v>
      </c>
    </row>
    <row r="428" spans="2:8" ht="14.25" thickBot="1" x14ac:dyDescent="0.2">
      <c r="B428" s="5" t="s">
        <v>7</v>
      </c>
      <c r="C428" s="47">
        <f>1+1</f>
        <v>2</v>
      </c>
      <c r="D428" s="35">
        <v>1</v>
      </c>
      <c r="E428" s="35"/>
      <c r="F428" s="54"/>
      <c r="G428" s="22">
        <f t="shared" si="21"/>
        <v>3</v>
      </c>
      <c r="H428" s="19">
        <v>45860</v>
      </c>
    </row>
    <row r="429" spans="2:8" ht="14.25" thickBot="1" x14ac:dyDescent="0.2">
      <c r="B429" s="34" t="s">
        <v>2</v>
      </c>
      <c r="C429" s="51">
        <f>SUM(C404:C428)</f>
        <v>17</v>
      </c>
      <c r="D429" s="44">
        <f>SUM(D404:D428)</f>
        <v>8</v>
      </c>
      <c r="E429" s="44">
        <f>SUM(E404:E428)</f>
        <v>6</v>
      </c>
      <c r="F429" s="58">
        <f>SUM(F404:F428)</f>
        <v>5</v>
      </c>
      <c r="G429" s="3">
        <f t="shared" si="21"/>
        <v>36</v>
      </c>
    </row>
    <row r="430" spans="2:8" ht="14.25" thickBot="1" x14ac:dyDescent="0.2">
      <c r="B430" s="32" t="s">
        <v>3</v>
      </c>
      <c r="C430" s="49">
        <f>+C403-C429</f>
        <v>13</v>
      </c>
      <c r="D430" s="42">
        <f>+D403-D429</f>
        <v>7</v>
      </c>
      <c r="E430" s="42">
        <f>+E403-E429</f>
        <v>8</v>
      </c>
      <c r="F430" s="56">
        <f>+F403-F429</f>
        <v>6</v>
      </c>
      <c r="G430" s="8">
        <f t="shared" si="21"/>
        <v>34</v>
      </c>
    </row>
    <row r="432" spans="2:8" ht="18.75" x14ac:dyDescent="0.2">
      <c r="B432" s="16" t="s">
        <v>12</v>
      </c>
      <c r="C432" s="15"/>
      <c r="D432" s="20"/>
      <c r="E432" s="15"/>
      <c r="F432" s="15"/>
    </row>
    <row r="433" spans="1:8" ht="14.25" thickBot="1" x14ac:dyDescent="0.2">
      <c r="G433">
        <v>460</v>
      </c>
    </row>
    <row r="434" spans="1:8" ht="14.25" thickBot="1" x14ac:dyDescent="0.2">
      <c r="B434" s="14"/>
      <c r="C434" s="29"/>
      <c r="D434" s="29"/>
      <c r="E434" s="29"/>
      <c r="F434" s="29"/>
      <c r="G434" s="30"/>
    </row>
    <row r="435" spans="1:8" ht="14.25" thickBot="1" x14ac:dyDescent="0.2">
      <c r="A435" s="1"/>
      <c r="B435" s="34"/>
      <c r="C435" s="45" t="s">
        <v>10</v>
      </c>
      <c r="D435" s="38" t="s">
        <v>9</v>
      </c>
      <c r="E435" s="39" t="s">
        <v>6</v>
      </c>
      <c r="F435" s="52" t="s">
        <v>11</v>
      </c>
      <c r="G435" s="4" t="s">
        <v>0</v>
      </c>
    </row>
    <row r="436" spans="1:8" x14ac:dyDescent="0.15">
      <c r="B436" s="36" t="s">
        <v>5</v>
      </c>
      <c r="C436" s="46">
        <f>C430</f>
        <v>13</v>
      </c>
      <c r="D436" s="37">
        <f>D430</f>
        <v>7</v>
      </c>
      <c r="E436" s="37">
        <f>E430</f>
        <v>8</v>
      </c>
      <c r="F436" s="53">
        <f>F430</f>
        <v>6</v>
      </c>
      <c r="G436" s="24">
        <f t="shared" ref="G436:G469" si="22">SUM(C436:F436)</f>
        <v>34</v>
      </c>
    </row>
    <row r="437" spans="1:8" x14ac:dyDescent="0.15">
      <c r="B437" s="31" t="s">
        <v>4</v>
      </c>
      <c r="C437" s="47"/>
      <c r="D437" s="35">
        <v>3</v>
      </c>
      <c r="E437" s="35"/>
      <c r="F437" s="54"/>
      <c r="G437" s="22">
        <f t="shared" si="22"/>
        <v>3</v>
      </c>
      <c r="H437" s="19">
        <v>45878</v>
      </c>
    </row>
    <row r="438" spans="1:8" x14ac:dyDescent="0.15">
      <c r="B438" s="31" t="s">
        <v>4</v>
      </c>
      <c r="C438" s="47">
        <v>5</v>
      </c>
      <c r="D438" s="35"/>
      <c r="E438" s="35"/>
      <c r="F438" s="54"/>
      <c r="G438" s="22">
        <f t="shared" si="22"/>
        <v>5</v>
      </c>
      <c r="H438" s="19">
        <v>45926</v>
      </c>
    </row>
    <row r="439" spans="1:8" x14ac:dyDescent="0.15">
      <c r="B439" s="31" t="s">
        <v>4</v>
      </c>
      <c r="C439" s="47">
        <v>5</v>
      </c>
      <c r="D439" s="35"/>
      <c r="E439" s="35"/>
      <c r="F439" s="54"/>
      <c r="G439" s="22">
        <f t="shared" si="22"/>
        <v>5</v>
      </c>
      <c r="H439" s="19">
        <v>45930</v>
      </c>
    </row>
    <row r="440" spans="1:8" x14ac:dyDescent="0.15">
      <c r="B440" s="31" t="s">
        <v>4</v>
      </c>
      <c r="C440" s="47"/>
      <c r="D440" s="35">
        <v>3</v>
      </c>
      <c r="E440" s="35"/>
      <c r="F440" s="54"/>
      <c r="G440" s="22">
        <f t="shared" si="22"/>
        <v>3</v>
      </c>
      <c r="H440" s="19">
        <v>45971</v>
      </c>
    </row>
    <row r="441" spans="1:8" ht="14.25" thickBot="1" x14ac:dyDescent="0.2">
      <c r="B441" s="61" t="s">
        <v>4</v>
      </c>
      <c r="C441" s="48"/>
      <c r="D441" s="40"/>
      <c r="E441" s="40"/>
      <c r="F441" s="55">
        <v>2</v>
      </c>
      <c r="G441" s="21">
        <f t="shared" si="22"/>
        <v>2</v>
      </c>
      <c r="H441" s="19">
        <v>46032</v>
      </c>
    </row>
    <row r="442" spans="1:8" ht="14.25" thickBot="1" x14ac:dyDescent="0.2">
      <c r="B442" s="32" t="s">
        <v>1</v>
      </c>
      <c r="C442" s="49">
        <f>SUM(C436:C441)</f>
        <v>23</v>
      </c>
      <c r="D442" s="42">
        <f>SUM(D436:D441)</f>
        <v>13</v>
      </c>
      <c r="E442" s="42">
        <f>SUM(E436:E441)</f>
        <v>8</v>
      </c>
      <c r="F442" s="56">
        <f>SUM(F436:F441)</f>
        <v>8</v>
      </c>
      <c r="G442" s="8">
        <f t="shared" si="22"/>
        <v>52</v>
      </c>
    </row>
    <row r="443" spans="1:8" x14ac:dyDescent="0.15">
      <c r="B443" s="5" t="s">
        <v>7</v>
      </c>
      <c r="C443" s="47"/>
      <c r="D443" s="35">
        <v>1</v>
      </c>
      <c r="E443" s="35"/>
      <c r="F443" s="54"/>
      <c r="G443" s="22">
        <f t="shared" si="22"/>
        <v>1</v>
      </c>
      <c r="H443" s="19">
        <v>45862</v>
      </c>
    </row>
    <row r="444" spans="1:8" x14ac:dyDescent="0.15">
      <c r="B444" s="5" t="s">
        <v>7</v>
      </c>
      <c r="C444" s="47">
        <v>1</v>
      </c>
      <c r="D444" s="35">
        <f>1+1</f>
        <v>2</v>
      </c>
      <c r="E444" s="35"/>
      <c r="F444" s="54"/>
      <c r="G444" s="22">
        <f t="shared" si="22"/>
        <v>3</v>
      </c>
      <c r="H444" s="19">
        <v>45866</v>
      </c>
    </row>
    <row r="445" spans="1:8" x14ac:dyDescent="0.15">
      <c r="B445" s="5" t="s">
        <v>7</v>
      </c>
      <c r="C445" s="47">
        <v>1</v>
      </c>
      <c r="D445" s="35"/>
      <c r="E445" s="35"/>
      <c r="F445" s="54"/>
      <c r="G445" s="22">
        <f t="shared" si="22"/>
        <v>1</v>
      </c>
      <c r="H445" s="19">
        <v>45868</v>
      </c>
    </row>
    <row r="446" spans="1:8" x14ac:dyDescent="0.15">
      <c r="B446" s="5" t="s">
        <v>7</v>
      </c>
      <c r="C446" s="47">
        <v>1</v>
      </c>
      <c r="D446" s="35"/>
      <c r="E446" s="35"/>
      <c r="F446" s="54"/>
      <c r="G446" s="22">
        <f t="shared" si="22"/>
        <v>1</v>
      </c>
      <c r="H446" s="19">
        <v>45873</v>
      </c>
    </row>
    <row r="447" spans="1:8" x14ac:dyDescent="0.15">
      <c r="B447" s="5" t="s">
        <v>7</v>
      </c>
      <c r="C447" s="47"/>
      <c r="D447" s="35">
        <v>1</v>
      </c>
      <c r="E447" s="35"/>
      <c r="F447" s="54">
        <v>1</v>
      </c>
      <c r="G447" s="22">
        <f t="shared" si="22"/>
        <v>2</v>
      </c>
      <c r="H447" s="19">
        <v>45887</v>
      </c>
    </row>
    <row r="448" spans="1:8" x14ac:dyDescent="0.15">
      <c r="B448" s="5" t="s">
        <v>17</v>
      </c>
      <c r="C448" s="47">
        <v>0</v>
      </c>
      <c r="D448" s="35">
        <v>0</v>
      </c>
      <c r="E448" s="35">
        <v>0</v>
      </c>
      <c r="F448" s="54">
        <v>0</v>
      </c>
      <c r="G448" s="22">
        <f t="shared" si="22"/>
        <v>0</v>
      </c>
      <c r="H448" s="19">
        <v>45889</v>
      </c>
    </row>
    <row r="449" spans="2:8" x14ac:dyDescent="0.15">
      <c r="B449" s="5" t="s">
        <v>7</v>
      </c>
      <c r="C449" s="47">
        <v>1</v>
      </c>
      <c r="D449" s="35"/>
      <c r="E449" s="35"/>
      <c r="F449" s="54"/>
      <c r="G449" s="22">
        <f t="shared" si="22"/>
        <v>1</v>
      </c>
      <c r="H449" s="19">
        <v>45894</v>
      </c>
    </row>
    <row r="450" spans="2:8" x14ac:dyDescent="0.15">
      <c r="B450" s="5" t="s">
        <v>7</v>
      </c>
      <c r="C450" s="47">
        <v>1</v>
      </c>
      <c r="D450" s="35"/>
      <c r="E450" s="35"/>
      <c r="F450" s="54"/>
      <c r="G450" s="22">
        <f t="shared" si="22"/>
        <v>1</v>
      </c>
      <c r="H450" s="19">
        <v>45896</v>
      </c>
    </row>
    <row r="451" spans="2:8" x14ac:dyDescent="0.15">
      <c r="B451" s="5" t="s">
        <v>7</v>
      </c>
      <c r="C451" s="47">
        <v>1</v>
      </c>
      <c r="D451" s="35"/>
      <c r="E451" s="35"/>
      <c r="F451" s="54"/>
      <c r="G451" s="22">
        <f t="shared" si="22"/>
        <v>1</v>
      </c>
      <c r="H451" s="19">
        <v>45899</v>
      </c>
    </row>
    <row r="452" spans="2:8" x14ac:dyDescent="0.15">
      <c r="B452" s="5" t="s">
        <v>7</v>
      </c>
      <c r="C452" s="47">
        <v>1</v>
      </c>
      <c r="D452" s="35"/>
      <c r="E452" s="35"/>
      <c r="F452" s="54"/>
      <c r="G452" s="22">
        <f t="shared" si="22"/>
        <v>1</v>
      </c>
      <c r="H452" s="19">
        <v>45901</v>
      </c>
    </row>
    <row r="453" spans="2:8" x14ac:dyDescent="0.15">
      <c r="B453" s="5" t="s">
        <v>7</v>
      </c>
      <c r="C453" s="47"/>
      <c r="D453" s="35"/>
      <c r="E453" s="35"/>
      <c r="F453" s="54">
        <v>1</v>
      </c>
      <c r="G453" s="22">
        <f t="shared" si="22"/>
        <v>1</v>
      </c>
      <c r="H453" s="19">
        <v>45908</v>
      </c>
    </row>
    <row r="454" spans="2:8" x14ac:dyDescent="0.15">
      <c r="B454" s="5" t="s">
        <v>7</v>
      </c>
      <c r="C454" s="47">
        <v>1</v>
      </c>
      <c r="D454" s="35"/>
      <c r="E454" s="35"/>
      <c r="F454" s="54"/>
      <c r="G454" s="22">
        <f t="shared" si="22"/>
        <v>1</v>
      </c>
      <c r="H454" s="19">
        <v>45912</v>
      </c>
    </row>
    <row r="455" spans="2:8" x14ac:dyDescent="0.15">
      <c r="B455" s="5" t="s">
        <v>7</v>
      </c>
      <c r="C455" s="47">
        <v>1</v>
      </c>
      <c r="D455" s="35"/>
      <c r="E455" s="35"/>
      <c r="F455" s="54"/>
      <c r="G455" s="22">
        <f t="shared" si="22"/>
        <v>1</v>
      </c>
      <c r="H455" s="19">
        <v>45917</v>
      </c>
    </row>
    <row r="456" spans="2:8" x14ac:dyDescent="0.15">
      <c r="B456" s="5" t="s">
        <v>7</v>
      </c>
      <c r="C456" s="47"/>
      <c r="D456" s="35">
        <v>1</v>
      </c>
      <c r="E456" s="35"/>
      <c r="F456" s="54"/>
      <c r="G456" s="22">
        <f t="shared" si="22"/>
        <v>1</v>
      </c>
      <c r="H456" s="19">
        <v>45919</v>
      </c>
    </row>
    <row r="457" spans="2:8" x14ac:dyDescent="0.15">
      <c r="B457" s="5" t="s">
        <v>7</v>
      </c>
      <c r="C457" s="47">
        <v>1</v>
      </c>
      <c r="D457" s="35"/>
      <c r="E457" s="35"/>
      <c r="F457" s="54"/>
      <c r="G457" s="22">
        <f t="shared" si="22"/>
        <v>1</v>
      </c>
      <c r="H457" s="19">
        <v>45925</v>
      </c>
    </row>
    <row r="458" spans="2:8" x14ac:dyDescent="0.15">
      <c r="B458" s="5" t="s">
        <v>7</v>
      </c>
      <c r="C458" s="47"/>
      <c r="D458" s="35"/>
      <c r="E458" s="35"/>
      <c r="F458" s="54">
        <v>1</v>
      </c>
      <c r="G458" s="22">
        <f t="shared" si="22"/>
        <v>1</v>
      </c>
      <c r="H458" s="19">
        <v>45940</v>
      </c>
    </row>
    <row r="459" spans="2:8" x14ac:dyDescent="0.15">
      <c r="B459" s="5" t="s">
        <v>7</v>
      </c>
      <c r="C459" s="47">
        <v>1</v>
      </c>
      <c r="D459" s="35">
        <v>1</v>
      </c>
      <c r="E459" s="35"/>
      <c r="F459" s="54"/>
      <c r="G459" s="22">
        <f t="shared" si="22"/>
        <v>2</v>
      </c>
      <c r="H459" s="19">
        <v>45961</v>
      </c>
    </row>
    <row r="460" spans="2:8" x14ac:dyDescent="0.15">
      <c r="B460" s="5" t="s">
        <v>7</v>
      </c>
      <c r="C460" s="47"/>
      <c r="D460" s="35"/>
      <c r="E460" s="35">
        <v>1</v>
      </c>
      <c r="F460" s="54"/>
      <c r="G460" s="22">
        <f t="shared" si="22"/>
        <v>1</v>
      </c>
      <c r="H460" s="19">
        <v>45967</v>
      </c>
    </row>
    <row r="461" spans="2:8" x14ac:dyDescent="0.15">
      <c r="B461" s="5" t="s">
        <v>7</v>
      </c>
      <c r="C461" s="47"/>
      <c r="D461" s="35">
        <v>1</v>
      </c>
      <c r="E461" s="35"/>
      <c r="F461" s="54"/>
      <c r="G461" s="22">
        <f t="shared" si="22"/>
        <v>1</v>
      </c>
      <c r="H461" s="19">
        <v>45986</v>
      </c>
    </row>
    <row r="462" spans="2:8" x14ac:dyDescent="0.15">
      <c r="B462" s="5" t="s">
        <v>7</v>
      </c>
      <c r="C462" s="47">
        <v>1</v>
      </c>
      <c r="D462" s="35"/>
      <c r="E462" s="35"/>
      <c r="F462" s="54"/>
      <c r="G462" s="22">
        <f t="shared" si="22"/>
        <v>1</v>
      </c>
      <c r="H462" s="19">
        <v>45988</v>
      </c>
    </row>
    <row r="463" spans="2:8" x14ac:dyDescent="0.15">
      <c r="B463" s="5" t="s">
        <v>7</v>
      </c>
      <c r="C463" s="47">
        <v>1</v>
      </c>
      <c r="D463" s="35"/>
      <c r="E463" s="35"/>
      <c r="F463" s="54"/>
      <c r="G463" s="22">
        <f t="shared" si="22"/>
        <v>1</v>
      </c>
      <c r="H463" s="19">
        <v>45997</v>
      </c>
    </row>
    <row r="464" spans="2:8" x14ac:dyDescent="0.15">
      <c r="B464" s="5" t="s">
        <v>7</v>
      </c>
      <c r="C464" s="47"/>
      <c r="D464" s="35"/>
      <c r="E464" s="35"/>
      <c r="F464" s="54">
        <v>1</v>
      </c>
      <c r="G464" s="22">
        <f t="shared" si="22"/>
        <v>1</v>
      </c>
      <c r="H464" s="19">
        <v>46027</v>
      </c>
    </row>
    <row r="465" spans="2:8" x14ac:dyDescent="0.15">
      <c r="B465" s="5" t="s">
        <v>7</v>
      </c>
      <c r="C465" s="47">
        <v>1</v>
      </c>
      <c r="D465" s="35"/>
      <c r="E465" s="35"/>
      <c r="F465" s="54"/>
      <c r="G465" s="22">
        <f t="shared" si="22"/>
        <v>1</v>
      </c>
      <c r="H465" s="19">
        <v>46030</v>
      </c>
    </row>
    <row r="466" spans="2:8" x14ac:dyDescent="0.15">
      <c r="B466" s="5" t="s">
        <v>7</v>
      </c>
      <c r="C466" s="47"/>
      <c r="D466" s="35">
        <v>1</v>
      </c>
      <c r="E466" s="35">
        <v>1</v>
      </c>
      <c r="F466" s="54"/>
      <c r="G466" s="22">
        <f t="shared" si="22"/>
        <v>2</v>
      </c>
      <c r="H466" s="19">
        <v>46035</v>
      </c>
    </row>
    <row r="467" spans="2:8" ht="14.25" thickBot="1" x14ac:dyDescent="0.2">
      <c r="B467" s="5" t="s">
        <v>7</v>
      </c>
      <c r="C467" s="47">
        <v>1</v>
      </c>
      <c r="D467" s="35"/>
      <c r="E467" s="35">
        <v>1</v>
      </c>
      <c r="F467" s="54">
        <v>2</v>
      </c>
      <c r="G467" s="22">
        <f t="shared" si="22"/>
        <v>4</v>
      </c>
      <c r="H467" s="19">
        <v>46092</v>
      </c>
    </row>
    <row r="468" spans="2:8" ht="14.25" thickBot="1" x14ac:dyDescent="0.2">
      <c r="B468" s="34" t="s">
        <v>2</v>
      </c>
      <c r="C468" s="51">
        <f>SUM(C443:C467)</f>
        <v>15</v>
      </c>
      <c r="D468" s="44">
        <f>SUM(D443:D467)</f>
        <v>8</v>
      </c>
      <c r="E468" s="44">
        <f>SUM(E443:E467)</f>
        <v>3</v>
      </c>
      <c r="F468" s="58">
        <f>SUM(F443:F467)</f>
        <v>6</v>
      </c>
      <c r="G468" s="3">
        <f t="shared" si="22"/>
        <v>32</v>
      </c>
    </row>
    <row r="469" spans="2:8" ht="14.25" thickBot="1" x14ac:dyDescent="0.2">
      <c r="B469" s="32" t="s">
        <v>3</v>
      </c>
      <c r="C469" s="49">
        <f>+C442-C468</f>
        <v>8</v>
      </c>
      <c r="D469" s="42">
        <f>+D442-D468</f>
        <v>5</v>
      </c>
      <c r="E469" s="42">
        <f>+E442-E468</f>
        <v>5</v>
      </c>
      <c r="F469" s="56">
        <f>+F442-F468</f>
        <v>2</v>
      </c>
      <c r="G469" s="8">
        <f t="shared" si="22"/>
        <v>20</v>
      </c>
    </row>
    <row r="471" spans="2:8" ht="18.75" x14ac:dyDescent="0.2">
      <c r="B471" s="16" t="s">
        <v>12</v>
      </c>
      <c r="C471" s="15"/>
      <c r="D471" s="20"/>
      <c r="E471" s="15"/>
      <c r="F471" s="15"/>
    </row>
    <row r="472" spans="2:8" ht="14.25" thickBot="1" x14ac:dyDescent="0.2">
      <c r="G472">
        <v>460</v>
      </c>
    </row>
    <row r="473" spans="2:8" ht="14.25" thickBot="1" x14ac:dyDescent="0.2">
      <c r="B473" s="14"/>
      <c r="C473" s="29"/>
      <c r="D473" s="29"/>
      <c r="E473" s="29"/>
      <c r="F473" s="29"/>
      <c r="G473" s="30"/>
    </row>
    <row r="474" spans="2:8" ht="14.25" thickBot="1" x14ac:dyDescent="0.2">
      <c r="B474" s="34"/>
      <c r="C474" s="45" t="s">
        <v>10</v>
      </c>
      <c r="D474" s="38" t="s">
        <v>9</v>
      </c>
      <c r="E474" s="39" t="s">
        <v>6</v>
      </c>
      <c r="F474" s="52" t="s">
        <v>11</v>
      </c>
      <c r="G474" s="4" t="s">
        <v>0</v>
      </c>
    </row>
    <row r="475" spans="2:8" x14ac:dyDescent="0.15">
      <c r="B475" s="36" t="s">
        <v>5</v>
      </c>
      <c r="C475" s="46">
        <f>C469</f>
        <v>8</v>
      </c>
      <c r="D475" s="37">
        <f>D469</f>
        <v>5</v>
      </c>
      <c r="E475" s="37">
        <f>E469</f>
        <v>5</v>
      </c>
      <c r="F475" s="53">
        <f>F469</f>
        <v>2</v>
      </c>
      <c r="G475" s="24">
        <f t="shared" ref="G475:G508" si="23">SUM(C475:F475)</f>
        <v>20</v>
      </c>
    </row>
    <row r="476" spans="2:8" x14ac:dyDescent="0.15">
      <c r="B476" s="31" t="s">
        <v>4</v>
      </c>
      <c r="C476" s="47"/>
      <c r="D476" s="35"/>
      <c r="E476" s="35"/>
      <c r="F476" s="54">
        <v>2</v>
      </c>
      <c r="G476" s="22">
        <f t="shared" si="23"/>
        <v>2</v>
      </c>
      <c r="H476" s="19">
        <v>46136</v>
      </c>
    </row>
    <row r="477" spans="2:8" x14ac:dyDescent="0.15">
      <c r="B477" s="67" t="s">
        <v>4</v>
      </c>
      <c r="C477" s="68"/>
      <c r="D477" s="69"/>
      <c r="E477" s="69">
        <v>3</v>
      </c>
      <c r="F477" s="70">
        <v>3</v>
      </c>
      <c r="G477" s="71">
        <f t="shared" si="23"/>
        <v>6</v>
      </c>
      <c r="H477" s="72">
        <v>46191</v>
      </c>
    </row>
    <row r="478" spans="2:8" x14ac:dyDescent="0.15">
      <c r="B478" s="31" t="s">
        <v>4</v>
      </c>
      <c r="C478" s="47"/>
      <c r="D478" s="35"/>
      <c r="E478" s="35"/>
      <c r="F478" s="54"/>
      <c r="G478" s="22">
        <f t="shared" si="23"/>
        <v>0</v>
      </c>
    </row>
    <row r="479" spans="2:8" x14ac:dyDescent="0.15">
      <c r="B479" s="31" t="s">
        <v>4</v>
      </c>
      <c r="C479" s="47"/>
      <c r="D479" s="35"/>
      <c r="E479" s="35"/>
      <c r="F479" s="54"/>
      <c r="G479" s="22">
        <f t="shared" si="23"/>
        <v>0</v>
      </c>
    </row>
    <row r="480" spans="2:8" ht="14.25" thickBot="1" x14ac:dyDescent="0.2">
      <c r="B480" s="61" t="s">
        <v>4</v>
      </c>
      <c r="C480" s="48"/>
      <c r="D480" s="40"/>
      <c r="E480" s="40"/>
      <c r="F480" s="55"/>
      <c r="G480" s="21">
        <f t="shared" si="23"/>
        <v>0</v>
      </c>
    </row>
    <row r="481" spans="2:8" ht="14.25" thickBot="1" x14ac:dyDescent="0.2">
      <c r="B481" s="32" t="s">
        <v>1</v>
      </c>
      <c r="C481" s="49">
        <f>SUM(C475:C480)</f>
        <v>8</v>
      </c>
      <c r="D481" s="42">
        <f>SUM(D475:D480)</f>
        <v>5</v>
      </c>
      <c r="E481" s="42">
        <f>SUM(E475:E480)</f>
        <v>8</v>
      </c>
      <c r="F481" s="56">
        <f>SUM(F475:F480)</f>
        <v>7</v>
      </c>
      <c r="G481" s="8">
        <f t="shared" si="23"/>
        <v>28</v>
      </c>
    </row>
    <row r="482" spans="2:8" x14ac:dyDescent="0.15">
      <c r="B482" s="5" t="s">
        <v>7</v>
      </c>
      <c r="C482" s="47"/>
      <c r="D482" s="35"/>
      <c r="E482" s="35">
        <v>1</v>
      </c>
      <c r="F482" s="54"/>
      <c r="G482" s="22">
        <f t="shared" si="23"/>
        <v>1</v>
      </c>
      <c r="H482" s="19">
        <v>46097</v>
      </c>
    </row>
    <row r="483" spans="2:8" x14ac:dyDescent="0.15">
      <c r="B483" s="5" t="s">
        <v>7</v>
      </c>
      <c r="C483" s="47">
        <v>1</v>
      </c>
      <c r="D483" s="35"/>
      <c r="E483" s="35"/>
      <c r="F483" s="54"/>
      <c r="G483" s="22">
        <f t="shared" si="23"/>
        <v>1</v>
      </c>
      <c r="H483" s="19">
        <v>46104</v>
      </c>
    </row>
    <row r="484" spans="2:8" x14ac:dyDescent="0.15">
      <c r="B484" s="5" t="s">
        <v>7</v>
      </c>
      <c r="C484" s="47">
        <v>1</v>
      </c>
      <c r="D484" s="35">
        <v>1</v>
      </c>
      <c r="E484" s="35"/>
      <c r="F484" s="54"/>
      <c r="G484" s="22">
        <f t="shared" si="23"/>
        <v>2</v>
      </c>
      <c r="H484" s="19">
        <v>46118</v>
      </c>
    </row>
    <row r="485" spans="2:8" x14ac:dyDescent="0.15">
      <c r="B485" s="5" t="s">
        <v>7</v>
      </c>
      <c r="C485" s="47"/>
      <c r="D485" s="35"/>
      <c r="E485" s="35">
        <v>1</v>
      </c>
      <c r="F485" s="54"/>
      <c r="G485" s="22">
        <f t="shared" si="23"/>
        <v>1</v>
      </c>
      <c r="H485" s="19">
        <v>46139</v>
      </c>
    </row>
    <row r="486" spans="2:8" x14ac:dyDescent="0.15">
      <c r="B486" s="5" t="s">
        <v>7</v>
      </c>
      <c r="C486" s="47"/>
      <c r="D486" s="35">
        <v>1</v>
      </c>
      <c r="E486" s="35">
        <v>1</v>
      </c>
      <c r="F486" s="54"/>
      <c r="G486" s="22">
        <f t="shared" si="23"/>
        <v>2</v>
      </c>
      <c r="H486" s="19">
        <v>46149</v>
      </c>
    </row>
    <row r="487" spans="2:8" x14ac:dyDescent="0.15">
      <c r="B487" s="5" t="s">
        <v>7</v>
      </c>
      <c r="C487" s="47"/>
      <c r="D487" s="35"/>
      <c r="E487" s="35"/>
      <c r="F487" s="54">
        <v>1</v>
      </c>
      <c r="G487" s="22">
        <f t="shared" si="23"/>
        <v>1</v>
      </c>
      <c r="H487" s="19">
        <v>46160</v>
      </c>
    </row>
    <row r="488" spans="2:8" x14ac:dyDescent="0.15">
      <c r="B488" s="5" t="s">
        <v>7</v>
      </c>
      <c r="C488" s="47"/>
      <c r="D488" s="35"/>
      <c r="E488" s="35"/>
      <c r="F488" s="54">
        <v>1</v>
      </c>
      <c r="G488" s="22">
        <f t="shared" si="23"/>
        <v>1</v>
      </c>
      <c r="H488" s="19">
        <v>46181</v>
      </c>
    </row>
    <row r="489" spans="2:8" x14ac:dyDescent="0.15">
      <c r="B489" s="5"/>
      <c r="C489" s="47"/>
      <c r="D489" s="35"/>
      <c r="E489" s="35"/>
      <c r="F489" s="54"/>
      <c r="G489" s="22">
        <f t="shared" si="23"/>
        <v>0</v>
      </c>
    </row>
    <row r="490" spans="2:8" x14ac:dyDescent="0.15">
      <c r="B490" s="5"/>
      <c r="C490" s="47"/>
      <c r="D490" s="35"/>
      <c r="E490" s="35"/>
      <c r="F490" s="54"/>
      <c r="G490" s="22">
        <f t="shared" si="23"/>
        <v>0</v>
      </c>
    </row>
    <row r="491" spans="2:8" x14ac:dyDescent="0.15">
      <c r="B491" s="5"/>
      <c r="C491" s="47"/>
      <c r="D491" s="35"/>
      <c r="E491" s="35"/>
      <c r="F491" s="54"/>
      <c r="G491" s="22">
        <f t="shared" si="23"/>
        <v>0</v>
      </c>
    </row>
    <row r="492" spans="2:8" x14ac:dyDescent="0.15">
      <c r="B492" s="5"/>
      <c r="C492" s="47"/>
      <c r="D492" s="35"/>
      <c r="E492" s="35"/>
      <c r="F492" s="54"/>
      <c r="G492" s="22">
        <f t="shared" si="23"/>
        <v>0</v>
      </c>
    </row>
    <row r="493" spans="2:8" x14ac:dyDescent="0.15">
      <c r="B493" s="5"/>
      <c r="C493" s="47"/>
      <c r="D493" s="35"/>
      <c r="E493" s="35"/>
      <c r="F493" s="54"/>
      <c r="G493" s="22">
        <f t="shared" si="23"/>
        <v>0</v>
      </c>
    </row>
    <row r="494" spans="2:8" x14ac:dyDescent="0.15">
      <c r="B494" s="5"/>
      <c r="C494" s="47"/>
      <c r="D494" s="35"/>
      <c r="E494" s="35"/>
      <c r="F494" s="54"/>
      <c r="G494" s="22">
        <f t="shared" si="23"/>
        <v>0</v>
      </c>
    </row>
    <row r="495" spans="2:8" x14ac:dyDescent="0.15">
      <c r="B495" s="5"/>
      <c r="C495" s="47"/>
      <c r="D495" s="35"/>
      <c r="E495" s="35"/>
      <c r="F495" s="54"/>
      <c r="G495" s="22">
        <f t="shared" si="23"/>
        <v>0</v>
      </c>
    </row>
    <row r="496" spans="2:8" x14ac:dyDescent="0.15">
      <c r="B496" s="5"/>
      <c r="C496" s="47"/>
      <c r="D496" s="35"/>
      <c r="E496" s="35"/>
      <c r="F496" s="54"/>
      <c r="G496" s="22">
        <f t="shared" si="23"/>
        <v>0</v>
      </c>
    </row>
    <row r="497" spans="2:7" x14ac:dyDescent="0.15">
      <c r="B497" s="5"/>
      <c r="C497" s="47"/>
      <c r="D497" s="35"/>
      <c r="E497" s="35"/>
      <c r="F497" s="54"/>
      <c r="G497" s="22">
        <f t="shared" si="23"/>
        <v>0</v>
      </c>
    </row>
    <row r="498" spans="2:7" x14ac:dyDescent="0.15">
      <c r="B498" s="5"/>
      <c r="C498" s="47"/>
      <c r="D498" s="35"/>
      <c r="E498" s="35"/>
      <c r="F498" s="54"/>
      <c r="G498" s="22">
        <f t="shared" si="23"/>
        <v>0</v>
      </c>
    </row>
    <row r="499" spans="2:7" x14ac:dyDescent="0.15">
      <c r="B499" s="5"/>
      <c r="C499" s="47"/>
      <c r="D499" s="35"/>
      <c r="E499" s="35"/>
      <c r="F499" s="54"/>
      <c r="G499" s="22">
        <f t="shared" si="23"/>
        <v>0</v>
      </c>
    </row>
    <row r="500" spans="2:7" x14ac:dyDescent="0.15">
      <c r="B500" s="5"/>
      <c r="C500" s="47"/>
      <c r="D500" s="35"/>
      <c r="E500" s="35"/>
      <c r="F500" s="54"/>
      <c r="G500" s="22">
        <f t="shared" si="23"/>
        <v>0</v>
      </c>
    </row>
    <row r="501" spans="2:7" x14ac:dyDescent="0.15">
      <c r="B501" s="5"/>
      <c r="C501" s="47"/>
      <c r="D501" s="35"/>
      <c r="E501" s="35"/>
      <c r="F501" s="54"/>
      <c r="G501" s="22">
        <f t="shared" si="23"/>
        <v>0</v>
      </c>
    </row>
    <row r="502" spans="2:7" x14ac:dyDescent="0.15">
      <c r="B502" s="5"/>
      <c r="C502" s="47"/>
      <c r="D502" s="35"/>
      <c r="E502" s="35"/>
      <c r="F502" s="54"/>
      <c r="G502" s="22">
        <f t="shared" si="23"/>
        <v>0</v>
      </c>
    </row>
    <row r="503" spans="2:7" x14ac:dyDescent="0.15">
      <c r="B503" s="5"/>
      <c r="C503" s="47"/>
      <c r="D503" s="35"/>
      <c r="E503" s="35"/>
      <c r="F503" s="54"/>
      <c r="G503" s="22">
        <f t="shared" si="23"/>
        <v>0</v>
      </c>
    </row>
    <row r="504" spans="2:7" x14ac:dyDescent="0.15">
      <c r="B504" s="5"/>
      <c r="C504" s="47"/>
      <c r="D504" s="35"/>
      <c r="E504" s="35"/>
      <c r="F504" s="54"/>
      <c r="G504" s="22">
        <f t="shared" si="23"/>
        <v>0</v>
      </c>
    </row>
    <row r="505" spans="2:7" x14ac:dyDescent="0.15">
      <c r="B505" s="5"/>
      <c r="C505" s="47"/>
      <c r="D505" s="35"/>
      <c r="E505" s="35"/>
      <c r="F505" s="54"/>
      <c r="G505" s="22">
        <f t="shared" si="23"/>
        <v>0</v>
      </c>
    </row>
    <row r="506" spans="2:7" ht="14.25" thickBot="1" x14ac:dyDescent="0.2">
      <c r="B506" s="5"/>
      <c r="C506" s="47"/>
      <c r="D506" s="35"/>
      <c r="E506" s="35"/>
      <c r="F506" s="54"/>
      <c r="G506" s="22">
        <f t="shared" si="23"/>
        <v>0</v>
      </c>
    </row>
    <row r="507" spans="2:7" ht="14.25" thickBot="1" x14ac:dyDescent="0.2">
      <c r="B507" s="34" t="s">
        <v>2</v>
      </c>
      <c r="C507" s="51">
        <f>SUM(C482:C506)</f>
        <v>2</v>
      </c>
      <c r="D507" s="44">
        <f>SUM(D482:D506)</f>
        <v>2</v>
      </c>
      <c r="E507" s="44">
        <f>SUM(E482:E506)</f>
        <v>3</v>
      </c>
      <c r="F507" s="58">
        <f>SUM(F482:F506)</f>
        <v>2</v>
      </c>
      <c r="G507" s="3">
        <f t="shared" si="23"/>
        <v>9</v>
      </c>
    </row>
    <row r="508" spans="2:7" ht="14.25" thickBot="1" x14ac:dyDescent="0.2">
      <c r="B508" s="32" t="s">
        <v>3</v>
      </c>
      <c r="C508" s="49">
        <f>+C481-C507</f>
        <v>6</v>
      </c>
      <c r="D508" s="42">
        <f>+D481-D507</f>
        <v>3</v>
      </c>
      <c r="E508" s="42">
        <f>+E481-E507</f>
        <v>5</v>
      </c>
      <c r="F508" s="56">
        <f>+F481-F507</f>
        <v>5</v>
      </c>
      <c r="G508" s="8">
        <f t="shared" si="23"/>
        <v>19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足首ウォーマー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cp:lastPrinted>2025-02-05T05:08:55Z</cp:lastPrinted>
  <dcterms:created xsi:type="dcterms:W3CDTF">1997-01-08T22:48:59Z</dcterms:created>
  <dcterms:modified xsi:type="dcterms:W3CDTF">2026-06-18T09:14:42Z</dcterms:modified>
</cp:coreProperties>
</file>