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Yhds220p\10_発注管理\夢販流通\ユーセン\"/>
    </mc:Choice>
  </mc:AlternateContent>
  <xr:revisionPtr revIDLastSave="0" documentId="13_ncr:1_{4AE91185-C43F-4279-B88F-F488B08916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かかとサポーター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3" i="1" l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6" i="1"/>
  <c r="E165" i="1"/>
  <c r="E164" i="1"/>
  <c r="E163" i="1"/>
  <c r="E162" i="1"/>
  <c r="C135" i="1"/>
  <c r="E135" i="1" s="1"/>
  <c r="D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4" i="1"/>
  <c r="E133" i="1"/>
  <c r="E132" i="1"/>
  <c r="E131" i="1"/>
  <c r="E130" i="1"/>
  <c r="C154" i="1"/>
  <c r="E127" i="1"/>
  <c r="E126" i="1"/>
  <c r="E125" i="1"/>
  <c r="E124" i="1"/>
  <c r="E123" i="1"/>
  <c r="C90" i="1"/>
  <c r="C193" i="1" l="1"/>
  <c r="E193" i="1" s="1"/>
  <c r="E154" i="1"/>
  <c r="E12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D115" i="1"/>
  <c r="C115" i="1"/>
  <c r="E114" i="1"/>
  <c r="E113" i="1"/>
  <c r="E112" i="1"/>
  <c r="E111" i="1"/>
  <c r="E88" i="1"/>
  <c r="E87" i="1"/>
  <c r="E86" i="1"/>
  <c r="E85" i="1"/>
  <c r="E84" i="1"/>
  <c r="E115" i="1" l="1"/>
  <c r="E5" i="1"/>
  <c r="E6" i="1"/>
  <c r="E7" i="1"/>
  <c r="E8" i="1"/>
  <c r="E9" i="1"/>
  <c r="E10" i="1"/>
  <c r="C11" i="1"/>
  <c r="D11" i="1"/>
  <c r="E12" i="1"/>
  <c r="E13" i="1"/>
  <c r="E14" i="1"/>
  <c r="E15" i="1"/>
  <c r="E16" i="1"/>
  <c r="C17" i="1"/>
  <c r="E17" i="1" s="1"/>
  <c r="E18" i="1"/>
  <c r="E19" i="1"/>
  <c r="C20" i="1"/>
  <c r="E20" i="1" s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D37" i="1"/>
  <c r="E45" i="1"/>
  <c r="E46" i="1"/>
  <c r="E47" i="1"/>
  <c r="E48" i="1"/>
  <c r="E49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C76" i="1"/>
  <c r="D76" i="1"/>
  <c r="E76" i="1" l="1"/>
  <c r="D38" i="1"/>
  <c r="D44" i="1" s="1"/>
  <c r="D50" i="1" s="1"/>
  <c r="D77" i="1" s="1"/>
  <c r="D83" i="1" s="1"/>
  <c r="D89" i="1" s="1"/>
  <c r="D116" i="1" s="1"/>
  <c r="D122" i="1" s="1"/>
  <c r="D128" i="1" s="1"/>
  <c r="D155" i="1" s="1"/>
  <c r="D161" i="1" s="1"/>
  <c r="D167" i="1" s="1"/>
  <c r="D194" i="1" s="1"/>
  <c r="E11" i="1"/>
  <c r="C37" i="1"/>
  <c r="E37" i="1" s="1"/>
  <c r="C38" i="1" l="1"/>
  <c r="E38" i="1" l="1"/>
  <c r="C44" i="1"/>
  <c r="C50" i="1" l="1"/>
  <c r="E44" i="1"/>
  <c r="C77" i="1" l="1"/>
  <c r="E50" i="1"/>
  <c r="E77" i="1" l="1"/>
  <c r="C83" i="1"/>
  <c r="C89" i="1" l="1"/>
  <c r="E83" i="1"/>
  <c r="C116" i="1" l="1"/>
  <c r="E89" i="1"/>
  <c r="E116" i="1" l="1"/>
  <c r="C122" i="1"/>
  <c r="E122" i="1" l="1"/>
  <c r="C128" i="1"/>
  <c r="E128" i="1" l="1"/>
  <c r="C155" i="1"/>
  <c r="E155" i="1" l="1"/>
  <c r="C161" i="1"/>
  <c r="C167" i="1" l="1"/>
  <c r="E161" i="1"/>
  <c r="E167" i="1" l="1"/>
  <c r="C194" i="1"/>
  <c r="E194" i="1" s="1"/>
</calcChain>
</file>

<file path=xl/sharedStrings.xml><?xml version="1.0" encoding="utf-8"?>
<sst xmlns="http://schemas.openxmlformats.org/spreadsheetml/2006/main" count="154" uniqueCount="16">
  <si>
    <t>残数</t>
    <rPh sb="0" eb="2">
      <t>ザンスウ</t>
    </rPh>
    <phoneticPr fontId="2"/>
  </si>
  <si>
    <t>出荷数</t>
    <rPh sb="0" eb="2">
      <t>シュッカ</t>
    </rPh>
    <rPh sb="2" eb="3">
      <t>スウ</t>
    </rPh>
    <phoneticPr fontId="2"/>
  </si>
  <si>
    <t>在庫確認</t>
    <rPh sb="0" eb="4">
      <t>ザイコカクニン</t>
    </rPh>
    <phoneticPr fontId="2"/>
  </si>
  <si>
    <t>ネット</t>
    <phoneticPr fontId="2"/>
  </si>
  <si>
    <t>総数</t>
    <rPh sb="0" eb="2">
      <t>ソウスウ</t>
    </rPh>
    <phoneticPr fontId="2"/>
  </si>
  <si>
    <t>追加</t>
    <rPh sb="0" eb="2">
      <t>ツイカ</t>
    </rPh>
    <phoneticPr fontId="2"/>
  </si>
  <si>
    <t>計</t>
    <rPh sb="0" eb="1">
      <t>ケイ</t>
    </rPh>
    <phoneticPr fontId="2"/>
  </si>
  <si>
    <t>ベージュ</t>
    <phoneticPr fontId="2"/>
  </si>
  <si>
    <t>ブラック</t>
    <phoneticPr fontId="2"/>
  </si>
  <si>
    <t>かかとつるつる裏シルクサポーター＜夢販在庫＞　SO1207</t>
    <rPh sb="7" eb="8">
      <t>ウラ</t>
    </rPh>
    <rPh sb="17" eb="21">
      <t>ユメハンザイコ</t>
    </rPh>
    <phoneticPr fontId="2"/>
  </si>
  <si>
    <t>初回</t>
    <rPh sb="0" eb="2">
      <t>ショカイ</t>
    </rPh>
    <phoneticPr fontId="2"/>
  </si>
  <si>
    <t>棚卸</t>
    <rPh sb="0" eb="2">
      <t>タナオロシ</t>
    </rPh>
    <phoneticPr fontId="2"/>
  </si>
  <si>
    <t>在庫確認</t>
    <rPh sb="0" eb="4">
      <t>ザイコカクニン</t>
    </rPh>
    <phoneticPr fontId="2"/>
  </si>
  <si>
    <t>？？？？</t>
    <phoneticPr fontId="2"/>
  </si>
  <si>
    <t>在庫確認</t>
    <rPh sb="0" eb="4">
      <t>ザイコカクニン</t>
    </rPh>
    <phoneticPr fontId="2"/>
  </si>
  <si>
    <t>在庫確認</t>
    <rPh sb="0" eb="4">
      <t>ザイコカクニン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</si>
</sst>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theme="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2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56" fontId="0" fillId="0" borderId="9" xfId="0" applyNumberFormat="1" applyBorder="1" applyAlignment="1">
      <alignment horizontal="center"/>
    </xf>
    <xf numFmtId="0" fontId="0" fillId="0" borderId="10" xfId="0" applyBorder="1"/>
    <xf numFmtId="0" fontId="0" fillId="0" borderId="9" xfId="0" applyBorder="1"/>
    <xf numFmtId="0" fontId="0" fillId="0" borderId="11" xfId="0" applyBorder="1"/>
    <xf numFmtId="0" fontId="1" fillId="0" borderId="9" xfId="0" applyFont="1" applyBorder="1"/>
    <xf numFmtId="0" fontId="1" fillId="0" borderId="11" xfId="0" applyFont="1" applyBorder="1"/>
    <xf numFmtId="56" fontId="3" fillId="0" borderId="0" xfId="0" applyNumberFormat="1" applyFont="1"/>
    <xf numFmtId="0" fontId="3" fillId="0" borderId="10" xfId="0" applyFont="1" applyBorder="1"/>
    <xf numFmtId="0" fontId="3" fillId="0" borderId="9" xfId="0" applyFont="1" applyBorder="1"/>
    <xf numFmtId="0" fontId="3" fillId="0" borderId="11" xfId="0" applyFont="1" applyBorder="1"/>
    <xf numFmtId="56" fontId="3" fillId="0" borderId="9" xfId="0" applyNumberFormat="1" applyFont="1" applyBorder="1" applyAlignment="1">
      <alignment horizontal="center"/>
    </xf>
    <xf numFmtId="56" fontId="0" fillId="0" borderId="0" xfId="0" applyNumberForma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/>
    <xf numFmtId="56" fontId="3" fillId="0" borderId="12" xfId="0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0" xfId="0" applyFill="1"/>
    <xf numFmtId="0" fontId="4" fillId="2" borderId="0" xfId="0" applyFont="1" applyFill="1"/>
    <xf numFmtId="56" fontId="0" fillId="0" borderId="0" xfId="0" applyNumberFormat="1" applyAlignment="1">
      <alignment horizontal="right"/>
    </xf>
    <xf numFmtId="56" fontId="1" fillId="0" borderId="0" xfId="0" applyNumberFormat="1" applyFont="1"/>
    <xf numFmtId="56" fontId="0" fillId="0" borderId="12" xfId="0" applyNumberForma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1" xfId="0" applyFont="1" applyBorder="1"/>
    <xf numFmtId="0" fontId="5" fillId="0" borderId="9" xfId="0" applyFont="1" applyBorder="1"/>
    <xf numFmtId="0" fontId="5" fillId="0" borderId="10" xfId="0" applyFont="1" applyBorder="1"/>
    <xf numFmtId="56" fontId="5" fillId="0" borderId="0" xfId="0" applyNumberFormat="1" applyFont="1"/>
    <xf numFmtId="0" fontId="6" fillId="3" borderId="17" xfId="0" applyFont="1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14" xfId="0" applyFont="1" applyBorder="1"/>
    <xf numFmtId="0" fontId="0" fillId="0" borderId="7" xfId="0" applyFont="1" applyBorder="1"/>
    <xf numFmtId="0" fontId="0" fillId="0" borderId="6" xfId="0" applyFont="1" applyBorder="1"/>
    <xf numFmtId="56" fontId="0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4"/>
  <sheetViews>
    <sheetView tabSelected="1" topLeftCell="A165" zoomScale="110" zoomScaleNormal="110" workbookViewId="0">
      <selection activeCell="G194" sqref="G194"/>
    </sheetView>
  </sheetViews>
  <sheetFormatPr defaultRowHeight="13.5" x14ac:dyDescent="0.15"/>
  <cols>
    <col min="2" max="2" width="22.75" style="1" customWidth="1"/>
    <col min="3" max="4" width="11.75" customWidth="1"/>
    <col min="5" max="5" width="11.375" customWidth="1"/>
    <col min="6" max="6" width="9.25" bestFit="1" customWidth="1"/>
  </cols>
  <sheetData>
    <row r="1" spans="2:7" ht="18.75" x14ac:dyDescent="0.2">
      <c r="B1" s="36" t="s">
        <v>9</v>
      </c>
      <c r="C1" s="35"/>
      <c r="D1" s="35"/>
      <c r="E1" s="35"/>
      <c r="F1" s="35"/>
      <c r="G1" s="35"/>
    </row>
    <row r="2" spans="2:7" ht="14.25" thickBot="1" x14ac:dyDescent="0.2"/>
    <row r="3" spans="2:7" ht="14.25" thickBot="1" x14ac:dyDescent="0.2">
      <c r="B3" s="34"/>
      <c r="C3" s="47"/>
      <c r="D3" s="47"/>
      <c r="E3" s="48"/>
    </row>
    <row r="4" spans="2:7" s="1" customFormat="1" ht="14.25" thickBot="1" x14ac:dyDescent="0.2">
      <c r="B4" s="33"/>
      <c r="C4" s="45" t="s">
        <v>8</v>
      </c>
      <c r="D4" s="46" t="s">
        <v>7</v>
      </c>
      <c r="E4" s="32" t="s">
        <v>6</v>
      </c>
    </row>
    <row r="5" spans="2:7" ht="14.25" customHeight="1" x14ac:dyDescent="0.15">
      <c r="B5" s="39" t="s">
        <v>10</v>
      </c>
      <c r="C5" s="25">
        <v>1</v>
      </c>
      <c r="D5" s="24">
        <v>1</v>
      </c>
      <c r="E5" s="24">
        <f t="shared" ref="E5:E37" si="0">C5+D5</f>
        <v>2</v>
      </c>
      <c r="F5" s="23">
        <v>44288</v>
      </c>
    </row>
    <row r="6" spans="2:7" x14ac:dyDescent="0.15">
      <c r="B6" s="28" t="s">
        <v>5</v>
      </c>
      <c r="C6" s="15"/>
      <c r="D6" s="14">
        <v>3</v>
      </c>
      <c r="E6" s="13">
        <f t="shared" si="0"/>
        <v>3</v>
      </c>
      <c r="F6" s="23">
        <v>44329</v>
      </c>
    </row>
    <row r="7" spans="2:7" x14ac:dyDescent="0.15">
      <c r="B7" s="28" t="s">
        <v>5</v>
      </c>
      <c r="C7" s="15">
        <v>4</v>
      </c>
      <c r="D7" s="14">
        <v>2</v>
      </c>
      <c r="E7" s="13">
        <f t="shared" si="0"/>
        <v>6</v>
      </c>
      <c r="F7" s="23">
        <v>44349</v>
      </c>
    </row>
    <row r="8" spans="2:7" x14ac:dyDescent="0.15">
      <c r="B8" s="28" t="s">
        <v>5</v>
      </c>
      <c r="C8" s="15">
        <v>1</v>
      </c>
      <c r="D8" s="14"/>
      <c r="E8" s="13">
        <f t="shared" si="0"/>
        <v>1</v>
      </c>
      <c r="F8" s="23">
        <v>44351</v>
      </c>
    </row>
    <row r="9" spans="2:7" x14ac:dyDescent="0.15">
      <c r="B9" s="28" t="s">
        <v>5</v>
      </c>
      <c r="C9" s="15">
        <v>5</v>
      </c>
      <c r="D9" s="14">
        <v>3</v>
      </c>
      <c r="E9" s="13">
        <f t="shared" si="0"/>
        <v>8</v>
      </c>
      <c r="F9" s="23">
        <v>44358</v>
      </c>
    </row>
    <row r="10" spans="2:7" ht="14.25" thickBot="1" x14ac:dyDescent="0.2">
      <c r="B10" s="27" t="s">
        <v>5</v>
      </c>
      <c r="C10" s="26">
        <v>5</v>
      </c>
      <c r="D10" s="10">
        <v>2</v>
      </c>
      <c r="E10" s="9">
        <f t="shared" si="0"/>
        <v>7</v>
      </c>
      <c r="F10" s="23">
        <v>44446</v>
      </c>
    </row>
    <row r="11" spans="2:7" ht="14.25" thickBot="1" x14ac:dyDescent="0.2">
      <c r="B11" s="8" t="s">
        <v>4</v>
      </c>
      <c r="C11" s="6">
        <f>SUM(C5:C10)</f>
        <v>16</v>
      </c>
      <c r="D11" s="7">
        <f>SUM(D5:D10)</f>
        <v>11</v>
      </c>
      <c r="E11" s="6">
        <f t="shared" si="0"/>
        <v>27</v>
      </c>
    </row>
    <row r="12" spans="2:7" x14ac:dyDescent="0.15">
      <c r="B12" s="39" t="s">
        <v>3</v>
      </c>
      <c r="C12" s="25"/>
      <c r="D12" s="24">
        <v>1</v>
      </c>
      <c r="E12" s="13">
        <f t="shared" si="0"/>
        <v>1</v>
      </c>
      <c r="F12" s="23">
        <v>44326</v>
      </c>
    </row>
    <row r="13" spans="2:7" x14ac:dyDescent="0.15">
      <c r="B13" s="12" t="s">
        <v>3</v>
      </c>
      <c r="C13" s="15"/>
      <c r="D13" s="14">
        <v>1</v>
      </c>
      <c r="E13" s="13">
        <f t="shared" si="0"/>
        <v>1</v>
      </c>
      <c r="F13" s="23">
        <v>44329</v>
      </c>
    </row>
    <row r="14" spans="2:7" x14ac:dyDescent="0.15">
      <c r="B14" s="12" t="s">
        <v>3</v>
      </c>
      <c r="C14" s="15">
        <v>1</v>
      </c>
      <c r="D14" s="14"/>
      <c r="E14" s="13">
        <f t="shared" si="0"/>
        <v>1</v>
      </c>
      <c r="F14" s="23">
        <v>44340</v>
      </c>
    </row>
    <row r="15" spans="2:7" x14ac:dyDescent="0.15">
      <c r="B15" s="12" t="s">
        <v>3</v>
      </c>
      <c r="C15" s="15"/>
      <c r="D15" s="14">
        <v>1</v>
      </c>
      <c r="E15" s="13">
        <f t="shared" si="0"/>
        <v>1</v>
      </c>
      <c r="F15" s="23">
        <v>44341</v>
      </c>
    </row>
    <row r="16" spans="2:7" x14ac:dyDescent="0.15">
      <c r="B16" s="12" t="s">
        <v>3</v>
      </c>
      <c r="C16" s="15">
        <v>2</v>
      </c>
      <c r="D16" s="14"/>
      <c r="E16" s="13">
        <f t="shared" si="0"/>
        <v>2</v>
      </c>
      <c r="F16" s="23">
        <v>44349</v>
      </c>
    </row>
    <row r="17" spans="2:6" x14ac:dyDescent="0.15">
      <c r="B17" s="12" t="s">
        <v>3</v>
      </c>
      <c r="C17" s="15">
        <f>1+1+1</f>
        <v>3</v>
      </c>
      <c r="D17" s="14">
        <v>1</v>
      </c>
      <c r="E17" s="13">
        <f t="shared" si="0"/>
        <v>4</v>
      </c>
      <c r="F17" s="23">
        <v>44354</v>
      </c>
    </row>
    <row r="18" spans="2:6" x14ac:dyDescent="0.15">
      <c r="B18" s="12" t="s">
        <v>3</v>
      </c>
      <c r="C18" s="15">
        <v>1</v>
      </c>
      <c r="D18" s="14"/>
      <c r="E18" s="13">
        <f t="shared" si="0"/>
        <v>1</v>
      </c>
      <c r="F18" s="23">
        <v>44357</v>
      </c>
    </row>
    <row r="19" spans="2:6" x14ac:dyDescent="0.15">
      <c r="B19" s="12" t="s">
        <v>3</v>
      </c>
      <c r="C19" s="17">
        <v>1</v>
      </c>
      <c r="D19" s="16"/>
      <c r="E19" s="13">
        <f t="shared" si="0"/>
        <v>1</v>
      </c>
      <c r="F19" s="23">
        <v>44404</v>
      </c>
    </row>
    <row r="20" spans="2:6" x14ac:dyDescent="0.15">
      <c r="B20" s="12" t="s">
        <v>3</v>
      </c>
      <c r="C20" s="15">
        <f>2+1</f>
        <v>3</v>
      </c>
      <c r="D20" s="14">
        <v>1</v>
      </c>
      <c r="E20" s="13">
        <f t="shared" si="0"/>
        <v>4</v>
      </c>
      <c r="F20" s="23">
        <v>44445</v>
      </c>
    </row>
    <row r="21" spans="2:6" x14ac:dyDescent="0.15">
      <c r="B21" s="12" t="s">
        <v>3</v>
      </c>
      <c r="C21" s="15"/>
      <c r="D21" s="14">
        <v>1</v>
      </c>
      <c r="E21" s="13">
        <f t="shared" si="0"/>
        <v>1</v>
      </c>
      <c r="F21" s="23">
        <v>44446</v>
      </c>
    </row>
    <row r="22" spans="2:6" x14ac:dyDescent="0.15">
      <c r="B22" s="12" t="s">
        <v>3</v>
      </c>
      <c r="C22" s="17">
        <v>1</v>
      </c>
      <c r="D22" s="16">
        <v>1</v>
      </c>
      <c r="E22" s="13">
        <f t="shared" si="0"/>
        <v>2</v>
      </c>
      <c r="F22" s="38">
        <v>44460</v>
      </c>
    </row>
    <row r="23" spans="2:6" x14ac:dyDescent="0.15">
      <c r="B23" s="12" t="s">
        <v>3</v>
      </c>
      <c r="C23" s="17"/>
      <c r="D23" s="16">
        <v>1</v>
      </c>
      <c r="E23" s="13">
        <f t="shared" si="0"/>
        <v>1</v>
      </c>
      <c r="F23" s="38">
        <v>44495</v>
      </c>
    </row>
    <row r="24" spans="2:6" x14ac:dyDescent="0.15">
      <c r="B24" s="12" t="s">
        <v>3</v>
      </c>
      <c r="C24" s="15">
        <v>1</v>
      </c>
      <c r="D24" s="14">
        <v>1</v>
      </c>
      <c r="E24" s="13">
        <f t="shared" si="0"/>
        <v>2</v>
      </c>
      <c r="F24" s="23">
        <v>44501</v>
      </c>
    </row>
    <row r="25" spans="2:6" x14ac:dyDescent="0.15">
      <c r="B25" s="12"/>
      <c r="C25" s="17"/>
      <c r="D25" s="16"/>
      <c r="E25" s="13">
        <f t="shared" si="0"/>
        <v>0</v>
      </c>
      <c r="F25" s="38"/>
    </row>
    <row r="26" spans="2:6" x14ac:dyDescent="0.15">
      <c r="B26" s="12"/>
      <c r="C26" s="17"/>
      <c r="D26" s="16"/>
      <c r="E26" s="13">
        <f t="shared" si="0"/>
        <v>0</v>
      </c>
      <c r="F26" s="38"/>
    </row>
    <row r="27" spans="2:6" x14ac:dyDescent="0.15">
      <c r="B27" s="12"/>
      <c r="C27" s="17"/>
      <c r="D27" s="16"/>
      <c r="E27" s="13">
        <f t="shared" si="0"/>
        <v>0</v>
      </c>
      <c r="F27" s="38"/>
    </row>
    <row r="28" spans="2:6" x14ac:dyDescent="0.15">
      <c r="B28" s="12"/>
      <c r="C28" s="17"/>
      <c r="D28" s="16"/>
      <c r="E28" s="13">
        <f t="shared" si="0"/>
        <v>0</v>
      </c>
      <c r="F28" s="38"/>
    </row>
    <row r="29" spans="2:6" x14ac:dyDescent="0.15">
      <c r="B29" s="12"/>
      <c r="C29" s="17"/>
      <c r="D29" s="16"/>
      <c r="E29" s="13">
        <f t="shared" si="0"/>
        <v>0</v>
      </c>
      <c r="F29" s="38"/>
    </row>
    <row r="30" spans="2:6" x14ac:dyDescent="0.15">
      <c r="B30" s="12"/>
      <c r="C30" s="17"/>
      <c r="D30" s="16"/>
      <c r="E30" s="13">
        <f t="shared" si="0"/>
        <v>0</v>
      </c>
      <c r="F30" s="38"/>
    </row>
    <row r="31" spans="2:6" x14ac:dyDescent="0.15">
      <c r="B31" s="12"/>
      <c r="C31" s="15"/>
      <c r="D31" s="14"/>
      <c r="E31" s="13">
        <f t="shared" si="0"/>
        <v>0</v>
      </c>
      <c r="F31" s="37"/>
    </row>
    <row r="32" spans="2:6" x14ac:dyDescent="0.15">
      <c r="B32" s="12"/>
      <c r="C32" s="15"/>
      <c r="D32" s="14"/>
      <c r="E32" s="13">
        <f t="shared" si="0"/>
        <v>0</v>
      </c>
      <c r="F32" s="37"/>
    </row>
    <row r="33" spans="1:7" x14ac:dyDescent="0.15">
      <c r="B33" s="12"/>
      <c r="C33" s="15"/>
      <c r="D33" s="14"/>
      <c r="E33" s="13">
        <f t="shared" si="0"/>
        <v>0</v>
      </c>
      <c r="F33" s="37"/>
    </row>
    <row r="34" spans="1:7" x14ac:dyDescent="0.15">
      <c r="B34" s="12"/>
      <c r="C34" s="15"/>
      <c r="D34" s="14"/>
      <c r="E34" s="13">
        <f t="shared" si="0"/>
        <v>0</v>
      </c>
      <c r="F34" s="37"/>
    </row>
    <row r="35" spans="1:7" x14ac:dyDescent="0.15">
      <c r="B35" s="12"/>
      <c r="C35" s="15"/>
      <c r="D35" s="14"/>
      <c r="E35" s="13">
        <f t="shared" si="0"/>
        <v>0</v>
      </c>
      <c r="F35" s="37"/>
    </row>
    <row r="36" spans="1:7" ht="14.25" thickBot="1" x14ac:dyDescent="0.2">
      <c r="B36" s="12"/>
      <c r="C36" s="11"/>
      <c r="D36" s="10"/>
      <c r="E36" s="9">
        <f t="shared" si="0"/>
        <v>0</v>
      </c>
      <c r="F36" s="37"/>
    </row>
    <row r="37" spans="1:7" ht="14.25" thickBot="1" x14ac:dyDescent="0.2">
      <c r="B37" s="8" t="s">
        <v>1</v>
      </c>
      <c r="C37" s="7">
        <f>SUM(C12:C36)</f>
        <v>13</v>
      </c>
      <c r="D37" s="6">
        <f>SUM(D12:D36)</f>
        <v>9</v>
      </c>
      <c r="E37" s="6">
        <f t="shared" si="0"/>
        <v>22</v>
      </c>
    </row>
    <row r="38" spans="1:7" ht="14.25" thickBot="1" x14ac:dyDescent="0.2">
      <c r="B38" s="5" t="s">
        <v>0</v>
      </c>
      <c r="C38" s="4">
        <f>+C11-C37</f>
        <v>3</v>
      </c>
      <c r="D38" s="3">
        <f>+D11-D37</f>
        <v>2</v>
      </c>
      <c r="E38" s="2">
        <f>C38</f>
        <v>3</v>
      </c>
    </row>
    <row r="40" spans="1:7" ht="18.75" x14ac:dyDescent="0.2">
      <c r="B40" s="36" t="s">
        <v>9</v>
      </c>
      <c r="C40" s="35"/>
      <c r="D40" s="35"/>
      <c r="E40" s="35"/>
      <c r="F40" s="35"/>
      <c r="G40" s="35"/>
    </row>
    <row r="41" spans="1:7" ht="14.25" thickBot="1" x14ac:dyDescent="0.2"/>
    <row r="42" spans="1:7" ht="14.25" thickBot="1" x14ac:dyDescent="0.2">
      <c r="B42" s="34"/>
      <c r="C42" s="47"/>
      <c r="D42" s="47"/>
      <c r="E42" s="48"/>
    </row>
    <row r="43" spans="1:7" ht="14.25" thickBot="1" x14ac:dyDescent="0.2">
      <c r="A43" s="1"/>
      <c r="B43" s="33"/>
      <c r="C43" s="45" t="s">
        <v>8</v>
      </c>
      <c r="D43" s="46" t="s">
        <v>7</v>
      </c>
      <c r="E43" s="32" t="s">
        <v>6</v>
      </c>
    </row>
    <row r="44" spans="1:7" x14ac:dyDescent="0.15">
      <c r="B44" s="31" t="s">
        <v>0</v>
      </c>
      <c r="C44" s="30">
        <f>C38</f>
        <v>3</v>
      </c>
      <c r="D44" s="29">
        <f>D38</f>
        <v>2</v>
      </c>
      <c r="E44" s="29">
        <f t="shared" ref="E44:E76" si="1">C44+D44</f>
        <v>5</v>
      </c>
    </row>
    <row r="45" spans="1:7" x14ac:dyDescent="0.15">
      <c r="B45" s="28" t="s">
        <v>5</v>
      </c>
      <c r="C45" s="15"/>
      <c r="D45" s="14">
        <v>5</v>
      </c>
      <c r="E45" s="13">
        <f t="shared" si="1"/>
        <v>5</v>
      </c>
      <c r="F45" s="23">
        <v>44463</v>
      </c>
    </row>
    <row r="46" spans="1:7" x14ac:dyDescent="0.15">
      <c r="B46" s="28" t="s">
        <v>5</v>
      </c>
      <c r="C46" s="15">
        <v>5</v>
      </c>
      <c r="D46" s="14"/>
      <c r="E46" s="13">
        <f t="shared" si="1"/>
        <v>5</v>
      </c>
      <c r="F46" s="23">
        <v>44517</v>
      </c>
    </row>
    <row r="47" spans="1:7" x14ac:dyDescent="0.15">
      <c r="B47" s="28" t="s">
        <v>5</v>
      </c>
      <c r="C47" s="15"/>
      <c r="D47" s="14">
        <v>5</v>
      </c>
      <c r="E47" s="13">
        <f t="shared" si="1"/>
        <v>5</v>
      </c>
      <c r="F47" s="23">
        <v>44572</v>
      </c>
    </row>
    <row r="48" spans="1:7" x14ac:dyDescent="0.15">
      <c r="B48" s="28" t="s">
        <v>5</v>
      </c>
      <c r="C48" s="15">
        <v>5</v>
      </c>
      <c r="D48" s="14">
        <v>5</v>
      </c>
      <c r="E48" s="13">
        <f t="shared" si="1"/>
        <v>10</v>
      </c>
      <c r="F48" s="23">
        <v>44691</v>
      </c>
    </row>
    <row r="49" spans="2:6" ht="14.25" thickBot="1" x14ac:dyDescent="0.2">
      <c r="B49" s="27" t="s">
        <v>5</v>
      </c>
      <c r="C49" s="26">
        <v>5</v>
      </c>
      <c r="D49" s="10">
        <v>5</v>
      </c>
      <c r="E49" s="9">
        <f t="shared" si="1"/>
        <v>10</v>
      </c>
      <c r="F49" s="23">
        <v>44767</v>
      </c>
    </row>
    <row r="50" spans="2:6" ht="14.25" thickBot="1" x14ac:dyDescent="0.2">
      <c r="B50" s="8" t="s">
        <v>4</v>
      </c>
      <c r="C50" s="6">
        <f>SUM(C44:C49)</f>
        <v>18</v>
      </c>
      <c r="D50" s="7">
        <f>SUM(D44:D49)</f>
        <v>22</v>
      </c>
      <c r="E50" s="6">
        <f t="shared" si="1"/>
        <v>40</v>
      </c>
    </row>
    <row r="51" spans="2:6" x14ac:dyDescent="0.15">
      <c r="B51" s="12" t="s">
        <v>3</v>
      </c>
      <c r="C51" s="25"/>
      <c r="D51" s="24">
        <v>2</v>
      </c>
      <c r="E51" s="13">
        <f t="shared" si="1"/>
        <v>2</v>
      </c>
      <c r="F51" s="23">
        <v>44473</v>
      </c>
    </row>
    <row r="52" spans="2:6" x14ac:dyDescent="0.15">
      <c r="B52" s="12" t="s">
        <v>3</v>
      </c>
      <c r="C52" s="15">
        <v>1</v>
      </c>
      <c r="D52" s="14"/>
      <c r="E52" s="13">
        <f t="shared" si="1"/>
        <v>1</v>
      </c>
      <c r="F52" s="23">
        <v>44522</v>
      </c>
    </row>
    <row r="53" spans="2:6" x14ac:dyDescent="0.15">
      <c r="B53" s="12" t="s">
        <v>3</v>
      </c>
      <c r="C53" s="15">
        <v>1</v>
      </c>
      <c r="D53" s="14">
        <v>1</v>
      </c>
      <c r="E53" s="13">
        <f t="shared" si="1"/>
        <v>2</v>
      </c>
      <c r="F53" s="23">
        <v>44540</v>
      </c>
    </row>
    <row r="54" spans="2:6" x14ac:dyDescent="0.15">
      <c r="B54" s="12" t="s">
        <v>3</v>
      </c>
      <c r="C54" s="17"/>
      <c r="D54" s="16">
        <v>1</v>
      </c>
      <c r="E54" s="13">
        <f t="shared" si="1"/>
        <v>1</v>
      </c>
      <c r="F54" s="23">
        <v>44550</v>
      </c>
    </row>
    <row r="55" spans="2:6" x14ac:dyDescent="0.15">
      <c r="B55" s="12" t="s">
        <v>3</v>
      </c>
      <c r="C55" s="17">
        <v>1</v>
      </c>
      <c r="D55" s="16"/>
      <c r="E55" s="13">
        <f t="shared" si="1"/>
        <v>1</v>
      </c>
      <c r="F55" s="23">
        <v>44551</v>
      </c>
    </row>
    <row r="56" spans="2:6" x14ac:dyDescent="0.15">
      <c r="B56" s="22" t="s">
        <v>2</v>
      </c>
      <c r="C56" s="21"/>
      <c r="D56" s="20">
        <v>3</v>
      </c>
      <c r="E56" s="19">
        <f t="shared" si="1"/>
        <v>3</v>
      </c>
      <c r="F56" s="18">
        <v>44551</v>
      </c>
    </row>
    <row r="57" spans="2:6" x14ac:dyDescent="0.15">
      <c r="B57" s="12" t="s">
        <v>3</v>
      </c>
      <c r="C57" s="15"/>
      <c r="D57" s="14">
        <v>1</v>
      </c>
      <c r="E57" s="13">
        <f t="shared" si="1"/>
        <v>1</v>
      </c>
      <c r="F57" s="23">
        <v>44572</v>
      </c>
    </row>
    <row r="58" spans="2:6" x14ac:dyDescent="0.15">
      <c r="B58" s="12" t="s">
        <v>3</v>
      </c>
      <c r="C58" s="17">
        <v>1</v>
      </c>
      <c r="D58" s="16"/>
      <c r="E58" s="13">
        <f t="shared" si="1"/>
        <v>1</v>
      </c>
      <c r="F58" s="23">
        <v>44579</v>
      </c>
    </row>
    <row r="59" spans="2:6" x14ac:dyDescent="0.15">
      <c r="B59" s="12" t="s">
        <v>3</v>
      </c>
      <c r="C59" s="17">
        <v>1</v>
      </c>
      <c r="D59" s="16"/>
      <c r="E59" s="13">
        <f t="shared" si="1"/>
        <v>1</v>
      </c>
      <c r="F59" s="23">
        <v>44587</v>
      </c>
    </row>
    <row r="60" spans="2:6" x14ac:dyDescent="0.15">
      <c r="B60" s="12" t="s">
        <v>3</v>
      </c>
      <c r="C60" s="15"/>
      <c r="D60" s="14">
        <v>1</v>
      </c>
      <c r="E60" s="13">
        <f t="shared" si="1"/>
        <v>1</v>
      </c>
      <c r="F60" s="23">
        <v>44625</v>
      </c>
    </row>
    <row r="61" spans="2:6" x14ac:dyDescent="0.15">
      <c r="B61" s="12" t="s">
        <v>3</v>
      </c>
      <c r="C61" s="17">
        <v>1</v>
      </c>
      <c r="D61" s="16"/>
      <c r="E61" s="13">
        <f t="shared" si="1"/>
        <v>1</v>
      </c>
      <c r="F61" s="23">
        <v>44656</v>
      </c>
    </row>
    <row r="62" spans="2:6" x14ac:dyDescent="0.15">
      <c r="B62" s="12" t="s">
        <v>3</v>
      </c>
      <c r="C62" s="17">
        <v>2</v>
      </c>
      <c r="D62" s="16">
        <v>2</v>
      </c>
      <c r="E62" s="13">
        <f t="shared" si="1"/>
        <v>4</v>
      </c>
      <c r="F62" s="23">
        <v>44658</v>
      </c>
    </row>
    <row r="63" spans="2:6" x14ac:dyDescent="0.15">
      <c r="B63" s="12" t="s">
        <v>3</v>
      </c>
      <c r="C63" s="15"/>
      <c r="D63" s="14">
        <v>1</v>
      </c>
      <c r="E63" s="13">
        <f t="shared" si="1"/>
        <v>1</v>
      </c>
      <c r="F63" s="23">
        <v>44678</v>
      </c>
    </row>
    <row r="64" spans="2:6" x14ac:dyDescent="0.15">
      <c r="B64" s="12" t="s">
        <v>3</v>
      </c>
      <c r="C64" s="17"/>
      <c r="D64" s="16">
        <v>1</v>
      </c>
      <c r="E64" s="13">
        <f t="shared" si="1"/>
        <v>1</v>
      </c>
      <c r="F64" s="23">
        <v>44740</v>
      </c>
    </row>
    <row r="65" spans="2:6" x14ac:dyDescent="0.15">
      <c r="B65" s="12" t="s">
        <v>3</v>
      </c>
      <c r="C65" s="17"/>
      <c r="D65" s="16">
        <v>1</v>
      </c>
      <c r="E65" s="13">
        <f t="shared" si="1"/>
        <v>1</v>
      </c>
      <c r="F65" s="23">
        <v>44742</v>
      </c>
    </row>
    <row r="66" spans="2:6" x14ac:dyDescent="0.15">
      <c r="B66" s="12" t="s">
        <v>3</v>
      </c>
      <c r="C66" s="17">
        <v>1</v>
      </c>
      <c r="D66" s="16">
        <v>1</v>
      </c>
      <c r="E66" s="13">
        <f t="shared" si="1"/>
        <v>2</v>
      </c>
      <c r="F66" s="23">
        <v>44747</v>
      </c>
    </row>
    <row r="67" spans="2:6" x14ac:dyDescent="0.15">
      <c r="B67" s="12" t="s">
        <v>3</v>
      </c>
      <c r="C67" s="17">
        <v>1</v>
      </c>
      <c r="D67" s="16">
        <v>1</v>
      </c>
      <c r="E67" s="13">
        <f t="shared" si="1"/>
        <v>2</v>
      </c>
      <c r="F67" s="23">
        <v>44761</v>
      </c>
    </row>
    <row r="68" spans="2:6" x14ac:dyDescent="0.15">
      <c r="B68" s="12" t="s">
        <v>3</v>
      </c>
      <c r="C68" s="17">
        <v>1</v>
      </c>
      <c r="D68" s="16"/>
      <c r="E68" s="13">
        <f t="shared" si="1"/>
        <v>1</v>
      </c>
      <c r="F68" s="23">
        <v>44768</v>
      </c>
    </row>
    <row r="69" spans="2:6" x14ac:dyDescent="0.15">
      <c r="B69" s="12" t="s">
        <v>3</v>
      </c>
      <c r="C69" s="17"/>
      <c r="D69" s="16">
        <v>2</v>
      </c>
      <c r="E69" s="13">
        <f t="shared" si="1"/>
        <v>2</v>
      </c>
      <c r="F69" s="23">
        <v>44778</v>
      </c>
    </row>
    <row r="70" spans="2:6" x14ac:dyDescent="0.15">
      <c r="B70" s="12" t="s">
        <v>3</v>
      </c>
      <c r="C70" s="15"/>
      <c r="D70" s="14">
        <v>1</v>
      </c>
      <c r="E70" s="13">
        <f t="shared" si="1"/>
        <v>1</v>
      </c>
      <c r="F70" s="23">
        <v>44781</v>
      </c>
    </row>
    <row r="71" spans="2:6" x14ac:dyDescent="0.15">
      <c r="B71" s="12" t="s">
        <v>3</v>
      </c>
      <c r="C71" s="15">
        <v>1</v>
      </c>
      <c r="D71" s="14">
        <v>2</v>
      </c>
      <c r="E71" s="13">
        <f t="shared" si="1"/>
        <v>3</v>
      </c>
      <c r="F71" s="23">
        <v>44790</v>
      </c>
    </row>
    <row r="72" spans="2:6" x14ac:dyDescent="0.15">
      <c r="B72" s="12" t="s">
        <v>3</v>
      </c>
      <c r="C72" s="15"/>
      <c r="D72" s="14">
        <v>1</v>
      </c>
      <c r="E72" s="13">
        <f t="shared" si="1"/>
        <v>1</v>
      </c>
      <c r="F72" s="23">
        <v>44875</v>
      </c>
    </row>
    <row r="73" spans="2:6" x14ac:dyDescent="0.15">
      <c r="B73" s="12"/>
      <c r="C73" s="15"/>
      <c r="D73" s="14"/>
      <c r="E73" s="13">
        <f t="shared" si="1"/>
        <v>0</v>
      </c>
    </row>
    <row r="74" spans="2:6" x14ac:dyDescent="0.15">
      <c r="B74" s="12"/>
      <c r="C74" s="15"/>
      <c r="D74" s="14"/>
      <c r="E74" s="13">
        <f t="shared" si="1"/>
        <v>0</v>
      </c>
    </row>
    <row r="75" spans="2:6" ht="14.25" thickBot="1" x14ac:dyDescent="0.2">
      <c r="B75" s="12"/>
      <c r="C75" s="11"/>
      <c r="D75" s="10"/>
      <c r="E75" s="9">
        <f t="shared" si="1"/>
        <v>0</v>
      </c>
    </row>
    <row r="76" spans="2:6" ht="14.25" thickBot="1" x14ac:dyDescent="0.2">
      <c r="B76" s="8" t="s">
        <v>1</v>
      </c>
      <c r="C76" s="7">
        <f>SUM(C51:C75)</f>
        <v>12</v>
      </c>
      <c r="D76" s="6">
        <f>SUM(D51:D75)</f>
        <v>22</v>
      </c>
      <c r="E76" s="6">
        <f t="shared" si="1"/>
        <v>34</v>
      </c>
    </row>
    <row r="77" spans="2:6" ht="14.25" thickBot="1" x14ac:dyDescent="0.2">
      <c r="B77" s="5" t="s">
        <v>0</v>
      </c>
      <c r="C77" s="4">
        <f>+C50-C76</f>
        <v>6</v>
      </c>
      <c r="D77" s="3">
        <f>+D50-D76</f>
        <v>0</v>
      </c>
      <c r="E77" s="2">
        <f>C77</f>
        <v>6</v>
      </c>
    </row>
    <row r="79" spans="2:6" ht="18.75" x14ac:dyDescent="0.2">
      <c r="B79" s="36" t="s">
        <v>9</v>
      </c>
      <c r="C79" s="35"/>
      <c r="D79" s="35"/>
      <c r="E79" s="35"/>
    </row>
    <row r="80" spans="2:6" ht="14.25" thickBot="1" x14ac:dyDescent="0.2">
      <c r="E80">
        <v>552</v>
      </c>
    </row>
    <row r="81" spans="1:6" ht="14.25" thickBot="1" x14ac:dyDescent="0.2">
      <c r="B81" s="34"/>
      <c r="C81" s="47"/>
      <c r="D81" s="47"/>
      <c r="E81" s="48"/>
    </row>
    <row r="82" spans="1:6" ht="14.25" thickBot="1" x14ac:dyDescent="0.2">
      <c r="A82" s="1"/>
      <c r="B82" s="33"/>
      <c r="C82" s="45" t="s">
        <v>8</v>
      </c>
      <c r="D82" s="46" t="s">
        <v>7</v>
      </c>
      <c r="E82" s="32" t="s">
        <v>6</v>
      </c>
    </row>
    <row r="83" spans="1:6" x14ac:dyDescent="0.15">
      <c r="B83" s="31" t="s">
        <v>0</v>
      </c>
      <c r="C83" s="30">
        <f>C77</f>
        <v>6</v>
      </c>
      <c r="D83" s="29">
        <f>D77</f>
        <v>0</v>
      </c>
      <c r="E83" s="29">
        <f t="shared" ref="E83:E115" si="2">C83+D83</f>
        <v>6</v>
      </c>
    </row>
    <row r="84" spans="1:6" x14ac:dyDescent="0.15">
      <c r="B84" s="40" t="s">
        <v>11</v>
      </c>
      <c r="C84" s="41">
        <v>-1</v>
      </c>
      <c r="D84" s="42">
        <v>2</v>
      </c>
      <c r="E84" s="43">
        <f t="shared" si="2"/>
        <v>1</v>
      </c>
      <c r="F84" s="44">
        <v>44796</v>
      </c>
    </row>
    <row r="85" spans="1:6" x14ac:dyDescent="0.15">
      <c r="B85" s="28" t="s">
        <v>5</v>
      </c>
      <c r="C85" s="15">
        <v>5</v>
      </c>
      <c r="D85" s="14">
        <v>5</v>
      </c>
      <c r="E85" s="13">
        <f t="shared" si="2"/>
        <v>10</v>
      </c>
      <c r="F85" s="23">
        <v>44806</v>
      </c>
    </row>
    <row r="86" spans="1:6" x14ac:dyDescent="0.15">
      <c r="B86" s="28" t="s">
        <v>5</v>
      </c>
      <c r="C86" s="15">
        <v>5</v>
      </c>
      <c r="D86" s="14"/>
      <c r="E86" s="13">
        <f t="shared" si="2"/>
        <v>5</v>
      </c>
      <c r="F86" s="23">
        <v>45017</v>
      </c>
    </row>
    <row r="87" spans="1:6" x14ac:dyDescent="0.15">
      <c r="B87" s="28" t="s">
        <v>5</v>
      </c>
      <c r="C87" s="15">
        <v>5</v>
      </c>
      <c r="D87" s="14"/>
      <c r="E87" s="13">
        <f t="shared" si="2"/>
        <v>5</v>
      </c>
      <c r="F87" s="23">
        <v>45059</v>
      </c>
    </row>
    <row r="88" spans="1:6" ht="14.25" thickBot="1" x14ac:dyDescent="0.2">
      <c r="B88" s="27" t="s">
        <v>5</v>
      </c>
      <c r="C88" s="26"/>
      <c r="D88" s="10">
        <v>3</v>
      </c>
      <c r="E88" s="9">
        <f t="shared" si="2"/>
        <v>3</v>
      </c>
      <c r="F88" s="23">
        <v>45078</v>
      </c>
    </row>
    <row r="89" spans="1:6" ht="14.25" thickBot="1" x14ac:dyDescent="0.2">
      <c r="B89" s="8" t="s">
        <v>4</v>
      </c>
      <c r="C89" s="6">
        <f>SUM(C83:C88)</f>
        <v>20</v>
      </c>
      <c r="D89" s="7">
        <f>SUM(D83:D88)</f>
        <v>10</v>
      </c>
      <c r="E89" s="6">
        <f t="shared" si="2"/>
        <v>30</v>
      </c>
    </row>
    <row r="90" spans="1:6" x14ac:dyDescent="0.15">
      <c r="B90" s="12" t="s">
        <v>3</v>
      </c>
      <c r="C90" s="15">
        <f>1+1+1</f>
        <v>3</v>
      </c>
      <c r="D90" s="14"/>
      <c r="E90" s="13">
        <f t="shared" ref="E90:E110" si="3">C90+D90</f>
        <v>3</v>
      </c>
      <c r="F90" s="23">
        <v>44893</v>
      </c>
    </row>
    <row r="91" spans="1:6" x14ac:dyDescent="0.15">
      <c r="B91" s="12" t="s">
        <v>3</v>
      </c>
      <c r="C91" s="15">
        <v>1</v>
      </c>
      <c r="D91" s="14"/>
      <c r="E91" s="13">
        <f t="shared" si="3"/>
        <v>1</v>
      </c>
      <c r="F91" s="23">
        <v>44904</v>
      </c>
    </row>
    <row r="92" spans="1:6" x14ac:dyDescent="0.15">
      <c r="B92" s="12" t="s">
        <v>3</v>
      </c>
      <c r="C92" s="15"/>
      <c r="D92" s="14">
        <v>1</v>
      </c>
      <c r="E92" s="13">
        <f t="shared" si="3"/>
        <v>1</v>
      </c>
      <c r="F92" s="23">
        <v>44910</v>
      </c>
    </row>
    <row r="93" spans="1:6" x14ac:dyDescent="0.15">
      <c r="B93" s="12" t="s">
        <v>3</v>
      </c>
      <c r="C93" s="15">
        <v>1</v>
      </c>
      <c r="D93" s="14"/>
      <c r="E93" s="13">
        <f t="shared" si="3"/>
        <v>1</v>
      </c>
      <c r="F93" s="23">
        <v>44942</v>
      </c>
    </row>
    <row r="94" spans="1:6" x14ac:dyDescent="0.15">
      <c r="B94" s="12" t="s">
        <v>3</v>
      </c>
      <c r="C94" s="15">
        <v>1</v>
      </c>
      <c r="D94" s="14"/>
      <c r="E94" s="13">
        <f t="shared" si="3"/>
        <v>1</v>
      </c>
      <c r="F94" s="23">
        <v>44963</v>
      </c>
    </row>
    <row r="95" spans="1:6" x14ac:dyDescent="0.15">
      <c r="B95" s="12" t="s">
        <v>3</v>
      </c>
      <c r="C95" s="15">
        <v>1</v>
      </c>
      <c r="D95" s="14">
        <v>1</v>
      </c>
      <c r="E95" s="13">
        <f t="shared" si="3"/>
        <v>2</v>
      </c>
      <c r="F95" s="23">
        <v>44978</v>
      </c>
    </row>
    <row r="96" spans="1:6" x14ac:dyDescent="0.15">
      <c r="B96" s="12" t="s">
        <v>3</v>
      </c>
      <c r="C96" s="15">
        <v>1</v>
      </c>
      <c r="D96" s="14"/>
      <c r="E96" s="13">
        <f t="shared" si="3"/>
        <v>1</v>
      </c>
      <c r="F96" s="23">
        <v>44979</v>
      </c>
    </row>
    <row r="97" spans="2:6" x14ac:dyDescent="0.15">
      <c r="B97" s="12" t="s">
        <v>3</v>
      </c>
      <c r="C97" s="15">
        <v>1</v>
      </c>
      <c r="D97" s="14"/>
      <c r="E97" s="13">
        <f t="shared" si="3"/>
        <v>1</v>
      </c>
      <c r="F97" s="23">
        <v>44991</v>
      </c>
    </row>
    <row r="98" spans="2:6" x14ac:dyDescent="0.15">
      <c r="B98" s="12" t="s">
        <v>3</v>
      </c>
      <c r="C98" s="15">
        <v>2</v>
      </c>
      <c r="D98" s="14"/>
      <c r="E98" s="13">
        <f t="shared" si="3"/>
        <v>2</v>
      </c>
      <c r="F98" s="23">
        <v>45027</v>
      </c>
    </row>
    <row r="99" spans="2:6" x14ac:dyDescent="0.15">
      <c r="B99" s="12" t="s">
        <v>3</v>
      </c>
      <c r="C99" s="15">
        <v>1</v>
      </c>
      <c r="D99" s="14">
        <v>1</v>
      </c>
      <c r="E99" s="13">
        <f t="shared" si="3"/>
        <v>2</v>
      </c>
      <c r="F99" s="23">
        <v>45044</v>
      </c>
    </row>
    <row r="100" spans="2:6" x14ac:dyDescent="0.15">
      <c r="B100" s="12" t="s">
        <v>3</v>
      </c>
      <c r="C100" s="15"/>
      <c r="D100" s="14">
        <v>1</v>
      </c>
      <c r="E100" s="13">
        <f t="shared" si="3"/>
        <v>1</v>
      </c>
      <c r="F100" s="23">
        <v>45059</v>
      </c>
    </row>
    <row r="101" spans="2:6" x14ac:dyDescent="0.15">
      <c r="B101" s="12" t="s">
        <v>3</v>
      </c>
      <c r="C101" s="15">
        <v>1</v>
      </c>
      <c r="D101" s="14"/>
      <c r="E101" s="13">
        <f t="shared" si="3"/>
        <v>1</v>
      </c>
      <c r="F101" s="23">
        <v>45071</v>
      </c>
    </row>
    <row r="102" spans="2:6" x14ac:dyDescent="0.15">
      <c r="B102" s="12" t="s">
        <v>12</v>
      </c>
      <c r="C102" s="15"/>
      <c r="D102" s="14">
        <v>-1</v>
      </c>
      <c r="E102" s="13">
        <f t="shared" si="3"/>
        <v>-1</v>
      </c>
      <c r="F102" s="23">
        <v>45146</v>
      </c>
    </row>
    <row r="103" spans="2:6" x14ac:dyDescent="0.15">
      <c r="B103" s="12" t="s">
        <v>3</v>
      </c>
      <c r="C103" s="15"/>
      <c r="D103" s="14">
        <v>1</v>
      </c>
      <c r="E103" s="13">
        <f t="shared" si="3"/>
        <v>1</v>
      </c>
      <c r="F103" s="23">
        <v>45159</v>
      </c>
    </row>
    <row r="104" spans="2:6" x14ac:dyDescent="0.15">
      <c r="B104" s="12" t="s">
        <v>3</v>
      </c>
      <c r="C104" s="15">
        <v>2</v>
      </c>
      <c r="D104" s="14"/>
      <c r="E104" s="13">
        <f t="shared" si="3"/>
        <v>2</v>
      </c>
      <c r="F104" s="23">
        <v>45163</v>
      </c>
    </row>
    <row r="105" spans="2:6" x14ac:dyDescent="0.15">
      <c r="B105" s="12"/>
      <c r="C105" s="15"/>
      <c r="D105" s="14"/>
      <c r="E105" s="13">
        <f t="shared" si="3"/>
        <v>0</v>
      </c>
    </row>
    <row r="106" spans="2:6" x14ac:dyDescent="0.15">
      <c r="B106" s="12"/>
      <c r="C106" s="15"/>
      <c r="D106" s="14"/>
      <c r="E106" s="13">
        <f t="shared" si="3"/>
        <v>0</v>
      </c>
    </row>
    <row r="107" spans="2:6" x14ac:dyDescent="0.15">
      <c r="B107" s="12"/>
      <c r="C107" s="15"/>
      <c r="D107" s="14"/>
      <c r="E107" s="13">
        <f t="shared" si="3"/>
        <v>0</v>
      </c>
    </row>
    <row r="108" spans="2:6" x14ac:dyDescent="0.15">
      <c r="B108" s="12"/>
      <c r="C108" s="15"/>
      <c r="D108" s="14"/>
      <c r="E108" s="13">
        <f t="shared" si="3"/>
        <v>0</v>
      </c>
    </row>
    <row r="109" spans="2:6" x14ac:dyDescent="0.15">
      <c r="B109" s="12"/>
      <c r="C109" s="15"/>
      <c r="D109" s="14"/>
      <c r="E109" s="13">
        <f t="shared" si="3"/>
        <v>0</v>
      </c>
    </row>
    <row r="110" spans="2:6" x14ac:dyDescent="0.15">
      <c r="B110" s="12"/>
      <c r="C110" s="15"/>
      <c r="D110" s="14"/>
      <c r="E110" s="13">
        <f t="shared" si="3"/>
        <v>0</v>
      </c>
    </row>
    <row r="111" spans="2:6" x14ac:dyDescent="0.15">
      <c r="B111" s="12"/>
      <c r="C111" s="15"/>
      <c r="D111" s="14"/>
      <c r="E111" s="13">
        <f t="shared" si="2"/>
        <v>0</v>
      </c>
    </row>
    <row r="112" spans="2:6" x14ac:dyDescent="0.15">
      <c r="B112" s="12"/>
      <c r="C112" s="15"/>
      <c r="D112" s="14"/>
      <c r="E112" s="13">
        <f t="shared" si="2"/>
        <v>0</v>
      </c>
    </row>
    <row r="113" spans="1:6" x14ac:dyDescent="0.15">
      <c r="B113" s="12"/>
      <c r="C113" s="15"/>
      <c r="D113" s="14"/>
      <c r="E113" s="13">
        <f t="shared" si="2"/>
        <v>0</v>
      </c>
    </row>
    <row r="114" spans="1:6" ht="14.25" thickBot="1" x14ac:dyDescent="0.2">
      <c r="B114" s="12"/>
      <c r="C114" s="11"/>
      <c r="D114" s="10"/>
      <c r="E114" s="9">
        <f t="shared" si="2"/>
        <v>0</v>
      </c>
    </row>
    <row r="115" spans="1:6" ht="14.25" thickBot="1" x14ac:dyDescent="0.2">
      <c r="B115" s="8" t="s">
        <v>1</v>
      </c>
      <c r="C115" s="7">
        <f>SUM(C90:C114)</f>
        <v>15</v>
      </c>
      <c r="D115" s="6">
        <f>SUM(D90:D114)</f>
        <v>4</v>
      </c>
      <c r="E115" s="6">
        <f t="shared" si="2"/>
        <v>19</v>
      </c>
    </row>
    <row r="116" spans="1:6" ht="14.25" thickBot="1" x14ac:dyDescent="0.2">
      <c r="B116" s="5" t="s">
        <v>0</v>
      </c>
      <c r="C116" s="4">
        <f>+C89-C115</f>
        <v>5</v>
      </c>
      <c r="D116" s="3">
        <f>+D89-D115</f>
        <v>6</v>
      </c>
      <c r="E116" s="2">
        <f>C116</f>
        <v>5</v>
      </c>
    </row>
    <row r="118" spans="1:6" ht="18.75" x14ac:dyDescent="0.2">
      <c r="B118" s="36" t="s">
        <v>9</v>
      </c>
      <c r="C118" s="35"/>
      <c r="D118" s="35"/>
      <c r="E118" s="35"/>
    </row>
    <row r="119" spans="1:6" ht="14.25" thickBot="1" x14ac:dyDescent="0.2">
      <c r="E119">
        <v>552</v>
      </c>
    </row>
    <row r="120" spans="1:6" ht="14.25" thickBot="1" x14ac:dyDescent="0.2">
      <c r="B120" s="34"/>
      <c r="C120" s="47"/>
      <c r="D120" s="47"/>
      <c r="E120" s="48"/>
    </row>
    <row r="121" spans="1:6" ht="14.25" thickBot="1" x14ac:dyDescent="0.2">
      <c r="A121" s="1"/>
      <c r="B121" s="33"/>
      <c r="C121" s="45" t="s">
        <v>8</v>
      </c>
      <c r="D121" s="46" t="s">
        <v>7</v>
      </c>
      <c r="E121" s="32" t="s">
        <v>6</v>
      </c>
    </row>
    <row r="122" spans="1:6" x14ac:dyDescent="0.15">
      <c r="B122" s="31" t="s">
        <v>0</v>
      </c>
      <c r="C122" s="30">
        <f>C116</f>
        <v>5</v>
      </c>
      <c r="D122" s="29">
        <f>D116</f>
        <v>6</v>
      </c>
      <c r="E122" s="29">
        <f t="shared" ref="E122:E154" si="4">C122+D122</f>
        <v>11</v>
      </c>
    </row>
    <row r="123" spans="1:6" x14ac:dyDescent="0.15">
      <c r="B123" s="28" t="s">
        <v>5</v>
      </c>
      <c r="C123" s="15">
        <v>5</v>
      </c>
      <c r="D123" s="14"/>
      <c r="E123" s="13">
        <f t="shared" si="4"/>
        <v>5</v>
      </c>
      <c r="F123" s="23">
        <v>45171</v>
      </c>
    </row>
    <row r="124" spans="1:6" x14ac:dyDescent="0.15">
      <c r="B124" s="28" t="s">
        <v>5</v>
      </c>
      <c r="C124" s="15"/>
      <c r="D124" s="14">
        <v>5</v>
      </c>
      <c r="E124" s="13">
        <f t="shared" si="4"/>
        <v>5</v>
      </c>
      <c r="F124" s="23">
        <v>45274</v>
      </c>
    </row>
    <row r="125" spans="1:6" x14ac:dyDescent="0.15">
      <c r="B125" s="28" t="s">
        <v>5</v>
      </c>
      <c r="C125" s="15"/>
      <c r="D125" s="14">
        <v>5</v>
      </c>
      <c r="E125" s="13">
        <f t="shared" si="4"/>
        <v>5</v>
      </c>
      <c r="F125" s="23">
        <v>45320</v>
      </c>
    </row>
    <row r="126" spans="1:6" x14ac:dyDescent="0.15">
      <c r="B126" s="28" t="s">
        <v>5</v>
      </c>
      <c r="C126" s="15">
        <v>10</v>
      </c>
      <c r="D126" s="14"/>
      <c r="E126" s="13">
        <f t="shared" si="4"/>
        <v>10</v>
      </c>
      <c r="F126" s="23">
        <v>45350</v>
      </c>
    </row>
    <row r="127" spans="1:6" ht="14.25" thickBot="1" x14ac:dyDescent="0.2">
      <c r="B127" s="27" t="s">
        <v>5</v>
      </c>
      <c r="C127" s="26">
        <v>10</v>
      </c>
      <c r="D127" s="10"/>
      <c r="E127" s="9">
        <f t="shared" si="4"/>
        <v>10</v>
      </c>
      <c r="F127" s="23">
        <v>45455</v>
      </c>
    </row>
    <row r="128" spans="1:6" ht="14.25" thickBot="1" x14ac:dyDescent="0.2">
      <c r="B128" s="8" t="s">
        <v>4</v>
      </c>
      <c r="C128" s="6">
        <f>SUM(C122:C127)</f>
        <v>30</v>
      </c>
      <c r="D128" s="7">
        <f>SUM(D122:D127)</f>
        <v>16</v>
      </c>
      <c r="E128" s="6">
        <f t="shared" si="4"/>
        <v>46</v>
      </c>
    </row>
    <row r="129" spans="2:6" x14ac:dyDescent="0.15">
      <c r="B129" s="12" t="s">
        <v>3</v>
      </c>
      <c r="C129" s="15">
        <v>1</v>
      </c>
      <c r="D129" s="14"/>
      <c r="E129" s="13">
        <f t="shared" si="4"/>
        <v>1</v>
      </c>
      <c r="F129" s="23">
        <v>45188</v>
      </c>
    </row>
    <row r="130" spans="2:6" x14ac:dyDescent="0.15">
      <c r="B130" s="12" t="s">
        <v>3</v>
      </c>
      <c r="C130" s="15"/>
      <c r="D130" s="14">
        <v>1</v>
      </c>
      <c r="E130" s="13">
        <f t="shared" si="4"/>
        <v>1</v>
      </c>
      <c r="F130" s="23">
        <v>45212</v>
      </c>
    </row>
    <row r="131" spans="2:6" x14ac:dyDescent="0.15">
      <c r="B131" s="12" t="s">
        <v>3</v>
      </c>
      <c r="C131" s="15"/>
      <c r="D131" s="14">
        <v>1</v>
      </c>
      <c r="E131" s="13">
        <f t="shared" si="4"/>
        <v>1</v>
      </c>
      <c r="F131" s="23">
        <v>45216</v>
      </c>
    </row>
    <row r="132" spans="2:6" x14ac:dyDescent="0.15">
      <c r="B132" s="12" t="s">
        <v>3</v>
      </c>
      <c r="C132" s="15"/>
      <c r="D132" s="14">
        <v>1</v>
      </c>
      <c r="E132" s="13">
        <f t="shared" si="4"/>
        <v>1</v>
      </c>
      <c r="F132" s="23">
        <v>45257</v>
      </c>
    </row>
    <row r="133" spans="2:6" x14ac:dyDescent="0.15">
      <c r="B133" s="12" t="s">
        <v>3</v>
      </c>
      <c r="C133" s="15"/>
      <c r="D133" s="14">
        <v>1</v>
      </c>
      <c r="E133" s="13">
        <f t="shared" si="4"/>
        <v>1</v>
      </c>
      <c r="F133" s="23">
        <v>45267</v>
      </c>
    </row>
    <row r="134" spans="2:6" x14ac:dyDescent="0.15">
      <c r="B134" s="12" t="s">
        <v>3</v>
      </c>
      <c r="C134" s="15">
        <v>2</v>
      </c>
      <c r="D134" s="14">
        <v>2</v>
      </c>
      <c r="E134" s="13">
        <f t="shared" si="4"/>
        <v>4</v>
      </c>
      <c r="F134" s="23">
        <v>45296</v>
      </c>
    </row>
    <row r="135" spans="2:6" x14ac:dyDescent="0.15">
      <c r="B135" s="12" t="s">
        <v>3</v>
      </c>
      <c r="C135" s="15">
        <f>1+1</f>
        <v>2</v>
      </c>
      <c r="D135" s="14"/>
      <c r="E135" s="13">
        <f t="shared" si="4"/>
        <v>2</v>
      </c>
      <c r="F135" s="23">
        <v>45335</v>
      </c>
    </row>
    <row r="136" spans="2:6" x14ac:dyDescent="0.15">
      <c r="B136" s="12" t="s">
        <v>3</v>
      </c>
      <c r="C136" s="15">
        <v>2</v>
      </c>
      <c r="D136" s="14"/>
      <c r="E136" s="13">
        <f t="shared" si="4"/>
        <v>2</v>
      </c>
      <c r="F136" s="23">
        <v>45343</v>
      </c>
    </row>
    <row r="137" spans="2:6" x14ac:dyDescent="0.15">
      <c r="B137" s="12" t="s">
        <v>3</v>
      </c>
      <c r="C137" s="15">
        <v>1</v>
      </c>
      <c r="D137" s="14"/>
      <c r="E137" s="13">
        <f t="shared" si="4"/>
        <v>1</v>
      </c>
      <c r="F137" s="23">
        <v>45369</v>
      </c>
    </row>
    <row r="138" spans="2:6" x14ac:dyDescent="0.15">
      <c r="B138" s="12" t="s">
        <v>3</v>
      </c>
      <c r="C138" s="15"/>
      <c r="D138" s="14">
        <v>1</v>
      </c>
      <c r="E138" s="13">
        <f t="shared" si="4"/>
        <v>1</v>
      </c>
      <c r="F138" s="23">
        <v>45376</v>
      </c>
    </row>
    <row r="139" spans="2:6" x14ac:dyDescent="0.15">
      <c r="B139" s="12" t="s">
        <v>3</v>
      </c>
      <c r="C139" s="15">
        <v>1</v>
      </c>
      <c r="D139" s="14"/>
      <c r="E139" s="13">
        <f t="shared" si="4"/>
        <v>1</v>
      </c>
      <c r="F139" s="23">
        <v>45419</v>
      </c>
    </row>
    <row r="140" spans="2:6" x14ac:dyDescent="0.15">
      <c r="B140" s="12" t="s">
        <v>3</v>
      </c>
      <c r="C140" s="15"/>
      <c r="D140" s="14">
        <v>2</v>
      </c>
      <c r="E140" s="13">
        <f t="shared" si="4"/>
        <v>2</v>
      </c>
      <c r="F140" s="23">
        <v>45439</v>
      </c>
    </row>
    <row r="141" spans="2:6" x14ac:dyDescent="0.15">
      <c r="B141" s="12" t="s">
        <v>3</v>
      </c>
      <c r="C141" s="15">
        <v>1</v>
      </c>
      <c r="D141" s="14"/>
      <c r="E141" s="13">
        <f t="shared" si="4"/>
        <v>1</v>
      </c>
      <c r="F141" s="23">
        <v>45453</v>
      </c>
    </row>
    <row r="142" spans="2:6" x14ac:dyDescent="0.15">
      <c r="B142" s="12" t="s">
        <v>13</v>
      </c>
      <c r="C142" s="15">
        <v>10</v>
      </c>
      <c r="D142" s="14"/>
      <c r="E142" s="13">
        <f t="shared" si="4"/>
        <v>10</v>
      </c>
      <c r="F142" s="23"/>
    </row>
    <row r="143" spans="2:6" x14ac:dyDescent="0.15">
      <c r="B143" s="12" t="s">
        <v>3</v>
      </c>
      <c r="C143" s="15">
        <v>2</v>
      </c>
      <c r="D143" s="14"/>
      <c r="E143" s="13">
        <f t="shared" si="4"/>
        <v>2</v>
      </c>
      <c r="F143" s="23">
        <v>45455</v>
      </c>
    </row>
    <row r="144" spans="2:6" x14ac:dyDescent="0.15">
      <c r="B144" s="12" t="s">
        <v>3</v>
      </c>
      <c r="C144" s="15"/>
      <c r="D144" s="14">
        <v>1</v>
      </c>
      <c r="E144" s="13">
        <f t="shared" si="4"/>
        <v>1</v>
      </c>
      <c r="F144" s="23">
        <v>45464</v>
      </c>
    </row>
    <row r="145" spans="1:6" x14ac:dyDescent="0.15">
      <c r="B145" s="12" t="s">
        <v>3</v>
      </c>
      <c r="C145" s="15"/>
      <c r="D145" s="14">
        <v>1</v>
      </c>
      <c r="E145" s="13">
        <f t="shared" si="4"/>
        <v>1</v>
      </c>
      <c r="F145" s="23">
        <v>45520</v>
      </c>
    </row>
    <row r="146" spans="1:6" x14ac:dyDescent="0.15">
      <c r="B146" s="12" t="s">
        <v>14</v>
      </c>
      <c r="C146" s="15">
        <v>0</v>
      </c>
      <c r="D146" s="14">
        <v>0</v>
      </c>
      <c r="E146" s="13">
        <f t="shared" si="4"/>
        <v>0</v>
      </c>
      <c r="F146" s="23">
        <v>45526</v>
      </c>
    </row>
    <row r="147" spans="1:6" x14ac:dyDescent="0.15">
      <c r="B147" s="12" t="s">
        <v>3</v>
      </c>
      <c r="C147" s="15">
        <v>1</v>
      </c>
      <c r="D147" s="14"/>
      <c r="E147" s="13">
        <f t="shared" si="4"/>
        <v>1</v>
      </c>
      <c r="F147" s="23">
        <v>45534</v>
      </c>
    </row>
    <row r="148" spans="1:6" x14ac:dyDescent="0.15">
      <c r="B148" s="12" t="s">
        <v>3</v>
      </c>
      <c r="C148" s="15"/>
      <c r="D148" s="14">
        <v>1</v>
      </c>
      <c r="E148" s="13">
        <f t="shared" si="4"/>
        <v>1</v>
      </c>
      <c r="F148" s="23">
        <v>45567</v>
      </c>
    </row>
    <row r="149" spans="1:6" x14ac:dyDescent="0.15">
      <c r="B149" s="12" t="s">
        <v>3</v>
      </c>
      <c r="C149" s="15">
        <v>1</v>
      </c>
      <c r="D149" s="14"/>
      <c r="E149" s="13">
        <f t="shared" si="4"/>
        <v>1</v>
      </c>
      <c r="F149" s="23">
        <v>45622</v>
      </c>
    </row>
    <row r="150" spans="1:6" x14ac:dyDescent="0.15">
      <c r="B150" s="12" t="s">
        <v>3</v>
      </c>
      <c r="C150" s="15">
        <v>1</v>
      </c>
      <c r="D150" s="14"/>
      <c r="E150" s="13">
        <f t="shared" si="4"/>
        <v>1</v>
      </c>
      <c r="F150" s="23">
        <v>45624</v>
      </c>
    </row>
    <row r="151" spans="1:6" x14ac:dyDescent="0.15">
      <c r="B151" s="12" t="s">
        <v>3</v>
      </c>
      <c r="C151" s="15"/>
      <c r="D151" s="14">
        <v>2</v>
      </c>
      <c r="E151" s="13">
        <f t="shared" si="4"/>
        <v>2</v>
      </c>
      <c r="F151" s="23">
        <v>45647</v>
      </c>
    </row>
    <row r="152" spans="1:6" x14ac:dyDescent="0.15">
      <c r="B152" s="12" t="s">
        <v>3</v>
      </c>
      <c r="C152" s="15">
        <v>1</v>
      </c>
      <c r="D152" s="14"/>
      <c r="E152" s="13">
        <f t="shared" si="4"/>
        <v>1</v>
      </c>
      <c r="F152" s="23">
        <v>45706</v>
      </c>
    </row>
    <row r="153" spans="1:6" ht="14.25" thickBot="1" x14ac:dyDescent="0.2">
      <c r="B153" s="12" t="s">
        <v>3</v>
      </c>
      <c r="C153" s="11"/>
      <c r="D153" s="10">
        <v>2</v>
      </c>
      <c r="E153" s="9">
        <f t="shared" si="4"/>
        <v>2</v>
      </c>
      <c r="F153" s="23">
        <v>45713</v>
      </c>
    </row>
    <row r="154" spans="1:6" ht="14.25" thickBot="1" x14ac:dyDescent="0.2">
      <c r="B154" s="8" t="s">
        <v>1</v>
      </c>
      <c r="C154" s="7">
        <f>SUM(C129:C153)</f>
        <v>26</v>
      </c>
      <c r="D154" s="6">
        <f>SUM(D129:D153)</f>
        <v>16</v>
      </c>
      <c r="E154" s="6">
        <f t="shared" si="4"/>
        <v>42</v>
      </c>
    </row>
    <row r="155" spans="1:6" ht="14.25" thickBot="1" x14ac:dyDescent="0.2">
      <c r="B155" s="5" t="s">
        <v>0</v>
      </c>
      <c r="C155" s="4">
        <f>+C128-C154</f>
        <v>4</v>
      </c>
      <c r="D155" s="3">
        <f>+D128-D154</f>
        <v>0</v>
      </c>
      <c r="E155" s="2">
        <f>C155</f>
        <v>4</v>
      </c>
    </row>
    <row r="157" spans="1:6" ht="18.75" x14ac:dyDescent="0.2">
      <c r="B157" s="36" t="s">
        <v>9</v>
      </c>
      <c r="C157" s="35"/>
      <c r="D157" s="35"/>
      <c r="E157" s="35"/>
    </row>
    <row r="158" spans="1:6" ht="14.25" thickBot="1" x14ac:dyDescent="0.2">
      <c r="E158">
        <v>552</v>
      </c>
    </row>
    <row r="159" spans="1:6" ht="14.25" thickBot="1" x14ac:dyDescent="0.2">
      <c r="B159" s="34"/>
      <c r="C159" s="47"/>
      <c r="D159" s="47"/>
      <c r="E159" s="48"/>
    </row>
    <row r="160" spans="1:6" ht="14.25" thickBot="1" x14ac:dyDescent="0.2">
      <c r="A160" s="1"/>
      <c r="B160" s="33"/>
      <c r="C160" s="45" t="s">
        <v>8</v>
      </c>
      <c r="D160" s="46" t="s">
        <v>7</v>
      </c>
      <c r="E160" s="32" t="s">
        <v>6</v>
      </c>
    </row>
    <row r="161" spans="2:6" x14ac:dyDescent="0.15">
      <c r="B161" s="31" t="s">
        <v>0</v>
      </c>
      <c r="C161" s="30">
        <f>C155</f>
        <v>4</v>
      </c>
      <c r="D161" s="29">
        <f>D155</f>
        <v>0</v>
      </c>
      <c r="E161" s="29">
        <f t="shared" ref="E161:E193" si="5">C161+D161</f>
        <v>4</v>
      </c>
    </row>
    <row r="162" spans="2:6" x14ac:dyDescent="0.15">
      <c r="B162" s="28" t="s">
        <v>5</v>
      </c>
      <c r="C162" s="15"/>
      <c r="D162" s="14">
        <v>3</v>
      </c>
      <c r="E162" s="13">
        <f t="shared" si="5"/>
        <v>3</v>
      </c>
      <c r="F162" s="23">
        <v>45665</v>
      </c>
    </row>
    <row r="163" spans="2:6" x14ac:dyDescent="0.15">
      <c r="B163" s="28" t="s">
        <v>5</v>
      </c>
      <c r="C163" s="15">
        <v>3</v>
      </c>
      <c r="D163" s="14">
        <v>3</v>
      </c>
      <c r="E163" s="13">
        <f t="shared" si="5"/>
        <v>6</v>
      </c>
      <c r="F163" s="23">
        <v>45759</v>
      </c>
    </row>
    <row r="164" spans="2:6" x14ac:dyDescent="0.15">
      <c r="B164" s="28" t="s">
        <v>5</v>
      </c>
      <c r="C164" s="15">
        <v>10</v>
      </c>
      <c r="D164" s="14"/>
      <c r="E164" s="13">
        <f t="shared" si="5"/>
        <v>10</v>
      </c>
      <c r="F164" s="23">
        <v>45812</v>
      </c>
    </row>
    <row r="165" spans="2:6" x14ac:dyDescent="0.15">
      <c r="B165" s="28" t="s">
        <v>5</v>
      </c>
      <c r="C165" s="15"/>
      <c r="D165" s="14">
        <v>3</v>
      </c>
      <c r="E165" s="13">
        <f t="shared" si="5"/>
        <v>3</v>
      </c>
      <c r="F165" s="23">
        <v>46136</v>
      </c>
    </row>
    <row r="166" spans="2:6" ht="14.25" thickBot="1" x14ac:dyDescent="0.2">
      <c r="B166" s="49" t="s">
        <v>5</v>
      </c>
      <c r="C166" s="50"/>
      <c r="D166" s="51">
        <v>3</v>
      </c>
      <c r="E166" s="52">
        <f t="shared" si="5"/>
        <v>3</v>
      </c>
      <c r="F166" s="53">
        <v>46191</v>
      </c>
    </row>
    <row r="167" spans="2:6" ht="14.25" thickBot="1" x14ac:dyDescent="0.2">
      <c r="B167" s="8" t="s">
        <v>4</v>
      </c>
      <c r="C167" s="6">
        <f>SUM(C161:C166)</f>
        <v>17</v>
      </c>
      <c r="D167" s="7">
        <f>SUM(D161:D166)</f>
        <v>12</v>
      </c>
      <c r="E167" s="6">
        <f t="shared" si="5"/>
        <v>29</v>
      </c>
    </row>
    <row r="168" spans="2:6" x14ac:dyDescent="0.15">
      <c r="B168" s="12" t="s">
        <v>3</v>
      </c>
      <c r="C168" s="15">
        <v>1</v>
      </c>
      <c r="D168" s="14"/>
      <c r="E168" s="13">
        <f t="shared" si="5"/>
        <v>1</v>
      </c>
      <c r="F168" s="23">
        <v>45726</v>
      </c>
    </row>
    <row r="169" spans="2:6" x14ac:dyDescent="0.15">
      <c r="B169" s="12" t="s">
        <v>3</v>
      </c>
      <c r="C169" s="15"/>
      <c r="D169" s="14">
        <v>1</v>
      </c>
      <c r="E169" s="13">
        <f t="shared" si="5"/>
        <v>1</v>
      </c>
      <c r="F169" s="23">
        <v>45735</v>
      </c>
    </row>
    <row r="170" spans="2:6" x14ac:dyDescent="0.15">
      <c r="B170" s="12" t="s">
        <v>3</v>
      </c>
      <c r="C170" s="15">
        <v>1</v>
      </c>
      <c r="D170" s="14"/>
      <c r="E170" s="13">
        <f t="shared" si="5"/>
        <v>1</v>
      </c>
      <c r="F170" s="23">
        <v>45803</v>
      </c>
    </row>
    <row r="171" spans="2:6" x14ac:dyDescent="0.15">
      <c r="B171" s="12" t="s">
        <v>3</v>
      </c>
      <c r="C171" s="15">
        <v>8</v>
      </c>
      <c r="D171" s="14"/>
      <c r="E171" s="13">
        <f t="shared" si="5"/>
        <v>8</v>
      </c>
      <c r="F171" s="23">
        <v>45812</v>
      </c>
    </row>
    <row r="172" spans="2:6" x14ac:dyDescent="0.15">
      <c r="B172" s="12" t="s">
        <v>3</v>
      </c>
      <c r="C172" s="15">
        <v>1</v>
      </c>
      <c r="D172" s="14"/>
      <c r="E172" s="13">
        <f t="shared" si="5"/>
        <v>1</v>
      </c>
      <c r="F172" s="23">
        <v>45818</v>
      </c>
    </row>
    <row r="173" spans="2:6" x14ac:dyDescent="0.15">
      <c r="B173" s="12" t="s">
        <v>3</v>
      </c>
      <c r="C173" s="15">
        <v>1</v>
      </c>
      <c r="D173" s="14">
        <v>1</v>
      </c>
      <c r="E173" s="13">
        <f t="shared" si="5"/>
        <v>2</v>
      </c>
      <c r="F173" s="23">
        <v>45874</v>
      </c>
    </row>
    <row r="174" spans="2:6" x14ac:dyDescent="0.15">
      <c r="B174" s="12" t="s">
        <v>15</v>
      </c>
      <c r="C174" s="15">
        <v>0</v>
      </c>
      <c r="D174" s="14">
        <v>0</v>
      </c>
      <c r="E174" s="13">
        <f t="shared" si="5"/>
        <v>0</v>
      </c>
      <c r="F174" s="23">
        <v>45889</v>
      </c>
    </row>
    <row r="175" spans="2:6" x14ac:dyDescent="0.15">
      <c r="B175" s="12" t="s">
        <v>3</v>
      </c>
      <c r="C175" s="15">
        <v>1</v>
      </c>
      <c r="D175" s="14"/>
      <c r="E175" s="13">
        <f t="shared" si="5"/>
        <v>1</v>
      </c>
      <c r="F175" s="23">
        <v>46006</v>
      </c>
    </row>
    <row r="176" spans="2:6" x14ac:dyDescent="0.15">
      <c r="B176" s="12" t="s">
        <v>2</v>
      </c>
      <c r="C176" s="15">
        <v>0</v>
      </c>
      <c r="D176" s="14">
        <v>0</v>
      </c>
      <c r="E176" s="13">
        <f t="shared" si="5"/>
        <v>0</v>
      </c>
      <c r="F176" s="23">
        <v>46078</v>
      </c>
    </row>
    <row r="177" spans="2:6" x14ac:dyDescent="0.15">
      <c r="B177" s="12" t="s">
        <v>3</v>
      </c>
      <c r="C177" s="15"/>
      <c r="D177" s="14">
        <v>1</v>
      </c>
      <c r="E177" s="13">
        <f t="shared" si="5"/>
        <v>1</v>
      </c>
      <c r="F177" s="23">
        <v>46087</v>
      </c>
    </row>
    <row r="178" spans="2:6" x14ac:dyDescent="0.15">
      <c r="B178" s="12" t="s">
        <v>3</v>
      </c>
      <c r="C178" s="15"/>
      <c r="D178" s="14">
        <v>1</v>
      </c>
      <c r="E178" s="13">
        <f t="shared" si="5"/>
        <v>1</v>
      </c>
      <c r="F178" s="23">
        <v>46104</v>
      </c>
    </row>
    <row r="179" spans="2:6" x14ac:dyDescent="0.15">
      <c r="B179" s="12" t="s">
        <v>3</v>
      </c>
      <c r="C179" s="15"/>
      <c r="D179" s="14">
        <v>1</v>
      </c>
      <c r="E179" s="13">
        <f t="shared" si="5"/>
        <v>1</v>
      </c>
      <c r="F179" s="23">
        <v>46167</v>
      </c>
    </row>
    <row r="180" spans="2:6" x14ac:dyDescent="0.15">
      <c r="B180" s="12" t="s">
        <v>3</v>
      </c>
      <c r="C180" s="15"/>
      <c r="D180" s="14">
        <v>1</v>
      </c>
      <c r="E180" s="13">
        <f t="shared" si="5"/>
        <v>1</v>
      </c>
      <c r="F180" s="23">
        <v>46168</v>
      </c>
    </row>
    <row r="181" spans="2:6" x14ac:dyDescent="0.15">
      <c r="B181" s="12" t="s">
        <v>3</v>
      </c>
      <c r="C181" s="15">
        <v>1</v>
      </c>
      <c r="D181" s="14"/>
      <c r="E181" s="13">
        <f t="shared" si="5"/>
        <v>1</v>
      </c>
      <c r="F181" s="23">
        <v>46190</v>
      </c>
    </row>
    <row r="182" spans="2:6" x14ac:dyDescent="0.15">
      <c r="B182" s="12"/>
      <c r="C182" s="15"/>
      <c r="D182" s="14"/>
      <c r="E182" s="13">
        <f t="shared" si="5"/>
        <v>0</v>
      </c>
    </row>
    <row r="183" spans="2:6" x14ac:dyDescent="0.15">
      <c r="B183" s="12"/>
      <c r="C183" s="15"/>
      <c r="D183" s="14"/>
      <c r="E183" s="13">
        <f t="shared" si="5"/>
        <v>0</v>
      </c>
    </row>
    <row r="184" spans="2:6" x14ac:dyDescent="0.15">
      <c r="B184" s="12"/>
      <c r="C184" s="15"/>
      <c r="D184" s="14"/>
      <c r="E184" s="13">
        <f t="shared" si="5"/>
        <v>0</v>
      </c>
    </row>
    <row r="185" spans="2:6" x14ac:dyDescent="0.15">
      <c r="B185" s="12"/>
      <c r="C185" s="15"/>
      <c r="D185" s="14"/>
      <c r="E185" s="13">
        <f t="shared" si="5"/>
        <v>0</v>
      </c>
    </row>
    <row r="186" spans="2:6" x14ac:dyDescent="0.15">
      <c r="B186" s="12"/>
      <c r="C186" s="15"/>
      <c r="D186" s="14"/>
      <c r="E186" s="13">
        <f t="shared" si="5"/>
        <v>0</v>
      </c>
    </row>
    <row r="187" spans="2:6" x14ac:dyDescent="0.15">
      <c r="B187" s="12"/>
      <c r="C187" s="15"/>
      <c r="D187" s="14"/>
      <c r="E187" s="13">
        <f t="shared" si="5"/>
        <v>0</v>
      </c>
    </row>
    <row r="188" spans="2:6" x14ac:dyDescent="0.15">
      <c r="B188" s="12"/>
      <c r="C188" s="15"/>
      <c r="D188" s="14"/>
      <c r="E188" s="13">
        <f t="shared" si="5"/>
        <v>0</v>
      </c>
    </row>
    <row r="189" spans="2:6" x14ac:dyDescent="0.15">
      <c r="B189" s="12"/>
      <c r="C189" s="15"/>
      <c r="D189" s="14"/>
      <c r="E189" s="13">
        <f t="shared" si="5"/>
        <v>0</v>
      </c>
    </row>
    <row r="190" spans="2:6" x14ac:dyDescent="0.15">
      <c r="B190" s="12"/>
      <c r="C190" s="15"/>
      <c r="D190" s="14"/>
      <c r="E190" s="13">
        <f t="shared" si="5"/>
        <v>0</v>
      </c>
    </row>
    <row r="191" spans="2:6" x14ac:dyDescent="0.15">
      <c r="B191" s="12"/>
      <c r="C191" s="15"/>
      <c r="D191" s="14"/>
      <c r="E191" s="13">
        <f t="shared" si="5"/>
        <v>0</v>
      </c>
    </row>
    <row r="192" spans="2:6" ht="14.25" thickBot="1" x14ac:dyDescent="0.2">
      <c r="B192" s="12"/>
      <c r="C192" s="11"/>
      <c r="D192" s="10"/>
      <c r="E192" s="9">
        <f t="shared" si="5"/>
        <v>0</v>
      </c>
    </row>
    <row r="193" spans="2:5" ht="14.25" thickBot="1" x14ac:dyDescent="0.2">
      <c r="B193" s="8" t="s">
        <v>1</v>
      </c>
      <c r="C193" s="7">
        <f>SUM(C168:C192)</f>
        <v>14</v>
      </c>
      <c r="D193" s="6">
        <f>SUM(D168:D192)</f>
        <v>6</v>
      </c>
      <c r="E193" s="6">
        <f t="shared" si="5"/>
        <v>20</v>
      </c>
    </row>
    <row r="194" spans="2:5" ht="14.25" thickBot="1" x14ac:dyDescent="0.2">
      <c r="B194" s="5" t="s">
        <v>0</v>
      </c>
      <c r="C194" s="4">
        <f>+C167-C193</f>
        <v>3</v>
      </c>
      <c r="D194" s="3">
        <f>+D167-D193</f>
        <v>6</v>
      </c>
      <c r="E194" s="2">
        <f>C194</f>
        <v>3</v>
      </c>
    </row>
  </sheetData>
  <mergeCells count="5">
    <mergeCell ref="C3:E3"/>
    <mergeCell ref="C42:E42"/>
    <mergeCell ref="C81:E81"/>
    <mergeCell ref="C120:E120"/>
    <mergeCell ref="C159:E159"/>
  </mergeCells>
  <phoneticPr fontId="2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かかとサポーター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</dc:creator>
  <cp:lastModifiedBy>AT MR</cp:lastModifiedBy>
  <dcterms:created xsi:type="dcterms:W3CDTF">2021-12-21T06:42:39Z</dcterms:created>
  <dcterms:modified xsi:type="dcterms:W3CDTF">2026-06-18T09:14:27Z</dcterms:modified>
</cp:coreProperties>
</file>