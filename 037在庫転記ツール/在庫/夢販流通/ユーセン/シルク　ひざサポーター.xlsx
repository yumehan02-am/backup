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58D738DC-82CA-4B89-8B83-5F16465CA7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かかとサポータ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4" i="1" l="1"/>
  <c r="C154" i="1"/>
  <c r="E154" i="1" s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7" i="1"/>
  <c r="E126" i="1"/>
  <c r="E125" i="1"/>
  <c r="E124" i="1"/>
  <c r="E123" i="1"/>
  <c r="D122" i="1"/>
  <c r="D128" i="1" s="1"/>
  <c r="D155" i="1" s="1"/>
  <c r="C122" i="1"/>
  <c r="C128" i="1" s="1"/>
  <c r="D115" i="1"/>
  <c r="C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D89" i="1"/>
  <c r="C89" i="1"/>
  <c r="E88" i="1"/>
  <c r="E87" i="1"/>
  <c r="E86" i="1"/>
  <c r="E85" i="1"/>
  <c r="E84" i="1"/>
  <c r="E83" i="1"/>
  <c r="D83" i="1"/>
  <c r="C83" i="1"/>
  <c r="E56" i="1"/>
  <c r="C155" i="1" l="1"/>
  <c r="E155" i="1" s="1"/>
  <c r="E128" i="1"/>
  <c r="E122" i="1"/>
  <c r="C116" i="1"/>
  <c r="E116" i="1" s="1"/>
  <c r="D116" i="1"/>
  <c r="E89" i="1"/>
  <c r="E115" i="1"/>
  <c r="E5" i="1"/>
  <c r="E6" i="1"/>
  <c r="E7" i="1"/>
  <c r="E8" i="1"/>
  <c r="E9" i="1"/>
  <c r="E10" i="1"/>
  <c r="C11" i="1"/>
  <c r="D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D37" i="1"/>
  <c r="E45" i="1"/>
  <c r="E46" i="1"/>
  <c r="E47" i="1"/>
  <c r="E48" i="1"/>
  <c r="E49" i="1"/>
  <c r="E51" i="1"/>
  <c r="E52" i="1"/>
  <c r="E53" i="1"/>
  <c r="E54" i="1"/>
  <c r="E55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C76" i="1"/>
  <c r="D76" i="1"/>
  <c r="E76" i="1" l="1"/>
  <c r="D38" i="1"/>
  <c r="D44" i="1" s="1"/>
  <c r="D50" i="1" s="1"/>
  <c r="D77" i="1" s="1"/>
  <c r="E11" i="1"/>
  <c r="C37" i="1"/>
  <c r="E37" i="1" s="1"/>
  <c r="C38" i="1" l="1"/>
  <c r="E38" i="1" l="1"/>
  <c r="C44" i="1"/>
  <c r="C50" i="1" l="1"/>
  <c r="E44" i="1"/>
  <c r="C77" i="1" l="1"/>
  <c r="E77" i="1" s="1"/>
  <c r="E50" i="1"/>
</calcChain>
</file>

<file path=xl/sharedStrings.xml><?xml version="1.0" encoding="utf-8"?>
<sst xmlns="http://schemas.openxmlformats.org/spreadsheetml/2006/main" count="104" uniqueCount="14">
  <si>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</si>
  <si>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</si>
  <si>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</si>
  <si>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</si>
  <si>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</si>
  <si>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初回</t>
    <rPh sb="0" eb="2">
      <t>ショカイ</t>
    </rPh>
    <phoneticPr fontId="2"/>
  </si>
  <si>
    <t>グレー</t>
    <phoneticPr fontId="2"/>
  </si>
  <si>
    <t>シルク伸びる膝サポータ＜夢販在庫＞　</t>
    <rPh sb="3" eb="4">
      <t>ノ</t>
    </rPh>
    <rPh sb="6" eb="7">
      <t>ヒザ</t>
    </rPh>
    <rPh sb="12" eb="16">
      <t>ユメハンザイコ</t>
    </rPh>
    <phoneticPr fontId="2"/>
  </si>
  <si>
    <t>ベージュ</t>
    <phoneticPr fontId="2"/>
  </si>
  <si>
    <t>ネット</t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</si>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</sst>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2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56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1" fillId="0" borderId="9" xfId="0" applyFont="1" applyBorder="1"/>
    <xf numFmtId="0" fontId="1" fillId="0" borderId="11" xfId="0" applyFont="1" applyBorder="1"/>
    <xf numFmtId="56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56" fontId="3" fillId="0" borderId="12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56" fontId="1" fillId="0" borderId="0" xfId="0" applyNumberFormat="1" applyFont="1"/>
    <xf numFmtId="56" fontId="0" fillId="0" borderId="12" xfId="0" applyNumberFormat="1" applyBorder="1" applyAlignment="1">
      <alignment horizontal="center"/>
    </xf>
    <xf numFmtId="56" fontId="0" fillId="0" borderId="16" xfId="0" applyNumberForma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tabSelected="1" topLeftCell="A119" zoomScaleNormal="100" workbookViewId="0">
      <selection activeCell="D141" sqref="D141"/>
    </sheetView>
  </sheetViews>
  <sheetFormatPr defaultRowHeight="13.5" x14ac:dyDescent="0.15"/>
  <cols>
    <col min="2" max="2" width="22.75" style="1" customWidth="1"/>
    <col min="3" max="4" width="11.75" customWidth="1"/>
    <col min="5" max="5" width="11.375" customWidth="1"/>
    <col min="6" max="6" width="9.25" bestFit="1" customWidth="1"/>
  </cols>
  <sheetData>
    <row r="1" spans="2:7" ht="18.75" x14ac:dyDescent="0.2">
      <c r="B1" s="31" t="s">
        <v>7</v>
      </c>
      <c r="C1" s="30"/>
      <c r="D1" s="30"/>
      <c r="E1" s="30"/>
      <c r="F1" s="30"/>
      <c r="G1" s="30"/>
    </row>
    <row r="2" spans="2:7" ht="14.25" thickBot="1" x14ac:dyDescent="0.2">
      <c r="E2">
        <v>828</v>
      </c>
    </row>
    <row r="3" spans="2:7" ht="14.25" thickBot="1" x14ac:dyDescent="0.2">
      <c r="B3" s="29"/>
      <c r="C3" s="38"/>
      <c r="D3" s="38"/>
      <c r="E3" s="39"/>
    </row>
    <row r="4" spans="2:7" s="1" customFormat="1" ht="14.25" thickBot="1" x14ac:dyDescent="0.2">
      <c r="B4" s="28"/>
      <c r="C4" s="36" t="s">
        <v>6</v>
      </c>
      <c r="D4" s="37" t="s">
        <v>8</v>
      </c>
      <c r="E4" s="27" t="s">
        <v>4</v>
      </c>
    </row>
    <row r="5" spans="2:7" ht="14.25" customHeight="1" x14ac:dyDescent="0.15">
      <c r="B5" s="34" t="s">
        <v>5</v>
      </c>
      <c r="C5" s="20">
        <v>3</v>
      </c>
      <c r="D5" s="19">
        <v>3</v>
      </c>
      <c r="E5" s="19">
        <f t="shared" ref="E5:E37" si="0">C5+D5</f>
        <v>6</v>
      </c>
      <c r="F5" s="18"/>
    </row>
    <row r="6" spans="2:7" x14ac:dyDescent="0.15">
      <c r="B6" s="23" t="s">
        <v>3</v>
      </c>
      <c r="C6" s="15"/>
      <c r="D6" s="14">
        <v>2</v>
      </c>
      <c r="E6" s="13">
        <f t="shared" si="0"/>
        <v>2</v>
      </c>
      <c r="F6" s="18">
        <v>45106</v>
      </c>
    </row>
    <row r="7" spans="2:7" x14ac:dyDescent="0.15">
      <c r="B7" s="23" t="s">
        <v>10</v>
      </c>
      <c r="C7" s="15">
        <v>0</v>
      </c>
      <c r="D7" s="14">
        <v>0</v>
      </c>
      <c r="E7" s="13">
        <f t="shared" si="0"/>
        <v>0</v>
      </c>
      <c r="F7" s="18">
        <v>45146</v>
      </c>
    </row>
    <row r="8" spans="2:7" x14ac:dyDescent="0.15">
      <c r="B8" s="23" t="s">
        <v>3</v>
      </c>
      <c r="C8" s="15">
        <v>2</v>
      </c>
      <c r="D8" s="14">
        <v>2</v>
      </c>
      <c r="E8" s="13">
        <f t="shared" si="0"/>
        <v>4</v>
      </c>
      <c r="F8" s="18">
        <v>45155</v>
      </c>
    </row>
    <row r="9" spans="2:7" x14ac:dyDescent="0.15">
      <c r="B9" s="23" t="s">
        <v>3</v>
      </c>
      <c r="C9" s="15"/>
      <c r="D9" s="14">
        <v>2</v>
      </c>
      <c r="E9" s="13">
        <f t="shared" si="0"/>
        <v>2</v>
      </c>
      <c r="F9" s="18">
        <v>45238</v>
      </c>
    </row>
    <row r="10" spans="2:7" ht="14.25" thickBot="1" x14ac:dyDescent="0.2">
      <c r="B10" s="22" t="s">
        <v>3</v>
      </c>
      <c r="C10" s="21"/>
      <c r="D10" s="10">
        <v>3</v>
      </c>
      <c r="E10" s="9">
        <f t="shared" si="0"/>
        <v>3</v>
      </c>
      <c r="F10" s="18">
        <v>45302</v>
      </c>
    </row>
    <row r="11" spans="2:7" ht="14.25" thickBot="1" x14ac:dyDescent="0.2">
      <c r="B11" s="8" t="s">
        <v>2</v>
      </c>
      <c r="C11" s="6">
        <f>SUM(C5:C10)</f>
        <v>5</v>
      </c>
      <c r="D11" s="7">
        <f>SUM(D5:D10)</f>
        <v>12</v>
      </c>
      <c r="E11" s="6">
        <f t="shared" si="0"/>
        <v>17</v>
      </c>
    </row>
    <row r="12" spans="2:7" x14ac:dyDescent="0.15">
      <c r="B12" s="35" t="s">
        <v>9</v>
      </c>
      <c r="C12" s="20"/>
      <c r="D12" s="19">
        <v>1</v>
      </c>
      <c r="E12" s="13">
        <f t="shared" si="0"/>
        <v>1</v>
      </c>
      <c r="F12" s="18">
        <v>45058</v>
      </c>
    </row>
    <row r="13" spans="2:7" x14ac:dyDescent="0.15">
      <c r="B13" s="12" t="s">
        <v>9</v>
      </c>
      <c r="C13" s="15">
        <v>1</v>
      </c>
      <c r="D13" s="14"/>
      <c r="E13" s="13">
        <f t="shared" si="0"/>
        <v>1</v>
      </c>
      <c r="F13" s="18">
        <v>45063</v>
      </c>
    </row>
    <row r="14" spans="2:7" x14ac:dyDescent="0.15">
      <c r="B14" s="12" t="s">
        <v>9</v>
      </c>
      <c r="C14" s="15"/>
      <c r="D14" s="14">
        <v>1</v>
      </c>
      <c r="E14" s="13">
        <f t="shared" si="0"/>
        <v>1</v>
      </c>
      <c r="F14" s="18">
        <v>45071</v>
      </c>
    </row>
    <row r="15" spans="2:7" x14ac:dyDescent="0.15">
      <c r="B15" s="12" t="s">
        <v>9</v>
      </c>
      <c r="C15" s="15"/>
      <c r="D15" s="14">
        <v>1</v>
      </c>
      <c r="E15" s="13">
        <f t="shared" si="0"/>
        <v>1</v>
      </c>
      <c r="F15" s="18">
        <v>45110</v>
      </c>
    </row>
    <row r="16" spans="2:7" x14ac:dyDescent="0.15">
      <c r="B16" s="12" t="s">
        <v>9</v>
      </c>
      <c r="C16" s="15"/>
      <c r="D16" s="14">
        <v>1</v>
      </c>
      <c r="E16" s="13">
        <f t="shared" si="0"/>
        <v>1</v>
      </c>
      <c r="F16" s="18">
        <v>45136</v>
      </c>
    </row>
    <row r="17" spans="2:6" x14ac:dyDescent="0.15">
      <c r="B17" s="12" t="s">
        <v>9</v>
      </c>
      <c r="C17" s="15">
        <v>1</v>
      </c>
      <c r="D17" s="14"/>
      <c r="E17" s="13">
        <f t="shared" si="0"/>
        <v>1</v>
      </c>
      <c r="F17" s="18">
        <v>45148</v>
      </c>
    </row>
    <row r="18" spans="2:6" x14ac:dyDescent="0.15">
      <c r="B18" s="12" t="s">
        <v>9</v>
      </c>
      <c r="C18" s="15"/>
      <c r="D18" s="14">
        <v>2</v>
      </c>
      <c r="E18" s="13">
        <f t="shared" si="0"/>
        <v>2</v>
      </c>
      <c r="F18" s="18">
        <v>45229</v>
      </c>
    </row>
    <row r="19" spans="2:6" x14ac:dyDescent="0.15">
      <c r="B19" s="12" t="s">
        <v>9</v>
      </c>
      <c r="C19" s="17"/>
      <c r="D19" s="16">
        <v>1</v>
      </c>
      <c r="E19" s="13">
        <f t="shared" si="0"/>
        <v>1</v>
      </c>
      <c r="F19" s="18">
        <v>45259</v>
      </c>
    </row>
    <row r="20" spans="2:6" x14ac:dyDescent="0.15">
      <c r="B20" s="12" t="s">
        <v>9</v>
      </c>
      <c r="C20" s="15"/>
      <c r="D20" s="14">
        <v>2</v>
      </c>
      <c r="E20" s="13">
        <f t="shared" si="0"/>
        <v>2</v>
      </c>
      <c r="F20" s="18">
        <v>45296</v>
      </c>
    </row>
    <row r="21" spans="2:6" x14ac:dyDescent="0.15">
      <c r="B21" s="12" t="s">
        <v>9</v>
      </c>
      <c r="C21" s="15">
        <v>1</v>
      </c>
      <c r="D21" s="14">
        <v>1</v>
      </c>
      <c r="E21" s="13">
        <f t="shared" si="0"/>
        <v>2</v>
      </c>
      <c r="F21" s="18">
        <v>45301</v>
      </c>
    </row>
    <row r="22" spans="2:6" x14ac:dyDescent="0.15">
      <c r="B22" s="12" t="s">
        <v>9</v>
      </c>
      <c r="C22" s="17"/>
      <c r="D22" s="16">
        <v>1</v>
      </c>
      <c r="E22" s="13">
        <f t="shared" si="0"/>
        <v>1</v>
      </c>
      <c r="F22" s="33">
        <v>45306</v>
      </c>
    </row>
    <row r="23" spans="2:6" x14ac:dyDescent="0.15">
      <c r="B23" s="12"/>
      <c r="C23" s="17"/>
      <c r="D23" s="16"/>
      <c r="E23" s="13">
        <f t="shared" si="0"/>
        <v>0</v>
      </c>
      <c r="F23" s="33"/>
    </row>
    <row r="24" spans="2:6" x14ac:dyDescent="0.15">
      <c r="B24" s="12"/>
      <c r="C24" s="15"/>
      <c r="D24" s="14"/>
      <c r="E24" s="13">
        <f t="shared" si="0"/>
        <v>0</v>
      </c>
      <c r="F24" s="18"/>
    </row>
    <row r="25" spans="2:6" x14ac:dyDescent="0.15">
      <c r="B25" s="12"/>
      <c r="C25" s="17"/>
      <c r="D25" s="16"/>
      <c r="E25" s="13">
        <f t="shared" si="0"/>
        <v>0</v>
      </c>
      <c r="F25" s="33"/>
    </row>
    <row r="26" spans="2:6" x14ac:dyDescent="0.15">
      <c r="B26" s="12"/>
      <c r="C26" s="17"/>
      <c r="D26" s="16"/>
      <c r="E26" s="13">
        <f t="shared" si="0"/>
        <v>0</v>
      </c>
      <c r="F26" s="33"/>
    </row>
    <row r="27" spans="2:6" x14ac:dyDescent="0.15">
      <c r="B27" s="12"/>
      <c r="C27" s="17"/>
      <c r="D27" s="16"/>
      <c r="E27" s="13">
        <f t="shared" si="0"/>
        <v>0</v>
      </c>
      <c r="F27" s="33"/>
    </row>
    <row r="28" spans="2:6" x14ac:dyDescent="0.15">
      <c r="B28" s="12"/>
      <c r="C28" s="17"/>
      <c r="D28" s="16"/>
      <c r="E28" s="13">
        <f t="shared" si="0"/>
        <v>0</v>
      </c>
      <c r="F28" s="33"/>
    </row>
    <row r="29" spans="2:6" x14ac:dyDescent="0.15">
      <c r="B29" s="12"/>
      <c r="C29" s="17"/>
      <c r="D29" s="16"/>
      <c r="E29" s="13">
        <f t="shared" si="0"/>
        <v>0</v>
      </c>
      <c r="F29" s="33"/>
    </row>
    <row r="30" spans="2:6" x14ac:dyDescent="0.15">
      <c r="B30" s="12"/>
      <c r="C30" s="17"/>
      <c r="D30" s="16"/>
      <c r="E30" s="13">
        <f t="shared" si="0"/>
        <v>0</v>
      </c>
      <c r="F30" s="33"/>
    </row>
    <row r="31" spans="2:6" x14ac:dyDescent="0.15">
      <c r="B31" s="12"/>
      <c r="C31" s="15"/>
      <c r="D31" s="14"/>
      <c r="E31" s="13">
        <f t="shared" si="0"/>
        <v>0</v>
      </c>
      <c r="F31" s="32"/>
    </row>
    <row r="32" spans="2:6" x14ac:dyDescent="0.15">
      <c r="B32" s="12"/>
      <c r="C32" s="15"/>
      <c r="D32" s="14"/>
      <c r="E32" s="13">
        <f t="shared" si="0"/>
        <v>0</v>
      </c>
      <c r="F32" s="32"/>
    </row>
    <row r="33" spans="1:7" x14ac:dyDescent="0.15">
      <c r="B33" s="12"/>
      <c r="C33" s="15"/>
      <c r="D33" s="14"/>
      <c r="E33" s="13">
        <f t="shared" si="0"/>
        <v>0</v>
      </c>
      <c r="F33" s="32"/>
    </row>
    <row r="34" spans="1:7" x14ac:dyDescent="0.15">
      <c r="B34" s="12"/>
      <c r="C34" s="15"/>
      <c r="D34" s="14"/>
      <c r="E34" s="13">
        <f t="shared" si="0"/>
        <v>0</v>
      </c>
      <c r="F34" s="32"/>
    </row>
    <row r="35" spans="1:7" x14ac:dyDescent="0.15">
      <c r="B35" s="12"/>
      <c r="C35" s="15"/>
      <c r="D35" s="14"/>
      <c r="E35" s="13">
        <f t="shared" si="0"/>
        <v>0</v>
      </c>
      <c r="F35" s="32"/>
    </row>
    <row r="36" spans="1:7" ht="14.25" thickBot="1" x14ac:dyDescent="0.2">
      <c r="B36" s="12"/>
      <c r="C36" s="11"/>
      <c r="D36" s="10"/>
      <c r="E36" s="9">
        <f t="shared" si="0"/>
        <v>0</v>
      </c>
      <c r="F36" s="32"/>
    </row>
    <row r="37" spans="1:7" ht="14.25" thickBot="1" x14ac:dyDescent="0.2">
      <c r="B37" s="8" t="s">
        <v>1</v>
      </c>
      <c r="C37" s="7">
        <f>SUM(C12:C36)</f>
        <v>3</v>
      </c>
      <c r="D37" s="6">
        <f>SUM(D12:D36)</f>
        <v>11</v>
      </c>
      <c r="E37" s="6">
        <f t="shared" si="0"/>
        <v>14</v>
      </c>
    </row>
    <row r="38" spans="1:7" ht="14.25" thickBot="1" x14ac:dyDescent="0.2">
      <c r="B38" s="5" t="s">
        <v>0</v>
      </c>
      <c r="C38" s="4">
        <f>+C11-C37</f>
        <v>2</v>
      </c>
      <c r="D38" s="3">
        <f>+D11-D37</f>
        <v>1</v>
      </c>
      <c r="E38" s="2">
        <f>C38</f>
        <v>2</v>
      </c>
    </row>
    <row r="40" spans="1:7" ht="18.75" x14ac:dyDescent="0.2">
      <c r="B40" s="31" t="s">
        <v>7</v>
      </c>
      <c r="C40" s="30"/>
      <c r="D40" s="30"/>
      <c r="E40" s="30"/>
      <c r="F40" s="30"/>
      <c r="G40" s="30"/>
    </row>
    <row r="41" spans="1:7" ht="14.25" thickBot="1" x14ac:dyDescent="0.2">
      <c r="E41">
        <v>828</v>
      </c>
    </row>
    <row r="42" spans="1:7" ht="14.25" thickBot="1" x14ac:dyDescent="0.2">
      <c r="B42" s="29"/>
      <c r="C42" s="38"/>
      <c r="D42" s="38"/>
      <c r="E42" s="39"/>
    </row>
    <row r="43" spans="1:7" ht="14.25" thickBot="1" x14ac:dyDescent="0.2">
      <c r="A43" s="1"/>
      <c r="B43" s="28"/>
      <c r="C43" s="36" t="s">
        <v>6</v>
      </c>
      <c r="D43" s="37" t="s">
        <v>8</v>
      </c>
      <c r="E43" s="27" t="s">
        <v>4</v>
      </c>
    </row>
    <row r="44" spans="1:7" x14ac:dyDescent="0.15">
      <c r="B44" s="26" t="s">
        <v>0</v>
      </c>
      <c r="C44" s="25">
        <f>C38</f>
        <v>2</v>
      </c>
      <c r="D44" s="24">
        <f>D38</f>
        <v>1</v>
      </c>
      <c r="E44" s="24">
        <f t="shared" ref="E44:E76" si="1">C44+D44</f>
        <v>3</v>
      </c>
    </row>
    <row r="45" spans="1:7" x14ac:dyDescent="0.15">
      <c r="B45" s="23" t="s">
        <v>3</v>
      </c>
      <c r="C45" s="15"/>
      <c r="D45" s="14">
        <v>3</v>
      </c>
      <c r="E45" s="13">
        <f t="shared" si="1"/>
        <v>3</v>
      </c>
      <c r="F45" s="18">
        <v>45320</v>
      </c>
    </row>
    <row r="46" spans="1:7" x14ac:dyDescent="0.15">
      <c r="B46" s="23" t="s">
        <v>3</v>
      </c>
      <c r="C46" s="15"/>
      <c r="D46" s="14">
        <v>5</v>
      </c>
      <c r="E46" s="13">
        <f t="shared" si="1"/>
        <v>5</v>
      </c>
      <c r="F46" s="18">
        <v>45350</v>
      </c>
    </row>
    <row r="47" spans="1:7" x14ac:dyDescent="0.15">
      <c r="B47" s="23" t="s">
        <v>3</v>
      </c>
      <c r="C47" s="15">
        <v>3</v>
      </c>
      <c r="D47" s="14">
        <v>3</v>
      </c>
      <c r="E47" s="13">
        <f t="shared" si="1"/>
        <v>6</v>
      </c>
      <c r="F47" s="18">
        <v>45362</v>
      </c>
    </row>
    <row r="48" spans="1:7" x14ac:dyDescent="0.15">
      <c r="B48" s="23" t="s">
        <v>3</v>
      </c>
      <c r="C48" s="15"/>
      <c r="D48" s="14">
        <v>3</v>
      </c>
      <c r="E48" s="13">
        <f t="shared" si="1"/>
        <v>3</v>
      </c>
      <c r="F48" s="18">
        <v>45390</v>
      </c>
    </row>
    <row r="49" spans="2:6" ht="14.25" thickBot="1" x14ac:dyDescent="0.2">
      <c r="B49" s="22" t="s">
        <v>3</v>
      </c>
      <c r="C49" s="21">
        <v>2</v>
      </c>
      <c r="D49" s="10"/>
      <c r="E49" s="9">
        <f t="shared" si="1"/>
        <v>2</v>
      </c>
      <c r="F49" s="18">
        <v>45469</v>
      </c>
    </row>
    <row r="50" spans="2:6" ht="14.25" thickBot="1" x14ac:dyDescent="0.2">
      <c r="B50" s="8" t="s">
        <v>2</v>
      </c>
      <c r="C50" s="6">
        <f>SUM(C44:C49)</f>
        <v>7</v>
      </c>
      <c r="D50" s="7">
        <f>SUM(D44:D49)</f>
        <v>15</v>
      </c>
      <c r="E50" s="6">
        <f t="shared" si="1"/>
        <v>22</v>
      </c>
    </row>
    <row r="51" spans="2:6" x14ac:dyDescent="0.15">
      <c r="B51" s="12" t="s">
        <v>9</v>
      </c>
      <c r="C51" s="20"/>
      <c r="D51" s="19">
        <v>1</v>
      </c>
      <c r="E51" s="13">
        <f t="shared" si="1"/>
        <v>1</v>
      </c>
      <c r="F51" s="18">
        <v>45327</v>
      </c>
    </row>
    <row r="52" spans="2:6" x14ac:dyDescent="0.15">
      <c r="B52" s="12" t="s">
        <v>9</v>
      </c>
      <c r="C52" s="15"/>
      <c r="D52" s="14">
        <v>2</v>
      </c>
      <c r="E52" s="13">
        <f t="shared" si="1"/>
        <v>2</v>
      </c>
      <c r="F52" s="18">
        <v>45331</v>
      </c>
    </row>
    <row r="53" spans="2:6" x14ac:dyDescent="0.15">
      <c r="B53" s="12" t="s">
        <v>9</v>
      </c>
      <c r="C53" s="15"/>
      <c r="D53" s="14">
        <v>1</v>
      </c>
      <c r="E53" s="13">
        <f t="shared" si="1"/>
        <v>1</v>
      </c>
      <c r="F53" s="18">
        <v>45344</v>
      </c>
    </row>
    <row r="54" spans="2:6" x14ac:dyDescent="0.15">
      <c r="B54" s="12" t="s">
        <v>9</v>
      </c>
      <c r="C54" s="17"/>
      <c r="D54" s="16">
        <v>2</v>
      </c>
      <c r="E54" s="13">
        <f t="shared" si="1"/>
        <v>2</v>
      </c>
      <c r="F54" s="18">
        <v>45362</v>
      </c>
    </row>
    <row r="55" spans="2:6" x14ac:dyDescent="0.15">
      <c r="B55" s="12" t="s">
        <v>9</v>
      </c>
      <c r="C55" s="17"/>
      <c r="D55" s="16">
        <v>1</v>
      </c>
      <c r="E55" s="13">
        <f t="shared" si="1"/>
        <v>1</v>
      </c>
      <c r="F55" s="18">
        <v>45397</v>
      </c>
    </row>
    <row r="56" spans="2:6" x14ac:dyDescent="0.15">
      <c r="B56" s="12" t="s">
        <v>9</v>
      </c>
      <c r="C56" s="17"/>
      <c r="D56" s="16">
        <v>1</v>
      </c>
      <c r="E56" s="13">
        <f t="shared" ref="E56" si="2">C56+D56</f>
        <v>1</v>
      </c>
      <c r="F56" s="18">
        <v>45404</v>
      </c>
    </row>
    <row r="57" spans="2:6" x14ac:dyDescent="0.15">
      <c r="B57" s="12" t="s">
        <v>9</v>
      </c>
      <c r="C57" s="15">
        <v>1</v>
      </c>
      <c r="D57" s="14"/>
      <c r="E57" s="13">
        <f t="shared" si="1"/>
        <v>1</v>
      </c>
      <c r="F57" s="18">
        <v>45434</v>
      </c>
    </row>
    <row r="58" spans="2:6" x14ac:dyDescent="0.15">
      <c r="B58" s="12" t="s">
        <v>9</v>
      </c>
      <c r="C58" s="17">
        <v>2</v>
      </c>
      <c r="D58" s="16"/>
      <c r="E58" s="13">
        <f t="shared" si="1"/>
        <v>2</v>
      </c>
      <c r="F58" s="18">
        <v>45453</v>
      </c>
    </row>
    <row r="59" spans="2:6" x14ac:dyDescent="0.15">
      <c r="B59" s="12" t="s">
        <v>9</v>
      </c>
      <c r="C59" s="17"/>
      <c r="D59" s="16">
        <v>3</v>
      </c>
      <c r="E59" s="13">
        <f t="shared" si="1"/>
        <v>3</v>
      </c>
      <c r="F59" s="18">
        <v>45492</v>
      </c>
    </row>
    <row r="60" spans="2:6" x14ac:dyDescent="0.15">
      <c r="B60" s="12" t="s">
        <v>9</v>
      </c>
      <c r="C60" s="15">
        <v>1</v>
      </c>
      <c r="D60" s="14"/>
      <c r="E60" s="13">
        <f t="shared" si="1"/>
        <v>1</v>
      </c>
      <c r="F60" s="18">
        <v>45502</v>
      </c>
    </row>
    <row r="61" spans="2:6" x14ac:dyDescent="0.15">
      <c r="B61" s="12" t="s">
        <v>11</v>
      </c>
      <c r="C61" s="17">
        <v>-2</v>
      </c>
      <c r="D61" s="16">
        <v>0</v>
      </c>
      <c r="E61" s="13">
        <f t="shared" si="1"/>
        <v>-2</v>
      </c>
      <c r="F61" s="18">
        <v>45526</v>
      </c>
    </row>
    <row r="62" spans="2:6" x14ac:dyDescent="0.15">
      <c r="B62" s="12" t="s">
        <v>9</v>
      </c>
      <c r="C62" s="17"/>
      <c r="D62" s="16">
        <v>1</v>
      </c>
      <c r="E62" s="13">
        <f t="shared" si="1"/>
        <v>1</v>
      </c>
      <c r="F62" s="18">
        <v>45646</v>
      </c>
    </row>
    <row r="63" spans="2:6" x14ac:dyDescent="0.15">
      <c r="B63" s="12" t="s">
        <v>9</v>
      </c>
      <c r="C63" s="15"/>
      <c r="D63" s="14">
        <v>1</v>
      </c>
      <c r="E63" s="13">
        <f t="shared" si="1"/>
        <v>1</v>
      </c>
      <c r="F63" s="18">
        <v>45647</v>
      </c>
    </row>
    <row r="64" spans="2:6" x14ac:dyDescent="0.15">
      <c r="B64" s="12" t="s">
        <v>9</v>
      </c>
      <c r="C64" s="17">
        <v>1</v>
      </c>
      <c r="D64" s="16">
        <v>1</v>
      </c>
      <c r="E64" s="13">
        <f t="shared" si="1"/>
        <v>2</v>
      </c>
      <c r="F64" s="18">
        <v>45663</v>
      </c>
    </row>
    <row r="65" spans="2:6" x14ac:dyDescent="0.15">
      <c r="B65" s="12"/>
      <c r="C65" s="17"/>
      <c r="D65" s="16"/>
      <c r="E65" s="13">
        <f t="shared" si="1"/>
        <v>0</v>
      </c>
      <c r="F65" s="18"/>
    </row>
    <row r="66" spans="2:6" x14ac:dyDescent="0.15">
      <c r="B66" s="12"/>
      <c r="C66" s="17"/>
      <c r="D66" s="16"/>
      <c r="E66" s="13">
        <f t="shared" si="1"/>
        <v>0</v>
      </c>
      <c r="F66" s="18"/>
    </row>
    <row r="67" spans="2:6" x14ac:dyDescent="0.15">
      <c r="B67" s="12"/>
      <c r="C67" s="17"/>
      <c r="D67" s="16"/>
      <c r="E67" s="13">
        <f t="shared" si="1"/>
        <v>0</v>
      </c>
      <c r="F67" s="18"/>
    </row>
    <row r="68" spans="2:6" x14ac:dyDescent="0.15">
      <c r="B68" s="12"/>
      <c r="C68" s="17"/>
      <c r="D68" s="16"/>
      <c r="E68" s="13">
        <f t="shared" si="1"/>
        <v>0</v>
      </c>
      <c r="F68" s="18"/>
    </row>
    <row r="69" spans="2:6" x14ac:dyDescent="0.15">
      <c r="B69" s="12"/>
      <c r="C69" s="17"/>
      <c r="D69" s="16"/>
      <c r="E69" s="13">
        <f t="shared" si="1"/>
        <v>0</v>
      </c>
      <c r="F69" s="18"/>
    </row>
    <row r="70" spans="2:6" x14ac:dyDescent="0.15">
      <c r="B70" s="12"/>
      <c r="C70" s="15"/>
      <c r="D70" s="14"/>
      <c r="E70" s="13">
        <f t="shared" si="1"/>
        <v>0</v>
      </c>
      <c r="F70" s="18"/>
    </row>
    <row r="71" spans="2:6" x14ac:dyDescent="0.15">
      <c r="B71" s="12"/>
      <c r="C71" s="15"/>
      <c r="D71" s="14"/>
      <c r="E71" s="13">
        <f t="shared" si="1"/>
        <v>0</v>
      </c>
      <c r="F71" s="18"/>
    </row>
    <row r="72" spans="2:6" x14ac:dyDescent="0.15">
      <c r="B72" s="12"/>
      <c r="C72" s="15"/>
      <c r="D72" s="14"/>
      <c r="E72" s="13">
        <f t="shared" si="1"/>
        <v>0</v>
      </c>
    </row>
    <row r="73" spans="2:6" x14ac:dyDescent="0.15">
      <c r="B73" s="12"/>
      <c r="C73" s="15"/>
      <c r="D73" s="14"/>
      <c r="E73" s="13">
        <f t="shared" si="1"/>
        <v>0</v>
      </c>
    </row>
    <row r="74" spans="2:6" x14ac:dyDescent="0.15">
      <c r="B74" s="12"/>
      <c r="C74" s="15"/>
      <c r="D74" s="14"/>
      <c r="E74" s="13">
        <f t="shared" si="1"/>
        <v>0</v>
      </c>
    </row>
    <row r="75" spans="2:6" ht="14.25" thickBot="1" x14ac:dyDescent="0.2">
      <c r="B75" s="12"/>
      <c r="C75" s="11"/>
      <c r="D75" s="10"/>
      <c r="E75" s="9">
        <f t="shared" si="1"/>
        <v>0</v>
      </c>
    </row>
    <row r="76" spans="2:6" ht="14.25" thickBot="1" x14ac:dyDescent="0.2">
      <c r="B76" s="8" t="s">
        <v>1</v>
      </c>
      <c r="C76" s="7">
        <f>SUM(C51:C75)</f>
        <v>3</v>
      </c>
      <c r="D76" s="6">
        <f>SUM(D51:D75)</f>
        <v>14</v>
      </c>
      <c r="E76" s="6">
        <f t="shared" si="1"/>
        <v>17</v>
      </c>
    </row>
    <row r="77" spans="2:6" ht="14.25" thickBot="1" x14ac:dyDescent="0.2">
      <c r="B77" s="5" t="s">
        <v>0</v>
      </c>
      <c r="C77" s="4">
        <f>+C50-C76</f>
        <v>4</v>
      </c>
      <c r="D77" s="3">
        <f>+D50-D76</f>
        <v>1</v>
      </c>
      <c r="E77" s="2">
        <f>C77</f>
        <v>4</v>
      </c>
    </row>
    <row r="79" spans="2:6" ht="18.75" x14ac:dyDescent="0.2">
      <c r="B79" s="31" t="s">
        <v>7</v>
      </c>
      <c r="C79" s="30"/>
      <c r="D79" s="30"/>
      <c r="E79" s="30"/>
      <c r="F79" s="30"/>
    </row>
    <row r="80" spans="2:6" ht="14.25" thickBot="1" x14ac:dyDescent="0.2">
      <c r="E80">
        <v>828</v>
      </c>
    </row>
    <row r="81" spans="1:6" ht="14.25" thickBot="1" x14ac:dyDescent="0.2">
      <c r="B81" s="29"/>
      <c r="C81" s="38"/>
      <c r="D81" s="38"/>
      <c r="E81" s="39"/>
    </row>
    <row r="82" spans="1:6" ht="14.25" thickBot="1" x14ac:dyDescent="0.2">
      <c r="A82" s="1"/>
      <c r="B82" s="28"/>
      <c r="C82" s="36" t="s">
        <v>6</v>
      </c>
      <c r="D82" s="37" t="s">
        <v>8</v>
      </c>
      <c r="E82" s="27" t="s">
        <v>4</v>
      </c>
    </row>
    <row r="83" spans="1:6" x14ac:dyDescent="0.15">
      <c r="B83" s="26" t="s">
        <v>0</v>
      </c>
      <c r="C83" s="25">
        <f>C77</f>
        <v>4</v>
      </c>
      <c r="D83" s="24">
        <f>D77</f>
        <v>1</v>
      </c>
      <c r="E83" s="24">
        <f t="shared" ref="E83:E115" si="3">C83+D83</f>
        <v>5</v>
      </c>
    </row>
    <row r="84" spans="1:6" x14ac:dyDescent="0.15">
      <c r="B84" s="23" t="s">
        <v>3</v>
      </c>
      <c r="C84" s="15"/>
      <c r="D84" s="14">
        <v>3</v>
      </c>
      <c r="E84" s="13">
        <f t="shared" si="3"/>
        <v>3</v>
      </c>
      <c r="F84" s="18">
        <v>45665</v>
      </c>
    </row>
    <row r="85" spans="1:6" x14ac:dyDescent="0.15">
      <c r="B85" s="23" t="s">
        <v>3</v>
      </c>
      <c r="C85" s="15"/>
      <c r="D85" s="14">
        <v>3</v>
      </c>
      <c r="E85" s="13">
        <f t="shared" si="3"/>
        <v>3</v>
      </c>
      <c r="F85" s="18">
        <v>45725</v>
      </c>
    </row>
    <row r="86" spans="1:6" x14ac:dyDescent="0.15">
      <c r="B86" s="23" t="s">
        <v>3</v>
      </c>
      <c r="C86" s="15">
        <v>3</v>
      </c>
      <c r="D86" s="14"/>
      <c r="E86" s="13">
        <f t="shared" si="3"/>
        <v>3</v>
      </c>
      <c r="F86" s="18">
        <v>45806</v>
      </c>
    </row>
    <row r="87" spans="1:6" x14ac:dyDescent="0.15">
      <c r="B87" s="23" t="s">
        <v>3</v>
      </c>
      <c r="C87" s="15"/>
      <c r="D87" s="14">
        <v>3</v>
      </c>
      <c r="E87" s="13">
        <f t="shared" si="3"/>
        <v>3</v>
      </c>
      <c r="F87" s="18">
        <v>45878</v>
      </c>
    </row>
    <row r="88" spans="1:6" ht="14.25" thickBot="1" x14ac:dyDescent="0.2">
      <c r="B88" s="22" t="s">
        <v>3</v>
      </c>
      <c r="C88" s="21">
        <v>3</v>
      </c>
      <c r="D88" s="10">
        <v>3</v>
      </c>
      <c r="E88" s="9">
        <f t="shared" si="3"/>
        <v>6</v>
      </c>
      <c r="F88" s="18">
        <v>45926</v>
      </c>
    </row>
    <row r="89" spans="1:6" ht="14.25" thickBot="1" x14ac:dyDescent="0.2">
      <c r="B89" s="8" t="s">
        <v>2</v>
      </c>
      <c r="C89" s="6">
        <f>SUM(C83:C88)</f>
        <v>10</v>
      </c>
      <c r="D89" s="7">
        <f>SUM(D83:D88)</f>
        <v>13</v>
      </c>
      <c r="E89" s="6">
        <f t="shared" si="3"/>
        <v>23</v>
      </c>
    </row>
    <row r="90" spans="1:6" x14ac:dyDescent="0.15">
      <c r="B90" s="12" t="s">
        <v>9</v>
      </c>
      <c r="C90" s="20"/>
      <c r="D90" s="19">
        <v>1</v>
      </c>
      <c r="E90" s="13">
        <f t="shared" si="3"/>
        <v>1</v>
      </c>
      <c r="F90" s="18">
        <v>45680</v>
      </c>
    </row>
    <row r="91" spans="1:6" x14ac:dyDescent="0.15">
      <c r="B91" s="12" t="s">
        <v>9</v>
      </c>
      <c r="C91" s="15">
        <v>1</v>
      </c>
      <c r="D91" s="14"/>
      <c r="E91" s="13">
        <f t="shared" si="3"/>
        <v>1</v>
      </c>
      <c r="F91" s="18">
        <v>45713</v>
      </c>
    </row>
    <row r="92" spans="1:6" x14ac:dyDescent="0.15">
      <c r="B92" s="12" t="s">
        <v>9</v>
      </c>
      <c r="C92" s="15"/>
      <c r="D92" s="14">
        <v>1</v>
      </c>
      <c r="E92" s="13">
        <f t="shared" si="3"/>
        <v>1</v>
      </c>
      <c r="F92" s="18">
        <v>45719</v>
      </c>
    </row>
    <row r="93" spans="1:6" x14ac:dyDescent="0.15">
      <c r="B93" s="12" t="s">
        <v>9</v>
      </c>
      <c r="C93" s="17">
        <v>1</v>
      </c>
      <c r="D93" s="16"/>
      <c r="E93" s="13">
        <f t="shared" si="3"/>
        <v>1</v>
      </c>
      <c r="F93" s="18">
        <v>45768</v>
      </c>
    </row>
    <row r="94" spans="1:6" x14ac:dyDescent="0.15">
      <c r="B94" s="12" t="s">
        <v>9</v>
      </c>
      <c r="C94" s="17"/>
      <c r="D94" s="16">
        <v>1</v>
      </c>
      <c r="E94" s="13">
        <f t="shared" si="3"/>
        <v>1</v>
      </c>
      <c r="F94" s="18">
        <v>45807</v>
      </c>
    </row>
    <row r="95" spans="1:6" x14ac:dyDescent="0.15">
      <c r="B95" s="12" t="s">
        <v>9</v>
      </c>
      <c r="C95" s="17"/>
      <c r="D95" s="16">
        <v>1</v>
      </c>
      <c r="E95" s="13">
        <f t="shared" si="3"/>
        <v>1</v>
      </c>
      <c r="F95" s="18">
        <v>45860</v>
      </c>
    </row>
    <row r="96" spans="1:6" x14ac:dyDescent="0.15">
      <c r="B96" s="12" t="s">
        <v>9</v>
      </c>
      <c r="C96" s="15">
        <v>1</v>
      </c>
      <c r="D96" s="14"/>
      <c r="E96" s="13">
        <f t="shared" si="3"/>
        <v>1</v>
      </c>
      <c r="F96" s="18">
        <v>45868</v>
      </c>
    </row>
    <row r="97" spans="2:6" x14ac:dyDescent="0.15">
      <c r="B97" s="12" t="s">
        <v>9</v>
      </c>
      <c r="C97" s="17"/>
      <c r="D97" s="16">
        <v>1</v>
      </c>
      <c r="E97" s="13">
        <f t="shared" si="3"/>
        <v>1</v>
      </c>
      <c r="F97" s="18">
        <v>45874</v>
      </c>
    </row>
    <row r="98" spans="2:6" x14ac:dyDescent="0.15">
      <c r="B98" s="12" t="s">
        <v>9</v>
      </c>
      <c r="C98" s="17"/>
      <c r="D98" s="16">
        <v>1</v>
      </c>
      <c r="E98" s="13">
        <f t="shared" si="3"/>
        <v>1</v>
      </c>
      <c r="F98" s="18">
        <v>45887</v>
      </c>
    </row>
    <row r="99" spans="2:6" x14ac:dyDescent="0.15">
      <c r="B99" s="12" t="s">
        <v>9</v>
      </c>
      <c r="C99" s="15"/>
      <c r="D99" s="14">
        <v>1</v>
      </c>
      <c r="E99" s="13">
        <f t="shared" si="3"/>
        <v>1</v>
      </c>
      <c r="F99" s="18">
        <v>45888</v>
      </c>
    </row>
    <row r="100" spans="2:6" x14ac:dyDescent="0.15">
      <c r="B100" s="12" t="s">
        <v>12</v>
      </c>
      <c r="C100" s="17">
        <v>0</v>
      </c>
      <c r="D100" s="16">
        <v>0</v>
      </c>
      <c r="E100" s="13">
        <f t="shared" si="3"/>
        <v>0</v>
      </c>
      <c r="F100" s="18">
        <v>45889</v>
      </c>
    </row>
    <row r="101" spans="2:6" x14ac:dyDescent="0.15">
      <c r="B101" s="12" t="s">
        <v>9</v>
      </c>
      <c r="C101" s="17">
        <v>1</v>
      </c>
      <c r="D101" s="16"/>
      <c r="E101" s="13">
        <f t="shared" si="3"/>
        <v>1</v>
      </c>
      <c r="F101" s="18">
        <v>45904</v>
      </c>
    </row>
    <row r="102" spans="2:6" x14ac:dyDescent="0.15">
      <c r="B102" s="12" t="s">
        <v>9</v>
      </c>
      <c r="C102" s="15">
        <v>1</v>
      </c>
      <c r="D102" s="14"/>
      <c r="E102" s="13">
        <f t="shared" si="3"/>
        <v>1</v>
      </c>
      <c r="F102" s="18">
        <v>45909</v>
      </c>
    </row>
    <row r="103" spans="2:6" x14ac:dyDescent="0.15">
      <c r="B103" s="12" t="s">
        <v>9</v>
      </c>
      <c r="C103" s="17"/>
      <c r="D103" s="16">
        <v>1</v>
      </c>
      <c r="E103" s="13">
        <f t="shared" si="3"/>
        <v>1</v>
      </c>
      <c r="F103" s="18">
        <v>45922</v>
      </c>
    </row>
    <row r="104" spans="2:6" x14ac:dyDescent="0.15">
      <c r="B104" s="12" t="s">
        <v>9</v>
      </c>
      <c r="C104" s="17"/>
      <c r="D104" s="16">
        <v>1</v>
      </c>
      <c r="E104" s="13">
        <f t="shared" si="3"/>
        <v>1</v>
      </c>
      <c r="F104" s="18">
        <v>45936</v>
      </c>
    </row>
    <row r="105" spans="2:6" x14ac:dyDescent="0.15">
      <c r="B105" s="12"/>
      <c r="C105" s="17"/>
      <c r="D105" s="16"/>
      <c r="E105" s="13">
        <f t="shared" si="3"/>
        <v>0</v>
      </c>
      <c r="F105" s="18"/>
    </row>
    <row r="106" spans="2:6" x14ac:dyDescent="0.15">
      <c r="B106" s="12"/>
      <c r="C106" s="17"/>
      <c r="D106" s="16"/>
      <c r="E106" s="13">
        <f t="shared" si="3"/>
        <v>0</v>
      </c>
      <c r="F106" s="18"/>
    </row>
    <row r="107" spans="2:6" x14ac:dyDescent="0.15">
      <c r="B107" s="12"/>
      <c r="C107" s="17"/>
      <c r="D107" s="16"/>
      <c r="E107" s="13">
        <f t="shared" si="3"/>
        <v>0</v>
      </c>
      <c r="F107" s="18"/>
    </row>
    <row r="108" spans="2:6" x14ac:dyDescent="0.15">
      <c r="B108" s="12"/>
      <c r="C108" s="17"/>
      <c r="D108" s="16"/>
      <c r="E108" s="13">
        <f t="shared" si="3"/>
        <v>0</v>
      </c>
      <c r="F108" s="18"/>
    </row>
    <row r="109" spans="2:6" x14ac:dyDescent="0.15">
      <c r="B109" s="12"/>
      <c r="C109" s="15"/>
      <c r="D109" s="14"/>
      <c r="E109" s="13">
        <f t="shared" si="3"/>
        <v>0</v>
      </c>
      <c r="F109" s="18"/>
    </row>
    <row r="110" spans="2:6" x14ac:dyDescent="0.15">
      <c r="B110" s="12"/>
      <c r="C110" s="15"/>
      <c r="D110" s="14"/>
      <c r="E110" s="13">
        <f t="shared" si="3"/>
        <v>0</v>
      </c>
      <c r="F110" s="18"/>
    </row>
    <row r="111" spans="2:6" x14ac:dyDescent="0.15">
      <c r="B111" s="12"/>
      <c r="C111" s="15"/>
      <c r="D111" s="14"/>
      <c r="E111" s="13">
        <f t="shared" si="3"/>
        <v>0</v>
      </c>
    </row>
    <row r="112" spans="2:6" x14ac:dyDescent="0.15">
      <c r="B112" s="12"/>
      <c r="C112" s="15"/>
      <c r="D112" s="14"/>
      <c r="E112" s="13">
        <f t="shared" si="3"/>
        <v>0</v>
      </c>
    </row>
    <row r="113" spans="1:6" x14ac:dyDescent="0.15">
      <c r="B113" s="12"/>
      <c r="C113" s="15"/>
      <c r="D113" s="14"/>
      <c r="E113" s="13">
        <f t="shared" si="3"/>
        <v>0</v>
      </c>
    </row>
    <row r="114" spans="1:6" ht="14.25" thickBot="1" x14ac:dyDescent="0.2">
      <c r="B114" s="12"/>
      <c r="C114" s="11"/>
      <c r="D114" s="10"/>
      <c r="E114" s="9">
        <f t="shared" si="3"/>
        <v>0</v>
      </c>
    </row>
    <row r="115" spans="1:6" ht="14.25" thickBot="1" x14ac:dyDescent="0.2">
      <c r="B115" s="8" t="s">
        <v>1</v>
      </c>
      <c r="C115" s="7">
        <f>SUM(C90:C114)</f>
        <v>5</v>
      </c>
      <c r="D115" s="6">
        <f>SUM(D90:D114)</f>
        <v>9</v>
      </c>
      <c r="E115" s="6">
        <f t="shared" si="3"/>
        <v>14</v>
      </c>
    </row>
    <row r="116" spans="1:6" ht="14.25" thickBot="1" x14ac:dyDescent="0.2">
      <c r="B116" s="5" t="s">
        <v>0</v>
      </c>
      <c r="C116" s="4">
        <f>+C89-C115</f>
        <v>5</v>
      </c>
      <c r="D116" s="3">
        <f>+D89-D115</f>
        <v>4</v>
      </c>
      <c r="E116" s="2">
        <f>C116</f>
        <v>5</v>
      </c>
    </row>
    <row r="118" spans="1:6" ht="18.75" x14ac:dyDescent="0.2">
      <c r="B118" s="31" t="s">
        <v>7</v>
      </c>
      <c r="C118" s="30"/>
      <c r="D118" s="30"/>
      <c r="E118" s="30"/>
      <c r="F118" s="30"/>
    </row>
    <row r="119" spans="1:6" ht="14.25" thickBot="1" x14ac:dyDescent="0.2">
      <c r="E119">
        <v>828</v>
      </c>
    </row>
    <row r="120" spans="1:6" ht="14.25" thickBot="1" x14ac:dyDescent="0.2">
      <c r="B120" s="29"/>
      <c r="C120" s="38"/>
      <c r="D120" s="38"/>
      <c r="E120" s="39"/>
    </row>
    <row r="121" spans="1:6" ht="14.25" thickBot="1" x14ac:dyDescent="0.2">
      <c r="A121" s="1"/>
      <c r="B121" s="28"/>
      <c r="C121" s="36" t="s">
        <v>6</v>
      </c>
      <c r="D121" s="37" t="s">
        <v>8</v>
      </c>
      <c r="E121" s="27" t="s">
        <v>4</v>
      </c>
    </row>
    <row r="122" spans="1:6" x14ac:dyDescent="0.15">
      <c r="B122" s="26" t="s">
        <v>0</v>
      </c>
      <c r="C122" s="25">
        <f>C116</f>
        <v>5</v>
      </c>
      <c r="D122" s="24">
        <f>D116</f>
        <v>4</v>
      </c>
      <c r="E122" s="24">
        <f t="shared" ref="E122:E154" si="4">C122+D122</f>
        <v>9</v>
      </c>
    </row>
    <row r="123" spans="1:6" x14ac:dyDescent="0.15">
      <c r="B123" s="23" t="s">
        <v>3</v>
      </c>
      <c r="C123" s="15"/>
      <c r="D123" s="14">
        <v>3</v>
      </c>
      <c r="E123" s="13">
        <f t="shared" si="4"/>
        <v>3</v>
      </c>
      <c r="F123" s="18">
        <v>45948</v>
      </c>
    </row>
    <row r="124" spans="1:6" x14ac:dyDescent="0.15">
      <c r="B124" s="23" t="s">
        <v>3</v>
      </c>
      <c r="C124" s="15">
        <v>3</v>
      </c>
      <c r="D124" s="14"/>
      <c r="E124" s="13">
        <f t="shared" si="4"/>
        <v>3</v>
      </c>
      <c r="F124" s="18">
        <v>45971</v>
      </c>
    </row>
    <row r="125" spans="1:6" x14ac:dyDescent="0.15">
      <c r="B125" s="23" t="s">
        <v>3</v>
      </c>
      <c r="C125" s="15">
        <v>3</v>
      </c>
      <c r="D125" s="14">
        <v>3</v>
      </c>
      <c r="E125" s="13">
        <f t="shared" si="4"/>
        <v>6</v>
      </c>
      <c r="F125" s="18">
        <v>46136</v>
      </c>
    </row>
    <row r="126" spans="1:6" x14ac:dyDescent="0.15">
      <c r="B126" s="23" t="s">
        <v>3</v>
      </c>
      <c r="C126" s="15"/>
      <c r="D126" s="14"/>
      <c r="E126" s="13">
        <f t="shared" si="4"/>
        <v>0</v>
      </c>
      <c r="F126" s="18"/>
    </row>
    <row r="127" spans="1:6" ht="14.25" thickBot="1" x14ac:dyDescent="0.2">
      <c r="B127" s="22" t="s">
        <v>3</v>
      </c>
      <c r="C127" s="21"/>
      <c r="D127" s="10"/>
      <c r="E127" s="9">
        <f t="shared" si="4"/>
        <v>0</v>
      </c>
      <c r="F127" s="18"/>
    </row>
    <row r="128" spans="1:6" ht="14.25" thickBot="1" x14ac:dyDescent="0.2">
      <c r="B128" s="8" t="s">
        <v>2</v>
      </c>
      <c r="C128" s="6">
        <f>SUM(C122:C127)</f>
        <v>11</v>
      </c>
      <c r="D128" s="7">
        <f>SUM(D122:D127)</f>
        <v>10</v>
      </c>
      <c r="E128" s="6">
        <f t="shared" si="4"/>
        <v>21</v>
      </c>
    </row>
    <row r="129" spans="2:6" x14ac:dyDescent="0.15">
      <c r="B129" s="12" t="s">
        <v>9</v>
      </c>
      <c r="C129" s="20">
        <v>2</v>
      </c>
      <c r="D129" s="19">
        <v>2</v>
      </c>
      <c r="E129" s="13">
        <f t="shared" si="4"/>
        <v>4</v>
      </c>
      <c r="F129" s="18">
        <v>45966</v>
      </c>
    </row>
    <row r="130" spans="2:6" x14ac:dyDescent="0.15">
      <c r="B130" s="12" t="s">
        <v>9</v>
      </c>
      <c r="C130" s="15">
        <v>1</v>
      </c>
      <c r="D130" s="14"/>
      <c r="E130" s="13">
        <f t="shared" si="4"/>
        <v>1</v>
      </c>
      <c r="F130" s="18">
        <v>45968</v>
      </c>
    </row>
    <row r="131" spans="2:6" x14ac:dyDescent="0.15">
      <c r="B131" s="12" t="s">
        <v>9</v>
      </c>
      <c r="C131" s="15"/>
      <c r="D131" s="14">
        <v>1</v>
      </c>
      <c r="E131" s="13">
        <f t="shared" si="4"/>
        <v>1</v>
      </c>
      <c r="F131" s="18">
        <v>46036</v>
      </c>
    </row>
    <row r="132" spans="2:6" x14ac:dyDescent="0.15">
      <c r="B132" s="12" t="s">
        <v>9</v>
      </c>
      <c r="C132" s="17"/>
      <c r="D132" s="16">
        <v>1</v>
      </c>
      <c r="E132" s="13">
        <f t="shared" si="4"/>
        <v>1</v>
      </c>
      <c r="F132" s="18">
        <v>46039</v>
      </c>
    </row>
    <row r="133" spans="2:6" x14ac:dyDescent="0.15">
      <c r="B133" s="12" t="s">
        <v>9</v>
      </c>
      <c r="C133" s="17">
        <v>1</v>
      </c>
      <c r="D133" s="16"/>
      <c r="E133" s="13">
        <f t="shared" si="4"/>
        <v>1</v>
      </c>
      <c r="F133" s="18">
        <v>46041</v>
      </c>
    </row>
    <row r="134" spans="2:6" x14ac:dyDescent="0.15">
      <c r="B134" s="12" t="s">
        <v>13</v>
      </c>
      <c r="C134" s="17">
        <v>0</v>
      </c>
      <c r="D134" s="16">
        <v>0</v>
      </c>
      <c r="E134" s="13">
        <f t="shared" si="4"/>
        <v>0</v>
      </c>
      <c r="F134" s="18">
        <v>46078</v>
      </c>
    </row>
    <row r="135" spans="2:6" x14ac:dyDescent="0.15">
      <c r="B135" s="12" t="s">
        <v>9</v>
      </c>
      <c r="C135" s="15">
        <v>2</v>
      </c>
      <c r="D135" s="14"/>
      <c r="E135" s="13">
        <f t="shared" si="4"/>
        <v>2</v>
      </c>
      <c r="F135" s="18">
        <v>46097</v>
      </c>
    </row>
    <row r="136" spans="2:6" x14ac:dyDescent="0.15">
      <c r="B136" s="12" t="s">
        <v>9</v>
      </c>
      <c r="C136" s="17"/>
      <c r="D136" s="16">
        <v>1</v>
      </c>
      <c r="E136" s="13">
        <f t="shared" si="4"/>
        <v>1</v>
      </c>
      <c r="F136" s="18">
        <v>46119</v>
      </c>
    </row>
    <row r="137" spans="2:6" x14ac:dyDescent="0.15">
      <c r="B137" s="12" t="s">
        <v>9</v>
      </c>
      <c r="C137" s="17">
        <v>1</v>
      </c>
      <c r="D137" s="16"/>
      <c r="E137" s="13">
        <f t="shared" si="4"/>
        <v>1</v>
      </c>
      <c r="F137" s="18">
        <v>46128</v>
      </c>
    </row>
    <row r="138" spans="2:6" x14ac:dyDescent="0.15">
      <c r="B138" s="12" t="s">
        <v>9</v>
      </c>
      <c r="C138" s="15">
        <v>1</v>
      </c>
      <c r="D138" s="14"/>
      <c r="E138" s="13">
        <f t="shared" si="4"/>
        <v>1</v>
      </c>
      <c r="F138" s="18">
        <v>46154</v>
      </c>
    </row>
    <row r="139" spans="2:6" x14ac:dyDescent="0.15">
      <c r="B139" s="12" t="s">
        <v>9</v>
      </c>
      <c r="C139" s="17">
        <v>1</v>
      </c>
      <c r="D139" s="16"/>
      <c r="E139" s="13">
        <f t="shared" si="4"/>
        <v>1</v>
      </c>
      <c r="F139" s="18">
        <v>46183</v>
      </c>
    </row>
    <row r="140" spans="2:6" x14ac:dyDescent="0.15">
      <c r="B140" s="12" t="s">
        <v>9</v>
      </c>
      <c r="C140" s="17"/>
      <c r="D140" s="16">
        <v>1</v>
      </c>
      <c r="E140" s="13">
        <f t="shared" si="4"/>
        <v>1</v>
      </c>
      <c r="F140" s="18">
        <v>46190</v>
      </c>
    </row>
    <row r="141" spans="2:6" x14ac:dyDescent="0.15">
      <c r="B141" s="12"/>
      <c r="C141" s="15"/>
      <c r="D141" s="14"/>
      <c r="E141" s="13">
        <f t="shared" si="4"/>
        <v>0</v>
      </c>
      <c r="F141" s="18"/>
    </row>
    <row r="142" spans="2:6" x14ac:dyDescent="0.15">
      <c r="B142" s="12"/>
      <c r="C142" s="17"/>
      <c r="D142" s="16"/>
      <c r="E142" s="13">
        <f t="shared" si="4"/>
        <v>0</v>
      </c>
      <c r="F142" s="18"/>
    </row>
    <row r="143" spans="2:6" x14ac:dyDescent="0.15">
      <c r="B143" s="12"/>
      <c r="C143" s="17"/>
      <c r="D143" s="16"/>
      <c r="E143" s="13">
        <f t="shared" si="4"/>
        <v>0</v>
      </c>
      <c r="F143" s="18"/>
    </row>
    <row r="144" spans="2:6" x14ac:dyDescent="0.15">
      <c r="B144" s="12"/>
      <c r="C144" s="17"/>
      <c r="D144" s="16"/>
      <c r="E144" s="13">
        <f t="shared" si="4"/>
        <v>0</v>
      </c>
      <c r="F144" s="18"/>
    </row>
    <row r="145" spans="2:6" x14ac:dyDescent="0.15">
      <c r="B145" s="12"/>
      <c r="C145" s="17"/>
      <c r="D145" s="16"/>
      <c r="E145" s="13">
        <f t="shared" si="4"/>
        <v>0</v>
      </c>
      <c r="F145" s="18"/>
    </row>
    <row r="146" spans="2:6" x14ac:dyDescent="0.15">
      <c r="B146" s="12"/>
      <c r="C146" s="17"/>
      <c r="D146" s="16"/>
      <c r="E146" s="13">
        <f t="shared" si="4"/>
        <v>0</v>
      </c>
      <c r="F146" s="18"/>
    </row>
    <row r="147" spans="2:6" x14ac:dyDescent="0.15">
      <c r="B147" s="12"/>
      <c r="C147" s="17"/>
      <c r="D147" s="16"/>
      <c r="E147" s="13">
        <f t="shared" si="4"/>
        <v>0</v>
      </c>
      <c r="F147" s="18"/>
    </row>
    <row r="148" spans="2:6" x14ac:dyDescent="0.15">
      <c r="B148" s="12"/>
      <c r="C148" s="15"/>
      <c r="D148" s="14"/>
      <c r="E148" s="13">
        <f t="shared" si="4"/>
        <v>0</v>
      </c>
      <c r="F148" s="18"/>
    </row>
    <row r="149" spans="2:6" x14ac:dyDescent="0.15">
      <c r="B149" s="12"/>
      <c r="C149" s="15"/>
      <c r="D149" s="14"/>
      <c r="E149" s="13">
        <f t="shared" si="4"/>
        <v>0</v>
      </c>
      <c r="F149" s="18"/>
    </row>
    <row r="150" spans="2:6" x14ac:dyDescent="0.15">
      <c r="B150" s="12"/>
      <c r="C150" s="15"/>
      <c r="D150" s="14"/>
      <c r="E150" s="13">
        <f t="shared" si="4"/>
        <v>0</v>
      </c>
    </row>
    <row r="151" spans="2:6" x14ac:dyDescent="0.15">
      <c r="B151" s="12"/>
      <c r="C151" s="15"/>
      <c r="D151" s="14"/>
      <c r="E151" s="13">
        <f t="shared" si="4"/>
        <v>0</v>
      </c>
    </row>
    <row r="152" spans="2:6" x14ac:dyDescent="0.15">
      <c r="B152" s="12"/>
      <c r="C152" s="15"/>
      <c r="D152" s="14"/>
      <c r="E152" s="13">
        <f t="shared" si="4"/>
        <v>0</v>
      </c>
    </row>
    <row r="153" spans="2:6" ht="14.25" thickBot="1" x14ac:dyDescent="0.2">
      <c r="B153" s="12"/>
      <c r="C153" s="11"/>
      <c r="D153" s="10"/>
      <c r="E153" s="9">
        <f t="shared" si="4"/>
        <v>0</v>
      </c>
    </row>
    <row r="154" spans="2:6" ht="14.25" thickBot="1" x14ac:dyDescent="0.2">
      <c r="B154" s="8" t="s">
        <v>1</v>
      </c>
      <c r="C154" s="7">
        <f>SUM(C129:C153)</f>
        <v>9</v>
      </c>
      <c r="D154" s="6">
        <f>SUM(D129:D153)</f>
        <v>6</v>
      </c>
      <c r="E154" s="6">
        <f t="shared" si="4"/>
        <v>15</v>
      </c>
    </row>
    <row r="155" spans="2:6" ht="14.25" thickBot="1" x14ac:dyDescent="0.2">
      <c r="B155" s="5" t="s">
        <v>0</v>
      </c>
      <c r="C155" s="4">
        <f>+C128-C154</f>
        <v>2</v>
      </c>
      <c r="D155" s="3">
        <f>+D128-D154</f>
        <v>4</v>
      </c>
      <c r="E155" s="2">
        <f>C155</f>
        <v>2</v>
      </c>
    </row>
  </sheetData>
  <mergeCells count="4">
    <mergeCell ref="C3:E3"/>
    <mergeCell ref="C42:E42"/>
    <mergeCell ref="C81:E81"/>
    <mergeCell ref="C120:E120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かかとサポーター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2021-12-21T06:42:39Z</dcterms:created>
  <dcterms:modified xsi:type="dcterms:W3CDTF">2026-06-17T04:57:55Z</dcterms:modified>
</cp:coreProperties>
</file>