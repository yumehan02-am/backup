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\\Yhds220p\10_発注管理\夢販流通\西川合繊\"/>
    </mc:Choice>
  </mc:AlternateContent>
  <xr:revisionPtr revIDLastSave="0" documentId="13_ncr:1_{B611D0F5-1B7A-494D-9086-7302585B12B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ガーゼ30CC" sheetId="4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7" i="4" l="1"/>
  <c r="I7" i="4"/>
  <c r="J7" i="4" s="1"/>
  <c r="E8" i="4"/>
  <c r="I8" i="4"/>
  <c r="J8" i="4" s="1"/>
  <c r="E9" i="4"/>
  <c r="I9" i="4"/>
  <c r="E10" i="4"/>
  <c r="I10" i="4"/>
  <c r="J10" i="4"/>
  <c r="E11" i="4"/>
  <c r="I11" i="4"/>
  <c r="J11" i="4" s="1"/>
  <c r="E12" i="4"/>
  <c r="I12" i="4"/>
  <c r="J12" i="4" s="1"/>
  <c r="E6" i="4"/>
  <c r="I6" i="4"/>
  <c r="I81" i="4"/>
  <c r="E81" i="4"/>
  <c r="I82" i="4"/>
  <c r="E82" i="4"/>
  <c r="E80" i="4"/>
  <c r="I80" i="4"/>
  <c r="E35" i="4"/>
  <c r="I35" i="4"/>
  <c r="E36" i="4"/>
  <c r="I36" i="4"/>
  <c r="E37" i="4"/>
  <c r="I37" i="4"/>
  <c r="J37" i="4"/>
  <c r="E38" i="4"/>
  <c r="I38" i="4"/>
  <c r="J38" i="4" s="1"/>
  <c r="E39" i="4"/>
  <c r="I39" i="4"/>
  <c r="E50" i="4"/>
  <c r="I50" i="4"/>
  <c r="I51" i="4"/>
  <c r="E51" i="4"/>
  <c r="Q80" i="4"/>
  <c r="U80" i="4"/>
  <c r="V80" i="4" s="1"/>
  <c r="Q81" i="4"/>
  <c r="U81" i="4"/>
  <c r="Q82" i="4"/>
  <c r="U82" i="4"/>
  <c r="J39" i="4" l="1"/>
  <c r="V82" i="4"/>
  <c r="V81" i="4"/>
  <c r="J6" i="4"/>
  <c r="J9" i="4"/>
  <c r="J82" i="4"/>
  <c r="J81" i="4"/>
  <c r="J50" i="4"/>
  <c r="J36" i="4"/>
  <c r="J35" i="4"/>
  <c r="J80" i="4"/>
  <c r="J51" i="4"/>
  <c r="Q49" i="4" l="1"/>
  <c r="U49" i="4"/>
  <c r="V49" i="4" s="1"/>
  <c r="Q50" i="4"/>
  <c r="U50" i="4"/>
  <c r="Q51" i="4"/>
  <c r="U51" i="4"/>
  <c r="Q52" i="4"/>
  <c r="U52" i="4"/>
  <c r="Q29" i="4"/>
  <c r="U29" i="4"/>
  <c r="Q30" i="4"/>
  <c r="U30" i="4"/>
  <c r="Q31" i="4"/>
  <c r="U31" i="4"/>
  <c r="Q32" i="4"/>
  <c r="U32" i="4"/>
  <c r="Q33" i="4"/>
  <c r="U33" i="4"/>
  <c r="Q34" i="4"/>
  <c r="U34" i="4"/>
  <c r="Q35" i="4"/>
  <c r="U35" i="4"/>
  <c r="Q36" i="4"/>
  <c r="U36" i="4"/>
  <c r="Q37" i="4"/>
  <c r="U37" i="4"/>
  <c r="Q38" i="4"/>
  <c r="U38" i="4"/>
  <c r="Q39" i="4"/>
  <c r="U39" i="4"/>
  <c r="Q6" i="4"/>
  <c r="U6" i="4"/>
  <c r="V6" i="4" s="1"/>
  <c r="Q7" i="4"/>
  <c r="U7" i="4"/>
  <c r="Q8" i="4"/>
  <c r="U8" i="4"/>
  <c r="Q9" i="4"/>
  <c r="U9" i="4"/>
  <c r="Q10" i="4"/>
  <c r="U10" i="4"/>
  <c r="V8" i="4" l="1"/>
  <c r="V7" i="4"/>
  <c r="V39" i="4"/>
  <c r="V38" i="4"/>
  <c r="V36" i="4"/>
  <c r="V35" i="4"/>
  <c r="V32" i="4"/>
  <c r="V29" i="4"/>
  <c r="V51" i="4"/>
  <c r="V10" i="4"/>
  <c r="V9" i="4"/>
  <c r="V50" i="4"/>
  <c r="V52" i="4"/>
  <c r="V31" i="4"/>
  <c r="V30" i="4"/>
  <c r="V37" i="4"/>
  <c r="V34" i="4"/>
  <c r="V33" i="4"/>
  <c r="Q48" i="4"/>
  <c r="U48" i="4"/>
  <c r="Q53" i="4"/>
  <c r="U53" i="4"/>
  <c r="Q54" i="4"/>
  <c r="U54" i="4"/>
  <c r="Q55" i="4"/>
  <c r="U55" i="4"/>
  <c r="Q57" i="4"/>
  <c r="U57" i="4"/>
  <c r="Q58" i="4"/>
  <c r="U58" i="4"/>
  <c r="Q59" i="4"/>
  <c r="U59" i="4"/>
  <c r="Q60" i="4"/>
  <c r="U60" i="4"/>
  <c r="Q61" i="4"/>
  <c r="U61" i="4"/>
  <c r="Q62" i="4"/>
  <c r="U62" i="4"/>
  <c r="V62" i="4" s="1"/>
  <c r="Q63" i="4"/>
  <c r="U63" i="4"/>
  <c r="Q64" i="4"/>
  <c r="U64" i="4"/>
  <c r="Q65" i="4"/>
  <c r="U65" i="4"/>
  <c r="Q66" i="4"/>
  <c r="U66" i="4"/>
  <c r="Q67" i="4"/>
  <c r="U67" i="4"/>
  <c r="Q68" i="4"/>
  <c r="U68" i="4"/>
  <c r="Q69" i="4"/>
  <c r="U69" i="4"/>
  <c r="Q70" i="4"/>
  <c r="U70" i="4"/>
  <c r="Q71" i="4"/>
  <c r="U71" i="4"/>
  <c r="Q72" i="4"/>
  <c r="U72" i="4"/>
  <c r="Q73" i="4"/>
  <c r="U73" i="4"/>
  <c r="Q74" i="4"/>
  <c r="U74" i="4"/>
  <c r="Q75" i="4"/>
  <c r="U75" i="4"/>
  <c r="Q76" i="4"/>
  <c r="U76" i="4"/>
  <c r="Q77" i="4"/>
  <c r="U77" i="4"/>
  <c r="Q78" i="4"/>
  <c r="U78" i="4"/>
  <c r="Q79" i="4"/>
  <c r="U79" i="4"/>
  <c r="N83" i="4"/>
  <c r="O83" i="4"/>
  <c r="P83" i="4"/>
  <c r="R83" i="4"/>
  <c r="S83" i="4"/>
  <c r="T83" i="4"/>
  <c r="E48" i="4"/>
  <c r="I48" i="4"/>
  <c r="E49" i="4"/>
  <c r="I49" i="4"/>
  <c r="E52" i="4"/>
  <c r="I52" i="4"/>
  <c r="J52" i="4" s="1"/>
  <c r="E53" i="4"/>
  <c r="I53" i="4"/>
  <c r="E54" i="4"/>
  <c r="I54" i="4"/>
  <c r="E55" i="4"/>
  <c r="I55" i="4"/>
  <c r="E57" i="4"/>
  <c r="I57" i="4"/>
  <c r="E58" i="4"/>
  <c r="I58" i="4"/>
  <c r="E59" i="4"/>
  <c r="I59" i="4"/>
  <c r="E60" i="4"/>
  <c r="I60" i="4"/>
  <c r="E61" i="4"/>
  <c r="I61" i="4"/>
  <c r="E62" i="4"/>
  <c r="I62" i="4"/>
  <c r="E63" i="4"/>
  <c r="I63" i="4"/>
  <c r="E64" i="4"/>
  <c r="I64" i="4"/>
  <c r="E65" i="4"/>
  <c r="I65" i="4"/>
  <c r="E66" i="4"/>
  <c r="I66" i="4"/>
  <c r="E67" i="4"/>
  <c r="I67" i="4"/>
  <c r="E68" i="4"/>
  <c r="I68" i="4"/>
  <c r="E69" i="4"/>
  <c r="I69" i="4"/>
  <c r="E70" i="4"/>
  <c r="I70" i="4"/>
  <c r="E71" i="4"/>
  <c r="I71" i="4"/>
  <c r="E72" i="4"/>
  <c r="I72" i="4"/>
  <c r="E73" i="4"/>
  <c r="I73" i="4"/>
  <c r="E74" i="4"/>
  <c r="I74" i="4"/>
  <c r="E75" i="4"/>
  <c r="I75" i="4"/>
  <c r="E76" i="4"/>
  <c r="I76" i="4"/>
  <c r="E77" i="4"/>
  <c r="I77" i="4"/>
  <c r="E78" i="4"/>
  <c r="I78" i="4"/>
  <c r="E79" i="4"/>
  <c r="I79" i="4"/>
  <c r="B83" i="4"/>
  <c r="C83" i="4"/>
  <c r="D83" i="4"/>
  <c r="F83" i="4"/>
  <c r="G83" i="4"/>
  <c r="H83" i="4"/>
  <c r="Q4" i="4"/>
  <c r="U4" i="4"/>
  <c r="Q5" i="4"/>
  <c r="U5" i="4"/>
  <c r="Q11" i="4"/>
  <c r="U11" i="4"/>
  <c r="Q12" i="4"/>
  <c r="U12" i="4"/>
  <c r="N13" i="4"/>
  <c r="O13" i="4"/>
  <c r="P13" i="4"/>
  <c r="R13" i="4"/>
  <c r="S13" i="4"/>
  <c r="T13" i="4"/>
  <c r="Q14" i="4"/>
  <c r="U14" i="4"/>
  <c r="Q15" i="4"/>
  <c r="U15" i="4"/>
  <c r="Q16" i="4"/>
  <c r="U16" i="4"/>
  <c r="V16" i="4" s="1"/>
  <c r="Q17" i="4"/>
  <c r="U17" i="4"/>
  <c r="Q18" i="4"/>
  <c r="U18" i="4"/>
  <c r="Q19" i="4"/>
  <c r="U19" i="4"/>
  <c r="Q20" i="4"/>
  <c r="U20" i="4"/>
  <c r="Q21" i="4"/>
  <c r="U21" i="4"/>
  <c r="Q22" i="4"/>
  <c r="U22" i="4"/>
  <c r="Q23" i="4"/>
  <c r="U23" i="4"/>
  <c r="Q24" i="4"/>
  <c r="U24" i="4"/>
  <c r="Q25" i="4"/>
  <c r="U25" i="4"/>
  <c r="Q26" i="4"/>
  <c r="U26" i="4"/>
  <c r="Q27" i="4"/>
  <c r="U27" i="4"/>
  <c r="Q28" i="4"/>
  <c r="U28" i="4"/>
  <c r="N40" i="4"/>
  <c r="O40" i="4"/>
  <c r="P40" i="4"/>
  <c r="R40" i="4"/>
  <c r="S40" i="4"/>
  <c r="T40" i="4"/>
  <c r="J77" i="4" l="1"/>
  <c r="J71" i="4"/>
  <c r="J65" i="4"/>
  <c r="J78" i="4"/>
  <c r="J70" i="4"/>
  <c r="J66" i="4"/>
  <c r="J58" i="4"/>
  <c r="J74" i="4"/>
  <c r="V72" i="4"/>
  <c r="J57" i="4"/>
  <c r="J67" i="4"/>
  <c r="V60" i="4"/>
  <c r="V22" i="4"/>
  <c r="V70" i="4"/>
  <c r="V18" i="4"/>
  <c r="J72" i="4"/>
  <c r="V20" i="4"/>
  <c r="V28" i="4"/>
  <c r="V24" i="4"/>
  <c r="V74" i="4"/>
  <c r="V66" i="4"/>
  <c r="J60" i="4"/>
  <c r="J49" i="4"/>
  <c r="V48" i="4"/>
  <c r="J76" i="4"/>
  <c r="V14" i="4"/>
  <c r="V5" i="4"/>
  <c r="J75" i="4"/>
  <c r="J68" i="4"/>
  <c r="J62" i="4"/>
  <c r="J53" i="4"/>
  <c r="V76" i="4"/>
  <c r="V73" i="4"/>
  <c r="J64" i="4"/>
  <c r="J55" i="4"/>
  <c r="V64" i="4"/>
  <c r="V54" i="4"/>
  <c r="J69" i="4"/>
  <c r="J63" i="4"/>
  <c r="J54" i="4"/>
  <c r="V26" i="4"/>
  <c r="O41" i="4"/>
  <c r="O47" i="4" s="1"/>
  <c r="O56" i="4" s="1"/>
  <c r="O84" i="4" s="1"/>
  <c r="V11" i="4"/>
  <c r="J59" i="4"/>
  <c r="V78" i="4"/>
  <c r="V68" i="4"/>
  <c r="V61" i="4"/>
  <c r="V53" i="4"/>
  <c r="V55" i="4"/>
  <c r="V19" i="4"/>
  <c r="V21" i="4"/>
  <c r="V75" i="4"/>
  <c r="V23" i="4"/>
  <c r="V77" i="4"/>
  <c r="V65" i="4"/>
  <c r="V25" i="4"/>
  <c r="V12" i="4"/>
  <c r="J79" i="4"/>
  <c r="V79" i="4"/>
  <c r="V67" i="4"/>
  <c r="V57" i="4"/>
  <c r="Q40" i="4"/>
  <c r="V27" i="4"/>
  <c r="V15" i="4"/>
  <c r="V69" i="4"/>
  <c r="V17" i="4"/>
  <c r="P41" i="4"/>
  <c r="P47" i="4" s="1"/>
  <c r="P56" i="4" s="1"/>
  <c r="P84" i="4" s="1"/>
  <c r="J73" i="4"/>
  <c r="J61" i="4"/>
  <c r="J48" i="4"/>
  <c r="V71" i="4"/>
  <c r="V59" i="4"/>
  <c r="V58" i="4"/>
  <c r="V63" i="4"/>
  <c r="T41" i="4"/>
  <c r="T47" i="4" s="1"/>
  <c r="T56" i="4" s="1"/>
  <c r="T84" i="4" s="1"/>
  <c r="S41" i="4"/>
  <c r="S47" i="4" s="1"/>
  <c r="S56" i="4" s="1"/>
  <c r="S84" i="4" s="1"/>
  <c r="U13" i="4"/>
  <c r="V4" i="4"/>
  <c r="Q13" i="4"/>
  <c r="Q83" i="4"/>
  <c r="U83" i="4"/>
  <c r="I83" i="4"/>
  <c r="E83" i="4"/>
  <c r="N41" i="4"/>
  <c r="R41" i="4"/>
  <c r="R47" i="4" s="1"/>
  <c r="U40" i="4"/>
  <c r="B13" i="4"/>
  <c r="B40" i="4"/>
  <c r="C13" i="4"/>
  <c r="C40" i="4"/>
  <c r="D13" i="4"/>
  <c r="D40" i="4"/>
  <c r="F13" i="4"/>
  <c r="F40" i="4"/>
  <c r="G13" i="4"/>
  <c r="G40" i="4"/>
  <c r="H13" i="4"/>
  <c r="H40" i="4"/>
  <c r="I34" i="4"/>
  <c r="E34" i="4"/>
  <c r="I33" i="4"/>
  <c r="E33" i="4"/>
  <c r="I32" i="4"/>
  <c r="E32" i="4"/>
  <c r="I31" i="4"/>
  <c r="E31" i="4"/>
  <c r="I30" i="4"/>
  <c r="E30" i="4"/>
  <c r="I29" i="4"/>
  <c r="E29" i="4"/>
  <c r="I28" i="4"/>
  <c r="E28" i="4"/>
  <c r="I27" i="4"/>
  <c r="E27" i="4"/>
  <c r="I26" i="4"/>
  <c r="E26" i="4"/>
  <c r="I25" i="4"/>
  <c r="E25" i="4"/>
  <c r="I24" i="4"/>
  <c r="E24" i="4"/>
  <c r="I23" i="4"/>
  <c r="E23" i="4"/>
  <c r="I22" i="4"/>
  <c r="E22" i="4"/>
  <c r="I21" i="4"/>
  <c r="E21" i="4"/>
  <c r="I20" i="4"/>
  <c r="E20" i="4"/>
  <c r="I19" i="4"/>
  <c r="E19" i="4"/>
  <c r="I18" i="4"/>
  <c r="E18" i="4"/>
  <c r="I17" i="4"/>
  <c r="E17" i="4"/>
  <c r="I16" i="4"/>
  <c r="E16" i="4"/>
  <c r="I15" i="4"/>
  <c r="E15" i="4"/>
  <c r="I14" i="4"/>
  <c r="E14" i="4"/>
  <c r="I5" i="4"/>
  <c r="E5" i="4"/>
  <c r="I4" i="4"/>
  <c r="E4" i="4"/>
  <c r="J83" i="4" l="1"/>
  <c r="J56" i="4"/>
  <c r="V40" i="4"/>
  <c r="U47" i="4"/>
  <c r="V13" i="4"/>
  <c r="U41" i="4"/>
  <c r="R56" i="4"/>
  <c r="U56" i="4" s="1"/>
  <c r="Q41" i="4"/>
  <c r="N47" i="4"/>
  <c r="V83" i="4"/>
  <c r="E40" i="4"/>
  <c r="J31" i="4"/>
  <c r="I13" i="4"/>
  <c r="J21" i="4"/>
  <c r="J22" i="4"/>
  <c r="J23" i="4"/>
  <c r="G41" i="4"/>
  <c r="G47" i="4" s="1"/>
  <c r="G56" i="4" s="1"/>
  <c r="G84" i="4" s="1"/>
  <c r="J32" i="4"/>
  <c r="J19" i="4"/>
  <c r="J29" i="4"/>
  <c r="J30" i="4"/>
  <c r="J4" i="4"/>
  <c r="J16" i="4"/>
  <c r="C41" i="4"/>
  <c r="C47" i="4" s="1"/>
  <c r="C56" i="4" s="1"/>
  <c r="C84" i="4" s="1"/>
  <c r="J18" i="4"/>
  <c r="J17" i="4"/>
  <c r="I40" i="4"/>
  <c r="J26" i="4"/>
  <c r="J28" i="4"/>
  <c r="B41" i="4"/>
  <c r="B47" i="4" s="1"/>
  <c r="E13" i="4"/>
  <c r="J25" i="4"/>
  <c r="J20" i="4"/>
  <c r="J5" i="4"/>
  <c r="J14" i="4"/>
  <c r="F41" i="4"/>
  <c r="F47" i="4" s="1"/>
  <c r="H41" i="4"/>
  <c r="H47" i="4" s="1"/>
  <c r="H56" i="4" s="1"/>
  <c r="H84" i="4" s="1"/>
  <c r="J15" i="4"/>
  <c r="J24" i="4"/>
  <c r="J34" i="4"/>
  <c r="D41" i="4"/>
  <c r="D47" i="4" s="1"/>
  <c r="D56" i="4" s="1"/>
  <c r="D84" i="4" s="1"/>
  <c r="J27" i="4"/>
  <c r="J33" i="4"/>
  <c r="V41" i="4" l="1"/>
  <c r="R84" i="4"/>
  <c r="N56" i="4"/>
  <c r="Q47" i="4"/>
  <c r="V47" i="4" s="1"/>
  <c r="F56" i="4"/>
  <c r="I47" i="4"/>
  <c r="B56" i="4"/>
  <c r="E47" i="4"/>
  <c r="J13" i="4"/>
  <c r="J40" i="4"/>
  <c r="I41" i="4"/>
  <c r="E41" i="4"/>
  <c r="U84" i="4" l="1"/>
  <c r="N84" i="4"/>
  <c r="Q56" i="4"/>
  <c r="V56" i="4" s="1"/>
  <c r="J47" i="4"/>
  <c r="F84" i="4"/>
  <c r="I56" i="4"/>
  <c r="B84" i="4"/>
  <c r="E56" i="4"/>
  <c r="J41" i="4"/>
  <c r="E84" i="4" l="1"/>
  <c r="I84" i="4"/>
  <c r="Q84" i="4"/>
  <c r="V84" i="4" s="1"/>
  <c r="J84" i="4" l="1"/>
</calcChain>
</file>

<file path=xl/sharedStrings.xml><?xml version="1.0" encoding="utf-8"?>
<sst xmlns="http://schemas.openxmlformats.org/spreadsheetml/2006/main" count="123" uniqueCount="47">
  <si>
    <t>合計</t>
    <rPh sb="0" eb="2">
      <t>ゴウケイ</t>
    </rPh>
    <phoneticPr fontId="2"/>
  </si>
  <si>
    <t>サイズ</t>
  </si>
  <si>
    <t>M</t>
  </si>
  <si>
    <t>L</t>
  </si>
  <si>
    <t>LL</t>
  </si>
  <si>
    <t>計</t>
    <rPh sb="0" eb="1">
      <t>ケイ</t>
    </rPh>
    <phoneticPr fontId="2"/>
  </si>
  <si>
    <t>初回</t>
    <rPh sb="0" eb="2">
      <t>ショカイ</t>
    </rPh>
    <phoneticPr fontId="2"/>
  </si>
  <si>
    <t>追加１</t>
    <rPh sb="0" eb="2">
      <t>ツイカ</t>
    </rPh>
    <phoneticPr fontId="2"/>
  </si>
  <si>
    <t>追加２</t>
    <rPh sb="0" eb="2">
      <t>ツイカ</t>
    </rPh>
    <phoneticPr fontId="2"/>
  </si>
  <si>
    <t>追加３</t>
    <rPh sb="0" eb="2">
      <t>ツイカ</t>
    </rPh>
    <phoneticPr fontId="2"/>
  </si>
  <si>
    <t>追加４</t>
    <rPh sb="0" eb="2">
      <t>ツイカ</t>
    </rPh>
    <phoneticPr fontId="2"/>
  </si>
  <si>
    <t>追加５</t>
    <rPh sb="0" eb="2">
      <t>ツイカ</t>
    </rPh>
    <phoneticPr fontId="2"/>
  </si>
  <si>
    <t>追加６</t>
    <rPh sb="0" eb="2">
      <t>ツイカ</t>
    </rPh>
    <phoneticPr fontId="2"/>
  </si>
  <si>
    <t>追加７</t>
    <rPh sb="0" eb="2">
      <t>ツイカ</t>
    </rPh>
    <phoneticPr fontId="2"/>
  </si>
  <si>
    <t>追加８</t>
    <rPh sb="0" eb="2">
      <t>ツイカ</t>
    </rPh>
    <phoneticPr fontId="2"/>
  </si>
  <si>
    <t>総在庫</t>
    <rPh sb="0" eb="1">
      <t>ソウ</t>
    </rPh>
    <rPh sb="1" eb="3">
      <t>ザイコ</t>
    </rPh>
    <phoneticPr fontId="2"/>
  </si>
  <si>
    <t>残数</t>
    <rPh sb="0" eb="2">
      <t>ザンスウ</t>
    </rPh>
    <phoneticPr fontId="2"/>
  </si>
  <si>
    <t>出荷数</t>
    <rPh sb="0" eb="2">
      <t>シュッカ</t>
    </rPh>
    <rPh sb="2" eb="3">
      <t>スウ</t>
    </rPh>
    <phoneticPr fontId="6"/>
  </si>
  <si>
    <t>残在庫</t>
    <rPh sb="0" eb="1">
      <t>ザン</t>
    </rPh>
    <rPh sb="1" eb="3">
      <t>ザイコ</t>
    </rPh>
    <phoneticPr fontId="2"/>
  </si>
  <si>
    <t>　</t>
    <phoneticPr fontId="6"/>
  </si>
  <si>
    <t>＜No.40439   40袋ガーゼ30cc安心ショーツ2色組＞夢販在庫 1枚M/L@450 LL480</t>
    <rPh sb="14" eb="15">
      <t>フクロ</t>
    </rPh>
    <rPh sb="22" eb="24">
      <t>アンシン</t>
    </rPh>
    <rPh sb="29" eb="31">
      <t>ショクグミ</t>
    </rPh>
    <rPh sb="32" eb="33">
      <t>ユメ</t>
    </rPh>
    <rPh sb="33" eb="34">
      <t>ハン</t>
    </rPh>
    <rPh sb="34" eb="36">
      <t>ザイコ</t>
    </rPh>
    <rPh sb="38" eb="39">
      <t>マイ</t>
    </rPh>
    <phoneticPr fontId="2"/>
  </si>
  <si>
    <t>ピンク</t>
    <phoneticPr fontId="2"/>
  </si>
  <si>
    <t>モカ</t>
    <phoneticPr fontId="2"/>
  </si>
  <si>
    <t>＜No.40439   40袋ガーゼ30cc安心ショーツ2色組＞西川合繊在庫 1枚M/L@450 LL480</t>
    <rPh sb="14" eb="15">
      <t>フクロ</t>
    </rPh>
    <rPh sb="22" eb="24">
      <t>アンシン</t>
    </rPh>
    <rPh sb="29" eb="31">
      <t>ショクグミ</t>
    </rPh>
    <rPh sb="32" eb="36">
      <t>ニシカワゴウセン</t>
    </rPh>
    <rPh sb="36" eb="38">
      <t>ザイコ</t>
    </rPh>
    <rPh sb="40" eb="41">
      <t>マイ</t>
    </rPh>
    <phoneticPr fontId="2"/>
  </si>
  <si>
    <t>JODメルシー1205</t>
    <phoneticPr fontId="6"/>
  </si>
  <si>
    <t>12/5～</t>
    <phoneticPr fontId="6"/>
  </si>
  <si>
    <t>JOD①</t>
    <phoneticPr fontId="6"/>
  </si>
  <si>
    <t>JOD②</t>
    <phoneticPr fontId="6"/>
  </si>
  <si>
    <t>JOD③</t>
    <phoneticPr fontId="6"/>
  </si>
  <si>
    <t>JOD④</t>
    <phoneticPr fontId="6"/>
  </si>
  <si>
    <t>JOD⑤</t>
    <phoneticPr fontId="6"/>
  </si>
  <si>
    <t>JOD⑥</t>
    <phoneticPr fontId="6"/>
  </si>
  <si>
    <t>JOD⑦</t>
    <phoneticPr fontId="6"/>
  </si>
  <si>
    <t>JOD⑧</t>
    <phoneticPr fontId="6"/>
  </si>
  <si>
    <t xml:space="preserve">JOD⑨ </t>
    <phoneticPr fontId="6"/>
  </si>
  <si>
    <t>JOD⑩</t>
    <phoneticPr fontId="6"/>
  </si>
  <si>
    <t>JOD⑪</t>
    <phoneticPr fontId="6"/>
  </si>
  <si>
    <t>JOD⑫</t>
    <phoneticPr fontId="6"/>
  </si>
  <si>
    <t>JOD⑬</t>
    <phoneticPr fontId="6"/>
  </si>
  <si>
    <t>JOD⑭</t>
    <phoneticPr fontId="6"/>
  </si>
  <si>
    <t>JOD⑮</t>
    <phoneticPr fontId="6"/>
  </si>
  <si>
    <t>JOD⑯</t>
    <phoneticPr fontId="6"/>
  </si>
  <si>
    <t>JOD⑰</t>
    <phoneticPr fontId="6"/>
  </si>
  <si>
    <t>JOD⑱</t>
    <phoneticPr fontId="6"/>
  </si>
  <si>
    <t>JOD⑲</t>
    <phoneticPr fontId="6"/>
  </si>
  <si>
    <t>JOD⑳</t>
    <phoneticPr fontId="6"/>
  </si>
  <si>
    <t>在庫確認</t>
    <rPh sb="0" eb="4">
      <t>ザイコカクニン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</si>
</sst>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b/>
      <sz val="11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color rgb="FFFF0000"/>
      <name val="ＭＳ Ｐゴシック"/>
      <family val="3"/>
      <charset val="128"/>
    </font>
    <font>
      <sz val="6"/>
      <name val="ＭＳ Ｐゴシック"/>
      <family val="2"/>
      <charset val="128"/>
      <scheme val="minor"/>
    </font>
    <font>
      <sz val="11"/>
      <color rgb="FFFF0000"/>
      <name val="ＭＳ Ｐゴシック"/>
      <family val="3"/>
      <charset val="128"/>
      <scheme val="minor"/>
    </font>
    <font>
      <sz val="11"/>
      <name val="ＭＳ Ｐゴシック"/>
      <family val="3"/>
      <charset val="128"/>
      <scheme val="minor"/>
    </font>
    <font>
      <sz val="10"/>
      <name val="ＭＳ Ｐゴシック"/>
      <family val="3"/>
      <charset val="128"/>
    </font>
    <font>
      <sz val="12"/>
      <name val="ＭＳ Ｐゴシック"/>
      <family val="3"/>
      <charset val="128"/>
      <scheme val="minor"/>
    </font>
    <font>
      <b/>
      <sz val="14"/>
      <name val="ＭＳ Ｐゴシック"/>
      <family val="3"/>
      <charset val="128"/>
    </font>
  </fonts>
  <fills count="6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</fills>
  <borders count="49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1" fillId="0" borderId="0"/>
  </cellStyleXfs>
  <cellXfs count="88">
    <xf numFmtId="0" fontId="0" fillId="0" borderId="0" xfId="0">
      <alignment vertical="center"/>
    </xf>
    <xf numFmtId="0" fontId="1" fillId="0" borderId="1" xfId="1" applyBorder="1" applyAlignment="1">
      <alignment horizontal="center" vertical="center"/>
    </xf>
    <xf numFmtId="0" fontId="1" fillId="0" borderId="2" xfId="1" applyBorder="1" applyAlignment="1">
      <alignment horizontal="center" vertical="center"/>
    </xf>
    <xf numFmtId="0" fontId="1" fillId="0" borderId="4" xfId="1" applyBorder="1" applyAlignment="1">
      <alignment horizontal="center" vertical="center"/>
    </xf>
    <xf numFmtId="0" fontId="1" fillId="0" borderId="11" xfId="1" applyBorder="1" applyAlignment="1">
      <alignment horizontal="center" vertical="center"/>
    </xf>
    <xf numFmtId="0" fontId="1" fillId="0" borderId="6" xfId="1" applyBorder="1"/>
    <xf numFmtId="0" fontId="1" fillId="0" borderId="7" xfId="1" applyBorder="1"/>
    <xf numFmtId="0" fontId="1" fillId="0" borderId="8" xfId="1" applyBorder="1"/>
    <xf numFmtId="0" fontId="1" fillId="0" borderId="9" xfId="1" applyBorder="1"/>
    <xf numFmtId="0" fontId="1" fillId="0" borderId="16" xfId="1" applyBorder="1"/>
    <xf numFmtId="0" fontId="1" fillId="0" borderId="17" xfId="1" applyBorder="1"/>
    <xf numFmtId="0" fontId="1" fillId="0" borderId="18" xfId="1" applyBorder="1"/>
    <xf numFmtId="0" fontId="1" fillId="0" borderId="19" xfId="1" applyBorder="1"/>
    <xf numFmtId="0" fontId="1" fillId="0" borderId="20" xfId="1" applyBorder="1"/>
    <xf numFmtId="0" fontId="1" fillId="0" borderId="21" xfId="1" applyBorder="1"/>
    <xf numFmtId="0" fontId="1" fillId="0" borderId="23" xfId="1" applyBorder="1"/>
    <xf numFmtId="0" fontId="4" fillId="0" borderId="26" xfId="1" applyFont="1" applyBorder="1" applyAlignment="1">
      <alignment horizontal="center" vertical="center"/>
    </xf>
    <xf numFmtId="0" fontId="1" fillId="0" borderId="5" xfId="1" applyBorder="1" applyAlignment="1">
      <alignment horizontal="center" vertical="center"/>
    </xf>
    <xf numFmtId="0" fontId="1" fillId="0" borderId="10" xfId="1" applyBorder="1" applyAlignment="1">
      <alignment horizontal="center" vertical="center"/>
    </xf>
    <xf numFmtId="56" fontId="1" fillId="0" borderId="25" xfId="1" applyNumberFormat="1" applyBorder="1" applyAlignment="1">
      <alignment horizontal="center" vertical="center"/>
    </xf>
    <xf numFmtId="0" fontId="1" fillId="0" borderId="10" xfId="1" applyBorder="1" applyAlignment="1">
      <alignment horizontal="center" vertical="center" shrinkToFit="1"/>
    </xf>
    <xf numFmtId="56" fontId="5" fillId="0" borderId="26" xfId="1" applyNumberFormat="1" applyFont="1" applyBorder="1" applyAlignment="1">
      <alignment horizontal="center" vertical="center"/>
    </xf>
    <xf numFmtId="0" fontId="5" fillId="0" borderId="1" xfId="1" applyFont="1" applyBorder="1"/>
    <xf numFmtId="0" fontId="5" fillId="0" borderId="2" xfId="1" applyFont="1" applyBorder="1"/>
    <xf numFmtId="0" fontId="5" fillId="0" borderId="4" xfId="1" applyFont="1" applyBorder="1"/>
    <xf numFmtId="0" fontId="1" fillId="0" borderId="27" xfId="1" applyBorder="1"/>
    <xf numFmtId="0" fontId="1" fillId="0" borderId="28" xfId="1" applyBorder="1"/>
    <xf numFmtId="0" fontId="1" fillId="0" borderId="30" xfId="1" applyBorder="1"/>
    <xf numFmtId="0" fontId="5" fillId="0" borderId="26" xfId="1" applyFont="1" applyBorder="1" applyAlignment="1">
      <alignment horizontal="center" vertical="center"/>
    </xf>
    <xf numFmtId="0" fontId="1" fillId="0" borderId="31" xfId="1" applyBorder="1"/>
    <xf numFmtId="0" fontId="7" fillId="0" borderId="0" xfId="0" applyFont="1">
      <alignment vertical="center"/>
    </xf>
    <xf numFmtId="0" fontId="1" fillId="0" borderId="26" xfId="1" applyBorder="1" applyAlignment="1">
      <alignment horizontal="center" vertical="center"/>
    </xf>
    <xf numFmtId="0" fontId="1" fillId="0" borderId="12" xfId="1" applyBorder="1"/>
    <xf numFmtId="0" fontId="1" fillId="0" borderId="13" xfId="1" applyBorder="1"/>
    <xf numFmtId="0" fontId="1" fillId="0" borderId="1" xfId="1" applyBorder="1"/>
    <xf numFmtId="0" fontId="1" fillId="0" borderId="2" xfId="1" applyBorder="1"/>
    <xf numFmtId="0" fontId="1" fillId="0" borderId="35" xfId="1" applyBorder="1"/>
    <xf numFmtId="0" fontId="1" fillId="0" borderId="36" xfId="1" applyBorder="1"/>
    <xf numFmtId="0" fontId="1" fillId="0" borderId="37" xfId="1" applyBorder="1"/>
    <xf numFmtId="0" fontId="1" fillId="0" borderId="3" xfId="1" applyBorder="1"/>
    <xf numFmtId="56" fontId="8" fillId="0" borderId="0" xfId="0" applyNumberFormat="1" applyFont="1">
      <alignment vertical="center"/>
    </xf>
    <xf numFmtId="56" fontId="0" fillId="0" borderId="0" xfId="0" applyNumberFormat="1">
      <alignment vertical="center"/>
    </xf>
    <xf numFmtId="0" fontId="9" fillId="0" borderId="10" xfId="1" applyFont="1" applyBorder="1" applyAlignment="1">
      <alignment horizontal="center" vertical="center"/>
    </xf>
    <xf numFmtId="56" fontId="10" fillId="0" borderId="0" xfId="0" applyNumberFormat="1" applyFont="1">
      <alignment vertical="center"/>
    </xf>
    <xf numFmtId="0" fontId="9" fillId="0" borderId="5" xfId="1" applyFont="1" applyBorder="1" applyAlignment="1">
      <alignment horizontal="center" vertical="center"/>
    </xf>
    <xf numFmtId="0" fontId="1" fillId="0" borderId="39" xfId="1" applyBorder="1"/>
    <xf numFmtId="0" fontId="1" fillId="0" borderId="40" xfId="1" applyBorder="1"/>
    <xf numFmtId="0" fontId="1" fillId="0" borderId="41" xfId="1" applyBorder="1"/>
    <xf numFmtId="0" fontId="1" fillId="0" borderId="42" xfId="1" applyBorder="1"/>
    <xf numFmtId="0" fontId="8" fillId="0" borderId="0" xfId="0" applyFont="1">
      <alignment vertical="center"/>
    </xf>
    <xf numFmtId="0" fontId="5" fillId="0" borderId="0" xfId="1" applyFont="1"/>
    <xf numFmtId="0" fontId="1" fillId="2" borderId="22" xfId="1" applyFill="1" applyBorder="1"/>
    <xf numFmtId="0" fontId="1" fillId="2" borderId="5" xfId="1" applyFill="1" applyBorder="1"/>
    <xf numFmtId="0" fontId="1" fillId="2" borderId="10" xfId="1" applyFill="1" applyBorder="1"/>
    <xf numFmtId="0" fontId="1" fillId="2" borderId="33" xfId="1" applyFill="1" applyBorder="1"/>
    <xf numFmtId="0" fontId="5" fillId="2" borderId="11" xfId="1" applyFont="1" applyFill="1" applyBorder="1"/>
    <xf numFmtId="0" fontId="1" fillId="2" borderId="11" xfId="1" applyFill="1" applyBorder="1"/>
    <xf numFmtId="0" fontId="4" fillId="2" borderId="29" xfId="1" applyFont="1" applyFill="1" applyBorder="1"/>
    <xf numFmtId="0" fontId="1" fillId="3" borderId="15" xfId="1" applyFill="1" applyBorder="1"/>
    <xf numFmtId="0" fontId="1" fillId="3" borderId="10" xfId="1" applyFill="1" applyBorder="1"/>
    <xf numFmtId="0" fontId="1" fillId="3" borderId="24" xfId="1" applyFill="1" applyBorder="1"/>
    <xf numFmtId="0" fontId="5" fillId="3" borderId="11" xfId="1" applyFont="1" applyFill="1" applyBorder="1"/>
    <xf numFmtId="0" fontId="1" fillId="3" borderId="11" xfId="1" applyFill="1" applyBorder="1"/>
    <xf numFmtId="0" fontId="4" fillId="2" borderId="32" xfId="1" applyFont="1" applyFill="1" applyBorder="1"/>
    <xf numFmtId="0" fontId="4" fillId="2" borderId="34" xfId="1" applyFont="1" applyFill="1" applyBorder="1"/>
    <xf numFmtId="0" fontId="4" fillId="2" borderId="38" xfId="1" applyFont="1" applyFill="1" applyBorder="1"/>
    <xf numFmtId="0" fontId="5" fillId="0" borderId="12" xfId="1" applyFont="1" applyBorder="1"/>
    <xf numFmtId="0" fontId="5" fillId="0" borderId="13" xfId="1" applyFont="1" applyBorder="1"/>
    <xf numFmtId="0" fontId="5" fillId="0" borderId="14" xfId="1" applyFont="1" applyBorder="1"/>
    <xf numFmtId="0" fontId="5" fillId="2" borderId="15" xfId="1" applyFont="1" applyFill="1" applyBorder="1"/>
    <xf numFmtId="0" fontId="5" fillId="3" borderId="15" xfId="1" applyFont="1" applyFill="1" applyBorder="1"/>
    <xf numFmtId="56" fontId="7" fillId="0" borderId="0" xfId="0" applyNumberFormat="1" applyFont="1">
      <alignment vertical="center"/>
    </xf>
    <xf numFmtId="0" fontId="1" fillId="3" borderId="5" xfId="1" applyFill="1" applyBorder="1"/>
    <xf numFmtId="0" fontId="1" fillId="0" borderId="45" xfId="1" applyBorder="1"/>
    <xf numFmtId="0" fontId="1" fillId="0" borderId="46" xfId="1" applyBorder="1"/>
    <xf numFmtId="0" fontId="1" fillId="0" borderId="47" xfId="1" applyBorder="1"/>
    <xf numFmtId="0" fontId="1" fillId="0" borderId="48" xfId="1" applyBorder="1"/>
    <xf numFmtId="0" fontId="11" fillId="0" borderId="0" xfId="1" applyFont="1"/>
    <xf numFmtId="0" fontId="1" fillId="0" borderId="0" xfId="1"/>
    <xf numFmtId="56" fontId="1" fillId="0" borderId="26" xfId="1" applyNumberFormat="1" applyBorder="1" applyAlignment="1">
      <alignment horizontal="center" vertical="center"/>
    </xf>
    <xf numFmtId="0" fontId="1" fillId="0" borderId="14" xfId="1" applyBorder="1"/>
    <xf numFmtId="0" fontId="1" fillId="2" borderId="15" xfId="1" applyFill="1" applyBorder="1"/>
    <xf numFmtId="0" fontId="1" fillId="0" borderId="22" xfId="1" applyBorder="1" applyAlignment="1">
      <alignment horizontal="center" vertical="center"/>
    </xf>
    <xf numFmtId="0" fontId="1" fillId="0" borderId="24" xfId="1" applyBorder="1" applyAlignment="1">
      <alignment horizontal="center" vertical="center"/>
    </xf>
    <xf numFmtId="0" fontId="3" fillId="5" borderId="43" xfId="1" applyFont="1" applyFill="1" applyBorder="1" applyAlignment="1">
      <alignment horizontal="center"/>
    </xf>
    <xf numFmtId="0" fontId="3" fillId="5" borderId="44" xfId="1" applyFont="1" applyFill="1" applyBorder="1" applyAlignment="1">
      <alignment horizontal="center"/>
    </xf>
    <xf numFmtId="0" fontId="3" fillId="4" borderId="43" xfId="1" applyFont="1" applyFill="1" applyBorder="1" applyAlignment="1">
      <alignment horizontal="center"/>
    </xf>
    <xf numFmtId="0" fontId="3" fillId="4" borderId="44" xfId="1" applyFont="1" applyFill="1" applyBorder="1" applyAlignment="1">
      <alignment horizontal="center"/>
    </xf>
  </cellXfs>
  <cellStyles count="2">
    <cellStyle name="標準" xfId="0" builtinId="0"/>
    <cellStyle name="標準 2" xfId="1" xr:uid="{00000000-0005-0000-0000-000001000000}"/>
  </cellStyles>
  <dxfs count="0"/>
  <tableStyles count="0" defaultTableStyle="TableStyleMedium9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R84"/>
  <sheetViews>
    <sheetView tabSelected="1" topLeftCell="A4" workbookViewId="0">
      <selection activeCell="K35" sqref="K35"/>
    </sheetView>
  </sheetViews>
  <sheetFormatPr defaultRowHeight="13.5" x14ac:dyDescent="0.15"/>
  <cols>
    <col min="1" max="1" width="26.875" customWidth="1"/>
    <col min="2" max="10" width="7.375" customWidth="1"/>
    <col min="11" max="11" width="9.5" bestFit="1" customWidth="1"/>
    <col min="12" max="12" width="5.625" customWidth="1"/>
    <col min="13" max="13" width="32.375" customWidth="1"/>
    <col min="14" max="22" width="7.375" customWidth="1"/>
    <col min="23" max="23" width="9.25" bestFit="1" customWidth="1"/>
    <col min="24" max="24" width="5.625" customWidth="1"/>
    <col min="25" max="25" width="22.125" customWidth="1"/>
    <col min="26" max="34" width="7.5" customWidth="1"/>
  </cols>
  <sheetData>
    <row r="1" spans="1:44" ht="18" thickBot="1" x14ac:dyDescent="0.25">
      <c r="A1" s="77" t="s">
        <v>20</v>
      </c>
      <c r="B1" s="78"/>
      <c r="C1" s="78"/>
      <c r="D1" s="78"/>
      <c r="E1" s="78"/>
      <c r="F1" s="78"/>
      <c r="G1" s="78"/>
      <c r="H1" s="78"/>
      <c r="I1" s="78"/>
      <c r="J1" s="78"/>
      <c r="M1" s="77" t="s">
        <v>23</v>
      </c>
      <c r="N1" s="78"/>
      <c r="O1" s="78"/>
      <c r="P1" s="78"/>
      <c r="Q1" s="78"/>
      <c r="R1" s="78"/>
      <c r="S1" s="78"/>
      <c r="T1" s="78"/>
      <c r="U1" s="78"/>
      <c r="V1" s="78"/>
    </row>
    <row r="2" spans="1:44" ht="14.25" thickBot="1" x14ac:dyDescent="0.2">
      <c r="A2" s="4"/>
      <c r="B2" s="84" t="s">
        <v>21</v>
      </c>
      <c r="C2" s="84"/>
      <c r="D2" s="84"/>
      <c r="E2" s="85"/>
      <c r="F2" s="86" t="s">
        <v>22</v>
      </c>
      <c r="G2" s="86"/>
      <c r="H2" s="86"/>
      <c r="I2" s="87"/>
      <c r="J2" s="82" t="s">
        <v>0</v>
      </c>
      <c r="M2" s="4"/>
      <c r="N2" s="84" t="s">
        <v>21</v>
      </c>
      <c r="O2" s="84"/>
      <c r="P2" s="84"/>
      <c r="Q2" s="85"/>
      <c r="R2" s="86" t="s">
        <v>22</v>
      </c>
      <c r="S2" s="86"/>
      <c r="T2" s="86"/>
      <c r="U2" s="87"/>
      <c r="V2" s="82" t="s">
        <v>0</v>
      </c>
    </row>
    <row r="3" spans="1:44" ht="14.25" thickBot="1" x14ac:dyDescent="0.2">
      <c r="A3" s="4" t="s">
        <v>1</v>
      </c>
      <c r="B3" s="1" t="s">
        <v>2</v>
      </c>
      <c r="C3" s="2" t="s">
        <v>3</v>
      </c>
      <c r="D3" s="3" t="s">
        <v>4</v>
      </c>
      <c r="E3" s="4" t="s">
        <v>5</v>
      </c>
      <c r="F3" s="1" t="s">
        <v>2</v>
      </c>
      <c r="G3" s="2" t="s">
        <v>3</v>
      </c>
      <c r="H3" s="3" t="s">
        <v>4</v>
      </c>
      <c r="I3" s="4" t="s">
        <v>5</v>
      </c>
      <c r="J3" s="83"/>
      <c r="M3" s="4" t="s">
        <v>1</v>
      </c>
      <c r="N3" s="1" t="s">
        <v>2</v>
      </c>
      <c r="O3" s="2" t="s">
        <v>3</v>
      </c>
      <c r="P3" s="3" t="s">
        <v>4</v>
      </c>
      <c r="Q3" s="4" t="s">
        <v>5</v>
      </c>
      <c r="R3" s="1" t="s">
        <v>2</v>
      </c>
      <c r="S3" s="2" t="s">
        <v>3</v>
      </c>
      <c r="T3" s="3" t="s">
        <v>4</v>
      </c>
      <c r="U3" s="4" t="s">
        <v>5</v>
      </c>
      <c r="V3" s="83"/>
    </row>
    <row r="4" spans="1:44" ht="14.25" thickBot="1" x14ac:dyDescent="0.2">
      <c r="A4" s="79" t="s">
        <v>6</v>
      </c>
      <c r="B4" s="32">
        <v>10</v>
      </c>
      <c r="C4" s="33">
        <v>10</v>
      </c>
      <c r="D4" s="80">
        <v>10</v>
      </c>
      <c r="E4" s="81">
        <f>SUM(B4:D4)</f>
        <v>30</v>
      </c>
      <c r="F4" s="32">
        <v>10</v>
      </c>
      <c r="G4" s="33">
        <v>10</v>
      </c>
      <c r="H4" s="80">
        <v>10</v>
      </c>
      <c r="I4" s="81">
        <f>SUM(F4:H4)</f>
        <v>30</v>
      </c>
      <c r="J4" s="58">
        <f>E4+I4</f>
        <v>60</v>
      </c>
      <c r="K4" s="40">
        <v>45629</v>
      </c>
      <c r="M4" s="21" t="s">
        <v>6</v>
      </c>
      <c r="N4" s="66"/>
      <c r="O4" s="67"/>
      <c r="P4" s="68"/>
      <c r="Q4" s="69">
        <f>SUM(N4:P4)</f>
        <v>0</v>
      </c>
      <c r="R4" s="66"/>
      <c r="S4" s="67"/>
      <c r="T4" s="68"/>
      <c r="U4" s="69">
        <f>SUM(R4:T4)</f>
        <v>0</v>
      </c>
      <c r="V4" s="70">
        <f>Q4+U4</f>
        <v>0</v>
      </c>
      <c r="W4" s="71"/>
    </row>
    <row r="5" spans="1:44" x14ac:dyDescent="0.15">
      <c r="A5" s="19" t="s">
        <v>7</v>
      </c>
      <c r="B5" s="32">
        <v>8</v>
      </c>
      <c r="C5" s="33"/>
      <c r="D5" s="45"/>
      <c r="E5" s="51">
        <f>SUM(B5:D5)</f>
        <v>8</v>
      </c>
      <c r="F5" s="46">
        <v>8</v>
      </c>
      <c r="G5" s="47"/>
      <c r="H5" s="48"/>
      <c r="I5" s="51">
        <f>SUM(F5:H5)</f>
        <v>8</v>
      </c>
      <c r="J5" s="58">
        <f>E5+I5</f>
        <v>16</v>
      </c>
      <c r="K5" s="40">
        <v>45643</v>
      </c>
      <c r="M5" s="19" t="s">
        <v>7</v>
      </c>
      <c r="N5" s="32"/>
      <c r="O5" s="33"/>
      <c r="P5" s="45"/>
      <c r="Q5" s="51">
        <f>SUM(N5:P5)</f>
        <v>0</v>
      </c>
      <c r="R5" s="46"/>
      <c r="S5" s="47"/>
      <c r="T5" s="48"/>
      <c r="U5" s="51">
        <f>SUM(R5:T5)</f>
        <v>0</v>
      </c>
      <c r="V5" s="58">
        <f>Q5+U5</f>
        <v>0</v>
      </c>
      <c r="W5" s="40"/>
    </row>
    <row r="6" spans="1:44" x14ac:dyDescent="0.15">
      <c r="A6" s="19" t="s">
        <v>8</v>
      </c>
      <c r="B6" s="5"/>
      <c r="C6" s="6">
        <v>5</v>
      </c>
      <c r="D6" s="14"/>
      <c r="E6" s="52">
        <f t="shared" ref="E6" si="0">SUM(B6:D6)</f>
        <v>5</v>
      </c>
      <c r="F6" s="15"/>
      <c r="G6" s="13">
        <v>5</v>
      </c>
      <c r="H6" s="14"/>
      <c r="I6" s="52">
        <f t="shared" ref="I6" si="1">SUM(F6:H6)</f>
        <v>5</v>
      </c>
      <c r="J6" s="59">
        <f t="shared" ref="J6" si="2">E6+I6</f>
        <v>10</v>
      </c>
      <c r="K6" s="40">
        <v>45650</v>
      </c>
      <c r="M6" s="19" t="s">
        <v>8</v>
      </c>
      <c r="N6" s="9"/>
      <c r="O6" s="10"/>
      <c r="P6" s="37"/>
      <c r="Q6" s="53">
        <f t="shared" ref="Q6:Q10" si="3">SUM(N6:P6)</f>
        <v>0</v>
      </c>
      <c r="R6" s="12"/>
      <c r="S6" s="10"/>
      <c r="T6" s="11"/>
      <c r="U6" s="53">
        <f t="shared" ref="U6:U10" si="4">SUM(R6:T6)</f>
        <v>0</v>
      </c>
      <c r="V6" s="59">
        <f t="shared" ref="V6:V10" si="5">Q6+U6</f>
        <v>0</v>
      </c>
    </row>
    <row r="7" spans="1:44" x14ac:dyDescent="0.15">
      <c r="A7" s="19" t="s">
        <v>9</v>
      </c>
      <c r="B7" s="5">
        <v>5</v>
      </c>
      <c r="C7" s="6">
        <v>6</v>
      </c>
      <c r="D7" s="14">
        <v>5</v>
      </c>
      <c r="E7" s="52">
        <f t="shared" ref="E7:E12" si="6">SUM(B7:D7)</f>
        <v>16</v>
      </c>
      <c r="F7" s="15">
        <v>5</v>
      </c>
      <c r="G7" s="13">
        <v>6</v>
      </c>
      <c r="H7" s="14">
        <v>5</v>
      </c>
      <c r="I7" s="52">
        <f t="shared" ref="I7:I12" si="7">SUM(F7:H7)</f>
        <v>16</v>
      </c>
      <c r="J7" s="59">
        <f t="shared" ref="J7:J12" si="8">E7+I7</f>
        <v>32</v>
      </c>
      <c r="K7" s="40">
        <v>45652</v>
      </c>
      <c r="M7" s="19" t="s">
        <v>9</v>
      </c>
      <c r="N7" s="9"/>
      <c r="O7" s="10"/>
      <c r="P7" s="37"/>
      <c r="Q7" s="53">
        <f t="shared" si="3"/>
        <v>0</v>
      </c>
      <c r="R7" s="12"/>
      <c r="S7" s="10"/>
      <c r="T7" s="11"/>
      <c r="U7" s="53">
        <f t="shared" si="4"/>
        <v>0</v>
      </c>
      <c r="V7" s="59">
        <f t="shared" si="5"/>
        <v>0</v>
      </c>
      <c r="AJ7" s="49"/>
    </row>
    <row r="8" spans="1:44" x14ac:dyDescent="0.15">
      <c r="A8" s="19" t="s">
        <v>10</v>
      </c>
      <c r="B8" s="5">
        <v>3</v>
      </c>
      <c r="C8" s="6"/>
      <c r="D8" s="14"/>
      <c r="E8" s="52">
        <f t="shared" si="6"/>
        <v>3</v>
      </c>
      <c r="F8" s="15">
        <v>3</v>
      </c>
      <c r="G8" s="13"/>
      <c r="H8" s="14"/>
      <c r="I8" s="52">
        <f t="shared" si="7"/>
        <v>3</v>
      </c>
      <c r="J8" s="59">
        <f t="shared" si="8"/>
        <v>6</v>
      </c>
      <c r="K8" s="40">
        <v>45720</v>
      </c>
      <c r="L8" s="49"/>
      <c r="M8" s="19" t="s">
        <v>10</v>
      </c>
      <c r="N8" s="9"/>
      <c r="O8" s="10"/>
      <c r="P8" s="37"/>
      <c r="Q8" s="53">
        <f t="shared" si="3"/>
        <v>0</v>
      </c>
      <c r="R8" s="12"/>
      <c r="S8" s="10"/>
      <c r="T8" s="11"/>
      <c r="U8" s="53">
        <f t="shared" si="4"/>
        <v>0</v>
      </c>
      <c r="V8" s="59">
        <f t="shared" si="5"/>
        <v>0</v>
      </c>
      <c r="AJ8" s="50"/>
      <c r="AK8" s="50"/>
      <c r="AL8" s="50"/>
      <c r="AM8" s="50"/>
      <c r="AN8" s="50"/>
      <c r="AO8" s="50"/>
      <c r="AP8" s="50"/>
      <c r="AQ8" s="50"/>
      <c r="AR8" s="50"/>
    </row>
    <row r="9" spans="1:44" x14ac:dyDescent="0.15">
      <c r="A9" s="19" t="s">
        <v>46</v>
      </c>
      <c r="B9" s="5">
        <v>0</v>
      </c>
      <c r="C9" s="6">
        <v>0</v>
      </c>
      <c r="D9" s="14">
        <v>0</v>
      </c>
      <c r="E9" s="52">
        <f t="shared" si="6"/>
        <v>0</v>
      </c>
      <c r="F9" s="15">
        <v>0</v>
      </c>
      <c r="G9" s="13">
        <v>0</v>
      </c>
      <c r="H9" s="14">
        <v>0</v>
      </c>
      <c r="I9" s="52">
        <f t="shared" si="7"/>
        <v>0</v>
      </c>
      <c r="J9" s="59">
        <f t="shared" si="8"/>
        <v>0</v>
      </c>
      <c r="K9" s="40">
        <v>45891</v>
      </c>
      <c r="M9" s="19" t="s">
        <v>11</v>
      </c>
      <c r="N9" s="9"/>
      <c r="O9" s="10"/>
      <c r="P9" s="37"/>
      <c r="Q9" s="53">
        <f t="shared" si="3"/>
        <v>0</v>
      </c>
      <c r="R9" s="12"/>
      <c r="S9" s="10"/>
      <c r="T9" s="11"/>
      <c r="U9" s="53">
        <f t="shared" si="4"/>
        <v>0</v>
      </c>
      <c r="V9" s="59">
        <f t="shared" si="5"/>
        <v>0</v>
      </c>
    </row>
    <row r="10" spans="1:44" x14ac:dyDescent="0.15">
      <c r="A10" s="19" t="s">
        <v>12</v>
      </c>
      <c r="B10" s="5"/>
      <c r="C10" s="6"/>
      <c r="D10" s="14"/>
      <c r="E10" s="52">
        <f t="shared" si="6"/>
        <v>0</v>
      </c>
      <c r="F10" s="15"/>
      <c r="G10" s="13"/>
      <c r="H10" s="14"/>
      <c r="I10" s="52">
        <f t="shared" si="7"/>
        <v>0</v>
      </c>
      <c r="J10" s="59">
        <f t="shared" si="8"/>
        <v>0</v>
      </c>
      <c r="K10" s="40"/>
      <c r="M10" s="19" t="s">
        <v>12</v>
      </c>
      <c r="N10" s="9"/>
      <c r="O10" s="10"/>
      <c r="P10" s="37"/>
      <c r="Q10" s="53">
        <f t="shared" si="3"/>
        <v>0</v>
      </c>
      <c r="R10" s="12"/>
      <c r="S10" s="10"/>
      <c r="T10" s="11"/>
      <c r="U10" s="53">
        <f t="shared" si="4"/>
        <v>0</v>
      </c>
      <c r="V10" s="59">
        <f t="shared" si="5"/>
        <v>0</v>
      </c>
    </row>
    <row r="11" spans="1:44" x14ac:dyDescent="0.15">
      <c r="A11" s="19" t="s">
        <v>13</v>
      </c>
      <c r="B11" s="5"/>
      <c r="C11" s="6"/>
      <c r="D11" s="14"/>
      <c r="E11" s="52">
        <f t="shared" si="6"/>
        <v>0</v>
      </c>
      <c r="F11" s="15"/>
      <c r="G11" s="13"/>
      <c r="H11" s="14"/>
      <c r="I11" s="52">
        <f t="shared" si="7"/>
        <v>0</v>
      </c>
      <c r="J11" s="59">
        <f t="shared" si="8"/>
        <v>0</v>
      </c>
      <c r="K11" s="40"/>
      <c r="M11" s="19" t="s">
        <v>13</v>
      </c>
      <c r="N11" s="9"/>
      <c r="O11" s="10"/>
      <c r="P11" s="37"/>
      <c r="Q11" s="53">
        <f t="shared" ref="Q11:Q12" si="9">SUM(N11:P11)</f>
        <v>0</v>
      </c>
      <c r="R11" s="12"/>
      <c r="S11" s="10"/>
      <c r="T11" s="11"/>
      <c r="U11" s="53">
        <f t="shared" ref="U11:U12" si="10">SUM(R11:T11)</f>
        <v>0</v>
      </c>
      <c r="V11" s="59">
        <f t="shared" ref="V11:V12" si="11">Q11+U11</f>
        <v>0</v>
      </c>
    </row>
    <row r="12" spans="1:44" ht="14.25" thickBot="1" x14ac:dyDescent="0.2">
      <c r="A12" s="19" t="s">
        <v>14</v>
      </c>
      <c r="B12" s="5"/>
      <c r="C12" s="6"/>
      <c r="D12" s="14"/>
      <c r="E12" s="52">
        <f t="shared" si="6"/>
        <v>0</v>
      </c>
      <c r="F12" s="15"/>
      <c r="G12" s="13"/>
      <c r="H12" s="14"/>
      <c r="I12" s="52">
        <f t="shared" si="7"/>
        <v>0</v>
      </c>
      <c r="J12" s="59">
        <f t="shared" si="8"/>
        <v>0</v>
      </c>
      <c r="K12" s="40"/>
      <c r="M12" s="19" t="s">
        <v>14</v>
      </c>
      <c r="N12" s="25"/>
      <c r="O12" s="26"/>
      <c r="P12" s="38"/>
      <c r="Q12" s="54">
        <f t="shared" si="9"/>
        <v>0</v>
      </c>
      <c r="R12" s="27"/>
      <c r="S12" s="27"/>
      <c r="T12" s="29"/>
      <c r="U12" s="54">
        <f t="shared" si="10"/>
        <v>0</v>
      </c>
      <c r="V12" s="60">
        <f t="shared" si="11"/>
        <v>0</v>
      </c>
    </row>
    <row r="13" spans="1:44" ht="14.25" thickBot="1" x14ac:dyDescent="0.2">
      <c r="A13" s="28" t="s">
        <v>15</v>
      </c>
      <c r="B13" s="22">
        <f>SUM(B4:B12)</f>
        <v>26</v>
      </c>
      <c r="C13" s="23">
        <f>SUM(C4:C12)</f>
        <v>21</v>
      </c>
      <c r="D13" s="24">
        <f>SUM(D4:D12)</f>
        <v>15</v>
      </c>
      <c r="E13" s="55">
        <f>SUM(B13:D13)</f>
        <v>62</v>
      </c>
      <c r="F13" s="22">
        <f>SUM(F4:F12)</f>
        <v>26</v>
      </c>
      <c r="G13" s="23">
        <f>SUM(G4:G12)</f>
        <v>21</v>
      </c>
      <c r="H13" s="24">
        <f>SUM(H4:H12)</f>
        <v>15</v>
      </c>
      <c r="I13" s="55">
        <f>SUM(F13:H13)</f>
        <v>62</v>
      </c>
      <c r="J13" s="61">
        <f>E13+I13</f>
        <v>124</v>
      </c>
      <c r="M13" s="28" t="s">
        <v>15</v>
      </c>
      <c r="N13" s="22">
        <f>SUM(N4:N12)</f>
        <v>0</v>
      </c>
      <c r="O13" s="23">
        <f>SUM(O4:O12)</f>
        <v>0</v>
      </c>
      <c r="P13" s="24">
        <f>SUM(P4:P12)</f>
        <v>0</v>
      </c>
      <c r="Q13" s="55">
        <f>SUM(N13:P13)</f>
        <v>0</v>
      </c>
      <c r="R13" s="22">
        <f>SUM(R4:R12)</f>
        <v>0</v>
      </c>
      <c r="S13" s="23">
        <f>SUM(S4:S12)</f>
        <v>0</v>
      </c>
      <c r="T13" s="24">
        <f>SUM(T4:T12)</f>
        <v>0</v>
      </c>
      <c r="U13" s="55">
        <f>SUM(R13:T13)</f>
        <v>0</v>
      </c>
      <c r="V13" s="61">
        <f>Q13+U13</f>
        <v>0</v>
      </c>
    </row>
    <row r="14" spans="1:44" x14ac:dyDescent="0.15">
      <c r="A14" s="18" t="s">
        <v>26</v>
      </c>
      <c r="B14" s="9">
        <v>2</v>
      </c>
      <c r="C14" s="10">
        <v>2</v>
      </c>
      <c r="D14" s="11">
        <v>2</v>
      </c>
      <c r="E14" s="52">
        <f>SUM(B14:D14)</f>
        <v>6</v>
      </c>
      <c r="F14" s="12">
        <v>2</v>
      </c>
      <c r="G14" s="10">
        <v>2</v>
      </c>
      <c r="H14" s="11">
        <v>2</v>
      </c>
      <c r="I14" s="52">
        <f>SUM(F14:H14)</f>
        <v>6</v>
      </c>
      <c r="J14" s="59">
        <f>E14+I14</f>
        <v>12</v>
      </c>
      <c r="K14" s="40">
        <v>45632</v>
      </c>
      <c r="L14" s="49"/>
      <c r="M14" s="20"/>
      <c r="N14" s="9"/>
      <c r="O14" s="10"/>
      <c r="P14" s="11"/>
      <c r="Q14" s="52">
        <f>SUM(N14:P14)</f>
        <v>0</v>
      </c>
      <c r="R14" s="12"/>
      <c r="S14" s="10"/>
      <c r="T14" s="11"/>
      <c r="U14" s="52">
        <f>SUM(R14:T14)</f>
        <v>0</v>
      </c>
      <c r="V14" s="59">
        <f>Q14+U14</f>
        <v>0</v>
      </c>
      <c r="W14" s="40"/>
    </row>
    <row r="15" spans="1:44" x14ac:dyDescent="0.15">
      <c r="A15" s="18" t="s">
        <v>27</v>
      </c>
      <c r="B15" s="5">
        <v>5</v>
      </c>
      <c r="C15" s="6"/>
      <c r="D15" s="7"/>
      <c r="E15" s="52">
        <f t="shared" ref="E15:E40" si="12">SUM(B15:D15)</f>
        <v>5</v>
      </c>
      <c r="F15" s="8">
        <v>5</v>
      </c>
      <c r="G15" s="6"/>
      <c r="H15" s="7"/>
      <c r="I15" s="52">
        <f t="shared" ref="I15:I40" si="13">SUM(F15:H15)</f>
        <v>5</v>
      </c>
      <c r="J15" s="59">
        <f t="shared" ref="J15:J34" si="14">E15+I15</f>
        <v>10</v>
      </c>
      <c r="K15" s="40">
        <v>45639</v>
      </c>
      <c r="L15" s="49"/>
      <c r="M15" s="20"/>
      <c r="N15" s="5"/>
      <c r="O15" s="6"/>
      <c r="P15" s="7"/>
      <c r="Q15" s="52">
        <f t="shared" ref="Q15:Q40" si="15">SUM(N15:P15)</f>
        <v>0</v>
      </c>
      <c r="R15" s="8"/>
      <c r="S15" s="6"/>
      <c r="T15" s="7"/>
      <c r="U15" s="52">
        <f t="shared" ref="U15:U40" si="16">SUM(R15:T15)</f>
        <v>0</v>
      </c>
      <c r="V15" s="59">
        <f t="shared" ref="V15:V28" si="17">Q15+U15</f>
        <v>0</v>
      </c>
      <c r="W15" s="40"/>
    </row>
    <row r="16" spans="1:44" x14ac:dyDescent="0.15">
      <c r="A16" s="18" t="s">
        <v>28</v>
      </c>
      <c r="B16" s="5">
        <v>3</v>
      </c>
      <c r="C16" s="6"/>
      <c r="D16" s="7"/>
      <c r="E16" s="52">
        <f t="shared" si="12"/>
        <v>3</v>
      </c>
      <c r="F16" s="8">
        <v>3</v>
      </c>
      <c r="G16" s="6"/>
      <c r="H16" s="7"/>
      <c r="I16" s="52">
        <f t="shared" si="13"/>
        <v>3</v>
      </c>
      <c r="J16" s="59">
        <f t="shared" si="14"/>
        <v>6</v>
      </c>
      <c r="K16" s="40">
        <v>45642</v>
      </c>
      <c r="L16" s="49"/>
      <c r="M16" s="20"/>
      <c r="N16" s="5"/>
      <c r="O16" s="6"/>
      <c r="P16" s="7"/>
      <c r="Q16" s="52">
        <f t="shared" si="15"/>
        <v>0</v>
      </c>
      <c r="R16" s="8"/>
      <c r="S16" s="6"/>
      <c r="T16" s="7"/>
      <c r="U16" s="52">
        <f t="shared" si="16"/>
        <v>0</v>
      </c>
      <c r="V16" s="59">
        <f t="shared" si="17"/>
        <v>0</v>
      </c>
      <c r="W16" s="40"/>
      <c r="AJ16" s="49"/>
    </row>
    <row r="17" spans="1:36" x14ac:dyDescent="0.15">
      <c r="A17" s="18" t="s">
        <v>29</v>
      </c>
      <c r="B17" s="5">
        <v>4</v>
      </c>
      <c r="C17" s="6">
        <v>1</v>
      </c>
      <c r="D17" s="7">
        <v>4</v>
      </c>
      <c r="E17" s="52">
        <f t="shared" si="12"/>
        <v>9</v>
      </c>
      <c r="F17" s="8">
        <v>4</v>
      </c>
      <c r="G17" s="6">
        <v>1</v>
      </c>
      <c r="H17" s="7">
        <v>4</v>
      </c>
      <c r="I17" s="52">
        <f t="shared" si="13"/>
        <v>9</v>
      </c>
      <c r="J17" s="59">
        <f t="shared" si="14"/>
        <v>18</v>
      </c>
      <c r="K17" s="40">
        <v>45645</v>
      </c>
      <c r="M17" s="17"/>
      <c r="N17" s="5"/>
      <c r="O17" s="6"/>
      <c r="P17" s="7"/>
      <c r="Q17" s="52">
        <f t="shared" ref="Q17:Q20" si="18">SUM(N17:P17)</f>
        <v>0</v>
      </c>
      <c r="R17" s="8"/>
      <c r="S17" s="6"/>
      <c r="T17" s="7"/>
      <c r="U17" s="52">
        <f t="shared" ref="U17:U20" si="19">SUM(R17:T17)</f>
        <v>0</v>
      </c>
      <c r="V17" s="59">
        <f t="shared" ref="V17:V20" si="20">Q17+U17</f>
        <v>0</v>
      </c>
      <c r="W17" s="40"/>
      <c r="AJ17" s="49"/>
    </row>
    <row r="18" spans="1:36" x14ac:dyDescent="0.15">
      <c r="A18" s="18" t="s">
        <v>30</v>
      </c>
      <c r="B18" s="5"/>
      <c r="C18" s="6">
        <v>4</v>
      </c>
      <c r="D18" s="7">
        <v>1</v>
      </c>
      <c r="E18" s="52">
        <f t="shared" si="12"/>
        <v>5</v>
      </c>
      <c r="F18" s="8"/>
      <c r="G18" s="6">
        <v>4</v>
      </c>
      <c r="H18" s="7">
        <v>1</v>
      </c>
      <c r="I18" s="52">
        <f t="shared" si="13"/>
        <v>5</v>
      </c>
      <c r="J18" s="59">
        <f t="shared" si="14"/>
        <v>10</v>
      </c>
      <c r="K18" s="40">
        <v>45646</v>
      </c>
      <c r="L18" s="49"/>
      <c r="M18" s="17"/>
      <c r="N18" s="5"/>
      <c r="O18" s="6"/>
      <c r="P18" s="7"/>
      <c r="Q18" s="52">
        <f t="shared" si="18"/>
        <v>0</v>
      </c>
      <c r="R18" s="8"/>
      <c r="S18" s="6"/>
      <c r="T18" s="7"/>
      <c r="U18" s="52">
        <f t="shared" si="19"/>
        <v>0</v>
      </c>
      <c r="V18" s="59">
        <f t="shared" si="20"/>
        <v>0</v>
      </c>
      <c r="W18" s="40"/>
      <c r="AJ18" s="49"/>
    </row>
    <row r="19" spans="1:36" x14ac:dyDescent="0.15">
      <c r="A19" s="18" t="s">
        <v>31</v>
      </c>
      <c r="B19" s="5"/>
      <c r="C19" s="6">
        <v>2</v>
      </c>
      <c r="D19" s="14">
        <v>1</v>
      </c>
      <c r="E19" s="52">
        <f t="shared" si="12"/>
        <v>3</v>
      </c>
      <c r="F19" s="15"/>
      <c r="G19" s="13">
        <v>2</v>
      </c>
      <c r="H19" s="14">
        <v>1</v>
      </c>
      <c r="I19" s="52">
        <f t="shared" si="13"/>
        <v>3</v>
      </c>
      <c r="J19" s="59">
        <f t="shared" si="14"/>
        <v>6</v>
      </c>
      <c r="K19" s="40">
        <v>45649</v>
      </c>
      <c r="L19" s="49"/>
      <c r="M19" s="42"/>
      <c r="N19" s="5"/>
      <c r="O19" s="6"/>
      <c r="P19" s="14"/>
      <c r="Q19" s="52">
        <f t="shared" si="18"/>
        <v>0</v>
      </c>
      <c r="R19" s="15"/>
      <c r="S19" s="13"/>
      <c r="T19" s="14"/>
      <c r="U19" s="52">
        <f t="shared" si="19"/>
        <v>0</v>
      </c>
      <c r="V19" s="59">
        <f t="shared" si="20"/>
        <v>0</v>
      </c>
      <c r="W19" s="40"/>
      <c r="X19" s="49"/>
      <c r="AJ19" s="49"/>
    </row>
    <row r="20" spans="1:36" x14ac:dyDescent="0.15">
      <c r="A20" s="18" t="s">
        <v>32</v>
      </c>
      <c r="B20" s="5">
        <v>2</v>
      </c>
      <c r="C20" s="6"/>
      <c r="D20" s="7"/>
      <c r="E20" s="52">
        <f t="shared" si="12"/>
        <v>2</v>
      </c>
      <c r="F20" s="8">
        <v>2</v>
      </c>
      <c r="G20" s="6"/>
      <c r="H20" s="7"/>
      <c r="I20" s="52">
        <f t="shared" si="13"/>
        <v>2</v>
      </c>
      <c r="J20" s="59">
        <f t="shared" si="14"/>
        <v>4</v>
      </c>
      <c r="K20" s="40">
        <v>45651</v>
      </c>
      <c r="L20" s="49"/>
      <c r="M20" s="17"/>
      <c r="N20" s="5"/>
      <c r="O20" s="6"/>
      <c r="P20" s="7"/>
      <c r="Q20" s="52">
        <f t="shared" si="18"/>
        <v>0</v>
      </c>
      <c r="R20" s="8"/>
      <c r="S20" s="6"/>
      <c r="T20" s="7"/>
      <c r="U20" s="52">
        <f t="shared" si="19"/>
        <v>0</v>
      </c>
      <c r="V20" s="59">
        <f t="shared" si="20"/>
        <v>0</v>
      </c>
      <c r="W20" s="40"/>
      <c r="X20" s="49"/>
      <c r="AJ20" s="49"/>
    </row>
    <row r="21" spans="1:36" x14ac:dyDescent="0.15">
      <c r="A21" s="18" t="s">
        <v>33</v>
      </c>
      <c r="B21" s="5"/>
      <c r="C21" s="6">
        <v>5</v>
      </c>
      <c r="D21" s="7">
        <v>1</v>
      </c>
      <c r="E21" s="52">
        <f t="shared" si="12"/>
        <v>6</v>
      </c>
      <c r="F21" s="8"/>
      <c r="G21" s="6">
        <v>5</v>
      </c>
      <c r="H21" s="7">
        <v>1</v>
      </c>
      <c r="I21" s="52">
        <f t="shared" si="13"/>
        <v>6</v>
      </c>
      <c r="J21" s="59">
        <f t="shared" si="14"/>
        <v>12</v>
      </c>
      <c r="K21" s="40">
        <v>45652</v>
      </c>
      <c r="L21" s="49"/>
      <c r="M21" s="42"/>
      <c r="N21" s="5"/>
      <c r="O21" s="6"/>
      <c r="P21" s="7"/>
      <c r="Q21" s="52">
        <f t="shared" si="15"/>
        <v>0</v>
      </c>
      <c r="R21" s="8"/>
      <c r="S21" s="6"/>
      <c r="T21" s="7"/>
      <c r="U21" s="52">
        <f t="shared" si="16"/>
        <v>0</v>
      </c>
      <c r="V21" s="59">
        <f t="shared" si="17"/>
        <v>0</v>
      </c>
      <c r="W21" s="40"/>
      <c r="AJ21" s="49"/>
    </row>
    <row r="22" spans="1:36" x14ac:dyDescent="0.15">
      <c r="A22" s="18" t="s">
        <v>34</v>
      </c>
      <c r="B22" s="5"/>
      <c r="C22" s="6">
        <v>2</v>
      </c>
      <c r="D22" s="7"/>
      <c r="E22" s="52">
        <f t="shared" si="12"/>
        <v>2</v>
      </c>
      <c r="F22" s="8"/>
      <c r="G22" s="6">
        <v>2</v>
      </c>
      <c r="H22" s="7"/>
      <c r="I22" s="52">
        <f t="shared" si="13"/>
        <v>2</v>
      </c>
      <c r="J22" s="59">
        <f t="shared" si="14"/>
        <v>4</v>
      </c>
      <c r="K22" s="40">
        <v>45653</v>
      </c>
      <c r="M22" s="17"/>
      <c r="N22" s="5"/>
      <c r="O22" s="6"/>
      <c r="P22" s="7"/>
      <c r="Q22" s="52">
        <f t="shared" si="15"/>
        <v>0</v>
      </c>
      <c r="R22" s="8"/>
      <c r="S22" s="6"/>
      <c r="T22" s="7"/>
      <c r="U22" s="52">
        <f t="shared" si="16"/>
        <v>0</v>
      </c>
      <c r="V22" s="59">
        <f t="shared" si="17"/>
        <v>0</v>
      </c>
      <c r="W22" s="40"/>
    </row>
    <row r="23" spans="1:36" x14ac:dyDescent="0.15">
      <c r="A23" s="18" t="s">
        <v>35</v>
      </c>
      <c r="B23" s="9">
        <v>1</v>
      </c>
      <c r="C23" s="10">
        <v>1</v>
      </c>
      <c r="D23" s="11"/>
      <c r="E23" s="52">
        <f t="shared" si="12"/>
        <v>2</v>
      </c>
      <c r="F23" s="12">
        <v>1</v>
      </c>
      <c r="G23" s="10">
        <v>1</v>
      </c>
      <c r="H23" s="11"/>
      <c r="I23" s="52">
        <f t="shared" si="13"/>
        <v>2</v>
      </c>
      <c r="J23" s="59">
        <f t="shared" si="14"/>
        <v>4</v>
      </c>
      <c r="K23" s="40">
        <v>45297</v>
      </c>
      <c r="M23" s="18"/>
      <c r="N23" s="9"/>
      <c r="O23" s="10"/>
      <c r="P23" s="11"/>
      <c r="Q23" s="52">
        <f t="shared" si="15"/>
        <v>0</v>
      </c>
      <c r="R23" s="12"/>
      <c r="S23" s="10"/>
      <c r="T23" s="11"/>
      <c r="U23" s="52">
        <f t="shared" si="16"/>
        <v>0</v>
      </c>
      <c r="V23" s="59">
        <f t="shared" si="17"/>
        <v>0</v>
      </c>
      <c r="W23" s="40"/>
    </row>
    <row r="24" spans="1:36" x14ac:dyDescent="0.15">
      <c r="A24" s="18" t="s">
        <v>36</v>
      </c>
      <c r="B24" s="5">
        <v>1</v>
      </c>
      <c r="C24" s="6"/>
      <c r="D24" s="7"/>
      <c r="E24" s="52">
        <f t="shared" si="12"/>
        <v>1</v>
      </c>
      <c r="F24" s="8">
        <v>1</v>
      </c>
      <c r="G24" s="6"/>
      <c r="H24" s="7"/>
      <c r="I24" s="52">
        <f t="shared" si="13"/>
        <v>1</v>
      </c>
      <c r="J24" s="59">
        <f t="shared" si="14"/>
        <v>2</v>
      </c>
      <c r="K24" s="40">
        <v>45664</v>
      </c>
      <c r="L24" s="49"/>
      <c r="M24" s="20"/>
      <c r="N24" s="5"/>
      <c r="O24" s="6"/>
      <c r="P24" s="7"/>
      <c r="Q24" s="52">
        <f>SUM(N24:P24)</f>
        <v>0</v>
      </c>
      <c r="R24" s="8"/>
      <c r="S24" s="6"/>
      <c r="T24" s="7"/>
      <c r="U24" s="52">
        <f>SUM(R24:T24)</f>
        <v>0</v>
      </c>
      <c r="V24" s="59">
        <f>Q24+U24</f>
        <v>0</v>
      </c>
      <c r="W24" s="40"/>
    </row>
    <row r="25" spans="1:36" x14ac:dyDescent="0.15">
      <c r="A25" s="18" t="s">
        <v>37</v>
      </c>
      <c r="B25" s="5">
        <v>1</v>
      </c>
      <c r="C25" s="6"/>
      <c r="D25" s="7">
        <v>1</v>
      </c>
      <c r="E25" s="52">
        <f t="shared" si="12"/>
        <v>2</v>
      </c>
      <c r="F25" s="8">
        <v>1</v>
      </c>
      <c r="G25" s="6"/>
      <c r="H25" s="7">
        <v>1</v>
      </c>
      <c r="I25" s="52">
        <f t="shared" si="13"/>
        <v>2</v>
      </c>
      <c r="J25" s="59">
        <f t="shared" si="14"/>
        <v>4</v>
      </c>
      <c r="K25" s="40">
        <v>45666</v>
      </c>
      <c r="L25" s="49"/>
      <c r="M25" s="42"/>
      <c r="N25" s="5"/>
      <c r="O25" s="6"/>
      <c r="P25" s="7"/>
      <c r="Q25" s="52">
        <f t="shared" si="15"/>
        <v>0</v>
      </c>
      <c r="R25" s="8"/>
      <c r="S25" s="6"/>
      <c r="T25" s="7"/>
      <c r="U25" s="52">
        <f t="shared" si="16"/>
        <v>0</v>
      </c>
      <c r="V25" s="59">
        <f t="shared" si="17"/>
        <v>0</v>
      </c>
      <c r="W25" s="40"/>
      <c r="X25" s="49"/>
    </row>
    <row r="26" spans="1:36" x14ac:dyDescent="0.15">
      <c r="A26" s="18" t="s">
        <v>38</v>
      </c>
      <c r="B26" s="5">
        <v>1</v>
      </c>
      <c r="C26" s="6"/>
      <c r="D26" s="7">
        <v>1</v>
      </c>
      <c r="E26" s="52">
        <f t="shared" si="12"/>
        <v>2</v>
      </c>
      <c r="F26" s="8">
        <v>1</v>
      </c>
      <c r="G26" s="6"/>
      <c r="H26" s="7">
        <v>1</v>
      </c>
      <c r="I26" s="52">
        <f t="shared" si="13"/>
        <v>2</v>
      </c>
      <c r="J26" s="59">
        <f t="shared" si="14"/>
        <v>4</v>
      </c>
      <c r="K26" s="40">
        <v>45667</v>
      </c>
      <c r="L26" s="49"/>
      <c r="M26" s="42"/>
      <c r="N26" s="5"/>
      <c r="O26" s="6"/>
      <c r="P26" s="7"/>
      <c r="Q26" s="52">
        <f t="shared" si="15"/>
        <v>0</v>
      </c>
      <c r="R26" s="8"/>
      <c r="S26" s="6"/>
      <c r="T26" s="7"/>
      <c r="U26" s="52">
        <f t="shared" si="16"/>
        <v>0</v>
      </c>
      <c r="V26" s="59">
        <f t="shared" si="17"/>
        <v>0</v>
      </c>
      <c r="W26" s="40"/>
    </row>
    <row r="27" spans="1:36" x14ac:dyDescent="0.15">
      <c r="A27" s="18" t="s">
        <v>39</v>
      </c>
      <c r="B27" s="5"/>
      <c r="C27" s="6"/>
      <c r="D27" s="7">
        <v>1</v>
      </c>
      <c r="E27" s="52">
        <f t="shared" si="12"/>
        <v>1</v>
      </c>
      <c r="F27" s="8"/>
      <c r="G27" s="6"/>
      <c r="H27" s="7">
        <v>1</v>
      </c>
      <c r="I27" s="52">
        <f t="shared" si="13"/>
        <v>1</v>
      </c>
      <c r="J27" s="59">
        <f t="shared" si="14"/>
        <v>2</v>
      </c>
      <c r="K27" s="40">
        <v>45673</v>
      </c>
      <c r="L27" s="49"/>
      <c r="M27" s="18"/>
      <c r="N27" s="5"/>
      <c r="O27" s="6"/>
      <c r="P27" s="7"/>
      <c r="Q27" s="52">
        <f t="shared" si="15"/>
        <v>0</v>
      </c>
      <c r="R27" s="8"/>
      <c r="S27" s="6"/>
      <c r="T27" s="7"/>
      <c r="U27" s="52">
        <f t="shared" si="16"/>
        <v>0</v>
      </c>
      <c r="V27" s="59">
        <f t="shared" si="17"/>
        <v>0</v>
      </c>
      <c r="W27" s="40"/>
    </row>
    <row r="28" spans="1:36" x14ac:dyDescent="0.15">
      <c r="A28" s="18" t="s">
        <v>40</v>
      </c>
      <c r="B28" s="5"/>
      <c r="C28" s="6">
        <v>1</v>
      </c>
      <c r="D28" s="7"/>
      <c r="E28" s="52">
        <f t="shared" si="12"/>
        <v>1</v>
      </c>
      <c r="F28" s="8"/>
      <c r="G28" s="6">
        <v>1</v>
      </c>
      <c r="H28" s="7"/>
      <c r="I28" s="52">
        <f t="shared" si="13"/>
        <v>1</v>
      </c>
      <c r="J28" s="59">
        <f t="shared" si="14"/>
        <v>2</v>
      </c>
      <c r="K28" s="40">
        <v>45686</v>
      </c>
      <c r="M28" s="18"/>
      <c r="N28" s="5"/>
      <c r="O28" s="6"/>
      <c r="P28" s="7"/>
      <c r="Q28" s="52">
        <f t="shared" si="15"/>
        <v>0</v>
      </c>
      <c r="R28" s="8"/>
      <c r="S28" s="6"/>
      <c r="T28" s="7"/>
      <c r="U28" s="52">
        <f t="shared" si="16"/>
        <v>0</v>
      </c>
      <c r="V28" s="59">
        <f t="shared" si="17"/>
        <v>0</v>
      </c>
      <c r="W28" s="40"/>
    </row>
    <row r="29" spans="1:36" x14ac:dyDescent="0.15">
      <c r="A29" s="18" t="s">
        <v>41</v>
      </c>
      <c r="B29" s="5">
        <v>1</v>
      </c>
      <c r="C29" s="6"/>
      <c r="D29" s="7"/>
      <c r="E29" s="52">
        <f t="shared" si="12"/>
        <v>1</v>
      </c>
      <c r="F29" s="8">
        <v>1</v>
      </c>
      <c r="G29" s="6"/>
      <c r="H29" s="7"/>
      <c r="I29" s="52">
        <f t="shared" si="13"/>
        <v>1</v>
      </c>
      <c r="J29" s="59">
        <f t="shared" si="14"/>
        <v>2</v>
      </c>
      <c r="K29" s="40">
        <v>45698</v>
      </c>
      <c r="M29" s="18"/>
      <c r="N29" s="5"/>
      <c r="O29" s="6"/>
      <c r="P29" s="7"/>
      <c r="Q29" s="52">
        <f t="shared" ref="Q29:Q39" si="21">SUM(N29:P29)</f>
        <v>0</v>
      </c>
      <c r="R29" s="8"/>
      <c r="S29" s="6"/>
      <c r="T29" s="7"/>
      <c r="U29" s="52">
        <f t="shared" ref="U29:U39" si="22">SUM(R29:T29)</f>
        <v>0</v>
      </c>
      <c r="V29" s="59">
        <f t="shared" ref="V29:V39" si="23">Q29+U29</f>
        <v>0</v>
      </c>
      <c r="W29" s="40"/>
    </row>
    <row r="30" spans="1:36" x14ac:dyDescent="0.15">
      <c r="A30" s="18" t="s">
        <v>42</v>
      </c>
      <c r="B30" s="5">
        <v>1</v>
      </c>
      <c r="C30" s="6"/>
      <c r="D30" s="7"/>
      <c r="E30" s="52">
        <f t="shared" si="12"/>
        <v>1</v>
      </c>
      <c r="F30" s="8">
        <v>1</v>
      </c>
      <c r="G30" s="6"/>
      <c r="H30" s="7"/>
      <c r="I30" s="52">
        <f t="shared" si="13"/>
        <v>1</v>
      </c>
      <c r="J30" s="59">
        <f t="shared" si="14"/>
        <v>2</v>
      </c>
      <c r="K30" s="40">
        <v>45700</v>
      </c>
      <c r="L30" s="49"/>
      <c r="M30" s="18"/>
      <c r="N30" s="5"/>
      <c r="O30" s="6"/>
      <c r="P30" s="7"/>
      <c r="Q30" s="52">
        <f t="shared" si="21"/>
        <v>0</v>
      </c>
      <c r="R30" s="8"/>
      <c r="S30" s="6"/>
      <c r="T30" s="7"/>
      <c r="U30" s="52">
        <f t="shared" si="22"/>
        <v>0</v>
      </c>
      <c r="V30" s="59">
        <f t="shared" si="23"/>
        <v>0</v>
      </c>
      <c r="W30" s="40"/>
    </row>
    <row r="31" spans="1:36" x14ac:dyDescent="0.15">
      <c r="A31" s="18" t="s">
        <v>43</v>
      </c>
      <c r="B31" s="5"/>
      <c r="C31" s="6"/>
      <c r="D31" s="7">
        <v>1</v>
      </c>
      <c r="E31" s="52">
        <f t="shared" si="12"/>
        <v>1</v>
      </c>
      <c r="F31" s="8"/>
      <c r="G31" s="6"/>
      <c r="H31" s="7">
        <v>1</v>
      </c>
      <c r="I31" s="52">
        <f t="shared" si="13"/>
        <v>1</v>
      </c>
      <c r="J31" s="59">
        <f t="shared" si="14"/>
        <v>2</v>
      </c>
      <c r="K31" s="40">
        <v>45702</v>
      </c>
      <c r="L31" s="49"/>
      <c r="M31" s="18"/>
      <c r="N31" s="5"/>
      <c r="O31" s="6"/>
      <c r="P31" s="7"/>
      <c r="Q31" s="52">
        <f t="shared" si="21"/>
        <v>0</v>
      </c>
      <c r="R31" s="8"/>
      <c r="S31" s="6"/>
      <c r="T31" s="7"/>
      <c r="U31" s="52">
        <f t="shared" si="22"/>
        <v>0</v>
      </c>
      <c r="V31" s="59">
        <f t="shared" si="23"/>
        <v>0</v>
      </c>
      <c r="W31" s="40"/>
    </row>
    <row r="32" spans="1:36" x14ac:dyDescent="0.15">
      <c r="A32" s="18" t="s">
        <v>44</v>
      </c>
      <c r="B32" s="5">
        <v>1</v>
      </c>
      <c r="C32" s="6"/>
      <c r="D32" s="7"/>
      <c r="E32" s="52">
        <f t="shared" si="12"/>
        <v>1</v>
      </c>
      <c r="F32" s="8">
        <v>1</v>
      </c>
      <c r="G32" s="6"/>
      <c r="H32" s="7"/>
      <c r="I32" s="52">
        <f t="shared" si="13"/>
        <v>1</v>
      </c>
      <c r="J32" s="59">
        <f t="shared" si="14"/>
        <v>2</v>
      </c>
      <c r="K32" s="40">
        <v>45709</v>
      </c>
      <c r="L32" s="49"/>
      <c r="M32" s="18"/>
      <c r="N32" s="5"/>
      <c r="O32" s="6"/>
      <c r="P32" s="7"/>
      <c r="Q32" s="52">
        <f t="shared" si="21"/>
        <v>0</v>
      </c>
      <c r="R32" s="8"/>
      <c r="S32" s="6"/>
      <c r="T32" s="7"/>
      <c r="U32" s="52">
        <f t="shared" si="22"/>
        <v>0</v>
      </c>
      <c r="V32" s="59">
        <f t="shared" si="23"/>
        <v>0</v>
      </c>
      <c r="W32" s="40"/>
    </row>
    <row r="33" spans="1:23" x14ac:dyDescent="0.15">
      <c r="A33" s="18" t="s">
        <v>45</v>
      </c>
      <c r="B33" s="5">
        <v>2</v>
      </c>
      <c r="C33" s="6"/>
      <c r="D33" s="7"/>
      <c r="E33" s="52">
        <f t="shared" si="12"/>
        <v>2</v>
      </c>
      <c r="F33" s="8">
        <v>2</v>
      </c>
      <c r="G33" s="6"/>
      <c r="H33" s="7"/>
      <c r="I33" s="52">
        <f t="shared" si="13"/>
        <v>2</v>
      </c>
      <c r="J33" s="59">
        <f t="shared" si="14"/>
        <v>4</v>
      </c>
      <c r="K33" s="40">
        <v>45722</v>
      </c>
      <c r="L33" s="49"/>
      <c r="M33" s="18"/>
      <c r="N33" s="5"/>
      <c r="O33" s="6"/>
      <c r="P33" s="7"/>
      <c r="Q33" s="52">
        <f t="shared" si="21"/>
        <v>0</v>
      </c>
      <c r="R33" s="8"/>
      <c r="S33" s="6"/>
      <c r="T33" s="7"/>
      <c r="U33" s="52">
        <f t="shared" si="22"/>
        <v>0</v>
      </c>
      <c r="V33" s="59">
        <f t="shared" si="23"/>
        <v>0</v>
      </c>
      <c r="W33" s="40"/>
    </row>
    <row r="34" spans="1:23" x14ac:dyDescent="0.15">
      <c r="A34" s="17"/>
      <c r="B34" s="5"/>
      <c r="C34" s="6"/>
      <c r="D34" s="7"/>
      <c r="E34" s="52">
        <f t="shared" si="12"/>
        <v>0</v>
      </c>
      <c r="F34" s="8"/>
      <c r="G34" s="6"/>
      <c r="H34" s="7"/>
      <c r="I34" s="52">
        <f t="shared" si="13"/>
        <v>0</v>
      </c>
      <c r="J34" s="59">
        <f t="shared" si="14"/>
        <v>0</v>
      </c>
      <c r="K34" s="40"/>
      <c r="M34" s="18"/>
      <c r="N34" s="5"/>
      <c r="O34" s="6"/>
      <c r="P34" s="7"/>
      <c r="Q34" s="52">
        <f t="shared" si="21"/>
        <v>0</v>
      </c>
      <c r="R34" s="8"/>
      <c r="S34" s="6"/>
      <c r="T34" s="7"/>
      <c r="U34" s="52">
        <f t="shared" si="22"/>
        <v>0</v>
      </c>
      <c r="V34" s="59">
        <f t="shared" si="23"/>
        <v>0</v>
      </c>
      <c r="W34" s="40"/>
    </row>
    <row r="35" spans="1:23" x14ac:dyDescent="0.15">
      <c r="A35" s="17"/>
      <c r="B35" s="5"/>
      <c r="C35" s="6"/>
      <c r="D35" s="7"/>
      <c r="E35" s="52">
        <f t="shared" ref="E35" si="24">SUM(B35:D35)</f>
        <v>0</v>
      </c>
      <c r="F35" s="8"/>
      <c r="G35" s="6"/>
      <c r="H35" s="7"/>
      <c r="I35" s="52">
        <f t="shared" ref="I35" si="25">SUM(F35:H35)</f>
        <v>0</v>
      </c>
      <c r="J35" s="59">
        <f t="shared" ref="J35" si="26">E35+I35</f>
        <v>0</v>
      </c>
      <c r="K35" s="40"/>
      <c r="M35" s="18"/>
      <c r="N35" s="5"/>
      <c r="O35" s="6"/>
      <c r="P35" s="7"/>
      <c r="Q35" s="52">
        <f t="shared" si="21"/>
        <v>0</v>
      </c>
      <c r="R35" s="8"/>
      <c r="S35" s="6"/>
      <c r="T35" s="7"/>
      <c r="U35" s="52">
        <f t="shared" si="22"/>
        <v>0</v>
      </c>
      <c r="V35" s="59">
        <f t="shared" si="23"/>
        <v>0</v>
      </c>
      <c r="W35" s="40"/>
    </row>
    <row r="36" spans="1:23" x14ac:dyDescent="0.15">
      <c r="A36" s="17"/>
      <c r="B36" s="5"/>
      <c r="C36" s="6"/>
      <c r="D36" s="7"/>
      <c r="E36" s="52">
        <f t="shared" si="12"/>
        <v>0</v>
      </c>
      <c r="F36" s="8"/>
      <c r="G36" s="6"/>
      <c r="H36" s="7"/>
      <c r="I36" s="52">
        <f t="shared" si="13"/>
        <v>0</v>
      </c>
      <c r="J36" s="59">
        <f t="shared" ref="J36:J39" si="27">E36+I36</f>
        <v>0</v>
      </c>
      <c r="K36" s="40"/>
      <c r="M36" s="18"/>
      <c r="N36" s="5"/>
      <c r="O36" s="6"/>
      <c r="P36" s="7"/>
      <c r="Q36" s="52">
        <f t="shared" si="21"/>
        <v>0</v>
      </c>
      <c r="R36" s="8"/>
      <c r="S36" s="6"/>
      <c r="T36" s="7"/>
      <c r="U36" s="52">
        <f t="shared" si="22"/>
        <v>0</v>
      </c>
      <c r="V36" s="59">
        <f t="shared" si="23"/>
        <v>0</v>
      </c>
      <c r="W36" s="40"/>
    </row>
    <row r="37" spans="1:23" x14ac:dyDescent="0.15">
      <c r="A37" s="18"/>
      <c r="B37" s="5"/>
      <c r="C37" s="6"/>
      <c r="D37" s="7"/>
      <c r="E37" s="53">
        <f t="shared" si="12"/>
        <v>0</v>
      </c>
      <c r="F37" s="5"/>
      <c r="G37" s="6"/>
      <c r="H37" s="7"/>
      <c r="I37" s="53">
        <f t="shared" si="13"/>
        <v>0</v>
      </c>
      <c r="J37" s="59">
        <f t="shared" si="27"/>
        <v>0</v>
      </c>
      <c r="K37" s="40"/>
      <c r="M37" s="18"/>
      <c r="N37" s="5"/>
      <c r="O37" s="6"/>
      <c r="P37" s="7"/>
      <c r="Q37" s="52">
        <f t="shared" si="21"/>
        <v>0</v>
      </c>
      <c r="R37" s="8"/>
      <c r="S37" s="6"/>
      <c r="T37" s="7"/>
      <c r="U37" s="52">
        <f t="shared" si="22"/>
        <v>0</v>
      </c>
      <c r="V37" s="59">
        <f t="shared" si="23"/>
        <v>0</v>
      </c>
      <c r="W37" s="40"/>
    </row>
    <row r="38" spans="1:23" x14ac:dyDescent="0.15">
      <c r="A38" s="18"/>
      <c r="B38" s="5"/>
      <c r="C38" s="6"/>
      <c r="D38" s="7"/>
      <c r="E38" s="53">
        <f t="shared" si="12"/>
        <v>0</v>
      </c>
      <c r="F38" s="5"/>
      <c r="G38" s="6"/>
      <c r="H38" s="7"/>
      <c r="I38" s="53">
        <f t="shared" si="13"/>
        <v>0</v>
      </c>
      <c r="J38" s="59">
        <f t="shared" si="27"/>
        <v>0</v>
      </c>
      <c r="K38" s="40"/>
      <c r="M38" s="18"/>
      <c r="N38" s="5"/>
      <c r="O38" s="6"/>
      <c r="P38" s="7"/>
      <c r="Q38" s="52">
        <f t="shared" si="21"/>
        <v>0</v>
      </c>
      <c r="R38" s="8"/>
      <c r="S38" s="6"/>
      <c r="T38" s="7"/>
      <c r="U38" s="52">
        <f t="shared" si="22"/>
        <v>0</v>
      </c>
      <c r="V38" s="59">
        <f t="shared" si="23"/>
        <v>0</v>
      </c>
      <c r="W38" s="40"/>
    </row>
    <row r="39" spans="1:23" ht="14.25" thickBot="1" x14ac:dyDescent="0.2">
      <c r="A39" s="17" t="s">
        <v>24</v>
      </c>
      <c r="B39" s="5"/>
      <c r="C39" s="6"/>
      <c r="D39" s="7"/>
      <c r="E39" s="53">
        <f t="shared" si="12"/>
        <v>0</v>
      </c>
      <c r="F39" s="5"/>
      <c r="G39" s="6"/>
      <c r="H39" s="7"/>
      <c r="I39" s="53">
        <f t="shared" si="13"/>
        <v>0</v>
      </c>
      <c r="J39" s="72">
        <f t="shared" si="27"/>
        <v>0</v>
      </c>
      <c r="K39" s="40" t="s">
        <v>25</v>
      </c>
      <c r="M39" s="18"/>
      <c r="N39" s="5"/>
      <c r="O39" s="6"/>
      <c r="P39" s="7"/>
      <c r="Q39" s="52">
        <f t="shared" si="21"/>
        <v>0</v>
      </c>
      <c r="R39" s="8"/>
      <c r="S39" s="6"/>
      <c r="T39" s="7"/>
      <c r="U39" s="52">
        <f t="shared" si="22"/>
        <v>0</v>
      </c>
      <c r="V39" s="59">
        <f t="shared" si="23"/>
        <v>0</v>
      </c>
      <c r="W39" s="40"/>
    </row>
    <row r="40" spans="1:23" ht="14.25" thickBot="1" x14ac:dyDescent="0.2">
      <c r="A40" s="31" t="s">
        <v>17</v>
      </c>
      <c r="B40" s="34">
        <f>SUM(B14:B39)</f>
        <v>25</v>
      </c>
      <c r="C40" s="35">
        <f t="shared" ref="C40:D40" si="28">SUM(C14:C39)</f>
        <v>18</v>
      </c>
      <c r="D40" s="39">
        <f t="shared" si="28"/>
        <v>13</v>
      </c>
      <c r="E40" s="56">
        <f t="shared" si="12"/>
        <v>56</v>
      </c>
      <c r="F40" s="34">
        <f>SUM(F14:F39)</f>
        <v>25</v>
      </c>
      <c r="G40" s="35">
        <f t="shared" ref="G40:H40" si="29">SUM(G14:G39)</f>
        <v>18</v>
      </c>
      <c r="H40" s="39">
        <f t="shared" si="29"/>
        <v>13</v>
      </c>
      <c r="I40" s="56">
        <f t="shared" si="13"/>
        <v>56</v>
      </c>
      <c r="J40" s="62">
        <f>E40+I40</f>
        <v>112</v>
      </c>
      <c r="K40" s="30"/>
      <c r="M40" s="31" t="s">
        <v>17</v>
      </c>
      <c r="N40" s="34">
        <f>SUM(N14:N39)</f>
        <v>0</v>
      </c>
      <c r="O40" s="35">
        <f t="shared" ref="O40:P40" si="30">SUM(O14:O39)</f>
        <v>0</v>
      </c>
      <c r="P40" s="39">
        <f t="shared" si="30"/>
        <v>0</v>
      </c>
      <c r="Q40" s="56">
        <f t="shared" si="15"/>
        <v>0</v>
      </c>
      <c r="R40" s="34">
        <f>SUM(R14:R39)</f>
        <v>0</v>
      </c>
      <c r="S40" s="35">
        <f t="shared" ref="S40:T40" si="31">SUM(S14:S39)</f>
        <v>0</v>
      </c>
      <c r="T40" s="39">
        <f t="shared" si="31"/>
        <v>0</v>
      </c>
      <c r="U40" s="56">
        <f t="shared" si="16"/>
        <v>0</v>
      </c>
      <c r="V40" s="62">
        <f>Q40+U40</f>
        <v>0</v>
      </c>
      <c r="W40" s="30"/>
    </row>
    <row r="41" spans="1:23" ht="14.25" thickBot="1" x14ac:dyDescent="0.2">
      <c r="A41" s="16" t="s">
        <v>16</v>
      </c>
      <c r="B41" s="63">
        <f>B13-B40</f>
        <v>1</v>
      </c>
      <c r="C41" s="64">
        <f t="shared" ref="C41:D41" si="32">C13-C40</f>
        <v>3</v>
      </c>
      <c r="D41" s="65">
        <f t="shared" si="32"/>
        <v>2</v>
      </c>
      <c r="E41" s="57">
        <f>SUM(B41:D41)</f>
        <v>6</v>
      </c>
      <c r="F41" s="63">
        <f>F13-F40</f>
        <v>1</v>
      </c>
      <c r="G41" s="64">
        <f t="shared" ref="G41:H41" si="33">G13-G40</f>
        <v>3</v>
      </c>
      <c r="H41" s="65">
        <f t="shared" si="33"/>
        <v>2</v>
      </c>
      <c r="I41" s="57">
        <f>SUM(F41:H41)</f>
        <v>6</v>
      </c>
      <c r="J41" s="61">
        <f>E41+I41</f>
        <v>12</v>
      </c>
      <c r="M41" s="16" t="s">
        <v>16</v>
      </c>
      <c r="N41" s="63">
        <f>N13-N40</f>
        <v>0</v>
      </c>
      <c r="O41" s="64">
        <f t="shared" ref="O41:P41" si="34">O13-O40</f>
        <v>0</v>
      </c>
      <c r="P41" s="65">
        <f t="shared" si="34"/>
        <v>0</v>
      </c>
      <c r="Q41" s="57">
        <f>SUM(N41:P41)</f>
        <v>0</v>
      </c>
      <c r="R41" s="63">
        <f>R13-R40</f>
        <v>0</v>
      </c>
      <c r="S41" s="64">
        <f t="shared" ref="S41:T41" si="35">S13-S40</f>
        <v>0</v>
      </c>
      <c r="T41" s="65">
        <f t="shared" si="35"/>
        <v>0</v>
      </c>
      <c r="U41" s="57">
        <f>SUM(R41:T41)</f>
        <v>0</v>
      </c>
      <c r="V41" s="61">
        <f>Q41+U41</f>
        <v>0</v>
      </c>
    </row>
    <row r="44" spans="1:23" ht="18" thickBot="1" x14ac:dyDescent="0.25">
      <c r="A44" s="77" t="s">
        <v>20</v>
      </c>
      <c r="B44" s="78"/>
      <c r="C44" s="78"/>
      <c r="D44" s="78"/>
      <c r="E44" s="78"/>
      <c r="F44" s="78"/>
      <c r="G44" s="78"/>
      <c r="H44" s="78"/>
      <c r="I44" s="78"/>
      <c r="J44" s="78"/>
      <c r="M44" s="77" t="s">
        <v>23</v>
      </c>
      <c r="N44" s="78"/>
      <c r="O44" s="78"/>
      <c r="P44" s="78"/>
      <c r="Q44" s="78"/>
      <c r="R44" s="78"/>
      <c r="S44" s="78"/>
      <c r="T44" s="78"/>
      <c r="U44" s="78"/>
      <c r="V44" s="78"/>
    </row>
    <row r="45" spans="1:23" ht="14.25" thickBot="1" x14ac:dyDescent="0.2">
      <c r="A45" s="4"/>
      <c r="B45" s="84" t="s">
        <v>21</v>
      </c>
      <c r="C45" s="84"/>
      <c r="D45" s="84"/>
      <c r="E45" s="85"/>
      <c r="F45" s="86" t="s">
        <v>22</v>
      </c>
      <c r="G45" s="86"/>
      <c r="H45" s="86"/>
      <c r="I45" s="87"/>
      <c r="J45" s="82" t="s">
        <v>0</v>
      </c>
      <c r="M45" s="4"/>
      <c r="N45" s="84" t="s">
        <v>21</v>
      </c>
      <c r="O45" s="84"/>
      <c r="P45" s="84"/>
      <c r="Q45" s="85"/>
      <c r="R45" s="86" t="s">
        <v>22</v>
      </c>
      <c r="S45" s="86"/>
      <c r="T45" s="86"/>
      <c r="U45" s="87"/>
      <c r="V45" s="82" t="s">
        <v>0</v>
      </c>
    </row>
    <row r="46" spans="1:23" ht="14.25" thickBot="1" x14ac:dyDescent="0.2">
      <c r="A46" s="4" t="s">
        <v>1</v>
      </c>
      <c r="B46" s="1" t="s">
        <v>2</v>
      </c>
      <c r="C46" s="2" t="s">
        <v>3</v>
      </c>
      <c r="D46" s="3" t="s">
        <v>4</v>
      </c>
      <c r="E46" s="4" t="s">
        <v>5</v>
      </c>
      <c r="F46" s="1" t="s">
        <v>2</v>
      </c>
      <c r="G46" s="2" t="s">
        <v>3</v>
      </c>
      <c r="H46" s="3" t="s">
        <v>4</v>
      </c>
      <c r="I46" s="4" t="s">
        <v>5</v>
      </c>
      <c r="J46" s="83"/>
      <c r="M46" s="4" t="s">
        <v>1</v>
      </c>
      <c r="N46" s="1" t="s">
        <v>2</v>
      </c>
      <c r="O46" s="2" t="s">
        <v>3</v>
      </c>
      <c r="P46" s="3" t="s">
        <v>4</v>
      </c>
      <c r="Q46" s="4" t="s">
        <v>5</v>
      </c>
      <c r="R46" s="1" t="s">
        <v>2</v>
      </c>
      <c r="S46" s="2" t="s">
        <v>3</v>
      </c>
      <c r="T46" s="3" t="s">
        <v>4</v>
      </c>
      <c r="U46" s="4" t="s">
        <v>5</v>
      </c>
      <c r="V46" s="83"/>
    </row>
    <row r="47" spans="1:23" ht="14.25" thickBot="1" x14ac:dyDescent="0.2">
      <c r="A47" s="21" t="s">
        <v>18</v>
      </c>
      <c r="B47" s="66">
        <f>B41</f>
        <v>1</v>
      </c>
      <c r="C47" s="67">
        <f>C41</f>
        <v>3</v>
      </c>
      <c r="D47" s="68">
        <f>D41</f>
        <v>2</v>
      </c>
      <c r="E47" s="69">
        <f>SUM(B47:D47)</f>
        <v>6</v>
      </c>
      <c r="F47" s="66">
        <f>F41</f>
        <v>1</v>
      </c>
      <c r="G47" s="67">
        <f>G41</f>
        <v>3</v>
      </c>
      <c r="H47" s="68">
        <f>H41</f>
        <v>2</v>
      </c>
      <c r="I47" s="69">
        <f>SUM(F47:H47)</f>
        <v>6</v>
      </c>
      <c r="J47" s="70">
        <f>E47+I47</f>
        <v>12</v>
      </c>
      <c r="M47" s="21" t="s">
        <v>18</v>
      </c>
      <c r="N47" s="66">
        <f>N41</f>
        <v>0</v>
      </c>
      <c r="O47" s="67">
        <f>O41</f>
        <v>0</v>
      </c>
      <c r="P47" s="68">
        <f>P41</f>
        <v>0</v>
      </c>
      <c r="Q47" s="69">
        <f>SUM(N47:P47)</f>
        <v>0</v>
      </c>
      <c r="R47" s="66">
        <f>R41</f>
        <v>0</v>
      </c>
      <c r="S47" s="67">
        <f>S41</f>
        <v>0</v>
      </c>
      <c r="T47" s="68">
        <f>T41</f>
        <v>0</v>
      </c>
      <c r="U47" s="69">
        <f>SUM(R47:T47)</f>
        <v>0</v>
      </c>
      <c r="V47" s="70">
        <f>Q47+U47</f>
        <v>0</v>
      </c>
    </row>
    <row r="48" spans="1:23" x14ac:dyDescent="0.15">
      <c r="A48" s="19" t="s">
        <v>7</v>
      </c>
      <c r="B48" s="32"/>
      <c r="C48" s="33"/>
      <c r="D48" s="45"/>
      <c r="E48" s="51">
        <f>SUM(B48:D48)</f>
        <v>0</v>
      </c>
      <c r="F48" s="46"/>
      <c r="G48" s="47"/>
      <c r="H48" s="48"/>
      <c r="I48" s="51">
        <f>SUM(F48:H48)</f>
        <v>0</v>
      </c>
      <c r="J48" s="58">
        <f>E48+I48</f>
        <v>0</v>
      </c>
      <c r="K48" s="40"/>
      <c r="M48" s="19" t="s">
        <v>7</v>
      </c>
      <c r="N48" s="32"/>
      <c r="O48" s="33"/>
      <c r="P48" s="45"/>
      <c r="Q48" s="51">
        <f>SUM(N48:P48)</f>
        <v>0</v>
      </c>
      <c r="R48" s="46"/>
      <c r="S48" s="47"/>
      <c r="T48" s="48"/>
      <c r="U48" s="51">
        <f>SUM(R48:T48)</f>
        <v>0</v>
      </c>
      <c r="V48" s="58">
        <f>Q48+U48</f>
        <v>0</v>
      </c>
      <c r="W48" s="40"/>
    </row>
    <row r="49" spans="1:24" x14ac:dyDescent="0.15">
      <c r="A49" s="19" t="s">
        <v>8</v>
      </c>
      <c r="B49" s="5"/>
      <c r="C49" s="6"/>
      <c r="D49" s="14"/>
      <c r="E49" s="52">
        <f>SUM(B49:D49)</f>
        <v>0</v>
      </c>
      <c r="F49" s="15"/>
      <c r="G49" s="13"/>
      <c r="H49" s="14"/>
      <c r="I49" s="52">
        <f>SUM(F49:H49)</f>
        <v>0</v>
      </c>
      <c r="J49" s="59">
        <f>E49+I49</f>
        <v>0</v>
      </c>
      <c r="K49" s="40"/>
      <c r="M49" s="19" t="s">
        <v>8</v>
      </c>
      <c r="N49" s="5"/>
      <c r="O49" s="6"/>
      <c r="P49" s="36"/>
      <c r="Q49" s="53">
        <f t="shared" ref="Q49:Q52" si="36">SUM(N49:P49)</f>
        <v>0</v>
      </c>
      <c r="R49" s="8"/>
      <c r="S49" s="6"/>
      <c r="T49" s="7"/>
      <c r="U49" s="53">
        <f t="shared" ref="U49:U52" si="37">SUM(R49:T49)</f>
        <v>0</v>
      </c>
      <c r="V49" s="59">
        <f t="shared" ref="V49:V52" si="38">Q49+U49</f>
        <v>0</v>
      </c>
      <c r="W49" s="40"/>
    </row>
    <row r="50" spans="1:24" x14ac:dyDescent="0.15">
      <c r="A50" s="19" t="s">
        <v>9</v>
      </c>
      <c r="B50" s="5"/>
      <c r="C50" s="6"/>
      <c r="D50" s="14"/>
      <c r="E50" s="52">
        <f>SUM(B50:D50)</f>
        <v>0</v>
      </c>
      <c r="F50" s="15"/>
      <c r="G50" s="13"/>
      <c r="H50" s="14"/>
      <c r="I50" s="52">
        <f>SUM(F50:H50)</f>
        <v>0</v>
      </c>
      <c r="J50" s="59">
        <f>E50+I50</f>
        <v>0</v>
      </c>
      <c r="K50" s="40"/>
      <c r="M50" s="19" t="s">
        <v>9</v>
      </c>
      <c r="N50" s="5"/>
      <c r="O50" s="6"/>
      <c r="P50" s="36"/>
      <c r="Q50" s="53">
        <f t="shared" si="36"/>
        <v>0</v>
      </c>
      <c r="R50" s="8"/>
      <c r="S50" s="6"/>
      <c r="T50" s="7"/>
      <c r="U50" s="53">
        <f t="shared" si="37"/>
        <v>0</v>
      </c>
      <c r="V50" s="59">
        <f t="shared" si="38"/>
        <v>0</v>
      </c>
      <c r="W50" s="40"/>
    </row>
    <row r="51" spans="1:24" x14ac:dyDescent="0.15">
      <c r="A51" s="19" t="s">
        <v>10</v>
      </c>
      <c r="B51" s="5"/>
      <c r="C51" s="6"/>
      <c r="D51" s="7"/>
      <c r="E51" s="52">
        <f t="shared" ref="E51" si="39">SUM(B51:D51)</f>
        <v>0</v>
      </c>
      <c r="F51" s="8"/>
      <c r="G51" s="6"/>
      <c r="H51" s="7"/>
      <c r="I51" s="52">
        <f t="shared" ref="I51" si="40">SUM(F51:H51)</f>
        <v>0</v>
      </c>
      <c r="J51" s="59">
        <f t="shared" ref="J51" si="41">E51+I51</f>
        <v>0</v>
      </c>
      <c r="K51" s="40"/>
      <c r="M51" s="19" t="s">
        <v>10</v>
      </c>
      <c r="N51" s="5"/>
      <c r="O51" s="6"/>
      <c r="P51" s="36"/>
      <c r="Q51" s="53">
        <f t="shared" si="36"/>
        <v>0</v>
      </c>
      <c r="R51" s="8"/>
      <c r="S51" s="6"/>
      <c r="T51" s="7"/>
      <c r="U51" s="53">
        <f t="shared" si="37"/>
        <v>0</v>
      </c>
      <c r="V51" s="59">
        <f t="shared" si="38"/>
        <v>0</v>
      </c>
      <c r="W51" s="40"/>
    </row>
    <row r="52" spans="1:24" x14ac:dyDescent="0.15">
      <c r="A52" s="19" t="s">
        <v>11</v>
      </c>
      <c r="B52" s="5"/>
      <c r="C52" s="6"/>
      <c r="D52" s="36"/>
      <c r="E52" s="53">
        <f t="shared" ref="E52:E55" si="42">SUM(B52:D52)</f>
        <v>0</v>
      </c>
      <c r="F52" s="8"/>
      <c r="G52" s="6"/>
      <c r="H52" s="7"/>
      <c r="I52" s="53">
        <f t="shared" ref="I52:I55" si="43">SUM(F52:H52)</f>
        <v>0</v>
      </c>
      <c r="J52" s="59">
        <f t="shared" ref="J52:J55" si="44">E52+I52</f>
        <v>0</v>
      </c>
      <c r="K52" s="40"/>
      <c r="L52" s="49"/>
      <c r="M52" s="19" t="s">
        <v>11</v>
      </c>
      <c r="N52" s="5"/>
      <c r="O52" s="6"/>
      <c r="P52" s="36"/>
      <c r="Q52" s="53">
        <f t="shared" si="36"/>
        <v>0</v>
      </c>
      <c r="R52" s="8"/>
      <c r="S52" s="6"/>
      <c r="T52" s="7"/>
      <c r="U52" s="53">
        <f t="shared" si="37"/>
        <v>0</v>
      </c>
      <c r="V52" s="59">
        <f t="shared" si="38"/>
        <v>0</v>
      </c>
      <c r="W52" s="40"/>
    </row>
    <row r="53" spans="1:24" x14ac:dyDescent="0.15">
      <c r="A53" s="19" t="s">
        <v>12</v>
      </c>
      <c r="B53" s="5"/>
      <c r="C53" s="6"/>
      <c r="D53" s="36"/>
      <c r="E53" s="53">
        <f t="shared" si="42"/>
        <v>0</v>
      </c>
      <c r="F53" s="8"/>
      <c r="G53" s="6"/>
      <c r="H53" s="7"/>
      <c r="I53" s="53">
        <f t="shared" si="43"/>
        <v>0</v>
      </c>
      <c r="J53" s="59">
        <f t="shared" si="44"/>
        <v>0</v>
      </c>
      <c r="K53" s="40"/>
      <c r="M53" s="19" t="s">
        <v>12</v>
      </c>
      <c r="N53" s="5"/>
      <c r="O53" s="6"/>
      <c r="P53" s="36"/>
      <c r="Q53" s="53">
        <f>SUM(N53:P53)</f>
        <v>0</v>
      </c>
      <c r="R53" s="8"/>
      <c r="S53" s="6"/>
      <c r="T53" s="7"/>
      <c r="U53" s="53">
        <f>SUM(R53:T53)</f>
        <v>0</v>
      </c>
      <c r="V53" s="59">
        <f>Q53+U53</f>
        <v>0</v>
      </c>
      <c r="W53" s="40"/>
    </row>
    <row r="54" spans="1:24" x14ac:dyDescent="0.15">
      <c r="A54" s="19" t="s">
        <v>13</v>
      </c>
      <c r="B54" s="9"/>
      <c r="C54" s="10"/>
      <c r="D54" s="37"/>
      <c r="E54" s="53">
        <f t="shared" si="42"/>
        <v>0</v>
      </c>
      <c r="F54" s="12"/>
      <c r="G54" s="10"/>
      <c r="H54" s="11"/>
      <c r="I54" s="53">
        <f t="shared" si="43"/>
        <v>0</v>
      </c>
      <c r="J54" s="59">
        <f t="shared" si="44"/>
        <v>0</v>
      </c>
      <c r="K54" s="41"/>
      <c r="M54" s="19" t="s">
        <v>13</v>
      </c>
      <c r="N54" s="9"/>
      <c r="O54" s="10"/>
      <c r="P54" s="37"/>
      <c r="Q54" s="53">
        <f t="shared" ref="Q54:Q55" si="45">SUM(N54:P54)</f>
        <v>0</v>
      </c>
      <c r="R54" s="12"/>
      <c r="S54" s="10"/>
      <c r="T54" s="11"/>
      <c r="U54" s="53">
        <f t="shared" ref="U54:U55" si="46">SUM(R54:T54)</f>
        <v>0</v>
      </c>
      <c r="V54" s="59">
        <f t="shared" ref="V54:V55" si="47">Q54+U54</f>
        <v>0</v>
      </c>
    </row>
    <row r="55" spans="1:24" ht="14.25" thickBot="1" x14ac:dyDescent="0.2">
      <c r="A55" s="19" t="s">
        <v>14</v>
      </c>
      <c r="B55" s="25"/>
      <c r="C55" s="26"/>
      <c r="D55" s="38"/>
      <c r="E55" s="54">
        <f t="shared" si="42"/>
        <v>0</v>
      </c>
      <c r="F55" s="27"/>
      <c r="G55" s="27"/>
      <c r="H55" s="29"/>
      <c r="I55" s="54">
        <f t="shared" si="43"/>
        <v>0</v>
      </c>
      <c r="J55" s="60">
        <f t="shared" si="44"/>
        <v>0</v>
      </c>
      <c r="K55" s="40"/>
      <c r="M55" s="19" t="s">
        <v>14</v>
      </c>
      <c r="N55" s="25"/>
      <c r="O55" s="26"/>
      <c r="P55" s="38"/>
      <c r="Q55" s="54">
        <f t="shared" si="45"/>
        <v>0</v>
      </c>
      <c r="R55" s="27"/>
      <c r="S55" s="27"/>
      <c r="T55" s="29"/>
      <c r="U55" s="54">
        <f t="shared" si="46"/>
        <v>0</v>
      </c>
      <c r="V55" s="60">
        <f t="shared" si="47"/>
        <v>0</v>
      </c>
    </row>
    <row r="56" spans="1:24" ht="14.25" thickBot="1" x14ac:dyDescent="0.2">
      <c r="A56" s="28" t="s">
        <v>15</v>
      </c>
      <c r="B56" s="22">
        <f>SUM(B47:B55)</f>
        <v>1</v>
      </c>
      <c r="C56" s="23">
        <f t="shared" ref="C56:D56" si="48">SUM(C47:C55)</f>
        <v>3</v>
      </c>
      <c r="D56" s="24">
        <f t="shared" si="48"/>
        <v>2</v>
      </c>
      <c r="E56" s="55">
        <f>SUM(B56:D56)</f>
        <v>6</v>
      </c>
      <c r="F56" s="22">
        <f>SUM(F47:F55)</f>
        <v>1</v>
      </c>
      <c r="G56" s="23">
        <f t="shared" ref="G56:H56" si="49">SUM(G47:G55)</f>
        <v>3</v>
      </c>
      <c r="H56" s="24">
        <f t="shared" si="49"/>
        <v>2</v>
      </c>
      <c r="I56" s="55">
        <f>SUM(F56:H56)</f>
        <v>6</v>
      </c>
      <c r="J56" s="61">
        <f>SUM(J48:J55)</f>
        <v>0</v>
      </c>
      <c r="M56" s="28" t="s">
        <v>15</v>
      </c>
      <c r="N56" s="22">
        <f>SUM(N47:N55)</f>
        <v>0</v>
      </c>
      <c r="O56" s="23">
        <f t="shared" ref="O56:P56" si="50">SUM(O47:O55)</f>
        <v>0</v>
      </c>
      <c r="P56" s="24">
        <f t="shared" si="50"/>
        <v>0</v>
      </c>
      <c r="Q56" s="55">
        <f>SUM(N56:P56)</f>
        <v>0</v>
      </c>
      <c r="R56" s="22">
        <f>SUM(R47:R55)</f>
        <v>0</v>
      </c>
      <c r="S56" s="23">
        <f t="shared" ref="S56:T56" si="51">SUM(S47:S55)</f>
        <v>0</v>
      </c>
      <c r="T56" s="24">
        <f t="shared" si="51"/>
        <v>0</v>
      </c>
      <c r="U56" s="55">
        <f>SUM(R56:T56)</f>
        <v>0</v>
      </c>
      <c r="V56" s="61">
        <f>Q56+U56</f>
        <v>0</v>
      </c>
    </row>
    <row r="57" spans="1:24" x14ac:dyDescent="0.15">
      <c r="A57" s="17"/>
      <c r="B57" s="9"/>
      <c r="C57" s="10"/>
      <c r="D57" s="11"/>
      <c r="E57" s="52">
        <f t="shared" ref="E57" si="52">SUM(B57:D57)</f>
        <v>0</v>
      </c>
      <c r="F57" s="12"/>
      <c r="G57" s="10"/>
      <c r="H57" s="11"/>
      <c r="I57" s="52">
        <f t="shared" ref="I57" si="53">SUM(F57:H57)</f>
        <v>0</v>
      </c>
      <c r="J57" s="59">
        <f t="shared" ref="J57" si="54">E57+I57</f>
        <v>0</v>
      </c>
      <c r="K57" s="40"/>
      <c r="M57" s="18"/>
      <c r="N57" s="9"/>
      <c r="O57" s="10"/>
      <c r="P57" s="11"/>
      <c r="Q57" s="52">
        <f>SUM(N57:P57)</f>
        <v>0</v>
      </c>
      <c r="R57" s="12"/>
      <c r="S57" s="10"/>
      <c r="T57" s="11"/>
      <c r="U57" s="52">
        <f>SUM(R57:T57)</f>
        <v>0</v>
      </c>
      <c r="V57" s="59">
        <f>Q57+U57</f>
        <v>0</v>
      </c>
      <c r="W57" s="40"/>
      <c r="X57" s="49"/>
    </row>
    <row r="58" spans="1:24" x14ac:dyDescent="0.15">
      <c r="A58" s="17"/>
      <c r="B58" s="5"/>
      <c r="C58" s="6"/>
      <c r="D58" s="7"/>
      <c r="E58" s="52">
        <f t="shared" ref="E58:E83" si="55">SUM(B58:D58)</f>
        <v>0</v>
      </c>
      <c r="F58" s="8"/>
      <c r="G58" s="6"/>
      <c r="H58" s="7"/>
      <c r="I58" s="52">
        <f t="shared" ref="I58:I83" si="56">SUM(F58:H58)</f>
        <v>0</v>
      </c>
      <c r="J58" s="59">
        <f t="shared" ref="J58:J81" si="57">E58+I58</f>
        <v>0</v>
      </c>
      <c r="K58" s="40"/>
      <c r="M58" s="20"/>
      <c r="N58" s="5"/>
      <c r="O58" s="6"/>
      <c r="P58" s="7"/>
      <c r="Q58" s="52">
        <f t="shared" ref="Q58:Q83" si="58">SUM(N58:P58)</f>
        <v>0</v>
      </c>
      <c r="R58" s="8"/>
      <c r="S58" s="6"/>
      <c r="T58" s="7"/>
      <c r="U58" s="52">
        <f t="shared" ref="U58:U83" si="59">SUM(R58:T58)</f>
        <v>0</v>
      </c>
      <c r="V58" s="59">
        <f t="shared" ref="V58:V79" si="60">Q58+U58</f>
        <v>0</v>
      </c>
      <c r="W58" s="40"/>
      <c r="X58" s="49"/>
    </row>
    <row r="59" spans="1:24" x14ac:dyDescent="0.15">
      <c r="A59" s="17"/>
      <c r="B59" s="5"/>
      <c r="C59" s="6"/>
      <c r="D59" s="7"/>
      <c r="E59" s="52">
        <f t="shared" si="55"/>
        <v>0</v>
      </c>
      <c r="F59" s="8"/>
      <c r="G59" s="6"/>
      <c r="H59" s="7"/>
      <c r="I59" s="52">
        <f t="shared" si="56"/>
        <v>0</v>
      </c>
      <c r="J59" s="59">
        <f t="shared" si="57"/>
        <v>0</v>
      </c>
      <c r="K59" s="40"/>
      <c r="M59" s="20"/>
      <c r="N59" s="5"/>
      <c r="O59" s="6"/>
      <c r="P59" s="7"/>
      <c r="Q59" s="52">
        <f t="shared" si="58"/>
        <v>0</v>
      </c>
      <c r="R59" s="8"/>
      <c r="S59" s="6"/>
      <c r="T59" s="7"/>
      <c r="U59" s="52">
        <f t="shared" si="59"/>
        <v>0</v>
      </c>
      <c r="V59" s="59">
        <f t="shared" si="60"/>
        <v>0</v>
      </c>
      <c r="W59" s="40"/>
    </row>
    <row r="60" spans="1:24" x14ac:dyDescent="0.15">
      <c r="A60" s="17"/>
      <c r="B60" s="5"/>
      <c r="C60" s="6"/>
      <c r="D60" s="7"/>
      <c r="E60" s="52">
        <f t="shared" si="55"/>
        <v>0</v>
      </c>
      <c r="F60" s="8"/>
      <c r="G60" s="6"/>
      <c r="H60" s="7"/>
      <c r="I60" s="52">
        <f t="shared" si="56"/>
        <v>0</v>
      </c>
      <c r="J60" s="59">
        <f t="shared" si="57"/>
        <v>0</v>
      </c>
      <c r="K60" s="40"/>
      <c r="L60" s="49"/>
      <c r="M60" s="18"/>
      <c r="N60" s="5"/>
      <c r="O60" s="6"/>
      <c r="P60" s="7"/>
      <c r="Q60" s="52">
        <f t="shared" si="58"/>
        <v>0</v>
      </c>
      <c r="R60" s="8"/>
      <c r="S60" s="6"/>
      <c r="T60" s="7"/>
      <c r="U60" s="52">
        <f t="shared" si="59"/>
        <v>0</v>
      </c>
      <c r="V60" s="59">
        <f t="shared" si="60"/>
        <v>0</v>
      </c>
      <c r="W60" s="40"/>
    </row>
    <row r="61" spans="1:24" x14ac:dyDescent="0.15">
      <c r="A61" s="17"/>
      <c r="B61" s="5"/>
      <c r="C61" s="6"/>
      <c r="D61" s="7"/>
      <c r="E61" s="52">
        <f t="shared" si="55"/>
        <v>0</v>
      </c>
      <c r="F61" s="8"/>
      <c r="G61" s="6"/>
      <c r="H61" s="7"/>
      <c r="I61" s="52">
        <f t="shared" si="56"/>
        <v>0</v>
      </c>
      <c r="J61" s="59">
        <f t="shared" si="57"/>
        <v>0</v>
      </c>
      <c r="K61" s="40"/>
      <c r="L61" s="49"/>
      <c r="M61" s="18"/>
      <c r="N61" s="5"/>
      <c r="O61" s="6"/>
      <c r="P61" s="7"/>
      <c r="Q61" s="52">
        <f t="shared" si="58"/>
        <v>0</v>
      </c>
      <c r="R61" s="8"/>
      <c r="S61" s="6"/>
      <c r="T61" s="7"/>
      <c r="U61" s="52">
        <f t="shared" si="59"/>
        <v>0</v>
      </c>
      <c r="V61" s="59">
        <f t="shared" si="60"/>
        <v>0</v>
      </c>
      <c r="W61" s="40"/>
    </row>
    <row r="62" spans="1:24" x14ac:dyDescent="0.15">
      <c r="A62" s="17"/>
      <c r="B62" s="5"/>
      <c r="C62" s="6"/>
      <c r="D62" s="14"/>
      <c r="E62" s="52">
        <f t="shared" si="55"/>
        <v>0</v>
      </c>
      <c r="F62" s="15"/>
      <c r="G62" s="13"/>
      <c r="H62" s="14"/>
      <c r="I62" s="52">
        <f t="shared" si="56"/>
        <v>0</v>
      </c>
      <c r="J62" s="59">
        <f t="shared" si="57"/>
        <v>0</v>
      </c>
      <c r="K62" s="40"/>
      <c r="L62" s="49"/>
      <c r="M62" s="20"/>
      <c r="N62" s="5"/>
      <c r="O62" s="6"/>
      <c r="P62" s="14"/>
      <c r="Q62" s="52">
        <f t="shared" si="58"/>
        <v>0</v>
      </c>
      <c r="R62" s="15"/>
      <c r="S62" s="13"/>
      <c r="T62" s="14"/>
      <c r="U62" s="52">
        <f t="shared" si="59"/>
        <v>0</v>
      </c>
      <c r="V62" s="59">
        <f t="shared" si="60"/>
        <v>0</v>
      </c>
      <c r="W62" s="40"/>
      <c r="X62" s="49"/>
    </row>
    <row r="63" spans="1:24" x14ac:dyDescent="0.15">
      <c r="A63" s="17"/>
      <c r="B63" s="5"/>
      <c r="C63" s="6"/>
      <c r="D63" s="7"/>
      <c r="E63" s="52">
        <f t="shared" si="55"/>
        <v>0</v>
      </c>
      <c r="F63" s="8"/>
      <c r="G63" s="6"/>
      <c r="H63" s="7"/>
      <c r="I63" s="52">
        <f t="shared" si="56"/>
        <v>0</v>
      </c>
      <c r="J63" s="59">
        <f t="shared" si="57"/>
        <v>0</v>
      </c>
      <c r="K63" s="40"/>
      <c r="L63" s="49"/>
      <c r="M63" s="42"/>
      <c r="N63" s="5"/>
      <c r="O63" s="6"/>
      <c r="P63" s="7"/>
      <c r="Q63" s="52">
        <f t="shared" si="58"/>
        <v>0</v>
      </c>
      <c r="R63" s="8"/>
      <c r="S63" s="6"/>
      <c r="T63" s="7"/>
      <c r="U63" s="52">
        <f t="shared" si="59"/>
        <v>0</v>
      </c>
      <c r="V63" s="59">
        <f t="shared" si="60"/>
        <v>0</v>
      </c>
      <c r="W63" s="40"/>
    </row>
    <row r="64" spans="1:24" ht="14.25" x14ac:dyDescent="0.15">
      <c r="A64" s="17"/>
      <c r="B64" s="5"/>
      <c r="C64" s="6"/>
      <c r="D64" s="7"/>
      <c r="E64" s="52">
        <f t="shared" si="55"/>
        <v>0</v>
      </c>
      <c r="F64" s="8"/>
      <c r="G64" s="6"/>
      <c r="H64" s="7"/>
      <c r="I64" s="52">
        <f t="shared" si="56"/>
        <v>0</v>
      </c>
      <c r="J64" s="59">
        <f t="shared" si="57"/>
        <v>0</v>
      </c>
      <c r="K64" s="43"/>
      <c r="L64" s="49"/>
      <c r="M64" s="18"/>
      <c r="N64" s="5" t="s">
        <v>19</v>
      </c>
      <c r="O64" s="6"/>
      <c r="P64" s="7"/>
      <c r="Q64" s="52">
        <f t="shared" si="58"/>
        <v>0</v>
      </c>
      <c r="R64" s="8"/>
      <c r="S64" s="6"/>
      <c r="T64" s="7"/>
      <c r="U64" s="52">
        <f t="shared" si="59"/>
        <v>0</v>
      </c>
      <c r="V64" s="59">
        <f t="shared" si="60"/>
        <v>0</v>
      </c>
      <c r="W64" s="43"/>
    </row>
    <row r="65" spans="1:23" x14ac:dyDescent="0.15">
      <c r="A65" s="17"/>
      <c r="B65" s="5"/>
      <c r="C65" s="6"/>
      <c r="D65" s="7"/>
      <c r="E65" s="52">
        <f t="shared" si="55"/>
        <v>0</v>
      </c>
      <c r="F65" s="8"/>
      <c r="G65" s="6"/>
      <c r="H65" s="7"/>
      <c r="I65" s="52">
        <f t="shared" si="56"/>
        <v>0</v>
      </c>
      <c r="J65" s="59">
        <f t="shared" si="57"/>
        <v>0</v>
      </c>
      <c r="K65" s="40"/>
      <c r="L65" s="49"/>
      <c r="M65" s="20"/>
      <c r="N65" s="5"/>
      <c r="O65" s="6"/>
      <c r="P65" s="7"/>
      <c r="Q65" s="52">
        <f t="shared" si="58"/>
        <v>0</v>
      </c>
      <c r="R65" s="8"/>
      <c r="S65" s="6"/>
      <c r="T65" s="7"/>
      <c r="U65" s="52">
        <f t="shared" si="59"/>
        <v>0</v>
      </c>
      <c r="V65" s="59">
        <f t="shared" si="60"/>
        <v>0</v>
      </c>
      <c r="W65" s="40"/>
    </row>
    <row r="66" spans="1:23" x14ac:dyDescent="0.15">
      <c r="A66" s="17"/>
      <c r="B66" s="9"/>
      <c r="C66" s="10"/>
      <c r="D66" s="11"/>
      <c r="E66" s="52">
        <f t="shared" si="55"/>
        <v>0</v>
      </c>
      <c r="F66" s="12"/>
      <c r="G66" s="10"/>
      <c r="H66" s="11"/>
      <c r="I66" s="52">
        <f t="shared" si="56"/>
        <v>0</v>
      </c>
      <c r="J66" s="59">
        <f t="shared" si="57"/>
        <v>0</v>
      </c>
      <c r="K66" s="40"/>
      <c r="L66" s="49"/>
      <c r="M66" s="18"/>
      <c r="N66" s="9"/>
      <c r="O66" s="10"/>
      <c r="P66" s="11"/>
      <c r="Q66" s="52">
        <f t="shared" si="58"/>
        <v>0</v>
      </c>
      <c r="R66" s="12"/>
      <c r="S66" s="10"/>
      <c r="T66" s="11"/>
      <c r="U66" s="52">
        <f t="shared" si="59"/>
        <v>0</v>
      </c>
      <c r="V66" s="59">
        <f t="shared" si="60"/>
        <v>0</v>
      </c>
      <c r="W66" s="40"/>
    </row>
    <row r="67" spans="1:23" x14ac:dyDescent="0.15">
      <c r="A67" s="17"/>
      <c r="B67" s="5"/>
      <c r="C67" s="6"/>
      <c r="D67" s="7"/>
      <c r="E67" s="52">
        <f t="shared" si="55"/>
        <v>0</v>
      </c>
      <c r="F67" s="8"/>
      <c r="G67" s="6"/>
      <c r="H67" s="7"/>
      <c r="I67" s="52">
        <f t="shared" si="56"/>
        <v>0</v>
      </c>
      <c r="J67" s="59">
        <f t="shared" si="57"/>
        <v>0</v>
      </c>
      <c r="K67" s="40"/>
      <c r="L67" s="49"/>
      <c r="M67" s="20"/>
      <c r="N67" s="5"/>
      <c r="O67" s="6"/>
      <c r="P67" s="7"/>
      <c r="Q67" s="52">
        <f t="shared" si="58"/>
        <v>0</v>
      </c>
      <c r="R67" s="8"/>
      <c r="S67" s="6"/>
      <c r="T67" s="7"/>
      <c r="U67" s="52">
        <f t="shared" si="59"/>
        <v>0</v>
      </c>
      <c r="V67" s="59">
        <f t="shared" si="60"/>
        <v>0</v>
      </c>
      <c r="W67" s="40"/>
    </row>
    <row r="68" spans="1:23" x14ac:dyDescent="0.15">
      <c r="A68" s="17"/>
      <c r="B68" s="5"/>
      <c r="C68" s="6"/>
      <c r="D68" s="7"/>
      <c r="E68" s="52">
        <f t="shared" si="55"/>
        <v>0</v>
      </c>
      <c r="F68" s="8"/>
      <c r="G68" s="6"/>
      <c r="H68" s="7"/>
      <c r="I68" s="52">
        <f t="shared" si="56"/>
        <v>0</v>
      </c>
      <c r="J68" s="59">
        <f t="shared" si="57"/>
        <v>0</v>
      </c>
      <c r="K68" s="40"/>
      <c r="L68" s="49"/>
      <c r="M68" s="20"/>
      <c r="N68" s="5"/>
      <c r="O68" s="6"/>
      <c r="P68" s="7"/>
      <c r="Q68" s="52">
        <f t="shared" si="58"/>
        <v>0</v>
      </c>
      <c r="R68" s="8"/>
      <c r="S68" s="6"/>
      <c r="T68" s="7"/>
      <c r="U68" s="52">
        <f t="shared" si="59"/>
        <v>0</v>
      </c>
      <c r="V68" s="59">
        <f t="shared" si="60"/>
        <v>0</v>
      </c>
      <c r="W68" s="40"/>
    </row>
    <row r="69" spans="1:23" x14ac:dyDescent="0.15">
      <c r="A69" s="17"/>
      <c r="B69" s="5"/>
      <c r="C69" s="6"/>
      <c r="D69" s="7"/>
      <c r="E69" s="52">
        <f t="shared" si="55"/>
        <v>0</v>
      </c>
      <c r="F69" s="8"/>
      <c r="G69" s="6"/>
      <c r="H69" s="7"/>
      <c r="I69" s="52">
        <f t="shared" si="56"/>
        <v>0</v>
      </c>
      <c r="J69" s="59">
        <f t="shared" si="57"/>
        <v>0</v>
      </c>
      <c r="K69" s="40"/>
      <c r="M69" s="18"/>
      <c r="N69" s="5"/>
      <c r="O69" s="6"/>
      <c r="P69" s="7"/>
      <c r="Q69" s="52">
        <f t="shared" si="58"/>
        <v>0</v>
      </c>
      <c r="R69" s="8"/>
      <c r="S69" s="6"/>
      <c r="T69" s="7"/>
      <c r="U69" s="52">
        <f t="shared" si="59"/>
        <v>0</v>
      </c>
      <c r="V69" s="59">
        <f t="shared" si="60"/>
        <v>0</v>
      </c>
      <c r="W69" s="40"/>
    </row>
    <row r="70" spans="1:23" x14ac:dyDescent="0.15">
      <c r="A70" s="17"/>
      <c r="B70" s="5"/>
      <c r="C70" s="6"/>
      <c r="D70" s="7"/>
      <c r="E70" s="52">
        <f t="shared" si="55"/>
        <v>0</v>
      </c>
      <c r="F70" s="8"/>
      <c r="G70" s="6"/>
      <c r="H70" s="7"/>
      <c r="I70" s="52">
        <f t="shared" si="56"/>
        <v>0</v>
      </c>
      <c r="J70" s="59">
        <f t="shared" si="57"/>
        <v>0</v>
      </c>
      <c r="K70" s="40"/>
      <c r="M70" s="18"/>
      <c r="N70" s="5"/>
      <c r="O70" s="6"/>
      <c r="P70" s="7"/>
      <c r="Q70" s="52">
        <f t="shared" si="58"/>
        <v>0</v>
      </c>
      <c r="R70" s="8"/>
      <c r="S70" s="6"/>
      <c r="T70" s="7"/>
      <c r="U70" s="52">
        <f t="shared" si="59"/>
        <v>0</v>
      </c>
      <c r="V70" s="59">
        <f t="shared" si="60"/>
        <v>0</v>
      </c>
      <c r="W70" s="40"/>
    </row>
    <row r="71" spans="1:23" x14ac:dyDescent="0.15">
      <c r="A71" s="17"/>
      <c r="B71" s="5"/>
      <c r="C71" s="6"/>
      <c r="D71" s="7"/>
      <c r="E71" s="52">
        <f t="shared" si="55"/>
        <v>0</v>
      </c>
      <c r="F71" s="8"/>
      <c r="G71" s="6"/>
      <c r="H71" s="7"/>
      <c r="I71" s="52">
        <f t="shared" si="56"/>
        <v>0</v>
      </c>
      <c r="J71" s="59">
        <f t="shared" si="57"/>
        <v>0</v>
      </c>
      <c r="K71" s="40"/>
      <c r="M71" s="20"/>
      <c r="N71" s="5"/>
      <c r="O71" s="6"/>
      <c r="P71" s="7"/>
      <c r="Q71" s="52">
        <f t="shared" si="58"/>
        <v>0</v>
      </c>
      <c r="R71" s="8"/>
      <c r="S71" s="6"/>
      <c r="T71" s="7"/>
      <c r="U71" s="52">
        <f t="shared" si="59"/>
        <v>0</v>
      </c>
      <c r="V71" s="59">
        <f t="shared" si="60"/>
        <v>0</v>
      </c>
      <c r="W71" s="40"/>
    </row>
    <row r="72" spans="1:23" x14ac:dyDescent="0.15">
      <c r="A72" s="17"/>
      <c r="B72" s="5"/>
      <c r="C72" s="6"/>
      <c r="D72" s="7"/>
      <c r="E72" s="52">
        <f t="shared" si="55"/>
        <v>0</v>
      </c>
      <c r="F72" s="8"/>
      <c r="G72" s="6"/>
      <c r="H72" s="7"/>
      <c r="I72" s="52">
        <f t="shared" si="56"/>
        <v>0</v>
      </c>
      <c r="J72" s="59">
        <f t="shared" si="57"/>
        <v>0</v>
      </c>
      <c r="K72" s="40"/>
      <c r="M72" s="20"/>
      <c r="N72" s="5"/>
      <c r="O72" s="6"/>
      <c r="P72" s="7"/>
      <c r="Q72" s="52">
        <f t="shared" si="58"/>
        <v>0</v>
      </c>
      <c r="R72" s="8"/>
      <c r="S72" s="6"/>
      <c r="T72" s="7"/>
      <c r="U72" s="52">
        <f t="shared" si="59"/>
        <v>0</v>
      </c>
      <c r="V72" s="59">
        <f t="shared" si="60"/>
        <v>0</v>
      </c>
      <c r="W72" s="40"/>
    </row>
    <row r="73" spans="1:23" x14ac:dyDescent="0.15">
      <c r="A73" s="17"/>
      <c r="B73" s="5"/>
      <c r="C73" s="6"/>
      <c r="D73" s="7"/>
      <c r="E73" s="52">
        <f t="shared" si="55"/>
        <v>0</v>
      </c>
      <c r="F73" s="8"/>
      <c r="G73" s="6"/>
      <c r="H73" s="7"/>
      <c r="I73" s="52">
        <f t="shared" si="56"/>
        <v>0</v>
      </c>
      <c r="J73" s="59">
        <f t="shared" si="57"/>
        <v>0</v>
      </c>
      <c r="K73" s="40"/>
      <c r="M73" s="18"/>
      <c r="N73" s="5"/>
      <c r="O73" s="6"/>
      <c r="P73" s="7"/>
      <c r="Q73" s="52">
        <f t="shared" si="58"/>
        <v>0</v>
      </c>
      <c r="R73" s="8"/>
      <c r="S73" s="6"/>
      <c r="T73" s="7"/>
      <c r="U73" s="52">
        <f t="shared" si="59"/>
        <v>0</v>
      </c>
      <c r="V73" s="59">
        <f t="shared" si="60"/>
        <v>0</v>
      </c>
      <c r="W73" s="40"/>
    </row>
    <row r="74" spans="1:23" x14ac:dyDescent="0.15">
      <c r="A74" s="17"/>
      <c r="B74" s="5"/>
      <c r="C74" s="6"/>
      <c r="D74" s="7"/>
      <c r="E74" s="52">
        <f t="shared" si="55"/>
        <v>0</v>
      </c>
      <c r="F74" s="8"/>
      <c r="G74" s="6"/>
      <c r="H74" s="7"/>
      <c r="I74" s="52">
        <f t="shared" si="56"/>
        <v>0</v>
      </c>
      <c r="J74" s="59">
        <f t="shared" si="57"/>
        <v>0</v>
      </c>
      <c r="K74" s="40"/>
      <c r="M74" s="20"/>
      <c r="N74" s="5"/>
      <c r="O74" s="6"/>
      <c r="P74" s="7"/>
      <c r="Q74" s="52">
        <f t="shared" si="58"/>
        <v>0</v>
      </c>
      <c r="R74" s="8"/>
      <c r="S74" s="6"/>
      <c r="T74" s="7"/>
      <c r="U74" s="52">
        <f t="shared" si="59"/>
        <v>0</v>
      </c>
      <c r="V74" s="59">
        <f t="shared" si="60"/>
        <v>0</v>
      </c>
      <c r="W74" s="40"/>
    </row>
    <row r="75" spans="1:23" x14ac:dyDescent="0.15">
      <c r="A75" s="17"/>
      <c r="B75" s="5"/>
      <c r="C75" s="6"/>
      <c r="D75" s="7"/>
      <c r="E75" s="52">
        <f t="shared" si="55"/>
        <v>0</v>
      </c>
      <c r="F75" s="8"/>
      <c r="G75" s="6"/>
      <c r="H75" s="7"/>
      <c r="I75" s="52">
        <f t="shared" si="56"/>
        <v>0</v>
      </c>
      <c r="J75" s="59">
        <f t="shared" si="57"/>
        <v>0</v>
      </c>
      <c r="K75" s="40"/>
      <c r="M75" s="18"/>
      <c r="N75" s="5"/>
      <c r="O75" s="6"/>
      <c r="P75" s="7"/>
      <c r="Q75" s="52">
        <f t="shared" si="58"/>
        <v>0</v>
      </c>
      <c r="R75" s="8"/>
      <c r="S75" s="6"/>
      <c r="T75" s="7"/>
      <c r="U75" s="52">
        <f t="shared" si="59"/>
        <v>0</v>
      </c>
      <c r="V75" s="59">
        <f t="shared" si="60"/>
        <v>0</v>
      </c>
      <c r="W75" s="40"/>
    </row>
    <row r="76" spans="1:23" x14ac:dyDescent="0.15">
      <c r="A76" s="17"/>
      <c r="B76" s="5"/>
      <c r="C76" s="6"/>
      <c r="D76" s="7"/>
      <c r="E76" s="52">
        <f t="shared" si="55"/>
        <v>0</v>
      </c>
      <c r="F76" s="8"/>
      <c r="G76" s="6"/>
      <c r="H76" s="7"/>
      <c r="I76" s="52">
        <f t="shared" si="56"/>
        <v>0</v>
      </c>
      <c r="J76" s="59">
        <f t="shared" si="57"/>
        <v>0</v>
      </c>
      <c r="K76" s="40"/>
      <c r="M76" s="20"/>
      <c r="N76" s="5"/>
      <c r="O76" s="6"/>
      <c r="P76" s="7"/>
      <c r="Q76" s="52">
        <f t="shared" si="58"/>
        <v>0</v>
      </c>
      <c r="R76" s="8"/>
      <c r="S76" s="6"/>
      <c r="T76" s="7"/>
      <c r="U76" s="52">
        <f t="shared" si="59"/>
        <v>0</v>
      </c>
      <c r="V76" s="59">
        <f t="shared" si="60"/>
        <v>0</v>
      </c>
      <c r="W76" s="40"/>
    </row>
    <row r="77" spans="1:23" x14ac:dyDescent="0.15">
      <c r="A77" s="17"/>
      <c r="B77" s="5"/>
      <c r="C77" s="6"/>
      <c r="D77" s="7"/>
      <c r="E77" s="52">
        <f t="shared" si="55"/>
        <v>0</v>
      </c>
      <c r="F77" s="8"/>
      <c r="G77" s="6"/>
      <c r="H77" s="7"/>
      <c r="I77" s="52">
        <f t="shared" si="56"/>
        <v>0</v>
      </c>
      <c r="J77" s="59">
        <f t="shared" si="57"/>
        <v>0</v>
      </c>
      <c r="K77" s="40"/>
      <c r="M77" s="20"/>
      <c r="N77" s="5"/>
      <c r="O77" s="6"/>
      <c r="P77" s="7"/>
      <c r="Q77" s="52">
        <f t="shared" si="58"/>
        <v>0</v>
      </c>
      <c r="R77" s="8"/>
      <c r="S77" s="6"/>
      <c r="T77" s="7"/>
      <c r="U77" s="52">
        <f t="shared" si="59"/>
        <v>0</v>
      </c>
      <c r="V77" s="59">
        <f t="shared" si="60"/>
        <v>0</v>
      </c>
      <c r="W77" s="40"/>
    </row>
    <row r="78" spans="1:23" x14ac:dyDescent="0.15">
      <c r="A78" s="17"/>
      <c r="B78" s="9"/>
      <c r="C78" s="10"/>
      <c r="D78" s="11"/>
      <c r="E78" s="52">
        <f t="shared" si="55"/>
        <v>0</v>
      </c>
      <c r="F78" s="12"/>
      <c r="G78" s="10"/>
      <c r="H78" s="11"/>
      <c r="I78" s="52">
        <f t="shared" si="56"/>
        <v>0</v>
      </c>
      <c r="J78" s="59">
        <f t="shared" si="57"/>
        <v>0</v>
      </c>
      <c r="K78" s="40"/>
      <c r="M78" s="44"/>
      <c r="N78" s="9"/>
      <c r="O78" s="10"/>
      <c r="P78" s="11"/>
      <c r="Q78" s="52">
        <f t="shared" si="58"/>
        <v>0</v>
      </c>
      <c r="R78" s="12"/>
      <c r="S78" s="10"/>
      <c r="T78" s="11"/>
      <c r="U78" s="52">
        <f t="shared" si="59"/>
        <v>0</v>
      </c>
      <c r="V78" s="59">
        <f t="shared" si="60"/>
        <v>0</v>
      </c>
      <c r="W78" s="40"/>
    </row>
    <row r="79" spans="1:23" x14ac:dyDescent="0.15">
      <c r="A79" s="17"/>
      <c r="B79" s="5"/>
      <c r="C79" s="6"/>
      <c r="D79" s="7"/>
      <c r="E79" s="52">
        <f t="shared" si="55"/>
        <v>0</v>
      </c>
      <c r="F79" s="8"/>
      <c r="G79" s="6"/>
      <c r="H79" s="7"/>
      <c r="I79" s="52">
        <f t="shared" si="56"/>
        <v>0</v>
      </c>
      <c r="J79" s="59">
        <f t="shared" si="57"/>
        <v>0</v>
      </c>
      <c r="K79" s="40"/>
      <c r="M79" s="20"/>
      <c r="N79" s="5"/>
      <c r="O79" s="6"/>
      <c r="P79" s="7"/>
      <c r="Q79" s="52">
        <f t="shared" si="58"/>
        <v>0</v>
      </c>
      <c r="R79" s="8"/>
      <c r="S79" s="6"/>
      <c r="T79" s="7"/>
      <c r="U79" s="52">
        <f t="shared" si="59"/>
        <v>0</v>
      </c>
      <c r="V79" s="59">
        <f t="shared" si="60"/>
        <v>0</v>
      </c>
      <c r="W79" s="49"/>
    </row>
    <row r="80" spans="1:23" x14ac:dyDescent="0.15">
      <c r="A80" s="17"/>
      <c r="B80" s="5"/>
      <c r="C80" s="6"/>
      <c r="D80" s="36"/>
      <c r="E80" s="53">
        <f t="shared" si="55"/>
        <v>0</v>
      </c>
      <c r="F80" s="5"/>
      <c r="G80" s="6"/>
      <c r="H80" s="7"/>
      <c r="I80" s="53">
        <f t="shared" si="56"/>
        <v>0</v>
      </c>
      <c r="J80" s="72">
        <f t="shared" si="57"/>
        <v>0</v>
      </c>
      <c r="K80" s="40"/>
      <c r="M80" s="20"/>
      <c r="N80" s="5"/>
      <c r="O80" s="6"/>
      <c r="P80" s="7"/>
      <c r="Q80" s="52">
        <f t="shared" ref="Q80:Q82" si="61">SUM(N80:P80)</f>
        <v>0</v>
      </c>
      <c r="R80" s="8"/>
      <c r="S80" s="6"/>
      <c r="T80" s="7"/>
      <c r="U80" s="52">
        <f t="shared" ref="U80:U82" si="62">SUM(R80:T80)</f>
        <v>0</v>
      </c>
      <c r="V80" s="59">
        <f t="shared" ref="V80:V82" si="63">Q80+U80</f>
        <v>0</v>
      </c>
      <c r="W80" s="49"/>
    </row>
    <row r="81" spans="1:23" x14ac:dyDescent="0.15">
      <c r="A81" s="17"/>
      <c r="B81" s="5"/>
      <c r="C81" s="6"/>
      <c r="D81" s="36"/>
      <c r="E81" s="52">
        <f t="shared" si="55"/>
        <v>0</v>
      </c>
      <c r="F81" s="76"/>
      <c r="G81" s="13"/>
      <c r="H81" s="14"/>
      <c r="I81" s="52">
        <f t="shared" si="56"/>
        <v>0</v>
      </c>
      <c r="J81" s="72">
        <f t="shared" si="57"/>
        <v>0</v>
      </c>
      <c r="K81" s="40"/>
      <c r="M81" s="20"/>
      <c r="N81" s="5"/>
      <c r="O81" s="6"/>
      <c r="P81" s="7"/>
      <c r="Q81" s="52">
        <f t="shared" si="61"/>
        <v>0</v>
      </c>
      <c r="R81" s="8"/>
      <c r="S81" s="6"/>
      <c r="T81" s="7"/>
      <c r="U81" s="52">
        <f t="shared" si="62"/>
        <v>0</v>
      </c>
      <c r="V81" s="59">
        <f t="shared" si="63"/>
        <v>0</v>
      </c>
      <c r="W81" s="49"/>
    </row>
    <row r="82" spans="1:23" ht="14.25" thickBot="1" x14ac:dyDescent="0.2">
      <c r="A82" s="17"/>
      <c r="B82" s="73"/>
      <c r="C82" s="74"/>
      <c r="D82" s="75"/>
      <c r="E82" s="53">
        <f t="shared" ref="E82" si="64">SUM(B82:D82)</f>
        <v>0</v>
      </c>
      <c r="F82" s="5"/>
      <c r="G82" s="6"/>
      <c r="H82" s="7"/>
      <c r="I82" s="53">
        <f t="shared" ref="I82" si="65">SUM(F82:H82)</f>
        <v>0</v>
      </c>
      <c r="J82" s="72">
        <f t="shared" ref="J82" si="66">E82+I82</f>
        <v>0</v>
      </c>
      <c r="K82" s="40"/>
      <c r="M82" s="20"/>
      <c r="N82" s="5"/>
      <c r="O82" s="6"/>
      <c r="P82" s="7"/>
      <c r="Q82" s="52">
        <f t="shared" si="61"/>
        <v>0</v>
      </c>
      <c r="R82" s="8"/>
      <c r="S82" s="6"/>
      <c r="T82" s="7"/>
      <c r="U82" s="52">
        <f t="shared" si="62"/>
        <v>0</v>
      </c>
      <c r="V82" s="59">
        <f t="shared" si="63"/>
        <v>0</v>
      </c>
      <c r="W82" s="49"/>
    </row>
    <row r="83" spans="1:23" ht="14.25" thickBot="1" x14ac:dyDescent="0.2">
      <c r="A83" s="31" t="s">
        <v>17</v>
      </c>
      <c r="B83" s="34">
        <f>SUM(B57:B82)</f>
        <v>0</v>
      </c>
      <c r="C83" s="35">
        <f t="shared" ref="C83:D83" si="67">SUM(C57:C82)</f>
        <v>0</v>
      </c>
      <c r="D83" s="39">
        <f t="shared" si="67"/>
        <v>0</v>
      </c>
      <c r="E83" s="56">
        <f t="shared" si="55"/>
        <v>0</v>
      </c>
      <c r="F83" s="34">
        <f>SUM(F57:F82)</f>
        <v>0</v>
      </c>
      <c r="G83" s="35">
        <f t="shared" ref="G83:H83" si="68">SUM(G57:G82)</f>
        <v>0</v>
      </c>
      <c r="H83" s="39">
        <f t="shared" si="68"/>
        <v>0</v>
      </c>
      <c r="I83" s="56">
        <f t="shared" si="56"/>
        <v>0</v>
      </c>
      <c r="J83" s="62">
        <f>E83+I83</f>
        <v>0</v>
      </c>
      <c r="M83" s="31" t="s">
        <v>17</v>
      </c>
      <c r="N83" s="34">
        <f>SUM(N57:N82)</f>
        <v>0</v>
      </c>
      <c r="O83" s="35">
        <f t="shared" ref="O83:P83" si="69">SUM(O57:O82)</f>
        <v>0</v>
      </c>
      <c r="P83" s="39">
        <f t="shared" si="69"/>
        <v>0</v>
      </c>
      <c r="Q83" s="56">
        <f t="shared" si="58"/>
        <v>0</v>
      </c>
      <c r="R83" s="34">
        <f>SUM(R57:R82)</f>
        <v>0</v>
      </c>
      <c r="S83" s="35">
        <f t="shared" ref="S83:T83" si="70">SUM(S57:S82)</f>
        <v>0</v>
      </c>
      <c r="T83" s="39">
        <f t="shared" si="70"/>
        <v>0</v>
      </c>
      <c r="U83" s="56">
        <f t="shared" si="59"/>
        <v>0</v>
      </c>
      <c r="V83" s="62">
        <f>Q83+U83</f>
        <v>0</v>
      </c>
    </row>
    <row r="84" spans="1:23" ht="14.25" thickBot="1" x14ac:dyDescent="0.2">
      <c r="A84" s="16" t="s">
        <v>16</v>
      </c>
      <c r="B84" s="63">
        <f>B56-B83</f>
        <v>1</v>
      </c>
      <c r="C84" s="64">
        <f t="shared" ref="C84:D84" si="71">C56-C83</f>
        <v>3</v>
      </c>
      <c r="D84" s="65">
        <f t="shared" si="71"/>
        <v>2</v>
      </c>
      <c r="E84" s="57">
        <f>SUM(B84:D84)</f>
        <v>6</v>
      </c>
      <c r="F84" s="63">
        <f>F56-F83</f>
        <v>1</v>
      </c>
      <c r="G84" s="64">
        <f t="shared" ref="G84:H84" si="72">G56-G83</f>
        <v>3</v>
      </c>
      <c r="H84" s="65">
        <f t="shared" si="72"/>
        <v>2</v>
      </c>
      <c r="I84" s="57">
        <f>SUM(F84:H84)</f>
        <v>6</v>
      </c>
      <c r="J84" s="61">
        <f>E84+I84</f>
        <v>12</v>
      </c>
      <c r="M84" s="16" t="s">
        <v>16</v>
      </c>
      <c r="N84" s="63">
        <f>N56-N83</f>
        <v>0</v>
      </c>
      <c r="O84" s="64">
        <f t="shared" ref="O84:P84" si="73">O56-O83</f>
        <v>0</v>
      </c>
      <c r="P84" s="65">
        <f t="shared" si="73"/>
        <v>0</v>
      </c>
      <c r="Q84" s="57">
        <f>SUM(N84:P84)</f>
        <v>0</v>
      </c>
      <c r="R84" s="63">
        <f>R56-R83</f>
        <v>0</v>
      </c>
      <c r="S84" s="64">
        <f t="shared" ref="S84:T84" si="74">S56-S83</f>
        <v>0</v>
      </c>
      <c r="T84" s="65">
        <f t="shared" si="74"/>
        <v>0</v>
      </c>
      <c r="U84" s="57">
        <f>SUM(R84:T84)</f>
        <v>0</v>
      </c>
      <c r="V84" s="61">
        <f>Q84+U84</f>
        <v>0</v>
      </c>
    </row>
  </sheetData>
  <mergeCells count="12">
    <mergeCell ref="V45:V46"/>
    <mergeCell ref="B2:E2"/>
    <mergeCell ref="F2:I2"/>
    <mergeCell ref="J2:J3"/>
    <mergeCell ref="N2:Q2"/>
    <mergeCell ref="R2:U2"/>
    <mergeCell ref="V2:V3"/>
    <mergeCell ref="B45:E45"/>
    <mergeCell ref="F45:I45"/>
    <mergeCell ref="J45:J46"/>
    <mergeCell ref="N45:Q45"/>
    <mergeCell ref="R45:U45"/>
  </mergeCells>
  <phoneticPr fontId="6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ガーゼ30CC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yumehan2</dc:creator>
  <cp:lastModifiedBy>AT MR</cp:lastModifiedBy>
  <cp:lastPrinted>2018-05-21T08:37:08Z</cp:lastPrinted>
  <dcterms:created xsi:type="dcterms:W3CDTF">2017-08-26T01:27:44Z</dcterms:created>
  <dcterms:modified xsi:type="dcterms:W3CDTF">2025-08-22T09:10:20Z</dcterms:modified>
</cp:coreProperties>
</file>