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498B0357-CE6A-4378-A7F4-B3C42CD19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分丈ボトム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2" i="1" l="1"/>
  <c r="O222" i="1"/>
  <c r="Y274" i="1"/>
  <c r="AC274" i="1"/>
  <c r="AB298" i="1"/>
  <c r="AA298" i="1"/>
  <c r="Z298" i="1"/>
  <c r="X298" i="1"/>
  <c r="W298" i="1"/>
  <c r="V298" i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Y298" i="1"/>
  <c r="AC272" i="1"/>
  <c r="Y272" i="1"/>
  <c r="AC271" i="1"/>
  <c r="Y271" i="1"/>
  <c r="AC270" i="1"/>
  <c r="Y270" i="1"/>
  <c r="AC269" i="1"/>
  <c r="Y269" i="1"/>
  <c r="AC268" i="1"/>
  <c r="Y268" i="1"/>
  <c r="AC267" i="1"/>
  <c r="Y267" i="1"/>
  <c r="AC266" i="1"/>
  <c r="Y266" i="1"/>
  <c r="AC265" i="1"/>
  <c r="Y265" i="1"/>
  <c r="AC264" i="1"/>
  <c r="Y264" i="1"/>
  <c r="AC263" i="1"/>
  <c r="Y263" i="1"/>
  <c r="AC262" i="1"/>
  <c r="AC273" i="1" s="1"/>
  <c r="AB262" i="1"/>
  <c r="AB273" i="1" s="1"/>
  <c r="AA262" i="1"/>
  <c r="AA273" i="1" s="1"/>
  <c r="Z262" i="1"/>
  <c r="Z273" i="1" s="1"/>
  <c r="Z299" i="1" s="1"/>
  <c r="Y262" i="1"/>
  <c r="Y273" i="1" s="1"/>
  <c r="Y299" i="1" s="1"/>
  <c r="X262" i="1"/>
  <c r="X273" i="1" s="1"/>
  <c r="W262" i="1"/>
  <c r="W273" i="1" s="1"/>
  <c r="V262" i="1"/>
  <c r="V273" i="1" s="1"/>
  <c r="R298" i="1"/>
  <c r="Q298" i="1"/>
  <c r="P298" i="1"/>
  <c r="N298" i="1"/>
  <c r="M298" i="1"/>
  <c r="L298" i="1"/>
  <c r="S297" i="1"/>
  <c r="O297" i="1"/>
  <c r="S296" i="1"/>
  <c r="O296" i="1"/>
  <c r="S295" i="1"/>
  <c r="O295" i="1"/>
  <c r="S294" i="1"/>
  <c r="O294" i="1"/>
  <c r="S293" i="1"/>
  <c r="O293" i="1"/>
  <c r="S292" i="1"/>
  <c r="O292" i="1"/>
  <c r="S291" i="1"/>
  <c r="O291" i="1"/>
  <c r="S290" i="1"/>
  <c r="O290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8" i="1"/>
  <c r="O278" i="1"/>
  <c r="S277" i="1"/>
  <c r="O277" i="1"/>
  <c r="S276" i="1"/>
  <c r="O276" i="1"/>
  <c r="S275" i="1"/>
  <c r="O275" i="1"/>
  <c r="S274" i="1"/>
  <c r="S298" i="1" s="1"/>
  <c r="O274" i="1"/>
  <c r="O298" i="1" s="1"/>
  <c r="S272" i="1"/>
  <c r="O272" i="1"/>
  <c r="S271" i="1"/>
  <c r="O271" i="1"/>
  <c r="S270" i="1"/>
  <c r="O270" i="1"/>
  <c r="S269" i="1"/>
  <c r="O269" i="1"/>
  <c r="S268" i="1"/>
  <c r="O268" i="1"/>
  <c r="S267" i="1"/>
  <c r="O267" i="1"/>
  <c r="S266" i="1"/>
  <c r="O266" i="1"/>
  <c r="S265" i="1"/>
  <c r="O265" i="1"/>
  <c r="S264" i="1"/>
  <c r="O264" i="1"/>
  <c r="S263" i="1"/>
  <c r="O263" i="1"/>
  <c r="Y221" i="1"/>
  <c r="AC221" i="1"/>
  <c r="AB255" i="1"/>
  <c r="AA255" i="1"/>
  <c r="Z255" i="1"/>
  <c r="X255" i="1"/>
  <c r="W255" i="1"/>
  <c r="V255" i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36" i="1"/>
  <c r="Y236" i="1"/>
  <c r="AC235" i="1"/>
  <c r="Y235" i="1"/>
  <c r="AC234" i="1"/>
  <c r="Y234" i="1"/>
  <c r="AC233" i="1"/>
  <c r="Y233" i="1"/>
  <c r="AC232" i="1"/>
  <c r="Y232" i="1"/>
  <c r="AC231" i="1"/>
  <c r="AC255" i="1" s="1"/>
  <c r="Y231" i="1"/>
  <c r="Y255" i="1" s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3" i="1"/>
  <c r="Y223" i="1"/>
  <c r="AC222" i="1"/>
  <c r="Y222" i="1"/>
  <c r="AC220" i="1"/>
  <c r="Y220" i="1"/>
  <c r="AB219" i="1"/>
  <c r="AB230" i="1" s="1"/>
  <c r="AB256" i="1" s="1"/>
  <c r="Z219" i="1"/>
  <c r="Z230" i="1" s="1"/>
  <c r="Z256" i="1" s="1"/>
  <c r="X219" i="1"/>
  <c r="X230" i="1" s="1"/>
  <c r="V219" i="1"/>
  <c r="V230" i="1" s="1"/>
  <c r="E231" i="1"/>
  <c r="I231" i="1"/>
  <c r="E232" i="1"/>
  <c r="I232" i="1"/>
  <c r="E233" i="1"/>
  <c r="I233" i="1"/>
  <c r="E234" i="1"/>
  <c r="I234" i="1"/>
  <c r="E235" i="1"/>
  <c r="I235" i="1"/>
  <c r="H255" i="1"/>
  <c r="G255" i="1"/>
  <c r="F255" i="1"/>
  <c r="D255" i="1"/>
  <c r="C255" i="1"/>
  <c r="B255" i="1"/>
  <c r="E255" i="1" s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H219" i="1"/>
  <c r="H230" i="1" s="1"/>
  <c r="H256" i="1" s="1"/>
  <c r="G219" i="1"/>
  <c r="G230" i="1" s="1"/>
  <c r="G256" i="1" s="1"/>
  <c r="F219" i="1"/>
  <c r="I219" i="1" s="1"/>
  <c r="D219" i="1"/>
  <c r="D230" i="1" s="1"/>
  <c r="D256" i="1" s="1"/>
  <c r="C219" i="1"/>
  <c r="C230" i="1" s="1"/>
  <c r="C256" i="1" s="1"/>
  <c r="B219" i="1"/>
  <c r="E219" i="1" s="1"/>
  <c r="O254" i="1"/>
  <c r="S254" i="1"/>
  <c r="O253" i="1"/>
  <c r="S253" i="1"/>
  <c r="S255" i="1" s="1"/>
  <c r="O231" i="1"/>
  <c r="S231" i="1"/>
  <c r="R255" i="1"/>
  <c r="Q255" i="1"/>
  <c r="N255" i="1"/>
  <c r="M255" i="1"/>
  <c r="S252" i="1"/>
  <c r="O252" i="1"/>
  <c r="S251" i="1"/>
  <c r="O251" i="1"/>
  <c r="S250" i="1"/>
  <c r="O250" i="1"/>
  <c r="S249" i="1"/>
  <c r="O249" i="1"/>
  <c r="S248" i="1"/>
  <c r="O248" i="1"/>
  <c r="S247" i="1"/>
  <c r="O247" i="1"/>
  <c r="S246" i="1"/>
  <c r="O246" i="1"/>
  <c r="S245" i="1"/>
  <c r="O245" i="1"/>
  <c r="S244" i="1"/>
  <c r="O244" i="1"/>
  <c r="S243" i="1"/>
  <c r="O243" i="1"/>
  <c r="S242" i="1"/>
  <c r="O242" i="1"/>
  <c r="S241" i="1"/>
  <c r="O241" i="1"/>
  <c r="S240" i="1"/>
  <c r="O240" i="1"/>
  <c r="S239" i="1"/>
  <c r="O239" i="1"/>
  <c r="S238" i="1"/>
  <c r="O238" i="1"/>
  <c r="S237" i="1"/>
  <c r="O237" i="1"/>
  <c r="S236" i="1"/>
  <c r="O236" i="1"/>
  <c r="S235" i="1"/>
  <c r="O235" i="1"/>
  <c r="S234" i="1"/>
  <c r="O234" i="1"/>
  <c r="S233" i="1"/>
  <c r="O233" i="1"/>
  <c r="S232" i="1"/>
  <c r="O232" i="1"/>
  <c r="O255" i="1"/>
  <c r="S229" i="1"/>
  <c r="O229" i="1"/>
  <c r="S228" i="1"/>
  <c r="O228" i="1"/>
  <c r="S227" i="1"/>
  <c r="O227" i="1"/>
  <c r="S226" i="1"/>
  <c r="O226" i="1"/>
  <c r="S225" i="1"/>
  <c r="O225" i="1"/>
  <c r="S224" i="1"/>
  <c r="O224" i="1"/>
  <c r="S223" i="1"/>
  <c r="O223" i="1"/>
  <c r="S221" i="1"/>
  <c r="O221" i="1"/>
  <c r="S220" i="1"/>
  <c r="O220" i="1"/>
  <c r="R219" i="1"/>
  <c r="R230" i="1" s="1"/>
  <c r="P219" i="1"/>
  <c r="P230" i="1" s="1"/>
  <c r="N219" i="1"/>
  <c r="N230" i="1" s="1"/>
  <c r="L219" i="1"/>
  <c r="L230" i="1" s="1"/>
  <c r="R211" i="1"/>
  <c r="Q211" i="1"/>
  <c r="S211" i="1" s="1"/>
  <c r="P211" i="1"/>
  <c r="N211" i="1"/>
  <c r="M211" i="1"/>
  <c r="L211" i="1"/>
  <c r="E157" i="1"/>
  <c r="I157" i="1"/>
  <c r="E158" i="1"/>
  <c r="I158" i="1"/>
  <c r="E159" i="1"/>
  <c r="I159" i="1"/>
  <c r="I190" i="1"/>
  <c r="E190" i="1"/>
  <c r="I189" i="1"/>
  <c r="E189" i="1"/>
  <c r="I188" i="1"/>
  <c r="E188" i="1"/>
  <c r="Y135" i="1"/>
  <c r="AC135" i="1"/>
  <c r="AB212" i="1"/>
  <c r="AA212" i="1"/>
  <c r="Z212" i="1"/>
  <c r="X212" i="1"/>
  <c r="W212" i="1"/>
  <c r="V212" i="1"/>
  <c r="AC211" i="1"/>
  <c r="Y211" i="1"/>
  <c r="AC210" i="1"/>
  <c r="Y210" i="1"/>
  <c r="AC209" i="1"/>
  <c r="Y209" i="1"/>
  <c r="AC208" i="1"/>
  <c r="Y208" i="1"/>
  <c r="AC207" i="1"/>
  <c r="Y207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91" i="1"/>
  <c r="Y191" i="1"/>
  <c r="AC190" i="1"/>
  <c r="Y190" i="1"/>
  <c r="AC189" i="1"/>
  <c r="Y189" i="1"/>
  <c r="AC188" i="1"/>
  <c r="AC212" i="1" s="1"/>
  <c r="Y188" i="1"/>
  <c r="Y212" i="1" s="1"/>
  <c r="AC186" i="1"/>
  <c r="Y186" i="1"/>
  <c r="AC185" i="1"/>
  <c r="Y185" i="1"/>
  <c r="AC184" i="1"/>
  <c r="Y184" i="1"/>
  <c r="AC183" i="1"/>
  <c r="Y183" i="1"/>
  <c r="AC182" i="1"/>
  <c r="Y182" i="1"/>
  <c r="AC181" i="1"/>
  <c r="Y181" i="1"/>
  <c r="AC180" i="1"/>
  <c r="Y180" i="1"/>
  <c r="AC179" i="1"/>
  <c r="Y179" i="1"/>
  <c r="AC178" i="1"/>
  <c r="Y178" i="1"/>
  <c r="AC177" i="1"/>
  <c r="Y177" i="1"/>
  <c r="E191" i="1"/>
  <c r="I191" i="1"/>
  <c r="E192" i="1"/>
  <c r="I192" i="1"/>
  <c r="E193" i="1"/>
  <c r="I193" i="1"/>
  <c r="E194" i="1"/>
  <c r="I194" i="1"/>
  <c r="E195" i="1"/>
  <c r="I195" i="1"/>
  <c r="E196" i="1"/>
  <c r="I196" i="1"/>
  <c r="E197" i="1"/>
  <c r="I197" i="1"/>
  <c r="E198" i="1"/>
  <c r="I198" i="1"/>
  <c r="E199" i="1"/>
  <c r="I199" i="1"/>
  <c r="E177" i="1"/>
  <c r="I177" i="1"/>
  <c r="E178" i="1"/>
  <c r="I178" i="1"/>
  <c r="E179" i="1"/>
  <c r="I179" i="1"/>
  <c r="H212" i="1"/>
  <c r="G212" i="1"/>
  <c r="F212" i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O164" i="1"/>
  <c r="S164" i="1"/>
  <c r="O165" i="1"/>
  <c r="S165" i="1"/>
  <c r="O166" i="1"/>
  <c r="S166" i="1"/>
  <c r="O167" i="1"/>
  <c r="S167" i="1"/>
  <c r="O168" i="1"/>
  <c r="S168" i="1"/>
  <c r="O207" i="1"/>
  <c r="S207" i="1"/>
  <c r="O208" i="1"/>
  <c r="S208" i="1"/>
  <c r="O209" i="1"/>
  <c r="S209" i="1"/>
  <c r="O188" i="1"/>
  <c r="S188" i="1"/>
  <c r="O189" i="1"/>
  <c r="S189" i="1"/>
  <c r="O190" i="1"/>
  <c r="S190" i="1"/>
  <c r="O177" i="1"/>
  <c r="S177" i="1"/>
  <c r="R212" i="1"/>
  <c r="Q212" i="1"/>
  <c r="P212" i="1"/>
  <c r="N212" i="1"/>
  <c r="M212" i="1"/>
  <c r="L212" i="1"/>
  <c r="O211" i="1"/>
  <c r="O212" i="1" s="1"/>
  <c r="S210" i="1"/>
  <c r="O210" i="1"/>
  <c r="S206" i="1"/>
  <c r="O206" i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Q169" i="1"/>
  <c r="Y166" i="1"/>
  <c r="AC166" i="1"/>
  <c r="Y167" i="1"/>
  <c r="AC167" i="1"/>
  <c r="Y168" i="1"/>
  <c r="AC168" i="1"/>
  <c r="O135" i="1"/>
  <c r="S135" i="1"/>
  <c r="Y145" i="1"/>
  <c r="AC145" i="1"/>
  <c r="AC169" i="1" s="1"/>
  <c r="AB169" i="1"/>
  <c r="AA169" i="1"/>
  <c r="Z169" i="1"/>
  <c r="X169" i="1"/>
  <c r="W169" i="1"/>
  <c r="V169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7" i="1"/>
  <c r="Y147" i="1"/>
  <c r="AC146" i="1"/>
  <c r="Y146" i="1"/>
  <c r="Y169" i="1"/>
  <c r="AC143" i="1"/>
  <c r="Y143" i="1"/>
  <c r="AC142" i="1"/>
  <c r="Y142" i="1"/>
  <c r="AC141" i="1"/>
  <c r="Y141" i="1"/>
  <c r="AC140" i="1"/>
  <c r="Y140" i="1"/>
  <c r="AC139" i="1"/>
  <c r="Y139" i="1"/>
  <c r="AC138" i="1"/>
  <c r="Y138" i="1"/>
  <c r="AC137" i="1"/>
  <c r="Y137" i="1"/>
  <c r="AC136" i="1"/>
  <c r="Y136" i="1"/>
  <c r="AC134" i="1"/>
  <c r="Y134" i="1"/>
  <c r="AC133" i="1"/>
  <c r="AC144" i="1" s="1"/>
  <c r="AB133" i="1"/>
  <c r="AB144" i="1" s="1"/>
  <c r="AB170" i="1" s="1"/>
  <c r="AB176" i="1" s="1"/>
  <c r="AB187" i="1" s="1"/>
  <c r="AB213" i="1" s="1"/>
  <c r="AA133" i="1"/>
  <c r="AA144" i="1" s="1"/>
  <c r="Z133" i="1"/>
  <c r="Z144" i="1" s="1"/>
  <c r="Z170" i="1" s="1"/>
  <c r="Z176" i="1" s="1"/>
  <c r="Z187" i="1" s="1"/>
  <c r="Z213" i="1" s="1"/>
  <c r="Y133" i="1"/>
  <c r="X133" i="1"/>
  <c r="X144" i="1" s="1"/>
  <c r="W133" i="1"/>
  <c r="W144" i="1" s="1"/>
  <c r="W170" i="1" s="1"/>
  <c r="W176" i="1" s="1"/>
  <c r="W187" i="1" s="1"/>
  <c r="V133" i="1"/>
  <c r="V144" i="1" s="1"/>
  <c r="S123" i="1"/>
  <c r="O123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O92" i="1"/>
  <c r="S92" i="1"/>
  <c r="O124" i="1"/>
  <c r="S124" i="1"/>
  <c r="O125" i="1"/>
  <c r="S125" i="1"/>
  <c r="R169" i="1"/>
  <c r="P169" i="1"/>
  <c r="N169" i="1"/>
  <c r="M169" i="1"/>
  <c r="L169" i="1"/>
  <c r="S163" i="1"/>
  <c r="O163" i="1"/>
  <c r="S162" i="1"/>
  <c r="O162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50" i="1"/>
  <c r="O150" i="1"/>
  <c r="S149" i="1"/>
  <c r="O149" i="1"/>
  <c r="S148" i="1"/>
  <c r="O148" i="1"/>
  <c r="S147" i="1"/>
  <c r="O147" i="1"/>
  <c r="S146" i="1"/>
  <c r="O146" i="1"/>
  <c r="S145" i="1"/>
  <c r="O145" i="1"/>
  <c r="S143" i="1"/>
  <c r="O143" i="1"/>
  <c r="S142" i="1"/>
  <c r="O142" i="1"/>
  <c r="S141" i="1"/>
  <c r="O141" i="1"/>
  <c r="S140" i="1"/>
  <c r="O140" i="1"/>
  <c r="S139" i="1"/>
  <c r="O139" i="1"/>
  <c r="S138" i="1"/>
  <c r="O138" i="1"/>
  <c r="S137" i="1"/>
  <c r="O137" i="1"/>
  <c r="S136" i="1"/>
  <c r="O136" i="1"/>
  <c r="S134" i="1"/>
  <c r="O134" i="1"/>
  <c r="R15" i="1"/>
  <c r="Q15" i="1"/>
  <c r="P15" i="1"/>
  <c r="N15" i="1"/>
  <c r="N41" i="1" s="1"/>
  <c r="N47" i="1" s="1"/>
  <c r="M15" i="1"/>
  <c r="M41" i="1" s="1"/>
  <c r="M47" i="1" s="1"/>
  <c r="L15" i="1"/>
  <c r="R40" i="1"/>
  <c r="R41" i="1" s="1"/>
  <c r="R47" i="1" s="1"/>
  <c r="Q40" i="1"/>
  <c r="P40" i="1"/>
  <c r="N40" i="1"/>
  <c r="M40" i="1"/>
  <c r="L40" i="1"/>
  <c r="R83" i="1"/>
  <c r="Q83" i="1"/>
  <c r="P83" i="1"/>
  <c r="N83" i="1"/>
  <c r="M83" i="1"/>
  <c r="L83" i="1"/>
  <c r="M126" i="1"/>
  <c r="N126" i="1"/>
  <c r="P126" i="1"/>
  <c r="Q126" i="1"/>
  <c r="R126" i="1"/>
  <c r="L126" i="1"/>
  <c r="S72" i="1"/>
  <c r="O72" i="1"/>
  <c r="O51" i="1"/>
  <c r="S51" i="1"/>
  <c r="I53" i="1"/>
  <c r="E53" i="1"/>
  <c r="S79" i="1"/>
  <c r="O79" i="1"/>
  <c r="S78" i="1"/>
  <c r="O78" i="1"/>
  <c r="I52" i="1"/>
  <c r="E52" i="1"/>
  <c r="S66" i="1"/>
  <c r="O66" i="1"/>
  <c r="O80" i="1"/>
  <c r="S80" i="1"/>
  <c r="O81" i="1"/>
  <c r="S81" i="1"/>
  <c r="O82" i="1"/>
  <c r="S82" i="1"/>
  <c r="O63" i="1"/>
  <c r="S63" i="1"/>
  <c r="E63" i="1"/>
  <c r="I63" i="1"/>
  <c r="S61" i="1"/>
  <c r="O61" i="1"/>
  <c r="S39" i="1"/>
  <c r="O6" i="1"/>
  <c r="S6" i="1"/>
  <c r="O7" i="1"/>
  <c r="S7" i="1"/>
  <c r="O8" i="1"/>
  <c r="S8" i="1"/>
  <c r="O38" i="1"/>
  <c r="S38" i="1"/>
  <c r="O39" i="1"/>
  <c r="S50" i="1"/>
  <c r="O50" i="1"/>
  <c r="S49" i="1"/>
  <c r="O49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I110" i="1"/>
  <c r="E110" i="1"/>
  <c r="S109" i="1"/>
  <c r="O109" i="1"/>
  <c r="I109" i="1"/>
  <c r="E109" i="1"/>
  <c r="S108" i="1"/>
  <c r="O108" i="1"/>
  <c r="I108" i="1"/>
  <c r="E108" i="1"/>
  <c r="S107" i="1"/>
  <c r="O107" i="1"/>
  <c r="I107" i="1"/>
  <c r="E107" i="1"/>
  <c r="S106" i="1"/>
  <c r="O106" i="1"/>
  <c r="I106" i="1"/>
  <c r="E106" i="1"/>
  <c r="S105" i="1"/>
  <c r="O105" i="1"/>
  <c r="I105" i="1"/>
  <c r="E105" i="1"/>
  <c r="S104" i="1"/>
  <c r="O104" i="1"/>
  <c r="I104" i="1"/>
  <c r="E104" i="1"/>
  <c r="S103" i="1"/>
  <c r="O103" i="1"/>
  <c r="I103" i="1"/>
  <c r="E103" i="1"/>
  <c r="S102" i="1"/>
  <c r="O102" i="1"/>
  <c r="I102" i="1"/>
  <c r="E102" i="1"/>
  <c r="S100" i="1"/>
  <c r="O100" i="1"/>
  <c r="I100" i="1"/>
  <c r="E100" i="1"/>
  <c r="S99" i="1"/>
  <c r="O99" i="1"/>
  <c r="I99" i="1"/>
  <c r="E99" i="1"/>
  <c r="S98" i="1"/>
  <c r="O98" i="1"/>
  <c r="I98" i="1"/>
  <c r="E98" i="1"/>
  <c r="S97" i="1"/>
  <c r="O97" i="1"/>
  <c r="I97" i="1"/>
  <c r="E97" i="1"/>
  <c r="S96" i="1"/>
  <c r="O96" i="1"/>
  <c r="I96" i="1"/>
  <c r="E96" i="1"/>
  <c r="S95" i="1"/>
  <c r="O95" i="1"/>
  <c r="I95" i="1"/>
  <c r="E95" i="1"/>
  <c r="S94" i="1"/>
  <c r="O94" i="1"/>
  <c r="I94" i="1"/>
  <c r="E94" i="1"/>
  <c r="S93" i="1"/>
  <c r="O93" i="1"/>
  <c r="I93" i="1"/>
  <c r="E93" i="1"/>
  <c r="I92" i="1"/>
  <c r="E92" i="1"/>
  <c r="S91" i="1"/>
  <c r="O91" i="1"/>
  <c r="I91" i="1"/>
  <c r="E91" i="1"/>
  <c r="O10" i="1"/>
  <c r="S10" i="1"/>
  <c r="O48" i="1"/>
  <c r="S48" i="1"/>
  <c r="O52" i="1"/>
  <c r="S52" i="1"/>
  <c r="O53" i="1"/>
  <c r="S53" i="1"/>
  <c r="S9" i="1"/>
  <c r="O9" i="1"/>
  <c r="O35" i="1"/>
  <c r="S35" i="1"/>
  <c r="O36" i="1"/>
  <c r="S36" i="1"/>
  <c r="O37" i="1"/>
  <c r="S37" i="1"/>
  <c r="E16" i="1"/>
  <c r="I16" i="1"/>
  <c r="E4" i="1"/>
  <c r="I4" i="1"/>
  <c r="E5" i="1"/>
  <c r="I5" i="1"/>
  <c r="O16" i="1"/>
  <c r="S16" i="1"/>
  <c r="O4" i="1"/>
  <c r="S4" i="1"/>
  <c r="E48" i="1"/>
  <c r="I48" i="1"/>
  <c r="E49" i="1"/>
  <c r="I49" i="1"/>
  <c r="E50" i="1"/>
  <c r="I50" i="1"/>
  <c r="E51" i="1"/>
  <c r="I51" i="1"/>
  <c r="E54" i="1"/>
  <c r="I54" i="1"/>
  <c r="E55" i="1"/>
  <c r="I55" i="1"/>
  <c r="O54" i="1"/>
  <c r="S54" i="1"/>
  <c r="O55" i="1"/>
  <c r="S55" i="1"/>
  <c r="E56" i="1"/>
  <c r="I56" i="1"/>
  <c r="O56" i="1"/>
  <c r="S56" i="1"/>
  <c r="E57" i="1"/>
  <c r="I57" i="1"/>
  <c r="O57" i="1"/>
  <c r="S57" i="1"/>
  <c r="E59" i="1"/>
  <c r="I59" i="1"/>
  <c r="O59" i="1"/>
  <c r="O83" i="1" s="1"/>
  <c r="S59" i="1"/>
  <c r="S83" i="1" s="1"/>
  <c r="E60" i="1"/>
  <c r="I60" i="1"/>
  <c r="O60" i="1"/>
  <c r="S60" i="1"/>
  <c r="E61" i="1"/>
  <c r="I61" i="1"/>
  <c r="E62" i="1"/>
  <c r="I62" i="1"/>
  <c r="O62" i="1"/>
  <c r="S62" i="1"/>
  <c r="E64" i="1"/>
  <c r="I64" i="1"/>
  <c r="O64" i="1"/>
  <c r="S64" i="1"/>
  <c r="E65" i="1"/>
  <c r="I65" i="1"/>
  <c r="O65" i="1"/>
  <c r="S65" i="1"/>
  <c r="E66" i="1"/>
  <c r="I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E73" i="1"/>
  <c r="I73" i="1"/>
  <c r="O73" i="1"/>
  <c r="S73" i="1"/>
  <c r="E74" i="1"/>
  <c r="I74" i="1"/>
  <c r="O74" i="1"/>
  <c r="S74" i="1"/>
  <c r="E75" i="1"/>
  <c r="I75" i="1"/>
  <c r="O75" i="1"/>
  <c r="S75" i="1"/>
  <c r="E76" i="1"/>
  <c r="I76" i="1"/>
  <c r="O76" i="1"/>
  <c r="S76" i="1"/>
  <c r="E77" i="1"/>
  <c r="I77" i="1"/>
  <c r="O77" i="1"/>
  <c r="S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V299" i="1" l="1"/>
  <c r="W299" i="1"/>
  <c r="AA299" i="1"/>
  <c r="AC299" i="1"/>
  <c r="X299" i="1"/>
  <c r="AB299" i="1"/>
  <c r="AC298" i="1"/>
  <c r="X256" i="1"/>
  <c r="V256" i="1"/>
  <c r="W213" i="1"/>
  <c r="W219" i="1" s="1"/>
  <c r="W230" i="1" s="1"/>
  <c r="W256" i="1" s="1"/>
  <c r="I255" i="1"/>
  <c r="B230" i="1"/>
  <c r="F230" i="1"/>
  <c r="R256" i="1"/>
  <c r="R262" i="1" s="1"/>
  <c r="R273" i="1" s="1"/>
  <c r="R299" i="1" s="1"/>
  <c r="N256" i="1"/>
  <c r="N262" i="1" s="1"/>
  <c r="N273" i="1" s="1"/>
  <c r="N299" i="1" s="1"/>
  <c r="L255" i="1"/>
  <c r="L256" i="1" s="1"/>
  <c r="L262" i="1" s="1"/>
  <c r="L273" i="1" s="1"/>
  <c r="L299" i="1" s="1"/>
  <c r="P255" i="1"/>
  <c r="P256" i="1" s="1"/>
  <c r="P262" i="1" s="1"/>
  <c r="P273" i="1" s="1"/>
  <c r="P299" i="1" s="1"/>
  <c r="I212" i="1"/>
  <c r="Y144" i="1"/>
  <c r="E212" i="1"/>
  <c r="S212" i="1"/>
  <c r="I169" i="1"/>
  <c r="V170" i="1"/>
  <c r="V176" i="1" s="1"/>
  <c r="V187" i="1" s="1"/>
  <c r="V213" i="1" s="1"/>
  <c r="X170" i="1"/>
  <c r="X176" i="1" s="1"/>
  <c r="X187" i="1" s="1"/>
  <c r="X213" i="1" s="1"/>
  <c r="AA170" i="1"/>
  <c r="AA176" i="1" s="1"/>
  <c r="AA187" i="1" s="1"/>
  <c r="AA213" i="1" s="1"/>
  <c r="AA219" i="1" s="1"/>
  <c r="AA230" i="1" s="1"/>
  <c r="AA256" i="1" s="1"/>
  <c r="AC170" i="1"/>
  <c r="AC176" i="1" s="1"/>
  <c r="AC187" i="1" s="1"/>
  <c r="AC213" i="1" s="1"/>
  <c r="AC219" i="1" s="1"/>
  <c r="AC230" i="1" s="1"/>
  <c r="AC256" i="1" s="1"/>
  <c r="Y170" i="1"/>
  <c r="Y176" i="1" s="1"/>
  <c r="Y187" i="1" s="1"/>
  <c r="Y213" i="1" s="1"/>
  <c r="Y219" i="1" s="1"/>
  <c r="Y230" i="1" s="1"/>
  <c r="Y256" i="1" s="1"/>
  <c r="L41" i="1"/>
  <c r="L47" i="1" s="1"/>
  <c r="P41" i="1"/>
  <c r="P47" i="1" s="1"/>
  <c r="E169" i="1"/>
  <c r="E126" i="1"/>
  <c r="I126" i="1"/>
  <c r="O169" i="1"/>
  <c r="S169" i="1"/>
  <c r="O126" i="1"/>
  <c r="S126" i="1"/>
  <c r="Q41" i="1"/>
  <c r="Q47" i="1" s="1"/>
  <c r="I83" i="1"/>
  <c r="E83" i="1"/>
  <c r="I26" i="1"/>
  <c r="S33" i="1"/>
  <c r="O33" i="1"/>
  <c r="S32" i="1"/>
  <c r="O32" i="1"/>
  <c r="S34" i="1"/>
  <c r="O34" i="1"/>
  <c r="I39" i="1"/>
  <c r="E39" i="1"/>
  <c r="S5" i="1"/>
  <c r="S15" i="1" s="1"/>
  <c r="S41" i="1" s="1"/>
  <c r="S47" i="1" s="1"/>
  <c r="O5" i="1"/>
  <c r="I7" i="1"/>
  <c r="E7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S40" i="1" s="1"/>
  <c r="O17" i="1"/>
  <c r="S14" i="1"/>
  <c r="O14" i="1"/>
  <c r="S13" i="1"/>
  <c r="O13" i="1"/>
  <c r="S12" i="1"/>
  <c r="O12" i="1"/>
  <c r="O15" i="1" s="1"/>
  <c r="S11" i="1"/>
  <c r="O11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20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0" i="1"/>
  <c r="E11" i="1"/>
  <c r="E12" i="1"/>
  <c r="E13" i="1"/>
  <c r="E14" i="1"/>
  <c r="I230" i="1" l="1"/>
  <c r="I256" i="1" s="1"/>
  <c r="F256" i="1"/>
  <c r="E230" i="1"/>
  <c r="E256" i="1" s="1"/>
  <c r="B256" i="1"/>
  <c r="O40" i="1"/>
  <c r="O41" i="1" s="1"/>
  <c r="O47" i="1" s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E40" i="1"/>
  <c r="L58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M58" i="1"/>
  <c r="P58" i="1"/>
  <c r="B41" i="1"/>
  <c r="B47" i="1" s="1"/>
  <c r="N58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I15" i="1"/>
  <c r="F41" i="1"/>
  <c r="F47" i="1" s="1"/>
  <c r="I40" i="1"/>
  <c r="E15" i="1"/>
  <c r="M84" i="1" l="1"/>
  <c r="M90" i="1" s="1"/>
  <c r="Q84" i="1"/>
  <c r="Q90" i="1" s="1"/>
  <c r="N84" i="1"/>
  <c r="N90" i="1" s="1"/>
  <c r="R84" i="1"/>
  <c r="R90" i="1" s="1"/>
  <c r="B58" i="1"/>
  <c r="E47" i="1"/>
  <c r="L84" i="1"/>
  <c r="L90" i="1" s="1"/>
  <c r="O58" i="1"/>
  <c r="F58" i="1"/>
  <c r="I47" i="1"/>
  <c r="P84" i="1"/>
  <c r="P90" i="1" s="1"/>
  <c r="S58" i="1"/>
  <c r="E41" i="1"/>
  <c r="I41" i="1"/>
  <c r="R101" i="1" l="1"/>
  <c r="R127" i="1" s="1"/>
  <c r="R133" i="1" s="1"/>
  <c r="R144" i="1" s="1"/>
  <c r="R170" i="1" s="1"/>
  <c r="R176" i="1" s="1"/>
  <c r="R187" i="1" s="1"/>
  <c r="R213" i="1" s="1"/>
  <c r="M101" i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N101" i="1"/>
  <c r="N127" i="1" s="1"/>
  <c r="N133" i="1" s="1"/>
  <c r="N144" i="1" s="1"/>
  <c r="N170" i="1" s="1"/>
  <c r="N176" i="1" s="1"/>
  <c r="N187" i="1" s="1"/>
  <c r="N213" i="1" s="1"/>
  <c r="Q101" i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P101" i="1"/>
  <c r="S84" i="1"/>
  <c r="S90" i="1" s="1"/>
  <c r="F84" i="1"/>
  <c r="F90" i="1" s="1"/>
  <c r="I58" i="1"/>
  <c r="I84" i="1" s="1"/>
  <c r="L101" i="1"/>
  <c r="O84" i="1"/>
  <c r="O90" i="1" s="1"/>
  <c r="B84" i="1"/>
  <c r="B90" i="1" s="1"/>
  <c r="E58" i="1"/>
  <c r="E84" i="1" s="1"/>
  <c r="I90" i="1" l="1"/>
  <c r="F101" i="1"/>
  <c r="F127" i="1" s="1"/>
  <c r="F133" i="1" s="1"/>
  <c r="E90" i="1"/>
  <c r="B101" i="1"/>
  <c r="B127" i="1" s="1"/>
  <c r="B133" i="1" s="1"/>
  <c r="O101" i="1"/>
  <c r="L127" i="1"/>
  <c r="L133" i="1" s="1"/>
  <c r="L144" i="1" s="1"/>
  <c r="L170" i="1" s="1"/>
  <c r="L176" i="1" s="1"/>
  <c r="L187" i="1" s="1"/>
  <c r="L213" i="1" s="1"/>
  <c r="S101" i="1"/>
  <c r="P127" i="1"/>
  <c r="P133" i="1" s="1"/>
  <c r="P144" i="1" s="1"/>
  <c r="P170" i="1" s="1"/>
  <c r="P176" i="1" s="1"/>
  <c r="P187" i="1" s="1"/>
  <c r="P213" i="1" s="1"/>
  <c r="I133" i="1" l="1"/>
  <c r="F144" i="1"/>
  <c r="E133" i="1"/>
  <c r="B144" i="1"/>
  <c r="I101" i="1"/>
  <c r="I127" i="1" s="1"/>
  <c r="E101" i="1"/>
  <c r="E127" i="1" s="1"/>
  <c r="S127" i="1"/>
  <c r="S133" i="1" s="1"/>
  <c r="S144" i="1" s="1"/>
  <c r="S170" i="1" s="1"/>
  <c r="S176" i="1" s="1"/>
  <c r="S187" i="1" s="1"/>
  <c r="S213" i="1" s="1"/>
  <c r="S219" i="1" s="1"/>
  <c r="S230" i="1" s="1"/>
  <c r="S256" i="1" s="1"/>
  <c r="S262" i="1" s="1"/>
  <c r="S273" i="1" s="1"/>
  <c r="S299" i="1" s="1"/>
  <c r="O127" i="1"/>
  <c r="O133" i="1" s="1"/>
  <c r="O144" i="1" s="1"/>
  <c r="O170" i="1" s="1"/>
  <c r="O176" i="1" s="1"/>
  <c r="O187" i="1" s="1"/>
  <c r="O213" i="1" s="1"/>
  <c r="O219" i="1" s="1"/>
  <c r="O230" i="1" s="1"/>
  <c r="O256" i="1" s="1"/>
  <c r="O262" i="1" s="1"/>
  <c r="O273" i="1" s="1"/>
  <c r="O299" i="1" s="1"/>
  <c r="F170" i="1" l="1"/>
  <c r="F176" i="1" s="1"/>
  <c r="I144" i="1"/>
  <c r="I170" i="1" s="1"/>
  <c r="E144" i="1"/>
  <c r="E170" i="1" s="1"/>
  <c r="B170" i="1"/>
  <c r="B176" i="1" s="1"/>
  <c r="I176" i="1" l="1"/>
  <c r="F187" i="1"/>
  <c r="E176" i="1"/>
  <c r="B187" i="1"/>
  <c r="I187" i="1" l="1"/>
  <c r="I213" i="1" s="1"/>
  <c r="F213" i="1"/>
  <c r="E187" i="1"/>
  <c r="E213" i="1" s="1"/>
  <c r="B213" i="1"/>
</calcChain>
</file>

<file path=xl/sharedStrings.xml><?xml version="1.0" encoding="utf-8"?>
<sst xmlns="http://schemas.openxmlformats.org/spreadsheetml/2006/main" count="576" uniqueCount="138">
  <si>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</si>
  <si>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</si>
  <si>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</si>
  <si>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</si>
  <si>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</si>
  <si>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</si>
  <si>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</si>
  <si>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</si>
  <si>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</si>
  <si>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</si>
  <si>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</si>
  <si>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</si>
  <si>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</si>
  <si>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返品</t>
    <rPh sb="0" eb="2">
      <t>ヘンピン</t>
    </rPh>
    <phoneticPr fontId="3"/>
  </si>
  <si>
    <t>ピーチ</t>
    <phoneticPr fontId="5"/>
  </si>
  <si>
    <t>在庫</t>
    <rPh sb="0" eb="2">
      <t>ザイコ</t>
    </rPh>
    <phoneticPr fontId="3"/>
  </si>
  <si>
    <t>パープル</t>
    <phoneticPr fontId="5"/>
  </si>
  <si>
    <t>初回 3-1</t>
    <rPh sb="0" eb="2">
      <t>ショカイ</t>
    </rPh>
    <phoneticPr fontId="3"/>
  </si>
  <si>
    <t>追加　3-2</t>
    <rPh sb="0" eb="2">
      <t>ツイカ</t>
    </rPh>
    <phoneticPr fontId="3"/>
  </si>
  <si>
    <t>追加　3-3</t>
    <rPh sb="0" eb="2">
      <t>ツイカ</t>
    </rPh>
    <phoneticPr fontId="3"/>
  </si>
  <si>
    <t>＜No.11007 80スムース7分丈ボトム2色組＞夢販在庫</t>
    <rPh sb="17" eb="19">
      <t>ブタケ</t>
    </rPh>
    <rPh sb="23" eb="25">
      <t>ショクグミ</t>
    </rPh>
    <rPh sb="26" eb="27">
      <t>ユメ</t>
    </rPh>
    <rPh sb="27" eb="28">
      <t>ハン</t>
    </rPh>
    <rPh sb="28" eb="30">
      <t>ザイコ</t>
    </rPh>
    <phoneticPr fontId="3"/>
  </si>
  <si>
    <t>点2/27、アバウト3/4、本3/6・10</t>
    <rPh sb="0" eb="1">
      <t>テン</t>
    </rPh>
    <rPh sb="14" eb="15">
      <t>ホン</t>
    </rPh>
    <phoneticPr fontId="5"/>
  </si>
  <si>
    <t>グリーンコープ2色組（未開封シール・不透明袋）￥3480</t>
    <rPh sb="8" eb="10">
      <t>ショククミ</t>
    </rPh>
    <rPh sb="11" eb="14">
      <t>ミカイフウ</t>
    </rPh>
    <rPh sb="18" eb="22">
      <t>フトウメイフクロ</t>
    </rPh>
    <phoneticPr fontId="5"/>
  </si>
  <si>
    <t>グリーンコープ2色組（未開封シール・不透明袋）\3480①</t>
    <rPh sb="8" eb="10">
      <t>ショククミ</t>
    </rPh>
    <rPh sb="11" eb="14">
      <t>ミカイフウ</t>
    </rPh>
    <rPh sb="18" eb="22">
      <t>フトウメイフクロ</t>
    </rPh>
    <phoneticPr fontId="5"/>
  </si>
  <si>
    <t>夢販</t>
    <rPh sb="0" eb="2">
      <t>ユメハン</t>
    </rPh>
    <phoneticPr fontId="5"/>
  </si>
  <si>
    <t>JOD特別版0326/2色組表4　￥3480</t>
    <rPh sb="3" eb="6">
      <t>トクベツバン</t>
    </rPh>
    <rPh sb="12" eb="14">
      <t>ショクグミ</t>
    </rPh>
    <rPh sb="14" eb="15">
      <t>ヒョウ</t>
    </rPh>
    <phoneticPr fontId="3"/>
  </si>
  <si>
    <t>2025/2/21数伝</t>
    <rPh sb="9" eb="10">
      <t>スウ</t>
    </rPh>
    <rPh sb="10" eb="11">
      <t>デン</t>
    </rPh>
    <phoneticPr fontId="5"/>
  </si>
  <si>
    <t>3/25～</t>
    <phoneticPr fontId="5"/>
  </si>
  <si>
    <t>グリーンコープ2色組（未開封シール・不透明袋）\3480②</t>
    <rPh sb="8" eb="10">
      <t>ショククミ</t>
    </rPh>
    <rPh sb="11" eb="14">
      <t>ミカイフウ</t>
    </rPh>
    <rPh sb="18" eb="22">
      <t>フトウメイフクロ</t>
    </rPh>
    <phoneticPr fontId="5"/>
  </si>
  <si>
    <t>グリーンコープ2色組（未開封シール・不透明袋）\3480③</t>
    <rPh sb="8" eb="10">
      <t>ショククミ</t>
    </rPh>
    <rPh sb="11" eb="14">
      <t>ミカイフウ</t>
    </rPh>
    <rPh sb="18" eb="22">
      <t>フトウメイフクロ</t>
    </rPh>
    <phoneticPr fontId="5"/>
  </si>
  <si>
    <t>はぴねすくらぶ6月号　￥3990</t>
    <rPh sb="8" eb="10">
      <t>ガツゴウ</t>
    </rPh>
    <phoneticPr fontId="5"/>
  </si>
  <si>
    <t>くらし（あいコープ色合せ用sample）</t>
    <rPh sb="9" eb="10">
      <t>イロ</t>
    </rPh>
    <rPh sb="10" eb="11">
      <t>アワ</t>
    </rPh>
    <rPh sb="12" eb="13">
      <t>ヨウ</t>
    </rPh>
    <phoneticPr fontId="3"/>
  </si>
  <si>
    <t>6/6～</t>
    <phoneticPr fontId="5"/>
  </si>
  <si>
    <t>2025/4/1数伝</t>
    <rPh sb="8" eb="10">
      <t>スウデン</t>
    </rPh>
    <phoneticPr fontId="5"/>
  </si>
  <si>
    <t>JOD①</t>
    <phoneticPr fontId="5"/>
  </si>
  <si>
    <t>JOD②</t>
    <phoneticPr fontId="5"/>
  </si>
  <si>
    <t>JOD③</t>
    <phoneticPr fontId="5"/>
  </si>
  <si>
    <t>JOD④</t>
    <phoneticPr fontId="5"/>
  </si>
  <si>
    <t>JOD⑤</t>
    <phoneticPr fontId="5"/>
  </si>
  <si>
    <t>JOD⑥</t>
    <phoneticPr fontId="5"/>
  </si>
  <si>
    <t>サクラマチ提案sample</t>
    <rPh sb="5" eb="7">
      <t>テイアン</t>
    </rPh>
    <phoneticPr fontId="5"/>
  </si>
  <si>
    <t>JOD⑦</t>
    <phoneticPr fontId="5"/>
  </si>
  <si>
    <t>JOD⑧</t>
    <phoneticPr fontId="5"/>
  </si>
  <si>
    <r>
      <t>あいコープみやぎ4月5回</t>
    </r>
    <r>
      <rPr>
        <b/>
        <sz val="11"/>
        <rFont val="ＭＳ Ｐゴシック"/>
        <family val="3"/>
        <charset val="128"/>
      </rPr>
      <t>（PP袋でOK）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5" eb="16">
      <t>フクロ</t>
    </rPh>
    <phoneticPr fontId="5"/>
  </si>
  <si>
    <r>
      <t>あいコープみやぎ4月5回</t>
    </r>
    <r>
      <rPr>
        <b/>
        <sz val="11"/>
        <rFont val="ＭＳ Ｐゴシック"/>
        <family val="3"/>
        <charset val="128"/>
      </rPr>
      <t>（PP袋でOK）</t>
    </r>
    <rPh sb="9" eb="10">
      <t>ガツ</t>
    </rPh>
    <rPh sb="11" eb="12">
      <t>カイ</t>
    </rPh>
    <rPh sb="15" eb="16">
      <t>フクロ</t>
    </rPh>
    <phoneticPr fontId="5"/>
  </si>
  <si>
    <t>JOD⑨</t>
    <phoneticPr fontId="5"/>
  </si>
  <si>
    <t>JOD返品</t>
    <rPh sb="3" eb="5">
      <t>ヘンピン</t>
    </rPh>
    <phoneticPr fontId="3"/>
  </si>
  <si>
    <r>
      <t>（再送）あいコープみやぎ4月5回</t>
    </r>
    <r>
      <rPr>
        <b/>
        <sz val="11"/>
        <rFont val="ＭＳ Ｐゴシック"/>
        <family val="3"/>
        <charset val="128"/>
      </rPr>
      <t>（PP袋でOK）</t>
    </r>
    <r>
      <rPr>
        <sz val="11"/>
        <rFont val="ＭＳ Ｐゴシック"/>
        <family val="3"/>
        <charset val="128"/>
      </rPr>
      <t>①</t>
    </r>
    <rPh sb="1" eb="3">
      <t>サイソウ</t>
    </rPh>
    <rPh sb="13" eb="14">
      <t>ガツ</t>
    </rPh>
    <rPh sb="15" eb="16">
      <t>カイ</t>
    </rPh>
    <rPh sb="19" eb="20">
      <t>フクロ</t>
    </rPh>
    <phoneticPr fontId="5"/>
  </si>
  <si>
    <t>JOD⑩</t>
    <phoneticPr fontId="5"/>
  </si>
  <si>
    <t>JOD⑪</t>
    <phoneticPr fontId="5"/>
  </si>
  <si>
    <t>JOD⑫</t>
    <phoneticPr fontId="5"/>
  </si>
  <si>
    <t>JOD特別版0705</t>
    <rPh sb="3" eb="6">
      <t>トクベツバン</t>
    </rPh>
    <phoneticPr fontId="5"/>
  </si>
  <si>
    <t>7/4～</t>
    <phoneticPr fontId="5"/>
  </si>
  <si>
    <t>はぴねすくらぶ6月号　￥3990①</t>
    <rPh sb="8" eb="10">
      <t>ガツゴウ</t>
    </rPh>
    <phoneticPr fontId="5"/>
  </si>
  <si>
    <t>JOD⑬</t>
    <phoneticPr fontId="5"/>
  </si>
  <si>
    <r>
      <t>あいコープみやぎ6月2回</t>
    </r>
    <r>
      <rPr>
        <b/>
        <sz val="11"/>
        <rFont val="ＭＳ Ｐゴシック"/>
        <family val="3"/>
        <charset val="128"/>
      </rPr>
      <t>（PP袋でOK）</t>
    </r>
    <rPh sb="9" eb="10">
      <t>ガツ</t>
    </rPh>
    <rPh sb="11" eb="12">
      <t>カイ</t>
    </rPh>
    <rPh sb="15" eb="16">
      <t>フクロ</t>
    </rPh>
    <phoneticPr fontId="5"/>
  </si>
  <si>
    <t>JOD⑭</t>
    <phoneticPr fontId="5"/>
  </si>
  <si>
    <t>くらし（あいコープ色合せ用sample）返却</t>
    <rPh sb="9" eb="10">
      <t>イロ</t>
    </rPh>
    <rPh sb="10" eb="11">
      <t>アワ</t>
    </rPh>
    <rPh sb="12" eb="13">
      <t>ヨウ</t>
    </rPh>
    <rPh sb="20" eb="22">
      <t>ヘンキャク</t>
    </rPh>
    <phoneticPr fontId="3"/>
  </si>
  <si>
    <t>はぴねすくらぶ6月号　￥3990②</t>
    <rPh sb="8" eb="10">
      <t>ガツゴウ</t>
    </rPh>
    <phoneticPr fontId="5"/>
  </si>
  <si>
    <t>9/10～24</t>
    <phoneticPr fontId="5"/>
  </si>
  <si>
    <t>JOD⑮</t>
    <phoneticPr fontId="5"/>
  </si>
  <si>
    <t>ユーコープ2025年9月4回 　差分予測</t>
    <rPh sb="9" eb="10">
      <t>ネン</t>
    </rPh>
    <rPh sb="11" eb="12">
      <t>ガツ</t>
    </rPh>
    <rPh sb="13" eb="14">
      <t>カイ</t>
    </rPh>
    <rPh sb="16" eb="20">
      <t>サブンヨソク</t>
    </rPh>
    <phoneticPr fontId="5"/>
  </si>
  <si>
    <t>JOD⑯</t>
    <phoneticPr fontId="5"/>
  </si>
  <si>
    <t>JOD⑰</t>
    <phoneticPr fontId="5"/>
  </si>
  <si>
    <t>JOD⑱</t>
    <phoneticPr fontId="5"/>
  </si>
  <si>
    <t>JOD⑲</t>
    <phoneticPr fontId="5"/>
  </si>
  <si>
    <t>JOD⑳</t>
    <phoneticPr fontId="5"/>
  </si>
  <si>
    <t>くらし返品</t>
  </si>
  <si>
    <t>はぴねすくらぶ6月号　￥3990③</t>
    <rPh sb="8" eb="10">
      <t>ガツゴウ</t>
    </rPh>
    <phoneticPr fontId="5"/>
  </si>
  <si>
    <t>JOD㉑</t>
    <phoneticPr fontId="5"/>
  </si>
  <si>
    <t>はぴねすくらぶ6月号　￥3990④</t>
    <rPh sb="8" eb="10">
      <t>ガツゴウ</t>
    </rPh>
    <phoneticPr fontId="5"/>
  </si>
  <si>
    <t>在庫確認</t>
    <rPh sb="0" eb="4">
      <t>ザイコカクニン</t>
    </rPh>
    <phoneticPr fontId="3"/>
  </si>
  <si>
    <t>JOD㉒</t>
    <phoneticPr fontId="5"/>
  </si>
  <si>
    <t>←ここまで式確認2025/8/28</t>
    <rPh sb="0" eb="8">
      <t>&lt;-ココマデシキカクニン</t>
    </rPh>
    <phoneticPr fontId="5"/>
  </si>
  <si>
    <t>JOD特別版1019</t>
    <rPh sb="3" eb="6">
      <t>トクベツバン</t>
    </rPh>
    <phoneticPr fontId="5"/>
  </si>
  <si>
    <t>10/18～</t>
    <phoneticPr fontId="5"/>
  </si>
  <si>
    <t>ユーコープ2025年9月4回\3990（不透明袋）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</si>
  <si>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JOD㉓</t>
    <phoneticPr fontId="5"/>
  </si>
  <si>
    <t>ユーコープ2025年9月4回\3990（不透明袋）①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</si>
  <si>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JOD㉔</t>
    <phoneticPr fontId="5"/>
  </si>
  <si>
    <t>ユーコープ2025年9月4回\3990（不透明袋）②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</si>
  <si>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ユーコープ2025年9月4回\3990（不透明袋）③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</si>
  <si>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ユーコープ2025年9月4回\3990（不透明袋）④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</si>
  <si>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パルくらすsample</t>
    <phoneticPr fontId="5"/>
  </si>
  <si>
    <t>サクラマチ返品</t>
    <rPh sb="5" eb="7">
      <t>ヘンピン</t>
    </rPh>
    <phoneticPr fontId="3"/>
  </si>
  <si>
    <t>JOD㉕</t>
    <phoneticPr fontId="5"/>
  </si>
  <si>
    <t>JOD㉖</t>
    <phoneticPr fontId="5"/>
  </si>
  <si>
    <t>JOD㉗</t>
    <phoneticPr fontId="5"/>
  </si>
  <si>
    <t>２０２６年～</t>
    <rPh sb="4" eb="5">
      <t>ネン</t>
    </rPh>
    <phoneticPr fontId="5"/>
  </si>
  <si>
    <t>JOD㉘</t>
    <phoneticPr fontId="5"/>
  </si>
  <si>
    <t>JOD㉙</t>
    <phoneticPr fontId="5"/>
  </si>
  <si>
    <r>
      <t>＜No.11007 80スムース7分丈ボトム2色組＞西川合繊在庫  @570</t>
    </r>
    <r>
      <rPr>
        <b/>
        <sz val="16"/>
        <color rgb="FFFF0000"/>
        <rFont val="ＭＳ Ｐゴシック"/>
        <family val="3"/>
        <charset val="128"/>
      </rPr>
      <t xml:space="preserve">  2P\3480(32.8%)</t>
    </r>
    <rPh sb="17" eb="19">
      <t>ブタケ</t>
    </rPh>
    <rPh sb="23" eb="25">
      <t>ショクグミ</t>
    </rPh>
    <rPh sb="26" eb="30">
      <t>ニシカワゴウセン</t>
    </rPh>
    <rPh sb="30" eb="32">
      <t>ザイコ</t>
    </rPh>
    <phoneticPr fontId="3"/>
  </si>
  <si>
    <t>JOD㉚</t>
    <phoneticPr fontId="5"/>
  </si>
  <si>
    <t>夢販</t>
    <rPh sb="0" eb="2">
      <t>ユメハン</t>
    </rPh>
    <phoneticPr fontId="5"/>
  </si>
  <si>
    <t>パル事前点検再提出（新ネーム）</t>
    <rPh sb="2" eb="6">
      <t>ジゼンテンケン</t>
    </rPh>
    <rPh sb="6" eb="9">
      <t>サイテイシュツ</t>
    </rPh>
    <rPh sb="10" eb="11">
      <t>シン</t>
    </rPh>
    <phoneticPr fontId="5"/>
  </si>
  <si>
    <t>新ネーム</t>
    <rPh sb="0" eb="1">
      <t>シン</t>
    </rPh>
    <phoneticPr fontId="3"/>
  </si>
  <si>
    <t>2/4～2/18</t>
    <phoneticPr fontId="5"/>
  </si>
  <si>
    <t>ユーコープ2月3回　差分予測</t>
    <rPh sb="6" eb="7">
      <t>ガツ</t>
    </rPh>
    <rPh sb="8" eb="9">
      <t>カイ</t>
    </rPh>
    <rPh sb="10" eb="14">
      <t>サブンヨソク</t>
    </rPh>
    <phoneticPr fontId="5"/>
  </si>
  <si>
    <t>ユーコープ2月3回（不透明袋）</t>
    <rPh sb="6" eb="7">
      <t>ガツ</t>
    </rPh>
    <rPh sb="8" eb="9">
      <t>カイ</t>
    </rPh>
    <rPh sb="10" eb="14">
      <t>フトウメイフクロ</t>
    </rPh>
    <phoneticPr fontId="5"/>
  </si>
  <si>
    <t>JOD㉛</t>
    <phoneticPr fontId="5"/>
  </si>
  <si>
    <t>JOD㉜</t>
    <phoneticPr fontId="5"/>
  </si>
  <si>
    <t>JOD㉝</t>
    <phoneticPr fontId="5"/>
  </si>
  <si>
    <t>JOD㉞</t>
    <phoneticPr fontId="5"/>
  </si>
  <si>
    <t>ネット</t>
    <phoneticPr fontId="5"/>
  </si>
  <si>
    <t>JOD特別版0226</t>
    <rPh sb="3" eb="6">
      <t>トクベツバン</t>
    </rPh>
    <phoneticPr fontId="5"/>
  </si>
  <si>
    <t>2/25～</t>
    <phoneticPr fontId="5"/>
  </si>
  <si>
    <t>はぴねすくらぶ返品</t>
    <rPh sb="7" eb="9">
      <t>ヘンピン</t>
    </rPh>
    <phoneticPr fontId="3"/>
  </si>
  <si>
    <t>ユーコープ2月3回（不透明袋）①</t>
    <rPh sb="6" eb="7">
      <t>ガツ</t>
    </rPh>
    <rPh sb="8" eb="9">
      <t>カイ</t>
    </rPh>
    <rPh sb="10" eb="14">
      <t>フトウメイフクロ</t>
    </rPh>
    <phoneticPr fontId="5"/>
  </si>
  <si>
    <t>＜No.11007 80スムース7分丈ボトム2色組＞KPORT在庫  @570  2P\3990</t>
    <rPh sb="17" eb="19">
      <t>ブタケ</t>
    </rPh>
    <rPh sb="23" eb="25">
      <t>ショクグミ</t>
    </rPh>
    <rPh sb="31" eb="33">
      <t>ザイコ</t>
    </rPh>
    <phoneticPr fontId="3"/>
  </si>
  <si>
    <r>
      <t>＜No.11007 80スムース7分丈ボトム2色組＞KPORT在庫  @570</t>
    </r>
    <r>
      <rPr>
        <b/>
        <sz val="16"/>
        <color rgb="FFFF0000"/>
        <rFont val="ＭＳ Ｐゴシック"/>
        <family val="3"/>
        <charset val="128"/>
      </rPr>
      <t xml:space="preserve">  2P\3480(32.8%)</t>
    </r>
    <rPh sb="17" eb="19">
      <t>ブタケ</t>
    </rPh>
    <rPh sb="23" eb="25">
      <t>ショクグミ</t>
    </rPh>
    <rPh sb="31" eb="33">
      <t>ザイコ</t>
    </rPh>
    <phoneticPr fontId="3"/>
  </si>
  <si>
    <t>随時</t>
    <rPh sb="0" eb="2">
      <t>ズイジ</t>
    </rPh>
    <phoneticPr fontId="5"/>
  </si>
  <si>
    <t>ユーコープ2月3回（不透明袋）②</t>
    <rPh sb="6" eb="7">
      <t>ガツ</t>
    </rPh>
    <rPh sb="8" eb="9">
      <t>カイ</t>
    </rPh>
    <rPh sb="10" eb="14">
      <t>フトウメイフクロ</t>
    </rPh>
    <phoneticPr fontId="5"/>
  </si>
  <si>
    <t>ユーコープ2月3回（不透明袋）③</t>
    <rPh sb="6" eb="7">
      <t>ガツ</t>
    </rPh>
    <rPh sb="8" eb="9">
      <t>カイ</t>
    </rPh>
    <rPh sb="10" eb="14">
      <t>フトウメイフクロ</t>
    </rPh>
    <phoneticPr fontId="5"/>
  </si>
  <si>
    <t>ネット</t>
    <phoneticPr fontId="5"/>
  </si>
  <si>
    <t>→ここまで在庫確認済3/2</t>
    <rPh sb="0" eb="10">
      <t>ヤジルシココマデザイコカクニンスミ</t>
    </rPh>
    <phoneticPr fontId="5"/>
  </si>
  <si>
    <t>JOD㉟</t>
    <phoneticPr fontId="5"/>
  </si>
  <si>
    <t>JOD㊱</t>
    <phoneticPr fontId="5"/>
  </si>
  <si>
    <t>JOD㊲</t>
    <phoneticPr fontId="5"/>
  </si>
  <si>
    <t>ゆめはん</t>
    <phoneticPr fontId="5"/>
  </si>
  <si>
    <t>JOD㊳</t>
    <phoneticPr fontId="5"/>
  </si>
  <si>
    <t>JOD㊴</t>
    <phoneticPr fontId="5"/>
  </si>
  <si>
    <t>KPORT</t>
    <phoneticPr fontId="5"/>
  </si>
  <si>
    <t>夢販移動</t>
    <rPh sb="0" eb="4">
      <t>ユメハンイドウ</t>
    </rPh>
    <phoneticPr fontId="3"/>
  </si>
  <si>
    <t>JOD㊵</t>
    <phoneticPr fontId="5"/>
  </si>
  <si>
    <t>JOD㊶</t>
    <phoneticPr fontId="5"/>
  </si>
  <si>
    <t>はぴねすくらぶ6月号差分予測</t>
    <rPh sb="8" eb="10">
      <t>ガツゴウ</t>
    </rPh>
    <rPh sb="10" eb="14">
      <t>サブンヨソク</t>
    </rPh>
    <phoneticPr fontId="5"/>
  </si>
  <si>
    <t>はぴねすくらぶ6月号￥3990</t>
    <rPh sb="8" eb="10">
      <t>ガツゴウ</t>
    </rPh>
    <phoneticPr fontId="5"/>
  </si>
  <si>
    <t>6/5～9/30</t>
    <phoneticPr fontId="5"/>
  </si>
  <si>
    <t>JOD㊷</t>
    <phoneticPr fontId="5"/>
  </si>
  <si>
    <t>はぴねすくらぶ6月号￥3990①</t>
    <rPh sb="8" eb="10">
      <t>ガツゴウ</t>
    </rPh>
    <phoneticPr fontId="5"/>
  </si>
  <si>
    <r>
      <t>＜No.11007 80スムース7分丈ボトム2色組＞KPORT在庫  @570</t>
    </r>
    <r>
      <rPr>
        <b/>
        <sz val="14"/>
        <color rgb="FFFF0000"/>
        <rFont val="ＭＳ Ｐゴシック"/>
        <family val="3"/>
        <charset val="128"/>
      </rPr>
      <t xml:space="preserve">  2P\3480(32.8%)→新価格＠780２P￥4590（34.0％）</t>
    </r>
    <rPh sb="17" eb="19">
      <t>ブタケ</t>
    </rPh>
    <rPh sb="23" eb="25">
      <t>ショクグミ</t>
    </rPh>
    <rPh sb="31" eb="33">
      <t>ザイコ</t>
    </rPh>
    <rPh sb="56" eb="59">
      <t>シンカカク</t>
    </rPh>
    <phoneticPr fontId="3"/>
  </si>
  <si>
    <t>KPORTへ</t>
    <phoneticPr fontId="5"/>
  </si>
  <si>
    <t>随時????</t>
    <rPh sb="0" eb="2">
      <t>ズイジ</t>
    </rPh>
    <phoneticPr fontId="5"/>
  </si>
  <si>
    <t>西川合繊への追加？？？？</t>
    <rPh sb="0" eb="4">
      <t>ニシカワゴウセン</t>
    </rPh>
    <rPh sb="6" eb="8">
      <t>ツイカ</t>
    </rPh>
    <phoneticPr fontId="3"/>
  </si>
  <si>
    <t>随時？？？</t>
    <rPh sb="0" eb="2">
      <t>ズイジ</t>
    </rPh>
    <phoneticPr fontId="5"/>
  </si>
  <si>
    <t>KPORTへ????????????????</t>
    <phoneticPr fontId="5"/>
  </si>
  <si>
    <t>????????????</t>
    <phoneticPr fontId="5"/>
  </si>
  <si>
    <r>
      <t>＜No.11007 80スムース7分丈ボトム2色組＞KPORT在庫  @570</t>
    </r>
    <r>
      <rPr>
        <b/>
        <sz val="14"/>
        <color rgb="FFFF0000"/>
        <rFont val="ＭＳ Ｐゴシック"/>
        <family val="3"/>
        <charset val="128"/>
      </rPr>
      <t xml:space="preserve">  2P\3480(32.8%)→新価格＠780 ２P￥4590（34.0％）</t>
    </r>
    <rPh sb="17" eb="19">
      <t>ブタケ</t>
    </rPh>
    <rPh sb="23" eb="25">
      <t>ショクグミ</t>
    </rPh>
    <rPh sb="31" eb="33">
      <t>ザイコ</t>
    </rPh>
    <rPh sb="56" eb="59">
      <t>シンカカク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</si>
</sst>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83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7" fillId="0" borderId="0" xfId="3" applyNumberForma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4" fillId="2" borderId="4" xfId="1" applyFont="1" applyFill="1" applyBorder="1"/>
    <xf numFmtId="0" fontId="14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7" fillId="0" borderId="4" xfId="1" applyFont="1" applyBorder="1" applyAlignment="1">
      <alignment horizontal="center" vertical="center"/>
    </xf>
    <xf numFmtId="0" fontId="18" fillId="0" borderId="7" xfId="1" applyFont="1" applyBorder="1"/>
    <xf numFmtId="0" fontId="18" fillId="0" borderId="4" xfId="1" applyFont="1" applyBorder="1"/>
    <xf numFmtId="0" fontId="18" fillId="2" borderId="3" xfId="1" applyFont="1" applyFill="1" applyBorder="1"/>
    <xf numFmtId="56" fontId="7" fillId="0" borderId="0" xfId="0" applyNumberFormat="1" applyFont="1">
      <alignment vertical="center"/>
    </xf>
    <xf numFmtId="0" fontId="18" fillId="0" borderId="3" xfId="1" applyFont="1" applyBorder="1" applyAlignment="1">
      <alignment horizontal="center" vertical="center"/>
    </xf>
    <xf numFmtId="0" fontId="18" fillId="0" borderId="6" xfId="1" applyFont="1" applyBorder="1"/>
    <xf numFmtId="0" fontId="18" fillId="2" borderId="4" xfId="1" applyFont="1" applyFill="1" applyBorder="1"/>
    <xf numFmtId="56" fontId="11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56" fontId="7" fillId="0" borderId="0" xfId="0" applyNumberFormat="1" applyFont="1" applyAlignment="1">
      <alignment horizontal="left" vertical="center"/>
    </xf>
    <xf numFmtId="56" fontId="11" fillId="0" borderId="0" xfId="3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0" fillId="0" borderId="6" xfId="1" applyFont="1" applyBorder="1"/>
    <xf numFmtId="0" fontId="10" fillId="0" borderId="4" xfId="1" applyFont="1" applyBorder="1"/>
    <xf numFmtId="0" fontId="10" fillId="0" borderId="7" xfId="1" applyFont="1" applyBorder="1"/>
    <xf numFmtId="0" fontId="10" fillId="2" borderId="4" xfId="1" applyFont="1" applyFill="1" applyBorder="1"/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0" fontId="8" fillId="0" borderId="0" xfId="0" applyFont="1" applyAlignment="1">
      <alignment horizontal="left" vertical="center"/>
    </xf>
    <xf numFmtId="0" fontId="21" fillId="0" borderId="0" xfId="1" applyFont="1"/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15" fillId="5" borderId="0" xfId="0" applyFont="1" applyFill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9"/>
  <sheetViews>
    <sheetView tabSelected="1" topLeftCell="K255" zoomScaleNormal="100" workbookViewId="0">
      <selection activeCell="K260" sqref="K260"/>
    </sheetView>
  </sheetViews>
  <sheetFormatPr defaultRowHeight="13.5" x14ac:dyDescent="0.15"/>
  <cols>
    <col min="1" max="1" width="29" customWidth="1"/>
    <col min="2" max="9" width="7.75" customWidth="1"/>
    <col min="10" max="10" width="9.25" bestFit="1" customWidth="1"/>
    <col min="11" max="11" width="48.375" customWidth="1"/>
    <col min="12" max="19" width="7.75" customWidth="1"/>
    <col min="20" max="20" width="13.625" style="61" customWidth="1"/>
    <col min="21" max="21" width="27.5" customWidth="1"/>
  </cols>
  <sheetData>
    <row r="1" spans="1:21" ht="19.5" thickBot="1" x14ac:dyDescent="0.25">
      <c r="A1" s="2" t="s">
        <v>20</v>
      </c>
      <c r="B1" s="3"/>
      <c r="C1" s="3"/>
      <c r="D1" s="3"/>
      <c r="E1" s="3"/>
      <c r="G1" s="1"/>
      <c r="H1" s="41">
        <v>570</v>
      </c>
      <c r="I1" s="1"/>
      <c r="J1" s="1"/>
      <c r="K1" s="2" t="s">
        <v>108</v>
      </c>
      <c r="L1" s="3"/>
      <c r="M1" s="3"/>
      <c r="N1" s="3"/>
      <c r="O1" s="3"/>
      <c r="P1" s="1"/>
      <c r="Q1" s="1"/>
      <c r="R1" s="41">
        <v>570</v>
      </c>
      <c r="S1" s="1"/>
    </row>
    <row r="2" spans="1:21" ht="14.25" thickBot="1" x14ac:dyDescent="0.2">
      <c r="A2" s="4" t="s">
        <v>0</v>
      </c>
      <c r="B2" s="80" t="s">
        <v>14</v>
      </c>
      <c r="C2" s="80"/>
      <c r="D2" s="80"/>
      <c r="E2" s="81"/>
      <c r="F2" s="78" t="s">
        <v>16</v>
      </c>
      <c r="G2" s="78"/>
      <c r="H2" s="78"/>
      <c r="I2" s="79"/>
      <c r="J2" s="1"/>
      <c r="K2" s="4" t="s">
        <v>0</v>
      </c>
      <c r="L2" s="80" t="s">
        <v>12</v>
      </c>
      <c r="M2" s="80"/>
      <c r="N2" s="80"/>
      <c r="O2" s="81"/>
      <c r="P2" s="78" t="s">
        <v>16</v>
      </c>
      <c r="Q2" s="78"/>
      <c r="R2" s="78"/>
      <c r="S2" s="79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3</v>
      </c>
      <c r="B4" s="20">
        <v>5</v>
      </c>
      <c r="C4" s="14">
        <v>5</v>
      </c>
      <c r="D4" s="20">
        <v>5</v>
      </c>
      <c r="E4" s="7">
        <f t="shared" ref="E4:E5" si="0">SUM(B4:D4)</f>
        <v>15</v>
      </c>
      <c r="F4" s="20">
        <v>5</v>
      </c>
      <c r="G4" s="14">
        <v>5</v>
      </c>
      <c r="H4" s="20">
        <v>5</v>
      </c>
      <c r="I4" s="7">
        <f t="shared" ref="I4:I5" si="1">SUM(F4:H4)</f>
        <v>15</v>
      </c>
      <c r="J4" s="30">
        <v>45713</v>
      </c>
      <c r="K4" s="8" t="s">
        <v>17</v>
      </c>
      <c r="L4" s="20">
        <v>60</v>
      </c>
      <c r="M4" s="14">
        <v>80</v>
      </c>
      <c r="N4" s="20">
        <v>60</v>
      </c>
      <c r="O4" s="7">
        <f t="shared" ref="O4" si="2">SUM(L4:N4)</f>
        <v>200</v>
      </c>
      <c r="P4" s="20">
        <v>60</v>
      </c>
      <c r="Q4" s="14">
        <v>80</v>
      </c>
      <c r="R4" s="20">
        <v>60</v>
      </c>
      <c r="S4" s="7">
        <f t="shared" ref="S4" si="3">SUM(P4:R4)</f>
        <v>200</v>
      </c>
      <c r="T4" s="64" t="s">
        <v>26</v>
      </c>
    </row>
    <row r="5" spans="1:21" x14ac:dyDescent="0.15">
      <c r="A5" s="8" t="s">
        <v>3</v>
      </c>
      <c r="B5" s="20"/>
      <c r="C5" s="14"/>
      <c r="D5" s="20"/>
      <c r="E5" s="7">
        <f t="shared" si="0"/>
        <v>0</v>
      </c>
      <c r="F5" s="20"/>
      <c r="G5" s="14"/>
      <c r="H5" s="20"/>
      <c r="I5" s="7">
        <f t="shared" si="1"/>
        <v>0</v>
      </c>
      <c r="J5" s="30"/>
      <c r="K5" s="8" t="s">
        <v>3</v>
      </c>
      <c r="L5" s="20"/>
      <c r="M5" s="14"/>
      <c r="N5" s="20"/>
      <c r="O5" s="7">
        <f t="shared" ref="O5:O32" si="4">SUM(L5:N5)</f>
        <v>0</v>
      </c>
      <c r="P5" s="20"/>
      <c r="Q5" s="14"/>
      <c r="R5" s="20"/>
      <c r="S5" s="7">
        <f t="shared" ref="S5:S32" si="5">SUM(P5:R5)</f>
        <v>0</v>
      </c>
      <c r="T5" s="64"/>
    </row>
    <row r="6" spans="1:21" x14ac:dyDescent="0.15">
      <c r="A6" s="8" t="s">
        <v>3</v>
      </c>
      <c r="B6" s="20"/>
      <c r="C6" s="14"/>
      <c r="D6" s="20"/>
      <c r="E6" s="7">
        <f t="shared" ref="E6:E40" si="6">SUM(B6:D6)</f>
        <v>0</v>
      </c>
      <c r="F6" s="20"/>
      <c r="G6" s="14"/>
      <c r="H6" s="20"/>
      <c r="I6" s="7">
        <f t="shared" ref="I6:I40" si="7">SUM(F6:H6)</f>
        <v>0</v>
      </c>
      <c r="J6" s="30"/>
      <c r="K6" s="8" t="s">
        <v>3</v>
      </c>
      <c r="L6" s="20"/>
      <c r="M6" s="14"/>
      <c r="N6" s="20"/>
      <c r="O6" s="7">
        <f t="shared" ref="O6:O8" si="8">SUM(L6:N6)</f>
        <v>0</v>
      </c>
      <c r="P6" s="20"/>
      <c r="Q6" s="14"/>
      <c r="R6" s="20"/>
      <c r="S6" s="7">
        <f t="shared" ref="S6:S8" si="9">SUM(P6:R6)</f>
        <v>0</v>
      </c>
      <c r="U6" s="33"/>
    </row>
    <row r="7" spans="1:21" x14ac:dyDescent="0.15">
      <c r="A7" s="8" t="s">
        <v>3</v>
      </c>
      <c r="B7" s="20"/>
      <c r="C7" s="14"/>
      <c r="D7" s="20"/>
      <c r="E7" s="7">
        <f t="shared" si="6"/>
        <v>0</v>
      </c>
      <c r="F7" s="20"/>
      <c r="G7" s="14"/>
      <c r="H7" s="20"/>
      <c r="I7" s="7">
        <f t="shared" si="7"/>
        <v>0</v>
      </c>
      <c r="J7" s="30"/>
      <c r="K7" s="8" t="s">
        <v>3</v>
      </c>
      <c r="L7" s="20"/>
      <c r="M7" s="14"/>
      <c r="N7" s="20"/>
      <c r="O7" s="7">
        <f t="shared" si="8"/>
        <v>0</v>
      </c>
      <c r="P7" s="20"/>
      <c r="Q7" s="14"/>
      <c r="R7" s="20"/>
      <c r="S7" s="7">
        <f t="shared" si="9"/>
        <v>0</v>
      </c>
    </row>
    <row r="8" spans="1:21" x14ac:dyDescent="0.15">
      <c r="A8" s="8" t="s">
        <v>3</v>
      </c>
      <c r="B8" s="20"/>
      <c r="C8" s="14"/>
      <c r="D8" s="20"/>
      <c r="E8" s="7">
        <f t="shared" si="6"/>
        <v>0</v>
      </c>
      <c r="F8" s="20"/>
      <c r="G8" s="14"/>
      <c r="H8" s="20"/>
      <c r="I8" s="7">
        <f t="shared" si="7"/>
        <v>0</v>
      </c>
      <c r="J8" s="30"/>
      <c r="K8" s="8" t="s">
        <v>3</v>
      </c>
      <c r="L8" s="20"/>
      <c r="M8" s="14"/>
      <c r="N8" s="20"/>
      <c r="O8" s="7">
        <f t="shared" si="8"/>
        <v>0</v>
      </c>
      <c r="P8" s="20"/>
      <c r="Q8" s="14"/>
      <c r="R8" s="20"/>
      <c r="S8" s="7">
        <f t="shared" si="9"/>
        <v>0</v>
      </c>
    </row>
    <row r="9" spans="1:21" x14ac:dyDescent="0.15">
      <c r="A9" s="8" t="s">
        <v>3</v>
      </c>
      <c r="B9" s="20"/>
      <c r="C9" s="14"/>
      <c r="D9" s="20"/>
      <c r="E9" s="7">
        <f t="shared" si="6"/>
        <v>0</v>
      </c>
      <c r="F9" s="20"/>
      <c r="G9" s="14"/>
      <c r="H9" s="20"/>
      <c r="I9" s="7">
        <f t="shared" si="7"/>
        <v>0</v>
      </c>
      <c r="J9" s="30"/>
      <c r="K9" s="8" t="s">
        <v>3</v>
      </c>
      <c r="L9" s="20"/>
      <c r="M9" s="14"/>
      <c r="N9" s="20"/>
      <c r="O9" s="7">
        <f t="shared" si="4"/>
        <v>0</v>
      </c>
      <c r="P9" s="20"/>
      <c r="Q9" s="14"/>
      <c r="R9" s="20"/>
      <c r="S9" s="7">
        <f t="shared" si="5"/>
        <v>0</v>
      </c>
    </row>
    <row r="10" spans="1:21" x14ac:dyDescent="0.15">
      <c r="A10" s="8" t="s">
        <v>3</v>
      </c>
      <c r="B10" s="20"/>
      <c r="C10" s="14"/>
      <c r="D10" s="20"/>
      <c r="E10" s="7">
        <f t="shared" si="6"/>
        <v>0</v>
      </c>
      <c r="F10" s="20"/>
      <c r="G10" s="14"/>
      <c r="H10" s="20"/>
      <c r="I10" s="7">
        <f t="shared" si="7"/>
        <v>0</v>
      </c>
      <c r="J10" s="30"/>
      <c r="K10" s="8" t="s">
        <v>3</v>
      </c>
      <c r="L10" s="13"/>
      <c r="M10" s="12"/>
      <c r="N10" s="13"/>
      <c r="O10" s="7">
        <f t="shared" ref="O10" si="10">SUM(L10:N10)</f>
        <v>0</v>
      </c>
      <c r="P10" s="13"/>
      <c r="Q10" s="12"/>
      <c r="R10" s="13"/>
      <c r="S10" s="7">
        <f t="shared" ref="S10" si="11">SUM(P10:R10)</f>
        <v>0</v>
      </c>
    </row>
    <row r="11" spans="1:21" x14ac:dyDescent="0.15">
      <c r="A11" s="8" t="s">
        <v>3</v>
      </c>
      <c r="B11" s="13"/>
      <c r="C11" s="12"/>
      <c r="D11" s="13"/>
      <c r="E11" s="7">
        <f t="shared" si="6"/>
        <v>0</v>
      </c>
      <c r="F11" s="13"/>
      <c r="G11" s="12"/>
      <c r="H11" s="13"/>
      <c r="I11" s="7">
        <f t="shared" si="7"/>
        <v>0</v>
      </c>
      <c r="J11" s="30"/>
      <c r="K11" s="8" t="s">
        <v>3</v>
      </c>
      <c r="L11" s="13"/>
      <c r="M11" s="12"/>
      <c r="N11" s="13"/>
      <c r="O11" s="7">
        <f t="shared" si="4"/>
        <v>0</v>
      </c>
      <c r="P11" s="13"/>
      <c r="Q11" s="12"/>
      <c r="R11" s="13"/>
      <c r="S11" s="7">
        <f t="shared" si="5"/>
        <v>0</v>
      </c>
    </row>
    <row r="12" spans="1:21" x14ac:dyDescent="0.15">
      <c r="A12" s="8" t="s">
        <v>13</v>
      </c>
      <c r="B12" s="13"/>
      <c r="C12" s="12"/>
      <c r="D12" s="13"/>
      <c r="E12" s="7">
        <f t="shared" si="6"/>
        <v>0</v>
      </c>
      <c r="F12" s="13"/>
      <c r="G12" s="12"/>
      <c r="H12" s="13"/>
      <c r="I12" s="7">
        <f t="shared" si="7"/>
        <v>0</v>
      </c>
      <c r="J12" s="31"/>
      <c r="K12" s="8" t="s">
        <v>3</v>
      </c>
      <c r="L12" s="13"/>
      <c r="M12" s="12"/>
      <c r="N12" s="13"/>
      <c r="O12" s="7">
        <f t="shared" si="4"/>
        <v>0</v>
      </c>
      <c r="P12" s="13"/>
      <c r="Q12" s="12"/>
      <c r="R12" s="13"/>
      <c r="S12" s="7">
        <f t="shared" si="5"/>
        <v>0</v>
      </c>
    </row>
    <row r="13" spans="1:21" x14ac:dyDescent="0.15">
      <c r="A13" s="8" t="s">
        <v>3</v>
      </c>
      <c r="B13" s="13"/>
      <c r="C13" s="12"/>
      <c r="D13" s="13"/>
      <c r="E13" s="7">
        <f t="shared" si="6"/>
        <v>0</v>
      </c>
      <c r="F13" s="13"/>
      <c r="G13" s="12"/>
      <c r="H13" s="13"/>
      <c r="I13" s="7">
        <f t="shared" si="7"/>
        <v>0</v>
      </c>
      <c r="J13" s="1"/>
      <c r="K13" s="8" t="s">
        <v>3</v>
      </c>
      <c r="L13" s="13"/>
      <c r="M13" s="12"/>
      <c r="N13" s="13"/>
      <c r="O13" s="7">
        <f t="shared" si="4"/>
        <v>0</v>
      </c>
      <c r="P13" s="13"/>
      <c r="Q13" s="12"/>
      <c r="R13" s="13"/>
      <c r="S13" s="7">
        <f t="shared" si="5"/>
        <v>0</v>
      </c>
    </row>
    <row r="14" spans="1:21" ht="14.25" thickBot="1" x14ac:dyDescent="0.2">
      <c r="A14" s="9" t="s">
        <v>3</v>
      </c>
      <c r="B14" s="17"/>
      <c r="C14" s="16"/>
      <c r="D14" s="17"/>
      <c r="E14" s="23">
        <f t="shared" si="6"/>
        <v>0</v>
      </c>
      <c r="F14" s="17"/>
      <c r="G14" s="16"/>
      <c r="H14" s="17"/>
      <c r="I14" s="23">
        <f t="shared" si="7"/>
        <v>0</v>
      </c>
      <c r="J14" s="1"/>
      <c r="K14" s="9" t="s">
        <v>3</v>
      </c>
      <c r="L14" s="17"/>
      <c r="M14" s="16"/>
      <c r="N14" s="17"/>
      <c r="O14" s="23">
        <f t="shared" si="4"/>
        <v>0</v>
      </c>
      <c r="P14" s="17"/>
      <c r="Q14" s="16"/>
      <c r="R14" s="17"/>
      <c r="S14" s="23">
        <f t="shared" si="5"/>
        <v>0</v>
      </c>
    </row>
    <row r="15" spans="1:21" ht="14.25" thickBot="1" x14ac:dyDescent="0.2">
      <c r="A15" s="24" t="s">
        <v>4</v>
      </c>
      <c r="B15" s="25">
        <f>SUM(B4:B14)</f>
        <v>5</v>
      </c>
      <c r="C15" s="25">
        <f>SUM(C4:C14)</f>
        <v>5</v>
      </c>
      <c r="D15" s="26">
        <f>SUM(D4:D14)</f>
        <v>5</v>
      </c>
      <c r="E15" s="27">
        <f t="shared" si="6"/>
        <v>15</v>
      </c>
      <c r="F15" s="25">
        <f>SUM(F4:F14)</f>
        <v>5</v>
      </c>
      <c r="G15" s="25">
        <f>SUM(G4:G14)</f>
        <v>5</v>
      </c>
      <c r="H15" s="26">
        <f>SUM(H4:H14)</f>
        <v>5</v>
      </c>
      <c r="I15" s="27">
        <f t="shared" si="7"/>
        <v>15</v>
      </c>
      <c r="J15" s="1"/>
      <c r="K15" s="24" t="s">
        <v>4</v>
      </c>
      <c r="L15" s="25">
        <f>SUM(L4:L14)</f>
        <v>60</v>
      </c>
      <c r="M15" s="25">
        <f t="shared" ref="M15" si="12">SUM(M4:M14)</f>
        <v>80</v>
      </c>
      <c r="N15" s="26">
        <f t="shared" ref="N15" si="13">SUM(N4:N14)</f>
        <v>60</v>
      </c>
      <c r="O15" s="27">
        <f t="shared" ref="O15" si="14">SUM(O4:O14)</f>
        <v>200</v>
      </c>
      <c r="P15" s="25">
        <f t="shared" ref="P15" si="15">SUM(P4:P14)</f>
        <v>60</v>
      </c>
      <c r="Q15" s="25">
        <f t="shared" ref="Q15" si="16">SUM(Q4:Q14)</f>
        <v>80</v>
      </c>
      <c r="R15" s="26">
        <f t="shared" ref="R15" si="17">SUM(R4:R14)</f>
        <v>60</v>
      </c>
      <c r="S15" s="27">
        <f t="shared" ref="S15" si="18">SUM(S4:S14)</f>
        <v>200</v>
      </c>
    </row>
    <row r="16" spans="1:21" x14ac:dyDescent="0.15">
      <c r="A16" s="6" t="s">
        <v>31</v>
      </c>
      <c r="B16" s="11">
        <v>1</v>
      </c>
      <c r="C16" s="12"/>
      <c r="D16" s="13"/>
      <c r="E16" s="7">
        <f t="shared" ref="E16" si="19">SUM(B16:D16)</f>
        <v>1</v>
      </c>
      <c r="F16" s="11">
        <v>1</v>
      </c>
      <c r="G16" s="12"/>
      <c r="H16" s="13"/>
      <c r="I16" s="7">
        <f t="shared" ref="I16" si="20">SUM(F16:H16)</f>
        <v>1</v>
      </c>
      <c r="J16" s="30">
        <v>45729</v>
      </c>
      <c r="K16" s="14" t="s">
        <v>23</v>
      </c>
      <c r="L16" s="11">
        <v>5</v>
      </c>
      <c r="M16" s="12">
        <v>5</v>
      </c>
      <c r="N16" s="13">
        <v>5</v>
      </c>
      <c r="O16" s="7">
        <f t="shared" ref="O16" si="21">SUM(L16:N16)</f>
        <v>15</v>
      </c>
      <c r="P16" s="11">
        <v>5</v>
      </c>
      <c r="Q16" s="12">
        <v>5</v>
      </c>
      <c r="R16" s="13">
        <v>5</v>
      </c>
      <c r="S16" s="7">
        <f t="shared" ref="S16" si="22">SUM(P16:R16)</f>
        <v>15</v>
      </c>
      <c r="T16" s="59">
        <v>45712</v>
      </c>
      <c r="U16" s="33"/>
    </row>
    <row r="17" spans="1:21" x14ac:dyDescent="0.15">
      <c r="A17" s="6"/>
      <c r="B17" s="11"/>
      <c r="C17" s="12"/>
      <c r="D17" s="13"/>
      <c r="E17" s="7">
        <f t="shared" si="6"/>
        <v>0</v>
      </c>
      <c r="F17" s="11"/>
      <c r="G17" s="12"/>
      <c r="H17" s="13"/>
      <c r="I17" s="7">
        <f t="shared" si="7"/>
        <v>0</v>
      </c>
      <c r="J17" s="30"/>
      <c r="K17" s="6" t="s">
        <v>24</v>
      </c>
      <c r="L17" s="11">
        <v>5</v>
      </c>
      <c r="M17" s="12">
        <v>5</v>
      </c>
      <c r="N17" s="13">
        <v>5</v>
      </c>
      <c r="O17" s="7">
        <f t="shared" si="4"/>
        <v>15</v>
      </c>
      <c r="P17" s="11">
        <v>5</v>
      </c>
      <c r="Q17" s="12">
        <v>5</v>
      </c>
      <c r="R17" s="13">
        <v>5</v>
      </c>
      <c r="S17" s="7">
        <f t="shared" si="5"/>
        <v>15</v>
      </c>
      <c r="T17" s="59">
        <v>45713</v>
      </c>
      <c r="U17" s="33"/>
    </row>
    <row r="18" spans="1:21" x14ac:dyDescent="0.15">
      <c r="A18" s="6"/>
      <c r="B18" s="11"/>
      <c r="C18" s="12"/>
      <c r="D18" s="13"/>
      <c r="E18" s="7">
        <f t="shared" si="6"/>
        <v>0</v>
      </c>
      <c r="F18" s="11"/>
      <c r="G18" s="12"/>
      <c r="H18" s="13"/>
      <c r="I18" s="7">
        <f t="shared" si="7"/>
        <v>0</v>
      </c>
      <c r="J18" s="30"/>
      <c r="K18" s="14" t="s">
        <v>28</v>
      </c>
      <c r="L18" s="11">
        <v>15</v>
      </c>
      <c r="M18" s="12">
        <v>20</v>
      </c>
      <c r="N18" s="13">
        <v>5</v>
      </c>
      <c r="O18" s="7">
        <f t="shared" si="4"/>
        <v>40</v>
      </c>
      <c r="P18" s="11">
        <v>15</v>
      </c>
      <c r="Q18" s="12">
        <v>20</v>
      </c>
      <c r="R18" s="13">
        <v>5</v>
      </c>
      <c r="S18" s="7">
        <f t="shared" si="5"/>
        <v>40</v>
      </c>
      <c r="T18" s="59">
        <v>45726</v>
      </c>
      <c r="U18" s="33"/>
    </row>
    <row r="19" spans="1:21" x14ac:dyDescent="0.15">
      <c r="A19" s="6"/>
      <c r="B19" s="11"/>
      <c r="C19" s="12"/>
      <c r="D19" s="13"/>
      <c r="E19" s="7">
        <f t="shared" si="6"/>
        <v>0</v>
      </c>
      <c r="F19" s="11"/>
      <c r="G19" s="12"/>
      <c r="H19" s="13"/>
      <c r="I19" s="7">
        <f t="shared" si="7"/>
        <v>0</v>
      </c>
      <c r="J19" s="30"/>
      <c r="K19" s="14" t="s">
        <v>29</v>
      </c>
      <c r="L19" s="11">
        <v>5</v>
      </c>
      <c r="M19" s="12"/>
      <c r="N19" s="13">
        <v>10</v>
      </c>
      <c r="O19" s="7">
        <f t="shared" si="4"/>
        <v>15</v>
      </c>
      <c r="P19" s="11">
        <v>5</v>
      </c>
      <c r="Q19" s="12"/>
      <c r="R19" s="13">
        <v>10</v>
      </c>
      <c r="S19" s="7">
        <f t="shared" si="5"/>
        <v>15</v>
      </c>
      <c r="T19" s="59">
        <v>45727</v>
      </c>
      <c r="U19" s="33"/>
    </row>
    <row r="20" spans="1:21" x14ac:dyDescent="0.15">
      <c r="A20" s="6"/>
      <c r="B20" s="11"/>
      <c r="C20" s="12"/>
      <c r="D20" s="13"/>
      <c r="E20" s="7">
        <f t="shared" si="6"/>
        <v>0</v>
      </c>
      <c r="F20" s="11"/>
      <c r="G20" s="12"/>
      <c r="H20" s="13"/>
      <c r="I20" s="7">
        <f t="shared" si="7"/>
        <v>0</v>
      </c>
      <c r="J20" s="30"/>
      <c r="K20" s="6"/>
      <c r="L20" s="11"/>
      <c r="M20" s="12"/>
      <c r="N20" s="13"/>
      <c r="O20" s="7">
        <f t="shared" si="4"/>
        <v>0</v>
      </c>
      <c r="P20" s="11"/>
      <c r="Q20" s="12"/>
      <c r="R20" s="13"/>
      <c r="S20" s="7">
        <f t="shared" si="5"/>
        <v>0</v>
      </c>
      <c r="T20" s="59"/>
      <c r="U20" s="33"/>
    </row>
    <row r="21" spans="1:21" x14ac:dyDescent="0.15">
      <c r="A21" s="6"/>
      <c r="B21" s="11"/>
      <c r="C21" s="12"/>
      <c r="D21" s="13"/>
      <c r="E21" s="10">
        <f t="shared" si="6"/>
        <v>0</v>
      </c>
      <c r="F21" s="11"/>
      <c r="G21" s="12"/>
      <c r="H21" s="13"/>
      <c r="I21" s="10">
        <f t="shared" si="7"/>
        <v>0</v>
      </c>
      <c r="J21" s="30"/>
      <c r="K21" s="6"/>
      <c r="L21" s="11"/>
      <c r="M21" s="12"/>
      <c r="N21" s="13"/>
      <c r="O21" s="10">
        <f t="shared" si="4"/>
        <v>0</v>
      </c>
      <c r="P21" s="11"/>
      <c r="Q21" s="12"/>
      <c r="R21" s="13"/>
      <c r="S21" s="10">
        <f t="shared" si="5"/>
        <v>0</v>
      </c>
      <c r="T21" s="59"/>
      <c r="U21" s="33"/>
    </row>
    <row r="22" spans="1:21" x14ac:dyDescent="0.15">
      <c r="A22" s="6"/>
      <c r="B22" s="11"/>
      <c r="C22" s="12"/>
      <c r="D22" s="13"/>
      <c r="E22" s="10">
        <f t="shared" si="6"/>
        <v>0</v>
      </c>
      <c r="F22" s="11"/>
      <c r="G22" s="12"/>
      <c r="H22" s="13"/>
      <c r="I22" s="10">
        <f t="shared" si="7"/>
        <v>0</v>
      </c>
      <c r="J22" s="30"/>
      <c r="K22" s="6"/>
      <c r="L22" s="11"/>
      <c r="M22" s="12"/>
      <c r="N22" s="13"/>
      <c r="O22" s="10">
        <f t="shared" si="4"/>
        <v>0</v>
      </c>
      <c r="P22" s="11"/>
      <c r="Q22" s="12"/>
      <c r="R22" s="13"/>
      <c r="S22" s="10">
        <f t="shared" si="5"/>
        <v>0</v>
      </c>
      <c r="T22" s="59"/>
      <c r="U22" s="33"/>
    </row>
    <row r="23" spans="1:21" x14ac:dyDescent="0.15">
      <c r="A23" s="6"/>
      <c r="B23" s="11"/>
      <c r="C23" s="12"/>
      <c r="D23" s="13"/>
      <c r="E23" s="10">
        <f t="shared" si="6"/>
        <v>0</v>
      </c>
      <c r="F23" s="11"/>
      <c r="G23" s="12"/>
      <c r="H23" s="13"/>
      <c r="I23" s="10">
        <f t="shared" si="7"/>
        <v>0</v>
      </c>
      <c r="J23" s="30"/>
      <c r="K23" s="6"/>
      <c r="L23" s="11"/>
      <c r="M23" s="12"/>
      <c r="N23" s="13"/>
      <c r="O23" s="10">
        <f t="shared" si="4"/>
        <v>0</v>
      </c>
      <c r="P23" s="11"/>
      <c r="Q23" s="12"/>
      <c r="R23" s="13"/>
      <c r="S23" s="10">
        <f t="shared" si="5"/>
        <v>0</v>
      </c>
      <c r="T23" s="59"/>
      <c r="U23" s="33"/>
    </row>
    <row r="24" spans="1:21" x14ac:dyDescent="0.15">
      <c r="A24" s="6"/>
      <c r="B24" s="11"/>
      <c r="C24" s="12"/>
      <c r="D24" s="13"/>
      <c r="E24" s="10">
        <f t="shared" si="6"/>
        <v>0</v>
      </c>
      <c r="F24" s="11"/>
      <c r="G24" s="12"/>
      <c r="H24" s="13"/>
      <c r="I24" s="10">
        <f t="shared" si="7"/>
        <v>0</v>
      </c>
      <c r="J24" s="30"/>
      <c r="K24" s="6"/>
      <c r="L24" s="11"/>
      <c r="M24" s="12"/>
      <c r="N24" s="13"/>
      <c r="O24" s="10">
        <f t="shared" si="4"/>
        <v>0</v>
      </c>
      <c r="P24" s="11"/>
      <c r="Q24" s="12"/>
      <c r="R24" s="13"/>
      <c r="S24" s="10">
        <f t="shared" si="5"/>
        <v>0</v>
      </c>
    </row>
    <row r="25" spans="1:21" x14ac:dyDescent="0.15">
      <c r="A25" s="6"/>
      <c r="B25" s="11"/>
      <c r="C25" s="12"/>
      <c r="D25" s="13"/>
      <c r="E25" s="10">
        <f t="shared" si="6"/>
        <v>0</v>
      </c>
      <c r="F25" s="11"/>
      <c r="G25" s="12"/>
      <c r="H25" s="13"/>
      <c r="I25" s="10">
        <f t="shared" si="7"/>
        <v>0</v>
      </c>
      <c r="J25" s="30"/>
      <c r="K25" s="6"/>
      <c r="L25" s="11"/>
      <c r="M25" s="12"/>
      <c r="N25" s="13"/>
      <c r="O25" s="10">
        <f t="shared" si="4"/>
        <v>0</v>
      </c>
      <c r="P25" s="11"/>
      <c r="Q25" s="12"/>
      <c r="R25" s="13"/>
      <c r="S25" s="10">
        <f t="shared" si="5"/>
        <v>0</v>
      </c>
    </row>
    <row r="26" spans="1:21" x14ac:dyDescent="0.15">
      <c r="A26" s="6"/>
      <c r="B26" s="11"/>
      <c r="C26" s="12"/>
      <c r="D26" s="13"/>
      <c r="E26" s="10">
        <f t="shared" si="6"/>
        <v>0</v>
      </c>
      <c r="F26" s="11"/>
      <c r="G26" s="12"/>
      <c r="H26" s="13"/>
      <c r="I26" s="10">
        <f t="shared" si="7"/>
        <v>0</v>
      </c>
      <c r="J26" s="30"/>
      <c r="K26" s="6"/>
      <c r="L26" s="11"/>
      <c r="M26" s="12"/>
      <c r="N26" s="13"/>
      <c r="O26" s="10">
        <f t="shared" si="4"/>
        <v>0</v>
      </c>
      <c r="P26" s="11"/>
      <c r="Q26" s="12"/>
      <c r="R26" s="13"/>
      <c r="S26" s="10">
        <f t="shared" si="5"/>
        <v>0</v>
      </c>
    </row>
    <row r="27" spans="1:21" x14ac:dyDescent="0.15">
      <c r="A27" s="6"/>
      <c r="B27" s="11"/>
      <c r="C27" s="12"/>
      <c r="D27" s="13"/>
      <c r="E27" s="10">
        <f t="shared" si="6"/>
        <v>0</v>
      </c>
      <c r="F27" s="11"/>
      <c r="G27" s="12"/>
      <c r="H27" s="13"/>
      <c r="I27" s="10">
        <f t="shared" si="7"/>
        <v>0</v>
      </c>
      <c r="J27" s="30"/>
      <c r="K27" s="6"/>
      <c r="L27" s="11"/>
      <c r="M27" s="12"/>
      <c r="N27" s="13"/>
      <c r="O27" s="10">
        <f t="shared" si="4"/>
        <v>0</v>
      </c>
      <c r="P27" s="11"/>
      <c r="Q27" s="12"/>
      <c r="R27" s="13"/>
      <c r="S27" s="10">
        <f t="shared" si="5"/>
        <v>0</v>
      </c>
    </row>
    <row r="28" spans="1:21" x14ac:dyDescent="0.15">
      <c r="A28" s="6"/>
      <c r="B28" s="11"/>
      <c r="C28" s="12"/>
      <c r="D28" s="13"/>
      <c r="E28" s="10">
        <f t="shared" si="6"/>
        <v>0</v>
      </c>
      <c r="F28" s="11"/>
      <c r="G28" s="12"/>
      <c r="H28" s="13"/>
      <c r="I28" s="10">
        <f t="shared" si="7"/>
        <v>0</v>
      </c>
      <c r="J28" s="30"/>
      <c r="K28" s="6"/>
      <c r="L28" s="11"/>
      <c r="M28" s="12"/>
      <c r="N28" s="13"/>
      <c r="O28" s="10">
        <f t="shared" si="4"/>
        <v>0</v>
      </c>
      <c r="P28" s="11"/>
      <c r="Q28" s="12"/>
      <c r="R28" s="13"/>
      <c r="S28" s="10">
        <f t="shared" si="5"/>
        <v>0</v>
      </c>
    </row>
    <row r="29" spans="1:21" x14ac:dyDescent="0.15">
      <c r="A29" s="14"/>
      <c r="B29" s="11"/>
      <c r="C29" s="12"/>
      <c r="D29" s="13"/>
      <c r="E29" s="10">
        <f t="shared" si="6"/>
        <v>0</v>
      </c>
      <c r="F29" s="11"/>
      <c r="G29" s="12"/>
      <c r="H29" s="13"/>
      <c r="I29" s="10">
        <f t="shared" si="7"/>
        <v>0</v>
      </c>
      <c r="J29" s="30"/>
      <c r="K29" s="14"/>
      <c r="L29" s="11"/>
      <c r="M29" s="12"/>
      <c r="N29" s="13"/>
      <c r="O29" s="10">
        <f t="shared" si="4"/>
        <v>0</v>
      </c>
      <c r="P29" s="11"/>
      <c r="Q29" s="12"/>
      <c r="R29" s="13"/>
      <c r="S29" s="10">
        <f t="shared" si="5"/>
        <v>0</v>
      </c>
    </row>
    <row r="30" spans="1:21" x14ac:dyDescent="0.15">
      <c r="A30" s="6"/>
      <c r="B30" s="11"/>
      <c r="C30" s="12"/>
      <c r="D30" s="13"/>
      <c r="E30" s="10">
        <f t="shared" si="6"/>
        <v>0</v>
      </c>
      <c r="F30" s="11"/>
      <c r="G30" s="12"/>
      <c r="H30" s="13"/>
      <c r="I30" s="10">
        <f t="shared" si="7"/>
        <v>0</v>
      </c>
      <c r="J30" s="30"/>
      <c r="K30" s="6"/>
      <c r="L30" s="11"/>
      <c r="M30" s="12"/>
      <c r="N30" s="13"/>
      <c r="O30" s="10">
        <f t="shared" si="4"/>
        <v>0</v>
      </c>
      <c r="P30" s="11"/>
      <c r="Q30" s="12"/>
      <c r="R30" s="13"/>
      <c r="S30" s="10">
        <f t="shared" si="5"/>
        <v>0</v>
      </c>
    </row>
    <row r="31" spans="1:21" x14ac:dyDescent="0.15">
      <c r="A31" s="6"/>
      <c r="B31" s="11"/>
      <c r="C31" s="12"/>
      <c r="D31" s="13"/>
      <c r="E31" s="10">
        <f t="shared" si="6"/>
        <v>0</v>
      </c>
      <c r="F31" s="11"/>
      <c r="G31" s="12"/>
      <c r="H31" s="13"/>
      <c r="I31" s="10">
        <f t="shared" si="7"/>
        <v>0</v>
      </c>
      <c r="J31" s="30"/>
      <c r="K31" s="14"/>
      <c r="L31" s="11"/>
      <c r="M31" s="12"/>
      <c r="N31" s="13"/>
      <c r="O31" s="10">
        <f t="shared" si="4"/>
        <v>0</v>
      </c>
      <c r="P31" s="11"/>
      <c r="Q31" s="12"/>
      <c r="R31" s="13"/>
      <c r="S31" s="10">
        <f t="shared" si="5"/>
        <v>0</v>
      </c>
    </row>
    <row r="32" spans="1:21" x14ac:dyDescent="0.15">
      <c r="A32" s="14"/>
      <c r="B32" s="11"/>
      <c r="C32" s="12"/>
      <c r="D32" s="13"/>
      <c r="E32" s="10">
        <f t="shared" si="6"/>
        <v>0</v>
      </c>
      <c r="F32" s="11"/>
      <c r="G32" s="12"/>
      <c r="H32" s="13"/>
      <c r="I32" s="10">
        <f t="shared" si="7"/>
        <v>0</v>
      </c>
      <c r="J32" s="30"/>
      <c r="K32" s="14"/>
      <c r="L32" s="15"/>
      <c r="M32" s="16"/>
      <c r="N32" s="17"/>
      <c r="O32" s="10">
        <f t="shared" si="4"/>
        <v>0</v>
      </c>
      <c r="P32" s="15"/>
      <c r="Q32" s="16"/>
      <c r="R32" s="17"/>
      <c r="S32" s="10">
        <f t="shared" si="5"/>
        <v>0</v>
      </c>
      <c r="T32" s="62"/>
    </row>
    <row r="33" spans="1:20" x14ac:dyDescent="0.15">
      <c r="A33" s="6"/>
      <c r="B33" s="11"/>
      <c r="C33" s="12"/>
      <c r="D33" s="13"/>
      <c r="E33" s="10">
        <f t="shared" si="6"/>
        <v>0</v>
      </c>
      <c r="F33" s="11"/>
      <c r="G33" s="12"/>
      <c r="H33" s="13"/>
      <c r="I33" s="10">
        <f t="shared" si="7"/>
        <v>0</v>
      </c>
      <c r="J33" s="30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62"/>
    </row>
    <row r="34" spans="1:20" x14ac:dyDescent="0.15">
      <c r="A34" s="34"/>
      <c r="B34" s="11"/>
      <c r="C34" s="12"/>
      <c r="D34" s="13"/>
      <c r="E34" s="10">
        <f t="shared" si="6"/>
        <v>0</v>
      </c>
      <c r="F34" s="11"/>
      <c r="G34" s="12"/>
      <c r="H34" s="13"/>
      <c r="I34" s="10">
        <f t="shared" si="7"/>
        <v>0</v>
      </c>
      <c r="J34" s="31"/>
      <c r="K34" s="14"/>
      <c r="L34" s="15"/>
      <c r="M34" s="16"/>
      <c r="N34" s="17"/>
      <c r="O34" s="10">
        <f>SUM(L34:N34)</f>
        <v>0</v>
      </c>
      <c r="P34" s="15"/>
      <c r="Q34" s="16"/>
      <c r="R34" s="17"/>
      <c r="S34" s="10">
        <f>SUM(P34:R34)</f>
        <v>0</v>
      </c>
      <c r="T34" s="62"/>
    </row>
    <row r="35" spans="1:20" x14ac:dyDescent="0.15">
      <c r="A35" s="14"/>
      <c r="B35" s="11"/>
      <c r="C35" s="12"/>
      <c r="D35" s="13"/>
      <c r="E35" s="10">
        <f t="shared" si="6"/>
        <v>0</v>
      </c>
      <c r="F35" s="11"/>
      <c r="G35" s="12"/>
      <c r="H35" s="13"/>
      <c r="I35" s="10">
        <f t="shared" si="7"/>
        <v>0</v>
      </c>
      <c r="J35" s="30"/>
      <c r="K35" s="14"/>
      <c r="L35" s="15"/>
      <c r="M35" s="16"/>
      <c r="N35" s="17"/>
      <c r="O35" s="10">
        <f t="shared" ref="O35:O37" si="23">SUM(L35:N35)</f>
        <v>0</v>
      </c>
      <c r="P35" s="15"/>
      <c r="Q35" s="16"/>
      <c r="R35" s="17"/>
      <c r="S35" s="10">
        <f t="shared" ref="S35:S37" si="24">SUM(P35:R35)</f>
        <v>0</v>
      </c>
      <c r="T35" s="62"/>
    </row>
    <row r="36" spans="1:20" x14ac:dyDescent="0.15">
      <c r="A36" s="6"/>
      <c r="B36" s="11"/>
      <c r="C36" s="12"/>
      <c r="D36" s="13"/>
      <c r="E36" s="10">
        <f t="shared" si="6"/>
        <v>0</v>
      </c>
      <c r="F36" s="11"/>
      <c r="G36" s="12"/>
      <c r="H36" s="13"/>
      <c r="I36" s="10">
        <f t="shared" si="7"/>
        <v>0</v>
      </c>
      <c r="J36" s="30"/>
      <c r="K36" s="14"/>
      <c r="L36" s="15"/>
      <c r="M36" s="16"/>
      <c r="N36" s="17"/>
      <c r="O36" s="10">
        <f t="shared" si="23"/>
        <v>0</v>
      </c>
      <c r="P36" s="15"/>
      <c r="Q36" s="16"/>
      <c r="R36" s="17"/>
      <c r="S36" s="10">
        <f t="shared" si="24"/>
        <v>0</v>
      </c>
      <c r="T36" s="62"/>
    </row>
    <row r="37" spans="1:20" x14ac:dyDescent="0.15">
      <c r="A37" s="14"/>
      <c r="B37" s="11"/>
      <c r="C37" s="12"/>
      <c r="D37" s="13"/>
      <c r="E37" s="10">
        <f t="shared" si="6"/>
        <v>0</v>
      </c>
      <c r="F37" s="11"/>
      <c r="G37" s="12"/>
      <c r="H37" s="13"/>
      <c r="I37" s="10">
        <f t="shared" si="7"/>
        <v>0</v>
      </c>
      <c r="J37" s="30"/>
      <c r="K37" s="14"/>
      <c r="L37" s="15"/>
      <c r="M37" s="16"/>
      <c r="N37" s="17"/>
      <c r="O37" s="10">
        <f t="shared" si="23"/>
        <v>0</v>
      </c>
      <c r="P37" s="15"/>
      <c r="Q37" s="16"/>
      <c r="R37" s="17"/>
      <c r="S37" s="10">
        <f t="shared" si="24"/>
        <v>0</v>
      </c>
      <c r="T37" s="62"/>
    </row>
    <row r="38" spans="1:20" x14ac:dyDescent="0.15">
      <c r="A38" s="6"/>
      <c r="B38" s="11"/>
      <c r="C38" s="12"/>
      <c r="D38" s="13"/>
      <c r="E38" s="10">
        <f t="shared" si="6"/>
        <v>0</v>
      </c>
      <c r="F38" s="11"/>
      <c r="G38" s="12"/>
      <c r="H38" s="13"/>
      <c r="I38" s="10">
        <f t="shared" si="7"/>
        <v>0</v>
      </c>
      <c r="J38" s="30"/>
      <c r="K38" s="14"/>
      <c r="L38" s="15"/>
      <c r="M38" s="16"/>
      <c r="N38" s="17"/>
      <c r="O38" s="10">
        <f t="shared" ref="O38" si="25">SUM(L38:N38)</f>
        <v>0</v>
      </c>
      <c r="P38" s="15"/>
      <c r="Q38" s="16"/>
      <c r="R38" s="17"/>
      <c r="S38" s="10">
        <f t="shared" ref="S38" si="26">SUM(P38:R38)</f>
        <v>0</v>
      </c>
      <c r="T38" s="62"/>
    </row>
    <row r="39" spans="1:20" ht="14.25" thickBot="1" x14ac:dyDescent="0.2">
      <c r="A39" s="6"/>
      <c r="B39" s="11"/>
      <c r="C39" s="12"/>
      <c r="D39" s="13"/>
      <c r="E39" s="10">
        <f t="shared" si="6"/>
        <v>0</v>
      </c>
      <c r="F39" s="11"/>
      <c r="G39" s="12"/>
      <c r="H39" s="13"/>
      <c r="I39" s="10">
        <f t="shared" si="7"/>
        <v>0</v>
      </c>
      <c r="J39" s="30"/>
      <c r="K39" s="14" t="s">
        <v>22</v>
      </c>
      <c r="L39" s="11"/>
      <c r="M39" s="12"/>
      <c r="N39" s="13"/>
      <c r="O39" s="10">
        <f t="shared" ref="O39" si="27">SUM(L39:N39)</f>
        <v>0</v>
      </c>
      <c r="P39" s="11"/>
      <c r="Q39" s="12"/>
      <c r="R39" s="13"/>
      <c r="S39" s="10">
        <f t="shared" ref="S39" si="28">SUM(P39:R39)</f>
        <v>0</v>
      </c>
      <c r="T39" s="62" t="s">
        <v>21</v>
      </c>
    </row>
    <row r="40" spans="1:20" ht="14.25" thickBot="1" x14ac:dyDescent="0.2">
      <c r="A40" s="5" t="s">
        <v>5</v>
      </c>
      <c r="B40" s="18">
        <f>SUM(B16:B39)</f>
        <v>1</v>
      </c>
      <c r="C40" s="18">
        <f>SUM(C16:C39)</f>
        <v>0</v>
      </c>
      <c r="D40" s="18">
        <f>SUM(D16:D39)</f>
        <v>0</v>
      </c>
      <c r="E40" s="19">
        <f t="shared" si="6"/>
        <v>1</v>
      </c>
      <c r="F40" s="18">
        <f>SUM(F16:F39)</f>
        <v>1</v>
      </c>
      <c r="G40" s="18">
        <f>SUM(G16:G39)</f>
        <v>0</v>
      </c>
      <c r="H40" s="18">
        <f>SUM(H16:H39)</f>
        <v>0</v>
      </c>
      <c r="I40" s="19">
        <f t="shared" si="7"/>
        <v>1</v>
      </c>
      <c r="J40" s="1"/>
      <c r="K40" s="5" t="s">
        <v>5</v>
      </c>
      <c r="L40" s="18">
        <f>SUM(L16:L39)</f>
        <v>30</v>
      </c>
      <c r="M40" s="18">
        <f t="shared" ref="M40" si="29">SUM(M16:M39)</f>
        <v>30</v>
      </c>
      <c r="N40" s="18">
        <f t="shared" ref="N40" si="30">SUM(N16:N39)</f>
        <v>25</v>
      </c>
      <c r="O40" s="19">
        <f t="shared" ref="O40" si="31">SUM(O16:O39)</f>
        <v>85</v>
      </c>
      <c r="P40" s="18">
        <f t="shared" ref="P40" si="32">SUM(P16:P39)</f>
        <v>30</v>
      </c>
      <c r="Q40" s="18">
        <f t="shared" ref="Q40" si="33">SUM(Q16:Q39)</f>
        <v>30</v>
      </c>
      <c r="R40" s="18">
        <f t="shared" ref="R40" si="34">SUM(R16:R39)</f>
        <v>25</v>
      </c>
      <c r="S40" s="19">
        <f t="shared" ref="S40" si="35">SUM(S16:S39)</f>
        <v>85</v>
      </c>
    </row>
    <row r="41" spans="1:20" ht="14.25" thickBot="1" x14ac:dyDescent="0.2">
      <c r="A41" s="28" t="s">
        <v>6</v>
      </c>
      <c r="B41" s="29">
        <f t="shared" ref="B41:I41" si="36">B15-B40</f>
        <v>4</v>
      </c>
      <c r="C41" s="29">
        <f t="shared" si="36"/>
        <v>5</v>
      </c>
      <c r="D41" s="29">
        <f t="shared" si="36"/>
        <v>5</v>
      </c>
      <c r="E41" s="29">
        <f t="shared" si="36"/>
        <v>14</v>
      </c>
      <c r="F41" s="29">
        <f t="shared" si="36"/>
        <v>4</v>
      </c>
      <c r="G41" s="29">
        <f t="shared" si="36"/>
        <v>5</v>
      </c>
      <c r="H41" s="29">
        <f t="shared" si="36"/>
        <v>5</v>
      </c>
      <c r="I41" s="27">
        <f t="shared" si="36"/>
        <v>14</v>
      </c>
      <c r="J41" s="1"/>
      <c r="K41" s="28" t="s">
        <v>6</v>
      </c>
      <c r="L41" s="29">
        <f>L15-L40</f>
        <v>30</v>
      </c>
      <c r="M41" s="29">
        <f t="shared" ref="M41" si="37">M15-M40</f>
        <v>50</v>
      </c>
      <c r="N41" s="29">
        <f t="shared" ref="N41" si="38">N15-N40</f>
        <v>35</v>
      </c>
      <c r="O41" s="29">
        <f t="shared" ref="O41" si="39">O15-O40</f>
        <v>115</v>
      </c>
      <c r="P41" s="29">
        <f t="shared" ref="P41" si="40">P15-P40</f>
        <v>30</v>
      </c>
      <c r="Q41" s="29">
        <f t="shared" ref="Q41" si="41">Q15-Q40</f>
        <v>50</v>
      </c>
      <c r="R41" s="29">
        <f t="shared" ref="R41" si="42">R15-R40</f>
        <v>35</v>
      </c>
      <c r="S41" s="27">
        <f t="shared" ref="S41" si="43">S15-S40</f>
        <v>115</v>
      </c>
    </row>
    <row r="44" spans="1:20" ht="19.5" thickBot="1" x14ac:dyDescent="0.25">
      <c r="A44" s="2" t="s">
        <v>20</v>
      </c>
      <c r="B44" s="3"/>
      <c r="C44" s="3"/>
      <c r="D44" s="3"/>
      <c r="E44" s="3"/>
      <c r="G44" s="1"/>
      <c r="H44" s="41">
        <v>570</v>
      </c>
      <c r="I44" s="1"/>
      <c r="K44" s="2" t="s">
        <v>108</v>
      </c>
      <c r="L44" s="3"/>
      <c r="M44" s="3"/>
      <c r="N44" s="3"/>
      <c r="O44" s="3"/>
      <c r="P44" s="1"/>
      <c r="Q44" s="1"/>
      <c r="R44" s="41">
        <v>570</v>
      </c>
      <c r="S44" s="1"/>
    </row>
    <row r="45" spans="1:20" ht="14.25" thickBot="1" x14ac:dyDescent="0.2">
      <c r="A45" s="4" t="s">
        <v>0</v>
      </c>
      <c r="B45" s="80" t="s">
        <v>12</v>
      </c>
      <c r="C45" s="80"/>
      <c r="D45" s="80"/>
      <c r="E45" s="81"/>
      <c r="F45" s="78" t="s">
        <v>16</v>
      </c>
      <c r="G45" s="78"/>
      <c r="H45" s="78"/>
      <c r="I45" s="79"/>
      <c r="K45" s="4" t="s">
        <v>0</v>
      </c>
      <c r="L45" s="80" t="s">
        <v>12</v>
      </c>
      <c r="M45" s="80"/>
      <c r="N45" s="80"/>
      <c r="O45" s="81"/>
      <c r="P45" s="78" t="s">
        <v>16</v>
      </c>
      <c r="Q45" s="78"/>
      <c r="R45" s="78"/>
      <c r="S45" s="79"/>
    </row>
    <row r="46" spans="1:2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0" x14ac:dyDescent="0.15">
      <c r="A47" s="35" t="s">
        <v>15</v>
      </c>
      <c r="B47" s="38">
        <f>B41</f>
        <v>4</v>
      </c>
      <c r="C47" s="39">
        <f>C41</f>
        <v>5</v>
      </c>
      <c r="D47" s="40">
        <f>D41</f>
        <v>5</v>
      </c>
      <c r="E47" s="21">
        <f>SUM(B47:D47)</f>
        <v>14</v>
      </c>
      <c r="F47" s="38">
        <f>F41</f>
        <v>4</v>
      </c>
      <c r="G47" s="39">
        <f>G41</f>
        <v>5</v>
      </c>
      <c r="H47" s="40">
        <f>H41</f>
        <v>5</v>
      </c>
      <c r="I47" s="21">
        <f>SUM(F47:H47)</f>
        <v>14</v>
      </c>
      <c r="J47" s="37"/>
      <c r="K47" s="35" t="s">
        <v>15</v>
      </c>
      <c r="L47" s="38">
        <f>L41</f>
        <v>30</v>
      </c>
      <c r="M47" s="39">
        <f t="shared" ref="M47:S47" si="44">M41</f>
        <v>50</v>
      </c>
      <c r="N47" s="40">
        <f t="shared" si="44"/>
        <v>35</v>
      </c>
      <c r="O47" s="21">
        <f t="shared" si="44"/>
        <v>115</v>
      </c>
      <c r="P47" s="38">
        <f t="shared" si="44"/>
        <v>30</v>
      </c>
      <c r="Q47" s="39">
        <f t="shared" si="44"/>
        <v>50</v>
      </c>
      <c r="R47" s="40">
        <f t="shared" si="44"/>
        <v>35</v>
      </c>
      <c r="S47" s="21">
        <f t="shared" si="44"/>
        <v>115</v>
      </c>
      <c r="T47" s="65"/>
    </row>
    <row r="48" spans="1:20" x14ac:dyDescent="0.15">
      <c r="A48" s="8" t="s">
        <v>3</v>
      </c>
      <c r="B48" s="13"/>
      <c r="C48" s="12"/>
      <c r="D48" s="13">
        <v>5</v>
      </c>
      <c r="E48" s="7">
        <f t="shared" ref="E48:E55" si="45">SUM(B48:D48)</f>
        <v>5</v>
      </c>
      <c r="F48" s="13"/>
      <c r="G48" s="12"/>
      <c r="H48" s="13">
        <v>5</v>
      </c>
      <c r="I48" s="7">
        <f t="shared" ref="I48:I55" si="46">SUM(F48:H48)</f>
        <v>5</v>
      </c>
      <c r="J48" s="32">
        <v>45755</v>
      </c>
      <c r="K48" s="8" t="s">
        <v>3</v>
      </c>
      <c r="L48" s="13"/>
      <c r="M48" s="12"/>
      <c r="N48" s="13"/>
      <c r="O48" s="7">
        <f t="shared" ref="O48:O53" si="47">SUM(L48:N48)</f>
        <v>0</v>
      </c>
      <c r="P48" s="13"/>
      <c r="Q48" s="12"/>
      <c r="R48" s="13"/>
      <c r="S48" s="7">
        <f t="shared" ref="S48:S53" si="48">SUM(P48:R48)</f>
        <v>0</v>
      </c>
    </row>
    <row r="49" spans="1:21" x14ac:dyDescent="0.15">
      <c r="A49" s="8" t="s">
        <v>3</v>
      </c>
      <c r="B49" s="13">
        <v>5</v>
      </c>
      <c r="C49" s="12">
        <v>10</v>
      </c>
      <c r="D49" s="13"/>
      <c r="E49" s="7">
        <f t="shared" si="45"/>
        <v>15</v>
      </c>
      <c r="F49" s="13">
        <v>5</v>
      </c>
      <c r="G49" s="12">
        <v>10</v>
      </c>
      <c r="H49" s="13"/>
      <c r="I49" s="7">
        <f t="shared" si="46"/>
        <v>15</v>
      </c>
      <c r="J49" s="32">
        <v>45763</v>
      </c>
      <c r="K49" s="8" t="s">
        <v>18</v>
      </c>
      <c r="L49" s="20">
        <v>60</v>
      </c>
      <c r="M49" s="14">
        <v>90</v>
      </c>
      <c r="N49" s="20">
        <v>70</v>
      </c>
      <c r="O49" s="7">
        <f t="shared" si="47"/>
        <v>220</v>
      </c>
      <c r="P49" s="20">
        <v>60</v>
      </c>
      <c r="Q49" s="14">
        <v>90</v>
      </c>
      <c r="R49" s="20">
        <v>70</v>
      </c>
      <c r="S49" s="7">
        <f t="shared" si="48"/>
        <v>220</v>
      </c>
      <c r="T49" s="64" t="s">
        <v>33</v>
      </c>
    </row>
    <row r="50" spans="1:21" x14ac:dyDescent="0.15">
      <c r="A50" s="8" t="s">
        <v>46</v>
      </c>
      <c r="B50" s="13"/>
      <c r="C50" s="12"/>
      <c r="D50" s="13">
        <v>1</v>
      </c>
      <c r="E50" s="7">
        <f t="shared" si="45"/>
        <v>1</v>
      </c>
      <c r="F50" s="13"/>
      <c r="G50" s="12"/>
      <c r="H50" s="13">
        <v>1</v>
      </c>
      <c r="I50" s="7">
        <f t="shared" si="46"/>
        <v>1</v>
      </c>
      <c r="J50" s="32">
        <v>45772</v>
      </c>
      <c r="K50" s="8" t="s">
        <v>3</v>
      </c>
      <c r="L50" s="20"/>
      <c r="M50" s="14"/>
      <c r="N50" s="20"/>
      <c r="O50" s="7">
        <f t="shared" si="47"/>
        <v>0</v>
      </c>
      <c r="P50" s="20"/>
      <c r="Q50" s="14"/>
      <c r="R50" s="20"/>
      <c r="S50" s="7">
        <f t="shared" si="48"/>
        <v>0</v>
      </c>
    </row>
    <row r="51" spans="1:21" x14ac:dyDescent="0.15">
      <c r="A51" s="8" t="s">
        <v>3</v>
      </c>
      <c r="B51" s="13"/>
      <c r="C51" s="12"/>
      <c r="D51" s="13">
        <v>5</v>
      </c>
      <c r="E51" s="7">
        <f t="shared" si="45"/>
        <v>5</v>
      </c>
      <c r="F51" s="13"/>
      <c r="G51" s="12"/>
      <c r="H51" s="13">
        <v>5</v>
      </c>
      <c r="I51" s="7">
        <f t="shared" si="46"/>
        <v>5</v>
      </c>
      <c r="J51" s="32">
        <v>45787</v>
      </c>
      <c r="K51" s="8" t="s">
        <v>3</v>
      </c>
      <c r="L51" s="13"/>
      <c r="M51" s="12"/>
      <c r="N51" s="13"/>
      <c r="O51" s="7">
        <f t="shared" ref="O51" si="49">SUM(L51:N51)</f>
        <v>0</v>
      </c>
      <c r="P51" s="13"/>
      <c r="Q51" s="12"/>
      <c r="R51" s="13"/>
      <c r="S51" s="7">
        <f t="shared" ref="S51" si="50">SUM(P51:R51)</f>
        <v>0</v>
      </c>
    </row>
    <row r="52" spans="1:21" x14ac:dyDescent="0.15">
      <c r="A52" s="44" t="s">
        <v>57</v>
      </c>
      <c r="B52" s="11">
        <v>1</v>
      </c>
      <c r="C52" s="12"/>
      <c r="D52" s="13"/>
      <c r="E52" s="7">
        <f t="shared" si="45"/>
        <v>1</v>
      </c>
      <c r="F52" s="11">
        <v>1</v>
      </c>
      <c r="G52" s="12"/>
      <c r="H52" s="13"/>
      <c r="I52" s="7">
        <f t="shared" si="46"/>
        <v>1</v>
      </c>
      <c r="J52" s="30">
        <v>45843</v>
      </c>
      <c r="K52" s="8" t="s">
        <v>3</v>
      </c>
      <c r="L52" s="13"/>
      <c r="M52" s="12"/>
      <c r="N52" s="13"/>
      <c r="O52" s="7">
        <f t="shared" si="47"/>
        <v>0</v>
      </c>
      <c r="P52" s="13"/>
      <c r="Q52" s="12"/>
      <c r="R52" s="13"/>
      <c r="S52" s="7">
        <f t="shared" si="48"/>
        <v>0</v>
      </c>
    </row>
    <row r="53" spans="1:21" x14ac:dyDescent="0.15">
      <c r="A53" s="8" t="s">
        <v>67</v>
      </c>
      <c r="B53" s="13">
        <v>3</v>
      </c>
      <c r="C53" s="12">
        <v>5</v>
      </c>
      <c r="D53" s="13">
        <v>3</v>
      </c>
      <c r="E53" s="7">
        <f t="shared" si="45"/>
        <v>11</v>
      </c>
      <c r="F53" s="13">
        <v>3</v>
      </c>
      <c r="G53" s="12">
        <v>5</v>
      </c>
      <c r="H53" s="13">
        <v>3</v>
      </c>
      <c r="I53" s="7">
        <f t="shared" si="46"/>
        <v>11</v>
      </c>
      <c r="J53" s="32">
        <v>45856</v>
      </c>
      <c r="K53" s="8" t="s">
        <v>3</v>
      </c>
      <c r="L53" s="13"/>
      <c r="M53" s="12"/>
      <c r="N53" s="13"/>
      <c r="O53" s="7">
        <f t="shared" si="47"/>
        <v>0</v>
      </c>
      <c r="P53" s="13"/>
      <c r="Q53" s="12"/>
      <c r="R53" s="13"/>
      <c r="S53" s="7">
        <f t="shared" si="48"/>
        <v>0</v>
      </c>
    </row>
    <row r="54" spans="1:21" x14ac:dyDescent="0.15">
      <c r="A54" s="8" t="s">
        <v>71</v>
      </c>
      <c r="B54" s="13">
        <v>0</v>
      </c>
      <c r="C54" s="12">
        <v>0</v>
      </c>
      <c r="D54" s="13">
        <v>0</v>
      </c>
      <c r="E54" s="7">
        <f t="shared" si="45"/>
        <v>0</v>
      </c>
      <c r="F54" s="13">
        <v>0</v>
      </c>
      <c r="G54" s="12">
        <v>0</v>
      </c>
      <c r="H54" s="13">
        <v>0</v>
      </c>
      <c r="I54" s="7">
        <f t="shared" si="46"/>
        <v>0</v>
      </c>
      <c r="J54" s="36">
        <v>45878</v>
      </c>
      <c r="K54" s="8" t="s">
        <v>3</v>
      </c>
      <c r="L54" s="13"/>
      <c r="M54" s="12"/>
      <c r="N54" s="13"/>
      <c r="O54" s="7">
        <f t="shared" ref="O54:O75" si="51">SUM(L54:N54)</f>
        <v>0</v>
      </c>
      <c r="P54" s="13"/>
      <c r="Q54" s="12"/>
      <c r="R54" s="13"/>
      <c r="S54" s="7">
        <f t="shared" ref="S54:S75" si="52">SUM(P54:R54)</f>
        <v>0</v>
      </c>
    </row>
    <row r="55" spans="1:21" x14ac:dyDescent="0.15">
      <c r="A55" s="8" t="s">
        <v>3</v>
      </c>
      <c r="B55" s="13"/>
      <c r="C55" s="12">
        <v>5</v>
      </c>
      <c r="D55" s="13"/>
      <c r="E55" s="7">
        <f t="shared" si="45"/>
        <v>5</v>
      </c>
      <c r="F55" s="13"/>
      <c r="G55" s="12">
        <v>5</v>
      </c>
      <c r="H55" s="13"/>
      <c r="I55" s="7">
        <f t="shared" si="46"/>
        <v>5</v>
      </c>
      <c r="J55" s="32">
        <v>45890</v>
      </c>
      <c r="K55" s="8" t="s">
        <v>3</v>
      </c>
      <c r="L55" s="13"/>
      <c r="M55" s="12"/>
      <c r="N55" s="13"/>
      <c r="O55" s="7">
        <f t="shared" si="51"/>
        <v>0</v>
      </c>
      <c r="P55" s="13"/>
      <c r="Q55" s="12"/>
      <c r="R55" s="13"/>
      <c r="S55" s="7">
        <f t="shared" si="52"/>
        <v>0</v>
      </c>
    </row>
    <row r="56" spans="1:21" x14ac:dyDescent="0.15">
      <c r="A56" s="8" t="s">
        <v>46</v>
      </c>
      <c r="B56" s="13">
        <v>1</v>
      </c>
      <c r="C56" s="12"/>
      <c r="D56" s="13"/>
      <c r="E56" s="7">
        <f t="shared" ref="E56:E83" si="53">SUM(B56:D56)</f>
        <v>1</v>
      </c>
      <c r="F56" s="13">
        <v>1</v>
      </c>
      <c r="G56" s="12"/>
      <c r="H56" s="13"/>
      <c r="I56" s="7">
        <f t="shared" ref="I56:I83" si="54">SUM(F56:H56)</f>
        <v>1</v>
      </c>
      <c r="J56" s="36">
        <v>45909</v>
      </c>
      <c r="K56" s="8" t="s">
        <v>3</v>
      </c>
      <c r="L56" s="13"/>
      <c r="M56" s="12"/>
      <c r="N56" s="13"/>
      <c r="O56" s="7">
        <f t="shared" si="51"/>
        <v>0</v>
      </c>
      <c r="P56" s="13"/>
      <c r="Q56" s="12"/>
      <c r="R56" s="13"/>
      <c r="S56" s="7">
        <f t="shared" si="52"/>
        <v>0</v>
      </c>
    </row>
    <row r="57" spans="1:21" ht="14.25" thickBot="1" x14ac:dyDescent="0.2">
      <c r="A57" s="9" t="s">
        <v>3</v>
      </c>
      <c r="B57" s="17"/>
      <c r="C57" s="16"/>
      <c r="D57" s="17"/>
      <c r="E57" s="23">
        <f t="shared" si="53"/>
        <v>0</v>
      </c>
      <c r="F57" s="17"/>
      <c r="G57" s="16"/>
      <c r="H57" s="17"/>
      <c r="I57" s="23">
        <f t="shared" si="54"/>
        <v>0</v>
      </c>
      <c r="K57" s="9" t="s">
        <v>3</v>
      </c>
      <c r="L57" s="17"/>
      <c r="M57" s="16"/>
      <c r="N57" s="17"/>
      <c r="O57" s="23">
        <f t="shared" si="51"/>
        <v>0</v>
      </c>
      <c r="P57" s="17"/>
      <c r="Q57" s="16"/>
      <c r="R57" s="17"/>
      <c r="S57" s="23">
        <f t="shared" si="52"/>
        <v>0</v>
      </c>
    </row>
    <row r="58" spans="1:21" ht="14.25" thickBot="1" x14ac:dyDescent="0.2">
      <c r="A58" s="24" t="s">
        <v>4</v>
      </c>
      <c r="B58" s="25">
        <f>SUM(B47:B57)</f>
        <v>14</v>
      </c>
      <c r="C58" s="25">
        <f>SUM(C47:C57)</f>
        <v>25</v>
      </c>
      <c r="D58" s="26">
        <f>SUM(D47:D57)</f>
        <v>19</v>
      </c>
      <c r="E58" s="27">
        <f t="shared" si="53"/>
        <v>58</v>
      </c>
      <c r="F58" s="25">
        <f>SUM(F47:F57)</f>
        <v>14</v>
      </c>
      <c r="G58" s="25">
        <f>SUM(G47:G57)</f>
        <v>25</v>
      </c>
      <c r="H58" s="26">
        <f>SUM(H47:H57)</f>
        <v>19</v>
      </c>
      <c r="I58" s="27">
        <f t="shared" si="54"/>
        <v>58</v>
      </c>
      <c r="K58" s="24" t="s">
        <v>4</v>
      </c>
      <c r="L58" s="25">
        <f>SUM(L47:L57)</f>
        <v>90</v>
      </c>
      <c r="M58" s="25">
        <f t="shared" ref="M58" si="55">SUM(M47:M57)</f>
        <v>140</v>
      </c>
      <c r="N58" s="26">
        <f t="shared" ref="N58" si="56">SUM(N47:N57)</f>
        <v>105</v>
      </c>
      <c r="O58" s="27">
        <f t="shared" ref="O58" si="57">SUM(O47:O57)</f>
        <v>335</v>
      </c>
      <c r="P58" s="25">
        <f t="shared" ref="P58" si="58">SUM(P47:P57)</f>
        <v>90</v>
      </c>
      <c r="Q58" s="25">
        <f t="shared" ref="Q58" si="59">SUM(Q47:Q57)</f>
        <v>140</v>
      </c>
      <c r="R58" s="26">
        <f t="shared" ref="R58" si="60">SUM(R47:R57)</f>
        <v>105</v>
      </c>
      <c r="S58" s="27">
        <f t="shared" ref="S58" si="61">SUM(S47:S57)</f>
        <v>335</v>
      </c>
    </row>
    <row r="59" spans="1:21" x14ac:dyDescent="0.15">
      <c r="A59" s="6" t="s">
        <v>36</v>
      </c>
      <c r="B59" s="11"/>
      <c r="C59" s="12"/>
      <c r="D59" s="13">
        <v>4</v>
      </c>
      <c r="E59" s="7">
        <f t="shared" si="53"/>
        <v>4</v>
      </c>
      <c r="F59" s="11"/>
      <c r="G59" s="12"/>
      <c r="H59" s="13">
        <v>4</v>
      </c>
      <c r="I59" s="7">
        <f t="shared" si="54"/>
        <v>4</v>
      </c>
      <c r="J59" s="32">
        <v>45754</v>
      </c>
      <c r="K59" s="6" t="s">
        <v>34</v>
      </c>
      <c r="L59" s="11"/>
      <c r="M59" s="12">
        <v>1</v>
      </c>
      <c r="N59" s="13">
        <v>1</v>
      </c>
      <c r="O59" s="7">
        <f t="shared" si="51"/>
        <v>2</v>
      </c>
      <c r="P59" s="11"/>
      <c r="Q59" s="12">
        <v>1</v>
      </c>
      <c r="R59" s="13">
        <v>1</v>
      </c>
      <c r="S59" s="7">
        <f t="shared" si="52"/>
        <v>2</v>
      </c>
      <c r="T59" s="59">
        <v>45751</v>
      </c>
    </row>
    <row r="60" spans="1:21" x14ac:dyDescent="0.15">
      <c r="A60" s="6" t="s">
        <v>38</v>
      </c>
      <c r="B60" s="11"/>
      <c r="C60" s="12">
        <v>2</v>
      </c>
      <c r="D60" s="13">
        <v>1</v>
      </c>
      <c r="E60" s="7">
        <f t="shared" si="53"/>
        <v>3</v>
      </c>
      <c r="F60" s="11"/>
      <c r="G60" s="12">
        <v>2</v>
      </c>
      <c r="H60" s="13">
        <v>1</v>
      </c>
      <c r="I60" s="7">
        <f t="shared" si="54"/>
        <v>3</v>
      </c>
      <c r="J60" s="32">
        <v>45761</v>
      </c>
      <c r="K60" s="6" t="s">
        <v>35</v>
      </c>
      <c r="L60" s="11">
        <v>1</v>
      </c>
      <c r="M60" s="12"/>
      <c r="N60" s="13"/>
      <c r="O60" s="7">
        <f t="shared" si="51"/>
        <v>1</v>
      </c>
      <c r="P60" s="11">
        <v>1</v>
      </c>
      <c r="Q60" s="12"/>
      <c r="R60" s="13"/>
      <c r="S60" s="7">
        <f t="shared" si="52"/>
        <v>1</v>
      </c>
      <c r="T60" s="59">
        <v>45751</v>
      </c>
      <c r="U60" s="33"/>
    </row>
    <row r="61" spans="1:21" x14ac:dyDescent="0.15">
      <c r="A61" s="6" t="s">
        <v>39</v>
      </c>
      <c r="B61" s="11">
        <v>1</v>
      </c>
      <c r="C61" s="12"/>
      <c r="D61" s="13"/>
      <c r="E61" s="7">
        <f t="shared" si="53"/>
        <v>1</v>
      </c>
      <c r="F61" s="11">
        <v>1</v>
      </c>
      <c r="G61" s="12"/>
      <c r="H61" s="13"/>
      <c r="I61" s="7">
        <f t="shared" si="54"/>
        <v>1</v>
      </c>
      <c r="J61" s="32">
        <v>45763</v>
      </c>
      <c r="K61" s="6" t="s">
        <v>24</v>
      </c>
      <c r="L61" s="11"/>
      <c r="M61" s="12"/>
      <c r="N61" s="13">
        <v>5</v>
      </c>
      <c r="O61" s="7">
        <f t="shared" si="51"/>
        <v>5</v>
      </c>
      <c r="P61" s="11"/>
      <c r="Q61" s="12"/>
      <c r="R61" s="13">
        <v>5</v>
      </c>
      <c r="S61" s="7">
        <f t="shared" si="52"/>
        <v>5</v>
      </c>
      <c r="T61" s="59">
        <v>45755</v>
      </c>
      <c r="U61" s="33"/>
    </row>
    <row r="62" spans="1:21" x14ac:dyDescent="0.15">
      <c r="A62" s="6" t="s">
        <v>40</v>
      </c>
      <c r="B62" s="11"/>
      <c r="C62" s="12">
        <v>1</v>
      </c>
      <c r="D62" s="13"/>
      <c r="E62" s="7">
        <f t="shared" si="53"/>
        <v>1</v>
      </c>
      <c r="F62" s="11"/>
      <c r="G62" s="12">
        <v>1</v>
      </c>
      <c r="H62" s="13"/>
      <c r="I62" s="7">
        <f t="shared" si="54"/>
        <v>1</v>
      </c>
      <c r="J62" s="32">
        <v>45763</v>
      </c>
      <c r="K62" s="6" t="s">
        <v>37</v>
      </c>
      <c r="L62" s="11"/>
      <c r="M62" s="12">
        <v>1</v>
      </c>
      <c r="N62" s="13"/>
      <c r="O62" s="7">
        <f t="shared" si="51"/>
        <v>1</v>
      </c>
      <c r="P62" s="11"/>
      <c r="Q62" s="12">
        <v>1</v>
      </c>
      <c r="R62" s="13"/>
      <c r="S62" s="7">
        <f t="shared" si="52"/>
        <v>1</v>
      </c>
      <c r="T62" s="59">
        <v>45758</v>
      </c>
    </row>
    <row r="63" spans="1:21" x14ac:dyDescent="0.15">
      <c r="A63" s="6" t="s">
        <v>41</v>
      </c>
      <c r="B63" s="11"/>
      <c r="C63" s="12">
        <v>3</v>
      </c>
      <c r="D63" s="13"/>
      <c r="E63" s="10">
        <f t="shared" ref="E63" si="62">SUM(B63:D63)</f>
        <v>3</v>
      </c>
      <c r="F63" s="11"/>
      <c r="G63" s="12">
        <v>3</v>
      </c>
      <c r="H63" s="13"/>
      <c r="I63" s="10">
        <f t="shared" ref="I63" si="63">SUM(F63:H63)</f>
        <v>3</v>
      </c>
      <c r="J63" s="32">
        <v>45764</v>
      </c>
      <c r="K63" s="6" t="s">
        <v>24</v>
      </c>
      <c r="L63" s="11">
        <v>5</v>
      </c>
      <c r="M63" s="12">
        <v>10</v>
      </c>
      <c r="N63" s="13"/>
      <c r="O63" s="10">
        <f t="shared" ref="O63" si="64">SUM(L63:N63)</f>
        <v>15</v>
      </c>
      <c r="P63" s="11">
        <v>5</v>
      </c>
      <c r="Q63" s="12">
        <v>10</v>
      </c>
      <c r="R63" s="13"/>
      <c r="S63" s="10">
        <f t="shared" ref="S63" si="65">SUM(P63:R63)</f>
        <v>15</v>
      </c>
      <c r="T63" s="59">
        <v>45763</v>
      </c>
      <c r="U63" s="33"/>
    </row>
    <row r="64" spans="1:21" x14ac:dyDescent="0.15">
      <c r="A64" s="6" t="s">
        <v>42</v>
      </c>
      <c r="B64" s="11">
        <v>2</v>
      </c>
      <c r="C64" s="12"/>
      <c r="D64" s="13"/>
      <c r="E64" s="10">
        <f t="shared" si="53"/>
        <v>2</v>
      </c>
      <c r="F64" s="11">
        <v>2</v>
      </c>
      <c r="G64" s="12"/>
      <c r="H64" s="13"/>
      <c r="I64" s="10">
        <f t="shared" si="54"/>
        <v>2</v>
      </c>
      <c r="J64" s="32">
        <v>45771</v>
      </c>
      <c r="K64" s="14" t="s">
        <v>43</v>
      </c>
      <c r="L64" s="11">
        <v>5</v>
      </c>
      <c r="M64" s="12">
        <v>5</v>
      </c>
      <c r="N64" s="13">
        <v>5</v>
      </c>
      <c r="O64" s="10">
        <f t="shared" si="51"/>
        <v>15</v>
      </c>
      <c r="P64" s="11">
        <v>5</v>
      </c>
      <c r="Q64" s="12">
        <v>5</v>
      </c>
      <c r="R64" s="13">
        <v>5</v>
      </c>
      <c r="S64" s="10">
        <f t="shared" si="52"/>
        <v>15</v>
      </c>
      <c r="T64" s="59">
        <v>45772</v>
      </c>
      <c r="U64" s="33"/>
    </row>
    <row r="65" spans="1:21" x14ac:dyDescent="0.15">
      <c r="A65" s="6" t="s">
        <v>45</v>
      </c>
      <c r="B65" s="11"/>
      <c r="C65" s="12"/>
      <c r="D65" s="13">
        <v>1</v>
      </c>
      <c r="E65" s="10">
        <f t="shared" si="53"/>
        <v>1</v>
      </c>
      <c r="F65" s="11"/>
      <c r="G65" s="12"/>
      <c r="H65" s="13">
        <v>1</v>
      </c>
      <c r="I65" s="10">
        <f t="shared" si="54"/>
        <v>1</v>
      </c>
      <c r="J65" s="32">
        <v>45775</v>
      </c>
      <c r="K65" s="14" t="s">
        <v>47</v>
      </c>
      <c r="L65" s="11">
        <v>5</v>
      </c>
      <c r="M65" s="12">
        <v>5</v>
      </c>
      <c r="N65" s="13">
        <v>5</v>
      </c>
      <c r="O65" s="10">
        <f t="shared" si="51"/>
        <v>15</v>
      </c>
      <c r="P65" s="11">
        <v>5</v>
      </c>
      <c r="Q65" s="12">
        <v>5</v>
      </c>
      <c r="R65" s="13">
        <v>5</v>
      </c>
      <c r="S65" s="10">
        <f t="shared" si="52"/>
        <v>15</v>
      </c>
      <c r="T65" s="59">
        <v>45775</v>
      </c>
      <c r="U65" s="33"/>
    </row>
    <row r="66" spans="1:21" x14ac:dyDescent="0.15">
      <c r="A66" s="6" t="s">
        <v>48</v>
      </c>
      <c r="B66" s="11"/>
      <c r="C66" s="12"/>
      <c r="D66" s="13">
        <v>1</v>
      </c>
      <c r="E66" s="10">
        <f t="shared" si="53"/>
        <v>1</v>
      </c>
      <c r="F66" s="11"/>
      <c r="G66" s="12"/>
      <c r="H66" s="13">
        <v>1</v>
      </c>
      <c r="I66" s="10">
        <f t="shared" si="54"/>
        <v>1</v>
      </c>
      <c r="J66" s="32">
        <v>45777</v>
      </c>
      <c r="K66" s="6" t="s">
        <v>24</v>
      </c>
      <c r="L66" s="11"/>
      <c r="M66" s="12"/>
      <c r="N66" s="13">
        <v>5</v>
      </c>
      <c r="O66" s="10">
        <f t="shared" si="51"/>
        <v>5</v>
      </c>
      <c r="P66" s="11"/>
      <c r="Q66" s="12"/>
      <c r="R66" s="13">
        <v>5</v>
      </c>
      <c r="S66" s="10">
        <f t="shared" si="52"/>
        <v>5</v>
      </c>
      <c r="T66" s="59">
        <v>45787</v>
      </c>
    </row>
    <row r="67" spans="1:21" x14ac:dyDescent="0.15">
      <c r="A67" s="6" t="s">
        <v>49</v>
      </c>
      <c r="B67" s="11"/>
      <c r="C67" s="12"/>
      <c r="D67" s="13">
        <v>2</v>
      </c>
      <c r="E67" s="10">
        <f t="shared" si="53"/>
        <v>2</v>
      </c>
      <c r="F67" s="11"/>
      <c r="G67" s="12"/>
      <c r="H67" s="13">
        <v>2</v>
      </c>
      <c r="I67" s="10">
        <f t="shared" si="54"/>
        <v>2</v>
      </c>
      <c r="J67" s="32">
        <v>45779</v>
      </c>
      <c r="K67" s="14" t="s">
        <v>53</v>
      </c>
      <c r="L67" s="11">
        <v>6</v>
      </c>
      <c r="M67" s="12">
        <v>10</v>
      </c>
      <c r="N67" s="13">
        <v>8</v>
      </c>
      <c r="O67" s="10">
        <f t="shared" si="51"/>
        <v>24</v>
      </c>
      <c r="P67" s="11">
        <v>6</v>
      </c>
      <c r="Q67" s="12">
        <v>10</v>
      </c>
      <c r="R67" s="13">
        <v>8</v>
      </c>
      <c r="S67" s="10">
        <f t="shared" si="52"/>
        <v>24</v>
      </c>
      <c r="T67" s="59">
        <v>45812</v>
      </c>
    </row>
    <row r="68" spans="1:21" x14ac:dyDescent="0.15">
      <c r="A68" s="6" t="s">
        <v>50</v>
      </c>
      <c r="B68" s="11"/>
      <c r="C68" s="12"/>
      <c r="D68" s="13">
        <v>1</v>
      </c>
      <c r="E68" s="10">
        <f t="shared" si="53"/>
        <v>1</v>
      </c>
      <c r="F68" s="11"/>
      <c r="G68" s="12"/>
      <c r="H68" s="13">
        <v>1</v>
      </c>
      <c r="I68" s="10">
        <f t="shared" si="54"/>
        <v>1</v>
      </c>
      <c r="J68" s="32">
        <v>45784</v>
      </c>
      <c r="K68" s="14" t="s">
        <v>58</v>
      </c>
      <c r="L68" s="11"/>
      <c r="M68" s="12">
        <v>6</v>
      </c>
      <c r="N68" s="13"/>
      <c r="O68" s="10">
        <f t="shared" si="51"/>
        <v>6</v>
      </c>
      <c r="P68" s="11"/>
      <c r="Q68" s="12">
        <v>6</v>
      </c>
      <c r="R68" s="13"/>
      <c r="S68" s="10">
        <f t="shared" si="52"/>
        <v>6</v>
      </c>
      <c r="T68" s="59">
        <v>45848</v>
      </c>
    </row>
    <row r="69" spans="1:21" x14ac:dyDescent="0.15">
      <c r="A69" s="6" t="s">
        <v>40</v>
      </c>
      <c r="B69" s="11">
        <v>1</v>
      </c>
      <c r="C69" s="12"/>
      <c r="D69" s="13"/>
      <c r="E69" s="10">
        <f t="shared" si="53"/>
        <v>1</v>
      </c>
      <c r="F69" s="11">
        <v>1</v>
      </c>
      <c r="G69" s="12"/>
      <c r="H69" s="13"/>
      <c r="I69" s="10">
        <f t="shared" si="54"/>
        <v>1</v>
      </c>
      <c r="J69" s="32">
        <v>45804</v>
      </c>
      <c r="K69" s="6" t="s">
        <v>63</v>
      </c>
      <c r="L69" s="11">
        <v>1</v>
      </c>
      <c r="M69" s="12"/>
      <c r="N69" s="13"/>
      <c r="O69" s="10">
        <f t="shared" si="51"/>
        <v>1</v>
      </c>
      <c r="P69" s="11">
        <v>1</v>
      </c>
      <c r="Q69" s="12"/>
      <c r="R69" s="13"/>
      <c r="S69" s="10">
        <f t="shared" si="52"/>
        <v>1</v>
      </c>
      <c r="T69" s="59">
        <v>45854</v>
      </c>
    </row>
    <row r="70" spans="1:21" x14ac:dyDescent="0.15">
      <c r="A70" s="6" t="s">
        <v>54</v>
      </c>
      <c r="B70" s="11"/>
      <c r="C70" s="12">
        <v>1</v>
      </c>
      <c r="D70" s="13"/>
      <c r="E70" s="10">
        <f t="shared" si="53"/>
        <v>1</v>
      </c>
      <c r="F70" s="11"/>
      <c r="G70" s="12">
        <v>1</v>
      </c>
      <c r="H70" s="13"/>
      <c r="I70" s="10">
        <f t="shared" si="54"/>
        <v>1</v>
      </c>
      <c r="J70" s="32">
        <v>45813</v>
      </c>
      <c r="K70" s="6" t="s">
        <v>64</v>
      </c>
      <c r="L70" s="11">
        <v>3</v>
      </c>
      <c r="M70" s="12"/>
      <c r="N70" s="13">
        <v>1</v>
      </c>
      <c r="O70" s="10">
        <f t="shared" si="51"/>
        <v>4</v>
      </c>
      <c r="P70" s="11">
        <v>3</v>
      </c>
      <c r="Q70" s="12"/>
      <c r="R70" s="13">
        <v>1</v>
      </c>
      <c r="S70" s="10">
        <f t="shared" si="52"/>
        <v>4</v>
      </c>
      <c r="T70" s="59">
        <v>45855</v>
      </c>
    </row>
    <row r="71" spans="1:21" x14ac:dyDescent="0.15">
      <c r="A71" s="6" t="s">
        <v>56</v>
      </c>
      <c r="B71" s="11"/>
      <c r="C71" s="12"/>
      <c r="D71" s="13">
        <v>1</v>
      </c>
      <c r="E71" s="10">
        <f t="shared" si="53"/>
        <v>1</v>
      </c>
      <c r="F71" s="11"/>
      <c r="G71" s="12"/>
      <c r="H71" s="13">
        <v>1</v>
      </c>
      <c r="I71" s="10">
        <f t="shared" si="54"/>
        <v>1</v>
      </c>
      <c r="J71" s="32">
        <v>45831</v>
      </c>
      <c r="K71" s="6" t="s">
        <v>66</v>
      </c>
      <c r="L71" s="11"/>
      <c r="M71" s="12">
        <v>1</v>
      </c>
      <c r="N71" s="13"/>
      <c r="O71" s="10">
        <f t="shared" si="51"/>
        <v>1</v>
      </c>
      <c r="P71" s="11"/>
      <c r="Q71" s="12">
        <v>1</v>
      </c>
      <c r="R71" s="13"/>
      <c r="S71" s="10">
        <f t="shared" si="52"/>
        <v>1</v>
      </c>
      <c r="T71" s="59">
        <v>45856</v>
      </c>
    </row>
    <row r="72" spans="1:21" x14ac:dyDescent="0.15">
      <c r="A72" s="6" t="s">
        <v>60</v>
      </c>
      <c r="B72" s="11">
        <v>1</v>
      </c>
      <c r="C72" s="12">
        <v>1</v>
      </c>
      <c r="D72" s="13"/>
      <c r="E72" s="10">
        <f t="shared" si="53"/>
        <v>2</v>
      </c>
      <c r="F72" s="11">
        <v>1</v>
      </c>
      <c r="G72" s="12">
        <v>1</v>
      </c>
      <c r="H72" s="13"/>
      <c r="I72" s="10">
        <f t="shared" si="54"/>
        <v>2</v>
      </c>
      <c r="J72" s="32">
        <v>45849</v>
      </c>
      <c r="K72" s="6" t="s">
        <v>24</v>
      </c>
      <c r="L72" s="11"/>
      <c r="M72" s="12">
        <v>5</v>
      </c>
      <c r="N72" s="13"/>
      <c r="O72" s="10">
        <f t="shared" si="51"/>
        <v>5</v>
      </c>
      <c r="P72" s="11"/>
      <c r="Q72" s="12">
        <v>5</v>
      </c>
      <c r="R72" s="13"/>
      <c r="S72" s="10">
        <f t="shared" si="52"/>
        <v>5</v>
      </c>
      <c r="T72" s="59">
        <v>45890</v>
      </c>
    </row>
    <row r="73" spans="1:21" x14ac:dyDescent="0.15">
      <c r="A73" s="6" t="s">
        <v>62</v>
      </c>
      <c r="B73" s="11"/>
      <c r="C73" s="12">
        <v>1</v>
      </c>
      <c r="D73" s="13"/>
      <c r="E73" s="10">
        <f t="shared" si="53"/>
        <v>1</v>
      </c>
      <c r="F73" s="11"/>
      <c r="G73" s="12">
        <v>1</v>
      </c>
      <c r="H73" s="13"/>
      <c r="I73" s="10">
        <f t="shared" si="54"/>
        <v>1</v>
      </c>
      <c r="J73" s="32">
        <v>45849</v>
      </c>
      <c r="K73" s="6"/>
      <c r="L73" s="11"/>
      <c r="M73" s="12"/>
      <c r="N73" s="13"/>
      <c r="O73" s="10">
        <f t="shared" si="51"/>
        <v>0</v>
      </c>
      <c r="P73" s="11"/>
      <c r="Q73" s="12"/>
      <c r="R73" s="13"/>
      <c r="S73" s="10">
        <f t="shared" si="52"/>
        <v>0</v>
      </c>
    </row>
    <row r="74" spans="1:21" x14ac:dyDescent="0.15">
      <c r="A74" s="6" t="s">
        <v>65</v>
      </c>
      <c r="B74" s="11"/>
      <c r="C74" s="12">
        <v>2</v>
      </c>
      <c r="D74" s="13"/>
      <c r="E74" s="10">
        <f t="shared" si="53"/>
        <v>2</v>
      </c>
      <c r="F74" s="11"/>
      <c r="G74" s="12">
        <v>2</v>
      </c>
      <c r="H74" s="13"/>
      <c r="I74" s="10">
        <f t="shared" si="54"/>
        <v>2</v>
      </c>
      <c r="J74" s="32">
        <v>45856</v>
      </c>
      <c r="K74" s="14"/>
      <c r="L74" s="11"/>
      <c r="M74" s="12"/>
      <c r="N74" s="13"/>
      <c r="O74" s="10">
        <f t="shared" si="51"/>
        <v>0</v>
      </c>
      <c r="P74" s="11"/>
      <c r="Q74" s="12"/>
      <c r="R74" s="13"/>
      <c r="S74" s="10">
        <f t="shared" si="52"/>
        <v>0</v>
      </c>
    </row>
    <row r="75" spans="1:21" x14ac:dyDescent="0.15">
      <c r="A75" s="14" t="s">
        <v>68</v>
      </c>
      <c r="B75" s="11"/>
      <c r="C75" s="12">
        <v>2</v>
      </c>
      <c r="D75" s="13"/>
      <c r="E75" s="10">
        <f t="shared" si="53"/>
        <v>2</v>
      </c>
      <c r="F75" s="11"/>
      <c r="G75" s="12">
        <v>2</v>
      </c>
      <c r="H75" s="13"/>
      <c r="I75" s="10">
        <f t="shared" si="54"/>
        <v>2</v>
      </c>
      <c r="J75" s="32">
        <v>45875</v>
      </c>
      <c r="K75" s="14"/>
      <c r="L75" s="15"/>
      <c r="M75" s="16"/>
      <c r="N75" s="17"/>
      <c r="O75" s="10">
        <f t="shared" si="51"/>
        <v>0</v>
      </c>
      <c r="P75" s="15"/>
      <c r="Q75" s="16"/>
      <c r="R75" s="17"/>
      <c r="S75" s="10">
        <f t="shared" si="52"/>
        <v>0</v>
      </c>
      <c r="T75" s="62"/>
    </row>
    <row r="76" spans="1:21" x14ac:dyDescent="0.15">
      <c r="A76" s="6" t="s">
        <v>69</v>
      </c>
      <c r="B76" s="11"/>
      <c r="C76" s="12">
        <v>3</v>
      </c>
      <c r="D76" s="13"/>
      <c r="E76" s="10">
        <f t="shared" si="53"/>
        <v>3</v>
      </c>
      <c r="F76" s="11"/>
      <c r="G76" s="12">
        <v>3</v>
      </c>
      <c r="H76" s="13"/>
      <c r="I76" s="10">
        <f t="shared" si="54"/>
        <v>3</v>
      </c>
      <c r="J76" s="32">
        <v>45875</v>
      </c>
      <c r="K76" s="14"/>
      <c r="L76" s="11"/>
      <c r="M76" s="12"/>
      <c r="N76" s="13"/>
      <c r="O76" s="10">
        <f t="shared" ref="O76:O82" si="66">SUM(L76:N76)</f>
        <v>0</v>
      </c>
      <c r="P76" s="11"/>
      <c r="Q76" s="12"/>
      <c r="R76" s="13"/>
      <c r="S76" s="10">
        <f t="shared" ref="S76:S82" si="67">SUM(P76:R76)</f>
        <v>0</v>
      </c>
      <c r="T76" s="62"/>
    </row>
    <row r="77" spans="1:21" x14ac:dyDescent="0.15">
      <c r="A77" s="14" t="s">
        <v>70</v>
      </c>
      <c r="B77" s="11"/>
      <c r="C77" s="12">
        <v>1</v>
      </c>
      <c r="D77" s="13"/>
      <c r="E77" s="10">
        <f t="shared" si="53"/>
        <v>1</v>
      </c>
      <c r="F77" s="11"/>
      <c r="G77" s="12">
        <v>1</v>
      </c>
      <c r="H77" s="13"/>
      <c r="I77" s="10">
        <f t="shared" si="54"/>
        <v>1</v>
      </c>
      <c r="J77" s="32">
        <v>45881</v>
      </c>
      <c r="K77" s="14"/>
      <c r="L77" s="15"/>
      <c r="M77" s="16"/>
      <c r="N77" s="17"/>
      <c r="O77" s="10">
        <f t="shared" si="66"/>
        <v>0</v>
      </c>
      <c r="P77" s="15"/>
      <c r="Q77" s="16"/>
      <c r="R77" s="17"/>
      <c r="S77" s="10">
        <f t="shared" si="67"/>
        <v>0</v>
      </c>
      <c r="T77" s="62"/>
    </row>
    <row r="78" spans="1:21" x14ac:dyDescent="0.15">
      <c r="A78" s="6" t="s">
        <v>72</v>
      </c>
      <c r="B78" s="11"/>
      <c r="C78" s="12">
        <v>1</v>
      </c>
      <c r="D78" s="13"/>
      <c r="E78" s="10">
        <f t="shared" si="53"/>
        <v>1</v>
      </c>
      <c r="F78" s="11"/>
      <c r="G78" s="12">
        <v>1</v>
      </c>
      <c r="H78" s="13"/>
      <c r="I78" s="10">
        <f t="shared" si="54"/>
        <v>1</v>
      </c>
      <c r="J78" s="32">
        <v>45898</v>
      </c>
      <c r="K78" s="14" t="s">
        <v>30</v>
      </c>
      <c r="L78" s="11"/>
      <c r="M78" s="12"/>
      <c r="N78" s="13"/>
      <c r="O78" s="10">
        <f t="shared" si="66"/>
        <v>0</v>
      </c>
      <c r="P78" s="11"/>
      <c r="Q78" s="12"/>
      <c r="R78" s="13"/>
      <c r="S78" s="10">
        <f t="shared" si="67"/>
        <v>0</v>
      </c>
      <c r="T78" s="62" t="s">
        <v>32</v>
      </c>
    </row>
    <row r="79" spans="1:21" x14ac:dyDescent="0.15">
      <c r="A79" s="6" t="s">
        <v>77</v>
      </c>
      <c r="B79" s="11"/>
      <c r="C79" s="12">
        <v>1</v>
      </c>
      <c r="D79" s="13"/>
      <c r="E79" s="10">
        <f t="shared" si="53"/>
        <v>1</v>
      </c>
      <c r="F79" s="11"/>
      <c r="G79" s="12">
        <v>1</v>
      </c>
      <c r="H79" s="13"/>
      <c r="I79" s="10">
        <f t="shared" si="54"/>
        <v>1</v>
      </c>
      <c r="J79" s="32">
        <v>45912</v>
      </c>
      <c r="K79" s="14" t="s">
        <v>51</v>
      </c>
      <c r="L79" s="11"/>
      <c r="M79" s="12"/>
      <c r="N79" s="13"/>
      <c r="O79" s="10">
        <f t="shared" si="66"/>
        <v>0</v>
      </c>
      <c r="P79" s="11"/>
      <c r="Q79" s="12"/>
      <c r="R79" s="13"/>
      <c r="S79" s="10">
        <f t="shared" si="67"/>
        <v>0</v>
      </c>
      <c r="T79" s="62" t="s">
        <v>52</v>
      </c>
    </row>
    <row r="80" spans="1:21" x14ac:dyDescent="0.15">
      <c r="A80" s="6" t="s">
        <v>83</v>
      </c>
      <c r="B80" s="11">
        <v>1</v>
      </c>
      <c r="C80" s="12">
        <v>1</v>
      </c>
      <c r="D80" s="13">
        <v>1</v>
      </c>
      <c r="E80" s="10">
        <f t="shared" si="53"/>
        <v>3</v>
      </c>
      <c r="F80" s="11">
        <v>1</v>
      </c>
      <c r="G80" s="12">
        <v>1</v>
      </c>
      <c r="H80" s="13">
        <v>1</v>
      </c>
      <c r="I80" s="10">
        <f t="shared" si="54"/>
        <v>3</v>
      </c>
      <c r="J80" s="32">
        <v>45926</v>
      </c>
      <c r="K80" s="14" t="s">
        <v>25</v>
      </c>
      <c r="L80" s="11"/>
      <c r="M80" s="12"/>
      <c r="N80" s="13"/>
      <c r="O80" s="10">
        <f t="shared" si="66"/>
        <v>0</v>
      </c>
      <c r="P80" s="11"/>
      <c r="Q80" s="12"/>
      <c r="R80" s="13"/>
      <c r="S80" s="10">
        <f t="shared" si="67"/>
        <v>0</v>
      </c>
      <c r="T80" s="62" t="s">
        <v>27</v>
      </c>
    </row>
    <row r="81" spans="1:21" x14ac:dyDescent="0.15">
      <c r="A81" s="6"/>
      <c r="B81" s="11"/>
      <c r="C81" s="12"/>
      <c r="D81" s="13"/>
      <c r="E81" s="10">
        <f t="shared" si="53"/>
        <v>0</v>
      </c>
      <c r="F81" s="11"/>
      <c r="G81" s="12"/>
      <c r="H81" s="13"/>
      <c r="I81" s="10">
        <f t="shared" si="54"/>
        <v>0</v>
      </c>
      <c r="J81" s="36"/>
      <c r="K81" s="14" t="s">
        <v>44</v>
      </c>
      <c r="L81" s="11"/>
      <c r="M81" s="12"/>
      <c r="N81" s="13"/>
      <c r="O81" s="10">
        <f t="shared" si="66"/>
        <v>0</v>
      </c>
      <c r="P81" s="11"/>
      <c r="Q81" s="12"/>
      <c r="R81" s="13"/>
      <c r="S81" s="10">
        <f t="shared" si="67"/>
        <v>0</v>
      </c>
      <c r="T81" s="59">
        <v>45770</v>
      </c>
    </row>
    <row r="82" spans="1:21" ht="14.25" thickBot="1" x14ac:dyDescent="0.2">
      <c r="A82" s="6"/>
      <c r="B82" s="11"/>
      <c r="C82" s="12"/>
      <c r="D82" s="13"/>
      <c r="E82" s="10">
        <f t="shared" si="53"/>
        <v>0</v>
      </c>
      <c r="F82" s="11"/>
      <c r="G82" s="12"/>
      <c r="H82" s="13"/>
      <c r="I82" s="10">
        <f t="shared" si="54"/>
        <v>0</v>
      </c>
      <c r="J82" s="36"/>
      <c r="K82" s="14" t="s">
        <v>55</v>
      </c>
      <c r="L82" s="11"/>
      <c r="M82" s="12"/>
      <c r="N82" s="13"/>
      <c r="O82" s="10">
        <f t="shared" si="66"/>
        <v>0</v>
      </c>
      <c r="P82" s="11"/>
      <c r="Q82" s="12"/>
      <c r="R82" s="13"/>
      <c r="S82" s="10">
        <f t="shared" si="67"/>
        <v>0</v>
      </c>
      <c r="T82" s="59">
        <v>45812</v>
      </c>
    </row>
    <row r="83" spans="1:21" ht="14.25" thickBot="1" x14ac:dyDescent="0.2">
      <c r="A83" s="5" t="s">
        <v>5</v>
      </c>
      <c r="B83" s="18">
        <f>SUM(B59:B82)</f>
        <v>6</v>
      </c>
      <c r="C83" s="18">
        <f>SUM(C59:C82)</f>
        <v>20</v>
      </c>
      <c r="D83" s="18">
        <f>SUM(D59:D82)</f>
        <v>12</v>
      </c>
      <c r="E83" s="19">
        <f t="shared" si="53"/>
        <v>38</v>
      </c>
      <c r="F83" s="18">
        <f>SUM(F59:F82)</f>
        <v>6</v>
      </c>
      <c r="G83" s="18">
        <f>SUM(G59:G82)</f>
        <v>20</v>
      </c>
      <c r="H83" s="18">
        <f>SUM(H59:H82)</f>
        <v>12</v>
      </c>
      <c r="I83" s="19">
        <f t="shared" si="54"/>
        <v>38</v>
      </c>
      <c r="K83" s="5" t="s">
        <v>5</v>
      </c>
      <c r="L83" s="18">
        <f>SUM(L59:L82)</f>
        <v>26</v>
      </c>
      <c r="M83" s="18">
        <f t="shared" ref="M83" si="68">SUM(M59:M82)</f>
        <v>44</v>
      </c>
      <c r="N83" s="18">
        <f t="shared" ref="N83" si="69">SUM(N59:N82)</f>
        <v>30</v>
      </c>
      <c r="O83" s="19">
        <f t="shared" ref="O83" si="70">SUM(O59:O82)</f>
        <v>100</v>
      </c>
      <c r="P83" s="18">
        <f t="shared" ref="P83" si="71">SUM(P59:P82)</f>
        <v>26</v>
      </c>
      <c r="Q83" s="18">
        <f t="shared" ref="Q83" si="72">SUM(Q59:Q82)</f>
        <v>44</v>
      </c>
      <c r="R83" s="18">
        <f t="shared" ref="R83" si="73">SUM(R59:R82)</f>
        <v>30</v>
      </c>
      <c r="S83" s="19">
        <f t="shared" ref="S83" si="74">SUM(S59:S82)</f>
        <v>100</v>
      </c>
    </row>
    <row r="84" spans="1:21" ht="14.25" thickBot="1" x14ac:dyDescent="0.2">
      <c r="A84" s="28" t="s">
        <v>6</v>
      </c>
      <c r="B84" s="29">
        <f t="shared" ref="B84:I84" si="75">B58-B83</f>
        <v>8</v>
      </c>
      <c r="C84" s="29">
        <f t="shared" si="75"/>
        <v>5</v>
      </c>
      <c r="D84" s="29">
        <f t="shared" si="75"/>
        <v>7</v>
      </c>
      <c r="E84" s="29">
        <f t="shared" si="75"/>
        <v>20</v>
      </c>
      <c r="F84" s="29">
        <f t="shared" si="75"/>
        <v>8</v>
      </c>
      <c r="G84" s="29">
        <f t="shared" si="75"/>
        <v>5</v>
      </c>
      <c r="H84" s="29">
        <f t="shared" si="75"/>
        <v>7</v>
      </c>
      <c r="I84" s="27">
        <f t="shared" si="75"/>
        <v>20</v>
      </c>
      <c r="K84" s="28" t="s">
        <v>6</v>
      </c>
      <c r="L84" s="29">
        <f>L58-L83</f>
        <v>64</v>
      </c>
      <c r="M84" s="29">
        <f t="shared" ref="M84" si="76">M58-M83</f>
        <v>96</v>
      </c>
      <c r="N84" s="29">
        <f t="shared" ref="N84" si="77">N58-N83</f>
        <v>75</v>
      </c>
      <c r="O84" s="29">
        <f t="shared" ref="O84" si="78">O58-O83</f>
        <v>235</v>
      </c>
      <c r="P84" s="29">
        <f t="shared" ref="P84" si="79">P58-P83</f>
        <v>64</v>
      </c>
      <c r="Q84" s="29">
        <f t="shared" ref="Q84" si="80">Q58-Q83</f>
        <v>96</v>
      </c>
      <c r="R84" s="29">
        <f t="shared" ref="R84" si="81">R58-R83</f>
        <v>75</v>
      </c>
      <c r="S84" s="27">
        <f t="shared" ref="S84" si="82">S58-S83</f>
        <v>235</v>
      </c>
    </row>
    <row r="87" spans="1:21" ht="19.5" thickBot="1" x14ac:dyDescent="0.25">
      <c r="A87" s="2" t="s">
        <v>20</v>
      </c>
      <c r="B87" s="3"/>
      <c r="C87" s="3"/>
      <c r="D87" s="3"/>
      <c r="E87" s="3"/>
      <c r="G87" s="1"/>
      <c r="H87" s="41">
        <v>570</v>
      </c>
      <c r="I87" s="1"/>
      <c r="K87" s="2" t="s">
        <v>108</v>
      </c>
      <c r="L87" s="3"/>
      <c r="M87" s="3"/>
      <c r="N87" s="3"/>
      <c r="O87" s="3"/>
      <c r="P87" s="1"/>
      <c r="Q87" s="1"/>
      <c r="R87" s="41">
        <v>570</v>
      </c>
      <c r="S87" s="1"/>
    </row>
    <row r="88" spans="1:21" ht="14.25" thickBot="1" x14ac:dyDescent="0.2">
      <c r="A88" s="4" t="s">
        <v>0</v>
      </c>
      <c r="B88" s="80" t="s">
        <v>12</v>
      </c>
      <c r="C88" s="80"/>
      <c r="D88" s="80"/>
      <c r="E88" s="81"/>
      <c r="F88" s="78" t="s">
        <v>16</v>
      </c>
      <c r="G88" s="78"/>
      <c r="H88" s="78"/>
      <c r="I88" s="79"/>
      <c r="K88" s="4" t="s">
        <v>0</v>
      </c>
      <c r="L88" s="80" t="s">
        <v>12</v>
      </c>
      <c r="M88" s="80"/>
      <c r="N88" s="80"/>
      <c r="O88" s="81"/>
      <c r="P88" s="78" t="s">
        <v>16</v>
      </c>
      <c r="Q88" s="78"/>
      <c r="R88" s="78"/>
      <c r="S88" s="79"/>
    </row>
    <row r="89" spans="1:21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1" x14ac:dyDescent="0.15">
      <c r="A90" s="35" t="s">
        <v>15</v>
      </c>
      <c r="B90" s="38">
        <f>B84</f>
        <v>8</v>
      </c>
      <c r="C90" s="39">
        <f>C84</f>
        <v>5</v>
      </c>
      <c r="D90" s="40">
        <f>D84</f>
        <v>7</v>
      </c>
      <c r="E90" s="21">
        <f>SUM(B90:D90)</f>
        <v>20</v>
      </c>
      <c r="F90" s="38">
        <f>F84</f>
        <v>8</v>
      </c>
      <c r="G90" s="39">
        <f>G84</f>
        <v>5</v>
      </c>
      <c r="H90" s="40">
        <f>H84</f>
        <v>7</v>
      </c>
      <c r="I90" s="21">
        <f>SUM(F90:H90)</f>
        <v>20</v>
      </c>
      <c r="J90" s="37"/>
      <c r="K90" s="35" t="s">
        <v>15</v>
      </c>
      <c r="L90" s="38">
        <f>L84</f>
        <v>64</v>
      </c>
      <c r="M90" s="39">
        <f t="shared" ref="M90:S90" si="83">M84</f>
        <v>96</v>
      </c>
      <c r="N90" s="40">
        <f t="shared" si="83"/>
        <v>75</v>
      </c>
      <c r="O90" s="21">
        <f t="shared" si="83"/>
        <v>235</v>
      </c>
      <c r="P90" s="38">
        <f t="shared" si="83"/>
        <v>64</v>
      </c>
      <c r="Q90" s="39">
        <f t="shared" si="83"/>
        <v>96</v>
      </c>
      <c r="R90" s="40">
        <f t="shared" si="83"/>
        <v>75</v>
      </c>
      <c r="S90" s="21">
        <f t="shared" si="83"/>
        <v>235</v>
      </c>
      <c r="T90" s="65"/>
    </row>
    <row r="91" spans="1:21" x14ac:dyDescent="0.15">
      <c r="A91" s="8" t="s">
        <v>46</v>
      </c>
      <c r="B91" s="13"/>
      <c r="C91" s="12"/>
      <c r="D91" s="13">
        <v>1</v>
      </c>
      <c r="E91" s="7">
        <f t="shared" ref="E91:E126" si="84">SUM(B91:D91)</f>
        <v>1</v>
      </c>
      <c r="F91" s="13"/>
      <c r="G91" s="12"/>
      <c r="H91" s="13">
        <v>1</v>
      </c>
      <c r="I91" s="7">
        <f t="shared" ref="I91:I126" si="85">SUM(F91:H91)</f>
        <v>1</v>
      </c>
      <c r="J91" s="36">
        <v>45937</v>
      </c>
      <c r="K91" s="8" t="s">
        <v>3</v>
      </c>
      <c r="L91" s="13"/>
      <c r="M91" s="12"/>
      <c r="N91" s="13"/>
      <c r="O91" s="7">
        <f t="shared" ref="O91:O123" si="86">SUM(L91:N91)</f>
        <v>0</v>
      </c>
      <c r="P91" s="13"/>
      <c r="Q91" s="12"/>
      <c r="R91" s="13"/>
      <c r="S91" s="7">
        <f t="shared" ref="S91:S123" si="87">SUM(P91:R91)</f>
        <v>0</v>
      </c>
    </row>
    <row r="92" spans="1:21" x14ac:dyDescent="0.15">
      <c r="A92" s="8" t="s">
        <v>84</v>
      </c>
      <c r="B92" s="13">
        <v>3</v>
      </c>
      <c r="C92" s="12">
        <v>2</v>
      </c>
      <c r="D92" s="13">
        <v>3</v>
      </c>
      <c r="E92" s="7">
        <f t="shared" si="84"/>
        <v>8</v>
      </c>
      <c r="F92" s="13">
        <v>3</v>
      </c>
      <c r="G92" s="12">
        <v>2</v>
      </c>
      <c r="H92" s="13">
        <v>3</v>
      </c>
      <c r="I92" s="7">
        <f t="shared" si="85"/>
        <v>8</v>
      </c>
      <c r="J92" s="36">
        <v>45945</v>
      </c>
      <c r="K92" s="8" t="s">
        <v>84</v>
      </c>
      <c r="L92" s="13">
        <v>4</v>
      </c>
      <c r="M92" s="12">
        <v>11</v>
      </c>
      <c r="N92" s="13">
        <v>8</v>
      </c>
      <c r="O92" s="7">
        <f t="shared" ref="O92" si="88">SUM(L92:N92)</f>
        <v>23</v>
      </c>
      <c r="P92" s="13">
        <v>4</v>
      </c>
      <c r="Q92" s="12">
        <v>11</v>
      </c>
      <c r="R92" s="13">
        <v>8</v>
      </c>
      <c r="S92" s="7">
        <f t="shared" ref="S92" si="89">SUM(P92:R92)</f>
        <v>23</v>
      </c>
      <c r="T92" s="59">
        <v>45979</v>
      </c>
      <c r="U92" s="37"/>
    </row>
    <row r="93" spans="1:21" x14ac:dyDescent="0.15">
      <c r="A93" s="8" t="s">
        <v>84</v>
      </c>
      <c r="B93" s="13"/>
      <c r="C93" s="12"/>
      <c r="D93" s="13">
        <v>1</v>
      </c>
      <c r="E93" s="7">
        <f t="shared" si="84"/>
        <v>1</v>
      </c>
      <c r="F93" s="13"/>
      <c r="G93" s="12"/>
      <c r="H93" s="13">
        <v>1</v>
      </c>
      <c r="I93" s="7">
        <f t="shared" si="85"/>
        <v>1</v>
      </c>
      <c r="J93" s="32">
        <v>45978</v>
      </c>
      <c r="K93" s="8" t="s">
        <v>3</v>
      </c>
      <c r="L93" s="13"/>
      <c r="M93" s="12"/>
      <c r="N93" s="13"/>
      <c r="O93" s="7">
        <f t="shared" si="86"/>
        <v>0</v>
      </c>
      <c r="P93" s="13"/>
      <c r="Q93" s="12"/>
      <c r="R93" s="13"/>
      <c r="S93" s="7">
        <f t="shared" si="87"/>
        <v>0</v>
      </c>
      <c r="T93" s="62"/>
      <c r="U93" s="37"/>
    </row>
    <row r="94" spans="1:21" x14ac:dyDescent="0.15">
      <c r="A94" s="8" t="s">
        <v>95</v>
      </c>
      <c r="B94" s="13"/>
      <c r="C94" s="12"/>
      <c r="D94" s="13">
        <v>1</v>
      </c>
      <c r="E94" s="7">
        <f t="shared" si="84"/>
        <v>1</v>
      </c>
      <c r="F94" s="13"/>
      <c r="G94" s="12"/>
      <c r="H94" s="13">
        <v>1</v>
      </c>
      <c r="I94" s="7">
        <f t="shared" si="85"/>
        <v>1</v>
      </c>
      <c r="J94" s="32">
        <v>45988</v>
      </c>
      <c r="K94" s="8" t="s">
        <v>3</v>
      </c>
      <c r="L94" s="13"/>
      <c r="M94" s="12"/>
      <c r="N94" s="13"/>
      <c r="O94" s="7">
        <f t="shared" si="86"/>
        <v>0</v>
      </c>
      <c r="P94" s="13"/>
      <c r="Q94" s="12"/>
      <c r="R94" s="13"/>
      <c r="S94" s="7">
        <f t="shared" si="87"/>
        <v>0</v>
      </c>
    </row>
    <row r="95" spans="1:21" x14ac:dyDescent="0.15">
      <c r="A95" s="51" t="s">
        <v>3</v>
      </c>
      <c r="B95" s="52"/>
      <c r="C95" s="53">
        <v>10</v>
      </c>
      <c r="D95" s="52"/>
      <c r="E95" s="54">
        <f t="shared" si="84"/>
        <v>10</v>
      </c>
      <c r="F95" s="52"/>
      <c r="G95" s="53">
        <v>10</v>
      </c>
      <c r="H95" s="52"/>
      <c r="I95" s="54">
        <f t="shared" si="85"/>
        <v>10</v>
      </c>
      <c r="J95" s="55">
        <v>46016</v>
      </c>
      <c r="K95" s="8" t="s">
        <v>3</v>
      </c>
      <c r="L95" s="13"/>
      <c r="M95" s="12"/>
      <c r="N95" s="13"/>
      <c r="O95" s="7">
        <f t="shared" si="86"/>
        <v>0</v>
      </c>
      <c r="P95" s="13"/>
      <c r="Q95" s="12"/>
      <c r="R95" s="13"/>
      <c r="S95" s="7">
        <f t="shared" si="87"/>
        <v>0</v>
      </c>
    </row>
    <row r="96" spans="1:21" x14ac:dyDescent="0.15">
      <c r="A96" s="8" t="s">
        <v>106</v>
      </c>
      <c r="B96" s="13">
        <v>2</v>
      </c>
      <c r="C96" s="12"/>
      <c r="D96" s="13">
        <v>1</v>
      </c>
      <c r="E96" s="7">
        <f t="shared" si="84"/>
        <v>3</v>
      </c>
      <c r="F96" s="13">
        <v>2</v>
      </c>
      <c r="G96" s="12"/>
      <c r="H96" s="13">
        <v>1</v>
      </c>
      <c r="I96" s="7">
        <f t="shared" si="85"/>
        <v>3</v>
      </c>
      <c r="J96" s="36">
        <v>46041</v>
      </c>
      <c r="K96" s="8" t="s">
        <v>3</v>
      </c>
      <c r="L96" s="13"/>
      <c r="M96" s="12"/>
      <c r="N96" s="13"/>
      <c r="O96" s="7">
        <f t="shared" si="86"/>
        <v>0</v>
      </c>
      <c r="P96" s="13"/>
      <c r="Q96" s="12"/>
      <c r="R96" s="13"/>
      <c r="S96" s="7">
        <f t="shared" si="87"/>
        <v>0</v>
      </c>
    </row>
    <row r="97" spans="1:22" x14ac:dyDescent="0.15">
      <c r="A97" s="8" t="s">
        <v>3</v>
      </c>
      <c r="B97" s="13"/>
      <c r="C97" s="12"/>
      <c r="D97" s="13"/>
      <c r="E97" s="7">
        <f t="shared" si="84"/>
        <v>0</v>
      </c>
      <c r="F97" s="13"/>
      <c r="G97" s="12"/>
      <c r="H97" s="13"/>
      <c r="I97" s="7">
        <f t="shared" si="85"/>
        <v>0</v>
      </c>
      <c r="K97" s="8" t="s">
        <v>3</v>
      </c>
      <c r="L97" s="13"/>
      <c r="M97" s="12"/>
      <c r="N97" s="13"/>
      <c r="O97" s="7">
        <f t="shared" si="86"/>
        <v>0</v>
      </c>
      <c r="P97" s="13"/>
      <c r="Q97" s="12"/>
      <c r="R97" s="13"/>
      <c r="S97" s="7">
        <f t="shared" si="87"/>
        <v>0</v>
      </c>
    </row>
    <row r="98" spans="1:22" x14ac:dyDescent="0.15">
      <c r="A98" s="8" t="s">
        <v>3</v>
      </c>
      <c r="B98" s="13"/>
      <c r="C98" s="12"/>
      <c r="D98" s="13"/>
      <c r="E98" s="7">
        <f t="shared" si="84"/>
        <v>0</v>
      </c>
      <c r="F98" s="13"/>
      <c r="G98" s="12"/>
      <c r="H98" s="13"/>
      <c r="I98" s="7">
        <f t="shared" si="85"/>
        <v>0</v>
      </c>
      <c r="K98" s="8" t="s">
        <v>3</v>
      </c>
      <c r="L98" s="13"/>
      <c r="M98" s="12"/>
      <c r="N98" s="13"/>
      <c r="O98" s="7">
        <f t="shared" si="86"/>
        <v>0</v>
      </c>
      <c r="P98" s="13"/>
      <c r="Q98" s="12"/>
      <c r="R98" s="13"/>
      <c r="S98" s="7">
        <f t="shared" si="87"/>
        <v>0</v>
      </c>
    </row>
    <row r="99" spans="1:22" x14ac:dyDescent="0.15">
      <c r="A99" s="8" t="s">
        <v>3</v>
      </c>
      <c r="B99" s="13"/>
      <c r="C99" s="12"/>
      <c r="D99" s="13"/>
      <c r="E99" s="7">
        <f t="shared" si="84"/>
        <v>0</v>
      </c>
      <c r="F99" s="13"/>
      <c r="G99" s="12"/>
      <c r="H99" s="13"/>
      <c r="I99" s="7">
        <f t="shared" si="85"/>
        <v>0</v>
      </c>
      <c r="K99" s="8" t="s">
        <v>3</v>
      </c>
      <c r="L99" s="13"/>
      <c r="M99" s="12"/>
      <c r="N99" s="13"/>
      <c r="O99" s="7">
        <f t="shared" si="86"/>
        <v>0</v>
      </c>
      <c r="P99" s="13"/>
      <c r="Q99" s="12"/>
      <c r="R99" s="13"/>
      <c r="S99" s="7">
        <f t="shared" si="87"/>
        <v>0</v>
      </c>
    </row>
    <row r="100" spans="1:22" ht="14.25" thickBot="1" x14ac:dyDescent="0.2">
      <c r="A100" s="9" t="s">
        <v>3</v>
      </c>
      <c r="B100" s="17"/>
      <c r="C100" s="16"/>
      <c r="D100" s="17"/>
      <c r="E100" s="23">
        <f t="shared" si="84"/>
        <v>0</v>
      </c>
      <c r="F100" s="17"/>
      <c r="G100" s="16"/>
      <c r="H100" s="17"/>
      <c r="I100" s="23">
        <f t="shared" si="85"/>
        <v>0</v>
      </c>
      <c r="K100" s="9" t="s">
        <v>3</v>
      </c>
      <c r="L100" s="17"/>
      <c r="M100" s="16"/>
      <c r="N100" s="17"/>
      <c r="O100" s="23">
        <f t="shared" si="86"/>
        <v>0</v>
      </c>
      <c r="P100" s="17"/>
      <c r="Q100" s="16"/>
      <c r="R100" s="17"/>
      <c r="S100" s="23">
        <f t="shared" si="87"/>
        <v>0</v>
      </c>
    </row>
    <row r="101" spans="1:22" ht="14.25" thickBot="1" x14ac:dyDescent="0.2">
      <c r="A101" s="24" t="s">
        <v>4</v>
      </c>
      <c r="B101" s="25">
        <f>SUM(B90:B100)</f>
        <v>13</v>
      </c>
      <c r="C101" s="25">
        <f>SUM(C90:C100)</f>
        <v>17</v>
      </c>
      <c r="D101" s="26">
        <f>SUM(D90:D100)</f>
        <v>14</v>
      </c>
      <c r="E101" s="27">
        <f t="shared" si="84"/>
        <v>44</v>
      </c>
      <c r="F101" s="25">
        <f>SUM(F90:F100)</f>
        <v>13</v>
      </c>
      <c r="G101" s="25">
        <f>SUM(G90:G100)</f>
        <v>17</v>
      </c>
      <c r="H101" s="26">
        <f>SUM(H90:H100)</f>
        <v>14</v>
      </c>
      <c r="I101" s="27">
        <f t="shared" si="85"/>
        <v>44</v>
      </c>
      <c r="K101" s="24" t="s">
        <v>4</v>
      </c>
      <c r="L101" s="25">
        <f>SUM(L90:L100)</f>
        <v>68</v>
      </c>
      <c r="M101" s="25">
        <f t="shared" ref="M101:S101" si="90">SUM(M90:M100)</f>
        <v>107</v>
      </c>
      <c r="N101" s="26">
        <f t="shared" si="90"/>
        <v>83</v>
      </c>
      <c r="O101" s="27">
        <f t="shared" si="90"/>
        <v>258</v>
      </c>
      <c r="P101" s="25">
        <f t="shared" si="90"/>
        <v>68</v>
      </c>
      <c r="Q101" s="25">
        <f t="shared" si="90"/>
        <v>107</v>
      </c>
      <c r="R101" s="26">
        <f t="shared" si="90"/>
        <v>83</v>
      </c>
      <c r="S101" s="27">
        <f t="shared" si="90"/>
        <v>258</v>
      </c>
    </row>
    <row r="102" spans="1:22" x14ac:dyDescent="0.15">
      <c r="A102" s="6" t="s">
        <v>79</v>
      </c>
      <c r="B102" s="11"/>
      <c r="C102" s="12"/>
      <c r="D102" s="13">
        <v>1</v>
      </c>
      <c r="E102" s="7">
        <f t="shared" si="84"/>
        <v>1</v>
      </c>
      <c r="F102" s="11"/>
      <c r="G102" s="12"/>
      <c r="H102" s="13">
        <v>1</v>
      </c>
      <c r="I102" s="7">
        <f t="shared" si="85"/>
        <v>1</v>
      </c>
      <c r="J102" s="32">
        <v>45918</v>
      </c>
      <c r="K102" s="14" t="s">
        <v>78</v>
      </c>
      <c r="L102" s="11">
        <v>10</v>
      </c>
      <c r="M102" s="12">
        <v>10</v>
      </c>
      <c r="N102" s="13">
        <v>6</v>
      </c>
      <c r="O102" s="7">
        <f t="shared" si="86"/>
        <v>26</v>
      </c>
      <c r="P102" s="11">
        <v>10</v>
      </c>
      <c r="Q102" s="12">
        <v>10</v>
      </c>
      <c r="R102" s="13">
        <v>6</v>
      </c>
      <c r="S102" s="7">
        <f t="shared" si="87"/>
        <v>26</v>
      </c>
      <c r="T102" s="59">
        <v>45916</v>
      </c>
    </row>
    <row r="103" spans="1:22" x14ac:dyDescent="0.15">
      <c r="A103" s="6" t="s">
        <v>85</v>
      </c>
      <c r="B103" s="11"/>
      <c r="C103" s="12">
        <v>1</v>
      </c>
      <c r="D103" s="13"/>
      <c r="E103" s="7">
        <f t="shared" si="84"/>
        <v>1</v>
      </c>
      <c r="F103" s="11"/>
      <c r="G103" s="12">
        <v>1</v>
      </c>
      <c r="H103" s="13"/>
      <c r="I103" s="7">
        <f t="shared" si="85"/>
        <v>1</v>
      </c>
      <c r="J103" s="32">
        <v>45960</v>
      </c>
      <c r="K103" s="14" t="s">
        <v>80</v>
      </c>
      <c r="L103" s="11">
        <v>3</v>
      </c>
      <c r="M103" s="12">
        <v>10</v>
      </c>
      <c r="N103" s="13">
        <v>5</v>
      </c>
      <c r="O103" s="7">
        <f t="shared" si="86"/>
        <v>18</v>
      </c>
      <c r="P103" s="11">
        <v>3</v>
      </c>
      <c r="Q103" s="12">
        <v>10</v>
      </c>
      <c r="R103" s="13">
        <v>5</v>
      </c>
      <c r="S103" s="7">
        <f t="shared" si="87"/>
        <v>18</v>
      </c>
      <c r="T103" s="59">
        <v>45918</v>
      </c>
    </row>
    <row r="104" spans="1:22" x14ac:dyDescent="0.15">
      <c r="A104" s="6" t="s">
        <v>86</v>
      </c>
      <c r="B104" s="11">
        <v>1</v>
      </c>
      <c r="C104" s="12">
        <v>1</v>
      </c>
      <c r="D104" s="13"/>
      <c r="E104" s="7">
        <f t="shared" si="84"/>
        <v>2</v>
      </c>
      <c r="F104" s="11">
        <v>1</v>
      </c>
      <c r="G104" s="12">
        <v>1</v>
      </c>
      <c r="H104" s="13"/>
      <c r="I104" s="7">
        <f t="shared" si="85"/>
        <v>2</v>
      </c>
      <c r="J104" s="32">
        <v>45961</v>
      </c>
      <c r="K104" s="14" t="s">
        <v>81</v>
      </c>
      <c r="L104" s="11">
        <v>2</v>
      </c>
      <c r="M104" s="12">
        <v>5</v>
      </c>
      <c r="N104" s="13">
        <v>3</v>
      </c>
      <c r="O104" s="7">
        <f t="shared" si="86"/>
        <v>10</v>
      </c>
      <c r="P104" s="11">
        <v>2</v>
      </c>
      <c r="Q104" s="12">
        <v>5</v>
      </c>
      <c r="R104" s="13">
        <v>3</v>
      </c>
      <c r="S104" s="7">
        <f t="shared" si="87"/>
        <v>10</v>
      </c>
      <c r="T104" s="59">
        <v>45919</v>
      </c>
    </row>
    <row r="105" spans="1:22" x14ac:dyDescent="0.15">
      <c r="A105" s="6" t="s">
        <v>87</v>
      </c>
      <c r="B105" s="11"/>
      <c r="C105" s="12">
        <v>2</v>
      </c>
      <c r="D105" s="13"/>
      <c r="E105" s="7">
        <f t="shared" si="84"/>
        <v>2</v>
      </c>
      <c r="F105" s="11"/>
      <c r="G105" s="12">
        <v>2</v>
      </c>
      <c r="H105" s="13"/>
      <c r="I105" s="7">
        <f t="shared" si="85"/>
        <v>2</v>
      </c>
      <c r="J105" s="32">
        <v>45965</v>
      </c>
      <c r="K105" s="14" t="s">
        <v>82</v>
      </c>
      <c r="L105" s="11"/>
      <c r="M105" s="12"/>
      <c r="N105" s="13">
        <v>5</v>
      </c>
      <c r="O105" s="7">
        <f t="shared" si="86"/>
        <v>5</v>
      </c>
      <c r="P105" s="11"/>
      <c r="Q105" s="12"/>
      <c r="R105" s="13">
        <v>5</v>
      </c>
      <c r="S105" s="7">
        <f t="shared" si="87"/>
        <v>5</v>
      </c>
      <c r="T105" s="59">
        <v>45920</v>
      </c>
    </row>
    <row r="106" spans="1:22" x14ac:dyDescent="0.15">
      <c r="A106" s="6" t="s">
        <v>89</v>
      </c>
      <c r="B106" s="11"/>
      <c r="C106" s="12"/>
      <c r="D106" s="13">
        <v>2</v>
      </c>
      <c r="E106" s="7">
        <f t="shared" si="84"/>
        <v>2</v>
      </c>
      <c r="F106" s="11"/>
      <c r="G106" s="12"/>
      <c r="H106" s="13">
        <v>2</v>
      </c>
      <c r="I106" s="7">
        <f t="shared" si="85"/>
        <v>2</v>
      </c>
      <c r="J106" s="32">
        <v>45967</v>
      </c>
      <c r="K106" s="6" t="s">
        <v>93</v>
      </c>
      <c r="L106" s="11"/>
      <c r="M106" s="12"/>
      <c r="N106" s="13">
        <v>1</v>
      </c>
      <c r="O106" s="7">
        <f t="shared" si="86"/>
        <v>1</v>
      </c>
      <c r="P106" s="11"/>
      <c r="Q106" s="12"/>
      <c r="R106" s="13">
        <v>1</v>
      </c>
      <c r="S106" s="7">
        <f t="shared" si="87"/>
        <v>1</v>
      </c>
      <c r="T106" s="59">
        <v>45988</v>
      </c>
      <c r="U106" s="33"/>
      <c r="V106" s="33"/>
    </row>
    <row r="107" spans="1:22" x14ac:dyDescent="0.15">
      <c r="A107" s="6" t="s">
        <v>90</v>
      </c>
      <c r="B107" s="11"/>
      <c r="C107" s="12">
        <v>1</v>
      </c>
      <c r="D107" s="13"/>
      <c r="E107" s="10">
        <f t="shared" si="84"/>
        <v>1</v>
      </c>
      <c r="F107" s="11"/>
      <c r="G107" s="12">
        <v>1</v>
      </c>
      <c r="H107" s="13"/>
      <c r="I107" s="10">
        <f t="shared" si="85"/>
        <v>1</v>
      </c>
      <c r="J107" s="32">
        <v>45968</v>
      </c>
      <c r="K107" s="56" t="s">
        <v>24</v>
      </c>
      <c r="L107" s="57"/>
      <c r="M107" s="53">
        <v>10</v>
      </c>
      <c r="N107" s="52"/>
      <c r="O107" s="58">
        <f t="shared" si="86"/>
        <v>10</v>
      </c>
      <c r="P107" s="57"/>
      <c r="Q107" s="53">
        <v>10</v>
      </c>
      <c r="R107" s="52"/>
      <c r="S107" s="58">
        <f t="shared" si="87"/>
        <v>10</v>
      </c>
      <c r="T107" s="63">
        <v>46016</v>
      </c>
      <c r="U107" s="33"/>
      <c r="V107" s="33"/>
    </row>
    <row r="108" spans="1:22" x14ac:dyDescent="0.15">
      <c r="A108" s="6" t="s">
        <v>92</v>
      </c>
      <c r="B108" s="11">
        <v>1</v>
      </c>
      <c r="C108" s="12"/>
      <c r="D108" s="13"/>
      <c r="E108" s="10">
        <f t="shared" si="84"/>
        <v>1</v>
      </c>
      <c r="F108" s="11">
        <v>1</v>
      </c>
      <c r="G108" s="12"/>
      <c r="H108" s="13"/>
      <c r="I108" s="10">
        <f t="shared" si="85"/>
        <v>1</v>
      </c>
      <c r="J108" s="32">
        <v>45980</v>
      </c>
      <c r="K108" s="6"/>
      <c r="L108" s="11"/>
      <c r="M108" s="12"/>
      <c r="N108" s="13"/>
      <c r="O108" s="10">
        <f t="shared" si="86"/>
        <v>0</v>
      </c>
      <c r="P108" s="11"/>
      <c r="Q108" s="12"/>
      <c r="R108" s="13"/>
      <c r="S108" s="10">
        <f t="shared" si="87"/>
        <v>0</v>
      </c>
      <c r="T108" s="59"/>
    </row>
    <row r="109" spans="1:22" x14ac:dyDescent="0.15">
      <c r="A109" s="14" t="s">
        <v>94</v>
      </c>
      <c r="B109" s="11"/>
      <c r="C109" s="12"/>
      <c r="D109" s="13">
        <v>1</v>
      </c>
      <c r="E109" s="10">
        <f t="shared" si="84"/>
        <v>1</v>
      </c>
      <c r="F109" s="11"/>
      <c r="G109" s="12"/>
      <c r="H109" s="13">
        <v>1</v>
      </c>
      <c r="I109" s="10">
        <f t="shared" si="85"/>
        <v>1</v>
      </c>
      <c r="J109" s="36">
        <v>45989</v>
      </c>
      <c r="K109" s="6"/>
      <c r="L109" s="11"/>
      <c r="M109" s="12"/>
      <c r="N109" s="13"/>
      <c r="O109" s="10">
        <f t="shared" si="86"/>
        <v>0</v>
      </c>
      <c r="P109" s="11"/>
      <c r="Q109" s="12"/>
      <c r="R109" s="13"/>
      <c r="S109" s="10">
        <f t="shared" si="87"/>
        <v>0</v>
      </c>
      <c r="T109" s="60"/>
    </row>
    <row r="110" spans="1:22" x14ac:dyDescent="0.15">
      <c r="A110" s="6" t="s">
        <v>99</v>
      </c>
      <c r="B110" s="11">
        <v>1</v>
      </c>
      <c r="C110" s="12"/>
      <c r="D110" s="13"/>
      <c r="E110" s="10">
        <f t="shared" si="84"/>
        <v>1</v>
      </c>
      <c r="F110" s="11">
        <v>1</v>
      </c>
      <c r="G110" s="12"/>
      <c r="H110" s="13"/>
      <c r="I110" s="10">
        <f t="shared" si="85"/>
        <v>1</v>
      </c>
      <c r="J110" s="32">
        <v>46009</v>
      </c>
      <c r="K110" s="6"/>
      <c r="L110" s="11"/>
      <c r="M110" s="12"/>
      <c r="N110" s="13"/>
      <c r="O110" s="10">
        <f t="shared" si="86"/>
        <v>0</v>
      </c>
      <c r="P110" s="11"/>
      <c r="Q110" s="12"/>
      <c r="R110" s="13"/>
      <c r="S110" s="10">
        <f t="shared" si="87"/>
        <v>0</v>
      </c>
    </row>
    <row r="111" spans="1:22" x14ac:dyDescent="0.15">
      <c r="A111" s="6" t="s">
        <v>100</v>
      </c>
      <c r="B111" s="11"/>
      <c r="C111" s="12"/>
      <c r="D111" s="13">
        <v>1</v>
      </c>
      <c r="E111" s="10">
        <f t="shared" si="84"/>
        <v>1</v>
      </c>
      <c r="F111" s="11"/>
      <c r="G111" s="12"/>
      <c r="H111" s="13">
        <v>1</v>
      </c>
      <c r="I111" s="10">
        <f t="shared" si="85"/>
        <v>1</v>
      </c>
      <c r="J111" s="32">
        <v>46010</v>
      </c>
      <c r="K111" s="6"/>
      <c r="L111" s="11"/>
      <c r="M111" s="12"/>
      <c r="N111" s="13"/>
      <c r="O111" s="10">
        <f t="shared" si="86"/>
        <v>0</v>
      </c>
      <c r="P111" s="11"/>
      <c r="Q111" s="12"/>
      <c r="R111" s="13"/>
      <c r="S111" s="10">
        <f t="shared" si="87"/>
        <v>0</v>
      </c>
    </row>
    <row r="112" spans="1:22" x14ac:dyDescent="0.15">
      <c r="A112" s="6" t="s">
        <v>101</v>
      </c>
      <c r="B112" s="11"/>
      <c r="C112" s="12">
        <v>1</v>
      </c>
      <c r="D112" s="13"/>
      <c r="E112" s="10">
        <f t="shared" si="84"/>
        <v>1</v>
      </c>
      <c r="F112" s="11"/>
      <c r="G112" s="12">
        <v>1</v>
      </c>
      <c r="H112" s="13"/>
      <c r="I112" s="10">
        <f t="shared" si="85"/>
        <v>1</v>
      </c>
      <c r="J112" s="32">
        <v>46013</v>
      </c>
      <c r="K112" s="6"/>
      <c r="L112" s="11"/>
      <c r="M112" s="12"/>
      <c r="N112" s="13"/>
      <c r="O112" s="10">
        <f t="shared" si="86"/>
        <v>0</v>
      </c>
      <c r="P112" s="11"/>
      <c r="Q112" s="12"/>
      <c r="R112" s="13"/>
      <c r="S112" s="10">
        <f t="shared" si="87"/>
        <v>0</v>
      </c>
    </row>
    <row r="113" spans="1:21" x14ac:dyDescent="0.15">
      <c r="A113" s="6" t="s">
        <v>102</v>
      </c>
      <c r="B113" s="11"/>
      <c r="C113" s="12">
        <v>1</v>
      </c>
      <c r="D113" s="13"/>
      <c r="E113" s="10">
        <f t="shared" si="84"/>
        <v>1</v>
      </c>
      <c r="F113" s="11"/>
      <c r="G113" s="12">
        <v>1</v>
      </c>
      <c r="H113" s="13"/>
      <c r="I113" s="10">
        <f t="shared" si="85"/>
        <v>1</v>
      </c>
      <c r="J113" s="32">
        <v>46017</v>
      </c>
      <c r="K113" s="6"/>
      <c r="L113" s="11"/>
      <c r="M113" s="12"/>
      <c r="N113" s="13"/>
      <c r="O113" s="10">
        <f t="shared" si="86"/>
        <v>0</v>
      </c>
      <c r="P113" s="11"/>
      <c r="Q113" s="12"/>
      <c r="R113" s="13"/>
      <c r="S113" s="10">
        <f t="shared" si="87"/>
        <v>0</v>
      </c>
    </row>
    <row r="114" spans="1:21" x14ac:dyDescent="0.15">
      <c r="A114" s="6" t="s">
        <v>103</v>
      </c>
      <c r="B114" s="11">
        <v>1</v>
      </c>
      <c r="C114" s="12"/>
      <c r="D114" s="13"/>
      <c r="E114" s="10">
        <f t="shared" si="84"/>
        <v>1</v>
      </c>
      <c r="F114" s="11">
        <v>1</v>
      </c>
      <c r="G114" s="12"/>
      <c r="H114" s="13"/>
      <c r="I114" s="10">
        <f t="shared" si="85"/>
        <v>1</v>
      </c>
      <c r="J114" s="32">
        <v>46036</v>
      </c>
      <c r="K114" s="6"/>
      <c r="L114" s="11"/>
      <c r="M114" s="12"/>
      <c r="N114" s="13"/>
      <c r="O114" s="10">
        <f t="shared" si="86"/>
        <v>0</v>
      </c>
      <c r="P114" s="11"/>
      <c r="Q114" s="12"/>
      <c r="R114" s="13"/>
      <c r="S114" s="10">
        <f t="shared" si="87"/>
        <v>0</v>
      </c>
    </row>
    <row r="115" spans="1:21" x14ac:dyDescent="0.15">
      <c r="A115" s="6" t="s">
        <v>103</v>
      </c>
      <c r="B115" s="11"/>
      <c r="C115" s="12">
        <v>2</v>
      </c>
      <c r="D115" s="13"/>
      <c r="E115" s="10">
        <f t="shared" si="84"/>
        <v>2</v>
      </c>
      <c r="F115" s="11"/>
      <c r="G115" s="12">
        <v>2</v>
      </c>
      <c r="H115" s="13"/>
      <c r="I115" s="10">
        <f t="shared" si="85"/>
        <v>2</v>
      </c>
      <c r="J115" s="32">
        <v>46037</v>
      </c>
      <c r="K115" s="14"/>
      <c r="L115" s="11"/>
      <c r="M115" s="12"/>
      <c r="N115" s="13"/>
      <c r="O115" s="10">
        <f t="shared" si="86"/>
        <v>0</v>
      </c>
      <c r="P115" s="11"/>
      <c r="Q115" s="12"/>
      <c r="R115" s="13"/>
      <c r="S115" s="10">
        <f t="shared" si="87"/>
        <v>0</v>
      </c>
    </row>
    <row r="116" spans="1:21" x14ac:dyDescent="0.15">
      <c r="A116" s="6"/>
      <c r="B116" s="11"/>
      <c r="C116" s="12"/>
      <c r="D116" s="13"/>
      <c r="E116" s="10">
        <f t="shared" si="84"/>
        <v>0</v>
      </c>
      <c r="F116" s="11"/>
      <c r="G116" s="12"/>
      <c r="H116" s="13"/>
      <c r="I116" s="10">
        <f t="shared" si="85"/>
        <v>0</v>
      </c>
      <c r="J116" s="32"/>
      <c r="K116" s="6"/>
      <c r="L116" s="11"/>
      <c r="M116" s="12"/>
      <c r="N116" s="13"/>
      <c r="O116" s="10">
        <f t="shared" si="86"/>
        <v>0</v>
      </c>
      <c r="P116" s="11"/>
      <c r="Q116" s="12"/>
      <c r="R116" s="13"/>
      <c r="S116" s="10">
        <f t="shared" si="87"/>
        <v>0</v>
      </c>
    </row>
    <row r="117" spans="1:21" x14ac:dyDescent="0.15">
      <c r="A117" s="6"/>
      <c r="B117" s="11"/>
      <c r="C117" s="12"/>
      <c r="D117" s="13"/>
      <c r="E117" s="10">
        <f t="shared" si="84"/>
        <v>0</v>
      </c>
      <c r="F117" s="11"/>
      <c r="G117" s="12"/>
      <c r="H117" s="13"/>
      <c r="I117" s="10">
        <f t="shared" si="85"/>
        <v>0</v>
      </c>
      <c r="J117" s="36"/>
      <c r="K117" s="14"/>
      <c r="L117" s="11"/>
      <c r="M117" s="12"/>
      <c r="N117" s="13"/>
      <c r="O117" s="10">
        <f t="shared" si="86"/>
        <v>0</v>
      </c>
      <c r="P117" s="11"/>
      <c r="Q117" s="12"/>
      <c r="R117" s="13"/>
      <c r="S117" s="10">
        <f t="shared" si="87"/>
        <v>0</v>
      </c>
    </row>
    <row r="118" spans="1:21" x14ac:dyDescent="0.15">
      <c r="A118" s="6"/>
      <c r="B118" s="11"/>
      <c r="C118" s="12"/>
      <c r="D118" s="13"/>
      <c r="E118" s="10">
        <f t="shared" si="84"/>
        <v>0</v>
      </c>
      <c r="F118" s="11"/>
      <c r="G118" s="12"/>
      <c r="H118" s="13"/>
      <c r="I118" s="10">
        <f t="shared" si="85"/>
        <v>0</v>
      </c>
      <c r="J118" s="32"/>
      <c r="K118" s="14"/>
      <c r="L118" s="15"/>
      <c r="M118" s="16"/>
      <c r="N118" s="17"/>
      <c r="O118" s="10">
        <f t="shared" si="86"/>
        <v>0</v>
      </c>
      <c r="P118" s="15"/>
      <c r="Q118" s="16"/>
      <c r="R118" s="17"/>
      <c r="S118" s="10">
        <f t="shared" si="87"/>
        <v>0</v>
      </c>
      <c r="T118" s="62"/>
    </row>
    <row r="119" spans="1:21" x14ac:dyDescent="0.15">
      <c r="A119" s="6"/>
      <c r="B119" s="11"/>
      <c r="C119" s="12"/>
      <c r="D119" s="13"/>
      <c r="E119" s="10">
        <f t="shared" si="84"/>
        <v>0</v>
      </c>
      <c r="F119" s="11"/>
      <c r="G119" s="12"/>
      <c r="H119" s="13"/>
      <c r="I119" s="10">
        <f t="shared" si="85"/>
        <v>0</v>
      </c>
      <c r="J119" s="32"/>
      <c r="K119" s="14"/>
      <c r="L119" s="11"/>
      <c r="M119" s="12"/>
      <c r="N119" s="13"/>
      <c r="O119" s="10">
        <f t="shared" si="86"/>
        <v>0</v>
      </c>
      <c r="P119" s="11"/>
      <c r="Q119" s="12"/>
      <c r="R119" s="13"/>
      <c r="S119" s="10">
        <f t="shared" si="87"/>
        <v>0</v>
      </c>
      <c r="T119" s="62"/>
    </row>
    <row r="120" spans="1:21" x14ac:dyDescent="0.15">
      <c r="A120" s="6"/>
      <c r="B120" s="11"/>
      <c r="C120" s="12"/>
      <c r="D120" s="13"/>
      <c r="E120" s="10">
        <f t="shared" si="84"/>
        <v>0</v>
      </c>
      <c r="F120" s="11"/>
      <c r="G120" s="12"/>
      <c r="H120" s="13"/>
      <c r="I120" s="10">
        <f t="shared" si="85"/>
        <v>0</v>
      </c>
      <c r="J120" s="32"/>
      <c r="K120" s="14"/>
      <c r="L120" s="15"/>
      <c r="M120" s="16"/>
      <c r="N120" s="17"/>
      <c r="O120" s="10">
        <f t="shared" si="86"/>
        <v>0</v>
      </c>
      <c r="P120" s="15"/>
      <c r="Q120" s="16"/>
      <c r="R120" s="17"/>
      <c r="S120" s="10">
        <f t="shared" si="87"/>
        <v>0</v>
      </c>
      <c r="T120" s="62"/>
    </row>
    <row r="121" spans="1:21" x14ac:dyDescent="0.15">
      <c r="A121" s="6"/>
      <c r="B121" s="11"/>
      <c r="C121" s="12"/>
      <c r="D121" s="13"/>
      <c r="E121" s="10">
        <f t="shared" si="84"/>
        <v>0</v>
      </c>
      <c r="F121" s="11"/>
      <c r="G121" s="12"/>
      <c r="H121" s="13"/>
      <c r="I121" s="10">
        <f t="shared" si="85"/>
        <v>0</v>
      </c>
      <c r="J121" s="36"/>
      <c r="K121" s="34"/>
      <c r="L121" s="11"/>
      <c r="M121" s="12"/>
      <c r="N121" s="13"/>
      <c r="O121" s="10">
        <f t="shared" si="86"/>
        <v>0</v>
      </c>
      <c r="P121" s="11"/>
      <c r="Q121" s="12"/>
      <c r="R121" s="13"/>
      <c r="S121" s="10">
        <f t="shared" si="87"/>
        <v>0</v>
      </c>
      <c r="T121" s="62"/>
    </row>
    <row r="122" spans="1:21" x14ac:dyDescent="0.15">
      <c r="A122" s="6"/>
      <c r="B122" s="11"/>
      <c r="C122" s="12"/>
      <c r="D122" s="13"/>
      <c r="E122" s="10">
        <f t="shared" si="84"/>
        <v>0</v>
      </c>
      <c r="F122" s="11"/>
      <c r="G122" s="12"/>
      <c r="H122" s="13"/>
      <c r="I122" s="10">
        <f t="shared" si="85"/>
        <v>0</v>
      </c>
      <c r="J122" s="32"/>
      <c r="K122" s="14"/>
      <c r="L122" s="11"/>
      <c r="M122" s="12"/>
      <c r="N122" s="13"/>
      <c r="O122" s="10">
        <f t="shared" si="86"/>
        <v>0</v>
      </c>
      <c r="P122" s="11"/>
      <c r="Q122" s="12"/>
      <c r="R122" s="13"/>
      <c r="S122" s="10">
        <f t="shared" si="87"/>
        <v>0</v>
      </c>
      <c r="T122" s="62"/>
    </row>
    <row r="123" spans="1:21" x14ac:dyDescent="0.15">
      <c r="A123" s="6"/>
      <c r="B123" s="11"/>
      <c r="C123" s="12"/>
      <c r="D123" s="13"/>
      <c r="E123" s="10">
        <f t="shared" si="84"/>
        <v>0</v>
      </c>
      <c r="F123" s="11"/>
      <c r="G123" s="12"/>
      <c r="H123" s="13"/>
      <c r="I123" s="10">
        <f t="shared" si="85"/>
        <v>0</v>
      </c>
      <c r="J123" s="32"/>
      <c r="K123" s="14" t="s">
        <v>74</v>
      </c>
      <c r="L123" s="11"/>
      <c r="M123" s="12"/>
      <c r="N123" s="13"/>
      <c r="O123" s="10">
        <f t="shared" si="86"/>
        <v>0</v>
      </c>
      <c r="P123" s="11"/>
      <c r="Q123" s="12"/>
      <c r="R123" s="13"/>
      <c r="S123" s="10">
        <f t="shared" si="87"/>
        <v>0</v>
      </c>
      <c r="T123" s="62" t="s">
        <v>75</v>
      </c>
    </row>
    <row r="124" spans="1:21" x14ac:dyDescent="0.15">
      <c r="A124" s="6"/>
      <c r="B124" s="11"/>
      <c r="C124" s="12"/>
      <c r="D124" s="13"/>
      <c r="E124" s="10">
        <f t="shared" si="84"/>
        <v>0</v>
      </c>
      <c r="F124" s="11"/>
      <c r="G124" s="12"/>
      <c r="H124" s="13"/>
      <c r="I124" s="10">
        <f t="shared" si="85"/>
        <v>0</v>
      </c>
      <c r="J124" s="36"/>
      <c r="K124" s="8" t="s">
        <v>61</v>
      </c>
      <c r="L124" s="45"/>
      <c r="M124" s="46"/>
      <c r="N124" s="47"/>
      <c r="O124" s="48">
        <f t="shared" ref="O124:O125" si="91">SUM(L124:N124)</f>
        <v>0</v>
      </c>
      <c r="P124" s="45"/>
      <c r="Q124" s="46"/>
      <c r="R124" s="47"/>
      <c r="S124" s="48">
        <f t="shared" ref="S124:S125" si="92">SUM(P124:R124)</f>
        <v>0</v>
      </c>
      <c r="T124" s="66"/>
    </row>
    <row r="125" spans="1:21" ht="14.25" thickBot="1" x14ac:dyDescent="0.2">
      <c r="A125" s="6"/>
      <c r="B125" s="11"/>
      <c r="C125" s="12"/>
      <c r="D125" s="13"/>
      <c r="E125" s="10">
        <f t="shared" si="84"/>
        <v>0</v>
      </c>
      <c r="F125" s="11"/>
      <c r="G125" s="12"/>
      <c r="H125" s="13"/>
      <c r="I125" s="10">
        <f t="shared" si="85"/>
        <v>0</v>
      </c>
      <c r="J125" s="36"/>
      <c r="K125" s="14" t="s">
        <v>76</v>
      </c>
      <c r="L125" s="11"/>
      <c r="M125" s="12"/>
      <c r="N125" s="13"/>
      <c r="O125" s="10">
        <f t="shared" si="91"/>
        <v>0</v>
      </c>
      <c r="P125" s="11"/>
      <c r="Q125" s="12"/>
      <c r="R125" s="13"/>
      <c r="S125" s="10">
        <f t="shared" si="92"/>
        <v>0</v>
      </c>
      <c r="T125" s="62" t="s">
        <v>59</v>
      </c>
    </row>
    <row r="126" spans="1:21" ht="14.25" thickBot="1" x14ac:dyDescent="0.2">
      <c r="A126" s="5" t="s">
        <v>5</v>
      </c>
      <c r="B126" s="18">
        <f>SUM(B102:B125)</f>
        <v>4</v>
      </c>
      <c r="C126" s="18">
        <f>SUM(C102:C125)</f>
        <v>9</v>
      </c>
      <c r="D126" s="18">
        <f>SUM(D102:D125)</f>
        <v>5</v>
      </c>
      <c r="E126" s="19">
        <f t="shared" si="84"/>
        <v>18</v>
      </c>
      <c r="F126" s="18">
        <f>SUM(F102:F125)</f>
        <v>4</v>
      </c>
      <c r="G126" s="18">
        <f>SUM(G102:G125)</f>
        <v>9</v>
      </c>
      <c r="H126" s="18">
        <f>SUM(H102:H125)</f>
        <v>5</v>
      </c>
      <c r="I126" s="19">
        <f t="shared" si="85"/>
        <v>18</v>
      </c>
      <c r="K126" s="5" t="s">
        <v>5</v>
      </c>
      <c r="L126" s="18">
        <f>SUM(L102:L125)</f>
        <v>15</v>
      </c>
      <c r="M126" s="18">
        <f t="shared" ref="M126:S126" si="93">SUM(M102:M125)</f>
        <v>35</v>
      </c>
      <c r="N126" s="18">
        <f t="shared" si="93"/>
        <v>20</v>
      </c>
      <c r="O126" s="19">
        <f t="shared" si="93"/>
        <v>70</v>
      </c>
      <c r="P126" s="18">
        <f t="shared" si="93"/>
        <v>15</v>
      </c>
      <c r="Q126" s="18">
        <f t="shared" si="93"/>
        <v>35</v>
      </c>
      <c r="R126" s="18">
        <f t="shared" si="93"/>
        <v>20</v>
      </c>
      <c r="S126" s="19">
        <f t="shared" si="93"/>
        <v>70</v>
      </c>
    </row>
    <row r="127" spans="1:21" ht="14.25" thickBot="1" x14ac:dyDescent="0.2">
      <c r="A127" s="28" t="s">
        <v>6</v>
      </c>
      <c r="B127" s="29">
        <f t="shared" ref="B127:I127" si="94">B101-B126</f>
        <v>9</v>
      </c>
      <c r="C127" s="29">
        <f t="shared" si="94"/>
        <v>8</v>
      </c>
      <c r="D127" s="29">
        <f t="shared" si="94"/>
        <v>9</v>
      </c>
      <c r="E127" s="29">
        <f t="shared" si="94"/>
        <v>26</v>
      </c>
      <c r="F127" s="29">
        <f t="shared" si="94"/>
        <v>9</v>
      </c>
      <c r="G127" s="29">
        <f t="shared" si="94"/>
        <v>8</v>
      </c>
      <c r="H127" s="29">
        <f t="shared" si="94"/>
        <v>9</v>
      </c>
      <c r="I127" s="27">
        <f t="shared" si="94"/>
        <v>26</v>
      </c>
      <c r="K127" s="28" t="s">
        <v>6</v>
      </c>
      <c r="L127" s="29">
        <f>L101-L126</f>
        <v>53</v>
      </c>
      <c r="M127" s="29">
        <f t="shared" ref="M127:S127" si="95">M101-M126</f>
        <v>72</v>
      </c>
      <c r="N127" s="29">
        <f t="shared" si="95"/>
        <v>63</v>
      </c>
      <c r="O127" s="29">
        <f t="shared" si="95"/>
        <v>188</v>
      </c>
      <c r="P127" s="29">
        <f t="shared" si="95"/>
        <v>53</v>
      </c>
      <c r="Q127" s="29">
        <f t="shared" si="95"/>
        <v>72</v>
      </c>
      <c r="R127" s="29">
        <f t="shared" si="95"/>
        <v>63</v>
      </c>
      <c r="S127" s="27">
        <f t="shared" si="95"/>
        <v>188</v>
      </c>
      <c r="U127" t="s">
        <v>73</v>
      </c>
    </row>
    <row r="129" spans="1:29" ht="41.25" customHeight="1" x14ac:dyDescent="0.15">
      <c r="A129" s="82" t="s">
        <v>88</v>
      </c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</row>
    <row r="130" spans="1:29" ht="19.5" thickBot="1" x14ac:dyDescent="0.25">
      <c r="A130" s="2" t="s">
        <v>20</v>
      </c>
      <c r="B130" s="3"/>
      <c r="C130" s="3"/>
      <c r="D130" s="3"/>
      <c r="E130" s="3"/>
      <c r="G130" s="1"/>
      <c r="H130" s="41">
        <v>570</v>
      </c>
      <c r="I130" s="1"/>
      <c r="K130" s="2" t="s">
        <v>109</v>
      </c>
      <c r="L130" s="3"/>
      <c r="M130" s="3"/>
      <c r="N130" s="3"/>
      <c r="O130" s="3"/>
      <c r="P130" s="1"/>
      <c r="Q130" s="1"/>
      <c r="R130" s="41"/>
      <c r="S130" s="1"/>
      <c r="U130" s="2" t="s">
        <v>91</v>
      </c>
      <c r="V130" s="3"/>
      <c r="W130" s="3"/>
      <c r="X130" s="3"/>
      <c r="Y130" s="3"/>
      <c r="Z130" s="1"/>
      <c r="AA130" s="1"/>
      <c r="AB130" s="41"/>
      <c r="AC130" s="1"/>
    </row>
    <row r="131" spans="1:29" ht="14.25" thickBot="1" x14ac:dyDescent="0.2">
      <c r="A131" s="4" t="s">
        <v>0</v>
      </c>
      <c r="B131" s="80" t="s">
        <v>12</v>
      </c>
      <c r="C131" s="80"/>
      <c r="D131" s="80"/>
      <c r="E131" s="81"/>
      <c r="F131" s="78" t="s">
        <v>16</v>
      </c>
      <c r="G131" s="78"/>
      <c r="H131" s="78"/>
      <c r="I131" s="79"/>
      <c r="K131" s="4" t="s">
        <v>0</v>
      </c>
      <c r="L131" s="80" t="s">
        <v>12</v>
      </c>
      <c r="M131" s="80"/>
      <c r="N131" s="80"/>
      <c r="O131" s="81"/>
      <c r="P131" s="78" t="s">
        <v>16</v>
      </c>
      <c r="Q131" s="78"/>
      <c r="R131" s="78"/>
      <c r="S131" s="79"/>
      <c r="U131" s="4" t="s">
        <v>0</v>
      </c>
      <c r="V131" s="80" t="s">
        <v>12</v>
      </c>
      <c r="W131" s="80"/>
      <c r="X131" s="80"/>
      <c r="Y131" s="81"/>
      <c r="Z131" s="78" t="s">
        <v>16</v>
      </c>
      <c r="AA131" s="78"/>
      <c r="AB131" s="78"/>
      <c r="AC131" s="79"/>
    </row>
    <row r="132" spans="1:29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  <c r="U132" s="4" t="s">
        <v>1</v>
      </c>
      <c r="V132" s="5" t="s">
        <v>7</v>
      </c>
      <c r="W132" s="4" t="s">
        <v>8</v>
      </c>
      <c r="X132" s="22" t="s">
        <v>9</v>
      </c>
      <c r="Y132" s="4" t="s">
        <v>2</v>
      </c>
      <c r="Z132" s="5" t="s">
        <v>7</v>
      </c>
      <c r="AA132" s="4" t="s">
        <v>8</v>
      </c>
      <c r="AB132" s="22" t="s">
        <v>9</v>
      </c>
      <c r="AC132" s="4" t="s">
        <v>2</v>
      </c>
    </row>
    <row r="133" spans="1:29" x14ac:dyDescent="0.15">
      <c r="A133" s="35" t="s">
        <v>15</v>
      </c>
      <c r="B133" s="38">
        <f>B127</f>
        <v>9</v>
      </c>
      <c r="C133" s="39">
        <f>C127</f>
        <v>8</v>
      </c>
      <c r="D133" s="40">
        <f>D127</f>
        <v>9</v>
      </c>
      <c r="E133" s="21">
        <f>SUM(B133:D133)</f>
        <v>26</v>
      </c>
      <c r="F133" s="38">
        <f>F127</f>
        <v>9</v>
      </c>
      <c r="G133" s="39">
        <f>G127</f>
        <v>8</v>
      </c>
      <c r="H133" s="40">
        <f>H127</f>
        <v>9</v>
      </c>
      <c r="I133" s="21">
        <f>SUM(F133:H133)</f>
        <v>26</v>
      </c>
      <c r="K133" s="35" t="s">
        <v>15</v>
      </c>
      <c r="L133" s="38">
        <f>L127</f>
        <v>53</v>
      </c>
      <c r="M133" s="39">
        <f t="shared" ref="M133:S133" si="96">M127</f>
        <v>72</v>
      </c>
      <c r="N133" s="40">
        <f t="shared" si="96"/>
        <v>63</v>
      </c>
      <c r="O133" s="21">
        <f t="shared" si="96"/>
        <v>188</v>
      </c>
      <c r="P133" s="38">
        <f t="shared" si="96"/>
        <v>53</v>
      </c>
      <c r="Q133" s="39">
        <f t="shared" si="96"/>
        <v>72</v>
      </c>
      <c r="R133" s="40">
        <f t="shared" si="96"/>
        <v>63</v>
      </c>
      <c r="S133" s="21">
        <f t="shared" si="96"/>
        <v>188</v>
      </c>
      <c r="T133" s="65"/>
      <c r="U133" s="35" t="s">
        <v>15</v>
      </c>
      <c r="V133" s="38">
        <f>V127</f>
        <v>0</v>
      </c>
      <c r="W133" s="39">
        <f t="shared" ref="W133:AC133" si="97">W127</f>
        <v>0</v>
      </c>
      <c r="X133" s="40">
        <f t="shared" si="97"/>
        <v>0</v>
      </c>
      <c r="Y133" s="21">
        <f t="shared" si="97"/>
        <v>0</v>
      </c>
      <c r="Z133" s="38">
        <f t="shared" si="97"/>
        <v>0</v>
      </c>
      <c r="AA133" s="39">
        <f t="shared" si="97"/>
        <v>0</v>
      </c>
      <c r="AB133" s="40">
        <f t="shared" si="97"/>
        <v>0</v>
      </c>
      <c r="AC133" s="21">
        <f t="shared" si="97"/>
        <v>0</v>
      </c>
    </row>
    <row r="134" spans="1:29" x14ac:dyDescent="0.15">
      <c r="A134" s="8" t="s">
        <v>3</v>
      </c>
      <c r="B134" s="13"/>
      <c r="C134" s="12"/>
      <c r="D134" s="13">
        <v>5</v>
      </c>
      <c r="E134" s="7">
        <f t="shared" ref="E134:E169" si="98">SUM(B134:D134)</f>
        <v>5</v>
      </c>
      <c r="F134" s="13"/>
      <c r="G134" s="12"/>
      <c r="H134" s="13">
        <v>5</v>
      </c>
      <c r="I134" s="7">
        <f t="shared" ref="I134:I169" si="99">SUM(F134:H134)</f>
        <v>5</v>
      </c>
      <c r="J134" s="32">
        <v>46088</v>
      </c>
      <c r="K134" s="8" t="s">
        <v>122</v>
      </c>
      <c r="L134" s="13">
        <v>5</v>
      </c>
      <c r="M134" s="12">
        <v>6</v>
      </c>
      <c r="N134" s="13">
        <v>3</v>
      </c>
      <c r="O134" s="7">
        <f t="shared" ref="O134:O143" si="100">SUM(L134:N134)</f>
        <v>14</v>
      </c>
      <c r="P134" s="13">
        <v>5</v>
      </c>
      <c r="Q134" s="12">
        <v>6</v>
      </c>
      <c r="R134" s="13">
        <v>3</v>
      </c>
      <c r="S134" s="7">
        <f t="shared" ref="S134:S143" si="101">SUM(P134:R134)</f>
        <v>14</v>
      </c>
      <c r="T134" s="60">
        <v>46102</v>
      </c>
      <c r="U134" s="8" t="s">
        <v>3</v>
      </c>
      <c r="V134" s="13"/>
      <c r="W134" s="12"/>
      <c r="X134" s="13"/>
      <c r="Y134" s="7">
        <f t="shared" ref="Y134:Y143" si="102">SUM(V134:X134)</f>
        <v>0</v>
      </c>
      <c r="Z134" s="13"/>
      <c r="AA134" s="12"/>
      <c r="AB134" s="13"/>
      <c r="AC134" s="7">
        <f t="shared" ref="AC134:AC143" si="103">SUM(Z134:AB134)</f>
        <v>0</v>
      </c>
    </row>
    <row r="135" spans="1:29" x14ac:dyDescent="0.15">
      <c r="A135" s="8" t="s">
        <v>84</v>
      </c>
      <c r="B135" s="13">
        <v>5</v>
      </c>
      <c r="C135" s="12">
        <v>8</v>
      </c>
      <c r="D135" s="13">
        <v>8</v>
      </c>
      <c r="E135" s="7">
        <f t="shared" si="98"/>
        <v>21</v>
      </c>
      <c r="F135" s="13">
        <v>5</v>
      </c>
      <c r="G135" s="12">
        <v>8</v>
      </c>
      <c r="H135" s="13">
        <v>8</v>
      </c>
      <c r="I135" s="7">
        <f t="shared" si="99"/>
        <v>21</v>
      </c>
      <c r="J135" s="36">
        <v>46091</v>
      </c>
      <c r="K135" s="8" t="s">
        <v>3</v>
      </c>
      <c r="L135" s="13"/>
      <c r="M135" s="12"/>
      <c r="N135" s="13"/>
      <c r="O135" s="7">
        <f t="shared" ref="O135" si="104">SUM(L135:N135)</f>
        <v>0</v>
      </c>
      <c r="P135" s="13"/>
      <c r="Q135" s="12"/>
      <c r="R135" s="13"/>
      <c r="S135" s="7">
        <f t="shared" ref="S135" si="105">SUM(P135:R135)</f>
        <v>0</v>
      </c>
      <c r="U135" s="8" t="s">
        <v>3</v>
      </c>
      <c r="V135" s="13"/>
      <c r="W135" s="12"/>
      <c r="X135" s="13"/>
      <c r="Y135" s="7">
        <f t="shared" ref="Y135" si="106">SUM(V135:X135)</f>
        <v>0</v>
      </c>
      <c r="Z135" s="13"/>
      <c r="AA135" s="12"/>
      <c r="AB135" s="13"/>
      <c r="AC135" s="7">
        <f t="shared" ref="AC135" si="107">SUM(Z135:AB135)</f>
        <v>0</v>
      </c>
    </row>
    <row r="136" spans="1:29" x14ac:dyDescent="0.15">
      <c r="A136" s="8" t="s">
        <v>84</v>
      </c>
      <c r="B136" s="13">
        <v>3</v>
      </c>
      <c r="C136" s="12">
        <v>4</v>
      </c>
      <c r="D136" s="13">
        <v>2</v>
      </c>
      <c r="E136" s="7">
        <f t="shared" si="98"/>
        <v>9</v>
      </c>
      <c r="F136" s="13">
        <v>3</v>
      </c>
      <c r="G136" s="12">
        <v>4</v>
      </c>
      <c r="H136" s="13">
        <v>2</v>
      </c>
      <c r="I136" s="7">
        <f t="shared" si="99"/>
        <v>9</v>
      </c>
      <c r="J136" s="36">
        <v>46094</v>
      </c>
      <c r="K136" s="8" t="s">
        <v>3</v>
      </c>
      <c r="L136" s="13"/>
      <c r="M136" s="12"/>
      <c r="N136" s="13"/>
      <c r="O136" s="7">
        <f t="shared" si="100"/>
        <v>0</v>
      </c>
      <c r="P136" s="13"/>
      <c r="Q136" s="12"/>
      <c r="R136" s="13"/>
      <c r="S136" s="7">
        <f t="shared" si="101"/>
        <v>0</v>
      </c>
      <c r="U136" s="8" t="s">
        <v>3</v>
      </c>
      <c r="V136" s="13"/>
      <c r="W136" s="12"/>
      <c r="X136" s="13"/>
      <c r="Y136" s="7">
        <f t="shared" si="102"/>
        <v>0</v>
      </c>
      <c r="Z136" s="13"/>
      <c r="AA136" s="12"/>
      <c r="AB136" s="13"/>
      <c r="AC136" s="7">
        <f t="shared" si="103"/>
        <v>0</v>
      </c>
    </row>
    <row r="137" spans="1:29" x14ac:dyDescent="0.15">
      <c r="A137" s="8" t="s">
        <v>3</v>
      </c>
      <c r="B137" s="13"/>
      <c r="C137" s="12"/>
      <c r="D137" s="13"/>
      <c r="E137" s="7">
        <f t="shared" si="98"/>
        <v>0</v>
      </c>
      <c r="F137" s="13"/>
      <c r="G137" s="12"/>
      <c r="H137" s="13"/>
      <c r="I137" s="7">
        <f t="shared" si="99"/>
        <v>0</v>
      </c>
      <c r="K137" s="8" t="s">
        <v>3</v>
      </c>
      <c r="L137" s="13"/>
      <c r="M137" s="12"/>
      <c r="N137" s="13"/>
      <c r="O137" s="7">
        <f t="shared" si="100"/>
        <v>0</v>
      </c>
      <c r="P137" s="13"/>
      <c r="Q137" s="12"/>
      <c r="R137" s="13"/>
      <c r="S137" s="7">
        <f t="shared" si="101"/>
        <v>0</v>
      </c>
      <c r="U137" s="8" t="s">
        <v>3</v>
      </c>
      <c r="V137" s="13"/>
      <c r="W137" s="12"/>
      <c r="X137" s="13"/>
      <c r="Y137" s="7">
        <f t="shared" si="102"/>
        <v>0</v>
      </c>
      <c r="Z137" s="13"/>
      <c r="AA137" s="12"/>
      <c r="AB137" s="13"/>
      <c r="AC137" s="7">
        <f t="shared" si="103"/>
        <v>0</v>
      </c>
    </row>
    <row r="138" spans="1:29" x14ac:dyDescent="0.15">
      <c r="A138" s="8" t="s">
        <v>3</v>
      </c>
      <c r="B138" s="13"/>
      <c r="C138" s="12"/>
      <c r="D138" s="13"/>
      <c r="E138" s="7">
        <f t="shared" si="98"/>
        <v>0</v>
      </c>
      <c r="F138" s="13"/>
      <c r="G138" s="12"/>
      <c r="H138" s="13"/>
      <c r="I138" s="7">
        <f t="shared" si="99"/>
        <v>0</v>
      </c>
      <c r="K138" s="8" t="s">
        <v>3</v>
      </c>
      <c r="L138" s="13"/>
      <c r="M138" s="12"/>
      <c r="N138" s="13"/>
      <c r="O138" s="7">
        <f t="shared" si="100"/>
        <v>0</v>
      </c>
      <c r="P138" s="13"/>
      <c r="Q138" s="12"/>
      <c r="R138" s="13"/>
      <c r="S138" s="7">
        <f t="shared" si="101"/>
        <v>0</v>
      </c>
      <c r="U138" s="8" t="s">
        <v>3</v>
      </c>
      <c r="V138" s="13"/>
      <c r="W138" s="12"/>
      <c r="X138" s="13"/>
      <c r="Y138" s="7">
        <f t="shared" si="102"/>
        <v>0</v>
      </c>
      <c r="Z138" s="13"/>
      <c r="AA138" s="12"/>
      <c r="AB138" s="13"/>
      <c r="AC138" s="7">
        <f t="shared" si="103"/>
        <v>0</v>
      </c>
    </row>
    <row r="139" spans="1:29" x14ac:dyDescent="0.15">
      <c r="A139" s="8" t="s">
        <v>3</v>
      </c>
      <c r="B139" s="13"/>
      <c r="C139" s="12"/>
      <c r="D139" s="13"/>
      <c r="E139" s="7">
        <f t="shared" si="98"/>
        <v>0</v>
      </c>
      <c r="F139" s="13"/>
      <c r="G139" s="12"/>
      <c r="H139" s="13"/>
      <c r="I139" s="7">
        <f t="shared" si="99"/>
        <v>0</v>
      </c>
      <c r="K139" s="8" t="s">
        <v>3</v>
      </c>
      <c r="L139" s="13"/>
      <c r="M139" s="12"/>
      <c r="N139" s="13"/>
      <c r="O139" s="7">
        <f t="shared" si="100"/>
        <v>0</v>
      </c>
      <c r="P139" s="13"/>
      <c r="Q139" s="12"/>
      <c r="R139" s="13"/>
      <c r="S139" s="7">
        <f t="shared" si="101"/>
        <v>0</v>
      </c>
      <c r="U139" s="8" t="s">
        <v>3</v>
      </c>
      <c r="V139" s="13"/>
      <c r="W139" s="12"/>
      <c r="X139" s="13"/>
      <c r="Y139" s="7">
        <f t="shared" si="102"/>
        <v>0</v>
      </c>
      <c r="Z139" s="13"/>
      <c r="AA139" s="12"/>
      <c r="AB139" s="13"/>
      <c r="AC139" s="7">
        <f t="shared" si="103"/>
        <v>0</v>
      </c>
    </row>
    <row r="140" spans="1:29" x14ac:dyDescent="0.15">
      <c r="A140" s="8" t="s">
        <v>3</v>
      </c>
      <c r="B140" s="13"/>
      <c r="C140" s="12"/>
      <c r="D140" s="13"/>
      <c r="E140" s="7">
        <f t="shared" si="98"/>
        <v>0</v>
      </c>
      <c r="F140" s="13"/>
      <c r="G140" s="12"/>
      <c r="H140" s="13"/>
      <c r="I140" s="7">
        <f t="shared" si="99"/>
        <v>0</v>
      </c>
      <c r="K140" s="8" t="s">
        <v>3</v>
      </c>
      <c r="L140" s="13"/>
      <c r="M140" s="12"/>
      <c r="N140" s="13"/>
      <c r="O140" s="7">
        <f t="shared" si="100"/>
        <v>0</v>
      </c>
      <c r="P140" s="13"/>
      <c r="Q140" s="12"/>
      <c r="R140" s="13"/>
      <c r="S140" s="7">
        <f t="shared" si="101"/>
        <v>0</v>
      </c>
      <c r="U140" s="8" t="s">
        <v>3</v>
      </c>
      <c r="V140" s="13"/>
      <c r="W140" s="12"/>
      <c r="X140" s="13"/>
      <c r="Y140" s="7">
        <f t="shared" si="102"/>
        <v>0</v>
      </c>
      <c r="Z140" s="13"/>
      <c r="AA140" s="12"/>
      <c r="AB140" s="13"/>
      <c r="AC140" s="7">
        <f t="shared" si="103"/>
        <v>0</v>
      </c>
    </row>
    <row r="141" spans="1:29" x14ac:dyDescent="0.15">
      <c r="A141" s="8" t="s">
        <v>3</v>
      </c>
      <c r="B141" s="13"/>
      <c r="C141" s="12"/>
      <c r="D141" s="13"/>
      <c r="E141" s="7">
        <f t="shared" si="98"/>
        <v>0</v>
      </c>
      <c r="F141" s="13"/>
      <c r="G141" s="12"/>
      <c r="H141" s="13"/>
      <c r="I141" s="7">
        <f t="shared" si="99"/>
        <v>0</v>
      </c>
      <c r="K141" s="8" t="s">
        <v>3</v>
      </c>
      <c r="L141" s="13"/>
      <c r="M141" s="12"/>
      <c r="N141" s="13"/>
      <c r="O141" s="7">
        <f t="shared" si="100"/>
        <v>0</v>
      </c>
      <c r="P141" s="13"/>
      <c r="Q141" s="12"/>
      <c r="R141" s="13"/>
      <c r="S141" s="7">
        <f t="shared" si="101"/>
        <v>0</v>
      </c>
      <c r="U141" s="8" t="s">
        <v>3</v>
      </c>
      <c r="V141" s="13"/>
      <c r="W141" s="12"/>
      <c r="X141" s="13"/>
      <c r="Y141" s="7">
        <f t="shared" si="102"/>
        <v>0</v>
      </c>
      <c r="Z141" s="13"/>
      <c r="AA141" s="12"/>
      <c r="AB141" s="13"/>
      <c r="AC141" s="7">
        <f t="shared" si="103"/>
        <v>0</v>
      </c>
    </row>
    <row r="142" spans="1:29" x14ac:dyDescent="0.15">
      <c r="A142" s="8" t="s">
        <v>3</v>
      </c>
      <c r="B142" s="13"/>
      <c r="C142" s="12"/>
      <c r="D142" s="13"/>
      <c r="E142" s="7">
        <f t="shared" si="98"/>
        <v>0</v>
      </c>
      <c r="F142" s="13"/>
      <c r="G142" s="12"/>
      <c r="H142" s="13"/>
      <c r="I142" s="7">
        <f t="shared" si="99"/>
        <v>0</v>
      </c>
      <c r="K142" s="8" t="s">
        <v>3</v>
      </c>
      <c r="L142" s="13"/>
      <c r="M142" s="12"/>
      <c r="N142" s="13"/>
      <c r="O142" s="7">
        <f t="shared" si="100"/>
        <v>0</v>
      </c>
      <c r="P142" s="13"/>
      <c r="Q142" s="12"/>
      <c r="R142" s="13"/>
      <c r="S142" s="7">
        <f t="shared" si="101"/>
        <v>0</v>
      </c>
      <c r="U142" s="8" t="s">
        <v>3</v>
      </c>
      <c r="V142" s="13"/>
      <c r="W142" s="12"/>
      <c r="X142" s="13"/>
      <c r="Y142" s="7">
        <f t="shared" si="102"/>
        <v>0</v>
      </c>
      <c r="Z142" s="13"/>
      <c r="AA142" s="12"/>
      <c r="AB142" s="13"/>
      <c r="AC142" s="7">
        <f t="shared" si="103"/>
        <v>0</v>
      </c>
    </row>
    <row r="143" spans="1:29" ht="14.25" thickBot="1" x14ac:dyDescent="0.2">
      <c r="A143" s="9" t="s">
        <v>3</v>
      </c>
      <c r="B143" s="17"/>
      <c r="C143" s="16"/>
      <c r="D143" s="17"/>
      <c r="E143" s="23">
        <f t="shared" si="98"/>
        <v>0</v>
      </c>
      <c r="F143" s="17"/>
      <c r="G143" s="16"/>
      <c r="H143" s="17"/>
      <c r="I143" s="23">
        <f t="shared" si="99"/>
        <v>0</v>
      </c>
      <c r="K143" s="9" t="s">
        <v>3</v>
      </c>
      <c r="L143" s="17"/>
      <c r="M143" s="16"/>
      <c r="N143" s="17"/>
      <c r="O143" s="23">
        <f t="shared" si="100"/>
        <v>0</v>
      </c>
      <c r="P143" s="17"/>
      <c r="Q143" s="16"/>
      <c r="R143" s="17"/>
      <c r="S143" s="23">
        <f t="shared" si="101"/>
        <v>0</v>
      </c>
      <c r="U143" s="9" t="s">
        <v>3</v>
      </c>
      <c r="V143" s="17"/>
      <c r="W143" s="16"/>
      <c r="X143" s="17"/>
      <c r="Y143" s="23">
        <f t="shared" si="102"/>
        <v>0</v>
      </c>
      <c r="Z143" s="17"/>
      <c r="AA143" s="16"/>
      <c r="AB143" s="17"/>
      <c r="AC143" s="23">
        <f t="shared" si="103"/>
        <v>0</v>
      </c>
    </row>
    <row r="144" spans="1:29" ht="14.25" thickBot="1" x14ac:dyDescent="0.2">
      <c r="A144" s="24" t="s">
        <v>4</v>
      </c>
      <c r="B144" s="25">
        <f>SUM(B133:B143)</f>
        <v>17</v>
      </c>
      <c r="C144" s="25">
        <f>SUM(C133:C143)</f>
        <v>20</v>
      </c>
      <c r="D144" s="26">
        <f>SUM(D133:D143)</f>
        <v>24</v>
      </c>
      <c r="E144" s="27">
        <f t="shared" si="98"/>
        <v>61</v>
      </c>
      <c r="F144" s="25">
        <f>SUM(F133:F143)</f>
        <v>17</v>
      </c>
      <c r="G144" s="25">
        <f>SUM(G133:G143)</f>
        <v>20</v>
      </c>
      <c r="H144" s="26">
        <f>SUM(H133:H143)</f>
        <v>24</v>
      </c>
      <c r="I144" s="27">
        <f t="shared" si="99"/>
        <v>61</v>
      </c>
      <c r="K144" s="24" t="s">
        <v>4</v>
      </c>
      <c r="L144" s="25">
        <f>SUM(L133:L143)</f>
        <v>58</v>
      </c>
      <c r="M144" s="25">
        <f t="shared" ref="M144:S144" si="108">SUM(M133:M143)</f>
        <v>78</v>
      </c>
      <c r="N144" s="26">
        <f t="shared" si="108"/>
        <v>66</v>
      </c>
      <c r="O144" s="27">
        <f t="shared" si="108"/>
        <v>202</v>
      </c>
      <c r="P144" s="25">
        <f t="shared" si="108"/>
        <v>58</v>
      </c>
      <c r="Q144" s="25">
        <f t="shared" si="108"/>
        <v>78</v>
      </c>
      <c r="R144" s="26">
        <f t="shared" si="108"/>
        <v>66</v>
      </c>
      <c r="S144" s="27">
        <f t="shared" si="108"/>
        <v>202</v>
      </c>
      <c r="U144" s="24" t="s">
        <v>4</v>
      </c>
      <c r="V144" s="25">
        <f>SUM(V133:V143)</f>
        <v>0</v>
      </c>
      <c r="W144" s="25">
        <f t="shared" ref="W144:AC144" si="109">SUM(W133:W143)</f>
        <v>0</v>
      </c>
      <c r="X144" s="26">
        <f t="shared" si="109"/>
        <v>0</v>
      </c>
      <c r="Y144" s="27">
        <f t="shared" si="109"/>
        <v>0</v>
      </c>
      <c r="Z144" s="25">
        <f t="shared" si="109"/>
        <v>0</v>
      </c>
      <c r="AA144" s="25">
        <f t="shared" si="109"/>
        <v>0</v>
      </c>
      <c r="AB144" s="26">
        <f t="shared" si="109"/>
        <v>0</v>
      </c>
      <c r="AC144" s="27">
        <f t="shared" si="109"/>
        <v>0</v>
      </c>
    </row>
    <row r="145" spans="1:29" x14ac:dyDescent="0.15">
      <c r="A145" s="14" t="s">
        <v>112</v>
      </c>
      <c r="B145" s="11"/>
      <c r="C145" s="12"/>
      <c r="D145" s="13">
        <v>5</v>
      </c>
      <c r="E145" s="7">
        <f t="shared" si="98"/>
        <v>5</v>
      </c>
      <c r="F145" s="11"/>
      <c r="G145" s="12"/>
      <c r="H145" s="13">
        <v>5</v>
      </c>
      <c r="I145" s="7">
        <f t="shared" si="99"/>
        <v>5</v>
      </c>
      <c r="J145" s="32">
        <v>46067</v>
      </c>
      <c r="K145" s="14" t="s">
        <v>107</v>
      </c>
      <c r="L145" s="11">
        <v>6</v>
      </c>
      <c r="M145" s="12">
        <v>7</v>
      </c>
      <c r="N145" s="13">
        <v>6</v>
      </c>
      <c r="O145" s="7">
        <f t="shared" ref="O145:O163" si="110">SUM(L145:N145)</f>
        <v>19</v>
      </c>
      <c r="P145" s="11">
        <v>6</v>
      </c>
      <c r="Q145" s="12">
        <v>7</v>
      </c>
      <c r="R145" s="13">
        <v>6</v>
      </c>
      <c r="S145" s="7">
        <f t="shared" ref="S145:S163" si="111">SUM(P145:R145)</f>
        <v>19</v>
      </c>
      <c r="T145" s="59">
        <v>46062</v>
      </c>
      <c r="U145" s="6"/>
      <c r="V145" s="11"/>
      <c r="W145" s="12"/>
      <c r="X145" s="13"/>
      <c r="Y145" s="7">
        <f t="shared" ref="Y145" si="112">SUM(V145:X145)</f>
        <v>0</v>
      </c>
      <c r="Z145" s="11"/>
      <c r="AA145" s="12"/>
      <c r="AB145" s="13"/>
      <c r="AC145" s="7">
        <f t="shared" ref="AC145" si="113">SUM(Z145:AB145)</f>
        <v>0</v>
      </c>
    </row>
    <row r="146" spans="1:29" x14ac:dyDescent="0.15">
      <c r="A146" s="6" t="s">
        <v>113</v>
      </c>
      <c r="B146" s="11">
        <v>1</v>
      </c>
      <c r="C146" s="12"/>
      <c r="D146" s="13"/>
      <c r="E146" s="7">
        <f t="shared" si="98"/>
        <v>1</v>
      </c>
      <c r="F146" s="11">
        <v>1</v>
      </c>
      <c r="G146" s="12"/>
      <c r="H146" s="13"/>
      <c r="I146" s="7">
        <f t="shared" si="99"/>
        <v>1</v>
      </c>
      <c r="J146" s="36">
        <v>46066</v>
      </c>
      <c r="K146" s="14" t="s">
        <v>111</v>
      </c>
      <c r="L146" s="11">
        <v>10</v>
      </c>
      <c r="M146" s="12">
        <v>20</v>
      </c>
      <c r="N146" s="13">
        <v>5</v>
      </c>
      <c r="O146" s="7">
        <f t="shared" si="110"/>
        <v>35</v>
      </c>
      <c r="P146" s="11">
        <v>10</v>
      </c>
      <c r="Q146" s="12">
        <v>20</v>
      </c>
      <c r="R146" s="13">
        <v>5</v>
      </c>
      <c r="S146" s="7">
        <f t="shared" si="111"/>
        <v>35</v>
      </c>
      <c r="T146" s="59">
        <v>46066</v>
      </c>
      <c r="U146" s="6"/>
      <c r="V146" s="11"/>
      <c r="W146" s="12"/>
      <c r="X146" s="13"/>
      <c r="Y146" s="7">
        <f t="shared" ref="Y146:Y165" si="114">SUM(V146:X146)</f>
        <v>0</v>
      </c>
      <c r="Z146" s="11"/>
      <c r="AA146" s="12"/>
      <c r="AB146" s="13"/>
      <c r="AC146" s="7">
        <f t="shared" ref="AC146:AC165" si="115">SUM(Z146:AB146)</f>
        <v>0</v>
      </c>
    </row>
    <row r="147" spans="1:29" x14ac:dyDescent="0.15">
      <c r="A147" s="6" t="s">
        <v>103</v>
      </c>
      <c r="B147" s="11">
        <v>1</v>
      </c>
      <c r="C147" s="12"/>
      <c r="D147" s="13"/>
      <c r="E147" s="7">
        <f t="shared" si="98"/>
        <v>1</v>
      </c>
      <c r="F147" s="11">
        <v>1</v>
      </c>
      <c r="G147" s="12"/>
      <c r="H147" s="13"/>
      <c r="I147" s="7">
        <f t="shared" si="99"/>
        <v>1</v>
      </c>
      <c r="J147" s="32">
        <v>46078</v>
      </c>
      <c r="K147" s="6" t="s">
        <v>118</v>
      </c>
      <c r="L147" s="11"/>
      <c r="M147" s="12"/>
      <c r="N147" s="13">
        <v>5</v>
      </c>
      <c r="O147" s="7">
        <f t="shared" si="110"/>
        <v>5</v>
      </c>
      <c r="P147" s="11"/>
      <c r="Q147" s="12"/>
      <c r="R147" s="13">
        <v>5</v>
      </c>
      <c r="S147" s="7">
        <f t="shared" si="111"/>
        <v>5</v>
      </c>
      <c r="T147" s="59">
        <v>46088</v>
      </c>
      <c r="U147" s="6"/>
      <c r="V147" s="11"/>
      <c r="W147" s="12"/>
      <c r="X147" s="13"/>
      <c r="Y147" s="7">
        <f t="shared" si="114"/>
        <v>0</v>
      </c>
      <c r="Z147" s="11"/>
      <c r="AA147" s="12"/>
      <c r="AB147" s="13"/>
      <c r="AC147" s="7">
        <f t="shared" si="115"/>
        <v>0</v>
      </c>
    </row>
    <row r="148" spans="1:29" x14ac:dyDescent="0.15">
      <c r="A148" s="6" t="s">
        <v>115</v>
      </c>
      <c r="B148" s="11"/>
      <c r="C148" s="12">
        <v>1</v>
      </c>
      <c r="D148" s="13"/>
      <c r="E148" s="7">
        <f t="shared" si="98"/>
        <v>1</v>
      </c>
      <c r="F148" s="11"/>
      <c r="G148" s="12">
        <v>1</v>
      </c>
      <c r="H148" s="13"/>
      <c r="I148" s="7">
        <f t="shared" si="99"/>
        <v>1</v>
      </c>
      <c r="J148" s="32">
        <v>46086</v>
      </c>
      <c r="K148" s="6"/>
      <c r="L148" s="11"/>
      <c r="M148" s="12"/>
      <c r="N148" s="13"/>
      <c r="O148" s="7">
        <f t="shared" si="110"/>
        <v>0</v>
      </c>
      <c r="P148" s="11"/>
      <c r="Q148" s="12"/>
      <c r="R148" s="13"/>
      <c r="S148" s="7">
        <f t="shared" si="111"/>
        <v>0</v>
      </c>
      <c r="T148" s="59"/>
      <c r="U148" s="6"/>
      <c r="V148" s="11"/>
      <c r="W148" s="12"/>
      <c r="X148" s="13"/>
      <c r="Y148" s="7">
        <f t="shared" si="114"/>
        <v>0</v>
      </c>
      <c r="Z148" s="11"/>
      <c r="AA148" s="12"/>
      <c r="AB148" s="13"/>
      <c r="AC148" s="7">
        <f t="shared" si="115"/>
        <v>0</v>
      </c>
    </row>
    <row r="149" spans="1:29" x14ac:dyDescent="0.15">
      <c r="A149" s="6" t="s">
        <v>116</v>
      </c>
      <c r="B149" s="11"/>
      <c r="C149" s="12"/>
      <c r="D149" s="13">
        <v>2</v>
      </c>
      <c r="E149" s="7">
        <f t="shared" si="98"/>
        <v>2</v>
      </c>
      <c r="F149" s="11"/>
      <c r="G149" s="12"/>
      <c r="H149" s="13">
        <v>2</v>
      </c>
      <c r="I149" s="7">
        <f t="shared" si="99"/>
        <v>2</v>
      </c>
      <c r="J149" s="32">
        <v>46087</v>
      </c>
      <c r="K149" s="6"/>
      <c r="L149" s="11"/>
      <c r="M149" s="12"/>
      <c r="N149" s="13"/>
      <c r="O149" s="7">
        <f t="shared" si="110"/>
        <v>0</v>
      </c>
      <c r="P149" s="11"/>
      <c r="Q149" s="12"/>
      <c r="R149" s="13"/>
      <c r="S149" s="7">
        <f t="shared" si="111"/>
        <v>0</v>
      </c>
      <c r="T149" s="59"/>
      <c r="U149" s="6"/>
      <c r="V149" s="11"/>
      <c r="W149" s="12"/>
      <c r="X149" s="13"/>
      <c r="Y149" s="7">
        <f t="shared" si="114"/>
        <v>0</v>
      </c>
      <c r="Z149" s="11"/>
      <c r="AA149" s="12"/>
      <c r="AB149" s="13"/>
      <c r="AC149" s="7">
        <f t="shared" si="115"/>
        <v>0</v>
      </c>
    </row>
    <row r="150" spans="1:29" x14ac:dyDescent="0.15">
      <c r="A150" s="6" t="s">
        <v>117</v>
      </c>
      <c r="B150" s="11"/>
      <c r="C150" s="12"/>
      <c r="D150" s="13">
        <v>2</v>
      </c>
      <c r="E150" s="10">
        <f t="shared" si="98"/>
        <v>2</v>
      </c>
      <c r="F150" s="11"/>
      <c r="G150" s="12"/>
      <c r="H150" s="13">
        <v>2</v>
      </c>
      <c r="I150" s="10">
        <f t="shared" si="99"/>
        <v>2</v>
      </c>
      <c r="J150" s="32">
        <v>46090</v>
      </c>
      <c r="K150" s="6"/>
      <c r="L150" s="11"/>
      <c r="M150" s="12"/>
      <c r="N150" s="13"/>
      <c r="O150" s="10">
        <f t="shared" si="110"/>
        <v>0</v>
      </c>
      <c r="P150" s="11"/>
      <c r="Q150" s="12"/>
      <c r="R150" s="13"/>
      <c r="S150" s="10">
        <f t="shared" si="111"/>
        <v>0</v>
      </c>
      <c r="T150" s="59"/>
      <c r="U150" s="6"/>
      <c r="V150" s="11"/>
      <c r="W150" s="12"/>
      <c r="X150" s="13"/>
      <c r="Y150" s="10">
        <f t="shared" si="114"/>
        <v>0</v>
      </c>
      <c r="Z150" s="11"/>
      <c r="AA150" s="12"/>
      <c r="AB150" s="13"/>
      <c r="AC150" s="10">
        <f t="shared" si="115"/>
        <v>0</v>
      </c>
    </row>
    <row r="151" spans="1:29" x14ac:dyDescent="0.15">
      <c r="A151" s="6" t="s">
        <v>119</v>
      </c>
      <c r="B151" s="11"/>
      <c r="C151" s="12"/>
      <c r="D151" s="13">
        <v>1</v>
      </c>
      <c r="E151" s="10">
        <f t="shared" si="98"/>
        <v>1</v>
      </c>
      <c r="F151" s="11"/>
      <c r="G151" s="12"/>
      <c r="H151" s="13">
        <v>1</v>
      </c>
      <c r="I151" s="10">
        <f t="shared" si="99"/>
        <v>1</v>
      </c>
      <c r="J151" s="32">
        <v>46091</v>
      </c>
      <c r="K151" s="6"/>
      <c r="L151" s="11"/>
      <c r="M151" s="12"/>
      <c r="N151" s="13"/>
      <c r="O151" s="10">
        <f t="shared" si="110"/>
        <v>0</v>
      </c>
      <c r="P151" s="11"/>
      <c r="Q151" s="12"/>
      <c r="R151" s="13"/>
      <c r="S151" s="10">
        <f t="shared" si="111"/>
        <v>0</v>
      </c>
      <c r="T151" s="59"/>
      <c r="U151" s="6"/>
      <c r="V151" s="11"/>
      <c r="W151" s="12"/>
      <c r="X151" s="13"/>
      <c r="Y151" s="10">
        <f t="shared" si="114"/>
        <v>0</v>
      </c>
      <c r="Z151" s="11"/>
      <c r="AA151" s="12"/>
      <c r="AB151" s="13"/>
      <c r="AC151" s="10">
        <f t="shared" si="115"/>
        <v>0</v>
      </c>
    </row>
    <row r="152" spans="1:29" x14ac:dyDescent="0.15">
      <c r="A152" s="6" t="s">
        <v>103</v>
      </c>
      <c r="B152" s="11"/>
      <c r="C152" s="12"/>
      <c r="D152" s="13">
        <v>2</v>
      </c>
      <c r="E152" s="10">
        <f t="shared" si="98"/>
        <v>2</v>
      </c>
      <c r="F152" s="11"/>
      <c r="G152" s="12"/>
      <c r="H152" s="13">
        <v>2</v>
      </c>
      <c r="I152" s="10">
        <f t="shared" si="99"/>
        <v>2</v>
      </c>
      <c r="J152" s="32">
        <v>46097</v>
      </c>
      <c r="K152" s="6"/>
      <c r="L152" s="11"/>
      <c r="M152" s="12"/>
      <c r="N152" s="13"/>
      <c r="O152" s="10">
        <f t="shared" si="110"/>
        <v>0</v>
      </c>
      <c r="P152" s="11"/>
      <c r="Q152" s="12"/>
      <c r="R152" s="13"/>
      <c r="S152" s="10">
        <f t="shared" si="111"/>
        <v>0</v>
      </c>
      <c r="T152" s="60"/>
      <c r="U152" s="6"/>
      <c r="V152" s="11"/>
      <c r="W152" s="12"/>
      <c r="X152" s="13"/>
      <c r="Y152" s="10">
        <f t="shared" si="114"/>
        <v>0</v>
      </c>
      <c r="Z152" s="11"/>
      <c r="AA152" s="12"/>
      <c r="AB152" s="13"/>
      <c r="AC152" s="10">
        <f t="shared" si="115"/>
        <v>0</v>
      </c>
    </row>
    <row r="153" spans="1:29" x14ac:dyDescent="0.15">
      <c r="A153" s="6" t="s">
        <v>120</v>
      </c>
      <c r="B153" s="11">
        <v>1</v>
      </c>
      <c r="C153" s="12"/>
      <c r="D153" s="13"/>
      <c r="E153" s="10">
        <f t="shared" si="98"/>
        <v>1</v>
      </c>
      <c r="F153" s="11">
        <v>1</v>
      </c>
      <c r="G153" s="12"/>
      <c r="H153" s="13"/>
      <c r="I153" s="10">
        <f t="shared" si="99"/>
        <v>1</v>
      </c>
      <c r="J153" s="32">
        <v>46100</v>
      </c>
      <c r="K153" s="6"/>
      <c r="L153" s="11"/>
      <c r="M153" s="12"/>
      <c r="N153" s="13"/>
      <c r="O153" s="10">
        <f t="shared" si="110"/>
        <v>0</v>
      </c>
      <c r="P153" s="11"/>
      <c r="Q153" s="12"/>
      <c r="R153" s="13"/>
      <c r="S153" s="10">
        <f t="shared" si="111"/>
        <v>0</v>
      </c>
      <c r="U153" s="6"/>
      <c r="V153" s="11"/>
      <c r="W153" s="12"/>
      <c r="X153" s="13"/>
      <c r="Y153" s="10">
        <f t="shared" si="114"/>
        <v>0</v>
      </c>
      <c r="Z153" s="11"/>
      <c r="AA153" s="12"/>
      <c r="AB153" s="13"/>
      <c r="AC153" s="10">
        <f t="shared" si="115"/>
        <v>0</v>
      </c>
    </row>
    <row r="154" spans="1:29" x14ac:dyDescent="0.15">
      <c r="A154" s="6" t="s">
        <v>121</v>
      </c>
      <c r="B154" s="11">
        <v>5</v>
      </c>
      <c r="C154" s="12">
        <v>6</v>
      </c>
      <c r="D154" s="13">
        <v>3</v>
      </c>
      <c r="E154" s="10">
        <f t="shared" si="98"/>
        <v>14</v>
      </c>
      <c r="F154" s="11">
        <v>5</v>
      </c>
      <c r="G154" s="12">
        <v>6</v>
      </c>
      <c r="H154" s="13">
        <v>3</v>
      </c>
      <c r="I154" s="10">
        <f t="shared" si="99"/>
        <v>14</v>
      </c>
      <c r="J154" s="36">
        <v>46102</v>
      </c>
      <c r="K154" s="6"/>
      <c r="L154" s="11"/>
      <c r="M154" s="12"/>
      <c r="N154" s="13"/>
      <c r="O154" s="10">
        <f t="shared" si="110"/>
        <v>0</v>
      </c>
      <c r="P154" s="11"/>
      <c r="Q154" s="12"/>
      <c r="R154" s="13"/>
      <c r="S154" s="10">
        <f t="shared" si="111"/>
        <v>0</v>
      </c>
      <c r="U154" s="6"/>
      <c r="V154" s="11"/>
      <c r="W154" s="12"/>
      <c r="X154" s="13"/>
      <c r="Y154" s="10">
        <f t="shared" si="114"/>
        <v>0</v>
      </c>
      <c r="Z154" s="11"/>
      <c r="AA154" s="12"/>
      <c r="AB154" s="13"/>
      <c r="AC154" s="10">
        <f t="shared" si="115"/>
        <v>0</v>
      </c>
    </row>
    <row r="155" spans="1:29" x14ac:dyDescent="0.15">
      <c r="A155" s="6" t="s">
        <v>123</v>
      </c>
      <c r="B155" s="11">
        <v>2</v>
      </c>
      <c r="C155" s="12"/>
      <c r="D155" s="13"/>
      <c r="E155" s="10">
        <f t="shared" si="98"/>
        <v>2</v>
      </c>
      <c r="F155" s="11">
        <v>2</v>
      </c>
      <c r="G155" s="12"/>
      <c r="H155" s="13"/>
      <c r="I155" s="10">
        <f t="shared" si="99"/>
        <v>2</v>
      </c>
      <c r="J155" s="32">
        <v>46107</v>
      </c>
      <c r="K155" s="6"/>
      <c r="L155" s="11"/>
      <c r="M155" s="12"/>
      <c r="N155" s="13"/>
      <c r="O155" s="10">
        <f t="shared" si="110"/>
        <v>0</v>
      </c>
      <c r="P155" s="11"/>
      <c r="Q155" s="12"/>
      <c r="R155" s="13"/>
      <c r="S155" s="10">
        <f t="shared" si="111"/>
        <v>0</v>
      </c>
      <c r="U155" s="6"/>
      <c r="V155" s="11"/>
      <c r="W155" s="12"/>
      <c r="X155" s="13"/>
      <c r="Y155" s="10">
        <f t="shared" si="114"/>
        <v>0</v>
      </c>
      <c r="Z155" s="11"/>
      <c r="AA155" s="12"/>
      <c r="AB155" s="13"/>
      <c r="AC155" s="10">
        <f t="shared" si="115"/>
        <v>0</v>
      </c>
    </row>
    <row r="156" spans="1:29" x14ac:dyDescent="0.15">
      <c r="A156" s="6" t="s">
        <v>124</v>
      </c>
      <c r="B156" s="11"/>
      <c r="C156" s="12"/>
      <c r="D156" s="13">
        <v>1</v>
      </c>
      <c r="E156" s="10">
        <f t="shared" si="98"/>
        <v>1</v>
      </c>
      <c r="F156" s="11"/>
      <c r="G156" s="12"/>
      <c r="H156" s="13">
        <v>1</v>
      </c>
      <c r="I156" s="10">
        <f t="shared" si="99"/>
        <v>1</v>
      </c>
      <c r="J156" s="32">
        <v>46108</v>
      </c>
      <c r="K156" s="6"/>
      <c r="L156" s="11"/>
      <c r="M156" s="12"/>
      <c r="N156" s="13"/>
      <c r="O156" s="10">
        <f t="shared" si="110"/>
        <v>0</v>
      </c>
      <c r="P156" s="11"/>
      <c r="Q156" s="12"/>
      <c r="R156" s="13"/>
      <c r="S156" s="10">
        <f t="shared" si="111"/>
        <v>0</v>
      </c>
      <c r="U156" s="6"/>
      <c r="V156" s="11"/>
      <c r="W156" s="12"/>
      <c r="X156" s="13"/>
      <c r="Y156" s="10">
        <f t="shared" si="114"/>
        <v>0</v>
      </c>
      <c r="Z156" s="11"/>
      <c r="AA156" s="12"/>
      <c r="AB156" s="13"/>
      <c r="AC156" s="10">
        <f t="shared" si="115"/>
        <v>0</v>
      </c>
    </row>
    <row r="157" spans="1:29" x14ac:dyDescent="0.15">
      <c r="A157" s="6"/>
      <c r="B157" s="11"/>
      <c r="C157" s="12"/>
      <c r="D157" s="13"/>
      <c r="E157" s="10">
        <f t="shared" ref="E157:E159" si="116">SUM(B157:D157)</f>
        <v>0</v>
      </c>
      <c r="F157" s="11"/>
      <c r="G157" s="12"/>
      <c r="H157" s="13"/>
      <c r="I157" s="10">
        <f t="shared" ref="I157:I159" si="117">SUM(F157:H157)</f>
        <v>0</v>
      </c>
      <c r="K157" s="6"/>
      <c r="L157" s="11"/>
      <c r="M157" s="12"/>
      <c r="N157" s="13"/>
      <c r="O157" s="10">
        <f t="shared" si="110"/>
        <v>0</v>
      </c>
      <c r="P157" s="11"/>
      <c r="Q157" s="12"/>
      <c r="R157" s="13"/>
      <c r="S157" s="10">
        <f t="shared" si="111"/>
        <v>0</v>
      </c>
      <c r="U157" s="6"/>
      <c r="V157" s="11"/>
      <c r="W157" s="12"/>
      <c r="X157" s="13"/>
      <c r="Y157" s="10">
        <f t="shared" si="114"/>
        <v>0</v>
      </c>
      <c r="Z157" s="11"/>
      <c r="AA157" s="12"/>
      <c r="AB157" s="13"/>
      <c r="AC157" s="10">
        <f t="shared" si="115"/>
        <v>0</v>
      </c>
    </row>
    <row r="158" spans="1:29" x14ac:dyDescent="0.15">
      <c r="A158" s="6"/>
      <c r="B158" s="11"/>
      <c r="C158" s="12"/>
      <c r="D158" s="13"/>
      <c r="E158" s="10">
        <f t="shared" si="116"/>
        <v>0</v>
      </c>
      <c r="F158" s="11"/>
      <c r="G158" s="12"/>
      <c r="H158" s="13"/>
      <c r="I158" s="10">
        <f t="shared" si="117"/>
        <v>0</v>
      </c>
      <c r="K158" s="14"/>
      <c r="L158" s="11"/>
      <c r="M158" s="12"/>
      <c r="N158" s="13"/>
      <c r="O158" s="10">
        <f t="shared" si="110"/>
        <v>0</v>
      </c>
      <c r="P158" s="11"/>
      <c r="Q158" s="12"/>
      <c r="R158" s="13"/>
      <c r="S158" s="10">
        <f t="shared" si="111"/>
        <v>0</v>
      </c>
      <c r="U158" s="14"/>
      <c r="V158" s="11"/>
      <c r="W158" s="12"/>
      <c r="X158" s="13"/>
      <c r="Y158" s="10">
        <f t="shared" si="114"/>
        <v>0</v>
      </c>
      <c r="Z158" s="11"/>
      <c r="AA158" s="12"/>
      <c r="AB158" s="13"/>
      <c r="AC158" s="10">
        <f t="shared" si="115"/>
        <v>0</v>
      </c>
    </row>
    <row r="159" spans="1:29" x14ac:dyDescent="0.15">
      <c r="A159" s="6"/>
      <c r="B159" s="11"/>
      <c r="C159" s="12"/>
      <c r="D159" s="13"/>
      <c r="E159" s="10">
        <f t="shared" si="116"/>
        <v>0</v>
      </c>
      <c r="F159" s="11"/>
      <c r="G159" s="12"/>
      <c r="H159" s="13"/>
      <c r="I159" s="10">
        <f t="shared" si="117"/>
        <v>0</v>
      </c>
      <c r="K159" s="6"/>
      <c r="L159" s="11"/>
      <c r="M159" s="12"/>
      <c r="N159" s="13"/>
      <c r="O159" s="10">
        <f t="shared" si="110"/>
        <v>0</v>
      </c>
      <c r="P159" s="11"/>
      <c r="Q159" s="12"/>
      <c r="R159" s="13"/>
      <c r="S159" s="10">
        <f t="shared" si="111"/>
        <v>0</v>
      </c>
      <c r="U159" s="6"/>
      <c r="V159" s="11"/>
      <c r="W159" s="12"/>
      <c r="X159" s="13"/>
      <c r="Y159" s="10">
        <f t="shared" si="114"/>
        <v>0</v>
      </c>
      <c r="Z159" s="11"/>
      <c r="AA159" s="12"/>
      <c r="AB159" s="13"/>
      <c r="AC159" s="10">
        <f t="shared" si="115"/>
        <v>0</v>
      </c>
    </row>
    <row r="160" spans="1:29" x14ac:dyDescent="0.15">
      <c r="A160" s="6"/>
      <c r="B160" s="11"/>
      <c r="C160" s="12"/>
      <c r="D160" s="13"/>
      <c r="E160" s="10">
        <f t="shared" si="98"/>
        <v>0</v>
      </c>
      <c r="F160" s="11"/>
      <c r="G160" s="12"/>
      <c r="H160" s="13"/>
      <c r="I160" s="10">
        <f t="shared" si="99"/>
        <v>0</v>
      </c>
      <c r="K160" s="14"/>
      <c r="L160" s="11"/>
      <c r="M160" s="12"/>
      <c r="N160" s="13"/>
      <c r="O160" s="10">
        <f t="shared" si="110"/>
        <v>0</v>
      </c>
      <c r="P160" s="11"/>
      <c r="Q160" s="12"/>
      <c r="R160" s="13"/>
      <c r="S160" s="10">
        <f t="shared" si="111"/>
        <v>0</v>
      </c>
      <c r="U160" s="14"/>
      <c r="V160" s="11"/>
      <c r="W160" s="12"/>
      <c r="X160" s="13"/>
      <c r="Y160" s="10">
        <f t="shared" si="114"/>
        <v>0</v>
      </c>
      <c r="Z160" s="11"/>
      <c r="AA160" s="12"/>
      <c r="AB160" s="13"/>
      <c r="AC160" s="10">
        <f t="shared" si="115"/>
        <v>0</v>
      </c>
    </row>
    <row r="161" spans="1:29" x14ac:dyDescent="0.15">
      <c r="A161" s="6"/>
      <c r="B161" s="11"/>
      <c r="C161" s="12"/>
      <c r="D161" s="13"/>
      <c r="E161" s="10">
        <f t="shared" si="98"/>
        <v>0</v>
      </c>
      <c r="F161" s="11"/>
      <c r="G161" s="12"/>
      <c r="H161" s="13"/>
      <c r="I161" s="10">
        <f t="shared" si="99"/>
        <v>0</v>
      </c>
      <c r="K161" s="14"/>
      <c r="L161" s="15"/>
      <c r="M161" s="16"/>
      <c r="N161" s="17"/>
      <c r="O161" s="10">
        <f t="shared" si="110"/>
        <v>0</v>
      </c>
      <c r="P161" s="15"/>
      <c r="Q161" s="16"/>
      <c r="R161" s="17"/>
      <c r="S161" s="10">
        <f t="shared" si="111"/>
        <v>0</v>
      </c>
      <c r="T161" s="62"/>
      <c r="U161" s="14"/>
      <c r="V161" s="15"/>
      <c r="W161" s="16"/>
      <c r="X161" s="17"/>
      <c r="Y161" s="10">
        <f t="shared" si="114"/>
        <v>0</v>
      </c>
      <c r="Z161" s="15"/>
      <c r="AA161" s="16"/>
      <c r="AB161" s="17"/>
      <c r="AC161" s="10">
        <f t="shared" si="115"/>
        <v>0</v>
      </c>
    </row>
    <row r="162" spans="1:29" x14ac:dyDescent="0.15">
      <c r="A162" s="6"/>
      <c r="B162" s="11"/>
      <c r="C162" s="12"/>
      <c r="D162" s="13"/>
      <c r="E162" s="10">
        <f t="shared" si="98"/>
        <v>0</v>
      </c>
      <c r="F162" s="11"/>
      <c r="G162" s="12"/>
      <c r="H162" s="13"/>
      <c r="I162" s="10">
        <f t="shared" si="99"/>
        <v>0</v>
      </c>
      <c r="K162" s="14"/>
      <c r="L162" s="11"/>
      <c r="M162" s="12"/>
      <c r="N162" s="13"/>
      <c r="O162" s="10">
        <f t="shared" si="110"/>
        <v>0</v>
      </c>
      <c r="P162" s="11"/>
      <c r="Q162" s="12"/>
      <c r="R162" s="13"/>
      <c r="S162" s="10">
        <f t="shared" si="111"/>
        <v>0</v>
      </c>
      <c r="T162" s="62"/>
      <c r="U162" s="14"/>
      <c r="V162" s="11"/>
      <c r="W162" s="12"/>
      <c r="X162" s="13"/>
      <c r="Y162" s="10">
        <f t="shared" si="114"/>
        <v>0</v>
      </c>
      <c r="Z162" s="11"/>
      <c r="AA162" s="12"/>
      <c r="AB162" s="13"/>
      <c r="AC162" s="10">
        <f t="shared" si="115"/>
        <v>0</v>
      </c>
    </row>
    <row r="163" spans="1:29" x14ac:dyDescent="0.15">
      <c r="A163" s="6"/>
      <c r="B163" s="11"/>
      <c r="C163" s="12"/>
      <c r="D163" s="13"/>
      <c r="E163" s="10">
        <f t="shared" si="98"/>
        <v>0</v>
      </c>
      <c r="F163" s="11"/>
      <c r="G163" s="12"/>
      <c r="H163" s="13"/>
      <c r="I163" s="10">
        <f t="shared" si="99"/>
        <v>0</v>
      </c>
      <c r="K163" s="14"/>
      <c r="L163" s="15"/>
      <c r="M163" s="16"/>
      <c r="N163" s="17"/>
      <c r="O163" s="10">
        <f t="shared" si="110"/>
        <v>0</v>
      </c>
      <c r="P163" s="15"/>
      <c r="Q163" s="16"/>
      <c r="R163" s="17"/>
      <c r="S163" s="10">
        <f t="shared" si="111"/>
        <v>0</v>
      </c>
      <c r="T163" s="62"/>
      <c r="U163" s="14"/>
      <c r="V163" s="15"/>
      <c r="W163" s="16"/>
      <c r="X163" s="17"/>
      <c r="Y163" s="10">
        <f t="shared" si="114"/>
        <v>0</v>
      </c>
      <c r="Z163" s="15"/>
      <c r="AA163" s="16"/>
      <c r="AB163" s="17"/>
      <c r="AC163" s="10">
        <f t="shared" si="115"/>
        <v>0</v>
      </c>
    </row>
    <row r="164" spans="1:29" x14ac:dyDescent="0.15">
      <c r="A164" s="6"/>
      <c r="B164" s="11"/>
      <c r="C164" s="12"/>
      <c r="D164" s="13"/>
      <c r="E164" s="10">
        <f t="shared" si="98"/>
        <v>0</v>
      </c>
      <c r="F164" s="11"/>
      <c r="G164" s="12"/>
      <c r="H164" s="13"/>
      <c r="I164" s="10">
        <f t="shared" si="99"/>
        <v>0</v>
      </c>
      <c r="K164" s="14"/>
      <c r="L164" s="15"/>
      <c r="M164" s="16"/>
      <c r="N164" s="17"/>
      <c r="O164" s="10">
        <f t="shared" ref="O164:O165" si="118">SUM(L164:N164)</f>
        <v>0</v>
      </c>
      <c r="P164" s="15"/>
      <c r="Q164" s="16"/>
      <c r="R164" s="17"/>
      <c r="S164" s="10">
        <f t="shared" ref="S164:S165" si="119">SUM(P164:R164)</f>
        <v>0</v>
      </c>
      <c r="T164" s="62"/>
      <c r="U164" s="34"/>
      <c r="V164" s="11"/>
      <c r="W164" s="12"/>
      <c r="X164" s="13"/>
      <c r="Y164" s="10">
        <f t="shared" si="114"/>
        <v>0</v>
      </c>
      <c r="Z164" s="11"/>
      <c r="AA164" s="12"/>
      <c r="AB164" s="13"/>
      <c r="AC164" s="10">
        <f t="shared" si="115"/>
        <v>0</v>
      </c>
    </row>
    <row r="165" spans="1:29" x14ac:dyDescent="0.15">
      <c r="A165" s="6"/>
      <c r="B165" s="11"/>
      <c r="C165" s="12"/>
      <c r="D165" s="13"/>
      <c r="E165" s="10">
        <f t="shared" si="98"/>
        <v>0</v>
      </c>
      <c r="F165" s="11"/>
      <c r="G165" s="12"/>
      <c r="H165" s="13"/>
      <c r="I165" s="10">
        <f t="shared" si="99"/>
        <v>0</v>
      </c>
      <c r="K165" s="14"/>
      <c r="L165" s="15"/>
      <c r="M165" s="16"/>
      <c r="N165" s="17"/>
      <c r="O165" s="10">
        <f t="shared" si="118"/>
        <v>0</v>
      </c>
      <c r="P165" s="15"/>
      <c r="Q165" s="16"/>
      <c r="R165" s="17"/>
      <c r="S165" s="10">
        <f t="shared" si="119"/>
        <v>0</v>
      </c>
      <c r="T165" s="62"/>
      <c r="U165" s="14"/>
      <c r="V165" s="11"/>
      <c r="W165" s="12"/>
      <c r="X165" s="13"/>
      <c r="Y165" s="10">
        <f t="shared" si="114"/>
        <v>0</v>
      </c>
      <c r="Z165" s="11"/>
      <c r="AA165" s="12"/>
      <c r="AB165" s="13"/>
      <c r="AC165" s="10">
        <f t="shared" si="115"/>
        <v>0</v>
      </c>
    </row>
    <row r="166" spans="1:29" x14ac:dyDescent="0.15">
      <c r="A166" s="6"/>
      <c r="B166" s="11"/>
      <c r="C166" s="12"/>
      <c r="D166" s="13"/>
      <c r="E166" s="10">
        <f t="shared" si="98"/>
        <v>0</v>
      </c>
      <c r="F166" s="11"/>
      <c r="G166" s="12"/>
      <c r="H166" s="13"/>
      <c r="I166" s="10">
        <f t="shared" si="99"/>
        <v>0</v>
      </c>
      <c r="K166" s="14" t="s">
        <v>104</v>
      </c>
      <c r="L166" s="11"/>
      <c r="M166" s="12"/>
      <c r="N166" s="13"/>
      <c r="O166" s="10">
        <f t="shared" ref="O166:O168" si="120">SUM(L166:N166)</f>
        <v>0</v>
      </c>
      <c r="P166" s="11"/>
      <c r="Q166" s="12"/>
      <c r="R166" s="13"/>
      <c r="S166" s="10">
        <f t="shared" ref="S166:S168" si="121">SUM(P166:R166)</f>
        <v>0</v>
      </c>
      <c r="T166" s="62" t="s">
        <v>105</v>
      </c>
      <c r="U166" s="14"/>
      <c r="V166" s="11"/>
      <c r="W166" s="12"/>
      <c r="X166" s="13"/>
      <c r="Y166" s="10">
        <f t="shared" ref="Y166:Y168" si="122">SUM(V166:X166)</f>
        <v>0</v>
      </c>
      <c r="Z166" s="11"/>
      <c r="AA166" s="12"/>
      <c r="AB166" s="13"/>
      <c r="AC166" s="10">
        <f t="shared" ref="AC166:AC168" si="123">SUM(Z166:AB166)</f>
        <v>0</v>
      </c>
    </row>
    <row r="167" spans="1:29" x14ac:dyDescent="0.15">
      <c r="A167" s="6"/>
      <c r="B167" s="11"/>
      <c r="C167" s="12"/>
      <c r="D167" s="13"/>
      <c r="E167" s="10">
        <f t="shared" si="98"/>
        <v>0</v>
      </c>
      <c r="F167" s="11"/>
      <c r="G167" s="12"/>
      <c r="H167" s="13"/>
      <c r="I167" s="10">
        <f t="shared" si="99"/>
        <v>0</v>
      </c>
      <c r="K167" s="8" t="s">
        <v>97</v>
      </c>
      <c r="L167" s="45"/>
      <c r="M167" s="46"/>
      <c r="N167" s="47"/>
      <c r="O167" s="48">
        <f t="shared" si="120"/>
        <v>0</v>
      </c>
      <c r="P167" s="45"/>
      <c r="Q167" s="46"/>
      <c r="R167" s="47"/>
      <c r="S167" s="48">
        <f t="shared" si="121"/>
        <v>0</v>
      </c>
      <c r="T167" s="66"/>
      <c r="U167" s="14"/>
      <c r="V167" s="11"/>
      <c r="W167" s="12"/>
      <c r="X167" s="13"/>
      <c r="Y167" s="10">
        <f t="shared" si="122"/>
        <v>0</v>
      </c>
      <c r="Z167" s="11"/>
      <c r="AA167" s="12"/>
      <c r="AB167" s="13"/>
      <c r="AC167" s="10">
        <f t="shared" si="123"/>
        <v>0</v>
      </c>
    </row>
    <row r="168" spans="1:29" ht="14.25" thickBot="1" x14ac:dyDescent="0.2">
      <c r="A168" s="6"/>
      <c r="B168" s="11"/>
      <c r="C168" s="12"/>
      <c r="D168" s="13"/>
      <c r="E168" s="10">
        <f t="shared" si="98"/>
        <v>0</v>
      </c>
      <c r="F168" s="11"/>
      <c r="G168" s="12"/>
      <c r="H168" s="13"/>
      <c r="I168" s="10">
        <f t="shared" si="99"/>
        <v>0</v>
      </c>
      <c r="K168" s="14" t="s">
        <v>98</v>
      </c>
      <c r="L168" s="11"/>
      <c r="M168" s="12"/>
      <c r="N168" s="13"/>
      <c r="O168" s="10">
        <f t="shared" si="120"/>
        <v>0</v>
      </c>
      <c r="P168" s="11"/>
      <c r="Q168" s="12"/>
      <c r="R168" s="13"/>
      <c r="S168" s="10">
        <f t="shared" si="121"/>
        <v>0</v>
      </c>
      <c r="T168" s="62" t="s">
        <v>96</v>
      </c>
      <c r="U168" s="14"/>
      <c r="V168" s="11"/>
      <c r="W168" s="12"/>
      <c r="X168" s="13"/>
      <c r="Y168" s="10">
        <f t="shared" si="122"/>
        <v>0</v>
      </c>
      <c r="Z168" s="11"/>
      <c r="AA168" s="12"/>
      <c r="AB168" s="13"/>
      <c r="AC168" s="10">
        <f t="shared" si="123"/>
        <v>0</v>
      </c>
    </row>
    <row r="169" spans="1:29" ht="14.25" thickBot="1" x14ac:dyDescent="0.2">
      <c r="A169" s="5" t="s">
        <v>5</v>
      </c>
      <c r="B169" s="18">
        <f>SUM(B145:B168)</f>
        <v>10</v>
      </c>
      <c r="C169" s="18">
        <f>SUM(C145:C168)</f>
        <v>7</v>
      </c>
      <c r="D169" s="18">
        <f>SUM(D145:D168)</f>
        <v>16</v>
      </c>
      <c r="E169" s="19">
        <f t="shared" si="98"/>
        <v>33</v>
      </c>
      <c r="F169" s="18">
        <f>SUM(F145:F168)</f>
        <v>10</v>
      </c>
      <c r="G169" s="18">
        <f>SUM(G145:G168)</f>
        <v>7</v>
      </c>
      <c r="H169" s="18">
        <f>SUM(H145:H168)</f>
        <v>16</v>
      </c>
      <c r="I169" s="19">
        <f t="shared" si="99"/>
        <v>33</v>
      </c>
      <c r="K169" s="5" t="s">
        <v>5</v>
      </c>
      <c r="L169" s="18">
        <f>SUM(L145:L168)</f>
        <v>16</v>
      </c>
      <c r="M169" s="18">
        <f t="shared" ref="M169:S169" si="124">SUM(M145:M168)</f>
        <v>27</v>
      </c>
      <c r="N169" s="18">
        <f t="shared" si="124"/>
        <v>16</v>
      </c>
      <c r="O169" s="19">
        <f t="shared" si="124"/>
        <v>59</v>
      </c>
      <c r="P169" s="18">
        <f t="shared" si="124"/>
        <v>16</v>
      </c>
      <c r="Q169" s="18">
        <f t="shared" si="124"/>
        <v>27</v>
      </c>
      <c r="R169" s="18">
        <f t="shared" si="124"/>
        <v>16</v>
      </c>
      <c r="S169" s="19">
        <f t="shared" si="124"/>
        <v>59</v>
      </c>
      <c r="U169" s="5" t="s">
        <v>5</v>
      </c>
      <c r="V169" s="18">
        <f>SUM(V145:V168)</f>
        <v>0</v>
      </c>
      <c r="W169" s="18">
        <f t="shared" ref="W169:AC169" si="125">SUM(W145:W168)</f>
        <v>0</v>
      </c>
      <c r="X169" s="18">
        <f t="shared" si="125"/>
        <v>0</v>
      </c>
      <c r="Y169" s="19">
        <f t="shared" si="125"/>
        <v>0</v>
      </c>
      <c r="Z169" s="18">
        <f t="shared" si="125"/>
        <v>0</v>
      </c>
      <c r="AA169" s="18">
        <f t="shared" si="125"/>
        <v>0</v>
      </c>
      <c r="AB169" s="18">
        <f t="shared" si="125"/>
        <v>0</v>
      </c>
      <c r="AC169" s="19">
        <f t="shared" si="125"/>
        <v>0</v>
      </c>
    </row>
    <row r="170" spans="1:29" ht="14.25" thickBot="1" x14ac:dyDescent="0.2">
      <c r="A170" s="28" t="s">
        <v>6</v>
      </c>
      <c r="B170" s="29">
        <f t="shared" ref="B170:I170" si="126">B144-B169</f>
        <v>7</v>
      </c>
      <c r="C170" s="29">
        <f t="shared" si="126"/>
        <v>13</v>
      </c>
      <c r="D170" s="29">
        <f t="shared" si="126"/>
        <v>8</v>
      </c>
      <c r="E170" s="29">
        <f t="shared" si="126"/>
        <v>28</v>
      </c>
      <c r="F170" s="29">
        <f t="shared" si="126"/>
        <v>7</v>
      </c>
      <c r="G170" s="29">
        <f t="shared" si="126"/>
        <v>13</v>
      </c>
      <c r="H170" s="29">
        <f t="shared" si="126"/>
        <v>8</v>
      </c>
      <c r="I170" s="27">
        <f t="shared" si="126"/>
        <v>28</v>
      </c>
      <c r="K170" s="28" t="s">
        <v>6</v>
      </c>
      <c r="L170" s="29">
        <f>L144-L169</f>
        <v>42</v>
      </c>
      <c r="M170" s="29">
        <f t="shared" ref="M170:S170" si="127">M144-M169</f>
        <v>51</v>
      </c>
      <c r="N170" s="29">
        <f t="shared" si="127"/>
        <v>50</v>
      </c>
      <c r="O170" s="29">
        <f t="shared" si="127"/>
        <v>143</v>
      </c>
      <c r="P170" s="29">
        <f t="shared" si="127"/>
        <v>42</v>
      </c>
      <c r="Q170" s="29">
        <f t="shared" si="127"/>
        <v>51</v>
      </c>
      <c r="R170" s="29">
        <f t="shared" si="127"/>
        <v>50</v>
      </c>
      <c r="S170" s="27">
        <f t="shared" si="127"/>
        <v>143</v>
      </c>
      <c r="T170" s="67" t="s">
        <v>114</v>
      </c>
      <c r="U170" s="28" t="s">
        <v>6</v>
      </c>
      <c r="V170" s="29">
        <f>V144-V169</f>
        <v>0</v>
      </c>
      <c r="W170" s="29">
        <f t="shared" ref="W170:AC170" si="128">W144-W169</f>
        <v>0</v>
      </c>
      <c r="X170" s="29">
        <f t="shared" si="128"/>
        <v>0</v>
      </c>
      <c r="Y170" s="29">
        <f t="shared" si="128"/>
        <v>0</v>
      </c>
      <c r="Z170" s="29">
        <f t="shared" si="128"/>
        <v>0</v>
      </c>
      <c r="AA170" s="29">
        <f t="shared" si="128"/>
        <v>0</v>
      </c>
      <c r="AB170" s="29">
        <f t="shared" si="128"/>
        <v>0</v>
      </c>
      <c r="AC170" s="27">
        <f t="shared" si="128"/>
        <v>0</v>
      </c>
    </row>
    <row r="171" spans="1:29" x14ac:dyDescent="0.15">
      <c r="K171" s="49"/>
      <c r="L171" s="50"/>
      <c r="M171" s="50"/>
      <c r="N171" s="50"/>
      <c r="O171" s="50"/>
      <c r="P171" s="50"/>
      <c r="Q171" s="50"/>
      <c r="R171" s="50"/>
      <c r="S171" s="50"/>
    </row>
    <row r="173" spans="1:29" ht="19.5" thickBot="1" x14ac:dyDescent="0.25">
      <c r="A173" s="2" t="s">
        <v>20</v>
      </c>
      <c r="B173" s="3"/>
      <c r="C173" s="3"/>
      <c r="D173" s="3"/>
      <c r="E173" s="3"/>
      <c r="G173" s="1"/>
      <c r="H173" s="41">
        <v>570</v>
      </c>
      <c r="I173" s="1"/>
      <c r="K173" s="2" t="s">
        <v>109</v>
      </c>
      <c r="L173" s="3"/>
      <c r="M173" s="3"/>
      <c r="N173" s="3"/>
      <c r="O173" s="3"/>
      <c r="P173" s="1"/>
      <c r="Q173" s="1"/>
      <c r="R173" s="41"/>
      <c r="S173" s="1"/>
      <c r="U173" s="2" t="s">
        <v>91</v>
      </c>
      <c r="V173" s="3"/>
      <c r="W173" s="3"/>
      <c r="X173" s="3"/>
      <c r="Y173" s="3"/>
      <c r="Z173" s="1"/>
      <c r="AA173" s="1"/>
      <c r="AB173" s="41"/>
      <c r="AC173" s="1"/>
    </row>
    <row r="174" spans="1:29" ht="14.25" thickBot="1" x14ac:dyDescent="0.2">
      <c r="A174" s="4" t="s">
        <v>0</v>
      </c>
      <c r="B174" s="80" t="s">
        <v>12</v>
      </c>
      <c r="C174" s="80"/>
      <c r="D174" s="80"/>
      <c r="E174" s="81"/>
      <c r="F174" s="78" t="s">
        <v>16</v>
      </c>
      <c r="G174" s="78"/>
      <c r="H174" s="78"/>
      <c r="I174" s="79"/>
      <c r="K174" s="4" t="s">
        <v>0</v>
      </c>
      <c r="L174" s="80" t="s">
        <v>12</v>
      </c>
      <c r="M174" s="80"/>
      <c r="N174" s="80"/>
      <c r="O174" s="81"/>
      <c r="P174" s="78" t="s">
        <v>16</v>
      </c>
      <c r="Q174" s="78"/>
      <c r="R174" s="78"/>
      <c r="S174" s="79"/>
      <c r="U174" s="4" t="s">
        <v>0</v>
      </c>
      <c r="V174" s="80" t="s">
        <v>12</v>
      </c>
      <c r="W174" s="80"/>
      <c r="X174" s="80"/>
      <c r="Y174" s="81"/>
      <c r="Z174" s="78" t="s">
        <v>16</v>
      </c>
      <c r="AA174" s="78"/>
      <c r="AB174" s="78"/>
      <c r="AC174" s="79"/>
    </row>
    <row r="175" spans="1:29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  <c r="U175" s="4" t="s">
        <v>1</v>
      </c>
      <c r="V175" s="5" t="s">
        <v>7</v>
      </c>
      <c r="W175" s="4" t="s">
        <v>8</v>
      </c>
      <c r="X175" s="22" t="s">
        <v>9</v>
      </c>
      <c r="Y175" s="4" t="s">
        <v>2</v>
      </c>
      <c r="Z175" s="5" t="s">
        <v>7</v>
      </c>
      <c r="AA175" s="4" t="s">
        <v>8</v>
      </c>
      <c r="AB175" s="22" t="s">
        <v>9</v>
      </c>
      <c r="AC175" s="4" t="s">
        <v>2</v>
      </c>
    </row>
    <row r="176" spans="1:29" x14ac:dyDescent="0.15">
      <c r="A176" s="35" t="s">
        <v>15</v>
      </c>
      <c r="B176" s="38">
        <f>B170</f>
        <v>7</v>
      </c>
      <c r="C176" s="39">
        <f>C170</f>
        <v>13</v>
      </c>
      <c r="D176" s="40">
        <f>D170</f>
        <v>8</v>
      </c>
      <c r="E176" s="21">
        <f>SUM(B176:D176)</f>
        <v>28</v>
      </c>
      <c r="F176" s="38">
        <f>F170</f>
        <v>7</v>
      </c>
      <c r="G176" s="39">
        <f>G170</f>
        <v>13</v>
      </c>
      <c r="H176" s="40">
        <f>H170</f>
        <v>8</v>
      </c>
      <c r="I176" s="21">
        <f>SUM(F176:H176)</f>
        <v>28</v>
      </c>
      <c r="K176" s="35" t="s">
        <v>15</v>
      </c>
      <c r="L176" s="38">
        <f>L170</f>
        <v>42</v>
      </c>
      <c r="M176" s="39">
        <f t="shared" ref="M176:S176" si="129">M170</f>
        <v>51</v>
      </c>
      <c r="N176" s="40">
        <f t="shared" si="129"/>
        <v>50</v>
      </c>
      <c r="O176" s="21">
        <f t="shared" si="129"/>
        <v>143</v>
      </c>
      <c r="P176" s="38">
        <f t="shared" si="129"/>
        <v>42</v>
      </c>
      <c r="Q176" s="39">
        <f t="shared" si="129"/>
        <v>51</v>
      </c>
      <c r="R176" s="40">
        <f t="shared" si="129"/>
        <v>50</v>
      </c>
      <c r="S176" s="21">
        <f t="shared" si="129"/>
        <v>143</v>
      </c>
      <c r="U176" s="35" t="s">
        <v>15</v>
      </c>
      <c r="V176" s="38">
        <f>V170</f>
        <v>0</v>
      </c>
      <c r="W176" s="39">
        <f t="shared" ref="W176:AC176" si="130">W170</f>
        <v>0</v>
      </c>
      <c r="X176" s="40">
        <f t="shared" si="130"/>
        <v>0</v>
      </c>
      <c r="Y176" s="21">
        <f t="shared" si="130"/>
        <v>0</v>
      </c>
      <c r="Z176" s="38">
        <f t="shared" si="130"/>
        <v>0</v>
      </c>
      <c r="AA176" s="39">
        <f t="shared" si="130"/>
        <v>0</v>
      </c>
      <c r="AB176" s="40">
        <f t="shared" si="130"/>
        <v>0</v>
      </c>
      <c r="AC176" s="21">
        <f t="shared" si="130"/>
        <v>0</v>
      </c>
    </row>
    <row r="177" spans="1:30" x14ac:dyDescent="0.15">
      <c r="A177" s="8" t="s">
        <v>3</v>
      </c>
      <c r="B177" s="13"/>
      <c r="C177" s="12"/>
      <c r="D177" s="13"/>
      <c r="E177" s="7">
        <f t="shared" ref="E177:E179" si="131">SUM(B177:D177)</f>
        <v>0</v>
      </c>
      <c r="F177" s="13"/>
      <c r="G177" s="12"/>
      <c r="H177" s="13"/>
      <c r="I177" s="7">
        <f t="shared" ref="I177:I179" si="132">SUM(F177:H177)</f>
        <v>0</v>
      </c>
      <c r="K177" s="8" t="s">
        <v>3</v>
      </c>
      <c r="L177" s="13"/>
      <c r="M177" s="12"/>
      <c r="N177" s="13"/>
      <c r="O177" s="7">
        <f t="shared" ref="O177" si="133">SUM(L177:N177)</f>
        <v>0</v>
      </c>
      <c r="P177" s="13"/>
      <c r="Q177" s="12"/>
      <c r="R177" s="13"/>
      <c r="S177" s="7">
        <f t="shared" ref="S177" si="134">SUM(P177:R177)</f>
        <v>0</v>
      </c>
      <c r="U177" s="8" t="s">
        <v>3</v>
      </c>
      <c r="V177" s="13"/>
      <c r="W177" s="12"/>
      <c r="X177" s="13"/>
      <c r="Y177" s="7">
        <f t="shared" ref="Y177:Y186" si="135">SUM(V177:X177)</f>
        <v>0</v>
      </c>
      <c r="Z177" s="13"/>
      <c r="AA177" s="12"/>
      <c r="AB177" s="13"/>
      <c r="AC177" s="7">
        <f t="shared" ref="AC177:AC186" si="136">SUM(Z177:AB177)</f>
        <v>0</v>
      </c>
    </row>
    <row r="178" spans="1:30" x14ac:dyDescent="0.15">
      <c r="A178" s="8" t="s">
        <v>3</v>
      </c>
      <c r="B178" s="13"/>
      <c r="C178" s="12"/>
      <c r="D178" s="13"/>
      <c r="E178" s="7">
        <f t="shared" si="131"/>
        <v>0</v>
      </c>
      <c r="F178" s="13"/>
      <c r="G178" s="12"/>
      <c r="H178" s="13"/>
      <c r="I178" s="7">
        <f t="shared" si="132"/>
        <v>0</v>
      </c>
      <c r="K178" s="8" t="s">
        <v>133</v>
      </c>
      <c r="L178" s="13"/>
      <c r="M178" s="12">
        <v>20</v>
      </c>
      <c r="N178" s="13"/>
      <c r="O178" s="7">
        <f t="shared" ref="O178:O186" si="137">SUM(L178:N178)</f>
        <v>20</v>
      </c>
      <c r="P178" s="13"/>
      <c r="Q178" s="12">
        <v>20</v>
      </c>
      <c r="R178" s="13"/>
      <c r="S178" s="7">
        <f t="shared" ref="S178:S186" si="138">SUM(P178:R178)</f>
        <v>20</v>
      </c>
      <c r="T178" s="61" t="s">
        <v>132</v>
      </c>
      <c r="U178" s="35" t="s">
        <v>19</v>
      </c>
      <c r="V178" s="42">
        <v>60</v>
      </c>
      <c r="W178" s="43">
        <v>80</v>
      </c>
      <c r="X178" s="42">
        <v>60</v>
      </c>
      <c r="Y178" s="21">
        <f t="shared" si="135"/>
        <v>200</v>
      </c>
      <c r="Z178" s="42">
        <v>60</v>
      </c>
      <c r="AA178" s="43">
        <v>80</v>
      </c>
      <c r="AB178" s="42">
        <v>60</v>
      </c>
      <c r="AC178" s="21">
        <f t="shared" si="136"/>
        <v>200</v>
      </c>
      <c r="AD178" s="37" t="s">
        <v>110</v>
      </c>
    </row>
    <row r="179" spans="1:30" x14ac:dyDescent="0.15">
      <c r="A179" s="8" t="s">
        <v>3</v>
      </c>
      <c r="B179" s="13"/>
      <c r="C179" s="12"/>
      <c r="D179" s="13"/>
      <c r="E179" s="7">
        <f t="shared" si="131"/>
        <v>0</v>
      </c>
      <c r="F179" s="13"/>
      <c r="G179" s="12"/>
      <c r="H179" s="13"/>
      <c r="I179" s="7">
        <f t="shared" si="132"/>
        <v>0</v>
      </c>
      <c r="K179" s="8" t="s">
        <v>3</v>
      </c>
      <c r="L179" s="13"/>
      <c r="M179" s="12"/>
      <c r="N179" s="13"/>
      <c r="O179" s="7">
        <f t="shared" si="137"/>
        <v>0</v>
      </c>
      <c r="P179" s="13"/>
      <c r="Q179" s="12"/>
      <c r="R179" s="13"/>
      <c r="S179" s="7">
        <f t="shared" si="138"/>
        <v>0</v>
      </c>
      <c r="U179" s="8" t="s">
        <v>3</v>
      </c>
      <c r="V179" s="13"/>
      <c r="W179" s="12"/>
      <c r="X179" s="13"/>
      <c r="Y179" s="7">
        <f t="shared" si="135"/>
        <v>0</v>
      </c>
      <c r="Z179" s="13"/>
      <c r="AA179" s="12"/>
      <c r="AB179" s="13"/>
      <c r="AC179" s="7">
        <f t="shared" si="136"/>
        <v>0</v>
      </c>
    </row>
    <row r="180" spans="1:30" x14ac:dyDescent="0.15">
      <c r="A180" s="8" t="s">
        <v>3</v>
      </c>
      <c r="B180" s="13"/>
      <c r="C180" s="12"/>
      <c r="D180" s="13"/>
      <c r="E180" s="7">
        <f t="shared" ref="E180:E212" si="139">SUM(B180:D180)</f>
        <v>0</v>
      </c>
      <c r="F180" s="13"/>
      <c r="G180" s="12"/>
      <c r="H180" s="13"/>
      <c r="I180" s="7">
        <f t="shared" ref="I180:I212" si="140">SUM(F180:H180)</f>
        <v>0</v>
      </c>
      <c r="K180" s="8" t="s">
        <v>3</v>
      </c>
      <c r="L180" s="13"/>
      <c r="M180" s="12"/>
      <c r="N180" s="13"/>
      <c r="O180" s="7">
        <f t="shared" si="137"/>
        <v>0</v>
      </c>
      <c r="P180" s="13"/>
      <c r="Q180" s="12"/>
      <c r="R180" s="13"/>
      <c r="S180" s="7">
        <f t="shared" si="138"/>
        <v>0</v>
      </c>
      <c r="U180" s="8" t="s">
        <v>3</v>
      </c>
      <c r="V180" s="13"/>
      <c r="W180" s="12"/>
      <c r="X180" s="13"/>
      <c r="Y180" s="7">
        <f t="shared" si="135"/>
        <v>0</v>
      </c>
      <c r="Z180" s="13"/>
      <c r="AA180" s="12"/>
      <c r="AB180" s="13"/>
      <c r="AC180" s="7">
        <f t="shared" si="136"/>
        <v>0</v>
      </c>
    </row>
    <row r="181" spans="1:30" x14ac:dyDescent="0.15">
      <c r="A181" s="8" t="s">
        <v>3</v>
      </c>
      <c r="B181" s="13"/>
      <c r="C181" s="12"/>
      <c r="D181" s="13"/>
      <c r="E181" s="7">
        <f t="shared" si="139"/>
        <v>0</v>
      </c>
      <c r="F181" s="13"/>
      <c r="G181" s="12"/>
      <c r="H181" s="13"/>
      <c r="I181" s="7">
        <f t="shared" si="140"/>
        <v>0</v>
      </c>
      <c r="K181" s="8" t="s">
        <v>3</v>
      </c>
      <c r="L181" s="13"/>
      <c r="M181" s="12"/>
      <c r="N181" s="13"/>
      <c r="O181" s="7">
        <f t="shared" si="137"/>
        <v>0</v>
      </c>
      <c r="P181" s="13"/>
      <c r="Q181" s="12"/>
      <c r="R181" s="13"/>
      <c r="S181" s="7">
        <f t="shared" si="138"/>
        <v>0</v>
      </c>
      <c r="U181" s="8" t="s">
        <v>3</v>
      </c>
      <c r="V181" s="13"/>
      <c r="W181" s="12"/>
      <c r="X181" s="13"/>
      <c r="Y181" s="7">
        <f t="shared" si="135"/>
        <v>0</v>
      </c>
      <c r="Z181" s="13"/>
      <c r="AA181" s="12"/>
      <c r="AB181" s="13"/>
      <c r="AC181" s="7">
        <f t="shared" si="136"/>
        <v>0</v>
      </c>
    </row>
    <row r="182" spans="1:30" x14ac:dyDescent="0.15">
      <c r="A182" s="8" t="s">
        <v>3</v>
      </c>
      <c r="B182" s="13"/>
      <c r="C182" s="12"/>
      <c r="D182" s="13"/>
      <c r="E182" s="7">
        <f t="shared" si="139"/>
        <v>0</v>
      </c>
      <c r="F182" s="13"/>
      <c r="G182" s="12"/>
      <c r="H182" s="13"/>
      <c r="I182" s="7">
        <f t="shared" si="140"/>
        <v>0</v>
      </c>
      <c r="K182" s="8" t="s">
        <v>3</v>
      </c>
      <c r="L182" s="13"/>
      <c r="M182" s="12"/>
      <c r="N182" s="13"/>
      <c r="O182" s="7">
        <f t="shared" si="137"/>
        <v>0</v>
      </c>
      <c r="P182" s="13"/>
      <c r="Q182" s="12"/>
      <c r="R182" s="13"/>
      <c r="S182" s="7">
        <f t="shared" si="138"/>
        <v>0</v>
      </c>
      <c r="U182" s="8" t="s">
        <v>3</v>
      </c>
      <c r="V182" s="13"/>
      <c r="W182" s="12"/>
      <c r="X182" s="13"/>
      <c r="Y182" s="7">
        <f t="shared" si="135"/>
        <v>0</v>
      </c>
      <c r="Z182" s="13"/>
      <c r="AA182" s="12"/>
      <c r="AB182" s="13"/>
      <c r="AC182" s="7">
        <f t="shared" si="136"/>
        <v>0</v>
      </c>
    </row>
    <row r="183" spans="1:30" x14ac:dyDescent="0.15">
      <c r="A183" s="8" t="s">
        <v>3</v>
      </c>
      <c r="B183" s="13"/>
      <c r="C183" s="12"/>
      <c r="D183" s="13"/>
      <c r="E183" s="7">
        <f t="shared" si="139"/>
        <v>0</v>
      </c>
      <c r="F183" s="13"/>
      <c r="G183" s="12"/>
      <c r="H183" s="13"/>
      <c r="I183" s="7">
        <f t="shared" si="140"/>
        <v>0</v>
      </c>
      <c r="K183" s="8" t="s">
        <v>3</v>
      </c>
      <c r="L183" s="13"/>
      <c r="M183" s="12"/>
      <c r="N183" s="13"/>
      <c r="O183" s="7">
        <f t="shared" si="137"/>
        <v>0</v>
      </c>
      <c r="P183" s="13"/>
      <c r="Q183" s="12"/>
      <c r="R183" s="13"/>
      <c r="S183" s="7">
        <f t="shared" si="138"/>
        <v>0</v>
      </c>
      <c r="U183" s="8" t="s">
        <v>3</v>
      </c>
      <c r="V183" s="13"/>
      <c r="W183" s="12"/>
      <c r="X183" s="13"/>
      <c r="Y183" s="7">
        <f t="shared" si="135"/>
        <v>0</v>
      </c>
      <c r="Z183" s="13"/>
      <c r="AA183" s="12"/>
      <c r="AB183" s="13"/>
      <c r="AC183" s="7">
        <f t="shared" si="136"/>
        <v>0</v>
      </c>
    </row>
    <row r="184" spans="1:30" x14ac:dyDescent="0.15">
      <c r="A184" s="8" t="s">
        <v>3</v>
      </c>
      <c r="B184" s="13"/>
      <c r="C184" s="12"/>
      <c r="D184" s="13"/>
      <c r="E184" s="7">
        <f t="shared" si="139"/>
        <v>0</v>
      </c>
      <c r="F184" s="13"/>
      <c r="G184" s="12"/>
      <c r="H184" s="13"/>
      <c r="I184" s="7">
        <f t="shared" si="140"/>
        <v>0</v>
      </c>
      <c r="K184" s="8" t="s">
        <v>3</v>
      </c>
      <c r="L184" s="13"/>
      <c r="M184" s="12"/>
      <c r="N184" s="13"/>
      <c r="O184" s="7">
        <f t="shared" si="137"/>
        <v>0</v>
      </c>
      <c r="P184" s="13"/>
      <c r="Q184" s="12"/>
      <c r="R184" s="13"/>
      <c r="S184" s="7">
        <f t="shared" si="138"/>
        <v>0</v>
      </c>
      <c r="U184" s="8" t="s">
        <v>3</v>
      </c>
      <c r="V184" s="13"/>
      <c r="W184" s="12"/>
      <c r="X184" s="13"/>
      <c r="Y184" s="7">
        <f t="shared" si="135"/>
        <v>0</v>
      </c>
      <c r="Z184" s="13"/>
      <c r="AA184" s="12"/>
      <c r="AB184" s="13"/>
      <c r="AC184" s="7">
        <f t="shared" si="136"/>
        <v>0</v>
      </c>
    </row>
    <row r="185" spans="1:30" x14ac:dyDescent="0.15">
      <c r="A185" s="8" t="s">
        <v>3</v>
      </c>
      <c r="B185" s="13"/>
      <c r="C185" s="12"/>
      <c r="D185" s="13"/>
      <c r="E185" s="7">
        <f t="shared" si="139"/>
        <v>0</v>
      </c>
      <c r="F185" s="13"/>
      <c r="G185" s="12"/>
      <c r="H185" s="13"/>
      <c r="I185" s="7">
        <f t="shared" si="140"/>
        <v>0</v>
      </c>
      <c r="K185" s="8" t="s">
        <v>3</v>
      </c>
      <c r="L185" s="13"/>
      <c r="M185" s="12"/>
      <c r="N185" s="13"/>
      <c r="O185" s="7">
        <f t="shared" si="137"/>
        <v>0</v>
      </c>
      <c r="P185" s="13"/>
      <c r="Q185" s="12"/>
      <c r="R185" s="13"/>
      <c r="S185" s="7">
        <f t="shared" si="138"/>
        <v>0</v>
      </c>
      <c r="U185" s="8" t="s">
        <v>3</v>
      </c>
      <c r="V185" s="13"/>
      <c r="W185" s="12"/>
      <c r="X185" s="13"/>
      <c r="Y185" s="7">
        <f t="shared" si="135"/>
        <v>0</v>
      </c>
      <c r="Z185" s="13"/>
      <c r="AA185" s="12"/>
      <c r="AB185" s="13"/>
      <c r="AC185" s="7">
        <f t="shared" si="136"/>
        <v>0</v>
      </c>
    </row>
    <row r="186" spans="1:30" ht="14.25" thickBot="1" x14ac:dyDescent="0.2">
      <c r="A186" s="9" t="s">
        <v>3</v>
      </c>
      <c r="B186" s="17"/>
      <c r="C186" s="16"/>
      <c r="D186" s="17"/>
      <c r="E186" s="23">
        <f t="shared" si="139"/>
        <v>0</v>
      </c>
      <c r="F186" s="17"/>
      <c r="G186" s="16"/>
      <c r="H186" s="17"/>
      <c r="I186" s="23">
        <f t="shared" si="140"/>
        <v>0</v>
      </c>
      <c r="K186" s="9" t="s">
        <v>3</v>
      </c>
      <c r="L186" s="17"/>
      <c r="M186" s="16"/>
      <c r="N186" s="17"/>
      <c r="O186" s="23">
        <f t="shared" si="137"/>
        <v>0</v>
      </c>
      <c r="P186" s="17"/>
      <c r="Q186" s="16"/>
      <c r="R186" s="17"/>
      <c r="S186" s="23">
        <f t="shared" si="138"/>
        <v>0</v>
      </c>
      <c r="U186" s="9" t="s">
        <v>3</v>
      </c>
      <c r="V186" s="17"/>
      <c r="W186" s="16"/>
      <c r="X186" s="17"/>
      <c r="Y186" s="23">
        <f t="shared" si="135"/>
        <v>0</v>
      </c>
      <c r="Z186" s="17"/>
      <c r="AA186" s="16"/>
      <c r="AB186" s="17"/>
      <c r="AC186" s="23">
        <f t="shared" si="136"/>
        <v>0</v>
      </c>
    </row>
    <row r="187" spans="1:30" ht="14.25" thickBot="1" x14ac:dyDescent="0.2">
      <c r="A187" s="24" t="s">
        <v>4</v>
      </c>
      <c r="B187" s="25">
        <f>SUM(B176:B186)</f>
        <v>7</v>
      </c>
      <c r="C187" s="25">
        <f>SUM(C176:C186)</f>
        <v>13</v>
      </c>
      <c r="D187" s="26">
        <f>SUM(D176:D186)</f>
        <v>8</v>
      </c>
      <c r="E187" s="27">
        <f t="shared" si="139"/>
        <v>28</v>
      </c>
      <c r="F187" s="25">
        <f>SUM(F176:F186)</f>
        <v>7</v>
      </c>
      <c r="G187" s="25">
        <f>SUM(G176:G186)</f>
        <v>13</v>
      </c>
      <c r="H187" s="26">
        <f>SUM(H176:H186)</f>
        <v>8</v>
      </c>
      <c r="I187" s="27">
        <f t="shared" si="140"/>
        <v>28</v>
      </c>
      <c r="K187" s="24" t="s">
        <v>4</v>
      </c>
      <c r="L187" s="25">
        <f>SUM(L176:L186)</f>
        <v>42</v>
      </c>
      <c r="M187" s="25">
        <f t="shared" ref="M187:S187" si="141">SUM(M176:M186)</f>
        <v>71</v>
      </c>
      <c r="N187" s="26">
        <f t="shared" si="141"/>
        <v>50</v>
      </c>
      <c r="O187" s="27">
        <f t="shared" si="141"/>
        <v>163</v>
      </c>
      <c r="P187" s="25">
        <f t="shared" si="141"/>
        <v>42</v>
      </c>
      <c r="Q187" s="25">
        <f t="shared" si="141"/>
        <v>71</v>
      </c>
      <c r="R187" s="26">
        <f t="shared" si="141"/>
        <v>50</v>
      </c>
      <c r="S187" s="27">
        <f t="shared" si="141"/>
        <v>163</v>
      </c>
      <c r="U187" s="24" t="s">
        <v>4</v>
      </c>
      <c r="V187" s="25">
        <f>SUM(V176:V186)</f>
        <v>60</v>
      </c>
      <c r="W187" s="25">
        <f t="shared" ref="W187:AC187" si="142">SUM(W176:W186)</f>
        <v>80</v>
      </c>
      <c r="X187" s="26">
        <f t="shared" si="142"/>
        <v>60</v>
      </c>
      <c r="Y187" s="27">
        <f t="shared" si="142"/>
        <v>200</v>
      </c>
      <c r="Z187" s="25">
        <f t="shared" si="142"/>
        <v>60</v>
      </c>
      <c r="AA187" s="25">
        <f t="shared" si="142"/>
        <v>80</v>
      </c>
      <c r="AB187" s="26">
        <f t="shared" si="142"/>
        <v>60</v>
      </c>
      <c r="AC187" s="27">
        <f t="shared" si="142"/>
        <v>200</v>
      </c>
    </row>
    <row r="188" spans="1:30" x14ac:dyDescent="0.15">
      <c r="A188" s="6" t="s">
        <v>103</v>
      </c>
      <c r="B188" s="11">
        <v>3</v>
      </c>
      <c r="C188" s="12"/>
      <c r="D188" s="13"/>
      <c r="E188" s="10">
        <f t="shared" si="139"/>
        <v>3</v>
      </c>
      <c r="F188" s="11">
        <v>3</v>
      </c>
      <c r="G188" s="12"/>
      <c r="H188" s="13"/>
      <c r="I188" s="10">
        <f t="shared" si="140"/>
        <v>3</v>
      </c>
      <c r="J188" s="36">
        <v>46132</v>
      </c>
      <c r="K188" s="14" t="s">
        <v>129</v>
      </c>
      <c r="L188" s="11">
        <v>4</v>
      </c>
      <c r="M188" s="12">
        <v>17</v>
      </c>
      <c r="N188" s="13">
        <v>5</v>
      </c>
      <c r="O188" s="7">
        <f t="shared" ref="O188:O190" si="143">SUM(L188:N188)</f>
        <v>26</v>
      </c>
      <c r="P188" s="11">
        <v>4</v>
      </c>
      <c r="Q188" s="12">
        <v>17</v>
      </c>
      <c r="R188" s="13">
        <v>5</v>
      </c>
      <c r="S188" s="7">
        <f t="shared" ref="S188:S190" si="144">SUM(P188:R188)</f>
        <v>26</v>
      </c>
      <c r="T188" s="59">
        <v>46181</v>
      </c>
      <c r="U188" s="6" t="s">
        <v>131</v>
      </c>
      <c r="V188" s="11"/>
      <c r="W188" s="12">
        <v>20</v>
      </c>
      <c r="X188" s="13"/>
      <c r="Y188" s="7">
        <f t="shared" ref="Y188:Y211" si="145">SUM(V188:X188)</f>
        <v>20</v>
      </c>
      <c r="Z188" s="11"/>
      <c r="AA188" s="12">
        <v>20</v>
      </c>
      <c r="AB188" s="13"/>
      <c r="AC188" s="7">
        <f t="shared" ref="AC188:AC211" si="146">SUM(Z188:AB188)</f>
        <v>20</v>
      </c>
      <c r="AD188" t="s">
        <v>134</v>
      </c>
    </row>
    <row r="189" spans="1:30" x14ac:dyDescent="0.15">
      <c r="A189" s="6" t="s">
        <v>103</v>
      </c>
      <c r="B189" s="11">
        <v>1</v>
      </c>
      <c r="C189" s="12"/>
      <c r="D189" s="13"/>
      <c r="E189" s="10">
        <f t="shared" si="139"/>
        <v>1</v>
      </c>
      <c r="F189" s="11">
        <v>1</v>
      </c>
      <c r="G189" s="12"/>
      <c r="H189" s="13"/>
      <c r="I189" s="10">
        <f t="shared" si="140"/>
        <v>1</v>
      </c>
      <c r="J189" s="32">
        <v>46168</v>
      </c>
      <c r="K189" s="6"/>
      <c r="L189" s="11"/>
      <c r="M189" s="12"/>
      <c r="N189" s="13"/>
      <c r="O189" s="7">
        <f t="shared" si="143"/>
        <v>0</v>
      </c>
      <c r="P189" s="11"/>
      <c r="Q189" s="12"/>
      <c r="R189" s="13"/>
      <c r="S189" s="7">
        <f t="shared" si="144"/>
        <v>0</v>
      </c>
      <c r="T189" s="62"/>
      <c r="U189" s="6"/>
      <c r="V189" s="11"/>
      <c r="W189" s="12"/>
      <c r="X189" s="13"/>
      <c r="Y189" s="7">
        <f t="shared" si="145"/>
        <v>0</v>
      </c>
      <c r="Z189" s="11"/>
      <c r="AA189" s="12"/>
      <c r="AB189" s="13"/>
      <c r="AC189" s="7">
        <f t="shared" si="146"/>
        <v>0</v>
      </c>
    </row>
    <row r="190" spans="1:30" x14ac:dyDescent="0.15">
      <c r="A190" s="6" t="s">
        <v>128</v>
      </c>
      <c r="B190" s="11"/>
      <c r="C190" s="12"/>
      <c r="D190" s="13">
        <v>1</v>
      </c>
      <c r="E190" s="10">
        <f t="shared" si="139"/>
        <v>1</v>
      </c>
      <c r="F190" s="11"/>
      <c r="G190" s="12"/>
      <c r="H190" s="13">
        <v>1</v>
      </c>
      <c r="I190" s="10">
        <f t="shared" si="140"/>
        <v>1</v>
      </c>
      <c r="J190" s="32">
        <v>46177</v>
      </c>
      <c r="K190" s="6"/>
      <c r="L190" s="11"/>
      <c r="M190" s="12"/>
      <c r="N190" s="13"/>
      <c r="O190" s="7">
        <f t="shared" si="143"/>
        <v>0</v>
      </c>
      <c r="P190" s="11"/>
      <c r="Q190" s="12"/>
      <c r="R190" s="13"/>
      <c r="S190" s="7">
        <f t="shared" si="144"/>
        <v>0</v>
      </c>
      <c r="U190" s="6"/>
      <c r="V190" s="11"/>
      <c r="W190" s="12"/>
      <c r="X190" s="13"/>
      <c r="Y190" s="7">
        <f t="shared" si="145"/>
        <v>0</v>
      </c>
      <c r="Z190" s="11"/>
      <c r="AA190" s="12"/>
      <c r="AB190" s="13"/>
      <c r="AC190" s="7">
        <f t="shared" si="146"/>
        <v>0</v>
      </c>
    </row>
    <row r="191" spans="1:30" x14ac:dyDescent="0.15">
      <c r="A191" s="6" t="s">
        <v>103</v>
      </c>
      <c r="B191" s="11"/>
      <c r="C191" s="12">
        <v>1</v>
      </c>
      <c r="D191" s="13"/>
      <c r="E191" s="10">
        <f t="shared" ref="E191:E199" si="147">SUM(B191:D191)</f>
        <v>1</v>
      </c>
      <c r="F191" s="11"/>
      <c r="G191" s="12">
        <v>1</v>
      </c>
      <c r="H191" s="13"/>
      <c r="I191" s="10">
        <f t="shared" ref="I191:I199" si="148">SUM(F191:H191)</f>
        <v>1</v>
      </c>
      <c r="J191" s="32">
        <v>46175</v>
      </c>
      <c r="K191" s="6"/>
      <c r="L191" s="11"/>
      <c r="M191" s="12"/>
      <c r="N191" s="13"/>
      <c r="O191" s="7">
        <f t="shared" ref="O191:O211" si="149">SUM(L191:N191)</f>
        <v>0</v>
      </c>
      <c r="P191" s="11"/>
      <c r="Q191" s="12"/>
      <c r="R191" s="13"/>
      <c r="S191" s="7">
        <f t="shared" ref="S191:S211" si="150">SUM(P191:R191)</f>
        <v>0</v>
      </c>
      <c r="U191" s="6"/>
      <c r="V191" s="11"/>
      <c r="W191" s="12"/>
      <c r="X191" s="13"/>
      <c r="Y191" s="7">
        <f t="shared" si="145"/>
        <v>0</v>
      </c>
      <c r="Z191" s="11"/>
      <c r="AA191" s="12"/>
      <c r="AB191" s="13"/>
      <c r="AC191" s="7">
        <f t="shared" si="146"/>
        <v>0</v>
      </c>
    </row>
    <row r="192" spans="1:30" x14ac:dyDescent="0.15">
      <c r="A192" s="6" t="s">
        <v>103</v>
      </c>
      <c r="B192" s="11"/>
      <c r="C192" s="12">
        <v>1</v>
      </c>
      <c r="D192" s="13"/>
      <c r="E192" s="10">
        <f t="shared" si="147"/>
        <v>1</v>
      </c>
      <c r="F192" s="11"/>
      <c r="G192" s="12">
        <v>1</v>
      </c>
      <c r="H192" s="13"/>
      <c r="I192" s="10">
        <f t="shared" si="148"/>
        <v>1</v>
      </c>
      <c r="J192" s="36">
        <v>46176</v>
      </c>
      <c r="K192" s="6"/>
      <c r="L192" s="11"/>
      <c r="M192" s="12"/>
      <c r="N192" s="13"/>
      <c r="O192" s="7">
        <f t="shared" si="149"/>
        <v>0</v>
      </c>
      <c r="P192" s="11"/>
      <c r="Q192" s="12"/>
      <c r="R192" s="13"/>
      <c r="S192" s="7">
        <f t="shared" si="150"/>
        <v>0</v>
      </c>
      <c r="U192" s="6"/>
      <c r="V192" s="11"/>
      <c r="W192" s="12"/>
      <c r="X192" s="13"/>
      <c r="Y192" s="7">
        <f t="shared" si="145"/>
        <v>0</v>
      </c>
      <c r="Z192" s="11"/>
      <c r="AA192" s="12"/>
      <c r="AB192" s="13"/>
      <c r="AC192" s="7">
        <f t="shared" si="146"/>
        <v>0</v>
      </c>
    </row>
    <row r="193" spans="1:29" x14ac:dyDescent="0.15">
      <c r="A193" s="6"/>
      <c r="B193" s="11"/>
      <c r="C193" s="12"/>
      <c r="D193" s="13"/>
      <c r="E193" s="10">
        <f t="shared" si="147"/>
        <v>0</v>
      </c>
      <c r="F193" s="11"/>
      <c r="G193" s="12"/>
      <c r="H193" s="13"/>
      <c r="I193" s="10">
        <f t="shared" si="148"/>
        <v>0</v>
      </c>
      <c r="K193" s="6"/>
      <c r="L193" s="11"/>
      <c r="M193" s="12"/>
      <c r="N193" s="13"/>
      <c r="O193" s="10">
        <f t="shared" si="149"/>
        <v>0</v>
      </c>
      <c r="P193" s="11"/>
      <c r="Q193" s="12"/>
      <c r="R193" s="13"/>
      <c r="S193" s="10">
        <f t="shared" si="150"/>
        <v>0</v>
      </c>
      <c r="U193" s="6"/>
      <c r="V193" s="11"/>
      <c r="W193" s="12"/>
      <c r="X193" s="13"/>
      <c r="Y193" s="10">
        <f t="shared" si="145"/>
        <v>0</v>
      </c>
      <c r="Z193" s="11"/>
      <c r="AA193" s="12"/>
      <c r="AB193" s="13"/>
      <c r="AC193" s="10">
        <f t="shared" si="146"/>
        <v>0</v>
      </c>
    </row>
    <row r="194" spans="1:29" x14ac:dyDescent="0.15">
      <c r="A194" s="6"/>
      <c r="B194" s="11"/>
      <c r="C194" s="12"/>
      <c r="D194" s="13"/>
      <c r="E194" s="10">
        <f t="shared" si="147"/>
        <v>0</v>
      </c>
      <c r="F194" s="11"/>
      <c r="G194" s="12"/>
      <c r="H194" s="13"/>
      <c r="I194" s="10">
        <f t="shared" si="148"/>
        <v>0</v>
      </c>
      <c r="K194" s="6"/>
      <c r="L194" s="11"/>
      <c r="M194" s="12"/>
      <c r="N194" s="13"/>
      <c r="O194" s="10">
        <f t="shared" si="149"/>
        <v>0</v>
      </c>
      <c r="P194" s="11"/>
      <c r="Q194" s="12"/>
      <c r="R194" s="13"/>
      <c r="S194" s="10">
        <f t="shared" si="150"/>
        <v>0</v>
      </c>
      <c r="U194" s="6"/>
      <c r="V194" s="11"/>
      <c r="W194" s="12"/>
      <c r="X194" s="13"/>
      <c r="Y194" s="10">
        <f t="shared" si="145"/>
        <v>0</v>
      </c>
      <c r="Z194" s="11"/>
      <c r="AA194" s="12"/>
      <c r="AB194" s="13"/>
      <c r="AC194" s="10">
        <f t="shared" si="146"/>
        <v>0</v>
      </c>
    </row>
    <row r="195" spans="1:29" x14ac:dyDescent="0.15">
      <c r="A195" s="6"/>
      <c r="B195" s="11"/>
      <c r="C195" s="12"/>
      <c r="D195" s="13"/>
      <c r="E195" s="10">
        <f t="shared" si="147"/>
        <v>0</v>
      </c>
      <c r="F195" s="11"/>
      <c r="G195" s="12"/>
      <c r="H195" s="13"/>
      <c r="I195" s="10">
        <f t="shared" si="148"/>
        <v>0</v>
      </c>
      <c r="K195" s="6"/>
      <c r="L195" s="11"/>
      <c r="M195" s="12"/>
      <c r="N195" s="13"/>
      <c r="O195" s="10">
        <f t="shared" si="149"/>
        <v>0</v>
      </c>
      <c r="P195" s="11"/>
      <c r="Q195" s="12"/>
      <c r="R195" s="13"/>
      <c r="S195" s="10">
        <f t="shared" si="150"/>
        <v>0</v>
      </c>
      <c r="U195" s="6"/>
      <c r="V195" s="11"/>
      <c r="W195" s="12"/>
      <c r="X195" s="13"/>
      <c r="Y195" s="10">
        <f t="shared" si="145"/>
        <v>0</v>
      </c>
      <c r="Z195" s="11"/>
      <c r="AA195" s="12"/>
      <c r="AB195" s="13"/>
      <c r="AC195" s="10">
        <f t="shared" si="146"/>
        <v>0</v>
      </c>
    </row>
    <row r="196" spans="1:29" x14ac:dyDescent="0.15">
      <c r="A196" s="6"/>
      <c r="B196" s="11"/>
      <c r="C196" s="12"/>
      <c r="D196" s="13"/>
      <c r="E196" s="10">
        <f t="shared" si="147"/>
        <v>0</v>
      </c>
      <c r="F196" s="11"/>
      <c r="G196" s="12"/>
      <c r="H196" s="13"/>
      <c r="I196" s="10">
        <f t="shared" si="148"/>
        <v>0</v>
      </c>
      <c r="K196" s="6"/>
      <c r="L196" s="11"/>
      <c r="M196" s="12"/>
      <c r="N196" s="13"/>
      <c r="O196" s="10">
        <f t="shared" si="149"/>
        <v>0</v>
      </c>
      <c r="P196" s="11"/>
      <c r="Q196" s="12"/>
      <c r="R196" s="13"/>
      <c r="S196" s="10">
        <f t="shared" si="150"/>
        <v>0</v>
      </c>
      <c r="U196" s="6"/>
      <c r="V196" s="11"/>
      <c r="W196" s="12"/>
      <c r="X196" s="13"/>
      <c r="Y196" s="10">
        <f t="shared" si="145"/>
        <v>0</v>
      </c>
      <c r="Z196" s="11"/>
      <c r="AA196" s="12"/>
      <c r="AB196" s="13"/>
      <c r="AC196" s="10">
        <f t="shared" si="146"/>
        <v>0</v>
      </c>
    </row>
    <row r="197" spans="1:29" x14ac:dyDescent="0.15">
      <c r="A197" s="6"/>
      <c r="B197" s="11"/>
      <c r="C197" s="12"/>
      <c r="D197" s="13"/>
      <c r="E197" s="10">
        <f t="shared" si="147"/>
        <v>0</v>
      </c>
      <c r="F197" s="11"/>
      <c r="G197" s="12"/>
      <c r="H197" s="13"/>
      <c r="I197" s="10">
        <f t="shared" si="148"/>
        <v>0</v>
      </c>
      <c r="K197" s="6"/>
      <c r="L197" s="11"/>
      <c r="M197" s="12"/>
      <c r="N197" s="13"/>
      <c r="O197" s="10">
        <f t="shared" si="149"/>
        <v>0</v>
      </c>
      <c r="P197" s="11"/>
      <c r="Q197" s="12"/>
      <c r="R197" s="13"/>
      <c r="S197" s="10">
        <f t="shared" si="150"/>
        <v>0</v>
      </c>
      <c r="U197" s="6"/>
      <c r="V197" s="11"/>
      <c r="W197" s="12"/>
      <c r="X197" s="13"/>
      <c r="Y197" s="10">
        <f t="shared" si="145"/>
        <v>0</v>
      </c>
      <c r="Z197" s="11"/>
      <c r="AA197" s="12"/>
      <c r="AB197" s="13"/>
      <c r="AC197" s="10">
        <f t="shared" si="146"/>
        <v>0</v>
      </c>
    </row>
    <row r="198" spans="1:29" x14ac:dyDescent="0.15">
      <c r="A198" s="6"/>
      <c r="B198" s="11"/>
      <c r="C198" s="12"/>
      <c r="D198" s="13"/>
      <c r="E198" s="10">
        <f t="shared" si="147"/>
        <v>0</v>
      </c>
      <c r="F198" s="11"/>
      <c r="G198" s="12"/>
      <c r="H198" s="13"/>
      <c r="I198" s="10">
        <f t="shared" si="148"/>
        <v>0</v>
      </c>
      <c r="K198" s="6"/>
      <c r="L198" s="11"/>
      <c r="M198" s="12"/>
      <c r="N198" s="13"/>
      <c r="O198" s="10">
        <f t="shared" si="149"/>
        <v>0</v>
      </c>
      <c r="P198" s="11"/>
      <c r="Q198" s="12"/>
      <c r="R198" s="13"/>
      <c r="S198" s="10">
        <f t="shared" si="150"/>
        <v>0</v>
      </c>
      <c r="U198" s="6"/>
      <c r="V198" s="11"/>
      <c r="W198" s="12"/>
      <c r="X198" s="13"/>
      <c r="Y198" s="10">
        <f t="shared" si="145"/>
        <v>0</v>
      </c>
      <c r="Z198" s="11"/>
      <c r="AA198" s="12"/>
      <c r="AB198" s="13"/>
      <c r="AC198" s="10">
        <f t="shared" si="146"/>
        <v>0</v>
      </c>
    </row>
    <row r="199" spans="1:29" x14ac:dyDescent="0.15">
      <c r="A199" s="6"/>
      <c r="B199" s="11"/>
      <c r="C199" s="12"/>
      <c r="D199" s="13"/>
      <c r="E199" s="10">
        <f t="shared" si="147"/>
        <v>0</v>
      </c>
      <c r="F199" s="11"/>
      <c r="G199" s="12"/>
      <c r="H199" s="13"/>
      <c r="I199" s="10">
        <f t="shared" si="148"/>
        <v>0</v>
      </c>
      <c r="K199" s="6"/>
      <c r="L199" s="11"/>
      <c r="M199" s="12"/>
      <c r="N199" s="13"/>
      <c r="O199" s="10">
        <f t="shared" si="149"/>
        <v>0</v>
      </c>
      <c r="P199" s="11"/>
      <c r="Q199" s="12"/>
      <c r="R199" s="13"/>
      <c r="S199" s="10">
        <f t="shared" si="150"/>
        <v>0</v>
      </c>
      <c r="U199" s="6"/>
      <c r="V199" s="11"/>
      <c r="W199" s="12"/>
      <c r="X199" s="13"/>
      <c r="Y199" s="10">
        <f t="shared" si="145"/>
        <v>0</v>
      </c>
      <c r="Z199" s="11"/>
      <c r="AA199" s="12"/>
      <c r="AB199" s="13"/>
      <c r="AC199" s="10">
        <f t="shared" si="146"/>
        <v>0</v>
      </c>
    </row>
    <row r="200" spans="1:29" x14ac:dyDescent="0.15">
      <c r="A200" s="6"/>
      <c r="B200" s="11"/>
      <c r="C200" s="12"/>
      <c r="D200" s="13"/>
      <c r="E200" s="10">
        <f t="shared" si="139"/>
        <v>0</v>
      </c>
      <c r="F200" s="11"/>
      <c r="G200" s="12"/>
      <c r="H200" s="13"/>
      <c r="I200" s="10">
        <f t="shared" si="140"/>
        <v>0</v>
      </c>
      <c r="K200" s="6"/>
      <c r="L200" s="11"/>
      <c r="M200" s="12"/>
      <c r="N200" s="13"/>
      <c r="O200" s="10">
        <f t="shared" si="149"/>
        <v>0</v>
      </c>
      <c r="P200" s="11"/>
      <c r="Q200" s="12"/>
      <c r="R200" s="13"/>
      <c r="S200" s="10">
        <f t="shared" si="150"/>
        <v>0</v>
      </c>
      <c r="U200" s="6"/>
      <c r="V200" s="11"/>
      <c r="W200" s="12"/>
      <c r="X200" s="13"/>
      <c r="Y200" s="10">
        <f t="shared" si="145"/>
        <v>0</v>
      </c>
      <c r="Z200" s="11"/>
      <c r="AA200" s="12"/>
      <c r="AB200" s="13"/>
      <c r="AC200" s="10">
        <f t="shared" si="146"/>
        <v>0</v>
      </c>
    </row>
    <row r="201" spans="1:29" x14ac:dyDescent="0.15">
      <c r="A201" s="6"/>
      <c r="B201" s="11"/>
      <c r="C201" s="12"/>
      <c r="D201" s="13"/>
      <c r="E201" s="10">
        <f t="shared" si="139"/>
        <v>0</v>
      </c>
      <c r="F201" s="11"/>
      <c r="G201" s="12"/>
      <c r="H201" s="13"/>
      <c r="I201" s="10">
        <f t="shared" si="140"/>
        <v>0</v>
      </c>
      <c r="K201" s="14"/>
      <c r="L201" s="11"/>
      <c r="M201" s="12"/>
      <c r="N201" s="13"/>
      <c r="O201" s="10">
        <f t="shared" si="149"/>
        <v>0</v>
      </c>
      <c r="P201" s="11"/>
      <c r="Q201" s="12"/>
      <c r="R201" s="13"/>
      <c r="S201" s="10">
        <f t="shared" si="150"/>
        <v>0</v>
      </c>
      <c r="U201" s="14"/>
      <c r="V201" s="11"/>
      <c r="W201" s="12"/>
      <c r="X201" s="13"/>
      <c r="Y201" s="10">
        <f t="shared" si="145"/>
        <v>0</v>
      </c>
      <c r="Z201" s="11"/>
      <c r="AA201" s="12"/>
      <c r="AB201" s="13"/>
      <c r="AC201" s="10">
        <f t="shared" si="146"/>
        <v>0</v>
      </c>
    </row>
    <row r="202" spans="1:29" x14ac:dyDescent="0.15">
      <c r="A202" s="6"/>
      <c r="B202" s="11"/>
      <c r="C202" s="12"/>
      <c r="D202" s="13"/>
      <c r="E202" s="10">
        <f t="shared" si="139"/>
        <v>0</v>
      </c>
      <c r="F202" s="11"/>
      <c r="G202" s="12"/>
      <c r="H202" s="13"/>
      <c r="I202" s="10">
        <f t="shared" si="140"/>
        <v>0</v>
      </c>
      <c r="K202" s="6"/>
      <c r="L202" s="11"/>
      <c r="M202" s="12"/>
      <c r="N202" s="13"/>
      <c r="O202" s="10">
        <f t="shared" si="149"/>
        <v>0</v>
      </c>
      <c r="P202" s="11"/>
      <c r="Q202" s="12"/>
      <c r="R202" s="13"/>
      <c r="S202" s="10">
        <f t="shared" si="150"/>
        <v>0</v>
      </c>
      <c r="U202" s="6"/>
      <c r="V202" s="11"/>
      <c r="W202" s="12"/>
      <c r="X202" s="13"/>
      <c r="Y202" s="10">
        <f t="shared" si="145"/>
        <v>0</v>
      </c>
      <c r="Z202" s="11"/>
      <c r="AA202" s="12"/>
      <c r="AB202" s="13"/>
      <c r="AC202" s="10">
        <f t="shared" si="146"/>
        <v>0</v>
      </c>
    </row>
    <row r="203" spans="1:29" x14ac:dyDescent="0.15">
      <c r="A203" s="6"/>
      <c r="B203" s="11"/>
      <c r="C203" s="12"/>
      <c r="D203" s="13"/>
      <c r="E203" s="10">
        <f t="shared" si="139"/>
        <v>0</v>
      </c>
      <c r="F203" s="11"/>
      <c r="G203" s="12"/>
      <c r="H203" s="13"/>
      <c r="I203" s="10">
        <f t="shared" si="140"/>
        <v>0</v>
      </c>
      <c r="K203" s="14"/>
      <c r="L203" s="11"/>
      <c r="M203" s="12"/>
      <c r="N203" s="13"/>
      <c r="O203" s="10">
        <f t="shared" si="149"/>
        <v>0</v>
      </c>
      <c r="P203" s="11"/>
      <c r="Q203" s="12"/>
      <c r="R203" s="13"/>
      <c r="S203" s="10">
        <f t="shared" si="150"/>
        <v>0</v>
      </c>
      <c r="U203" s="14"/>
      <c r="V203" s="11"/>
      <c r="W203" s="12"/>
      <c r="X203" s="13"/>
      <c r="Y203" s="10">
        <f t="shared" si="145"/>
        <v>0</v>
      </c>
      <c r="Z203" s="11"/>
      <c r="AA203" s="12"/>
      <c r="AB203" s="13"/>
      <c r="AC203" s="10">
        <f t="shared" si="146"/>
        <v>0</v>
      </c>
    </row>
    <row r="204" spans="1:29" x14ac:dyDescent="0.15">
      <c r="A204" s="6"/>
      <c r="B204" s="11"/>
      <c r="C204" s="12"/>
      <c r="D204" s="13"/>
      <c r="E204" s="10">
        <f t="shared" si="139"/>
        <v>0</v>
      </c>
      <c r="F204" s="11"/>
      <c r="G204" s="12"/>
      <c r="H204" s="13"/>
      <c r="I204" s="10">
        <f t="shared" si="140"/>
        <v>0</v>
      </c>
      <c r="K204" s="14"/>
      <c r="L204" s="15"/>
      <c r="M204" s="16"/>
      <c r="N204" s="17"/>
      <c r="O204" s="10">
        <f t="shared" si="149"/>
        <v>0</v>
      </c>
      <c r="P204" s="15"/>
      <c r="Q204" s="16"/>
      <c r="R204" s="17"/>
      <c r="S204" s="10">
        <f t="shared" si="150"/>
        <v>0</v>
      </c>
      <c r="U204" s="14"/>
      <c r="V204" s="15"/>
      <c r="W204" s="16"/>
      <c r="X204" s="17"/>
      <c r="Y204" s="10">
        <f t="shared" si="145"/>
        <v>0</v>
      </c>
      <c r="Z204" s="15"/>
      <c r="AA204" s="16"/>
      <c r="AB204" s="17"/>
      <c r="AC204" s="10">
        <f t="shared" si="146"/>
        <v>0</v>
      </c>
    </row>
    <row r="205" spans="1:29" x14ac:dyDescent="0.15">
      <c r="A205" s="6"/>
      <c r="B205" s="11"/>
      <c r="C205" s="12"/>
      <c r="D205" s="13"/>
      <c r="E205" s="10">
        <f t="shared" si="139"/>
        <v>0</v>
      </c>
      <c r="F205" s="11"/>
      <c r="G205" s="12"/>
      <c r="H205" s="13"/>
      <c r="I205" s="10">
        <f t="shared" si="140"/>
        <v>0</v>
      </c>
      <c r="K205" s="14"/>
      <c r="L205" s="11"/>
      <c r="M205" s="12"/>
      <c r="N205" s="13"/>
      <c r="O205" s="10">
        <f t="shared" si="149"/>
        <v>0</v>
      </c>
      <c r="P205" s="11"/>
      <c r="Q205" s="12"/>
      <c r="R205" s="13"/>
      <c r="S205" s="10">
        <f t="shared" si="150"/>
        <v>0</v>
      </c>
      <c r="U205" s="14"/>
      <c r="V205" s="11"/>
      <c r="W205" s="12"/>
      <c r="X205" s="13"/>
      <c r="Y205" s="10">
        <f t="shared" si="145"/>
        <v>0</v>
      </c>
      <c r="Z205" s="11"/>
      <c r="AA205" s="12"/>
      <c r="AB205" s="13"/>
      <c r="AC205" s="10">
        <f t="shared" si="146"/>
        <v>0</v>
      </c>
    </row>
    <row r="206" spans="1:29" x14ac:dyDescent="0.15">
      <c r="A206" s="6"/>
      <c r="B206" s="11"/>
      <c r="C206" s="12"/>
      <c r="D206" s="13"/>
      <c r="E206" s="10">
        <f t="shared" si="139"/>
        <v>0</v>
      </c>
      <c r="F206" s="11"/>
      <c r="G206" s="12"/>
      <c r="H206" s="13"/>
      <c r="I206" s="10">
        <f t="shared" si="140"/>
        <v>0</v>
      </c>
      <c r="K206" s="14"/>
      <c r="L206" s="15"/>
      <c r="M206" s="16"/>
      <c r="N206" s="17"/>
      <c r="O206" s="10">
        <f t="shared" si="149"/>
        <v>0</v>
      </c>
      <c r="P206" s="15"/>
      <c r="Q206" s="16"/>
      <c r="R206" s="17"/>
      <c r="S206" s="10">
        <f t="shared" si="150"/>
        <v>0</v>
      </c>
      <c r="U206" s="14"/>
      <c r="V206" s="15"/>
      <c r="W206" s="16"/>
      <c r="X206" s="17"/>
      <c r="Y206" s="10">
        <f t="shared" si="145"/>
        <v>0</v>
      </c>
      <c r="Z206" s="15"/>
      <c r="AA206" s="16"/>
      <c r="AB206" s="17"/>
      <c r="AC206" s="10">
        <f t="shared" si="146"/>
        <v>0</v>
      </c>
    </row>
    <row r="207" spans="1:29" x14ac:dyDescent="0.15">
      <c r="A207" s="6"/>
      <c r="B207" s="11"/>
      <c r="C207" s="12"/>
      <c r="D207" s="13"/>
      <c r="E207" s="10">
        <f t="shared" si="139"/>
        <v>0</v>
      </c>
      <c r="F207" s="11"/>
      <c r="G207" s="12"/>
      <c r="H207" s="13"/>
      <c r="I207" s="10">
        <f t="shared" si="140"/>
        <v>0</v>
      </c>
      <c r="K207" s="14"/>
      <c r="L207" s="15"/>
      <c r="M207" s="16"/>
      <c r="N207" s="17"/>
      <c r="O207" s="10">
        <f t="shared" ref="O207:O209" si="151">SUM(L207:N207)</f>
        <v>0</v>
      </c>
      <c r="P207" s="15"/>
      <c r="Q207" s="16"/>
      <c r="R207" s="17"/>
      <c r="S207" s="10">
        <f t="shared" ref="S207:S209" si="152">SUM(P207:R207)</f>
        <v>0</v>
      </c>
      <c r="U207" s="34"/>
      <c r="V207" s="11"/>
      <c r="W207" s="12"/>
      <c r="X207" s="13"/>
      <c r="Y207" s="10">
        <f t="shared" si="145"/>
        <v>0</v>
      </c>
      <c r="Z207" s="11"/>
      <c r="AA207" s="12"/>
      <c r="AB207" s="13"/>
      <c r="AC207" s="10">
        <f t="shared" si="146"/>
        <v>0</v>
      </c>
    </row>
    <row r="208" spans="1:29" x14ac:dyDescent="0.15">
      <c r="A208" s="6"/>
      <c r="B208" s="11"/>
      <c r="C208" s="12"/>
      <c r="D208" s="13"/>
      <c r="E208" s="10">
        <f t="shared" si="139"/>
        <v>0</v>
      </c>
      <c r="F208" s="11"/>
      <c r="G208" s="12"/>
      <c r="H208" s="13"/>
      <c r="I208" s="10">
        <f t="shared" si="140"/>
        <v>0</v>
      </c>
      <c r="K208" s="14"/>
      <c r="L208" s="15"/>
      <c r="M208" s="16"/>
      <c r="N208" s="17"/>
      <c r="O208" s="10">
        <f t="shared" si="151"/>
        <v>0</v>
      </c>
      <c r="P208" s="15"/>
      <c r="Q208" s="16"/>
      <c r="R208" s="17"/>
      <c r="S208" s="10">
        <f t="shared" si="152"/>
        <v>0</v>
      </c>
      <c r="U208" s="14"/>
      <c r="V208" s="11"/>
      <c r="W208" s="12"/>
      <c r="X208" s="13"/>
      <c r="Y208" s="10">
        <f t="shared" si="145"/>
        <v>0</v>
      </c>
      <c r="Z208" s="11"/>
      <c r="AA208" s="12"/>
      <c r="AB208" s="13"/>
      <c r="AC208" s="10">
        <f t="shared" si="146"/>
        <v>0</v>
      </c>
    </row>
    <row r="209" spans="1:29" x14ac:dyDescent="0.15">
      <c r="A209" s="6"/>
      <c r="B209" s="11"/>
      <c r="C209" s="12"/>
      <c r="D209" s="13"/>
      <c r="E209" s="10">
        <f t="shared" si="139"/>
        <v>0</v>
      </c>
      <c r="F209" s="11"/>
      <c r="G209" s="12"/>
      <c r="H209" s="13"/>
      <c r="I209" s="10">
        <f t="shared" si="140"/>
        <v>0</v>
      </c>
      <c r="K209" s="14"/>
      <c r="L209" s="15"/>
      <c r="M209" s="16"/>
      <c r="N209" s="17"/>
      <c r="O209" s="10">
        <f t="shared" si="151"/>
        <v>0</v>
      </c>
      <c r="P209" s="15"/>
      <c r="Q209" s="16"/>
      <c r="R209" s="17"/>
      <c r="S209" s="10">
        <f t="shared" si="152"/>
        <v>0</v>
      </c>
      <c r="U209" s="14"/>
      <c r="V209" s="11"/>
      <c r="W209" s="12"/>
      <c r="X209" s="13"/>
      <c r="Y209" s="10">
        <f t="shared" si="145"/>
        <v>0</v>
      </c>
      <c r="Z209" s="11"/>
      <c r="AA209" s="12"/>
      <c r="AB209" s="13"/>
      <c r="AC209" s="10">
        <f t="shared" si="146"/>
        <v>0</v>
      </c>
    </row>
    <row r="210" spans="1:29" x14ac:dyDescent="0.15">
      <c r="A210" s="6"/>
      <c r="B210" s="11"/>
      <c r="C210" s="12"/>
      <c r="D210" s="13"/>
      <c r="E210" s="10">
        <f t="shared" si="139"/>
        <v>0</v>
      </c>
      <c r="F210" s="11"/>
      <c r="G210" s="12"/>
      <c r="H210" s="13"/>
      <c r="I210" s="10">
        <f t="shared" si="140"/>
        <v>0</v>
      </c>
      <c r="K210" s="35" t="s">
        <v>125</v>
      </c>
      <c r="L210" s="68">
        <v>-5</v>
      </c>
      <c r="M210" s="69">
        <v>-20</v>
      </c>
      <c r="N210" s="70">
        <v>-5</v>
      </c>
      <c r="O210" s="71">
        <f t="shared" si="149"/>
        <v>-30</v>
      </c>
      <c r="P210" s="68">
        <v>-5</v>
      </c>
      <c r="Q210" s="69">
        <v>-20</v>
      </c>
      <c r="R210" s="70">
        <v>-5</v>
      </c>
      <c r="S210" s="71">
        <f t="shared" si="150"/>
        <v>-30</v>
      </c>
      <c r="U210" s="14"/>
      <c r="V210" s="11"/>
      <c r="W210" s="12"/>
      <c r="X210" s="13"/>
      <c r="Y210" s="10">
        <f t="shared" si="145"/>
        <v>0</v>
      </c>
      <c r="Z210" s="11"/>
      <c r="AA210" s="12"/>
      <c r="AB210" s="13"/>
      <c r="AC210" s="10">
        <f t="shared" si="146"/>
        <v>0</v>
      </c>
    </row>
    <row r="211" spans="1:29" ht="14.25" thickBot="1" x14ac:dyDescent="0.2">
      <c r="A211" s="6"/>
      <c r="B211" s="11"/>
      <c r="C211" s="12"/>
      <c r="D211" s="13"/>
      <c r="E211" s="10">
        <f t="shared" si="139"/>
        <v>0</v>
      </c>
      <c r="F211" s="11"/>
      <c r="G211" s="12"/>
      <c r="H211" s="13"/>
      <c r="I211" s="10">
        <f t="shared" si="140"/>
        <v>0</v>
      </c>
      <c r="K211" s="43" t="s">
        <v>126</v>
      </c>
      <c r="L211" s="72">
        <f>20-4</f>
        <v>16</v>
      </c>
      <c r="M211" s="73">
        <f>87-17</f>
        <v>70</v>
      </c>
      <c r="N211" s="74">
        <f>24-5</f>
        <v>19</v>
      </c>
      <c r="O211" s="75">
        <f t="shared" si="149"/>
        <v>105</v>
      </c>
      <c r="P211" s="72">
        <f>20-4</f>
        <v>16</v>
      </c>
      <c r="Q211" s="73">
        <f>87-17</f>
        <v>70</v>
      </c>
      <c r="R211" s="74">
        <f>24-5</f>
        <v>19</v>
      </c>
      <c r="S211" s="75">
        <f t="shared" si="150"/>
        <v>105</v>
      </c>
      <c r="T211" s="76" t="s">
        <v>127</v>
      </c>
      <c r="U211" s="14"/>
      <c r="V211" s="11"/>
      <c r="W211" s="12"/>
      <c r="X211" s="13"/>
      <c r="Y211" s="10">
        <f t="shared" si="145"/>
        <v>0</v>
      </c>
      <c r="Z211" s="11"/>
      <c r="AA211" s="12"/>
      <c r="AB211" s="13"/>
      <c r="AC211" s="10">
        <f t="shared" si="146"/>
        <v>0</v>
      </c>
    </row>
    <row r="212" spans="1:29" ht="14.25" thickBot="1" x14ac:dyDescent="0.2">
      <c r="A212" s="5" t="s">
        <v>5</v>
      </c>
      <c r="B212" s="18">
        <f>SUM(B188:B211)</f>
        <v>4</v>
      </c>
      <c r="C212" s="18">
        <f>SUM(C188:C211)</f>
        <v>2</v>
      </c>
      <c r="D212" s="18">
        <f>SUM(D188:D211)</f>
        <v>1</v>
      </c>
      <c r="E212" s="19">
        <f t="shared" si="139"/>
        <v>7</v>
      </c>
      <c r="F212" s="18">
        <f>SUM(F188:F211)</f>
        <v>4</v>
      </c>
      <c r="G212" s="18">
        <f>SUM(G188:G211)</f>
        <v>2</v>
      </c>
      <c r="H212" s="18">
        <f>SUM(H188:H211)</f>
        <v>1</v>
      </c>
      <c r="I212" s="19">
        <f t="shared" si="140"/>
        <v>7</v>
      </c>
      <c r="K212" s="5" t="s">
        <v>5</v>
      </c>
      <c r="L212" s="18">
        <f>SUM(L188:L211)</f>
        <v>15</v>
      </c>
      <c r="M212" s="18">
        <f t="shared" ref="M212:S212" si="153">SUM(M188:M211)</f>
        <v>67</v>
      </c>
      <c r="N212" s="18">
        <f t="shared" si="153"/>
        <v>19</v>
      </c>
      <c r="O212" s="19">
        <f t="shared" si="153"/>
        <v>101</v>
      </c>
      <c r="P212" s="18">
        <f t="shared" si="153"/>
        <v>15</v>
      </c>
      <c r="Q212" s="18">
        <f t="shared" si="153"/>
        <v>67</v>
      </c>
      <c r="R212" s="18">
        <f t="shared" si="153"/>
        <v>19</v>
      </c>
      <c r="S212" s="19">
        <f t="shared" si="153"/>
        <v>101</v>
      </c>
      <c r="U212" s="5" t="s">
        <v>5</v>
      </c>
      <c r="V212" s="18">
        <f>SUM(V188:V211)</f>
        <v>0</v>
      </c>
      <c r="W212" s="18">
        <f t="shared" ref="W212:AC212" si="154">SUM(W188:W211)</f>
        <v>20</v>
      </c>
      <c r="X212" s="18">
        <f t="shared" si="154"/>
        <v>0</v>
      </c>
      <c r="Y212" s="19">
        <f t="shared" si="154"/>
        <v>20</v>
      </c>
      <c r="Z212" s="18">
        <f t="shared" si="154"/>
        <v>0</v>
      </c>
      <c r="AA212" s="18">
        <f t="shared" si="154"/>
        <v>20</v>
      </c>
      <c r="AB212" s="18">
        <f t="shared" si="154"/>
        <v>0</v>
      </c>
      <c r="AC212" s="19">
        <f t="shared" si="154"/>
        <v>20</v>
      </c>
    </row>
    <row r="213" spans="1:29" ht="14.25" thickBot="1" x14ac:dyDescent="0.2">
      <c r="A213" s="28" t="s">
        <v>6</v>
      </c>
      <c r="B213" s="29">
        <f t="shared" ref="B213:I213" si="155">B187-B212</f>
        <v>3</v>
      </c>
      <c r="C213" s="29">
        <f t="shared" si="155"/>
        <v>11</v>
      </c>
      <c r="D213" s="29">
        <f t="shared" si="155"/>
        <v>7</v>
      </c>
      <c r="E213" s="29">
        <f t="shared" si="155"/>
        <v>21</v>
      </c>
      <c r="F213" s="29">
        <f t="shared" si="155"/>
        <v>3</v>
      </c>
      <c r="G213" s="29">
        <f t="shared" si="155"/>
        <v>11</v>
      </c>
      <c r="H213" s="29">
        <f t="shared" si="155"/>
        <v>7</v>
      </c>
      <c r="I213" s="27">
        <f t="shared" si="155"/>
        <v>21</v>
      </c>
      <c r="K213" s="28" t="s">
        <v>6</v>
      </c>
      <c r="L213" s="29">
        <f>L187-L212</f>
        <v>27</v>
      </c>
      <c r="M213" s="29">
        <f t="shared" ref="M213:S213" si="156">M187-M212</f>
        <v>4</v>
      </c>
      <c r="N213" s="29">
        <f t="shared" si="156"/>
        <v>31</v>
      </c>
      <c r="O213" s="29">
        <f t="shared" si="156"/>
        <v>62</v>
      </c>
      <c r="P213" s="29">
        <f t="shared" si="156"/>
        <v>27</v>
      </c>
      <c r="Q213" s="29">
        <f t="shared" si="156"/>
        <v>4</v>
      </c>
      <c r="R213" s="29">
        <f t="shared" si="156"/>
        <v>31</v>
      </c>
      <c r="S213" s="27">
        <f t="shared" si="156"/>
        <v>62</v>
      </c>
      <c r="U213" s="28" t="s">
        <v>6</v>
      </c>
      <c r="V213" s="29">
        <f>V187-V212</f>
        <v>60</v>
      </c>
      <c r="W213" s="29">
        <f t="shared" ref="W213:AC213" si="157">W187-W212</f>
        <v>60</v>
      </c>
      <c r="X213" s="29">
        <f t="shared" si="157"/>
        <v>60</v>
      </c>
      <c r="Y213" s="29">
        <f t="shared" si="157"/>
        <v>180</v>
      </c>
      <c r="Z213" s="29">
        <f t="shared" si="157"/>
        <v>60</v>
      </c>
      <c r="AA213" s="29">
        <f t="shared" si="157"/>
        <v>60</v>
      </c>
      <c r="AB213" s="29">
        <f t="shared" si="157"/>
        <v>60</v>
      </c>
      <c r="AC213" s="27">
        <f t="shared" si="157"/>
        <v>180</v>
      </c>
    </row>
    <row r="216" spans="1:29" ht="19.5" thickBot="1" x14ac:dyDescent="0.25">
      <c r="A216" s="2" t="s">
        <v>20</v>
      </c>
      <c r="B216" s="3"/>
      <c r="C216" s="3"/>
      <c r="D216" s="3"/>
      <c r="E216" s="3"/>
      <c r="G216" s="1"/>
      <c r="H216" s="41"/>
      <c r="I216" s="1"/>
      <c r="K216" s="77" t="s">
        <v>130</v>
      </c>
      <c r="L216" s="3"/>
      <c r="M216" s="3"/>
      <c r="N216" s="3"/>
      <c r="O216" s="3"/>
      <c r="P216" s="1"/>
      <c r="Q216" s="1"/>
      <c r="R216" s="41"/>
      <c r="S216" s="1"/>
      <c r="U216" s="2" t="s">
        <v>91</v>
      </c>
      <c r="V216" s="3"/>
      <c r="W216" s="3"/>
      <c r="X216" s="3"/>
      <c r="Y216" s="3"/>
      <c r="Z216" s="1"/>
      <c r="AA216" s="1"/>
      <c r="AB216" s="41"/>
      <c r="AC216" s="1"/>
    </row>
    <row r="217" spans="1:29" ht="14.25" thickBot="1" x14ac:dyDescent="0.2">
      <c r="A217" s="4" t="s">
        <v>0</v>
      </c>
      <c r="B217" s="80" t="s">
        <v>12</v>
      </c>
      <c r="C217" s="80"/>
      <c r="D217" s="80"/>
      <c r="E217" s="81"/>
      <c r="F217" s="78" t="s">
        <v>16</v>
      </c>
      <c r="G217" s="78"/>
      <c r="H217" s="78"/>
      <c r="I217" s="79"/>
      <c r="K217" s="4" t="s">
        <v>0</v>
      </c>
      <c r="L217" s="80" t="s">
        <v>12</v>
      </c>
      <c r="M217" s="80"/>
      <c r="N217" s="80"/>
      <c r="O217" s="81"/>
      <c r="P217" s="78" t="s">
        <v>16</v>
      </c>
      <c r="Q217" s="78"/>
      <c r="R217" s="78"/>
      <c r="S217" s="79"/>
      <c r="U217" s="4" t="s">
        <v>0</v>
      </c>
      <c r="V217" s="80" t="s">
        <v>12</v>
      </c>
      <c r="W217" s="80"/>
      <c r="X217" s="80"/>
      <c r="Y217" s="81"/>
      <c r="Z217" s="78" t="s">
        <v>16</v>
      </c>
      <c r="AA217" s="78"/>
      <c r="AB217" s="78"/>
      <c r="AC217" s="79"/>
    </row>
    <row r="218" spans="1:29" ht="14.25" thickBot="1" x14ac:dyDescent="0.2">
      <c r="A218" s="4" t="s">
        <v>1</v>
      </c>
      <c r="B218" s="5" t="s">
        <v>7</v>
      </c>
      <c r="C218" s="4" t="s">
        <v>8</v>
      </c>
      <c r="D218" s="22" t="s">
        <v>9</v>
      </c>
      <c r="E218" s="4" t="s">
        <v>2</v>
      </c>
      <c r="F218" s="5" t="s">
        <v>7</v>
      </c>
      <c r="G218" s="4" t="s">
        <v>8</v>
      </c>
      <c r="H218" s="22" t="s">
        <v>9</v>
      </c>
      <c r="I218" s="4" t="s">
        <v>2</v>
      </c>
      <c r="K218" s="4" t="s">
        <v>1</v>
      </c>
      <c r="L218" s="5" t="s">
        <v>7</v>
      </c>
      <c r="M218" s="4" t="s">
        <v>8</v>
      </c>
      <c r="N218" s="22" t="s">
        <v>9</v>
      </c>
      <c r="O218" s="4" t="s">
        <v>2</v>
      </c>
      <c r="P218" s="5" t="s">
        <v>7</v>
      </c>
      <c r="Q218" s="4" t="s">
        <v>8</v>
      </c>
      <c r="R218" s="22" t="s">
        <v>9</v>
      </c>
      <c r="S218" s="4" t="s">
        <v>2</v>
      </c>
      <c r="U218" s="4" t="s">
        <v>1</v>
      </c>
      <c r="V218" s="5" t="s">
        <v>7</v>
      </c>
      <c r="W218" s="4" t="s">
        <v>8</v>
      </c>
      <c r="X218" s="22" t="s">
        <v>9</v>
      </c>
      <c r="Y218" s="4" t="s">
        <v>2</v>
      </c>
      <c r="Z218" s="5" t="s">
        <v>7</v>
      </c>
      <c r="AA218" s="4" t="s">
        <v>8</v>
      </c>
      <c r="AB218" s="22" t="s">
        <v>9</v>
      </c>
      <c r="AC218" s="4" t="s">
        <v>2</v>
      </c>
    </row>
    <row r="219" spans="1:29" x14ac:dyDescent="0.15">
      <c r="A219" s="35" t="s">
        <v>15</v>
      </c>
      <c r="B219" s="38">
        <f>B213</f>
        <v>3</v>
      </c>
      <c r="C219" s="39">
        <f>C213</f>
        <v>11</v>
      </c>
      <c r="D219" s="40">
        <f>D213</f>
        <v>7</v>
      </c>
      <c r="E219" s="21">
        <f>SUM(B219:D219)</f>
        <v>21</v>
      </c>
      <c r="F219" s="38">
        <f>F213</f>
        <v>3</v>
      </c>
      <c r="G219" s="39">
        <f>G213</f>
        <v>11</v>
      </c>
      <c r="H219" s="40">
        <f>H213</f>
        <v>7</v>
      </c>
      <c r="I219" s="21">
        <f>SUM(F219:H219)</f>
        <v>21</v>
      </c>
      <c r="K219" s="35" t="s">
        <v>15</v>
      </c>
      <c r="L219" s="38">
        <f>L213</f>
        <v>27</v>
      </c>
      <c r="M219" s="39">
        <f t="shared" ref="M219:S219" si="158">M213</f>
        <v>4</v>
      </c>
      <c r="N219" s="40">
        <f t="shared" si="158"/>
        <v>31</v>
      </c>
      <c r="O219" s="21">
        <f t="shared" si="158"/>
        <v>62</v>
      </c>
      <c r="P219" s="38">
        <f t="shared" si="158"/>
        <v>27</v>
      </c>
      <c r="Q219" s="39">
        <f t="shared" si="158"/>
        <v>4</v>
      </c>
      <c r="R219" s="40">
        <f t="shared" si="158"/>
        <v>31</v>
      </c>
      <c r="S219" s="21">
        <f t="shared" si="158"/>
        <v>62</v>
      </c>
      <c r="U219" s="35" t="s">
        <v>15</v>
      </c>
      <c r="V219" s="38">
        <f>V213</f>
        <v>60</v>
      </c>
      <c r="W219" s="39">
        <f t="shared" ref="W219:AC219" si="159">W213</f>
        <v>60</v>
      </c>
      <c r="X219" s="40">
        <f t="shared" si="159"/>
        <v>60</v>
      </c>
      <c r="Y219" s="21">
        <f t="shared" si="159"/>
        <v>180</v>
      </c>
      <c r="Z219" s="38">
        <f t="shared" si="159"/>
        <v>60</v>
      </c>
      <c r="AA219" s="39">
        <f t="shared" si="159"/>
        <v>60</v>
      </c>
      <c r="AB219" s="40">
        <f t="shared" si="159"/>
        <v>60</v>
      </c>
      <c r="AC219" s="21">
        <f t="shared" si="159"/>
        <v>180</v>
      </c>
    </row>
    <row r="220" spans="1:29" x14ac:dyDescent="0.15">
      <c r="A220" s="8" t="s">
        <v>3</v>
      </c>
      <c r="B220" s="13"/>
      <c r="C220" s="12"/>
      <c r="D220" s="13"/>
      <c r="E220" s="7">
        <f t="shared" ref="E220:E255" si="160">SUM(B220:D220)</f>
        <v>0</v>
      </c>
      <c r="F220" s="13"/>
      <c r="G220" s="12"/>
      <c r="H220" s="13"/>
      <c r="I220" s="7">
        <f t="shared" ref="I220:I255" si="161">SUM(F220:H220)</f>
        <v>0</v>
      </c>
      <c r="K220" s="8" t="s">
        <v>3</v>
      </c>
      <c r="L220" s="13"/>
      <c r="M220" s="12"/>
      <c r="N220" s="13"/>
      <c r="O220" s="7">
        <f t="shared" ref="O220:O229" si="162">SUM(L220:N220)</f>
        <v>0</v>
      </c>
      <c r="P220" s="13"/>
      <c r="Q220" s="12"/>
      <c r="R220" s="13"/>
      <c r="S220" s="7">
        <f t="shared" ref="S220:S229" si="163">SUM(P220:R220)</f>
        <v>0</v>
      </c>
      <c r="U220" s="8" t="s">
        <v>3</v>
      </c>
      <c r="V220" s="13"/>
      <c r="W220" s="12"/>
      <c r="X220" s="13"/>
      <c r="Y220" s="7">
        <f t="shared" ref="Y220:Y229" si="164">SUM(V220:X220)</f>
        <v>0</v>
      </c>
      <c r="Z220" s="13"/>
      <c r="AA220" s="12"/>
      <c r="AB220" s="13"/>
      <c r="AC220" s="7">
        <f t="shared" ref="AC220:AC229" si="165">SUM(Z220:AB220)</f>
        <v>0</v>
      </c>
    </row>
    <row r="221" spans="1:29" x14ac:dyDescent="0.15">
      <c r="A221" s="8" t="s">
        <v>3</v>
      </c>
      <c r="B221" s="13"/>
      <c r="C221" s="12"/>
      <c r="D221" s="13"/>
      <c r="E221" s="7">
        <f t="shared" si="160"/>
        <v>0</v>
      </c>
      <c r="F221" s="13"/>
      <c r="G221" s="12"/>
      <c r="H221" s="13"/>
      <c r="I221" s="7">
        <f t="shared" si="161"/>
        <v>0</v>
      </c>
      <c r="K221" s="8" t="s">
        <v>3</v>
      </c>
      <c r="L221" s="13"/>
      <c r="M221" s="12"/>
      <c r="N221" s="13"/>
      <c r="O221" s="7">
        <f t="shared" si="162"/>
        <v>0</v>
      </c>
      <c r="P221" s="13"/>
      <c r="Q221" s="12"/>
      <c r="R221" s="13"/>
      <c r="S221" s="7">
        <f t="shared" si="163"/>
        <v>0</v>
      </c>
      <c r="U221" s="8" t="s">
        <v>3</v>
      </c>
      <c r="V221" s="13"/>
      <c r="W221" s="12"/>
      <c r="X221" s="13"/>
      <c r="Y221" s="7">
        <f t="shared" ref="Y221" si="166">SUM(V221:X221)</f>
        <v>0</v>
      </c>
      <c r="Z221" s="13"/>
      <c r="AA221" s="12"/>
      <c r="AB221" s="13"/>
      <c r="AC221" s="7">
        <f t="shared" ref="AC221" si="167">SUM(Z221:AB221)</f>
        <v>0</v>
      </c>
    </row>
    <row r="222" spans="1:29" x14ac:dyDescent="0.15">
      <c r="A222" s="8" t="s">
        <v>3</v>
      </c>
      <c r="B222" s="13"/>
      <c r="C222" s="12"/>
      <c r="D222" s="13"/>
      <c r="E222" s="7">
        <f t="shared" si="160"/>
        <v>0</v>
      </c>
      <c r="F222" s="13"/>
      <c r="G222" s="12"/>
      <c r="H222" s="13"/>
      <c r="I222" s="7">
        <f t="shared" si="161"/>
        <v>0</v>
      </c>
      <c r="K222" s="6" t="s">
        <v>135</v>
      </c>
      <c r="L222" s="11">
        <v>60</v>
      </c>
      <c r="M222" s="12">
        <v>60</v>
      </c>
      <c r="N222" s="13">
        <v>60</v>
      </c>
      <c r="O222" s="7">
        <f t="shared" si="162"/>
        <v>180</v>
      </c>
      <c r="P222" s="11">
        <v>60</v>
      </c>
      <c r="Q222" s="12">
        <v>60</v>
      </c>
      <c r="R222" s="13">
        <v>60</v>
      </c>
      <c r="S222" s="7">
        <f t="shared" si="163"/>
        <v>180</v>
      </c>
      <c r="T222" t="s">
        <v>136</v>
      </c>
      <c r="U222" s="8" t="s">
        <v>3</v>
      </c>
      <c r="V222" s="13"/>
      <c r="W222" s="12"/>
      <c r="X222" s="13"/>
      <c r="Y222" s="7">
        <f t="shared" si="164"/>
        <v>0</v>
      </c>
      <c r="Z222" s="13"/>
      <c r="AA222" s="12"/>
      <c r="AB222" s="13"/>
      <c r="AC222" s="7">
        <f t="shared" si="165"/>
        <v>0</v>
      </c>
    </row>
    <row r="223" spans="1:29" x14ac:dyDescent="0.15">
      <c r="A223" s="8" t="s">
        <v>3</v>
      </c>
      <c r="B223" s="13"/>
      <c r="C223" s="12"/>
      <c r="D223" s="13"/>
      <c r="E223" s="7">
        <f t="shared" si="160"/>
        <v>0</v>
      </c>
      <c r="F223" s="13"/>
      <c r="G223" s="12"/>
      <c r="H223" s="13"/>
      <c r="I223" s="7">
        <f t="shared" si="161"/>
        <v>0</v>
      </c>
      <c r="K223" s="8" t="s">
        <v>3</v>
      </c>
      <c r="L223" s="13"/>
      <c r="M223" s="12"/>
      <c r="N223" s="13"/>
      <c r="O223" s="7">
        <f t="shared" si="162"/>
        <v>0</v>
      </c>
      <c r="P223" s="13"/>
      <c r="Q223" s="12"/>
      <c r="R223" s="13"/>
      <c r="S223" s="7">
        <f t="shared" si="163"/>
        <v>0</v>
      </c>
      <c r="U223" s="8" t="s">
        <v>3</v>
      </c>
      <c r="V223" s="13"/>
      <c r="W223" s="12"/>
      <c r="X223" s="13"/>
      <c r="Y223" s="7">
        <f t="shared" si="164"/>
        <v>0</v>
      </c>
      <c r="Z223" s="13"/>
      <c r="AA223" s="12"/>
      <c r="AB223" s="13"/>
      <c r="AC223" s="7">
        <f t="shared" si="165"/>
        <v>0</v>
      </c>
    </row>
    <row r="224" spans="1:29" x14ac:dyDescent="0.15">
      <c r="A224" s="8" t="s">
        <v>3</v>
      </c>
      <c r="B224" s="13"/>
      <c r="C224" s="12"/>
      <c r="D224" s="13"/>
      <c r="E224" s="7">
        <f t="shared" si="160"/>
        <v>0</v>
      </c>
      <c r="F224" s="13"/>
      <c r="G224" s="12"/>
      <c r="H224" s="13"/>
      <c r="I224" s="7">
        <f t="shared" si="161"/>
        <v>0</v>
      </c>
      <c r="K224" s="8" t="s">
        <v>3</v>
      </c>
      <c r="L224" s="13"/>
      <c r="M224" s="12"/>
      <c r="N224" s="13"/>
      <c r="O224" s="7">
        <f t="shared" si="162"/>
        <v>0</v>
      </c>
      <c r="P224" s="13"/>
      <c r="Q224" s="12"/>
      <c r="R224" s="13"/>
      <c r="S224" s="7">
        <f t="shared" si="163"/>
        <v>0</v>
      </c>
      <c r="U224" s="8" t="s">
        <v>3</v>
      </c>
      <c r="V224" s="13"/>
      <c r="W224" s="12"/>
      <c r="X224" s="13"/>
      <c r="Y224" s="7">
        <f t="shared" si="164"/>
        <v>0</v>
      </c>
      <c r="Z224" s="13"/>
      <c r="AA224" s="12"/>
      <c r="AB224" s="13"/>
      <c r="AC224" s="7">
        <f t="shared" si="165"/>
        <v>0</v>
      </c>
    </row>
    <row r="225" spans="1:30" x14ac:dyDescent="0.15">
      <c r="A225" s="8" t="s">
        <v>3</v>
      </c>
      <c r="B225" s="13"/>
      <c r="C225" s="12"/>
      <c r="D225" s="13"/>
      <c r="E225" s="7">
        <f t="shared" si="160"/>
        <v>0</v>
      </c>
      <c r="F225" s="13"/>
      <c r="G225" s="12"/>
      <c r="H225" s="13"/>
      <c r="I225" s="7">
        <f t="shared" si="161"/>
        <v>0</v>
      </c>
      <c r="K225" s="8" t="s">
        <v>3</v>
      </c>
      <c r="L225" s="13"/>
      <c r="M225" s="12"/>
      <c r="N225" s="13"/>
      <c r="O225" s="7">
        <f t="shared" si="162"/>
        <v>0</v>
      </c>
      <c r="P225" s="13"/>
      <c r="Q225" s="12"/>
      <c r="R225" s="13"/>
      <c r="S225" s="7">
        <f t="shared" si="163"/>
        <v>0</v>
      </c>
      <c r="U225" s="8" t="s">
        <v>3</v>
      </c>
      <c r="V225" s="13"/>
      <c r="W225" s="12"/>
      <c r="X225" s="13"/>
      <c r="Y225" s="7">
        <f t="shared" si="164"/>
        <v>0</v>
      </c>
      <c r="Z225" s="13"/>
      <c r="AA225" s="12"/>
      <c r="AB225" s="13"/>
      <c r="AC225" s="7">
        <f t="shared" si="165"/>
        <v>0</v>
      </c>
    </row>
    <row r="226" spans="1:30" x14ac:dyDescent="0.15">
      <c r="A226" s="8" t="s">
        <v>3</v>
      </c>
      <c r="B226" s="13"/>
      <c r="C226" s="12"/>
      <c r="D226" s="13"/>
      <c r="E226" s="7">
        <f t="shared" si="160"/>
        <v>0</v>
      </c>
      <c r="F226" s="13"/>
      <c r="G226" s="12"/>
      <c r="H226" s="13"/>
      <c r="I226" s="7">
        <f t="shared" si="161"/>
        <v>0</v>
      </c>
      <c r="K226" s="8" t="s">
        <v>3</v>
      </c>
      <c r="L226" s="13"/>
      <c r="M226" s="12"/>
      <c r="N226" s="13"/>
      <c r="O226" s="7">
        <f t="shared" si="162"/>
        <v>0</v>
      </c>
      <c r="P226" s="13"/>
      <c r="Q226" s="12"/>
      <c r="R226" s="13"/>
      <c r="S226" s="7">
        <f t="shared" si="163"/>
        <v>0</v>
      </c>
      <c r="U226" s="8" t="s">
        <v>3</v>
      </c>
      <c r="V226" s="13"/>
      <c r="W226" s="12"/>
      <c r="X226" s="13"/>
      <c r="Y226" s="7">
        <f t="shared" si="164"/>
        <v>0</v>
      </c>
      <c r="Z226" s="13"/>
      <c r="AA226" s="12"/>
      <c r="AB226" s="13"/>
      <c r="AC226" s="7">
        <f t="shared" si="165"/>
        <v>0</v>
      </c>
    </row>
    <row r="227" spans="1:30" x14ac:dyDescent="0.15">
      <c r="A227" s="8" t="s">
        <v>3</v>
      </c>
      <c r="B227" s="13"/>
      <c r="C227" s="12"/>
      <c r="D227" s="13"/>
      <c r="E227" s="7">
        <f t="shared" si="160"/>
        <v>0</v>
      </c>
      <c r="F227" s="13"/>
      <c r="G227" s="12"/>
      <c r="H227" s="13"/>
      <c r="I227" s="7">
        <f t="shared" si="161"/>
        <v>0</v>
      </c>
      <c r="K227" s="8" t="s">
        <v>3</v>
      </c>
      <c r="L227" s="13"/>
      <c r="M227" s="12"/>
      <c r="N227" s="13"/>
      <c r="O227" s="7">
        <f t="shared" si="162"/>
        <v>0</v>
      </c>
      <c r="P227" s="13"/>
      <c r="Q227" s="12"/>
      <c r="R227" s="13"/>
      <c r="S227" s="7">
        <f t="shared" si="163"/>
        <v>0</v>
      </c>
      <c r="U227" s="8" t="s">
        <v>3</v>
      </c>
      <c r="V227" s="13"/>
      <c r="W227" s="12"/>
      <c r="X227" s="13"/>
      <c r="Y227" s="7">
        <f t="shared" si="164"/>
        <v>0</v>
      </c>
      <c r="Z227" s="13"/>
      <c r="AA227" s="12"/>
      <c r="AB227" s="13"/>
      <c r="AC227" s="7">
        <f t="shared" si="165"/>
        <v>0</v>
      </c>
    </row>
    <row r="228" spans="1:30" x14ac:dyDescent="0.15">
      <c r="A228" s="8" t="s">
        <v>3</v>
      </c>
      <c r="B228" s="13"/>
      <c r="C228" s="12"/>
      <c r="D228" s="13"/>
      <c r="E228" s="7">
        <f t="shared" si="160"/>
        <v>0</v>
      </c>
      <c r="F228" s="13"/>
      <c r="G228" s="12"/>
      <c r="H228" s="13"/>
      <c r="I228" s="7">
        <f t="shared" si="161"/>
        <v>0</v>
      </c>
      <c r="K228" s="8" t="s">
        <v>3</v>
      </c>
      <c r="L228" s="13"/>
      <c r="M228" s="12"/>
      <c r="N228" s="13"/>
      <c r="O228" s="7">
        <f t="shared" si="162"/>
        <v>0</v>
      </c>
      <c r="P228" s="13"/>
      <c r="Q228" s="12"/>
      <c r="R228" s="13"/>
      <c r="S228" s="7">
        <f t="shared" si="163"/>
        <v>0</v>
      </c>
      <c r="U228" s="8" t="s">
        <v>3</v>
      </c>
      <c r="V228" s="13"/>
      <c r="W228" s="12"/>
      <c r="X228" s="13"/>
      <c r="Y228" s="7">
        <f t="shared" si="164"/>
        <v>0</v>
      </c>
      <c r="Z228" s="13"/>
      <c r="AA228" s="12"/>
      <c r="AB228" s="13"/>
      <c r="AC228" s="7">
        <f t="shared" si="165"/>
        <v>0</v>
      </c>
    </row>
    <row r="229" spans="1:30" ht="14.25" thickBot="1" x14ac:dyDescent="0.2">
      <c r="A229" s="9" t="s">
        <v>3</v>
      </c>
      <c r="B229" s="17"/>
      <c r="C229" s="16"/>
      <c r="D229" s="17"/>
      <c r="E229" s="23">
        <f t="shared" si="160"/>
        <v>0</v>
      </c>
      <c r="F229" s="17"/>
      <c r="G229" s="16"/>
      <c r="H229" s="17"/>
      <c r="I229" s="23">
        <f t="shared" si="161"/>
        <v>0</v>
      </c>
      <c r="K229" s="9" t="s">
        <v>3</v>
      </c>
      <c r="L229" s="17"/>
      <c r="M229" s="16"/>
      <c r="N229" s="17"/>
      <c r="O229" s="23">
        <f t="shared" si="162"/>
        <v>0</v>
      </c>
      <c r="P229" s="17"/>
      <c r="Q229" s="16"/>
      <c r="R229" s="17"/>
      <c r="S229" s="23">
        <f t="shared" si="163"/>
        <v>0</v>
      </c>
      <c r="U229" s="9" t="s">
        <v>3</v>
      </c>
      <c r="V229" s="17"/>
      <c r="W229" s="16"/>
      <c r="X229" s="17"/>
      <c r="Y229" s="23">
        <f t="shared" si="164"/>
        <v>0</v>
      </c>
      <c r="Z229" s="17"/>
      <c r="AA229" s="16"/>
      <c r="AB229" s="17"/>
      <c r="AC229" s="23">
        <f t="shared" si="165"/>
        <v>0</v>
      </c>
    </row>
    <row r="230" spans="1:30" ht="14.25" thickBot="1" x14ac:dyDescent="0.2">
      <c r="A230" s="24" t="s">
        <v>4</v>
      </c>
      <c r="B230" s="25">
        <f>SUM(B219:B229)</f>
        <v>3</v>
      </c>
      <c r="C230" s="25">
        <f>SUM(C219:C229)</f>
        <v>11</v>
      </c>
      <c r="D230" s="26">
        <f>SUM(D219:D229)</f>
        <v>7</v>
      </c>
      <c r="E230" s="27">
        <f t="shared" si="160"/>
        <v>21</v>
      </c>
      <c r="F230" s="25">
        <f>SUM(F219:F229)</f>
        <v>3</v>
      </c>
      <c r="G230" s="25">
        <f>SUM(G219:G229)</f>
        <v>11</v>
      </c>
      <c r="H230" s="26">
        <f>SUM(H219:H229)</f>
        <v>7</v>
      </c>
      <c r="I230" s="27">
        <f t="shared" si="161"/>
        <v>21</v>
      </c>
      <c r="K230" s="24" t="s">
        <v>4</v>
      </c>
      <c r="L230" s="25">
        <f>SUM(L219:L229)</f>
        <v>87</v>
      </c>
      <c r="M230" s="25">
        <f t="shared" ref="M230:S230" si="168">SUM(M219:M229)</f>
        <v>64</v>
      </c>
      <c r="N230" s="26">
        <f t="shared" si="168"/>
        <v>91</v>
      </c>
      <c r="O230" s="27">
        <f t="shared" si="168"/>
        <v>242</v>
      </c>
      <c r="P230" s="25">
        <f t="shared" si="168"/>
        <v>87</v>
      </c>
      <c r="Q230" s="25">
        <f t="shared" si="168"/>
        <v>64</v>
      </c>
      <c r="R230" s="26">
        <f t="shared" si="168"/>
        <v>91</v>
      </c>
      <c r="S230" s="27">
        <f t="shared" si="168"/>
        <v>242</v>
      </c>
      <c r="U230" s="24" t="s">
        <v>4</v>
      </c>
      <c r="V230" s="25">
        <f>SUM(V219:V229)</f>
        <v>60</v>
      </c>
      <c r="W230" s="25">
        <f t="shared" ref="W230:AC230" si="169">SUM(W219:W229)</f>
        <v>60</v>
      </c>
      <c r="X230" s="26">
        <f t="shared" si="169"/>
        <v>60</v>
      </c>
      <c r="Y230" s="27">
        <f t="shared" si="169"/>
        <v>180</v>
      </c>
      <c r="Z230" s="25">
        <f t="shared" si="169"/>
        <v>60</v>
      </c>
      <c r="AA230" s="25">
        <f t="shared" si="169"/>
        <v>60</v>
      </c>
      <c r="AB230" s="26">
        <f t="shared" si="169"/>
        <v>60</v>
      </c>
      <c r="AC230" s="27">
        <f t="shared" si="169"/>
        <v>180</v>
      </c>
    </row>
    <row r="231" spans="1:30" x14ac:dyDescent="0.15">
      <c r="A231" s="6"/>
      <c r="B231" s="11"/>
      <c r="C231" s="12"/>
      <c r="D231" s="13"/>
      <c r="E231" s="10">
        <f t="shared" ref="E231:E235" si="170">SUM(B231:D231)</f>
        <v>0</v>
      </c>
      <c r="F231" s="11"/>
      <c r="G231" s="12"/>
      <c r="H231" s="13"/>
      <c r="I231" s="10">
        <f t="shared" ref="I231:I235" si="171">SUM(F231:H231)</f>
        <v>0</v>
      </c>
      <c r="K231" s="6"/>
      <c r="L231" s="11"/>
      <c r="M231" s="12"/>
      <c r="N231" s="13"/>
      <c r="O231" s="7">
        <f t="shared" ref="O231" si="172">SUM(L231:N231)</f>
        <v>0</v>
      </c>
      <c r="P231" s="11"/>
      <c r="Q231" s="12"/>
      <c r="R231" s="13"/>
      <c r="S231" s="7">
        <f t="shared" ref="S231" si="173">SUM(P231:R231)</f>
        <v>0</v>
      </c>
      <c r="U231" s="6" t="s">
        <v>135</v>
      </c>
      <c r="V231" s="11">
        <v>60</v>
      </c>
      <c r="W231" s="12">
        <v>60</v>
      </c>
      <c r="X231" s="13">
        <v>60</v>
      </c>
      <c r="Y231" s="7">
        <f t="shared" ref="Y231:Y254" si="174">SUM(V231:X231)</f>
        <v>180</v>
      </c>
      <c r="Z231" s="11">
        <v>60</v>
      </c>
      <c r="AA231" s="12">
        <v>60</v>
      </c>
      <c r="AB231" s="13">
        <v>60</v>
      </c>
      <c r="AC231" s="7">
        <f t="shared" ref="AC231:AC254" si="175">SUM(Z231:AB231)</f>
        <v>180</v>
      </c>
      <c r="AD231" t="s">
        <v>136</v>
      </c>
    </row>
    <row r="232" spans="1:30" x14ac:dyDescent="0.15">
      <c r="A232" s="6"/>
      <c r="B232" s="11"/>
      <c r="C232" s="12"/>
      <c r="D232" s="13"/>
      <c r="E232" s="10">
        <f t="shared" si="170"/>
        <v>0</v>
      </c>
      <c r="F232" s="11"/>
      <c r="G232" s="12"/>
      <c r="H232" s="13"/>
      <c r="I232" s="10">
        <f t="shared" si="171"/>
        <v>0</v>
      </c>
      <c r="K232" s="6"/>
      <c r="L232" s="11"/>
      <c r="M232" s="12"/>
      <c r="N232" s="13"/>
      <c r="O232" s="7">
        <f t="shared" ref="O232:O252" si="176">SUM(L232:N232)</f>
        <v>0</v>
      </c>
      <c r="P232" s="11"/>
      <c r="Q232" s="12"/>
      <c r="R232" s="13"/>
      <c r="S232" s="7">
        <f t="shared" ref="S232:S252" si="177">SUM(P232:R232)</f>
        <v>0</v>
      </c>
      <c r="U232" s="6"/>
      <c r="V232" s="11"/>
      <c r="W232" s="12"/>
      <c r="X232" s="13"/>
      <c r="Y232" s="7">
        <f t="shared" si="174"/>
        <v>0</v>
      </c>
      <c r="Z232" s="11"/>
      <c r="AA232" s="12"/>
      <c r="AB232" s="13"/>
      <c r="AC232" s="7">
        <f t="shared" si="175"/>
        <v>0</v>
      </c>
    </row>
    <row r="233" spans="1:30" x14ac:dyDescent="0.15">
      <c r="A233" s="6"/>
      <c r="B233" s="11"/>
      <c r="C233" s="12"/>
      <c r="D233" s="13"/>
      <c r="E233" s="10">
        <f t="shared" si="170"/>
        <v>0</v>
      </c>
      <c r="F233" s="11"/>
      <c r="G233" s="12"/>
      <c r="H233" s="13"/>
      <c r="I233" s="10">
        <f t="shared" si="171"/>
        <v>0</v>
      </c>
      <c r="K233" s="6"/>
      <c r="L233" s="11"/>
      <c r="M233" s="12"/>
      <c r="N233" s="13"/>
      <c r="O233" s="7">
        <f t="shared" si="176"/>
        <v>0</v>
      </c>
      <c r="P233" s="11"/>
      <c r="Q233" s="12"/>
      <c r="R233" s="13"/>
      <c r="S233" s="7">
        <f t="shared" si="177"/>
        <v>0</v>
      </c>
      <c r="U233" s="6"/>
      <c r="V233" s="11"/>
      <c r="W233" s="12"/>
      <c r="X233" s="13"/>
      <c r="Y233" s="7">
        <f t="shared" si="174"/>
        <v>0</v>
      </c>
      <c r="Z233" s="11"/>
      <c r="AA233" s="12"/>
      <c r="AB233" s="13"/>
      <c r="AC233" s="7">
        <f t="shared" si="175"/>
        <v>0</v>
      </c>
    </row>
    <row r="234" spans="1:30" x14ac:dyDescent="0.15">
      <c r="A234" s="6"/>
      <c r="B234" s="11"/>
      <c r="C234" s="12"/>
      <c r="D234" s="13"/>
      <c r="E234" s="10">
        <f t="shared" si="170"/>
        <v>0</v>
      </c>
      <c r="F234" s="11"/>
      <c r="G234" s="12"/>
      <c r="H234" s="13"/>
      <c r="I234" s="10">
        <f t="shared" si="171"/>
        <v>0</v>
      </c>
      <c r="K234" s="6"/>
      <c r="L234" s="11"/>
      <c r="M234" s="12"/>
      <c r="N234" s="13"/>
      <c r="O234" s="7">
        <f t="shared" si="176"/>
        <v>0</v>
      </c>
      <c r="P234" s="11"/>
      <c r="Q234" s="12"/>
      <c r="R234" s="13"/>
      <c r="S234" s="7">
        <f t="shared" si="177"/>
        <v>0</v>
      </c>
      <c r="U234" s="6"/>
      <c r="V234" s="11"/>
      <c r="W234" s="12"/>
      <c r="X234" s="13"/>
      <c r="Y234" s="7">
        <f t="shared" si="174"/>
        <v>0</v>
      </c>
      <c r="Z234" s="11"/>
      <c r="AA234" s="12"/>
      <c r="AB234" s="13"/>
      <c r="AC234" s="7">
        <f t="shared" si="175"/>
        <v>0</v>
      </c>
    </row>
    <row r="235" spans="1:30" x14ac:dyDescent="0.15">
      <c r="A235" s="6"/>
      <c r="B235" s="11"/>
      <c r="C235" s="12"/>
      <c r="D235" s="13"/>
      <c r="E235" s="10">
        <f t="shared" si="170"/>
        <v>0</v>
      </c>
      <c r="F235" s="11"/>
      <c r="G235" s="12"/>
      <c r="H235" s="13"/>
      <c r="I235" s="10">
        <f t="shared" si="171"/>
        <v>0</v>
      </c>
      <c r="K235" s="6"/>
      <c r="L235" s="11"/>
      <c r="M235" s="12"/>
      <c r="N235" s="13"/>
      <c r="O235" s="7">
        <f t="shared" si="176"/>
        <v>0</v>
      </c>
      <c r="P235" s="11"/>
      <c r="Q235" s="12"/>
      <c r="R235" s="13"/>
      <c r="S235" s="7">
        <f t="shared" si="177"/>
        <v>0</v>
      </c>
      <c r="U235" s="6"/>
      <c r="V235" s="11"/>
      <c r="W235" s="12"/>
      <c r="X235" s="13"/>
      <c r="Y235" s="7">
        <f t="shared" si="174"/>
        <v>0</v>
      </c>
      <c r="Z235" s="11"/>
      <c r="AA235" s="12"/>
      <c r="AB235" s="13"/>
      <c r="AC235" s="7">
        <f t="shared" si="175"/>
        <v>0</v>
      </c>
    </row>
    <row r="236" spans="1:30" x14ac:dyDescent="0.15">
      <c r="A236" s="6"/>
      <c r="B236" s="11"/>
      <c r="C236" s="12"/>
      <c r="D236" s="13"/>
      <c r="E236" s="10">
        <f t="shared" si="160"/>
        <v>0</v>
      </c>
      <c r="F236" s="11"/>
      <c r="G236" s="12"/>
      <c r="H236" s="13"/>
      <c r="I236" s="10">
        <f t="shared" si="161"/>
        <v>0</v>
      </c>
      <c r="K236" s="6"/>
      <c r="L236" s="11"/>
      <c r="M236" s="12"/>
      <c r="N236" s="13"/>
      <c r="O236" s="10">
        <f t="shared" si="176"/>
        <v>0</v>
      </c>
      <c r="P236" s="11"/>
      <c r="Q236" s="12"/>
      <c r="R236" s="13"/>
      <c r="S236" s="10">
        <f t="shared" si="177"/>
        <v>0</v>
      </c>
      <c r="U236" s="6"/>
      <c r="V236" s="11"/>
      <c r="W236" s="12"/>
      <c r="X236" s="13"/>
      <c r="Y236" s="10">
        <f t="shared" si="174"/>
        <v>0</v>
      </c>
      <c r="Z236" s="11"/>
      <c r="AA236" s="12"/>
      <c r="AB236" s="13"/>
      <c r="AC236" s="10">
        <f t="shared" si="175"/>
        <v>0</v>
      </c>
    </row>
    <row r="237" spans="1:30" x14ac:dyDescent="0.15">
      <c r="A237" s="6"/>
      <c r="B237" s="11"/>
      <c r="C237" s="12"/>
      <c r="D237" s="13"/>
      <c r="E237" s="10">
        <f t="shared" si="160"/>
        <v>0</v>
      </c>
      <c r="F237" s="11"/>
      <c r="G237" s="12"/>
      <c r="H237" s="13"/>
      <c r="I237" s="10">
        <f t="shared" si="161"/>
        <v>0</v>
      </c>
      <c r="K237" s="6"/>
      <c r="L237" s="11"/>
      <c r="M237" s="12"/>
      <c r="N237" s="13"/>
      <c r="O237" s="10">
        <f t="shared" si="176"/>
        <v>0</v>
      </c>
      <c r="P237" s="11"/>
      <c r="Q237" s="12"/>
      <c r="R237" s="13"/>
      <c r="S237" s="10">
        <f t="shared" si="177"/>
        <v>0</v>
      </c>
      <c r="U237" s="6"/>
      <c r="V237" s="11"/>
      <c r="W237" s="12"/>
      <c r="X237" s="13"/>
      <c r="Y237" s="10">
        <f t="shared" si="174"/>
        <v>0</v>
      </c>
      <c r="Z237" s="11"/>
      <c r="AA237" s="12"/>
      <c r="AB237" s="13"/>
      <c r="AC237" s="10">
        <f t="shared" si="175"/>
        <v>0</v>
      </c>
    </row>
    <row r="238" spans="1:30" x14ac:dyDescent="0.15">
      <c r="A238" s="6"/>
      <c r="B238" s="11"/>
      <c r="C238" s="12"/>
      <c r="D238" s="13"/>
      <c r="E238" s="10">
        <f t="shared" si="160"/>
        <v>0</v>
      </c>
      <c r="F238" s="11"/>
      <c r="G238" s="12"/>
      <c r="H238" s="13"/>
      <c r="I238" s="10">
        <f t="shared" si="161"/>
        <v>0</v>
      </c>
      <c r="K238" s="6"/>
      <c r="L238" s="11"/>
      <c r="M238" s="12"/>
      <c r="N238" s="13"/>
      <c r="O238" s="10">
        <f t="shared" si="176"/>
        <v>0</v>
      </c>
      <c r="P238" s="11"/>
      <c r="Q238" s="12"/>
      <c r="R238" s="13"/>
      <c r="S238" s="10">
        <f t="shared" si="177"/>
        <v>0</v>
      </c>
      <c r="U238" s="6"/>
      <c r="V238" s="11"/>
      <c r="W238" s="12"/>
      <c r="X238" s="13"/>
      <c r="Y238" s="10">
        <f t="shared" si="174"/>
        <v>0</v>
      </c>
      <c r="Z238" s="11"/>
      <c r="AA238" s="12"/>
      <c r="AB238" s="13"/>
      <c r="AC238" s="10">
        <f t="shared" si="175"/>
        <v>0</v>
      </c>
    </row>
    <row r="239" spans="1:30" x14ac:dyDescent="0.15">
      <c r="A239" s="6"/>
      <c r="B239" s="11"/>
      <c r="C239" s="12"/>
      <c r="D239" s="13"/>
      <c r="E239" s="10">
        <f t="shared" si="160"/>
        <v>0</v>
      </c>
      <c r="F239" s="11"/>
      <c r="G239" s="12"/>
      <c r="H239" s="13"/>
      <c r="I239" s="10">
        <f t="shared" si="161"/>
        <v>0</v>
      </c>
      <c r="K239" s="6"/>
      <c r="L239" s="11"/>
      <c r="M239" s="12"/>
      <c r="N239" s="13"/>
      <c r="O239" s="10">
        <f t="shared" si="176"/>
        <v>0</v>
      </c>
      <c r="P239" s="11"/>
      <c r="Q239" s="12"/>
      <c r="R239" s="13"/>
      <c r="S239" s="10">
        <f t="shared" si="177"/>
        <v>0</v>
      </c>
      <c r="U239" s="6"/>
      <c r="V239" s="11"/>
      <c r="W239" s="12"/>
      <c r="X239" s="13"/>
      <c r="Y239" s="10">
        <f t="shared" si="174"/>
        <v>0</v>
      </c>
      <c r="Z239" s="11"/>
      <c r="AA239" s="12"/>
      <c r="AB239" s="13"/>
      <c r="AC239" s="10">
        <f t="shared" si="175"/>
        <v>0</v>
      </c>
    </row>
    <row r="240" spans="1:30" x14ac:dyDescent="0.15">
      <c r="A240" s="6"/>
      <c r="B240" s="11"/>
      <c r="C240" s="12"/>
      <c r="D240" s="13"/>
      <c r="E240" s="10">
        <f t="shared" si="160"/>
        <v>0</v>
      </c>
      <c r="F240" s="11"/>
      <c r="G240" s="12"/>
      <c r="H240" s="13"/>
      <c r="I240" s="10">
        <f t="shared" si="161"/>
        <v>0</v>
      </c>
      <c r="K240" s="6"/>
      <c r="L240" s="11"/>
      <c r="M240" s="12"/>
      <c r="N240" s="13"/>
      <c r="O240" s="10">
        <f t="shared" si="176"/>
        <v>0</v>
      </c>
      <c r="P240" s="11"/>
      <c r="Q240" s="12"/>
      <c r="R240" s="13"/>
      <c r="S240" s="10">
        <f t="shared" si="177"/>
        <v>0</v>
      </c>
      <c r="U240" s="6"/>
      <c r="V240" s="11"/>
      <c r="W240" s="12"/>
      <c r="X240" s="13"/>
      <c r="Y240" s="10">
        <f t="shared" si="174"/>
        <v>0</v>
      </c>
      <c r="Z240" s="11"/>
      <c r="AA240" s="12"/>
      <c r="AB240" s="13"/>
      <c r="AC240" s="10">
        <f t="shared" si="175"/>
        <v>0</v>
      </c>
    </row>
    <row r="241" spans="1:29" x14ac:dyDescent="0.15">
      <c r="A241" s="6"/>
      <c r="B241" s="11"/>
      <c r="C241" s="12"/>
      <c r="D241" s="13"/>
      <c r="E241" s="10">
        <f t="shared" si="160"/>
        <v>0</v>
      </c>
      <c r="F241" s="11"/>
      <c r="G241" s="12"/>
      <c r="H241" s="13"/>
      <c r="I241" s="10">
        <f t="shared" si="161"/>
        <v>0</v>
      </c>
      <c r="K241" s="6"/>
      <c r="L241" s="11"/>
      <c r="M241" s="12"/>
      <c r="N241" s="13"/>
      <c r="O241" s="10">
        <f t="shared" si="176"/>
        <v>0</v>
      </c>
      <c r="P241" s="11"/>
      <c r="Q241" s="12"/>
      <c r="R241" s="13"/>
      <c r="S241" s="10">
        <f t="shared" si="177"/>
        <v>0</v>
      </c>
      <c r="U241" s="6"/>
      <c r="V241" s="11"/>
      <c r="W241" s="12"/>
      <c r="X241" s="13"/>
      <c r="Y241" s="10">
        <f t="shared" si="174"/>
        <v>0</v>
      </c>
      <c r="Z241" s="11"/>
      <c r="AA241" s="12"/>
      <c r="AB241" s="13"/>
      <c r="AC241" s="10">
        <f t="shared" si="175"/>
        <v>0</v>
      </c>
    </row>
    <row r="242" spans="1:29" x14ac:dyDescent="0.15">
      <c r="A242" s="6"/>
      <c r="B242" s="11"/>
      <c r="C242" s="12"/>
      <c r="D242" s="13"/>
      <c r="E242" s="10">
        <f t="shared" si="160"/>
        <v>0</v>
      </c>
      <c r="F242" s="11"/>
      <c r="G242" s="12"/>
      <c r="H242" s="13"/>
      <c r="I242" s="10">
        <f t="shared" si="161"/>
        <v>0</v>
      </c>
      <c r="K242" s="6"/>
      <c r="L242" s="11"/>
      <c r="M242" s="12"/>
      <c r="N242" s="13"/>
      <c r="O242" s="10">
        <f t="shared" si="176"/>
        <v>0</v>
      </c>
      <c r="P242" s="11"/>
      <c r="Q242" s="12"/>
      <c r="R242" s="13"/>
      <c r="S242" s="10">
        <f t="shared" si="177"/>
        <v>0</v>
      </c>
      <c r="U242" s="6"/>
      <c r="V242" s="11"/>
      <c r="W242" s="12"/>
      <c r="X242" s="13"/>
      <c r="Y242" s="10">
        <f t="shared" si="174"/>
        <v>0</v>
      </c>
      <c r="Z242" s="11"/>
      <c r="AA242" s="12"/>
      <c r="AB242" s="13"/>
      <c r="AC242" s="10">
        <f t="shared" si="175"/>
        <v>0</v>
      </c>
    </row>
    <row r="243" spans="1:29" x14ac:dyDescent="0.15">
      <c r="A243" s="6"/>
      <c r="B243" s="11"/>
      <c r="C243" s="12"/>
      <c r="D243" s="13"/>
      <c r="E243" s="10">
        <f t="shared" si="160"/>
        <v>0</v>
      </c>
      <c r="F243" s="11"/>
      <c r="G243" s="12"/>
      <c r="H243" s="13"/>
      <c r="I243" s="10">
        <f t="shared" si="161"/>
        <v>0</v>
      </c>
      <c r="K243" s="6"/>
      <c r="L243" s="11"/>
      <c r="M243" s="12"/>
      <c r="N243" s="13"/>
      <c r="O243" s="10">
        <f t="shared" si="176"/>
        <v>0</v>
      </c>
      <c r="P243" s="11"/>
      <c r="Q243" s="12"/>
      <c r="R243" s="13"/>
      <c r="S243" s="10">
        <f t="shared" si="177"/>
        <v>0</v>
      </c>
      <c r="U243" s="6"/>
      <c r="V243" s="11"/>
      <c r="W243" s="12"/>
      <c r="X243" s="13"/>
      <c r="Y243" s="10">
        <f t="shared" si="174"/>
        <v>0</v>
      </c>
      <c r="Z243" s="11"/>
      <c r="AA243" s="12"/>
      <c r="AB243" s="13"/>
      <c r="AC243" s="10">
        <f t="shared" si="175"/>
        <v>0</v>
      </c>
    </row>
    <row r="244" spans="1:29" x14ac:dyDescent="0.15">
      <c r="A244" s="6"/>
      <c r="B244" s="11"/>
      <c r="C244" s="12"/>
      <c r="D244" s="13"/>
      <c r="E244" s="10">
        <f t="shared" si="160"/>
        <v>0</v>
      </c>
      <c r="F244" s="11"/>
      <c r="G244" s="12"/>
      <c r="H244" s="13"/>
      <c r="I244" s="10">
        <f t="shared" si="161"/>
        <v>0</v>
      </c>
      <c r="K244" s="14"/>
      <c r="L244" s="11"/>
      <c r="M244" s="12"/>
      <c r="N244" s="13"/>
      <c r="O244" s="10">
        <f t="shared" si="176"/>
        <v>0</v>
      </c>
      <c r="P244" s="11"/>
      <c r="Q244" s="12"/>
      <c r="R244" s="13"/>
      <c r="S244" s="10">
        <f t="shared" si="177"/>
        <v>0</v>
      </c>
      <c r="U244" s="14"/>
      <c r="V244" s="11"/>
      <c r="W244" s="12"/>
      <c r="X244" s="13"/>
      <c r="Y244" s="10">
        <f t="shared" si="174"/>
        <v>0</v>
      </c>
      <c r="Z244" s="11"/>
      <c r="AA244" s="12"/>
      <c r="AB244" s="13"/>
      <c r="AC244" s="10">
        <f t="shared" si="175"/>
        <v>0</v>
      </c>
    </row>
    <row r="245" spans="1:29" x14ac:dyDescent="0.15">
      <c r="A245" s="6"/>
      <c r="B245" s="11"/>
      <c r="C245" s="12"/>
      <c r="D245" s="13"/>
      <c r="E245" s="10">
        <f t="shared" si="160"/>
        <v>0</v>
      </c>
      <c r="F245" s="11"/>
      <c r="G245" s="12"/>
      <c r="H245" s="13"/>
      <c r="I245" s="10">
        <f t="shared" si="161"/>
        <v>0</v>
      </c>
      <c r="K245" s="6"/>
      <c r="L245" s="11"/>
      <c r="M245" s="12"/>
      <c r="N245" s="13"/>
      <c r="O245" s="10">
        <f t="shared" si="176"/>
        <v>0</v>
      </c>
      <c r="P245" s="11"/>
      <c r="Q245" s="12"/>
      <c r="R245" s="13"/>
      <c r="S245" s="10">
        <f t="shared" si="177"/>
        <v>0</v>
      </c>
      <c r="U245" s="6"/>
      <c r="V245" s="11"/>
      <c r="W245" s="12"/>
      <c r="X245" s="13"/>
      <c r="Y245" s="10">
        <f t="shared" si="174"/>
        <v>0</v>
      </c>
      <c r="Z245" s="11"/>
      <c r="AA245" s="12"/>
      <c r="AB245" s="13"/>
      <c r="AC245" s="10">
        <f t="shared" si="175"/>
        <v>0</v>
      </c>
    </row>
    <row r="246" spans="1:29" x14ac:dyDescent="0.15">
      <c r="A246" s="6"/>
      <c r="B246" s="11"/>
      <c r="C246" s="12"/>
      <c r="D246" s="13"/>
      <c r="E246" s="10">
        <f t="shared" si="160"/>
        <v>0</v>
      </c>
      <c r="F246" s="11"/>
      <c r="G246" s="12"/>
      <c r="H246" s="13"/>
      <c r="I246" s="10">
        <f t="shared" si="161"/>
        <v>0</v>
      </c>
      <c r="K246" s="14"/>
      <c r="L246" s="11"/>
      <c r="M246" s="12"/>
      <c r="N246" s="13"/>
      <c r="O246" s="10">
        <f t="shared" si="176"/>
        <v>0</v>
      </c>
      <c r="P246" s="11"/>
      <c r="Q246" s="12"/>
      <c r="R246" s="13"/>
      <c r="S246" s="10">
        <f t="shared" si="177"/>
        <v>0</v>
      </c>
      <c r="U246" s="14"/>
      <c r="V246" s="11"/>
      <c r="W246" s="12"/>
      <c r="X246" s="13"/>
      <c r="Y246" s="10">
        <f t="shared" si="174"/>
        <v>0</v>
      </c>
      <c r="Z246" s="11"/>
      <c r="AA246" s="12"/>
      <c r="AB246" s="13"/>
      <c r="AC246" s="10">
        <f t="shared" si="175"/>
        <v>0</v>
      </c>
    </row>
    <row r="247" spans="1:29" x14ac:dyDescent="0.15">
      <c r="A247" s="6"/>
      <c r="B247" s="11"/>
      <c r="C247" s="12"/>
      <c r="D247" s="13"/>
      <c r="E247" s="10">
        <f t="shared" si="160"/>
        <v>0</v>
      </c>
      <c r="F247" s="11"/>
      <c r="G247" s="12"/>
      <c r="H247" s="13"/>
      <c r="I247" s="10">
        <f t="shared" si="161"/>
        <v>0</v>
      </c>
      <c r="K247" s="14"/>
      <c r="L247" s="15"/>
      <c r="M247" s="16"/>
      <c r="N247" s="17"/>
      <c r="O247" s="10">
        <f t="shared" si="176"/>
        <v>0</v>
      </c>
      <c r="P247" s="15"/>
      <c r="Q247" s="16"/>
      <c r="R247" s="17"/>
      <c r="S247" s="10">
        <f t="shared" si="177"/>
        <v>0</v>
      </c>
      <c r="U247" s="14"/>
      <c r="V247" s="15"/>
      <c r="W247" s="16"/>
      <c r="X247" s="17"/>
      <c r="Y247" s="10">
        <f t="shared" si="174"/>
        <v>0</v>
      </c>
      <c r="Z247" s="15"/>
      <c r="AA247" s="16"/>
      <c r="AB247" s="17"/>
      <c r="AC247" s="10">
        <f t="shared" si="175"/>
        <v>0</v>
      </c>
    </row>
    <row r="248" spans="1:29" x14ac:dyDescent="0.15">
      <c r="A248" s="6"/>
      <c r="B248" s="11"/>
      <c r="C248" s="12"/>
      <c r="D248" s="13"/>
      <c r="E248" s="10">
        <f t="shared" si="160"/>
        <v>0</v>
      </c>
      <c r="F248" s="11"/>
      <c r="G248" s="12"/>
      <c r="H248" s="13"/>
      <c r="I248" s="10">
        <f t="shared" si="161"/>
        <v>0</v>
      </c>
      <c r="K248" s="14"/>
      <c r="L248" s="11"/>
      <c r="M248" s="12"/>
      <c r="N248" s="13"/>
      <c r="O248" s="10">
        <f t="shared" si="176"/>
        <v>0</v>
      </c>
      <c r="P248" s="11"/>
      <c r="Q248" s="12"/>
      <c r="R248" s="13"/>
      <c r="S248" s="10">
        <f t="shared" si="177"/>
        <v>0</v>
      </c>
      <c r="U248" s="14"/>
      <c r="V248" s="11"/>
      <c r="W248" s="12"/>
      <c r="X248" s="13"/>
      <c r="Y248" s="10">
        <f t="shared" si="174"/>
        <v>0</v>
      </c>
      <c r="Z248" s="11"/>
      <c r="AA248" s="12"/>
      <c r="AB248" s="13"/>
      <c r="AC248" s="10">
        <f t="shared" si="175"/>
        <v>0</v>
      </c>
    </row>
    <row r="249" spans="1:29" x14ac:dyDescent="0.15">
      <c r="A249" s="6"/>
      <c r="B249" s="11"/>
      <c r="C249" s="12"/>
      <c r="D249" s="13"/>
      <c r="E249" s="10">
        <f t="shared" si="160"/>
        <v>0</v>
      </c>
      <c r="F249" s="11"/>
      <c r="G249" s="12"/>
      <c r="H249" s="13"/>
      <c r="I249" s="10">
        <f t="shared" si="161"/>
        <v>0</v>
      </c>
      <c r="K249" s="14"/>
      <c r="L249" s="15"/>
      <c r="M249" s="16"/>
      <c r="N249" s="17"/>
      <c r="O249" s="10">
        <f t="shared" si="176"/>
        <v>0</v>
      </c>
      <c r="P249" s="15"/>
      <c r="Q249" s="16"/>
      <c r="R249" s="17"/>
      <c r="S249" s="10">
        <f t="shared" si="177"/>
        <v>0</v>
      </c>
      <c r="U249" s="14"/>
      <c r="V249" s="15"/>
      <c r="W249" s="16"/>
      <c r="X249" s="17"/>
      <c r="Y249" s="10">
        <f t="shared" si="174"/>
        <v>0</v>
      </c>
      <c r="Z249" s="15"/>
      <c r="AA249" s="16"/>
      <c r="AB249" s="17"/>
      <c r="AC249" s="10">
        <f t="shared" si="175"/>
        <v>0</v>
      </c>
    </row>
    <row r="250" spans="1:29" x14ac:dyDescent="0.15">
      <c r="A250" s="6"/>
      <c r="B250" s="11"/>
      <c r="C250" s="12"/>
      <c r="D250" s="13"/>
      <c r="E250" s="10">
        <f t="shared" si="160"/>
        <v>0</v>
      </c>
      <c r="F250" s="11"/>
      <c r="G250" s="12"/>
      <c r="H250" s="13"/>
      <c r="I250" s="10">
        <f t="shared" si="161"/>
        <v>0</v>
      </c>
      <c r="K250" s="14"/>
      <c r="L250" s="15"/>
      <c r="M250" s="16"/>
      <c r="N250" s="17"/>
      <c r="O250" s="10">
        <f t="shared" si="176"/>
        <v>0</v>
      </c>
      <c r="P250" s="15"/>
      <c r="Q250" s="16"/>
      <c r="R250" s="17"/>
      <c r="S250" s="10">
        <f t="shared" si="177"/>
        <v>0</v>
      </c>
      <c r="U250" s="34"/>
      <c r="V250" s="11"/>
      <c r="W250" s="12"/>
      <c r="X250" s="13"/>
      <c r="Y250" s="10">
        <f t="shared" si="174"/>
        <v>0</v>
      </c>
      <c r="Z250" s="11"/>
      <c r="AA250" s="12"/>
      <c r="AB250" s="13"/>
      <c r="AC250" s="10">
        <f t="shared" si="175"/>
        <v>0</v>
      </c>
    </row>
    <row r="251" spans="1:29" x14ac:dyDescent="0.15">
      <c r="A251" s="6"/>
      <c r="B251" s="11"/>
      <c r="C251" s="12"/>
      <c r="D251" s="13"/>
      <c r="E251" s="10">
        <f t="shared" si="160"/>
        <v>0</v>
      </c>
      <c r="F251" s="11"/>
      <c r="G251" s="12"/>
      <c r="H251" s="13"/>
      <c r="I251" s="10">
        <f t="shared" si="161"/>
        <v>0</v>
      </c>
      <c r="K251" s="14"/>
      <c r="L251" s="15"/>
      <c r="M251" s="16"/>
      <c r="N251" s="17"/>
      <c r="O251" s="10">
        <f t="shared" si="176"/>
        <v>0</v>
      </c>
      <c r="P251" s="15"/>
      <c r="Q251" s="16"/>
      <c r="R251" s="17"/>
      <c r="S251" s="10">
        <f t="shared" si="177"/>
        <v>0</v>
      </c>
      <c r="U251" s="14"/>
      <c r="V251" s="11"/>
      <c r="W251" s="12"/>
      <c r="X251" s="13"/>
      <c r="Y251" s="10">
        <f t="shared" si="174"/>
        <v>0</v>
      </c>
      <c r="Z251" s="11"/>
      <c r="AA251" s="12"/>
      <c r="AB251" s="13"/>
      <c r="AC251" s="10">
        <f t="shared" si="175"/>
        <v>0</v>
      </c>
    </row>
    <row r="252" spans="1:29" x14ac:dyDescent="0.15">
      <c r="A252" s="6"/>
      <c r="B252" s="11"/>
      <c r="C252" s="12"/>
      <c r="D252" s="13"/>
      <c r="E252" s="10">
        <f t="shared" si="160"/>
        <v>0</v>
      </c>
      <c r="F252" s="11"/>
      <c r="G252" s="12"/>
      <c r="H252" s="13"/>
      <c r="I252" s="10">
        <f t="shared" si="161"/>
        <v>0</v>
      </c>
      <c r="K252" s="14"/>
      <c r="L252" s="15"/>
      <c r="M252" s="16"/>
      <c r="N252" s="17"/>
      <c r="O252" s="10">
        <f t="shared" si="176"/>
        <v>0</v>
      </c>
      <c r="P252" s="15"/>
      <c r="Q252" s="16"/>
      <c r="R252" s="17"/>
      <c r="S252" s="10">
        <f t="shared" si="177"/>
        <v>0</v>
      </c>
      <c r="U252" s="14"/>
      <c r="V252" s="11"/>
      <c r="W252" s="12"/>
      <c r="X252" s="13"/>
      <c r="Y252" s="10">
        <f t="shared" si="174"/>
        <v>0</v>
      </c>
      <c r="Z252" s="11"/>
      <c r="AA252" s="12"/>
      <c r="AB252" s="13"/>
      <c r="AC252" s="10">
        <f t="shared" si="175"/>
        <v>0</v>
      </c>
    </row>
    <row r="253" spans="1:29" x14ac:dyDescent="0.15">
      <c r="A253" s="6"/>
      <c r="B253" s="11"/>
      <c r="C253" s="12"/>
      <c r="D253" s="13"/>
      <c r="E253" s="10">
        <f t="shared" si="160"/>
        <v>0</v>
      </c>
      <c r="F253" s="11"/>
      <c r="G253" s="12"/>
      <c r="H253" s="13"/>
      <c r="I253" s="10">
        <f t="shared" si="161"/>
        <v>0</v>
      </c>
      <c r="K253" s="14"/>
      <c r="L253" s="15"/>
      <c r="M253" s="16"/>
      <c r="N253" s="17"/>
      <c r="O253" s="10">
        <f t="shared" ref="O253:O254" si="178">SUM(L253:N253)</f>
        <v>0</v>
      </c>
      <c r="P253" s="15"/>
      <c r="Q253" s="16"/>
      <c r="R253" s="17"/>
      <c r="S253" s="10">
        <f t="shared" ref="S253:S254" si="179">SUM(P253:R253)</f>
        <v>0</v>
      </c>
      <c r="U253" s="14"/>
      <c r="V253" s="11"/>
      <c r="W253" s="12"/>
      <c r="X253" s="13"/>
      <c r="Y253" s="10">
        <f t="shared" si="174"/>
        <v>0</v>
      </c>
      <c r="Z253" s="11"/>
      <c r="AA253" s="12"/>
      <c r="AB253" s="13"/>
      <c r="AC253" s="10">
        <f t="shared" si="175"/>
        <v>0</v>
      </c>
    </row>
    <row r="254" spans="1:29" ht="14.25" thickBot="1" x14ac:dyDescent="0.2">
      <c r="A254" s="6"/>
      <c r="B254" s="11"/>
      <c r="C254" s="12"/>
      <c r="D254" s="13"/>
      <c r="E254" s="10">
        <f t="shared" si="160"/>
        <v>0</v>
      </c>
      <c r="F254" s="11"/>
      <c r="G254" s="12"/>
      <c r="H254" s="13"/>
      <c r="I254" s="10">
        <f t="shared" si="161"/>
        <v>0</v>
      </c>
      <c r="K254" s="14"/>
      <c r="L254" s="15"/>
      <c r="M254" s="16"/>
      <c r="N254" s="17"/>
      <c r="O254" s="10">
        <f t="shared" si="178"/>
        <v>0</v>
      </c>
      <c r="P254" s="15"/>
      <c r="Q254" s="16"/>
      <c r="R254" s="17"/>
      <c r="S254" s="10">
        <f t="shared" si="179"/>
        <v>0</v>
      </c>
      <c r="U254" s="14"/>
      <c r="V254" s="11"/>
      <c r="W254" s="12"/>
      <c r="X254" s="13"/>
      <c r="Y254" s="10">
        <f t="shared" si="174"/>
        <v>0</v>
      </c>
      <c r="Z254" s="11"/>
      <c r="AA254" s="12"/>
      <c r="AB254" s="13"/>
      <c r="AC254" s="10">
        <f t="shared" si="175"/>
        <v>0</v>
      </c>
    </row>
    <row r="255" spans="1:29" ht="14.25" thickBot="1" x14ac:dyDescent="0.2">
      <c r="A255" s="5" t="s">
        <v>5</v>
      </c>
      <c r="B255" s="18">
        <f>SUM(B231:B254)</f>
        <v>0</v>
      </c>
      <c r="C255" s="18">
        <f>SUM(C231:C254)</f>
        <v>0</v>
      </c>
      <c r="D255" s="18">
        <f>SUM(D231:D254)</f>
        <v>0</v>
      </c>
      <c r="E255" s="19">
        <f t="shared" si="160"/>
        <v>0</v>
      </c>
      <c r="F255" s="18">
        <f>SUM(F231:F254)</f>
        <v>0</v>
      </c>
      <c r="G255" s="18">
        <f>SUM(G231:G254)</f>
        <v>0</v>
      </c>
      <c r="H255" s="18">
        <f>SUM(H231:H254)</f>
        <v>0</v>
      </c>
      <c r="I255" s="19">
        <f t="shared" si="161"/>
        <v>0</v>
      </c>
      <c r="K255" s="5" t="s">
        <v>5</v>
      </c>
      <c r="L255" s="18">
        <f>SUM(L231:L254)</f>
        <v>0</v>
      </c>
      <c r="M255" s="18">
        <f t="shared" ref="M255:S255" si="180">SUM(M231:M254)</f>
        <v>0</v>
      </c>
      <c r="N255" s="18">
        <f t="shared" si="180"/>
        <v>0</v>
      </c>
      <c r="O255" s="19">
        <f t="shared" si="180"/>
        <v>0</v>
      </c>
      <c r="P255" s="18">
        <f t="shared" si="180"/>
        <v>0</v>
      </c>
      <c r="Q255" s="18">
        <f t="shared" si="180"/>
        <v>0</v>
      </c>
      <c r="R255" s="18">
        <f t="shared" si="180"/>
        <v>0</v>
      </c>
      <c r="S255" s="19">
        <f t="shared" si="180"/>
        <v>0</v>
      </c>
      <c r="U255" s="5" t="s">
        <v>5</v>
      </c>
      <c r="V255" s="18">
        <f>SUM(V231:V254)</f>
        <v>60</v>
      </c>
      <c r="W255" s="18">
        <f t="shared" ref="W255:AC255" si="181">SUM(W231:W254)</f>
        <v>60</v>
      </c>
      <c r="X255" s="18">
        <f t="shared" si="181"/>
        <v>60</v>
      </c>
      <c r="Y255" s="19">
        <f t="shared" si="181"/>
        <v>180</v>
      </c>
      <c r="Z255" s="18">
        <f t="shared" si="181"/>
        <v>60</v>
      </c>
      <c r="AA255" s="18">
        <f t="shared" si="181"/>
        <v>60</v>
      </c>
      <c r="AB255" s="18">
        <f t="shared" si="181"/>
        <v>60</v>
      </c>
      <c r="AC255" s="19">
        <f t="shared" si="181"/>
        <v>180</v>
      </c>
    </row>
    <row r="256" spans="1:29" ht="14.25" thickBot="1" x14ac:dyDescent="0.2">
      <c r="A256" s="28" t="s">
        <v>6</v>
      </c>
      <c r="B256" s="29">
        <f t="shared" ref="B256:I256" si="182">B230-B255</f>
        <v>3</v>
      </c>
      <c r="C256" s="29">
        <f t="shared" si="182"/>
        <v>11</v>
      </c>
      <c r="D256" s="29">
        <f t="shared" si="182"/>
        <v>7</v>
      </c>
      <c r="E256" s="29">
        <f t="shared" si="182"/>
        <v>21</v>
      </c>
      <c r="F256" s="29">
        <f t="shared" si="182"/>
        <v>3</v>
      </c>
      <c r="G256" s="29">
        <f t="shared" si="182"/>
        <v>11</v>
      </c>
      <c r="H256" s="29">
        <f t="shared" si="182"/>
        <v>7</v>
      </c>
      <c r="I256" s="27">
        <f t="shared" si="182"/>
        <v>21</v>
      </c>
      <c r="K256" s="28" t="s">
        <v>6</v>
      </c>
      <c r="L256" s="29">
        <f>L230-L255</f>
        <v>87</v>
      </c>
      <c r="M256" s="29">
        <f t="shared" ref="M256:S256" si="183">M230-M255</f>
        <v>64</v>
      </c>
      <c r="N256" s="29">
        <f t="shared" si="183"/>
        <v>91</v>
      </c>
      <c r="O256" s="29">
        <f t="shared" si="183"/>
        <v>242</v>
      </c>
      <c r="P256" s="29">
        <f t="shared" si="183"/>
        <v>87</v>
      </c>
      <c r="Q256" s="29">
        <f t="shared" si="183"/>
        <v>64</v>
      </c>
      <c r="R256" s="29">
        <f t="shared" si="183"/>
        <v>91</v>
      </c>
      <c r="S256" s="27">
        <f t="shared" si="183"/>
        <v>242</v>
      </c>
      <c r="U256" s="28" t="s">
        <v>6</v>
      </c>
      <c r="V256" s="29">
        <f>V230-V255</f>
        <v>0</v>
      </c>
      <c r="W256" s="29">
        <f t="shared" ref="W256:AC256" si="184">W230-W255</f>
        <v>0</v>
      </c>
      <c r="X256" s="29">
        <f t="shared" si="184"/>
        <v>0</v>
      </c>
      <c r="Y256" s="29">
        <f t="shared" si="184"/>
        <v>0</v>
      </c>
      <c r="Z256" s="29">
        <f t="shared" si="184"/>
        <v>0</v>
      </c>
      <c r="AA256" s="29">
        <f t="shared" si="184"/>
        <v>0</v>
      </c>
      <c r="AB256" s="29">
        <f t="shared" si="184"/>
        <v>0</v>
      </c>
      <c r="AC256" s="27">
        <f t="shared" si="184"/>
        <v>0</v>
      </c>
    </row>
    <row r="259" spans="11:29" ht="19.5" thickBot="1" x14ac:dyDescent="0.25">
      <c r="K259" s="77" t="s">
        <v>137</v>
      </c>
      <c r="L259" s="3"/>
      <c r="M259" s="3"/>
      <c r="N259" s="3"/>
      <c r="O259" s="3"/>
      <c r="P259" s="1"/>
      <c r="Q259" s="1"/>
      <c r="R259" s="41"/>
      <c r="S259" s="1"/>
      <c r="U259" s="2" t="s">
        <v>91</v>
      </c>
      <c r="V259" s="3"/>
      <c r="W259" s="3"/>
      <c r="X259" s="3"/>
      <c r="Y259" s="3"/>
      <c r="Z259" s="1"/>
      <c r="AA259" s="1"/>
      <c r="AB259" s="41"/>
      <c r="AC259" s="1"/>
    </row>
    <row r="260" spans="11:29" ht="14.25" thickBot="1" x14ac:dyDescent="0.2">
      <c r="K260" s="4" t="s">
        <v>0</v>
      </c>
      <c r="L260" s="80" t="s">
        <v>12</v>
      </c>
      <c r="M260" s="80"/>
      <c r="N260" s="80"/>
      <c r="O260" s="81"/>
      <c r="P260" s="78" t="s">
        <v>16</v>
      </c>
      <c r="Q260" s="78"/>
      <c r="R260" s="78"/>
      <c r="S260" s="79"/>
      <c r="U260" s="4" t="s">
        <v>0</v>
      </c>
      <c r="V260" s="80" t="s">
        <v>12</v>
      </c>
      <c r="W260" s="80"/>
      <c r="X260" s="80"/>
      <c r="Y260" s="81"/>
      <c r="Z260" s="78" t="s">
        <v>16</v>
      </c>
      <c r="AA260" s="78"/>
      <c r="AB260" s="78"/>
      <c r="AC260" s="79"/>
    </row>
    <row r="261" spans="11:29" ht="14.25" thickBot="1" x14ac:dyDescent="0.2">
      <c r="K261" s="4" t="s">
        <v>1</v>
      </c>
      <c r="L261" s="5" t="s">
        <v>7</v>
      </c>
      <c r="M261" s="4" t="s">
        <v>8</v>
      </c>
      <c r="N261" s="22" t="s">
        <v>9</v>
      </c>
      <c r="O261" s="4" t="s">
        <v>2</v>
      </c>
      <c r="P261" s="5" t="s">
        <v>7</v>
      </c>
      <c r="Q261" s="4" t="s">
        <v>8</v>
      </c>
      <c r="R261" s="22" t="s">
        <v>9</v>
      </c>
      <c r="S261" s="4" t="s">
        <v>2</v>
      </c>
      <c r="U261" s="4" t="s">
        <v>1</v>
      </c>
      <c r="V261" s="5" t="s">
        <v>7</v>
      </c>
      <c r="W261" s="4" t="s">
        <v>8</v>
      </c>
      <c r="X261" s="22" t="s">
        <v>9</v>
      </c>
      <c r="Y261" s="4" t="s">
        <v>2</v>
      </c>
      <c r="Z261" s="5" t="s">
        <v>7</v>
      </c>
      <c r="AA261" s="4" t="s">
        <v>8</v>
      </c>
      <c r="AB261" s="22" t="s">
        <v>9</v>
      </c>
      <c r="AC261" s="4" t="s">
        <v>2</v>
      </c>
    </row>
    <row r="262" spans="11:29" x14ac:dyDescent="0.15">
      <c r="K262" s="35" t="s">
        <v>15</v>
      </c>
      <c r="L262" s="38">
        <f>L256</f>
        <v>87</v>
      </c>
      <c r="M262" s="39">
        <f t="shared" ref="M262:S262" si="185">M256</f>
        <v>64</v>
      </c>
      <c r="N262" s="40">
        <f t="shared" si="185"/>
        <v>91</v>
      </c>
      <c r="O262" s="21">
        <f t="shared" si="185"/>
        <v>242</v>
      </c>
      <c r="P262" s="38">
        <f t="shared" si="185"/>
        <v>87</v>
      </c>
      <c r="Q262" s="39">
        <f t="shared" si="185"/>
        <v>64</v>
      </c>
      <c r="R262" s="40">
        <f t="shared" si="185"/>
        <v>91</v>
      </c>
      <c r="S262" s="21">
        <f t="shared" si="185"/>
        <v>242</v>
      </c>
      <c r="U262" s="35" t="s">
        <v>15</v>
      </c>
      <c r="V262" s="38">
        <f>V256</f>
        <v>0</v>
      </c>
      <c r="W262" s="39">
        <f t="shared" ref="W262:AC262" si="186">W256</f>
        <v>0</v>
      </c>
      <c r="X262" s="40">
        <f t="shared" si="186"/>
        <v>0</v>
      </c>
      <c r="Y262" s="21">
        <f t="shared" si="186"/>
        <v>0</v>
      </c>
      <c r="Z262" s="38">
        <f t="shared" si="186"/>
        <v>0</v>
      </c>
      <c r="AA262" s="39">
        <f t="shared" si="186"/>
        <v>0</v>
      </c>
      <c r="AB262" s="40">
        <f t="shared" si="186"/>
        <v>0</v>
      </c>
      <c r="AC262" s="21">
        <f t="shared" si="186"/>
        <v>0</v>
      </c>
    </row>
    <row r="263" spans="11:29" x14ac:dyDescent="0.15">
      <c r="K263" s="8" t="s">
        <v>3</v>
      </c>
      <c r="L263" s="13"/>
      <c r="M263" s="12"/>
      <c r="N263" s="13"/>
      <c r="O263" s="7">
        <f t="shared" ref="O263:O272" si="187">SUM(L263:N263)</f>
        <v>0</v>
      </c>
      <c r="P263" s="13"/>
      <c r="Q263" s="12"/>
      <c r="R263" s="13"/>
      <c r="S263" s="7">
        <f t="shared" ref="S263:S272" si="188">SUM(P263:R263)</f>
        <v>0</v>
      </c>
      <c r="U263" s="8" t="s">
        <v>3</v>
      </c>
      <c r="V263" s="13"/>
      <c r="W263" s="12"/>
      <c r="X263" s="13"/>
      <c r="Y263" s="7">
        <f t="shared" ref="Y263:Y272" si="189">SUM(V263:X263)</f>
        <v>0</v>
      </c>
      <c r="Z263" s="13"/>
      <c r="AA263" s="12"/>
      <c r="AB263" s="13"/>
      <c r="AC263" s="7">
        <f t="shared" ref="AC263:AC272" si="190">SUM(Z263:AB263)</f>
        <v>0</v>
      </c>
    </row>
    <row r="264" spans="11:29" x14ac:dyDescent="0.15">
      <c r="K264" s="8" t="s">
        <v>3</v>
      </c>
      <c r="L264" s="13"/>
      <c r="M264" s="12"/>
      <c r="N264" s="13"/>
      <c r="O264" s="7">
        <f t="shared" si="187"/>
        <v>0</v>
      </c>
      <c r="P264" s="13"/>
      <c r="Q264" s="12"/>
      <c r="R264" s="13"/>
      <c r="S264" s="7">
        <f t="shared" si="188"/>
        <v>0</v>
      </c>
      <c r="U264" s="8" t="s">
        <v>3</v>
      </c>
      <c r="V264" s="13"/>
      <c r="W264" s="12"/>
      <c r="X264" s="13"/>
      <c r="Y264" s="7">
        <f t="shared" si="189"/>
        <v>0</v>
      </c>
      <c r="Z264" s="13"/>
      <c r="AA264" s="12"/>
      <c r="AB264" s="13"/>
      <c r="AC264" s="7">
        <f t="shared" si="190"/>
        <v>0</v>
      </c>
    </row>
    <row r="265" spans="11:29" x14ac:dyDescent="0.15">
      <c r="K265" s="8" t="s">
        <v>3</v>
      </c>
      <c r="L265" s="13"/>
      <c r="M265" s="12"/>
      <c r="N265" s="13"/>
      <c r="O265" s="7">
        <f t="shared" si="187"/>
        <v>0</v>
      </c>
      <c r="P265" s="13"/>
      <c r="Q265" s="12"/>
      <c r="R265" s="13"/>
      <c r="S265" s="7">
        <f t="shared" si="188"/>
        <v>0</v>
      </c>
      <c r="U265" s="8" t="s">
        <v>3</v>
      </c>
      <c r="V265" s="13"/>
      <c r="W265" s="12"/>
      <c r="X265" s="13"/>
      <c r="Y265" s="7">
        <f t="shared" si="189"/>
        <v>0</v>
      </c>
      <c r="Z265" s="13"/>
      <c r="AA265" s="12"/>
      <c r="AB265" s="13"/>
      <c r="AC265" s="7">
        <f t="shared" si="190"/>
        <v>0</v>
      </c>
    </row>
    <row r="266" spans="11:29" x14ac:dyDescent="0.15">
      <c r="K266" s="8" t="s">
        <v>3</v>
      </c>
      <c r="L266" s="13"/>
      <c r="M266" s="12"/>
      <c r="N266" s="13"/>
      <c r="O266" s="7">
        <f t="shared" si="187"/>
        <v>0</v>
      </c>
      <c r="P266" s="13"/>
      <c r="Q266" s="12"/>
      <c r="R266" s="13"/>
      <c r="S266" s="7">
        <f t="shared" si="188"/>
        <v>0</v>
      </c>
      <c r="U266" s="8" t="s">
        <v>3</v>
      </c>
      <c r="V266" s="13"/>
      <c r="W266" s="12"/>
      <c r="X266" s="13"/>
      <c r="Y266" s="7">
        <f t="shared" si="189"/>
        <v>0</v>
      </c>
      <c r="Z266" s="13"/>
      <c r="AA266" s="12"/>
      <c r="AB266" s="13"/>
      <c r="AC266" s="7">
        <f t="shared" si="190"/>
        <v>0</v>
      </c>
    </row>
    <row r="267" spans="11:29" x14ac:dyDescent="0.15">
      <c r="K267" s="8" t="s">
        <v>3</v>
      </c>
      <c r="L267" s="13"/>
      <c r="M267" s="12"/>
      <c r="N267" s="13"/>
      <c r="O267" s="7">
        <f t="shared" si="187"/>
        <v>0</v>
      </c>
      <c r="P267" s="13"/>
      <c r="Q267" s="12"/>
      <c r="R267" s="13"/>
      <c r="S267" s="7">
        <f t="shared" si="188"/>
        <v>0</v>
      </c>
      <c r="U267" s="8" t="s">
        <v>3</v>
      </c>
      <c r="V267" s="13"/>
      <c r="W267" s="12"/>
      <c r="X267" s="13"/>
      <c r="Y267" s="7">
        <f t="shared" si="189"/>
        <v>0</v>
      </c>
      <c r="Z267" s="13"/>
      <c r="AA267" s="12"/>
      <c r="AB267" s="13"/>
      <c r="AC267" s="7">
        <f t="shared" si="190"/>
        <v>0</v>
      </c>
    </row>
    <row r="268" spans="11:29" x14ac:dyDescent="0.15">
      <c r="K268" s="8" t="s">
        <v>3</v>
      </c>
      <c r="L268" s="13"/>
      <c r="M268" s="12"/>
      <c r="N268" s="13"/>
      <c r="O268" s="7">
        <f t="shared" si="187"/>
        <v>0</v>
      </c>
      <c r="P268" s="13"/>
      <c r="Q268" s="12"/>
      <c r="R268" s="13"/>
      <c r="S268" s="7">
        <f t="shared" si="188"/>
        <v>0</v>
      </c>
      <c r="U268" s="8" t="s">
        <v>3</v>
      </c>
      <c r="V268" s="13"/>
      <c r="W268" s="12"/>
      <c r="X268" s="13"/>
      <c r="Y268" s="7">
        <f t="shared" si="189"/>
        <v>0</v>
      </c>
      <c r="Z268" s="13"/>
      <c r="AA268" s="12"/>
      <c r="AB268" s="13"/>
      <c r="AC268" s="7">
        <f t="shared" si="190"/>
        <v>0</v>
      </c>
    </row>
    <row r="269" spans="11:29" x14ac:dyDescent="0.15">
      <c r="K269" s="8" t="s">
        <v>3</v>
      </c>
      <c r="L269" s="13"/>
      <c r="M269" s="12"/>
      <c r="N269" s="13"/>
      <c r="O269" s="7">
        <f t="shared" si="187"/>
        <v>0</v>
      </c>
      <c r="P269" s="13"/>
      <c r="Q269" s="12"/>
      <c r="R269" s="13"/>
      <c r="S269" s="7">
        <f t="shared" si="188"/>
        <v>0</v>
      </c>
      <c r="U269" s="8" t="s">
        <v>3</v>
      </c>
      <c r="V269" s="13"/>
      <c r="W269" s="12"/>
      <c r="X269" s="13"/>
      <c r="Y269" s="7">
        <f t="shared" si="189"/>
        <v>0</v>
      </c>
      <c r="Z269" s="13"/>
      <c r="AA269" s="12"/>
      <c r="AB269" s="13"/>
      <c r="AC269" s="7">
        <f t="shared" si="190"/>
        <v>0</v>
      </c>
    </row>
    <row r="270" spans="11:29" x14ac:dyDescent="0.15">
      <c r="K270" s="8" t="s">
        <v>3</v>
      </c>
      <c r="L270" s="13"/>
      <c r="M270" s="12"/>
      <c r="N270" s="13"/>
      <c r="O270" s="7">
        <f t="shared" si="187"/>
        <v>0</v>
      </c>
      <c r="P270" s="13"/>
      <c r="Q270" s="12"/>
      <c r="R270" s="13"/>
      <c r="S270" s="7">
        <f t="shared" si="188"/>
        <v>0</v>
      </c>
      <c r="U270" s="8" t="s">
        <v>3</v>
      </c>
      <c r="V270" s="13"/>
      <c r="W270" s="12"/>
      <c r="X270" s="13"/>
      <c r="Y270" s="7">
        <f t="shared" si="189"/>
        <v>0</v>
      </c>
      <c r="Z270" s="13"/>
      <c r="AA270" s="12"/>
      <c r="AB270" s="13"/>
      <c r="AC270" s="7">
        <f t="shared" si="190"/>
        <v>0</v>
      </c>
    </row>
    <row r="271" spans="11:29" x14ac:dyDescent="0.15">
      <c r="K271" s="8" t="s">
        <v>3</v>
      </c>
      <c r="L271" s="13"/>
      <c r="M271" s="12"/>
      <c r="N271" s="13"/>
      <c r="O271" s="7">
        <f t="shared" si="187"/>
        <v>0</v>
      </c>
      <c r="P271" s="13"/>
      <c r="Q271" s="12"/>
      <c r="R271" s="13"/>
      <c r="S271" s="7">
        <f t="shared" si="188"/>
        <v>0</v>
      </c>
      <c r="U271" s="8" t="s">
        <v>3</v>
      </c>
      <c r="V271" s="13"/>
      <c r="W271" s="12"/>
      <c r="X271" s="13"/>
      <c r="Y271" s="7">
        <f t="shared" si="189"/>
        <v>0</v>
      </c>
      <c r="Z271" s="13"/>
      <c r="AA271" s="12"/>
      <c r="AB271" s="13"/>
      <c r="AC271" s="7">
        <f t="shared" si="190"/>
        <v>0</v>
      </c>
    </row>
    <row r="272" spans="11:29" ht="14.25" thickBot="1" x14ac:dyDescent="0.2">
      <c r="K272" s="9" t="s">
        <v>3</v>
      </c>
      <c r="L272" s="17"/>
      <c r="M272" s="16"/>
      <c r="N272" s="17"/>
      <c r="O272" s="23">
        <f t="shared" si="187"/>
        <v>0</v>
      </c>
      <c r="P272" s="17"/>
      <c r="Q272" s="16"/>
      <c r="R272" s="17"/>
      <c r="S272" s="23">
        <f t="shared" si="188"/>
        <v>0</v>
      </c>
      <c r="U272" s="9" t="s">
        <v>3</v>
      </c>
      <c r="V272" s="17"/>
      <c r="W272" s="16"/>
      <c r="X272" s="17"/>
      <c r="Y272" s="23">
        <f t="shared" si="189"/>
        <v>0</v>
      </c>
      <c r="Z272" s="17"/>
      <c r="AA272" s="16"/>
      <c r="AB272" s="17"/>
      <c r="AC272" s="23">
        <f t="shared" si="190"/>
        <v>0</v>
      </c>
    </row>
    <row r="273" spans="11:29" ht="14.25" thickBot="1" x14ac:dyDescent="0.2">
      <c r="K273" s="24" t="s">
        <v>4</v>
      </c>
      <c r="L273" s="25">
        <f>SUM(L262:L272)</f>
        <v>87</v>
      </c>
      <c r="M273" s="25">
        <f t="shared" ref="M273:S273" si="191">SUM(M262:M272)</f>
        <v>64</v>
      </c>
      <c r="N273" s="26">
        <f t="shared" si="191"/>
        <v>91</v>
      </c>
      <c r="O273" s="27">
        <f t="shared" si="191"/>
        <v>242</v>
      </c>
      <c r="P273" s="25">
        <f t="shared" si="191"/>
        <v>87</v>
      </c>
      <c r="Q273" s="25">
        <f t="shared" si="191"/>
        <v>64</v>
      </c>
      <c r="R273" s="26">
        <f t="shared" si="191"/>
        <v>91</v>
      </c>
      <c r="S273" s="27">
        <f t="shared" si="191"/>
        <v>242</v>
      </c>
      <c r="U273" s="24" t="s">
        <v>4</v>
      </c>
      <c r="V273" s="25">
        <f>SUM(V262:V272)</f>
        <v>0</v>
      </c>
      <c r="W273" s="25">
        <f t="shared" ref="W273:AC273" si="192">SUM(W262:W272)</f>
        <v>0</v>
      </c>
      <c r="X273" s="26">
        <f t="shared" si="192"/>
        <v>0</v>
      </c>
      <c r="Y273" s="27">
        <f t="shared" si="192"/>
        <v>0</v>
      </c>
      <c r="Z273" s="25">
        <f t="shared" si="192"/>
        <v>0</v>
      </c>
      <c r="AA273" s="25">
        <f t="shared" si="192"/>
        <v>0</v>
      </c>
      <c r="AB273" s="26">
        <f t="shared" si="192"/>
        <v>0</v>
      </c>
      <c r="AC273" s="27">
        <f t="shared" si="192"/>
        <v>0</v>
      </c>
    </row>
    <row r="274" spans="11:29" x14ac:dyDescent="0.15">
      <c r="K274" s="6"/>
      <c r="L274" s="11"/>
      <c r="M274" s="12"/>
      <c r="N274" s="13"/>
      <c r="O274" s="7">
        <f t="shared" ref="O274:O297" si="193">SUM(L274:N274)</f>
        <v>0</v>
      </c>
      <c r="P274" s="11"/>
      <c r="Q274" s="12"/>
      <c r="R274" s="13"/>
      <c r="S274" s="7">
        <f t="shared" ref="S274:S297" si="194">SUM(P274:R274)</f>
        <v>0</v>
      </c>
      <c r="U274" s="6"/>
      <c r="V274" s="11"/>
      <c r="W274" s="12"/>
      <c r="X274" s="13"/>
      <c r="Y274" s="7">
        <f t="shared" ref="Y274" si="195">SUM(V274:X274)</f>
        <v>0</v>
      </c>
      <c r="Z274" s="11"/>
      <c r="AA274" s="12"/>
      <c r="AB274" s="13"/>
      <c r="AC274" s="7">
        <f t="shared" ref="AC274" si="196">SUM(Z274:AB274)</f>
        <v>0</v>
      </c>
    </row>
    <row r="275" spans="11:29" x14ac:dyDescent="0.15">
      <c r="K275" s="6"/>
      <c r="L275" s="11"/>
      <c r="M275" s="12"/>
      <c r="N275" s="13"/>
      <c r="O275" s="7">
        <f t="shared" si="193"/>
        <v>0</v>
      </c>
      <c r="P275" s="11"/>
      <c r="Q275" s="12"/>
      <c r="R275" s="13"/>
      <c r="S275" s="7">
        <f t="shared" si="194"/>
        <v>0</v>
      </c>
      <c r="U275" s="6"/>
      <c r="V275" s="11"/>
      <c r="W275" s="12"/>
      <c r="X275" s="13"/>
      <c r="Y275" s="7">
        <f t="shared" ref="Y274:Y297" si="197">SUM(V275:X275)</f>
        <v>0</v>
      </c>
      <c r="Z275" s="11"/>
      <c r="AA275" s="12"/>
      <c r="AB275" s="13"/>
      <c r="AC275" s="7">
        <f t="shared" ref="AC274:AC297" si="198">SUM(Z275:AB275)</f>
        <v>0</v>
      </c>
    </row>
    <row r="276" spans="11:29" x14ac:dyDescent="0.15">
      <c r="K276" s="6"/>
      <c r="L276" s="11"/>
      <c r="M276" s="12"/>
      <c r="N276" s="13"/>
      <c r="O276" s="7">
        <f t="shared" si="193"/>
        <v>0</v>
      </c>
      <c r="P276" s="11"/>
      <c r="Q276" s="12"/>
      <c r="R276" s="13"/>
      <c r="S276" s="7">
        <f t="shared" si="194"/>
        <v>0</v>
      </c>
      <c r="U276" s="6"/>
      <c r="V276" s="11"/>
      <c r="W276" s="12"/>
      <c r="X276" s="13"/>
      <c r="Y276" s="7">
        <f t="shared" si="197"/>
        <v>0</v>
      </c>
      <c r="Z276" s="11"/>
      <c r="AA276" s="12"/>
      <c r="AB276" s="13"/>
      <c r="AC276" s="7">
        <f t="shared" si="198"/>
        <v>0</v>
      </c>
    </row>
    <row r="277" spans="11:29" x14ac:dyDescent="0.15">
      <c r="K277" s="6"/>
      <c r="L277" s="11"/>
      <c r="M277" s="12"/>
      <c r="N277" s="13"/>
      <c r="O277" s="7">
        <f t="shared" si="193"/>
        <v>0</v>
      </c>
      <c r="P277" s="11"/>
      <c r="Q277" s="12"/>
      <c r="R277" s="13"/>
      <c r="S277" s="7">
        <f t="shared" si="194"/>
        <v>0</v>
      </c>
      <c r="U277" s="6"/>
      <c r="V277" s="11"/>
      <c r="W277" s="12"/>
      <c r="X277" s="13"/>
      <c r="Y277" s="7">
        <f t="shared" si="197"/>
        <v>0</v>
      </c>
      <c r="Z277" s="11"/>
      <c r="AA277" s="12"/>
      <c r="AB277" s="13"/>
      <c r="AC277" s="7">
        <f t="shared" si="198"/>
        <v>0</v>
      </c>
    </row>
    <row r="278" spans="11:29" x14ac:dyDescent="0.15">
      <c r="K278" s="6"/>
      <c r="L278" s="11"/>
      <c r="M278" s="12"/>
      <c r="N278" s="13"/>
      <c r="O278" s="7">
        <f t="shared" si="193"/>
        <v>0</v>
      </c>
      <c r="P278" s="11"/>
      <c r="Q278" s="12"/>
      <c r="R278" s="13"/>
      <c r="S278" s="7">
        <f t="shared" si="194"/>
        <v>0</v>
      </c>
      <c r="U278" s="6"/>
      <c r="V278" s="11"/>
      <c r="W278" s="12"/>
      <c r="X278" s="13"/>
      <c r="Y278" s="7">
        <f t="shared" si="197"/>
        <v>0</v>
      </c>
      <c r="Z278" s="11"/>
      <c r="AA278" s="12"/>
      <c r="AB278" s="13"/>
      <c r="AC278" s="7">
        <f t="shared" si="198"/>
        <v>0</v>
      </c>
    </row>
    <row r="279" spans="11:29" x14ac:dyDescent="0.15">
      <c r="K279" s="6"/>
      <c r="L279" s="11"/>
      <c r="M279" s="12"/>
      <c r="N279" s="13"/>
      <c r="O279" s="10">
        <f t="shared" si="193"/>
        <v>0</v>
      </c>
      <c r="P279" s="11"/>
      <c r="Q279" s="12"/>
      <c r="R279" s="13"/>
      <c r="S279" s="10">
        <f t="shared" si="194"/>
        <v>0</v>
      </c>
      <c r="U279" s="6"/>
      <c r="V279" s="11"/>
      <c r="W279" s="12"/>
      <c r="X279" s="13"/>
      <c r="Y279" s="10">
        <f t="shared" si="197"/>
        <v>0</v>
      </c>
      <c r="Z279" s="11"/>
      <c r="AA279" s="12"/>
      <c r="AB279" s="13"/>
      <c r="AC279" s="10">
        <f t="shared" si="198"/>
        <v>0</v>
      </c>
    </row>
    <row r="280" spans="11:29" x14ac:dyDescent="0.15">
      <c r="K280" s="6"/>
      <c r="L280" s="11"/>
      <c r="M280" s="12"/>
      <c r="N280" s="13"/>
      <c r="O280" s="10">
        <f t="shared" si="193"/>
        <v>0</v>
      </c>
      <c r="P280" s="11"/>
      <c r="Q280" s="12"/>
      <c r="R280" s="13"/>
      <c r="S280" s="10">
        <f t="shared" si="194"/>
        <v>0</v>
      </c>
      <c r="U280" s="6"/>
      <c r="V280" s="11"/>
      <c r="W280" s="12"/>
      <c r="X280" s="13"/>
      <c r="Y280" s="10">
        <f t="shared" si="197"/>
        <v>0</v>
      </c>
      <c r="Z280" s="11"/>
      <c r="AA280" s="12"/>
      <c r="AB280" s="13"/>
      <c r="AC280" s="10">
        <f t="shared" si="198"/>
        <v>0</v>
      </c>
    </row>
    <row r="281" spans="11:29" x14ac:dyDescent="0.15">
      <c r="K281" s="6"/>
      <c r="L281" s="11"/>
      <c r="M281" s="12"/>
      <c r="N281" s="13"/>
      <c r="O281" s="10">
        <f t="shared" si="193"/>
        <v>0</v>
      </c>
      <c r="P281" s="11"/>
      <c r="Q281" s="12"/>
      <c r="R281" s="13"/>
      <c r="S281" s="10">
        <f t="shared" si="194"/>
        <v>0</v>
      </c>
      <c r="U281" s="6"/>
      <c r="V281" s="11"/>
      <c r="W281" s="12"/>
      <c r="X281" s="13"/>
      <c r="Y281" s="10">
        <f t="shared" si="197"/>
        <v>0</v>
      </c>
      <c r="Z281" s="11"/>
      <c r="AA281" s="12"/>
      <c r="AB281" s="13"/>
      <c r="AC281" s="10">
        <f t="shared" si="198"/>
        <v>0</v>
      </c>
    </row>
    <row r="282" spans="11:29" x14ac:dyDescent="0.15">
      <c r="K282" s="6"/>
      <c r="L282" s="11"/>
      <c r="M282" s="12"/>
      <c r="N282" s="13"/>
      <c r="O282" s="10">
        <f t="shared" si="193"/>
        <v>0</v>
      </c>
      <c r="P282" s="11"/>
      <c r="Q282" s="12"/>
      <c r="R282" s="13"/>
      <c r="S282" s="10">
        <f t="shared" si="194"/>
        <v>0</v>
      </c>
      <c r="U282" s="6"/>
      <c r="V282" s="11"/>
      <c r="W282" s="12"/>
      <c r="X282" s="13"/>
      <c r="Y282" s="10">
        <f t="shared" si="197"/>
        <v>0</v>
      </c>
      <c r="Z282" s="11"/>
      <c r="AA282" s="12"/>
      <c r="AB282" s="13"/>
      <c r="AC282" s="10">
        <f t="shared" si="198"/>
        <v>0</v>
      </c>
    </row>
    <row r="283" spans="11:29" x14ac:dyDescent="0.15">
      <c r="K283" s="6"/>
      <c r="L283" s="11"/>
      <c r="M283" s="12"/>
      <c r="N283" s="13"/>
      <c r="O283" s="10">
        <f t="shared" si="193"/>
        <v>0</v>
      </c>
      <c r="P283" s="11"/>
      <c r="Q283" s="12"/>
      <c r="R283" s="13"/>
      <c r="S283" s="10">
        <f t="shared" si="194"/>
        <v>0</v>
      </c>
      <c r="U283" s="6"/>
      <c r="V283" s="11"/>
      <c r="W283" s="12"/>
      <c r="X283" s="13"/>
      <c r="Y283" s="10">
        <f t="shared" si="197"/>
        <v>0</v>
      </c>
      <c r="Z283" s="11"/>
      <c r="AA283" s="12"/>
      <c r="AB283" s="13"/>
      <c r="AC283" s="10">
        <f t="shared" si="198"/>
        <v>0</v>
      </c>
    </row>
    <row r="284" spans="11:29" x14ac:dyDescent="0.15">
      <c r="K284" s="6"/>
      <c r="L284" s="11"/>
      <c r="M284" s="12"/>
      <c r="N284" s="13"/>
      <c r="O284" s="10">
        <f t="shared" si="193"/>
        <v>0</v>
      </c>
      <c r="P284" s="11"/>
      <c r="Q284" s="12"/>
      <c r="R284" s="13"/>
      <c r="S284" s="10">
        <f t="shared" si="194"/>
        <v>0</v>
      </c>
      <c r="U284" s="6"/>
      <c r="V284" s="11"/>
      <c r="W284" s="12"/>
      <c r="X284" s="13"/>
      <c r="Y284" s="10">
        <f t="shared" si="197"/>
        <v>0</v>
      </c>
      <c r="Z284" s="11"/>
      <c r="AA284" s="12"/>
      <c r="AB284" s="13"/>
      <c r="AC284" s="10">
        <f t="shared" si="198"/>
        <v>0</v>
      </c>
    </row>
    <row r="285" spans="11:29" x14ac:dyDescent="0.15">
      <c r="K285" s="6"/>
      <c r="L285" s="11"/>
      <c r="M285" s="12"/>
      <c r="N285" s="13"/>
      <c r="O285" s="10">
        <f t="shared" si="193"/>
        <v>0</v>
      </c>
      <c r="P285" s="11"/>
      <c r="Q285" s="12"/>
      <c r="R285" s="13"/>
      <c r="S285" s="10">
        <f t="shared" si="194"/>
        <v>0</v>
      </c>
      <c r="U285" s="6"/>
      <c r="V285" s="11"/>
      <c r="W285" s="12"/>
      <c r="X285" s="13"/>
      <c r="Y285" s="10">
        <f t="shared" si="197"/>
        <v>0</v>
      </c>
      <c r="Z285" s="11"/>
      <c r="AA285" s="12"/>
      <c r="AB285" s="13"/>
      <c r="AC285" s="10">
        <f t="shared" si="198"/>
        <v>0</v>
      </c>
    </row>
    <row r="286" spans="11:29" x14ac:dyDescent="0.15">
      <c r="K286" s="6"/>
      <c r="L286" s="11"/>
      <c r="M286" s="12"/>
      <c r="N286" s="13"/>
      <c r="O286" s="10">
        <f t="shared" si="193"/>
        <v>0</v>
      </c>
      <c r="P286" s="11"/>
      <c r="Q286" s="12"/>
      <c r="R286" s="13"/>
      <c r="S286" s="10">
        <f t="shared" si="194"/>
        <v>0</v>
      </c>
      <c r="U286" s="6"/>
      <c r="V286" s="11"/>
      <c r="W286" s="12"/>
      <c r="X286" s="13"/>
      <c r="Y286" s="10">
        <f t="shared" si="197"/>
        <v>0</v>
      </c>
      <c r="Z286" s="11"/>
      <c r="AA286" s="12"/>
      <c r="AB286" s="13"/>
      <c r="AC286" s="10">
        <f t="shared" si="198"/>
        <v>0</v>
      </c>
    </row>
    <row r="287" spans="11:29" x14ac:dyDescent="0.15">
      <c r="K287" s="14"/>
      <c r="L287" s="11"/>
      <c r="M287" s="12"/>
      <c r="N287" s="13"/>
      <c r="O287" s="10">
        <f t="shared" si="193"/>
        <v>0</v>
      </c>
      <c r="P287" s="11"/>
      <c r="Q287" s="12"/>
      <c r="R287" s="13"/>
      <c r="S287" s="10">
        <f t="shared" si="194"/>
        <v>0</v>
      </c>
      <c r="U287" s="14"/>
      <c r="V287" s="11"/>
      <c r="W287" s="12"/>
      <c r="X287" s="13"/>
      <c r="Y287" s="10">
        <f t="shared" si="197"/>
        <v>0</v>
      </c>
      <c r="Z287" s="11"/>
      <c r="AA287" s="12"/>
      <c r="AB287" s="13"/>
      <c r="AC287" s="10">
        <f t="shared" si="198"/>
        <v>0</v>
      </c>
    </row>
    <row r="288" spans="11:29" x14ac:dyDescent="0.15">
      <c r="K288" s="6"/>
      <c r="L288" s="11"/>
      <c r="M288" s="12"/>
      <c r="N288" s="13"/>
      <c r="O288" s="10">
        <f t="shared" si="193"/>
        <v>0</v>
      </c>
      <c r="P288" s="11"/>
      <c r="Q288" s="12"/>
      <c r="R288" s="13"/>
      <c r="S288" s="10">
        <f t="shared" si="194"/>
        <v>0</v>
      </c>
      <c r="U288" s="6"/>
      <c r="V288" s="11"/>
      <c r="W288" s="12"/>
      <c r="X288" s="13"/>
      <c r="Y288" s="10">
        <f t="shared" si="197"/>
        <v>0</v>
      </c>
      <c r="Z288" s="11"/>
      <c r="AA288" s="12"/>
      <c r="AB288" s="13"/>
      <c r="AC288" s="10">
        <f t="shared" si="198"/>
        <v>0</v>
      </c>
    </row>
    <row r="289" spans="11:29" x14ac:dyDescent="0.15">
      <c r="K289" s="14"/>
      <c r="L289" s="11"/>
      <c r="M289" s="12"/>
      <c r="N289" s="13"/>
      <c r="O289" s="10">
        <f t="shared" si="193"/>
        <v>0</v>
      </c>
      <c r="P289" s="11"/>
      <c r="Q289" s="12"/>
      <c r="R289" s="13"/>
      <c r="S289" s="10">
        <f t="shared" si="194"/>
        <v>0</v>
      </c>
      <c r="U289" s="14"/>
      <c r="V289" s="11"/>
      <c r="W289" s="12"/>
      <c r="X289" s="13"/>
      <c r="Y289" s="10">
        <f t="shared" si="197"/>
        <v>0</v>
      </c>
      <c r="Z289" s="11"/>
      <c r="AA289" s="12"/>
      <c r="AB289" s="13"/>
      <c r="AC289" s="10">
        <f t="shared" si="198"/>
        <v>0</v>
      </c>
    </row>
    <row r="290" spans="11:29" x14ac:dyDescent="0.15">
      <c r="K290" s="14"/>
      <c r="L290" s="15"/>
      <c r="M290" s="16"/>
      <c r="N290" s="17"/>
      <c r="O290" s="10">
        <f t="shared" si="193"/>
        <v>0</v>
      </c>
      <c r="P290" s="15"/>
      <c r="Q290" s="16"/>
      <c r="R290" s="17"/>
      <c r="S290" s="10">
        <f t="shared" si="194"/>
        <v>0</v>
      </c>
      <c r="U290" s="14"/>
      <c r="V290" s="15"/>
      <c r="W290" s="16"/>
      <c r="X290" s="17"/>
      <c r="Y290" s="10">
        <f t="shared" si="197"/>
        <v>0</v>
      </c>
      <c r="Z290" s="15"/>
      <c r="AA290" s="16"/>
      <c r="AB290" s="17"/>
      <c r="AC290" s="10">
        <f t="shared" si="198"/>
        <v>0</v>
      </c>
    </row>
    <row r="291" spans="11:29" x14ac:dyDescent="0.15">
      <c r="K291" s="14"/>
      <c r="L291" s="11"/>
      <c r="M291" s="12"/>
      <c r="N291" s="13"/>
      <c r="O291" s="10">
        <f t="shared" si="193"/>
        <v>0</v>
      </c>
      <c r="P291" s="11"/>
      <c r="Q291" s="12"/>
      <c r="R291" s="13"/>
      <c r="S291" s="10">
        <f t="shared" si="194"/>
        <v>0</v>
      </c>
      <c r="U291" s="14"/>
      <c r="V291" s="11"/>
      <c r="W291" s="12"/>
      <c r="X291" s="13"/>
      <c r="Y291" s="10">
        <f t="shared" si="197"/>
        <v>0</v>
      </c>
      <c r="Z291" s="11"/>
      <c r="AA291" s="12"/>
      <c r="AB291" s="13"/>
      <c r="AC291" s="10">
        <f t="shared" si="198"/>
        <v>0</v>
      </c>
    </row>
    <row r="292" spans="11:29" x14ac:dyDescent="0.15">
      <c r="K292" s="14"/>
      <c r="L292" s="15"/>
      <c r="M292" s="16"/>
      <c r="N292" s="17"/>
      <c r="O292" s="10">
        <f t="shared" si="193"/>
        <v>0</v>
      </c>
      <c r="P292" s="15"/>
      <c r="Q292" s="16"/>
      <c r="R292" s="17"/>
      <c r="S292" s="10">
        <f t="shared" si="194"/>
        <v>0</v>
      </c>
      <c r="U292" s="14"/>
      <c r="V292" s="15"/>
      <c r="W292" s="16"/>
      <c r="X292" s="17"/>
      <c r="Y292" s="10">
        <f t="shared" si="197"/>
        <v>0</v>
      </c>
      <c r="Z292" s="15"/>
      <c r="AA292" s="16"/>
      <c r="AB292" s="17"/>
      <c r="AC292" s="10">
        <f t="shared" si="198"/>
        <v>0</v>
      </c>
    </row>
    <row r="293" spans="11:29" x14ac:dyDescent="0.15">
      <c r="K293" s="14"/>
      <c r="L293" s="15"/>
      <c r="M293" s="16"/>
      <c r="N293" s="17"/>
      <c r="O293" s="10">
        <f t="shared" si="193"/>
        <v>0</v>
      </c>
      <c r="P293" s="15"/>
      <c r="Q293" s="16"/>
      <c r="R293" s="17"/>
      <c r="S293" s="10">
        <f t="shared" si="194"/>
        <v>0</v>
      </c>
      <c r="U293" s="34"/>
      <c r="V293" s="11"/>
      <c r="W293" s="12"/>
      <c r="X293" s="13"/>
      <c r="Y293" s="10">
        <f t="shared" si="197"/>
        <v>0</v>
      </c>
      <c r="Z293" s="11"/>
      <c r="AA293" s="12"/>
      <c r="AB293" s="13"/>
      <c r="AC293" s="10">
        <f t="shared" si="198"/>
        <v>0</v>
      </c>
    </row>
    <row r="294" spans="11:29" x14ac:dyDescent="0.15">
      <c r="K294" s="14"/>
      <c r="L294" s="15"/>
      <c r="M294" s="16"/>
      <c r="N294" s="17"/>
      <c r="O294" s="10">
        <f t="shared" si="193"/>
        <v>0</v>
      </c>
      <c r="P294" s="15"/>
      <c r="Q294" s="16"/>
      <c r="R294" s="17"/>
      <c r="S294" s="10">
        <f t="shared" si="194"/>
        <v>0</v>
      </c>
      <c r="U294" s="14"/>
      <c r="V294" s="11"/>
      <c r="W294" s="12"/>
      <c r="X294" s="13"/>
      <c r="Y294" s="10">
        <f t="shared" si="197"/>
        <v>0</v>
      </c>
      <c r="Z294" s="11"/>
      <c r="AA294" s="12"/>
      <c r="AB294" s="13"/>
      <c r="AC294" s="10">
        <f t="shared" si="198"/>
        <v>0</v>
      </c>
    </row>
    <row r="295" spans="11:29" x14ac:dyDescent="0.15">
      <c r="K295" s="14"/>
      <c r="L295" s="15"/>
      <c r="M295" s="16"/>
      <c r="N295" s="17"/>
      <c r="O295" s="10">
        <f t="shared" si="193"/>
        <v>0</v>
      </c>
      <c r="P295" s="15"/>
      <c r="Q295" s="16"/>
      <c r="R295" s="17"/>
      <c r="S295" s="10">
        <f t="shared" si="194"/>
        <v>0</v>
      </c>
      <c r="U295" s="14"/>
      <c r="V295" s="11"/>
      <c r="W295" s="12"/>
      <c r="X295" s="13"/>
      <c r="Y295" s="10">
        <f t="shared" si="197"/>
        <v>0</v>
      </c>
      <c r="Z295" s="11"/>
      <c r="AA295" s="12"/>
      <c r="AB295" s="13"/>
      <c r="AC295" s="10">
        <f t="shared" si="198"/>
        <v>0</v>
      </c>
    </row>
    <row r="296" spans="11:29" x14ac:dyDescent="0.15">
      <c r="K296" s="14"/>
      <c r="L296" s="15"/>
      <c r="M296" s="16"/>
      <c r="N296" s="17"/>
      <c r="O296" s="10">
        <f t="shared" si="193"/>
        <v>0</v>
      </c>
      <c r="P296" s="15"/>
      <c r="Q296" s="16"/>
      <c r="R296" s="17"/>
      <c r="S296" s="10">
        <f t="shared" si="194"/>
        <v>0</v>
      </c>
      <c r="U296" s="14"/>
      <c r="V296" s="11"/>
      <c r="W296" s="12"/>
      <c r="X296" s="13"/>
      <c r="Y296" s="10">
        <f t="shared" si="197"/>
        <v>0</v>
      </c>
      <c r="Z296" s="11"/>
      <c r="AA296" s="12"/>
      <c r="AB296" s="13"/>
      <c r="AC296" s="10">
        <f t="shared" si="198"/>
        <v>0</v>
      </c>
    </row>
    <row r="297" spans="11:29" ht="14.25" thickBot="1" x14ac:dyDescent="0.2">
      <c r="K297" s="14"/>
      <c r="L297" s="15"/>
      <c r="M297" s="16"/>
      <c r="N297" s="17"/>
      <c r="O297" s="10">
        <f t="shared" si="193"/>
        <v>0</v>
      </c>
      <c r="P297" s="15"/>
      <c r="Q297" s="16"/>
      <c r="R297" s="17"/>
      <c r="S297" s="10">
        <f t="shared" si="194"/>
        <v>0</v>
      </c>
      <c r="U297" s="14"/>
      <c r="V297" s="11"/>
      <c r="W297" s="12"/>
      <c r="X297" s="13"/>
      <c r="Y297" s="10">
        <f t="shared" si="197"/>
        <v>0</v>
      </c>
      <c r="Z297" s="11"/>
      <c r="AA297" s="12"/>
      <c r="AB297" s="13"/>
      <c r="AC297" s="10">
        <f t="shared" si="198"/>
        <v>0</v>
      </c>
    </row>
    <row r="298" spans="11:29" ht="14.25" thickBot="1" x14ac:dyDescent="0.2">
      <c r="K298" s="5" t="s">
        <v>5</v>
      </c>
      <c r="L298" s="18">
        <f>SUM(L274:L297)</f>
        <v>0</v>
      </c>
      <c r="M298" s="18">
        <f t="shared" ref="M298:S298" si="199">SUM(M274:M297)</f>
        <v>0</v>
      </c>
      <c r="N298" s="18">
        <f t="shared" si="199"/>
        <v>0</v>
      </c>
      <c r="O298" s="19">
        <f t="shared" si="199"/>
        <v>0</v>
      </c>
      <c r="P298" s="18">
        <f t="shared" si="199"/>
        <v>0</v>
      </c>
      <c r="Q298" s="18">
        <f t="shared" si="199"/>
        <v>0</v>
      </c>
      <c r="R298" s="18">
        <f t="shared" si="199"/>
        <v>0</v>
      </c>
      <c r="S298" s="19">
        <f t="shared" si="199"/>
        <v>0</v>
      </c>
      <c r="U298" s="5" t="s">
        <v>5</v>
      </c>
      <c r="V298" s="18">
        <f>SUM(V274:V297)</f>
        <v>0</v>
      </c>
      <c r="W298" s="18">
        <f t="shared" ref="W298:AC298" si="200">SUM(W274:W297)</f>
        <v>0</v>
      </c>
      <c r="X298" s="18">
        <f t="shared" si="200"/>
        <v>0</v>
      </c>
      <c r="Y298" s="19">
        <f t="shared" si="200"/>
        <v>0</v>
      </c>
      <c r="Z298" s="18">
        <f t="shared" si="200"/>
        <v>0</v>
      </c>
      <c r="AA298" s="18">
        <f t="shared" si="200"/>
        <v>0</v>
      </c>
      <c r="AB298" s="18">
        <f t="shared" si="200"/>
        <v>0</v>
      </c>
      <c r="AC298" s="19">
        <f t="shared" si="200"/>
        <v>0</v>
      </c>
    </row>
    <row r="299" spans="11:29" ht="14.25" thickBot="1" x14ac:dyDescent="0.2">
      <c r="K299" s="28" t="s">
        <v>6</v>
      </c>
      <c r="L299" s="29">
        <f>L273-L298</f>
        <v>87</v>
      </c>
      <c r="M299" s="29">
        <f t="shared" ref="M299:S299" si="201">M273-M298</f>
        <v>64</v>
      </c>
      <c r="N299" s="29">
        <f t="shared" si="201"/>
        <v>91</v>
      </c>
      <c r="O299" s="29">
        <f t="shared" si="201"/>
        <v>242</v>
      </c>
      <c r="P299" s="29">
        <f t="shared" si="201"/>
        <v>87</v>
      </c>
      <c r="Q299" s="29">
        <f t="shared" si="201"/>
        <v>64</v>
      </c>
      <c r="R299" s="29">
        <f t="shared" si="201"/>
        <v>91</v>
      </c>
      <c r="S299" s="27">
        <f t="shared" si="201"/>
        <v>242</v>
      </c>
      <c r="U299" s="28" t="s">
        <v>6</v>
      </c>
      <c r="V299" s="29">
        <f>V273-V298</f>
        <v>0</v>
      </c>
      <c r="W299" s="29">
        <f t="shared" ref="W299:AC299" si="202">W273-W298</f>
        <v>0</v>
      </c>
      <c r="X299" s="29">
        <f t="shared" si="202"/>
        <v>0</v>
      </c>
      <c r="Y299" s="29">
        <f t="shared" si="202"/>
        <v>0</v>
      </c>
      <c r="Z299" s="29">
        <f t="shared" si="202"/>
        <v>0</v>
      </c>
      <c r="AA299" s="29">
        <f t="shared" si="202"/>
        <v>0</v>
      </c>
      <c r="AB299" s="29">
        <f t="shared" si="202"/>
        <v>0</v>
      </c>
      <c r="AC299" s="27">
        <f t="shared" si="202"/>
        <v>0</v>
      </c>
    </row>
  </sheetData>
  <mergeCells count="35">
    <mergeCell ref="L260:O260"/>
    <mergeCell ref="P260:S260"/>
    <mergeCell ref="V260:Y260"/>
    <mergeCell ref="Z260:AC260"/>
    <mergeCell ref="P2:S2"/>
    <mergeCell ref="B2:E2"/>
    <mergeCell ref="F2:I2"/>
    <mergeCell ref="L2:O2"/>
    <mergeCell ref="B45:E45"/>
    <mergeCell ref="F45:I45"/>
    <mergeCell ref="L45:O45"/>
    <mergeCell ref="P45:S45"/>
    <mergeCell ref="B88:E88"/>
    <mergeCell ref="F88:I88"/>
    <mergeCell ref="L88:O88"/>
    <mergeCell ref="P88:S88"/>
    <mergeCell ref="A129:S129"/>
    <mergeCell ref="V131:Y131"/>
    <mergeCell ref="Z131:AC131"/>
    <mergeCell ref="L131:O131"/>
    <mergeCell ref="P131:S131"/>
    <mergeCell ref="B131:E131"/>
    <mergeCell ref="F131:I131"/>
    <mergeCell ref="Z174:AC174"/>
    <mergeCell ref="L174:O174"/>
    <mergeCell ref="P174:S174"/>
    <mergeCell ref="B174:E174"/>
    <mergeCell ref="F174:I174"/>
    <mergeCell ref="V174:Y174"/>
    <mergeCell ref="Z217:AC217"/>
    <mergeCell ref="L217:O217"/>
    <mergeCell ref="P217:S217"/>
    <mergeCell ref="B217:E217"/>
    <mergeCell ref="F217:I217"/>
    <mergeCell ref="V217:Y217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7分丈ボトム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2026-06-17T02:28:56Z</dcterms:modified>
</cp:coreProperties>
</file>