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71403A47-CA9E-4422-BBE9-AC9D434DAF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ガーゼ50C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4" i="4" l="1"/>
  <c r="Q124" i="4"/>
  <c r="V124" i="4" s="1"/>
  <c r="U123" i="4"/>
  <c r="Q123" i="4"/>
  <c r="V123" i="4" s="1"/>
  <c r="U122" i="4"/>
  <c r="V122" i="4" s="1"/>
  <c r="Q122" i="4"/>
  <c r="E125" i="4"/>
  <c r="I125" i="4"/>
  <c r="J125" i="4" s="1"/>
  <c r="E124" i="4"/>
  <c r="I124" i="4"/>
  <c r="J124" i="4" s="1"/>
  <c r="U125" i="4"/>
  <c r="Q125" i="4"/>
  <c r="E91" i="4"/>
  <c r="I91" i="4"/>
  <c r="J91" i="4" s="1"/>
  <c r="I79" i="4"/>
  <c r="E79" i="4"/>
  <c r="J79" i="4" s="1"/>
  <c r="E80" i="4"/>
  <c r="I80" i="4"/>
  <c r="J80" i="4" s="1"/>
  <c r="E81" i="4"/>
  <c r="I81" i="4"/>
  <c r="J81" i="4" s="1"/>
  <c r="E82" i="4"/>
  <c r="I82" i="4"/>
  <c r="J82" i="4" s="1"/>
  <c r="U82" i="4"/>
  <c r="Q82" i="4"/>
  <c r="V82" i="4" s="1"/>
  <c r="U81" i="4"/>
  <c r="Q81" i="4"/>
  <c r="V81" i="4" s="1"/>
  <c r="U80" i="4"/>
  <c r="Q80" i="4"/>
  <c r="V80" i="4" s="1"/>
  <c r="U79" i="4"/>
  <c r="Q79" i="4"/>
  <c r="V79" i="4" s="1"/>
  <c r="U78" i="4"/>
  <c r="Q78" i="4"/>
  <c r="V78" i="4" s="1"/>
  <c r="E121" i="4"/>
  <c r="J121" i="4" s="1"/>
  <c r="I121" i="4"/>
  <c r="E122" i="4"/>
  <c r="J122" i="4" s="1"/>
  <c r="I122" i="4"/>
  <c r="E123" i="4"/>
  <c r="J123" i="4" s="1"/>
  <c r="I123" i="4"/>
  <c r="E100" i="4"/>
  <c r="I100" i="4"/>
  <c r="E101" i="4"/>
  <c r="I101" i="4"/>
  <c r="E102" i="4"/>
  <c r="I102" i="4"/>
  <c r="E103" i="4"/>
  <c r="I103" i="4"/>
  <c r="J103" i="4" s="1"/>
  <c r="E104" i="4"/>
  <c r="I104" i="4"/>
  <c r="J104" i="4" s="1"/>
  <c r="E105" i="4"/>
  <c r="I105" i="4"/>
  <c r="E106" i="4"/>
  <c r="I106" i="4"/>
  <c r="E107" i="4"/>
  <c r="I107" i="4"/>
  <c r="J107" i="4" s="1"/>
  <c r="E108" i="4"/>
  <c r="I108" i="4"/>
  <c r="J108" i="4" s="1"/>
  <c r="E109" i="4"/>
  <c r="J109" i="4" s="1"/>
  <c r="I109" i="4"/>
  <c r="E110" i="4"/>
  <c r="J110" i="4" s="1"/>
  <c r="I110" i="4"/>
  <c r="E111" i="4"/>
  <c r="I111" i="4"/>
  <c r="J111" i="4" s="1"/>
  <c r="E112" i="4"/>
  <c r="I112" i="4"/>
  <c r="J112" i="4"/>
  <c r="E113" i="4"/>
  <c r="J113" i="4" s="1"/>
  <c r="I113" i="4"/>
  <c r="E114" i="4"/>
  <c r="J114" i="4" s="1"/>
  <c r="I114" i="4"/>
  <c r="E115" i="4"/>
  <c r="I115" i="4"/>
  <c r="J115" i="4"/>
  <c r="E116" i="4"/>
  <c r="I116" i="4"/>
  <c r="J116" i="4"/>
  <c r="T126" i="4"/>
  <c r="S126" i="4"/>
  <c r="R126" i="4"/>
  <c r="P126" i="4"/>
  <c r="O126" i="4"/>
  <c r="N126" i="4"/>
  <c r="G126" i="4"/>
  <c r="F126" i="4"/>
  <c r="D126" i="4"/>
  <c r="C126" i="4"/>
  <c r="V121" i="4"/>
  <c r="U121" i="4"/>
  <c r="Q121" i="4"/>
  <c r="U120" i="4"/>
  <c r="Q120" i="4"/>
  <c r="V120" i="4" s="1"/>
  <c r="I120" i="4"/>
  <c r="E120" i="4"/>
  <c r="J120" i="4" s="1"/>
  <c r="U119" i="4"/>
  <c r="V119" i="4" s="1"/>
  <c r="Q119" i="4"/>
  <c r="I119" i="4"/>
  <c r="E119" i="4"/>
  <c r="J119" i="4" s="1"/>
  <c r="U118" i="4"/>
  <c r="V118" i="4" s="1"/>
  <c r="Q118" i="4"/>
  <c r="J118" i="4"/>
  <c r="I118" i="4"/>
  <c r="E118" i="4"/>
  <c r="V117" i="4"/>
  <c r="U117" i="4"/>
  <c r="Q117" i="4"/>
  <c r="J117" i="4"/>
  <c r="I117" i="4"/>
  <c r="E117" i="4"/>
  <c r="U116" i="4"/>
  <c r="Q116" i="4"/>
  <c r="V116" i="4" s="1"/>
  <c r="U115" i="4"/>
  <c r="V115" i="4" s="1"/>
  <c r="Q115" i="4"/>
  <c r="U114" i="4"/>
  <c r="V114" i="4" s="1"/>
  <c r="Q114" i="4"/>
  <c r="V113" i="4"/>
  <c r="U113" i="4"/>
  <c r="Q113" i="4"/>
  <c r="U112" i="4"/>
  <c r="Q112" i="4"/>
  <c r="V112" i="4" s="1"/>
  <c r="U111" i="4"/>
  <c r="V111" i="4" s="1"/>
  <c r="Q111" i="4"/>
  <c r="U110" i="4"/>
  <c r="V110" i="4" s="1"/>
  <c r="Q110" i="4"/>
  <c r="V109" i="4"/>
  <c r="U109" i="4"/>
  <c r="Q109" i="4"/>
  <c r="U108" i="4"/>
  <c r="Q108" i="4"/>
  <c r="V108" i="4" s="1"/>
  <c r="U107" i="4"/>
  <c r="V107" i="4" s="1"/>
  <c r="Q107" i="4"/>
  <c r="U106" i="4"/>
  <c r="V106" i="4" s="1"/>
  <c r="Q106" i="4"/>
  <c r="V105" i="4"/>
  <c r="U105" i="4"/>
  <c r="Q105" i="4"/>
  <c r="U104" i="4"/>
  <c r="Q104" i="4"/>
  <c r="V104" i="4" s="1"/>
  <c r="U103" i="4"/>
  <c r="V103" i="4" s="1"/>
  <c r="Q103" i="4"/>
  <c r="U102" i="4"/>
  <c r="Q102" i="4"/>
  <c r="V102" i="4" s="1"/>
  <c r="V101" i="4"/>
  <c r="U101" i="4"/>
  <c r="Q101" i="4"/>
  <c r="U100" i="4"/>
  <c r="Q100" i="4"/>
  <c r="V100" i="4" s="1"/>
  <c r="U98" i="4"/>
  <c r="Q98" i="4"/>
  <c r="V98" i="4" s="1"/>
  <c r="I98" i="4"/>
  <c r="E98" i="4"/>
  <c r="J98" i="4" s="1"/>
  <c r="V97" i="4"/>
  <c r="U97" i="4"/>
  <c r="Q97" i="4"/>
  <c r="I97" i="4"/>
  <c r="E97" i="4"/>
  <c r="J97" i="4" s="1"/>
  <c r="U96" i="4"/>
  <c r="Q96" i="4"/>
  <c r="V96" i="4" s="1"/>
  <c r="J96" i="4"/>
  <c r="I96" i="4"/>
  <c r="E96" i="4"/>
  <c r="V95" i="4"/>
  <c r="U95" i="4"/>
  <c r="Q95" i="4"/>
  <c r="I95" i="4"/>
  <c r="E95" i="4"/>
  <c r="U94" i="4"/>
  <c r="Q94" i="4"/>
  <c r="V94" i="4" s="1"/>
  <c r="I94" i="4"/>
  <c r="E94" i="4"/>
  <c r="J94" i="4" s="1"/>
  <c r="V93" i="4"/>
  <c r="U93" i="4"/>
  <c r="Q93" i="4"/>
  <c r="I93" i="4"/>
  <c r="E93" i="4"/>
  <c r="U92" i="4"/>
  <c r="Q92" i="4"/>
  <c r="V92" i="4" s="1"/>
  <c r="I92" i="4"/>
  <c r="E92" i="4"/>
  <c r="V91" i="4"/>
  <c r="U91" i="4"/>
  <c r="Q91" i="4"/>
  <c r="I78" i="4"/>
  <c r="E78" i="4"/>
  <c r="J78" i="4" s="1"/>
  <c r="J93" i="4" l="1"/>
  <c r="J106" i="4"/>
  <c r="J105" i="4"/>
  <c r="J92" i="4"/>
  <c r="J102" i="4"/>
  <c r="J101" i="4"/>
  <c r="J100" i="4"/>
  <c r="V125" i="4"/>
  <c r="Q126" i="4"/>
  <c r="U126" i="4"/>
  <c r="J95" i="4"/>
  <c r="H126" i="4"/>
  <c r="B126" i="4"/>
  <c r="E126" i="4" s="1"/>
  <c r="D83" i="4"/>
  <c r="G83" i="4"/>
  <c r="C83" i="4"/>
  <c r="H83" i="4"/>
  <c r="F83" i="4"/>
  <c r="E57" i="4"/>
  <c r="I57" i="4"/>
  <c r="E58" i="4"/>
  <c r="I58" i="4"/>
  <c r="J58" i="4" s="1"/>
  <c r="E59" i="4"/>
  <c r="J59" i="4" s="1"/>
  <c r="I59" i="4"/>
  <c r="E60" i="4"/>
  <c r="J60" i="4" s="1"/>
  <c r="I60" i="4"/>
  <c r="E61" i="4"/>
  <c r="J61" i="4" s="1"/>
  <c r="I61" i="4"/>
  <c r="E62" i="4"/>
  <c r="I62" i="4"/>
  <c r="E63" i="4"/>
  <c r="I63" i="4"/>
  <c r="E64" i="4"/>
  <c r="I64" i="4"/>
  <c r="J64" i="4" s="1"/>
  <c r="E65" i="4"/>
  <c r="I65" i="4"/>
  <c r="J65" i="4" s="1"/>
  <c r="E66" i="4"/>
  <c r="I66" i="4"/>
  <c r="J66" i="4" s="1"/>
  <c r="E67" i="4"/>
  <c r="I67" i="4"/>
  <c r="E68" i="4"/>
  <c r="I68" i="4"/>
  <c r="J68" i="4" s="1"/>
  <c r="E69" i="4"/>
  <c r="I69" i="4"/>
  <c r="J69" i="4"/>
  <c r="E70" i="4"/>
  <c r="I70" i="4"/>
  <c r="E71" i="4"/>
  <c r="I71" i="4"/>
  <c r="E72" i="4"/>
  <c r="I72" i="4"/>
  <c r="J72" i="4" s="1"/>
  <c r="E73" i="4"/>
  <c r="I73" i="4"/>
  <c r="J73" i="4"/>
  <c r="E74" i="4"/>
  <c r="I74" i="4"/>
  <c r="J74" i="4"/>
  <c r="E75" i="4"/>
  <c r="I75" i="4"/>
  <c r="E76" i="4"/>
  <c r="I76" i="4"/>
  <c r="O47" i="4"/>
  <c r="P47" i="4"/>
  <c r="P56" i="4" s="1"/>
  <c r="Q47" i="4"/>
  <c r="R47" i="4"/>
  <c r="S47" i="4"/>
  <c r="T47" i="4"/>
  <c r="U47" i="4"/>
  <c r="V47" i="4"/>
  <c r="N47" i="4"/>
  <c r="E48" i="4"/>
  <c r="I48" i="4"/>
  <c r="E49" i="4"/>
  <c r="J49" i="4" s="1"/>
  <c r="I49" i="4"/>
  <c r="E50" i="4"/>
  <c r="I50" i="4"/>
  <c r="E51" i="4"/>
  <c r="I51" i="4"/>
  <c r="J51" i="4"/>
  <c r="E52" i="4"/>
  <c r="I52" i="4"/>
  <c r="J52" i="4"/>
  <c r="E53" i="4"/>
  <c r="I53" i="4"/>
  <c r="C47" i="4"/>
  <c r="C56" i="4" s="1"/>
  <c r="G47" i="4"/>
  <c r="T83" i="4"/>
  <c r="S83" i="4"/>
  <c r="R83" i="4"/>
  <c r="P83" i="4"/>
  <c r="O83" i="4"/>
  <c r="N83" i="4"/>
  <c r="B83" i="4"/>
  <c r="U77" i="4"/>
  <c r="Q77" i="4"/>
  <c r="V77" i="4" s="1"/>
  <c r="I77" i="4"/>
  <c r="E77" i="4"/>
  <c r="J77" i="4" s="1"/>
  <c r="V76" i="4"/>
  <c r="U76" i="4"/>
  <c r="Q76" i="4"/>
  <c r="U75" i="4"/>
  <c r="Q75" i="4"/>
  <c r="V75" i="4" s="1"/>
  <c r="V74" i="4"/>
  <c r="U74" i="4"/>
  <c r="Q74" i="4"/>
  <c r="U73" i="4"/>
  <c r="Q73" i="4"/>
  <c r="V73" i="4" s="1"/>
  <c r="V72" i="4"/>
  <c r="U72" i="4"/>
  <c r="Q72" i="4"/>
  <c r="U71" i="4"/>
  <c r="Q71" i="4"/>
  <c r="V71" i="4" s="1"/>
  <c r="V70" i="4"/>
  <c r="U70" i="4"/>
  <c r="Q70" i="4"/>
  <c r="U69" i="4"/>
  <c r="Q69" i="4"/>
  <c r="V69" i="4" s="1"/>
  <c r="V68" i="4"/>
  <c r="U68" i="4"/>
  <c r="Q68" i="4"/>
  <c r="U67" i="4"/>
  <c r="Q67" i="4"/>
  <c r="V67" i="4" s="1"/>
  <c r="V66" i="4"/>
  <c r="U66" i="4"/>
  <c r="Q66" i="4"/>
  <c r="U65" i="4"/>
  <c r="Q65" i="4"/>
  <c r="V65" i="4" s="1"/>
  <c r="V64" i="4"/>
  <c r="U64" i="4"/>
  <c r="Q64" i="4"/>
  <c r="U63" i="4"/>
  <c r="Q63" i="4"/>
  <c r="V63" i="4" s="1"/>
  <c r="V62" i="4"/>
  <c r="U62" i="4"/>
  <c r="Q62" i="4"/>
  <c r="U61" i="4"/>
  <c r="Q61" i="4"/>
  <c r="V61" i="4" s="1"/>
  <c r="V60" i="4"/>
  <c r="U60" i="4"/>
  <c r="Q60" i="4"/>
  <c r="U59" i="4"/>
  <c r="Q59" i="4"/>
  <c r="V59" i="4" s="1"/>
  <c r="V58" i="4"/>
  <c r="U58" i="4"/>
  <c r="Q58" i="4"/>
  <c r="U57" i="4"/>
  <c r="Q57" i="4"/>
  <c r="V57" i="4" s="1"/>
  <c r="T56" i="4"/>
  <c r="S56" i="4"/>
  <c r="S84" i="4" s="1"/>
  <c r="S90" i="4" s="1"/>
  <c r="S99" i="4" s="1"/>
  <c r="S127" i="4" s="1"/>
  <c r="R56" i="4"/>
  <c r="U56" i="4" s="1"/>
  <c r="O56" i="4"/>
  <c r="O84" i="4" s="1"/>
  <c r="O90" i="4" s="1"/>
  <c r="O99" i="4" s="1"/>
  <c r="O127" i="4" s="1"/>
  <c r="N56" i="4"/>
  <c r="N84" i="4" s="1"/>
  <c r="N90" i="4" s="1"/>
  <c r="N99" i="4" s="1"/>
  <c r="N127" i="4" s="1"/>
  <c r="G56" i="4"/>
  <c r="U55" i="4"/>
  <c r="Q55" i="4"/>
  <c r="V55" i="4" s="1"/>
  <c r="I55" i="4"/>
  <c r="E55" i="4"/>
  <c r="V54" i="4"/>
  <c r="U54" i="4"/>
  <c r="Q54" i="4"/>
  <c r="I54" i="4"/>
  <c r="E54" i="4"/>
  <c r="J54" i="4" s="1"/>
  <c r="U53" i="4"/>
  <c r="Q53" i="4"/>
  <c r="V53" i="4" s="1"/>
  <c r="V52" i="4"/>
  <c r="U52" i="4"/>
  <c r="Q52" i="4"/>
  <c r="U51" i="4"/>
  <c r="Q51" i="4"/>
  <c r="V51" i="4" s="1"/>
  <c r="V50" i="4"/>
  <c r="U50" i="4"/>
  <c r="Q50" i="4"/>
  <c r="U49" i="4"/>
  <c r="Q49" i="4"/>
  <c r="V49" i="4" s="1"/>
  <c r="V48" i="4"/>
  <c r="U48" i="4"/>
  <c r="Q48" i="4"/>
  <c r="E7" i="4"/>
  <c r="I7" i="4"/>
  <c r="E8" i="4"/>
  <c r="I8" i="4"/>
  <c r="E9" i="4"/>
  <c r="I9" i="4"/>
  <c r="E10" i="4"/>
  <c r="I10" i="4"/>
  <c r="E11" i="4"/>
  <c r="I11" i="4"/>
  <c r="J11" i="4" s="1"/>
  <c r="E12" i="4"/>
  <c r="I12" i="4"/>
  <c r="J12" i="4" s="1"/>
  <c r="E6" i="4"/>
  <c r="I6" i="4"/>
  <c r="E35" i="4"/>
  <c r="I35" i="4"/>
  <c r="E36" i="4"/>
  <c r="I36" i="4"/>
  <c r="E37" i="4"/>
  <c r="I37" i="4"/>
  <c r="E38" i="4"/>
  <c r="I38" i="4"/>
  <c r="E39" i="4"/>
  <c r="I39" i="4"/>
  <c r="T84" i="4" l="1"/>
  <c r="T90" i="4" s="1"/>
  <c r="T99" i="4" s="1"/>
  <c r="T127" i="4" s="1"/>
  <c r="Q83" i="4"/>
  <c r="V126" i="4"/>
  <c r="U83" i="4"/>
  <c r="P84" i="4"/>
  <c r="P90" i="4" s="1"/>
  <c r="P99" i="4" s="1"/>
  <c r="P127" i="4" s="1"/>
  <c r="Q127" i="4" s="1"/>
  <c r="J76" i="4"/>
  <c r="J75" i="4"/>
  <c r="I126" i="4"/>
  <c r="J126" i="4" s="1"/>
  <c r="J71" i="4"/>
  <c r="J70" i="4"/>
  <c r="J67" i="4"/>
  <c r="J55" i="4"/>
  <c r="J63" i="4"/>
  <c r="J62" i="4"/>
  <c r="J57" i="4"/>
  <c r="J50" i="4"/>
  <c r="J53" i="4"/>
  <c r="J48" i="4"/>
  <c r="I83" i="4"/>
  <c r="E83" i="4"/>
  <c r="C84" i="4"/>
  <c r="C90" i="4" s="1"/>
  <c r="C99" i="4" s="1"/>
  <c r="C127" i="4" s="1"/>
  <c r="V83" i="4"/>
  <c r="Q56" i="4"/>
  <c r="V56" i="4" s="1"/>
  <c r="G84" i="4"/>
  <c r="G90" i="4" s="1"/>
  <c r="G99" i="4" s="1"/>
  <c r="G127" i="4" s="1"/>
  <c r="R84" i="4"/>
  <c r="J10" i="4"/>
  <c r="J37" i="4"/>
  <c r="J38" i="4"/>
  <c r="J8" i="4"/>
  <c r="J7" i="4"/>
  <c r="J39" i="4"/>
  <c r="J6" i="4"/>
  <c r="J9" i="4"/>
  <c r="J36" i="4"/>
  <c r="J35" i="4"/>
  <c r="U84" i="4" l="1"/>
  <c r="R90" i="4"/>
  <c r="R99" i="4" s="1"/>
  <c r="Q84" i="4"/>
  <c r="Q90" i="4" s="1"/>
  <c r="Q99" i="4"/>
  <c r="J83" i="4"/>
  <c r="Q29" i="4"/>
  <c r="U29" i="4"/>
  <c r="Q30" i="4"/>
  <c r="U30" i="4"/>
  <c r="Q31" i="4"/>
  <c r="U31" i="4"/>
  <c r="Q32" i="4"/>
  <c r="U32" i="4"/>
  <c r="Q33" i="4"/>
  <c r="U33" i="4"/>
  <c r="Q34" i="4"/>
  <c r="U34" i="4"/>
  <c r="Q35" i="4"/>
  <c r="U35" i="4"/>
  <c r="Q36" i="4"/>
  <c r="U36" i="4"/>
  <c r="Q37" i="4"/>
  <c r="U37" i="4"/>
  <c r="Q38" i="4"/>
  <c r="U38" i="4"/>
  <c r="Q39" i="4"/>
  <c r="U39" i="4"/>
  <c r="Q6" i="4"/>
  <c r="U6" i="4"/>
  <c r="V6" i="4" s="1"/>
  <c r="Q7" i="4"/>
  <c r="U7" i="4"/>
  <c r="Q8" i="4"/>
  <c r="U8" i="4"/>
  <c r="Q9" i="4"/>
  <c r="U9" i="4"/>
  <c r="Q10" i="4"/>
  <c r="U10" i="4"/>
  <c r="V84" i="4" l="1"/>
  <c r="V90" i="4" s="1"/>
  <c r="U90" i="4"/>
  <c r="R127" i="4"/>
  <c r="U127" i="4" s="1"/>
  <c r="V127" i="4" s="1"/>
  <c r="U99" i="4"/>
  <c r="V99" i="4" s="1"/>
  <c r="V8" i="4"/>
  <c r="V7" i="4"/>
  <c r="V39" i="4"/>
  <c r="V38" i="4"/>
  <c r="V36" i="4"/>
  <c r="V35" i="4"/>
  <c r="V32" i="4"/>
  <c r="V29" i="4"/>
  <c r="V10" i="4"/>
  <c r="V9" i="4"/>
  <c r="V31" i="4"/>
  <c r="V30" i="4"/>
  <c r="V37" i="4"/>
  <c r="V34" i="4"/>
  <c r="V33" i="4"/>
  <c r="Q4" i="4"/>
  <c r="U4" i="4"/>
  <c r="Q5" i="4"/>
  <c r="U5" i="4"/>
  <c r="Q11" i="4"/>
  <c r="U11" i="4"/>
  <c r="Q12" i="4"/>
  <c r="U12" i="4"/>
  <c r="N13" i="4"/>
  <c r="O13" i="4"/>
  <c r="P13" i="4"/>
  <c r="R13" i="4"/>
  <c r="S13" i="4"/>
  <c r="T13" i="4"/>
  <c r="Q14" i="4"/>
  <c r="U14" i="4"/>
  <c r="Q15" i="4"/>
  <c r="U15" i="4"/>
  <c r="Q16" i="4"/>
  <c r="U16" i="4"/>
  <c r="V16" i="4" s="1"/>
  <c r="Q17" i="4"/>
  <c r="U17" i="4"/>
  <c r="Q18" i="4"/>
  <c r="U18" i="4"/>
  <c r="Q19" i="4"/>
  <c r="U19" i="4"/>
  <c r="Q20" i="4"/>
  <c r="U20" i="4"/>
  <c r="Q21" i="4"/>
  <c r="U21" i="4"/>
  <c r="Q22" i="4"/>
  <c r="U22" i="4"/>
  <c r="Q23" i="4"/>
  <c r="U23" i="4"/>
  <c r="Q24" i="4"/>
  <c r="U24" i="4"/>
  <c r="Q25" i="4"/>
  <c r="U25" i="4"/>
  <c r="Q26" i="4"/>
  <c r="U26" i="4"/>
  <c r="Q27" i="4"/>
  <c r="U27" i="4"/>
  <c r="Q28" i="4"/>
  <c r="U28" i="4"/>
  <c r="N40" i="4"/>
  <c r="O40" i="4"/>
  <c r="P40" i="4"/>
  <c r="R40" i="4"/>
  <c r="S40" i="4"/>
  <c r="T40" i="4"/>
  <c r="V22" i="4" l="1"/>
  <c r="V18" i="4"/>
  <c r="V20" i="4"/>
  <c r="V28" i="4"/>
  <c r="V24" i="4"/>
  <c r="V14" i="4"/>
  <c r="V5" i="4"/>
  <c r="V26" i="4"/>
  <c r="O41" i="4"/>
  <c r="V11" i="4"/>
  <c r="V19" i="4"/>
  <c r="V21" i="4"/>
  <c r="V23" i="4"/>
  <c r="V25" i="4"/>
  <c r="V12" i="4"/>
  <c r="Q40" i="4"/>
  <c r="V27" i="4"/>
  <c r="V15" i="4"/>
  <c r="V17" i="4"/>
  <c r="P41" i="4"/>
  <c r="T41" i="4"/>
  <c r="S41" i="4"/>
  <c r="U13" i="4"/>
  <c r="V4" i="4"/>
  <c r="Q13" i="4"/>
  <c r="N41" i="4"/>
  <c r="R41" i="4"/>
  <c r="U40" i="4"/>
  <c r="B13" i="4"/>
  <c r="B40" i="4"/>
  <c r="C13" i="4"/>
  <c r="C40" i="4"/>
  <c r="D13" i="4"/>
  <c r="D40" i="4"/>
  <c r="F13" i="4"/>
  <c r="F40" i="4"/>
  <c r="G13" i="4"/>
  <c r="G40" i="4"/>
  <c r="H13" i="4"/>
  <c r="H40" i="4"/>
  <c r="I34" i="4"/>
  <c r="E34" i="4"/>
  <c r="I33" i="4"/>
  <c r="E33" i="4"/>
  <c r="I32" i="4"/>
  <c r="E32" i="4"/>
  <c r="I31" i="4"/>
  <c r="E31" i="4"/>
  <c r="I30" i="4"/>
  <c r="E30" i="4"/>
  <c r="I29" i="4"/>
  <c r="E29" i="4"/>
  <c r="I28" i="4"/>
  <c r="E28" i="4"/>
  <c r="I27" i="4"/>
  <c r="E27" i="4"/>
  <c r="I26" i="4"/>
  <c r="E26" i="4"/>
  <c r="I25" i="4"/>
  <c r="E25" i="4"/>
  <c r="I24" i="4"/>
  <c r="E24" i="4"/>
  <c r="I23" i="4"/>
  <c r="E23" i="4"/>
  <c r="I22" i="4"/>
  <c r="E22" i="4"/>
  <c r="I21" i="4"/>
  <c r="E21" i="4"/>
  <c r="I20" i="4"/>
  <c r="E20" i="4"/>
  <c r="I19" i="4"/>
  <c r="E19" i="4"/>
  <c r="I18" i="4"/>
  <c r="E18" i="4"/>
  <c r="I17" i="4"/>
  <c r="E17" i="4"/>
  <c r="I16" i="4"/>
  <c r="E16" i="4"/>
  <c r="I15" i="4"/>
  <c r="E15" i="4"/>
  <c r="I14" i="4"/>
  <c r="E14" i="4"/>
  <c r="I5" i="4"/>
  <c r="E5" i="4"/>
  <c r="I4" i="4"/>
  <c r="E4" i="4"/>
  <c r="V40" i="4" l="1"/>
  <c r="V13" i="4"/>
  <c r="U41" i="4"/>
  <c r="Q41" i="4"/>
  <c r="E40" i="4"/>
  <c r="J31" i="4"/>
  <c r="I13" i="4"/>
  <c r="J21" i="4"/>
  <c r="J22" i="4"/>
  <c r="J23" i="4"/>
  <c r="G41" i="4"/>
  <c r="J32" i="4"/>
  <c r="J19" i="4"/>
  <c r="J29" i="4"/>
  <c r="J30" i="4"/>
  <c r="J4" i="4"/>
  <c r="J16" i="4"/>
  <c r="C41" i="4"/>
  <c r="J18" i="4"/>
  <c r="J17" i="4"/>
  <c r="I40" i="4"/>
  <c r="J26" i="4"/>
  <c r="J28" i="4"/>
  <c r="B41" i="4"/>
  <c r="B47" i="4" s="1"/>
  <c r="B56" i="4" s="1"/>
  <c r="B84" i="4" s="1"/>
  <c r="B90" i="4" s="1"/>
  <c r="B99" i="4" s="1"/>
  <c r="E13" i="4"/>
  <c r="J25" i="4"/>
  <c r="J20" i="4"/>
  <c r="J5" i="4"/>
  <c r="J14" i="4"/>
  <c r="F41" i="4"/>
  <c r="F47" i="4" s="1"/>
  <c r="F56" i="4" s="1"/>
  <c r="F84" i="4" s="1"/>
  <c r="F90" i="4" s="1"/>
  <c r="F99" i="4" s="1"/>
  <c r="H41" i="4"/>
  <c r="H47" i="4" s="1"/>
  <c r="H56" i="4" s="1"/>
  <c r="J15" i="4"/>
  <c r="J24" i="4"/>
  <c r="J34" i="4"/>
  <c r="D41" i="4"/>
  <c r="D47" i="4" s="1"/>
  <c r="D56" i="4" s="1"/>
  <c r="J27" i="4"/>
  <c r="J33" i="4"/>
  <c r="F127" i="4" l="1"/>
  <c r="B127" i="4"/>
  <c r="H84" i="4"/>
  <c r="I56" i="4"/>
  <c r="D84" i="4"/>
  <c r="E56" i="4"/>
  <c r="J56" i="4" s="1"/>
  <c r="V41" i="4"/>
  <c r="J13" i="4"/>
  <c r="J40" i="4"/>
  <c r="I41" i="4"/>
  <c r="I47" i="4" s="1"/>
  <c r="E41" i="4"/>
  <c r="E47" i="4" s="1"/>
  <c r="E84" i="4" l="1"/>
  <c r="E90" i="4" s="1"/>
  <c r="D90" i="4"/>
  <c r="D99" i="4" s="1"/>
  <c r="I84" i="4"/>
  <c r="I90" i="4" s="1"/>
  <c r="H90" i="4"/>
  <c r="H99" i="4" s="1"/>
  <c r="J84" i="4"/>
  <c r="J90" i="4" s="1"/>
  <c r="J41" i="4"/>
  <c r="J47" i="4" s="1"/>
  <c r="H127" i="4" l="1"/>
  <c r="I127" i="4" s="1"/>
  <c r="I99" i="4"/>
  <c r="D127" i="4"/>
  <c r="E127" i="4" s="1"/>
  <c r="J127" i="4" s="1"/>
  <c r="E99" i="4"/>
  <c r="J99" i="4" s="1"/>
</calcChain>
</file>

<file path=xl/sharedStrings.xml><?xml version="1.0" encoding="utf-8"?>
<sst xmlns="http://schemas.openxmlformats.org/spreadsheetml/2006/main" count="225" uniqueCount="98">
  <si>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</si>
  <si>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</si>
  <si>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</si>
  <si>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</si>
  <si>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</si>
  <si>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</si>
  <si>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</si>
  <si>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</si>
  <si>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</si>
  <si>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</si>
  <si>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</si>
  <si>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</si>
  <si>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</si>
  <si>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</si>
  <si>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</si>
  <si>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</si>
  <si>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</si>
  <si>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6"/>
  </si>
  <si>
    <t>ピンク</t>
    <phoneticPr fontId="2"/>
  </si>
  <si>
    <t>モカ</t>
    <phoneticPr fontId="2"/>
  </si>
  <si>
    <t>＜No.40739   40袋ガーゼ50cc安心ショーツ2色組＞夢販在庫 1枚M/L@580 LL600</t>
    <rPh sb="14" eb="15">
      <t>フクロ</t>
    </rPh>
    <rPh sb="22" eb="24">
      <t>アンシン</t>
    </rPh>
    <rPh sb="29" eb="31">
      <t>ショクグミ</t>
    </rPh>
    <rPh sb="32" eb="33">
      <t>ユメ</t>
    </rPh>
    <rPh sb="33" eb="34">
      <t>ハン</t>
    </rPh>
    <rPh sb="34" eb="36">
      <t>ザイコ</t>
    </rPh>
    <rPh sb="38" eb="39">
      <t>マイ</t>
    </rPh>
    <phoneticPr fontId="2"/>
  </si>
  <si>
    <t>＜No.40739   40袋ガーゼ50cc安心ショーツ2色組＞西川合繊在庫 1枚M/L@580 LL600</t>
    <rPh sb="14" eb="15">
      <t>フクロ</t>
    </rPh>
    <rPh sb="22" eb="24">
      <t>アンシン</t>
    </rPh>
    <rPh sb="29" eb="31">
      <t>ショクグミ</t>
    </rPh>
    <rPh sb="32" eb="36">
      <t>ニシカワゴウセン</t>
    </rPh>
    <rPh sb="36" eb="38">
      <t>ザイコ</t>
    </rPh>
    <rPh sb="40" eb="41">
      <t>マイ</t>
    </rPh>
    <phoneticPr fontId="2"/>
  </si>
  <si>
    <t>JODメルシー0924</t>
    <phoneticPr fontId="6"/>
  </si>
  <si>
    <t>9/24～</t>
    <phoneticPr fontId="6"/>
  </si>
  <si>
    <t>JOD①</t>
    <phoneticPr fontId="6"/>
  </si>
  <si>
    <t>JOD②</t>
    <phoneticPr fontId="6"/>
  </si>
  <si>
    <t>JOD③</t>
    <phoneticPr fontId="6"/>
  </si>
  <si>
    <t>JOD④</t>
    <phoneticPr fontId="6"/>
  </si>
  <si>
    <t>JOD⑤</t>
    <phoneticPr fontId="6"/>
  </si>
  <si>
    <t>JOD⑥</t>
    <phoneticPr fontId="6"/>
  </si>
  <si>
    <t>JOD⑦</t>
    <phoneticPr fontId="6"/>
  </si>
  <si>
    <t>JOD⑧</t>
    <phoneticPr fontId="6"/>
  </si>
  <si>
    <t>JOD⑨</t>
    <phoneticPr fontId="6"/>
  </si>
  <si>
    <t>JOD⑩</t>
    <phoneticPr fontId="6"/>
  </si>
  <si>
    <t>JOD⑪</t>
    <phoneticPr fontId="6"/>
  </si>
  <si>
    <t>JOD⑫</t>
    <phoneticPr fontId="6"/>
  </si>
  <si>
    <t>JOD⑬</t>
    <phoneticPr fontId="6"/>
  </si>
  <si>
    <t>JOD⑭</t>
    <phoneticPr fontId="6"/>
  </si>
  <si>
    <t>JOD⑮</t>
    <phoneticPr fontId="6"/>
  </si>
  <si>
    <t>JOD⑯</t>
    <phoneticPr fontId="6"/>
  </si>
  <si>
    <t>JOD⑰</t>
    <phoneticPr fontId="6"/>
  </si>
  <si>
    <t>JOD⑱</t>
    <phoneticPr fontId="6"/>
  </si>
  <si>
    <t>JOD⑲</t>
    <phoneticPr fontId="6"/>
  </si>
  <si>
    <t>JOD⑳</t>
    <phoneticPr fontId="6"/>
  </si>
  <si>
    <t>在庫</t>
    <rPh sb="0" eb="2">
      <t>ザイコ</t>
    </rPh>
    <phoneticPr fontId="2"/>
  </si>
  <si>
    <t>JODアクセス7015</t>
    <phoneticPr fontId="6"/>
  </si>
  <si>
    <t>2/18～</t>
    <phoneticPr fontId="6"/>
  </si>
  <si>
    <t>JOD㉑</t>
    <phoneticPr fontId="6"/>
  </si>
  <si>
    <t>JODメルシー0210</t>
    <phoneticPr fontId="6"/>
  </si>
  <si>
    <t>2/10～</t>
    <phoneticPr fontId="6"/>
  </si>
  <si>
    <t>なごみ4月号検品用sample</t>
    <rPh sb="4" eb="6">
      <t>ガツゴウ</t>
    </rPh>
    <rPh sb="6" eb="8">
      <t>ケンピン</t>
    </rPh>
    <rPh sb="8" eb="9">
      <t>ヨウ</t>
    </rPh>
    <phoneticPr fontId="6"/>
  </si>
  <si>
    <t>4/1～6/10</t>
    <phoneticPr fontId="6"/>
  </si>
  <si>
    <t>なごみ4月号DM</t>
    <rPh sb="4" eb="6">
      <t>ガツゴウ</t>
    </rPh>
    <phoneticPr fontId="6"/>
  </si>
  <si>
    <t>JOD㉒</t>
    <phoneticPr fontId="6"/>
  </si>
  <si>
    <t>なごみ4月号DM①</t>
    <rPh sb="4" eb="6">
      <t>ガツゴウ</t>
    </rPh>
    <phoneticPr fontId="6"/>
  </si>
  <si>
    <t>JOD㉓</t>
    <phoneticPr fontId="6"/>
  </si>
  <si>
    <t>JOD㉔</t>
    <phoneticPr fontId="6"/>
  </si>
  <si>
    <t>JOD㉕</t>
    <phoneticPr fontId="6"/>
  </si>
  <si>
    <t>JOD㉖</t>
    <phoneticPr fontId="6"/>
  </si>
  <si>
    <t>JODメルシー0507</t>
    <phoneticPr fontId="6"/>
  </si>
  <si>
    <t>5/7～</t>
    <phoneticPr fontId="6"/>
  </si>
  <si>
    <t>JOD返品</t>
    <rPh sb="3" eb="5">
      <t>ヘンピン</t>
    </rPh>
    <phoneticPr fontId="2"/>
  </si>
  <si>
    <t>JOD㉗</t>
    <phoneticPr fontId="6"/>
  </si>
  <si>
    <t>なごみ4月号DM②</t>
    <rPh sb="4" eb="6">
      <t>ガツゴウ</t>
    </rPh>
    <phoneticPr fontId="6"/>
  </si>
  <si>
    <t>なごみ4月号DM③</t>
    <rPh sb="4" eb="6">
      <t>ガツゴウ</t>
    </rPh>
    <phoneticPr fontId="6"/>
  </si>
  <si>
    <t>なごみ4月号DM④</t>
    <rPh sb="4" eb="6">
      <t>ガツゴウ</t>
    </rPh>
    <phoneticPr fontId="6"/>
  </si>
  <si>
    <t>追加</t>
    <rPh sb="0" eb="2">
      <t>ツイカ</t>
    </rPh>
    <phoneticPr fontId="6"/>
  </si>
  <si>
    <t>なごみ4月号DM⑤</t>
    <rPh sb="4" eb="6">
      <t>ガツゴウ</t>
    </rPh>
    <phoneticPr fontId="6"/>
  </si>
  <si>
    <t>なごみ4月号DM⑥-2</t>
    <rPh sb="4" eb="6">
      <t>ガツゴウ</t>
    </rPh>
    <phoneticPr fontId="6"/>
  </si>
  <si>
    <t>なごみ4月号DM⑥-1</t>
    <rPh sb="4" eb="6">
      <t>ガツゴウ</t>
    </rPh>
    <phoneticPr fontId="6"/>
  </si>
  <si>
    <t>追加</t>
    <rPh sb="0" eb="2">
      <t>ツイカ</t>
    </rPh>
    <phoneticPr fontId="6"/>
  </si>
  <si>
    <t>JODメルシー0603</t>
    <phoneticPr fontId="6"/>
  </si>
  <si>
    <t>6/3～</t>
    <phoneticPr fontId="6"/>
  </si>
  <si>
    <t>なごみ4月号DM⑦</t>
    <rPh sb="4" eb="6">
      <t>ガツゴウ</t>
    </rPh>
    <phoneticPr fontId="6"/>
  </si>
  <si>
    <t>追加</t>
    <rPh sb="0" eb="2">
      <t>ツイカ</t>
    </rPh>
    <phoneticPr fontId="6"/>
  </si>
  <si>
    <t>JOD特別号9566</t>
    <rPh sb="3" eb="6">
      <t>トクベツゴウ</t>
    </rPh>
    <phoneticPr fontId="6"/>
  </si>
  <si>
    <t>6/9～</t>
    <phoneticPr fontId="6"/>
  </si>
  <si>
    <t>JOD㉘</t>
    <phoneticPr fontId="6"/>
  </si>
  <si>
    <t>JOD㉙</t>
    <phoneticPr fontId="6"/>
  </si>
  <si>
    <t>JOD㉚</t>
    <phoneticPr fontId="6"/>
  </si>
  <si>
    <t>JOD㉛</t>
    <phoneticPr fontId="6"/>
  </si>
  <si>
    <t>追加</t>
    <rPh sb="0" eb="2">
      <t>ツイカ</t>
    </rPh>
    <phoneticPr fontId="6"/>
  </si>
  <si>
    <t>JODルフェリ9572</t>
    <phoneticPr fontId="6"/>
  </si>
  <si>
    <t>6/20～</t>
    <phoneticPr fontId="6"/>
  </si>
  <si>
    <t>JOD㉜</t>
    <phoneticPr fontId="6"/>
  </si>
  <si>
    <t>JOD㉝</t>
    <phoneticPr fontId="6"/>
  </si>
  <si>
    <t>JOD㉞</t>
    <phoneticPr fontId="6"/>
  </si>
  <si>
    <t>JOD㉟</t>
    <phoneticPr fontId="6"/>
  </si>
  <si>
    <t>JOD㊱</t>
    <phoneticPr fontId="6"/>
  </si>
  <si>
    <t>JODメルシー0704</t>
    <phoneticPr fontId="6"/>
  </si>
  <si>
    <t>7/4～</t>
    <phoneticPr fontId="6"/>
  </si>
  <si>
    <t>JOD㊲</t>
    <phoneticPr fontId="6"/>
  </si>
  <si>
    <t>JOD㊳</t>
    <phoneticPr fontId="6"/>
  </si>
  <si>
    <t>JOD㊴</t>
    <phoneticPr fontId="6"/>
  </si>
  <si>
    <t>JOD㊵</t>
    <phoneticPr fontId="6"/>
  </si>
  <si>
    <t>JOD㊶</t>
    <phoneticPr fontId="6"/>
  </si>
  <si>
    <t>JOD㊷</t>
    <phoneticPr fontId="6"/>
  </si>
  <si>
    <t>JOD㊸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</si>
</sst>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2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4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5" fillId="0" borderId="26" xfId="1" applyNumberFormat="1" applyFont="1" applyBorder="1" applyAlignment="1">
      <alignment horizontal="center" vertical="center"/>
    </xf>
    <xf numFmtId="0" fontId="5" fillId="0" borderId="1" xfId="1" applyFont="1" applyBorder="1"/>
    <xf numFmtId="0" fontId="5" fillId="0" borderId="2" xfId="1" applyFont="1" applyBorder="1"/>
    <xf numFmtId="0" fontId="5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0" xfId="1" applyBorder="1"/>
    <xf numFmtId="0" fontId="5" fillId="0" borderId="26" xfId="1" applyFont="1" applyBorder="1" applyAlignment="1">
      <alignment horizontal="center" vertical="center"/>
    </xf>
    <xf numFmtId="0" fontId="1" fillId="0" borderId="31" xfId="1" applyBorder="1"/>
    <xf numFmtId="0" fontId="7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5" xfId="1" applyBorder="1"/>
    <xf numFmtId="0" fontId="1" fillId="0" borderId="36" xfId="1" applyBorder="1"/>
    <xf numFmtId="0" fontId="1" fillId="0" borderId="3" xfId="1" applyBorder="1"/>
    <xf numFmtId="56" fontId="8" fillId="0" borderId="0" xfId="0" applyNumberFormat="1" applyFont="1">
      <alignment vertical="center"/>
    </xf>
    <xf numFmtId="0" fontId="9" fillId="0" borderId="10" xfId="1" applyFont="1" applyBorder="1" applyAlignment="1">
      <alignment horizontal="center" vertical="center"/>
    </xf>
    <xf numFmtId="0" fontId="1" fillId="0" borderId="38" xfId="1" applyBorder="1"/>
    <xf numFmtId="0" fontId="1" fillId="0" borderId="39" xfId="1" applyBorder="1"/>
    <xf numFmtId="0" fontId="1" fillId="0" borderId="40" xfId="1" applyBorder="1"/>
    <xf numFmtId="0" fontId="1" fillId="0" borderId="41" xfId="1" applyBorder="1"/>
    <xf numFmtId="0" fontId="8" fillId="0" borderId="0" xfId="0" applyFont="1">
      <alignment vertical="center"/>
    </xf>
    <xf numFmtId="0" fontId="5" fillId="0" borderId="0" xfId="1" applyFont="1"/>
    <xf numFmtId="0" fontId="1" fillId="2" borderId="22" xfId="1" applyFill="1" applyBorder="1"/>
    <xf numFmtId="0" fontId="1" fillId="2" borderId="5" xfId="1" applyFill="1" applyBorder="1"/>
    <xf numFmtId="0" fontId="1" fillId="2" borderId="10" xfId="1" applyFill="1" applyBorder="1"/>
    <xf numFmtId="0" fontId="1" fillId="2" borderId="33" xfId="1" applyFill="1" applyBorder="1"/>
    <xf numFmtId="0" fontId="5" fillId="2" borderId="11" xfId="1" applyFont="1" applyFill="1" applyBorder="1"/>
    <xf numFmtId="0" fontId="1" fillId="2" borderId="11" xfId="1" applyFill="1" applyBorder="1"/>
    <xf numFmtId="0" fontId="4" fillId="2" borderId="29" xfId="1" applyFont="1" applyFill="1" applyBorder="1"/>
    <xf numFmtId="0" fontId="1" fillId="3" borderId="15" xfId="1" applyFill="1" applyBorder="1"/>
    <xf numFmtId="0" fontId="1" fillId="3" borderId="10" xfId="1" applyFill="1" applyBorder="1"/>
    <xf numFmtId="0" fontId="1" fillId="3" borderId="24" xfId="1" applyFill="1" applyBorder="1"/>
    <xf numFmtId="0" fontId="5" fillId="3" borderId="11" xfId="1" applyFont="1" applyFill="1" applyBorder="1"/>
    <xf numFmtId="0" fontId="1" fillId="3" borderId="11" xfId="1" applyFill="1" applyBorder="1"/>
    <xf numFmtId="0" fontId="4" fillId="2" borderId="32" xfId="1" applyFont="1" applyFill="1" applyBorder="1"/>
    <xf numFmtId="0" fontId="4" fillId="2" borderId="34" xfId="1" applyFont="1" applyFill="1" applyBorder="1"/>
    <xf numFmtId="0" fontId="4" fillId="2" borderId="37" xfId="1" applyFont="1" applyFill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2" borderId="15" xfId="1" applyFont="1" applyFill="1" applyBorder="1"/>
    <xf numFmtId="0" fontId="5" fillId="3" borderId="15" xfId="1" applyFont="1" applyFill="1" applyBorder="1"/>
    <xf numFmtId="56" fontId="7" fillId="0" borderId="0" xfId="0" applyNumberFormat="1" applyFont="1">
      <alignment vertical="center"/>
    </xf>
    <xf numFmtId="0" fontId="10" fillId="0" borderId="0" xfId="1" applyFont="1"/>
    <xf numFmtId="0" fontId="1" fillId="0" borderId="0" xfId="1"/>
    <xf numFmtId="56" fontId="1" fillId="0" borderId="26" xfId="1" applyNumberFormat="1" applyBorder="1" applyAlignment="1">
      <alignment horizontal="center" vertical="center"/>
    </xf>
    <xf numFmtId="0" fontId="1" fillId="0" borderId="14" xfId="1" applyBorder="1"/>
    <xf numFmtId="0" fontId="1" fillId="2" borderId="15" xfId="1" applyFill="1" applyBorder="1"/>
    <xf numFmtId="0" fontId="1" fillId="3" borderId="5" xfId="1" applyFill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11" xfId="1" applyFont="1" applyBorder="1"/>
    <xf numFmtId="0" fontId="5" fillId="0" borderId="5" xfId="1" applyFont="1" applyBorder="1" applyAlignment="1">
      <alignment horizontal="center" vertical="center"/>
    </xf>
    <xf numFmtId="0" fontId="5" fillId="2" borderId="10" xfId="1" applyFont="1" applyFill="1" applyBorder="1"/>
    <xf numFmtId="0" fontId="5" fillId="3" borderId="5" xfId="1" applyFont="1" applyFill="1" applyBorder="1"/>
    <xf numFmtId="0" fontId="1" fillId="0" borderId="44" xfId="1" applyBorder="1"/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3" fillId="5" borderId="42" xfId="1" applyFont="1" applyFill="1" applyBorder="1" applyAlignment="1">
      <alignment horizontal="center"/>
    </xf>
    <xf numFmtId="0" fontId="3" fillId="5" borderId="43" xfId="1" applyFont="1" applyFill="1" applyBorder="1" applyAlignment="1">
      <alignment horizontal="center"/>
    </xf>
    <xf numFmtId="0" fontId="3" fillId="4" borderId="42" xfId="1" applyFont="1" applyFill="1" applyBorder="1" applyAlignment="1">
      <alignment horizontal="center"/>
    </xf>
    <xf numFmtId="0" fontId="3" fillId="4" borderId="43" xfId="1" applyFont="1" applyFill="1" applyBorder="1" applyAlignment="1">
      <alignment horizontal="center"/>
    </xf>
    <xf numFmtId="0" fontId="5" fillId="0" borderId="10" xfId="1" applyFont="1" applyBorder="1" applyAlignment="1">
      <alignment horizontal="center" vertical="center"/>
    </xf>
    <xf numFmtId="0" fontId="5" fillId="2" borderId="5" xfId="1" applyFont="1" applyFill="1" applyBorder="1"/>
    <xf numFmtId="0" fontId="5" fillId="0" borderId="9" xfId="1" applyFont="1" applyBorder="1"/>
    <xf numFmtId="0" fontId="5" fillId="3" borderId="10" xfId="1" applyFont="1" applyFill="1" applyBorder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7"/>
  <sheetViews>
    <sheetView tabSelected="1" topLeftCell="A88" zoomScaleNormal="100" workbookViewId="0">
      <selection activeCell="L112" sqref="L112"/>
    </sheetView>
  </sheetViews>
  <sheetFormatPr defaultRowHeight="13.5" x14ac:dyDescent="0.15"/>
  <cols>
    <col min="1" max="1" width="26.875" customWidth="1"/>
    <col min="2" max="10" width="7.375" customWidth="1"/>
    <col min="11" max="11" width="9.5" bestFit="1" customWidth="1"/>
    <col min="12" max="12" width="5.625" customWidth="1"/>
    <col min="13" max="13" width="32.375" customWidth="1"/>
    <col min="14" max="22" width="7.375" customWidth="1"/>
    <col min="23" max="23" width="9.25" bestFit="1" customWidth="1"/>
    <col min="24" max="24" width="5.625" customWidth="1"/>
    <col min="25" max="25" width="22.125" customWidth="1"/>
    <col min="26" max="34" width="7.5" customWidth="1"/>
  </cols>
  <sheetData>
    <row r="1" spans="1:44" ht="18" thickBot="1" x14ac:dyDescent="0.25">
      <c r="A1" s="68" t="s">
        <v>20</v>
      </c>
      <c r="B1" s="69"/>
      <c r="C1" s="69"/>
      <c r="D1" s="69"/>
      <c r="E1" s="69"/>
      <c r="F1" s="69"/>
      <c r="G1" s="69"/>
      <c r="H1" s="69"/>
      <c r="I1" s="69"/>
      <c r="J1" s="69"/>
      <c r="M1" s="68" t="s">
        <v>21</v>
      </c>
      <c r="N1" s="69"/>
      <c r="O1" s="69"/>
      <c r="P1" s="69"/>
      <c r="Q1" s="69"/>
      <c r="R1" s="69"/>
      <c r="S1" s="69"/>
      <c r="T1" s="69"/>
      <c r="U1" s="69"/>
      <c r="V1" s="69"/>
    </row>
    <row r="2" spans="1:44" ht="14.25" thickBot="1" x14ac:dyDescent="0.2">
      <c r="A2" s="4"/>
      <c r="B2" s="84" t="s">
        <v>18</v>
      </c>
      <c r="C2" s="84"/>
      <c r="D2" s="84"/>
      <c r="E2" s="85"/>
      <c r="F2" s="86" t="s">
        <v>19</v>
      </c>
      <c r="G2" s="86"/>
      <c r="H2" s="86"/>
      <c r="I2" s="87"/>
      <c r="J2" s="82" t="s">
        <v>0</v>
      </c>
      <c r="M2" s="4"/>
      <c r="N2" s="84" t="s">
        <v>18</v>
      </c>
      <c r="O2" s="84"/>
      <c r="P2" s="84"/>
      <c r="Q2" s="85"/>
      <c r="R2" s="86" t="s">
        <v>19</v>
      </c>
      <c r="S2" s="86"/>
      <c r="T2" s="86"/>
      <c r="U2" s="87"/>
      <c r="V2" s="82" t="s">
        <v>0</v>
      </c>
    </row>
    <row r="3" spans="1:44" ht="14.25" thickBot="1" x14ac:dyDescent="0.2">
      <c r="A3" s="4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1" t="s">
        <v>2</v>
      </c>
      <c r="G3" s="2" t="s">
        <v>3</v>
      </c>
      <c r="H3" s="3" t="s">
        <v>4</v>
      </c>
      <c r="I3" s="4" t="s">
        <v>5</v>
      </c>
      <c r="J3" s="83"/>
      <c r="M3" s="4" t="s">
        <v>1</v>
      </c>
      <c r="N3" s="1" t="s">
        <v>2</v>
      </c>
      <c r="O3" s="2" t="s">
        <v>3</v>
      </c>
      <c r="P3" s="3" t="s">
        <v>4</v>
      </c>
      <c r="Q3" s="4" t="s">
        <v>5</v>
      </c>
      <c r="R3" s="1" t="s">
        <v>2</v>
      </c>
      <c r="S3" s="2" t="s">
        <v>3</v>
      </c>
      <c r="T3" s="3" t="s">
        <v>4</v>
      </c>
      <c r="U3" s="4" t="s">
        <v>5</v>
      </c>
      <c r="V3" s="83"/>
    </row>
    <row r="4" spans="1:44" ht="14.25" thickBot="1" x14ac:dyDescent="0.2">
      <c r="A4" s="70" t="s">
        <v>6</v>
      </c>
      <c r="B4" s="32">
        <v>5</v>
      </c>
      <c r="C4" s="33">
        <v>5</v>
      </c>
      <c r="D4" s="71">
        <v>5</v>
      </c>
      <c r="E4" s="72">
        <f>SUM(B4:D4)</f>
        <v>15</v>
      </c>
      <c r="F4" s="32">
        <v>5</v>
      </c>
      <c r="G4" s="33">
        <v>5</v>
      </c>
      <c r="H4" s="71">
        <v>5</v>
      </c>
      <c r="I4" s="72">
        <f>SUM(F4:H4)</f>
        <v>15</v>
      </c>
      <c r="J4" s="54">
        <f>E4+I4</f>
        <v>30</v>
      </c>
      <c r="K4" s="39">
        <v>45919</v>
      </c>
      <c r="M4" s="21" t="s">
        <v>6</v>
      </c>
      <c r="N4" s="62"/>
      <c r="O4" s="63"/>
      <c r="P4" s="64"/>
      <c r="Q4" s="65">
        <f>SUM(N4:P4)</f>
        <v>0</v>
      </c>
      <c r="R4" s="62"/>
      <c r="S4" s="63"/>
      <c r="T4" s="64"/>
      <c r="U4" s="65">
        <f>SUM(R4:T4)</f>
        <v>0</v>
      </c>
      <c r="V4" s="66">
        <f>Q4+U4</f>
        <v>0</v>
      </c>
      <c r="W4" s="67"/>
    </row>
    <row r="5" spans="1:44" x14ac:dyDescent="0.15">
      <c r="A5" s="19" t="s">
        <v>7</v>
      </c>
      <c r="B5" s="32"/>
      <c r="C5" s="33">
        <v>5</v>
      </c>
      <c r="D5" s="41"/>
      <c r="E5" s="47">
        <f>SUM(B5:D5)</f>
        <v>5</v>
      </c>
      <c r="F5" s="42"/>
      <c r="G5" s="43">
        <v>5</v>
      </c>
      <c r="H5" s="44"/>
      <c r="I5" s="47">
        <f>SUM(F5:H5)</f>
        <v>5</v>
      </c>
      <c r="J5" s="54">
        <f>E5+I5</f>
        <v>10</v>
      </c>
      <c r="K5" s="39">
        <v>45932</v>
      </c>
      <c r="M5" s="19" t="s">
        <v>7</v>
      </c>
      <c r="N5" s="32"/>
      <c r="O5" s="33"/>
      <c r="P5" s="41"/>
      <c r="Q5" s="47">
        <f>SUM(N5:P5)</f>
        <v>0</v>
      </c>
      <c r="R5" s="42"/>
      <c r="S5" s="43"/>
      <c r="T5" s="44"/>
      <c r="U5" s="47">
        <f>SUM(R5:T5)</f>
        <v>0</v>
      </c>
      <c r="V5" s="54">
        <f>Q5+U5</f>
        <v>0</v>
      </c>
      <c r="W5" s="39"/>
    </row>
    <row r="6" spans="1:44" x14ac:dyDescent="0.15">
      <c r="A6" s="19" t="s">
        <v>8</v>
      </c>
      <c r="B6" s="5">
        <v>7</v>
      </c>
      <c r="C6" s="6">
        <v>5</v>
      </c>
      <c r="D6" s="14"/>
      <c r="E6" s="48">
        <f t="shared" ref="E6" si="0">SUM(B6:D6)</f>
        <v>12</v>
      </c>
      <c r="F6" s="15">
        <v>7</v>
      </c>
      <c r="G6" s="13">
        <v>5</v>
      </c>
      <c r="H6" s="14"/>
      <c r="I6" s="48">
        <f t="shared" ref="I6" si="1">SUM(F6:H6)</f>
        <v>12</v>
      </c>
      <c r="J6" s="55">
        <f t="shared" ref="J6" si="2">E6+I6</f>
        <v>24</v>
      </c>
      <c r="K6" s="39">
        <v>45933</v>
      </c>
      <c r="M6" s="19" t="s">
        <v>8</v>
      </c>
      <c r="N6" s="9"/>
      <c r="O6" s="10"/>
      <c r="P6" s="36"/>
      <c r="Q6" s="49">
        <f t="shared" ref="Q6:Q10" si="3">SUM(N6:P6)</f>
        <v>0</v>
      </c>
      <c r="R6" s="12"/>
      <c r="S6" s="10"/>
      <c r="T6" s="11"/>
      <c r="U6" s="49">
        <f t="shared" ref="U6:U10" si="4">SUM(R6:T6)</f>
        <v>0</v>
      </c>
      <c r="V6" s="55">
        <f t="shared" ref="V6:V10" si="5">Q6+U6</f>
        <v>0</v>
      </c>
    </row>
    <row r="7" spans="1:44" x14ac:dyDescent="0.15">
      <c r="A7" s="19" t="s">
        <v>9</v>
      </c>
      <c r="B7" s="5">
        <v>10</v>
      </c>
      <c r="C7" s="6">
        <v>7</v>
      </c>
      <c r="D7" s="14">
        <v>5</v>
      </c>
      <c r="E7" s="48">
        <f t="shared" ref="E7:E12" si="6">SUM(B7:D7)</f>
        <v>22</v>
      </c>
      <c r="F7" s="15">
        <v>10</v>
      </c>
      <c r="G7" s="13">
        <v>7</v>
      </c>
      <c r="H7" s="14">
        <v>5</v>
      </c>
      <c r="I7" s="48">
        <f t="shared" ref="I7:I12" si="7">SUM(F7:H7)</f>
        <v>22</v>
      </c>
      <c r="J7" s="55">
        <f t="shared" ref="J7:J12" si="8">E7+I7</f>
        <v>44</v>
      </c>
      <c r="K7" s="39">
        <v>45939</v>
      </c>
      <c r="M7" s="19" t="s">
        <v>9</v>
      </c>
      <c r="N7" s="9"/>
      <c r="O7" s="10"/>
      <c r="P7" s="36"/>
      <c r="Q7" s="49">
        <f t="shared" si="3"/>
        <v>0</v>
      </c>
      <c r="R7" s="12"/>
      <c r="S7" s="10"/>
      <c r="T7" s="11"/>
      <c r="U7" s="49">
        <f t="shared" si="4"/>
        <v>0</v>
      </c>
      <c r="V7" s="55">
        <f t="shared" si="5"/>
        <v>0</v>
      </c>
      <c r="AJ7" s="45"/>
    </row>
    <row r="8" spans="1:44" x14ac:dyDescent="0.15">
      <c r="A8" s="19" t="s">
        <v>10</v>
      </c>
      <c r="B8" s="5"/>
      <c r="C8" s="6"/>
      <c r="D8" s="14">
        <v>5</v>
      </c>
      <c r="E8" s="48">
        <f t="shared" si="6"/>
        <v>5</v>
      </c>
      <c r="F8" s="15"/>
      <c r="G8" s="13"/>
      <c r="H8" s="14">
        <v>5</v>
      </c>
      <c r="I8" s="48">
        <f t="shared" si="7"/>
        <v>5</v>
      </c>
      <c r="J8" s="55">
        <f t="shared" si="8"/>
        <v>10</v>
      </c>
      <c r="K8" s="39">
        <v>45944</v>
      </c>
      <c r="L8" s="45"/>
      <c r="M8" s="19" t="s">
        <v>10</v>
      </c>
      <c r="N8" s="9"/>
      <c r="O8" s="10"/>
      <c r="P8" s="36"/>
      <c r="Q8" s="49">
        <f t="shared" si="3"/>
        <v>0</v>
      </c>
      <c r="R8" s="12"/>
      <c r="S8" s="10"/>
      <c r="T8" s="11"/>
      <c r="U8" s="49">
        <f t="shared" si="4"/>
        <v>0</v>
      </c>
      <c r="V8" s="55">
        <f t="shared" si="5"/>
        <v>0</v>
      </c>
      <c r="AJ8" s="46"/>
      <c r="AK8" s="46"/>
      <c r="AL8" s="46"/>
      <c r="AM8" s="46"/>
      <c r="AN8" s="46"/>
      <c r="AO8" s="46"/>
      <c r="AP8" s="46"/>
      <c r="AQ8" s="46"/>
      <c r="AR8" s="46"/>
    </row>
    <row r="9" spans="1:44" x14ac:dyDescent="0.15">
      <c r="A9" s="19" t="s">
        <v>11</v>
      </c>
      <c r="B9" s="5"/>
      <c r="C9" s="6">
        <v>5</v>
      </c>
      <c r="D9" s="14"/>
      <c r="E9" s="48">
        <f t="shared" si="6"/>
        <v>5</v>
      </c>
      <c r="F9" s="15"/>
      <c r="G9" s="13">
        <v>5</v>
      </c>
      <c r="H9" s="14"/>
      <c r="I9" s="48">
        <f t="shared" si="7"/>
        <v>5</v>
      </c>
      <c r="J9" s="55">
        <f t="shared" si="8"/>
        <v>10</v>
      </c>
      <c r="K9" s="39">
        <v>45966</v>
      </c>
      <c r="L9" s="45"/>
      <c r="M9" s="19" t="s">
        <v>11</v>
      </c>
      <c r="N9" s="9"/>
      <c r="O9" s="10"/>
      <c r="P9" s="36"/>
      <c r="Q9" s="49">
        <f t="shared" si="3"/>
        <v>0</v>
      </c>
      <c r="R9" s="12"/>
      <c r="S9" s="10"/>
      <c r="T9" s="11"/>
      <c r="U9" s="49">
        <f t="shared" si="4"/>
        <v>0</v>
      </c>
      <c r="V9" s="55">
        <f t="shared" si="5"/>
        <v>0</v>
      </c>
    </row>
    <row r="10" spans="1:44" x14ac:dyDescent="0.15">
      <c r="A10" s="19" t="s">
        <v>12</v>
      </c>
      <c r="B10" s="5"/>
      <c r="C10" s="6"/>
      <c r="D10" s="14">
        <v>5</v>
      </c>
      <c r="E10" s="48">
        <f t="shared" si="6"/>
        <v>5</v>
      </c>
      <c r="F10" s="15"/>
      <c r="G10" s="13"/>
      <c r="H10" s="14">
        <v>5</v>
      </c>
      <c r="I10" s="48">
        <f t="shared" si="7"/>
        <v>5</v>
      </c>
      <c r="J10" s="55">
        <f t="shared" si="8"/>
        <v>10</v>
      </c>
      <c r="K10" s="39">
        <v>46011</v>
      </c>
      <c r="M10" s="19" t="s">
        <v>12</v>
      </c>
      <c r="N10" s="9"/>
      <c r="O10" s="10"/>
      <c r="P10" s="36"/>
      <c r="Q10" s="49">
        <f t="shared" si="3"/>
        <v>0</v>
      </c>
      <c r="R10" s="12"/>
      <c r="S10" s="10"/>
      <c r="T10" s="11"/>
      <c r="U10" s="49">
        <f t="shared" si="4"/>
        <v>0</v>
      </c>
      <c r="V10" s="55">
        <f t="shared" si="5"/>
        <v>0</v>
      </c>
    </row>
    <row r="11" spans="1:44" x14ac:dyDescent="0.15">
      <c r="A11" s="19" t="s">
        <v>13</v>
      </c>
      <c r="B11" s="5"/>
      <c r="C11" s="6"/>
      <c r="D11" s="14"/>
      <c r="E11" s="48">
        <f t="shared" si="6"/>
        <v>0</v>
      </c>
      <c r="F11" s="15"/>
      <c r="G11" s="13"/>
      <c r="H11" s="14"/>
      <c r="I11" s="48">
        <f t="shared" si="7"/>
        <v>0</v>
      </c>
      <c r="J11" s="55">
        <f t="shared" si="8"/>
        <v>0</v>
      </c>
      <c r="K11" s="39"/>
      <c r="M11" s="19" t="s">
        <v>13</v>
      </c>
      <c r="N11" s="9"/>
      <c r="O11" s="10"/>
      <c r="P11" s="36"/>
      <c r="Q11" s="49">
        <f t="shared" ref="Q11:Q12" si="9">SUM(N11:P11)</f>
        <v>0</v>
      </c>
      <c r="R11" s="12"/>
      <c r="S11" s="10"/>
      <c r="T11" s="11"/>
      <c r="U11" s="49">
        <f t="shared" ref="U11:U12" si="10">SUM(R11:T11)</f>
        <v>0</v>
      </c>
      <c r="V11" s="55">
        <f t="shared" ref="V11:V12" si="11">Q11+U11</f>
        <v>0</v>
      </c>
    </row>
    <row r="12" spans="1:44" ht="14.25" thickBot="1" x14ac:dyDescent="0.2">
      <c r="A12" s="19" t="s">
        <v>14</v>
      </c>
      <c r="B12" s="5"/>
      <c r="C12" s="6"/>
      <c r="D12" s="14"/>
      <c r="E12" s="48">
        <f t="shared" si="6"/>
        <v>0</v>
      </c>
      <c r="F12" s="15"/>
      <c r="G12" s="13"/>
      <c r="H12" s="14"/>
      <c r="I12" s="48">
        <f t="shared" si="7"/>
        <v>0</v>
      </c>
      <c r="J12" s="55">
        <f t="shared" si="8"/>
        <v>0</v>
      </c>
      <c r="K12" s="39"/>
      <c r="M12" s="19" t="s">
        <v>14</v>
      </c>
      <c r="N12" s="25"/>
      <c r="O12" s="26"/>
      <c r="P12" s="37"/>
      <c r="Q12" s="50">
        <f t="shared" si="9"/>
        <v>0</v>
      </c>
      <c r="R12" s="27"/>
      <c r="S12" s="27"/>
      <c r="T12" s="29"/>
      <c r="U12" s="50">
        <f t="shared" si="10"/>
        <v>0</v>
      </c>
      <c r="V12" s="56">
        <f t="shared" si="11"/>
        <v>0</v>
      </c>
    </row>
    <row r="13" spans="1:44" ht="14.25" thickBot="1" x14ac:dyDescent="0.2">
      <c r="A13" s="28" t="s">
        <v>15</v>
      </c>
      <c r="B13" s="22">
        <f>SUM(B4:B12)</f>
        <v>22</v>
      </c>
      <c r="C13" s="23">
        <f>SUM(C4:C12)</f>
        <v>27</v>
      </c>
      <c r="D13" s="24">
        <f>SUM(D4:D12)</f>
        <v>20</v>
      </c>
      <c r="E13" s="51">
        <f>SUM(B13:D13)</f>
        <v>69</v>
      </c>
      <c r="F13" s="22">
        <f>SUM(F4:F12)</f>
        <v>22</v>
      </c>
      <c r="G13" s="23">
        <f>SUM(G4:G12)</f>
        <v>27</v>
      </c>
      <c r="H13" s="24">
        <f>SUM(H4:H12)</f>
        <v>20</v>
      </c>
      <c r="I13" s="51">
        <f>SUM(F13:H13)</f>
        <v>69</v>
      </c>
      <c r="J13" s="57">
        <f>E13+I13</f>
        <v>138</v>
      </c>
      <c r="M13" s="28" t="s">
        <v>15</v>
      </c>
      <c r="N13" s="22">
        <f>SUM(N4:N12)</f>
        <v>0</v>
      </c>
      <c r="O13" s="23">
        <f>SUM(O4:O12)</f>
        <v>0</v>
      </c>
      <c r="P13" s="24">
        <f>SUM(P4:P12)</f>
        <v>0</v>
      </c>
      <c r="Q13" s="51">
        <f>SUM(N13:P13)</f>
        <v>0</v>
      </c>
      <c r="R13" s="22">
        <f>SUM(R4:R12)</f>
        <v>0</v>
      </c>
      <c r="S13" s="23">
        <f>SUM(S4:S12)</f>
        <v>0</v>
      </c>
      <c r="T13" s="24">
        <f>SUM(T4:T12)</f>
        <v>0</v>
      </c>
      <c r="U13" s="51">
        <f>SUM(R13:T13)</f>
        <v>0</v>
      </c>
      <c r="V13" s="57">
        <f>Q13+U13</f>
        <v>0</v>
      </c>
    </row>
    <row r="14" spans="1:44" x14ac:dyDescent="0.15">
      <c r="A14" s="18" t="s">
        <v>24</v>
      </c>
      <c r="B14" s="9">
        <v>1</v>
      </c>
      <c r="C14" s="10">
        <v>1</v>
      </c>
      <c r="D14" s="11">
        <v>1</v>
      </c>
      <c r="E14" s="48">
        <f>SUM(B14:D14)</f>
        <v>3</v>
      </c>
      <c r="F14" s="12">
        <v>1</v>
      </c>
      <c r="G14" s="10">
        <v>1</v>
      </c>
      <c r="H14" s="11">
        <v>1</v>
      </c>
      <c r="I14" s="48">
        <f>SUM(F14:H14)</f>
        <v>3</v>
      </c>
      <c r="J14" s="55">
        <f>E14+I14</f>
        <v>6</v>
      </c>
      <c r="K14" s="39">
        <v>45926</v>
      </c>
      <c r="L14" s="45"/>
      <c r="M14" s="20"/>
      <c r="N14" s="9"/>
      <c r="O14" s="10"/>
      <c r="P14" s="11"/>
      <c r="Q14" s="48">
        <f>SUM(N14:P14)</f>
        <v>0</v>
      </c>
      <c r="R14" s="12"/>
      <c r="S14" s="10"/>
      <c r="T14" s="11"/>
      <c r="U14" s="48">
        <f>SUM(R14:T14)</f>
        <v>0</v>
      </c>
      <c r="V14" s="55">
        <f>Q14+U14</f>
        <v>0</v>
      </c>
      <c r="W14" s="39"/>
    </row>
    <row r="15" spans="1:44" x14ac:dyDescent="0.15">
      <c r="A15" s="18" t="s">
        <v>25</v>
      </c>
      <c r="B15" s="5"/>
      <c r="C15" s="6">
        <v>4</v>
      </c>
      <c r="D15" s="7"/>
      <c r="E15" s="48">
        <f t="shared" ref="E15:E40" si="12">SUM(B15:D15)</f>
        <v>4</v>
      </c>
      <c r="F15" s="8"/>
      <c r="G15" s="6">
        <v>4</v>
      </c>
      <c r="H15" s="7"/>
      <c r="I15" s="48">
        <f t="shared" ref="I15:I40" si="13">SUM(F15:H15)</f>
        <v>4</v>
      </c>
      <c r="J15" s="55">
        <f t="shared" ref="J15:J34" si="14">E15+I15</f>
        <v>8</v>
      </c>
      <c r="K15" s="39">
        <v>45933</v>
      </c>
      <c r="L15" s="45"/>
      <c r="M15" s="20"/>
      <c r="N15" s="5"/>
      <c r="O15" s="6"/>
      <c r="P15" s="7"/>
      <c r="Q15" s="48">
        <f t="shared" ref="Q15:Q40" si="15">SUM(N15:P15)</f>
        <v>0</v>
      </c>
      <c r="R15" s="8"/>
      <c r="S15" s="6"/>
      <c r="T15" s="7"/>
      <c r="U15" s="48">
        <f t="shared" ref="U15:U40" si="16">SUM(R15:T15)</f>
        <v>0</v>
      </c>
      <c r="V15" s="55">
        <f t="shared" ref="V15:V28" si="17">Q15+U15</f>
        <v>0</v>
      </c>
      <c r="W15" s="39"/>
    </row>
    <row r="16" spans="1:44" x14ac:dyDescent="0.15">
      <c r="A16" s="18" t="s">
        <v>26</v>
      </c>
      <c r="B16" s="5"/>
      <c r="C16" s="6">
        <v>2</v>
      </c>
      <c r="D16" s="7"/>
      <c r="E16" s="48">
        <f t="shared" si="12"/>
        <v>2</v>
      </c>
      <c r="F16" s="8"/>
      <c r="G16" s="6">
        <v>2</v>
      </c>
      <c r="H16" s="7"/>
      <c r="I16" s="48">
        <f t="shared" si="13"/>
        <v>2</v>
      </c>
      <c r="J16" s="55">
        <f t="shared" si="14"/>
        <v>4</v>
      </c>
      <c r="K16" s="39">
        <v>45933</v>
      </c>
      <c r="L16" s="45"/>
      <c r="M16" s="20"/>
      <c r="N16" s="5"/>
      <c r="O16" s="6"/>
      <c r="P16" s="7"/>
      <c r="Q16" s="48">
        <f t="shared" si="15"/>
        <v>0</v>
      </c>
      <c r="R16" s="8"/>
      <c r="S16" s="6"/>
      <c r="T16" s="7"/>
      <c r="U16" s="48">
        <f t="shared" si="16"/>
        <v>0</v>
      </c>
      <c r="V16" s="55">
        <f t="shared" si="17"/>
        <v>0</v>
      </c>
      <c r="W16" s="39"/>
      <c r="AJ16" s="45"/>
    </row>
    <row r="17" spans="1:36" x14ac:dyDescent="0.15">
      <c r="A17" s="18" t="s">
        <v>27</v>
      </c>
      <c r="B17" s="5">
        <v>7</v>
      </c>
      <c r="C17" s="6">
        <v>4</v>
      </c>
      <c r="D17" s="7"/>
      <c r="E17" s="48">
        <f t="shared" si="12"/>
        <v>11</v>
      </c>
      <c r="F17" s="8">
        <v>7</v>
      </c>
      <c r="G17" s="6">
        <v>4</v>
      </c>
      <c r="H17" s="7"/>
      <c r="I17" s="48">
        <f t="shared" si="13"/>
        <v>11</v>
      </c>
      <c r="J17" s="55">
        <f t="shared" si="14"/>
        <v>22</v>
      </c>
      <c r="K17" s="39">
        <v>45936</v>
      </c>
      <c r="M17" s="17"/>
      <c r="N17" s="5"/>
      <c r="O17" s="6"/>
      <c r="P17" s="7"/>
      <c r="Q17" s="48">
        <f t="shared" ref="Q17:Q20" si="18">SUM(N17:P17)</f>
        <v>0</v>
      </c>
      <c r="R17" s="8"/>
      <c r="S17" s="6"/>
      <c r="T17" s="7"/>
      <c r="U17" s="48">
        <f t="shared" ref="U17:U20" si="19">SUM(R17:T17)</f>
        <v>0</v>
      </c>
      <c r="V17" s="55">
        <f t="shared" ref="V17:V20" si="20">Q17+U17</f>
        <v>0</v>
      </c>
      <c r="W17" s="39"/>
      <c r="AJ17" s="45"/>
    </row>
    <row r="18" spans="1:36" x14ac:dyDescent="0.15">
      <c r="A18" s="18" t="s">
        <v>28</v>
      </c>
      <c r="B18" s="5">
        <v>3</v>
      </c>
      <c r="C18" s="6">
        <v>2</v>
      </c>
      <c r="D18" s="7">
        <v>1</v>
      </c>
      <c r="E18" s="48">
        <f t="shared" si="12"/>
        <v>6</v>
      </c>
      <c r="F18" s="8">
        <v>3</v>
      </c>
      <c r="G18" s="6">
        <v>2</v>
      </c>
      <c r="H18" s="7">
        <v>1</v>
      </c>
      <c r="I18" s="48">
        <f t="shared" si="13"/>
        <v>6</v>
      </c>
      <c r="J18" s="55">
        <f t="shared" si="14"/>
        <v>12</v>
      </c>
      <c r="K18" s="39">
        <v>45938</v>
      </c>
      <c r="L18" s="45"/>
      <c r="M18" s="17"/>
      <c r="N18" s="5"/>
      <c r="O18" s="6"/>
      <c r="P18" s="7"/>
      <c r="Q18" s="48">
        <f t="shared" si="18"/>
        <v>0</v>
      </c>
      <c r="R18" s="8"/>
      <c r="S18" s="6"/>
      <c r="T18" s="7"/>
      <c r="U18" s="48">
        <f t="shared" si="19"/>
        <v>0</v>
      </c>
      <c r="V18" s="55">
        <f t="shared" si="20"/>
        <v>0</v>
      </c>
      <c r="W18" s="39"/>
      <c r="AJ18" s="45"/>
    </row>
    <row r="19" spans="1:36" x14ac:dyDescent="0.15">
      <c r="A19" s="18" t="s">
        <v>29</v>
      </c>
      <c r="B19" s="5">
        <v>1</v>
      </c>
      <c r="C19" s="6">
        <v>2</v>
      </c>
      <c r="D19" s="14">
        <v>2</v>
      </c>
      <c r="E19" s="48">
        <f t="shared" si="12"/>
        <v>5</v>
      </c>
      <c r="F19" s="15">
        <v>1</v>
      </c>
      <c r="G19" s="13">
        <v>2</v>
      </c>
      <c r="H19" s="14">
        <v>2</v>
      </c>
      <c r="I19" s="48">
        <f t="shared" si="13"/>
        <v>5</v>
      </c>
      <c r="J19" s="55">
        <f t="shared" si="14"/>
        <v>10</v>
      </c>
      <c r="K19" s="39">
        <v>45940</v>
      </c>
      <c r="L19" s="45"/>
      <c r="M19" s="40"/>
      <c r="N19" s="5"/>
      <c r="O19" s="6"/>
      <c r="P19" s="14"/>
      <c r="Q19" s="48">
        <f t="shared" si="18"/>
        <v>0</v>
      </c>
      <c r="R19" s="15"/>
      <c r="S19" s="13"/>
      <c r="T19" s="14"/>
      <c r="U19" s="48">
        <f t="shared" si="19"/>
        <v>0</v>
      </c>
      <c r="V19" s="55">
        <f t="shared" si="20"/>
        <v>0</v>
      </c>
      <c r="W19" s="39"/>
      <c r="X19" s="45"/>
      <c r="AJ19" s="45"/>
    </row>
    <row r="20" spans="1:36" x14ac:dyDescent="0.15">
      <c r="A20" s="18" t="s">
        <v>30</v>
      </c>
      <c r="B20" s="5">
        <v>5</v>
      </c>
      <c r="C20" s="6">
        <v>2</v>
      </c>
      <c r="D20" s="7">
        <v>3</v>
      </c>
      <c r="E20" s="48">
        <f t="shared" si="12"/>
        <v>10</v>
      </c>
      <c r="F20" s="8">
        <v>5</v>
      </c>
      <c r="G20" s="6">
        <v>2</v>
      </c>
      <c r="H20" s="7">
        <v>3</v>
      </c>
      <c r="I20" s="48">
        <f t="shared" si="13"/>
        <v>10</v>
      </c>
      <c r="J20" s="55">
        <f t="shared" si="14"/>
        <v>20</v>
      </c>
      <c r="K20" s="39">
        <v>45940</v>
      </c>
      <c r="L20" s="45"/>
      <c r="M20" s="17"/>
      <c r="N20" s="5"/>
      <c r="O20" s="6"/>
      <c r="P20" s="7"/>
      <c r="Q20" s="48">
        <f t="shared" si="18"/>
        <v>0</v>
      </c>
      <c r="R20" s="8"/>
      <c r="S20" s="6"/>
      <c r="T20" s="7"/>
      <c r="U20" s="48">
        <f t="shared" si="19"/>
        <v>0</v>
      </c>
      <c r="V20" s="55">
        <f t="shared" si="20"/>
        <v>0</v>
      </c>
      <c r="W20" s="39"/>
      <c r="X20" s="45"/>
      <c r="AJ20" s="45"/>
    </row>
    <row r="21" spans="1:36" x14ac:dyDescent="0.15">
      <c r="A21" s="18" t="s">
        <v>31</v>
      </c>
      <c r="B21" s="5"/>
      <c r="C21" s="6"/>
      <c r="D21" s="7">
        <v>5</v>
      </c>
      <c r="E21" s="48">
        <f t="shared" si="12"/>
        <v>5</v>
      </c>
      <c r="F21" s="8"/>
      <c r="G21" s="6"/>
      <c r="H21" s="7">
        <v>5</v>
      </c>
      <c r="I21" s="48">
        <f t="shared" si="13"/>
        <v>5</v>
      </c>
      <c r="J21" s="55">
        <f t="shared" si="14"/>
        <v>10</v>
      </c>
      <c r="K21" s="39">
        <v>45946</v>
      </c>
      <c r="L21" s="45"/>
      <c r="M21" s="40"/>
      <c r="N21" s="5"/>
      <c r="O21" s="6"/>
      <c r="P21" s="7"/>
      <c r="Q21" s="48">
        <f t="shared" si="15"/>
        <v>0</v>
      </c>
      <c r="R21" s="8"/>
      <c r="S21" s="6"/>
      <c r="T21" s="7"/>
      <c r="U21" s="48">
        <f t="shared" si="16"/>
        <v>0</v>
      </c>
      <c r="V21" s="55">
        <f t="shared" si="17"/>
        <v>0</v>
      </c>
      <c r="W21" s="39"/>
      <c r="AJ21" s="45"/>
    </row>
    <row r="22" spans="1:36" x14ac:dyDescent="0.15">
      <c r="A22" s="18" t="s">
        <v>32</v>
      </c>
      <c r="B22" s="5"/>
      <c r="C22" s="6"/>
      <c r="D22" s="7">
        <v>1</v>
      </c>
      <c r="E22" s="48">
        <f t="shared" si="12"/>
        <v>1</v>
      </c>
      <c r="F22" s="8"/>
      <c r="G22" s="6"/>
      <c r="H22" s="7">
        <v>1</v>
      </c>
      <c r="I22" s="48">
        <f t="shared" si="13"/>
        <v>1</v>
      </c>
      <c r="J22" s="55">
        <f t="shared" si="14"/>
        <v>2</v>
      </c>
      <c r="K22" s="39">
        <v>45952</v>
      </c>
      <c r="M22" s="17"/>
      <c r="N22" s="5"/>
      <c r="O22" s="6"/>
      <c r="P22" s="7"/>
      <c r="Q22" s="48">
        <f t="shared" si="15"/>
        <v>0</v>
      </c>
      <c r="R22" s="8"/>
      <c r="S22" s="6"/>
      <c r="T22" s="7"/>
      <c r="U22" s="48">
        <f t="shared" si="16"/>
        <v>0</v>
      </c>
      <c r="V22" s="55">
        <f t="shared" si="17"/>
        <v>0</v>
      </c>
      <c r="W22" s="39"/>
    </row>
    <row r="23" spans="1:36" x14ac:dyDescent="0.15">
      <c r="A23" s="18" t="s">
        <v>33</v>
      </c>
      <c r="B23" s="9"/>
      <c r="C23" s="10">
        <v>1</v>
      </c>
      <c r="D23" s="11"/>
      <c r="E23" s="48">
        <f t="shared" si="12"/>
        <v>1</v>
      </c>
      <c r="F23" s="12"/>
      <c r="G23" s="10">
        <v>1</v>
      </c>
      <c r="H23" s="11"/>
      <c r="I23" s="48">
        <f t="shared" si="13"/>
        <v>1</v>
      </c>
      <c r="J23" s="55">
        <f t="shared" si="14"/>
        <v>2</v>
      </c>
      <c r="K23" s="39">
        <v>45959</v>
      </c>
      <c r="M23" s="18"/>
      <c r="N23" s="9"/>
      <c r="O23" s="10"/>
      <c r="P23" s="11"/>
      <c r="Q23" s="48">
        <f t="shared" si="15"/>
        <v>0</v>
      </c>
      <c r="R23" s="12"/>
      <c r="S23" s="10"/>
      <c r="T23" s="11"/>
      <c r="U23" s="48">
        <f t="shared" si="16"/>
        <v>0</v>
      </c>
      <c r="V23" s="55">
        <f t="shared" si="17"/>
        <v>0</v>
      </c>
      <c r="W23" s="39"/>
    </row>
    <row r="24" spans="1:36" x14ac:dyDescent="0.15">
      <c r="A24" s="18" t="s">
        <v>34</v>
      </c>
      <c r="B24" s="5"/>
      <c r="C24" s="6">
        <v>1</v>
      </c>
      <c r="D24" s="7"/>
      <c r="E24" s="48">
        <f t="shared" si="12"/>
        <v>1</v>
      </c>
      <c r="F24" s="8"/>
      <c r="G24" s="6">
        <v>1</v>
      </c>
      <c r="H24" s="7"/>
      <c r="I24" s="48">
        <f t="shared" si="13"/>
        <v>1</v>
      </c>
      <c r="J24" s="55">
        <f t="shared" si="14"/>
        <v>2</v>
      </c>
      <c r="K24" s="39">
        <v>45960</v>
      </c>
      <c r="L24" s="45"/>
      <c r="M24" s="20"/>
      <c r="N24" s="5"/>
      <c r="O24" s="6"/>
      <c r="P24" s="7"/>
      <c r="Q24" s="48">
        <f>SUM(N24:P24)</f>
        <v>0</v>
      </c>
      <c r="R24" s="8"/>
      <c r="S24" s="6"/>
      <c r="T24" s="7"/>
      <c r="U24" s="48">
        <f>SUM(R24:T24)</f>
        <v>0</v>
      </c>
      <c r="V24" s="55">
        <f>Q24+U24</f>
        <v>0</v>
      </c>
      <c r="W24" s="39"/>
    </row>
    <row r="25" spans="1:36" x14ac:dyDescent="0.15">
      <c r="A25" s="18" t="s">
        <v>35</v>
      </c>
      <c r="B25" s="5"/>
      <c r="C25" s="6">
        <v>3</v>
      </c>
      <c r="D25" s="7"/>
      <c r="E25" s="48">
        <f t="shared" si="12"/>
        <v>3</v>
      </c>
      <c r="F25" s="8"/>
      <c r="G25" s="6">
        <v>3</v>
      </c>
      <c r="H25" s="7"/>
      <c r="I25" s="48">
        <f t="shared" si="13"/>
        <v>3</v>
      </c>
      <c r="J25" s="55">
        <f t="shared" si="14"/>
        <v>6</v>
      </c>
      <c r="K25" s="39">
        <v>45961</v>
      </c>
      <c r="L25" s="45"/>
      <c r="M25" s="40"/>
      <c r="N25" s="5"/>
      <c r="O25" s="6"/>
      <c r="P25" s="7"/>
      <c r="Q25" s="48">
        <f t="shared" si="15"/>
        <v>0</v>
      </c>
      <c r="R25" s="8"/>
      <c r="S25" s="6"/>
      <c r="T25" s="7"/>
      <c r="U25" s="48">
        <f t="shared" si="16"/>
        <v>0</v>
      </c>
      <c r="V25" s="55">
        <f t="shared" si="17"/>
        <v>0</v>
      </c>
      <c r="W25" s="39"/>
      <c r="X25" s="45"/>
    </row>
    <row r="26" spans="1:36" x14ac:dyDescent="0.15">
      <c r="A26" s="18" t="s">
        <v>36</v>
      </c>
      <c r="B26" s="5"/>
      <c r="C26" s="6">
        <v>1</v>
      </c>
      <c r="D26" s="7"/>
      <c r="E26" s="48">
        <f t="shared" si="12"/>
        <v>1</v>
      </c>
      <c r="F26" s="8"/>
      <c r="G26" s="6">
        <v>1</v>
      </c>
      <c r="H26" s="7"/>
      <c r="I26" s="48">
        <f t="shared" si="13"/>
        <v>1</v>
      </c>
      <c r="J26" s="55">
        <f t="shared" si="14"/>
        <v>2</v>
      </c>
      <c r="K26" s="39">
        <v>45968</v>
      </c>
      <c r="L26" s="45"/>
      <c r="M26" s="40"/>
      <c r="N26" s="5"/>
      <c r="O26" s="6"/>
      <c r="P26" s="7"/>
      <c r="Q26" s="48">
        <f t="shared" si="15"/>
        <v>0</v>
      </c>
      <c r="R26" s="8"/>
      <c r="S26" s="6"/>
      <c r="T26" s="7"/>
      <c r="U26" s="48">
        <f t="shared" si="16"/>
        <v>0</v>
      </c>
      <c r="V26" s="55">
        <f t="shared" si="17"/>
        <v>0</v>
      </c>
      <c r="W26" s="39"/>
    </row>
    <row r="27" spans="1:36" x14ac:dyDescent="0.15">
      <c r="A27" s="18" t="s">
        <v>37</v>
      </c>
      <c r="B27" s="5">
        <v>1</v>
      </c>
      <c r="C27" s="6"/>
      <c r="D27" s="7"/>
      <c r="E27" s="48">
        <f t="shared" si="12"/>
        <v>1</v>
      </c>
      <c r="F27" s="8">
        <v>1</v>
      </c>
      <c r="G27" s="6"/>
      <c r="H27" s="7"/>
      <c r="I27" s="48">
        <f t="shared" si="13"/>
        <v>1</v>
      </c>
      <c r="J27" s="55">
        <f t="shared" si="14"/>
        <v>2</v>
      </c>
      <c r="K27" s="39">
        <v>45981</v>
      </c>
      <c r="L27" s="45"/>
      <c r="M27" s="18"/>
      <c r="N27" s="5"/>
      <c r="O27" s="6"/>
      <c r="P27" s="7"/>
      <c r="Q27" s="48">
        <f t="shared" si="15"/>
        <v>0</v>
      </c>
      <c r="R27" s="8"/>
      <c r="S27" s="6"/>
      <c r="T27" s="7"/>
      <c r="U27" s="48">
        <f t="shared" si="16"/>
        <v>0</v>
      </c>
      <c r="V27" s="55">
        <f t="shared" si="17"/>
        <v>0</v>
      </c>
      <c r="W27" s="39"/>
    </row>
    <row r="28" spans="1:36" x14ac:dyDescent="0.15">
      <c r="A28" s="18" t="s">
        <v>38</v>
      </c>
      <c r="B28" s="5"/>
      <c r="C28" s="6">
        <v>1</v>
      </c>
      <c r="D28" s="7"/>
      <c r="E28" s="48">
        <f t="shared" si="12"/>
        <v>1</v>
      </c>
      <c r="F28" s="8"/>
      <c r="G28" s="6">
        <v>1</v>
      </c>
      <c r="H28" s="7"/>
      <c r="I28" s="48">
        <f t="shared" si="13"/>
        <v>1</v>
      </c>
      <c r="J28" s="55">
        <f t="shared" si="14"/>
        <v>2</v>
      </c>
      <c r="K28" s="39">
        <v>45982</v>
      </c>
      <c r="L28" s="45"/>
      <c r="M28" s="18"/>
      <c r="N28" s="5"/>
      <c r="O28" s="6"/>
      <c r="P28" s="7"/>
      <c r="Q28" s="48">
        <f t="shared" si="15"/>
        <v>0</v>
      </c>
      <c r="R28" s="8"/>
      <c r="S28" s="6"/>
      <c r="T28" s="7"/>
      <c r="U28" s="48">
        <f t="shared" si="16"/>
        <v>0</v>
      </c>
      <c r="V28" s="55">
        <f t="shared" si="17"/>
        <v>0</v>
      </c>
      <c r="W28" s="39"/>
    </row>
    <row r="29" spans="1:36" x14ac:dyDescent="0.15">
      <c r="A29" s="18" t="s">
        <v>39</v>
      </c>
      <c r="B29" s="5"/>
      <c r="C29" s="6"/>
      <c r="D29" s="7">
        <v>1</v>
      </c>
      <c r="E29" s="48">
        <f t="shared" si="12"/>
        <v>1</v>
      </c>
      <c r="F29" s="8"/>
      <c r="G29" s="6"/>
      <c r="H29" s="7">
        <v>1</v>
      </c>
      <c r="I29" s="48">
        <f t="shared" si="13"/>
        <v>1</v>
      </c>
      <c r="J29" s="55">
        <f t="shared" si="14"/>
        <v>2</v>
      </c>
      <c r="K29" s="39">
        <v>45989</v>
      </c>
      <c r="M29" s="18"/>
      <c r="N29" s="5"/>
      <c r="O29" s="6"/>
      <c r="P29" s="7"/>
      <c r="Q29" s="48">
        <f t="shared" ref="Q29:Q39" si="21">SUM(N29:P29)</f>
        <v>0</v>
      </c>
      <c r="R29" s="8"/>
      <c r="S29" s="6"/>
      <c r="T29" s="7"/>
      <c r="U29" s="48">
        <f t="shared" ref="U29:U39" si="22">SUM(R29:T29)</f>
        <v>0</v>
      </c>
      <c r="V29" s="55">
        <f t="shared" ref="V29:V39" si="23">Q29+U29</f>
        <v>0</v>
      </c>
      <c r="W29" s="39"/>
    </row>
    <row r="30" spans="1:36" x14ac:dyDescent="0.15">
      <c r="A30" s="18" t="s">
        <v>40</v>
      </c>
      <c r="B30" s="5">
        <v>1</v>
      </c>
      <c r="C30" s="6"/>
      <c r="D30" s="7"/>
      <c r="E30" s="48">
        <f t="shared" si="12"/>
        <v>1</v>
      </c>
      <c r="F30" s="8">
        <v>1</v>
      </c>
      <c r="G30" s="6"/>
      <c r="H30" s="7"/>
      <c r="I30" s="48">
        <f t="shared" si="13"/>
        <v>1</v>
      </c>
      <c r="J30" s="55">
        <f t="shared" si="14"/>
        <v>2</v>
      </c>
      <c r="K30" s="39">
        <v>46003</v>
      </c>
      <c r="L30" s="45"/>
      <c r="M30" s="18"/>
      <c r="N30" s="5"/>
      <c r="O30" s="6"/>
      <c r="P30" s="7"/>
      <c r="Q30" s="48">
        <f t="shared" si="21"/>
        <v>0</v>
      </c>
      <c r="R30" s="8"/>
      <c r="S30" s="6"/>
      <c r="T30" s="7"/>
      <c r="U30" s="48">
        <f t="shared" si="22"/>
        <v>0</v>
      </c>
      <c r="V30" s="55">
        <f t="shared" si="23"/>
        <v>0</v>
      </c>
      <c r="W30" s="39"/>
    </row>
    <row r="31" spans="1:36" x14ac:dyDescent="0.15">
      <c r="A31" s="18" t="s">
        <v>41</v>
      </c>
      <c r="B31" s="5">
        <v>1</v>
      </c>
      <c r="C31" s="6"/>
      <c r="D31" s="7"/>
      <c r="E31" s="48">
        <f t="shared" si="12"/>
        <v>1</v>
      </c>
      <c r="F31" s="8">
        <v>1</v>
      </c>
      <c r="G31" s="6"/>
      <c r="H31" s="7"/>
      <c r="I31" s="48">
        <f t="shared" si="13"/>
        <v>1</v>
      </c>
      <c r="J31" s="55">
        <f t="shared" si="14"/>
        <v>2</v>
      </c>
      <c r="K31" s="39">
        <v>46006</v>
      </c>
      <c r="L31" s="45"/>
      <c r="M31" s="18"/>
      <c r="N31" s="5"/>
      <c r="O31" s="6"/>
      <c r="P31" s="7"/>
      <c r="Q31" s="48">
        <f t="shared" si="21"/>
        <v>0</v>
      </c>
      <c r="R31" s="8"/>
      <c r="S31" s="6"/>
      <c r="T31" s="7"/>
      <c r="U31" s="48">
        <f t="shared" si="22"/>
        <v>0</v>
      </c>
      <c r="V31" s="55">
        <f t="shared" si="23"/>
        <v>0</v>
      </c>
      <c r="W31" s="39"/>
    </row>
    <row r="32" spans="1:36" x14ac:dyDescent="0.15">
      <c r="A32" s="18" t="s">
        <v>42</v>
      </c>
      <c r="B32" s="5"/>
      <c r="C32" s="6"/>
      <c r="D32" s="7">
        <v>1</v>
      </c>
      <c r="E32" s="48">
        <f t="shared" si="12"/>
        <v>1</v>
      </c>
      <c r="F32" s="8"/>
      <c r="G32" s="6"/>
      <c r="H32" s="7">
        <v>1</v>
      </c>
      <c r="I32" s="48">
        <f t="shared" si="13"/>
        <v>1</v>
      </c>
      <c r="J32" s="55">
        <f t="shared" si="14"/>
        <v>2</v>
      </c>
      <c r="K32" s="39">
        <v>46008</v>
      </c>
      <c r="L32" s="45"/>
      <c r="M32" s="18"/>
      <c r="N32" s="5"/>
      <c r="O32" s="6"/>
      <c r="P32" s="7"/>
      <c r="Q32" s="48">
        <f t="shared" si="21"/>
        <v>0</v>
      </c>
      <c r="R32" s="8"/>
      <c r="S32" s="6"/>
      <c r="T32" s="7"/>
      <c r="U32" s="48">
        <f t="shared" si="22"/>
        <v>0</v>
      </c>
      <c r="V32" s="55">
        <f t="shared" si="23"/>
        <v>0</v>
      </c>
      <c r="W32" s="39"/>
    </row>
    <row r="33" spans="1:23" x14ac:dyDescent="0.15">
      <c r="A33" s="18" t="s">
        <v>43</v>
      </c>
      <c r="B33" s="5"/>
      <c r="C33" s="6"/>
      <c r="D33" s="7">
        <v>2</v>
      </c>
      <c r="E33" s="48">
        <f t="shared" si="12"/>
        <v>2</v>
      </c>
      <c r="F33" s="8"/>
      <c r="G33" s="6"/>
      <c r="H33" s="7">
        <v>2</v>
      </c>
      <c r="I33" s="48">
        <f t="shared" si="13"/>
        <v>2</v>
      </c>
      <c r="J33" s="55">
        <f t="shared" si="14"/>
        <v>4</v>
      </c>
      <c r="K33" s="39">
        <v>46015</v>
      </c>
      <c r="L33" s="45"/>
      <c r="M33" s="18"/>
      <c r="N33" s="5"/>
      <c r="O33" s="6"/>
      <c r="P33" s="7"/>
      <c r="Q33" s="48">
        <f t="shared" si="21"/>
        <v>0</v>
      </c>
      <c r="R33" s="8"/>
      <c r="S33" s="6"/>
      <c r="T33" s="7"/>
      <c r="U33" s="48">
        <f t="shared" si="22"/>
        <v>0</v>
      </c>
      <c r="V33" s="55">
        <f t="shared" si="23"/>
        <v>0</v>
      </c>
      <c r="W33" s="39"/>
    </row>
    <row r="34" spans="1:23" x14ac:dyDescent="0.15">
      <c r="A34" s="18" t="s">
        <v>47</v>
      </c>
      <c r="B34" s="5"/>
      <c r="C34" s="6"/>
      <c r="D34" s="7">
        <v>2</v>
      </c>
      <c r="E34" s="48">
        <f t="shared" si="12"/>
        <v>2</v>
      </c>
      <c r="F34" s="8"/>
      <c r="G34" s="6"/>
      <c r="H34" s="7">
        <v>2</v>
      </c>
      <c r="I34" s="48">
        <f t="shared" si="13"/>
        <v>2</v>
      </c>
      <c r="J34" s="55">
        <f t="shared" si="14"/>
        <v>4</v>
      </c>
      <c r="K34" s="39">
        <v>46016</v>
      </c>
      <c r="M34" s="18"/>
      <c r="N34" s="5"/>
      <c r="O34" s="6"/>
      <c r="P34" s="7"/>
      <c r="Q34" s="48">
        <f t="shared" si="21"/>
        <v>0</v>
      </c>
      <c r="R34" s="8"/>
      <c r="S34" s="6"/>
      <c r="T34" s="7"/>
      <c r="U34" s="48">
        <f t="shared" si="22"/>
        <v>0</v>
      </c>
      <c r="V34" s="55">
        <f t="shared" si="23"/>
        <v>0</v>
      </c>
      <c r="W34" s="39"/>
    </row>
    <row r="35" spans="1:23" x14ac:dyDescent="0.15">
      <c r="A35" s="17" t="s">
        <v>50</v>
      </c>
      <c r="B35" s="5">
        <v>2</v>
      </c>
      <c r="C35" s="6"/>
      <c r="D35" s="7"/>
      <c r="E35" s="48">
        <f t="shared" ref="E35" si="24">SUM(B35:D35)</f>
        <v>2</v>
      </c>
      <c r="F35" s="8">
        <v>2</v>
      </c>
      <c r="G35" s="6"/>
      <c r="H35" s="7"/>
      <c r="I35" s="48">
        <f t="shared" ref="I35" si="25">SUM(F35:H35)</f>
        <v>2</v>
      </c>
      <c r="J35" s="55">
        <f t="shared" ref="J35" si="26">E35+I35</f>
        <v>4</v>
      </c>
      <c r="K35" s="39">
        <v>46051</v>
      </c>
      <c r="M35" s="18"/>
      <c r="N35" s="5"/>
      <c r="O35" s="6"/>
      <c r="P35" s="7"/>
      <c r="Q35" s="48">
        <f t="shared" si="21"/>
        <v>0</v>
      </c>
      <c r="R35" s="8"/>
      <c r="S35" s="6"/>
      <c r="T35" s="7"/>
      <c r="U35" s="48">
        <f t="shared" si="22"/>
        <v>0</v>
      </c>
      <c r="V35" s="55">
        <f t="shared" si="23"/>
        <v>0</v>
      </c>
      <c r="W35" s="39"/>
    </row>
    <row r="36" spans="1:23" x14ac:dyDescent="0.15">
      <c r="A36" s="17"/>
      <c r="B36" s="5"/>
      <c r="C36" s="6"/>
      <c r="D36" s="7"/>
      <c r="E36" s="48">
        <f t="shared" si="12"/>
        <v>0</v>
      </c>
      <c r="F36" s="8"/>
      <c r="G36" s="6"/>
      <c r="H36" s="7"/>
      <c r="I36" s="48">
        <f t="shared" si="13"/>
        <v>0</v>
      </c>
      <c r="J36" s="55">
        <f t="shared" ref="J36:J39" si="27">E36+I36</f>
        <v>0</v>
      </c>
      <c r="K36" s="39"/>
      <c r="M36" s="18"/>
      <c r="N36" s="5"/>
      <c r="O36" s="6"/>
      <c r="P36" s="7"/>
      <c r="Q36" s="48">
        <f t="shared" si="21"/>
        <v>0</v>
      </c>
      <c r="R36" s="8"/>
      <c r="S36" s="6"/>
      <c r="T36" s="7"/>
      <c r="U36" s="48">
        <f t="shared" si="22"/>
        <v>0</v>
      </c>
      <c r="V36" s="55">
        <f t="shared" si="23"/>
        <v>0</v>
      </c>
      <c r="W36" s="39"/>
    </row>
    <row r="37" spans="1:23" x14ac:dyDescent="0.15">
      <c r="A37" s="18"/>
      <c r="B37" s="5"/>
      <c r="C37" s="6"/>
      <c r="D37" s="7"/>
      <c r="E37" s="49">
        <f t="shared" si="12"/>
        <v>0</v>
      </c>
      <c r="F37" s="5"/>
      <c r="G37" s="6"/>
      <c r="H37" s="7"/>
      <c r="I37" s="49">
        <f t="shared" si="13"/>
        <v>0</v>
      </c>
      <c r="J37" s="55">
        <f t="shared" si="27"/>
        <v>0</v>
      </c>
      <c r="K37" s="39"/>
      <c r="M37" s="18"/>
      <c r="N37" s="5"/>
      <c r="O37" s="6"/>
      <c r="P37" s="7"/>
      <c r="Q37" s="48">
        <f t="shared" si="21"/>
        <v>0</v>
      </c>
      <c r="R37" s="8"/>
      <c r="S37" s="6"/>
      <c r="T37" s="7"/>
      <c r="U37" s="48">
        <f t="shared" si="22"/>
        <v>0</v>
      </c>
      <c r="V37" s="55">
        <f t="shared" si="23"/>
        <v>0</v>
      </c>
      <c r="W37" s="39"/>
    </row>
    <row r="38" spans="1:23" x14ac:dyDescent="0.15">
      <c r="A38" s="18"/>
      <c r="B38" s="5"/>
      <c r="C38" s="6"/>
      <c r="D38" s="7"/>
      <c r="E38" s="49">
        <f t="shared" si="12"/>
        <v>0</v>
      </c>
      <c r="F38" s="5"/>
      <c r="G38" s="6"/>
      <c r="H38" s="7"/>
      <c r="I38" s="49">
        <f t="shared" si="13"/>
        <v>0</v>
      </c>
      <c r="J38" s="55">
        <f t="shared" si="27"/>
        <v>0</v>
      </c>
      <c r="K38" s="39"/>
      <c r="M38" s="18"/>
      <c r="N38" s="5"/>
      <c r="O38" s="6"/>
      <c r="P38" s="7"/>
      <c r="Q38" s="48">
        <f t="shared" si="21"/>
        <v>0</v>
      </c>
      <c r="R38" s="8"/>
      <c r="S38" s="6"/>
      <c r="T38" s="7"/>
      <c r="U38" s="48">
        <f t="shared" si="22"/>
        <v>0</v>
      </c>
      <c r="V38" s="55">
        <f t="shared" si="23"/>
        <v>0</v>
      </c>
      <c r="W38" s="39"/>
    </row>
    <row r="39" spans="1:23" ht="14.25" thickBot="1" x14ac:dyDescent="0.2">
      <c r="A39" s="17" t="s">
        <v>22</v>
      </c>
      <c r="B39" s="5"/>
      <c r="C39" s="6"/>
      <c r="D39" s="7"/>
      <c r="E39" s="49">
        <f t="shared" si="12"/>
        <v>0</v>
      </c>
      <c r="F39" s="5"/>
      <c r="G39" s="6"/>
      <c r="H39" s="7"/>
      <c r="I39" s="49">
        <f t="shared" si="13"/>
        <v>0</v>
      </c>
      <c r="J39" s="73">
        <f t="shared" si="27"/>
        <v>0</v>
      </c>
      <c r="K39" s="39" t="s">
        <v>23</v>
      </c>
      <c r="M39" s="18"/>
      <c r="N39" s="5"/>
      <c r="O39" s="6"/>
      <c r="P39" s="7"/>
      <c r="Q39" s="48">
        <f t="shared" si="21"/>
        <v>0</v>
      </c>
      <c r="R39" s="8"/>
      <c r="S39" s="6"/>
      <c r="T39" s="7"/>
      <c r="U39" s="48">
        <f t="shared" si="22"/>
        <v>0</v>
      </c>
      <c r="V39" s="55">
        <f t="shared" si="23"/>
        <v>0</v>
      </c>
      <c r="W39" s="39"/>
    </row>
    <row r="40" spans="1:23" ht="14.25" thickBot="1" x14ac:dyDescent="0.2">
      <c r="A40" s="31" t="s">
        <v>17</v>
      </c>
      <c r="B40" s="34">
        <f>SUM(B14:B39)</f>
        <v>22</v>
      </c>
      <c r="C40" s="35">
        <f t="shared" ref="C40:D40" si="28">SUM(C14:C39)</f>
        <v>24</v>
      </c>
      <c r="D40" s="38">
        <f t="shared" si="28"/>
        <v>19</v>
      </c>
      <c r="E40" s="52">
        <f t="shared" si="12"/>
        <v>65</v>
      </c>
      <c r="F40" s="34">
        <f>SUM(F14:F39)</f>
        <v>22</v>
      </c>
      <c r="G40" s="35">
        <f t="shared" ref="G40:H40" si="29">SUM(G14:G39)</f>
        <v>24</v>
      </c>
      <c r="H40" s="38">
        <f t="shared" si="29"/>
        <v>19</v>
      </c>
      <c r="I40" s="52">
        <f t="shared" si="13"/>
        <v>65</v>
      </c>
      <c r="J40" s="58">
        <f>E40+I40</f>
        <v>130</v>
      </c>
      <c r="K40" s="30"/>
      <c r="M40" s="31" t="s">
        <v>17</v>
      </c>
      <c r="N40" s="34">
        <f>SUM(N14:N39)</f>
        <v>0</v>
      </c>
      <c r="O40" s="35">
        <f t="shared" ref="O40:P40" si="30">SUM(O14:O39)</f>
        <v>0</v>
      </c>
      <c r="P40" s="38">
        <f t="shared" si="30"/>
        <v>0</v>
      </c>
      <c r="Q40" s="52">
        <f t="shared" si="15"/>
        <v>0</v>
      </c>
      <c r="R40" s="34">
        <f>SUM(R14:R39)</f>
        <v>0</v>
      </c>
      <c r="S40" s="35">
        <f t="shared" ref="S40:T40" si="31">SUM(S14:S39)</f>
        <v>0</v>
      </c>
      <c r="T40" s="38">
        <f t="shared" si="31"/>
        <v>0</v>
      </c>
      <c r="U40" s="52">
        <f t="shared" si="16"/>
        <v>0</v>
      </c>
      <c r="V40" s="58">
        <f>Q40+U40</f>
        <v>0</v>
      </c>
      <c r="W40" s="30"/>
    </row>
    <row r="41" spans="1:23" ht="14.25" thickBot="1" x14ac:dyDescent="0.2">
      <c r="A41" s="16" t="s">
        <v>16</v>
      </c>
      <c r="B41" s="59">
        <f>B13-B40</f>
        <v>0</v>
      </c>
      <c r="C41" s="60">
        <f t="shared" ref="C41:D41" si="32">C13-C40</f>
        <v>3</v>
      </c>
      <c r="D41" s="61">
        <f t="shared" si="32"/>
        <v>1</v>
      </c>
      <c r="E41" s="53">
        <f>SUM(B41:D41)</f>
        <v>4</v>
      </c>
      <c r="F41" s="59">
        <f>F13-F40</f>
        <v>0</v>
      </c>
      <c r="G41" s="60">
        <f t="shared" ref="G41:H41" si="33">G13-G40</f>
        <v>3</v>
      </c>
      <c r="H41" s="61">
        <f t="shared" si="33"/>
        <v>1</v>
      </c>
      <c r="I41" s="53">
        <f>SUM(F41:H41)</f>
        <v>4</v>
      </c>
      <c r="J41" s="57">
        <f>E41+I41</f>
        <v>8</v>
      </c>
      <c r="M41" s="16" t="s">
        <v>16</v>
      </c>
      <c r="N41" s="59">
        <f>N13-N40</f>
        <v>0</v>
      </c>
      <c r="O41" s="60">
        <f t="shared" ref="O41:P41" si="34">O13-O40</f>
        <v>0</v>
      </c>
      <c r="P41" s="61">
        <f t="shared" si="34"/>
        <v>0</v>
      </c>
      <c r="Q41" s="53">
        <f>SUM(N41:P41)</f>
        <v>0</v>
      </c>
      <c r="R41" s="59">
        <f>R13-R40</f>
        <v>0</v>
      </c>
      <c r="S41" s="60">
        <f t="shared" ref="S41:T41" si="35">S13-S40</f>
        <v>0</v>
      </c>
      <c r="T41" s="61">
        <f t="shared" si="35"/>
        <v>0</v>
      </c>
      <c r="U41" s="53">
        <f>SUM(R41:T41)</f>
        <v>0</v>
      </c>
      <c r="V41" s="57">
        <f>Q41+U41</f>
        <v>0</v>
      </c>
    </row>
    <row r="44" spans="1:23" ht="18" thickBot="1" x14ac:dyDescent="0.25">
      <c r="A44" s="68" t="s">
        <v>20</v>
      </c>
      <c r="B44" s="69"/>
      <c r="C44" s="69"/>
      <c r="D44" s="69"/>
      <c r="E44" s="69"/>
      <c r="F44" s="69"/>
      <c r="G44" s="69"/>
      <c r="H44" s="69"/>
      <c r="I44" s="69"/>
      <c r="J44" s="69"/>
      <c r="M44" s="68" t="s">
        <v>21</v>
      </c>
      <c r="N44" s="69"/>
      <c r="O44" s="69"/>
      <c r="P44" s="69"/>
      <c r="Q44" s="69"/>
      <c r="R44" s="69"/>
      <c r="S44" s="69"/>
      <c r="T44" s="69"/>
      <c r="U44" s="69"/>
      <c r="V44" s="69"/>
    </row>
    <row r="45" spans="1:23" ht="14.25" thickBot="1" x14ac:dyDescent="0.2">
      <c r="A45" s="4"/>
      <c r="B45" s="84" t="s">
        <v>18</v>
      </c>
      <c r="C45" s="84"/>
      <c r="D45" s="84"/>
      <c r="E45" s="85"/>
      <c r="F45" s="86" t="s">
        <v>19</v>
      </c>
      <c r="G45" s="86"/>
      <c r="H45" s="86"/>
      <c r="I45" s="87"/>
      <c r="J45" s="82" t="s">
        <v>0</v>
      </c>
      <c r="M45" s="4"/>
      <c r="N45" s="84" t="s">
        <v>18</v>
      </c>
      <c r="O45" s="84"/>
      <c r="P45" s="84"/>
      <c r="Q45" s="85"/>
      <c r="R45" s="86" t="s">
        <v>19</v>
      </c>
      <c r="S45" s="86"/>
      <c r="T45" s="86"/>
      <c r="U45" s="87"/>
      <c r="V45" s="82" t="s">
        <v>0</v>
      </c>
    </row>
    <row r="46" spans="1:23" ht="14.25" thickBot="1" x14ac:dyDescent="0.2">
      <c r="A46" s="4" t="s">
        <v>1</v>
      </c>
      <c r="B46" s="1" t="s">
        <v>2</v>
      </c>
      <c r="C46" s="2" t="s">
        <v>3</v>
      </c>
      <c r="D46" s="3" t="s">
        <v>4</v>
      </c>
      <c r="E46" s="4" t="s">
        <v>5</v>
      </c>
      <c r="F46" s="1" t="s">
        <v>2</v>
      </c>
      <c r="G46" s="2" t="s">
        <v>3</v>
      </c>
      <c r="H46" s="3" t="s">
        <v>4</v>
      </c>
      <c r="I46" s="4" t="s">
        <v>5</v>
      </c>
      <c r="J46" s="83"/>
      <c r="M46" s="4" t="s">
        <v>1</v>
      </c>
      <c r="N46" s="1" t="s">
        <v>2</v>
      </c>
      <c r="O46" s="2" t="s">
        <v>3</v>
      </c>
      <c r="P46" s="3" t="s">
        <v>4</v>
      </c>
      <c r="Q46" s="4" t="s">
        <v>5</v>
      </c>
      <c r="R46" s="1" t="s">
        <v>2</v>
      </c>
      <c r="S46" s="2" t="s">
        <v>3</v>
      </c>
      <c r="T46" s="3" t="s">
        <v>4</v>
      </c>
      <c r="U46" s="4" t="s">
        <v>5</v>
      </c>
      <c r="V46" s="83"/>
    </row>
    <row r="47" spans="1:23" ht="14.25" thickBot="1" x14ac:dyDescent="0.2">
      <c r="A47" s="21" t="s">
        <v>44</v>
      </c>
      <c r="B47" s="22">
        <f>B41</f>
        <v>0</v>
      </c>
      <c r="C47" s="22">
        <f t="shared" ref="C47:J47" si="36">C41</f>
        <v>3</v>
      </c>
      <c r="D47" s="22">
        <f t="shared" si="36"/>
        <v>1</v>
      </c>
      <c r="E47" s="22">
        <f t="shared" si="36"/>
        <v>4</v>
      </c>
      <c r="F47" s="22">
        <f t="shared" si="36"/>
        <v>0</v>
      </c>
      <c r="G47" s="22">
        <f t="shared" si="36"/>
        <v>3</v>
      </c>
      <c r="H47" s="22">
        <f t="shared" si="36"/>
        <v>1</v>
      </c>
      <c r="I47" s="22">
        <f t="shared" si="36"/>
        <v>4</v>
      </c>
      <c r="J47" s="77">
        <f t="shared" si="36"/>
        <v>8</v>
      </c>
      <c r="K47" s="67"/>
      <c r="M47" s="21" t="s">
        <v>44</v>
      </c>
      <c r="N47" s="62">
        <f>N41</f>
        <v>0</v>
      </c>
      <c r="O47" s="62">
        <f t="shared" ref="O47:V47" si="37">O41</f>
        <v>0</v>
      </c>
      <c r="P47" s="62">
        <f t="shared" si="37"/>
        <v>0</v>
      </c>
      <c r="Q47" s="62">
        <f t="shared" si="37"/>
        <v>0</v>
      </c>
      <c r="R47" s="62">
        <f t="shared" si="37"/>
        <v>0</v>
      </c>
      <c r="S47" s="62">
        <f t="shared" si="37"/>
        <v>0</v>
      </c>
      <c r="T47" s="62">
        <f t="shared" si="37"/>
        <v>0</v>
      </c>
      <c r="U47" s="62">
        <f t="shared" si="37"/>
        <v>0</v>
      </c>
      <c r="V47" s="77">
        <f t="shared" si="37"/>
        <v>0</v>
      </c>
    </row>
    <row r="48" spans="1:23" x14ac:dyDescent="0.15">
      <c r="A48" s="19" t="s">
        <v>7</v>
      </c>
      <c r="B48" s="81">
        <v>3</v>
      </c>
      <c r="C48" s="13">
        <v>3</v>
      </c>
      <c r="D48" s="14">
        <v>3</v>
      </c>
      <c r="E48" s="48">
        <f t="shared" ref="E48:E53" si="38">SUM(B48:D48)</f>
        <v>9</v>
      </c>
      <c r="F48" s="15">
        <v>3</v>
      </c>
      <c r="G48" s="13">
        <v>3</v>
      </c>
      <c r="H48" s="14">
        <v>3</v>
      </c>
      <c r="I48" s="48">
        <f t="shared" ref="I48:I53" si="39">SUM(F48:H48)</f>
        <v>9</v>
      </c>
      <c r="J48" s="73">
        <f t="shared" ref="J48:J53" si="40">E48+I48</f>
        <v>18</v>
      </c>
      <c r="K48" s="39">
        <v>46056</v>
      </c>
      <c r="M48" s="19" t="s">
        <v>7</v>
      </c>
      <c r="N48" s="32"/>
      <c r="O48" s="33"/>
      <c r="P48" s="41"/>
      <c r="Q48" s="47">
        <f>SUM(N48:P48)</f>
        <v>0</v>
      </c>
      <c r="R48" s="42"/>
      <c r="S48" s="43"/>
      <c r="T48" s="44"/>
      <c r="U48" s="47">
        <f>SUM(R48:T48)</f>
        <v>0</v>
      </c>
      <c r="V48" s="54">
        <f>Q48+U48</f>
        <v>0</v>
      </c>
    </row>
    <row r="49" spans="1:22" x14ac:dyDescent="0.15">
      <c r="A49" s="19" t="s">
        <v>8</v>
      </c>
      <c r="B49" s="5"/>
      <c r="C49" s="6"/>
      <c r="D49" s="14"/>
      <c r="E49" s="48">
        <f t="shared" si="38"/>
        <v>0</v>
      </c>
      <c r="F49" s="15"/>
      <c r="G49" s="13"/>
      <c r="H49" s="14"/>
      <c r="I49" s="48">
        <f t="shared" si="39"/>
        <v>0</v>
      </c>
      <c r="J49" s="55">
        <f t="shared" si="40"/>
        <v>0</v>
      </c>
      <c r="K49" s="39"/>
      <c r="L49" s="45"/>
      <c r="M49" s="19" t="s">
        <v>8</v>
      </c>
      <c r="N49" s="9"/>
      <c r="O49" s="10"/>
      <c r="P49" s="36"/>
      <c r="Q49" s="49">
        <f t="shared" ref="Q49:Q55" si="41">SUM(N49:P49)</f>
        <v>0</v>
      </c>
      <c r="R49" s="12"/>
      <c r="S49" s="10"/>
      <c r="T49" s="11"/>
      <c r="U49" s="49">
        <f t="shared" ref="U49:U55" si="42">SUM(R49:T49)</f>
        <v>0</v>
      </c>
      <c r="V49" s="55">
        <f t="shared" ref="V49:V55" si="43">Q49+U49</f>
        <v>0</v>
      </c>
    </row>
    <row r="50" spans="1:22" x14ac:dyDescent="0.15">
      <c r="A50" s="19" t="s">
        <v>9</v>
      </c>
      <c r="B50" s="5">
        <v>10</v>
      </c>
      <c r="C50" s="6">
        <v>10</v>
      </c>
      <c r="D50" s="14">
        <v>5</v>
      </c>
      <c r="E50" s="48">
        <f t="shared" si="38"/>
        <v>25</v>
      </c>
      <c r="F50" s="15">
        <v>10</v>
      </c>
      <c r="G50" s="13">
        <v>10</v>
      </c>
      <c r="H50" s="14">
        <v>5</v>
      </c>
      <c r="I50" s="48">
        <f t="shared" si="39"/>
        <v>25</v>
      </c>
      <c r="J50" s="55">
        <f t="shared" si="40"/>
        <v>50</v>
      </c>
      <c r="K50" s="39">
        <v>46066</v>
      </c>
      <c r="L50" s="45"/>
      <c r="M50" s="19" t="s">
        <v>9</v>
      </c>
      <c r="N50" s="9"/>
      <c r="O50" s="10"/>
      <c r="P50" s="36"/>
      <c r="Q50" s="49">
        <f t="shared" si="41"/>
        <v>0</v>
      </c>
      <c r="R50" s="12"/>
      <c r="S50" s="10"/>
      <c r="T50" s="11"/>
      <c r="U50" s="49">
        <f t="shared" si="42"/>
        <v>0</v>
      </c>
      <c r="V50" s="55">
        <f t="shared" si="43"/>
        <v>0</v>
      </c>
    </row>
    <row r="51" spans="1:22" x14ac:dyDescent="0.15">
      <c r="A51" s="19" t="s">
        <v>10</v>
      </c>
      <c r="B51" s="5">
        <v>5</v>
      </c>
      <c r="C51" s="6">
        <v>5</v>
      </c>
      <c r="D51" s="14">
        <v>5</v>
      </c>
      <c r="E51" s="48">
        <f t="shared" si="38"/>
        <v>15</v>
      </c>
      <c r="F51" s="15">
        <v>5</v>
      </c>
      <c r="G51" s="13">
        <v>5</v>
      </c>
      <c r="H51" s="14">
        <v>5</v>
      </c>
      <c r="I51" s="48">
        <f t="shared" si="39"/>
        <v>15</v>
      </c>
      <c r="J51" s="55">
        <f t="shared" si="40"/>
        <v>30</v>
      </c>
      <c r="K51" s="39">
        <v>46077</v>
      </c>
      <c r="L51" s="45"/>
      <c r="M51" s="19" t="s">
        <v>10</v>
      </c>
      <c r="N51" s="9"/>
      <c r="O51" s="10"/>
      <c r="P51" s="36"/>
      <c r="Q51" s="49">
        <f t="shared" si="41"/>
        <v>0</v>
      </c>
      <c r="R51" s="12"/>
      <c r="S51" s="10"/>
      <c r="T51" s="11"/>
      <c r="U51" s="49">
        <f t="shared" si="42"/>
        <v>0</v>
      </c>
      <c r="V51" s="55">
        <f t="shared" si="43"/>
        <v>0</v>
      </c>
    </row>
    <row r="52" spans="1:22" x14ac:dyDescent="0.15">
      <c r="A52" s="19" t="s">
        <v>11</v>
      </c>
      <c r="B52" s="5"/>
      <c r="C52" s="6"/>
      <c r="D52" s="14"/>
      <c r="E52" s="48">
        <f t="shared" si="38"/>
        <v>0</v>
      </c>
      <c r="F52" s="15"/>
      <c r="G52" s="13"/>
      <c r="H52" s="14"/>
      <c r="I52" s="48">
        <f t="shared" si="39"/>
        <v>0</v>
      </c>
      <c r="J52" s="55">
        <f t="shared" si="40"/>
        <v>0</v>
      </c>
      <c r="K52" s="39"/>
      <c r="L52" s="45"/>
      <c r="M52" s="19" t="s">
        <v>11</v>
      </c>
      <c r="N52" s="9"/>
      <c r="O52" s="10"/>
      <c r="P52" s="36"/>
      <c r="Q52" s="49">
        <f t="shared" si="41"/>
        <v>0</v>
      </c>
      <c r="R52" s="12"/>
      <c r="S52" s="10"/>
      <c r="T52" s="11"/>
      <c r="U52" s="49">
        <f t="shared" si="42"/>
        <v>0</v>
      </c>
      <c r="V52" s="55">
        <f t="shared" si="43"/>
        <v>0</v>
      </c>
    </row>
    <row r="53" spans="1:22" x14ac:dyDescent="0.15">
      <c r="A53" s="19" t="s">
        <v>12</v>
      </c>
      <c r="B53" s="5">
        <v>20</v>
      </c>
      <c r="C53" s="6">
        <v>20</v>
      </c>
      <c r="D53" s="14">
        <v>20</v>
      </c>
      <c r="E53" s="48">
        <f t="shared" si="38"/>
        <v>60</v>
      </c>
      <c r="F53" s="15">
        <v>20</v>
      </c>
      <c r="G53" s="13">
        <v>20</v>
      </c>
      <c r="H53" s="14">
        <v>20</v>
      </c>
      <c r="I53" s="48">
        <f t="shared" si="39"/>
        <v>60</v>
      </c>
      <c r="J53" s="55">
        <f t="shared" si="40"/>
        <v>120</v>
      </c>
      <c r="K53" s="39">
        <v>46104</v>
      </c>
      <c r="M53" s="19" t="s">
        <v>12</v>
      </c>
      <c r="N53" s="9"/>
      <c r="O53" s="10"/>
      <c r="P53" s="36"/>
      <c r="Q53" s="49">
        <f t="shared" si="41"/>
        <v>0</v>
      </c>
      <c r="R53" s="12"/>
      <c r="S53" s="10"/>
      <c r="T53" s="11"/>
      <c r="U53" s="49">
        <f t="shared" si="42"/>
        <v>0</v>
      </c>
      <c r="V53" s="55">
        <f t="shared" si="43"/>
        <v>0</v>
      </c>
    </row>
    <row r="54" spans="1:22" x14ac:dyDescent="0.15">
      <c r="A54" s="19" t="s">
        <v>61</v>
      </c>
      <c r="B54" s="5"/>
      <c r="C54" s="6">
        <v>1</v>
      </c>
      <c r="D54" s="14"/>
      <c r="E54" s="48">
        <f t="shared" ref="E54:E55" si="44">SUM(B54:D54)</f>
        <v>1</v>
      </c>
      <c r="F54" s="15"/>
      <c r="G54" s="13">
        <v>1</v>
      </c>
      <c r="H54" s="14"/>
      <c r="I54" s="48">
        <f t="shared" ref="I54:I55" si="45">SUM(F54:H54)</f>
        <v>1</v>
      </c>
      <c r="J54" s="55">
        <f t="shared" ref="J54:J55" si="46">E54+I54</f>
        <v>2</v>
      </c>
      <c r="K54" s="39">
        <v>46105</v>
      </c>
      <c r="M54" s="19" t="s">
        <v>13</v>
      </c>
      <c r="N54" s="9"/>
      <c r="O54" s="10"/>
      <c r="P54" s="36"/>
      <c r="Q54" s="49">
        <f t="shared" si="41"/>
        <v>0</v>
      </c>
      <c r="R54" s="12"/>
      <c r="S54" s="10"/>
      <c r="T54" s="11"/>
      <c r="U54" s="49">
        <f t="shared" si="42"/>
        <v>0</v>
      </c>
      <c r="V54" s="55">
        <f t="shared" si="43"/>
        <v>0</v>
      </c>
    </row>
    <row r="55" spans="1:22" ht="14.25" thickBot="1" x14ac:dyDescent="0.2">
      <c r="A55" s="19" t="s">
        <v>14</v>
      </c>
      <c r="B55" s="5">
        <v>4</v>
      </c>
      <c r="C55" s="6">
        <v>10</v>
      </c>
      <c r="D55" s="14"/>
      <c r="E55" s="48">
        <f t="shared" si="44"/>
        <v>14</v>
      </c>
      <c r="F55" s="15">
        <v>4</v>
      </c>
      <c r="G55" s="13">
        <v>10</v>
      </c>
      <c r="H55" s="14"/>
      <c r="I55" s="48">
        <f t="shared" si="45"/>
        <v>14</v>
      </c>
      <c r="J55" s="55">
        <f t="shared" si="46"/>
        <v>28</v>
      </c>
      <c r="K55" s="39">
        <v>46120</v>
      </c>
      <c r="M55" s="19" t="s">
        <v>14</v>
      </c>
      <c r="N55" s="25"/>
      <c r="O55" s="26"/>
      <c r="P55" s="37"/>
      <c r="Q55" s="50">
        <f t="shared" si="41"/>
        <v>0</v>
      </c>
      <c r="R55" s="27"/>
      <c r="S55" s="27"/>
      <c r="T55" s="29"/>
      <c r="U55" s="50">
        <f t="shared" si="42"/>
        <v>0</v>
      </c>
      <c r="V55" s="56">
        <f t="shared" si="43"/>
        <v>0</v>
      </c>
    </row>
    <row r="56" spans="1:22" ht="14.25" thickBot="1" x14ac:dyDescent="0.2">
      <c r="A56" s="28" t="s">
        <v>15</v>
      </c>
      <c r="B56" s="22">
        <f>SUM(B47:B55)</f>
        <v>42</v>
      </c>
      <c r="C56" s="23">
        <f>SUM(C47:C55)</f>
        <v>52</v>
      </c>
      <c r="D56" s="24">
        <f>SUM(D47:D55)</f>
        <v>34</v>
      </c>
      <c r="E56" s="51">
        <f>SUM(B56:D56)</f>
        <v>128</v>
      </c>
      <c r="F56" s="22">
        <f>SUM(F47:F55)</f>
        <v>42</v>
      </c>
      <c r="G56" s="23">
        <f>SUM(G47:G55)</f>
        <v>52</v>
      </c>
      <c r="H56" s="24">
        <f>SUM(H47:H55)</f>
        <v>34</v>
      </c>
      <c r="I56" s="51">
        <f>SUM(F56:H56)</f>
        <v>128</v>
      </c>
      <c r="J56" s="57">
        <f>E56+I56</f>
        <v>256</v>
      </c>
      <c r="M56" s="28" t="s">
        <v>15</v>
      </c>
      <c r="N56" s="22">
        <f>SUM(N47:N55)</f>
        <v>0</v>
      </c>
      <c r="O56" s="23">
        <f>SUM(O47:O55)</f>
        <v>0</v>
      </c>
      <c r="P56" s="24">
        <f>SUM(P47:P55)</f>
        <v>0</v>
      </c>
      <c r="Q56" s="51">
        <f>SUM(N56:P56)</f>
        <v>0</v>
      </c>
      <c r="R56" s="22">
        <f>SUM(R47:R55)</f>
        <v>0</v>
      </c>
      <c r="S56" s="23">
        <f>SUM(S47:S55)</f>
        <v>0</v>
      </c>
      <c r="T56" s="24">
        <f>SUM(T47:T55)</f>
        <v>0</v>
      </c>
      <c r="U56" s="51">
        <f>SUM(R56:T56)</f>
        <v>0</v>
      </c>
      <c r="V56" s="57">
        <f>Q56+U56</f>
        <v>0</v>
      </c>
    </row>
    <row r="57" spans="1:22" x14ac:dyDescent="0.15">
      <c r="A57" s="18" t="s">
        <v>53</v>
      </c>
      <c r="B57" s="5">
        <v>5</v>
      </c>
      <c r="C57" s="6">
        <v>7</v>
      </c>
      <c r="D57" s="7">
        <v>5</v>
      </c>
      <c r="E57" s="48">
        <f t="shared" ref="E57:E76" si="47">SUM(B57:D57)</f>
        <v>17</v>
      </c>
      <c r="F57" s="8">
        <v>5</v>
      </c>
      <c r="G57" s="6">
        <v>7</v>
      </c>
      <c r="H57" s="7">
        <v>5</v>
      </c>
      <c r="I57" s="48">
        <f t="shared" ref="I57:I76" si="48">SUM(F57:H57)</f>
        <v>17</v>
      </c>
      <c r="J57" s="55">
        <f t="shared" ref="J57:J76" si="49">E57+I57</f>
        <v>34</v>
      </c>
      <c r="K57" s="39">
        <v>46069</v>
      </c>
      <c r="L57" s="45"/>
      <c r="M57" s="20"/>
      <c r="N57" s="9"/>
      <c r="O57" s="10"/>
      <c r="P57" s="11"/>
      <c r="Q57" s="48">
        <f>SUM(N57:P57)</f>
        <v>0</v>
      </c>
      <c r="R57" s="12"/>
      <c r="S57" s="10"/>
      <c r="T57" s="11"/>
      <c r="U57" s="48">
        <f>SUM(R57:T57)</f>
        <v>0</v>
      </c>
      <c r="V57" s="55">
        <f>Q57+U57</f>
        <v>0</v>
      </c>
    </row>
    <row r="58" spans="1:22" x14ac:dyDescent="0.15">
      <c r="A58" s="17" t="s">
        <v>54</v>
      </c>
      <c r="B58" s="5">
        <v>15</v>
      </c>
      <c r="C58" s="6">
        <v>15</v>
      </c>
      <c r="D58" s="7">
        <v>15</v>
      </c>
      <c r="E58" s="48">
        <f t="shared" si="47"/>
        <v>45</v>
      </c>
      <c r="F58" s="8">
        <v>15</v>
      </c>
      <c r="G58" s="6">
        <v>15</v>
      </c>
      <c r="H58" s="7">
        <v>15</v>
      </c>
      <c r="I58" s="48">
        <f t="shared" si="48"/>
        <v>45</v>
      </c>
      <c r="J58" s="55">
        <f t="shared" si="49"/>
        <v>90</v>
      </c>
      <c r="K58" s="39">
        <v>46106</v>
      </c>
      <c r="L58" s="45"/>
      <c r="M58" s="20"/>
      <c r="N58" s="5"/>
      <c r="O58" s="6"/>
      <c r="P58" s="7"/>
      <c r="Q58" s="48">
        <f t="shared" ref="Q58:Q66" si="50">SUM(N58:P58)</f>
        <v>0</v>
      </c>
      <c r="R58" s="8"/>
      <c r="S58" s="6"/>
      <c r="T58" s="7"/>
      <c r="U58" s="48">
        <f t="shared" ref="U58:U66" si="51">SUM(R58:T58)</f>
        <v>0</v>
      </c>
      <c r="V58" s="55">
        <f t="shared" ref="V58:V66" si="52">Q58+U58</f>
        <v>0</v>
      </c>
    </row>
    <row r="59" spans="1:22" x14ac:dyDescent="0.15">
      <c r="A59" s="18" t="s">
        <v>55</v>
      </c>
      <c r="B59" s="5"/>
      <c r="C59" s="6">
        <v>1</v>
      </c>
      <c r="D59" s="7"/>
      <c r="E59" s="48">
        <f t="shared" si="47"/>
        <v>1</v>
      </c>
      <c r="F59" s="8"/>
      <c r="G59" s="6">
        <v>1</v>
      </c>
      <c r="H59" s="7"/>
      <c r="I59" s="48">
        <f t="shared" si="48"/>
        <v>1</v>
      </c>
      <c r="J59" s="55">
        <f t="shared" si="49"/>
        <v>2</v>
      </c>
      <c r="K59" s="39">
        <v>46073</v>
      </c>
      <c r="L59" s="45"/>
      <c r="M59" s="20"/>
      <c r="N59" s="5"/>
      <c r="O59" s="6"/>
      <c r="P59" s="7"/>
      <c r="Q59" s="48">
        <f t="shared" si="50"/>
        <v>0</v>
      </c>
      <c r="R59" s="8"/>
      <c r="S59" s="6"/>
      <c r="T59" s="7"/>
      <c r="U59" s="48">
        <f t="shared" si="51"/>
        <v>0</v>
      </c>
      <c r="V59" s="55">
        <f t="shared" si="52"/>
        <v>0</v>
      </c>
    </row>
    <row r="60" spans="1:22" x14ac:dyDescent="0.15">
      <c r="A60" s="18" t="s">
        <v>56</v>
      </c>
      <c r="B60" s="5">
        <v>1</v>
      </c>
      <c r="C60" s="6"/>
      <c r="D60" s="7"/>
      <c r="E60" s="48">
        <f t="shared" si="47"/>
        <v>1</v>
      </c>
      <c r="F60" s="8">
        <v>1</v>
      </c>
      <c r="G60" s="6"/>
      <c r="H60" s="7"/>
      <c r="I60" s="48">
        <f t="shared" si="48"/>
        <v>1</v>
      </c>
      <c r="J60" s="55">
        <f t="shared" si="49"/>
        <v>2</v>
      </c>
      <c r="K60" s="39">
        <v>46073</v>
      </c>
      <c r="M60" s="17"/>
      <c r="N60" s="5"/>
      <c r="O60" s="6"/>
      <c r="P60" s="7"/>
      <c r="Q60" s="48">
        <f t="shared" si="50"/>
        <v>0</v>
      </c>
      <c r="R60" s="8"/>
      <c r="S60" s="6"/>
      <c r="T60" s="7"/>
      <c r="U60" s="48">
        <f t="shared" si="51"/>
        <v>0</v>
      </c>
      <c r="V60" s="55">
        <f t="shared" si="52"/>
        <v>0</v>
      </c>
    </row>
    <row r="61" spans="1:22" x14ac:dyDescent="0.15">
      <c r="A61" s="18" t="s">
        <v>57</v>
      </c>
      <c r="B61" s="5">
        <v>4</v>
      </c>
      <c r="C61" s="6">
        <v>6</v>
      </c>
      <c r="D61" s="7">
        <v>4</v>
      </c>
      <c r="E61" s="48">
        <f t="shared" si="47"/>
        <v>14</v>
      </c>
      <c r="F61" s="8">
        <v>4</v>
      </c>
      <c r="G61" s="6">
        <v>6</v>
      </c>
      <c r="H61" s="7">
        <v>4</v>
      </c>
      <c r="I61" s="48">
        <f t="shared" si="48"/>
        <v>14</v>
      </c>
      <c r="J61" s="55">
        <f t="shared" si="49"/>
        <v>28</v>
      </c>
      <c r="K61" s="39">
        <v>46077</v>
      </c>
      <c r="L61" s="45"/>
      <c r="M61" s="17"/>
      <c r="N61" s="5"/>
      <c r="O61" s="6"/>
      <c r="P61" s="7"/>
      <c r="Q61" s="48">
        <f t="shared" si="50"/>
        <v>0</v>
      </c>
      <c r="R61" s="8"/>
      <c r="S61" s="6"/>
      <c r="T61" s="7"/>
      <c r="U61" s="48">
        <f t="shared" si="51"/>
        <v>0</v>
      </c>
      <c r="V61" s="55">
        <f t="shared" si="52"/>
        <v>0</v>
      </c>
    </row>
    <row r="62" spans="1:22" x14ac:dyDescent="0.15">
      <c r="A62" s="18" t="s">
        <v>58</v>
      </c>
      <c r="B62" s="5">
        <v>2</v>
      </c>
      <c r="C62" s="6"/>
      <c r="D62" s="7"/>
      <c r="E62" s="48">
        <f t="shared" si="47"/>
        <v>2</v>
      </c>
      <c r="F62" s="8">
        <v>2</v>
      </c>
      <c r="G62" s="6"/>
      <c r="H62" s="7"/>
      <c r="I62" s="48">
        <f t="shared" si="48"/>
        <v>2</v>
      </c>
      <c r="J62" s="55">
        <f t="shared" si="49"/>
        <v>4</v>
      </c>
      <c r="K62" s="39">
        <v>46094</v>
      </c>
      <c r="L62" s="45"/>
      <c r="M62" s="40"/>
      <c r="N62" s="5"/>
      <c r="O62" s="6"/>
      <c r="P62" s="14"/>
      <c r="Q62" s="48">
        <f t="shared" si="50"/>
        <v>0</v>
      </c>
      <c r="R62" s="15"/>
      <c r="S62" s="13"/>
      <c r="T62" s="14"/>
      <c r="U62" s="48">
        <f t="shared" si="51"/>
        <v>0</v>
      </c>
      <c r="V62" s="55">
        <f t="shared" si="52"/>
        <v>0</v>
      </c>
    </row>
    <row r="63" spans="1:22" x14ac:dyDescent="0.15">
      <c r="A63" s="18" t="s">
        <v>62</v>
      </c>
      <c r="B63" s="5"/>
      <c r="C63" s="6">
        <v>1</v>
      </c>
      <c r="D63" s="7"/>
      <c r="E63" s="48">
        <f t="shared" si="47"/>
        <v>1</v>
      </c>
      <c r="F63" s="8"/>
      <c r="G63" s="6">
        <v>1</v>
      </c>
      <c r="H63" s="7"/>
      <c r="I63" s="48">
        <f t="shared" si="48"/>
        <v>1</v>
      </c>
      <c r="J63" s="55">
        <f t="shared" si="49"/>
        <v>2</v>
      </c>
      <c r="K63" s="39">
        <v>46118</v>
      </c>
      <c r="L63" s="45"/>
      <c r="M63" s="17"/>
      <c r="N63" s="5"/>
      <c r="O63" s="6"/>
      <c r="P63" s="7"/>
      <c r="Q63" s="48">
        <f t="shared" si="50"/>
        <v>0</v>
      </c>
      <c r="R63" s="8"/>
      <c r="S63" s="6"/>
      <c r="T63" s="7"/>
      <c r="U63" s="48">
        <f t="shared" si="51"/>
        <v>0</v>
      </c>
      <c r="V63" s="55">
        <f t="shared" si="52"/>
        <v>0</v>
      </c>
    </row>
    <row r="64" spans="1:22" x14ac:dyDescent="0.15">
      <c r="A64" s="17" t="s">
        <v>63</v>
      </c>
      <c r="B64" s="5"/>
      <c r="C64" s="6">
        <v>5</v>
      </c>
      <c r="D64" s="7">
        <v>5</v>
      </c>
      <c r="E64" s="48">
        <f t="shared" si="47"/>
        <v>10</v>
      </c>
      <c r="F64" s="8"/>
      <c r="G64" s="6">
        <v>5</v>
      </c>
      <c r="H64" s="7">
        <v>5</v>
      </c>
      <c r="I64" s="48">
        <f t="shared" si="48"/>
        <v>10</v>
      </c>
      <c r="J64" s="55">
        <f t="shared" si="49"/>
        <v>20</v>
      </c>
      <c r="K64" s="39">
        <v>46118</v>
      </c>
      <c r="L64" s="45"/>
      <c r="M64" s="40"/>
      <c r="N64" s="5"/>
      <c r="O64" s="6"/>
      <c r="P64" s="7"/>
      <c r="Q64" s="48">
        <f t="shared" si="50"/>
        <v>0</v>
      </c>
      <c r="R64" s="8"/>
      <c r="S64" s="6"/>
      <c r="T64" s="7"/>
      <c r="U64" s="48">
        <f t="shared" si="51"/>
        <v>0</v>
      </c>
      <c r="V64" s="55">
        <f t="shared" si="52"/>
        <v>0</v>
      </c>
    </row>
    <row r="65" spans="1:23" x14ac:dyDescent="0.15">
      <c r="A65" s="17" t="s">
        <v>64</v>
      </c>
      <c r="B65" s="5">
        <v>5</v>
      </c>
      <c r="C65" s="6">
        <v>7</v>
      </c>
      <c r="D65" s="7"/>
      <c r="E65" s="48">
        <f t="shared" si="47"/>
        <v>12</v>
      </c>
      <c r="F65" s="8">
        <v>5</v>
      </c>
      <c r="G65" s="6">
        <v>7</v>
      </c>
      <c r="H65" s="7"/>
      <c r="I65" s="48">
        <f t="shared" si="48"/>
        <v>12</v>
      </c>
      <c r="J65" s="55">
        <f t="shared" si="49"/>
        <v>24</v>
      </c>
      <c r="K65" s="39">
        <v>46120</v>
      </c>
      <c r="M65" s="17"/>
      <c r="N65" s="5"/>
      <c r="O65" s="6"/>
      <c r="P65" s="7"/>
      <c r="Q65" s="48">
        <f t="shared" si="50"/>
        <v>0</v>
      </c>
      <c r="R65" s="8"/>
      <c r="S65" s="6"/>
      <c r="T65" s="7"/>
      <c r="U65" s="48">
        <f t="shared" si="51"/>
        <v>0</v>
      </c>
      <c r="V65" s="55">
        <f t="shared" si="52"/>
        <v>0</v>
      </c>
    </row>
    <row r="66" spans="1:23" x14ac:dyDescent="0.15">
      <c r="A66" s="17" t="s">
        <v>65</v>
      </c>
      <c r="B66" s="5"/>
      <c r="C66" s="6">
        <v>7</v>
      </c>
      <c r="D66" s="7">
        <v>5</v>
      </c>
      <c r="E66" s="48">
        <f t="shared" si="47"/>
        <v>12</v>
      </c>
      <c r="F66" s="8"/>
      <c r="G66" s="6">
        <v>7</v>
      </c>
      <c r="H66" s="7">
        <v>5</v>
      </c>
      <c r="I66" s="48">
        <f t="shared" si="48"/>
        <v>12</v>
      </c>
      <c r="J66" s="55">
        <f t="shared" si="49"/>
        <v>24</v>
      </c>
      <c r="K66" s="39">
        <v>46125</v>
      </c>
      <c r="M66" s="18"/>
      <c r="N66" s="9"/>
      <c r="O66" s="10"/>
      <c r="P66" s="11"/>
      <c r="Q66" s="48">
        <f t="shared" si="50"/>
        <v>0</v>
      </c>
      <c r="R66" s="12"/>
      <c r="S66" s="10"/>
      <c r="T66" s="11"/>
      <c r="U66" s="48">
        <f t="shared" si="51"/>
        <v>0</v>
      </c>
      <c r="V66" s="55">
        <f t="shared" si="52"/>
        <v>0</v>
      </c>
    </row>
    <row r="67" spans="1:23" x14ac:dyDescent="0.15">
      <c r="A67" s="17" t="s">
        <v>66</v>
      </c>
      <c r="B67" s="5"/>
      <c r="C67" s="6">
        <v>-10</v>
      </c>
      <c r="D67" s="7">
        <v>-10</v>
      </c>
      <c r="E67" s="48">
        <f t="shared" si="47"/>
        <v>-20</v>
      </c>
      <c r="F67" s="8"/>
      <c r="G67" s="6">
        <v>-10</v>
      </c>
      <c r="H67" s="7">
        <v>-10</v>
      </c>
      <c r="I67" s="48">
        <f t="shared" si="48"/>
        <v>-20</v>
      </c>
      <c r="J67" s="55">
        <f t="shared" si="49"/>
        <v>-40</v>
      </c>
      <c r="K67" s="39">
        <v>46125</v>
      </c>
      <c r="L67" s="45"/>
      <c r="M67" s="20"/>
      <c r="N67" s="5"/>
      <c r="O67" s="6"/>
      <c r="P67" s="7"/>
      <c r="Q67" s="48">
        <f>SUM(N67:P67)</f>
        <v>0</v>
      </c>
      <c r="R67" s="8"/>
      <c r="S67" s="6"/>
      <c r="T67" s="7"/>
      <c r="U67" s="48">
        <f>SUM(R67:T67)</f>
        <v>0</v>
      </c>
      <c r="V67" s="55">
        <f>Q67+U67</f>
        <v>0</v>
      </c>
    </row>
    <row r="68" spans="1:23" x14ac:dyDescent="0.15">
      <c r="A68" s="17" t="s">
        <v>67</v>
      </c>
      <c r="B68" s="5">
        <v>5</v>
      </c>
      <c r="C68" s="6">
        <v>8</v>
      </c>
      <c r="D68" s="7">
        <v>5</v>
      </c>
      <c r="E68" s="48">
        <f t="shared" si="47"/>
        <v>18</v>
      </c>
      <c r="F68" s="8">
        <v>5</v>
      </c>
      <c r="G68" s="6">
        <v>8</v>
      </c>
      <c r="H68" s="7">
        <v>5</v>
      </c>
      <c r="I68" s="48">
        <f t="shared" si="48"/>
        <v>18</v>
      </c>
      <c r="J68" s="55">
        <f t="shared" si="49"/>
        <v>36</v>
      </c>
      <c r="K68" s="39">
        <v>46129</v>
      </c>
      <c r="L68" s="45"/>
      <c r="M68" s="40"/>
      <c r="N68" s="5"/>
      <c r="O68" s="6"/>
      <c r="P68" s="7"/>
      <c r="Q68" s="48">
        <f t="shared" ref="Q68:Q83" si="53">SUM(N68:P68)</f>
        <v>0</v>
      </c>
      <c r="R68" s="8"/>
      <c r="S68" s="6"/>
      <c r="T68" s="7"/>
      <c r="U68" s="48">
        <f t="shared" ref="U68:U83" si="54">SUM(R68:T68)</f>
        <v>0</v>
      </c>
      <c r="V68" s="55">
        <f t="shared" ref="V68:V82" si="55">Q68+U68</f>
        <v>0</v>
      </c>
    </row>
    <row r="69" spans="1:23" x14ac:dyDescent="0.15">
      <c r="A69" s="17" t="s">
        <v>69</v>
      </c>
      <c r="B69" s="5">
        <v>3</v>
      </c>
      <c r="C69" s="6">
        <v>5</v>
      </c>
      <c r="D69" s="7"/>
      <c r="E69" s="48">
        <f t="shared" si="47"/>
        <v>8</v>
      </c>
      <c r="F69" s="8">
        <v>3</v>
      </c>
      <c r="G69" s="6">
        <v>5</v>
      </c>
      <c r="H69" s="7"/>
      <c r="I69" s="48">
        <f t="shared" si="48"/>
        <v>8</v>
      </c>
      <c r="J69" s="55">
        <f t="shared" si="49"/>
        <v>16</v>
      </c>
      <c r="K69" s="39">
        <v>46135</v>
      </c>
      <c r="L69" s="45"/>
      <c r="M69" s="40"/>
      <c r="N69" s="5"/>
      <c r="O69" s="6"/>
      <c r="P69" s="7"/>
      <c r="Q69" s="48">
        <f t="shared" si="53"/>
        <v>0</v>
      </c>
      <c r="R69" s="8"/>
      <c r="S69" s="6"/>
      <c r="T69" s="7"/>
      <c r="U69" s="48">
        <f t="shared" si="54"/>
        <v>0</v>
      </c>
      <c r="V69" s="55">
        <f t="shared" si="55"/>
        <v>0</v>
      </c>
    </row>
    <row r="70" spans="1:23" x14ac:dyDescent="0.15">
      <c r="A70" s="17" t="s">
        <v>68</v>
      </c>
      <c r="B70" s="5"/>
      <c r="C70" s="6">
        <v>1</v>
      </c>
      <c r="D70" s="7"/>
      <c r="E70" s="48">
        <f t="shared" si="47"/>
        <v>1</v>
      </c>
      <c r="F70" s="8"/>
      <c r="G70" s="6">
        <v>1</v>
      </c>
      <c r="H70" s="7"/>
      <c r="I70" s="48">
        <f t="shared" si="48"/>
        <v>1</v>
      </c>
      <c r="J70" s="55">
        <f t="shared" si="49"/>
        <v>2</v>
      </c>
      <c r="K70" s="39">
        <v>46136</v>
      </c>
      <c r="L70" s="45"/>
      <c r="M70" s="18"/>
      <c r="N70" s="5"/>
      <c r="O70" s="6"/>
      <c r="P70" s="7"/>
      <c r="Q70" s="48">
        <f t="shared" si="53"/>
        <v>0</v>
      </c>
      <c r="R70" s="8"/>
      <c r="S70" s="6"/>
      <c r="T70" s="7"/>
      <c r="U70" s="48">
        <f t="shared" si="54"/>
        <v>0</v>
      </c>
      <c r="V70" s="55">
        <f t="shared" si="55"/>
        <v>0</v>
      </c>
    </row>
    <row r="71" spans="1:23" x14ac:dyDescent="0.15">
      <c r="A71" s="17" t="s">
        <v>70</v>
      </c>
      <c r="B71" s="5">
        <v>-5</v>
      </c>
      <c r="C71" s="6">
        <v>-10</v>
      </c>
      <c r="D71" s="7"/>
      <c r="E71" s="48">
        <f t="shared" si="47"/>
        <v>-15</v>
      </c>
      <c r="F71" s="8">
        <v>-5</v>
      </c>
      <c r="G71" s="6">
        <v>-10</v>
      </c>
      <c r="H71" s="7"/>
      <c r="I71" s="48">
        <f t="shared" si="48"/>
        <v>-15</v>
      </c>
      <c r="J71" s="55">
        <f t="shared" si="49"/>
        <v>-30</v>
      </c>
      <c r="K71" s="39">
        <v>46135</v>
      </c>
      <c r="L71" s="45"/>
      <c r="M71" s="18"/>
      <c r="N71" s="5"/>
      <c r="O71" s="6"/>
      <c r="P71" s="7"/>
      <c r="Q71" s="48">
        <f t="shared" si="53"/>
        <v>0</v>
      </c>
      <c r="R71" s="8"/>
      <c r="S71" s="6"/>
      <c r="T71" s="7"/>
      <c r="U71" s="48">
        <f t="shared" si="54"/>
        <v>0</v>
      </c>
      <c r="V71" s="55">
        <f t="shared" si="55"/>
        <v>0</v>
      </c>
    </row>
    <row r="72" spans="1:23" x14ac:dyDescent="0.15">
      <c r="A72" s="17" t="s">
        <v>73</v>
      </c>
      <c r="B72" s="5">
        <v>7</v>
      </c>
      <c r="C72" s="6">
        <v>7</v>
      </c>
      <c r="D72" s="7"/>
      <c r="E72" s="48">
        <f t="shared" si="47"/>
        <v>14</v>
      </c>
      <c r="F72" s="8">
        <v>7</v>
      </c>
      <c r="G72" s="6">
        <v>7</v>
      </c>
      <c r="H72" s="7"/>
      <c r="I72" s="48">
        <f t="shared" si="48"/>
        <v>14</v>
      </c>
      <c r="J72" s="55">
        <f t="shared" si="49"/>
        <v>28</v>
      </c>
      <c r="K72" s="39">
        <v>46143</v>
      </c>
      <c r="M72" s="18"/>
      <c r="N72" s="5"/>
      <c r="O72" s="6"/>
      <c r="P72" s="7"/>
      <c r="Q72" s="48">
        <f t="shared" si="53"/>
        <v>0</v>
      </c>
      <c r="R72" s="8"/>
      <c r="S72" s="6"/>
      <c r="T72" s="7"/>
      <c r="U72" s="48">
        <f t="shared" si="54"/>
        <v>0</v>
      </c>
      <c r="V72" s="55">
        <f t="shared" si="55"/>
        <v>0</v>
      </c>
    </row>
    <row r="73" spans="1:23" x14ac:dyDescent="0.15">
      <c r="A73" s="17" t="s">
        <v>74</v>
      </c>
      <c r="B73" s="5">
        <v>-10</v>
      </c>
      <c r="C73" s="6">
        <v>-8</v>
      </c>
      <c r="D73" s="7"/>
      <c r="E73" s="48">
        <f t="shared" si="47"/>
        <v>-18</v>
      </c>
      <c r="F73" s="8">
        <v>-10</v>
      </c>
      <c r="G73" s="6">
        <v>-8</v>
      </c>
      <c r="H73" s="7"/>
      <c r="I73" s="48">
        <f t="shared" si="48"/>
        <v>-18</v>
      </c>
      <c r="J73" s="55">
        <f t="shared" si="49"/>
        <v>-36</v>
      </c>
      <c r="K73" s="39">
        <v>46143</v>
      </c>
      <c r="L73" s="45"/>
      <c r="M73" s="18"/>
      <c r="N73" s="5"/>
      <c r="O73" s="6"/>
      <c r="P73" s="7"/>
      <c r="Q73" s="48">
        <f t="shared" si="53"/>
        <v>0</v>
      </c>
      <c r="R73" s="8"/>
      <c r="S73" s="6"/>
      <c r="T73" s="7"/>
      <c r="U73" s="48">
        <f t="shared" si="54"/>
        <v>0</v>
      </c>
      <c r="V73" s="55">
        <f t="shared" si="55"/>
        <v>0</v>
      </c>
    </row>
    <row r="74" spans="1:23" x14ac:dyDescent="0.15">
      <c r="A74" s="18" t="s">
        <v>77</v>
      </c>
      <c r="B74" s="5">
        <v>2</v>
      </c>
      <c r="C74" s="6">
        <v>3</v>
      </c>
      <c r="D74" s="7">
        <v>2</v>
      </c>
      <c r="E74" s="48">
        <f t="shared" si="47"/>
        <v>7</v>
      </c>
      <c r="F74" s="8">
        <v>2</v>
      </c>
      <c r="G74" s="6">
        <v>3</v>
      </c>
      <c r="H74" s="7">
        <v>2</v>
      </c>
      <c r="I74" s="48">
        <f t="shared" si="48"/>
        <v>7</v>
      </c>
      <c r="J74" s="55">
        <f t="shared" si="49"/>
        <v>14</v>
      </c>
      <c r="K74" s="39">
        <v>46156</v>
      </c>
      <c r="L74" s="45"/>
      <c r="M74" s="18"/>
      <c r="N74" s="5"/>
      <c r="O74" s="6"/>
      <c r="P74" s="7"/>
      <c r="Q74" s="48">
        <f t="shared" si="53"/>
        <v>0</v>
      </c>
      <c r="R74" s="8"/>
      <c r="S74" s="6"/>
      <c r="T74" s="7"/>
      <c r="U74" s="48">
        <f t="shared" si="54"/>
        <v>0</v>
      </c>
      <c r="V74" s="55">
        <f t="shared" si="55"/>
        <v>0</v>
      </c>
    </row>
    <row r="75" spans="1:23" x14ac:dyDescent="0.15">
      <c r="A75" s="18" t="s">
        <v>78</v>
      </c>
      <c r="B75" s="5">
        <v>2</v>
      </c>
      <c r="C75" s="6"/>
      <c r="D75" s="7"/>
      <c r="E75" s="48">
        <f t="shared" si="47"/>
        <v>2</v>
      </c>
      <c r="F75" s="8">
        <v>2</v>
      </c>
      <c r="G75" s="6"/>
      <c r="H75" s="7"/>
      <c r="I75" s="48">
        <f t="shared" si="48"/>
        <v>2</v>
      </c>
      <c r="J75" s="55">
        <f t="shared" si="49"/>
        <v>4</v>
      </c>
      <c r="K75" s="39">
        <v>46163</v>
      </c>
      <c r="L75" s="45"/>
      <c r="M75" s="18"/>
      <c r="N75" s="5"/>
      <c r="O75" s="6"/>
      <c r="P75" s="7"/>
      <c r="Q75" s="48">
        <f t="shared" si="53"/>
        <v>0</v>
      </c>
      <c r="R75" s="8"/>
      <c r="S75" s="6"/>
      <c r="T75" s="7"/>
      <c r="U75" s="48">
        <f t="shared" si="54"/>
        <v>0</v>
      </c>
      <c r="V75" s="55">
        <f t="shared" si="55"/>
        <v>0</v>
      </c>
    </row>
    <row r="76" spans="1:23" x14ac:dyDescent="0.15">
      <c r="A76" s="18" t="s">
        <v>79</v>
      </c>
      <c r="B76" s="5">
        <v>1</v>
      </c>
      <c r="C76" s="6"/>
      <c r="D76" s="7">
        <v>1</v>
      </c>
      <c r="E76" s="48">
        <f t="shared" si="47"/>
        <v>2</v>
      </c>
      <c r="F76" s="8">
        <v>1</v>
      </c>
      <c r="G76" s="6"/>
      <c r="H76" s="7">
        <v>1</v>
      </c>
      <c r="I76" s="48">
        <f t="shared" si="48"/>
        <v>2</v>
      </c>
      <c r="J76" s="55">
        <f t="shared" si="49"/>
        <v>4</v>
      </c>
      <c r="K76" s="39">
        <v>46164</v>
      </c>
      <c r="L76" s="45"/>
      <c r="M76" s="18"/>
      <c r="N76" s="5"/>
      <c r="O76" s="6"/>
      <c r="P76" s="7"/>
      <c r="Q76" s="48">
        <f t="shared" si="53"/>
        <v>0</v>
      </c>
      <c r="R76" s="8"/>
      <c r="S76" s="6"/>
      <c r="T76" s="7"/>
      <c r="U76" s="48">
        <f t="shared" si="54"/>
        <v>0</v>
      </c>
      <c r="V76" s="55">
        <f t="shared" si="55"/>
        <v>0</v>
      </c>
    </row>
    <row r="77" spans="1:23" x14ac:dyDescent="0.15">
      <c r="A77" s="18" t="s">
        <v>80</v>
      </c>
      <c r="B77" s="5"/>
      <c r="C77" s="6"/>
      <c r="D77" s="7">
        <v>1</v>
      </c>
      <c r="E77" s="48">
        <f t="shared" ref="E77:E83" si="56">SUM(B77:D77)</f>
        <v>1</v>
      </c>
      <c r="F77" s="8"/>
      <c r="G77" s="6"/>
      <c r="H77" s="7">
        <v>1</v>
      </c>
      <c r="I77" s="48">
        <f t="shared" ref="I77:I83" si="57">SUM(F77:H77)</f>
        <v>1</v>
      </c>
      <c r="J77" s="55">
        <f t="shared" ref="J77:J79" si="58">E77+I77</f>
        <v>2</v>
      </c>
      <c r="K77" s="39">
        <v>46165</v>
      </c>
      <c r="M77" s="18"/>
      <c r="N77" s="5"/>
      <c r="O77" s="6"/>
      <c r="P77" s="7"/>
      <c r="Q77" s="48">
        <f t="shared" si="53"/>
        <v>0</v>
      </c>
      <c r="R77" s="8"/>
      <c r="S77" s="6"/>
      <c r="T77" s="7"/>
      <c r="U77" s="48">
        <f t="shared" si="54"/>
        <v>0</v>
      </c>
      <c r="V77" s="55">
        <f t="shared" si="55"/>
        <v>0</v>
      </c>
    </row>
    <row r="78" spans="1:23" x14ac:dyDescent="0.15">
      <c r="A78" s="17" t="s">
        <v>81</v>
      </c>
      <c r="B78" s="5">
        <v>-3</v>
      </c>
      <c r="C78" s="6"/>
      <c r="D78" s="7">
        <v>-3</v>
      </c>
      <c r="E78" s="49">
        <f t="shared" si="56"/>
        <v>-6</v>
      </c>
      <c r="F78" s="5">
        <v>-3</v>
      </c>
      <c r="G78" s="6"/>
      <c r="H78" s="7">
        <v>-3</v>
      </c>
      <c r="I78" s="49">
        <f t="shared" si="57"/>
        <v>-6</v>
      </c>
      <c r="J78" s="73">
        <f t="shared" si="58"/>
        <v>-12</v>
      </c>
      <c r="K78" s="39">
        <v>46167</v>
      </c>
      <c r="M78" s="17"/>
      <c r="N78" s="5"/>
      <c r="O78" s="6"/>
      <c r="P78" s="7"/>
      <c r="Q78" s="49">
        <f t="shared" si="53"/>
        <v>0</v>
      </c>
      <c r="R78" s="5"/>
      <c r="S78" s="6"/>
      <c r="T78" s="7"/>
      <c r="U78" s="49">
        <f t="shared" si="54"/>
        <v>0</v>
      </c>
      <c r="V78" s="73">
        <f t="shared" si="55"/>
        <v>0</v>
      </c>
      <c r="W78" s="39"/>
    </row>
    <row r="79" spans="1:23" x14ac:dyDescent="0.15">
      <c r="A79" s="18" t="s">
        <v>80</v>
      </c>
      <c r="B79" s="5">
        <v>1</v>
      </c>
      <c r="C79" s="6"/>
      <c r="D79" s="7"/>
      <c r="E79" s="48">
        <f t="shared" si="56"/>
        <v>1</v>
      </c>
      <c r="F79" s="8">
        <v>1</v>
      </c>
      <c r="G79" s="6"/>
      <c r="H79" s="7"/>
      <c r="I79" s="48">
        <f t="shared" si="57"/>
        <v>1</v>
      </c>
      <c r="J79" s="55">
        <f t="shared" si="58"/>
        <v>2</v>
      </c>
      <c r="K79" s="39">
        <v>46169</v>
      </c>
      <c r="M79" s="17" t="s">
        <v>48</v>
      </c>
      <c r="N79" s="5"/>
      <c r="O79" s="6"/>
      <c r="P79" s="7"/>
      <c r="Q79" s="49">
        <f t="shared" si="53"/>
        <v>0</v>
      </c>
      <c r="R79" s="5"/>
      <c r="S79" s="6"/>
      <c r="T79" s="7"/>
      <c r="U79" s="49">
        <f t="shared" si="54"/>
        <v>0</v>
      </c>
      <c r="V79" s="73">
        <f t="shared" si="55"/>
        <v>0</v>
      </c>
      <c r="W79" s="39" t="s">
        <v>49</v>
      </c>
    </row>
    <row r="80" spans="1:23" x14ac:dyDescent="0.15">
      <c r="A80" s="18" t="s">
        <v>84</v>
      </c>
      <c r="B80" s="5">
        <v>4</v>
      </c>
      <c r="C80" s="6"/>
      <c r="D80" s="7">
        <v>1</v>
      </c>
      <c r="E80" s="49">
        <f t="shared" ref="E80:E82" si="59">SUM(B80:D80)</f>
        <v>5</v>
      </c>
      <c r="F80" s="5">
        <v>4</v>
      </c>
      <c r="G80" s="6"/>
      <c r="H80" s="7">
        <v>1</v>
      </c>
      <c r="I80" s="49">
        <f t="shared" ref="I80:I82" si="60">SUM(F80:H80)</f>
        <v>5</v>
      </c>
      <c r="J80" s="73">
        <f t="shared" ref="J80:J82" si="61">E80+I80</f>
        <v>10</v>
      </c>
      <c r="K80" s="39">
        <v>46170</v>
      </c>
      <c r="M80" s="17" t="s">
        <v>45</v>
      </c>
      <c r="N80" s="5"/>
      <c r="O80" s="6"/>
      <c r="P80" s="7"/>
      <c r="Q80" s="49">
        <f t="shared" si="53"/>
        <v>0</v>
      </c>
      <c r="R80" s="5"/>
      <c r="S80" s="6"/>
      <c r="T80" s="7"/>
      <c r="U80" s="49">
        <f t="shared" si="54"/>
        <v>0</v>
      </c>
      <c r="V80" s="73">
        <f t="shared" si="55"/>
        <v>0</v>
      </c>
      <c r="W80" s="39" t="s">
        <v>46</v>
      </c>
    </row>
    <row r="81" spans="1:23" x14ac:dyDescent="0.15">
      <c r="A81" s="18" t="s">
        <v>85</v>
      </c>
      <c r="B81" s="5">
        <v>1</v>
      </c>
      <c r="C81" s="6">
        <v>2</v>
      </c>
      <c r="D81" s="7"/>
      <c r="E81" s="49">
        <f t="shared" si="59"/>
        <v>3</v>
      </c>
      <c r="F81" s="5">
        <v>1</v>
      </c>
      <c r="G81" s="6">
        <v>2</v>
      </c>
      <c r="H81" s="7"/>
      <c r="I81" s="49">
        <f t="shared" si="60"/>
        <v>3</v>
      </c>
      <c r="J81" s="73">
        <f t="shared" si="61"/>
        <v>6</v>
      </c>
      <c r="K81" s="39">
        <v>46171</v>
      </c>
      <c r="L81" s="45"/>
      <c r="M81" s="17" t="s">
        <v>52</v>
      </c>
      <c r="N81" s="5"/>
      <c r="O81" s="6"/>
      <c r="P81" s="7"/>
      <c r="Q81" s="49">
        <f t="shared" si="53"/>
        <v>0</v>
      </c>
      <c r="R81" s="5"/>
      <c r="S81" s="6"/>
      <c r="T81" s="7"/>
      <c r="U81" s="49">
        <f t="shared" si="54"/>
        <v>0</v>
      </c>
      <c r="V81" s="73">
        <f t="shared" si="55"/>
        <v>0</v>
      </c>
      <c r="W81" s="39" t="s">
        <v>51</v>
      </c>
    </row>
    <row r="82" spans="1:23" ht="14.25" thickBot="1" x14ac:dyDescent="0.2">
      <c r="A82" s="18" t="s">
        <v>86</v>
      </c>
      <c r="B82" s="5"/>
      <c r="C82" s="6"/>
      <c r="D82" s="7">
        <v>1</v>
      </c>
      <c r="E82" s="49">
        <f t="shared" si="59"/>
        <v>1</v>
      </c>
      <c r="F82" s="5"/>
      <c r="G82" s="6"/>
      <c r="H82" s="7">
        <v>1</v>
      </c>
      <c r="I82" s="49">
        <f t="shared" si="60"/>
        <v>1</v>
      </c>
      <c r="J82" s="73">
        <f t="shared" si="61"/>
        <v>2</v>
      </c>
      <c r="K82" s="39">
        <v>46172</v>
      </c>
      <c r="M82" s="17" t="s">
        <v>59</v>
      </c>
      <c r="N82" s="5"/>
      <c r="O82" s="6"/>
      <c r="P82" s="7"/>
      <c r="Q82" s="49">
        <f t="shared" si="53"/>
        <v>0</v>
      </c>
      <c r="R82" s="5"/>
      <c r="S82" s="6"/>
      <c r="T82" s="7"/>
      <c r="U82" s="49">
        <f t="shared" si="54"/>
        <v>0</v>
      </c>
      <c r="V82" s="73">
        <f t="shared" si="55"/>
        <v>0</v>
      </c>
      <c r="W82" s="39" t="s">
        <v>60</v>
      </c>
    </row>
    <row r="83" spans="1:23" ht="14.25" thickBot="1" x14ac:dyDescent="0.2">
      <c r="A83" s="31" t="s">
        <v>17</v>
      </c>
      <c r="B83" s="34">
        <f>SUM(B57:B82)</f>
        <v>40</v>
      </c>
      <c r="C83" s="35">
        <f t="shared" ref="C83:D83" si="62">SUM(C57:C82)</f>
        <v>47</v>
      </c>
      <c r="D83" s="38">
        <f t="shared" si="62"/>
        <v>32</v>
      </c>
      <c r="E83" s="52">
        <f t="shared" si="56"/>
        <v>119</v>
      </c>
      <c r="F83" s="34">
        <f>SUM(F57:F82)</f>
        <v>40</v>
      </c>
      <c r="G83" s="35">
        <f t="shared" ref="G83:H83" si="63">SUM(G57:G82)</f>
        <v>47</v>
      </c>
      <c r="H83" s="38">
        <f t="shared" si="63"/>
        <v>32</v>
      </c>
      <c r="I83" s="52">
        <f t="shared" si="57"/>
        <v>119</v>
      </c>
      <c r="J83" s="58">
        <f>E83+I83</f>
        <v>238</v>
      </c>
      <c r="K83" s="30"/>
      <c r="M83" s="31" t="s">
        <v>17</v>
      </c>
      <c r="N83" s="34">
        <f>SUM(N57:N82)</f>
        <v>0</v>
      </c>
      <c r="O83" s="35">
        <f t="shared" ref="O83:P83" si="64">SUM(O57:O82)</f>
        <v>0</v>
      </c>
      <c r="P83" s="38">
        <f t="shared" si="64"/>
        <v>0</v>
      </c>
      <c r="Q83" s="52">
        <f t="shared" si="53"/>
        <v>0</v>
      </c>
      <c r="R83" s="34">
        <f>SUM(R57:R82)</f>
        <v>0</v>
      </c>
      <c r="S83" s="35">
        <f t="shared" ref="S83:T83" si="65">SUM(S57:S82)</f>
        <v>0</v>
      </c>
      <c r="T83" s="38">
        <f t="shared" si="65"/>
        <v>0</v>
      </c>
      <c r="U83" s="52">
        <f t="shared" si="54"/>
        <v>0</v>
      </c>
      <c r="V83" s="58">
        <f>Q83+U83</f>
        <v>0</v>
      </c>
    </row>
    <row r="84" spans="1:23" ht="14.25" thickBot="1" x14ac:dyDescent="0.2">
      <c r="A84" s="16" t="s">
        <v>16</v>
      </c>
      <c r="B84" s="59">
        <f>B56-B83</f>
        <v>2</v>
      </c>
      <c r="C84" s="60">
        <f t="shared" ref="C84:D84" si="66">C56-C83</f>
        <v>5</v>
      </c>
      <c r="D84" s="61">
        <f t="shared" si="66"/>
        <v>2</v>
      </c>
      <c r="E84" s="53">
        <f>SUM(B84:D84)</f>
        <v>9</v>
      </c>
      <c r="F84" s="59">
        <f>F56-F83</f>
        <v>2</v>
      </c>
      <c r="G84" s="60">
        <f t="shared" ref="G84:H84" si="67">G56-G83</f>
        <v>5</v>
      </c>
      <c r="H84" s="61">
        <f t="shared" si="67"/>
        <v>2</v>
      </c>
      <c r="I84" s="53">
        <f>SUM(F84:H84)</f>
        <v>9</v>
      </c>
      <c r="J84" s="57">
        <f>E84+I84</f>
        <v>18</v>
      </c>
      <c r="M84" s="16" t="s">
        <v>16</v>
      </c>
      <c r="N84" s="59">
        <f>N56-N83</f>
        <v>0</v>
      </c>
      <c r="O84" s="60">
        <f t="shared" ref="O84:P84" si="68">O56-O83</f>
        <v>0</v>
      </c>
      <c r="P84" s="61">
        <f t="shared" si="68"/>
        <v>0</v>
      </c>
      <c r="Q84" s="53">
        <f>SUM(N84:P84)</f>
        <v>0</v>
      </c>
      <c r="R84" s="59">
        <f>R56-R83</f>
        <v>0</v>
      </c>
      <c r="S84" s="60">
        <f t="shared" ref="S84:T84" si="69">S56-S83</f>
        <v>0</v>
      </c>
      <c r="T84" s="61">
        <f t="shared" si="69"/>
        <v>0</v>
      </c>
      <c r="U84" s="53">
        <f>SUM(R84:T84)</f>
        <v>0</v>
      </c>
      <c r="V84" s="57">
        <f>Q84+U84</f>
        <v>0</v>
      </c>
    </row>
    <row r="87" spans="1:23" ht="18" thickBot="1" x14ac:dyDescent="0.25">
      <c r="A87" s="68" t="s">
        <v>20</v>
      </c>
      <c r="B87" s="69"/>
      <c r="C87" s="69"/>
      <c r="D87" s="69"/>
      <c r="E87" s="69"/>
      <c r="F87" s="69"/>
      <c r="G87" s="69"/>
      <c r="H87" s="69"/>
      <c r="I87" s="69"/>
      <c r="J87" s="69"/>
      <c r="M87" s="68" t="s">
        <v>21</v>
      </c>
      <c r="N87" s="69"/>
      <c r="O87" s="69"/>
      <c r="P87" s="69"/>
      <c r="Q87" s="69"/>
      <c r="R87" s="69"/>
      <c r="S87" s="69"/>
      <c r="T87" s="69"/>
      <c r="U87" s="69"/>
      <c r="V87" s="69"/>
    </row>
    <row r="88" spans="1:23" ht="14.25" thickBot="1" x14ac:dyDescent="0.2">
      <c r="A88" s="4"/>
      <c r="B88" s="84" t="s">
        <v>18</v>
      </c>
      <c r="C88" s="84"/>
      <c r="D88" s="84"/>
      <c r="E88" s="85"/>
      <c r="F88" s="86" t="s">
        <v>19</v>
      </c>
      <c r="G88" s="86"/>
      <c r="H88" s="86"/>
      <c r="I88" s="87"/>
      <c r="J88" s="82" t="s">
        <v>0</v>
      </c>
      <c r="M88" s="4"/>
      <c r="N88" s="84" t="s">
        <v>18</v>
      </c>
      <c r="O88" s="84"/>
      <c r="P88" s="84"/>
      <c r="Q88" s="85"/>
      <c r="R88" s="86" t="s">
        <v>19</v>
      </c>
      <c r="S88" s="86"/>
      <c r="T88" s="86"/>
      <c r="U88" s="87"/>
      <c r="V88" s="82" t="s">
        <v>0</v>
      </c>
    </row>
    <row r="89" spans="1:23" ht="14.25" thickBot="1" x14ac:dyDescent="0.2">
      <c r="A89" s="4" t="s">
        <v>1</v>
      </c>
      <c r="B89" s="1" t="s">
        <v>2</v>
      </c>
      <c r="C89" s="2" t="s">
        <v>3</v>
      </c>
      <c r="D89" s="3" t="s">
        <v>4</v>
      </c>
      <c r="E89" s="4" t="s">
        <v>5</v>
      </c>
      <c r="F89" s="1" t="s">
        <v>2</v>
      </c>
      <c r="G89" s="2" t="s">
        <v>3</v>
      </c>
      <c r="H89" s="3" t="s">
        <v>4</v>
      </c>
      <c r="I89" s="4" t="s">
        <v>5</v>
      </c>
      <c r="J89" s="83"/>
      <c r="M89" s="4" t="s">
        <v>1</v>
      </c>
      <c r="N89" s="1" t="s">
        <v>2</v>
      </c>
      <c r="O89" s="2" t="s">
        <v>3</v>
      </c>
      <c r="P89" s="3" t="s">
        <v>4</v>
      </c>
      <c r="Q89" s="4" t="s">
        <v>5</v>
      </c>
      <c r="R89" s="1" t="s">
        <v>2</v>
      </c>
      <c r="S89" s="2" t="s">
        <v>3</v>
      </c>
      <c r="T89" s="3" t="s">
        <v>4</v>
      </c>
      <c r="U89" s="4" t="s">
        <v>5</v>
      </c>
      <c r="V89" s="83"/>
    </row>
    <row r="90" spans="1:23" ht="14.25" thickBot="1" x14ac:dyDescent="0.2">
      <c r="A90" s="21" t="s">
        <v>44</v>
      </c>
      <c r="B90" s="22">
        <f>B84</f>
        <v>2</v>
      </c>
      <c r="C90" s="22">
        <f t="shared" ref="C90:J90" si="70">C84</f>
        <v>5</v>
      </c>
      <c r="D90" s="22">
        <f t="shared" si="70"/>
        <v>2</v>
      </c>
      <c r="E90" s="22">
        <f t="shared" si="70"/>
        <v>9</v>
      </c>
      <c r="F90" s="22">
        <f t="shared" si="70"/>
        <v>2</v>
      </c>
      <c r="G90" s="22">
        <f t="shared" si="70"/>
        <v>5</v>
      </c>
      <c r="H90" s="22">
        <f t="shared" si="70"/>
        <v>2</v>
      </c>
      <c r="I90" s="22">
        <f t="shared" si="70"/>
        <v>9</v>
      </c>
      <c r="J90" s="77">
        <f t="shared" si="70"/>
        <v>18</v>
      </c>
      <c r="K90" s="67"/>
      <c r="M90" s="21" t="s">
        <v>44</v>
      </c>
      <c r="N90" s="62">
        <f>N84</f>
        <v>0</v>
      </c>
      <c r="O90" s="62">
        <f t="shared" ref="O90:V90" si="71">O84</f>
        <v>0</v>
      </c>
      <c r="P90" s="62">
        <f t="shared" si="71"/>
        <v>0</v>
      </c>
      <c r="Q90" s="62">
        <f t="shared" si="71"/>
        <v>0</v>
      </c>
      <c r="R90" s="62">
        <f t="shared" si="71"/>
        <v>0</v>
      </c>
      <c r="S90" s="62">
        <f t="shared" si="71"/>
        <v>0</v>
      </c>
      <c r="T90" s="62">
        <f t="shared" si="71"/>
        <v>0</v>
      </c>
      <c r="U90" s="62">
        <f t="shared" si="71"/>
        <v>0</v>
      </c>
      <c r="V90" s="77">
        <f t="shared" si="71"/>
        <v>0</v>
      </c>
    </row>
    <row r="91" spans="1:23" x14ac:dyDescent="0.15">
      <c r="A91" s="19" t="s">
        <v>7</v>
      </c>
      <c r="B91" s="5">
        <v>5</v>
      </c>
      <c r="C91" s="6">
        <v>10</v>
      </c>
      <c r="D91" s="14">
        <v>5</v>
      </c>
      <c r="E91" s="48">
        <f t="shared" ref="E91" si="72">SUM(B91:D91)</f>
        <v>20</v>
      </c>
      <c r="F91" s="15">
        <v>5</v>
      </c>
      <c r="G91" s="13">
        <v>10</v>
      </c>
      <c r="H91" s="14">
        <v>5</v>
      </c>
      <c r="I91" s="48">
        <f t="shared" ref="I91" si="73">SUM(F91:H91)</f>
        <v>20</v>
      </c>
      <c r="J91" s="55">
        <f t="shared" ref="J91" si="74">E91+I91</f>
        <v>40</v>
      </c>
      <c r="K91" s="39">
        <v>46177</v>
      </c>
      <c r="M91" s="19" t="s">
        <v>7</v>
      </c>
      <c r="N91" s="32"/>
      <c r="O91" s="33"/>
      <c r="P91" s="41"/>
      <c r="Q91" s="47">
        <f>SUM(N91:P91)</f>
        <v>0</v>
      </c>
      <c r="R91" s="42"/>
      <c r="S91" s="43"/>
      <c r="T91" s="44"/>
      <c r="U91" s="47">
        <f>SUM(R91:T91)</f>
        <v>0</v>
      </c>
      <c r="V91" s="54">
        <f>Q91+U91</f>
        <v>0</v>
      </c>
    </row>
    <row r="92" spans="1:23" x14ac:dyDescent="0.15">
      <c r="A92" s="19" t="s">
        <v>8</v>
      </c>
      <c r="B92" s="5">
        <v>10</v>
      </c>
      <c r="C92" s="6">
        <v>10</v>
      </c>
      <c r="D92" s="14"/>
      <c r="E92" s="48">
        <f t="shared" ref="E92:E98" si="75">SUM(B92:D92)</f>
        <v>20</v>
      </c>
      <c r="F92" s="15">
        <v>10</v>
      </c>
      <c r="G92" s="13">
        <v>10</v>
      </c>
      <c r="H92" s="14"/>
      <c r="I92" s="48">
        <f t="shared" ref="I92:I98" si="76">SUM(F92:H92)</f>
        <v>20</v>
      </c>
      <c r="J92" s="55">
        <f t="shared" ref="J92:J98" si="77">E92+I92</f>
        <v>40</v>
      </c>
      <c r="K92" s="39">
        <v>46188</v>
      </c>
      <c r="L92" s="45"/>
      <c r="M92" s="19" t="s">
        <v>8</v>
      </c>
      <c r="N92" s="9"/>
      <c r="O92" s="10"/>
      <c r="P92" s="36"/>
      <c r="Q92" s="49">
        <f t="shared" ref="Q92:Q98" si="78">SUM(N92:P92)</f>
        <v>0</v>
      </c>
      <c r="R92" s="12"/>
      <c r="S92" s="10"/>
      <c r="T92" s="11"/>
      <c r="U92" s="49">
        <f t="shared" ref="U92:U98" si="79">SUM(R92:T92)</f>
        <v>0</v>
      </c>
      <c r="V92" s="55">
        <f t="shared" ref="V92:V98" si="80">Q92+U92</f>
        <v>0</v>
      </c>
    </row>
    <row r="93" spans="1:23" x14ac:dyDescent="0.15">
      <c r="A93" s="19" t="s">
        <v>9</v>
      </c>
      <c r="B93" s="5"/>
      <c r="C93" s="6">
        <v>10</v>
      </c>
      <c r="D93" s="14">
        <v>5</v>
      </c>
      <c r="E93" s="48">
        <f t="shared" si="75"/>
        <v>15</v>
      </c>
      <c r="F93" s="15"/>
      <c r="G93" s="13">
        <v>10</v>
      </c>
      <c r="H93" s="14">
        <v>5</v>
      </c>
      <c r="I93" s="48">
        <f t="shared" si="76"/>
        <v>15</v>
      </c>
      <c r="J93" s="55">
        <f t="shared" si="77"/>
        <v>30</v>
      </c>
      <c r="K93" s="39">
        <v>46190</v>
      </c>
      <c r="L93" s="45"/>
      <c r="M93" s="19" t="s">
        <v>9</v>
      </c>
      <c r="N93" s="9"/>
      <c r="O93" s="10"/>
      <c r="P93" s="36"/>
      <c r="Q93" s="49">
        <f t="shared" si="78"/>
        <v>0</v>
      </c>
      <c r="R93" s="12"/>
      <c r="S93" s="10"/>
      <c r="T93" s="11"/>
      <c r="U93" s="49">
        <f t="shared" si="79"/>
        <v>0</v>
      </c>
      <c r="V93" s="55">
        <f t="shared" si="80"/>
        <v>0</v>
      </c>
    </row>
    <row r="94" spans="1:23" x14ac:dyDescent="0.15">
      <c r="A94" s="19" t="s">
        <v>10</v>
      </c>
      <c r="B94" s="5"/>
      <c r="C94" s="6"/>
      <c r="D94" s="14"/>
      <c r="E94" s="48">
        <f t="shared" si="75"/>
        <v>0</v>
      </c>
      <c r="F94" s="15"/>
      <c r="G94" s="13"/>
      <c r="H94" s="14"/>
      <c r="I94" s="48">
        <f t="shared" si="76"/>
        <v>0</v>
      </c>
      <c r="J94" s="55">
        <f t="shared" si="77"/>
        <v>0</v>
      </c>
      <c r="K94" s="39"/>
      <c r="L94" s="45"/>
      <c r="M94" s="19" t="s">
        <v>10</v>
      </c>
      <c r="N94" s="9"/>
      <c r="O94" s="10"/>
      <c r="P94" s="36"/>
      <c r="Q94" s="49">
        <f t="shared" si="78"/>
        <v>0</v>
      </c>
      <c r="R94" s="12"/>
      <c r="S94" s="10"/>
      <c r="T94" s="11"/>
      <c r="U94" s="49">
        <f t="shared" si="79"/>
        <v>0</v>
      </c>
      <c r="V94" s="55">
        <f t="shared" si="80"/>
        <v>0</v>
      </c>
    </row>
    <row r="95" spans="1:23" x14ac:dyDescent="0.15">
      <c r="A95" s="19" t="s">
        <v>11</v>
      </c>
      <c r="B95" s="5"/>
      <c r="C95" s="6"/>
      <c r="D95" s="14"/>
      <c r="E95" s="48">
        <f t="shared" si="75"/>
        <v>0</v>
      </c>
      <c r="F95" s="15"/>
      <c r="G95" s="13"/>
      <c r="H95" s="14"/>
      <c r="I95" s="48">
        <f t="shared" si="76"/>
        <v>0</v>
      </c>
      <c r="J95" s="55">
        <f t="shared" si="77"/>
        <v>0</v>
      </c>
      <c r="K95" s="39"/>
      <c r="L95" s="45"/>
      <c r="M95" s="19" t="s">
        <v>11</v>
      </c>
      <c r="N95" s="9"/>
      <c r="O95" s="10"/>
      <c r="P95" s="36"/>
      <c r="Q95" s="49">
        <f t="shared" si="78"/>
        <v>0</v>
      </c>
      <c r="R95" s="12"/>
      <c r="S95" s="10"/>
      <c r="T95" s="11"/>
      <c r="U95" s="49">
        <f t="shared" si="79"/>
        <v>0</v>
      </c>
      <c r="V95" s="55">
        <f t="shared" si="80"/>
        <v>0</v>
      </c>
    </row>
    <row r="96" spans="1:23" x14ac:dyDescent="0.15">
      <c r="A96" s="19" t="s">
        <v>12</v>
      </c>
      <c r="B96" s="5"/>
      <c r="C96" s="6"/>
      <c r="D96" s="14"/>
      <c r="E96" s="48">
        <f t="shared" si="75"/>
        <v>0</v>
      </c>
      <c r="F96" s="15"/>
      <c r="G96" s="13"/>
      <c r="H96" s="14"/>
      <c r="I96" s="48">
        <f t="shared" si="76"/>
        <v>0</v>
      </c>
      <c r="J96" s="55">
        <f t="shared" si="77"/>
        <v>0</v>
      </c>
      <c r="K96" s="39"/>
      <c r="M96" s="19" t="s">
        <v>12</v>
      </c>
      <c r="N96" s="9"/>
      <c r="O96" s="10"/>
      <c r="P96" s="36"/>
      <c r="Q96" s="49">
        <f t="shared" si="78"/>
        <v>0</v>
      </c>
      <c r="R96" s="12"/>
      <c r="S96" s="10"/>
      <c r="T96" s="11"/>
      <c r="U96" s="49">
        <f t="shared" si="79"/>
        <v>0</v>
      </c>
      <c r="V96" s="55">
        <f t="shared" si="80"/>
        <v>0</v>
      </c>
    </row>
    <row r="97" spans="1:22" x14ac:dyDescent="0.15">
      <c r="A97" s="19" t="s">
        <v>13</v>
      </c>
      <c r="B97" s="5"/>
      <c r="C97" s="6"/>
      <c r="D97" s="14"/>
      <c r="E97" s="48">
        <f t="shared" si="75"/>
        <v>0</v>
      </c>
      <c r="F97" s="15"/>
      <c r="G97" s="13"/>
      <c r="H97" s="14"/>
      <c r="I97" s="48">
        <f t="shared" si="76"/>
        <v>0</v>
      </c>
      <c r="J97" s="55">
        <f t="shared" si="77"/>
        <v>0</v>
      </c>
      <c r="K97" s="39"/>
      <c r="M97" s="19" t="s">
        <v>13</v>
      </c>
      <c r="N97" s="9"/>
      <c r="O97" s="10"/>
      <c r="P97" s="36"/>
      <c r="Q97" s="49">
        <f t="shared" si="78"/>
        <v>0</v>
      </c>
      <c r="R97" s="12"/>
      <c r="S97" s="10"/>
      <c r="T97" s="11"/>
      <c r="U97" s="49">
        <f t="shared" si="79"/>
        <v>0</v>
      </c>
      <c r="V97" s="55">
        <f t="shared" si="80"/>
        <v>0</v>
      </c>
    </row>
    <row r="98" spans="1:22" ht="14.25" thickBot="1" x14ac:dyDescent="0.2">
      <c r="A98" s="19" t="s">
        <v>14</v>
      </c>
      <c r="B98" s="5"/>
      <c r="C98" s="6"/>
      <c r="D98" s="14"/>
      <c r="E98" s="48">
        <f t="shared" si="75"/>
        <v>0</v>
      </c>
      <c r="F98" s="15"/>
      <c r="G98" s="13"/>
      <c r="H98" s="14"/>
      <c r="I98" s="48">
        <f t="shared" si="76"/>
        <v>0</v>
      </c>
      <c r="J98" s="55">
        <f t="shared" si="77"/>
        <v>0</v>
      </c>
      <c r="K98" s="39"/>
      <c r="M98" s="19" t="s">
        <v>14</v>
      </c>
      <c r="N98" s="25"/>
      <c r="O98" s="26"/>
      <c r="P98" s="37"/>
      <c r="Q98" s="50">
        <f t="shared" si="78"/>
        <v>0</v>
      </c>
      <c r="R98" s="27"/>
      <c r="S98" s="27"/>
      <c r="T98" s="29"/>
      <c r="U98" s="50">
        <f t="shared" si="79"/>
        <v>0</v>
      </c>
      <c r="V98" s="56">
        <f t="shared" si="80"/>
        <v>0</v>
      </c>
    </row>
    <row r="99" spans="1:22" ht="14.25" thickBot="1" x14ac:dyDescent="0.2">
      <c r="A99" s="28" t="s">
        <v>15</v>
      </c>
      <c r="B99" s="22">
        <f>SUM(B90:B98)</f>
        <v>17</v>
      </c>
      <c r="C99" s="23">
        <f>SUM(C90:C98)</f>
        <v>35</v>
      </c>
      <c r="D99" s="24">
        <f>SUM(D90:D98)</f>
        <v>12</v>
      </c>
      <c r="E99" s="51">
        <f>SUM(B99:D99)</f>
        <v>64</v>
      </c>
      <c r="F99" s="22">
        <f>SUM(F90:F98)</f>
        <v>17</v>
      </c>
      <c r="G99" s="23">
        <f>SUM(G90:G98)</f>
        <v>35</v>
      </c>
      <c r="H99" s="24">
        <f>SUM(H90:H98)</f>
        <v>12</v>
      </c>
      <c r="I99" s="51">
        <f>SUM(F99:H99)</f>
        <v>64</v>
      </c>
      <c r="J99" s="57">
        <f>E99+I99</f>
        <v>128</v>
      </c>
      <c r="M99" s="28" t="s">
        <v>15</v>
      </c>
      <c r="N99" s="22">
        <f>SUM(N90:N98)</f>
        <v>0</v>
      </c>
      <c r="O99" s="23">
        <f>SUM(O90:O98)</f>
        <v>0</v>
      </c>
      <c r="P99" s="24">
        <f>SUM(P90:P98)</f>
        <v>0</v>
      </c>
      <c r="Q99" s="51">
        <f>SUM(N99:P99)</f>
        <v>0</v>
      </c>
      <c r="R99" s="22">
        <f>SUM(R90:R98)</f>
        <v>0</v>
      </c>
      <c r="S99" s="23">
        <f>SUM(S90:S98)</f>
        <v>0</v>
      </c>
      <c r="T99" s="24">
        <f>SUM(T90:T98)</f>
        <v>0</v>
      </c>
      <c r="U99" s="51">
        <f>SUM(R99:T99)</f>
        <v>0</v>
      </c>
      <c r="V99" s="57">
        <f>Q99+U99</f>
        <v>0</v>
      </c>
    </row>
    <row r="100" spans="1:22" x14ac:dyDescent="0.15">
      <c r="A100" s="18" t="s">
        <v>87</v>
      </c>
      <c r="B100" s="5"/>
      <c r="C100" s="6">
        <v>1</v>
      </c>
      <c r="D100" s="7"/>
      <c r="E100" s="48">
        <f t="shared" ref="E100:E116" si="81">SUM(B100:D100)</f>
        <v>1</v>
      </c>
      <c r="F100" s="8"/>
      <c r="G100" s="6">
        <v>1</v>
      </c>
      <c r="H100" s="7"/>
      <c r="I100" s="48">
        <f t="shared" ref="I100:I116" si="82">SUM(F100:H100)</f>
        <v>1</v>
      </c>
      <c r="J100" s="55">
        <f t="shared" ref="J100:J116" si="83">E100+I100</f>
        <v>2</v>
      </c>
      <c r="K100" s="39">
        <v>46174</v>
      </c>
      <c r="L100" s="45"/>
      <c r="M100" s="20"/>
      <c r="N100" s="9"/>
      <c r="O100" s="10"/>
      <c r="P100" s="11"/>
      <c r="Q100" s="48">
        <f>SUM(N100:P100)</f>
        <v>0</v>
      </c>
      <c r="R100" s="12"/>
      <c r="S100" s="10"/>
      <c r="T100" s="11"/>
      <c r="U100" s="48">
        <f>SUM(R100:T100)</f>
        <v>0</v>
      </c>
      <c r="V100" s="55">
        <f>Q100+U100</f>
        <v>0</v>
      </c>
    </row>
    <row r="101" spans="1:22" x14ac:dyDescent="0.15">
      <c r="A101" s="18" t="s">
        <v>88</v>
      </c>
      <c r="B101" s="5"/>
      <c r="C101" s="6">
        <v>3</v>
      </c>
      <c r="D101" s="7"/>
      <c r="E101" s="48">
        <f t="shared" si="81"/>
        <v>3</v>
      </c>
      <c r="F101" s="8"/>
      <c r="G101" s="6">
        <v>3</v>
      </c>
      <c r="H101" s="7"/>
      <c r="I101" s="48">
        <f t="shared" si="82"/>
        <v>3</v>
      </c>
      <c r="J101" s="55">
        <f t="shared" si="83"/>
        <v>6</v>
      </c>
      <c r="K101" s="39">
        <v>46177</v>
      </c>
      <c r="L101" s="45"/>
      <c r="M101" s="20"/>
      <c r="N101" s="5"/>
      <c r="O101" s="6"/>
      <c r="P101" s="7"/>
      <c r="Q101" s="48">
        <f t="shared" ref="Q101:Q109" si="84">SUM(N101:P101)</f>
        <v>0</v>
      </c>
      <c r="R101" s="8"/>
      <c r="S101" s="6"/>
      <c r="T101" s="7"/>
      <c r="U101" s="48">
        <f t="shared" ref="U101:U109" si="85">SUM(R101:T101)</f>
        <v>0</v>
      </c>
      <c r="V101" s="55">
        <f t="shared" ref="V101:V109" si="86">Q101+U101</f>
        <v>0</v>
      </c>
    </row>
    <row r="102" spans="1:22" x14ac:dyDescent="0.15">
      <c r="A102" s="18" t="s">
        <v>91</v>
      </c>
      <c r="B102" s="5">
        <v>3</v>
      </c>
      <c r="C102" s="6">
        <v>2</v>
      </c>
      <c r="D102" s="7">
        <v>2</v>
      </c>
      <c r="E102" s="48">
        <f t="shared" si="81"/>
        <v>7</v>
      </c>
      <c r="F102" s="8">
        <v>3</v>
      </c>
      <c r="G102" s="6">
        <v>2</v>
      </c>
      <c r="H102" s="7">
        <v>2</v>
      </c>
      <c r="I102" s="48">
        <f t="shared" si="82"/>
        <v>7</v>
      </c>
      <c r="J102" s="55">
        <f t="shared" si="83"/>
        <v>14</v>
      </c>
      <c r="K102" s="39">
        <v>46181</v>
      </c>
      <c r="L102" s="45"/>
      <c r="M102" s="20"/>
      <c r="N102" s="5"/>
      <c r="O102" s="6"/>
      <c r="P102" s="7"/>
      <c r="Q102" s="48">
        <f t="shared" si="84"/>
        <v>0</v>
      </c>
      <c r="R102" s="8"/>
      <c r="S102" s="6"/>
      <c r="T102" s="7"/>
      <c r="U102" s="48">
        <f t="shared" si="85"/>
        <v>0</v>
      </c>
      <c r="V102" s="55">
        <f t="shared" si="86"/>
        <v>0</v>
      </c>
    </row>
    <row r="103" spans="1:22" x14ac:dyDescent="0.15">
      <c r="A103" s="18" t="s">
        <v>92</v>
      </c>
      <c r="B103" s="5">
        <v>2</v>
      </c>
      <c r="C103" s="6">
        <v>4</v>
      </c>
      <c r="D103" s="7"/>
      <c r="E103" s="48">
        <f t="shared" si="81"/>
        <v>6</v>
      </c>
      <c r="F103" s="8">
        <v>2</v>
      </c>
      <c r="G103" s="6">
        <v>4</v>
      </c>
      <c r="H103" s="7"/>
      <c r="I103" s="48">
        <f t="shared" si="82"/>
        <v>6</v>
      </c>
      <c r="J103" s="55">
        <f t="shared" si="83"/>
        <v>12</v>
      </c>
      <c r="K103" s="39">
        <v>46185</v>
      </c>
      <c r="M103" s="17"/>
      <c r="N103" s="5"/>
      <c r="O103" s="6"/>
      <c r="P103" s="7"/>
      <c r="Q103" s="48">
        <f t="shared" si="84"/>
        <v>0</v>
      </c>
      <c r="R103" s="8"/>
      <c r="S103" s="6"/>
      <c r="T103" s="7"/>
      <c r="U103" s="48">
        <f t="shared" si="85"/>
        <v>0</v>
      </c>
      <c r="V103" s="55">
        <f t="shared" si="86"/>
        <v>0</v>
      </c>
    </row>
    <row r="104" spans="1:22" x14ac:dyDescent="0.15">
      <c r="A104" s="18" t="s">
        <v>93</v>
      </c>
      <c r="B104" s="5"/>
      <c r="C104" s="6">
        <v>2</v>
      </c>
      <c r="D104" s="7"/>
      <c r="E104" s="48">
        <f t="shared" si="81"/>
        <v>2</v>
      </c>
      <c r="F104" s="8"/>
      <c r="G104" s="6">
        <v>2</v>
      </c>
      <c r="H104" s="7"/>
      <c r="I104" s="48">
        <f t="shared" si="82"/>
        <v>2</v>
      </c>
      <c r="J104" s="55">
        <f t="shared" si="83"/>
        <v>4</v>
      </c>
      <c r="K104" s="39">
        <v>46185</v>
      </c>
      <c r="L104" s="45"/>
      <c r="M104" s="17"/>
      <c r="N104" s="5"/>
      <c r="O104" s="6"/>
      <c r="P104" s="7"/>
      <c r="Q104" s="48">
        <f t="shared" si="84"/>
        <v>0</v>
      </c>
      <c r="R104" s="8"/>
      <c r="S104" s="6"/>
      <c r="T104" s="7"/>
      <c r="U104" s="48">
        <f t="shared" si="85"/>
        <v>0</v>
      </c>
      <c r="V104" s="55">
        <f t="shared" si="86"/>
        <v>0</v>
      </c>
    </row>
    <row r="105" spans="1:22" x14ac:dyDescent="0.15">
      <c r="A105" s="18" t="s">
        <v>94</v>
      </c>
      <c r="B105" s="5">
        <v>1</v>
      </c>
      <c r="C105" s="6">
        <v>10</v>
      </c>
      <c r="D105" s="7"/>
      <c r="E105" s="48">
        <f t="shared" si="81"/>
        <v>11</v>
      </c>
      <c r="F105" s="8">
        <v>1</v>
      </c>
      <c r="G105" s="6">
        <v>10</v>
      </c>
      <c r="H105" s="7"/>
      <c r="I105" s="48">
        <f t="shared" si="82"/>
        <v>11</v>
      </c>
      <c r="J105" s="55">
        <f t="shared" si="83"/>
        <v>22</v>
      </c>
      <c r="K105" s="39">
        <v>46190</v>
      </c>
      <c r="L105" s="45"/>
      <c r="M105" s="40"/>
      <c r="N105" s="5"/>
      <c r="O105" s="6"/>
      <c r="P105" s="14"/>
      <c r="Q105" s="48">
        <f t="shared" si="84"/>
        <v>0</v>
      </c>
      <c r="R105" s="15"/>
      <c r="S105" s="13"/>
      <c r="T105" s="14"/>
      <c r="U105" s="48">
        <f t="shared" si="85"/>
        <v>0</v>
      </c>
      <c r="V105" s="55">
        <f t="shared" si="86"/>
        <v>0</v>
      </c>
    </row>
    <row r="106" spans="1:22" x14ac:dyDescent="0.15">
      <c r="A106" s="18" t="s">
        <v>95</v>
      </c>
      <c r="B106" s="5"/>
      <c r="C106" s="6">
        <v>2</v>
      </c>
      <c r="D106" s="7"/>
      <c r="E106" s="48">
        <f t="shared" si="81"/>
        <v>2</v>
      </c>
      <c r="F106" s="8"/>
      <c r="G106" s="6">
        <v>2</v>
      </c>
      <c r="H106" s="7"/>
      <c r="I106" s="48">
        <f t="shared" si="82"/>
        <v>2</v>
      </c>
      <c r="J106" s="55">
        <f t="shared" si="83"/>
        <v>4</v>
      </c>
      <c r="K106" s="39">
        <v>46191</v>
      </c>
      <c r="L106" s="45"/>
      <c r="M106" s="17"/>
      <c r="N106" s="5"/>
      <c r="O106" s="6"/>
      <c r="P106" s="7"/>
      <c r="Q106" s="48">
        <f t="shared" si="84"/>
        <v>0</v>
      </c>
      <c r="R106" s="8"/>
      <c r="S106" s="6"/>
      <c r="T106" s="7"/>
      <c r="U106" s="48">
        <f t="shared" si="85"/>
        <v>0</v>
      </c>
      <c r="V106" s="55">
        <f t="shared" si="86"/>
        <v>0</v>
      </c>
    </row>
    <row r="107" spans="1:22" x14ac:dyDescent="0.15">
      <c r="A107" s="18" t="s">
        <v>96</v>
      </c>
      <c r="B107" s="5">
        <v>1</v>
      </c>
      <c r="C107" s="6">
        <v>2</v>
      </c>
      <c r="D107" s="7">
        <v>1</v>
      </c>
      <c r="E107" s="48">
        <f t="shared" si="81"/>
        <v>4</v>
      </c>
      <c r="F107" s="8">
        <v>1</v>
      </c>
      <c r="G107" s="6">
        <v>2</v>
      </c>
      <c r="H107" s="7">
        <v>1</v>
      </c>
      <c r="I107" s="48">
        <f t="shared" si="82"/>
        <v>4</v>
      </c>
      <c r="J107" s="55">
        <f t="shared" si="83"/>
        <v>8</v>
      </c>
      <c r="K107" s="39">
        <v>46192</v>
      </c>
      <c r="L107" s="45"/>
      <c r="M107" s="40"/>
      <c r="N107" s="5"/>
      <c r="O107" s="6"/>
      <c r="P107" s="7"/>
      <c r="Q107" s="48">
        <f t="shared" si="84"/>
        <v>0</v>
      </c>
      <c r="R107" s="8"/>
      <c r="S107" s="6"/>
      <c r="T107" s="7"/>
      <c r="U107" s="48">
        <f t="shared" si="85"/>
        <v>0</v>
      </c>
      <c r="V107" s="55">
        <f t="shared" si="86"/>
        <v>0</v>
      </c>
    </row>
    <row r="108" spans="1:22" x14ac:dyDescent="0.15">
      <c r="A108" s="88" t="s">
        <v>97</v>
      </c>
      <c r="B108" s="74">
        <v>4</v>
      </c>
      <c r="C108" s="75">
        <v>1</v>
      </c>
      <c r="D108" s="76">
        <v>2</v>
      </c>
      <c r="E108" s="89">
        <f t="shared" si="81"/>
        <v>7</v>
      </c>
      <c r="F108" s="90">
        <v>4</v>
      </c>
      <c r="G108" s="75">
        <v>1</v>
      </c>
      <c r="H108" s="76">
        <v>2</v>
      </c>
      <c r="I108" s="89">
        <f t="shared" si="82"/>
        <v>7</v>
      </c>
      <c r="J108" s="91">
        <f t="shared" si="83"/>
        <v>14</v>
      </c>
      <c r="K108" s="67">
        <v>46192</v>
      </c>
      <c r="M108" s="17"/>
      <c r="N108" s="5"/>
      <c r="O108" s="6"/>
      <c r="P108" s="7"/>
      <c r="Q108" s="48">
        <f t="shared" si="84"/>
        <v>0</v>
      </c>
      <c r="R108" s="8"/>
      <c r="S108" s="6"/>
      <c r="T108" s="7"/>
      <c r="U108" s="48">
        <f t="shared" si="85"/>
        <v>0</v>
      </c>
      <c r="V108" s="55">
        <f t="shared" si="86"/>
        <v>0</v>
      </c>
    </row>
    <row r="109" spans="1:22" x14ac:dyDescent="0.15">
      <c r="A109" s="17"/>
      <c r="B109" s="5"/>
      <c r="C109" s="6"/>
      <c r="D109" s="7"/>
      <c r="E109" s="48">
        <f t="shared" si="81"/>
        <v>0</v>
      </c>
      <c r="F109" s="8"/>
      <c r="G109" s="6"/>
      <c r="H109" s="7"/>
      <c r="I109" s="48">
        <f t="shared" si="82"/>
        <v>0</v>
      </c>
      <c r="J109" s="55">
        <f t="shared" si="83"/>
        <v>0</v>
      </c>
      <c r="K109" s="39"/>
      <c r="M109" s="18"/>
      <c r="N109" s="9"/>
      <c r="O109" s="10"/>
      <c r="P109" s="11"/>
      <c r="Q109" s="48">
        <f t="shared" si="84"/>
        <v>0</v>
      </c>
      <c r="R109" s="12"/>
      <c r="S109" s="10"/>
      <c r="T109" s="11"/>
      <c r="U109" s="48">
        <f t="shared" si="85"/>
        <v>0</v>
      </c>
      <c r="V109" s="55">
        <f t="shared" si="86"/>
        <v>0</v>
      </c>
    </row>
    <row r="110" spans="1:22" x14ac:dyDescent="0.15">
      <c r="A110" s="17"/>
      <c r="B110" s="5"/>
      <c r="C110" s="6"/>
      <c r="D110" s="7"/>
      <c r="E110" s="48">
        <f t="shared" si="81"/>
        <v>0</v>
      </c>
      <c r="F110" s="8"/>
      <c r="G110" s="6"/>
      <c r="H110" s="7"/>
      <c r="I110" s="48">
        <f t="shared" si="82"/>
        <v>0</v>
      </c>
      <c r="J110" s="55">
        <f t="shared" si="83"/>
        <v>0</v>
      </c>
      <c r="K110" s="39"/>
      <c r="L110" s="45"/>
      <c r="M110" s="20"/>
      <c r="N110" s="5"/>
      <c r="O110" s="6"/>
      <c r="P110" s="7"/>
      <c r="Q110" s="48">
        <f>SUM(N110:P110)</f>
        <v>0</v>
      </c>
      <c r="R110" s="8"/>
      <c r="S110" s="6"/>
      <c r="T110" s="7"/>
      <c r="U110" s="48">
        <f>SUM(R110:T110)</f>
        <v>0</v>
      </c>
      <c r="V110" s="55">
        <f>Q110+U110</f>
        <v>0</v>
      </c>
    </row>
    <row r="111" spans="1:22" x14ac:dyDescent="0.15">
      <c r="A111" s="17"/>
      <c r="B111" s="5"/>
      <c r="C111" s="6"/>
      <c r="D111" s="7"/>
      <c r="E111" s="48">
        <f t="shared" si="81"/>
        <v>0</v>
      </c>
      <c r="F111" s="8"/>
      <c r="G111" s="6"/>
      <c r="H111" s="7"/>
      <c r="I111" s="48">
        <f t="shared" si="82"/>
        <v>0</v>
      </c>
      <c r="J111" s="55">
        <f t="shared" si="83"/>
        <v>0</v>
      </c>
      <c r="K111" s="39"/>
      <c r="L111" s="45"/>
      <c r="M111" s="40"/>
      <c r="N111" s="5"/>
      <c r="O111" s="6"/>
      <c r="P111" s="7"/>
      <c r="Q111" s="48">
        <f t="shared" ref="Q111:Q126" si="87">SUM(N111:P111)</f>
        <v>0</v>
      </c>
      <c r="R111" s="8"/>
      <c r="S111" s="6"/>
      <c r="T111" s="7"/>
      <c r="U111" s="48">
        <f t="shared" ref="U111:U126" si="88">SUM(R111:T111)</f>
        <v>0</v>
      </c>
      <c r="V111" s="55">
        <f t="shared" ref="V111:V125" si="89">Q111+U111</f>
        <v>0</v>
      </c>
    </row>
    <row r="112" spans="1:22" x14ac:dyDescent="0.15">
      <c r="A112" s="17"/>
      <c r="B112" s="5"/>
      <c r="C112" s="6"/>
      <c r="D112" s="7"/>
      <c r="E112" s="48">
        <f t="shared" si="81"/>
        <v>0</v>
      </c>
      <c r="F112" s="8"/>
      <c r="G112" s="6"/>
      <c r="H112" s="7"/>
      <c r="I112" s="48">
        <f t="shared" si="82"/>
        <v>0</v>
      </c>
      <c r="J112" s="55">
        <f t="shared" si="83"/>
        <v>0</v>
      </c>
      <c r="K112" s="39"/>
      <c r="L112" s="45"/>
      <c r="M112" s="40"/>
      <c r="N112" s="5"/>
      <c r="O112" s="6"/>
      <c r="P112" s="7"/>
      <c r="Q112" s="48">
        <f t="shared" si="87"/>
        <v>0</v>
      </c>
      <c r="R112" s="8"/>
      <c r="S112" s="6"/>
      <c r="T112" s="7"/>
      <c r="U112" s="48">
        <f t="shared" si="88"/>
        <v>0</v>
      </c>
      <c r="V112" s="55">
        <f t="shared" si="89"/>
        <v>0</v>
      </c>
    </row>
    <row r="113" spans="1:23" x14ac:dyDescent="0.15">
      <c r="A113" s="17"/>
      <c r="B113" s="5"/>
      <c r="C113" s="6"/>
      <c r="D113" s="7"/>
      <c r="E113" s="48">
        <f t="shared" si="81"/>
        <v>0</v>
      </c>
      <c r="F113" s="8"/>
      <c r="G113" s="6"/>
      <c r="H113" s="7"/>
      <c r="I113" s="48">
        <f t="shared" si="82"/>
        <v>0</v>
      </c>
      <c r="J113" s="55">
        <f t="shared" si="83"/>
        <v>0</v>
      </c>
      <c r="K113" s="39"/>
      <c r="L113" s="45"/>
      <c r="M113" s="18"/>
      <c r="N113" s="5"/>
      <c r="O113" s="6"/>
      <c r="P113" s="7"/>
      <c r="Q113" s="48">
        <f t="shared" si="87"/>
        <v>0</v>
      </c>
      <c r="R113" s="8"/>
      <c r="S113" s="6"/>
      <c r="T113" s="7"/>
      <c r="U113" s="48">
        <f t="shared" si="88"/>
        <v>0</v>
      </c>
      <c r="V113" s="55">
        <f t="shared" si="89"/>
        <v>0</v>
      </c>
    </row>
    <row r="114" spans="1:23" x14ac:dyDescent="0.15">
      <c r="A114" s="17"/>
      <c r="B114" s="5"/>
      <c r="C114" s="6"/>
      <c r="D114" s="7"/>
      <c r="E114" s="48">
        <f t="shared" si="81"/>
        <v>0</v>
      </c>
      <c r="F114" s="8"/>
      <c r="G114" s="6"/>
      <c r="H114" s="7"/>
      <c r="I114" s="48">
        <f t="shared" si="82"/>
        <v>0</v>
      </c>
      <c r="J114" s="55">
        <f t="shared" si="83"/>
        <v>0</v>
      </c>
      <c r="K114" s="39"/>
      <c r="L114" s="45"/>
      <c r="M114" s="18"/>
      <c r="N114" s="5"/>
      <c r="O114" s="6"/>
      <c r="P114" s="7"/>
      <c r="Q114" s="48">
        <f t="shared" si="87"/>
        <v>0</v>
      </c>
      <c r="R114" s="8"/>
      <c r="S114" s="6"/>
      <c r="T114" s="7"/>
      <c r="U114" s="48">
        <f t="shared" si="88"/>
        <v>0</v>
      </c>
      <c r="V114" s="55">
        <f t="shared" si="89"/>
        <v>0</v>
      </c>
    </row>
    <row r="115" spans="1:23" x14ac:dyDescent="0.15">
      <c r="A115" s="17"/>
      <c r="B115" s="5"/>
      <c r="C115" s="6"/>
      <c r="D115" s="7"/>
      <c r="E115" s="48">
        <f t="shared" si="81"/>
        <v>0</v>
      </c>
      <c r="F115" s="8"/>
      <c r="G115" s="6"/>
      <c r="H115" s="7"/>
      <c r="I115" s="48">
        <f t="shared" si="82"/>
        <v>0</v>
      </c>
      <c r="J115" s="55">
        <f t="shared" si="83"/>
        <v>0</v>
      </c>
      <c r="K115" s="39"/>
      <c r="M115" s="18"/>
      <c r="N115" s="5"/>
      <c r="O115" s="6"/>
      <c r="P115" s="7"/>
      <c r="Q115" s="48">
        <f t="shared" si="87"/>
        <v>0</v>
      </c>
      <c r="R115" s="8"/>
      <c r="S115" s="6"/>
      <c r="T115" s="7"/>
      <c r="U115" s="48">
        <f t="shared" si="88"/>
        <v>0</v>
      </c>
      <c r="V115" s="55">
        <f t="shared" si="89"/>
        <v>0</v>
      </c>
    </row>
    <row r="116" spans="1:23" x14ac:dyDescent="0.15">
      <c r="A116" s="17"/>
      <c r="B116" s="5"/>
      <c r="C116" s="6"/>
      <c r="D116" s="7"/>
      <c r="E116" s="48">
        <f t="shared" si="81"/>
        <v>0</v>
      </c>
      <c r="F116" s="8"/>
      <c r="G116" s="6"/>
      <c r="H116" s="7"/>
      <c r="I116" s="48">
        <f t="shared" si="82"/>
        <v>0</v>
      </c>
      <c r="J116" s="55">
        <f t="shared" si="83"/>
        <v>0</v>
      </c>
      <c r="K116" s="39"/>
      <c r="L116" s="45"/>
      <c r="M116" s="18"/>
      <c r="N116" s="5"/>
      <c r="O116" s="6"/>
      <c r="P116" s="7"/>
      <c r="Q116" s="48">
        <f t="shared" si="87"/>
        <v>0</v>
      </c>
      <c r="R116" s="8"/>
      <c r="S116" s="6"/>
      <c r="T116" s="7"/>
      <c r="U116" s="48">
        <f t="shared" si="88"/>
        <v>0</v>
      </c>
      <c r="V116" s="55">
        <f t="shared" si="89"/>
        <v>0</v>
      </c>
    </row>
    <row r="117" spans="1:23" x14ac:dyDescent="0.15">
      <c r="A117" s="17"/>
      <c r="B117" s="5"/>
      <c r="C117" s="6"/>
      <c r="D117" s="7"/>
      <c r="E117" s="48">
        <f t="shared" ref="E117:E126" si="90">SUM(B117:D117)</f>
        <v>0</v>
      </c>
      <c r="F117" s="8"/>
      <c r="G117" s="6"/>
      <c r="H117" s="7"/>
      <c r="I117" s="48">
        <f t="shared" ref="I117:I126" si="91">SUM(F117:H117)</f>
        <v>0</v>
      </c>
      <c r="J117" s="55">
        <f t="shared" ref="J117:J120" si="92">E117+I117</f>
        <v>0</v>
      </c>
      <c r="K117" s="39"/>
      <c r="L117" s="45"/>
      <c r="M117" s="18"/>
      <c r="N117" s="5"/>
      <c r="O117" s="6"/>
      <c r="P117" s="7"/>
      <c r="Q117" s="48">
        <f t="shared" si="87"/>
        <v>0</v>
      </c>
      <c r="R117" s="8"/>
      <c r="S117" s="6"/>
      <c r="T117" s="7"/>
      <c r="U117" s="48">
        <f t="shared" si="88"/>
        <v>0</v>
      </c>
      <c r="V117" s="55">
        <f t="shared" si="89"/>
        <v>0</v>
      </c>
    </row>
    <row r="118" spans="1:23" x14ac:dyDescent="0.15">
      <c r="A118" s="17"/>
      <c r="B118" s="5"/>
      <c r="C118" s="6"/>
      <c r="D118" s="7"/>
      <c r="E118" s="48">
        <f t="shared" si="90"/>
        <v>0</v>
      </c>
      <c r="F118" s="8"/>
      <c r="G118" s="6"/>
      <c r="H118" s="7"/>
      <c r="I118" s="48">
        <f t="shared" si="91"/>
        <v>0</v>
      </c>
      <c r="J118" s="55">
        <f t="shared" si="92"/>
        <v>0</v>
      </c>
      <c r="K118" s="39"/>
      <c r="L118" s="45"/>
      <c r="M118" s="18"/>
      <c r="N118" s="5"/>
      <c r="O118" s="6"/>
      <c r="P118" s="7"/>
      <c r="Q118" s="48">
        <f t="shared" si="87"/>
        <v>0</v>
      </c>
      <c r="R118" s="8"/>
      <c r="S118" s="6"/>
      <c r="T118" s="7"/>
      <c r="U118" s="48">
        <f t="shared" si="88"/>
        <v>0</v>
      </c>
      <c r="V118" s="55">
        <f t="shared" si="89"/>
        <v>0</v>
      </c>
    </row>
    <row r="119" spans="1:23" x14ac:dyDescent="0.15">
      <c r="A119" s="17"/>
      <c r="B119" s="5"/>
      <c r="C119" s="6"/>
      <c r="D119" s="7"/>
      <c r="E119" s="48">
        <f t="shared" si="90"/>
        <v>0</v>
      </c>
      <c r="F119" s="8"/>
      <c r="G119" s="6"/>
      <c r="H119" s="7"/>
      <c r="I119" s="48">
        <f t="shared" si="91"/>
        <v>0</v>
      </c>
      <c r="J119" s="55">
        <f t="shared" si="92"/>
        <v>0</v>
      </c>
      <c r="K119" s="39"/>
      <c r="L119" s="45"/>
      <c r="M119" s="18"/>
      <c r="N119" s="5"/>
      <c r="O119" s="6"/>
      <c r="P119" s="7"/>
      <c r="Q119" s="48">
        <f t="shared" si="87"/>
        <v>0</v>
      </c>
      <c r="R119" s="8"/>
      <c r="S119" s="6"/>
      <c r="T119" s="7"/>
      <c r="U119" s="48">
        <f t="shared" si="88"/>
        <v>0</v>
      </c>
      <c r="V119" s="55">
        <f t="shared" si="89"/>
        <v>0</v>
      </c>
    </row>
    <row r="120" spans="1:23" x14ac:dyDescent="0.15">
      <c r="A120" s="17"/>
      <c r="B120" s="5"/>
      <c r="C120" s="6"/>
      <c r="D120" s="7"/>
      <c r="E120" s="48">
        <f t="shared" si="90"/>
        <v>0</v>
      </c>
      <c r="F120" s="8"/>
      <c r="G120" s="6"/>
      <c r="H120" s="7"/>
      <c r="I120" s="48">
        <f t="shared" si="91"/>
        <v>0</v>
      </c>
      <c r="J120" s="55">
        <f t="shared" si="92"/>
        <v>0</v>
      </c>
      <c r="K120" s="39"/>
      <c r="M120" s="18"/>
      <c r="N120" s="5"/>
      <c r="O120" s="6"/>
      <c r="P120" s="7"/>
      <c r="Q120" s="48">
        <f t="shared" si="87"/>
        <v>0</v>
      </c>
      <c r="R120" s="8"/>
      <c r="S120" s="6"/>
      <c r="T120" s="7"/>
      <c r="U120" s="48">
        <f t="shared" si="88"/>
        <v>0</v>
      </c>
      <c r="V120" s="55">
        <f t="shared" si="89"/>
        <v>0</v>
      </c>
    </row>
    <row r="121" spans="1:23" x14ac:dyDescent="0.15">
      <c r="A121" s="17"/>
      <c r="B121" s="5"/>
      <c r="C121" s="6"/>
      <c r="D121" s="7"/>
      <c r="E121" s="48">
        <f t="shared" ref="E121:E123" si="93">SUM(B121:D121)</f>
        <v>0</v>
      </c>
      <c r="F121" s="8"/>
      <c r="G121" s="6"/>
      <c r="H121" s="7"/>
      <c r="I121" s="48">
        <f t="shared" ref="I121:I123" si="94">SUM(F121:H121)</f>
        <v>0</v>
      </c>
      <c r="J121" s="55">
        <f t="shared" ref="J121:J123" si="95">E121+I121</f>
        <v>0</v>
      </c>
      <c r="K121" s="39"/>
      <c r="M121" s="18"/>
      <c r="N121" s="5"/>
      <c r="O121" s="6"/>
      <c r="P121" s="7"/>
      <c r="Q121" s="48">
        <f t="shared" si="87"/>
        <v>0</v>
      </c>
      <c r="R121" s="8"/>
      <c r="S121" s="6"/>
      <c r="T121" s="7"/>
      <c r="U121" s="48">
        <f t="shared" si="88"/>
        <v>0</v>
      </c>
      <c r="V121" s="55">
        <f t="shared" si="89"/>
        <v>0</v>
      </c>
    </row>
    <row r="122" spans="1:23" x14ac:dyDescent="0.15">
      <c r="A122" s="17"/>
      <c r="B122" s="5"/>
      <c r="C122" s="6"/>
      <c r="D122" s="7"/>
      <c r="E122" s="48">
        <f t="shared" si="93"/>
        <v>0</v>
      </c>
      <c r="F122" s="8"/>
      <c r="G122" s="6"/>
      <c r="H122" s="7"/>
      <c r="I122" s="48">
        <f t="shared" si="94"/>
        <v>0</v>
      </c>
      <c r="J122" s="55">
        <f t="shared" si="95"/>
        <v>0</v>
      </c>
      <c r="K122" s="39"/>
      <c r="M122" s="78" t="s">
        <v>71</v>
      </c>
      <c r="N122" s="74">
        <v>20</v>
      </c>
      <c r="O122" s="75">
        <v>25</v>
      </c>
      <c r="P122" s="76">
        <v>20</v>
      </c>
      <c r="Q122" s="79">
        <f t="shared" si="87"/>
        <v>65</v>
      </c>
      <c r="R122" s="74">
        <v>20</v>
      </c>
      <c r="S122" s="75">
        <v>25</v>
      </c>
      <c r="T122" s="76">
        <v>20</v>
      </c>
      <c r="U122" s="79">
        <f t="shared" si="88"/>
        <v>65</v>
      </c>
      <c r="V122" s="80">
        <f t="shared" si="89"/>
        <v>130</v>
      </c>
      <c r="W122" s="67" t="s">
        <v>72</v>
      </c>
    </row>
    <row r="123" spans="1:23" x14ac:dyDescent="0.15">
      <c r="A123" s="17"/>
      <c r="B123" s="5"/>
      <c r="C123" s="6"/>
      <c r="D123" s="7"/>
      <c r="E123" s="48">
        <f t="shared" si="93"/>
        <v>0</v>
      </c>
      <c r="F123" s="8"/>
      <c r="G123" s="6"/>
      <c r="H123" s="7"/>
      <c r="I123" s="48">
        <f t="shared" si="94"/>
        <v>0</v>
      </c>
      <c r="J123" s="55">
        <f t="shared" si="95"/>
        <v>0</v>
      </c>
      <c r="K123" s="39"/>
      <c r="M123" s="78" t="s">
        <v>75</v>
      </c>
      <c r="N123" s="74">
        <v>20</v>
      </c>
      <c r="O123" s="75">
        <v>25</v>
      </c>
      <c r="P123" s="76">
        <v>20</v>
      </c>
      <c r="Q123" s="79">
        <f t="shared" si="87"/>
        <v>65</v>
      </c>
      <c r="R123" s="74">
        <v>20</v>
      </c>
      <c r="S123" s="75">
        <v>25</v>
      </c>
      <c r="T123" s="76">
        <v>20</v>
      </c>
      <c r="U123" s="79">
        <f t="shared" si="88"/>
        <v>65</v>
      </c>
      <c r="V123" s="80">
        <f t="shared" si="89"/>
        <v>130</v>
      </c>
      <c r="W123" s="67" t="s">
        <v>76</v>
      </c>
    </row>
    <row r="124" spans="1:23" x14ac:dyDescent="0.15">
      <c r="A124" s="17"/>
      <c r="B124" s="5"/>
      <c r="C124" s="6"/>
      <c r="D124" s="7"/>
      <c r="E124" s="48">
        <f t="shared" ref="E124" si="96">SUM(B124:D124)</f>
        <v>0</v>
      </c>
      <c r="F124" s="8"/>
      <c r="G124" s="6"/>
      <c r="H124" s="7"/>
      <c r="I124" s="48">
        <f t="shared" ref="I124" si="97">SUM(F124:H124)</f>
        <v>0</v>
      </c>
      <c r="J124" s="55">
        <f t="shared" ref="J124" si="98">E124+I124</f>
        <v>0</v>
      </c>
      <c r="K124" s="39"/>
      <c r="M124" s="78" t="s">
        <v>82</v>
      </c>
      <c r="N124" s="74">
        <v>10</v>
      </c>
      <c r="O124" s="75">
        <v>15</v>
      </c>
      <c r="P124" s="76">
        <v>10</v>
      </c>
      <c r="Q124" s="79">
        <f t="shared" ref="Q124" si="99">SUM(N124:P124)</f>
        <v>35</v>
      </c>
      <c r="R124" s="74">
        <v>10</v>
      </c>
      <c r="S124" s="75">
        <v>15</v>
      </c>
      <c r="T124" s="76">
        <v>10</v>
      </c>
      <c r="U124" s="79">
        <f t="shared" ref="U124" si="100">SUM(R124:T124)</f>
        <v>35</v>
      </c>
      <c r="V124" s="80">
        <f t="shared" ref="V124" si="101">Q124+U124</f>
        <v>70</v>
      </c>
      <c r="W124" s="67" t="s">
        <v>83</v>
      </c>
    </row>
    <row r="125" spans="1:23" ht="14.25" thickBot="1" x14ac:dyDescent="0.2">
      <c r="A125" s="17"/>
      <c r="B125" s="5"/>
      <c r="C125" s="6"/>
      <c r="D125" s="7"/>
      <c r="E125" s="48">
        <f t="shared" ref="E125" si="102">SUM(B125:D125)</f>
        <v>0</v>
      </c>
      <c r="F125" s="8"/>
      <c r="G125" s="6"/>
      <c r="H125" s="7"/>
      <c r="I125" s="48">
        <f t="shared" ref="I125" si="103">SUM(F125:H125)</f>
        <v>0</v>
      </c>
      <c r="J125" s="55">
        <f t="shared" ref="J125" si="104">E125+I125</f>
        <v>0</v>
      </c>
      <c r="K125" s="39"/>
      <c r="M125" s="78" t="s">
        <v>89</v>
      </c>
      <c r="N125" s="74">
        <v>10</v>
      </c>
      <c r="O125" s="75">
        <v>15</v>
      </c>
      <c r="P125" s="76">
        <v>10</v>
      </c>
      <c r="Q125" s="79">
        <f t="shared" si="87"/>
        <v>35</v>
      </c>
      <c r="R125" s="74">
        <v>10</v>
      </c>
      <c r="S125" s="75">
        <v>15</v>
      </c>
      <c r="T125" s="76">
        <v>10</v>
      </c>
      <c r="U125" s="79">
        <f t="shared" si="88"/>
        <v>35</v>
      </c>
      <c r="V125" s="80">
        <f t="shared" si="89"/>
        <v>70</v>
      </c>
      <c r="W125" s="67" t="s">
        <v>90</v>
      </c>
    </row>
    <row r="126" spans="1:23" ht="14.25" thickBot="1" x14ac:dyDescent="0.2">
      <c r="A126" s="31" t="s">
        <v>17</v>
      </c>
      <c r="B126" s="34">
        <f>SUM(B100:B125)</f>
        <v>11</v>
      </c>
      <c r="C126" s="35">
        <f t="shared" ref="C126:D126" si="105">SUM(C100:C125)</f>
        <v>27</v>
      </c>
      <c r="D126" s="38">
        <f t="shared" si="105"/>
        <v>5</v>
      </c>
      <c r="E126" s="52">
        <f t="shared" si="90"/>
        <v>43</v>
      </c>
      <c r="F126" s="34">
        <f>SUM(F100:F125)</f>
        <v>11</v>
      </c>
      <c r="G126" s="35">
        <f t="shared" ref="G126:H126" si="106">SUM(G100:G125)</f>
        <v>27</v>
      </c>
      <c r="H126" s="38">
        <f t="shared" si="106"/>
        <v>5</v>
      </c>
      <c r="I126" s="52">
        <f t="shared" si="91"/>
        <v>43</v>
      </c>
      <c r="J126" s="58">
        <f>E126+I126</f>
        <v>86</v>
      </c>
      <c r="K126" s="30"/>
      <c r="M126" s="31" t="s">
        <v>17</v>
      </c>
      <c r="N126" s="34">
        <f>SUM(N100:N125)</f>
        <v>60</v>
      </c>
      <c r="O126" s="35">
        <f t="shared" ref="O126:P126" si="107">SUM(O100:O125)</f>
        <v>80</v>
      </c>
      <c r="P126" s="38">
        <f t="shared" si="107"/>
        <v>60</v>
      </c>
      <c r="Q126" s="52">
        <f t="shared" si="87"/>
        <v>200</v>
      </c>
      <c r="R126" s="34">
        <f>SUM(R100:R125)</f>
        <v>60</v>
      </c>
      <c r="S126" s="35">
        <f t="shared" ref="S126:T126" si="108">SUM(S100:S125)</f>
        <v>80</v>
      </c>
      <c r="T126" s="38">
        <f t="shared" si="108"/>
        <v>60</v>
      </c>
      <c r="U126" s="52">
        <f t="shared" si="88"/>
        <v>200</v>
      </c>
      <c r="V126" s="58">
        <f>Q126+U126</f>
        <v>400</v>
      </c>
    </row>
    <row r="127" spans="1:23" ht="14.25" thickBot="1" x14ac:dyDescent="0.2">
      <c r="A127" s="16" t="s">
        <v>16</v>
      </c>
      <c r="B127" s="59">
        <f>B99-B126</f>
        <v>6</v>
      </c>
      <c r="C127" s="60">
        <f t="shared" ref="C127:D127" si="109">C99-C126</f>
        <v>8</v>
      </c>
      <c r="D127" s="61">
        <f t="shared" si="109"/>
        <v>7</v>
      </c>
      <c r="E127" s="53">
        <f>SUM(B127:D127)</f>
        <v>21</v>
      </c>
      <c r="F127" s="59">
        <f>F99-F126</f>
        <v>6</v>
      </c>
      <c r="G127" s="60">
        <f t="shared" ref="G127:H127" si="110">G99-G126</f>
        <v>8</v>
      </c>
      <c r="H127" s="61">
        <f t="shared" si="110"/>
        <v>7</v>
      </c>
      <c r="I127" s="53">
        <f>SUM(F127:H127)</f>
        <v>21</v>
      </c>
      <c r="J127" s="57">
        <f>E127+I127</f>
        <v>42</v>
      </c>
      <c r="M127" s="16" t="s">
        <v>16</v>
      </c>
      <c r="N127" s="59">
        <f>N99-N126</f>
        <v>-60</v>
      </c>
      <c r="O127" s="60">
        <f t="shared" ref="O127:P127" si="111">O99-O126</f>
        <v>-80</v>
      </c>
      <c r="P127" s="61">
        <f t="shared" si="111"/>
        <v>-60</v>
      </c>
      <c r="Q127" s="53">
        <f>SUM(N127:P127)</f>
        <v>-200</v>
      </c>
      <c r="R127" s="59">
        <f>R99-R126</f>
        <v>-60</v>
      </c>
      <c r="S127" s="60">
        <f t="shared" ref="S127:T127" si="112">S99-S126</f>
        <v>-80</v>
      </c>
      <c r="T127" s="61">
        <f t="shared" si="112"/>
        <v>-60</v>
      </c>
      <c r="U127" s="53">
        <f>SUM(R127:T127)</f>
        <v>-200</v>
      </c>
      <c r="V127" s="57">
        <f>Q127+U127</f>
        <v>-400</v>
      </c>
    </row>
  </sheetData>
  <mergeCells count="18">
    <mergeCell ref="V88:V89"/>
    <mergeCell ref="B88:E88"/>
    <mergeCell ref="F88:I88"/>
    <mergeCell ref="J88:J89"/>
    <mergeCell ref="N88:Q88"/>
    <mergeCell ref="R88:U88"/>
    <mergeCell ref="V2:V3"/>
    <mergeCell ref="B2:E2"/>
    <mergeCell ref="F2:I2"/>
    <mergeCell ref="J2:J3"/>
    <mergeCell ref="N2:Q2"/>
    <mergeCell ref="R2:U2"/>
    <mergeCell ref="V45:V46"/>
    <mergeCell ref="B45:E45"/>
    <mergeCell ref="F45:I45"/>
    <mergeCell ref="J45:J46"/>
    <mergeCell ref="N45:Q45"/>
    <mergeCell ref="R45:U45"/>
  </mergeCells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ガーゼ50CC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cp:lastPrinted>2018-05-21T08:37:08Z</cp:lastPrinted>
  <dcterms:created xsi:type="dcterms:W3CDTF">2017-08-26T01:27:44Z</dcterms:created>
  <dcterms:modified xsi:type="dcterms:W3CDTF">2026-06-18T00:15:55Z</dcterms:modified>
</cp:coreProperties>
</file>