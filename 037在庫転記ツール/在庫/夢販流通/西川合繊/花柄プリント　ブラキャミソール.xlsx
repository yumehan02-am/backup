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C0A66E7B-BEBC-4935-B4DC-9A2144B0D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花柄ブラキャミ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5" i="4" l="1"/>
  <c r="Q345" i="4"/>
  <c r="V345" i="4" s="1"/>
  <c r="U347" i="4"/>
  <c r="E347" i="4"/>
  <c r="I347" i="4"/>
  <c r="J347" i="4" s="1"/>
  <c r="U344" i="4"/>
  <c r="Q344" i="4"/>
  <c r="V344" i="4" s="1"/>
  <c r="I314" i="4"/>
  <c r="E314" i="4"/>
  <c r="J314" i="4" s="1"/>
  <c r="Q300" i="4"/>
  <c r="U300" i="4"/>
  <c r="V300" i="4" s="1"/>
  <c r="Q301" i="4"/>
  <c r="U301" i="4"/>
  <c r="V301" i="4"/>
  <c r="U303" i="4"/>
  <c r="Q303" i="4"/>
  <c r="V303" i="4" s="1"/>
  <c r="U302" i="4"/>
  <c r="Q302" i="4"/>
  <c r="V302" i="4" s="1"/>
  <c r="Q347" i="4"/>
  <c r="U346" i="4"/>
  <c r="Q346" i="4"/>
  <c r="V346" i="4" s="1"/>
  <c r="E322" i="4"/>
  <c r="J322" i="4" s="1"/>
  <c r="I322" i="4"/>
  <c r="E323" i="4"/>
  <c r="J323" i="4" s="1"/>
  <c r="I323" i="4"/>
  <c r="E324" i="4"/>
  <c r="I324" i="4"/>
  <c r="E325" i="4"/>
  <c r="I325" i="4"/>
  <c r="J325" i="4"/>
  <c r="E326" i="4"/>
  <c r="I326" i="4"/>
  <c r="E327" i="4"/>
  <c r="I327" i="4"/>
  <c r="E328" i="4"/>
  <c r="I328" i="4"/>
  <c r="E329" i="4"/>
  <c r="I329" i="4"/>
  <c r="J329" i="4"/>
  <c r="E330" i="4"/>
  <c r="I330" i="4"/>
  <c r="E331" i="4"/>
  <c r="J331" i="4" s="1"/>
  <c r="I331" i="4"/>
  <c r="E332" i="4"/>
  <c r="I332" i="4"/>
  <c r="E333" i="4"/>
  <c r="I333" i="4"/>
  <c r="J333" i="4" s="1"/>
  <c r="E334" i="4"/>
  <c r="I334" i="4"/>
  <c r="E335" i="4"/>
  <c r="I335" i="4"/>
  <c r="E336" i="4"/>
  <c r="I336" i="4"/>
  <c r="E337" i="4"/>
  <c r="I337" i="4"/>
  <c r="J337" i="4"/>
  <c r="E338" i="4"/>
  <c r="I338" i="4"/>
  <c r="E339" i="4"/>
  <c r="I339" i="4"/>
  <c r="E340" i="4"/>
  <c r="I340" i="4"/>
  <c r="J340" i="4" s="1"/>
  <c r="E341" i="4"/>
  <c r="I341" i="4"/>
  <c r="J341" i="4" s="1"/>
  <c r="E342" i="4"/>
  <c r="I342" i="4"/>
  <c r="E343" i="4"/>
  <c r="J343" i="4" s="1"/>
  <c r="I343" i="4"/>
  <c r="E344" i="4"/>
  <c r="I344" i="4"/>
  <c r="J344" i="4" s="1"/>
  <c r="E345" i="4"/>
  <c r="I345" i="4"/>
  <c r="J345" i="4"/>
  <c r="T348" i="4"/>
  <c r="S348" i="4"/>
  <c r="R348" i="4"/>
  <c r="P348" i="4"/>
  <c r="O348" i="4"/>
  <c r="N348" i="4"/>
  <c r="H348" i="4"/>
  <c r="G348" i="4"/>
  <c r="F348" i="4"/>
  <c r="D348" i="4"/>
  <c r="C348" i="4"/>
  <c r="B348" i="4"/>
  <c r="J346" i="4"/>
  <c r="I346" i="4"/>
  <c r="E346" i="4"/>
  <c r="V343" i="4"/>
  <c r="U343" i="4"/>
  <c r="Q343" i="4"/>
  <c r="U342" i="4"/>
  <c r="Q342" i="4"/>
  <c r="V342" i="4" s="1"/>
  <c r="U341" i="4"/>
  <c r="Q341" i="4"/>
  <c r="V341" i="4" s="1"/>
  <c r="V340" i="4"/>
  <c r="U340" i="4"/>
  <c r="Q340" i="4"/>
  <c r="V339" i="4"/>
  <c r="U339" i="4"/>
  <c r="Q339" i="4"/>
  <c r="U338" i="4"/>
  <c r="Q338" i="4"/>
  <c r="V338" i="4" s="1"/>
  <c r="U337" i="4"/>
  <c r="Q337" i="4"/>
  <c r="V337" i="4" s="1"/>
  <c r="V336" i="4"/>
  <c r="U336" i="4"/>
  <c r="Q336" i="4"/>
  <c r="V335" i="4"/>
  <c r="U335" i="4"/>
  <c r="Q335" i="4"/>
  <c r="U334" i="4"/>
  <c r="Q334" i="4"/>
  <c r="V334" i="4" s="1"/>
  <c r="U333" i="4"/>
  <c r="Q333" i="4"/>
  <c r="V333" i="4" s="1"/>
  <c r="V332" i="4"/>
  <c r="U332" i="4"/>
  <c r="Q332" i="4"/>
  <c r="V331" i="4"/>
  <c r="U331" i="4"/>
  <c r="Q331" i="4"/>
  <c r="U330" i="4"/>
  <c r="Q330" i="4"/>
  <c r="V330" i="4" s="1"/>
  <c r="U329" i="4"/>
  <c r="V329" i="4" s="1"/>
  <c r="Q329" i="4"/>
  <c r="V328" i="4"/>
  <c r="U328" i="4"/>
  <c r="Q328" i="4"/>
  <c r="V327" i="4"/>
  <c r="U327" i="4"/>
  <c r="Q327" i="4"/>
  <c r="U326" i="4"/>
  <c r="Q326" i="4"/>
  <c r="V326" i="4" s="1"/>
  <c r="U325" i="4"/>
  <c r="V325" i="4" s="1"/>
  <c r="Q325" i="4"/>
  <c r="V324" i="4"/>
  <c r="U324" i="4"/>
  <c r="Q324" i="4"/>
  <c r="V323" i="4"/>
  <c r="U323" i="4"/>
  <c r="Q323" i="4"/>
  <c r="U322" i="4"/>
  <c r="Q322" i="4"/>
  <c r="V322" i="4" s="1"/>
  <c r="U320" i="4"/>
  <c r="Q320" i="4"/>
  <c r="V320" i="4" s="1"/>
  <c r="I320" i="4"/>
  <c r="E320" i="4"/>
  <c r="U319" i="4"/>
  <c r="V319" i="4" s="1"/>
  <c r="Q319" i="4"/>
  <c r="I319" i="4"/>
  <c r="E319" i="4"/>
  <c r="V318" i="4"/>
  <c r="U318" i="4"/>
  <c r="Q318" i="4"/>
  <c r="I318" i="4"/>
  <c r="E318" i="4"/>
  <c r="U317" i="4"/>
  <c r="V317" i="4" s="1"/>
  <c r="Q317" i="4"/>
  <c r="I317" i="4"/>
  <c r="E317" i="4"/>
  <c r="U316" i="4"/>
  <c r="Q316" i="4"/>
  <c r="V316" i="4" s="1"/>
  <c r="I316" i="4"/>
  <c r="E316" i="4"/>
  <c r="J316" i="4" s="1"/>
  <c r="U315" i="4"/>
  <c r="V315" i="4" s="1"/>
  <c r="Q315" i="4"/>
  <c r="I315" i="4"/>
  <c r="E315" i="4"/>
  <c r="V314" i="4"/>
  <c r="U314" i="4"/>
  <c r="Q314" i="4"/>
  <c r="U313" i="4"/>
  <c r="V313" i="4" s="1"/>
  <c r="Q313" i="4"/>
  <c r="I313" i="4"/>
  <c r="E313" i="4"/>
  <c r="Q299" i="4"/>
  <c r="U299" i="4"/>
  <c r="V299" i="4"/>
  <c r="I303" i="4"/>
  <c r="E303" i="4"/>
  <c r="I302" i="4"/>
  <c r="E302" i="4"/>
  <c r="J302" i="4" s="1"/>
  <c r="N304" i="4"/>
  <c r="O304" i="4"/>
  <c r="P304" i="4"/>
  <c r="R304" i="4"/>
  <c r="T304" i="4"/>
  <c r="E278" i="4"/>
  <c r="I278" i="4"/>
  <c r="J278" i="4" s="1"/>
  <c r="E279" i="4"/>
  <c r="I279" i="4"/>
  <c r="J279" i="4" s="1"/>
  <c r="E280" i="4"/>
  <c r="I280" i="4"/>
  <c r="J280" i="4" s="1"/>
  <c r="E281" i="4"/>
  <c r="I281" i="4"/>
  <c r="J281" i="4" s="1"/>
  <c r="E282" i="4"/>
  <c r="I282" i="4"/>
  <c r="J282" i="4" s="1"/>
  <c r="E283" i="4"/>
  <c r="I283" i="4"/>
  <c r="J283" i="4" s="1"/>
  <c r="E284" i="4"/>
  <c r="I284" i="4"/>
  <c r="J284" i="4" s="1"/>
  <c r="E285" i="4"/>
  <c r="I285" i="4"/>
  <c r="J285" i="4" s="1"/>
  <c r="E269" i="4"/>
  <c r="I269" i="4"/>
  <c r="E270" i="4"/>
  <c r="I270" i="4"/>
  <c r="J270" i="4"/>
  <c r="E271" i="4"/>
  <c r="I271" i="4"/>
  <c r="J271" i="4" s="1"/>
  <c r="E259" i="4"/>
  <c r="I259" i="4"/>
  <c r="J259" i="4" s="1"/>
  <c r="H304" i="4"/>
  <c r="G304" i="4"/>
  <c r="F304" i="4"/>
  <c r="D304" i="4"/>
  <c r="C304" i="4"/>
  <c r="B304" i="4"/>
  <c r="I301" i="4"/>
  <c r="E301" i="4"/>
  <c r="J301" i="4" s="1"/>
  <c r="I300" i="4"/>
  <c r="E300" i="4"/>
  <c r="I299" i="4"/>
  <c r="E299" i="4"/>
  <c r="U298" i="4"/>
  <c r="Q298" i="4"/>
  <c r="V298" i="4" s="1"/>
  <c r="I298" i="4"/>
  <c r="E298" i="4"/>
  <c r="J298" i="4" s="1"/>
  <c r="U297" i="4"/>
  <c r="Q297" i="4"/>
  <c r="V297" i="4" s="1"/>
  <c r="I297" i="4"/>
  <c r="E297" i="4"/>
  <c r="U296" i="4"/>
  <c r="Q296" i="4"/>
  <c r="V296" i="4" s="1"/>
  <c r="I296" i="4"/>
  <c r="E296" i="4"/>
  <c r="U295" i="4"/>
  <c r="Q295" i="4"/>
  <c r="V295" i="4" s="1"/>
  <c r="I295" i="4"/>
  <c r="E295" i="4"/>
  <c r="J295" i="4" s="1"/>
  <c r="U294" i="4"/>
  <c r="Q294" i="4"/>
  <c r="V294" i="4" s="1"/>
  <c r="I294" i="4"/>
  <c r="E294" i="4"/>
  <c r="U293" i="4"/>
  <c r="Q293" i="4"/>
  <c r="V293" i="4" s="1"/>
  <c r="I293" i="4"/>
  <c r="E293" i="4"/>
  <c r="U292" i="4"/>
  <c r="Q292" i="4"/>
  <c r="V292" i="4" s="1"/>
  <c r="I292" i="4"/>
  <c r="E292" i="4"/>
  <c r="U291" i="4"/>
  <c r="Q291" i="4"/>
  <c r="V291" i="4" s="1"/>
  <c r="I291" i="4"/>
  <c r="E291" i="4"/>
  <c r="J291" i="4" s="1"/>
  <c r="U290" i="4"/>
  <c r="Q290" i="4"/>
  <c r="V290" i="4" s="1"/>
  <c r="I290" i="4"/>
  <c r="E290" i="4"/>
  <c r="U289" i="4"/>
  <c r="Q289" i="4"/>
  <c r="V289" i="4" s="1"/>
  <c r="I289" i="4"/>
  <c r="E289" i="4"/>
  <c r="U288" i="4"/>
  <c r="Q288" i="4"/>
  <c r="V288" i="4" s="1"/>
  <c r="I288" i="4"/>
  <c r="E288" i="4"/>
  <c r="U287" i="4"/>
  <c r="Q287" i="4"/>
  <c r="I287" i="4"/>
  <c r="E287" i="4"/>
  <c r="U286" i="4"/>
  <c r="Q286" i="4"/>
  <c r="V286" i="4" s="1"/>
  <c r="I286" i="4"/>
  <c r="E286" i="4"/>
  <c r="J286" i="4" s="1"/>
  <c r="U285" i="4"/>
  <c r="Q285" i="4"/>
  <c r="U284" i="4"/>
  <c r="Q284" i="4"/>
  <c r="V284" i="4" s="1"/>
  <c r="U283" i="4"/>
  <c r="Q283" i="4"/>
  <c r="U282" i="4"/>
  <c r="Q282" i="4"/>
  <c r="V282" i="4" s="1"/>
  <c r="U281" i="4"/>
  <c r="Q281" i="4"/>
  <c r="U280" i="4"/>
  <c r="Q280" i="4"/>
  <c r="V280" i="4" s="1"/>
  <c r="U279" i="4"/>
  <c r="Q279" i="4"/>
  <c r="U278" i="4"/>
  <c r="Q278" i="4"/>
  <c r="V278" i="4" s="1"/>
  <c r="U276" i="4"/>
  <c r="Q276" i="4"/>
  <c r="V276" i="4" s="1"/>
  <c r="I276" i="4"/>
  <c r="E276" i="4"/>
  <c r="U275" i="4"/>
  <c r="Q275" i="4"/>
  <c r="I275" i="4"/>
  <c r="E275" i="4"/>
  <c r="J275" i="4" s="1"/>
  <c r="U274" i="4"/>
  <c r="Q274" i="4"/>
  <c r="V274" i="4" s="1"/>
  <c r="I274" i="4"/>
  <c r="E274" i="4"/>
  <c r="U273" i="4"/>
  <c r="Q273" i="4"/>
  <c r="I273" i="4"/>
  <c r="E273" i="4"/>
  <c r="J273" i="4" s="1"/>
  <c r="U272" i="4"/>
  <c r="Q272" i="4"/>
  <c r="V272" i="4" s="1"/>
  <c r="I272" i="4"/>
  <c r="E272" i="4"/>
  <c r="U271" i="4"/>
  <c r="Q271" i="4"/>
  <c r="U270" i="4"/>
  <c r="Q270" i="4"/>
  <c r="V270" i="4" s="1"/>
  <c r="U269" i="4"/>
  <c r="Q269" i="4"/>
  <c r="T268" i="4"/>
  <c r="T277" i="4" s="1"/>
  <c r="S268" i="4"/>
  <c r="S277" i="4" s="1"/>
  <c r="R268" i="4"/>
  <c r="R277" i="4" s="1"/>
  <c r="P268" i="4"/>
  <c r="P277" i="4" s="1"/>
  <c r="O268" i="4"/>
  <c r="O277" i="4" s="1"/>
  <c r="N268" i="4"/>
  <c r="N277" i="4" s="1"/>
  <c r="I258" i="4"/>
  <c r="E258" i="4"/>
  <c r="J258" i="4" s="1"/>
  <c r="E234" i="4"/>
  <c r="I234" i="4"/>
  <c r="J234" i="4" s="1"/>
  <c r="E235" i="4"/>
  <c r="I235" i="4"/>
  <c r="E236" i="4"/>
  <c r="I236" i="4"/>
  <c r="E237" i="4"/>
  <c r="I237" i="4"/>
  <c r="E238" i="4"/>
  <c r="I238" i="4"/>
  <c r="E239" i="4"/>
  <c r="I239" i="4"/>
  <c r="E240" i="4"/>
  <c r="I240" i="4"/>
  <c r="E241" i="4"/>
  <c r="I241" i="4"/>
  <c r="E242" i="4"/>
  <c r="I242" i="4"/>
  <c r="J242" i="4"/>
  <c r="E243" i="4"/>
  <c r="I243" i="4"/>
  <c r="E244" i="4"/>
  <c r="I244" i="4"/>
  <c r="E245" i="4"/>
  <c r="I245" i="4"/>
  <c r="J245" i="4" s="1"/>
  <c r="E246" i="4"/>
  <c r="I246" i="4"/>
  <c r="J246" i="4" s="1"/>
  <c r="E247" i="4"/>
  <c r="I247" i="4"/>
  <c r="E248" i="4"/>
  <c r="I248" i="4"/>
  <c r="E249" i="4"/>
  <c r="I249" i="4"/>
  <c r="J249" i="4" s="1"/>
  <c r="E250" i="4"/>
  <c r="I250" i="4"/>
  <c r="J250" i="4"/>
  <c r="E225" i="4"/>
  <c r="I225" i="4"/>
  <c r="J225" i="4" s="1"/>
  <c r="E226" i="4"/>
  <c r="I226" i="4"/>
  <c r="E227" i="4"/>
  <c r="I227" i="4"/>
  <c r="E228" i="4"/>
  <c r="I228" i="4"/>
  <c r="J228" i="4" s="1"/>
  <c r="E229" i="4"/>
  <c r="I229" i="4"/>
  <c r="J229" i="4" s="1"/>
  <c r="E230" i="4"/>
  <c r="I230" i="4"/>
  <c r="H260" i="4"/>
  <c r="G260" i="4"/>
  <c r="F260" i="4"/>
  <c r="D260" i="4"/>
  <c r="C260" i="4"/>
  <c r="B260" i="4"/>
  <c r="I257" i="4"/>
  <c r="E257" i="4"/>
  <c r="J257" i="4" s="1"/>
  <c r="I256" i="4"/>
  <c r="E256" i="4"/>
  <c r="J256" i="4" s="1"/>
  <c r="I255" i="4"/>
  <c r="E255" i="4"/>
  <c r="J255" i="4" s="1"/>
  <c r="I254" i="4"/>
  <c r="E254" i="4"/>
  <c r="J254" i="4" s="1"/>
  <c r="I253" i="4"/>
  <c r="E253" i="4"/>
  <c r="I252" i="4"/>
  <c r="E252" i="4"/>
  <c r="J252" i="4" s="1"/>
  <c r="I251" i="4"/>
  <c r="E251" i="4"/>
  <c r="J251" i="4" s="1"/>
  <c r="I232" i="4"/>
  <c r="E232" i="4"/>
  <c r="I231" i="4"/>
  <c r="E231" i="4"/>
  <c r="J231" i="4" s="1"/>
  <c r="T260" i="4"/>
  <c r="S260" i="4"/>
  <c r="R260" i="4"/>
  <c r="U260" i="4" s="1"/>
  <c r="P260" i="4"/>
  <c r="O260" i="4"/>
  <c r="N260" i="4"/>
  <c r="U259" i="4"/>
  <c r="V259" i="4" s="1"/>
  <c r="Q259" i="4"/>
  <c r="U258" i="4"/>
  <c r="Q258" i="4"/>
  <c r="U257" i="4"/>
  <c r="Q257" i="4"/>
  <c r="U256" i="4"/>
  <c r="Q256" i="4"/>
  <c r="V256" i="4" s="1"/>
  <c r="U255" i="4"/>
  <c r="Q255" i="4"/>
  <c r="U254" i="4"/>
  <c r="Q254" i="4"/>
  <c r="V254" i="4" s="1"/>
  <c r="U253" i="4"/>
  <c r="Q253" i="4"/>
  <c r="V253" i="4" s="1"/>
  <c r="U252" i="4"/>
  <c r="Q252" i="4"/>
  <c r="U251" i="4"/>
  <c r="V251" i="4" s="1"/>
  <c r="Q251" i="4"/>
  <c r="U250" i="4"/>
  <c r="Q250" i="4"/>
  <c r="U249" i="4"/>
  <c r="Q249" i="4"/>
  <c r="U248" i="4"/>
  <c r="Q248" i="4"/>
  <c r="V248" i="4" s="1"/>
  <c r="U247" i="4"/>
  <c r="Q247" i="4"/>
  <c r="U246" i="4"/>
  <c r="Q246" i="4"/>
  <c r="V246" i="4" s="1"/>
  <c r="U245" i="4"/>
  <c r="Q245" i="4"/>
  <c r="V245" i="4" s="1"/>
  <c r="U244" i="4"/>
  <c r="Q244" i="4"/>
  <c r="V244" i="4" s="1"/>
  <c r="U243" i="4"/>
  <c r="V243" i="4" s="1"/>
  <c r="Q243" i="4"/>
  <c r="U242" i="4"/>
  <c r="Q242" i="4"/>
  <c r="U241" i="4"/>
  <c r="Q241" i="4"/>
  <c r="U240" i="4"/>
  <c r="Q240" i="4"/>
  <c r="V240" i="4" s="1"/>
  <c r="U239" i="4"/>
  <c r="Q239" i="4"/>
  <c r="U238" i="4"/>
  <c r="Q238" i="4"/>
  <c r="V238" i="4" s="1"/>
  <c r="U237" i="4"/>
  <c r="Q237" i="4"/>
  <c r="V237" i="4" s="1"/>
  <c r="U236" i="4"/>
  <c r="Q236" i="4"/>
  <c r="U235" i="4"/>
  <c r="V235" i="4" s="1"/>
  <c r="Q235" i="4"/>
  <c r="U234" i="4"/>
  <c r="Q234" i="4"/>
  <c r="U232" i="4"/>
  <c r="Q232" i="4"/>
  <c r="U231" i="4"/>
  <c r="Q231" i="4"/>
  <c r="U230" i="4"/>
  <c r="Q230" i="4"/>
  <c r="V230" i="4" s="1"/>
  <c r="U229" i="4"/>
  <c r="Q229" i="4"/>
  <c r="U228" i="4"/>
  <c r="Q228" i="4"/>
  <c r="V228" i="4" s="1"/>
  <c r="U227" i="4"/>
  <c r="Q227" i="4"/>
  <c r="V227" i="4" s="1"/>
  <c r="U226" i="4"/>
  <c r="Q226" i="4"/>
  <c r="U225" i="4"/>
  <c r="V225" i="4" s="1"/>
  <c r="Q225" i="4"/>
  <c r="I214" i="4"/>
  <c r="E214" i="4"/>
  <c r="I164" i="4"/>
  <c r="E164" i="4"/>
  <c r="I163" i="4"/>
  <c r="E163" i="4"/>
  <c r="I162" i="4"/>
  <c r="E162" i="4"/>
  <c r="I161" i="4"/>
  <c r="E161" i="4"/>
  <c r="I160" i="4"/>
  <c r="E160" i="4"/>
  <c r="I159" i="4"/>
  <c r="E159" i="4"/>
  <c r="I158" i="4"/>
  <c r="E158" i="4"/>
  <c r="I157" i="4"/>
  <c r="E157" i="4"/>
  <c r="I156" i="4"/>
  <c r="E156" i="4"/>
  <c r="I155" i="4"/>
  <c r="E155" i="4"/>
  <c r="I154" i="4"/>
  <c r="E154" i="4"/>
  <c r="I153" i="4"/>
  <c r="E153" i="4"/>
  <c r="I152" i="4"/>
  <c r="E152" i="4"/>
  <c r="I151" i="4"/>
  <c r="E151" i="4"/>
  <c r="I150" i="4"/>
  <c r="E150" i="4"/>
  <c r="I149" i="4"/>
  <c r="E149" i="4"/>
  <c r="I148" i="4"/>
  <c r="E148" i="4"/>
  <c r="I147" i="4"/>
  <c r="E147" i="4"/>
  <c r="I146" i="4"/>
  <c r="E146" i="4"/>
  <c r="I124" i="4"/>
  <c r="E124" i="4"/>
  <c r="I123" i="4"/>
  <c r="E123" i="4"/>
  <c r="I122" i="4"/>
  <c r="E122" i="4"/>
  <c r="I171" i="4"/>
  <c r="E171" i="4"/>
  <c r="I170" i="4"/>
  <c r="E170" i="4"/>
  <c r="I169" i="4"/>
  <c r="E169" i="4"/>
  <c r="E213" i="4"/>
  <c r="J213" i="4" s="1"/>
  <c r="I213" i="4"/>
  <c r="E190" i="4"/>
  <c r="I190" i="4"/>
  <c r="E181" i="4"/>
  <c r="I181" i="4"/>
  <c r="T216" i="4"/>
  <c r="S216" i="4"/>
  <c r="U216" i="4" s="1"/>
  <c r="R216" i="4"/>
  <c r="P216" i="4"/>
  <c r="O216" i="4"/>
  <c r="Q216" i="4" s="1"/>
  <c r="N216" i="4"/>
  <c r="H216" i="4"/>
  <c r="G216" i="4"/>
  <c r="F216" i="4"/>
  <c r="D216" i="4"/>
  <c r="C216" i="4"/>
  <c r="B216" i="4"/>
  <c r="U215" i="4"/>
  <c r="Q215" i="4"/>
  <c r="V215" i="4" s="1"/>
  <c r="I215" i="4"/>
  <c r="E215" i="4"/>
  <c r="U214" i="4"/>
  <c r="Q214" i="4"/>
  <c r="V214" i="4" s="1"/>
  <c r="U213" i="4"/>
  <c r="Q213" i="4"/>
  <c r="U212" i="4"/>
  <c r="Q212" i="4"/>
  <c r="I212" i="4"/>
  <c r="E212" i="4"/>
  <c r="U211" i="4"/>
  <c r="Q211" i="4"/>
  <c r="V211" i="4" s="1"/>
  <c r="I211" i="4"/>
  <c r="E211" i="4"/>
  <c r="J211" i="4" s="1"/>
  <c r="U210" i="4"/>
  <c r="Q210" i="4"/>
  <c r="V210" i="4" s="1"/>
  <c r="I210" i="4"/>
  <c r="E210" i="4"/>
  <c r="U209" i="4"/>
  <c r="Q209" i="4"/>
  <c r="V209" i="4" s="1"/>
  <c r="I209" i="4"/>
  <c r="E209" i="4"/>
  <c r="U208" i="4"/>
  <c r="Q208" i="4"/>
  <c r="I208" i="4"/>
  <c r="E208" i="4"/>
  <c r="U207" i="4"/>
  <c r="Q207" i="4"/>
  <c r="V207" i="4" s="1"/>
  <c r="I207" i="4"/>
  <c r="E207" i="4"/>
  <c r="U206" i="4"/>
  <c r="Q206" i="4"/>
  <c r="V206" i="4" s="1"/>
  <c r="I206" i="4"/>
  <c r="E206" i="4"/>
  <c r="U205" i="4"/>
  <c r="Q205" i="4"/>
  <c r="I205" i="4"/>
  <c r="E205" i="4"/>
  <c r="U204" i="4"/>
  <c r="Q204" i="4"/>
  <c r="I204" i="4"/>
  <c r="E204" i="4"/>
  <c r="U203" i="4"/>
  <c r="Q203" i="4"/>
  <c r="V203" i="4" s="1"/>
  <c r="I203" i="4"/>
  <c r="E203" i="4"/>
  <c r="U202" i="4"/>
  <c r="Q202" i="4"/>
  <c r="V202" i="4" s="1"/>
  <c r="I202" i="4"/>
  <c r="E202" i="4"/>
  <c r="J202" i="4" s="1"/>
  <c r="U201" i="4"/>
  <c r="Q201" i="4"/>
  <c r="V201" i="4" s="1"/>
  <c r="I201" i="4"/>
  <c r="E201" i="4"/>
  <c r="U200" i="4"/>
  <c r="Q200" i="4"/>
  <c r="I200" i="4"/>
  <c r="E200" i="4"/>
  <c r="U199" i="4"/>
  <c r="Q199" i="4"/>
  <c r="V199" i="4" s="1"/>
  <c r="I199" i="4"/>
  <c r="E199" i="4"/>
  <c r="U198" i="4"/>
  <c r="Q198" i="4"/>
  <c r="V198" i="4" s="1"/>
  <c r="I198" i="4"/>
  <c r="E198" i="4"/>
  <c r="U197" i="4"/>
  <c r="Q197" i="4"/>
  <c r="I197" i="4"/>
  <c r="E197" i="4"/>
  <c r="U196" i="4"/>
  <c r="Q196" i="4"/>
  <c r="I196" i="4"/>
  <c r="E196" i="4"/>
  <c r="U195" i="4"/>
  <c r="Q195" i="4"/>
  <c r="V195" i="4" s="1"/>
  <c r="I195" i="4"/>
  <c r="E195" i="4"/>
  <c r="U194" i="4"/>
  <c r="Q194" i="4"/>
  <c r="V194" i="4" s="1"/>
  <c r="I194" i="4"/>
  <c r="E194" i="4"/>
  <c r="J194" i="4" s="1"/>
  <c r="U193" i="4"/>
  <c r="Q193" i="4"/>
  <c r="V193" i="4" s="1"/>
  <c r="I193" i="4"/>
  <c r="E193" i="4"/>
  <c r="U192" i="4"/>
  <c r="Q192" i="4"/>
  <c r="I192" i="4"/>
  <c r="E192" i="4"/>
  <c r="U191" i="4"/>
  <c r="Q191" i="4"/>
  <c r="V191" i="4" s="1"/>
  <c r="I191" i="4"/>
  <c r="E191" i="4"/>
  <c r="U190" i="4"/>
  <c r="Q190" i="4"/>
  <c r="V190" i="4" s="1"/>
  <c r="U188" i="4"/>
  <c r="Q188" i="4"/>
  <c r="V188" i="4" s="1"/>
  <c r="I188" i="4"/>
  <c r="E188" i="4"/>
  <c r="J188" i="4" s="1"/>
  <c r="U187" i="4"/>
  <c r="Q187" i="4"/>
  <c r="V187" i="4" s="1"/>
  <c r="I187" i="4"/>
  <c r="E187" i="4"/>
  <c r="U186" i="4"/>
  <c r="Q186" i="4"/>
  <c r="I186" i="4"/>
  <c r="E186" i="4"/>
  <c r="U185" i="4"/>
  <c r="Q185" i="4"/>
  <c r="V185" i="4" s="1"/>
  <c r="I185" i="4"/>
  <c r="E185" i="4"/>
  <c r="U184" i="4"/>
  <c r="Q184" i="4"/>
  <c r="I184" i="4"/>
  <c r="E184" i="4"/>
  <c r="U183" i="4"/>
  <c r="Q183" i="4"/>
  <c r="V183" i="4" s="1"/>
  <c r="I183" i="4"/>
  <c r="E183" i="4"/>
  <c r="J183" i="4" s="1"/>
  <c r="U182" i="4"/>
  <c r="Q182" i="4"/>
  <c r="V182" i="4" s="1"/>
  <c r="I182" i="4"/>
  <c r="E182" i="4"/>
  <c r="U181" i="4"/>
  <c r="Q181" i="4"/>
  <c r="V181" i="4" s="1"/>
  <c r="E137" i="4"/>
  <c r="I137" i="4"/>
  <c r="E138" i="4"/>
  <c r="I138" i="4"/>
  <c r="J138" i="4"/>
  <c r="E165" i="4"/>
  <c r="I165" i="4"/>
  <c r="T172" i="4"/>
  <c r="S172" i="4"/>
  <c r="R172" i="4"/>
  <c r="P172" i="4"/>
  <c r="O172" i="4"/>
  <c r="Q172" i="4" s="1"/>
  <c r="N172" i="4"/>
  <c r="H172" i="4"/>
  <c r="G172" i="4"/>
  <c r="F172" i="4"/>
  <c r="D172" i="4"/>
  <c r="C172" i="4"/>
  <c r="B172" i="4"/>
  <c r="U171" i="4"/>
  <c r="Q171" i="4"/>
  <c r="U170" i="4"/>
  <c r="Q170" i="4"/>
  <c r="U169" i="4"/>
  <c r="V169" i="4" s="1"/>
  <c r="Q169" i="4"/>
  <c r="U168" i="4"/>
  <c r="Q168" i="4"/>
  <c r="I168" i="4"/>
  <c r="E168" i="4"/>
  <c r="U167" i="4"/>
  <c r="Q167" i="4"/>
  <c r="I167" i="4"/>
  <c r="E167" i="4"/>
  <c r="U166" i="4"/>
  <c r="Q166" i="4"/>
  <c r="I166" i="4"/>
  <c r="E166" i="4"/>
  <c r="U165" i="4"/>
  <c r="Q165" i="4"/>
  <c r="V165" i="4" s="1"/>
  <c r="U164" i="4"/>
  <c r="Q164" i="4"/>
  <c r="V164" i="4" s="1"/>
  <c r="U163" i="4"/>
  <c r="Q163" i="4"/>
  <c r="U162" i="4"/>
  <c r="Q162" i="4"/>
  <c r="V162" i="4" s="1"/>
  <c r="U161" i="4"/>
  <c r="Q161" i="4"/>
  <c r="V161" i="4" s="1"/>
  <c r="U160" i="4"/>
  <c r="Q160" i="4"/>
  <c r="U159" i="4"/>
  <c r="V159" i="4" s="1"/>
  <c r="Q159" i="4"/>
  <c r="U158" i="4"/>
  <c r="Q158" i="4"/>
  <c r="U157" i="4"/>
  <c r="Q157" i="4"/>
  <c r="V157" i="4" s="1"/>
  <c r="U156" i="4"/>
  <c r="Q156" i="4"/>
  <c r="V156" i="4" s="1"/>
  <c r="U155" i="4"/>
  <c r="Q155" i="4"/>
  <c r="V155" i="4" s="1"/>
  <c r="U154" i="4"/>
  <c r="Q154" i="4"/>
  <c r="U153" i="4"/>
  <c r="Q153" i="4"/>
  <c r="V153" i="4" s="1"/>
  <c r="U152" i="4"/>
  <c r="Q152" i="4"/>
  <c r="V152" i="4" s="1"/>
  <c r="U151" i="4"/>
  <c r="Q151" i="4"/>
  <c r="V151" i="4" s="1"/>
  <c r="U150" i="4"/>
  <c r="Q150" i="4"/>
  <c r="U149" i="4"/>
  <c r="Q149" i="4"/>
  <c r="V149" i="4" s="1"/>
  <c r="U148" i="4"/>
  <c r="Q148" i="4"/>
  <c r="V148" i="4" s="1"/>
  <c r="U147" i="4"/>
  <c r="Q147" i="4"/>
  <c r="V147" i="4" s="1"/>
  <c r="U146" i="4"/>
  <c r="Q146" i="4"/>
  <c r="U144" i="4"/>
  <c r="Q144" i="4"/>
  <c r="V144" i="4" s="1"/>
  <c r="I144" i="4"/>
  <c r="E144" i="4"/>
  <c r="J144" i="4" s="1"/>
  <c r="U143" i="4"/>
  <c r="Q143" i="4"/>
  <c r="V143" i="4" s="1"/>
  <c r="I143" i="4"/>
  <c r="E143" i="4"/>
  <c r="J143" i="4" s="1"/>
  <c r="U142" i="4"/>
  <c r="Q142" i="4"/>
  <c r="V142" i="4" s="1"/>
  <c r="I142" i="4"/>
  <c r="E142" i="4"/>
  <c r="U141" i="4"/>
  <c r="Q141" i="4"/>
  <c r="V141" i="4" s="1"/>
  <c r="I141" i="4"/>
  <c r="E141" i="4"/>
  <c r="U140" i="4"/>
  <c r="Q140" i="4"/>
  <c r="I140" i="4"/>
  <c r="E140" i="4"/>
  <c r="U139" i="4"/>
  <c r="Q139" i="4"/>
  <c r="V139" i="4" s="1"/>
  <c r="I139" i="4"/>
  <c r="E139" i="4"/>
  <c r="U138" i="4"/>
  <c r="Q138" i="4"/>
  <c r="V138" i="4" s="1"/>
  <c r="U137" i="4"/>
  <c r="Q137" i="4"/>
  <c r="V137" i="4" s="1"/>
  <c r="E106" i="4"/>
  <c r="I106" i="4"/>
  <c r="E127" i="4"/>
  <c r="I127" i="4"/>
  <c r="I83" i="4"/>
  <c r="E83" i="4"/>
  <c r="I82" i="4"/>
  <c r="E82" i="4"/>
  <c r="I38" i="4"/>
  <c r="E37" i="4"/>
  <c r="I37" i="4"/>
  <c r="Q39" i="4"/>
  <c r="U39" i="4"/>
  <c r="E38" i="4"/>
  <c r="T128" i="4"/>
  <c r="S128" i="4"/>
  <c r="R128" i="4"/>
  <c r="P128" i="4"/>
  <c r="O128" i="4"/>
  <c r="N128" i="4"/>
  <c r="Q128" i="4" s="1"/>
  <c r="H128" i="4"/>
  <c r="G128" i="4"/>
  <c r="F128" i="4"/>
  <c r="D128" i="4"/>
  <c r="C128" i="4"/>
  <c r="B128" i="4"/>
  <c r="U127" i="4"/>
  <c r="Q127" i="4"/>
  <c r="V127" i="4" s="1"/>
  <c r="U126" i="4"/>
  <c r="Q126" i="4"/>
  <c r="V126" i="4" s="1"/>
  <c r="I126" i="4"/>
  <c r="E126" i="4"/>
  <c r="U125" i="4"/>
  <c r="Q125" i="4"/>
  <c r="V125" i="4" s="1"/>
  <c r="I125" i="4"/>
  <c r="E125" i="4"/>
  <c r="J125" i="4" s="1"/>
  <c r="U124" i="4"/>
  <c r="Q124" i="4"/>
  <c r="V124" i="4" s="1"/>
  <c r="U123" i="4"/>
  <c r="Q123" i="4"/>
  <c r="V123" i="4" s="1"/>
  <c r="U122" i="4"/>
  <c r="Q122" i="4"/>
  <c r="V122" i="4" s="1"/>
  <c r="U121" i="4"/>
  <c r="Q121" i="4"/>
  <c r="V121" i="4" s="1"/>
  <c r="I121" i="4"/>
  <c r="E121" i="4"/>
  <c r="U120" i="4"/>
  <c r="Q120" i="4"/>
  <c r="V120" i="4" s="1"/>
  <c r="I120" i="4"/>
  <c r="E120" i="4"/>
  <c r="U119" i="4"/>
  <c r="Q119" i="4"/>
  <c r="V119" i="4" s="1"/>
  <c r="I119" i="4"/>
  <c r="E119" i="4"/>
  <c r="U118" i="4"/>
  <c r="Q118" i="4"/>
  <c r="V118" i="4" s="1"/>
  <c r="I118" i="4"/>
  <c r="E118" i="4"/>
  <c r="U117" i="4"/>
  <c r="Q117" i="4"/>
  <c r="V117" i="4" s="1"/>
  <c r="I117" i="4"/>
  <c r="E117" i="4"/>
  <c r="U116" i="4"/>
  <c r="Q116" i="4"/>
  <c r="V116" i="4" s="1"/>
  <c r="I116" i="4"/>
  <c r="E116" i="4"/>
  <c r="U115" i="4"/>
  <c r="Q115" i="4"/>
  <c r="V115" i="4" s="1"/>
  <c r="I115" i="4"/>
  <c r="E115" i="4"/>
  <c r="U114" i="4"/>
  <c r="Q114" i="4"/>
  <c r="V114" i="4" s="1"/>
  <c r="I114" i="4"/>
  <c r="E114" i="4"/>
  <c r="U113" i="4"/>
  <c r="Q113" i="4"/>
  <c r="V113" i="4" s="1"/>
  <c r="I113" i="4"/>
  <c r="E113" i="4"/>
  <c r="U112" i="4"/>
  <c r="Q112" i="4"/>
  <c r="V112" i="4" s="1"/>
  <c r="I112" i="4"/>
  <c r="E112" i="4"/>
  <c r="U111" i="4"/>
  <c r="Q111" i="4"/>
  <c r="V111" i="4" s="1"/>
  <c r="I111" i="4"/>
  <c r="E111" i="4"/>
  <c r="U110" i="4"/>
  <c r="Q110" i="4"/>
  <c r="V110" i="4" s="1"/>
  <c r="I110" i="4"/>
  <c r="E110" i="4"/>
  <c r="U109" i="4"/>
  <c r="Q109" i="4"/>
  <c r="V109" i="4" s="1"/>
  <c r="I109" i="4"/>
  <c r="E109" i="4"/>
  <c r="U108" i="4"/>
  <c r="Q108" i="4"/>
  <c r="V108" i="4" s="1"/>
  <c r="I108" i="4"/>
  <c r="E108" i="4"/>
  <c r="U107" i="4"/>
  <c r="Q107" i="4"/>
  <c r="V107" i="4" s="1"/>
  <c r="I107" i="4"/>
  <c r="E107" i="4"/>
  <c r="U106" i="4"/>
  <c r="Q106" i="4"/>
  <c r="V106" i="4" s="1"/>
  <c r="U105" i="4"/>
  <c r="Q105" i="4"/>
  <c r="V105" i="4" s="1"/>
  <c r="I105" i="4"/>
  <c r="E105" i="4"/>
  <c r="U104" i="4"/>
  <c r="Q104" i="4"/>
  <c r="V104" i="4" s="1"/>
  <c r="I104" i="4"/>
  <c r="E104" i="4"/>
  <c r="U103" i="4"/>
  <c r="Q103" i="4"/>
  <c r="V103" i="4" s="1"/>
  <c r="I103" i="4"/>
  <c r="E103" i="4"/>
  <c r="U102" i="4"/>
  <c r="Q102" i="4"/>
  <c r="V102" i="4" s="1"/>
  <c r="I102" i="4"/>
  <c r="E102" i="4"/>
  <c r="U100" i="4"/>
  <c r="Q100" i="4"/>
  <c r="V100" i="4" s="1"/>
  <c r="I100" i="4"/>
  <c r="E100" i="4"/>
  <c r="J100" i="4" s="1"/>
  <c r="U99" i="4"/>
  <c r="Q99" i="4"/>
  <c r="V99" i="4" s="1"/>
  <c r="I99" i="4"/>
  <c r="E99" i="4"/>
  <c r="U98" i="4"/>
  <c r="Q98" i="4"/>
  <c r="V98" i="4" s="1"/>
  <c r="I98" i="4"/>
  <c r="E98" i="4"/>
  <c r="J98" i="4" s="1"/>
  <c r="U97" i="4"/>
  <c r="Q97" i="4"/>
  <c r="V97" i="4" s="1"/>
  <c r="I97" i="4"/>
  <c r="E97" i="4"/>
  <c r="J97" i="4" s="1"/>
  <c r="U96" i="4"/>
  <c r="Q96" i="4"/>
  <c r="V96" i="4" s="1"/>
  <c r="I96" i="4"/>
  <c r="E96" i="4"/>
  <c r="J96" i="4" s="1"/>
  <c r="U95" i="4"/>
  <c r="Q95" i="4"/>
  <c r="V95" i="4" s="1"/>
  <c r="I95" i="4"/>
  <c r="E95" i="4"/>
  <c r="J95" i="4" s="1"/>
  <c r="U94" i="4"/>
  <c r="Q94" i="4"/>
  <c r="V94" i="4" s="1"/>
  <c r="I94" i="4"/>
  <c r="E94" i="4"/>
  <c r="U93" i="4"/>
  <c r="Q93" i="4"/>
  <c r="V93" i="4" s="1"/>
  <c r="I93" i="4"/>
  <c r="E93" i="4"/>
  <c r="Q81" i="4"/>
  <c r="U81" i="4"/>
  <c r="V81" i="4" s="1"/>
  <c r="Q82" i="4"/>
  <c r="U82" i="4"/>
  <c r="V82" i="4"/>
  <c r="Q83" i="4"/>
  <c r="U83" i="4"/>
  <c r="J342" i="4" l="1"/>
  <c r="J339" i="4"/>
  <c r="J338" i="4"/>
  <c r="J336" i="4"/>
  <c r="J335" i="4"/>
  <c r="J334" i="4"/>
  <c r="J320" i="4"/>
  <c r="J332" i="4"/>
  <c r="J330" i="4"/>
  <c r="J318" i="4"/>
  <c r="J328" i="4"/>
  <c r="V347" i="4"/>
  <c r="J327" i="4"/>
  <c r="I348" i="4"/>
  <c r="J326" i="4"/>
  <c r="J324" i="4"/>
  <c r="J313" i="4"/>
  <c r="J300" i="4"/>
  <c r="J299" i="4"/>
  <c r="J297" i="4"/>
  <c r="U348" i="4"/>
  <c r="Q348" i="4"/>
  <c r="E348" i="4"/>
  <c r="J315" i="4"/>
  <c r="J317" i="4"/>
  <c r="J319" i="4"/>
  <c r="J296" i="4"/>
  <c r="J294" i="4"/>
  <c r="J293" i="4"/>
  <c r="J292" i="4"/>
  <c r="J276" i="4"/>
  <c r="J303" i="4"/>
  <c r="S304" i="4"/>
  <c r="S305" i="4" s="1"/>
  <c r="S312" i="4" s="1"/>
  <c r="S321" i="4" s="1"/>
  <c r="S349" i="4" s="1"/>
  <c r="J290" i="4"/>
  <c r="J289" i="4"/>
  <c r="J274" i="4"/>
  <c r="J288" i="4"/>
  <c r="Q304" i="4"/>
  <c r="U304" i="4"/>
  <c r="P305" i="4"/>
  <c r="P312" i="4" s="1"/>
  <c r="P321" i="4" s="1"/>
  <c r="P349" i="4" s="1"/>
  <c r="N305" i="4"/>
  <c r="N312" i="4" s="1"/>
  <c r="N321" i="4" s="1"/>
  <c r="N349" i="4" s="1"/>
  <c r="T305" i="4"/>
  <c r="T312" i="4" s="1"/>
  <c r="T321" i="4" s="1"/>
  <c r="T349" i="4" s="1"/>
  <c r="R305" i="4"/>
  <c r="R312" i="4" s="1"/>
  <c r="O305" i="4"/>
  <c r="O312" i="4" s="1"/>
  <c r="O321" i="4" s="1"/>
  <c r="O349" i="4" s="1"/>
  <c r="J287" i="4"/>
  <c r="J272" i="4"/>
  <c r="I304" i="4"/>
  <c r="J269" i="4"/>
  <c r="J232" i="4"/>
  <c r="E304" i="4"/>
  <c r="Q277" i="4"/>
  <c r="U277" i="4"/>
  <c r="Q268" i="4"/>
  <c r="U268" i="4"/>
  <c r="V269" i="4"/>
  <c r="V271" i="4"/>
  <c r="V273" i="4"/>
  <c r="V275" i="4"/>
  <c r="V279" i="4"/>
  <c r="V281" i="4"/>
  <c r="V283" i="4"/>
  <c r="V285" i="4"/>
  <c r="V287" i="4"/>
  <c r="V216" i="4"/>
  <c r="V83" i="4"/>
  <c r="V39" i="4"/>
  <c r="J37" i="4"/>
  <c r="J82" i="4"/>
  <c r="J83" i="4"/>
  <c r="J140" i="4"/>
  <c r="V140" i="4"/>
  <c r="V146" i="4"/>
  <c r="V150" i="4"/>
  <c r="V154" i="4"/>
  <c r="V158" i="4"/>
  <c r="V160" i="4"/>
  <c r="V163" i="4"/>
  <c r="V166" i="4"/>
  <c r="V167" i="4"/>
  <c r="V168" i="4"/>
  <c r="V170" i="4"/>
  <c r="V171" i="4"/>
  <c r="U172" i="4"/>
  <c r="V172" i="4" s="1"/>
  <c r="V184" i="4"/>
  <c r="J185" i="4"/>
  <c r="V197" i="4"/>
  <c r="V205" i="4"/>
  <c r="V213" i="4"/>
  <c r="V226" i="4"/>
  <c r="V236" i="4"/>
  <c r="V252" i="4"/>
  <c r="J253" i="4"/>
  <c r="V186" i="4"/>
  <c r="J192" i="4"/>
  <c r="V192" i="4"/>
  <c r="V196" i="4"/>
  <c r="J200" i="4"/>
  <c r="V200" i="4"/>
  <c r="J203" i="4"/>
  <c r="J204" i="4"/>
  <c r="V204" i="4"/>
  <c r="J208" i="4"/>
  <c r="V208" i="4"/>
  <c r="V212" i="4"/>
  <c r="J181" i="4"/>
  <c r="J169" i="4"/>
  <c r="J170" i="4"/>
  <c r="J171" i="4"/>
  <c r="J122" i="4"/>
  <c r="J123" i="4"/>
  <c r="J124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214" i="4"/>
  <c r="V229" i="4"/>
  <c r="V231" i="4"/>
  <c r="V232" i="4"/>
  <c r="V234" i="4"/>
  <c r="V239" i="4"/>
  <c r="V241" i="4"/>
  <c r="V242" i="4"/>
  <c r="V247" i="4"/>
  <c r="V249" i="4"/>
  <c r="V250" i="4"/>
  <c r="V255" i="4"/>
  <c r="V257" i="4"/>
  <c r="V258" i="4"/>
  <c r="Q260" i="4"/>
  <c r="J230" i="4"/>
  <c r="J233" i="4" s="1"/>
  <c r="J226" i="4"/>
  <c r="J248" i="4"/>
  <c r="J247" i="4"/>
  <c r="J244" i="4"/>
  <c r="J243" i="4"/>
  <c r="J241" i="4"/>
  <c r="J238" i="4"/>
  <c r="J237" i="4"/>
  <c r="J227" i="4"/>
  <c r="J240" i="4"/>
  <c r="J239" i="4"/>
  <c r="J236" i="4"/>
  <c r="J235" i="4"/>
  <c r="J212" i="4"/>
  <c r="J210" i="4"/>
  <c r="J209" i="4"/>
  <c r="J187" i="4"/>
  <c r="J207" i="4"/>
  <c r="I260" i="4"/>
  <c r="E260" i="4"/>
  <c r="V260" i="4"/>
  <c r="J206" i="4"/>
  <c r="J205" i="4"/>
  <c r="J186" i="4"/>
  <c r="J201" i="4"/>
  <c r="J199" i="4"/>
  <c r="J198" i="4"/>
  <c r="J197" i="4"/>
  <c r="J196" i="4"/>
  <c r="J195" i="4"/>
  <c r="J184" i="4"/>
  <c r="J193" i="4"/>
  <c r="J182" i="4"/>
  <c r="J191" i="4"/>
  <c r="J190" i="4"/>
  <c r="J167" i="4"/>
  <c r="J168" i="4"/>
  <c r="J165" i="4"/>
  <c r="J166" i="4"/>
  <c r="J142" i="4"/>
  <c r="J141" i="4"/>
  <c r="J139" i="4"/>
  <c r="J215" i="4"/>
  <c r="I216" i="4"/>
  <c r="E216" i="4"/>
  <c r="J137" i="4"/>
  <c r="I172" i="4"/>
  <c r="E172" i="4"/>
  <c r="J121" i="4"/>
  <c r="J119" i="4"/>
  <c r="J117" i="4"/>
  <c r="J115" i="4"/>
  <c r="J94" i="4"/>
  <c r="J113" i="4"/>
  <c r="J111" i="4"/>
  <c r="J109" i="4"/>
  <c r="J93" i="4"/>
  <c r="J101" i="4" s="1"/>
  <c r="J107" i="4"/>
  <c r="J106" i="4"/>
  <c r="J105" i="4"/>
  <c r="J103" i="4"/>
  <c r="J127" i="4"/>
  <c r="J38" i="4"/>
  <c r="J99" i="4"/>
  <c r="J102" i="4"/>
  <c r="J104" i="4"/>
  <c r="J108" i="4"/>
  <c r="J110" i="4"/>
  <c r="J112" i="4"/>
  <c r="J114" i="4"/>
  <c r="J116" i="4"/>
  <c r="J118" i="4"/>
  <c r="J120" i="4"/>
  <c r="J126" i="4"/>
  <c r="E128" i="4"/>
  <c r="U128" i="4"/>
  <c r="V128" i="4" s="1"/>
  <c r="I128" i="4"/>
  <c r="J321" i="4" l="1"/>
  <c r="V348" i="4"/>
  <c r="J348" i="4"/>
  <c r="Q312" i="4"/>
  <c r="Q321" i="4"/>
  <c r="U312" i="4"/>
  <c r="R321" i="4"/>
  <c r="Q349" i="4"/>
  <c r="V304" i="4"/>
  <c r="Q305" i="4"/>
  <c r="U305" i="4"/>
  <c r="J277" i="4"/>
  <c r="J304" i="4"/>
  <c r="V268" i="4"/>
  <c r="V277" i="4"/>
  <c r="J260" i="4"/>
  <c r="J189" i="4"/>
  <c r="J216" i="4"/>
  <c r="J145" i="4"/>
  <c r="J172" i="4"/>
  <c r="J128" i="4"/>
  <c r="R349" i="4" l="1"/>
  <c r="U349" i="4" s="1"/>
  <c r="V349" i="4" s="1"/>
  <c r="U321" i="4"/>
  <c r="V321" i="4" s="1"/>
  <c r="V312" i="4"/>
  <c r="V305" i="4"/>
  <c r="Q50" i="4"/>
  <c r="U50" i="4"/>
  <c r="Q51" i="4"/>
  <c r="U51" i="4"/>
  <c r="Q52" i="4"/>
  <c r="U52" i="4"/>
  <c r="Q53" i="4"/>
  <c r="U53" i="4"/>
  <c r="Q29" i="4"/>
  <c r="U29" i="4"/>
  <c r="Q30" i="4"/>
  <c r="U30" i="4"/>
  <c r="Q31" i="4"/>
  <c r="U31" i="4"/>
  <c r="Q32" i="4"/>
  <c r="U32" i="4"/>
  <c r="Q33" i="4"/>
  <c r="U33" i="4"/>
  <c r="Q34" i="4"/>
  <c r="U34" i="4"/>
  <c r="Q35" i="4"/>
  <c r="U35" i="4"/>
  <c r="Q36" i="4"/>
  <c r="U36" i="4"/>
  <c r="Q37" i="4"/>
  <c r="U37" i="4"/>
  <c r="Q38" i="4"/>
  <c r="U38" i="4"/>
  <c r="Q6" i="4"/>
  <c r="U6" i="4"/>
  <c r="Q7" i="4"/>
  <c r="U7" i="4"/>
  <c r="V7" i="4" s="1"/>
  <c r="Q8" i="4"/>
  <c r="U8" i="4"/>
  <c r="V8" i="4" s="1"/>
  <c r="Q9" i="4"/>
  <c r="U9" i="4"/>
  <c r="Q10" i="4"/>
  <c r="U10" i="4"/>
  <c r="V10" i="4" l="1"/>
  <c r="V9" i="4"/>
  <c r="V6" i="4"/>
  <c r="V36" i="4"/>
  <c r="V52" i="4"/>
  <c r="V50" i="4"/>
  <c r="V35" i="4"/>
  <c r="V29" i="4"/>
  <c r="V38" i="4"/>
  <c r="V32" i="4"/>
  <c r="V51" i="4"/>
  <c r="V53" i="4"/>
  <c r="V31" i="4"/>
  <c r="V30" i="4"/>
  <c r="V37" i="4"/>
  <c r="V34" i="4"/>
  <c r="V33" i="4"/>
  <c r="Q49" i="4"/>
  <c r="U49" i="4"/>
  <c r="Q54" i="4"/>
  <c r="U54" i="4"/>
  <c r="Q55" i="4"/>
  <c r="U55" i="4"/>
  <c r="Q56" i="4"/>
  <c r="U56" i="4"/>
  <c r="Q58" i="4"/>
  <c r="U58" i="4"/>
  <c r="Q59" i="4"/>
  <c r="U59" i="4"/>
  <c r="Q60" i="4"/>
  <c r="U60" i="4"/>
  <c r="Q61" i="4"/>
  <c r="U61" i="4"/>
  <c r="Q62" i="4"/>
  <c r="U62" i="4"/>
  <c r="Q63" i="4"/>
  <c r="U63" i="4"/>
  <c r="Q64" i="4"/>
  <c r="U64" i="4"/>
  <c r="Q65" i="4"/>
  <c r="U65" i="4"/>
  <c r="Q66" i="4"/>
  <c r="U66" i="4"/>
  <c r="Q67" i="4"/>
  <c r="U67" i="4"/>
  <c r="Q68" i="4"/>
  <c r="U68" i="4"/>
  <c r="Q69" i="4"/>
  <c r="U69" i="4"/>
  <c r="Q70" i="4"/>
  <c r="U70" i="4"/>
  <c r="Q71" i="4"/>
  <c r="U71" i="4"/>
  <c r="Q72" i="4"/>
  <c r="U72" i="4"/>
  <c r="Q73" i="4"/>
  <c r="U73" i="4"/>
  <c r="Q74" i="4"/>
  <c r="U74" i="4"/>
  <c r="Q75" i="4"/>
  <c r="U75" i="4"/>
  <c r="Q76" i="4"/>
  <c r="U76" i="4"/>
  <c r="Q77" i="4"/>
  <c r="U77" i="4"/>
  <c r="Q78" i="4"/>
  <c r="U78" i="4"/>
  <c r="Q79" i="4"/>
  <c r="U79" i="4"/>
  <c r="Q80" i="4"/>
  <c r="U80" i="4"/>
  <c r="N84" i="4"/>
  <c r="O84" i="4"/>
  <c r="P84" i="4"/>
  <c r="R84" i="4"/>
  <c r="S84" i="4"/>
  <c r="T84" i="4"/>
  <c r="E49" i="4"/>
  <c r="I49" i="4"/>
  <c r="E50" i="4"/>
  <c r="I50" i="4"/>
  <c r="E51" i="4"/>
  <c r="I51" i="4"/>
  <c r="E52" i="4"/>
  <c r="I52" i="4"/>
  <c r="E53" i="4"/>
  <c r="I53" i="4"/>
  <c r="E54" i="4"/>
  <c r="I54" i="4"/>
  <c r="E55" i="4"/>
  <c r="I55" i="4"/>
  <c r="E56" i="4"/>
  <c r="I56" i="4"/>
  <c r="E58" i="4"/>
  <c r="I58" i="4"/>
  <c r="E59" i="4"/>
  <c r="I59" i="4"/>
  <c r="E60" i="4"/>
  <c r="I60" i="4"/>
  <c r="E61" i="4"/>
  <c r="I61" i="4"/>
  <c r="E62" i="4"/>
  <c r="I62" i="4"/>
  <c r="E63" i="4"/>
  <c r="I63" i="4"/>
  <c r="E64" i="4"/>
  <c r="I64" i="4"/>
  <c r="E65" i="4"/>
  <c r="I65" i="4"/>
  <c r="E66" i="4"/>
  <c r="I66" i="4"/>
  <c r="E67" i="4"/>
  <c r="I67" i="4"/>
  <c r="E68" i="4"/>
  <c r="I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E80" i="4"/>
  <c r="I80" i="4"/>
  <c r="E81" i="4"/>
  <c r="I81" i="4"/>
  <c r="B84" i="4"/>
  <c r="C84" i="4"/>
  <c r="D84" i="4"/>
  <c r="F84" i="4"/>
  <c r="G84" i="4"/>
  <c r="H84" i="4"/>
  <c r="Q4" i="4"/>
  <c r="U4" i="4"/>
  <c r="Q5" i="4"/>
  <c r="U5" i="4"/>
  <c r="Q11" i="4"/>
  <c r="U11" i="4"/>
  <c r="Q12" i="4"/>
  <c r="U12" i="4"/>
  <c r="N13" i="4"/>
  <c r="O13" i="4"/>
  <c r="P13" i="4"/>
  <c r="R13" i="4"/>
  <c r="S13" i="4"/>
  <c r="T13" i="4"/>
  <c r="Q14" i="4"/>
  <c r="U14" i="4"/>
  <c r="Q15" i="4"/>
  <c r="U15" i="4"/>
  <c r="Q16" i="4"/>
  <c r="U16" i="4"/>
  <c r="Q17" i="4"/>
  <c r="U17" i="4"/>
  <c r="Q18" i="4"/>
  <c r="U18" i="4"/>
  <c r="Q19" i="4"/>
  <c r="U19" i="4"/>
  <c r="Q20" i="4"/>
  <c r="U20" i="4"/>
  <c r="Q21" i="4"/>
  <c r="U21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N40" i="4"/>
  <c r="O40" i="4"/>
  <c r="P40" i="4"/>
  <c r="R40" i="4"/>
  <c r="S40" i="4"/>
  <c r="T40" i="4"/>
  <c r="V16" i="4" l="1"/>
  <c r="J78" i="4"/>
  <c r="V63" i="4"/>
  <c r="J79" i="4"/>
  <c r="J72" i="4"/>
  <c r="J71" i="4"/>
  <c r="J53" i="4"/>
  <c r="J66" i="4"/>
  <c r="J67" i="4"/>
  <c r="J59" i="4"/>
  <c r="J75" i="4"/>
  <c r="V73" i="4"/>
  <c r="J58" i="4"/>
  <c r="J68" i="4"/>
  <c r="V61" i="4"/>
  <c r="V22" i="4"/>
  <c r="V71" i="4"/>
  <c r="V18" i="4"/>
  <c r="J73" i="4"/>
  <c r="J51" i="4"/>
  <c r="V20" i="4"/>
  <c r="V28" i="4"/>
  <c r="V24" i="4"/>
  <c r="V75" i="4"/>
  <c r="V67" i="4"/>
  <c r="J61" i="4"/>
  <c r="J52" i="4"/>
  <c r="J50" i="4"/>
  <c r="V49" i="4"/>
  <c r="J77" i="4"/>
  <c r="V14" i="4"/>
  <c r="V5" i="4"/>
  <c r="J76" i="4"/>
  <c r="J69" i="4"/>
  <c r="J63" i="4"/>
  <c r="J54" i="4"/>
  <c r="V77" i="4"/>
  <c r="V74" i="4"/>
  <c r="J65" i="4"/>
  <c r="J56" i="4"/>
  <c r="V65" i="4"/>
  <c r="V55" i="4"/>
  <c r="J81" i="4"/>
  <c r="J70" i="4"/>
  <c r="J64" i="4"/>
  <c r="J55" i="4"/>
  <c r="V26" i="4"/>
  <c r="O41" i="4"/>
  <c r="O48" i="4" s="1"/>
  <c r="O57" i="4" s="1"/>
  <c r="O85" i="4" s="1"/>
  <c r="O92" i="4" s="1"/>
  <c r="O101" i="4" s="1"/>
  <c r="O129" i="4" s="1"/>
  <c r="O136" i="4" s="1"/>
  <c r="O145" i="4" s="1"/>
  <c r="O173" i="4" s="1"/>
  <c r="O180" i="4" s="1"/>
  <c r="O189" i="4" s="1"/>
  <c r="O217" i="4" s="1"/>
  <c r="O224" i="4" s="1"/>
  <c r="O233" i="4" s="1"/>
  <c r="O261" i="4" s="1"/>
  <c r="V11" i="4"/>
  <c r="J60" i="4"/>
  <c r="V79" i="4"/>
  <c r="V69" i="4"/>
  <c r="V62" i="4"/>
  <c r="V54" i="4"/>
  <c r="V56" i="4"/>
  <c r="V19" i="4"/>
  <c r="V21" i="4"/>
  <c r="V76" i="4"/>
  <c r="V23" i="4"/>
  <c r="V78" i="4"/>
  <c r="V66" i="4"/>
  <c r="V25" i="4"/>
  <c r="V12" i="4"/>
  <c r="J80" i="4"/>
  <c r="V80" i="4"/>
  <c r="V68" i="4"/>
  <c r="V58" i="4"/>
  <c r="Q40" i="4"/>
  <c r="V27" i="4"/>
  <c r="V15" i="4"/>
  <c r="V70" i="4"/>
  <c r="V17" i="4"/>
  <c r="P41" i="4"/>
  <c r="P48" i="4" s="1"/>
  <c r="P57" i="4" s="1"/>
  <c r="P85" i="4" s="1"/>
  <c r="P92" i="4" s="1"/>
  <c r="P101" i="4" s="1"/>
  <c r="P129" i="4" s="1"/>
  <c r="P136" i="4" s="1"/>
  <c r="P145" i="4" s="1"/>
  <c r="P173" i="4" s="1"/>
  <c r="P180" i="4" s="1"/>
  <c r="P189" i="4" s="1"/>
  <c r="P217" i="4" s="1"/>
  <c r="P224" i="4" s="1"/>
  <c r="P233" i="4" s="1"/>
  <c r="P261" i="4" s="1"/>
  <c r="J74" i="4"/>
  <c r="J62" i="4"/>
  <c r="J49" i="4"/>
  <c r="V72" i="4"/>
  <c r="V60" i="4"/>
  <c r="V59" i="4"/>
  <c r="V64" i="4"/>
  <c r="T41" i="4"/>
  <c r="T48" i="4" s="1"/>
  <c r="T57" i="4" s="1"/>
  <c r="T85" i="4" s="1"/>
  <c r="T92" i="4" s="1"/>
  <c r="T101" i="4" s="1"/>
  <c r="T129" i="4" s="1"/>
  <c r="T136" i="4" s="1"/>
  <c r="T145" i="4" s="1"/>
  <c r="T173" i="4" s="1"/>
  <c r="T180" i="4" s="1"/>
  <c r="T189" i="4" s="1"/>
  <c r="T217" i="4" s="1"/>
  <c r="T224" i="4" s="1"/>
  <c r="T233" i="4" s="1"/>
  <c r="T261" i="4" s="1"/>
  <c r="S41" i="4"/>
  <c r="S48" i="4" s="1"/>
  <c r="S57" i="4" s="1"/>
  <c r="S85" i="4" s="1"/>
  <c r="S92" i="4" s="1"/>
  <c r="S101" i="4" s="1"/>
  <c r="S129" i="4" s="1"/>
  <c r="S136" i="4" s="1"/>
  <c r="S145" i="4" s="1"/>
  <c r="S173" i="4" s="1"/>
  <c r="S180" i="4" s="1"/>
  <c r="S189" i="4" s="1"/>
  <c r="S217" i="4" s="1"/>
  <c r="S224" i="4" s="1"/>
  <c r="S233" i="4" s="1"/>
  <c r="S261" i="4" s="1"/>
  <c r="U13" i="4"/>
  <c r="V4" i="4"/>
  <c r="Q13" i="4"/>
  <c r="Q84" i="4"/>
  <c r="U84" i="4"/>
  <c r="I84" i="4"/>
  <c r="E84" i="4"/>
  <c r="N41" i="4"/>
  <c r="R41" i="4"/>
  <c r="R48" i="4" s="1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9" i="4"/>
  <c r="E39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12" i="4"/>
  <c r="E12" i="4"/>
  <c r="I11" i="4"/>
  <c r="E11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J84" i="4" l="1"/>
  <c r="J57" i="4"/>
  <c r="V40" i="4"/>
  <c r="U48" i="4"/>
  <c r="V13" i="4"/>
  <c r="U41" i="4"/>
  <c r="R57" i="4"/>
  <c r="U57" i="4" s="1"/>
  <c r="Q41" i="4"/>
  <c r="N48" i="4"/>
  <c r="V84" i="4"/>
  <c r="E40" i="4"/>
  <c r="J31" i="4"/>
  <c r="I13" i="4"/>
  <c r="J21" i="4"/>
  <c r="J6" i="4"/>
  <c r="J10" i="4"/>
  <c r="J22" i="4"/>
  <c r="J23" i="4"/>
  <c r="G41" i="4"/>
  <c r="G48" i="4" s="1"/>
  <c r="G57" i="4" s="1"/>
  <c r="G85" i="4" s="1"/>
  <c r="G92" i="4" s="1"/>
  <c r="G101" i="4" s="1"/>
  <c r="G129" i="4" s="1"/>
  <c r="G136" i="4" s="1"/>
  <c r="G145" i="4" s="1"/>
  <c r="G173" i="4" s="1"/>
  <c r="G180" i="4" s="1"/>
  <c r="G189" i="4" s="1"/>
  <c r="G217" i="4" s="1"/>
  <c r="G224" i="4" s="1"/>
  <c r="G233" i="4" s="1"/>
  <c r="G261" i="4" s="1"/>
  <c r="G268" i="4" s="1"/>
  <c r="G277" i="4" s="1"/>
  <c r="G305" i="4" s="1"/>
  <c r="G312" i="4" s="1"/>
  <c r="G321" i="4" s="1"/>
  <c r="G349" i="4" s="1"/>
  <c r="J32" i="4"/>
  <c r="J19" i="4"/>
  <c r="J29" i="4"/>
  <c r="J30" i="4"/>
  <c r="J39" i="4"/>
  <c r="J4" i="4"/>
  <c r="J8" i="4"/>
  <c r="J9" i="4"/>
  <c r="J12" i="4"/>
  <c r="J16" i="4"/>
  <c r="C41" i="4"/>
  <c r="C48" i="4" s="1"/>
  <c r="C57" i="4" s="1"/>
  <c r="C85" i="4" s="1"/>
  <c r="C92" i="4" s="1"/>
  <c r="C101" i="4" s="1"/>
  <c r="C129" i="4" s="1"/>
  <c r="C136" i="4" s="1"/>
  <c r="C145" i="4" s="1"/>
  <c r="C173" i="4" s="1"/>
  <c r="C180" i="4" s="1"/>
  <c r="C189" i="4" s="1"/>
  <c r="C217" i="4" s="1"/>
  <c r="C224" i="4" s="1"/>
  <c r="C233" i="4" s="1"/>
  <c r="C261" i="4" s="1"/>
  <c r="C268" i="4" s="1"/>
  <c r="C277" i="4" s="1"/>
  <c r="C305" i="4" s="1"/>
  <c r="C312" i="4" s="1"/>
  <c r="C321" i="4" s="1"/>
  <c r="C349" i="4" s="1"/>
  <c r="J18" i="4"/>
  <c r="J17" i="4"/>
  <c r="I40" i="4"/>
  <c r="J26" i="4"/>
  <c r="J28" i="4"/>
  <c r="B41" i="4"/>
  <c r="B48" i="4" s="1"/>
  <c r="E13" i="4"/>
  <c r="J7" i="4"/>
  <c r="J25" i="4"/>
  <c r="J35" i="4"/>
  <c r="J36" i="4"/>
  <c r="J20" i="4"/>
  <c r="J5" i="4"/>
  <c r="J14" i="4"/>
  <c r="F41" i="4"/>
  <c r="F48" i="4" s="1"/>
  <c r="H41" i="4"/>
  <c r="H48" i="4" s="1"/>
  <c r="H57" i="4" s="1"/>
  <c r="H85" i="4" s="1"/>
  <c r="H92" i="4" s="1"/>
  <c r="J11" i="4"/>
  <c r="J15" i="4"/>
  <c r="J24" i="4"/>
  <c r="J34" i="4"/>
  <c r="D41" i="4"/>
  <c r="D48" i="4" s="1"/>
  <c r="D57" i="4" s="1"/>
  <c r="D85" i="4" s="1"/>
  <c r="D92" i="4" s="1"/>
  <c r="D101" i="4" s="1"/>
  <c r="D129" i="4" s="1"/>
  <c r="D136" i="4" s="1"/>
  <c r="D145" i="4" s="1"/>
  <c r="D173" i="4" s="1"/>
  <c r="D180" i="4" s="1"/>
  <c r="D189" i="4" s="1"/>
  <c r="D217" i="4" s="1"/>
  <c r="D224" i="4" s="1"/>
  <c r="D233" i="4" s="1"/>
  <c r="D261" i="4" s="1"/>
  <c r="D268" i="4" s="1"/>
  <c r="D277" i="4" s="1"/>
  <c r="D305" i="4" s="1"/>
  <c r="D312" i="4" s="1"/>
  <c r="D321" i="4" s="1"/>
  <c r="D349" i="4" s="1"/>
  <c r="J27" i="4"/>
  <c r="J33" i="4"/>
  <c r="H101" i="4" l="1"/>
  <c r="H129" i="4" s="1"/>
  <c r="H136" i="4" s="1"/>
  <c r="H145" i="4" s="1"/>
  <c r="H173" i="4" s="1"/>
  <c r="H180" i="4" s="1"/>
  <c r="H189" i="4" s="1"/>
  <c r="H217" i="4" s="1"/>
  <c r="H224" i="4" s="1"/>
  <c r="H233" i="4" s="1"/>
  <c r="H261" i="4" s="1"/>
  <c r="H268" i="4" s="1"/>
  <c r="H277" i="4" s="1"/>
  <c r="H305" i="4" s="1"/>
  <c r="H312" i="4" s="1"/>
  <c r="H321" i="4" s="1"/>
  <c r="H349" i="4" s="1"/>
  <c r="V41" i="4"/>
  <c r="R85" i="4"/>
  <c r="N57" i="4"/>
  <c r="Q48" i="4"/>
  <c r="V48" i="4" s="1"/>
  <c r="F57" i="4"/>
  <c r="I48" i="4"/>
  <c r="B57" i="4"/>
  <c r="E48" i="4"/>
  <c r="J13" i="4"/>
  <c r="J40" i="4"/>
  <c r="I41" i="4"/>
  <c r="E41" i="4"/>
  <c r="U85" i="4" l="1"/>
  <c r="R92" i="4"/>
  <c r="N85" i="4"/>
  <c r="Q57" i="4"/>
  <c r="V57" i="4" s="1"/>
  <c r="J48" i="4"/>
  <c r="F85" i="4"/>
  <c r="I57" i="4"/>
  <c r="B85" i="4"/>
  <c r="E57" i="4"/>
  <c r="J41" i="4"/>
  <c r="E85" i="4" l="1"/>
  <c r="B92" i="4"/>
  <c r="Q85" i="4"/>
  <c r="V85" i="4" s="1"/>
  <c r="N92" i="4"/>
  <c r="U92" i="4"/>
  <c r="R101" i="4"/>
  <c r="I85" i="4"/>
  <c r="F92" i="4"/>
  <c r="J85" i="4" l="1"/>
  <c r="R129" i="4"/>
  <c r="U101" i="4"/>
  <c r="N101" i="4"/>
  <c r="Q92" i="4"/>
  <c r="V92" i="4" s="1"/>
  <c r="E92" i="4"/>
  <c r="B101" i="4"/>
  <c r="F101" i="4"/>
  <c r="I92" i="4"/>
  <c r="U129" i="4" l="1"/>
  <c r="R136" i="4"/>
  <c r="F129" i="4"/>
  <c r="I101" i="4"/>
  <c r="J92" i="4"/>
  <c r="N129" i="4"/>
  <c r="Q101" i="4"/>
  <c r="V101" i="4" s="1"/>
  <c r="B129" i="4"/>
  <c r="E101" i="4"/>
  <c r="Q129" i="4" l="1"/>
  <c r="V129" i="4" s="1"/>
  <c r="N136" i="4"/>
  <c r="R145" i="4"/>
  <c r="U136" i="4"/>
  <c r="I129" i="4"/>
  <c r="F136" i="4"/>
  <c r="E129" i="4"/>
  <c r="B136" i="4"/>
  <c r="J129" i="4"/>
  <c r="N145" i="4" l="1"/>
  <c r="Q136" i="4"/>
  <c r="V136" i="4" s="1"/>
  <c r="R173" i="4"/>
  <c r="U145" i="4"/>
  <c r="I136" i="4"/>
  <c r="F145" i="4"/>
  <c r="E136" i="4"/>
  <c r="J136" i="4" s="1"/>
  <c r="B145" i="4"/>
  <c r="U173" i="4" l="1"/>
  <c r="R180" i="4"/>
  <c r="Q145" i="4"/>
  <c r="V145" i="4" s="1"/>
  <c r="N173" i="4"/>
  <c r="F173" i="4"/>
  <c r="I145" i="4"/>
  <c r="B173" i="4"/>
  <c r="E145" i="4"/>
  <c r="Q173" i="4" l="1"/>
  <c r="V173" i="4" s="1"/>
  <c r="N180" i="4"/>
  <c r="R189" i="4"/>
  <c r="U180" i="4"/>
  <c r="I173" i="4"/>
  <c r="F180" i="4"/>
  <c r="E173" i="4"/>
  <c r="J173" i="4" s="1"/>
  <c r="B180" i="4"/>
  <c r="N189" i="4" l="1"/>
  <c r="Q180" i="4"/>
  <c r="V180" i="4" s="1"/>
  <c r="R217" i="4"/>
  <c r="U189" i="4"/>
  <c r="I180" i="4"/>
  <c r="F189" i="4"/>
  <c r="E180" i="4"/>
  <c r="B189" i="4"/>
  <c r="U217" i="4" l="1"/>
  <c r="R224" i="4"/>
  <c r="N217" i="4"/>
  <c r="Q189" i="4"/>
  <c r="V189" i="4" s="1"/>
  <c r="J180" i="4"/>
  <c r="F217" i="4"/>
  <c r="I189" i="4"/>
  <c r="B217" i="4"/>
  <c r="E189" i="4"/>
  <c r="R233" i="4" l="1"/>
  <c r="U224" i="4"/>
  <c r="Q217" i="4"/>
  <c r="V217" i="4" s="1"/>
  <c r="N224" i="4"/>
  <c r="I217" i="4"/>
  <c r="F224" i="4"/>
  <c r="E217" i="4"/>
  <c r="J217" i="4" s="1"/>
  <c r="B224" i="4"/>
  <c r="N233" i="4" l="1"/>
  <c r="Q224" i="4"/>
  <c r="V224" i="4" s="1"/>
  <c r="U233" i="4"/>
  <c r="R261" i="4"/>
  <c r="U261" i="4" s="1"/>
  <c r="I224" i="4"/>
  <c r="F233" i="4"/>
  <c r="E224" i="4"/>
  <c r="J224" i="4" s="1"/>
  <c r="B233" i="4"/>
  <c r="Q233" i="4" l="1"/>
  <c r="V233" i="4" s="1"/>
  <c r="N261" i="4"/>
  <c r="Q261" i="4" s="1"/>
  <c r="V261" i="4" s="1"/>
  <c r="F261" i="4"/>
  <c r="I233" i="4"/>
  <c r="B261" i="4"/>
  <c r="E233" i="4"/>
  <c r="E261" i="4" l="1"/>
  <c r="B268" i="4"/>
  <c r="I261" i="4"/>
  <c r="F268" i="4"/>
  <c r="I268" i="4" l="1"/>
  <c r="F277" i="4"/>
  <c r="E268" i="4"/>
  <c r="J268" i="4" s="1"/>
  <c r="B277" i="4"/>
  <c r="J261" i="4"/>
  <c r="E277" i="4" l="1"/>
  <c r="B305" i="4"/>
  <c r="I277" i="4"/>
  <c r="F305" i="4"/>
  <c r="I305" i="4" l="1"/>
  <c r="F312" i="4"/>
  <c r="E305" i="4"/>
  <c r="B312" i="4"/>
  <c r="J305" i="4"/>
  <c r="F321" i="4" l="1"/>
  <c r="I312" i="4"/>
  <c r="E312" i="4"/>
  <c r="B321" i="4"/>
  <c r="J312" i="4" l="1"/>
  <c r="F349" i="4"/>
  <c r="I349" i="4" s="1"/>
  <c r="I321" i="4"/>
  <c r="B349" i="4"/>
  <c r="E349" i="4" s="1"/>
  <c r="E321" i="4"/>
  <c r="J349" i="4" l="1"/>
</calcChain>
</file>

<file path=xl/sharedStrings.xml><?xml version="1.0" encoding="utf-8"?>
<sst xmlns="http://schemas.openxmlformats.org/spreadsheetml/2006/main" count="606" uniqueCount="215">
  <si>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</si>
  <si>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</si>
  <si>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</si>
  <si>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</si>
  <si>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</si>
  <si>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</si>
  <si>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</si>
  <si>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</si>
  <si>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</si>
  <si>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</si>
  <si>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</si>
  <si>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</si>
  <si>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</si>
  <si>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</si>
  <si>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</si>
  <si>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</si>
  <si>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</si>
  <si>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</si>
  <si>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</si>
  <si>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</si>
  <si>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</si>
  <si>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ピーチ</t>
    <phoneticPr fontId="2"/>
  </si>
  <si>
    <t>パープル</t>
    <phoneticPr fontId="2"/>
  </si>
  <si>
    <t>＜No.11858   花柄プリント　ブラキャミソール＞夢販在庫 1枚M/L@900 LL@950</t>
    <rPh sb="28" eb="29">
      <t>ユメ</t>
    </rPh>
    <rPh sb="29" eb="30">
      <t>ハン</t>
    </rPh>
    <rPh sb="30" eb="32">
      <t>ザイコ</t>
    </rPh>
    <rPh sb="34" eb="35">
      <t>マイ</t>
    </rPh>
    <phoneticPr fontId="2"/>
  </si>
  <si>
    <t>＜No. 11858  花柄プリント　ブラキャミソール＞西川合繊 1枚M/L@900 LL@950</t>
    <rPh sb="28" eb="32">
      <t>ニシカワゴウセン</t>
    </rPh>
    <rPh sb="34" eb="35">
      <t>マイ</t>
    </rPh>
    <phoneticPr fontId="2"/>
  </si>
  <si>
    <t>IEI使ってヨカッタ4月号2色組</t>
    <rPh sb="3" eb="4">
      <t>ツカ</t>
    </rPh>
    <rPh sb="11" eb="13">
      <t>ガツゴウ</t>
    </rPh>
    <rPh sb="14" eb="16">
      <t>ショククミ</t>
    </rPh>
    <phoneticPr fontId="6"/>
  </si>
  <si>
    <t>4/8～</t>
    <phoneticPr fontId="6"/>
  </si>
  <si>
    <t>ロイヤルステージ2色組4月</t>
    <rPh sb="9" eb="11">
      <t>ショクグミ</t>
    </rPh>
    <rPh sb="12" eb="13">
      <t>ガツ</t>
    </rPh>
    <phoneticPr fontId="6"/>
  </si>
  <si>
    <t>4/11～</t>
    <phoneticPr fontId="6"/>
  </si>
  <si>
    <t>JOD特別版0519/2色組</t>
    <rPh sb="3" eb="6">
      <t>トクベツバン</t>
    </rPh>
    <rPh sb="12" eb="14">
      <t>ショククミ</t>
    </rPh>
    <phoneticPr fontId="6"/>
  </si>
  <si>
    <t>5/18～</t>
    <phoneticPr fontId="6"/>
  </si>
  <si>
    <t>IEI使ってヨカッタ4月号2色組①</t>
    <rPh sb="3" eb="4">
      <t>ツカ</t>
    </rPh>
    <rPh sb="11" eb="13">
      <t>ガツゴウ</t>
    </rPh>
    <rPh sb="14" eb="16">
      <t>ショククミ</t>
    </rPh>
    <phoneticPr fontId="6"/>
  </si>
  <si>
    <t>ロイヤルステージ2色組4月①</t>
    <rPh sb="9" eb="11">
      <t>ショクグミ</t>
    </rPh>
    <rPh sb="12" eb="13">
      <t>ガツ</t>
    </rPh>
    <phoneticPr fontId="6"/>
  </si>
  <si>
    <t>IEI使ってヨカッタ4月号2色組②</t>
    <rPh sb="3" eb="4">
      <t>ツカ</t>
    </rPh>
    <rPh sb="11" eb="13">
      <t>ガツゴウ</t>
    </rPh>
    <rPh sb="14" eb="16">
      <t>ショククミ</t>
    </rPh>
    <phoneticPr fontId="6"/>
  </si>
  <si>
    <t>IEI使ってヨカッタ4月号2色組③</t>
    <rPh sb="3" eb="4">
      <t>ツカ</t>
    </rPh>
    <rPh sb="11" eb="13">
      <t>ガツゴウ</t>
    </rPh>
    <rPh sb="14" eb="16">
      <t>ショククミ</t>
    </rPh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</si>
  <si>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</si>
  <si>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</si>
  <si>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</si>
  <si>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</si>
  <si>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</si>
  <si>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ロイヤルステージ返品</t>
    <rPh sb="8" eb="10">
      <t>ヘンピン</t>
    </rPh>
    <phoneticPr fontId="2"/>
  </si>
  <si>
    <t>JOD⑥</t>
    <phoneticPr fontId="6"/>
  </si>
  <si>
    <t>JOD⑦</t>
    <phoneticPr fontId="6"/>
  </si>
  <si>
    <t>JOD⑧</t>
    <phoneticPr fontId="6"/>
  </si>
  <si>
    <t>JOD特別版0726/2色組</t>
    <rPh sb="3" eb="6">
      <t>トクベツバン</t>
    </rPh>
    <rPh sb="12" eb="14">
      <t>ショククミ</t>
    </rPh>
    <phoneticPr fontId="6"/>
  </si>
  <si>
    <t>7/25～</t>
    <phoneticPr fontId="6"/>
  </si>
  <si>
    <t>JOD⑨</t>
    <phoneticPr fontId="6"/>
  </si>
  <si>
    <t>JOD⑩</t>
    <phoneticPr fontId="6"/>
  </si>
  <si>
    <t>JOD返品</t>
    <rPh sb="3" eb="5">
      <t>ヘンピン</t>
    </rPh>
    <phoneticPr fontId="2"/>
  </si>
  <si>
    <t>JOD⑪</t>
    <phoneticPr fontId="6"/>
  </si>
  <si>
    <t>JOD⑫</t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</si>
  <si>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</si>
  <si>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</si>
  <si>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</si>
  <si>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</si>
  <si>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</si>
  <si>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</si>
  <si>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JOD⑲</t>
    <phoneticPr fontId="6"/>
  </si>
  <si>
    <t>JODルリネ7275/2色組</t>
    <rPh sb="12" eb="14">
      <t>ショククミ</t>
    </rPh>
    <phoneticPr fontId="6"/>
  </si>
  <si>
    <t>9/9～</t>
    <phoneticPr fontId="6"/>
  </si>
  <si>
    <t>JOD⑳</t>
    <phoneticPr fontId="6"/>
  </si>
  <si>
    <t>JOD㉑</t>
    <phoneticPr fontId="6"/>
  </si>
  <si>
    <t>JOD㉒</t>
    <phoneticPr fontId="6"/>
  </si>
  <si>
    <t>在庫確認</t>
    <rPh sb="0" eb="4">
      <t>ザイコカクニン</t>
    </rPh>
    <phoneticPr fontId="2"/>
  </si>
  <si>
    <t>JOD㉓</t>
    <phoneticPr fontId="6"/>
  </si>
  <si>
    <t>JOD㉔</t>
    <phoneticPr fontId="6"/>
  </si>
  <si>
    <t>JOD㉕</t>
    <phoneticPr fontId="6"/>
  </si>
  <si>
    <t>JOD㉖</t>
    <phoneticPr fontId="6"/>
  </si>
  <si>
    <t>JOD㉗</t>
    <phoneticPr fontId="6"/>
  </si>
  <si>
    <t>JOD㉘</t>
    <phoneticPr fontId="6"/>
  </si>
  <si>
    <t>JOD㉙</t>
    <phoneticPr fontId="6"/>
  </si>
  <si>
    <t>IEI返品</t>
    <rPh sb="3" eb="5">
      <t>ヘンピン</t>
    </rPh>
    <phoneticPr fontId="2"/>
  </si>
  <si>
    <t>JOD㉚</t>
    <phoneticPr fontId="6"/>
  </si>
  <si>
    <t>JOD㉛</t>
    <phoneticPr fontId="6"/>
  </si>
  <si>
    <t>ネット</t>
    <phoneticPr fontId="6"/>
  </si>
  <si>
    <t>JOD㉜</t>
    <phoneticPr fontId="6"/>
  </si>
  <si>
    <t>JOD㉝</t>
    <phoneticPr fontId="6"/>
  </si>
  <si>
    <t>JOD㉞</t>
    <phoneticPr fontId="6"/>
  </si>
  <si>
    <t>JOD㉟</t>
    <phoneticPr fontId="6"/>
  </si>
  <si>
    <t>JOD㊱</t>
    <phoneticPr fontId="6"/>
  </si>
  <si>
    <t>JOD㊲</t>
    <phoneticPr fontId="6"/>
  </si>
  <si>
    <t>JOD㊳</t>
    <phoneticPr fontId="6"/>
  </si>
  <si>
    <t>JOD㊴</t>
    <phoneticPr fontId="6"/>
  </si>
  <si>
    <t>JOD㊵</t>
    <phoneticPr fontId="6"/>
  </si>
  <si>
    <t>JOD㊶</t>
    <phoneticPr fontId="6"/>
  </si>
  <si>
    <t>JOD㊷</t>
    <phoneticPr fontId="6"/>
  </si>
  <si>
    <t>JODアクセス7007/2色組</t>
    <rPh sb="13" eb="15">
      <t>ショククミ</t>
    </rPh>
    <phoneticPr fontId="6"/>
  </si>
  <si>
    <t>2/19～</t>
    <phoneticPr fontId="6"/>
  </si>
  <si>
    <t>JOD特別版0319/2色組</t>
    <rPh sb="3" eb="6">
      <t>トクベツバン</t>
    </rPh>
    <rPh sb="12" eb="14">
      <t>ショククミ</t>
    </rPh>
    <phoneticPr fontId="6"/>
  </si>
  <si>
    <t>3/18～</t>
    <phoneticPr fontId="6"/>
  </si>
  <si>
    <t>JODアクセス7008/2色組</t>
    <rPh sb="13" eb="15">
      <t>ショククミ</t>
    </rPh>
    <phoneticPr fontId="6"/>
  </si>
  <si>
    <t>4/25～</t>
    <phoneticPr fontId="6"/>
  </si>
  <si>
    <t>JOD㊸</t>
    <phoneticPr fontId="6"/>
  </si>
  <si>
    <t>JOD㊹</t>
    <phoneticPr fontId="6"/>
  </si>
  <si>
    <t>JOD㊺</t>
    <phoneticPr fontId="6"/>
  </si>
  <si>
    <t>JOD㊻</t>
    <phoneticPr fontId="6"/>
  </si>
  <si>
    <t>JODコーデ特集0409/2色組</t>
    <rPh sb="6" eb="8">
      <t>トクシュウ</t>
    </rPh>
    <rPh sb="14" eb="16">
      <t>ショククミ</t>
    </rPh>
    <phoneticPr fontId="6"/>
  </si>
  <si>
    <t>4/7～</t>
    <phoneticPr fontId="6"/>
  </si>
  <si>
    <t>JOD㊼</t>
    <phoneticPr fontId="6"/>
  </si>
  <si>
    <t>JOD㊽</t>
    <phoneticPr fontId="6"/>
  </si>
  <si>
    <t>JOD㊾</t>
    <phoneticPr fontId="6"/>
  </si>
  <si>
    <t>JOD㊿</t>
    <phoneticPr fontId="6"/>
  </si>
  <si>
    <t>JOD51</t>
    <phoneticPr fontId="6"/>
  </si>
  <si>
    <t>JOD52</t>
  </si>
  <si>
    <t>JOD53</t>
  </si>
  <si>
    <t>JOD54</t>
  </si>
  <si>
    <t>JOD55</t>
  </si>
  <si>
    <t>JOD56</t>
  </si>
  <si>
    <t>JOD57</t>
  </si>
  <si>
    <t>JOD58</t>
  </si>
  <si>
    <t>JOD59</t>
  </si>
  <si>
    <t>JOD60</t>
  </si>
  <si>
    <t>JOD61</t>
  </si>
  <si>
    <t>JOD62</t>
  </si>
  <si>
    <t>JOD63</t>
  </si>
  <si>
    <t>JOD64</t>
  </si>
  <si>
    <t>JOD65</t>
  </si>
  <si>
    <t>5月伝</t>
    <rPh sb="1" eb="3">
      <t>ガツデン</t>
    </rPh>
    <phoneticPr fontId="6"/>
  </si>
  <si>
    <t>JOD66</t>
    <phoneticPr fontId="6"/>
  </si>
  <si>
    <t>JOD67</t>
  </si>
  <si>
    <t>JOD68</t>
  </si>
  <si>
    <t>JOD69</t>
  </si>
  <si>
    <t>JOD70</t>
  </si>
  <si>
    <t>JOD71</t>
  </si>
  <si>
    <t>JODアクセス7010/2色組</t>
    <rPh sb="13" eb="15">
      <t>ショククミ</t>
    </rPh>
    <phoneticPr fontId="6"/>
  </si>
  <si>
    <t>7/10～</t>
    <phoneticPr fontId="6"/>
  </si>
  <si>
    <t>JOD72</t>
  </si>
  <si>
    <t>JOD73</t>
  </si>
  <si>
    <t>JOD74</t>
  </si>
  <si>
    <t>JOD75</t>
  </si>
  <si>
    <t>JOD76</t>
  </si>
  <si>
    <t>JOD77</t>
  </si>
  <si>
    <t>JOD78</t>
  </si>
  <si>
    <t>JOD79</t>
  </si>
  <si>
    <t>ネット</t>
    <phoneticPr fontId="6"/>
  </si>
  <si>
    <t>JOD80</t>
    <phoneticPr fontId="6"/>
  </si>
  <si>
    <t>はぴねすくらぶsample</t>
    <phoneticPr fontId="6"/>
  </si>
  <si>
    <t>JOD81</t>
    <phoneticPr fontId="6"/>
  </si>
  <si>
    <t>JOD82</t>
  </si>
  <si>
    <t>JOD83</t>
  </si>
  <si>
    <t>10/6～</t>
    <phoneticPr fontId="6"/>
  </si>
  <si>
    <t>JOD84</t>
  </si>
  <si>
    <t>JOD85</t>
  </si>
  <si>
    <t>JOD86</t>
  </si>
  <si>
    <t>JOD87</t>
    <phoneticPr fontId="6"/>
  </si>
  <si>
    <t>JOD88</t>
  </si>
  <si>
    <t>JOD89</t>
  </si>
  <si>
    <t>JOD90</t>
  </si>
  <si>
    <t>JOD91</t>
  </si>
  <si>
    <t>JOD92</t>
  </si>
  <si>
    <t>JOD93</t>
  </si>
  <si>
    <t>JOD94</t>
  </si>
  <si>
    <t>JOD95</t>
  </si>
  <si>
    <t>JOD96</t>
  </si>
  <si>
    <t>JOD97</t>
  </si>
  <si>
    <t>JOD98</t>
  </si>
  <si>
    <t>JOD99</t>
  </si>
  <si>
    <t>サクラマチsample</t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</si>
  <si>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単品②</t>
    </r>
    <rPh sb="9" eb="10">
      <t>ガツ</t>
    </rPh>
    <rPh sb="10" eb="11">
      <t>ゴウ</t>
    </rPh>
    <rPh sb="11" eb="13">
      <t>タンピン</t>
    </rPh>
    <phoneticPr fontId="6"/>
  </si>
  <si>
    <t>JOD100</t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</si>
  <si>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単品③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</si>
  <si>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単品④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</si>
  <si>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単品⑤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</si>
  <si>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単品⑥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</si>
  <si>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</si>
  <si>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単品⑦</t>
    </r>
    <rPh sb="9" eb="10">
      <t>ガツ</t>
    </rPh>
    <rPh sb="10" eb="11">
      <t>ゴウ</t>
    </rPh>
    <rPh sb="11" eb="13">
      <t>タンピン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</si>
  <si>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単品⑧</t>
    </r>
    <rPh sb="9" eb="10">
      <t>ガツ</t>
    </rPh>
    <rPh sb="10" eb="11">
      <t>ゴウ</t>
    </rPh>
    <rPh sb="11" eb="13">
      <t>タンピン</t>
    </rPh>
    <phoneticPr fontId="6"/>
  </si>
  <si>
    <t>ユーコープ2月3回（不透明袋）</t>
    <rPh sb="6" eb="7">
      <t>ガツ</t>
    </rPh>
    <rPh sb="8" eb="9">
      <t>カイ</t>
    </rPh>
    <rPh sb="10" eb="14">
      <t>フトウメイフクロ</t>
    </rPh>
    <phoneticPr fontId="6"/>
  </si>
  <si>
    <t>ユーコープ2月3回（不透明袋）差分予測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</si>
  <si>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2/4～2/18</t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</si>
  <si>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単品⑨</t>
    </r>
    <rPh sb="9" eb="10">
      <t>ガツ</t>
    </rPh>
    <rPh sb="10" eb="11">
      <t>ゴウ</t>
    </rPh>
    <rPh sb="11" eb="13">
      <t>タンピン</t>
    </rPh>
    <phoneticPr fontId="6"/>
  </si>
  <si>
    <t>JOD101</t>
    <phoneticPr fontId="6"/>
  </si>
  <si>
    <t>JOD特別版0304</t>
    <rPh sb="3" eb="6">
      <t>トクベツバン</t>
    </rPh>
    <phoneticPr fontId="6"/>
  </si>
  <si>
    <t>3/3～</t>
    <phoneticPr fontId="6"/>
  </si>
  <si>
    <t>ユーコープ2月3回（不透明袋）①</t>
    <rPh sb="6" eb="7">
      <t>ガツ</t>
    </rPh>
    <rPh sb="8" eb="9">
      <t>カイ</t>
    </rPh>
    <rPh sb="10" eb="14">
      <t>フトウメイフクロ</t>
    </rPh>
    <phoneticPr fontId="6"/>
  </si>
  <si>
    <t>4/1～4/15</t>
    <phoneticPr fontId="6"/>
  </si>
  <si>
    <t>ユーコープ4月3回（不透明袋）</t>
    <rPh sb="6" eb="7">
      <t>ガツ</t>
    </rPh>
    <rPh sb="8" eb="9">
      <t>カイ</t>
    </rPh>
    <phoneticPr fontId="6"/>
  </si>
  <si>
    <t>ユーコープ４月3回（不透明袋））差分予測</t>
    <rPh sb="6" eb="7">
      <t>ガツ</t>
    </rPh>
    <rPh sb="8" eb="9">
      <t>カイ</t>
    </rPh>
    <rPh sb="10" eb="14">
      <t>フトウメイフクロ</t>
    </rPh>
    <phoneticPr fontId="6"/>
  </si>
  <si>
    <t>ユーコープ2月3回（不透明袋）②</t>
    <rPh sb="6" eb="7">
      <t>ガツ</t>
    </rPh>
    <rPh sb="8" eb="9">
      <t>カイ</t>
    </rPh>
    <rPh sb="10" eb="14">
      <t>フトウメイフクロ</t>
    </rPh>
    <phoneticPr fontId="6"/>
  </si>
  <si>
    <t>ユーコープ2月3回（不透明袋）③</t>
    <rPh sb="6" eb="7">
      <t>ガツ</t>
    </rPh>
    <rPh sb="8" eb="9">
      <t>カイ</t>
    </rPh>
    <rPh sb="10" eb="14">
      <t>フトウメイフクロ</t>
    </rPh>
    <phoneticPr fontId="6"/>
  </si>
  <si>
    <t>ユーコープ2月3回（不透明袋）④</t>
    <rPh sb="6" eb="7">
      <t>ガツ</t>
    </rPh>
    <rPh sb="8" eb="9">
      <t>カイ</t>
    </rPh>
    <rPh sb="10" eb="14">
      <t>フトウメイフクロ</t>
    </rPh>
    <phoneticPr fontId="6"/>
  </si>
  <si>
    <t>追加</t>
    <rPh sb="0" eb="2">
      <t>ツイカ</t>
    </rPh>
    <phoneticPr fontId="6"/>
  </si>
  <si>
    <t>JOD再撮用sample</t>
    <rPh sb="3" eb="6">
      <t>サイサツヨウ</t>
    </rPh>
    <phoneticPr fontId="6"/>
  </si>
  <si>
    <r>
      <t>はぴねすくらぶ10月号</t>
    </r>
    <r>
      <rPr>
        <b/>
        <sz val="11"/>
        <rFont val="ＭＳ Ｐゴシック"/>
        <family val="3"/>
        <charset val="128"/>
      </rPr>
      <t>単品①</t>
    </r>
    <rPh sb="9" eb="10">
      <t>ガツ</t>
    </rPh>
    <rPh sb="10" eb="11">
      <t>ゴウ</t>
    </rPh>
    <rPh sb="11" eb="13">
      <t>タンピン</t>
    </rPh>
    <phoneticPr fontId="6"/>
  </si>
  <si>
    <t>はぴねす返品</t>
    <rPh sb="4" eb="6">
      <t>ヘンピン</t>
    </rPh>
    <phoneticPr fontId="6"/>
  </si>
  <si>
    <t>4/15～</t>
    <phoneticPr fontId="6"/>
  </si>
  <si>
    <t>JOD特別版0416</t>
    <rPh sb="3" eb="6">
      <t>トクベツバン</t>
    </rPh>
    <phoneticPr fontId="6"/>
  </si>
  <si>
    <t>JOD102</t>
    <phoneticPr fontId="6"/>
  </si>
  <si>
    <t>JOD103</t>
  </si>
  <si>
    <t>JOD104</t>
  </si>
  <si>
    <t>JOD105</t>
  </si>
  <si>
    <t>JOD106</t>
    <phoneticPr fontId="6"/>
  </si>
  <si>
    <t>JOD107</t>
  </si>
  <si>
    <t>サクラマチ返品</t>
    <rPh sb="5" eb="7">
      <t>ヘンピン</t>
    </rPh>
    <phoneticPr fontId="2"/>
  </si>
  <si>
    <t>JOD108</t>
  </si>
  <si>
    <t>JOD109</t>
  </si>
  <si>
    <t>JOD110</t>
  </si>
  <si>
    <t>ユーコープ4月3回（不透明袋）①</t>
    <rPh sb="6" eb="7">
      <t>ガツ</t>
    </rPh>
    <rPh sb="8" eb="9">
      <t>カイ</t>
    </rPh>
    <phoneticPr fontId="6"/>
  </si>
  <si>
    <t>ユーコープ4月3回（不透明袋）②-1</t>
    <rPh sb="6" eb="7">
      <t>ガツ</t>
    </rPh>
    <rPh sb="8" eb="9">
      <t>カイ</t>
    </rPh>
    <phoneticPr fontId="6"/>
  </si>
  <si>
    <t>ユーコープ4月3回（不透明袋）②-2</t>
    <rPh sb="6" eb="7">
      <t>ガツ</t>
    </rPh>
    <rPh sb="8" eb="9">
      <t>カイ</t>
    </rPh>
    <phoneticPr fontId="6"/>
  </si>
  <si>
    <t>くらし企画（井出さん）sample</t>
    <rPh sb="3" eb="5">
      <t>キカク</t>
    </rPh>
    <rPh sb="6" eb="8">
      <t>イデ</t>
    </rPh>
    <phoneticPr fontId="6"/>
  </si>
  <si>
    <t>JOD111</t>
    <phoneticPr fontId="6"/>
  </si>
  <si>
    <t>JOD112</t>
  </si>
  <si>
    <t>JOD113</t>
  </si>
  <si>
    <t>JOD特別号R9821</t>
    <rPh sb="3" eb="5">
      <t>トクベツ</t>
    </rPh>
    <rPh sb="5" eb="6">
      <t>ゴウ</t>
    </rPh>
    <phoneticPr fontId="6"/>
  </si>
  <si>
    <t>6/1～</t>
    <phoneticPr fontId="6"/>
  </si>
  <si>
    <t>JOD114</t>
  </si>
  <si>
    <t>JOD115</t>
  </si>
  <si>
    <t>JOD116</t>
  </si>
  <si>
    <t>JOD117</t>
  </si>
  <si>
    <t>丸藤（グリーンコープ）sample</t>
    <rPh sb="0" eb="2">
      <t>マルフジ</t>
    </rPh>
    <phoneticPr fontId="6"/>
  </si>
  <si>
    <t>サクラマチ返品</t>
    <rPh sb="5" eb="7">
      <t>ヘンピン</t>
    </rPh>
    <phoneticPr fontId="6"/>
  </si>
  <si>
    <t>JOD118</t>
    <phoneticPr fontId="6"/>
  </si>
  <si>
    <t>JOD119</t>
  </si>
  <si>
    <t>サクラマチ返品</t>
    <rPh sb="0" eb="7">
      <t>s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</si>
</sst>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3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6" xfId="1" applyBorder="1"/>
    <xf numFmtId="0" fontId="1" fillId="0" borderId="37" xfId="1" applyBorder="1"/>
    <xf numFmtId="0" fontId="1" fillId="0" borderId="38" xfId="1" applyBorder="1"/>
    <xf numFmtId="0" fontId="1" fillId="0" borderId="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9" fillId="0" borderId="10" xfId="1" applyFont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9" fillId="0" borderId="5" xfId="1" applyFont="1" applyBorder="1" applyAlignment="1">
      <alignment horizontal="center" vertical="center"/>
    </xf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3" xfId="1" applyFill="1" applyBorder="1"/>
    <xf numFmtId="0" fontId="5" fillId="2" borderId="11" xfId="1" applyFont="1" applyFill="1" applyBorder="1"/>
    <xf numFmtId="0" fontId="1" fillId="2" borderId="35" xfId="1" applyFill="1" applyBorder="1"/>
    <xf numFmtId="0" fontId="1" fillId="2" borderId="11" xfId="1" applyFill="1" applyBorder="1"/>
    <xf numFmtId="0" fontId="4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5" fillId="3" borderId="11" xfId="1" applyFont="1" applyFill="1" applyBorder="1"/>
    <xf numFmtId="0" fontId="1" fillId="3" borderId="11" xfId="1" applyFill="1" applyBorder="1"/>
    <xf numFmtId="0" fontId="4" fillId="2" borderId="32" xfId="1" applyFont="1" applyFill="1" applyBorder="1"/>
    <xf numFmtId="0" fontId="4" fillId="2" borderId="34" xfId="1" applyFont="1" applyFill="1" applyBorder="1"/>
    <xf numFmtId="0" fontId="4" fillId="2" borderId="39" xfId="1" applyFont="1" applyFill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15" xfId="1" applyFont="1" applyFill="1" applyBorder="1"/>
    <xf numFmtId="0" fontId="5" fillId="3" borderId="15" xfId="1" applyFont="1" applyFill="1" applyBorder="1"/>
    <xf numFmtId="56" fontId="7" fillId="0" borderId="0" xfId="0" applyNumberFormat="1" applyFont="1">
      <alignment vertical="center"/>
    </xf>
    <xf numFmtId="0" fontId="11" fillId="6" borderId="0" xfId="1" applyFont="1" applyFill="1"/>
    <xf numFmtId="0" fontId="1" fillId="6" borderId="0" xfId="1" applyFill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2" borderId="15" xfId="1" applyFill="1" applyBorder="1"/>
    <xf numFmtId="0" fontId="1" fillId="0" borderId="46" xfId="1" applyBorder="1"/>
    <xf numFmtId="0" fontId="1" fillId="3" borderId="5" xfId="1" applyFill="1" applyBorder="1"/>
    <xf numFmtId="0" fontId="5" fillId="0" borderId="10" xfId="1" applyFont="1" applyBorder="1" applyAlignment="1">
      <alignment horizontal="center" vertical="center" shrinkToFit="1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2" borderId="5" xfId="1" applyFont="1" applyFill="1" applyBorder="1"/>
    <xf numFmtId="0" fontId="5" fillId="0" borderId="9" xfId="1" applyFont="1" applyBorder="1"/>
    <xf numFmtId="0" fontId="5" fillId="3" borderId="10" xfId="1" applyFont="1" applyFill="1" applyBorder="1"/>
    <xf numFmtId="0" fontId="12" fillId="0" borderId="0" xfId="0" applyFont="1">
      <alignment vertical="center"/>
    </xf>
    <xf numFmtId="0" fontId="3" fillId="0" borderId="10" xfId="1" applyFont="1" applyBorder="1" applyAlignment="1">
      <alignment horizontal="center" vertical="center" shrinkToFit="1"/>
    </xf>
    <xf numFmtId="0" fontId="3" fillId="0" borderId="6" xfId="1" applyFont="1" applyBorder="1"/>
    <xf numFmtId="0" fontId="3" fillId="0" borderId="7" xfId="1" applyFont="1" applyBorder="1"/>
    <xf numFmtId="0" fontId="3" fillId="0" borderId="8" xfId="1" applyFont="1" applyBorder="1"/>
    <xf numFmtId="0" fontId="3" fillId="2" borderId="5" xfId="1" applyFont="1" applyFill="1" applyBorder="1"/>
    <xf numFmtId="0" fontId="3" fillId="3" borderId="10" xfId="1" applyFont="1" applyFill="1" applyBorder="1"/>
    <xf numFmtId="0" fontId="13" fillId="0" borderId="0" xfId="0" applyFont="1">
      <alignment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3" fillId="4" borderId="44" xfId="1" applyFont="1" applyFill="1" applyBorder="1" applyAlignment="1">
      <alignment horizontal="center"/>
    </xf>
    <xf numFmtId="0" fontId="3" fillId="4" borderId="45" xfId="1" applyFont="1" applyFill="1" applyBorder="1" applyAlignment="1">
      <alignment horizontal="center"/>
    </xf>
    <xf numFmtId="0" fontId="3" fillId="5" borderId="44" xfId="1" applyFont="1" applyFill="1" applyBorder="1" applyAlignment="1">
      <alignment horizontal="center"/>
    </xf>
    <xf numFmtId="0" fontId="3" fillId="5" borderId="45" xfId="1" applyFont="1" applyFill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49"/>
  <sheetViews>
    <sheetView tabSelected="1" topLeftCell="A308" zoomScale="90" zoomScaleNormal="90" workbookViewId="0">
      <selection activeCell="K344" sqref="K344"/>
    </sheetView>
  </sheetViews>
  <sheetFormatPr defaultRowHeight="13.5" x14ac:dyDescent="0.15"/>
  <cols>
    <col min="1" max="1" width="25.25" customWidth="1"/>
    <col min="2" max="10" width="7.375" customWidth="1"/>
    <col min="11" max="11" width="9.25" bestFit="1" customWidth="1"/>
    <col min="12" max="12" width="5.625" customWidth="1"/>
    <col min="13" max="13" width="32.375" customWidth="1"/>
    <col min="14" max="22" width="7.37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8" thickBot="1" x14ac:dyDescent="0.25">
      <c r="A1" s="73" t="s">
        <v>23</v>
      </c>
      <c r="B1" s="74"/>
      <c r="C1" s="74"/>
      <c r="D1" s="74"/>
      <c r="E1" s="74"/>
      <c r="F1" s="74"/>
      <c r="G1" s="74"/>
      <c r="H1" s="74"/>
      <c r="I1" s="74"/>
      <c r="J1" s="74"/>
      <c r="M1" s="73" t="s">
        <v>24</v>
      </c>
      <c r="N1" s="74"/>
      <c r="O1" s="74"/>
      <c r="P1" s="74"/>
      <c r="Q1" s="74"/>
      <c r="R1" s="74"/>
      <c r="S1" s="74"/>
      <c r="T1" s="74"/>
      <c r="U1" s="74"/>
      <c r="V1" s="74"/>
    </row>
    <row r="2" spans="1:44" ht="14.25" thickBot="1" x14ac:dyDescent="0.2">
      <c r="A2" s="4"/>
      <c r="B2" s="97" t="s">
        <v>21</v>
      </c>
      <c r="C2" s="97"/>
      <c r="D2" s="97"/>
      <c r="E2" s="98"/>
      <c r="F2" s="99" t="s">
        <v>22</v>
      </c>
      <c r="G2" s="99"/>
      <c r="H2" s="99"/>
      <c r="I2" s="100"/>
      <c r="J2" s="101" t="s">
        <v>1</v>
      </c>
      <c r="M2" s="4"/>
      <c r="N2" s="97" t="s">
        <v>21</v>
      </c>
      <c r="O2" s="97"/>
      <c r="P2" s="97"/>
      <c r="Q2" s="98"/>
      <c r="R2" s="99" t="s">
        <v>22</v>
      </c>
      <c r="S2" s="99"/>
      <c r="T2" s="99"/>
      <c r="U2" s="100"/>
      <c r="V2" s="101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102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02"/>
    </row>
    <row r="4" spans="1:44" ht="14.25" thickBot="1" x14ac:dyDescent="0.2">
      <c r="A4" s="75" t="s">
        <v>7</v>
      </c>
      <c r="B4" s="32">
        <v>1</v>
      </c>
      <c r="C4" s="33"/>
      <c r="D4" s="76"/>
      <c r="E4" s="77">
        <f>SUM(B4:D4)</f>
        <v>1</v>
      </c>
      <c r="F4" s="32">
        <v>1</v>
      </c>
      <c r="G4" s="33"/>
      <c r="H4" s="76"/>
      <c r="I4" s="77">
        <f>SUM(F4:H4)</f>
        <v>1</v>
      </c>
      <c r="J4" s="59">
        <f>E4+I4</f>
        <v>2</v>
      </c>
      <c r="K4" s="40">
        <v>45365</v>
      </c>
      <c r="M4" s="21" t="s">
        <v>7</v>
      </c>
      <c r="N4" s="67"/>
      <c r="O4" s="68"/>
      <c r="P4" s="69"/>
      <c r="Q4" s="70">
        <f>SUM(N4:P4)</f>
        <v>0</v>
      </c>
      <c r="R4" s="67"/>
      <c r="S4" s="68"/>
      <c r="T4" s="69"/>
      <c r="U4" s="70">
        <f>SUM(R4:T4)</f>
        <v>0</v>
      </c>
      <c r="V4" s="71">
        <f>Q4+U4</f>
        <v>0</v>
      </c>
      <c r="W4" s="72"/>
    </row>
    <row r="5" spans="1:44" x14ac:dyDescent="0.15">
      <c r="A5" s="19" t="s">
        <v>8</v>
      </c>
      <c r="B5" s="32"/>
      <c r="C5" s="33"/>
      <c r="D5" s="45"/>
      <c r="E5" s="51">
        <f>SUM(B5:D5)</f>
        <v>0</v>
      </c>
      <c r="F5" s="46"/>
      <c r="G5" s="47"/>
      <c r="H5" s="48"/>
      <c r="I5" s="51">
        <f>SUM(F5:H5)</f>
        <v>0</v>
      </c>
      <c r="J5" s="59">
        <f>E5+I5</f>
        <v>0</v>
      </c>
      <c r="K5" s="40"/>
      <c r="M5" s="19" t="s">
        <v>8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9">
        <f>Q5+U5</f>
        <v>0</v>
      </c>
      <c r="W5" s="40"/>
    </row>
    <row r="6" spans="1:44" x14ac:dyDescent="0.15">
      <c r="A6" s="19" t="s">
        <v>9</v>
      </c>
      <c r="B6" s="5"/>
      <c r="C6" s="6"/>
      <c r="D6" s="14"/>
      <c r="E6" s="52">
        <f t="shared" ref="E6:E12" si="0">SUM(B6:D6)</f>
        <v>0</v>
      </c>
      <c r="F6" s="15"/>
      <c r="G6" s="13"/>
      <c r="H6" s="14"/>
      <c r="I6" s="52">
        <f t="shared" ref="I6:I12" si="1">SUM(F6:H6)</f>
        <v>0</v>
      </c>
      <c r="J6" s="60">
        <f t="shared" ref="J6:J12" si="2">E6+I6</f>
        <v>0</v>
      </c>
      <c r="K6" s="40"/>
      <c r="M6" s="19" t="s">
        <v>9</v>
      </c>
      <c r="N6" s="9"/>
      <c r="O6" s="10"/>
      <c r="P6" s="37"/>
      <c r="Q6" s="53">
        <f t="shared" ref="Q6:Q10" si="3">SUM(N6:P6)</f>
        <v>0</v>
      </c>
      <c r="R6" s="12"/>
      <c r="S6" s="10"/>
      <c r="T6" s="11"/>
      <c r="U6" s="53">
        <f t="shared" ref="U6:U10" si="4">SUM(R6:T6)</f>
        <v>0</v>
      </c>
      <c r="V6" s="60">
        <f t="shared" ref="V6:V10" si="5">Q6+U6</f>
        <v>0</v>
      </c>
    </row>
    <row r="7" spans="1:44" x14ac:dyDescent="0.15">
      <c r="A7" s="19" t="s">
        <v>10</v>
      </c>
      <c r="B7" s="5">
        <v>40</v>
      </c>
      <c r="C7" s="6">
        <v>50</v>
      </c>
      <c r="D7" s="7">
        <v>40</v>
      </c>
      <c r="E7" s="52">
        <f t="shared" si="0"/>
        <v>130</v>
      </c>
      <c r="F7" s="8">
        <v>40</v>
      </c>
      <c r="G7" s="6">
        <v>50</v>
      </c>
      <c r="H7" s="7">
        <v>40</v>
      </c>
      <c r="I7" s="52">
        <f t="shared" si="1"/>
        <v>130</v>
      </c>
      <c r="J7" s="60">
        <f t="shared" si="2"/>
        <v>260</v>
      </c>
      <c r="K7" s="40">
        <v>45383</v>
      </c>
      <c r="M7" s="19" t="s">
        <v>10</v>
      </c>
      <c r="N7" s="9"/>
      <c r="O7" s="10"/>
      <c r="P7" s="37"/>
      <c r="Q7" s="53">
        <f t="shared" si="3"/>
        <v>0</v>
      </c>
      <c r="R7" s="12"/>
      <c r="S7" s="10"/>
      <c r="T7" s="11"/>
      <c r="U7" s="53">
        <f t="shared" si="4"/>
        <v>0</v>
      </c>
      <c r="V7" s="60">
        <f t="shared" si="5"/>
        <v>0</v>
      </c>
      <c r="AJ7" s="49"/>
    </row>
    <row r="8" spans="1:44" x14ac:dyDescent="0.15">
      <c r="A8" s="19" t="s">
        <v>11</v>
      </c>
      <c r="B8" s="5"/>
      <c r="C8" s="6"/>
      <c r="D8" s="36"/>
      <c r="E8" s="53">
        <f t="shared" si="0"/>
        <v>0</v>
      </c>
      <c r="F8" s="8"/>
      <c r="G8" s="6"/>
      <c r="H8" s="7"/>
      <c r="I8" s="53">
        <f t="shared" si="1"/>
        <v>0</v>
      </c>
      <c r="J8" s="60">
        <f t="shared" si="2"/>
        <v>0</v>
      </c>
      <c r="K8" s="40"/>
      <c r="L8" s="49"/>
      <c r="M8" s="19" t="s">
        <v>11</v>
      </c>
      <c r="N8" s="9"/>
      <c r="O8" s="10"/>
      <c r="P8" s="37"/>
      <c r="Q8" s="53">
        <f t="shared" si="3"/>
        <v>0</v>
      </c>
      <c r="R8" s="12"/>
      <c r="S8" s="10"/>
      <c r="T8" s="11"/>
      <c r="U8" s="53">
        <f t="shared" si="4"/>
        <v>0</v>
      </c>
      <c r="V8" s="60">
        <f t="shared" si="5"/>
        <v>0</v>
      </c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12</v>
      </c>
      <c r="B9" s="5"/>
      <c r="C9" s="6"/>
      <c r="D9" s="36"/>
      <c r="E9" s="53">
        <f t="shared" si="0"/>
        <v>0</v>
      </c>
      <c r="F9" s="8"/>
      <c r="G9" s="6"/>
      <c r="H9" s="7"/>
      <c r="I9" s="53">
        <f t="shared" si="1"/>
        <v>0</v>
      </c>
      <c r="J9" s="60">
        <f t="shared" si="2"/>
        <v>0</v>
      </c>
      <c r="K9" s="40"/>
      <c r="M9" s="19" t="s">
        <v>12</v>
      </c>
      <c r="N9" s="9"/>
      <c r="O9" s="10"/>
      <c r="P9" s="37"/>
      <c r="Q9" s="53">
        <f t="shared" si="3"/>
        <v>0</v>
      </c>
      <c r="R9" s="12"/>
      <c r="S9" s="10"/>
      <c r="T9" s="11"/>
      <c r="U9" s="53">
        <f t="shared" si="4"/>
        <v>0</v>
      </c>
      <c r="V9" s="60">
        <f t="shared" si="5"/>
        <v>0</v>
      </c>
    </row>
    <row r="10" spans="1:44" x14ac:dyDescent="0.15">
      <c r="A10" s="19" t="s">
        <v>13</v>
      </c>
      <c r="B10" s="5"/>
      <c r="C10" s="6"/>
      <c r="D10" s="36"/>
      <c r="E10" s="53">
        <f t="shared" si="0"/>
        <v>0</v>
      </c>
      <c r="F10" s="8"/>
      <c r="G10" s="6"/>
      <c r="H10" s="7"/>
      <c r="I10" s="53">
        <f t="shared" si="1"/>
        <v>0</v>
      </c>
      <c r="J10" s="60">
        <f t="shared" si="2"/>
        <v>0</v>
      </c>
      <c r="K10" s="40"/>
      <c r="M10" s="19" t="s">
        <v>13</v>
      </c>
      <c r="N10" s="9"/>
      <c r="O10" s="10"/>
      <c r="P10" s="37"/>
      <c r="Q10" s="53">
        <f t="shared" si="3"/>
        <v>0</v>
      </c>
      <c r="R10" s="12"/>
      <c r="S10" s="10"/>
      <c r="T10" s="11"/>
      <c r="U10" s="53">
        <f t="shared" si="4"/>
        <v>0</v>
      </c>
      <c r="V10" s="60">
        <f t="shared" si="5"/>
        <v>0</v>
      </c>
    </row>
    <row r="11" spans="1:44" x14ac:dyDescent="0.15">
      <c r="A11" s="19" t="s">
        <v>14</v>
      </c>
      <c r="B11" s="9"/>
      <c r="C11" s="10"/>
      <c r="D11" s="37"/>
      <c r="E11" s="53">
        <f t="shared" si="0"/>
        <v>0</v>
      </c>
      <c r="F11" s="12"/>
      <c r="G11" s="10"/>
      <c r="H11" s="11"/>
      <c r="I11" s="53">
        <f t="shared" si="1"/>
        <v>0</v>
      </c>
      <c r="J11" s="60">
        <f t="shared" si="2"/>
        <v>0</v>
      </c>
      <c r="K11" s="40"/>
      <c r="M11" s="19" t="s">
        <v>14</v>
      </c>
      <c r="N11" s="9"/>
      <c r="O11" s="10"/>
      <c r="P11" s="37"/>
      <c r="Q11" s="53">
        <f t="shared" ref="Q11:Q12" si="6">SUM(N11:P11)</f>
        <v>0</v>
      </c>
      <c r="R11" s="12"/>
      <c r="S11" s="10"/>
      <c r="T11" s="11"/>
      <c r="U11" s="53">
        <f t="shared" ref="U11:U12" si="7">SUM(R11:T11)</f>
        <v>0</v>
      </c>
      <c r="V11" s="60">
        <f t="shared" ref="V11:V12" si="8">Q11+U11</f>
        <v>0</v>
      </c>
    </row>
    <row r="12" spans="1:44" ht="14.25" thickBot="1" x14ac:dyDescent="0.2">
      <c r="A12" s="19" t="s">
        <v>15</v>
      </c>
      <c r="B12" s="25"/>
      <c r="C12" s="26"/>
      <c r="D12" s="38"/>
      <c r="E12" s="54">
        <f t="shared" si="0"/>
        <v>0</v>
      </c>
      <c r="F12" s="27"/>
      <c r="G12" s="27"/>
      <c r="H12" s="29"/>
      <c r="I12" s="54">
        <f t="shared" si="1"/>
        <v>0</v>
      </c>
      <c r="J12" s="61">
        <f t="shared" si="2"/>
        <v>0</v>
      </c>
      <c r="K12" s="40"/>
      <c r="M12" s="19" t="s">
        <v>15</v>
      </c>
      <c r="N12" s="25"/>
      <c r="O12" s="26"/>
      <c r="P12" s="38"/>
      <c r="Q12" s="54">
        <f t="shared" si="6"/>
        <v>0</v>
      </c>
      <c r="R12" s="27"/>
      <c r="S12" s="27"/>
      <c r="T12" s="29"/>
      <c r="U12" s="54">
        <f t="shared" si="7"/>
        <v>0</v>
      </c>
      <c r="V12" s="61">
        <f t="shared" si="8"/>
        <v>0</v>
      </c>
    </row>
    <row r="13" spans="1:44" ht="14.25" thickBot="1" x14ac:dyDescent="0.2">
      <c r="A13" s="28" t="s">
        <v>16</v>
      </c>
      <c r="B13" s="22">
        <f>SUM(B4:B12)</f>
        <v>41</v>
      </c>
      <c r="C13" s="23">
        <f>SUM(C4:C12)</f>
        <v>50</v>
      </c>
      <c r="D13" s="24">
        <f>SUM(D4:D12)</f>
        <v>40</v>
      </c>
      <c r="E13" s="55">
        <f>SUM(B13:D13)</f>
        <v>131</v>
      </c>
      <c r="F13" s="22">
        <f>SUM(F4:F12)</f>
        <v>41</v>
      </c>
      <c r="G13" s="23">
        <f>SUM(G4:G12)</f>
        <v>50</v>
      </c>
      <c r="H13" s="24">
        <f>SUM(H4:H12)</f>
        <v>40</v>
      </c>
      <c r="I13" s="55">
        <f>SUM(F13:H13)</f>
        <v>131</v>
      </c>
      <c r="J13" s="62">
        <f>E13+I13</f>
        <v>262</v>
      </c>
      <c r="M13" s="28" t="s">
        <v>16</v>
      </c>
      <c r="N13" s="22">
        <f>SUM(N4:N12)</f>
        <v>0</v>
      </c>
      <c r="O13" s="23">
        <f>SUM(O4:O12)</f>
        <v>0</v>
      </c>
      <c r="P13" s="24">
        <f>SUM(P4:P12)</f>
        <v>0</v>
      </c>
      <c r="Q13" s="55">
        <f>SUM(N13:P13)</f>
        <v>0</v>
      </c>
      <c r="R13" s="22">
        <f>SUM(R4:R12)</f>
        <v>0</v>
      </c>
      <c r="S13" s="23">
        <f>SUM(S4:S12)</f>
        <v>0</v>
      </c>
      <c r="T13" s="24">
        <f>SUM(T4:T12)</f>
        <v>0</v>
      </c>
      <c r="U13" s="55">
        <f>SUM(R13:T13)</f>
        <v>0</v>
      </c>
      <c r="V13" s="62">
        <f>Q13+U13</f>
        <v>0</v>
      </c>
    </row>
    <row r="14" spans="1:44" x14ac:dyDescent="0.15">
      <c r="A14" s="18" t="s">
        <v>31</v>
      </c>
      <c r="B14" s="9">
        <v>3</v>
      </c>
      <c r="C14" s="10">
        <v>4</v>
      </c>
      <c r="D14" s="11">
        <v>4</v>
      </c>
      <c r="E14" s="52">
        <f>SUM(B14:D14)</f>
        <v>11</v>
      </c>
      <c r="F14" s="12">
        <v>3</v>
      </c>
      <c r="G14" s="10">
        <v>4</v>
      </c>
      <c r="H14" s="11">
        <v>4</v>
      </c>
      <c r="I14" s="52">
        <f>SUM(F14:H14)</f>
        <v>11</v>
      </c>
      <c r="J14" s="60">
        <f>E14+I14</f>
        <v>22</v>
      </c>
      <c r="K14" s="40">
        <v>45387</v>
      </c>
      <c r="M14" s="20"/>
      <c r="N14" s="9"/>
      <c r="O14" s="10"/>
      <c r="P14" s="11"/>
      <c r="Q14" s="52">
        <f>SUM(N14:P14)</f>
        <v>0</v>
      </c>
      <c r="R14" s="12"/>
      <c r="S14" s="10"/>
      <c r="T14" s="11"/>
      <c r="U14" s="52">
        <f>SUM(R14:T14)</f>
        <v>0</v>
      </c>
      <c r="V14" s="60">
        <f>Q14+U14</f>
        <v>0</v>
      </c>
      <c r="W14" s="40"/>
    </row>
    <row r="15" spans="1:44" x14ac:dyDescent="0.15">
      <c r="A15" s="18" t="s">
        <v>32</v>
      </c>
      <c r="B15" s="5">
        <v>3</v>
      </c>
      <c r="C15" s="6">
        <v>4</v>
      </c>
      <c r="D15" s="7">
        <v>3</v>
      </c>
      <c r="E15" s="52">
        <f t="shared" ref="E15:E40" si="9">SUM(B15:D15)</f>
        <v>10</v>
      </c>
      <c r="F15" s="8">
        <v>3</v>
      </c>
      <c r="G15" s="6">
        <v>4</v>
      </c>
      <c r="H15" s="7">
        <v>3</v>
      </c>
      <c r="I15" s="52">
        <f t="shared" ref="I15:I40" si="10">SUM(F15:H15)</f>
        <v>10</v>
      </c>
      <c r="J15" s="60">
        <f t="shared" ref="J15:J39" si="11">E15+I15</f>
        <v>20</v>
      </c>
      <c r="K15" s="40">
        <v>45391</v>
      </c>
      <c r="M15" s="20"/>
      <c r="N15" s="5"/>
      <c r="O15" s="6"/>
      <c r="P15" s="7"/>
      <c r="Q15" s="52">
        <f t="shared" ref="Q15:Q40" si="12">SUM(N15:P15)</f>
        <v>0</v>
      </c>
      <c r="R15" s="8"/>
      <c r="S15" s="6"/>
      <c r="T15" s="7"/>
      <c r="U15" s="52">
        <f t="shared" ref="U15:U40" si="13">SUM(R15:T15)</f>
        <v>0</v>
      </c>
      <c r="V15" s="60">
        <f t="shared" ref="V15:V28" si="14">Q15+U15</f>
        <v>0</v>
      </c>
      <c r="W15" s="40"/>
    </row>
    <row r="16" spans="1:44" x14ac:dyDescent="0.15">
      <c r="A16" s="18" t="s">
        <v>33</v>
      </c>
      <c r="B16" s="5">
        <v>3</v>
      </c>
      <c r="C16" s="6">
        <v>1</v>
      </c>
      <c r="D16" s="7">
        <v>7</v>
      </c>
      <c r="E16" s="52">
        <f t="shared" si="9"/>
        <v>11</v>
      </c>
      <c r="F16" s="8">
        <v>3</v>
      </c>
      <c r="G16" s="6">
        <v>1</v>
      </c>
      <c r="H16" s="7">
        <v>7</v>
      </c>
      <c r="I16" s="52">
        <f t="shared" si="10"/>
        <v>11</v>
      </c>
      <c r="J16" s="60">
        <f t="shared" si="11"/>
        <v>22</v>
      </c>
      <c r="K16" s="40">
        <v>45401</v>
      </c>
      <c r="M16" s="20"/>
      <c r="N16" s="5"/>
      <c r="O16" s="6"/>
      <c r="P16" s="7"/>
      <c r="Q16" s="52">
        <f t="shared" si="12"/>
        <v>0</v>
      </c>
      <c r="R16" s="8"/>
      <c r="S16" s="6"/>
      <c r="T16" s="7"/>
      <c r="U16" s="52">
        <f t="shared" si="13"/>
        <v>0</v>
      </c>
      <c r="V16" s="60">
        <f t="shared" si="14"/>
        <v>0</v>
      </c>
      <c r="W16" s="40"/>
      <c r="AJ16" s="49"/>
    </row>
    <row r="17" spans="1:36" x14ac:dyDescent="0.15">
      <c r="A17" s="18" t="s">
        <v>34</v>
      </c>
      <c r="B17" s="5">
        <v>6</v>
      </c>
      <c r="C17" s="6"/>
      <c r="D17" s="7">
        <v>5</v>
      </c>
      <c r="E17" s="52">
        <f t="shared" si="9"/>
        <v>11</v>
      </c>
      <c r="F17" s="8">
        <v>6</v>
      </c>
      <c r="G17" s="6"/>
      <c r="H17" s="7">
        <v>5</v>
      </c>
      <c r="I17" s="52">
        <f t="shared" si="10"/>
        <v>11</v>
      </c>
      <c r="J17" s="60">
        <f t="shared" si="11"/>
        <v>22</v>
      </c>
      <c r="K17" s="40">
        <v>45425</v>
      </c>
      <c r="M17" s="17"/>
      <c r="N17" s="5"/>
      <c r="O17" s="6"/>
      <c r="P17" s="7"/>
      <c r="Q17" s="52">
        <f t="shared" ref="Q17:Q20" si="15">SUM(N17:P17)</f>
        <v>0</v>
      </c>
      <c r="R17" s="8"/>
      <c r="S17" s="6"/>
      <c r="T17" s="7"/>
      <c r="U17" s="52">
        <f t="shared" ref="U17:U20" si="16">SUM(R17:T17)</f>
        <v>0</v>
      </c>
      <c r="V17" s="60">
        <f t="shared" ref="V17:V20" si="17">Q17+U17</f>
        <v>0</v>
      </c>
      <c r="W17" s="40"/>
      <c r="AJ17" s="49"/>
    </row>
    <row r="18" spans="1:36" x14ac:dyDescent="0.15">
      <c r="A18" s="17"/>
      <c r="B18" s="5"/>
      <c r="C18" s="6"/>
      <c r="D18" s="7"/>
      <c r="E18" s="52">
        <f t="shared" si="9"/>
        <v>0</v>
      </c>
      <c r="F18" s="8"/>
      <c r="G18" s="6"/>
      <c r="H18" s="7"/>
      <c r="I18" s="52">
        <f t="shared" si="10"/>
        <v>0</v>
      </c>
      <c r="J18" s="60">
        <f t="shared" si="11"/>
        <v>0</v>
      </c>
      <c r="K18" s="40"/>
      <c r="M18" s="17"/>
      <c r="N18" s="5"/>
      <c r="O18" s="6"/>
      <c r="P18" s="7"/>
      <c r="Q18" s="52">
        <f t="shared" si="15"/>
        <v>0</v>
      </c>
      <c r="R18" s="8"/>
      <c r="S18" s="6"/>
      <c r="T18" s="7"/>
      <c r="U18" s="52">
        <f t="shared" si="16"/>
        <v>0</v>
      </c>
      <c r="V18" s="60">
        <f t="shared" si="17"/>
        <v>0</v>
      </c>
      <c r="W18" s="40"/>
      <c r="AJ18" s="49"/>
    </row>
    <row r="19" spans="1:36" x14ac:dyDescent="0.15">
      <c r="A19" s="17"/>
      <c r="B19" s="5"/>
      <c r="C19" s="6"/>
      <c r="D19" s="14"/>
      <c r="E19" s="52">
        <f t="shared" si="9"/>
        <v>0</v>
      </c>
      <c r="F19" s="15"/>
      <c r="G19" s="13"/>
      <c r="H19" s="14"/>
      <c r="I19" s="52">
        <f t="shared" si="10"/>
        <v>0</v>
      </c>
      <c r="J19" s="60">
        <f t="shared" si="11"/>
        <v>0</v>
      </c>
      <c r="K19" s="40"/>
      <c r="M19" s="42"/>
      <c r="N19" s="5"/>
      <c r="O19" s="6"/>
      <c r="P19" s="14"/>
      <c r="Q19" s="52">
        <f t="shared" si="15"/>
        <v>0</v>
      </c>
      <c r="R19" s="15"/>
      <c r="S19" s="13"/>
      <c r="T19" s="14"/>
      <c r="U19" s="52">
        <f t="shared" si="16"/>
        <v>0</v>
      </c>
      <c r="V19" s="60">
        <f t="shared" si="17"/>
        <v>0</v>
      </c>
      <c r="W19" s="40"/>
      <c r="X19" s="49"/>
      <c r="AJ19" s="49"/>
    </row>
    <row r="20" spans="1:36" x14ac:dyDescent="0.15">
      <c r="A20" s="17"/>
      <c r="B20" s="5"/>
      <c r="C20" s="6"/>
      <c r="D20" s="7"/>
      <c r="E20" s="52">
        <f t="shared" si="9"/>
        <v>0</v>
      </c>
      <c r="F20" s="8"/>
      <c r="G20" s="6"/>
      <c r="H20" s="7"/>
      <c r="I20" s="52">
        <f t="shared" si="10"/>
        <v>0</v>
      </c>
      <c r="J20" s="60">
        <f t="shared" si="11"/>
        <v>0</v>
      </c>
      <c r="K20" s="40"/>
      <c r="M20" s="17"/>
      <c r="N20" s="5"/>
      <c r="O20" s="6"/>
      <c r="P20" s="7"/>
      <c r="Q20" s="52">
        <f t="shared" si="15"/>
        <v>0</v>
      </c>
      <c r="R20" s="8"/>
      <c r="S20" s="6"/>
      <c r="T20" s="7"/>
      <c r="U20" s="52">
        <f t="shared" si="16"/>
        <v>0</v>
      </c>
      <c r="V20" s="60">
        <f t="shared" si="17"/>
        <v>0</v>
      </c>
      <c r="W20" s="40"/>
      <c r="X20" s="49"/>
      <c r="AJ20" s="49"/>
    </row>
    <row r="21" spans="1:36" x14ac:dyDescent="0.15">
      <c r="A21" s="17"/>
      <c r="B21" s="5"/>
      <c r="C21" s="6"/>
      <c r="D21" s="7"/>
      <c r="E21" s="52">
        <f t="shared" si="9"/>
        <v>0</v>
      </c>
      <c r="F21" s="8"/>
      <c r="G21" s="6"/>
      <c r="H21" s="7"/>
      <c r="I21" s="52">
        <f t="shared" si="10"/>
        <v>0</v>
      </c>
      <c r="J21" s="60">
        <f t="shared" si="11"/>
        <v>0</v>
      </c>
      <c r="K21" s="40"/>
      <c r="M21" s="42"/>
      <c r="N21" s="5"/>
      <c r="O21" s="6"/>
      <c r="P21" s="7"/>
      <c r="Q21" s="52">
        <f t="shared" si="12"/>
        <v>0</v>
      </c>
      <c r="R21" s="8"/>
      <c r="S21" s="6"/>
      <c r="T21" s="7"/>
      <c r="U21" s="52">
        <f t="shared" si="13"/>
        <v>0</v>
      </c>
      <c r="V21" s="60">
        <f t="shared" si="14"/>
        <v>0</v>
      </c>
      <c r="W21" s="40"/>
      <c r="AJ21" s="49"/>
    </row>
    <row r="22" spans="1:36" x14ac:dyDescent="0.15">
      <c r="A22" s="17"/>
      <c r="B22" s="5"/>
      <c r="C22" s="6"/>
      <c r="D22" s="7"/>
      <c r="E22" s="52">
        <f t="shared" si="9"/>
        <v>0</v>
      </c>
      <c r="F22" s="8"/>
      <c r="G22" s="6"/>
      <c r="H22" s="7"/>
      <c r="I22" s="52">
        <f t="shared" si="10"/>
        <v>0</v>
      </c>
      <c r="J22" s="60">
        <f t="shared" si="11"/>
        <v>0</v>
      </c>
      <c r="K22" s="40"/>
      <c r="M22" s="17"/>
      <c r="N22" s="5"/>
      <c r="O22" s="6"/>
      <c r="P22" s="7"/>
      <c r="Q22" s="52">
        <f t="shared" si="12"/>
        <v>0</v>
      </c>
      <c r="R22" s="8"/>
      <c r="S22" s="6"/>
      <c r="T22" s="7"/>
      <c r="U22" s="52">
        <f t="shared" si="13"/>
        <v>0</v>
      </c>
      <c r="V22" s="60">
        <f t="shared" si="14"/>
        <v>0</v>
      </c>
      <c r="W22" s="40"/>
    </row>
    <row r="23" spans="1:36" x14ac:dyDescent="0.15">
      <c r="A23" s="17"/>
      <c r="B23" s="9"/>
      <c r="C23" s="10"/>
      <c r="D23" s="11"/>
      <c r="E23" s="52">
        <f t="shared" si="9"/>
        <v>0</v>
      </c>
      <c r="F23" s="12"/>
      <c r="G23" s="10"/>
      <c r="H23" s="11"/>
      <c r="I23" s="52">
        <f t="shared" si="10"/>
        <v>0</v>
      </c>
      <c r="J23" s="60">
        <f t="shared" si="11"/>
        <v>0</v>
      </c>
      <c r="K23" s="40"/>
      <c r="M23" s="18"/>
      <c r="N23" s="9"/>
      <c r="O23" s="10"/>
      <c r="P23" s="11"/>
      <c r="Q23" s="52">
        <f t="shared" si="12"/>
        <v>0</v>
      </c>
      <c r="R23" s="12"/>
      <c r="S23" s="10"/>
      <c r="T23" s="11"/>
      <c r="U23" s="52">
        <f t="shared" si="13"/>
        <v>0</v>
      </c>
      <c r="V23" s="60">
        <f t="shared" si="14"/>
        <v>0</v>
      </c>
      <c r="W23" s="40"/>
    </row>
    <row r="24" spans="1:36" x14ac:dyDescent="0.15">
      <c r="A24" s="17"/>
      <c r="B24" s="5"/>
      <c r="C24" s="6"/>
      <c r="D24" s="7"/>
      <c r="E24" s="52">
        <f t="shared" si="9"/>
        <v>0</v>
      </c>
      <c r="F24" s="8"/>
      <c r="G24" s="6"/>
      <c r="H24" s="7"/>
      <c r="I24" s="52">
        <f t="shared" si="10"/>
        <v>0</v>
      </c>
      <c r="J24" s="60">
        <f t="shared" si="11"/>
        <v>0</v>
      </c>
      <c r="K24" s="40"/>
      <c r="M24" s="20"/>
      <c r="N24" s="5"/>
      <c r="O24" s="6"/>
      <c r="P24" s="7"/>
      <c r="Q24" s="52">
        <f>SUM(N24:P24)</f>
        <v>0</v>
      </c>
      <c r="R24" s="8"/>
      <c r="S24" s="6"/>
      <c r="T24" s="7"/>
      <c r="U24" s="52">
        <f>SUM(R24:T24)</f>
        <v>0</v>
      </c>
      <c r="V24" s="60">
        <f>Q24+U24</f>
        <v>0</v>
      </c>
      <c r="W24" s="40"/>
    </row>
    <row r="25" spans="1:36" x14ac:dyDescent="0.15">
      <c r="A25" s="17"/>
      <c r="B25" s="5"/>
      <c r="C25" s="6"/>
      <c r="D25" s="7"/>
      <c r="E25" s="52">
        <f t="shared" si="9"/>
        <v>0</v>
      </c>
      <c r="F25" s="8"/>
      <c r="G25" s="6"/>
      <c r="H25" s="7"/>
      <c r="I25" s="52">
        <f t="shared" si="10"/>
        <v>0</v>
      </c>
      <c r="J25" s="60">
        <f t="shared" si="11"/>
        <v>0</v>
      </c>
      <c r="K25" s="40"/>
      <c r="M25" s="42"/>
      <c r="N25" s="5"/>
      <c r="O25" s="6"/>
      <c r="P25" s="7"/>
      <c r="Q25" s="52">
        <f t="shared" si="12"/>
        <v>0</v>
      </c>
      <c r="R25" s="8"/>
      <c r="S25" s="6"/>
      <c r="T25" s="7"/>
      <c r="U25" s="52">
        <f t="shared" si="13"/>
        <v>0</v>
      </c>
      <c r="V25" s="60">
        <f t="shared" si="14"/>
        <v>0</v>
      </c>
      <c r="W25" s="40"/>
      <c r="X25" s="49"/>
    </row>
    <row r="26" spans="1:36" x14ac:dyDescent="0.15">
      <c r="A26" s="17"/>
      <c r="B26" s="5"/>
      <c r="C26" s="6"/>
      <c r="D26" s="7"/>
      <c r="E26" s="52">
        <f t="shared" si="9"/>
        <v>0</v>
      </c>
      <c r="F26" s="8"/>
      <c r="G26" s="6"/>
      <c r="H26" s="7"/>
      <c r="I26" s="52">
        <f t="shared" si="10"/>
        <v>0</v>
      </c>
      <c r="J26" s="60">
        <f t="shared" si="11"/>
        <v>0</v>
      </c>
      <c r="K26" s="40"/>
      <c r="M26" s="42"/>
      <c r="N26" s="5"/>
      <c r="O26" s="6"/>
      <c r="P26" s="7"/>
      <c r="Q26" s="52">
        <f t="shared" si="12"/>
        <v>0</v>
      </c>
      <c r="R26" s="8"/>
      <c r="S26" s="6"/>
      <c r="T26" s="7"/>
      <c r="U26" s="52">
        <f t="shared" si="13"/>
        <v>0</v>
      </c>
      <c r="V26" s="60">
        <f t="shared" si="14"/>
        <v>0</v>
      </c>
      <c r="W26" s="40"/>
    </row>
    <row r="27" spans="1:36" x14ac:dyDescent="0.15">
      <c r="A27" s="17"/>
      <c r="B27" s="5"/>
      <c r="C27" s="6"/>
      <c r="D27" s="7"/>
      <c r="E27" s="52">
        <f t="shared" si="9"/>
        <v>0</v>
      </c>
      <c r="F27" s="8"/>
      <c r="G27" s="6"/>
      <c r="H27" s="7"/>
      <c r="I27" s="52">
        <f t="shared" si="10"/>
        <v>0</v>
      </c>
      <c r="J27" s="60">
        <f t="shared" si="11"/>
        <v>0</v>
      </c>
      <c r="K27" s="40"/>
      <c r="M27" s="18"/>
      <c r="N27" s="5"/>
      <c r="O27" s="6"/>
      <c r="P27" s="7"/>
      <c r="Q27" s="52">
        <f t="shared" si="12"/>
        <v>0</v>
      </c>
      <c r="R27" s="8"/>
      <c r="S27" s="6"/>
      <c r="T27" s="7"/>
      <c r="U27" s="52">
        <f t="shared" si="13"/>
        <v>0</v>
      </c>
      <c r="V27" s="60">
        <f t="shared" si="14"/>
        <v>0</v>
      </c>
      <c r="W27" s="40"/>
    </row>
    <row r="28" spans="1:36" x14ac:dyDescent="0.15">
      <c r="A28" s="17"/>
      <c r="B28" s="5"/>
      <c r="C28" s="6"/>
      <c r="D28" s="7"/>
      <c r="E28" s="52">
        <f t="shared" si="9"/>
        <v>0</v>
      </c>
      <c r="F28" s="8"/>
      <c r="G28" s="6"/>
      <c r="H28" s="7"/>
      <c r="I28" s="52">
        <f t="shared" si="10"/>
        <v>0</v>
      </c>
      <c r="J28" s="60">
        <f t="shared" si="11"/>
        <v>0</v>
      </c>
      <c r="K28" s="40"/>
      <c r="M28" s="18"/>
      <c r="N28" s="5"/>
      <c r="O28" s="6"/>
      <c r="P28" s="7"/>
      <c r="Q28" s="52">
        <f t="shared" si="12"/>
        <v>0</v>
      </c>
      <c r="R28" s="8"/>
      <c r="S28" s="6"/>
      <c r="T28" s="7"/>
      <c r="U28" s="52">
        <f t="shared" si="13"/>
        <v>0</v>
      </c>
      <c r="V28" s="60">
        <f t="shared" si="14"/>
        <v>0</v>
      </c>
      <c r="W28" s="40"/>
    </row>
    <row r="29" spans="1:36" x14ac:dyDescent="0.15">
      <c r="A29" s="18"/>
      <c r="B29" s="5"/>
      <c r="C29" s="6"/>
      <c r="D29" s="7"/>
      <c r="E29" s="52">
        <f t="shared" si="9"/>
        <v>0</v>
      </c>
      <c r="F29" s="8"/>
      <c r="G29" s="6"/>
      <c r="H29" s="7"/>
      <c r="I29" s="52">
        <f t="shared" si="10"/>
        <v>0</v>
      </c>
      <c r="J29" s="60">
        <f t="shared" si="11"/>
        <v>0</v>
      </c>
      <c r="K29" s="40"/>
      <c r="M29" s="18"/>
      <c r="N29" s="5"/>
      <c r="O29" s="6"/>
      <c r="P29" s="7"/>
      <c r="Q29" s="52">
        <f t="shared" ref="Q29:Q38" si="18">SUM(N29:P29)</f>
        <v>0</v>
      </c>
      <c r="R29" s="8"/>
      <c r="S29" s="6"/>
      <c r="T29" s="7"/>
      <c r="U29" s="52">
        <f t="shared" ref="U29:U38" si="19">SUM(R29:T29)</f>
        <v>0</v>
      </c>
      <c r="V29" s="60">
        <f t="shared" ref="V29:V38" si="20">Q29+U29</f>
        <v>0</v>
      </c>
      <c r="W29" s="40"/>
    </row>
    <row r="30" spans="1:36" x14ac:dyDescent="0.15">
      <c r="A30" s="17"/>
      <c r="B30" s="5"/>
      <c r="C30" s="6"/>
      <c r="D30" s="7"/>
      <c r="E30" s="52">
        <f t="shared" si="9"/>
        <v>0</v>
      </c>
      <c r="F30" s="8"/>
      <c r="G30" s="6"/>
      <c r="H30" s="7"/>
      <c r="I30" s="52">
        <f t="shared" si="10"/>
        <v>0</v>
      </c>
      <c r="J30" s="60">
        <f t="shared" si="11"/>
        <v>0</v>
      </c>
      <c r="K30" s="40"/>
      <c r="M30" s="18"/>
      <c r="N30" s="5"/>
      <c r="O30" s="6"/>
      <c r="P30" s="7"/>
      <c r="Q30" s="52">
        <f t="shared" si="18"/>
        <v>0</v>
      </c>
      <c r="R30" s="8"/>
      <c r="S30" s="6"/>
      <c r="T30" s="7"/>
      <c r="U30" s="52">
        <f t="shared" si="19"/>
        <v>0</v>
      </c>
      <c r="V30" s="60">
        <f t="shared" si="20"/>
        <v>0</v>
      </c>
      <c r="W30" s="40"/>
    </row>
    <row r="31" spans="1:36" x14ac:dyDescent="0.15">
      <c r="A31" s="17"/>
      <c r="B31" s="5"/>
      <c r="C31" s="6"/>
      <c r="D31" s="7"/>
      <c r="E31" s="52">
        <f t="shared" si="9"/>
        <v>0</v>
      </c>
      <c r="F31" s="8"/>
      <c r="G31" s="6"/>
      <c r="H31" s="7"/>
      <c r="I31" s="52">
        <f t="shared" si="10"/>
        <v>0</v>
      </c>
      <c r="J31" s="60">
        <f t="shared" si="11"/>
        <v>0</v>
      </c>
      <c r="K31" s="40"/>
      <c r="L31" s="49"/>
      <c r="M31" s="18"/>
      <c r="N31" s="5"/>
      <c r="O31" s="6"/>
      <c r="P31" s="7"/>
      <c r="Q31" s="52">
        <f t="shared" si="18"/>
        <v>0</v>
      </c>
      <c r="R31" s="8"/>
      <c r="S31" s="6"/>
      <c r="T31" s="7"/>
      <c r="U31" s="52">
        <f t="shared" si="19"/>
        <v>0</v>
      </c>
      <c r="V31" s="60">
        <f t="shared" si="20"/>
        <v>0</v>
      </c>
      <c r="W31" s="40"/>
    </row>
    <row r="32" spans="1:36" x14ac:dyDescent="0.15">
      <c r="A32" s="18"/>
      <c r="B32" s="5"/>
      <c r="C32" s="6"/>
      <c r="D32" s="7"/>
      <c r="E32" s="52">
        <f t="shared" si="9"/>
        <v>0</v>
      </c>
      <c r="F32" s="8"/>
      <c r="G32" s="6"/>
      <c r="H32" s="7"/>
      <c r="I32" s="52">
        <f t="shared" si="10"/>
        <v>0</v>
      </c>
      <c r="J32" s="60">
        <f t="shared" si="11"/>
        <v>0</v>
      </c>
      <c r="K32" s="40"/>
      <c r="M32" s="18"/>
      <c r="N32" s="5"/>
      <c r="O32" s="6"/>
      <c r="P32" s="7"/>
      <c r="Q32" s="52">
        <f t="shared" si="18"/>
        <v>0</v>
      </c>
      <c r="R32" s="8"/>
      <c r="S32" s="6"/>
      <c r="T32" s="7"/>
      <c r="U32" s="52">
        <f t="shared" si="19"/>
        <v>0</v>
      </c>
      <c r="V32" s="60">
        <f t="shared" si="20"/>
        <v>0</v>
      </c>
      <c r="W32" s="40"/>
    </row>
    <row r="33" spans="1:23" x14ac:dyDescent="0.15">
      <c r="A33" s="17"/>
      <c r="B33" s="5"/>
      <c r="C33" s="6"/>
      <c r="D33" s="7"/>
      <c r="E33" s="52">
        <f t="shared" si="9"/>
        <v>0</v>
      </c>
      <c r="F33" s="8"/>
      <c r="G33" s="6"/>
      <c r="H33" s="7"/>
      <c r="I33" s="52">
        <f t="shared" si="10"/>
        <v>0</v>
      </c>
      <c r="J33" s="60">
        <f t="shared" si="11"/>
        <v>0</v>
      </c>
      <c r="K33" s="40"/>
      <c r="M33" s="18"/>
      <c r="N33" s="5"/>
      <c r="O33" s="6"/>
      <c r="P33" s="7"/>
      <c r="Q33" s="52">
        <f t="shared" si="18"/>
        <v>0</v>
      </c>
      <c r="R33" s="8"/>
      <c r="S33" s="6"/>
      <c r="T33" s="7"/>
      <c r="U33" s="52">
        <f t="shared" si="19"/>
        <v>0</v>
      </c>
      <c r="V33" s="60">
        <f t="shared" si="20"/>
        <v>0</v>
      </c>
      <c r="W33" s="40"/>
    </row>
    <row r="34" spans="1:23" x14ac:dyDescent="0.15">
      <c r="A34" s="17"/>
      <c r="B34" s="5"/>
      <c r="C34" s="6"/>
      <c r="D34" s="7"/>
      <c r="E34" s="52">
        <f t="shared" si="9"/>
        <v>0</v>
      </c>
      <c r="F34" s="8"/>
      <c r="G34" s="6"/>
      <c r="H34" s="7"/>
      <c r="I34" s="52">
        <f t="shared" si="10"/>
        <v>0</v>
      </c>
      <c r="J34" s="60">
        <f t="shared" si="11"/>
        <v>0</v>
      </c>
      <c r="K34" s="40"/>
      <c r="M34" s="18"/>
      <c r="N34" s="5"/>
      <c r="O34" s="6"/>
      <c r="P34" s="7"/>
      <c r="Q34" s="52">
        <f t="shared" si="18"/>
        <v>0</v>
      </c>
      <c r="R34" s="8"/>
      <c r="S34" s="6"/>
      <c r="T34" s="7"/>
      <c r="U34" s="52">
        <f t="shared" si="19"/>
        <v>0</v>
      </c>
      <c r="V34" s="60">
        <f t="shared" si="20"/>
        <v>0</v>
      </c>
      <c r="W34" s="40"/>
    </row>
    <row r="35" spans="1:23" x14ac:dyDescent="0.15">
      <c r="A35" s="17"/>
      <c r="B35" s="9"/>
      <c r="C35" s="10"/>
      <c r="D35" s="11"/>
      <c r="E35" s="52">
        <f t="shared" si="9"/>
        <v>0</v>
      </c>
      <c r="F35" s="12"/>
      <c r="G35" s="10"/>
      <c r="H35" s="11"/>
      <c r="I35" s="52">
        <f t="shared" si="10"/>
        <v>0</v>
      </c>
      <c r="J35" s="60">
        <f t="shared" si="11"/>
        <v>0</v>
      </c>
      <c r="K35" s="40"/>
      <c r="M35" s="18"/>
      <c r="N35" s="5"/>
      <c r="O35" s="6"/>
      <c r="P35" s="7"/>
      <c r="Q35" s="52">
        <f t="shared" si="18"/>
        <v>0</v>
      </c>
      <c r="R35" s="8"/>
      <c r="S35" s="6"/>
      <c r="T35" s="7"/>
      <c r="U35" s="52">
        <f t="shared" si="19"/>
        <v>0</v>
      </c>
      <c r="V35" s="60">
        <f t="shared" si="20"/>
        <v>0</v>
      </c>
      <c r="W35" s="40"/>
    </row>
    <row r="36" spans="1:23" x14ac:dyDescent="0.15">
      <c r="A36" s="17"/>
      <c r="B36" s="5"/>
      <c r="C36" s="6"/>
      <c r="D36" s="7"/>
      <c r="E36" s="52">
        <f t="shared" si="9"/>
        <v>0</v>
      </c>
      <c r="F36" s="8"/>
      <c r="G36" s="6"/>
      <c r="H36" s="7"/>
      <c r="I36" s="52">
        <f t="shared" si="10"/>
        <v>0</v>
      </c>
      <c r="J36" s="60">
        <f t="shared" si="11"/>
        <v>0</v>
      </c>
      <c r="K36" s="40"/>
      <c r="M36" s="18"/>
      <c r="N36" s="5"/>
      <c r="O36" s="6"/>
      <c r="P36" s="7"/>
      <c r="Q36" s="52">
        <f t="shared" si="18"/>
        <v>0</v>
      </c>
      <c r="R36" s="8"/>
      <c r="S36" s="6"/>
      <c r="T36" s="7"/>
      <c r="U36" s="52">
        <f t="shared" si="19"/>
        <v>0</v>
      </c>
      <c r="V36" s="60">
        <f t="shared" si="20"/>
        <v>0</v>
      </c>
      <c r="W36" s="40"/>
    </row>
    <row r="37" spans="1:23" x14ac:dyDescent="0.15">
      <c r="A37" s="17"/>
      <c r="B37" s="5"/>
      <c r="C37" s="6"/>
      <c r="D37" s="7"/>
      <c r="E37" s="52">
        <f t="shared" ref="E37" si="21">SUM(B37:D37)</f>
        <v>0</v>
      </c>
      <c r="F37" s="8"/>
      <c r="G37" s="6"/>
      <c r="H37" s="7"/>
      <c r="I37" s="52">
        <f t="shared" ref="I37" si="22">SUM(F37:H37)</f>
        <v>0</v>
      </c>
      <c r="J37" s="60">
        <f t="shared" ref="J37" si="23">E37+I37</f>
        <v>0</v>
      </c>
      <c r="K37" s="40"/>
      <c r="M37" s="18"/>
      <c r="N37" s="5"/>
      <c r="O37" s="6"/>
      <c r="P37" s="7"/>
      <c r="Q37" s="52">
        <f t="shared" si="18"/>
        <v>0</v>
      </c>
      <c r="R37" s="8"/>
      <c r="S37" s="6"/>
      <c r="T37" s="7"/>
      <c r="U37" s="52">
        <f t="shared" si="19"/>
        <v>0</v>
      </c>
      <c r="V37" s="60">
        <f t="shared" si="20"/>
        <v>0</v>
      </c>
      <c r="W37" s="40"/>
    </row>
    <row r="38" spans="1:23" x14ac:dyDescent="0.15">
      <c r="A38" s="18" t="s">
        <v>25</v>
      </c>
      <c r="B38" s="5"/>
      <c r="C38" s="6"/>
      <c r="D38" s="7"/>
      <c r="E38" s="52">
        <f t="shared" si="9"/>
        <v>0</v>
      </c>
      <c r="F38" s="5"/>
      <c r="G38" s="6"/>
      <c r="H38" s="7"/>
      <c r="I38" s="52">
        <f t="shared" si="10"/>
        <v>0</v>
      </c>
      <c r="J38" s="60">
        <f t="shared" si="11"/>
        <v>0</v>
      </c>
      <c r="K38" s="40" t="s">
        <v>26</v>
      </c>
      <c r="M38" s="18"/>
      <c r="N38" s="5"/>
      <c r="O38" s="6"/>
      <c r="P38" s="7"/>
      <c r="Q38" s="52">
        <f t="shared" si="18"/>
        <v>0</v>
      </c>
      <c r="R38" s="8"/>
      <c r="S38" s="6"/>
      <c r="T38" s="7"/>
      <c r="U38" s="52">
        <f t="shared" si="19"/>
        <v>0</v>
      </c>
      <c r="V38" s="60">
        <f t="shared" si="20"/>
        <v>0</v>
      </c>
      <c r="W38" s="40"/>
    </row>
    <row r="39" spans="1:23" ht="14.25" thickBot="1" x14ac:dyDescent="0.2">
      <c r="A39" s="18" t="s">
        <v>27</v>
      </c>
      <c r="B39" s="9"/>
      <c r="C39" s="10"/>
      <c r="D39" s="11"/>
      <c r="E39" s="56">
        <f t="shared" si="9"/>
        <v>0</v>
      </c>
      <c r="F39" s="9"/>
      <c r="G39" s="10"/>
      <c r="H39" s="11"/>
      <c r="I39" s="56">
        <f t="shared" si="10"/>
        <v>0</v>
      </c>
      <c r="J39" s="60">
        <f t="shared" si="11"/>
        <v>0</v>
      </c>
      <c r="K39" s="40" t="s">
        <v>28</v>
      </c>
      <c r="M39" s="18"/>
      <c r="N39" s="5"/>
      <c r="O39" s="6"/>
      <c r="P39" s="7"/>
      <c r="Q39" s="52">
        <f t="shared" ref="Q39" si="24">SUM(N39:P39)</f>
        <v>0</v>
      </c>
      <c r="R39" s="8"/>
      <c r="S39" s="6"/>
      <c r="T39" s="7"/>
      <c r="U39" s="52">
        <f t="shared" ref="U39" si="25">SUM(R39:T39)</f>
        <v>0</v>
      </c>
      <c r="V39" s="60">
        <f t="shared" ref="V39" si="26">Q39+U39</f>
        <v>0</v>
      </c>
      <c r="W39" s="40"/>
    </row>
    <row r="40" spans="1:23" ht="14.25" thickBot="1" x14ac:dyDescent="0.2">
      <c r="A40" s="31" t="s">
        <v>18</v>
      </c>
      <c r="B40" s="34">
        <f>SUM(B14:B39)</f>
        <v>15</v>
      </c>
      <c r="C40" s="35">
        <f t="shared" ref="C40:D40" si="27">SUM(C14:C39)</f>
        <v>9</v>
      </c>
      <c r="D40" s="39">
        <f t="shared" si="27"/>
        <v>19</v>
      </c>
      <c r="E40" s="57">
        <f t="shared" si="9"/>
        <v>43</v>
      </c>
      <c r="F40" s="34">
        <f>SUM(F14:F39)</f>
        <v>15</v>
      </c>
      <c r="G40" s="35">
        <f t="shared" ref="G40:H40" si="28">SUM(G14:G39)</f>
        <v>9</v>
      </c>
      <c r="H40" s="39">
        <f t="shared" si="28"/>
        <v>19</v>
      </c>
      <c r="I40" s="57">
        <f t="shared" si="10"/>
        <v>43</v>
      </c>
      <c r="J40" s="63">
        <f>E40+I40</f>
        <v>86</v>
      </c>
      <c r="K40" s="30"/>
      <c r="M40" s="31" t="s">
        <v>18</v>
      </c>
      <c r="N40" s="34">
        <f>SUM(N14:N39)</f>
        <v>0</v>
      </c>
      <c r="O40" s="35">
        <f t="shared" ref="O40:P40" si="29">SUM(O14:O39)</f>
        <v>0</v>
      </c>
      <c r="P40" s="39">
        <f t="shared" si="29"/>
        <v>0</v>
      </c>
      <c r="Q40" s="57">
        <f t="shared" si="12"/>
        <v>0</v>
      </c>
      <c r="R40" s="34">
        <f>SUM(R14:R39)</f>
        <v>0</v>
      </c>
      <c r="S40" s="35">
        <f t="shared" ref="S40:T40" si="30">SUM(S14:S39)</f>
        <v>0</v>
      </c>
      <c r="T40" s="39">
        <f t="shared" si="30"/>
        <v>0</v>
      </c>
      <c r="U40" s="57">
        <f t="shared" si="13"/>
        <v>0</v>
      </c>
      <c r="V40" s="63">
        <f>Q40+U40</f>
        <v>0</v>
      </c>
      <c r="W40" s="30"/>
    </row>
    <row r="41" spans="1:23" ht="14.25" thickBot="1" x14ac:dyDescent="0.2">
      <c r="A41" s="16" t="s">
        <v>17</v>
      </c>
      <c r="B41" s="64">
        <f>B13-B40</f>
        <v>26</v>
      </c>
      <c r="C41" s="65">
        <f t="shared" ref="C41:D41" si="31">C13-C40</f>
        <v>41</v>
      </c>
      <c r="D41" s="66">
        <f t="shared" si="31"/>
        <v>21</v>
      </c>
      <c r="E41" s="58">
        <f>SUM(B41:D41)</f>
        <v>88</v>
      </c>
      <c r="F41" s="64">
        <f>F13-F40</f>
        <v>26</v>
      </c>
      <c r="G41" s="65">
        <f t="shared" ref="G41:H41" si="32">G13-G40</f>
        <v>41</v>
      </c>
      <c r="H41" s="66">
        <f t="shared" si="32"/>
        <v>21</v>
      </c>
      <c r="I41" s="58">
        <f>SUM(F41:H41)</f>
        <v>88</v>
      </c>
      <c r="J41" s="62">
        <f>E41+I41</f>
        <v>176</v>
      </c>
      <c r="M41" s="16" t="s">
        <v>17</v>
      </c>
      <c r="N41" s="64">
        <f>N13-N40</f>
        <v>0</v>
      </c>
      <c r="O41" s="65">
        <f t="shared" ref="O41:P41" si="33">O13-O40</f>
        <v>0</v>
      </c>
      <c r="P41" s="66">
        <f t="shared" si="33"/>
        <v>0</v>
      </c>
      <c r="Q41" s="58">
        <f>SUM(N41:P41)</f>
        <v>0</v>
      </c>
      <c r="R41" s="64">
        <f>R13-R40</f>
        <v>0</v>
      </c>
      <c r="S41" s="65">
        <f t="shared" ref="S41:T41" si="34">S13-S40</f>
        <v>0</v>
      </c>
      <c r="T41" s="66">
        <f t="shared" si="34"/>
        <v>0</v>
      </c>
      <c r="U41" s="58">
        <f>SUM(R41:T41)</f>
        <v>0</v>
      </c>
      <c r="V41" s="62">
        <f>Q41+U41</f>
        <v>0</v>
      </c>
    </row>
    <row r="45" spans="1:23" ht="18" thickBot="1" x14ac:dyDescent="0.25">
      <c r="A45" s="73" t="s">
        <v>23</v>
      </c>
      <c r="B45" s="74"/>
      <c r="C45" s="74"/>
      <c r="D45" s="74"/>
      <c r="E45" s="74"/>
      <c r="F45" s="74"/>
      <c r="G45" s="74"/>
      <c r="H45" s="74"/>
      <c r="I45" s="74"/>
      <c r="J45" s="74"/>
      <c r="M45" s="73" t="s">
        <v>24</v>
      </c>
      <c r="N45" s="74"/>
      <c r="O45" s="74"/>
      <c r="P45" s="74"/>
      <c r="Q45" s="74"/>
      <c r="R45" s="74"/>
      <c r="S45" s="74"/>
      <c r="T45" s="74"/>
      <c r="U45" s="74"/>
      <c r="V45" s="74"/>
    </row>
    <row r="46" spans="1:23" ht="14.25" thickBot="1" x14ac:dyDescent="0.2">
      <c r="A46" s="4" t="s">
        <v>0</v>
      </c>
      <c r="B46" s="97" t="s">
        <v>21</v>
      </c>
      <c r="C46" s="97"/>
      <c r="D46" s="97"/>
      <c r="E46" s="98"/>
      <c r="F46" s="99" t="s">
        <v>22</v>
      </c>
      <c r="G46" s="99"/>
      <c r="H46" s="99"/>
      <c r="I46" s="100"/>
      <c r="J46" s="95" t="s">
        <v>1</v>
      </c>
      <c r="M46" s="4" t="s">
        <v>0</v>
      </c>
      <c r="N46" s="97" t="s">
        <v>21</v>
      </c>
      <c r="O46" s="97"/>
      <c r="P46" s="97"/>
      <c r="Q46" s="98"/>
      <c r="R46" s="99" t="s">
        <v>22</v>
      </c>
      <c r="S46" s="99"/>
      <c r="T46" s="99"/>
      <c r="U46" s="100"/>
      <c r="V46" s="95" t="s">
        <v>1</v>
      </c>
    </row>
    <row r="47" spans="1:23" ht="14.25" thickBot="1" x14ac:dyDescent="0.2">
      <c r="A47" s="4" t="s">
        <v>2</v>
      </c>
      <c r="B47" s="1" t="s">
        <v>3</v>
      </c>
      <c r="C47" s="2" t="s">
        <v>4</v>
      </c>
      <c r="D47" s="3" t="s">
        <v>5</v>
      </c>
      <c r="E47" s="4" t="s">
        <v>6</v>
      </c>
      <c r="F47" s="1" t="s">
        <v>3</v>
      </c>
      <c r="G47" s="2" t="s">
        <v>4</v>
      </c>
      <c r="H47" s="3" t="s">
        <v>5</v>
      </c>
      <c r="I47" s="4" t="s">
        <v>6</v>
      </c>
      <c r="J47" s="96"/>
      <c r="M47" s="4" t="s">
        <v>2</v>
      </c>
      <c r="N47" s="1" t="s">
        <v>3</v>
      </c>
      <c r="O47" s="2" t="s">
        <v>4</v>
      </c>
      <c r="P47" s="3" t="s">
        <v>5</v>
      </c>
      <c r="Q47" s="4" t="s">
        <v>6</v>
      </c>
      <c r="R47" s="1" t="s">
        <v>3</v>
      </c>
      <c r="S47" s="2" t="s">
        <v>4</v>
      </c>
      <c r="T47" s="3" t="s">
        <v>5</v>
      </c>
      <c r="U47" s="4" t="s">
        <v>6</v>
      </c>
      <c r="V47" s="96"/>
    </row>
    <row r="48" spans="1:23" ht="14.25" thickBot="1" x14ac:dyDescent="0.2">
      <c r="A48" s="21" t="s">
        <v>19</v>
      </c>
      <c r="B48" s="67">
        <f>B41</f>
        <v>26</v>
      </c>
      <c r="C48" s="68">
        <f>C41</f>
        <v>41</v>
      </c>
      <c r="D48" s="69">
        <f>D41</f>
        <v>21</v>
      </c>
      <c r="E48" s="70">
        <f>SUM(B48:D48)</f>
        <v>88</v>
      </c>
      <c r="F48" s="67">
        <f>F41</f>
        <v>26</v>
      </c>
      <c r="G48" s="68">
        <f>G41</f>
        <v>41</v>
      </c>
      <c r="H48" s="69">
        <f>H41</f>
        <v>21</v>
      </c>
      <c r="I48" s="70">
        <f>SUM(F48:H48)</f>
        <v>88</v>
      </c>
      <c r="J48" s="71">
        <f>E48+I48</f>
        <v>176</v>
      </c>
      <c r="M48" s="21" t="s">
        <v>19</v>
      </c>
      <c r="N48" s="67">
        <f>N41</f>
        <v>0</v>
      </c>
      <c r="O48" s="68">
        <f>O41</f>
        <v>0</v>
      </c>
      <c r="P48" s="69">
        <f>P41</f>
        <v>0</v>
      </c>
      <c r="Q48" s="70">
        <f>SUM(N48:P48)</f>
        <v>0</v>
      </c>
      <c r="R48" s="67">
        <f>R41</f>
        <v>0</v>
      </c>
      <c r="S48" s="68">
        <f>S41</f>
        <v>0</v>
      </c>
      <c r="T48" s="69">
        <f>T41</f>
        <v>0</v>
      </c>
      <c r="U48" s="70">
        <f>SUM(R48:T48)</f>
        <v>0</v>
      </c>
      <c r="V48" s="71">
        <f>Q48+U48</f>
        <v>0</v>
      </c>
    </row>
    <row r="49" spans="1:24" x14ac:dyDescent="0.15">
      <c r="A49" s="19" t="s">
        <v>8</v>
      </c>
      <c r="B49" s="32"/>
      <c r="C49" s="33"/>
      <c r="D49" s="45"/>
      <c r="E49" s="51">
        <f>SUM(B49:D49)</f>
        <v>0</v>
      </c>
      <c r="F49" s="46"/>
      <c r="G49" s="47"/>
      <c r="H49" s="48"/>
      <c r="I49" s="51">
        <f>SUM(F49:H49)</f>
        <v>0</v>
      </c>
      <c r="J49" s="59">
        <f>E49+I49</f>
        <v>0</v>
      </c>
      <c r="K49" s="40"/>
      <c r="M49" s="19" t="s">
        <v>8</v>
      </c>
      <c r="N49" s="32"/>
      <c r="O49" s="33"/>
      <c r="P49" s="45"/>
      <c r="Q49" s="51">
        <f>SUM(N49:P49)</f>
        <v>0</v>
      </c>
      <c r="R49" s="46"/>
      <c r="S49" s="47"/>
      <c r="T49" s="48"/>
      <c r="U49" s="51">
        <f>SUM(R49:T49)</f>
        <v>0</v>
      </c>
      <c r="V49" s="59">
        <f>Q49+U49</f>
        <v>0</v>
      </c>
      <c r="W49" s="40"/>
    </row>
    <row r="50" spans="1:24" x14ac:dyDescent="0.15">
      <c r="A50" s="19" t="s">
        <v>9</v>
      </c>
      <c r="B50" s="5">
        <v>15</v>
      </c>
      <c r="C50" s="6">
        <v>15</v>
      </c>
      <c r="D50" s="14">
        <v>15</v>
      </c>
      <c r="E50" s="52">
        <f>SUM(B50:D50)</f>
        <v>45</v>
      </c>
      <c r="F50" s="15">
        <v>15</v>
      </c>
      <c r="G50" s="13">
        <v>15</v>
      </c>
      <c r="H50" s="14">
        <v>15</v>
      </c>
      <c r="I50" s="52">
        <f>SUM(F50:H50)</f>
        <v>45</v>
      </c>
      <c r="J50" s="60">
        <f>E50+I50</f>
        <v>90</v>
      </c>
      <c r="K50" s="40">
        <v>45427</v>
      </c>
      <c r="M50" s="19" t="s">
        <v>9</v>
      </c>
      <c r="N50" s="5"/>
      <c r="O50" s="6"/>
      <c r="P50" s="36"/>
      <c r="Q50" s="53">
        <f t="shared" ref="Q50:Q53" si="35">SUM(N50:P50)</f>
        <v>0</v>
      </c>
      <c r="R50" s="8"/>
      <c r="S50" s="6"/>
      <c r="T50" s="7"/>
      <c r="U50" s="53">
        <f t="shared" ref="U50:U53" si="36">SUM(R50:T50)</f>
        <v>0</v>
      </c>
      <c r="V50" s="60">
        <f t="shared" ref="V50:V53" si="37">Q50+U50</f>
        <v>0</v>
      </c>
      <c r="W50" s="40"/>
    </row>
    <row r="51" spans="1:24" x14ac:dyDescent="0.15">
      <c r="A51" s="19" t="s">
        <v>10</v>
      </c>
      <c r="B51" s="5"/>
      <c r="C51" s="6"/>
      <c r="D51" s="7"/>
      <c r="E51" s="52">
        <f t="shared" ref="E51:E56" si="38">SUM(B51:D51)</f>
        <v>0</v>
      </c>
      <c r="F51" s="8"/>
      <c r="G51" s="6"/>
      <c r="H51" s="7"/>
      <c r="I51" s="52">
        <f t="shared" ref="I51:I56" si="39">SUM(F51:H51)</f>
        <v>0</v>
      </c>
      <c r="J51" s="60">
        <f t="shared" ref="J51:J56" si="40">E51+I51</f>
        <v>0</v>
      </c>
      <c r="K51" s="40"/>
      <c r="M51" s="19" t="s">
        <v>10</v>
      </c>
      <c r="N51" s="5"/>
      <c r="O51" s="6"/>
      <c r="P51" s="36"/>
      <c r="Q51" s="53">
        <f t="shared" si="35"/>
        <v>0</v>
      </c>
      <c r="R51" s="8"/>
      <c r="S51" s="6"/>
      <c r="T51" s="7"/>
      <c r="U51" s="53">
        <f t="shared" si="36"/>
        <v>0</v>
      </c>
      <c r="V51" s="60">
        <f t="shared" si="37"/>
        <v>0</v>
      </c>
      <c r="W51" s="40"/>
    </row>
    <row r="52" spans="1:24" x14ac:dyDescent="0.15">
      <c r="A52" s="19" t="s">
        <v>40</v>
      </c>
      <c r="B52" s="5">
        <v>3</v>
      </c>
      <c r="C52" s="6">
        <v>3</v>
      </c>
      <c r="D52" s="36">
        <v>2</v>
      </c>
      <c r="E52" s="53">
        <f t="shared" si="38"/>
        <v>8</v>
      </c>
      <c r="F52" s="8">
        <v>3</v>
      </c>
      <c r="G52" s="6">
        <v>3</v>
      </c>
      <c r="H52" s="7">
        <v>2</v>
      </c>
      <c r="I52" s="53">
        <f t="shared" si="39"/>
        <v>8</v>
      </c>
      <c r="J52" s="60">
        <f t="shared" si="40"/>
        <v>16</v>
      </c>
      <c r="K52" s="40">
        <v>45439</v>
      </c>
      <c r="M52" s="19" t="s">
        <v>11</v>
      </c>
      <c r="N52" s="5"/>
      <c r="O52" s="6"/>
      <c r="P52" s="36"/>
      <c r="Q52" s="53">
        <f t="shared" si="35"/>
        <v>0</v>
      </c>
      <c r="R52" s="8"/>
      <c r="S52" s="6"/>
      <c r="T52" s="7"/>
      <c r="U52" s="53">
        <f t="shared" si="36"/>
        <v>0</v>
      </c>
      <c r="V52" s="60">
        <f t="shared" si="37"/>
        <v>0</v>
      </c>
      <c r="W52" s="40"/>
    </row>
    <row r="53" spans="1:24" x14ac:dyDescent="0.15">
      <c r="A53" s="19" t="s">
        <v>48</v>
      </c>
      <c r="B53" s="5">
        <v>1</v>
      </c>
      <c r="C53" s="6"/>
      <c r="D53" s="36"/>
      <c r="E53" s="53">
        <f t="shared" si="38"/>
        <v>1</v>
      </c>
      <c r="F53" s="8">
        <v>1</v>
      </c>
      <c r="G53" s="6"/>
      <c r="H53" s="7"/>
      <c r="I53" s="53">
        <f t="shared" si="39"/>
        <v>1</v>
      </c>
      <c r="J53" s="60">
        <f t="shared" si="40"/>
        <v>2</v>
      </c>
      <c r="K53" s="40">
        <v>45477</v>
      </c>
      <c r="L53" s="49"/>
      <c r="M53" s="19" t="s">
        <v>12</v>
      </c>
      <c r="N53" s="5"/>
      <c r="O53" s="6"/>
      <c r="P53" s="36"/>
      <c r="Q53" s="53">
        <f t="shared" si="35"/>
        <v>0</v>
      </c>
      <c r="R53" s="8"/>
      <c r="S53" s="6"/>
      <c r="T53" s="7"/>
      <c r="U53" s="53">
        <f t="shared" si="36"/>
        <v>0</v>
      </c>
      <c r="V53" s="60">
        <f t="shared" si="37"/>
        <v>0</v>
      </c>
      <c r="W53" s="40"/>
    </row>
    <row r="54" spans="1:24" x14ac:dyDescent="0.15">
      <c r="A54" s="19" t="s">
        <v>63</v>
      </c>
      <c r="B54" s="5">
        <v>0</v>
      </c>
      <c r="C54" s="6">
        <v>0</v>
      </c>
      <c r="D54" s="36">
        <v>0</v>
      </c>
      <c r="E54" s="53">
        <f t="shared" si="38"/>
        <v>0</v>
      </c>
      <c r="F54" s="8">
        <v>0</v>
      </c>
      <c r="G54" s="6">
        <v>0</v>
      </c>
      <c r="H54" s="7">
        <v>0</v>
      </c>
      <c r="I54" s="53">
        <f t="shared" si="39"/>
        <v>0</v>
      </c>
      <c r="J54" s="60">
        <f t="shared" si="40"/>
        <v>0</v>
      </c>
      <c r="K54" s="40">
        <v>45526</v>
      </c>
      <c r="M54" s="19" t="s">
        <v>13</v>
      </c>
      <c r="N54" s="5"/>
      <c r="O54" s="6"/>
      <c r="P54" s="36"/>
      <c r="Q54" s="53">
        <f>SUM(N54:P54)</f>
        <v>0</v>
      </c>
      <c r="R54" s="8"/>
      <c r="S54" s="6"/>
      <c r="T54" s="7"/>
      <c r="U54" s="53">
        <f>SUM(R54:T54)</f>
        <v>0</v>
      </c>
      <c r="V54" s="60">
        <f>Q54+U54</f>
        <v>0</v>
      </c>
      <c r="W54" s="40"/>
    </row>
    <row r="55" spans="1:24" x14ac:dyDescent="0.15">
      <c r="A55" s="19" t="s">
        <v>14</v>
      </c>
      <c r="B55" s="9"/>
      <c r="C55" s="10"/>
      <c r="D55" s="37"/>
      <c r="E55" s="53">
        <f t="shared" si="38"/>
        <v>0</v>
      </c>
      <c r="F55" s="12"/>
      <c r="G55" s="10"/>
      <c r="H55" s="11"/>
      <c r="I55" s="53">
        <f t="shared" si="39"/>
        <v>0</v>
      </c>
      <c r="J55" s="60">
        <f t="shared" si="40"/>
        <v>0</v>
      </c>
      <c r="K55" s="41"/>
      <c r="M55" s="19" t="s">
        <v>14</v>
      </c>
      <c r="N55" s="9"/>
      <c r="O55" s="10"/>
      <c r="P55" s="37"/>
      <c r="Q55" s="53">
        <f t="shared" ref="Q55:Q56" si="41">SUM(N55:P55)</f>
        <v>0</v>
      </c>
      <c r="R55" s="12"/>
      <c r="S55" s="10"/>
      <c r="T55" s="11"/>
      <c r="U55" s="53">
        <f t="shared" ref="U55:U56" si="42">SUM(R55:T55)</f>
        <v>0</v>
      </c>
      <c r="V55" s="60">
        <f t="shared" ref="V55:V56" si="43">Q55+U55</f>
        <v>0</v>
      </c>
    </row>
    <row r="56" spans="1:24" ht="14.25" thickBot="1" x14ac:dyDescent="0.2">
      <c r="A56" s="19" t="s">
        <v>15</v>
      </c>
      <c r="B56" s="25"/>
      <c r="C56" s="26"/>
      <c r="D56" s="38"/>
      <c r="E56" s="54">
        <f t="shared" si="38"/>
        <v>0</v>
      </c>
      <c r="F56" s="27"/>
      <c r="G56" s="27"/>
      <c r="H56" s="29"/>
      <c r="I56" s="54">
        <f t="shared" si="39"/>
        <v>0</v>
      </c>
      <c r="J56" s="61">
        <f t="shared" si="40"/>
        <v>0</v>
      </c>
      <c r="K56" s="40"/>
      <c r="M56" s="19" t="s">
        <v>15</v>
      </c>
      <c r="N56" s="25"/>
      <c r="O56" s="26"/>
      <c r="P56" s="38"/>
      <c r="Q56" s="54">
        <f t="shared" si="41"/>
        <v>0</v>
      </c>
      <c r="R56" s="27"/>
      <c r="S56" s="27"/>
      <c r="T56" s="29"/>
      <c r="U56" s="54">
        <f t="shared" si="42"/>
        <v>0</v>
      </c>
      <c r="V56" s="61">
        <f t="shared" si="43"/>
        <v>0</v>
      </c>
    </row>
    <row r="57" spans="1:24" ht="14.25" thickBot="1" x14ac:dyDescent="0.2">
      <c r="A57" s="28" t="s">
        <v>16</v>
      </c>
      <c r="B57" s="22">
        <f>SUM(B48:B56)</f>
        <v>45</v>
      </c>
      <c r="C57" s="23">
        <f t="shared" ref="C57:D57" si="44">SUM(C48:C56)</f>
        <v>59</v>
      </c>
      <c r="D57" s="24">
        <f t="shared" si="44"/>
        <v>38</v>
      </c>
      <c r="E57" s="55">
        <f>SUM(B57:D57)</f>
        <v>142</v>
      </c>
      <c r="F57" s="22">
        <f>SUM(F48:F56)</f>
        <v>45</v>
      </c>
      <c r="G57" s="23">
        <f t="shared" ref="G57:H57" si="45">SUM(G48:G56)</f>
        <v>59</v>
      </c>
      <c r="H57" s="24">
        <f t="shared" si="45"/>
        <v>38</v>
      </c>
      <c r="I57" s="55">
        <f>SUM(F57:H57)</f>
        <v>142</v>
      </c>
      <c r="J57" s="62">
        <f>SUM(J49:J56)</f>
        <v>108</v>
      </c>
      <c r="M57" s="28" t="s">
        <v>16</v>
      </c>
      <c r="N57" s="22">
        <f>SUM(N48:N56)</f>
        <v>0</v>
      </c>
      <c r="O57" s="23">
        <f t="shared" ref="O57:P57" si="46">SUM(O48:O56)</f>
        <v>0</v>
      </c>
      <c r="P57" s="24">
        <f t="shared" si="46"/>
        <v>0</v>
      </c>
      <c r="Q57" s="55">
        <f>SUM(N57:P57)</f>
        <v>0</v>
      </c>
      <c r="R57" s="22">
        <f>SUM(R48:R56)</f>
        <v>0</v>
      </c>
      <c r="S57" s="23">
        <f t="shared" ref="S57:T57" si="47">SUM(S48:S56)</f>
        <v>0</v>
      </c>
      <c r="T57" s="24">
        <f t="shared" si="47"/>
        <v>0</v>
      </c>
      <c r="U57" s="55">
        <f>SUM(R57:T57)</f>
        <v>0</v>
      </c>
      <c r="V57" s="62">
        <f>Q57+U57</f>
        <v>0</v>
      </c>
    </row>
    <row r="58" spans="1:24" x14ac:dyDescent="0.15">
      <c r="A58" s="17" t="s">
        <v>35</v>
      </c>
      <c r="B58" s="9"/>
      <c r="C58" s="10">
        <v>1</v>
      </c>
      <c r="D58" s="11"/>
      <c r="E58" s="52">
        <f t="shared" ref="E58" si="48">SUM(B58:D58)</f>
        <v>1</v>
      </c>
      <c r="F58" s="12"/>
      <c r="G58" s="10">
        <v>1</v>
      </c>
      <c r="H58" s="11"/>
      <c r="I58" s="52">
        <f t="shared" ref="I58" si="49">SUM(F58:H58)</f>
        <v>1</v>
      </c>
      <c r="J58" s="60">
        <f t="shared" ref="J58" si="50">E58+I58</f>
        <v>2</v>
      </c>
      <c r="K58" s="40">
        <v>45436</v>
      </c>
      <c r="M58" s="18"/>
      <c r="N58" s="9"/>
      <c r="O58" s="10"/>
      <c r="P58" s="11"/>
      <c r="Q58" s="52">
        <f>SUM(N58:P58)</f>
        <v>0</v>
      </c>
      <c r="R58" s="12"/>
      <c r="S58" s="10"/>
      <c r="T58" s="11"/>
      <c r="U58" s="52">
        <f>SUM(R58:T58)</f>
        <v>0</v>
      </c>
      <c r="V58" s="60">
        <f>Q58+U58</f>
        <v>0</v>
      </c>
      <c r="W58" s="40"/>
      <c r="X58" s="49"/>
    </row>
    <row r="59" spans="1:24" x14ac:dyDescent="0.15">
      <c r="A59" s="17" t="s">
        <v>36</v>
      </c>
      <c r="B59" s="5">
        <v>1</v>
      </c>
      <c r="C59" s="6">
        <v>1</v>
      </c>
      <c r="D59" s="7"/>
      <c r="E59" s="52">
        <f t="shared" ref="E59:E84" si="51">SUM(B59:D59)</f>
        <v>2</v>
      </c>
      <c r="F59" s="8">
        <v>1</v>
      </c>
      <c r="G59" s="6">
        <v>1</v>
      </c>
      <c r="H59" s="7"/>
      <c r="I59" s="52">
        <f t="shared" ref="I59:I84" si="52">SUM(F59:H59)</f>
        <v>2</v>
      </c>
      <c r="J59" s="60">
        <f t="shared" ref="J59:J81" si="53">E59+I59</f>
        <v>4</v>
      </c>
      <c r="K59" s="40">
        <v>45439</v>
      </c>
      <c r="M59" s="20"/>
      <c r="N59" s="5"/>
      <c r="O59" s="6"/>
      <c r="P59" s="7"/>
      <c r="Q59" s="52">
        <f t="shared" ref="Q59:Q84" si="54">SUM(N59:P59)</f>
        <v>0</v>
      </c>
      <c r="R59" s="8"/>
      <c r="S59" s="6"/>
      <c r="T59" s="7"/>
      <c r="U59" s="52">
        <f t="shared" ref="U59:U84" si="55">SUM(R59:T59)</f>
        <v>0</v>
      </c>
      <c r="V59" s="60">
        <f t="shared" ref="V59:V80" si="56">Q59+U59</f>
        <v>0</v>
      </c>
      <c r="W59" s="40"/>
      <c r="X59" s="49"/>
    </row>
    <row r="60" spans="1:24" x14ac:dyDescent="0.15">
      <c r="A60" s="17" t="s">
        <v>37</v>
      </c>
      <c r="B60" s="5">
        <v>7</v>
      </c>
      <c r="C60" s="6">
        <v>6</v>
      </c>
      <c r="D60" s="7"/>
      <c r="E60" s="52">
        <f t="shared" si="51"/>
        <v>13</v>
      </c>
      <c r="F60" s="8">
        <v>7</v>
      </c>
      <c r="G60" s="6">
        <v>6</v>
      </c>
      <c r="H60" s="7"/>
      <c r="I60" s="52">
        <f t="shared" si="52"/>
        <v>13</v>
      </c>
      <c r="J60" s="60">
        <f t="shared" si="53"/>
        <v>26</v>
      </c>
      <c r="K60" s="40">
        <v>45441</v>
      </c>
      <c r="L60" s="49"/>
      <c r="M60" s="20"/>
      <c r="N60" s="5"/>
      <c r="O60" s="6"/>
      <c r="P60" s="7"/>
      <c r="Q60" s="52">
        <f t="shared" si="54"/>
        <v>0</v>
      </c>
      <c r="R60" s="8"/>
      <c r="S60" s="6"/>
      <c r="T60" s="7"/>
      <c r="U60" s="52">
        <f t="shared" si="55"/>
        <v>0</v>
      </c>
      <c r="V60" s="60">
        <f t="shared" si="56"/>
        <v>0</v>
      </c>
      <c r="W60" s="40"/>
    </row>
    <row r="61" spans="1:24" x14ac:dyDescent="0.15">
      <c r="A61" s="17" t="s">
        <v>38</v>
      </c>
      <c r="B61" s="5"/>
      <c r="C61" s="6">
        <v>2</v>
      </c>
      <c r="D61" s="7"/>
      <c r="E61" s="52">
        <f t="shared" si="51"/>
        <v>2</v>
      </c>
      <c r="F61" s="8"/>
      <c r="G61" s="6">
        <v>2</v>
      </c>
      <c r="H61" s="7"/>
      <c r="I61" s="52">
        <f t="shared" si="52"/>
        <v>2</v>
      </c>
      <c r="J61" s="60">
        <f t="shared" si="53"/>
        <v>4</v>
      </c>
      <c r="K61" s="40">
        <v>45442</v>
      </c>
      <c r="L61" s="49"/>
      <c r="M61" s="18"/>
      <c r="N61" s="5"/>
      <c r="O61" s="6"/>
      <c r="P61" s="7"/>
      <c r="Q61" s="52">
        <f t="shared" si="54"/>
        <v>0</v>
      </c>
      <c r="R61" s="8"/>
      <c r="S61" s="6"/>
      <c r="T61" s="7"/>
      <c r="U61" s="52">
        <f t="shared" si="55"/>
        <v>0</v>
      </c>
      <c r="V61" s="60">
        <f t="shared" si="56"/>
        <v>0</v>
      </c>
      <c r="W61" s="40"/>
    </row>
    <row r="62" spans="1:24" x14ac:dyDescent="0.15">
      <c r="A62" s="17" t="s">
        <v>39</v>
      </c>
      <c r="B62" s="5"/>
      <c r="C62" s="6"/>
      <c r="D62" s="7">
        <v>4</v>
      </c>
      <c r="E62" s="52">
        <f t="shared" si="51"/>
        <v>4</v>
      </c>
      <c r="F62" s="8"/>
      <c r="G62" s="6"/>
      <c r="H62" s="7">
        <v>4</v>
      </c>
      <c r="I62" s="52">
        <f t="shared" si="52"/>
        <v>4</v>
      </c>
      <c r="J62" s="60">
        <f t="shared" si="53"/>
        <v>8</v>
      </c>
      <c r="K62" s="40">
        <v>45443</v>
      </c>
      <c r="L62" s="49"/>
      <c r="M62" s="18"/>
      <c r="N62" s="5"/>
      <c r="O62" s="6"/>
      <c r="P62" s="7"/>
      <c r="Q62" s="52">
        <f t="shared" si="54"/>
        <v>0</v>
      </c>
      <c r="R62" s="8"/>
      <c r="S62" s="6"/>
      <c r="T62" s="7"/>
      <c r="U62" s="52">
        <f t="shared" si="55"/>
        <v>0</v>
      </c>
      <c r="V62" s="60">
        <f t="shared" si="56"/>
        <v>0</v>
      </c>
      <c r="W62" s="40"/>
    </row>
    <row r="63" spans="1:24" x14ac:dyDescent="0.15">
      <c r="A63" s="17" t="s">
        <v>41</v>
      </c>
      <c r="B63" s="5"/>
      <c r="C63" s="6"/>
      <c r="D63" s="14">
        <v>1</v>
      </c>
      <c r="E63" s="52">
        <f t="shared" si="51"/>
        <v>1</v>
      </c>
      <c r="F63" s="15"/>
      <c r="G63" s="13"/>
      <c r="H63" s="14">
        <v>1</v>
      </c>
      <c r="I63" s="52">
        <f t="shared" si="52"/>
        <v>1</v>
      </c>
      <c r="J63" s="60">
        <f t="shared" si="53"/>
        <v>2</v>
      </c>
      <c r="K63" s="40">
        <v>45448</v>
      </c>
      <c r="M63" s="20"/>
      <c r="N63" s="5"/>
      <c r="O63" s="6"/>
      <c r="P63" s="14"/>
      <c r="Q63" s="52">
        <f t="shared" si="54"/>
        <v>0</v>
      </c>
      <c r="R63" s="15"/>
      <c r="S63" s="13"/>
      <c r="T63" s="14"/>
      <c r="U63" s="52">
        <f t="shared" si="55"/>
        <v>0</v>
      </c>
      <c r="V63" s="60">
        <f t="shared" si="56"/>
        <v>0</v>
      </c>
      <c r="W63" s="40"/>
      <c r="X63" s="49"/>
    </row>
    <row r="64" spans="1:24" x14ac:dyDescent="0.15">
      <c r="A64" s="17" t="s">
        <v>42</v>
      </c>
      <c r="B64" s="5">
        <v>1</v>
      </c>
      <c r="C64" s="6">
        <v>1</v>
      </c>
      <c r="D64" s="7"/>
      <c r="E64" s="52">
        <f t="shared" si="51"/>
        <v>2</v>
      </c>
      <c r="F64" s="8">
        <v>1</v>
      </c>
      <c r="G64" s="6">
        <v>1</v>
      </c>
      <c r="H64" s="7"/>
      <c r="I64" s="52">
        <f t="shared" si="52"/>
        <v>2</v>
      </c>
      <c r="J64" s="60">
        <f t="shared" si="53"/>
        <v>4</v>
      </c>
      <c r="K64" s="40">
        <v>45450</v>
      </c>
      <c r="M64" s="42"/>
      <c r="N64" s="5"/>
      <c r="O64" s="6"/>
      <c r="P64" s="7"/>
      <c r="Q64" s="52">
        <f t="shared" si="54"/>
        <v>0</v>
      </c>
      <c r="R64" s="8"/>
      <c r="S64" s="6"/>
      <c r="T64" s="7"/>
      <c r="U64" s="52">
        <f t="shared" si="55"/>
        <v>0</v>
      </c>
      <c r="V64" s="60">
        <f t="shared" si="56"/>
        <v>0</v>
      </c>
      <c r="W64" s="40"/>
    </row>
    <row r="65" spans="1:23" ht="14.25" x14ac:dyDescent="0.15">
      <c r="A65" s="17" t="s">
        <v>43</v>
      </c>
      <c r="B65" s="5"/>
      <c r="C65" s="6">
        <v>1</v>
      </c>
      <c r="D65" s="7"/>
      <c r="E65" s="52">
        <f t="shared" si="51"/>
        <v>1</v>
      </c>
      <c r="F65" s="8"/>
      <c r="G65" s="6">
        <v>1</v>
      </c>
      <c r="H65" s="7"/>
      <c r="I65" s="52">
        <f t="shared" si="52"/>
        <v>1</v>
      </c>
      <c r="J65" s="60">
        <f t="shared" si="53"/>
        <v>2</v>
      </c>
      <c r="K65" s="43">
        <v>45450</v>
      </c>
      <c r="L65" s="49"/>
      <c r="M65" s="18"/>
      <c r="N65" s="5" t="s">
        <v>20</v>
      </c>
      <c r="O65" s="6"/>
      <c r="P65" s="7"/>
      <c r="Q65" s="52">
        <f t="shared" si="54"/>
        <v>0</v>
      </c>
      <c r="R65" s="8"/>
      <c r="S65" s="6"/>
      <c r="T65" s="7"/>
      <c r="U65" s="52">
        <f t="shared" si="55"/>
        <v>0</v>
      </c>
      <c r="V65" s="60">
        <f t="shared" si="56"/>
        <v>0</v>
      </c>
      <c r="W65" s="43"/>
    </row>
    <row r="66" spans="1:23" x14ac:dyDescent="0.15">
      <c r="A66" s="17" t="s">
        <v>46</v>
      </c>
      <c r="B66" s="5">
        <v>1</v>
      </c>
      <c r="C66" s="6"/>
      <c r="D66" s="7"/>
      <c r="E66" s="52">
        <f t="shared" si="51"/>
        <v>1</v>
      </c>
      <c r="F66" s="8">
        <v>1</v>
      </c>
      <c r="G66" s="6"/>
      <c r="H66" s="7"/>
      <c r="I66" s="52">
        <f t="shared" si="52"/>
        <v>1</v>
      </c>
      <c r="J66" s="60">
        <f t="shared" si="53"/>
        <v>2</v>
      </c>
      <c r="K66" s="40">
        <v>45474</v>
      </c>
      <c r="L66" s="49"/>
      <c r="M66" s="20"/>
      <c r="N66" s="5"/>
      <c r="O66" s="6"/>
      <c r="P66" s="7"/>
      <c r="Q66" s="52">
        <f t="shared" si="54"/>
        <v>0</v>
      </c>
      <c r="R66" s="8"/>
      <c r="S66" s="6"/>
      <c r="T66" s="7"/>
      <c r="U66" s="52">
        <f t="shared" si="55"/>
        <v>0</v>
      </c>
      <c r="V66" s="60">
        <f t="shared" si="56"/>
        <v>0</v>
      </c>
      <c r="W66" s="40"/>
    </row>
    <row r="67" spans="1:23" x14ac:dyDescent="0.15">
      <c r="A67" s="17" t="s">
        <v>47</v>
      </c>
      <c r="B67" s="9"/>
      <c r="C67" s="10">
        <v>1</v>
      </c>
      <c r="D67" s="11"/>
      <c r="E67" s="52">
        <f t="shared" si="51"/>
        <v>1</v>
      </c>
      <c r="F67" s="12"/>
      <c r="G67" s="10">
        <v>1</v>
      </c>
      <c r="H67" s="11"/>
      <c r="I67" s="52">
        <f t="shared" si="52"/>
        <v>1</v>
      </c>
      <c r="J67" s="60">
        <f t="shared" si="53"/>
        <v>2</v>
      </c>
      <c r="K67" s="40">
        <v>45478</v>
      </c>
      <c r="L67" s="49"/>
      <c r="M67" s="18"/>
      <c r="N67" s="9"/>
      <c r="O67" s="10"/>
      <c r="P67" s="11"/>
      <c r="Q67" s="52">
        <f t="shared" si="54"/>
        <v>0</v>
      </c>
      <c r="R67" s="12"/>
      <c r="S67" s="10"/>
      <c r="T67" s="11"/>
      <c r="U67" s="52">
        <f t="shared" si="55"/>
        <v>0</v>
      </c>
      <c r="V67" s="60">
        <f t="shared" si="56"/>
        <v>0</v>
      </c>
      <c r="W67" s="40"/>
    </row>
    <row r="68" spans="1:23" x14ac:dyDescent="0.15">
      <c r="A68" s="17" t="s">
        <v>49</v>
      </c>
      <c r="B68" s="5"/>
      <c r="C68" s="6">
        <v>1</v>
      </c>
      <c r="D68" s="7"/>
      <c r="E68" s="52">
        <f t="shared" si="51"/>
        <v>1</v>
      </c>
      <c r="F68" s="8"/>
      <c r="G68" s="6">
        <v>1</v>
      </c>
      <c r="H68" s="7"/>
      <c r="I68" s="52">
        <f t="shared" si="52"/>
        <v>1</v>
      </c>
      <c r="J68" s="60">
        <f t="shared" si="53"/>
        <v>2</v>
      </c>
      <c r="K68" s="40">
        <v>45483</v>
      </c>
      <c r="M68" s="20"/>
      <c r="N68" s="5"/>
      <c r="O68" s="6"/>
      <c r="P68" s="7"/>
      <c r="Q68" s="52">
        <f t="shared" si="54"/>
        <v>0</v>
      </c>
      <c r="R68" s="8"/>
      <c r="S68" s="6"/>
      <c r="T68" s="7"/>
      <c r="U68" s="52">
        <f t="shared" si="55"/>
        <v>0</v>
      </c>
      <c r="V68" s="60">
        <f t="shared" si="56"/>
        <v>0</v>
      </c>
      <c r="W68" s="40"/>
    </row>
    <row r="69" spans="1:23" x14ac:dyDescent="0.15">
      <c r="A69" s="17" t="s">
        <v>50</v>
      </c>
      <c r="B69" s="5">
        <v>2</v>
      </c>
      <c r="C69" s="6">
        <v>1</v>
      </c>
      <c r="D69" s="7"/>
      <c r="E69" s="52">
        <f t="shared" si="51"/>
        <v>3</v>
      </c>
      <c r="F69" s="8">
        <v>2</v>
      </c>
      <c r="G69" s="6">
        <v>1</v>
      </c>
      <c r="H69" s="7"/>
      <c r="I69" s="52">
        <f t="shared" si="52"/>
        <v>3</v>
      </c>
      <c r="J69" s="60">
        <f t="shared" si="53"/>
        <v>6</v>
      </c>
      <c r="K69" s="40">
        <v>45505</v>
      </c>
      <c r="L69" s="49"/>
      <c r="M69" s="20"/>
      <c r="N69" s="5"/>
      <c r="O69" s="6"/>
      <c r="P69" s="7"/>
      <c r="Q69" s="52">
        <f t="shared" si="54"/>
        <v>0</v>
      </c>
      <c r="R69" s="8"/>
      <c r="S69" s="6"/>
      <c r="T69" s="7"/>
      <c r="U69" s="52">
        <f t="shared" si="55"/>
        <v>0</v>
      </c>
      <c r="V69" s="60">
        <f t="shared" si="56"/>
        <v>0</v>
      </c>
      <c r="W69" s="40"/>
    </row>
    <row r="70" spans="1:23" x14ac:dyDescent="0.15">
      <c r="A70" s="17" t="s">
        <v>51</v>
      </c>
      <c r="B70" s="5">
        <v>5</v>
      </c>
      <c r="C70" s="6">
        <v>5</v>
      </c>
      <c r="D70" s="7">
        <v>1</v>
      </c>
      <c r="E70" s="52">
        <f t="shared" si="51"/>
        <v>11</v>
      </c>
      <c r="F70" s="8">
        <v>5</v>
      </c>
      <c r="G70" s="6">
        <v>5</v>
      </c>
      <c r="H70" s="7">
        <v>1</v>
      </c>
      <c r="I70" s="52">
        <f t="shared" si="52"/>
        <v>11</v>
      </c>
      <c r="J70" s="60">
        <f t="shared" si="53"/>
        <v>22</v>
      </c>
      <c r="K70" s="40">
        <v>45506</v>
      </c>
      <c r="L70" s="49"/>
      <c r="M70" s="18"/>
      <c r="N70" s="5"/>
      <c r="O70" s="6"/>
      <c r="P70" s="7"/>
      <c r="Q70" s="52">
        <f t="shared" si="54"/>
        <v>0</v>
      </c>
      <c r="R70" s="8"/>
      <c r="S70" s="6"/>
      <c r="T70" s="7"/>
      <c r="U70" s="52">
        <f t="shared" si="55"/>
        <v>0</v>
      </c>
      <c r="V70" s="60">
        <f t="shared" si="56"/>
        <v>0</v>
      </c>
      <c r="W70" s="40"/>
    </row>
    <row r="71" spans="1:23" x14ac:dyDescent="0.15">
      <c r="A71" s="17" t="s">
        <v>52</v>
      </c>
      <c r="B71" s="5">
        <v>2</v>
      </c>
      <c r="C71" s="6">
        <v>1</v>
      </c>
      <c r="D71" s="7">
        <v>3</v>
      </c>
      <c r="E71" s="52">
        <f t="shared" si="51"/>
        <v>6</v>
      </c>
      <c r="F71" s="8">
        <v>2</v>
      </c>
      <c r="G71" s="6">
        <v>1</v>
      </c>
      <c r="H71" s="7">
        <v>3</v>
      </c>
      <c r="I71" s="52">
        <f t="shared" si="52"/>
        <v>6</v>
      </c>
      <c r="J71" s="60">
        <f t="shared" si="53"/>
        <v>12</v>
      </c>
      <c r="K71" s="40">
        <v>45506</v>
      </c>
      <c r="L71" s="49"/>
      <c r="M71" s="18"/>
      <c r="N71" s="5"/>
      <c r="O71" s="6"/>
      <c r="P71" s="7"/>
      <c r="Q71" s="52">
        <f t="shared" si="54"/>
        <v>0</v>
      </c>
      <c r="R71" s="8"/>
      <c r="S71" s="6"/>
      <c r="T71" s="7"/>
      <c r="U71" s="52">
        <f t="shared" si="55"/>
        <v>0</v>
      </c>
      <c r="V71" s="60">
        <f t="shared" si="56"/>
        <v>0</v>
      </c>
      <c r="W71" s="40"/>
    </row>
    <row r="72" spans="1:23" x14ac:dyDescent="0.15">
      <c r="A72" s="17" t="s">
        <v>53</v>
      </c>
      <c r="B72" s="5">
        <v>2</v>
      </c>
      <c r="C72" s="6">
        <v>6</v>
      </c>
      <c r="D72" s="7">
        <v>1</v>
      </c>
      <c r="E72" s="52">
        <f t="shared" si="51"/>
        <v>9</v>
      </c>
      <c r="F72" s="8">
        <v>2</v>
      </c>
      <c r="G72" s="6">
        <v>6</v>
      </c>
      <c r="H72" s="7">
        <v>1</v>
      </c>
      <c r="I72" s="52">
        <f t="shared" si="52"/>
        <v>9</v>
      </c>
      <c r="J72" s="60">
        <f t="shared" si="53"/>
        <v>18</v>
      </c>
      <c r="K72" s="40">
        <v>45509</v>
      </c>
      <c r="M72" s="20"/>
      <c r="N72" s="5"/>
      <c r="O72" s="6"/>
      <c r="P72" s="7"/>
      <c r="Q72" s="52">
        <f t="shared" si="54"/>
        <v>0</v>
      </c>
      <c r="R72" s="8"/>
      <c r="S72" s="6"/>
      <c r="T72" s="7"/>
      <c r="U72" s="52">
        <f t="shared" si="55"/>
        <v>0</v>
      </c>
      <c r="V72" s="60">
        <f t="shared" si="56"/>
        <v>0</v>
      </c>
      <c r="W72" s="40"/>
    </row>
    <row r="73" spans="1:23" x14ac:dyDescent="0.15">
      <c r="A73" s="17" t="s">
        <v>54</v>
      </c>
      <c r="B73" s="5">
        <v>2</v>
      </c>
      <c r="C73" s="6">
        <v>1</v>
      </c>
      <c r="D73" s="7">
        <v>3</v>
      </c>
      <c r="E73" s="52">
        <f t="shared" si="51"/>
        <v>6</v>
      </c>
      <c r="F73" s="8">
        <v>2</v>
      </c>
      <c r="G73" s="6">
        <v>1</v>
      </c>
      <c r="H73" s="7">
        <v>3</v>
      </c>
      <c r="I73" s="52">
        <f t="shared" si="52"/>
        <v>6</v>
      </c>
      <c r="J73" s="60">
        <f t="shared" si="53"/>
        <v>12</v>
      </c>
      <c r="K73" s="40">
        <v>45511</v>
      </c>
      <c r="M73" s="20"/>
      <c r="N73" s="5"/>
      <c r="O73" s="6"/>
      <c r="P73" s="7"/>
      <c r="Q73" s="52">
        <f t="shared" si="54"/>
        <v>0</v>
      </c>
      <c r="R73" s="8"/>
      <c r="S73" s="6"/>
      <c r="T73" s="7"/>
      <c r="U73" s="52">
        <f t="shared" si="55"/>
        <v>0</v>
      </c>
      <c r="V73" s="60">
        <f t="shared" si="56"/>
        <v>0</v>
      </c>
      <c r="W73" s="40"/>
    </row>
    <row r="74" spans="1:23" x14ac:dyDescent="0.15">
      <c r="A74" s="17" t="s">
        <v>55</v>
      </c>
      <c r="B74" s="5"/>
      <c r="C74" s="6">
        <v>1</v>
      </c>
      <c r="D74" s="7"/>
      <c r="E74" s="52">
        <f t="shared" si="51"/>
        <v>1</v>
      </c>
      <c r="F74" s="8"/>
      <c r="G74" s="6">
        <v>1</v>
      </c>
      <c r="H74" s="7"/>
      <c r="I74" s="52">
        <f t="shared" si="52"/>
        <v>1</v>
      </c>
      <c r="J74" s="60">
        <f t="shared" si="53"/>
        <v>2</v>
      </c>
      <c r="K74" s="40">
        <v>45512</v>
      </c>
      <c r="M74" s="18"/>
      <c r="N74" s="5"/>
      <c r="O74" s="6"/>
      <c r="P74" s="7"/>
      <c r="Q74" s="52">
        <f t="shared" si="54"/>
        <v>0</v>
      </c>
      <c r="R74" s="8"/>
      <c r="S74" s="6"/>
      <c r="T74" s="7"/>
      <c r="U74" s="52">
        <f t="shared" si="55"/>
        <v>0</v>
      </c>
      <c r="V74" s="60">
        <f t="shared" si="56"/>
        <v>0</v>
      </c>
      <c r="W74" s="40"/>
    </row>
    <row r="75" spans="1:23" x14ac:dyDescent="0.15">
      <c r="A75" s="17" t="s">
        <v>56</v>
      </c>
      <c r="B75" s="5">
        <v>1</v>
      </c>
      <c r="C75" s="6">
        <v>4</v>
      </c>
      <c r="D75" s="7">
        <v>3</v>
      </c>
      <c r="E75" s="52">
        <f t="shared" si="51"/>
        <v>8</v>
      </c>
      <c r="F75" s="8">
        <v>1</v>
      </c>
      <c r="G75" s="6">
        <v>4</v>
      </c>
      <c r="H75" s="7">
        <v>3</v>
      </c>
      <c r="I75" s="52">
        <f t="shared" si="52"/>
        <v>8</v>
      </c>
      <c r="J75" s="60">
        <f t="shared" si="53"/>
        <v>16</v>
      </c>
      <c r="K75" s="40">
        <v>45513</v>
      </c>
      <c r="M75" s="20"/>
      <c r="N75" s="5"/>
      <c r="O75" s="6"/>
      <c r="P75" s="7"/>
      <c r="Q75" s="52">
        <f t="shared" si="54"/>
        <v>0</v>
      </c>
      <c r="R75" s="8"/>
      <c r="S75" s="6"/>
      <c r="T75" s="7"/>
      <c r="U75" s="52">
        <f t="shared" si="55"/>
        <v>0</v>
      </c>
      <c r="V75" s="60">
        <f t="shared" si="56"/>
        <v>0</v>
      </c>
      <c r="W75" s="40"/>
    </row>
    <row r="76" spans="1:23" x14ac:dyDescent="0.15">
      <c r="A76" s="17" t="s">
        <v>57</v>
      </c>
      <c r="B76" s="5">
        <v>2</v>
      </c>
      <c r="C76" s="6"/>
      <c r="D76" s="7">
        <v>2</v>
      </c>
      <c r="E76" s="52">
        <f t="shared" si="51"/>
        <v>4</v>
      </c>
      <c r="F76" s="8">
        <v>2</v>
      </c>
      <c r="G76" s="6"/>
      <c r="H76" s="7">
        <v>2</v>
      </c>
      <c r="I76" s="52">
        <f t="shared" si="52"/>
        <v>4</v>
      </c>
      <c r="J76" s="60">
        <f t="shared" si="53"/>
        <v>8</v>
      </c>
      <c r="K76" s="40">
        <v>45513</v>
      </c>
      <c r="M76" s="18"/>
      <c r="N76" s="5"/>
      <c r="O76" s="6"/>
      <c r="P76" s="7"/>
      <c r="Q76" s="52">
        <f t="shared" si="54"/>
        <v>0</v>
      </c>
      <c r="R76" s="8"/>
      <c r="S76" s="6"/>
      <c r="T76" s="7"/>
      <c r="U76" s="52">
        <f t="shared" si="55"/>
        <v>0</v>
      </c>
      <c r="V76" s="60">
        <f t="shared" si="56"/>
        <v>0</v>
      </c>
      <c r="W76" s="40"/>
    </row>
    <row r="77" spans="1:23" x14ac:dyDescent="0.15">
      <c r="A77" s="17" t="s">
        <v>60</v>
      </c>
      <c r="B77" s="5">
        <v>2</v>
      </c>
      <c r="C77" s="6">
        <v>6</v>
      </c>
      <c r="D77" s="7">
        <v>3</v>
      </c>
      <c r="E77" s="52">
        <f t="shared" si="51"/>
        <v>11</v>
      </c>
      <c r="F77" s="8">
        <v>2</v>
      </c>
      <c r="G77" s="6">
        <v>6</v>
      </c>
      <c r="H77" s="7">
        <v>3</v>
      </c>
      <c r="I77" s="52">
        <f t="shared" si="52"/>
        <v>11</v>
      </c>
      <c r="J77" s="60">
        <f t="shared" si="53"/>
        <v>22</v>
      </c>
      <c r="K77" s="40">
        <v>45523</v>
      </c>
      <c r="M77" s="20"/>
      <c r="N77" s="5"/>
      <c r="O77" s="6"/>
      <c r="P77" s="7"/>
      <c r="Q77" s="52">
        <f t="shared" si="54"/>
        <v>0</v>
      </c>
      <c r="R77" s="8"/>
      <c r="S77" s="6"/>
      <c r="T77" s="7"/>
      <c r="U77" s="52">
        <f t="shared" si="55"/>
        <v>0</v>
      </c>
      <c r="V77" s="60">
        <f t="shared" si="56"/>
        <v>0</v>
      </c>
      <c r="W77" s="40"/>
    </row>
    <row r="78" spans="1:23" x14ac:dyDescent="0.15">
      <c r="A78" s="17" t="s">
        <v>61</v>
      </c>
      <c r="B78" s="5"/>
      <c r="C78" s="6"/>
      <c r="D78" s="7">
        <v>2</v>
      </c>
      <c r="E78" s="52">
        <f t="shared" si="51"/>
        <v>2</v>
      </c>
      <c r="F78" s="8"/>
      <c r="G78" s="6"/>
      <c r="H78" s="7">
        <v>2</v>
      </c>
      <c r="I78" s="52">
        <f t="shared" si="52"/>
        <v>2</v>
      </c>
      <c r="J78" s="60">
        <f t="shared" si="53"/>
        <v>4</v>
      </c>
      <c r="K78" s="40">
        <v>45525</v>
      </c>
      <c r="M78" s="20"/>
      <c r="N78" s="5"/>
      <c r="O78" s="6"/>
      <c r="P78" s="7"/>
      <c r="Q78" s="52">
        <f t="shared" si="54"/>
        <v>0</v>
      </c>
      <c r="R78" s="8"/>
      <c r="S78" s="6"/>
      <c r="T78" s="7"/>
      <c r="U78" s="52">
        <f t="shared" si="55"/>
        <v>0</v>
      </c>
      <c r="V78" s="60">
        <f t="shared" si="56"/>
        <v>0</v>
      </c>
      <c r="W78" s="40"/>
    </row>
    <row r="79" spans="1:23" x14ac:dyDescent="0.15">
      <c r="A79" s="17" t="s">
        <v>62</v>
      </c>
      <c r="B79" s="9"/>
      <c r="C79" s="10"/>
      <c r="D79" s="11">
        <v>1</v>
      </c>
      <c r="E79" s="52">
        <f t="shared" si="51"/>
        <v>1</v>
      </c>
      <c r="F79" s="12"/>
      <c r="G79" s="10"/>
      <c r="H79" s="11">
        <v>1</v>
      </c>
      <c r="I79" s="52">
        <f t="shared" si="52"/>
        <v>1</v>
      </c>
      <c r="J79" s="60">
        <f t="shared" si="53"/>
        <v>2</v>
      </c>
      <c r="K79" s="40">
        <v>45527</v>
      </c>
      <c r="M79" s="44"/>
      <c r="N79" s="9"/>
      <c r="O79" s="10"/>
      <c r="P79" s="11"/>
      <c r="Q79" s="52">
        <f t="shared" si="54"/>
        <v>0</v>
      </c>
      <c r="R79" s="12"/>
      <c r="S79" s="10"/>
      <c r="T79" s="11"/>
      <c r="U79" s="52">
        <f t="shared" si="55"/>
        <v>0</v>
      </c>
      <c r="V79" s="60">
        <f t="shared" si="56"/>
        <v>0</v>
      </c>
      <c r="W79" s="40"/>
    </row>
    <row r="80" spans="1:23" x14ac:dyDescent="0.15">
      <c r="A80" s="17" t="s">
        <v>64</v>
      </c>
      <c r="B80" s="5"/>
      <c r="C80" s="6"/>
      <c r="D80" s="7">
        <v>1</v>
      </c>
      <c r="E80" s="52">
        <f t="shared" si="51"/>
        <v>1</v>
      </c>
      <c r="F80" s="8"/>
      <c r="G80" s="6"/>
      <c r="H80" s="7">
        <v>1</v>
      </c>
      <c r="I80" s="52">
        <f t="shared" si="52"/>
        <v>1</v>
      </c>
      <c r="J80" s="60">
        <f t="shared" si="53"/>
        <v>2</v>
      </c>
      <c r="K80" s="40">
        <v>45530</v>
      </c>
      <c r="M80" s="20"/>
      <c r="N80" s="5"/>
      <c r="O80" s="6"/>
      <c r="P80" s="7"/>
      <c r="Q80" s="52">
        <f t="shared" si="54"/>
        <v>0</v>
      </c>
      <c r="R80" s="8"/>
      <c r="S80" s="6"/>
      <c r="T80" s="7"/>
      <c r="U80" s="52">
        <f t="shared" si="55"/>
        <v>0</v>
      </c>
      <c r="V80" s="60">
        <f t="shared" si="56"/>
        <v>0</v>
      </c>
      <c r="W80" s="49"/>
    </row>
    <row r="81" spans="1:23" x14ac:dyDescent="0.15">
      <c r="A81" s="17"/>
      <c r="B81" s="9"/>
      <c r="C81" s="10"/>
      <c r="D81" s="11"/>
      <c r="E81" s="53">
        <f t="shared" si="51"/>
        <v>0</v>
      </c>
      <c r="F81" s="12"/>
      <c r="G81" s="10"/>
      <c r="H81" s="11"/>
      <c r="I81" s="53">
        <f t="shared" si="52"/>
        <v>0</v>
      </c>
      <c r="J81" s="60">
        <f t="shared" si="53"/>
        <v>0</v>
      </c>
      <c r="K81" s="40"/>
      <c r="M81" s="20"/>
      <c r="N81" s="5"/>
      <c r="O81" s="6"/>
      <c r="P81" s="7"/>
      <c r="Q81" s="52">
        <f t="shared" ref="Q81:Q83" si="57">SUM(N81:P81)</f>
        <v>0</v>
      </c>
      <c r="R81" s="8"/>
      <c r="S81" s="6"/>
      <c r="T81" s="7"/>
      <c r="U81" s="52">
        <f t="shared" ref="U81:U83" si="58">SUM(R81:T81)</f>
        <v>0</v>
      </c>
      <c r="V81" s="60">
        <f t="shared" ref="V81:V83" si="59">Q81+U81</f>
        <v>0</v>
      </c>
      <c r="W81" s="49"/>
    </row>
    <row r="82" spans="1:23" x14ac:dyDescent="0.15">
      <c r="A82" s="18" t="s">
        <v>29</v>
      </c>
      <c r="B82" s="9"/>
      <c r="C82" s="10"/>
      <c r="D82" s="11"/>
      <c r="E82" s="53">
        <f t="shared" ref="E82:E83" si="60">SUM(B82:D82)</f>
        <v>0</v>
      </c>
      <c r="F82" s="12"/>
      <c r="G82" s="10"/>
      <c r="H82" s="11"/>
      <c r="I82" s="53">
        <f t="shared" ref="I82:I83" si="61">SUM(F82:H82)</f>
        <v>0</v>
      </c>
      <c r="J82" s="60">
        <f t="shared" ref="J82:J83" si="62">E82+I82</f>
        <v>0</v>
      </c>
      <c r="K82" s="40" t="s">
        <v>30</v>
      </c>
      <c r="M82" s="20"/>
      <c r="N82" s="5"/>
      <c r="O82" s="6"/>
      <c r="P82" s="7"/>
      <c r="Q82" s="52">
        <f t="shared" si="57"/>
        <v>0</v>
      </c>
      <c r="R82" s="8"/>
      <c r="S82" s="6"/>
      <c r="T82" s="7"/>
      <c r="U82" s="52">
        <f t="shared" si="58"/>
        <v>0</v>
      </c>
      <c r="V82" s="60">
        <f t="shared" si="59"/>
        <v>0</v>
      </c>
      <c r="W82" s="49"/>
    </row>
    <row r="83" spans="1:23" ht="14.25" thickBot="1" x14ac:dyDescent="0.2">
      <c r="A83" s="18" t="s">
        <v>44</v>
      </c>
      <c r="B83" s="9"/>
      <c r="C83" s="10"/>
      <c r="D83" s="11"/>
      <c r="E83" s="56">
        <f t="shared" si="60"/>
        <v>0</v>
      </c>
      <c r="F83" s="12"/>
      <c r="G83" s="10"/>
      <c r="H83" s="11"/>
      <c r="I83" s="56">
        <f t="shared" si="61"/>
        <v>0</v>
      </c>
      <c r="J83" s="60">
        <f t="shared" si="62"/>
        <v>0</v>
      </c>
      <c r="K83" s="40" t="s">
        <v>45</v>
      </c>
      <c r="M83" s="20"/>
      <c r="N83" s="5"/>
      <c r="O83" s="6"/>
      <c r="P83" s="7"/>
      <c r="Q83" s="52">
        <f t="shared" si="57"/>
        <v>0</v>
      </c>
      <c r="R83" s="8"/>
      <c r="S83" s="6"/>
      <c r="T83" s="7"/>
      <c r="U83" s="52">
        <f t="shared" si="58"/>
        <v>0</v>
      </c>
      <c r="V83" s="60">
        <f t="shared" si="59"/>
        <v>0</v>
      </c>
      <c r="W83" s="49"/>
    </row>
    <row r="84" spans="1:23" ht="14.25" thickBot="1" x14ac:dyDescent="0.2">
      <c r="A84" s="31" t="s">
        <v>18</v>
      </c>
      <c r="B84" s="34">
        <f>SUM(B58:B83)</f>
        <v>28</v>
      </c>
      <c r="C84" s="35">
        <f t="shared" ref="C84:D84" si="63">SUM(C58:C83)</f>
        <v>39</v>
      </c>
      <c r="D84" s="39">
        <f t="shared" si="63"/>
        <v>25</v>
      </c>
      <c r="E84" s="57">
        <f t="shared" si="51"/>
        <v>92</v>
      </c>
      <c r="F84" s="34">
        <f>SUM(F58:F83)</f>
        <v>28</v>
      </c>
      <c r="G84" s="35">
        <f t="shared" ref="G84:H84" si="64">SUM(G58:G83)</f>
        <v>39</v>
      </c>
      <c r="H84" s="39">
        <f t="shared" si="64"/>
        <v>25</v>
      </c>
      <c r="I84" s="57">
        <f t="shared" si="52"/>
        <v>92</v>
      </c>
      <c r="J84" s="63">
        <f>E84+I84</f>
        <v>184</v>
      </c>
      <c r="M84" s="31" t="s">
        <v>18</v>
      </c>
      <c r="N84" s="34">
        <f>SUM(N58:N83)</f>
        <v>0</v>
      </c>
      <c r="O84" s="35">
        <f t="shared" ref="O84:P84" si="65">SUM(O58:O83)</f>
        <v>0</v>
      </c>
      <c r="P84" s="39">
        <f t="shared" si="65"/>
        <v>0</v>
      </c>
      <c r="Q84" s="57">
        <f t="shared" si="54"/>
        <v>0</v>
      </c>
      <c r="R84" s="34">
        <f>SUM(R58:R83)</f>
        <v>0</v>
      </c>
      <c r="S84" s="35">
        <f t="shared" ref="S84:T84" si="66">SUM(S58:S83)</f>
        <v>0</v>
      </c>
      <c r="T84" s="39">
        <f t="shared" si="66"/>
        <v>0</v>
      </c>
      <c r="U84" s="57">
        <f t="shared" si="55"/>
        <v>0</v>
      </c>
      <c r="V84" s="63">
        <f>Q84+U84</f>
        <v>0</v>
      </c>
    </row>
    <row r="85" spans="1:23" ht="14.25" thickBot="1" x14ac:dyDescent="0.2">
      <c r="A85" s="16" t="s">
        <v>17</v>
      </c>
      <c r="B85" s="64">
        <f>B57-B84</f>
        <v>17</v>
      </c>
      <c r="C85" s="65">
        <f t="shared" ref="C85:D85" si="67">C57-C84</f>
        <v>20</v>
      </c>
      <c r="D85" s="66">
        <f t="shared" si="67"/>
        <v>13</v>
      </c>
      <c r="E85" s="58">
        <f>SUM(B85:D85)</f>
        <v>50</v>
      </c>
      <c r="F85" s="64">
        <f>F57-F84</f>
        <v>17</v>
      </c>
      <c r="G85" s="65">
        <f t="shared" ref="G85:H85" si="68">G57-G84</f>
        <v>20</v>
      </c>
      <c r="H85" s="66">
        <f t="shared" si="68"/>
        <v>13</v>
      </c>
      <c r="I85" s="58">
        <f>SUM(F85:H85)</f>
        <v>50</v>
      </c>
      <c r="J85" s="62">
        <f>E85+I85</f>
        <v>100</v>
      </c>
      <c r="M85" s="16" t="s">
        <v>17</v>
      </c>
      <c r="N85" s="64">
        <f>N57-N84</f>
        <v>0</v>
      </c>
      <c r="O85" s="65">
        <f t="shared" ref="O85:P85" si="69">O57-O84</f>
        <v>0</v>
      </c>
      <c r="P85" s="66">
        <f t="shared" si="69"/>
        <v>0</v>
      </c>
      <c r="Q85" s="58">
        <f>SUM(N85:P85)</f>
        <v>0</v>
      </c>
      <c r="R85" s="64">
        <f>R57-R84</f>
        <v>0</v>
      </c>
      <c r="S85" s="65">
        <f t="shared" ref="S85:T85" si="70">S57-S84</f>
        <v>0</v>
      </c>
      <c r="T85" s="66">
        <f t="shared" si="70"/>
        <v>0</v>
      </c>
      <c r="U85" s="58">
        <f>SUM(R85:T85)</f>
        <v>0</v>
      </c>
      <c r="V85" s="62">
        <f>Q85+U85</f>
        <v>0</v>
      </c>
    </row>
    <row r="89" spans="1:23" ht="18" thickBot="1" x14ac:dyDescent="0.25">
      <c r="A89" s="73" t="s">
        <v>23</v>
      </c>
      <c r="B89" s="74"/>
      <c r="C89" s="74"/>
      <c r="D89" s="74"/>
      <c r="E89" s="74"/>
      <c r="F89" s="74"/>
      <c r="G89" s="74"/>
      <c r="H89" s="74"/>
      <c r="I89" s="74"/>
      <c r="J89" s="74"/>
      <c r="M89" s="73" t="s">
        <v>24</v>
      </c>
      <c r="N89" s="74"/>
      <c r="O89" s="74"/>
      <c r="P89" s="74"/>
      <c r="Q89" s="74"/>
      <c r="R89" s="74"/>
      <c r="S89" s="74"/>
      <c r="T89" s="74"/>
      <c r="U89" s="74"/>
      <c r="V89" s="74"/>
    </row>
    <row r="90" spans="1:23" ht="14.25" thickBot="1" x14ac:dyDescent="0.2">
      <c r="A90" s="4" t="s">
        <v>0</v>
      </c>
      <c r="B90" s="97" t="s">
        <v>21</v>
      </c>
      <c r="C90" s="97"/>
      <c r="D90" s="97"/>
      <c r="E90" s="98"/>
      <c r="F90" s="99" t="s">
        <v>22</v>
      </c>
      <c r="G90" s="99"/>
      <c r="H90" s="99"/>
      <c r="I90" s="100"/>
      <c r="J90" s="95" t="s">
        <v>1</v>
      </c>
      <c r="M90" s="4" t="s">
        <v>0</v>
      </c>
      <c r="N90" s="97" t="s">
        <v>21</v>
      </c>
      <c r="O90" s="97"/>
      <c r="P90" s="97"/>
      <c r="Q90" s="98"/>
      <c r="R90" s="99" t="s">
        <v>22</v>
      </c>
      <c r="S90" s="99"/>
      <c r="T90" s="99"/>
      <c r="U90" s="100"/>
      <c r="V90" s="95" t="s">
        <v>1</v>
      </c>
    </row>
    <row r="91" spans="1:23" ht="14.25" thickBot="1" x14ac:dyDescent="0.2">
      <c r="A91" s="4" t="s">
        <v>2</v>
      </c>
      <c r="B91" s="1" t="s">
        <v>3</v>
      </c>
      <c r="C91" s="2" t="s">
        <v>4</v>
      </c>
      <c r="D91" s="3" t="s">
        <v>5</v>
      </c>
      <c r="E91" s="4" t="s">
        <v>6</v>
      </c>
      <c r="F91" s="1" t="s">
        <v>3</v>
      </c>
      <c r="G91" s="2" t="s">
        <v>4</v>
      </c>
      <c r="H91" s="3" t="s">
        <v>5</v>
      </c>
      <c r="I91" s="4" t="s">
        <v>6</v>
      </c>
      <c r="J91" s="96"/>
      <c r="M91" s="4" t="s">
        <v>2</v>
      </c>
      <c r="N91" s="1" t="s">
        <v>3</v>
      </c>
      <c r="O91" s="2" t="s">
        <v>4</v>
      </c>
      <c r="P91" s="3" t="s">
        <v>5</v>
      </c>
      <c r="Q91" s="4" t="s">
        <v>6</v>
      </c>
      <c r="R91" s="1" t="s">
        <v>3</v>
      </c>
      <c r="S91" s="2" t="s">
        <v>4</v>
      </c>
      <c r="T91" s="3" t="s">
        <v>5</v>
      </c>
      <c r="U91" s="4" t="s">
        <v>6</v>
      </c>
      <c r="V91" s="96"/>
    </row>
    <row r="92" spans="1:23" ht="14.25" thickBot="1" x14ac:dyDescent="0.2">
      <c r="A92" s="21" t="s">
        <v>19</v>
      </c>
      <c r="B92" s="67">
        <f>B85</f>
        <v>17</v>
      </c>
      <c r="C92" s="68">
        <f>C85</f>
        <v>20</v>
      </c>
      <c r="D92" s="69">
        <f>D85</f>
        <v>13</v>
      </c>
      <c r="E92" s="70">
        <f>SUM(B92:D92)</f>
        <v>50</v>
      </c>
      <c r="F92" s="67">
        <f>F85</f>
        <v>17</v>
      </c>
      <c r="G92" s="68">
        <f>G85</f>
        <v>20</v>
      </c>
      <c r="H92" s="69">
        <f>H85</f>
        <v>13</v>
      </c>
      <c r="I92" s="70">
        <f>SUM(F92:H92)</f>
        <v>50</v>
      </c>
      <c r="J92" s="71">
        <f>E92+I92</f>
        <v>100</v>
      </c>
      <c r="M92" s="21" t="s">
        <v>19</v>
      </c>
      <c r="N92" s="67">
        <f>N85</f>
        <v>0</v>
      </c>
      <c r="O92" s="68">
        <f>O85</f>
        <v>0</v>
      </c>
      <c r="P92" s="69">
        <f>P85</f>
        <v>0</v>
      </c>
      <c r="Q92" s="70">
        <f>SUM(N92:P92)</f>
        <v>0</v>
      </c>
      <c r="R92" s="67">
        <f>R85</f>
        <v>0</v>
      </c>
      <c r="S92" s="68">
        <f>S85</f>
        <v>0</v>
      </c>
      <c r="T92" s="69">
        <f>T85</f>
        <v>0</v>
      </c>
      <c r="U92" s="70">
        <f>SUM(R92:T92)</f>
        <v>0</v>
      </c>
      <c r="V92" s="71">
        <f>Q92+U92</f>
        <v>0</v>
      </c>
    </row>
    <row r="93" spans="1:23" x14ac:dyDescent="0.15">
      <c r="A93" s="19" t="s">
        <v>71</v>
      </c>
      <c r="B93" s="32">
        <v>3</v>
      </c>
      <c r="C93" s="33"/>
      <c r="D93" s="45">
        <v>5</v>
      </c>
      <c r="E93" s="51">
        <f>SUM(B93:D93)</f>
        <v>8</v>
      </c>
      <c r="F93" s="46">
        <v>3</v>
      </c>
      <c r="G93" s="47"/>
      <c r="H93" s="48">
        <v>5</v>
      </c>
      <c r="I93" s="51">
        <f>SUM(F93:H93)</f>
        <v>8</v>
      </c>
      <c r="J93" s="59">
        <f>E93+I93</f>
        <v>16</v>
      </c>
      <c r="K93" s="40">
        <v>45553</v>
      </c>
      <c r="M93" s="19" t="s">
        <v>8</v>
      </c>
      <c r="N93" s="32"/>
      <c r="O93" s="33"/>
      <c r="P93" s="45"/>
      <c r="Q93" s="51">
        <f>SUM(N93:P93)</f>
        <v>0</v>
      </c>
      <c r="R93" s="46"/>
      <c r="S93" s="47"/>
      <c r="T93" s="48"/>
      <c r="U93" s="51">
        <f>SUM(R93:T93)</f>
        <v>0</v>
      </c>
      <c r="V93" s="59">
        <f>Q93+U93</f>
        <v>0</v>
      </c>
      <c r="W93" s="40"/>
    </row>
    <row r="94" spans="1:23" x14ac:dyDescent="0.15">
      <c r="A94" s="19" t="s">
        <v>9</v>
      </c>
      <c r="B94" s="5"/>
      <c r="C94" s="6"/>
      <c r="D94" s="14">
        <v>3</v>
      </c>
      <c r="E94" s="52">
        <f>SUM(B94:D94)</f>
        <v>3</v>
      </c>
      <c r="F94" s="15"/>
      <c r="G94" s="13"/>
      <c r="H94" s="14">
        <v>3</v>
      </c>
      <c r="I94" s="52">
        <f>SUM(F94:H94)</f>
        <v>3</v>
      </c>
      <c r="J94" s="60">
        <f>E94+I94</f>
        <v>6</v>
      </c>
      <c r="K94" s="40">
        <v>45569</v>
      </c>
      <c r="M94" s="19" t="s">
        <v>9</v>
      </c>
      <c r="N94" s="5"/>
      <c r="O94" s="6"/>
      <c r="P94" s="36"/>
      <c r="Q94" s="53">
        <f t="shared" ref="Q94:Q97" si="71">SUM(N94:P94)</f>
        <v>0</v>
      </c>
      <c r="R94" s="8"/>
      <c r="S94" s="6"/>
      <c r="T94" s="7"/>
      <c r="U94" s="53">
        <f t="shared" ref="U94:U97" si="72">SUM(R94:T94)</f>
        <v>0</v>
      </c>
      <c r="V94" s="60">
        <f t="shared" ref="V94:V97" si="73">Q94+U94</f>
        <v>0</v>
      </c>
      <c r="W94" s="40"/>
    </row>
    <row r="95" spans="1:23" x14ac:dyDescent="0.15">
      <c r="A95" s="19" t="s">
        <v>10</v>
      </c>
      <c r="B95" s="5"/>
      <c r="C95" s="6"/>
      <c r="D95" s="7"/>
      <c r="E95" s="52">
        <f t="shared" ref="E95:E100" si="74">SUM(B95:D95)</f>
        <v>0</v>
      </c>
      <c r="F95" s="8"/>
      <c r="G95" s="6"/>
      <c r="H95" s="7"/>
      <c r="I95" s="52">
        <f t="shared" ref="I95:I100" si="75">SUM(F95:H95)</f>
        <v>0</v>
      </c>
      <c r="J95" s="60">
        <f t="shared" ref="J95:J100" si="76">E95+I95</f>
        <v>0</v>
      </c>
      <c r="K95" s="40"/>
      <c r="M95" s="19" t="s">
        <v>10</v>
      </c>
      <c r="N95" s="5"/>
      <c r="O95" s="6"/>
      <c r="P95" s="36"/>
      <c r="Q95" s="53">
        <f t="shared" si="71"/>
        <v>0</v>
      </c>
      <c r="R95" s="8"/>
      <c r="S95" s="6"/>
      <c r="T95" s="7"/>
      <c r="U95" s="53">
        <f t="shared" si="72"/>
        <v>0</v>
      </c>
      <c r="V95" s="60">
        <f t="shared" si="73"/>
        <v>0</v>
      </c>
      <c r="W95" s="40"/>
    </row>
    <row r="96" spans="1:23" x14ac:dyDescent="0.15">
      <c r="A96" s="19" t="s">
        <v>11</v>
      </c>
      <c r="B96" s="5"/>
      <c r="C96" s="6"/>
      <c r="D96" s="36"/>
      <c r="E96" s="53">
        <f t="shared" si="74"/>
        <v>0</v>
      </c>
      <c r="F96" s="8"/>
      <c r="G96" s="6"/>
      <c r="H96" s="7"/>
      <c r="I96" s="53">
        <f t="shared" si="75"/>
        <v>0</v>
      </c>
      <c r="J96" s="60">
        <f t="shared" si="76"/>
        <v>0</v>
      </c>
      <c r="K96" s="40"/>
      <c r="M96" s="19" t="s">
        <v>11</v>
      </c>
      <c r="N96" s="5"/>
      <c r="O96" s="6"/>
      <c r="P96" s="36"/>
      <c r="Q96" s="53">
        <f t="shared" si="71"/>
        <v>0</v>
      </c>
      <c r="R96" s="8"/>
      <c r="S96" s="6"/>
      <c r="T96" s="7"/>
      <c r="U96" s="53">
        <f t="shared" si="72"/>
        <v>0</v>
      </c>
      <c r="V96" s="60">
        <f t="shared" si="73"/>
        <v>0</v>
      </c>
      <c r="W96" s="40"/>
    </row>
    <row r="97" spans="1:23" x14ac:dyDescent="0.15">
      <c r="A97" s="19" t="s">
        <v>12</v>
      </c>
      <c r="B97" s="5"/>
      <c r="C97" s="6"/>
      <c r="D97" s="36"/>
      <c r="E97" s="53">
        <f t="shared" si="74"/>
        <v>0</v>
      </c>
      <c r="F97" s="8"/>
      <c r="G97" s="6"/>
      <c r="H97" s="7"/>
      <c r="I97" s="53">
        <f t="shared" si="75"/>
        <v>0</v>
      </c>
      <c r="J97" s="60">
        <f t="shared" si="76"/>
        <v>0</v>
      </c>
      <c r="K97" s="40"/>
      <c r="L97" s="49"/>
      <c r="M97" s="19" t="s">
        <v>12</v>
      </c>
      <c r="N97" s="5"/>
      <c r="O97" s="6"/>
      <c r="P97" s="36"/>
      <c r="Q97" s="53">
        <f t="shared" si="71"/>
        <v>0</v>
      </c>
      <c r="R97" s="8"/>
      <c r="S97" s="6"/>
      <c r="T97" s="7"/>
      <c r="U97" s="53">
        <f t="shared" si="72"/>
        <v>0</v>
      </c>
      <c r="V97" s="60">
        <f t="shared" si="73"/>
        <v>0</v>
      </c>
      <c r="W97" s="40"/>
    </row>
    <row r="98" spans="1:23" x14ac:dyDescent="0.15">
      <c r="A98" s="19" t="s">
        <v>13</v>
      </c>
      <c r="B98" s="5"/>
      <c r="C98" s="6"/>
      <c r="D98" s="36"/>
      <c r="E98" s="53">
        <f t="shared" si="74"/>
        <v>0</v>
      </c>
      <c r="F98" s="8"/>
      <c r="G98" s="6"/>
      <c r="H98" s="7"/>
      <c r="I98" s="53">
        <f t="shared" si="75"/>
        <v>0</v>
      </c>
      <c r="J98" s="60">
        <f t="shared" si="76"/>
        <v>0</v>
      </c>
      <c r="K98" s="40"/>
      <c r="M98" s="19" t="s">
        <v>13</v>
      </c>
      <c r="N98" s="5"/>
      <c r="O98" s="6"/>
      <c r="P98" s="36"/>
      <c r="Q98" s="53">
        <f>SUM(N98:P98)</f>
        <v>0</v>
      </c>
      <c r="R98" s="8"/>
      <c r="S98" s="6"/>
      <c r="T98" s="7"/>
      <c r="U98" s="53">
        <f>SUM(R98:T98)</f>
        <v>0</v>
      </c>
      <c r="V98" s="60">
        <f>Q98+U98</f>
        <v>0</v>
      </c>
      <c r="W98" s="40"/>
    </row>
    <row r="99" spans="1:23" x14ac:dyDescent="0.15">
      <c r="A99" s="19" t="s">
        <v>14</v>
      </c>
      <c r="B99" s="9"/>
      <c r="C99" s="10"/>
      <c r="D99" s="37"/>
      <c r="E99" s="53">
        <f t="shared" si="74"/>
        <v>0</v>
      </c>
      <c r="F99" s="12"/>
      <c r="G99" s="10"/>
      <c r="H99" s="11"/>
      <c r="I99" s="53">
        <f t="shared" si="75"/>
        <v>0</v>
      </c>
      <c r="J99" s="60">
        <f t="shared" si="76"/>
        <v>0</v>
      </c>
      <c r="K99" s="41"/>
      <c r="M99" s="19" t="s">
        <v>14</v>
      </c>
      <c r="N99" s="9"/>
      <c r="O99" s="10"/>
      <c r="P99" s="37"/>
      <c r="Q99" s="53">
        <f t="shared" ref="Q99:Q100" si="77">SUM(N99:P99)</f>
        <v>0</v>
      </c>
      <c r="R99" s="12"/>
      <c r="S99" s="10"/>
      <c r="T99" s="11"/>
      <c r="U99" s="53">
        <f t="shared" ref="U99:U100" si="78">SUM(R99:T99)</f>
        <v>0</v>
      </c>
      <c r="V99" s="60">
        <f t="shared" ref="V99:V100" si="79">Q99+U99</f>
        <v>0</v>
      </c>
    </row>
    <row r="100" spans="1:23" ht="14.25" thickBot="1" x14ac:dyDescent="0.2">
      <c r="A100" s="19" t="s">
        <v>15</v>
      </c>
      <c r="B100" s="25"/>
      <c r="C100" s="26"/>
      <c r="D100" s="38"/>
      <c r="E100" s="54">
        <f t="shared" si="74"/>
        <v>0</v>
      </c>
      <c r="F100" s="27"/>
      <c r="G100" s="27"/>
      <c r="H100" s="29"/>
      <c r="I100" s="54">
        <f t="shared" si="75"/>
        <v>0</v>
      </c>
      <c r="J100" s="61">
        <f t="shared" si="76"/>
        <v>0</v>
      </c>
      <c r="K100" s="40"/>
      <c r="M100" s="19" t="s">
        <v>15</v>
      </c>
      <c r="N100" s="25"/>
      <c r="O100" s="26"/>
      <c r="P100" s="38"/>
      <c r="Q100" s="54">
        <f t="shared" si="77"/>
        <v>0</v>
      </c>
      <c r="R100" s="27"/>
      <c r="S100" s="27"/>
      <c r="T100" s="29"/>
      <c r="U100" s="54">
        <f t="shared" si="78"/>
        <v>0</v>
      </c>
      <c r="V100" s="61">
        <f t="shared" si="79"/>
        <v>0</v>
      </c>
    </row>
    <row r="101" spans="1:23" ht="14.25" thickBot="1" x14ac:dyDescent="0.2">
      <c r="A101" s="28" t="s">
        <v>16</v>
      </c>
      <c r="B101" s="22">
        <f>SUM(B92:B100)</f>
        <v>20</v>
      </c>
      <c r="C101" s="23">
        <f t="shared" ref="C101:D101" si="80">SUM(C92:C100)</f>
        <v>20</v>
      </c>
      <c r="D101" s="24">
        <f t="shared" si="80"/>
        <v>21</v>
      </c>
      <c r="E101" s="55">
        <f>SUM(B101:D101)</f>
        <v>61</v>
      </c>
      <c r="F101" s="22">
        <f>SUM(F92:F100)</f>
        <v>20</v>
      </c>
      <c r="G101" s="23">
        <f t="shared" ref="G101:H101" si="81">SUM(G92:G100)</f>
        <v>20</v>
      </c>
      <c r="H101" s="24">
        <f t="shared" si="81"/>
        <v>21</v>
      </c>
      <c r="I101" s="55">
        <f>SUM(F101:H101)</f>
        <v>61</v>
      </c>
      <c r="J101" s="62">
        <f>SUM(J93:J100)</f>
        <v>22</v>
      </c>
      <c r="M101" s="28" t="s">
        <v>16</v>
      </c>
      <c r="N101" s="22">
        <f>SUM(N92:N100)</f>
        <v>0</v>
      </c>
      <c r="O101" s="23">
        <f t="shared" ref="O101:P101" si="82">SUM(O92:O100)</f>
        <v>0</v>
      </c>
      <c r="P101" s="24">
        <f t="shared" si="82"/>
        <v>0</v>
      </c>
      <c r="Q101" s="55">
        <f>SUM(N101:P101)</f>
        <v>0</v>
      </c>
      <c r="R101" s="22">
        <f>SUM(R92:R100)</f>
        <v>0</v>
      </c>
      <c r="S101" s="23">
        <f t="shared" ref="S101:T101" si="83">SUM(S92:S100)</f>
        <v>0</v>
      </c>
      <c r="T101" s="24">
        <f t="shared" si="83"/>
        <v>0</v>
      </c>
      <c r="U101" s="55">
        <f>SUM(R101:T101)</f>
        <v>0</v>
      </c>
      <c r="V101" s="62">
        <f>Q101+U101</f>
        <v>0</v>
      </c>
    </row>
    <row r="102" spans="1:23" x14ac:dyDescent="0.15">
      <c r="A102" s="17" t="s">
        <v>65</v>
      </c>
      <c r="B102" s="9"/>
      <c r="C102" s="10">
        <v>1</v>
      </c>
      <c r="D102" s="11">
        <v>1</v>
      </c>
      <c r="E102" s="52">
        <f t="shared" ref="E102:E128" si="84">SUM(B102:D102)</f>
        <v>2</v>
      </c>
      <c r="F102" s="12"/>
      <c r="G102" s="10">
        <v>1</v>
      </c>
      <c r="H102" s="11">
        <v>1</v>
      </c>
      <c r="I102" s="52">
        <f t="shared" ref="I102:I128" si="85">SUM(F102:H102)</f>
        <v>2</v>
      </c>
      <c r="J102" s="60">
        <f t="shared" ref="J102:J126" si="86">E102+I102</f>
        <v>4</v>
      </c>
      <c r="K102" s="40">
        <v>45532</v>
      </c>
      <c r="M102" s="18"/>
      <c r="N102" s="9"/>
      <c r="O102" s="10"/>
      <c r="P102" s="11"/>
      <c r="Q102" s="52">
        <f>SUM(N102:P102)</f>
        <v>0</v>
      </c>
      <c r="R102" s="12"/>
      <c r="S102" s="10"/>
      <c r="T102" s="11"/>
      <c r="U102" s="52">
        <f>SUM(R102:T102)</f>
        <v>0</v>
      </c>
      <c r="V102" s="60">
        <f>Q102+U102</f>
        <v>0</v>
      </c>
      <c r="W102" s="40"/>
    </row>
    <row r="103" spans="1:23" x14ac:dyDescent="0.15">
      <c r="A103" s="17" t="s">
        <v>66</v>
      </c>
      <c r="B103" s="5"/>
      <c r="C103" s="6">
        <v>1</v>
      </c>
      <c r="D103" s="7"/>
      <c r="E103" s="52">
        <f t="shared" si="84"/>
        <v>1</v>
      </c>
      <c r="F103" s="8"/>
      <c r="G103" s="6">
        <v>1</v>
      </c>
      <c r="H103" s="7"/>
      <c r="I103" s="52">
        <f t="shared" si="85"/>
        <v>1</v>
      </c>
      <c r="J103" s="60">
        <f t="shared" si="86"/>
        <v>2</v>
      </c>
      <c r="K103" s="40">
        <v>45533</v>
      </c>
      <c r="M103" s="20"/>
      <c r="N103" s="5"/>
      <c r="O103" s="6"/>
      <c r="P103" s="7"/>
      <c r="Q103" s="52">
        <f t="shared" ref="Q103:Q128" si="87">SUM(N103:P103)</f>
        <v>0</v>
      </c>
      <c r="R103" s="8"/>
      <c r="S103" s="6"/>
      <c r="T103" s="7"/>
      <c r="U103" s="52">
        <f t="shared" ref="U103:U128" si="88">SUM(R103:T103)</f>
        <v>0</v>
      </c>
      <c r="V103" s="60">
        <f t="shared" ref="V103:V127" si="89">Q103+U103</f>
        <v>0</v>
      </c>
      <c r="W103" s="40"/>
    </row>
    <row r="104" spans="1:23" x14ac:dyDescent="0.15">
      <c r="A104" s="17" t="s">
        <v>67</v>
      </c>
      <c r="B104" s="5"/>
      <c r="C104" s="6">
        <v>2</v>
      </c>
      <c r="D104" s="7"/>
      <c r="E104" s="52">
        <f t="shared" si="84"/>
        <v>2</v>
      </c>
      <c r="F104" s="8"/>
      <c r="G104" s="6">
        <v>2</v>
      </c>
      <c r="H104" s="7"/>
      <c r="I104" s="52">
        <f t="shared" si="85"/>
        <v>2</v>
      </c>
      <c r="J104" s="60">
        <f t="shared" si="86"/>
        <v>4</v>
      </c>
      <c r="K104" s="40">
        <v>45534</v>
      </c>
      <c r="M104" s="20"/>
      <c r="N104" s="5"/>
      <c r="O104" s="6"/>
      <c r="P104" s="7"/>
      <c r="Q104" s="52">
        <f t="shared" si="87"/>
        <v>0</v>
      </c>
      <c r="R104" s="8"/>
      <c r="S104" s="6"/>
      <c r="T104" s="7"/>
      <c r="U104" s="52">
        <f t="shared" si="88"/>
        <v>0</v>
      </c>
      <c r="V104" s="60">
        <f t="shared" si="89"/>
        <v>0</v>
      </c>
      <c r="W104" s="40"/>
    </row>
    <row r="105" spans="1:23" x14ac:dyDescent="0.15">
      <c r="A105" s="17" t="s">
        <v>68</v>
      </c>
      <c r="B105" s="5"/>
      <c r="C105" s="6">
        <v>1</v>
      </c>
      <c r="D105" s="7"/>
      <c r="E105" s="52">
        <f t="shared" si="84"/>
        <v>1</v>
      </c>
      <c r="F105" s="8"/>
      <c r="G105" s="6">
        <v>1</v>
      </c>
      <c r="H105" s="7"/>
      <c r="I105" s="52">
        <f t="shared" si="85"/>
        <v>1</v>
      </c>
      <c r="J105" s="60">
        <f t="shared" si="86"/>
        <v>2</v>
      </c>
      <c r="K105" s="40">
        <v>45540</v>
      </c>
      <c r="L105" s="49"/>
      <c r="M105" s="18"/>
      <c r="N105" s="5"/>
      <c r="O105" s="6"/>
      <c r="P105" s="7"/>
      <c r="Q105" s="52">
        <f t="shared" si="87"/>
        <v>0</v>
      </c>
      <c r="R105" s="8"/>
      <c r="S105" s="6"/>
      <c r="T105" s="7"/>
      <c r="U105" s="52">
        <f t="shared" si="88"/>
        <v>0</v>
      </c>
      <c r="V105" s="60">
        <f t="shared" si="89"/>
        <v>0</v>
      </c>
      <c r="W105" s="40"/>
    </row>
    <row r="106" spans="1:23" x14ac:dyDescent="0.15">
      <c r="A106" s="17" t="s">
        <v>69</v>
      </c>
      <c r="B106" s="5"/>
      <c r="C106" s="6">
        <v>1</v>
      </c>
      <c r="D106" s="14">
        <v>3</v>
      </c>
      <c r="E106" s="52">
        <f t="shared" ref="E106" si="90">SUM(B106:D106)</f>
        <v>4</v>
      </c>
      <c r="F106" s="15"/>
      <c r="G106" s="13">
        <v>1</v>
      </c>
      <c r="H106" s="14">
        <v>3</v>
      </c>
      <c r="I106" s="52">
        <f t="shared" ref="I106" si="91">SUM(F106:H106)</f>
        <v>4</v>
      </c>
      <c r="J106" s="60">
        <f t="shared" ref="J106" si="92">E106+I106</f>
        <v>8</v>
      </c>
      <c r="K106" s="40">
        <v>45554</v>
      </c>
      <c r="L106" s="49"/>
      <c r="M106" s="18"/>
      <c r="N106" s="5"/>
      <c r="O106" s="6"/>
      <c r="P106" s="7"/>
      <c r="Q106" s="52">
        <f t="shared" si="87"/>
        <v>0</v>
      </c>
      <c r="R106" s="8"/>
      <c r="S106" s="6"/>
      <c r="T106" s="7"/>
      <c r="U106" s="52">
        <f t="shared" si="88"/>
        <v>0</v>
      </c>
      <c r="V106" s="60">
        <f t="shared" si="89"/>
        <v>0</v>
      </c>
      <c r="W106" s="40"/>
    </row>
    <row r="107" spans="1:23" x14ac:dyDescent="0.15">
      <c r="A107" s="17" t="s">
        <v>70</v>
      </c>
      <c r="B107" s="5">
        <v>2</v>
      </c>
      <c r="C107" s="6">
        <v>3</v>
      </c>
      <c r="D107" s="14"/>
      <c r="E107" s="52">
        <f t="shared" si="84"/>
        <v>5</v>
      </c>
      <c r="F107" s="15">
        <v>2</v>
      </c>
      <c r="G107" s="13">
        <v>3</v>
      </c>
      <c r="H107" s="14"/>
      <c r="I107" s="52">
        <f t="shared" si="85"/>
        <v>5</v>
      </c>
      <c r="J107" s="60">
        <f t="shared" si="86"/>
        <v>10</v>
      </c>
      <c r="K107" s="40">
        <v>45555</v>
      </c>
      <c r="M107" s="20"/>
      <c r="N107" s="5"/>
      <c r="O107" s="6"/>
      <c r="P107" s="14"/>
      <c r="Q107" s="52">
        <f t="shared" si="87"/>
        <v>0</v>
      </c>
      <c r="R107" s="15"/>
      <c r="S107" s="13"/>
      <c r="T107" s="14"/>
      <c r="U107" s="52">
        <f t="shared" si="88"/>
        <v>0</v>
      </c>
      <c r="V107" s="60">
        <f t="shared" si="89"/>
        <v>0</v>
      </c>
      <c r="W107" s="40"/>
    </row>
    <row r="108" spans="1:23" x14ac:dyDescent="0.15">
      <c r="A108" s="17" t="s">
        <v>72</v>
      </c>
      <c r="B108" s="5"/>
      <c r="C108" s="6">
        <v>1</v>
      </c>
      <c r="D108" s="7">
        <v>3</v>
      </c>
      <c r="E108" s="52">
        <f t="shared" si="84"/>
        <v>4</v>
      </c>
      <c r="F108" s="8"/>
      <c r="G108" s="6">
        <v>1</v>
      </c>
      <c r="H108" s="7">
        <v>3</v>
      </c>
      <c r="I108" s="52">
        <f t="shared" si="85"/>
        <v>4</v>
      </c>
      <c r="J108" s="60">
        <f t="shared" si="86"/>
        <v>8</v>
      </c>
      <c r="K108" s="40">
        <v>45555</v>
      </c>
      <c r="M108" s="42"/>
      <c r="N108" s="5"/>
      <c r="O108" s="6"/>
      <c r="P108" s="7"/>
      <c r="Q108" s="52">
        <f t="shared" si="87"/>
        <v>0</v>
      </c>
      <c r="R108" s="8"/>
      <c r="S108" s="6"/>
      <c r="T108" s="7"/>
      <c r="U108" s="52">
        <f t="shared" si="88"/>
        <v>0</v>
      </c>
      <c r="V108" s="60">
        <f t="shared" si="89"/>
        <v>0</v>
      </c>
      <c r="W108" s="40"/>
    </row>
    <row r="109" spans="1:23" ht="14.25" x14ac:dyDescent="0.15">
      <c r="A109" s="17" t="s">
        <v>73</v>
      </c>
      <c r="B109" s="5">
        <v>2</v>
      </c>
      <c r="C109" s="6">
        <v>1</v>
      </c>
      <c r="D109" s="7">
        <v>2</v>
      </c>
      <c r="E109" s="52">
        <f t="shared" si="84"/>
        <v>5</v>
      </c>
      <c r="F109" s="8">
        <v>2</v>
      </c>
      <c r="G109" s="6">
        <v>1</v>
      </c>
      <c r="H109" s="7">
        <v>2</v>
      </c>
      <c r="I109" s="52">
        <f t="shared" si="85"/>
        <v>5</v>
      </c>
      <c r="J109" s="60">
        <f t="shared" si="86"/>
        <v>10</v>
      </c>
      <c r="K109" s="43">
        <v>45559</v>
      </c>
      <c r="M109" s="18"/>
      <c r="N109" s="5" t="s">
        <v>20</v>
      </c>
      <c r="O109" s="6"/>
      <c r="P109" s="7"/>
      <c r="Q109" s="52">
        <f t="shared" si="87"/>
        <v>0</v>
      </c>
      <c r="R109" s="8"/>
      <c r="S109" s="6"/>
      <c r="T109" s="7"/>
      <c r="U109" s="52">
        <f t="shared" si="88"/>
        <v>0</v>
      </c>
      <c r="V109" s="60">
        <f t="shared" si="89"/>
        <v>0</v>
      </c>
      <c r="W109" s="43"/>
    </row>
    <row r="110" spans="1:23" x14ac:dyDescent="0.15">
      <c r="A110" s="17" t="s">
        <v>74</v>
      </c>
      <c r="B110" s="5"/>
      <c r="C110" s="6">
        <v>1</v>
      </c>
      <c r="D110" s="7"/>
      <c r="E110" s="52">
        <f t="shared" si="84"/>
        <v>1</v>
      </c>
      <c r="F110" s="8"/>
      <c r="G110" s="6">
        <v>1</v>
      </c>
      <c r="H110" s="7"/>
      <c r="I110" s="52">
        <f t="shared" si="85"/>
        <v>1</v>
      </c>
      <c r="J110" s="60">
        <f t="shared" si="86"/>
        <v>2</v>
      </c>
      <c r="K110" s="40">
        <v>45555</v>
      </c>
      <c r="M110" s="20"/>
      <c r="N110" s="5"/>
      <c r="O110" s="6"/>
      <c r="P110" s="7"/>
      <c r="Q110" s="52">
        <f t="shared" si="87"/>
        <v>0</v>
      </c>
      <c r="R110" s="8"/>
      <c r="S110" s="6"/>
      <c r="T110" s="7"/>
      <c r="U110" s="52">
        <f t="shared" si="88"/>
        <v>0</v>
      </c>
      <c r="V110" s="60">
        <f t="shared" si="89"/>
        <v>0</v>
      </c>
      <c r="W110" s="40"/>
    </row>
    <row r="111" spans="1:23" x14ac:dyDescent="0.15">
      <c r="A111" s="17" t="s">
        <v>75</v>
      </c>
      <c r="B111" s="9"/>
      <c r="C111" s="10"/>
      <c r="D111" s="11">
        <v>5</v>
      </c>
      <c r="E111" s="52">
        <f t="shared" si="84"/>
        <v>5</v>
      </c>
      <c r="F111" s="12"/>
      <c r="G111" s="10"/>
      <c r="H111" s="11">
        <v>5</v>
      </c>
      <c r="I111" s="52">
        <f t="shared" si="85"/>
        <v>5</v>
      </c>
      <c r="J111" s="60">
        <f t="shared" si="86"/>
        <v>10</v>
      </c>
      <c r="K111" s="40">
        <v>45561</v>
      </c>
      <c r="M111" s="18"/>
      <c r="N111" s="9"/>
      <c r="O111" s="10"/>
      <c r="P111" s="11"/>
      <c r="Q111" s="52">
        <f t="shared" si="87"/>
        <v>0</v>
      </c>
      <c r="R111" s="12"/>
      <c r="S111" s="10"/>
      <c r="T111" s="11"/>
      <c r="U111" s="52">
        <f t="shared" si="88"/>
        <v>0</v>
      </c>
      <c r="V111" s="60">
        <f t="shared" si="89"/>
        <v>0</v>
      </c>
      <c r="W111" s="40"/>
    </row>
    <row r="112" spans="1:23" x14ac:dyDescent="0.15">
      <c r="A112" s="17" t="s">
        <v>76</v>
      </c>
      <c r="B112" s="5">
        <v>1</v>
      </c>
      <c r="C112" s="6">
        <v>1</v>
      </c>
      <c r="D112" s="7"/>
      <c r="E112" s="52">
        <f t="shared" si="84"/>
        <v>2</v>
      </c>
      <c r="F112" s="8">
        <v>1</v>
      </c>
      <c r="G112" s="6">
        <v>1</v>
      </c>
      <c r="H112" s="7"/>
      <c r="I112" s="52">
        <f t="shared" si="85"/>
        <v>2</v>
      </c>
      <c r="J112" s="60">
        <f t="shared" si="86"/>
        <v>4</v>
      </c>
      <c r="K112" s="40">
        <v>45562</v>
      </c>
      <c r="M112" s="20"/>
      <c r="N112" s="5"/>
      <c r="O112" s="6"/>
      <c r="P112" s="7"/>
      <c r="Q112" s="52">
        <f t="shared" si="87"/>
        <v>0</v>
      </c>
      <c r="R112" s="8"/>
      <c r="S112" s="6"/>
      <c r="T112" s="7"/>
      <c r="U112" s="52">
        <f t="shared" si="88"/>
        <v>0</v>
      </c>
      <c r="V112" s="60">
        <f t="shared" si="89"/>
        <v>0</v>
      </c>
      <c r="W112" s="40"/>
    </row>
    <row r="113" spans="1:23" x14ac:dyDescent="0.15">
      <c r="A113" s="17" t="s">
        <v>77</v>
      </c>
      <c r="B113" s="5"/>
      <c r="C113" s="6"/>
      <c r="D113" s="7">
        <v>2</v>
      </c>
      <c r="E113" s="52">
        <f t="shared" si="84"/>
        <v>2</v>
      </c>
      <c r="F113" s="8"/>
      <c r="G113" s="6"/>
      <c r="H113" s="7">
        <v>2</v>
      </c>
      <c r="I113" s="52">
        <f t="shared" si="85"/>
        <v>2</v>
      </c>
      <c r="J113" s="60">
        <f t="shared" si="86"/>
        <v>4</v>
      </c>
      <c r="K113" s="40">
        <v>45562</v>
      </c>
      <c r="M113" s="20"/>
      <c r="N113" s="5"/>
      <c r="O113" s="6"/>
      <c r="P113" s="7"/>
      <c r="Q113" s="52">
        <f t="shared" si="87"/>
        <v>0</v>
      </c>
      <c r="R113" s="8"/>
      <c r="S113" s="6"/>
      <c r="T113" s="7"/>
      <c r="U113" s="52">
        <f t="shared" si="88"/>
        <v>0</v>
      </c>
      <c r="V113" s="60">
        <f t="shared" si="89"/>
        <v>0</v>
      </c>
      <c r="W113" s="40"/>
    </row>
    <row r="114" spans="1:23" x14ac:dyDescent="0.15">
      <c r="A114" s="17" t="s">
        <v>78</v>
      </c>
      <c r="B114" s="5"/>
      <c r="C114" s="6">
        <v>1</v>
      </c>
      <c r="D114" s="7"/>
      <c r="E114" s="52">
        <f t="shared" si="84"/>
        <v>1</v>
      </c>
      <c r="F114" s="8"/>
      <c r="G114" s="6">
        <v>1</v>
      </c>
      <c r="H114" s="7"/>
      <c r="I114" s="52">
        <f t="shared" si="85"/>
        <v>1</v>
      </c>
      <c r="J114" s="60">
        <f t="shared" si="86"/>
        <v>2</v>
      </c>
      <c r="K114" s="40">
        <v>45567</v>
      </c>
      <c r="M114" s="18"/>
      <c r="N114" s="5"/>
      <c r="O114" s="6"/>
      <c r="P114" s="7"/>
      <c r="Q114" s="52">
        <f t="shared" si="87"/>
        <v>0</v>
      </c>
      <c r="R114" s="8"/>
      <c r="S114" s="6"/>
      <c r="T114" s="7"/>
      <c r="U114" s="52">
        <f t="shared" si="88"/>
        <v>0</v>
      </c>
      <c r="V114" s="60">
        <f t="shared" si="89"/>
        <v>0</v>
      </c>
      <c r="W114" s="40"/>
    </row>
    <row r="115" spans="1:23" x14ac:dyDescent="0.15">
      <c r="A115" s="17" t="s">
        <v>79</v>
      </c>
      <c r="B115" s="5"/>
      <c r="C115" s="6">
        <v>1</v>
      </c>
      <c r="D115" s="7"/>
      <c r="E115" s="52">
        <f t="shared" si="84"/>
        <v>1</v>
      </c>
      <c r="F115" s="8"/>
      <c r="G115" s="6">
        <v>1</v>
      </c>
      <c r="H115" s="7"/>
      <c r="I115" s="52">
        <f t="shared" si="85"/>
        <v>1</v>
      </c>
      <c r="J115" s="60">
        <f t="shared" si="86"/>
        <v>2</v>
      </c>
      <c r="K115" s="40">
        <v>45583</v>
      </c>
      <c r="L115" s="49"/>
      <c r="M115" s="18"/>
      <c r="N115" s="5"/>
      <c r="O115" s="6"/>
      <c r="P115" s="7"/>
      <c r="Q115" s="52">
        <f t="shared" si="87"/>
        <v>0</v>
      </c>
      <c r="R115" s="8"/>
      <c r="S115" s="6"/>
      <c r="T115" s="7"/>
      <c r="U115" s="52">
        <f t="shared" si="88"/>
        <v>0</v>
      </c>
      <c r="V115" s="60">
        <f t="shared" si="89"/>
        <v>0</v>
      </c>
      <c r="W115" s="40"/>
    </row>
    <row r="116" spans="1:23" x14ac:dyDescent="0.15">
      <c r="A116" s="17" t="s">
        <v>80</v>
      </c>
      <c r="B116" s="5"/>
      <c r="C116" s="6">
        <v>1</v>
      </c>
      <c r="D116" s="7"/>
      <c r="E116" s="52">
        <f t="shared" si="84"/>
        <v>1</v>
      </c>
      <c r="F116" s="8"/>
      <c r="G116" s="6">
        <v>1</v>
      </c>
      <c r="H116" s="7"/>
      <c r="I116" s="52">
        <f t="shared" si="85"/>
        <v>1</v>
      </c>
      <c r="J116" s="60">
        <f t="shared" si="86"/>
        <v>2</v>
      </c>
      <c r="K116" s="40">
        <v>45583</v>
      </c>
      <c r="L116" s="49"/>
      <c r="M116" s="20"/>
      <c r="N116" s="5"/>
      <c r="O116" s="6"/>
      <c r="P116" s="7"/>
      <c r="Q116" s="52">
        <f t="shared" si="87"/>
        <v>0</v>
      </c>
      <c r="R116" s="8"/>
      <c r="S116" s="6"/>
      <c r="T116" s="7"/>
      <c r="U116" s="52">
        <f t="shared" si="88"/>
        <v>0</v>
      </c>
      <c r="V116" s="60">
        <f t="shared" si="89"/>
        <v>0</v>
      </c>
      <c r="W116" s="40"/>
    </row>
    <row r="117" spans="1:23" x14ac:dyDescent="0.15">
      <c r="A117" s="17" t="s">
        <v>81</v>
      </c>
      <c r="B117" s="5">
        <v>1</v>
      </c>
      <c r="C117" s="6"/>
      <c r="D117" s="7"/>
      <c r="E117" s="52">
        <f t="shared" si="84"/>
        <v>1</v>
      </c>
      <c r="F117" s="8">
        <v>1</v>
      </c>
      <c r="G117" s="6"/>
      <c r="H117" s="7"/>
      <c r="I117" s="52">
        <f t="shared" si="85"/>
        <v>1</v>
      </c>
      <c r="J117" s="60">
        <f t="shared" si="86"/>
        <v>2</v>
      </c>
      <c r="K117" s="40">
        <v>45586</v>
      </c>
      <c r="L117" s="49"/>
      <c r="M117" s="20"/>
      <c r="N117" s="5"/>
      <c r="O117" s="6"/>
      <c r="P117" s="7"/>
      <c r="Q117" s="52">
        <f t="shared" si="87"/>
        <v>0</v>
      </c>
      <c r="R117" s="8"/>
      <c r="S117" s="6"/>
      <c r="T117" s="7"/>
      <c r="U117" s="52">
        <f t="shared" si="88"/>
        <v>0</v>
      </c>
      <c r="V117" s="60">
        <f t="shared" si="89"/>
        <v>0</v>
      </c>
      <c r="W117" s="40"/>
    </row>
    <row r="118" spans="1:23" x14ac:dyDescent="0.15">
      <c r="A118" s="17" t="s">
        <v>82</v>
      </c>
      <c r="B118" s="5"/>
      <c r="C118" s="6">
        <v>1</v>
      </c>
      <c r="D118" s="7"/>
      <c r="E118" s="52">
        <f t="shared" si="84"/>
        <v>1</v>
      </c>
      <c r="F118" s="8"/>
      <c r="G118" s="6">
        <v>1</v>
      </c>
      <c r="H118" s="7"/>
      <c r="I118" s="52">
        <f t="shared" si="85"/>
        <v>1</v>
      </c>
      <c r="J118" s="60">
        <f t="shared" si="86"/>
        <v>2</v>
      </c>
      <c r="K118" s="40">
        <v>45589</v>
      </c>
      <c r="L118" s="49"/>
      <c r="M118" s="18"/>
      <c r="N118" s="5"/>
      <c r="O118" s="6"/>
      <c r="P118" s="7"/>
      <c r="Q118" s="52">
        <f t="shared" si="87"/>
        <v>0</v>
      </c>
      <c r="R118" s="8"/>
      <c r="S118" s="6"/>
      <c r="T118" s="7"/>
      <c r="U118" s="52">
        <f t="shared" si="88"/>
        <v>0</v>
      </c>
      <c r="V118" s="60">
        <f t="shared" si="89"/>
        <v>0</v>
      </c>
      <c r="W118" s="40"/>
    </row>
    <row r="119" spans="1:23" x14ac:dyDescent="0.15">
      <c r="A119" s="17" t="s">
        <v>83</v>
      </c>
      <c r="B119" s="5"/>
      <c r="C119" s="6">
        <v>1</v>
      </c>
      <c r="D119" s="7"/>
      <c r="E119" s="52">
        <f t="shared" si="84"/>
        <v>1</v>
      </c>
      <c r="F119" s="8"/>
      <c r="G119" s="6">
        <v>1</v>
      </c>
      <c r="H119" s="7"/>
      <c r="I119" s="52">
        <f t="shared" si="85"/>
        <v>1</v>
      </c>
      <c r="J119" s="60">
        <f t="shared" si="86"/>
        <v>2</v>
      </c>
      <c r="K119" s="40">
        <v>45596</v>
      </c>
      <c r="L119" s="49"/>
      <c r="M119" s="20"/>
      <c r="N119" s="5"/>
      <c r="O119" s="6"/>
      <c r="P119" s="7"/>
      <c r="Q119" s="52">
        <f t="shared" si="87"/>
        <v>0</v>
      </c>
      <c r="R119" s="8"/>
      <c r="S119" s="6"/>
      <c r="T119" s="7"/>
      <c r="U119" s="52">
        <f t="shared" si="88"/>
        <v>0</v>
      </c>
      <c r="V119" s="60">
        <f t="shared" si="89"/>
        <v>0</v>
      </c>
      <c r="W119" s="40"/>
    </row>
    <row r="120" spans="1:23" x14ac:dyDescent="0.15">
      <c r="A120" s="17" t="s">
        <v>84</v>
      </c>
      <c r="B120" s="5"/>
      <c r="C120" s="6"/>
      <c r="D120" s="7">
        <v>1</v>
      </c>
      <c r="E120" s="52">
        <f t="shared" si="84"/>
        <v>1</v>
      </c>
      <c r="F120" s="8"/>
      <c r="G120" s="6"/>
      <c r="H120" s="7">
        <v>1</v>
      </c>
      <c r="I120" s="52">
        <f t="shared" si="85"/>
        <v>1</v>
      </c>
      <c r="J120" s="60">
        <f t="shared" si="86"/>
        <v>2</v>
      </c>
      <c r="K120" s="40">
        <v>45625</v>
      </c>
      <c r="L120" s="49"/>
      <c r="M120" s="18"/>
      <c r="N120" s="5"/>
      <c r="O120" s="6"/>
      <c r="P120" s="7"/>
      <c r="Q120" s="52">
        <f t="shared" si="87"/>
        <v>0</v>
      </c>
      <c r="R120" s="8"/>
      <c r="S120" s="6"/>
      <c r="T120" s="7"/>
      <c r="U120" s="52">
        <f t="shared" si="88"/>
        <v>0</v>
      </c>
      <c r="V120" s="60">
        <f t="shared" si="89"/>
        <v>0</v>
      </c>
      <c r="W120" s="40"/>
    </row>
    <row r="121" spans="1:23" x14ac:dyDescent="0.15">
      <c r="A121" s="17" t="s">
        <v>85</v>
      </c>
      <c r="B121" s="5"/>
      <c r="C121" s="6">
        <v>1</v>
      </c>
      <c r="D121" s="7"/>
      <c r="E121" s="52">
        <f t="shared" si="84"/>
        <v>1</v>
      </c>
      <c r="F121" s="8"/>
      <c r="G121" s="6">
        <v>1</v>
      </c>
      <c r="H121" s="7"/>
      <c r="I121" s="52">
        <f t="shared" si="85"/>
        <v>1</v>
      </c>
      <c r="J121" s="60">
        <f t="shared" si="86"/>
        <v>2</v>
      </c>
      <c r="K121" s="40">
        <v>45631</v>
      </c>
      <c r="L121" s="49"/>
      <c r="M121" s="20"/>
      <c r="N121" s="5"/>
      <c r="O121" s="6"/>
      <c r="P121" s="7"/>
      <c r="Q121" s="52">
        <f t="shared" si="87"/>
        <v>0</v>
      </c>
      <c r="R121" s="8"/>
      <c r="S121" s="6"/>
      <c r="T121" s="7"/>
      <c r="U121" s="52">
        <f t="shared" si="88"/>
        <v>0</v>
      </c>
      <c r="V121" s="60">
        <f t="shared" si="89"/>
        <v>0</v>
      </c>
      <c r="W121" s="40"/>
    </row>
    <row r="122" spans="1:23" x14ac:dyDescent="0.15">
      <c r="A122" s="17" t="s">
        <v>92</v>
      </c>
      <c r="B122" s="5">
        <v>3</v>
      </c>
      <c r="C122" s="6">
        <v>6</v>
      </c>
      <c r="D122" s="7">
        <v>4</v>
      </c>
      <c r="E122" s="52">
        <f t="shared" si="84"/>
        <v>13</v>
      </c>
      <c r="F122" s="8">
        <v>3</v>
      </c>
      <c r="G122" s="6">
        <v>6</v>
      </c>
      <c r="H122" s="7">
        <v>4</v>
      </c>
      <c r="I122" s="52">
        <f t="shared" si="85"/>
        <v>13</v>
      </c>
      <c r="J122" s="60">
        <f t="shared" si="86"/>
        <v>26</v>
      </c>
      <c r="K122" s="40">
        <v>45709</v>
      </c>
      <c r="M122" s="20"/>
      <c r="N122" s="5"/>
      <c r="O122" s="6"/>
      <c r="P122" s="7"/>
      <c r="Q122" s="52">
        <f t="shared" si="87"/>
        <v>0</v>
      </c>
      <c r="R122" s="8"/>
      <c r="S122" s="6"/>
      <c r="T122" s="7"/>
      <c r="U122" s="52">
        <f t="shared" si="88"/>
        <v>0</v>
      </c>
      <c r="V122" s="60">
        <f t="shared" si="89"/>
        <v>0</v>
      </c>
      <c r="W122" s="40"/>
    </row>
    <row r="123" spans="1:23" x14ac:dyDescent="0.15">
      <c r="A123" s="17" t="s">
        <v>93</v>
      </c>
      <c r="B123" s="5"/>
      <c r="C123" s="6">
        <v>5</v>
      </c>
      <c r="D123" s="7"/>
      <c r="E123" s="52">
        <f t="shared" si="84"/>
        <v>5</v>
      </c>
      <c r="F123" s="8"/>
      <c r="G123" s="6">
        <v>5</v>
      </c>
      <c r="H123" s="7"/>
      <c r="I123" s="52">
        <f t="shared" si="85"/>
        <v>5</v>
      </c>
      <c r="J123" s="60">
        <f t="shared" si="86"/>
        <v>10</v>
      </c>
      <c r="K123" s="40">
        <v>45722</v>
      </c>
      <c r="M123" s="44"/>
      <c r="N123" s="9"/>
      <c r="O123" s="10"/>
      <c r="P123" s="11"/>
      <c r="Q123" s="52">
        <f t="shared" si="87"/>
        <v>0</v>
      </c>
      <c r="R123" s="12"/>
      <c r="S123" s="10"/>
      <c r="T123" s="11"/>
      <c r="U123" s="52">
        <f t="shared" si="88"/>
        <v>0</v>
      </c>
      <c r="V123" s="60">
        <f t="shared" si="89"/>
        <v>0</v>
      </c>
      <c r="W123" s="40"/>
    </row>
    <row r="124" spans="1:23" x14ac:dyDescent="0.15">
      <c r="A124" s="17" t="s">
        <v>94</v>
      </c>
      <c r="B124" s="5"/>
      <c r="C124" s="6">
        <v>2</v>
      </c>
      <c r="D124" s="7"/>
      <c r="E124" s="52">
        <f t="shared" si="84"/>
        <v>2</v>
      </c>
      <c r="F124" s="8"/>
      <c r="G124" s="6">
        <v>2</v>
      </c>
      <c r="H124" s="7"/>
      <c r="I124" s="52">
        <f t="shared" si="85"/>
        <v>2</v>
      </c>
      <c r="J124" s="60">
        <f t="shared" si="86"/>
        <v>4</v>
      </c>
      <c r="K124" s="40">
        <v>45723</v>
      </c>
      <c r="M124" s="20"/>
      <c r="N124" s="5"/>
      <c r="O124" s="6"/>
      <c r="P124" s="7"/>
      <c r="Q124" s="52">
        <f t="shared" si="87"/>
        <v>0</v>
      </c>
      <c r="R124" s="8"/>
      <c r="S124" s="6"/>
      <c r="T124" s="7"/>
      <c r="U124" s="52">
        <f t="shared" si="88"/>
        <v>0</v>
      </c>
      <c r="V124" s="60">
        <f t="shared" si="89"/>
        <v>0</v>
      </c>
      <c r="W124" s="49"/>
    </row>
    <row r="125" spans="1:23" x14ac:dyDescent="0.15">
      <c r="A125" s="17"/>
      <c r="B125" s="9"/>
      <c r="C125" s="10"/>
      <c r="D125" s="11"/>
      <c r="E125" s="53">
        <f t="shared" si="84"/>
        <v>0</v>
      </c>
      <c r="F125" s="12"/>
      <c r="G125" s="10"/>
      <c r="H125" s="11"/>
      <c r="I125" s="53">
        <f t="shared" si="85"/>
        <v>0</v>
      </c>
      <c r="J125" s="60">
        <f t="shared" si="86"/>
        <v>0</v>
      </c>
      <c r="K125" s="40"/>
      <c r="M125" s="20"/>
      <c r="N125" s="5"/>
      <c r="O125" s="6"/>
      <c r="P125" s="7"/>
      <c r="Q125" s="52">
        <f t="shared" si="87"/>
        <v>0</v>
      </c>
      <c r="R125" s="8"/>
      <c r="S125" s="6"/>
      <c r="T125" s="7"/>
      <c r="U125" s="52">
        <f t="shared" si="88"/>
        <v>0</v>
      </c>
      <c r="V125" s="60">
        <f t="shared" si="89"/>
        <v>0</v>
      </c>
      <c r="W125" s="49"/>
    </row>
    <row r="126" spans="1:23" x14ac:dyDescent="0.15">
      <c r="A126" s="17"/>
      <c r="B126" s="5"/>
      <c r="C126" s="6"/>
      <c r="D126" s="7"/>
      <c r="E126" s="52">
        <f t="shared" si="84"/>
        <v>0</v>
      </c>
      <c r="F126" s="8"/>
      <c r="G126" s="6"/>
      <c r="H126" s="7"/>
      <c r="I126" s="52">
        <f t="shared" si="85"/>
        <v>0</v>
      </c>
      <c r="J126" s="60">
        <f t="shared" si="86"/>
        <v>0</v>
      </c>
      <c r="K126" s="40"/>
      <c r="M126" s="20"/>
      <c r="N126" s="5"/>
      <c r="O126" s="6"/>
      <c r="P126" s="7"/>
      <c r="Q126" s="52">
        <f t="shared" si="87"/>
        <v>0</v>
      </c>
      <c r="R126" s="8"/>
      <c r="S126" s="6"/>
      <c r="T126" s="7"/>
      <c r="U126" s="52">
        <f t="shared" si="88"/>
        <v>0</v>
      </c>
      <c r="V126" s="60">
        <f t="shared" si="89"/>
        <v>0</v>
      </c>
      <c r="W126" s="49"/>
    </row>
    <row r="127" spans="1:23" ht="14.25" thickBot="1" x14ac:dyDescent="0.2">
      <c r="A127" s="17" t="s">
        <v>58</v>
      </c>
      <c r="B127" s="5"/>
      <c r="C127" s="6"/>
      <c r="D127" s="7"/>
      <c r="E127" s="52">
        <f t="shared" ref="E127" si="93">SUM(B127:D127)</f>
        <v>0</v>
      </c>
      <c r="F127" s="8"/>
      <c r="G127" s="6"/>
      <c r="H127" s="7"/>
      <c r="I127" s="52">
        <f t="shared" ref="I127" si="94">SUM(F127:H127)</f>
        <v>0</v>
      </c>
      <c r="J127" s="60">
        <f t="shared" ref="J127" si="95">E127+I127</f>
        <v>0</v>
      </c>
      <c r="K127" s="40" t="s">
        <v>59</v>
      </c>
      <c r="M127" s="20"/>
      <c r="N127" s="5"/>
      <c r="O127" s="6"/>
      <c r="P127" s="7"/>
      <c r="Q127" s="52">
        <f t="shared" si="87"/>
        <v>0</v>
      </c>
      <c r="R127" s="8"/>
      <c r="S127" s="6"/>
      <c r="T127" s="7"/>
      <c r="U127" s="52">
        <f t="shared" si="88"/>
        <v>0</v>
      </c>
      <c r="V127" s="60">
        <f t="shared" si="89"/>
        <v>0</v>
      </c>
      <c r="W127" s="49"/>
    </row>
    <row r="128" spans="1:23" ht="14.25" thickBot="1" x14ac:dyDescent="0.2">
      <c r="A128" s="31" t="s">
        <v>18</v>
      </c>
      <c r="B128" s="34">
        <f>SUM(B102:B127)</f>
        <v>9</v>
      </c>
      <c r="C128" s="35">
        <f t="shared" ref="C128:D128" si="96">SUM(C102:C127)</f>
        <v>32</v>
      </c>
      <c r="D128" s="39">
        <f t="shared" si="96"/>
        <v>21</v>
      </c>
      <c r="E128" s="57">
        <f t="shared" si="84"/>
        <v>62</v>
      </c>
      <c r="F128" s="34">
        <f>SUM(F102:F127)</f>
        <v>9</v>
      </c>
      <c r="G128" s="35">
        <f t="shared" ref="G128:H128" si="97">SUM(G102:G127)</f>
        <v>32</v>
      </c>
      <c r="H128" s="39">
        <f t="shared" si="97"/>
        <v>21</v>
      </c>
      <c r="I128" s="57">
        <f t="shared" si="85"/>
        <v>62</v>
      </c>
      <c r="J128" s="63">
        <f>E128+I128</f>
        <v>124</v>
      </c>
      <c r="M128" s="31" t="s">
        <v>18</v>
      </c>
      <c r="N128" s="34">
        <f>SUM(N102:N127)</f>
        <v>0</v>
      </c>
      <c r="O128" s="35">
        <f t="shared" ref="O128:P128" si="98">SUM(O102:O127)</f>
        <v>0</v>
      </c>
      <c r="P128" s="39">
        <f t="shared" si="98"/>
        <v>0</v>
      </c>
      <c r="Q128" s="57">
        <f t="shared" si="87"/>
        <v>0</v>
      </c>
      <c r="R128" s="34">
        <f>SUM(R102:R127)</f>
        <v>0</v>
      </c>
      <c r="S128" s="35">
        <f t="shared" ref="S128:T128" si="99">SUM(S102:S127)</f>
        <v>0</v>
      </c>
      <c r="T128" s="39">
        <f t="shared" si="99"/>
        <v>0</v>
      </c>
      <c r="U128" s="57">
        <f t="shared" si="88"/>
        <v>0</v>
      </c>
      <c r="V128" s="63">
        <f>Q128+U128</f>
        <v>0</v>
      </c>
    </row>
    <row r="129" spans="1:22" ht="14.25" thickBot="1" x14ac:dyDescent="0.2">
      <c r="A129" s="16" t="s">
        <v>17</v>
      </c>
      <c r="B129" s="64">
        <f>B101-B128</f>
        <v>11</v>
      </c>
      <c r="C129" s="65">
        <f t="shared" ref="C129:D129" si="100">C101-C128</f>
        <v>-12</v>
      </c>
      <c r="D129" s="66">
        <f t="shared" si="100"/>
        <v>0</v>
      </c>
      <c r="E129" s="58">
        <f>SUM(B129:D129)</f>
        <v>-1</v>
      </c>
      <c r="F129" s="64">
        <f>F101-F128</f>
        <v>11</v>
      </c>
      <c r="G129" s="65">
        <f t="shared" ref="G129:H129" si="101">G101-G128</f>
        <v>-12</v>
      </c>
      <c r="H129" s="66">
        <f t="shared" si="101"/>
        <v>0</v>
      </c>
      <c r="I129" s="58">
        <f>SUM(F129:H129)</f>
        <v>-1</v>
      </c>
      <c r="J129" s="62">
        <f>E129+I129</f>
        <v>-2</v>
      </c>
      <c r="M129" s="16" t="s">
        <v>17</v>
      </c>
      <c r="N129" s="64">
        <f>N101-N128</f>
        <v>0</v>
      </c>
      <c r="O129" s="65">
        <f t="shared" ref="O129:P129" si="102">O101-O128</f>
        <v>0</v>
      </c>
      <c r="P129" s="66">
        <f t="shared" si="102"/>
        <v>0</v>
      </c>
      <c r="Q129" s="58">
        <f>SUM(N129:P129)</f>
        <v>0</v>
      </c>
      <c r="R129" s="64">
        <f>R101-R128</f>
        <v>0</v>
      </c>
      <c r="S129" s="65">
        <f t="shared" ref="S129:T129" si="103">S101-S128</f>
        <v>0</v>
      </c>
      <c r="T129" s="66">
        <f t="shared" si="103"/>
        <v>0</v>
      </c>
      <c r="U129" s="58">
        <f>SUM(R129:T129)</f>
        <v>0</v>
      </c>
      <c r="V129" s="62">
        <f>Q129+U129</f>
        <v>0</v>
      </c>
    </row>
    <row r="133" spans="1:22" ht="18" thickBot="1" x14ac:dyDescent="0.25">
      <c r="A133" s="73" t="s">
        <v>23</v>
      </c>
      <c r="B133" s="74"/>
      <c r="C133" s="74"/>
      <c r="D133" s="74"/>
      <c r="E133" s="74"/>
      <c r="F133" s="74"/>
      <c r="G133" s="74"/>
      <c r="H133" s="74"/>
      <c r="I133" s="74"/>
      <c r="J133" s="74"/>
      <c r="M133" s="73" t="s">
        <v>24</v>
      </c>
      <c r="N133" s="74"/>
      <c r="O133" s="74"/>
      <c r="P133" s="74"/>
      <c r="Q133" s="74"/>
      <c r="R133" s="74"/>
      <c r="S133" s="74"/>
      <c r="T133" s="74"/>
      <c r="U133" s="74"/>
      <c r="V133" s="74"/>
    </row>
    <row r="134" spans="1:22" ht="14.25" thickBot="1" x14ac:dyDescent="0.2">
      <c r="A134" s="4" t="s">
        <v>0</v>
      </c>
      <c r="B134" s="97" t="s">
        <v>21</v>
      </c>
      <c r="C134" s="97"/>
      <c r="D134" s="97"/>
      <c r="E134" s="98"/>
      <c r="F134" s="99" t="s">
        <v>22</v>
      </c>
      <c r="G134" s="99"/>
      <c r="H134" s="99"/>
      <c r="I134" s="100"/>
      <c r="J134" s="95" t="s">
        <v>1</v>
      </c>
      <c r="M134" s="4" t="s">
        <v>0</v>
      </c>
      <c r="N134" s="97" t="s">
        <v>21</v>
      </c>
      <c r="O134" s="97"/>
      <c r="P134" s="97"/>
      <c r="Q134" s="98"/>
      <c r="R134" s="99" t="s">
        <v>22</v>
      </c>
      <c r="S134" s="99"/>
      <c r="T134" s="99"/>
      <c r="U134" s="100"/>
      <c r="V134" s="95" t="s">
        <v>1</v>
      </c>
    </row>
    <row r="135" spans="1:22" ht="14.25" thickBot="1" x14ac:dyDescent="0.2">
      <c r="A135" s="4" t="s">
        <v>2</v>
      </c>
      <c r="B135" s="1" t="s">
        <v>3</v>
      </c>
      <c r="C135" s="2" t="s">
        <v>4</v>
      </c>
      <c r="D135" s="3" t="s">
        <v>5</v>
      </c>
      <c r="E135" s="4" t="s">
        <v>6</v>
      </c>
      <c r="F135" s="1" t="s">
        <v>3</v>
      </c>
      <c r="G135" s="2" t="s">
        <v>4</v>
      </c>
      <c r="H135" s="3" t="s">
        <v>5</v>
      </c>
      <c r="I135" s="4" t="s">
        <v>6</v>
      </c>
      <c r="J135" s="96"/>
      <c r="M135" s="4" t="s">
        <v>2</v>
      </c>
      <c r="N135" s="1" t="s">
        <v>3</v>
      </c>
      <c r="O135" s="2" t="s">
        <v>4</v>
      </c>
      <c r="P135" s="3" t="s">
        <v>5</v>
      </c>
      <c r="Q135" s="4" t="s">
        <v>6</v>
      </c>
      <c r="R135" s="1" t="s">
        <v>3</v>
      </c>
      <c r="S135" s="2" t="s">
        <v>4</v>
      </c>
      <c r="T135" s="3" t="s">
        <v>5</v>
      </c>
      <c r="U135" s="4" t="s">
        <v>6</v>
      </c>
      <c r="V135" s="96"/>
    </row>
    <row r="136" spans="1:22" ht="14.25" thickBot="1" x14ac:dyDescent="0.2">
      <c r="A136" s="21" t="s">
        <v>19</v>
      </c>
      <c r="B136" s="22">
        <f>B129</f>
        <v>11</v>
      </c>
      <c r="C136" s="23">
        <f>C129</f>
        <v>-12</v>
      </c>
      <c r="D136" s="24">
        <f>D129</f>
        <v>0</v>
      </c>
      <c r="E136" s="55">
        <f>SUM(B136:D136)</f>
        <v>-1</v>
      </c>
      <c r="F136" s="22">
        <f>F129</f>
        <v>11</v>
      </c>
      <c r="G136" s="23">
        <f>G129</f>
        <v>-12</v>
      </c>
      <c r="H136" s="24">
        <f>H129</f>
        <v>0</v>
      </c>
      <c r="I136" s="55">
        <f>SUM(F136:H136)</f>
        <v>-1</v>
      </c>
      <c r="J136" s="62">
        <f>E136+I136</f>
        <v>-2</v>
      </c>
      <c r="M136" s="21" t="s">
        <v>19</v>
      </c>
      <c r="N136" s="67">
        <f>N129</f>
        <v>0</v>
      </c>
      <c r="O136" s="68">
        <f>O129</f>
        <v>0</v>
      </c>
      <c r="P136" s="69">
        <f>P129</f>
        <v>0</v>
      </c>
      <c r="Q136" s="70">
        <f>SUM(N136:P136)</f>
        <v>0</v>
      </c>
      <c r="R136" s="67">
        <f>R129</f>
        <v>0</v>
      </c>
      <c r="S136" s="68">
        <f>S129</f>
        <v>0</v>
      </c>
      <c r="T136" s="69">
        <f>T129</f>
        <v>0</v>
      </c>
      <c r="U136" s="70">
        <f>SUM(R136:T136)</f>
        <v>0</v>
      </c>
      <c r="V136" s="71">
        <f>Q136+U136</f>
        <v>0</v>
      </c>
    </row>
    <row r="137" spans="1:22" x14ac:dyDescent="0.15">
      <c r="A137" s="19" t="s">
        <v>8</v>
      </c>
      <c r="B137" s="78"/>
      <c r="C137" s="13">
        <v>5</v>
      </c>
      <c r="D137" s="14">
        <v>3</v>
      </c>
      <c r="E137" s="52">
        <f t="shared" ref="E137:E138" si="104">SUM(B137:D137)</f>
        <v>8</v>
      </c>
      <c r="F137" s="15"/>
      <c r="G137" s="13">
        <v>5</v>
      </c>
      <c r="H137" s="14">
        <v>3</v>
      </c>
      <c r="I137" s="52">
        <f t="shared" ref="I137:I138" si="105">SUM(F137:H137)</f>
        <v>8</v>
      </c>
      <c r="J137" s="79">
        <f t="shared" ref="J137:J138" si="106">E137+I137</f>
        <v>16</v>
      </c>
      <c r="K137" s="40">
        <v>45702</v>
      </c>
      <c r="M137" s="19" t="s">
        <v>8</v>
      </c>
      <c r="N137" s="32"/>
      <c r="O137" s="33"/>
      <c r="P137" s="45"/>
      <c r="Q137" s="51">
        <f>SUM(N137:P137)</f>
        <v>0</v>
      </c>
      <c r="R137" s="46"/>
      <c r="S137" s="47"/>
      <c r="T137" s="48"/>
      <c r="U137" s="51">
        <f>SUM(R137:T137)</f>
        <v>0</v>
      </c>
      <c r="V137" s="59">
        <f>Q137+U137</f>
        <v>0</v>
      </c>
    </row>
    <row r="138" spans="1:22" x14ac:dyDescent="0.15">
      <c r="A138" s="19" t="s">
        <v>9</v>
      </c>
      <c r="B138" s="5"/>
      <c r="C138" s="6">
        <v>10</v>
      </c>
      <c r="D138" s="7"/>
      <c r="E138" s="52">
        <f t="shared" si="104"/>
        <v>10</v>
      </c>
      <c r="F138" s="8"/>
      <c r="G138" s="6">
        <v>10</v>
      </c>
      <c r="H138" s="7"/>
      <c r="I138" s="52">
        <f t="shared" si="105"/>
        <v>10</v>
      </c>
      <c r="J138" s="60">
        <f t="shared" si="106"/>
        <v>20</v>
      </c>
      <c r="K138" s="40">
        <v>45720</v>
      </c>
      <c r="M138" s="19" t="s">
        <v>9</v>
      </c>
      <c r="N138" s="5"/>
      <c r="O138" s="6"/>
      <c r="P138" s="36"/>
      <c r="Q138" s="53">
        <f t="shared" ref="Q138:Q141" si="107">SUM(N138:P138)</f>
        <v>0</v>
      </c>
      <c r="R138" s="8"/>
      <c r="S138" s="6"/>
      <c r="T138" s="7"/>
      <c r="U138" s="53">
        <f t="shared" ref="U138:U141" si="108">SUM(R138:T138)</f>
        <v>0</v>
      </c>
      <c r="V138" s="60">
        <f t="shared" ref="V138:V141" si="109">Q138+U138</f>
        <v>0</v>
      </c>
    </row>
    <row r="139" spans="1:22" x14ac:dyDescent="0.15">
      <c r="A139" s="19" t="s">
        <v>10</v>
      </c>
      <c r="B139" s="5"/>
      <c r="C139" s="6">
        <v>3</v>
      </c>
      <c r="D139" s="7">
        <v>3</v>
      </c>
      <c r="E139" s="52">
        <f t="shared" ref="E139:E144" si="110">SUM(B139:D139)</f>
        <v>6</v>
      </c>
      <c r="F139" s="8"/>
      <c r="G139" s="6">
        <v>3</v>
      </c>
      <c r="H139" s="7">
        <v>3</v>
      </c>
      <c r="I139" s="52">
        <f t="shared" ref="I139:I144" si="111">SUM(F139:H139)</f>
        <v>6</v>
      </c>
      <c r="J139" s="60">
        <f t="shared" ref="J139:J144" si="112">E139+I139</f>
        <v>12</v>
      </c>
      <c r="K139" s="40">
        <v>45730</v>
      </c>
      <c r="M139" s="19" t="s">
        <v>10</v>
      </c>
      <c r="N139" s="5"/>
      <c r="O139" s="6"/>
      <c r="P139" s="36"/>
      <c r="Q139" s="53">
        <f t="shared" si="107"/>
        <v>0</v>
      </c>
      <c r="R139" s="8"/>
      <c r="S139" s="6"/>
      <c r="T139" s="7"/>
      <c r="U139" s="53">
        <f t="shared" si="108"/>
        <v>0</v>
      </c>
      <c r="V139" s="60">
        <f t="shared" si="109"/>
        <v>0</v>
      </c>
    </row>
    <row r="140" spans="1:22" x14ac:dyDescent="0.15">
      <c r="A140" s="19" t="s">
        <v>11</v>
      </c>
      <c r="B140" s="5"/>
      <c r="C140" s="6">
        <v>5</v>
      </c>
      <c r="D140" s="36"/>
      <c r="E140" s="53">
        <f t="shared" si="110"/>
        <v>5</v>
      </c>
      <c r="F140" s="8"/>
      <c r="G140" s="6">
        <v>5</v>
      </c>
      <c r="H140" s="7"/>
      <c r="I140" s="53">
        <f t="shared" si="111"/>
        <v>5</v>
      </c>
      <c r="J140" s="60">
        <f t="shared" si="112"/>
        <v>10</v>
      </c>
      <c r="K140" s="40">
        <v>45749</v>
      </c>
      <c r="M140" s="19" t="s">
        <v>11</v>
      </c>
      <c r="N140" s="5"/>
      <c r="O140" s="6"/>
      <c r="P140" s="36"/>
      <c r="Q140" s="53">
        <f t="shared" si="107"/>
        <v>0</v>
      </c>
      <c r="R140" s="8"/>
      <c r="S140" s="6"/>
      <c r="T140" s="7"/>
      <c r="U140" s="53">
        <f t="shared" si="108"/>
        <v>0</v>
      </c>
      <c r="V140" s="60">
        <f t="shared" si="109"/>
        <v>0</v>
      </c>
    </row>
    <row r="141" spans="1:22" x14ac:dyDescent="0.15">
      <c r="A141" s="19" t="s">
        <v>12</v>
      </c>
      <c r="B141" s="5"/>
      <c r="C141" s="6">
        <v>10</v>
      </c>
      <c r="D141" s="36"/>
      <c r="E141" s="53">
        <f t="shared" si="110"/>
        <v>10</v>
      </c>
      <c r="F141" s="8"/>
      <c r="G141" s="6">
        <v>10</v>
      </c>
      <c r="H141" s="7"/>
      <c r="I141" s="53">
        <f t="shared" si="111"/>
        <v>10</v>
      </c>
      <c r="J141" s="60">
        <f t="shared" si="112"/>
        <v>20</v>
      </c>
      <c r="K141" s="40">
        <v>45750</v>
      </c>
      <c r="L141" s="49"/>
      <c r="M141" s="19" t="s">
        <v>12</v>
      </c>
      <c r="N141" s="5"/>
      <c r="O141" s="6"/>
      <c r="P141" s="36"/>
      <c r="Q141" s="53">
        <f t="shared" si="107"/>
        <v>0</v>
      </c>
      <c r="R141" s="8"/>
      <c r="S141" s="6"/>
      <c r="T141" s="7"/>
      <c r="U141" s="53">
        <f t="shared" si="108"/>
        <v>0</v>
      </c>
      <c r="V141" s="60">
        <f t="shared" si="109"/>
        <v>0</v>
      </c>
    </row>
    <row r="142" spans="1:22" x14ac:dyDescent="0.15">
      <c r="A142" s="19" t="s">
        <v>13</v>
      </c>
      <c r="B142" s="5"/>
      <c r="C142" s="6"/>
      <c r="D142" s="36">
        <v>5</v>
      </c>
      <c r="E142" s="53">
        <f t="shared" si="110"/>
        <v>5</v>
      </c>
      <c r="F142" s="8"/>
      <c r="G142" s="6"/>
      <c r="H142" s="7">
        <v>5</v>
      </c>
      <c r="I142" s="53">
        <f t="shared" si="111"/>
        <v>5</v>
      </c>
      <c r="J142" s="60">
        <f t="shared" si="112"/>
        <v>10</v>
      </c>
      <c r="K142" s="40">
        <v>45765</v>
      </c>
      <c r="M142" s="19" t="s">
        <v>13</v>
      </c>
      <c r="N142" s="5"/>
      <c r="O142" s="6"/>
      <c r="P142" s="36"/>
      <c r="Q142" s="53">
        <f>SUM(N142:P142)</f>
        <v>0</v>
      </c>
      <c r="R142" s="8"/>
      <c r="S142" s="6"/>
      <c r="T142" s="7"/>
      <c r="U142" s="53">
        <f>SUM(R142:T142)</f>
        <v>0</v>
      </c>
      <c r="V142" s="60">
        <f>Q142+U142</f>
        <v>0</v>
      </c>
    </row>
    <row r="143" spans="1:22" x14ac:dyDescent="0.15">
      <c r="A143" s="19" t="s">
        <v>14</v>
      </c>
      <c r="B143" s="9"/>
      <c r="C143" s="10"/>
      <c r="D143" s="37"/>
      <c r="E143" s="53">
        <f t="shared" si="110"/>
        <v>0</v>
      </c>
      <c r="F143" s="12"/>
      <c r="G143" s="10"/>
      <c r="H143" s="11"/>
      <c r="I143" s="53">
        <f t="shared" si="111"/>
        <v>0</v>
      </c>
      <c r="J143" s="60">
        <f t="shared" si="112"/>
        <v>0</v>
      </c>
      <c r="K143" s="41"/>
      <c r="M143" s="19" t="s">
        <v>14</v>
      </c>
      <c r="N143" s="9"/>
      <c r="O143" s="10"/>
      <c r="P143" s="37"/>
      <c r="Q143" s="53">
        <f t="shared" ref="Q143:Q144" si="113">SUM(N143:P143)</f>
        <v>0</v>
      </c>
      <c r="R143" s="12"/>
      <c r="S143" s="10"/>
      <c r="T143" s="11"/>
      <c r="U143" s="53">
        <f t="shared" ref="U143:U144" si="114">SUM(R143:T143)</f>
        <v>0</v>
      </c>
      <c r="V143" s="60">
        <f t="shared" ref="V143:V144" si="115">Q143+U143</f>
        <v>0</v>
      </c>
    </row>
    <row r="144" spans="1:22" ht="14.25" thickBot="1" x14ac:dyDescent="0.2">
      <c r="A144" s="19" t="s">
        <v>15</v>
      </c>
      <c r="B144" s="25"/>
      <c r="C144" s="26"/>
      <c r="D144" s="38"/>
      <c r="E144" s="54">
        <f t="shared" si="110"/>
        <v>0</v>
      </c>
      <c r="F144" s="27"/>
      <c r="G144" s="27"/>
      <c r="H144" s="29"/>
      <c r="I144" s="54">
        <f t="shared" si="111"/>
        <v>0</v>
      </c>
      <c r="J144" s="61">
        <f t="shared" si="112"/>
        <v>0</v>
      </c>
      <c r="K144" s="40"/>
      <c r="M144" s="19" t="s">
        <v>15</v>
      </c>
      <c r="N144" s="25"/>
      <c r="O144" s="26"/>
      <c r="P144" s="38"/>
      <c r="Q144" s="54">
        <f t="shared" si="113"/>
        <v>0</v>
      </c>
      <c r="R144" s="27"/>
      <c r="S144" s="27"/>
      <c r="T144" s="29"/>
      <c r="U144" s="54">
        <f t="shared" si="114"/>
        <v>0</v>
      </c>
      <c r="V144" s="61">
        <f t="shared" si="115"/>
        <v>0</v>
      </c>
    </row>
    <row r="145" spans="1:22" ht="14.25" thickBot="1" x14ac:dyDescent="0.2">
      <c r="A145" s="28" t="s">
        <v>16</v>
      </c>
      <c r="B145" s="22">
        <f>SUM(B136:B144)</f>
        <v>11</v>
      </c>
      <c r="C145" s="23">
        <f t="shared" ref="C145:D145" si="116">SUM(C136:C144)</f>
        <v>21</v>
      </c>
      <c r="D145" s="24">
        <f t="shared" si="116"/>
        <v>11</v>
      </c>
      <c r="E145" s="55">
        <f>SUM(B145:D145)</f>
        <v>43</v>
      </c>
      <c r="F145" s="22">
        <f>SUM(F136:F144)</f>
        <v>11</v>
      </c>
      <c r="G145" s="23">
        <f t="shared" ref="G145:H145" si="117">SUM(G136:G144)</f>
        <v>21</v>
      </c>
      <c r="H145" s="24">
        <f t="shared" si="117"/>
        <v>11</v>
      </c>
      <c r="I145" s="55">
        <f>SUM(F145:H145)</f>
        <v>43</v>
      </c>
      <c r="J145" s="62">
        <f>SUM(J137:J144)</f>
        <v>88</v>
      </c>
      <c r="M145" s="28" t="s">
        <v>16</v>
      </c>
      <c r="N145" s="22">
        <f>SUM(N136:N144)</f>
        <v>0</v>
      </c>
      <c r="O145" s="23">
        <f t="shared" ref="O145:P145" si="118">SUM(O136:O144)</f>
        <v>0</v>
      </c>
      <c r="P145" s="24">
        <f t="shared" si="118"/>
        <v>0</v>
      </c>
      <c r="Q145" s="55">
        <f>SUM(N145:P145)</f>
        <v>0</v>
      </c>
      <c r="R145" s="22">
        <f>SUM(R136:R144)</f>
        <v>0</v>
      </c>
      <c r="S145" s="23">
        <f t="shared" ref="S145:T145" si="119">SUM(S136:S144)</f>
        <v>0</v>
      </c>
      <c r="T145" s="24">
        <f t="shared" si="119"/>
        <v>0</v>
      </c>
      <c r="U145" s="55">
        <f>SUM(R145:T145)</f>
        <v>0</v>
      </c>
      <c r="V145" s="62">
        <f>Q145+U145</f>
        <v>0</v>
      </c>
    </row>
    <row r="146" spans="1:22" x14ac:dyDescent="0.15">
      <c r="A146" s="17" t="s">
        <v>95</v>
      </c>
      <c r="B146" s="5">
        <v>1</v>
      </c>
      <c r="C146" s="6"/>
      <c r="D146" s="7"/>
      <c r="E146" s="52">
        <f t="shared" ref="E146:E164" si="120">SUM(B146:D146)</f>
        <v>1</v>
      </c>
      <c r="F146" s="8">
        <v>1</v>
      </c>
      <c r="G146" s="6"/>
      <c r="H146" s="7"/>
      <c r="I146" s="52">
        <f t="shared" ref="I146:I164" si="121">SUM(F146:H146)</f>
        <v>1</v>
      </c>
      <c r="J146" s="60">
        <f t="shared" ref="J146:J164" si="122">E146+I146</f>
        <v>2</v>
      </c>
      <c r="K146" s="40">
        <v>45730</v>
      </c>
      <c r="M146" s="18"/>
      <c r="N146" s="9"/>
      <c r="O146" s="10"/>
      <c r="P146" s="11"/>
      <c r="Q146" s="52">
        <f>SUM(N146:P146)</f>
        <v>0</v>
      </c>
      <c r="R146" s="12"/>
      <c r="S146" s="10"/>
      <c r="T146" s="11"/>
      <c r="U146" s="52">
        <f>SUM(R146:T146)</f>
        <v>0</v>
      </c>
      <c r="V146" s="60">
        <f>Q146+U146</f>
        <v>0</v>
      </c>
    </row>
    <row r="147" spans="1:22" x14ac:dyDescent="0.15">
      <c r="A147" s="17" t="s">
        <v>98</v>
      </c>
      <c r="B147" s="5">
        <v>1</v>
      </c>
      <c r="C147" s="6"/>
      <c r="D147" s="7"/>
      <c r="E147" s="52">
        <f t="shared" si="120"/>
        <v>1</v>
      </c>
      <c r="F147" s="8">
        <v>1</v>
      </c>
      <c r="G147" s="6"/>
      <c r="H147" s="7"/>
      <c r="I147" s="52">
        <f t="shared" si="121"/>
        <v>1</v>
      </c>
      <c r="J147" s="60">
        <f t="shared" si="122"/>
        <v>2</v>
      </c>
      <c r="K147" s="40">
        <v>45735</v>
      </c>
      <c r="M147" s="20"/>
      <c r="N147" s="5"/>
      <c r="O147" s="6"/>
      <c r="P147" s="7"/>
      <c r="Q147" s="52">
        <f t="shared" ref="Q147:Q172" si="123">SUM(N147:P147)</f>
        <v>0</v>
      </c>
      <c r="R147" s="8"/>
      <c r="S147" s="6"/>
      <c r="T147" s="7"/>
      <c r="U147" s="52">
        <f t="shared" ref="U147:U172" si="124">SUM(R147:T147)</f>
        <v>0</v>
      </c>
      <c r="V147" s="60">
        <f t="shared" ref="V147:V171" si="125">Q147+U147</f>
        <v>0</v>
      </c>
    </row>
    <row r="148" spans="1:22" x14ac:dyDescent="0.15">
      <c r="A148" s="17" t="s">
        <v>99</v>
      </c>
      <c r="B148" s="5">
        <v>1</v>
      </c>
      <c r="C148" s="6"/>
      <c r="D148" s="7"/>
      <c r="E148" s="52">
        <f t="shared" si="120"/>
        <v>1</v>
      </c>
      <c r="F148" s="8">
        <v>1</v>
      </c>
      <c r="G148" s="6"/>
      <c r="H148" s="7"/>
      <c r="I148" s="52">
        <f t="shared" si="121"/>
        <v>1</v>
      </c>
      <c r="J148" s="60">
        <f t="shared" si="122"/>
        <v>2</v>
      </c>
      <c r="K148" s="40">
        <v>45740</v>
      </c>
      <c r="M148" s="20"/>
      <c r="N148" s="5"/>
      <c r="O148" s="6"/>
      <c r="P148" s="7"/>
      <c r="Q148" s="52">
        <f t="shared" si="123"/>
        <v>0</v>
      </c>
      <c r="R148" s="8"/>
      <c r="S148" s="6"/>
      <c r="T148" s="7"/>
      <c r="U148" s="52">
        <f t="shared" si="124"/>
        <v>0</v>
      </c>
      <c r="V148" s="60">
        <f t="shared" si="125"/>
        <v>0</v>
      </c>
    </row>
    <row r="149" spans="1:22" x14ac:dyDescent="0.15">
      <c r="A149" s="17" t="s">
        <v>100</v>
      </c>
      <c r="B149" s="5">
        <v>1</v>
      </c>
      <c r="C149" s="6"/>
      <c r="D149" s="7"/>
      <c r="E149" s="52">
        <f t="shared" si="120"/>
        <v>1</v>
      </c>
      <c r="F149" s="8">
        <v>1</v>
      </c>
      <c r="G149" s="6"/>
      <c r="H149" s="7"/>
      <c r="I149" s="52">
        <f t="shared" si="121"/>
        <v>1</v>
      </c>
      <c r="J149" s="60">
        <f t="shared" si="122"/>
        <v>2</v>
      </c>
      <c r="K149" s="40">
        <v>45742</v>
      </c>
      <c r="L149" s="49"/>
      <c r="M149" s="18"/>
      <c r="N149" s="5"/>
      <c r="O149" s="6"/>
      <c r="P149" s="7"/>
      <c r="Q149" s="52">
        <f t="shared" si="123"/>
        <v>0</v>
      </c>
      <c r="R149" s="8"/>
      <c r="S149" s="6"/>
      <c r="T149" s="7"/>
      <c r="U149" s="52">
        <f t="shared" si="124"/>
        <v>0</v>
      </c>
      <c r="V149" s="60">
        <f t="shared" si="125"/>
        <v>0</v>
      </c>
    </row>
    <row r="150" spans="1:22" x14ac:dyDescent="0.15">
      <c r="A150" s="17" t="s">
        <v>101</v>
      </c>
      <c r="B150" s="5"/>
      <c r="C150" s="6">
        <v>5</v>
      </c>
      <c r="D150" s="7">
        <v>1</v>
      </c>
      <c r="E150" s="52">
        <f t="shared" si="120"/>
        <v>6</v>
      </c>
      <c r="F150" s="8"/>
      <c r="G150" s="6">
        <v>5</v>
      </c>
      <c r="H150" s="7">
        <v>1</v>
      </c>
      <c r="I150" s="52">
        <f t="shared" si="121"/>
        <v>6</v>
      </c>
      <c r="J150" s="60">
        <f t="shared" si="122"/>
        <v>12</v>
      </c>
      <c r="K150" s="40">
        <v>45744</v>
      </c>
      <c r="L150" s="49"/>
      <c r="M150" s="18"/>
      <c r="N150" s="5"/>
      <c r="O150" s="6"/>
      <c r="P150" s="7"/>
      <c r="Q150" s="52">
        <f t="shared" si="123"/>
        <v>0</v>
      </c>
      <c r="R150" s="8"/>
      <c r="S150" s="6"/>
      <c r="T150" s="7"/>
      <c r="U150" s="52">
        <f t="shared" si="124"/>
        <v>0</v>
      </c>
      <c r="V150" s="60">
        <f t="shared" si="125"/>
        <v>0</v>
      </c>
    </row>
    <row r="151" spans="1:22" x14ac:dyDescent="0.15">
      <c r="A151" s="17" t="s">
        <v>102</v>
      </c>
      <c r="B151" s="5">
        <v>1</v>
      </c>
      <c r="C151" s="6">
        <v>1</v>
      </c>
      <c r="D151" s="7"/>
      <c r="E151" s="52">
        <f t="shared" si="120"/>
        <v>2</v>
      </c>
      <c r="F151" s="8">
        <v>1</v>
      </c>
      <c r="G151" s="6">
        <v>1</v>
      </c>
      <c r="H151" s="7"/>
      <c r="I151" s="52">
        <f t="shared" si="121"/>
        <v>2</v>
      </c>
      <c r="J151" s="60">
        <f t="shared" si="122"/>
        <v>4</v>
      </c>
      <c r="K151" s="40">
        <v>45744</v>
      </c>
      <c r="M151" s="20"/>
      <c r="N151" s="5"/>
      <c r="O151" s="6"/>
      <c r="P151" s="14"/>
      <c r="Q151" s="52">
        <f t="shared" si="123"/>
        <v>0</v>
      </c>
      <c r="R151" s="15"/>
      <c r="S151" s="13"/>
      <c r="T151" s="14"/>
      <c r="U151" s="52">
        <f t="shared" si="124"/>
        <v>0</v>
      </c>
      <c r="V151" s="60">
        <f t="shared" si="125"/>
        <v>0</v>
      </c>
    </row>
    <row r="152" spans="1:22" x14ac:dyDescent="0.15">
      <c r="A152" s="17" t="s">
        <v>103</v>
      </c>
      <c r="B152" s="5">
        <v>1</v>
      </c>
      <c r="C152" s="6"/>
      <c r="D152" s="7"/>
      <c r="E152" s="52">
        <f t="shared" si="120"/>
        <v>1</v>
      </c>
      <c r="F152" s="8">
        <v>1</v>
      </c>
      <c r="G152" s="6"/>
      <c r="H152" s="7"/>
      <c r="I152" s="52">
        <f t="shared" si="121"/>
        <v>1</v>
      </c>
      <c r="J152" s="60">
        <f t="shared" si="122"/>
        <v>2</v>
      </c>
      <c r="K152" s="40">
        <v>45747</v>
      </c>
      <c r="M152" s="42"/>
      <c r="N152" s="5"/>
      <c r="O152" s="6"/>
      <c r="P152" s="7"/>
      <c r="Q152" s="52">
        <f t="shared" si="123"/>
        <v>0</v>
      </c>
      <c r="R152" s="8"/>
      <c r="S152" s="6"/>
      <c r="T152" s="7"/>
      <c r="U152" s="52">
        <f t="shared" si="124"/>
        <v>0</v>
      </c>
      <c r="V152" s="60">
        <f t="shared" si="125"/>
        <v>0</v>
      </c>
    </row>
    <row r="153" spans="1:22" x14ac:dyDescent="0.15">
      <c r="A153" s="17" t="s">
        <v>104</v>
      </c>
      <c r="B153" s="5"/>
      <c r="C153" s="6">
        <v>5</v>
      </c>
      <c r="D153" s="7"/>
      <c r="E153" s="52">
        <f t="shared" si="120"/>
        <v>5</v>
      </c>
      <c r="F153" s="8"/>
      <c r="G153" s="6">
        <v>5</v>
      </c>
      <c r="H153" s="7"/>
      <c r="I153" s="52">
        <f t="shared" si="121"/>
        <v>5</v>
      </c>
      <c r="J153" s="60">
        <f t="shared" si="122"/>
        <v>10</v>
      </c>
      <c r="K153" s="40">
        <v>45750</v>
      </c>
      <c r="M153" s="18"/>
      <c r="N153" s="5" t="s">
        <v>20</v>
      </c>
      <c r="O153" s="6"/>
      <c r="P153" s="7"/>
      <c r="Q153" s="52">
        <f t="shared" si="123"/>
        <v>0</v>
      </c>
      <c r="R153" s="8"/>
      <c r="S153" s="6"/>
      <c r="T153" s="7"/>
      <c r="U153" s="52">
        <f t="shared" si="124"/>
        <v>0</v>
      </c>
      <c r="V153" s="60">
        <f t="shared" si="125"/>
        <v>0</v>
      </c>
    </row>
    <row r="154" spans="1:22" x14ac:dyDescent="0.15">
      <c r="A154" s="17" t="s">
        <v>105</v>
      </c>
      <c r="B154" s="5"/>
      <c r="C154" s="6"/>
      <c r="D154" s="7">
        <v>1</v>
      </c>
      <c r="E154" s="52">
        <f t="shared" si="120"/>
        <v>1</v>
      </c>
      <c r="F154" s="8"/>
      <c r="G154" s="6"/>
      <c r="H154" s="7">
        <v>1</v>
      </c>
      <c r="I154" s="52">
        <f t="shared" si="121"/>
        <v>1</v>
      </c>
      <c r="J154" s="60">
        <f t="shared" si="122"/>
        <v>2</v>
      </c>
      <c r="K154" s="40">
        <v>45751</v>
      </c>
      <c r="M154" s="20"/>
      <c r="N154" s="5"/>
      <c r="O154" s="6"/>
      <c r="P154" s="7"/>
      <c r="Q154" s="52">
        <f t="shared" si="123"/>
        <v>0</v>
      </c>
      <c r="R154" s="8"/>
      <c r="S154" s="6"/>
      <c r="T154" s="7"/>
      <c r="U154" s="52">
        <f t="shared" si="124"/>
        <v>0</v>
      </c>
      <c r="V154" s="60">
        <f t="shared" si="125"/>
        <v>0</v>
      </c>
    </row>
    <row r="155" spans="1:22" x14ac:dyDescent="0.15">
      <c r="A155" s="17" t="s">
        <v>106</v>
      </c>
      <c r="B155" s="5">
        <v>1</v>
      </c>
      <c r="C155" s="6"/>
      <c r="D155" s="7"/>
      <c r="E155" s="52">
        <f t="shared" si="120"/>
        <v>1</v>
      </c>
      <c r="F155" s="8">
        <v>1</v>
      </c>
      <c r="G155" s="6"/>
      <c r="H155" s="7"/>
      <c r="I155" s="52">
        <f t="shared" si="121"/>
        <v>1</v>
      </c>
      <c r="J155" s="60">
        <f t="shared" si="122"/>
        <v>2</v>
      </c>
      <c r="K155" s="40">
        <v>45751</v>
      </c>
      <c r="M155" s="18"/>
      <c r="N155" s="9"/>
      <c r="O155" s="10"/>
      <c r="P155" s="11"/>
      <c r="Q155" s="52">
        <f t="shared" si="123"/>
        <v>0</v>
      </c>
      <c r="R155" s="12"/>
      <c r="S155" s="10"/>
      <c r="T155" s="11"/>
      <c r="U155" s="52">
        <f t="shared" si="124"/>
        <v>0</v>
      </c>
      <c r="V155" s="60">
        <f t="shared" si="125"/>
        <v>0</v>
      </c>
    </row>
    <row r="156" spans="1:22" x14ac:dyDescent="0.15">
      <c r="A156" s="17" t="s">
        <v>107</v>
      </c>
      <c r="B156" s="5"/>
      <c r="C156" s="6">
        <v>2</v>
      </c>
      <c r="D156" s="7"/>
      <c r="E156" s="52">
        <f t="shared" si="120"/>
        <v>2</v>
      </c>
      <c r="F156" s="8"/>
      <c r="G156" s="6">
        <v>2</v>
      </c>
      <c r="H156" s="7"/>
      <c r="I156" s="52">
        <f t="shared" si="121"/>
        <v>2</v>
      </c>
      <c r="J156" s="60">
        <f t="shared" si="122"/>
        <v>4</v>
      </c>
      <c r="K156" s="40">
        <v>45754</v>
      </c>
      <c r="L156" s="49"/>
      <c r="M156" s="20"/>
      <c r="N156" s="5"/>
      <c r="O156" s="6"/>
      <c r="P156" s="7"/>
      <c r="Q156" s="52">
        <f t="shared" si="123"/>
        <v>0</v>
      </c>
      <c r="R156" s="8"/>
      <c r="S156" s="6"/>
      <c r="T156" s="7"/>
      <c r="U156" s="52">
        <f t="shared" si="124"/>
        <v>0</v>
      </c>
      <c r="V156" s="60">
        <f t="shared" si="125"/>
        <v>0</v>
      </c>
    </row>
    <row r="157" spans="1:22" x14ac:dyDescent="0.15">
      <c r="A157" s="17" t="s">
        <v>108</v>
      </c>
      <c r="B157" s="5"/>
      <c r="C157" s="6"/>
      <c r="D157" s="7">
        <v>1</v>
      </c>
      <c r="E157" s="52">
        <f t="shared" si="120"/>
        <v>1</v>
      </c>
      <c r="F157" s="8"/>
      <c r="G157" s="6"/>
      <c r="H157" s="7">
        <v>1</v>
      </c>
      <c r="I157" s="52">
        <f t="shared" si="121"/>
        <v>1</v>
      </c>
      <c r="J157" s="60">
        <f t="shared" si="122"/>
        <v>2</v>
      </c>
      <c r="K157" s="40">
        <v>45756</v>
      </c>
      <c r="L157" s="49"/>
      <c r="M157" s="20"/>
      <c r="N157" s="5"/>
      <c r="O157" s="6"/>
      <c r="P157" s="7"/>
      <c r="Q157" s="52">
        <f t="shared" si="123"/>
        <v>0</v>
      </c>
      <c r="R157" s="8"/>
      <c r="S157" s="6"/>
      <c r="T157" s="7"/>
      <c r="U157" s="52">
        <f t="shared" si="124"/>
        <v>0</v>
      </c>
      <c r="V157" s="60">
        <f t="shared" si="125"/>
        <v>0</v>
      </c>
    </row>
    <row r="158" spans="1:22" x14ac:dyDescent="0.15">
      <c r="A158" s="17" t="s">
        <v>109</v>
      </c>
      <c r="B158" s="5"/>
      <c r="C158" s="6"/>
      <c r="D158" s="7">
        <v>1</v>
      </c>
      <c r="E158" s="52">
        <f t="shared" si="120"/>
        <v>1</v>
      </c>
      <c r="F158" s="8"/>
      <c r="G158" s="6"/>
      <c r="H158" s="7">
        <v>1</v>
      </c>
      <c r="I158" s="52">
        <f t="shared" si="121"/>
        <v>1</v>
      </c>
      <c r="J158" s="60">
        <f t="shared" si="122"/>
        <v>2</v>
      </c>
      <c r="K158" s="40">
        <v>45757</v>
      </c>
      <c r="L158" s="49"/>
      <c r="M158" s="18"/>
      <c r="N158" s="5"/>
      <c r="O158" s="6"/>
      <c r="P158" s="7"/>
      <c r="Q158" s="52">
        <f t="shared" si="123"/>
        <v>0</v>
      </c>
      <c r="R158" s="8"/>
      <c r="S158" s="6"/>
      <c r="T158" s="7"/>
      <c r="U158" s="52">
        <f t="shared" si="124"/>
        <v>0</v>
      </c>
      <c r="V158" s="60">
        <f t="shared" si="125"/>
        <v>0</v>
      </c>
    </row>
    <row r="159" spans="1:22" x14ac:dyDescent="0.15">
      <c r="A159" s="17" t="s">
        <v>110</v>
      </c>
      <c r="B159" s="5"/>
      <c r="C159" s="6">
        <v>1</v>
      </c>
      <c r="D159" s="7"/>
      <c r="E159" s="52">
        <f t="shared" si="120"/>
        <v>1</v>
      </c>
      <c r="F159" s="8"/>
      <c r="G159" s="6">
        <v>1</v>
      </c>
      <c r="H159" s="7"/>
      <c r="I159" s="52">
        <f t="shared" si="121"/>
        <v>1</v>
      </c>
      <c r="J159" s="60">
        <f t="shared" si="122"/>
        <v>2</v>
      </c>
      <c r="K159" s="40">
        <v>45761</v>
      </c>
      <c r="L159" s="49"/>
      <c r="M159" s="18"/>
      <c r="N159" s="5"/>
      <c r="O159" s="6"/>
      <c r="P159" s="7"/>
      <c r="Q159" s="52">
        <f t="shared" si="123"/>
        <v>0</v>
      </c>
      <c r="R159" s="8"/>
      <c r="S159" s="6"/>
      <c r="T159" s="7"/>
      <c r="U159" s="52">
        <f t="shared" si="124"/>
        <v>0</v>
      </c>
      <c r="V159" s="60">
        <f t="shared" si="125"/>
        <v>0</v>
      </c>
    </row>
    <row r="160" spans="1:22" x14ac:dyDescent="0.15">
      <c r="A160" s="17" t="s">
        <v>111</v>
      </c>
      <c r="B160" s="5"/>
      <c r="C160" s="6">
        <v>1</v>
      </c>
      <c r="D160" s="7">
        <v>1</v>
      </c>
      <c r="E160" s="52">
        <f t="shared" si="120"/>
        <v>2</v>
      </c>
      <c r="F160" s="8"/>
      <c r="G160" s="6">
        <v>1</v>
      </c>
      <c r="H160" s="7">
        <v>1</v>
      </c>
      <c r="I160" s="52">
        <f t="shared" si="121"/>
        <v>2</v>
      </c>
      <c r="J160" s="60">
        <f t="shared" si="122"/>
        <v>4</v>
      </c>
      <c r="K160" s="40">
        <v>45763</v>
      </c>
      <c r="L160" s="49"/>
      <c r="M160" s="20"/>
      <c r="N160" s="5"/>
      <c r="O160" s="6"/>
      <c r="P160" s="7"/>
      <c r="Q160" s="52">
        <f t="shared" si="123"/>
        <v>0</v>
      </c>
      <c r="R160" s="8"/>
      <c r="S160" s="6"/>
      <c r="T160" s="7"/>
      <c r="U160" s="52">
        <f t="shared" si="124"/>
        <v>0</v>
      </c>
      <c r="V160" s="60">
        <f t="shared" si="125"/>
        <v>0</v>
      </c>
    </row>
    <row r="161" spans="1:22" x14ac:dyDescent="0.15">
      <c r="A161" s="17" t="s">
        <v>112</v>
      </c>
      <c r="B161" s="5"/>
      <c r="C161" s="6">
        <v>1</v>
      </c>
      <c r="D161" s="7"/>
      <c r="E161" s="52">
        <f t="shared" si="120"/>
        <v>1</v>
      </c>
      <c r="F161" s="8"/>
      <c r="G161" s="6">
        <v>1</v>
      </c>
      <c r="H161" s="7"/>
      <c r="I161" s="52">
        <f t="shared" si="121"/>
        <v>1</v>
      </c>
      <c r="J161" s="60">
        <f t="shared" si="122"/>
        <v>2</v>
      </c>
      <c r="K161" s="40">
        <v>45765</v>
      </c>
      <c r="L161" s="49"/>
      <c r="M161" s="20"/>
      <c r="N161" s="5"/>
      <c r="O161" s="6"/>
      <c r="P161" s="7"/>
      <c r="Q161" s="52">
        <f t="shared" si="123"/>
        <v>0</v>
      </c>
      <c r="R161" s="8"/>
      <c r="S161" s="6"/>
      <c r="T161" s="7"/>
      <c r="U161" s="52">
        <f t="shared" si="124"/>
        <v>0</v>
      </c>
      <c r="V161" s="60">
        <f t="shared" si="125"/>
        <v>0</v>
      </c>
    </row>
    <row r="162" spans="1:22" x14ac:dyDescent="0.15">
      <c r="A162" s="17" t="s">
        <v>113</v>
      </c>
      <c r="B162" s="5"/>
      <c r="C162" s="6"/>
      <c r="D162" s="7">
        <v>1</v>
      </c>
      <c r="E162" s="52">
        <f t="shared" si="120"/>
        <v>1</v>
      </c>
      <c r="F162" s="8"/>
      <c r="G162" s="6"/>
      <c r="H162" s="7">
        <v>1</v>
      </c>
      <c r="I162" s="52">
        <f t="shared" si="121"/>
        <v>1</v>
      </c>
      <c r="J162" s="60">
        <f t="shared" si="122"/>
        <v>2</v>
      </c>
      <c r="K162" s="40">
        <v>45765</v>
      </c>
      <c r="L162" s="49"/>
      <c r="M162" s="18"/>
      <c r="N162" s="5"/>
      <c r="O162" s="6"/>
      <c r="P162" s="7"/>
      <c r="Q162" s="52">
        <f t="shared" si="123"/>
        <v>0</v>
      </c>
      <c r="R162" s="8"/>
      <c r="S162" s="6"/>
      <c r="T162" s="7"/>
      <c r="U162" s="52">
        <f t="shared" si="124"/>
        <v>0</v>
      </c>
      <c r="V162" s="60">
        <f t="shared" si="125"/>
        <v>0</v>
      </c>
    </row>
    <row r="163" spans="1:22" x14ac:dyDescent="0.15">
      <c r="A163" s="17" t="s">
        <v>114</v>
      </c>
      <c r="B163" s="5"/>
      <c r="C163" s="6">
        <v>2</v>
      </c>
      <c r="D163" s="7">
        <v>3</v>
      </c>
      <c r="E163" s="52">
        <f t="shared" si="120"/>
        <v>5</v>
      </c>
      <c r="F163" s="8"/>
      <c r="G163" s="6">
        <v>2</v>
      </c>
      <c r="H163" s="7">
        <v>3</v>
      </c>
      <c r="I163" s="52">
        <f t="shared" si="121"/>
        <v>5</v>
      </c>
      <c r="J163" s="60">
        <f t="shared" si="122"/>
        <v>10</v>
      </c>
      <c r="K163" s="40">
        <v>45768</v>
      </c>
      <c r="L163" s="49"/>
      <c r="M163" s="20"/>
      <c r="N163" s="5"/>
      <c r="O163" s="6"/>
      <c r="P163" s="7"/>
      <c r="Q163" s="52">
        <f t="shared" si="123"/>
        <v>0</v>
      </c>
      <c r="R163" s="8"/>
      <c r="S163" s="6"/>
      <c r="T163" s="7"/>
      <c r="U163" s="52">
        <f t="shared" si="124"/>
        <v>0</v>
      </c>
      <c r="V163" s="60">
        <f t="shared" si="125"/>
        <v>0</v>
      </c>
    </row>
    <row r="164" spans="1:22" x14ac:dyDescent="0.15">
      <c r="A164" s="17" t="s">
        <v>115</v>
      </c>
      <c r="B164" s="9"/>
      <c r="C164" s="10">
        <v>2</v>
      </c>
      <c r="D164" s="11">
        <v>2</v>
      </c>
      <c r="E164" s="52">
        <f t="shared" si="120"/>
        <v>4</v>
      </c>
      <c r="F164" s="12"/>
      <c r="G164" s="10">
        <v>2</v>
      </c>
      <c r="H164" s="11">
        <v>2</v>
      </c>
      <c r="I164" s="52">
        <f t="shared" si="121"/>
        <v>4</v>
      </c>
      <c r="J164" s="60">
        <f t="shared" si="122"/>
        <v>8</v>
      </c>
      <c r="K164" s="40">
        <v>45770</v>
      </c>
      <c r="L164" s="49"/>
      <c r="M164" s="18"/>
      <c r="N164" s="5"/>
      <c r="O164" s="6"/>
      <c r="P164" s="7"/>
      <c r="Q164" s="52">
        <f t="shared" si="123"/>
        <v>0</v>
      </c>
      <c r="R164" s="8"/>
      <c r="S164" s="6"/>
      <c r="T164" s="7"/>
      <c r="U164" s="52">
        <f t="shared" si="124"/>
        <v>0</v>
      </c>
      <c r="V164" s="60">
        <f t="shared" si="125"/>
        <v>0</v>
      </c>
    </row>
    <row r="165" spans="1:22" x14ac:dyDescent="0.15">
      <c r="A165" s="17" t="s">
        <v>116</v>
      </c>
      <c r="B165" s="5">
        <v>1</v>
      </c>
      <c r="C165" s="6"/>
      <c r="D165" s="7"/>
      <c r="E165" s="52">
        <f t="shared" ref="E165" si="126">SUM(B165:D165)</f>
        <v>1</v>
      </c>
      <c r="F165" s="8">
        <v>1</v>
      </c>
      <c r="G165" s="6"/>
      <c r="H165" s="7"/>
      <c r="I165" s="52">
        <f t="shared" ref="I165" si="127">SUM(F165:H165)</f>
        <v>1</v>
      </c>
      <c r="J165" s="60">
        <f t="shared" ref="J165" si="128">E165+I165</f>
        <v>2</v>
      </c>
      <c r="K165" s="40">
        <v>45772</v>
      </c>
      <c r="L165" s="49"/>
      <c r="M165" s="20"/>
      <c r="N165" s="5"/>
      <c r="O165" s="6"/>
      <c r="P165" s="7"/>
      <c r="Q165" s="52">
        <f t="shared" si="123"/>
        <v>0</v>
      </c>
      <c r="R165" s="8"/>
      <c r="S165" s="6"/>
      <c r="T165" s="7"/>
      <c r="U165" s="52">
        <f t="shared" si="124"/>
        <v>0</v>
      </c>
      <c r="V165" s="60">
        <f t="shared" si="125"/>
        <v>0</v>
      </c>
    </row>
    <row r="166" spans="1:22" x14ac:dyDescent="0.15">
      <c r="A166" s="17"/>
      <c r="B166" s="5"/>
      <c r="C166" s="6"/>
      <c r="D166" s="7"/>
      <c r="E166" s="52">
        <f t="shared" ref="E166:E172" si="129">SUM(B166:D166)</f>
        <v>0</v>
      </c>
      <c r="F166" s="8"/>
      <c r="G166" s="6"/>
      <c r="H166" s="7"/>
      <c r="I166" s="52">
        <f t="shared" ref="I166:I172" si="130">SUM(F166:H166)</f>
        <v>0</v>
      </c>
      <c r="J166" s="60">
        <f t="shared" ref="J166:J171" si="131">E166+I166</f>
        <v>0</v>
      </c>
      <c r="K166" s="40"/>
      <c r="L166" s="49"/>
      <c r="M166" s="20"/>
      <c r="N166" s="5"/>
      <c r="O166" s="6"/>
      <c r="P166" s="7"/>
      <c r="Q166" s="52">
        <f t="shared" si="123"/>
        <v>0</v>
      </c>
      <c r="R166" s="8"/>
      <c r="S166" s="6"/>
      <c r="T166" s="7"/>
      <c r="U166" s="52">
        <f t="shared" si="124"/>
        <v>0</v>
      </c>
      <c r="V166" s="60">
        <f t="shared" si="125"/>
        <v>0</v>
      </c>
    </row>
    <row r="167" spans="1:22" x14ac:dyDescent="0.15">
      <c r="A167" s="17"/>
      <c r="B167" s="9"/>
      <c r="C167" s="10"/>
      <c r="D167" s="11"/>
      <c r="E167" s="52">
        <f t="shared" si="129"/>
        <v>0</v>
      </c>
      <c r="F167" s="12"/>
      <c r="G167" s="10"/>
      <c r="H167" s="11"/>
      <c r="I167" s="52">
        <f t="shared" si="130"/>
        <v>0</v>
      </c>
      <c r="J167" s="60">
        <f t="shared" si="131"/>
        <v>0</v>
      </c>
      <c r="K167" s="40"/>
      <c r="L167" s="49"/>
      <c r="M167" s="44"/>
      <c r="N167" s="9"/>
      <c r="O167" s="10"/>
      <c r="P167" s="11"/>
      <c r="Q167" s="52">
        <f t="shared" si="123"/>
        <v>0</v>
      </c>
      <c r="R167" s="12"/>
      <c r="S167" s="10"/>
      <c r="T167" s="11"/>
      <c r="U167" s="52">
        <f t="shared" si="124"/>
        <v>0</v>
      </c>
      <c r="V167" s="60">
        <f t="shared" si="125"/>
        <v>0</v>
      </c>
    </row>
    <row r="168" spans="1:22" x14ac:dyDescent="0.15">
      <c r="A168" s="17"/>
      <c r="B168" s="5"/>
      <c r="C168" s="6"/>
      <c r="D168" s="7"/>
      <c r="E168" s="52">
        <f t="shared" si="129"/>
        <v>0</v>
      </c>
      <c r="F168" s="8"/>
      <c r="G168" s="6"/>
      <c r="H168" s="7"/>
      <c r="I168" s="52">
        <f t="shared" si="130"/>
        <v>0</v>
      </c>
      <c r="J168" s="60">
        <f t="shared" si="131"/>
        <v>0</v>
      </c>
      <c r="K168" s="40"/>
      <c r="L168" s="49"/>
      <c r="M168" s="20"/>
      <c r="N168" s="5"/>
      <c r="O168" s="6"/>
      <c r="P168" s="7"/>
      <c r="Q168" s="52">
        <f t="shared" si="123"/>
        <v>0</v>
      </c>
      <c r="R168" s="8"/>
      <c r="S168" s="6"/>
      <c r="T168" s="7"/>
      <c r="U168" s="52">
        <f t="shared" si="124"/>
        <v>0</v>
      </c>
      <c r="V168" s="60">
        <f t="shared" si="125"/>
        <v>0</v>
      </c>
    </row>
    <row r="169" spans="1:22" x14ac:dyDescent="0.15">
      <c r="A169" s="17" t="s">
        <v>86</v>
      </c>
      <c r="B169" s="5"/>
      <c r="C169" s="6"/>
      <c r="D169" s="7"/>
      <c r="E169" s="52">
        <f t="shared" si="129"/>
        <v>0</v>
      </c>
      <c r="F169" s="8"/>
      <c r="G169" s="6"/>
      <c r="H169" s="7"/>
      <c r="I169" s="52">
        <f t="shared" si="130"/>
        <v>0</v>
      </c>
      <c r="J169" s="60">
        <f t="shared" si="131"/>
        <v>0</v>
      </c>
      <c r="K169" s="40" t="s">
        <v>87</v>
      </c>
      <c r="L169" s="49"/>
      <c r="M169" s="20"/>
      <c r="N169" s="5"/>
      <c r="O169" s="6"/>
      <c r="P169" s="7"/>
      <c r="Q169" s="52">
        <f t="shared" si="123"/>
        <v>0</v>
      </c>
      <c r="R169" s="8"/>
      <c r="S169" s="6"/>
      <c r="T169" s="7"/>
      <c r="U169" s="52">
        <f t="shared" si="124"/>
        <v>0</v>
      </c>
      <c r="V169" s="60">
        <f t="shared" si="125"/>
        <v>0</v>
      </c>
    </row>
    <row r="170" spans="1:22" x14ac:dyDescent="0.15">
      <c r="A170" s="17" t="s">
        <v>88</v>
      </c>
      <c r="B170" s="5"/>
      <c r="C170" s="6"/>
      <c r="D170" s="7"/>
      <c r="E170" s="52">
        <f t="shared" ref="E170:E171" si="132">SUM(B170:D170)</f>
        <v>0</v>
      </c>
      <c r="F170" s="8"/>
      <c r="G170" s="6"/>
      <c r="H170" s="7"/>
      <c r="I170" s="52">
        <f t="shared" ref="I170:I171" si="133">SUM(F170:H170)</f>
        <v>0</v>
      </c>
      <c r="J170" s="60">
        <f t="shared" si="131"/>
        <v>0</v>
      </c>
      <c r="K170" s="40" t="s">
        <v>89</v>
      </c>
      <c r="L170" s="49"/>
      <c r="M170" s="20"/>
      <c r="N170" s="5"/>
      <c r="O170" s="6"/>
      <c r="P170" s="7"/>
      <c r="Q170" s="52">
        <f t="shared" si="123"/>
        <v>0</v>
      </c>
      <c r="R170" s="8"/>
      <c r="S170" s="6"/>
      <c r="T170" s="7"/>
      <c r="U170" s="52">
        <f t="shared" si="124"/>
        <v>0</v>
      </c>
      <c r="V170" s="60">
        <f t="shared" si="125"/>
        <v>0</v>
      </c>
    </row>
    <row r="171" spans="1:22" ht="14.25" thickBot="1" x14ac:dyDescent="0.2">
      <c r="A171" s="17" t="s">
        <v>96</v>
      </c>
      <c r="B171" s="5"/>
      <c r="C171" s="6"/>
      <c r="D171" s="7"/>
      <c r="E171" s="52">
        <f t="shared" si="132"/>
        <v>0</v>
      </c>
      <c r="F171" s="8"/>
      <c r="G171" s="6"/>
      <c r="H171" s="7"/>
      <c r="I171" s="52">
        <f t="shared" si="133"/>
        <v>0</v>
      </c>
      <c r="J171" s="60">
        <f t="shared" si="131"/>
        <v>0</v>
      </c>
      <c r="K171" s="40" t="s">
        <v>97</v>
      </c>
      <c r="L171" s="49"/>
      <c r="M171" s="20"/>
      <c r="N171" s="5"/>
      <c r="O171" s="6"/>
      <c r="P171" s="7"/>
      <c r="Q171" s="52">
        <f t="shared" si="123"/>
        <v>0</v>
      </c>
      <c r="R171" s="8"/>
      <c r="S171" s="6"/>
      <c r="T171" s="7"/>
      <c r="U171" s="52">
        <f t="shared" si="124"/>
        <v>0</v>
      </c>
      <c r="V171" s="60">
        <f t="shared" si="125"/>
        <v>0</v>
      </c>
    </row>
    <row r="172" spans="1:22" ht="14.25" thickBot="1" x14ac:dyDescent="0.2">
      <c r="A172" s="31" t="s">
        <v>18</v>
      </c>
      <c r="B172" s="34">
        <f>SUM(B146:B171)</f>
        <v>8</v>
      </c>
      <c r="C172" s="35">
        <f t="shared" ref="C172:D172" si="134">SUM(C146:C171)</f>
        <v>20</v>
      </c>
      <c r="D172" s="39">
        <f t="shared" si="134"/>
        <v>11</v>
      </c>
      <c r="E172" s="57">
        <f t="shared" si="129"/>
        <v>39</v>
      </c>
      <c r="F172" s="34">
        <f>SUM(F146:F171)</f>
        <v>8</v>
      </c>
      <c r="G172" s="35">
        <f t="shared" ref="G172:H172" si="135">SUM(G146:G171)</f>
        <v>20</v>
      </c>
      <c r="H172" s="39">
        <f t="shared" si="135"/>
        <v>11</v>
      </c>
      <c r="I172" s="57">
        <f t="shared" si="130"/>
        <v>39</v>
      </c>
      <c r="J172" s="63">
        <f>E172+I172</f>
        <v>78</v>
      </c>
      <c r="M172" s="31" t="s">
        <v>18</v>
      </c>
      <c r="N172" s="34">
        <f>SUM(N146:N171)</f>
        <v>0</v>
      </c>
      <c r="O172" s="35">
        <f t="shared" ref="O172:P172" si="136">SUM(O146:O171)</f>
        <v>0</v>
      </c>
      <c r="P172" s="39">
        <f t="shared" si="136"/>
        <v>0</v>
      </c>
      <c r="Q172" s="57">
        <f t="shared" si="123"/>
        <v>0</v>
      </c>
      <c r="R172" s="34">
        <f>SUM(R146:R171)</f>
        <v>0</v>
      </c>
      <c r="S172" s="35">
        <f t="shared" ref="S172:T172" si="137">SUM(S146:S171)</f>
        <v>0</v>
      </c>
      <c r="T172" s="39">
        <f t="shared" si="137"/>
        <v>0</v>
      </c>
      <c r="U172" s="57">
        <f t="shared" si="124"/>
        <v>0</v>
      </c>
      <c r="V172" s="63">
        <f>Q172+U172</f>
        <v>0</v>
      </c>
    </row>
    <row r="173" spans="1:22" ht="14.25" thickBot="1" x14ac:dyDescent="0.2">
      <c r="A173" s="16" t="s">
        <v>17</v>
      </c>
      <c r="B173" s="64">
        <f>B145-B172</f>
        <v>3</v>
      </c>
      <c r="C173" s="65">
        <f t="shared" ref="C173:D173" si="138">C145-C172</f>
        <v>1</v>
      </c>
      <c r="D173" s="66">
        <f t="shared" si="138"/>
        <v>0</v>
      </c>
      <c r="E173" s="58">
        <f>SUM(B173:D173)</f>
        <v>4</v>
      </c>
      <c r="F173" s="64">
        <f>F145-F172</f>
        <v>3</v>
      </c>
      <c r="G173" s="65">
        <f t="shared" ref="G173:H173" si="139">G145-G172</f>
        <v>1</v>
      </c>
      <c r="H173" s="66">
        <f t="shared" si="139"/>
        <v>0</v>
      </c>
      <c r="I173" s="58">
        <f>SUM(F173:H173)</f>
        <v>4</v>
      </c>
      <c r="J173" s="62">
        <f>E173+I173</f>
        <v>8</v>
      </c>
      <c r="M173" s="16" t="s">
        <v>17</v>
      </c>
      <c r="N173" s="64">
        <f>N145-N172</f>
        <v>0</v>
      </c>
      <c r="O173" s="65">
        <f t="shared" ref="O173:P173" si="140">O145-O172</f>
        <v>0</v>
      </c>
      <c r="P173" s="66">
        <f t="shared" si="140"/>
        <v>0</v>
      </c>
      <c r="Q173" s="58">
        <f>SUM(N173:P173)</f>
        <v>0</v>
      </c>
      <c r="R173" s="64">
        <f>R145-R172</f>
        <v>0</v>
      </c>
      <c r="S173" s="65">
        <f t="shared" ref="S173:T173" si="141">S145-S172</f>
        <v>0</v>
      </c>
      <c r="T173" s="66">
        <f t="shared" si="141"/>
        <v>0</v>
      </c>
      <c r="U173" s="58">
        <f>SUM(R173:T173)</f>
        <v>0</v>
      </c>
      <c r="V173" s="62">
        <f>Q173+U173</f>
        <v>0</v>
      </c>
    </row>
    <row r="177" spans="1:22" ht="18" thickBot="1" x14ac:dyDescent="0.25">
      <c r="A177" s="73" t="s">
        <v>23</v>
      </c>
      <c r="B177" s="74"/>
      <c r="C177" s="74"/>
      <c r="D177" s="74"/>
      <c r="E177" s="74"/>
      <c r="F177" s="74"/>
      <c r="G177" s="74"/>
      <c r="H177" s="74"/>
      <c r="I177" s="74"/>
      <c r="J177" s="74"/>
      <c r="M177" s="73" t="s">
        <v>24</v>
      </c>
      <c r="N177" s="74"/>
      <c r="O177" s="74"/>
      <c r="P177" s="74"/>
      <c r="Q177" s="74"/>
      <c r="R177" s="74"/>
      <c r="S177" s="74"/>
      <c r="T177" s="74"/>
      <c r="U177" s="74"/>
      <c r="V177" s="74"/>
    </row>
    <row r="178" spans="1:22" ht="14.25" thickBot="1" x14ac:dyDescent="0.2">
      <c r="A178" s="4" t="s">
        <v>0</v>
      </c>
      <c r="B178" s="97" t="s">
        <v>21</v>
      </c>
      <c r="C178" s="97"/>
      <c r="D178" s="97"/>
      <c r="E178" s="98"/>
      <c r="F178" s="99" t="s">
        <v>22</v>
      </c>
      <c r="G178" s="99"/>
      <c r="H178" s="99"/>
      <c r="I178" s="100"/>
      <c r="J178" s="95" t="s">
        <v>1</v>
      </c>
      <c r="M178" s="4" t="s">
        <v>0</v>
      </c>
      <c r="N178" s="97" t="s">
        <v>21</v>
      </c>
      <c r="O178" s="97"/>
      <c r="P178" s="97"/>
      <c r="Q178" s="98"/>
      <c r="R178" s="99" t="s">
        <v>22</v>
      </c>
      <c r="S178" s="99"/>
      <c r="T178" s="99"/>
      <c r="U178" s="100"/>
      <c r="V178" s="95" t="s">
        <v>1</v>
      </c>
    </row>
    <row r="179" spans="1:22" ht="14.25" thickBot="1" x14ac:dyDescent="0.2">
      <c r="A179" s="4" t="s">
        <v>2</v>
      </c>
      <c r="B179" s="1" t="s">
        <v>3</v>
      </c>
      <c r="C179" s="2" t="s">
        <v>4</v>
      </c>
      <c r="D179" s="3" t="s">
        <v>5</v>
      </c>
      <c r="E179" s="4" t="s">
        <v>6</v>
      </c>
      <c r="F179" s="1" t="s">
        <v>3</v>
      </c>
      <c r="G179" s="2" t="s">
        <v>4</v>
      </c>
      <c r="H179" s="3" t="s">
        <v>5</v>
      </c>
      <c r="I179" s="4" t="s">
        <v>6</v>
      </c>
      <c r="J179" s="96"/>
      <c r="M179" s="4" t="s">
        <v>2</v>
      </c>
      <c r="N179" s="1" t="s">
        <v>3</v>
      </c>
      <c r="O179" s="2" t="s">
        <v>4</v>
      </c>
      <c r="P179" s="3" t="s">
        <v>5</v>
      </c>
      <c r="Q179" s="4" t="s">
        <v>6</v>
      </c>
      <c r="R179" s="1" t="s">
        <v>3</v>
      </c>
      <c r="S179" s="2" t="s">
        <v>4</v>
      </c>
      <c r="T179" s="3" t="s">
        <v>5</v>
      </c>
      <c r="U179" s="4" t="s">
        <v>6</v>
      </c>
      <c r="V179" s="96"/>
    </row>
    <row r="180" spans="1:22" ht="14.25" thickBot="1" x14ac:dyDescent="0.2">
      <c r="A180" s="21" t="s">
        <v>19</v>
      </c>
      <c r="B180" s="22">
        <f>B173</f>
        <v>3</v>
      </c>
      <c r="C180" s="23">
        <f>C173</f>
        <v>1</v>
      </c>
      <c r="D180" s="24">
        <f>D173</f>
        <v>0</v>
      </c>
      <c r="E180" s="55">
        <f>SUM(B180:D180)</f>
        <v>4</v>
      </c>
      <c r="F180" s="22">
        <f>F173</f>
        <v>3</v>
      </c>
      <c r="G180" s="23">
        <f>G173</f>
        <v>1</v>
      </c>
      <c r="H180" s="24">
        <f>H173</f>
        <v>0</v>
      </c>
      <c r="I180" s="55">
        <f>SUM(F180:H180)</f>
        <v>4</v>
      </c>
      <c r="J180" s="62">
        <f>E180+I180</f>
        <v>8</v>
      </c>
      <c r="M180" s="21" t="s">
        <v>19</v>
      </c>
      <c r="N180" s="67">
        <f>N173</f>
        <v>0</v>
      </c>
      <c r="O180" s="68">
        <f>O173</f>
        <v>0</v>
      </c>
      <c r="P180" s="69">
        <f>P173</f>
        <v>0</v>
      </c>
      <c r="Q180" s="70">
        <f>SUM(N180:P180)</f>
        <v>0</v>
      </c>
      <c r="R180" s="67">
        <f>R173</f>
        <v>0</v>
      </c>
      <c r="S180" s="68">
        <f>S173</f>
        <v>0</v>
      </c>
      <c r="T180" s="69">
        <f>T173</f>
        <v>0</v>
      </c>
      <c r="U180" s="70">
        <f>SUM(R180:T180)</f>
        <v>0</v>
      </c>
      <c r="V180" s="71">
        <f>Q180+U180</f>
        <v>0</v>
      </c>
    </row>
    <row r="181" spans="1:22" x14ac:dyDescent="0.15">
      <c r="A181" s="19" t="s">
        <v>8</v>
      </c>
      <c r="B181" s="5"/>
      <c r="C181" s="6">
        <v>5</v>
      </c>
      <c r="D181" s="7">
        <v>5</v>
      </c>
      <c r="E181" s="52">
        <f t="shared" ref="E181" si="142">SUM(B181:D181)</f>
        <v>10</v>
      </c>
      <c r="F181" s="8"/>
      <c r="G181" s="6">
        <v>5</v>
      </c>
      <c r="H181" s="7">
        <v>5</v>
      </c>
      <c r="I181" s="52">
        <f t="shared" ref="I181" si="143">SUM(F181:H181)</f>
        <v>10</v>
      </c>
      <c r="J181" s="60">
        <f t="shared" ref="J181" si="144">E181+I181</f>
        <v>20</v>
      </c>
      <c r="K181" s="40">
        <v>45772</v>
      </c>
      <c r="M181" s="19" t="s">
        <v>8</v>
      </c>
      <c r="N181" s="32"/>
      <c r="O181" s="33"/>
      <c r="P181" s="45"/>
      <c r="Q181" s="51">
        <f>SUM(N181:P181)</f>
        <v>0</v>
      </c>
      <c r="R181" s="46"/>
      <c r="S181" s="47"/>
      <c r="T181" s="48"/>
      <c r="U181" s="51">
        <f>SUM(R181:T181)</f>
        <v>0</v>
      </c>
      <c r="V181" s="59">
        <f>Q181+U181</f>
        <v>0</v>
      </c>
    </row>
    <row r="182" spans="1:22" x14ac:dyDescent="0.15">
      <c r="A182" s="19" t="s">
        <v>9</v>
      </c>
      <c r="B182" s="5"/>
      <c r="C182" s="6"/>
      <c r="D182" s="7"/>
      <c r="E182" s="52">
        <f t="shared" ref="E182:E188" si="145">SUM(B182:D182)</f>
        <v>0</v>
      </c>
      <c r="F182" s="8"/>
      <c r="G182" s="6"/>
      <c r="H182" s="7"/>
      <c r="I182" s="52">
        <f t="shared" ref="I182:I188" si="146">SUM(F182:H182)</f>
        <v>0</v>
      </c>
      <c r="J182" s="60">
        <f t="shared" ref="J182:J188" si="147">E182+I182</f>
        <v>0</v>
      </c>
      <c r="K182" s="40" t="s">
        <v>117</v>
      </c>
      <c r="M182" s="19" t="s">
        <v>9</v>
      </c>
      <c r="N182" s="5"/>
      <c r="O182" s="6"/>
      <c r="P182" s="36"/>
      <c r="Q182" s="53">
        <f t="shared" ref="Q182:Q185" si="148">SUM(N182:P182)</f>
        <v>0</v>
      </c>
      <c r="R182" s="8"/>
      <c r="S182" s="6"/>
      <c r="T182" s="7"/>
      <c r="U182" s="53">
        <f t="shared" ref="U182:U185" si="149">SUM(R182:T182)</f>
        <v>0</v>
      </c>
      <c r="V182" s="60">
        <f t="shared" ref="V182:V185" si="150">Q182+U182</f>
        <v>0</v>
      </c>
    </row>
    <row r="183" spans="1:22" x14ac:dyDescent="0.15">
      <c r="A183" s="19" t="s">
        <v>10</v>
      </c>
      <c r="B183" s="5">
        <v>2</v>
      </c>
      <c r="C183" s="6">
        <v>6</v>
      </c>
      <c r="D183" s="7">
        <v>2</v>
      </c>
      <c r="E183" s="52">
        <f t="shared" si="145"/>
        <v>10</v>
      </c>
      <c r="F183" s="8">
        <v>2</v>
      </c>
      <c r="G183" s="6">
        <v>6</v>
      </c>
      <c r="H183" s="7">
        <v>2</v>
      </c>
      <c r="I183" s="52">
        <f t="shared" si="146"/>
        <v>10</v>
      </c>
      <c r="J183" s="60">
        <f t="shared" si="147"/>
        <v>20</v>
      </c>
      <c r="K183" s="40">
        <v>45785</v>
      </c>
      <c r="M183" s="19" t="s">
        <v>10</v>
      </c>
      <c r="N183" s="5"/>
      <c r="O183" s="6"/>
      <c r="P183" s="36"/>
      <c r="Q183" s="53">
        <f t="shared" si="148"/>
        <v>0</v>
      </c>
      <c r="R183" s="8"/>
      <c r="S183" s="6"/>
      <c r="T183" s="7"/>
      <c r="U183" s="53">
        <f t="shared" si="149"/>
        <v>0</v>
      </c>
      <c r="V183" s="60">
        <f t="shared" si="150"/>
        <v>0</v>
      </c>
    </row>
    <row r="184" spans="1:22" x14ac:dyDescent="0.15">
      <c r="A184" s="19" t="s">
        <v>11</v>
      </c>
      <c r="B184" s="5">
        <v>5</v>
      </c>
      <c r="C184" s="6">
        <v>10</v>
      </c>
      <c r="D184" s="36">
        <v>5</v>
      </c>
      <c r="E184" s="53">
        <f t="shared" si="145"/>
        <v>20</v>
      </c>
      <c r="F184" s="8">
        <v>5</v>
      </c>
      <c r="G184" s="6">
        <v>10</v>
      </c>
      <c r="H184" s="7">
        <v>5</v>
      </c>
      <c r="I184" s="53">
        <f t="shared" si="146"/>
        <v>20</v>
      </c>
      <c r="J184" s="60">
        <f t="shared" si="147"/>
        <v>40</v>
      </c>
      <c r="K184" s="40">
        <v>45791</v>
      </c>
      <c r="M184" s="19" t="s">
        <v>11</v>
      </c>
      <c r="N184" s="5"/>
      <c r="O184" s="6"/>
      <c r="P184" s="36"/>
      <c r="Q184" s="53">
        <f t="shared" si="148"/>
        <v>0</v>
      </c>
      <c r="R184" s="8"/>
      <c r="S184" s="6"/>
      <c r="T184" s="7"/>
      <c r="U184" s="53">
        <f t="shared" si="149"/>
        <v>0</v>
      </c>
      <c r="V184" s="60">
        <f t="shared" si="150"/>
        <v>0</v>
      </c>
    </row>
    <row r="185" spans="1:22" x14ac:dyDescent="0.15">
      <c r="A185" s="19" t="s">
        <v>48</v>
      </c>
      <c r="B185" s="5"/>
      <c r="C185" s="6"/>
      <c r="D185" s="36">
        <v>1</v>
      </c>
      <c r="E185" s="53">
        <f t="shared" si="145"/>
        <v>1</v>
      </c>
      <c r="F185" s="8"/>
      <c r="G185" s="6"/>
      <c r="H185" s="7">
        <v>1</v>
      </c>
      <c r="I185" s="53">
        <f t="shared" si="146"/>
        <v>1</v>
      </c>
      <c r="J185" s="60">
        <f t="shared" si="147"/>
        <v>2</v>
      </c>
      <c r="K185" s="40">
        <v>45792</v>
      </c>
      <c r="L185" s="49"/>
      <c r="M185" s="19" t="s">
        <v>12</v>
      </c>
      <c r="N185" s="5"/>
      <c r="O185" s="6"/>
      <c r="P185" s="36"/>
      <c r="Q185" s="53">
        <f t="shared" si="148"/>
        <v>0</v>
      </c>
      <c r="R185" s="8"/>
      <c r="S185" s="6"/>
      <c r="T185" s="7"/>
      <c r="U185" s="53">
        <f t="shared" si="149"/>
        <v>0</v>
      </c>
      <c r="V185" s="60">
        <f t="shared" si="150"/>
        <v>0</v>
      </c>
    </row>
    <row r="186" spans="1:22" x14ac:dyDescent="0.15">
      <c r="A186" s="19" t="s">
        <v>13</v>
      </c>
      <c r="B186" s="5"/>
      <c r="C186" s="6"/>
      <c r="D186" s="36">
        <v>5</v>
      </c>
      <c r="E186" s="53">
        <f t="shared" si="145"/>
        <v>5</v>
      </c>
      <c r="F186" s="8"/>
      <c r="G186" s="6"/>
      <c r="H186" s="7">
        <v>5</v>
      </c>
      <c r="I186" s="53">
        <f t="shared" si="146"/>
        <v>5</v>
      </c>
      <c r="J186" s="60">
        <f t="shared" si="147"/>
        <v>10</v>
      </c>
      <c r="K186" s="40">
        <v>45824</v>
      </c>
      <c r="M186" s="19" t="s">
        <v>13</v>
      </c>
      <c r="N186" s="5"/>
      <c r="O186" s="6"/>
      <c r="P186" s="36"/>
      <c r="Q186" s="53">
        <f>SUM(N186:P186)</f>
        <v>0</v>
      </c>
      <c r="R186" s="8"/>
      <c r="S186" s="6"/>
      <c r="T186" s="7"/>
      <c r="U186" s="53">
        <f>SUM(R186:T186)</f>
        <v>0</v>
      </c>
      <c r="V186" s="60">
        <f>Q186+U186</f>
        <v>0</v>
      </c>
    </row>
    <row r="187" spans="1:22" x14ac:dyDescent="0.15">
      <c r="A187" s="19" t="s">
        <v>14</v>
      </c>
      <c r="B187" s="9">
        <v>5</v>
      </c>
      <c r="C187" s="10">
        <v>10</v>
      </c>
      <c r="D187" s="37">
        <v>3</v>
      </c>
      <c r="E187" s="53">
        <f t="shared" si="145"/>
        <v>18</v>
      </c>
      <c r="F187" s="12">
        <v>5</v>
      </c>
      <c r="G187" s="10">
        <v>10</v>
      </c>
      <c r="H187" s="11">
        <v>3</v>
      </c>
      <c r="I187" s="53">
        <f t="shared" si="146"/>
        <v>18</v>
      </c>
      <c r="J187" s="60">
        <f t="shared" si="147"/>
        <v>36</v>
      </c>
      <c r="K187" s="40">
        <v>45847</v>
      </c>
      <c r="M187" s="19" t="s">
        <v>14</v>
      </c>
      <c r="N187" s="9"/>
      <c r="O187" s="10"/>
      <c r="P187" s="37"/>
      <c r="Q187" s="53">
        <f t="shared" ref="Q187:Q188" si="151">SUM(N187:P187)</f>
        <v>0</v>
      </c>
      <c r="R187" s="12"/>
      <c r="S187" s="10"/>
      <c r="T187" s="11"/>
      <c r="U187" s="53">
        <f t="shared" ref="U187:U188" si="152">SUM(R187:T187)</f>
        <v>0</v>
      </c>
      <c r="V187" s="60">
        <f t="shared" ref="V187:V188" si="153">Q187+U187</f>
        <v>0</v>
      </c>
    </row>
    <row r="188" spans="1:22" ht="14.25" thickBot="1" x14ac:dyDescent="0.2">
      <c r="A188" s="19" t="s">
        <v>15</v>
      </c>
      <c r="B188" s="25"/>
      <c r="C188" s="26"/>
      <c r="D188" s="38"/>
      <c r="E188" s="54">
        <f t="shared" si="145"/>
        <v>0</v>
      </c>
      <c r="F188" s="27"/>
      <c r="G188" s="27"/>
      <c r="H188" s="29"/>
      <c r="I188" s="54">
        <f t="shared" si="146"/>
        <v>0</v>
      </c>
      <c r="J188" s="61">
        <f t="shared" si="147"/>
        <v>0</v>
      </c>
      <c r="K188" s="40"/>
      <c r="M188" s="19" t="s">
        <v>15</v>
      </c>
      <c r="N188" s="25"/>
      <c r="O188" s="26"/>
      <c r="P188" s="38"/>
      <c r="Q188" s="54">
        <f t="shared" si="151"/>
        <v>0</v>
      </c>
      <c r="R188" s="27"/>
      <c r="S188" s="27"/>
      <c r="T188" s="29"/>
      <c r="U188" s="54">
        <f t="shared" si="152"/>
        <v>0</v>
      </c>
      <c r="V188" s="61">
        <f t="shared" si="153"/>
        <v>0</v>
      </c>
    </row>
    <row r="189" spans="1:22" ht="14.25" thickBot="1" x14ac:dyDescent="0.2">
      <c r="A189" s="28" t="s">
        <v>16</v>
      </c>
      <c r="B189" s="22">
        <f>SUM(B180:B188)</f>
        <v>15</v>
      </c>
      <c r="C189" s="23">
        <f t="shared" ref="C189:D189" si="154">SUM(C180:C188)</f>
        <v>32</v>
      </c>
      <c r="D189" s="24">
        <f t="shared" si="154"/>
        <v>21</v>
      </c>
      <c r="E189" s="55">
        <f>SUM(B189:D189)</f>
        <v>68</v>
      </c>
      <c r="F189" s="22">
        <f>SUM(F180:F188)</f>
        <v>15</v>
      </c>
      <c r="G189" s="23">
        <f t="shared" ref="G189:H189" si="155">SUM(G180:G188)</f>
        <v>32</v>
      </c>
      <c r="H189" s="24">
        <f t="shared" si="155"/>
        <v>21</v>
      </c>
      <c r="I189" s="55">
        <f>SUM(F189:H189)</f>
        <v>68</v>
      </c>
      <c r="J189" s="62">
        <f>SUM(J181:J188)</f>
        <v>128</v>
      </c>
      <c r="M189" s="28" t="s">
        <v>16</v>
      </c>
      <c r="N189" s="22">
        <f>SUM(N180:N188)</f>
        <v>0</v>
      </c>
      <c r="O189" s="23">
        <f t="shared" ref="O189:P189" si="156">SUM(O180:O188)</f>
        <v>0</v>
      </c>
      <c r="P189" s="24">
        <f t="shared" si="156"/>
        <v>0</v>
      </c>
      <c r="Q189" s="55">
        <f>SUM(N189:P189)</f>
        <v>0</v>
      </c>
      <c r="R189" s="22">
        <f>SUM(R180:R188)</f>
        <v>0</v>
      </c>
      <c r="S189" s="23">
        <f t="shared" ref="S189:T189" si="157">SUM(S180:S188)</f>
        <v>0</v>
      </c>
      <c r="T189" s="24">
        <f t="shared" si="157"/>
        <v>0</v>
      </c>
      <c r="U189" s="55">
        <f>SUM(R189:T189)</f>
        <v>0</v>
      </c>
      <c r="V189" s="62">
        <f>Q189+U189</f>
        <v>0</v>
      </c>
    </row>
    <row r="190" spans="1:22" x14ac:dyDescent="0.15">
      <c r="A190" s="17" t="s">
        <v>118</v>
      </c>
      <c r="B190" s="5"/>
      <c r="C190" s="6"/>
      <c r="D190" s="7">
        <v>2</v>
      </c>
      <c r="E190" s="52">
        <f t="shared" ref="E190" si="158">SUM(B190:D190)</f>
        <v>2</v>
      </c>
      <c r="F190" s="8"/>
      <c r="G190" s="6"/>
      <c r="H190" s="7">
        <v>2</v>
      </c>
      <c r="I190" s="52">
        <f t="shared" ref="I190" si="159">SUM(F190:H190)</f>
        <v>2</v>
      </c>
      <c r="J190" s="60">
        <f t="shared" ref="J190" si="160">E190+I190</f>
        <v>4</v>
      </c>
      <c r="K190" s="40">
        <v>45775</v>
      </c>
      <c r="M190" s="18"/>
      <c r="N190" s="9"/>
      <c r="O190" s="10"/>
      <c r="P190" s="11"/>
      <c r="Q190" s="52">
        <f>SUM(N190:P190)</f>
        <v>0</v>
      </c>
      <c r="R190" s="12"/>
      <c r="S190" s="10"/>
      <c r="T190" s="11"/>
      <c r="U190" s="52">
        <f>SUM(R190:T190)</f>
        <v>0</v>
      </c>
      <c r="V190" s="60">
        <f>Q190+U190</f>
        <v>0</v>
      </c>
    </row>
    <row r="191" spans="1:22" x14ac:dyDescent="0.15">
      <c r="A191" s="17" t="s">
        <v>119</v>
      </c>
      <c r="B191" s="5">
        <v>2</v>
      </c>
      <c r="C191" s="6">
        <v>3</v>
      </c>
      <c r="D191" s="7">
        <v>2</v>
      </c>
      <c r="E191" s="52">
        <f t="shared" ref="E191:E216" si="161">SUM(B191:D191)</f>
        <v>7</v>
      </c>
      <c r="F191" s="8">
        <v>2</v>
      </c>
      <c r="G191" s="6">
        <v>3</v>
      </c>
      <c r="H191" s="7">
        <v>2</v>
      </c>
      <c r="I191" s="52">
        <f t="shared" ref="I191:I216" si="162">SUM(F191:H191)</f>
        <v>7</v>
      </c>
      <c r="J191" s="60">
        <f t="shared" ref="J191:J215" si="163">E191+I191</f>
        <v>14</v>
      </c>
      <c r="K191" s="40">
        <v>45777</v>
      </c>
      <c r="M191" s="20"/>
      <c r="N191" s="5"/>
      <c r="O191" s="6"/>
      <c r="P191" s="7"/>
      <c r="Q191" s="52">
        <f t="shared" ref="Q191:Q216" si="164">SUM(N191:P191)</f>
        <v>0</v>
      </c>
      <c r="R191" s="8"/>
      <c r="S191" s="6"/>
      <c r="T191" s="7"/>
      <c r="U191" s="52">
        <f t="shared" ref="U191:U216" si="165">SUM(R191:T191)</f>
        <v>0</v>
      </c>
      <c r="V191" s="60">
        <f t="shared" ref="V191:V215" si="166">Q191+U191</f>
        <v>0</v>
      </c>
    </row>
    <row r="192" spans="1:22" x14ac:dyDescent="0.15">
      <c r="A192" s="17" t="s">
        <v>120</v>
      </c>
      <c r="B192" s="5"/>
      <c r="C192" s="6">
        <v>2</v>
      </c>
      <c r="D192" s="7"/>
      <c r="E192" s="52">
        <f t="shared" si="161"/>
        <v>2</v>
      </c>
      <c r="F192" s="8"/>
      <c r="G192" s="6">
        <v>2</v>
      </c>
      <c r="H192" s="7"/>
      <c r="I192" s="52">
        <f t="shared" si="162"/>
        <v>2</v>
      </c>
      <c r="J192" s="60">
        <f t="shared" si="163"/>
        <v>4</v>
      </c>
      <c r="K192" s="40">
        <v>45784</v>
      </c>
      <c r="L192" s="49"/>
      <c r="M192" s="20"/>
      <c r="N192" s="5"/>
      <c r="O192" s="6"/>
      <c r="P192" s="7"/>
      <c r="Q192" s="52">
        <f t="shared" si="164"/>
        <v>0</v>
      </c>
      <c r="R192" s="8"/>
      <c r="S192" s="6"/>
      <c r="T192" s="7"/>
      <c r="U192" s="52">
        <f t="shared" si="165"/>
        <v>0</v>
      </c>
      <c r="V192" s="60">
        <f t="shared" si="166"/>
        <v>0</v>
      </c>
    </row>
    <row r="193" spans="1:22" x14ac:dyDescent="0.15">
      <c r="A193" s="17" t="s">
        <v>121</v>
      </c>
      <c r="B193" s="5"/>
      <c r="C193" s="6">
        <v>4</v>
      </c>
      <c r="D193" s="7"/>
      <c r="E193" s="52">
        <f t="shared" si="161"/>
        <v>4</v>
      </c>
      <c r="F193" s="8"/>
      <c r="G193" s="6">
        <v>4</v>
      </c>
      <c r="H193" s="7"/>
      <c r="I193" s="52">
        <f t="shared" si="162"/>
        <v>4</v>
      </c>
      <c r="J193" s="60">
        <f t="shared" si="163"/>
        <v>8</v>
      </c>
      <c r="K193" s="40">
        <v>45786</v>
      </c>
      <c r="L193" s="49"/>
      <c r="M193" s="18"/>
      <c r="N193" s="5"/>
      <c r="O193" s="6"/>
      <c r="P193" s="7"/>
      <c r="Q193" s="52">
        <f t="shared" si="164"/>
        <v>0</v>
      </c>
      <c r="R193" s="8"/>
      <c r="S193" s="6"/>
      <c r="T193" s="7"/>
      <c r="U193" s="52">
        <f t="shared" si="165"/>
        <v>0</v>
      </c>
      <c r="V193" s="60">
        <f t="shared" si="166"/>
        <v>0</v>
      </c>
    </row>
    <row r="194" spans="1:22" x14ac:dyDescent="0.15">
      <c r="A194" s="17" t="s">
        <v>122</v>
      </c>
      <c r="B194" s="5"/>
      <c r="C194" s="6">
        <v>2</v>
      </c>
      <c r="D194" s="7"/>
      <c r="E194" s="52">
        <f t="shared" si="161"/>
        <v>2</v>
      </c>
      <c r="F194" s="8"/>
      <c r="G194" s="6">
        <v>2</v>
      </c>
      <c r="H194" s="7"/>
      <c r="I194" s="52">
        <f t="shared" si="162"/>
        <v>2</v>
      </c>
      <c r="J194" s="60">
        <f t="shared" si="163"/>
        <v>4</v>
      </c>
      <c r="K194" s="40">
        <v>45791</v>
      </c>
      <c r="L194" s="49"/>
      <c r="M194" s="18"/>
      <c r="N194" s="5"/>
      <c r="O194" s="6"/>
      <c r="P194" s="7"/>
      <c r="Q194" s="52">
        <f t="shared" si="164"/>
        <v>0</v>
      </c>
      <c r="R194" s="8"/>
      <c r="S194" s="6"/>
      <c r="T194" s="7"/>
      <c r="U194" s="52">
        <f t="shared" si="165"/>
        <v>0</v>
      </c>
      <c r="V194" s="60">
        <f t="shared" si="166"/>
        <v>0</v>
      </c>
    </row>
    <row r="195" spans="1:22" x14ac:dyDescent="0.15">
      <c r="A195" s="17" t="s">
        <v>123</v>
      </c>
      <c r="B195" s="5"/>
      <c r="C195" s="6">
        <v>1</v>
      </c>
      <c r="D195" s="7"/>
      <c r="E195" s="52">
        <f t="shared" si="161"/>
        <v>1</v>
      </c>
      <c r="F195" s="8"/>
      <c r="G195" s="6">
        <v>1</v>
      </c>
      <c r="H195" s="7"/>
      <c r="I195" s="52">
        <f t="shared" si="162"/>
        <v>1</v>
      </c>
      <c r="J195" s="60">
        <f t="shared" si="163"/>
        <v>2</v>
      </c>
      <c r="K195" s="40">
        <v>45792</v>
      </c>
      <c r="L195" s="49"/>
      <c r="M195" s="20"/>
      <c r="N195" s="5"/>
      <c r="O195" s="6"/>
      <c r="P195" s="14"/>
      <c r="Q195" s="52">
        <f t="shared" si="164"/>
        <v>0</v>
      </c>
      <c r="R195" s="15"/>
      <c r="S195" s="13"/>
      <c r="T195" s="14"/>
      <c r="U195" s="52">
        <f t="shared" si="165"/>
        <v>0</v>
      </c>
      <c r="V195" s="60">
        <f t="shared" si="166"/>
        <v>0</v>
      </c>
    </row>
    <row r="196" spans="1:22" x14ac:dyDescent="0.15">
      <c r="A196" s="17" t="s">
        <v>126</v>
      </c>
      <c r="B196" s="5"/>
      <c r="C196" s="6">
        <v>4</v>
      </c>
      <c r="D196" s="7">
        <v>4</v>
      </c>
      <c r="E196" s="52">
        <f t="shared" si="161"/>
        <v>8</v>
      </c>
      <c r="F196" s="8"/>
      <c r="G196" s="6">
        <v>4</v>
      </c>
      <c r="H196" s="7">
        <v>4</v>
      </c>
      <c r="I196" s="52">
        <f t="shared" si="162"/>
        <v>8</v>
      </c>
      <c r="J196" s="60">
        <f t="shared" si="163"/>
        <v>16</v>
      </c>
      <c r="K196" s="40">
        <v>45793</v>
      </c>
      <c r="L196" s="49"/>
      <c r="M196" s="42"/>
      <c r="N196" s="5"/>
      <c r="O196" s="6"/>
      <c r="P196" s="7"/>
      <c r="Q196" s="52">
        <f t="shared" si="164"/>
        <v>0</v>
      </c>
      <c r="R196" s="8"/>
      <c r="S196" s="6"/>
      <c r="T196" s="7"/>
      <c r="U196" s="52">
        <f t="shared" si="165"/>
        <v>0</v>
      </c>
      <c r="V196" s="60">
        <f t="shared" si="166"/>
        <v>0</v>
      </c>
    </row>
    <row r="197" spans="1:22" x14ac:dyDescent="0.15">
      <c r="A197" s="17" t="s">
        <v>127</v>
      </c>
      <c r="B197" s="5"/>
      <c r="C197" s="6">
        <v>1</v>
      </c>
      <c r="D197" s="7">
        <v>1</v>
      </c>
      <c r="E197" s="52">
        <f t="shared" si="161"/>
        <v>2</v>
      </c>
      <c r="F197" s="8"/>
      <c r="G197" s="6">
        <v>1</v>
      </c>
      <c r="H197" s="7">
        <v>1</v>
      </c>
      <c r="I197" s="52">
        <f t="shared" si="162"/>
        <v>2</v>
      </c>
      <c r="J197" s="60">
        <f t="shared" si="163"/>
        <v>4</v>
      </c>
      <c r="K197" s="40">
        <v>45796</v>
      </c>
      <c r="M197" s="18"/>
      <c r="N197" s="5" t="s">
        <v>20</v>
      </c>
      <c r="O197" s="6"/>
      <c r="P197" s="7"/>
      <c r="Q197" s="52">
        <f t="shared" si="164"/>
        <v>0</v>
      </c>
      <c r="R197" s="8"/>
      <c r="S197" s="6"/>
      <c r="T197" s="7"/>
      <c r="U197" s="52">
        <f t="shared" si="165"/>
        <v>0</v>
      </c>
      <c r="V197" s="60">
        <f t="shared" si="166"/>
        <v>0</v>
      </c>
    </row>
    <row r="198" spans="1:22" x14ac:dyDescent="0.15">
      <c r="A198" s="17" t="s">
        <v>128</v>
      </c>
      <c r="B198" s="5">
        <v>1</v>
      </c>
      <c r="C198" s="6"/>
      <c r="D198" s="7"/>
      <c r="E198" s="52">
        <f t="shared" si="161"/>
        <v>1</v>
      </c>
      <c r="F198" s="8">
        <v>1</v>
      </c>
      <c r="G198" s="6"/>
      <c r="H198" s="7"/>
      <c r="I198" s="52">
        <f t="shared" si="162"/>
        <v>1</v>
      </c>
      <c r="J198" s="60">
        <f t="shared" si="163"/>
        <v>2</v>
      </c>
      <c r="K198" s="40">
        <v>45800</v>
      </c>
      <c r="L198" s="49"/>
      <c r="M198" s="20"/>
      <c r="N198" s="5"/>
      <c r="O198" s="6"/>
      <c r="P198" s="7"/>
      <c r="Q198" s="52">
        <f t="shared" si="164"/>
        <v>0</v>
      </c>
      <c r="R198" s="8"/>
      <c r="S198" s="6"/>
      <c r="T198" s="7"/>
      <c r="U198" s="52">
        <f t="shared" si="165"/>
        <v>0</v>
      </c>
      <c r="V198" s="60">
        <f t="shared" si="166"/>
        <v>0</v>
      </c>
    </row>
    <row r="199" spans="1:22" x14ac:dyDescent="0.15">
      <c r="A199" s="17" t="s">
        <v>129</v>
      </c>
      <c r="B199" s="5">
        <v>1</v>
      </c>
      <c r="C199" s="6">
        <v>1</v>
      </c>
      <c r="D199" s="7"/>
      <c r="E199" s="52">
        <f t="shared" si="161"/>
        <v>2</v>
      </c>
      <c r="F199" s="8">
        <v>1</v>
      </c>
      <c r="G199" s="6">
        <v>1</v>
      </c>
      <c r="H199" s="7"/>
      <c r="I199" s="52">
        <f t="shared" si="162"/>
        <v>2</v>
      </c>
      <c r="J199" s="60">
        <f t="shared" si="163"/>
        <v>4</v>
      </c>
      <c r="K199" s="40">
        <v>45805</v>
      </c>
      <c r="L199" s="49"/>
      <c r="M199" s="18"/>
      <c r="N199" s="9"/>
      <c r="O199" s="10"/>
      <c r="P199" s="11"/>
      <c r="Q199" s="52">
        <f t="shared" si="164"/>
        <v>0</v>
      </c>
      <c r="R199" s="12"/>
      <c r="S199" s="10"/>
      <c r="T199" s="11"/>
      <c r="U199" s="52">
        <f t="shared" si="165"/>
        <v>0</v>
      </c>
      <c r="V199" s="60">
        <f t="shared" si="166"/>
        <v>0</v>
      </c>
    </row>
    <row r="200" spans="1:22" x14ac:dyDescent="0.15">
      <c r="A200" s="17" t="s">
        <v>130</v>
      </c>
      <c r="B200" s="5"/>
      <c r="C200" s="6"/>
      <c r="D200" s="7">
        <v>1</v>
      </c>
      <c r="E200" s="52">
        <f t="shared" si="161"/>
        <v>1</v>
      </c>
      <c r="F200" s="8"/>
      <c r="G200" s="6"/>
      <c r="H200" s="7">
        <v>1</v>
      </c>
      <c r="I200" s="52">
        <f t="shared" si="162"/>
        <v>1</v>
      </c>
      <c r="J200" s="60">
        <f t="shared" si="163"/>
        <v>2</v>
      </c>
      <c r="K200" s="40">
        <v>45807</v>
      </c>
      <c r="L200" s="49"/>
      <c r="M200" s="20"/>
      <c r="N200" s="5"/>
      <c r="O200" s="6"/>
      <c r="P200" s="7"/>
      <c r="Q200" s="52">
        <f t="shared" si="164"/>
        <v>0</v>
      </c>
      <c r="R200" s="8"/>
      <c r="S200" s="6"/>
      <c r="T200" s="7"/>
      <c r="U200" s="52">
        <f t="shared" si="165"/>
        <v>0</v>
      </c>
      <c r="V200" s="60">
        <f t="shared" si="166"/>
        <v>0</v>
      </c>
    </row>
    <row r="201" spans="1:22" x14ac:dyDescent="0.15">
      <c r="A201" s="17" t="s">
        <v>131</v>
      </c>
      <c r="B201" s="5"/>
      <c r="C201" s="6"/>
      <c r="D201" s="7">
        <v>1</v>
      </c>
      <c r="E201" s="52">
        <f t="shared" si="161"/>
        <v>1</v>
      </c>
      <c r="F201" s="8"/>
      <c r="G201" s="6"/>
      <c r="H201" s="7">
        <v>1</v>
      </c>
      <c r="I201" s="52">
        <f t="shared" si="162"/>
        <v>1</v>
      </c>
      <c r="J201" s="60">
        <f t="shared" si="163"/>
        <v>2</v>
      </c>
      <c r="K201" s="40">
        <v>45813</v>
      </c>
      <c r="L201" s="49"/>
      <c r="M201" s="20"/>
      <c r="N201" s="5"/>
      <c r="O201" s="6"/>
      <c r="P201" s="7"/>
      <c r="Q201" s="52">
        <f t="shared" si="164"/>
        <v>0</v>
      </c>
      <c r="R201" s="8"/>
      <c r="S201" s="6"/>
      <c r="T201" s="7"/>
      <c r="U201" s="52">
        <f t="shared" si="165"/>
        <v>0</v>
      </c>
      <c r="V201" s="60">
        <f t="shared" si="166"/>
        <v>0</v>
      </c>
    </row>
    <row r="202" spans="1:22" x14ac:dyDescent="0.15">
      <c r="A202" s="17" t="s">
        <v>132</v>
      </c>
      <c r="B202" s="5"/>
      <c r="C202" s="6"/>
      <c r="D202" s="7">
        <v>2</v>
      </c>
      <c r="E202" s="52">
        <f t="shared" si="161"/>
        <v>2</v>
      </c>
      <c r="F202" s="8"/>
      <c r="G202" s="6"/>
      <c r="H202" s="7">
        <v>2</v>
      </c>
      <c r="I202" s="52">
        <f t="shared" si="162"/>
        <v>2</v>
      </c>
      <c r="J202" s="60">
        <f t="shared" si="163"/>
        <v>4</v>
      </c>
      <c r="K202" s="40">
        <v>45814</v>
      </c>
      <c r="M202" s="18"/>
      <c r="N202" s="5"/>
      <c r="O202" s="6"/>
      <c r="P202" s="7"/>
      <c r="Q202" s="52">
        <f t="shared" si="164"/>
        <v>0</v>
      </c>
      <c r="R202" s="8"/>
      <c r="S202" s="6"/>
      <c r="T202" s="7"/>
      <c r="U202" s="52">
        <f t="shared" si="165"/>
        <v>0</v>
      </c>
      <c r="V202" s="60">
        <f t="shared" si="166"/>
        <v>0</v>
      </c>
    </row>
    <row r="203" spans="1:22" x14ac:dyDescent="0.15">
      <c r="A203" s="17" t="s">
        <v>133</v>
      </c>
      <c r="B203" s="5">
        <v>1</v>
      </c>
      <c r="C203" s="6"/>
      <c r="D203" s="7"/>
      <c r="E203" s="52">
        <f t="shared" si="161"/>
        <v>1</v>
      </c>
      <c r="F203" s="8">
        <v>1</v>
      </c>
      <c r="G203" s="6"/>
      <c r="H203" s="7"/>
      <c r="I203" s="52">
        <f t="shared" si="162"/>
        <v>1</v>
      </c>
      <c r="J203" s="60">
        <f t="shared" si="163"/>
        <v>2</v>
      </c>
      <c r="K203" s="40">
        <v>45821</v>
      </c>
      <c r="L203" s="49"/>
      <c r="M203" s="18"/>
      <c r="N203" s="5"/>
      <c r="O203" s="6"/>
      <c r="P203" s="7"/>
      <c r="Q203" s="52">
        <f t="shared" si="164"/>
        <v>0</v>
      </c>
      <c r="R203" s="8"/>
      <c r="S203" s="6"/>
      <c r="T203" s="7"/>
      <c r="U203" s="52">
        <f t="shared" si="165"/>
        <v>0</v>
      </c>
      <c r="V203" s="60">
        <f t="shared" si="166"/>
        <v>0</v>
      </c>
    </row>
    <row r="204" spans="1:22" x14ac:dyDescent="0.15">
      <c r="A204" s="18" t="s">
        <v>134</v>
      </c>
      <c r="B204" s="5"/>
      <c r="C204" s="6"/>
      <c r="D204" s="7">
        <v>1</v>
      </c>
      <c r="E204" s="52">
        <f t="shared" si="161"/>
        <v>1</v>
      </c>
      <c r="F204" s="8"/>
      <c r="G204" s="6"/>
      <c r="H204" s="7">
        <v>1</v>
      </c>
      <c r="I204" s="52">
        <f t="shared" si="162"/>
        <v>1</v>
      </c>
      <c r="J204" s="60">
        <f t="shared" si="163"/>
        <v>2</v>
      </c>
      <c r="K204" s="40">
        <v>45828</v>
      </c>
      <c r="L204" s="49"/>
      <c r="M204" s="20"/>
      <c r="N204" s="5"/>
      <c r="O204" s="6"/>
      <c r="P204" s="7"/>
      <c r="Q204" s="52">
        <f t="shared" si="164"/>
        <v>0</v>
      </c>
      <c r="R204" s="8"/>
      <c r="S204" s="6"/>
      <c r="T204" s="7"/>
      <c r="U204" s="52">
        <f t="shared" si="165"/>
        <v>0</v>
      </c>
      <c r="V204" s="60">
        <f t="shared" si="166"/>
        <v>0</v>
      </c>
    </row>
    <row r="205" spans="1:22" x14ac:dyDescent="0.15">
      <c r="A205" s="17" t="s">
        <v>135</v>
      </c>
      <c r="B205" s="5"/>
      <c r="C205" s="6">
        <v>1</v>
      </c>
      <c r="D205" s="7"/>
      <c r="E205" s="52">
        <f t="shared" si="161"/>
        <v>1</v>
      </c>
      <c r="F205" s="8"/>
      <c r="G205" s="6">
        <v>1</v>
      </c>
      <c r="H205" s="7"/>
      <c r="I205" s="52">
        <f t="shared" si="162"/>
        <v>1</v>
      </c>
      <c r="J205" s="60">
        <f t="shared" si="163"/>
        <v>2</v>
      </c>
      <c r="K205" s="40">
        <v>45833</v>
      </c>
      <c r="L205" s="49"/>
      <c r="M205" s="20"/>
      <c r="N205" s="5"/>
      <c r="O205" s="6"/>
      <c r="P205" s="7"/>
      <c r="Q205" s="52">
        <f t="shared" si="164"/>
        <v>0</v>
      </c>
      <c r="R205" s="8"/>
      <c r="S205" s="6"/>
      <c r="T205" s="7"/>
      <c r="U205" s="52">
        <f t="shared" si="165"/>
        <v>0</v>
      </c>
      <c r="V205" s="60">
        <f t="shared" si="166"/>
        <v>0</v>
      </c>
    </row>
    <row r="206" spans="1:22" x14ac:dyDescent="0.15">
      <c r="A206" s="18" t="s">
        <v>136</v>
      </c>
      <c r="B206" s="5">
        <v>1</v>
      </c>
      <c r="C206" s="6"/>
      <c r="D206" s="7"/>
      <c r="E206" s="52">
        <f t="shared" si="161"/>
        <v>1</v>
      </c>
      <c r="F206" s="8">
        <v>1</v>
      </c>
      <c r="G206" s="6"/>
      <c r="H206" s="7"/>
      <c r="I206" s="52">
        <f t="shared" si="162"/>
        <v>1</v>
      </c>
      <c r="J206" s="60">
        <f t="shared" si="163"/>
        <v>2</v>
      </c>
      <c r="K206" s="40">
        <v>45831</v>
      </c>
      <c r="L206" s="49"/>
      <c r="M206" s="18"/>
      <c r="N206" s="5"/>
      <c r="O206" s="6"/>
      <c r="P206" s="7"/>
      <c r="Q206" s="52">
        <f t="shared" si="164"/>
        <v>0</v>
      </c>
      <c r="R206" s="8"/>
      <c r="S206" s="6"/>
      <c r="T206" s="7"/>
      <c r="U206" s="52">
        <f t="shared" si="165"/>
        <v>0</v>
      </c>
      <c r="V206" s="60">
        <f t="shared" si="166"/>
        <v>0</v>
      </c>
    </row>
    <row r="207" spans="1:22" x14ac:dyDescent="0.15">
      <c r="A207" s="17" t="s">
        <v>137</v>
      </c>
      <c r="B207" s="5">
        <v>1</v>
      </c>
      <c r="C207" s="6"/>
      <c r="D207" s="7"/>
      <c r="E207" s="52">
        <f t="shared" si="161"/>
        <v>1</v>
      </c>
      <c r="F207" s="8">
        <v>1</v>
      </c>
      <c r="G207" s="6"/>
      <c r="H207" s="7"/>
      <c r="I207" s="52">
        <f t="shared" si="162"/>
        <v>1</v>
      </c>
      <c r="J207" s="60">
        <f t="shared" si="163"/>
        <v>2</v>
      </c>
      <c r="K207" s="40">
        <v>45835</v>
      </c>
      <c r="L207" s="49"/>
      <c r="M207" s="20"/>
      <c r="N207" s="5"/>
      <c r="O207" s="6"/>
      <c r="P207" s="7"/>
      <c r="Q207" s="52">
        <f t="shared" si="164"/>
        <v>0</v>
      </c>
      <c r="R207" s="8"/>
      <c r="S207" s="6"/>
      <c r="T207" s="7"/>
      <c r="U207" s="52">
        <f t="shared" si="165"/>
        <v>0</v>
      </c>
      <c r="V207" s="60">
        <f t="shared" si="166"/>
        <v>0</v>
      </c>
    </row>
    <row r="208" spans="1:22" x14ac:dyDescent="0.15">
      <c r="A208" s="17" t="s">
        <v>138</v>
      </c>
      <c r="B208" s="5"/>
      <c r="C208" s="6">
        <v>1</v>
      </c>
      <c r="D208" s="7"/>
      <c r="E208" s="52">
        <f t="shared" si="161"/>
        <v>1</v>
      </c>
      <c r="F208" s="8"/>
      <c r="G208" s="6">
        <v>1</v>
      </c>
      <c r="H208" s="7"/>
      <c r="I208" s="52">
        <f t="shared" si="162"/>
        <v>1</v>
      </c>
      <c r="J208" s="60">
        <f t="shared" si="163"/>
        <v>2</v>
      </c>
      <c r="K208" s="40">
        <v>45842</v>
      </c>
      <c r="L208" s="49"/>
      <c r="M208" s="18"/>
      <c r="N208" s="5"/>
      <c r="O208" s="6"/>
      <c r="P208" s="7"/>
      <c r="Q208" s="52">
        <f t="shared" si="164"/>
        <v>0</v>
      </c>
      <c r="R208" s="8"/>
      <c r="S208" s="6"/>
      <c r="T208" s="7"/>
      <c r="U208" s="52">
        <f t="shared" si="165"/>
        <v>0</v>
      </c>
      <c r="V208" s="60">
        <f t="shared" si="166"/>
        <v>0</v>
      </c>
    </row>
    <row r="209" spans="1:22" x14ac:dyDescent="0.15">
      <c r="A209" s="17" t="s">
        <v>139</v>
      </c>
      <c r="B209" s="5"/>
      <c r="C209" s="6">
        <v>1</v>
      </c>
      <c r="D209" s="7"/>
      <c r="E209" s="52">
        <f t="shared" si="161"/>
        <v>1</v>
      </c>
      <c r="F209" s="8"/>
      <c r="G209" s="6">
        <v>1</v>
      </c>
      <c r="H209" s="7"/>
      <c r="I209" s="52">
        <f t="shared" si="162"/>
        <v>1</v>
      </c>
      <c r="J209" s="60">
        <f t="shared" si="163"/>
        <v>2</v>
      </c>
      <c r="K209" s="40">
        <v>45845</v>
      </c>
      <c r="L209" s="49"/>
      <c r="M209" s="20"/>
      <c r="N209" s="5"/>
      <c r="O209" s="6"/>
      <c r="P209" s="7"/>
      <c r="Q209" s="52">
        <f t="shared" si="164"/>
        <v>0</v>
      </c>
      <c r="R209" s="8"/>
      <c r="S209" s="6"/>
      <c r="T209" s="7"/>
      <c r="U209" s="52">
        <f t="shared" si="165"/>
        <v>0</v>
      </c>
      <c r="V209" s="60">
        <f t="shared" si="166"/>
        <v>0</v>
      </c>
    </row>
    <row r="210" spans="1:22" x14ac:dyDescent="0.15">
      <c r="A210" s="17" t="s">
        <v>141</v>
      </c>
      <c r="B210" s="5">
        <v>2</v>
      </c>
      <c r="C210" s="6">
        <v>4</v>
      </c>
      <c r="D210" s="7">
        <v>3</v>
      </c>
      <c r="E210" s="52">
        <f t="shared" si="161"/>
        <v>9</v>
      </c>
      <c r="F210" s="8">
        <v>2</v>
      </c>
      <c r="G210" s="6">
        <v>4</v>
      </c>
      <c r="H210" s="7">
        <v>3</v>
      </c>
      <c r="I210" s="52">
        <f t="shared" si="162"/>
        <v>9</v>
      </c>
      <c r="J210" s="60">
        <f t="shared" si="163"/>
        <v>18</v>
      </c>
      <c r="K210" s="40">
        <v>45854</v>
      </c>
      <c r="L210" s="49"/>
      <c r="M210" s="20"/>
      <c r="N210" s="5"/>
      <c r="O210" s="6"/>
      <c r="P210" s="7"/>
      <c r="Q210" s="52">
        <f t="shared" si="164"/>
        <v>0</v>
      </c>
      <c r="R210" s="8"/>
      <c r="S210" s="6"/>
      <c r="T210" s="7"/>
      <c r="U210" s="52">
        <f t="shared" si="165"/>
        <v>0</v>
      </c>
      <c r="V210" s="60">
        <f t="shared" si="166"/>
        <v>0</v>
      </c>
    </row>
    <row r="211" spans="1:22" x14ac:dyDescent="0.15">
      <c r="A211" s="17" t="s">
        <v>142</v>
      </c>
      <c r="B211" s="9"/>
      <c r="C211" s="10">
        <v>5</v>
      </c>
      <c r="D211" s="11"/>
      <c r="E211" s="52">
        <f t="shared" si="161"/>
        <v>5</v>
      </c>
      <c r="F211" s="12"/>
      <c r="G211" s="10">
        <v>5</v>
      </c>
      <c r="H211" s="11"/>
      <c r="I211" s="52">
        <f t="shared" si="162"/>
        <v>5</v>
      </c>
      <c r="J211" s="60">
        <f t="shared" si="163"/>
        <v>10</v>
      </c>
      <c r="K211" s="40">
        <v>45856</v>
      </c>
      <c r="L211" s="49"/>
      <c r="M211" s="44"/>
      <c r="N211" s="9"/>
      <c r="O211" s="10"/>
      <c r="P211" s="11"/>
      <c r="Q211" s="52">
        <f t="shared" si="164"/>
        <v>0</v>
      </c>
      <c r="R211" s="12"/>
      <c r="S211" s="10"/>
      <c r="T211" s="11"/>
      <c r="U211" s="52">
        <f t="shared" si="165"/>
        <v>0</v>
      </c>
      <c r="V211" s="60">
        <f t="shared" si="166"/>
        <v>0</v>
      </c>
    </row>
    <row r="212" spans="1:22" x14ac:dyDescent="0.15">
      <c r="A212" s="17" t="s">
        <v>143</v>
      </c>
      <c r="B212" s="5"/>
      <c r="C212" s="6">
        <v>1</v>
      </c>
      <c r="D212" s="7"/>
      <c r="E212" s="52">
        <f t="shared" si="161"/>
        <v>1</v>
      </c>
      <c r="F212" s="8"/>
      <c r="G212" s="6">
        <v>1</v>
      </c>
      <c r="H212" s="7"/>
      <c r="I212" s="52">
        <f t="shared" si="162"/>
        <v>1</v>
      </c>
      <c r="J212" s="60">
        <f t="shared" si="163"/>
        <v>2</v>
      </c>
      <c r="K212" s="40">
        <v>45860</v>
      </c>
      <c r="M212" s="20"/>
      <c r="N212" s="5"/>
      <c r="O212" s="6"/>
      <c r="P212" s="7"/>
      <c r="Q212" s="52">
        <f t="shared" si="164"/>
        <v>0</v>
      </c>
      <c r="R212" s="8"/>
      <c r="S212" s="6"/>
      <c r="T212" s="7"/>
      <c r="U212" s="52">
        <f t="shared" si="165"/>
        <v>0</v>
      </c>
      <c r="V212" s="60">
        <f t="shared" si="166"/>
        <v>0</v>
      </c>
    </row>
    <row r="213" spans="1:22" x14ac:dyDescent="0.15">
      <c r="A213" s="17"/>
      <c r="B213" s="5"/>
      <c r="C213" s="6"/>
      <c r="D213" s="7"/>
      <c r="E213" s="52">
        <f t="shared" ref="E213:E214" si="167">SUM(B213:D213)</f>
        <v>0</v>
      </c>
      <c r="F213" s="8"/>
      <c r="G213" s="6"/>
      <c r="H213" s="7"/>
      <c r="I213" s="52">
        <f t="shared" ref="I213:I214" si="168">SUM(F213:H213)</f>
        <v>0</v>
      </c>
      <c r="J213" s="60">
        <f t="shared" ref="J213:J214" si="169">E213+I213</f>
        <v>0</v>
      </c>
      <c r="K213" s="40"/>
      <c r="M213" s="20"/>
      <c r="N213" s="5"/>
      <c r="O213" s="6"/>
      <c r="P213" s="7"/>
      <c r="Q213" s="52">
        <f t="shared" si="164"/>
        <v>0</v>
      </c>
      <c r="R213" s="8"/>
      <c r="S213" s="6"/>
      <c r="T213" s="7"/>
      <c r="U213" s="52">
        <f t="shared" si="165"/>
        <v>0</v>
      </c>
      <c r="V213" s="60">
        <f t="shared" si="166"/>
        <v>0</v>
      </c>
    </row>
    <row r="214" spans="1:22" x14ac:dyDescent="0.15">
      <c r="A214" s="17" t="s">
        <v>90</v>
      </c>
      <c r="B214" s="5"/>
      <c r="C214" s="6"/>
      <c r="D214" s="7"/>
      <c r="E214" s="52">
        <f t="shared" si="167"/>
        <v>0</v>
      </c>
      <c r="F214" s="8"/>
      <c r="G214" s="6"/>
      <c r="H214" s="7"/>
      <c r="I214" s="52">
        <f t="shared" si="168"/>
        <v>0</v>
      </c>
      <c r="J214" s="60">
        <f t="shared" si="169"/>
        <v>0</v>
      </c>
      <c r="K214" s="40" t="s">
        <v>91</v>
      </c>
      <c r="M214" s="20"/>
      <c r="N214" s="5"/>
      <c r="O214" s="6"/>
      <c r="P214" s="7"/>
      <c r="Q214" s="52">
        <f t="shared" si="164"/>
        <v>0</v>
      </c>
      <c r="R214" s="8"/>
      <c r="S214" s="6"/>
      <c r="T214" s="7"/>
      <c r="U214" s="52">
        <f t="shared" si="165"/>
        <v>0</v>
      </c>
      <c r="V214" s="60">
        <f t="shared" si="166"/>
        <v>0</v>
      </c>
    </row>
    <row r="215" spans="1:22" ht="14.25" thickBot="1" x14ac:dyDescent="0.2">
      <c r="A215" s="17" t="s">
        <v>124</v>
      </c>
      <c r="B215" s="5"/>
      <c r="C215" s="6"/>
      <c r="D215" s="7"/>
      <c r="E215" s="52">
        <f t="shared" si="161"/>
        <v>0</v>
      </c>
      <c r="F215" s="8"/>
      <c r="G215" s="6"/>
      <c r="H215" s="7"/>
      <c r="I215" s="52">
        <f t="shared" si="162"/>
        <v>0</v>
      </c>
      <c r="J215" s="60">
        <f t="shared" si="163"/>
        <v>0</v>
      </c>
      <c r="K215" s="40" t="s">
        <v>125</v>
      </c>
      <c r="M215" s="20"/>
      <c r="N215" s="5"/>
      <c r="O215" s="6"/>
      <c r="P215" s="7"/>
      <c r="Q215" s="52">
        <f t="shared" si="164"/>
        <v>0</v>
      </c>
      <c r="R215" s="8"/>
      <c r="S215" s="6"/>
      <c r="T215" s="7"/>
      <c r="U215" s="52">
        <f t="shared" si="165"/>
        <v>0</v>
      </c>
      <c r="V215" s="60">
        <f t="shared" si="166"/>
        <v>0</v>
      </c>
    </row>
    <row r="216" spans="1:22" ht="14.25" thickBot="1" x14ac:dyDescent="0.2">
      <c r="A216" s="31" t="s">
        <v>18</v>
      </c>
      <c r="B216" s="34">
        <f>SUM(B190:B215)</f>
        <v>9</v>
      </c>
      <c r="C216" s="35">
        <f t="shared" ref="C216:D216" si="170">SUM(C190:C215)</f>
        <v>31</v>
      </c>
      <c r="D216" s="39">
        <f t="shared" si="170"/>
        <v>17</v>
      </c>
      <c r="E216" s="57">
        <f t="shared" si="161"/>
        <v>57</v>
      </c>
      <c r="F216" s="34">
        <f>SUM(F190:F215)</f>
        <v>9</v>
      </c>
      <c r="G216" s="35">
        <f t="shared" ref="G216:H216" si="171">SUM(G190:G215)</f>
        <v>31</v>
      </c>
      <c r="H216" s="39">
        <f t="shared" si="171"/>
        <v>17</v>
      </c>
      <c r="I216" s="57">
        <f t="shared" si="162"/>
        <v>57</v>
      </c>
      <c r="J216" s="63">
        <f>E216+I216</f>
        <v>114</v>
      </c>
      <c r="M216" s="31" t="s">
        <v>18</v>
      </c>
      <c r="N216" s="34">
        <f>SUM(N190:N215)</f>
        <v>0</v>
      </c>
      <c r="O216" s="35">
        <f t="shared" ref="O216:P216" si="172">SUM(O190:O215)</f>
        <v>0</v>
      </c>
      <c r="P216" s="39">
        <f t="shared" si="172"/>
        <v>0</v>
      </c>
      <c r="Q216" s="57">
        <f t="shared" si="164"/>
        <v>0</v>
      </c>
      <c r="R216" s="34">
        <f>SUM(R190:R215)</f>
        <v>0</v>
      </c>
      <c r="S216" s="35">
        <f t="shared" ref="S216:T216" si="173">SUM(S190:S215)</f>
        <v>0</v>
      </c>
      <c r="T216" s="39">
        <f t="shared" si="173"/>
        <v>0</v>
      </c>
      <c r="U216" s="57">
        <f t="shared" si="165"/>
        <v>0</v>
      </c>
      <c r="V216" s="63">
        <f>Q216+U216</f>
        <v>0</v>
      </c>
    </row>
    <row r="217" spans="1:22" ht="14.25" thickBot="1" x14ac:dyDescent="0.2">
      <c r="A217" s="16" t="s">
        <v>17</v>
      </c>
      <c r="B217" s="64">
        <f>B189-B216</f>
        <v>6</v>
      </c>
      <c r="C217" s="65">
        <f t="shared" ref="C217:D217" si="174">C189-C216</f>
        <v>1</v>
      </c>
      <c r="D217" s="66">
        <f t="shared" si="174"/>
        <v>4</v>
      </c>
      <c r="E217" s="58">
        <f>SUM(B217:D217)</f>
        <v>11</v>
      </c>
      <c r="F217" s="64">
        <f>F189-F216</f>
        <v>6</v>
      </c>
      <c r="G217" s="65">
        <f t="shared" ref="G217:H217" si="175">G189-G216</f>
        <v>1</v>
      </c>
      <c r="H217" s="66">
        <f t="shared" si="175"/>
        <v>4</v>
      </c>
      <c r="I217" s="58">
        <f>SUM(F217:H217)</f>
        <v>11</v>
      </c>
      <c r="J217" s="62">
        <f>E217+I217</f>
        <v>22</v>
      </c>
      <c r="M217" s="16" t="s">
        <v>17</v>
      </c>
      <c r="N217" s="64">
        <f>N189-N216</f>
        <v>0</v>
      </c>
      <c r="O217" s="65">
        <f t="shared" ref="O217:P217" si="176">O189-O216</f>
        <v>0</v>
      </c>
      <c r="P217" s="66">
        <f t="shared" si="176"/>
        <v>0</v>
      </c>
      <c r="Q217" s="58">
        <f>SUM(N217:P217)</f>
        <v>0</v>
      </c>
      <c r="R217" s="64">
        <f>R189-R216</f>
        <v>0</v>
      </c>
      <c r="S217" s="65">
        <f t="shared" ref="S217:T217" si="177">S189-S216</f>
        <v>0</v>
      </c>
      <c r="T217" s="66">
        <f t="shared" si="177"/>
        <v>0</v>
      </c>
      <c r="U217" s="58">
        <f>SUM(R217:T217)</f>
        <v>0</v>
      </c>
      <c r="V217" s="62">
        <f>Q217+U217</f>
        <v>0</v>
      </c>
    </row>
    <row r="221" spans="1:22" ht="18" thickBot="1" x14ac:dyDescent="0.25">
      <c r="A221" s="73" t="s">
        <v>23</v>
      </c>
      <c r="B221" s="74"/>
      <c r="C221" s="74"/>
      <c r="D221" s="74"/>
      <c r="E221" s="74"/>
      <c r="F221" s="74"/>
      <c r="G221" s="74"/>
      <c r="H221" s="74"/>
      <c r="I221" s="74"/>
      <c r="J221" s="74"/>
      <c r="M221" s="73" t="s">
        <v>24</v>
      </c>
      <c r="N221" s="74"/>
      <c r="O221" s="74"/>
      <c r="P221" s="74"/>
      <c r="Q221" s="74"/>
      <c r="R221" s="74"/>
      <c r="S221" s="74"/>
      <c r="T221" s="74"/>
      <c r="U221" s="74"/>
      <c r="V221" s="74"/>
    </row>
    <row r="222" spans="1:22" ht="14.25" thickBot="1" x14ac:dyDescent="0.2">
      <c r="A222" s="4" t="s">
        <v>0</v>
      </c>
      <c r="B222" s="97" t="s">
        <v>21</v>
      </c>
      <c r="C222" s="97"/>
      <c r="D222" s="97"/>
      <c r="E222" s="98"/>
      <c r="F222" s="99" t="s">
        <v>22</v>
      </c>
      <c r="G222" s="99"/>
      <c r="H222" s="99"/>
      <c r="I222" s="100"/>
      <c r="J222" s="95" t="s">
        <v>1</v>
      </c>
      <c r="M222" s="4" t="s">
        <v>0</v>
      </c>
      <c r="N222" s="97" t="s">
        <v>21</v>
      </c>
      <c r="O222" s="97"/>
      <c r="P222" s="97"/>
      <c r="Q222" s="98"/>
      <c r="R222" s="99" t="s">
        <v>22</v>
      </c>
      <c r="S222" s="99"/>
      <c r="T222" s="99"/>
      <c r="U222" s="100"/>
      <c r="V222" s="95" t="s">
        <v>1</v>
      </c>
    </row>
    <row r="223" spans="1:22" ht="14.25" thickBot="1" x14ac:dyDescent="0.2">
      <c r="A223" s="4" t="s">
        <v>2</v>
      </c>
      <c r="B223" s="1" t="s">
        <v>3</v>
      </c>
      <c r="C223" s="2" t="s">
        <v>4</v>
      </c>
      <c r="D223" s="3" t="s">
        <v>5</v>
      </c>
      <c r="E223" s="4" t="s">
        <v>6</v>
      </c>
      <c r="F223" s="1" t="s">
        <v>3</v>
      </c>
      <c r="G223" s="2" t="s">
        <v>4</v>
      </c>
      <c r="H223" s="3" t="s">
        <v>5</v>
      </c>
      <c r="I223" s="4" t="s">
        <v>6</v>
      </c>
      <c r="J223" s="96"/>
      <c r="M223" s="4" t="s">
        <v>2</v>
      </c>
      <c r="N223" s="1" t="s">
        <v>3</v>
      </c>
      <c r="O223" s="2" t="s">
        <v>4</v>
      </c>
      <c r="P223" s="3" t="s">
        <v>5</v>
      </c>
      <c r="Q223" s="4" t="s">
        <v>6</v>
      </c>
      <c r="R223" s="1" t="s">
        <v>3</v>
      </c>
      <c r="S223" s="2" t="s">
        <v>4</v>
      </c>
      <c r="T223" s="3" t="s">
        <v>5</v>
      </c>
      <c r="U223" s="4" t="s">
        <v>6</v>
      </c>
      <c r="V223" s="96"/>
    </row>
    <row r="224" spans="1:22" ht="14.25" thickBot="1" x14ac:dyDescent="0.2">
      <c r="A224" s="21" t="s">
        <v>19</v>
      </c>
      <c r="B224" s="22">
        <f>B217</f>
        <v>6</v>
      </c>
      <c r="C224" s="23">
        <f>C217</f>
        <v>1</v>
      </c>
      <c r="D224" s="24">
        <f>D217</f>
        <v>4</v>
      </c>
      <c r="E224" s="55">
        <f>SUM(B224:D224)</f>
        <v>11</v>
      </c>
      <c r="F224" s="22">
        <f>F217</f>
        <v>6</v>
      </c>
      <c r="G224" s="23">
        <f>G217</f>
        <v>1</v>
      </c>
      <c r="H224" s="24">
        <f>H217</f>
        <v>4</v>
      </c>
      <c r="I224" s="55">
        <f>SUM(F224:H224)</f>
        <v>11</v>
      </c>
      <c r="J224" s="62">
        <f>E224+I224</f>
        <v>22</v>
      </c>
      <c r="M224" s="21" t="s">
        <v>19</v>
      </c>
      <c r="N224" s="67">
        <f>N217</f>
        <v>0</v>
      </c>
      <c r="O224" s="68">
        <f>O217</f>
        <v>0</v>
      </c>
      <c r="P224" s="69">
        <f>P217</f>
        <v>0</v>
      </c>
      <c r="Q224" s="70">
        <f>SUM(N224:P224)</f>
        <v>0</v>
      </c>
      <c r="R224" s="67">
        <f>R217</f>
        <v>0</v>
      </c>
      <c r="S224" s="68">
        <f>S217</f>
        <v>0</v>
      </c>
      <c r="T224" s="69">
        <f>T217</f>
        <v>0</v>
      </c>
      <c r="U224" s="70">
        <f>SUM(R224:T224)</f>
        <v>0</v>
      </c>
      <c r="V224" s="71">
        <f>Q224+U224</f>
        <v>0</v>
      </c>
    </row>
    <row r="225" spans="1:22" x14ac:dyDescent="0.15">
      <c r="A225" s="19" t="s">
        <v>8</v>
      </c>
      <c r="B225" s="9"/>
      <c r="C225" s="10">
        <v>3</v>
      </c>
      <c r="D225" s="37"/>
      <c r="E225" s="53">
        <f t="shared" ref="E225:E230" si="178">SUM(B225:D225)</f>
        <v>3</v>
      </c>
      <c r="F225" s="12"/>
      <c r="G225" s="10">
        <v>3</v>
      </c>
      <c r="H225" s="11"/>
      <c r="I225" s="53">
        <f t="shared" ref="I225:I230" si="179">SUM(F225:H225)</f>
        <v>3</v>
      </c>
      <c r="J225" s="60">
        <f t="shared" ref="J225:J230" si="180">E225+I225</f>
        <v>6</v>
      </c>
      <c r="K225" s="40">
        <v>45861</v>
      </c>
      <c r="M225" s="19" t="s">
        <v>8</v>
      </c>
      <c r="N225" s="32"/>
      <c r="O225" s="33"/>
      <c r="P225" s="45"/>
      <c r="Q225" s="51">
        <f>SUM(N225:P225)</f>
        <v>0</v>
      </c>
      <c r="R225" s="46"/>
      <c r="S225" s="47"/>
      <c r="T225" s="48"/>
      <c r="U225" s="51">
        <f>SUM(R225:T225)</f>
        <v>0</v>
      </c>
      <c r="V225" s="59">
        <f>Q225+U225</f>
        <v>0</v>
      </c>
    </row>
    <row r="226" spans="1:22" x14ac:dyDescent="0.15">
      <c r="A226" s="19" t="s">
        <v>9</v>
      </c>
      <c r="B226" s="9"/>
      <c r="C226" s="10">
        <v>3</v>
      </c>
      <c r="D226" s="37">
        <v>3</v>
      </c>
      <c r="E226" s="53">
        <f t="shared" si="178"/>
        <v>6</v>
      </c>
      <c r="F226" s="12"/>
      <c r="G226" s="10">
        <v>3</v>
      </c>
      <c r="H226" s="11">
        <v>3</v>
      </c>
      <c r="I226" s="53">
        <f t="shared" si="179"/>
        <v>6</v>
      </c>
      <c r="J226" s="60">
        <f t="shared" si="180"/>
        <v>12</v>
      </c>
      <c r="K226" s="40">
        <v>45867</v>
      </c>
      <c r="M226" s="19" t="s">
        <v>9</v>
      </c>
      <c r="N226" s="5"/>
      <c r="O226" s="6"/>
      <c r="P226" s="36"/>
      <c r="Q226" s="53">
        <f t="shared" ref="Q226:Q229" si="181">SUM(N226:P226)</f>
        <v>0</v>
      </c>
      <c r="R226" s="8"/>
      <c r="S226" s="6"/>
      <c r="T226" s="7"/>
      <c r="U226" s="53">
        <f t="shared" ref="U226:U229" si="182">SUM(R226:T226)</f>
        <v>0</v>
      </c>
      <c r="V226" s="60">
        <f t="shared" ref="V226:V229" si="183">Q226+U226</f>
        <v>0</v>
      </c>
    </row>
    <row r="227" spans="1:22" x14ac:dyDescent="0.15">
      <c r="A227" s="19" t="s">
        <v>10</v>
      </c>
      <c r="B227" s="9"/>
      <c r="C227" s="10"/>
      <c r="D227" s="37">
        <v>3</v>
      </c>
      <c r="E227" s="53">
        <f t="shared" si="178"/>
        <v>3</v>
      </c>
      <c r="F227" s="12"/>
      <c r="G227" s="10"/>
      <c r="H227" s="11">
        <v>3</v>
      </c>
      <c r="I227" s="53">
        <f t="shared" si="179"/>
        <v>3</v>
      </c>
      <c r="J227" s="60">
        <f t="shared" si="180"/>
        <v>6</v>
      </c>
      <c r="K227" s="40">
        <v>45871</v>
      </c>
      <c r="M227" s="19" t="s">
        <v>10</v>
      </c>
      <c r="N227" s="5"/>
      <c r="O227" s="6"/>
      <c r="P227" s="36"/>
      <c r="Q227" s="53">
        <f t="shared" si="181"/>
        <v>0</v>
      </c>
      <c r="R227" s="8"/>
      <c r="S227" s="6"/>
      <c r="T227" s="7"/>
      <c r="U227" s="53">
        <f t="shared" si="182"/>
        <v>0</v>
      </c>
      <c r="V227" s="60">
        <f t="shared" si="183"/>
        <v>0</v>
      </c>
    </row>
    <row r="228" spans="1:22" x14ac:dyDescent="0.15">
      <c r="A228" s="19" t="s">
        <v>11</v>
      </c>
      <c r="B228" s="9"/>
      <c r="C228" s="10">
        <v>3</v>
      </c>
      <c r="D228" s="37">
        <v>3</v>
      </c>
      <c r="E228" s="53">
        <f t="shared" si="178"/>
        <v>6</v>
      </c>
      <c r="F228" s="12"/>
      <c r="G228" s="10">
        <v>3</v>
      </c>
      <c r="H228" s="11">
        <v>3</v>
      </c>
      <c r="I228" s="53">
        <f t="shared" si="179"/>
        <v>6</v>
      </c>
      <c r="J228" s="60">
        <f t="shared" si="180"/>
        <v>12</v>
      </c>
      <c r="K228" s="40">
        <v>45876</v>
      </c>
      <c r="M228" s="19" t="s">
        <v>11</v>
      </c>
      <c r="N228" s="5"/>
      <c r="O228" s="6"/>
      <c r="P228" s="36"/>
      <c r="Q228" s="53">
        <f t="shared" si="181"/>
        <v>0</v>
      </c>
      <c r="R228" s="8"/>
      <c r="S228" s="6"/>
      <c r="T228" s="7"/>
      <c r="U228" s="53">
        <f t="shared" si="182"/>
        <v>0</v>
      </c>
      <c r="V228" s="60">
        <f t="shared" si="183"/>
        <v>0</v>
      </c>
    </row>
    <row r="229" spans="1:22" x14ac:dyDescent="0.15">
      <c r="A229" s="19" t="s">
        <v>48</v>
      </c>
      <c r="B229" s="9"/>
      <c r="C229" s="10">
        <v>1</v>
      </c>
      <c r="D229" s="37"/>
      <c r="E229" s="53">
        <f t="shared" si="178"/>
        <v>1</v>
      </c>
      <c r="F229" s="12"/>
      <c r="G229" s="10">
        <v>1</v>
      </c>
      <c r="H229" s="11"/>
      <c r="I229" s="53">
        <f t="shared" si="179"/>
        <v>1</v>
      </c>
      <c r="J229" s="60">
        <f t="shared" si="180"/>
        <v>2</v>
      </c>
      <c r="K229" s="41">
        <v>45874</v>
      </c>
      <c r="M229" s="19" t="s">
        <v>12</v>
      </c>
      <c r="N229" s="5"/>
      <c r="O229" s="6"/>
      <c r="P229" s="36"/>
      <c r="Q229" s="53">
        <f t="shared" si="181"/>
        <v>0</v>
      </c>
      <c r="R229" s="8"/>
      <c r="S229" s="6"/>
      <c r="T229" s="7"/>
      <c r="U229" s="53">
        <f t="shared" si="182"/>
        <v>0</v>
      </c>
      <c r="V229" s="60">
        <f t="shared" si="183"/>
        <v>0</v>
      </c>
    </row>
    <row r="230" spans="1:22" x14ac:dyDescent="0.15">
      <c r="A230" s="19" t="s">
        <v>63</v>
      </c>
      <c r="B230" s="9">
        <v>0</v>
      </c>
      <c r="C230" s="10">
        <v>0</v>
      </c>
      <c r="D230" s="37">
        <v>0</v>
      </c>
      <c r="E230" s="53">
        <f t="shared" si="178"/>
        <v>0</v>
      </c>
      <c r="F230" s="12">
        <v>0</v>
      </c>
      <c r="G230" s="10">
        <v>0</v>
      </c>
      <c r="H230" s="11">
        <v>0</v>
      </c>
      <c r="I230" s="53">
        <f t="shared" si="179"/>
        <v>0</v>
      </c>
      <c r="J230" s="60">
        <f t="shared" si="180"/>
        <v>0</v>
      </c>
      <c r="K230" s="41">
        <v>45890</v>
      </c>
      <c r="M230" s="19" t="s">
        <v>13</v>
      </c>
      <c r="N230" s="5"/>
      <c r="O230" s="6"/>
      <c r="P230" s="36"/>
      <c r="Q230" s="53">
        <f>SUM(N230:P230)</f>
        <v>0</v>
      </c>
      <c r="R230" s="8"/>
      <c r="S230" s="6"/>
      <c r="T230" s="7"/>
      <c r="U230" s="53">
        <f>SUM(R230:T230)</f>
        <v>0</v>
      </c>
      <c r="V230" s="60">
        <f>Q230+U230</f>
        <v>0</v>
      </c>
    </row>
    <row r="231" spans="1:22" x14ac:dyDescent="0.15">
      <c r="A231" s="19" t="s">
        <v>48</v>
      </c>
      <c r="B231" s="9"/>
      <c r="C231" s="10"/>
      <c r="D231" s="37">
        <v>1</v>
      </c>
      <c r="E231" s="53">
        <f t="shared" ref="E231:E232" si="184">SUM(B231:D231)</f>
        <v>1</v>
      </c>
      <c r="F231" s="12"/>
      <c r="G231" s="10"/>
      <c r="H231" s="11">
        <v>1</v>
      </c>
      <c r="I231" s="53">
        <f t="shared" ref="I231:I232" si="185">SUM(F231:H231)</f>
        <v>1</v>
      </c>
      <c r="J231" s="60">
        <f t="shared" ref="J231:J232" si="186">E231+I231</f>
        <v>2</v>
      </c>
      <c r="K231" s="41">
        <v>45909</v>
      </c>
      <c r="M231" s="19" t="s">
        <v>14</v>
      </c>
      <c r="N231" s="9"/>
      <c r="O231" s="10"/>
      <c r="P231" s="37"/>
      <c r="Q231" s="53">
        <f t="shared" ref="Q231:Q232" si="187">SUM(N231:P231)</f>
        <v>0</v>
      </c>
      <c r="R231" s="12"/>
      <c r="S231" s="10"/>
      <c r="T231" s="11"/>
      <c r="U231" s="53">
        <f t="shared" ref="U231:U232" si="188">SUM(R231:T231)</f>
        <v>0</v>
      </c>
      <c r="V231" s="60">
        <f t="shared" ref="V231:V232" si="189">Q231+U231</f>
        <v>0</v>
      </c>
    </row>
    <row r="232" spans="1:22" ht="14.25" thickBot="1" x14ac:dyDescent="0.2">
      <c r="A232" s="19" t="s">
        <v>15</v>
      </c>
      <c r="B232" s="25">
        <v>5</v>
      </c>
      <c r="C232" s="26">
        <v>10</v>
      </c>
      <c r="D232" s="38">
        <v>5</v>
      </c>
      <c r="E232" s="54">
        <f t="shared" si="184"/>
        <v>20</v>
      </c>
      <c r="F232" s="27">
        <v>5</v>
      </c>
      <c r="G232" s="27">
        <v>10</v>
      </c>
      <c r="H232" s="29">
        <v>5</v>
      </c>
      <c r="I232" s="54">
        <f t="shared" si="185"/>
        <v>20</v>
      </c>
      <c r="J232" s="61">
        <f t="shared" si="186"/>
        <v>40</v>
      </c>
      <c r="K232" s="40">
        <v>45936</v>
      </c>
      <c r="M232" s="19" t="s">
        <v>15</v>
      </c>
      <c r="N232" s="25"/>
      <c r="O232" s="26"/>
      <c r="P232" s="38"/>
      <c r="Q232" s="54">
        <f t="shared" si="187"/>
        <v>0</v>
      </c>
      <c r="R232" s="27"/>
      <c r="S232" s="27"/>
      <c r="T232" s="29"/>
      <c r="U232" s="54">
        <f t="shared" si="188"/>
        <v>0</v>
      </c>
      <c r="V232" s="61">
        <f t="shared" si="189"/>
        <v>0</v>
      </c>
    </row>
    <row r="233" spans="1:22" ht="14.25" thickBot="1" x14ac:dyDescent="0.2">
      <c r="A233" s="28" t="s">
        <v>16</v>
      </c>
      <c r="B233" s="22">
        <f>SUM(B224:B232)</f>
        <v>11</v>
      </c>
      <c r="C233" s="23">
        <f t="shared" ref="C233:D233" si="190">SUM(C224:C232)</f>
        <v>21</v>
      </c>
      <c r="D233" s="24">
        <f t="shared" si="190"/>
        <v>19</v>
      </c>
      <c r="E233" s="55">
        <f>SUM(B233:D233)</f>
        <v>51</v>
      </c>
      <c r="F233" s="22">
        <f>SUM(F224:F232)</f>
        <v>11</v>
      </c>
      <c r="G233" s="23">
        <f t="shared" ref="G233:H233" si="191">SUM(G224:G232)</f>
        <v>21</v>
      </c>
      <c r="H233" s="24">
        <f t="shared" si="191"/>
        <v>19</v>
      </c>
      <c r="I233" s="55">
        <f>SUM(F233:H233)</f>
        <v>51</v>
      </c>
      <c r="J233" s="62">
        <f>SUM(J225:J232)</f>
        <v>80</v>
      </c>
      <c r="M233" s="28" t="s">
        <v>16</v>
      </c>
      <c r="N233" s="22">
        <f>SUM(N224:N232)</f>
        <v>0</v>
      </c>
      <c r="O233" s="23">
        <f t="shared" ref="O233:P233" si="192">SUM(O224:O232)</f>
        <v>0</v>
      </c>
      <c r="P233" s="24">
        <f t="shared" si="192"/>
        <v>0</v>
      </c>
      <c r="Q233" s="55">
        <f>SUM(N233:P233)</f>
        <v>0</v>
      </c>
      <c r="R233" s="22">
        <f>SUM(R224:R232)</f>
        <v>0</v>
      </c>
      <c r="S233" s="23">
        <f t="shared" ref="S233:T233" si="193">SUM(S224:S232)</f>
        <v>0</v>
      </c>
      <c r="T233" s="24">
        <f t="shared" si="193"/>
        <v>0</v>
      </c>
      <c r="U233" s="55">
        <f>SUM(R233:T233)</f>
        <v>0</v>
      </c>
      <c r="V233" s="62">
        <f>Q233+U233</f>
        <v>0</v>
      </c>
    </row>
    <row r="234" spans="1:22" x14ac:dyDescent="0.15">
      <c r="A234" s="17" t="s">
        <v>144</v>
      </c>
      <c r="B234" s="5"/>
      <c r="C234" s="6">
        <v>1</v>
      </c>
      <c r="D234" s="7"/>
      <c r="E234" s="52">
        <f t="shared" ref="E234:E250" si="194">SUM(B234:D234)</f>
        <v>1</v>
      </c>
      <c r="F234" s="8"/>
      <c r="G234" s="6">
        <v>1</v>
      </c>
      <c r="H234" s="7"/>
      <c r="I234" s="52">
        <f t="shared" ref="I234:I250" si="195">SUM(F234:H234)</f>
        <v>1</v>
      </c>
      <c r="J234" s="60">
        <f t="shared" ref="J234:J250" si="196">E234+I234</f>
        <v>2</v>
      </c>
      <c r="K234" s="40">
        <v>45862</v>
      </c>
      <c r="M234" s="18"/>
      <c r="N234" s="9"/>
      <c r="O234" s="10"/>
      <c r="P234" s="11"/>
      <c r="Q234" s="52">
        <f>SUM(N234:P234)</f>
        <v>0</v>
      </c>
      <c r="R234" s="12"/>
      <c r="S234" s="10"/>
      <c r="T234" s="11"/>
      <c r="U234" s="52">
        <f>SUM(R234:T234)</f>
        <v>0</v>
      </c>
      <c r="V234" s="60">
        <f>Q234+U234</f>
        <v>0</v>
      </c>
    </row>
    <row r="235" spans="1:22" x14ac:dyDescent="0.15">
      <c r="A235" s="17" t="s">
        <v>145</v>
      </c>
      <c r="B235" s="5"/>
      <c r="C235" s="6">
        <v>1</v>
      </c>
      <c r="D235" s="7">
        <v>1</v>
      </c>
      <c r="E235" s="52">
        <f t="shared" si="194"/>
        <v>2</v>
      </c>
      <c r="F235" s="8"/>
      <c r="G235" s="6">
        <v>1</v>
      </c>
      <c r="H235" s="7">
        <v>1</v>
      </c>
      <c r="I235" s="52">
        <f t="shared" si="195"/>
        <v>2</v>
      </c>
      <c r="J235" s="60">
        <f t="shared" si="196"/>
        <v>4</v>
      </c>
      <c r="K235" s="40">
        <v>45863</v>
      </c>
      <c r="M235" s="20"/>
      <c r="N235" s="5"/>
      <c r="O235" s="6"/>
      <c r="P235" s="7"/>
      <c r="Q235" s="52">
        <f t="shared" ref="Q235:Q260" si="197">SUM(N235:P235)</f>
        <v>0</v>
      </c>
      <c r="R235" s="8"/>
      <c r="S235" s="6"/>
      <c r="T235" s="7"/>
      <c r="U235" s="52">
        <f t="shared" ref="U235:U260" si="198">SUM(R235:T235)</f>
        <v>0</v>
      </c>
      <c r="V235" s="60">
        <f t="shared" ref="V235:V259" si="199">Q235+U235</f>
        <v>0</v>
      </c>
    </row>
    <row r="236" spans="1:22" x14ac:dyDescent="0.15">
      <c r="A236" s="17" t="s">
        <v>146</v>
      </c>
      <c r="B236" s="5"/>
      <c r="C236" s="6"/>
      <c r="D236" s="7">
        <v>1</v>
      </c>
      <c r="E236" s="52">
        <f t="shared" si="194"/>
        <v>1</v>
      </c>
      <c r="F236" s="8"/>
      <c r="G236" s="6"/>
      <c r="H236" s="7">
        <v>1</v>
      </c>
      <c r="I236" s="52">
        <f t="shared" si="195"/>
        <v>1</v>
      </c>
      <c r="J236" s="60">
        <f t="shared" si="196"/>
        <v>2</v>
      </c>
      <c r="K236" s="40">
        <v>45863</v>
      </c>
      <c r="M236" s="20"/>
      <c r="N236" s="5"/>
      <c r="O236" s="6"/>
      <c r="P236" s="7"/>
      <c r="Q236" s="52">
        <f t="shared" si="197"/>
        <v>0</v>
      </c>
      <c r="R236" s="8"/>
      <c r="S236" s="6"/>
      <c r="T236" s="7"/>
      <c r="U236" s="52">
        <f t="shared" si="198"/>
        <v>0</v>
      </c>
      <c r="V236" s="60">
        <f t="shared" si="199"/>
        <v>0</v>
      </c>
    </row>
    <row r="237" spans="1:22" x14ac:dyDescent="0.15">
      <c r="A237" s="17" t="s">
        <v>147</v>
      </c>
      <c r="B237" s="5"/>
      <c r="C237" s="6">
        <v>1</v>
      </c>
      <c r="D237" s="7">
        <v>2</v>
      </c>
      <c r="E237" s="52">
        <f t="shared" si="194"/>
        <v>3</v>
      </c>
      <c r="F237" s="8"/>
      <c r="G237" s="6">
        <v>1</v>
      </c>
      <c r="H237" s="7">
        <v>2</v>
      </c>
      <c r="I237" s="52">
        <f t="shared" si="195"/>
        <v>3</v>
      </c>
      <c r="J237" s="60">
        <f t="shared" si="196"/>
        <v>6</v>
      </c>
      <c r="K237" s="40">
        <v>45866</v>
      </c>
      <c r="M237" s="18"/>
      <c r="N237" s="5"/>
      <c r="O237" s="6"/>
      <c r="P237" s="7"/>
      <c r="Q237" s="52">
        <f t="shared" si="197"/>
        <v>0</v>
      </c>
      <c r="R237" s="8"/>
      <c r="S237" s="6"/>
      <c r="T237" s="7"/>
      <c r="U237" s="52">
        <f t="shared" si="198"/>
        <v>0</v>
      </c>
      <c r="V237" s="60">
        <f t="shared" si="199"/>
        <v>0</v>
      </c>
    </row>
    <row r="238" spans="1:22" x14ac:dyDescent="0.15">
      <c r="A238" s="17" t="s">
        <v>148</v>
      </c>
      <c r="B238" s="5"/>
      <c r="C238" s="6"/>
      <c r="D238" s="7">
        <v>1</v>
      </c>
      <c r="E238" s="52">
        <f t="shared" si="194"/>
        <v>1</v>
      </c>
      <c r="F238" s="8"/>
      <c r="G238" s="6"/>
      <c r="H238" s="7">
        <v>1</v>
      </c>
      <c r="I238" s="52">
        <f t="shared" si="195"/>
        <v>1</v>
      </c>
      <c r="J238" s="60">
        <f t="shared" si="196"/>
        <v>2</v>
      </c>
      <c r="K238" s="40">
        <v>45869</v>
      </c>
      <c r="M238" s="18"/>
      <c r="N238" s="5"/>
      <c r="O238" s="6"/>
      <c r="P238" s="7"/>
      <c r="Q238" s="52">
        <f t="shared" si="197"/>
        <v>0</v>
      </c>
      <c r="R238" s="8"/>
      <c r="S238" s="6"/>
      <c r="T238" s="7"/>
      <c r="U238" s="52">
        <f t="shared" si="198"/>
        <v>0</v>
      </c>
      <c r="V238" s="60">
        <f t="shared" si="199"/>
        <v>0</v>
      </c>
    </row>
    <row r="239" spans="1:22" x14ac:dyDescent="0.15">
      <c r="A239" s="17" t="s">
        <v>149</v>
      </c>
      <c r="B239" s="5"/>
      <c r="C239" s="6"/>
      <c r="D239" s="7">
        <v>1</v>
      </c>
      <c r="E239" s="52">
        <f t="shared" si="194"/>
        <v>1</v>
      </c>
      <c r="F239" s="8"/>
      <c r="G239" s="6"/>
      <c r="H239" s="7">
        <v>1</v>
      </c>
      <c r="I239" s="52">
        <f t="shared" si="195"/>
        <v>1</v>
      </c>
      <c r="J239" s="60">
        <f t="shared" si="196"/>
        <v>2</v>
      </c>
      <c r="K239" s="40">
        <v>45870</v>
      </c>
      <c r="M239" s="20"/>
      <c r="N239" s="5"/>
      <c r="O239" s="6"/>
      <c r="P239" s="14"/>
      <c r="Q239" s="52">
        <f t="shared" si="197"/>
        <v>0</v>
      </c>
      <c r="R239" s="15"/>
      <c r="S239" s="13"/>
      <c r="T239" s="14"/>
      <c r="U239" s="52">
        <f t="shared" si="198"/>
        <v>0</v>
      </c>
      <c r="V239" s="60">
        <f t="shared" si="199"/>
        <v>0</v>
      </c>
    </row>
    <row r="240" spans="1:22" x14ac:dyDescent="0.15">
      <c r="A240" s="17" t="s">
        <v>150</v>
      </c>
      <c r="B240" s="5"/>
      <c r="C240" s="6"/>
      <c r="D240" s="7">
        <v>1</v>
      </c>
      <c r="E240" s="52">
        <f t="shared" si="194"/>
        <v>1</v>
      </c>
      <c r="F240" s="8"/>
      <c r="G240" s="6"/>
      <c r="H240" s="7">
        <v>1</v>
      </c>
      <c r="I240" s="52">
        <f t="shared" si="195"/>
        <v>1</v>
      </c>
      <c r="J240" s="60">
        <f t="shared" si="196"/>
        <v>2</v>
      </c>
      <c r="K240" s="40">
        <v>45870</v>
      </c>
      <c r="M240" s="42"/>
      <c r="N240" s="5"/>
      <c r="O240" s="6"/>
      <c r="P240" s="7"/>
      <c r="Q240" s="52">
        <f t="shared" si="197"/>
        <v>0</v>
      </c>
      <c r="R240" s="8"/>
      <c r="S240" s="6"/>
      <c r="T240" s="7"/>
      <c r="U240" s="52">
        <f t="shared" si="198"/>
        <v>0</v>
      </c>
      <c r="V240" s="60">
        <f t="shared" si="199"/>
        <v>0</v>
      </c>
    </row>
    <row r="241" spans="1:22" x14ac:dyDescent="0.15">
      <c r="A241" s="17" t="s">
        <v>151</v>
      </c>
      <c r="B241" s="5"/>
      <c r="C241" s="6"/>
      <c r="D241" s="7">
        <v>1</v>
      </c>
      <c r="E241" s="52">
        <f t="shared" si="194"/>
        <v>1</v>
      </c>
      <c r="F241" s="8"/>
      <c r="G241" s="6"/>
      <c r="H241" s="7">
        <v>1</v>
      </c>
      <c r="I241" s="52">
        <f t="shared" si="195"/>
        <v>1</v>
      </c>
      <c r="J241" s="60">
        <f t="shared" si="196"/>
        <v>2</v>
      </c>
      <c r="K241" s="40">
        <v>45875</v>
      </c>
      <c r="M241" s="18"/>
      <c r="N241" s="5" t="s">
        <v>20</v>
      </c>
      <c r="O241" s="6"/>
      <c r="P241" s="7"/>
      <c r="Q241" s="52">
        <f t="shared" si="197"/>
        <v>0</v>
      </c>
      <c r="R241" s="8"/>
      <c r="S241" s="6"/>
      <c r="T241" s="7"/>
      <c r="U241" s="52">
        <f t="shared" si="198"/>
        <v>0</v>
      </c>
      <c r="V241" s="60">
        <f t="shared" si="199"/>
        <v>0</v>
      </c>
    </row>
    <row r="242" spans="1:22" x14ac:dyDescent="0.15">
      <c r="A242" s="17" t="s">
        <v>152</v>
      </c>
      <c r="B242" s="5"/>
      <c r="C242" s="6">
        <v>1</v>
      </c>
      <c r="D242" s="7"/>
      <c r="E242" s="52">
        <f t="shared" si="194"/>
        <v>1</v>
      </c>
      <c r="F242" s="8"/>
      <c r="G242" s="6">
        <v>1</v>
      </c>
      <c r="H242" s="7"/>
      <c r="I242" s="52">
        <f t="shared" si="195"/>
        <v>1</v>
      </c>
      <c r="J242" s="60">
        <f t="shared" si="196"/>
        <v>2</v>
      </c>
      <c r="K242" s="40">
        <v>45876</v>
      </c>
      <c r="M242" s="20"/>
      <c r="N242" s="5"/>
      <c r="O242" s="6"/>
      <c r="P242" s="7"/>
      <c r="Q242" s="52">
        <f t="shared" si="197"/>
        <v>0</v>
      </c>
      <c r="R242" s="8"/>
      <c r="S242" s="6"/>
      <c r="T242" s="7"/>
      <c r="U242" s="52">
        <f t="shared" si="198"/>
        <v>0</v>
      </c>
      <c r="V242" s="60">
        <f t="shared" si="199"/>
        <v>0</v>
      </c>
    </row>
    <row r="243" spans="1:22" x14ac:dyDescent="0.15">
      <c r="A243" s="17" t="s">
        <v>153</v>
      </c>
      <c r="B243" s="5"/>
      <c r="C243" s="6">
        <v>1</v>
      </c>
      <c r="D243" s="7"/>
      <c r="E243" s="52">
        <f t="shared" si="194"/>
        <v>1</v>
      </c>
      <c r="F243" s="8"/>
      <c r="G243" s="6">
        <v>1</v>
      </c>
      <c r="H243" s="7"/>
      <c r="I243" s="52">
        <f t="shared" si="195"/>
        <v>1</v>
      </c>
      <c r="J243" s="60">
        <f t="shared" si="196"/>
        <v>2</v>
      </c>
      <c r="K243" s="40">
        <v>45891</v>
      </c>
      <c r="M243" s="18"/>
      <c r="N243" s="9"/>
      <c r="O243" s="10"/>
      <c r="P243" s="11"/>
      <c r="Q243" s="52">
        <f t="shared" si="197"/>
        <v>0</v>
      </c>
      <c r="R243" s="12"/>
      <c r="S243" s="10"/>
      <c r="T243" s="11"/>
      <c r="U243" s="52">
        <f t="shared" si="198"/>
        <v>0</v>
      </c>
      <c r="V243" s="60">
        <f t="shared" si="199"/>
        <v>0</v>
      </c>
    </row>
    <row r="244" spans="1:22" x14ac:dyDescent="0.15">
      <c r="A244" s="17" t="s">
        <v>154</v>
      </c>
      <c r="B244" s="5"/>
      <c r="C244" s="6">
        <v>1</v>
      </c>
      <c r="D244" s="7"/>
      <c r="E244" s="52">
        <f t="shared" si="194"/>
        <v>1</v>
      </c>
      <c r="F244" s="8"/>
      <c r="G244" s="6">
        <v>1</v>
      </c>
      <c r="H244" s="7"/>
      <c r="I244" s="52">
        <f t="shared" si="195"/>
        <v>1</v>
      </c>
      <c r="J244" s="60">
        <f t="shared" si="196"/>
        <v>2</v>
      </c>
      <c r="K244" s="40">
        <v>45897</v>
      </c>
      <c r="M244" s="20"/>
      <c r="N244" s="5"/>
      <c r="O244" s="6"/>
      <c r="P244" s="7"/>
      <c r="Q244" s="52">
        <f t="shared" si="197"/>
        <v>0</v>
      </c>
      <c r="R244" s="8"/>
      <c r="S244" s="6"/>
      <c r="T244" s="7"/>
      <c r="U244" s="52">
        <f t="shared" si="198"/>
        <v>0</v>
      </c>
      <c r="V244" s="60">
        <f t="shared" si="199"/>
        <v>0</v>
      </c>
    </row>
    <row r="245" spans="1:22" x14ac:dyDescent="0.15">
      <c r="A245" s="17" t="s">
        <v>155</v>
      </c>
      <c r="B245" s="5"/>
      <c r="C245" s="6">
        <v>1</v>
      </c>
      <c r="D245" s="7"/>
      <c r="E245" s="52">
        <f t="shared" si="194"/>
        <v>1</v>
      </c>
      <c r="F245" s="8"/>
      <c r="G245" s="6">
        <v>1</v>
      </c>
      <c r="H245" s="7"/>
      <c r="I245" s="52">
        <f t="shared" si="195"/>
        <v>1</v>
      </c>
      <c r="J245" s="60">
        <f t="shared" si="196"/>
        <v>2</v>
      </c>
      <c r="K245" s="40">
        <v>45905</v>
      </c>
      <c r="M245" s="20"/>
      <c r="N245" s="5"/>
      <c r="O245" s="6"/>
      <c r="P245" s="7"/>
      <c r="Q245" s="52">
        <f t="shared" si="197"/>
        <v>0</v>
      </c>
      <c r="R245" s="8"/>
      <c r="S245" s="6"/>
      <c r="T245" s="7"/>
      <c r="U245" s="52">
        <f t="shared" si="198"/>
        <v>0</v>
      </c>
      <c r="V245" s="60">
        <f t="shared" si="199"/>
        <v>0</v>
      </c>
    </row>
    <row r="246" spans="1:22" x14ac:dyDescent="0.15">
      <c r="A246" s="17" t="s">
        <v>156</v>
      </c>
      <c r="B246" s="5"/>
      <c r="C246" s="6">
        <v>1</v>
      </c>
      <c r="D246" s="7"/>
      <c r="E246" s="52">
        <f t="shared" si="194"/>
        <v>1</v>
      </c>
      <c r="F246" s="8"/>
      <c r="G246" s="6">
        <v>1</v>
      </c>
      <c r="H246" s="7"/>
      <c r="I246" s="52">
        <f t="shared" si="195"/>
        <v>1</v>
      </c>
      <c r="J246" s="60">
        <f t="shared" si="196"/>
        <v>2</v>
      </c>
      <c r="K246" s="40">
        <v>45933</v>
      </c>
      <c r="M246" s="18"/>
      <c r="N246" s="5"/>
      <c r="O246" s="6"/>
      <c r="P246" s="7"/>
      <c r="Q246" s="52">
        <f t="shared" si="197"/>
        <v>0</v>
      </c>
      <c r="R246" s="8"/>
      <c r="S246" s="6"/>
      <c r="T246" s="7"/>
      <c r="U246" s="52">
        <f t="shared" si="198"/>
        <v>0</v>
      </c>
      <c r="V246" s="60">
        <f t="shared" si="199"/>
        <v>0</v>
      </c>
    </row>
    <row r="247" spans="1:22" x14ac:dyDescent="0.15">
      <c r="A247" s="18"/>
      <c r="B247" s="5"/>
      <c r="C247" s="6"/>
      <c r="D247" s="7"/>
      <c r="E247" s="52">
        <f t="shared" si="194"/>
        <v>0</v>
      </c>
      <c r="F247" s="8"/>
      <c r="G247" s="6"/>
      <c r="H247" s="7"/>
      <c r="I247" s="52">
        <f t="shared" si="195"/>
        <v>0</v>
      </c>
      <c r="J247" s="60">
        <f t="shared" si="196"/>
        <v>0</v>
      </c>
      <c r="K247" s="49"/>
      <c r="M247" s="18"/>
      <c r="N247" s="5"/>
      <c r="O247" s="6"/>
      <c r="P247" s="7"/>
      <c r="Q247" s="52">
        <f t="shared" si="197"/>
        <v>0</v>
      </c>
      <c r="R247" s="8"/>
      <c r="S247" s="6"/>
      <c r="T247" s="7"/>
      <c r="U247" s="52">
        <f t="shared" si="198"/>
        <v>0</v>
      </c>
      <c r="V247" s="60">
        <f t="shared" si="199"/>
        <v>0</v>
      </c>
    </row>
    <row r="248" spans="1:22" x14ac:dyDescent="0.15">
      <c r="A248" s="18"/>
      <c r="B248" s="5"/>
      <c r="C248" s="6"/>
      <c r="D248" s="7"/>
      <c r="E248" s="52">
        <f t="shared" si="194"/>
        <v>0</v>
      </c>
      <c r="F248" s="8"/>
      <c r="G248" s="6"/>
      <c r="H248" s="7"/>
      <c r="I248" s="52">
        <f t="shared" si="195"/>
        <v>0</v>
      </c>
      <c r="J248" s="60">
        <f t="shared" si="196"/>
        <v>0</v>
      </c>
      <c r="M248" s="20"/>
      <c r="N248" s="5"/>
      <c r="O248" s="6"/>
      <c r="P248" s="7"/>
      <c r="Q248" s="52">
        <f t="shared" si="197"/>
        <v>0</v>
      </c>
      <c r="R248" s="8"/>
      <c r="S248" s="6"/>
      <c r="T248" s="7"/>
      <c r="U248" s="52">
        <f t="shared" si="198"/>
        <v>0</v>
      </c>
      <c r="V248" s="60">
        <f t="shared" si="199"/>
        <v>0</v>
      </c>
    </row>
    <row r="249" spans="1:22" x14ac:dyDescent="0.15">
      <c r="A249" s="18"/>
      <c r="B249" s="5"/>
      <c r="C249" s="6"/>
      <c r="D249" s="7"/>
      <c r="E249" s="52">
        <f t="shared" si="194"/>
        <v>0</v>
      </c>
      <c r="F249" s="8"/>
      <c r="G249" s="6"/>
      <c r="H249" s="7"/>
      <c r="I249" s="52">
        <f t="shared" si="195"/>
        <v>0</v>
      </c>
      <c r="J249" s="60">
        <f t="shared" si="196"/>
        <v>0</v>
      </c>
      <c r="M249" s="20"/>
      <c r="N249" s="5"/>
      <c r="O249" s="6"/>
      <c r="P249" s="7"/>
      <c r="Q249" s="52">
        <f t="shared" si="197"/>
        <v>0</v>
      </c>
      <c r="R249" s="8"/>
      <c r="S249" s="6"/>
      <c r="T249" s="7"/>
      <c r="U249" s="52">
        <f t="shared" si="198"/>
        <v>0</v>
      </c>
      <c r="V249" s="60">
        <f t="shared" si="199"/>
        <v>0</v>
      </c>
    </row>
    <row r="250" spans="1:22" x14ac:dyDescent="0.15">
      <c r="A250" s="18"/>
      <c r="B250" s="5"/>
      <c r="C250" s="6"/>
      <c r="D250" s="7"/>
      <c r="E250" s="52">
        <f t="shared" si="194"/>
        <v>0</v>
      </c>
      <c r="F250" s="8"/>
      <c r="G250" s="6"/>
      <c r="H250" s="7"/>
      <c r="I250" s="52">
        <f t="shared" si="195"/>
        <v>0</v>
      </c>
      <c r="J250" s="60">
        <f t="shared" si="196"/>
        <v>0</v>
      </c>
      <c r="M250" s="18"/>
      <c r="N250" s="5"/>
      <c r="O250" s="6"/>
      <c r="P250" s="7"/>
      <c r="Q250" s="52">
        <f t="shared" si="197"/>
        <v>0</v>
      </c>
      <c r="R250" s="8"/>
      <c r="S250" s="6"/>
      <c r="T250" s="7"/>
      <c r="U250" s="52">
        <f t="shared" si="198"/>
        <v>0</v>
      </c>
      <c r="V250" s="60">
        <f t="shared" si="199"/>
        <v>0</v>
      </c>
    </row>
    <row r="251" spans="1:22" x14ac:dyDescent="0.15">
      <c r="A251" s="18"/>
      <c r="B251" s="5"/>
      <c r="C251" s="6"/>
      <c r="D251" s="7"/>
      <c r="E251" s="52">
        <f t="shared" ref="E251:E260" si="200">SUM(B251:D251)</f>
        <v>0</v>
      </c>
      <c r="F251" s="8"/>
      <c r="G251" s="6"/>
      <c r="H251" s="7"/>
      <c r="I251" s="52">
        <f t="shared" ref="I251:I260" si="201">SUM(F251:H251)</f>
        <v>0</v>
      </c>
      <c r="J251" s="60">
        <f t="shared" ref="J251:J258" si="202">E251+I251</f>
        <v>0</v>
      </c>
      <c r="M251" s="20"/>
      <c r="N251" s="5"/>
      <c r="O251" s="6"/>
      <c r="P251" s="7"/>
      <c r="Q251" s="52">
        <f t="shared" si="197"/>
        <v>0</v>
      </c>
      <c r="R251" s="8"/>
      <c r="S251" s="6"/>
      <c r="T251" s="7"/>
      <c r="U251" s="52">
        <f t="shared" si="198"/>
        <v>0</v>
      </c>
      <c r="V251" s="60">
        <f t="shared" si="199"/>
        <v>0</v>
      </c>
    </row>
    <row r="252" spans="1:22" x14ac:dyDescent="0.15">
      <c r="A252" s="18"/>
      <c r="B252" s="5"/>
      <c r="C252" s="6"/>
      <c r="D252" s="7"/>
      <c r="E252" s="52">
        <f t="shared" si="200"/>
        <v>0</v>
      </c>
      <c r="F252" s="8"/>
      <c r="G252" s="6"/>
      <c r="H252" s="7"/>
      <c r="I252" s="52">
        <f t="shared" si="201"/>
        <v>0</v>
      </c>
      <c r="J252" s="60">
        <f t="shared" si="202"/>
        <v>0</v>
      </c>
      <c r="M252" s="18"/>
      <c r="N252" s="5"/>
      <c r="O252" s="6"/>
      <c r="P252" s="7"/>
      <c r="Q252" s="52">
        <f t="shared" si="197"/>
        <v>0</v>
      </c>
      <c r="R252" s="8"/>
      <c r="S252" s="6"/>
      <c r="T252" s="7"/>
      <c r="U252" s="52">
        <f t="shared" si="198"/>
        <v>0</v>
      </c>
      <c r="V252" s="60">
        <f t="shared" si="199"/>
        <v>0</v>
      </c>
    </row>
    <row r="253" spans="1:22" x14ac:dyDescent="0.15">
      <c r="A253" s="18"/>
      <c r="B253" s="5"/>
      <c r="C253" s="6"/>
      <c r="D253" s="7"/>
      <c r="E253" s="52">
        <f t="shared" si="200"/>
        <v>0</v>
      </c>
      <c r="F253" s="8"/>
      <c r="G253" s="6"/>
      <c r="H253" s="7"/>
      <c r="I253" s="52">
        <f t="shared" si="201"/>
        <v>0</v>
      </c>
      <c r="J253" s="60">
        <f t="shared" si="202"/>
        <v>0</v>
      </c>
      <c r="M253" s="20"/>
      <c r="N253" s="5"/>
      <c r="O253" s="6"/>
      <c r="P253" s="7"/>
      <c r="Q253" s="52">
        <f t="shared" si="197"/>
        <v>0</v>
      </c>
      <c r="R253" s="8"/>
      <c r="S253" s="6"/>
      <c r="T253" s="7"/>
      <c r="U253" s="52">
        <f t="shared" si="198"/>
        <v>0</v>
      </c>
      <c r="V253" s="60">
        <f t="shared" si="199"/>
        <v>0</v>
      </c>
    </row>
    <row r="254" spans="1:22" x14ac:dyDescent="0.15">
      <c r="A254" s="18"/>
      <c r="B254" s="5"/>
      <c r="C254" s="6"/>
      <c r="D254" s="7"/>
      <c r="E254" s="52">
        <f t="shared" si="200"/>
        <v>0</v>
      </c>
      <c r="F254" s="8"/>
      <c r="G254" s="6"/>
      <c r="H254" s="7"/>
      <c r="I254" s="52">
        <f t="shared" si="201"/>
        <v>0</v>
      </c>
      <c r="J254" s="60">
        <f t="shared" si="202"/>
        <v>0</v>
      </c>
      <c r="M254" s="20"/>
      <c r="N254" s="5"/>
      <c r="O254" s="6"/>
      <c r="P254" s="7"/>
      <c r="Q254" s="52">
        <f t="shared" si="197"/>
        <v>0</v>
      </c>
      <c r="R254" s="8"/>
      <c r="S254" s="6"/>
      <c r="T254" s="7"/>
      <c r="U254" s="52">
        <f t="shared" si="198"/>
        <v>0</v>
      </c>
      <c r="V254" s="60">
        <f t="shared" si="199"/>
        <v>0</v>
      </c>
    </row>
    <row r="255" spans="1:22" x14ac:dyDescent="0.15">
      <c r="A255" s="17"/>
      <c r="B255" s="9"/>
      <c r="C255" s="10"/>
      <c r="D255" s="11"/>
      <c r="E255" s="52">
        <f t="shared" si="200"/>
        <v>0</v>
      </c>
      <c r="F255" s="12"/>
      <c r="G255" s="10"/>
      <c r="H255" s="11"/>
      <c r="I255" s="52">
        <f t="shared" si="201"/>
        <v>0</v>
      </c>
      <c r="J255" s="60">
        <f t="shared" si="202"/>
        <v>0</v>
      </c>
      <c r="M255" s="44"/>
      <c r="N255" s="9"/>
      <c r="O255" s="10"/>
      <c r="P255" s="11"/>
      <c r="Q255" s="52">
        <f t="shared" si="197"/>
        <v>0</v>
      </c>
      <c r="R255" s="12"/>
      <c r="S255" s="10"/>
      <c r="T255" s="11"/>
      <c r="U255" s="52">
        <f t="shared" si="198"/>
        <v>0</v>
      </c>
      <c r="V255" s="60">
        <f t="shared" si="199"/>
        <v>0</v>
      </c>
    </row>
    <row r="256" spans="1:22" x14ac:dyDescent="0.15">
      <c r="A256" s="17"/>
      <c r="B256" s="5"/>
      <c r="C256" s="6"/>
      <c r="D256" s="7"/>
      <c r="E256" s="52">
        <f t="shared" si="200"/>
        <v>0</v>
      </c>
      <c r="F256" s="8"/>
      <c r="G256" s="6"/>
      <c r="H256" s="7"/>
      <c r="I256" s="52">
        <f t="shared" si="201"/>
        <v>0</v>
      </c>
      <c r="J256" s="60">
        <f t="shared" si="202"/>
        <v>0</v>
      </c>
      <c r="M256" s="20"/>
      <c r="N256" s="5"/>
      <c r="O256" s="6"/>
      <c r="P256" s="7"/>
      <c r="Q256" s="52">
        <f t="shared" si="197"/>
        <v>0</v>
      </c>
      <c r="R256" s="8"/>
      <c r="S256" s="6"/>
      <c r="T256" s="7"/>
      <c r="U256" s="52">
        <f t="shared" si="198"/>
        <v>0</v>
      </c>
      <c r="V256" s="60">
        <f t="shared" si="199"/>
        <v>0</v>
      </c>
    </row>
    <row r="257" spans="1:22" x14ac:dyDescent="0.15">
      <c r="A257" s="17"/>
      <c r="B257" s="5"/>
      <c r="C257" s="6"/>
      <c r="D257" s="7"/>
      <c r="E257" s="52">
        <f t="shared" si="200"/>
        <v>0</v>
      </c>
      <c r="F257" s="8"/>
      <c r="G257" s="6"/>
      <c r="H257" s="7"/>
      <c r="I257" s="52">
        <f t="shared" si="201"/>
        <v>0</v>
      </c>
      <c r="J257" s="60">
        <f t="shared" si="202"/>
        <v>0</v>
      </c>
      <c r="M257" s="20"/>
      <c r="N257" s="5"/>
      <c r="O257" s="6"/>
      <c r="P257" s="7"/>
      <c r="Q257" s="52">
        <f t="shared" si="197"/>
        <v>0</v>
      </c>
      <c r="R257" s="8"/>
      <c r="S257" s="6"/>
      <c r="T257" s="7"/>
      <c r="U257" s="52">
        <f t="shared" si="198"/>
        <v>0</v>
      </c>
      <c r="V257" s="60">
        <f t="shared" si="199"/>
        <v>0</v>
      </c>
    </row>
    <row r="258" spans="1:22" x14ac:dyDescent="0.15">
      <c r="A258" s="17"/>
      <c r="B258" s="5"/>
      <c r="C258" s="6"/>
      <c r="D258" s="7"/>
      <c r="E258" s="52">
        <f t="shared" si="200"/>
        <v>0</v>
      </c>
      <c r="F258" s="8"/>
      <c r="G258" s="6"/>
      <c r="H258" s="7"/>
      <c r="I258" s="52">
        <f t="shared" si="201"/>
        <v>0</v>
      </c>
      <c r="J258" s="60">
        <f t="shared" si="202"/>
        <v>0</v>
      </c>
      <c r="M258" s="20"/>
      <c r="N258" s="5"/>
      <c r="O258" s="6"/>
      <c r="P258" s="7"/>
      <c r="Q258" s="52">
        <f t="shared" si="197"/>
        <v>0</v>
      </c>
      <c r="R258" s="8"/>
      <c r="S258" s="6"/>
      <c r="T258" s="7"/>
      <c r="U258" s="52">
        <f t="shared" si="198"/>
        <v>0</v>
      </c>
      <c r="V258" s="60">
        <f t="shared" si="199"/>
        <v>0</v>
      </c>
    </row>
    <row r="259" spans="1:22" ht="14.25" thickBot="1" x14ac:dyDescent="0.2">
      <c r="A259" s="17"/>
      <c r="B259" s="5"/>
      <c r="C259" s="6"/>
      <c r="D259" s="7"/>
      <c r="E259" s="52">
        <f t="shared" ref="E259" si="203">SUM(B259:D259)</f>
        <v>0</v>
      </c>
      <c r="F259" s="8"/>
      <c r="G259" s="6"/>
      <c r="H259" s="7"/>
      <c r="I259" s="52">
        <f t="shared" ref="I259" si="204">SUM(F259:H259)</f>
        <v>0</v>
      </c>
      <c r="J259" s="60">
        <f t="shared" ref="J259" si="205">E259+I259</f>
        <v>0</v>
      </c>
      <c r="M259" s="20"/>
      <c r="N259" s="5"/>
      <c r="O259" s="6"/>
      <c r="P259" s="7"/>
      <c r="Q259" s="52">
        <f t="shared" si="197"/>
        <v>0</v>
      </c>
      <c r="R259" s="8"/>
      <c r="S259" s="6"/>
      <c r="T259" s="7"/>
      <c r="U259" s="52">
        <f t="shared" si="198"/>
        <v>0</v>
      </c>
      <c r="V259" s="60">
        <f t="shared" si="199"/>
        <v>0</v>
      </c>
    </row>
    <row r="260" spans="1:22" ht="14.25" thickBot="1" x14ac:dyDescent="0.2">
      <c r="A260" s="31" t="s">
        <v>18</v>
      </c>
      <c r="B260" s="34">
        <f>SUM(B234:B259)</f>
        <v>0</v>
      </c>
      <c r="C260" s="35">
        <f t="shared" ref="C260:D260" si="206">SUM(C234:C259)</f>
        <v>8</v>
      </c>
      <c r="D260" s="39">
        <f t="shared" si="206"/>
        <v>8</v>
      </c>
      <c r="E260" s="57">
        <f t="shared" si="200"/>
        <v>16</v>
      </c>
      <c r="F260" s="34">
        <f>SUM(F234:F259)</f>
        <v>0</v>
      </c>
      <c r="G260" s="35">
        <f t="shared" ref="G260:H260" si="207">SUM(G234:G259)</f>
        <v>8</v>
      </c>
      <c r="H260" s="39">
        <f t="shared" si="207"/>
        <v>8</v>
      </c>
      <c r="I260" s="57">
        <f t="shared" si="201"/>
        <v>16</v>
      </c>
      <c r="J260" s="63">
        <f>E260+I260</f>
        <v>32</v>
      </c>
      <c r="M260" s="31" t="s">
        <v>18</v>
      </c>
      <c r="N260" s="34">
        <f>SUM(N234:N259)</f>
        <v>0</v>
      </c>
      <c r="O260" s="35">
        <f t="shared" ref="O260:P260" si="208">SUM(O234:O259)</f>
        <v>0</v>
      </c>
      <c r="P260" s="39">
        <f t="shared" si="208"/>
        <v>0</v>
      </c>
      <c r="Q260" s="57">
        <f t="shared" si="197"/>
        <v>0</v>
      </c>
      <c r="R260" s="34">
        <f>SUM(R234:R259)</f>
        <v>0</v>
      </c>
      <c r="S260" s="35">
        <f t="shared" ref="S260:T260" si="209">SUM(S234:S259)</f>
        <v>0</v>
      </c>
      <c r="T260" s="39">
        <f t="shared" si="209"/>
        <v>0</v>
      </c>
      <c r="U260" s="57">
        <f t="shared" si="198"/>
        <v>0</v>
      </c>
      <c r="V260" s="63">
        <f>Q260+U260</f>
        <v>0</v>
      </c>
    </row>
    <row r="261" spans="1:22" ht="14.25" thickBot="1" x14ac:dyDescent="0.2">
      <c r="A261" s="16" t="s">
        <v>17</v>
      </c>
      <c r="B261" s="64">
        <f>B233-B260</f>
        <v>11</v>
      </c>
      <c r="C261" s="65">
        <f t="shared" ref="C261:D261" si="210">C233-C260</f>
        <v>13</v>
      </c>
      <c r="D261" s="66">
        <f t="shared" si="210"/>
        <v>11</v>
      </c>
      <c r="E261" s="58">
        <f>SUM(B261:D261)</f>
        <v>35</v>
      </c>
      <c r="F261" s="64">
        <f>F233-F260</f>
        <v>11</v>
      </c>
      <c r="G261" s="65">
        <f t="shared" ref="G261:H261" si="211">G233-G260</f>
        <v>13</v>
      </c>
      <c r="H261" s="66">
        <f t="shared" si="211"/>
        <v>11</v>
      </c>
      <c r="I261" s="58">
        <f>SUM(F261:H261)</f>
        <v>35</v>
      </c>
      <c r="J261" s="62">
        <f>E261+I261</f>
        <v>70</v>
      </c>
      <c r="M261" s="16" t="s">
        <v>17</v>
      </c>
      <c r="N261" s="64">
        <f>N233-N260</f>
        <v>0</v>
      </c>
      <c r="O261" s="65">
        <f t="shared" ref="O261:P261" si="212">O233-O260</f>
        <v>0</v>
      </c>
      <c r="P261" s="66">
        <f t="shared" si="212"/>
        <v>0</v>
      </c>
      <c r="Q261" s="58">
        <f>SUM(N261:P261)</f>
        <v>0</v>
      </c>
      <c r="R261" s="64">
        <f>R233-R260</f>
        <v>0</v>
      </c>
      <c r="S261" s="65">
        <f t="shared" ref="S261:T261" si="213">S233-S260</f>
        <v>0</v>
      </c>
      <c r="T261" s="66">
        <f t="shared" si="213"/>
        <v>0</v>
      </c>
      <c r="U261" s="58">
        <f>SUM(R261:T261)</f>
        <v>0</v>
      </c>
      <c r="V261" s="62">
        <f>Q261+U261</f>
        <v>0</v>
      </c>
    </row>
    <row r="265" spans="1:22" ht="18" thickBot="1" x14ac:dyDescent="0.25">
      <c r="A265" s="73" t="s">
        <v>23</v>
      </c>
      <c r="B265" s="74"/>
      <c r="C265" s="74"/>
      <c r="D265" s="74"/>
      <c r="E265" s="74"/>
      <c r="F265" s="74"/>
      <c r="G265" s="74"/>
      <c r="H265" s="74"/>
      <c r="I265" s="74"/>
      <c r="J265" s="74"/>
      <c r="M265" s="73" t="s">
        <v>24</v>
      </c>
      <c r="N265" s="74"/>
      <c r="O265" s="74"/>
      <c r="P265" s="74"/>
      <c r="Q265" s="74"/>
      <c r="R265" s="74"/>
      <c r="S265" s="74"/>
      <c r="T265" s="74"/>
      <c r="U265" s="74"/>
      <c r="V265" s="74"/>
    </row>
    <row r="266" spans="1:22" ht="14.25" thickBot="1" x14ac:dyDescent="0.2">
      <c r="A266" s="4" t="s">
        <v>0</v>
      </c>
      <c r="B266" s="97" t="s">
        <v>21</v>
      </c>
      <c r="C266" s="97"/>
      <c r="D266" s="97"/>
      <c r="E266" s="98"/>
      <c r="F266" s="99" t="s">
        <v>22</v>
      </c>
      <c r="G266" s="99"/>
      <c r="H266" s="99"/>
      <c r="I266" s="100"/>
      <c r="J266" s="95" t="s">
        <v>1</v>
      </c>
      <c r="M266" s="4" t="s">
        <v>0</v>
      </c>
      <c r="N266" s="97" t="s">
        <v>21</v>
      </c>
      <c r="O266" s="97"/>
      <c r="P266" s="97"/>
      <c r="Q266" s="98"/>
      <c r="R266" s="99" t="s">
        <v>22</v>
      </c>
      <c r="S266" s="99"/>
      <c r="T266" s="99"/>
      <c r="U266" s="100"/>
      <c r="V266" s="95" t="s">
        <v>1</v>
      </c>
    </row>
    <row r="267" spans="1:22" ht="14.25" thickBot="1" x14ac:dyDescent="0.2">
      <c r="A267" s="4" t="s">
        <v>2</v>
      </c>
      <c r="B267" s="1" t="s">
        <v>3</v>
      </c>
      <c r="C267" s="2" t="s">
        <v>4</v>
      </c>
      <c r="D267" s="3" t="s">
        <v>5</v>
      </c>
      <c r="E267" s="4" t="s">
        <v>6</v>
      </c>
      <c r="F267" s="1" t="s">
        <v>3</v>
      </c>
      <c r="G267" s="2" t="s">
        <v>4</v>
      </c>
      <c r="H267" s="3" t="s">
        <v>5</v>
      </c>
      <c r="I267" s="4" t="s">
        <v>6</v>
      </c>
      <c r="J267" s="96"/>
      <c r="M267" s="4" t="s">
        <v>2</v>
      </c>
      <c r="N267" s="1" t="s">
        <v>3</v>
      </c>
      <c r="O267" s="2" t="s">
        <v>4</v>
      </c>
      <c r="P267" s="3" t="s">
        <v>5</v>
      </c>
      <c r="Q267" s="4" t="s">
        <v>6</v>
      </c>
      <c r="R267" s="1" t="s">
        <v>3</v>
      </c>
      <c r="S267" s="2" t="s">
        <v>4</v>
      </c>
      <c r="T267" s="3" t="s">
        <v>5</v>
      </c>
      <c r="U267" s="4" t="s">
        <v>6</v>
      </c>
      <c r="V267" s="96"/>
    </row>
    <row r="268" spans="1:22" ht="14.25" thickBot="1" x14ac:dyDescent="0.2">
      <c r="A268" s="21" t="s">
        <v>19</v>
      </c>
      <c r="B268" s="22">
        <f>B261</f>
        <v>11</v>
      </c>
      <c r="C268" s="23">
        <f>C261</f>
        <v>13</v>
      </c>
      <c r="D268" s="24">
        <f>D261</f>
        <v>11</v>
      </c>
      <c r="E268" s="55">
        <f>SUM(B268:D268)</f>
        <v>35</v>
      </c>
      <c r="F268" s="22">
        <f>F261</f>
        <v>11</v>
      </c>
      <c r="G268" s="23">
        <f>G261</f>
        <v>13</v>
      </c>
      <c r="H268" s="24">
        <f>H261</f>
        <v>11</v>
      </c>
      <c r="I268" s="55">
        <f>SUM(F268:H268)</f>
        <v>35</v>
      </c>
      <c r="J268" s="62">
        <f>E268+I268</f>
        <v>70</v>
      </c>
      <c r="M268" s="21" t="s">
        <v>19</v>
      </c>
      <c r="N268" s="67">
        <f>N261</f>
        <v>0</v>
      </c>
      <c r="O268" s="68">
        <f>O261</f>
        <v>0</v>
      </c>
      <c r="P268" s="69">
        <f>P261</f>
        <v>0</v>
      </c>
      <c r="Q268" s="70">
        <f>SUM(N268:P268)</f>
        <v>0</v>
      </c>
      <c r="R268" s="67">
        <f>R261</f>
        <v>0</v>
      </c>
      <c r="S268" s="68">
        <f>S261</f>
        <v>0</v>
      </c>
      <c r="T268" s="69">
        <f>T261</f>
        <v>0</v>
      </c>
      <c r="U268" s="70">
        <f>SUM(R268:T268)</f>
        <v>0</v>
      </c>
      <c r="V268" s="71">
        <f>Q268+U268</f>
        <v>0</v>
      </c>
    </row>
    <row r="269" spans="1:22" x14ac:dyDescent="0.15">
      <c r="A269" s="19" t="s">
        <v>48</v>
      </c>
      <c r="B269" s="9"/>
      <c r="C269" s="10"/>
      <c r="D269" s="37">
        <v>1</v>
      </c>
      <c r="E269" s="53">
        <f t="shared" ref="E269:E271" si="214">SUM(B269:D269)</f>
        <v>1</v>
      </c>
      <c r="F269" s="12"/>
      <c r="G269" s="10"/>
      <c r="H269" s="11">
        <v>1</v>
      </c>
      <c r="I269" s="53">
        <f t="shared" ref="I269:I271" si="215">SUM(F269:H269)</f>
        <v>1</v>
      </c>
      <c r="J269" s="60">
        <f t="shared" ref="J269:J271" si="216">E269+I269</f>
        <v>2</v>
      </c>
      <c r="K269" s="41">
        <v>45936</v>
      </c>
      <c r="M269" s="19" t="s">
        <v>8</v>
      </c>
      <c r="N269" s="32"/>
      <c r="O269" s="33"/>
      <c r="P269" s="45"/>
      <c r="Q269" s="51">
        <f>SUM(N269:P269)</f>
        <v>0</v>
      </c>
      <c r="R269" s="46"/>
      <c r="S269" s="47"/>
      <c r="T269" s="48"/>
      <c r="U269" s="51">
        <f>SUM(R269:T269)</f>
        <v>0</v>
      </c>
      <c r="V269" s="59">
        <f>Q269+U269</f>
        <v>0</v>
      </c>
    </row>
    <row r="270" spans="1:22" x14ac:dyDescent="0.15">
      <c r="A270" s="19" t="s">
        <v>9</v>
      </c>
      <c r="B270" s="9">
        <v>5</v>
      </c>
      <c r="C270" s="10"/>
      <c r="D270" s="37"/>
      <c r="E270" s="53">
        <f t="shared" si="214"/>
        <v>5</v>
      </c>
      <c r="F270" s="12"/>
      <c r="G270" s="10"/>
      <c r="H270" s="11"/>
      <c r="I270" s="53">
        <f t="shared" si="215"/>
        <v>0</v>
      </c>
      <c r="J270" s="60">
        <f t="shared" si="216"/>
        <v>5</v>
      </c>
      <c r="K270" s="40">
        <v>45947</v>
      </c>
      <c r="M270" s="19" t="s">
        <v>9</v>
      </c>
      <c r="N270" s="5"/>
      <c r="O270" s="6"/>
      <c r="P270" s="36"/>
      <c r="Q270" s="53">
        <f t="shared" ref="Q270:Q273" si="217">SUM(N270:P270)</f>
        <v>0</v>
      </c>
      <c r="R270" s="8"/>
      <c r="S270" s="6"/>
      <c r="T270" s="7"/>
      <c r="U270" s="53">
        <f t="shared" ref="U270:U273" si="218">SUM(R270:T270)</f>
        <v>0</v>
      </c>
      <c r="V270" s="60">
        <f t="shared" ref="V270:V273" si="219">Q270+U270</f>
        <v>0</v>
      </c>
    </row>
    <row r="271" spans="1:22" x14ac:dyDescent="0.15">
      <c r="A271" s="19" t="s">
        <v>10</v>
      </c>
      <c r="B271" s="9"/>
      <c r="C271" s="10"/>
      <c r="D271" s="37">
        <v>3</v>
      </c>
      <c r="E271" s="53">
        <f t="shared" si="214"/>
        <v>3</v>
      </c>
      <c r="F271" s="12"/>
      <c r="G271" s="10"/>
      <c r="H271" s="11">
        <v>5</v>
      </c>
      <c r="I271" s="53">
        <f t="shared" si="215"/>
        <v>5</v>
      </c>
      <c r="J271" s="60">
        <f t="shared" si="216"/>
        <v>8</v>
      </c>
      <c r="K271" s="40">
        <v>45965</v>
      </c>
      <c r="M271" s="19" t="s">
        <v>10</v>
      </c>
      <c r="N271" s="5"/>
      <c r="O271" s="6"/>
      <c r="P271" s="36"/>
      <c r="Q271" s="53">
        <f t="shared" si="217"/>
        <v>0</v>
      </c>
      <c r="R271" s="8"/>
      <c r="S271" s="6"/>
      <c r="T271" s="7"/>
      <c r="U271" s="53">
        <f t="shared" si="218"/>
        <v>0</v>
      </c>
      <c r="V271" s="60">
        <f t="shared" si="219"/>
        <v>0</v>
      </c>
    </row>
    <row r="272" spans="1:22" x14ac:dyDescent="0.15">
      <c r="A272" s="19" t="s">
        <v>11</v>
      </c>
      <c r="B272" s="9"/>
      <c r="C272" s="10"/>
      <c r="D272" s="37">
        <v>3</v>
      </c>
      <c r="E272" s="53">
        <f t="shared" ref="E272:E276" si="220">SUM(B272:D272)</f>
        <v>3</v>
      </c>
      <c r="F272" s="12">
        <v>3</v>
      </c>
      <c r="G272" s="10"/>
      <c r="H272" s="11">
        <v>2</v>
      </c>
      <c r="I272" s="53">
        <f t="shared" ref="I272:I276" si="221">SUM(F272:H272)</f>
        <v>5</v>
      </c>
      <c r="J272" s="60">
        <f t="shared" ref="J272:J276" si="222">E272+I272</f>
        <v>8</v>
      </c>
      <c r="K272" s="40">
        <v>45973</v>
      </c>
      <c r="L272" s="49"/>
      <c r="M272" s="19" t="s">
        <v>11</v>
      </c>
      <c r="N272" s="5"/>
      <c r="O272" s="6"/>
      <c r="P272" s="36"/>
      <c r="Q272" s="53">
        <f t="shared" si="217"/>
        <v>0</v>
      </c>
      <c r="R272" s="8"/>
      <c r="S272" s="6"/>
      <c r="T272" s="7"/>
      <c r="U272" s="53">
        <f t="shared" si="218"/>
        <v>0</v>
      </c>
      <c r="V272" s="60">
        <f t="shared" si="219"/>
        <v>0</v>
      </c>
    </row>
    <row r="273" spans="1:22" x14ac:dyDescent="0.15">
      <c r="A273" s="19" t="s">
        <v>12</v>
      </c>
      <c r="B273" s="9"/>
      <c r="C273" s="10">
        <v>2</v>
      </c>
      <c r="D273" s="37"/>
      <c r="E273" s="53">
        <f t="shared" si="220"/>
        <v>2</v>
      </c>
      <c r="F273" s="12"/>
      <c r="G273" s="10"/>
      <c r="H273" s="11"/>
      <c r="I273" s="53">
        <f t="shared" si="221"/>
        <v>0</v>
      </c>
      <c r="J273" s="60">
        <f t="shared" si="222"/>
        <v>2</v>
      </c>
      <c r="K273" s="40">
        <v>45988</v>
      </c>
      <c r="L273" s="49"/>
      <c r="M273" s="19" t="s">
        <v>12</v>
      </c>
      <c r="N273" s="5"/>
      <c r="O273" s="6"/>
      <c r="P273" s="36"/>
      <c r="Q273" s="53">
        <f t="shared" si="217"/>
        <v>0</v>
      </c>
      <c r="R273" s="8"/>
      <c r="S273" s="6"/>
      <c r="T273" s="7"/>
      <c r="U273" s="53">
        <f t="shared" si="218"/>
        <v>0</v>
      </c>
      <c r="V273" s="60">
        <f t="shared" si="219"/>
        <v>0</v>
      </c>
    </row>
    <row r="274" spans="1:22" x14ac:dyDescent="0.15">
      <c r="A274" s="19" t="s">
        <v>13</v>
      </c>
      <c r="B274" s="9">
        <v>20</v>
      </c>
      <c r="C274" s="10">
        <v>20</v>
      </c>
      <c r="D274" s="37">
        <v>15</v>
      </c>
      <c r="E274" s="53">
        <f t="shared" si="220"/>
        <v>55</v>
      </c>
      <c r="F274" s="12">
        <v>20</v>
      </c>
      <c r="G274" s="10">
        <v>20</v>
      </c>
      <c r="H274" s="11">
        <v>15</v>
      </c>
      <c r="I274" s="53">
        <f t="shared" si="221"/>
        <v>55</v>
      </c>
      <c r="J274" s="60">
        <f t="shared" si="222"/>
        <v>110</v>
      </c>
      <c r="K274" s="40">
        <v>46055</v>
      </c>
      <c r="M274" s="19" t="s">
        <v>13</v>
      </c>
      <c r="N274" s="5"/>
      <c r="O274" s="6"/>
      <c r="P274" s="36"/>
      <c r="Q274" s="53">
        <f>SUM(N274:P274)</f>
        <v>0</v>
      </c>
      <c r="R274" s="8"/>
      <c r="S274" s="6"/>
      <c r="T274" s="7"/>
      <c r="U274" s="53">
        <f>SUM(R274:T274)</f>
        <v>0</v>
      </c>
      <c r="V274" s="60">
        <f>Q274+U274</f>
        <v>0</v>
      </c>
    </row>
    <row r="275" spans="1:22" x14ac:dyDescent="0.15">
      <c r="A275" s="19" t="s">
        <v>14</v>
      </c>
      <c r="B275" s="9">
        <v>5</v>
      </c>
      <c r="C275" s="10">
        <v>5</v>
      </c>
      <c r="D275" s="37">
        <v>5</v>
      </c>
      <c r="E275" s="53">
        <f t="shared" si="220"/>
        <v>15</v>
      </c>
      <c r="F275" s="12">
        <v>5</v>
      </c>
      <c r="G275" s="10">
        <v>5</v>
      </c>
      <c r="H275" s="11">
        <v>5</v>
      </c>
      <c r="I275" s="53">
        <f t="shared" si="221"/>
        <v>15</v>
      </c>
      <c r="J275" s="60">
        <f t="shared" si="222"/>
        <v>30</v>
      </c>
      <c r="K275" s="40">
        <v>46062</v>
      </c>
      <c r="M275" s="19" t="s">
        <v>14</v>
      </c>
      <c r="N275" s="9"/>
      <c r="O275" s="10"/>
      <c r="P275" s="37"/>
      <c r="Q275" s="53">
        <f t="shared" ref="Q275:Q276" si="223">SUM(N275:P275)</f>
        <v>0</v>
      </c>
      <c r="R275" s="12"/>
      <c r="S275" s="10"/>
      <c r="T275" s="11"/>
      <c r="U275" s="53">
        <f t="shared" ref="U275:U276" si="224">SUM(R275:T275)</f>
        <v>0</v>
      </c>
      <c r="V275" s="60">
        <f t="shared" ref="V275:V276" si="225">Q275+U275</f>
        <v>0</v>
      </c>
    </row>
    <row r="276" spans="1:22" ht="14.25" thickBot="1" x14ac:dyDescent="0.2">
      <c r="A276" s="19" t="s">
        <v>15</v>
      </c>
      <c r="B276" s="25">
        <v>10</v>
      </c>
      <c r="C276" s="26"/>
      <c r="D276" s="38">
        <v>10</v>
      </c>
      <c r="E276" s="54">
        <f t="shared" si="220"/>
        <v>20</v>
      </c>
      <c r="F276" s="27">
        <v>10</v>
      </c>
      <c r="G276" s="27"/>
      <c r="H276" s="29">
        <v>10</v>
      </c>
      <c r="I276" s="54">
        <f t="shared" si="221"/>
        <v>20</v>
      </c>
      <c r="J276" s="61">
        <f t="shared" si="222"/>
        <v>40</v>
      </c>
      <c r="K276" s="40">
        <v>46066</v>
      </c>
      <c r="M276" s="19" t="s">
        <v>15</v>
      </c>
      <c r="N276" s="25"/>
      <c r="O276" s="26"/>
      <c r="P276" s="38"/>
      <c r="Q276" s="54">
        <f t="shared" si="223"/>
        <v>0</v>
      </c>
      <c r="R276" s="27"/>
      <c r="S276" s="27"/>
      <c r="T276" s="29"/>
      <c r="U276" s="54">
        <f t="shared" si="224"/>
        <v>0</v>
      </c>
      <c r="V276" s="61">
        <f t="shared" si="225"/>
        <v>0</v>
      </c>
    </row>
    <row r="277" spans="1:22" ht="14.25" thickBot="1" x14ac:dyDescent="0.2">
      <c r="A277" s="28" t="s">
        <v>16</v>
      </c>
      <c r="B277" s="22">
        <f>SUM(B268:B276)</f>
        <v>51</v>
      </c>
      <c r="C277" s="23">
        <f t="shared" ref="C277:D277" si="226">SUM(C268:C276)</f>
        <v>40</v>
      </c>
      <c r="D277" s="24">
        <f t="shared" si="226"/>
        <v>48</v>
      </c>
      <c r="E277" s="55">
        <f>SUM(B277:D277)</f>
        <v>139</v>
      </c>
      <c r="F277" s="22">
        <f>SUM(F268:F276)</f>
        <v>49</v>
      </c>
      <c r="G277" s="23">
        <f t="shared" ref="G277:H277" si="227">SUM(G268:G276)</f>
        <v>38</v>
      </c>
      <c r="H277" s="24">
        <f t="shared" si="227"/>
        <v>49</v>
      </c>
      <c r="I277" s="55">
        <f>SUM(F277:H277)</f>
        <v>136</v>
      </c>
      <c r="J277" s="62">
        <f>SUM(J269:J276)</f>
        <v>205</v>
      </c>
      <c r="M277" s="28" t="s">
        <v>16</v>
      </c>
      <c r="N277" s="22">
        <f>SUM(N268:N276)</f>
        <v>0</v>
      </c>
      <c r="O277" s="23">
        <f t="shared" ref="O277:P277" si="228">SUM(O268:O276)</f>
        <v>0</v>
      </c>
      <c r="P277" s="24">
        <f t="shared" si="228"/>
        <v>0</v>
      </c>
      <c r="Q277" s="55">
        <f>SUM(N277:P277)</f>
        <v>0</v>
      </c>
      <c r="R277" s="22">
        <f>SUM(R268:R276)</f>
        <v>0</v>
      </c>
      <c r="S277" s="23">
        <f t="shared" ref="S277:T277" si="229">SUM(S268:S276)</f>
        <v>0</v>
      </c>
      <c r="T277" s="24">
        <f t="shared" si="229"/>
        <v>0</v>
      </c>
      <c r="U277" s="55">
        <f>SUM(R277:T277)</f>
        <v>0</v>
      </c>
      <c r="V277" s="62">
        <f>Q277+U277</f>
        <v>0</v>
      </c>
    </row>
    <row r="278" spans="1:22" x14ac:dyDescent="0.15">
      <c r="A278" s="18" t="s">
        <v>183</v>
      </c>
      <c r="B278" s="5">
        <v>4</v>
      </c>
      <c r="C278" s="6">
        <v>7</v>
      </c>
      <c r="D278" s="7">
        <v>3</v>
      </c>
      <c r="E278" s="52">
        <f t="shared" ref="E278:E285" si="230">SUM(B278:D278)</f>
        <v>14</v>
      </c>
      <c r="F278" s="8">
        <v>4</v>
      </c>
      <c r="G278" s="6">
        <v>7</v>
      </c>
      <c r="H278" s="7">
        <v>3</v>
      </c>
      <c r="I278" s="52">
        <f t="shared" ref="I278:I285" si="231">SUM(F278:H278)</f>
        <v>14</v>
      </c>
      <c r="J278" s="60">
        <f t="shared" ref="J278:J285" si="232">E278+I278</f>
        <v>28</v>
      </c>
      <c r="K278" s="40">
        <v>45938</v>
      </c>
      <c r="M278" s="18"/>
      <c r="N278" s="9"/>
      <c r="O278" s="10"/>
      <c r="P278" s="11"/>
      <c r="Q278" s="52">
        <f>SUM(N278:P278)</f>
        <v>0</v>
      </c>
      <c r="R278" s="12"/>
      <c r="S278" s="10"/>
      <c r="T278" s="11"/>
      <c r="U278" s="52">
        <f>SUM(R278:T278)</f>
        <v>0</v>
      </c>
      <c r="V278" s="60">
        <f>Q278+U278</f>
        <v>0</v>
      </c>
    </row>
    <row r="279" spans="1:22" x14ac:dyDescent="0.15">
      <c r="A279" s="18" t="s">
        <v>157</v>
      </c>
      <c r="B279" s="5">
        <v>1</v>
      </c>
      <c r="C279" s="6"/>
      <c r="D279" s="7"/>
      <c r="E279" s="52">
        <f t="shared" si="230"/>
        <v>1</v>
      </c>
      <c r="F279" s="8">
        <v>1</v>
      </c>
      <c r="G279" s="6"/>
      <c r="H279" s="7"/>
      <c r="I279" s="52">
        <f t="shared" si="231"/>
        <v>1</v>
      </c>
      <c r="J279" s="60">
        <f t="shared" si="232"/>
        <v>2</v>
      </c>
      <c r="K279" s="40">
        <v>45938</v>
      </c>
      <c r="M279" s="20"/>
      <c r="N279" s="5"/>
      <c r="O279" s="6"/>
      <c r="P279" s="7"/>
      <c r="Q279" s="52">
        <f t="shared" ref="Q279:Q304" si="233">SUM(N279:P279)</f>
        <v>0</v>
      </c>
      <c r="R279" s="8"/>
      <c r="S279" s="6"/>
      <c r="T279" s="7"/>
      <c r="U279" s="52">
        <f t="shared" ref="U279:U304" si="234">SUM(R279:T279)</f>
        <v>0</v>
      </c>
      <c r="V279" s="60">
        <f t="shared" ref="V279:V298" si="235">Q279+U279</f>
        <v>0</v>
      </c>
    </row>
    <row r="280" spans="1:22" x14ac:dyDescent="0.15">
      <c r="A280" s="18" t="s">
        <v>158</v>
      </c>
      <c r="B280" s="5">
        <v>4</v>
      </c>
      <c r="C280" s="6"/>
      <c r="D280" s="7">
        <v>2</v>
      </c>
      <c r="E280" s="52">
        <f t="shared" si="230"/>
        <v>6</v>
      </c>
      <c r="F280" s="8"/>
      <c r="G280" s="6"/>
      <c r="H280" s="7">
        <v>2</v>
      </c>
      <c r="I280" s="52">
        <f t="shared" si="231"/>
        <v>2</v>
      </c>
      <c r="J280" s="60">
        <f t="shared" si="232"/>
        <v>8</v>
      </c>
      <c r="K280" s="40">
        <v>45950</v>
      </c>
      <c r="M280" s="20"/>
      <c r="N280" s="5"/>
      <c r="O280" s="6"/>
      <c r="P280" s="7"/>
      <c r="Q280" s="52">
        <f t="shared" si="233"/>
        <v>0</v>
      </c>
      <c r="R280" s="8"/>
      <c r="S280" s="6"/>
      <c r="T280" s="7"/>
      <c r="U280" s="52">
        <f t="shared" si="234"/>
        <v>0</v>
      </c>
      <c r="V280" s="60">
        <f t="shared" si="235"/>
        <v>0</v>
      </c>
    </row>
    <row r="281" spans="1:22" x14ac:dyDescent="0.15">
      <c r="A281" s="17" t="s">
        <v>159</v>
      </c>
      <c r="B281" s="5">
        <v>1</v>
      </c>
      <c r="C281" s="6"/>
      <c r="D281" s="7"/>
      <c r="E281" s="52">
        <f t="shared" si="230"/>
        <v>1</v>
      </c>
      <c r="F281" s="8">
        <v>1</v>
      </c>
      <c r="G281" s="6"/>
      <c r="H281" s="7"/>
      <c r="I281" s="52">
        <f t="shared" si="231"/>
        <v>1</v>
      </c>
      <c r="J281" s="60">
        <f t="shared" si="232"/>
        <v>2</v>
      </c>
      <c r="K281" s="40">
        <v>45953</v>
      </c>
      <c r="M281" s="18"/>
      <c r="N281" s="5"/>
      <c r="O281" s="6"/>
      <c r="P281" s="7"/>
      <c r="Q281" s="52">
        <f t="shared" si="233"/>
        <v>0</v>
      </c>
      <c r="R281" s="8"/>
      <c r="S281" s="6"/>
      <c r="T281" s="7"/>
      <c r="U281" s="52">
        <f t="shared" si="234"/>
        <v>0</v>
      </c>
      <c r="V281" s="60">
        <f t="shared" si="235"/>
        <v>0</v>
      </c>
    </row>
    <row r="282" spans="1:22" x14ac:dyDescent="0.15">
      <c r="A282" s="18" t="s">
        <v>160</v>
      </c>
      <c r="B282" s="5"/>
      <c r="C282" s="6"/>
      <c r="D282" s="7">
        <v>2</v>
      </c>
      <c r="E282" s="52">
        <f t="shared" si="230"/>
        <v>2</v>
      </c>
      <c r="F282" s="8">
        <v>4</v>
      </c>
      <c r="G282" s="6"/>
      <c r="H282" s="7">
        <v>4</v>
      </c>
      <c r="I282" s="52">
        <f t="shared" si="231"/>
        <v>8</v>
      </c>
      <c r="J282" s="60">
        <f t="shared" si="232"/>
        <v>10</v>
      </c>
      <c r="K282" s="40">
        <v>45954</v>
      </c>
      <c r="M282" s="18"/>
      <c r="N282" s="5"/>
      <c r="O282" s="6"/>
      <c r="P282" s="7"/>
      <c r="Q282" s="52">
        <f t="shared" si="233"/>
        <v>0</v>
      </c>
      <c r="R282" s="8"/>
      <c r="S282" s="6"/>
      <c r="T282" s="7"/>
      <c r="U282" s="52">
        <f t="shared" si="234"/>
        <v>0</v>
      </c>
      <c r="V282" s="60">
        <f t="shared" si="235"/>
        <v>0</v>
      </c>
    </row>
    <row r="283" spans="1:22" x14ac:dyDescent="0.15">
      <c r="A283" s="18" t="s">
        <v>161</v>
      </c>
      <c r="B283" s="5"/>
      <c r="C283" s="6"/>
      <c r="D283" s="7">
        <v>5</v>
      </c>
      <c r="E283" s="52">
        <f t="shared" si="230"/>
        <v>5</v>
      </c>
      <c r="F283" s="8"/>
      <c r="G283" s="6">
        <v>1</v>
      </c>
      <c r="H283" s="7">
        <v>5</v>
      </c>
      <c r="I283" s="52">
        <f t="shared" si="231"/>
        <v>6</v>
      </c>
      <c r="J283" s="60">
        <f t="shared" si="232"/>
        <v>11</v>
      </c>
      <c r="K283" s="40">
        <v>45967</v>
      </c>
      <c r="L283" s="49"/>
      <c r="M283" s="20"/>
      <c r="N283" s="5"/>
      <c r="O283" s="6"/>
      <c r="P283" s="14"/>
      <c r="Q283" s="52">
        <f t="shared" si="233"/>
        <v>0</v>
      </c>
      <c r="R283" s="15"/>
      <c r="S283" s="13"/>
      <c r="T283" s="14"/>
      <c r="U283" s="52">
        <f t="shared" si="234"/>
        <v>0</v>
      </c>
      <c r="V283" s="60">
        <f t="shared" si="235"/>
        <v>0</v>
      </c>
    </row>
    <row r="284" spans="1:22" x14ac:dyDescent="0.15">
      <c r="A284" s="18" t="s">
        <v>162</v>
      </c>
      <c r="B284" s="5"/>
      <c r="C284" s="6"/>
      <c r="D284" s="7">
        <v>2</v>
      </c>
      <c r="E284" s="52">
        <f t="shared" si="230"/>
        <v>2</v>
      </c>
      <c r="F284" s="8"/>
      <c r="G284" s="6"/>
      <c r="H284" s="7"/>
      <c r="I284" s="52">
        <f t="shared" si="231"/>
        <v>0</v>
      </c>
      <c r="J284" s="60">
        <f t="shared" si="232"/>
        <v>2</v>
      </c>
      <c r="K284" s="40">
        <v>45967</v>
      </c>
      <c r="M284" s="42"/>
      <c r="N284" s="5"/>
      <c r="O284" s="6"/>
      <c r="P284" s="7"/>
      <c r="Q284" s="52">
        <f t="shared" si="233"/>
        <v>0</v>
      </c>
      <c r="R284" s="8"/>
      <c r="S284" s="6"/>
      <c r="T284" s="7"/>
      <c r="U284" s="52">
        <f t="shared" si="234"/>
        <v>0</v>
      </c>
      <c r="V284" s="60">
        <f t="shared" si="235"/>
        <v>0</v>
      </c>
    </row>
    <row r="285" spans="1:22" x14ac:dyDescent="0.15">
      <c r="A285" s="18" t="s">
        <v>163</v>
      </c>
      <c r="B285" s="5">
        <v>1</v>
      </c>
      <c r="C285" s="6">
        <v>2</v>
      </c>
      <c r="D285" s="7">
        <v>2</v>
      </c>
      <c r="E285" s="52">
        <f t="shared" si="230"/>
        <v>5</v>
      </c>
      <c r="F285" s="8">
        <v>2</v>
      </c>
      <c r="G285" s="6">
        <v>1</v>
      </c>
      <c r="H285" s="7">
        <v>3</v>
      </c>
      <c r="I285" s="52">
        <f t="shared" si="231"/>
        <v>6</v>
      </c>
      <c r="J285" s="60">
        <f t="shared" si="232"/>
        <v>11</v>
      </c>
      <c r="K285" s="40">
        <v>45975</v>
      </c>
      <c r="M285" s="18"/>
      <c r="N285" s="5" t="s">
        <v>20</v>
      </c>
      <c r="O285" s="6"/>
      <c r="P285" s="7"/>
      <c r="Q285" s="52">
        <f t="shared" si="233"/>
        <v>0</v>
      </c>
      <c r="R285" s="8"/>
      <c r="S285" s="6"/>
      <c r="T285" s="7"/>
      <c r="U285" s="52">
        <f t="shared" si="234"/>
        <v>0</v>
      </c>
      <c r="V285" s="60">
        <f t="shared" si="235"/>
        <v>0</v>
      </c>
    </row>
    <row r="286" spans="1:22" x14ac:dyDescent="0.15">
      <c r="A286" s="18" t="s">
        <v>165</v>
      </c>
      <c r="B286" s="5"/>
      <c r="C286" s="6">
        <v>2</v>
      </c>
      <c r="D286" s="7"/>
      <c r="E286" s="52">
        <f t="shared" ref="E286:E304" si="236">SUM(B286:D286)</f>
        <v>2</v>
      </c>
      <c r="F286" s="8"/>
      <c r="G286" s="6"/>
      <c r="H286" s="7"/>
      <c r="I286" s="52">
        <f t="shared" ref="I286:I304" si="237">SUM(F286:H286)</f>
        <v>0</v>
      </c>
      <c r="J286" s="60">
        <f t="shared" ref="J286:J301" si="238">E286+I286</f>
        <v>2</v>
      </c>
      <c r="K286" s="40">
        <v>45988</v>
      </c>
      <c r="M286" s="20"/>
      <c r="N286" s="5"/>
      <c r="O286" s="6"/>
      <c r="P286" s="7"/>
      <c r="Q286" s="52">
        <f t="shared" si="233"/>
        <v>0</v>
      </c>
      <c r="R286" s="8"/>
      <c r="S286" s="6"/>
      <c r="T286" s="7"/>
      <c r="U286" s="52">
        <f t="shared" si="234"/>
        <v>0</v>
      </c>
      <c r="V286" s="60">
        <f t="shared" si="235"/>
        <v>0</v>
      </c>
    </row>
    <row r="287" spans="1:22" x14ac:dyDescent="0.15">
      <c r="A287" s="18" t="s">
        <v>166</v>
      </c>
      <c r="B287" s="5"/>
      <c r="C287" s="6">
        <v>2</v>
      </c>
      <c r="D287" s="7"/>
      <c r="E287" s="52">
        <f t="shared" si="236"/>
        <v>2</v>
      </c>
      <c r="F287" s="8"/>
      <c r="G287" s="6">
        <v>2</v>
      </c>
      <c r="H287" s="7"/>
      <c r="I287" s="52">
        <f t="shared" si="237"/>
        <v>2</v>
      </c>
      <c r="J287" s="60">
        <f t="shared" si="238"/>
        <v>4</v>
      </c>
      <c r="K287" s="40">
        <v>45989</v>
      </c>
      <c r="M287" s="18"/>
      <c r="N287" s="9"/>
      <c r="O287" s="10"/>
      <c r="P287" s="11"/>
      <c r="Q287" s="52">
        <f t="shared" si="233"/>
        <v>0</v>
      </c>
      <c r="R287" s="12"/>
      <c r="S287" s="10"/>
      <c r="T287" s="11"/>
      <c r="U287" s="52">
        <f t="shared" si="234"/>
        <v>0</v>
      </c>
      <c r="V287" s="60">
        <f t="shared" si="235"/>
        <v>0</v>
      </c>
    </row>
    <row r="288" spans="1:22" x14ac:dyDescent="0.15">
      <c r="A288" s="18" t="s">
        <v>170</v>
      </c>
      <c r="B288" s="5"/>
      <c r="C288" s="6"/>
      <c r="D288" s="7"/>
      <c r="E288" s="52">
        <f t="shared" si="236"/>
        <v>0</v>
      </c>
      <c r="F288" s="8"/>
      <c r="G288" s="6">
        <v>1</v>
      </c>
      <c r="H288" s="7"/>
      <c r="I288" s="52">
        <f t="shared" si="237"/>
        <v>1</v>
      </c>
      <c r="J288" s="60">
        <f t="shared" si="238"/>
        <v>1</v>
      </c>
      <c r="K288" s="40">
        <v>46017</v>
      </c>
      <c r="M288" s="20"/>
      <c r="N288" s="5"/>
      <c r="O288" s="6"/>
      <c r="P288" s="7"/>
      <c r="Q288" s="52">
        <f t="shared" si="233"/>
        <v>0</v>
      </c>
      <c r="R288" s="8"/>
      <c r="S288" s="6"/>
      <c r="T288" s="7"/>
      <c r="U288" s="52">
        <f t="shared" si="234"/>
        <v>0</v>
      </c>
      <c r="V288" s="60">
        <f t="shared" si="235"/>
        <v>0</v>
      </c>
    </row>
    <row r="289" spans="1:23" x14ac:dyDescent="0.15">
      <c r="A289" s="17" t="s">
        <v>171</v>
      </c>
      <c r="B289" s="5">
        <v>1</v>
      </c>
      <c r="C289" s="6"/>
      <c r="D289" s="7"/>
      <c r="E289" s="52">
        <f t="shared" si="236"/>
        <v>1</v>
      </c>
      <c r="F289" s="8">
        <v>1</v>
      </c>
      <c r="G289" s="6"/>
      <c r="H289" s="7"/>
      <c r="I289" s="52">
        <f t="shared" si="237"/>
        <v>1</v>
      </c>
      <c r="J289" s="60">
        <f t="shared" si="238"/>
        <v>2</v>
      </c>
      <c r="K289" s="40">
        <v>46030</v>
      </c>
      <c r="M289" s="20"/>
      <c r="N289" s="5"/>
      <c r="O289" s="6"/>
      <c r="P289" s="7"/>
      <c r="Q289" s="52">
        <f t="shared" si="233"/>
        <v>0</v>
      </c>
      <c r="R289" s="8"/>
      <c r="S289" s="6"/>
      <c r="T289" s="7"/>
      <c r="U289" s="52">
        <f t="shared" si="234"/>
        <v>0</v>
      </c>
      <c r="V289" s="60">
        <f t="shared" si="235"/>
        <v>0</v>
      </c>
    </row>
    <row r="290" spans="1:23" x14ac:dyDescent="0.15">
      <c r="A290" s="20" t="s">
        <v>174</v>
      </c>
      <c r="B290" s="5">
        <v>14</v>
      </c>
      <c r="C290" s="6">
        <v>14</v>
      </c>
      <c r="D290" s="7">
        <v>8</v>
      </c>
      <c r="E290" s="52">
        <f t="shared" si="236"/>
        <v>36</v>
      </c>
      <c r="F290" s="8">
        <v>14</v>
      </c>
      <c r="G290" s="6">
        <v>14</v>
      </c>
      <c r="H290" s="7">
        <v>8</v>
      </c>
      <c r="I290" s="52">
        <f t="shared" si="237"/>
        <v>36</v>
      </c>
      <c r="J290" s="60">
        <f t="shared" si="238"/>
        <v>72</v>
      </c>
      <c r="K290" s="40">
        <v>46062</v>
      </c>
      <c r="M290" s="18"/>
      <c r="N290" s="5"/>
      <c r="O290" s="6"/>
      <c r="P290" s="7"/>
      <c r="Q290" s="52">
        <f t="shared" si="233"/>
        <v>0</v>
      </c>
      <c r="R290" s="8"/>
      <c r="S290" s="6"/>
      <c r="T290" s="7"/>
      <c r="U290" s="52">
        <f t="shared" si="234"/>
        <v>0</v>
      </c>
      <c r="V290" s="60">
        <f t="shared" si="235"/>
        <v>0</v>
      </c>
    </row>
    <row r="291" spans="1:23" x14ac:dyDescent="0.15">
      <c r="A291" s="20" t="s">
        <v>178</v>
      </c>
      <c r="B291" s="5">
        <v>10</v>
      </c>
      <c r="C291" s="6"/>
      <c r="D291" s="7">
        <v>14</v>
      </c>
      <c r="E291" s="52">
        <f t="shared" si="236"/>
        <v>24</v>
      </c>
      <c r="F291" s="8">
        <v>10</v>
      </c>
      <c r="G291" s="6"/>
      <c r="H291" s="7">
        <v>14</v>
      </c>
      <c r="I291" s="52">
        <f t="shared" si="237"/>
        <v>24</v>
      </c>
      <c r="J291" s="60">
        <f t="shared" si="238"/>
        <v>48</v>
      </c>
      <c r="K291" s="40">
        <v>46066</v>
      </c>
      <c r="M291" s="18"/>
      <c r="N291" s="5"/>
      <c r="O291" s="6"/>
      <c r="P291" s="7"/>
      <c r="Q291" s="52">
        <f t="shared" si="233"/>
        <v>0</v>
      </c>
      <c r="R291" s="8"/>
      <c r="S291" s="6"/>
      <c r="T291" s="7"/>
      <c r="U291" s="52">
        <f t="shared" si="234"/>
        <v>0</v>
      </c>
      <c r="V291" s="60">
        <f t="shared" si="235"/>
        <v>0</v>
      </c>
    </row>
    <row r="292" spans="1:23" x14ac:dyDescent="0.15">
      <c r="A292" s="20" t="s">
        <v>179</v>
      </c>
      <c r="B292" s="5">
        <v>5</v>
      </c>
      <c r="C292" s="6"/>
      <c r="D292" s="7">
        <v>5</v>
      </c>
      <c r="E292" s="52">
        <f t="shared" si="236"/>
        <v>10</v>
      </c>
      <c r="F292" s="8">
        <v>5</v>
      </c>
      <c r="G292" s="6"/>
      <c r="H292" s="7">
        <v>5</v>
      </c>
      <c r="I292" s="52">
        <f t="shared" si="237"/>
        <v>10</v>
      </c>
      <c r="J292" s="60">
        <f t="shared" si="238"/>
        <v>20</v>
      </c>
      <c r="K292" s="40">
        <v>46067</v>
      </c>
      <c r="M292" s="20"/>
      <c r="N292" s="5"/>
      <c r="O292" s="6"/>
      <c r="P292" s="7"/>
      <c r="Q292" s="52">
        <f t="shared" si="233"/>
        <v>0</v>
      </c>
      <c r="R292" s="8"/>
      <c r="S292" s="6"/>
      <c r="T292" s="7"/>
      <c r="U292" s="52">
        <f t="shared" si="234"/>
        <v>0</v>
      </c>
      <c r="V292" s="60">
        <f t="shared" si="235"/>
        <v>0</v>
      </c>
    </row>
    <row r="293" spans="1:23" x14ac:dyDescent="0.15">
      <c r="A293" s="20" t="s">
        <v>180</v>
      </c>
      <c r="B293" s="5"/>
      <c r="C293" s="6">
        <v>13</v>
      </c>
      <c r="D293" s="7"/>
      <c r="E293" s="52">
        <f t="shared" si="236"/>
        <v>13</v>
      </c>
      <c r="F293" s="8"/>
      <c r="G293" s="6">
        <v>13</v>
      </c>
      <c r="H293" s="7"/>
      <c r="I293" s="52">
        <f t="shared" si="237"/>
        <v>13</v>
      </c>
      <c r="J293" s="60">
        <f t="shared" si="238"/>
        <v>26</v>
      </c>
      <c r="K293" s="40">
        <v>46067</v>
      </c>
      <c r="M293" s="20"/>
      <c r="N293" s="5"/>
      <c r="O293" s="6"/>
      <c r="P293" s="7"/>
      <c r="Q293" s="52">
        <f t="shared" si="233"/>
        <v>0</v>
      </c>
      <c r="R293" s="8"/>
      <c r="S293" s="6"/>
      <c r="T293" s="7"/>
      <c r="U293" s="52">
        <f t="shared" si="234"/>
        <v>0</v>
      </c>
      <c r="V293" s="60">
        <f t="shared" si="235"/>
        <v>0</v>
      </c>
    </row>
    <row r="294" spans="1:23" x14ac:dyDescent="0.15">
      <c r="A294" s="18" t="s">
        <v>181</v>
      </c>
      <c r="B294" s="5">
        <v>-5</v>
      </c>
      <c r="C294" s="6">
        <v>-15</v>
      </c>
      <c r="D294" s="7">
        <v>-10</v>
      </c>
      <c r="E294" s="52">
        <f t="shared" si="236"/>
        <v>-30</v>
      </c>
      <c r="F294" s="8">
        <v>-5</v>
      </c>
      <c r="G294" s="6">
        <v>-15</v>
      </c>
      <c r="H294" s="7">
        <v>-10</v>
      </c>
      <c r="I294" s="52">
        <f t="shared" si="237"/>
        <v>-30</v>
      </c>
      <c r="J294" s="60">
        <f t="shared" si="238"/>
        <v>-60</v>
      </c>
      <c r="K294" s="40">
        <v>46069</v>
      </c>
      <c r="M294" s="18"/>
      <c r="N294" s="5"/>
      <c r="O294" s="6"/>
      <c r="P294" s="7"/>
      <c r="Q294" s="52">
        <f t="shared" si="233"/>
        <v>0</v>
      </c>
      <c r="R294" s="8"/>
      <c r="S294" s="6"/>
      <c r="T294" s="7"/>
      <c r="U294" s="52">
        <f t="shared" si="234"/>
        <v>0</v>
      </c>
      <c r="V294" s="60">
        <f t="shared" si="235"/>
        <v>0</v>
      </c>
    </row>
    <row r="295" spans="1:23" x14ac:dyDescent="0.15">
      <c r="A295" s="18" t="s">
        <v>182</v>
      </c>
      <c r="B295" s="5"/>
      <c r="C295" s="6">
        <v>1</v>
      </c>
      <c r="D295" s="7"/>
      <c r="E295" s="52">
        <f t="shared" si="236"/>
        <v>1</v>
      </c>
      <c r="F295" s="8"/>
      <c r="G295" s="6">
        <v>1</v>
      </c>
      <c r="H295" s="7"/>
      <c r="I295" s="52">
        <f t="shared" si="237"/>
        <v>1</v>
      </c>
      <c r="J295" s="60">
        <f t="shared" si="238"/>
        <v>2</v>
      </c>
      <c r="K295" s="41">
        <v>46070</v>
      </c>
      <c r="M295" s="20"/>
      <c r="N295" s="5"/>
      <c r="O295" s="6"/>
      <c r="P295" s="7"/>
      <c r="Q295" s="52">
        <f t="shared" si="233"/>
        <v>0</v>
      </c>
      <c r="R295" s="8"/>
      <c r="S295" s="6"/>
      <c r="T295" s="7"/>
      <c r="U295" s="52">
        <f t="shared" si="234"/>
        <v>0</v>
      </c>
      <c r="V295" s="60">
        <f t="shared" si="235"/>
        <v>0</v>
      </c>
    </row>
    <row r="296" spans="1:23" x14ac:dyDescent="0.15">
      <c r="A296" s="18" t="s">
        <v>184</v>
      </c>
      <c r="B296" s="5">
        <v>-3</v>
      </c>
      <c r="C296" s="6"/>
      <c r="D296" s="7">
        <v>-6</v>
      </c>
      <c r="E296" s="52">
        <f t="shared" si="236"/>
        <v>-9</v>
      </c>
      <c r="F296" s="8"/>
      <c r="G296" s="6"/>
      <c r="H296" s="7">
        <v>-4</v>
      </c>
      <c r="I296" s="52">
        <f t="shared" si="237"/>
        <v>-4</v>
      </c>
      <c r="J296" s="60">
        <f t="shared" si="238"/>
        <v>-13</v>
      </c>
      <c r="K296" s="41">
        <v>46069</v>
      </c>
      <c r="M296" s="18"/>
      <c r="N296" s="5"/>
      <c r="O296" s="6"/>
      <c r="P296" s="7"/>
      <c r="Q296" s="52">
        <f t="shared" si="233"/>
        <v>0</v>
      </c>
      <c r="R296" s="8"/>
      <c r="S296" s="6"/>
      <c r="T296" s="7"/>
      <c r="U296" s="52">
        <f t="shared" si="234"/>
        <v>0</v>
      </c>
      <c r="V296" s="60">
        <f t="shared" si="235"/>
        <v>0</v>
      </c>
    </row>
    <row r="297" spans="1:23" x14ac:dyDescent="0.15">
      <c r="A297" s="17" t="s">
        <v>187</v>
      </c>
      <c r="B297" s="5">
        <v>1</v>
      </c>
      <c r="C297" s="6"/>
      <c r="D297" s="7"/>
      <c r="E297" s="52">
        <f t="shared" si="236"/>
        <v>1</v>
      </c>
      <c r="F297" s="8">
        <v>1</v>
      </c>
      <c r="G297" s="6"/>
      <c r="H297" s="7"/>
      <c r="I297" s="52">
        <f t="shared" si="237"/>
        <v>1</v>
      </c>
      <c r="J297" s="60">
        <f t="shared" si="238"/>
        <v>2</v>
      </c>
      <c r="K297" s="40">
        <v>46093</v>
      </c>
      <c r="M297" s="20"/>
      <c r="N297" s="5"/>
      <c r="O297" s="6"/>
      <c r="P297" s="7"/>
      <c r="Q297" s="52">
        <f t="shared" si="233"/>
        <v>0</v>
      </c>
      <c r="R297" s="8"/>
      <c r="S297" s="6"/>
      <c r="T297" s="7"/>
      <c r="U297" s="52">
        <f t="shared" si="234"/>
        <v>0</v>
      </c>
      <c r="V297" s="60">
        <f t="shared" si="235"/>
        <v>0</v>
      </c>
    </row>
    <row r="298" spans="1:23" x14ac:dyDescent="0.15">
      <c r="A298" s="17" t="s">
        <v>188</v>
      </c>
      <c r="B298" s="5">
        <v>1</v>
      </c>
      <c r="C298" s="6">
        <v>2</v>
      </c>
      <c r="D298" s="7"/>
      <c r="E298" s="52">
        <f t="shared" si="236"/>
        <v>3</v>
      </c>
      <c r="F298" s="8">
        <v>1</v>
      </c>
      <c r="G298" s="6">
        <v>2</v>
      </c>
      <c r="H298" s="7"/>
      <c r="I298" s="52">
        <f t="shared" si="237"/>
        <v>3</v>
      </c>
      <c r="J298" s="60">
        <f t="shared" si="238"/>
        <v>6</v>
      </c>
      <c r="K298" s="40">
        <v>46094</v>
      </c>
      <c r="M298" s="20"/>
      <c r="N298" s="5"/>
      <c r="O298" s="6"/>
      <c r="P298" s="7"/>
      <c r="Q298" s="52">
        <f t="shared" si="233"/>
        <v>0</v>
      </c>
      <c r="R298" s="8"/>
      <c r="S298" s="6"/>
      <c r="T298" s="7"/>
      <c r="U298" s="52">
        <f t="shared" si="234"/>
        <v>0</v>
      </c>
      <c r="V298" s="60">
        <f t="shared" si="235"/>
        <v>0</v>
      </c>
    </row>
    <row r="299" spans="1:23" x14ac:dyDescent="0.15">
      <c r="A299" s="17" t="s">
        <v>189</v>
      </c>
      <c r="B299" s="9"/>
      <c r="C299" s="10">
        <v>3</v>
      </c>
      <c r="D299" s="11">
        <v>1</v>
      </c>
      <c r="E299" s="52">
        <f t="shared" si="236"/>
        <v>4</v>
      </c>
      <c r="F299" s="12"/>
      <c r="G299" s="10">
        <v>3</v>
      </c>
      <c r="H299" s="11">
        <v>1</v>
      </c>
      <c r="I299" s="52">
        <f t="shared" si="237"/>
        <v>4</v>
      </c>
      <c r="J299" s="60">
        <f t="shared" si="238"/>
        <v>8</v>
      </c>
      <c r="K299" s="40">
        <v>46094</v>
      </c>
      <c r="M299" s="20"/>
      <c r="N299" s="5"/>
      <c r="O299" s="6"/>
      <c r="P299" s="7"/>
      <c r="Q299" s="52">
        <f t="shared" ref="Q299" si="239">SUM(N299:P299)</f>
        <v>0</v>
      </c>
      <c r="R299" s="8"/>
      <c r="S299" s="6"/>
      <c r="T299" s="7"/>
      <c r="U299" s="52">
        <f t="shared" ref="U299" si="240">SUM(R299:T299)</f>
        <v>0</v>
      </c>
      <c r="V299" s="60">
        <f t="shared" ref="V299" si="241">Q299+U299</f>
        <v>0</v>
      </c>
      <c r="W299" s="87"/>
    </row>
    <row r="300" spans="1:23" x14ac:dyDescent="0.15">
      <c r="A300" s="17" t="s">
        <v>190</v>
      </c>
      <c r="B300" s="5"/>
      <c r="C300" s="6">
        <v>3</v>
      </c>
      <c r="D300" s="7">
        <v>4</v>
      </c>
      <c r="E300" s="52">
        <f t="shared" si="236"/>
        <v>7</v>
      </c>
      <c r="F300" s="8"/>
      <c r="G300" s="6">
        <v>3</v>
      </c>
      <c r="H300" s="7">
        <v>4</v>
      </c>
      <c r="I300" s="52">
        <f t="shared" si="237"/>
        <v>7</v>
      </c>
      <c r="J300" s="60">
        <f t="shared" si="238"/>
        <v>14</v>
      </c>
      <c r="K300" s="40">
        <v>46097</v>
      </c>
      <c r="M300" s="20"/>
      <c r="N300" s="5"/>
      <c r="O300" s="6"/>
      <c r="P300" s="7"/>
      <c r="Q300" s="52">
        <f t="shared" ref="Q300:Q301" si="242">SUM(N300:P300)</f>
        <v>0</v>
      </c>
      <c r="R300" s="8"/>
      <c r="S300" s="6"/>
      <c r="T300" s="7"/>
      <c r="U300" s="52">
        <f t="shared" ref="U300:U301" si="243">SUM(R300:T300)</f>
        <v>0</v>
      </c>
      <c r="V300" s="60">
        <f t="shared" ref="V300:V301" si="244">Q300+U300</f>
        <v>0</v>
      </c>
      <c r="W300" s="87"/>
    </row>
    <row r="301" spans="1:23" x14ac:dyDescent="0.15">
      <c r="A301" s="17"/>
      <c r="B301" s="5"/>
      <c r="C301" s="6"/>
      <c r="D301" s="7"/>
      <c r="E301" s="52">
        <f t="shared" si="236"/>
        <v>0</v>
      </c>
      <c r="F301" s="8"/>
      <c r="G301" s="6"/>
      <c r="H301" s="7"/>
      <c r="I301" s="52">
        <f t="shared" si="237"/>
        <v>0</v>
      </c>
      <c r="J301" s="60">
        <f t="shared" si="238"/>
        <v>0</v>
      </c>
      <c r="M301" s="20"/>
      <c r="N301" s="5"/>
      <c r="O301" s="6"/>
      <c r="P301" s="7"/>
      <c r="Q301" s="52">
        <f t="shared" si="242"/>
        <v>0</v>
      </c>
      <c r="R301" s="8"/>
      <c r="S301" s="6"/>
      <c r="T301" s="7"/>
      <c r="U301" s="52">
        <f t="shared" si="243"/>
        <v>0</v>
      </c>
      <c r="V301" s="60">
        <f t="shared" si="244"/>
        <v>0</v>
      </c>
      <c r="W301" s="87"/>
    </row>
    <row r="302" spans="1:23" x14ac:dyDescent="0.15">
      <c r="A302" s="18" t="s">
        <v>164</v>
      </c>
      <c r="B302" s="5"/>
      <c r="C302" s="6"/>
      <c r="D302" s="7"/>
      <c r="E302" s="52">
        <f t="shared" ref="E302:E303" si="245">SUM(B302:D302)</f>
        <v>0</v>
      </c>
      <c r="F302" s="8"/>
      <c r="G302" s="6"/>
      <c r="H302" s="7"/>
      <c r="I302" s="52">
        <f t="shared" ref="I302:I303" si="246">SUM(F302:H302)</f>
        <v>0</v>
      </c>
      <c r="J302" s="60">
        <f t="shared" ref="J302:J303" si="247">E302+I302</f>
        <v>0</v>
      </c>
      <c r="K302" s="49" t="s">
        <v>140</v>
      </c>
      <c r="M302" s="88" t="s">
        <v>168</v>
      </c>
      <c r="N302" s="89"/>
      <c r="O302" s="90"/>
      <c r="P302" s="91"/>
      <c r="Q302" s="92">
        <f t="shared" ref="Q302:Q303" si="248">SUM(N302:P302)</f>
        <v>0</v>
      </c>
      <c r="R302" s="89"/>
      <c r="S302" s="90"/>
      <c r="T302" s="91"/>
      <c r="U302" s="92">
        <f t="shared" ref="U302:U303" si="249">SUM(R302:T302)</f>
        <v>0</v>
      </c>
      <c r="V302" s="93">
        <f t="shared" ref="V302:V303" si="250">Q302+U302</f>
        <v>0</v>
      </c>
      <c r="W302" s="94"/>
    </row>
    <row r="303" spans="1:23" ht="14.25" thickBot="1" x14ac:dyDescent="0.2">
      <c r="A303" s="20" t="s">
        <v>172</v>
      </c>
      <c r="B303" s="5"/>
      <c r="C303" s="6"/>
      <c r="D303" s="7"/>
      <c r="E303" s="52">
        <f t="shared" si="245"/>
        <v>0</v>
      </c>
      <c r="F303" s="8"/>
      <c r="G303" s="6"/>
      <c r="H303" s="7"/>
      <c r="I303" s="52">
        <f t="shared" si="246"/>
        <v>0</v>
      </c>
      <c r="J303" s="60">
        <f t="shared" si="247"/>
        <v>0</v>
      </c>
      <c r="K303" s="49" t="s">
        <v>173</v>
      </c>
      <c r="M303" s="20" t="s">
        <v>167</v>
      </c>
      <c r="N303" s="5"/>
      <c r="O303" s="6"/>
      <c r="P303" s="7"/>
      <c r="Q303" s="52">
        <f t="shared" si="248"/>
        <v>0</v>
      </c>
      <c r="R303" s="5"/>
      <c r="S303" s="6"/>
      <c r="T303" s="7"/>
      <c r="U303" s="52">
        <f t="shared" si="249"/>
        <v>0</v>
      </c>
      <c r="V303" s="60">
        <f t="shared" si="250"/>
        <v>0</v>
      </c>
      <c r="W303" s="49" t="s">
        <v>169</v>
      </c>
    </row>
    <row r="304" spans="1:23" ht="14.25" thickBot="1" x14ac:dyDescent="0.2">
      <c r="A304" s="31" t="s">
        <v>18</v>
      </c>
      <c r="B304" s="34">
        <f>SUM(B278:B303)</f>
        <v>35</v>
      </c>
      <c r="C304" s="35">
        <f t="shared" ref="C304:D304" si="251">SUM(C278:C303)</f>
        <v>34</v>
      </c>
      <c r="D304" s="39">
        <f t="shared" si="251"/>
        <v>32</v>
      </c>
      <c r="E304" s="57">
        <f t="shared" si="236"/>
        <v>101</v>
      </c>
      <c r="F304" s="34">
        <f>SUM(F278:F303)</f>
        <v>39</v>
      </c>
      <c r="G304" s="35">
        <f t="shared" ref="G304:H304" si="252">SUM(G278:G303)</f>
        <v>33</v>
      </c>
      <c r="H304" s="39">
        <f t="shared" si="252"/>
        <v>35</v>
      </c>
      <c r="I304" s="57">
        <f t="shared" si="237"/>
        <v>107</v>
      </c>
      <c r="J304" s="63">
        <f>E304+I304</f>
        <v>208</v>
      </c>
      <c r="M304" s="31" t="s">
        <v>18</v>
      </c>
      <c r="N304" s="34">
        <f>SUM(N278:N303)</f>
        <v>0</v>
      </c>
      <c r="O304" s="35">
        <f t="shared" ref="O304:P304" si="253">SUM(O278:O303)</f>
        <v>0</v>
      </c>
      <c r="P304" s="39">
        <f t="shared" si="253"/>
        <v>0</v>
      </c>
      <c r="Q304" s="57">
        <f t="shared" si="233"/>
        <v>0</v>
      </c>
      <c r="R304" s="34">
        <f>SUM(R278:R303)</f>
        <v>0</v>
      </c>
      <c r="S304" s="35">
        <f t="shared" ref="S304:T304" si="254">SUM(S278:S303)</f>
        <v>0</v>
      </c>
      <c r="T304" s="39">
        <f t="shared" si="254"/>
        <v>0</v>
      </c>
      <c r="U304" s="57">
        <f t="shared" si="234"/>
        <v>0</v>
      </c>
      <c r="V304" s="63">
        <f>Q304+U304</f>
        <v>0</v>
      </c>
    </row>
    <row r="305" spans="1:22" ht="14.25" thickBot="1" x14ac:dyDescent="0.2">
      <c r="A305" s="16" t="s">
        <v>17</v>
      </c>
      <c r="B305" s="64">
        <f>B277-B304</f>
        <v>16</v>
      </c>
      <c r="C305" s="65">
        <f t="shared" ref="C305:D305" si="255">C277-C304</f>
        <v>6</v>
      </c>
      <c r="D305" s="66">
        <f t="shared" si="255"/>
        <v>16</v>
      </c>
      <c r="E305" s="58">
        <f>SUM(B305:D305)</f>
        <v>38</v>
      </c>
      <c r="F305" s="64">
        <f>F277-F304</f>
        <v>10</v>
      </c>
      <c r="G305" s="65">
        <f t="shared" ref="G305:H305" si="256">G277-G304</f>
        <v>5</v>
      </c>
      <c r="H305" s="66">
        <f t="shared" si="256"/>
        <v>14</v>
      </c>
      <c r="I305" s="58">
        <f>SUM(F305:H305)</f>
        <v>29</v>
      </c>
      <c r="J305" s="62">
        <f>E305+I305</f>
        <v>67</v>
      </c>
      <c r="M305" s="16" t="s">
        <v>17</v>
      </c>
      <c r="N305" s="64">
        <f>N277-N304</f>
        <v>0</v>
      </c>
      <c r="O305" s="65">
        <f t="shared" ref="O305:P305" si="257">O277-O304</f>
        <v>0</v>
      </c>
      <c r="P305" s="66">
        <f t="shared" si="257"/>
        <v>0</v>
      </c>
      <c r="Q305" s="58">
        <f>SUM(N305:P305)</f>
        <v>0</v>
      </c>
      <c r="R305" s="64">
        <f>R277-R304</f>
        <v>0</v>
      </c>
      <c r="S305" s="65">
        <f t="shared" ref="S305:T305" si="258">S277-S304</f>
        <v>0</v>
      </c>
      <c r="T305" s="66">
        <f t="shared" si="258"/>
        <v>0</v>
      </c>
      <c r="U305" s="58">
        <f>SUM(R305:T305)</f>
        <v>0</v>
      </c>
      <c r="V305" s="62">
        <f>Q305+U305</f>
        <v>0</v>
      </c>
    </row>
    <row r="309" spans="1:22" ht="18" thickBot="1" x14ac:dyDescent="0.25">
      <c r="A309" s="73" t="s">
        <v>23</v>
      </c>
      <c r="B309" s="74"/>
      <c r="C309" s="74"/>
      <c r="D309" s="74"/>
      <c r="E309" s="74"/>
      <c r="F309" s="74"/>
      <c r="G309" s="74"/>
      <c r="H309" s="74"/>
      <c r="I309" s="74"/>
      <c r="J309" s="74"/>
      <c r="M309" s="73" t="s">
        <v>24</v>
      </c>
      <c r="N309" s="74"/>
      <c r="O309" s="74"/>
      <c r="P309" s="74"/>
      <c r="Q309" s="74"/>
      <c r="R309" s="74"/>
      <c r="S309" s="74"/>
      <c r="T309" s="74"/>
      <c r="U309" s="74"/>
      <c r="V309" s="74"/>
    </row>
    <row r="310" spans="1:22" ht="14.25" thickBot="1" x14ac:dyDescent="0.2">
      <c r="A310" s="4" t="s">
        <v>0</v>
      </c>
      <c r="B310" s="97" t="s">
        <v>21</v>
      </c>
      <c r="C310" s="97"/>
      <c r="D310" s="97"/>
      <c r="E310" s="98"/>
      <c r="F310" s="99" t="s">
        <v>22</v>
      </c>
      <c r="G310" s="99"/>
      <c r="H310" s="99"/>
      <c r="I310" s="100"/>
      <c r="J310" s="95" t="s">
        <v>1</v>
      </c>
      <c r="M310" s="4" t="s">
        <v>0</v>
      </c>
      <c r="N310" s="97" t="s">
        <v>21</v>
      </c>
      <c r="O310" s="97"/>
      <c r="P310" s="97"/>
      <c r="Q310" s="98"/>
      <c r="R310" s="99" t="s">
        <v>22</v>
      </c>
      <c r="S310" s="99"/>
      <c r="T310" s="99"/>
      <c r="U310" s="100"/>
      <c r="V310" s="95" t="s">
        <v>1</v>
      </c>
    </row>
    <row r="311" spans="1:22" ht="14.25" thickBot="1" x14ac:dyDescent="0.2">
      <c r="A311" s="4" t="s">
        <v>2</v>
      </c>
      <c r="B311" s="1" t="s">
        <v>3</v>
      </c>
      <c r="C311" s="2" t="s">
        <v>4</v>
      </c>
      <c r="D311" s="3" t="s">
        <v>5</v>
      </c>
      <c r="E311" s="4" t="s">
        <v>6</v>
      </c>
      <c r="F311" s="1" t="s">
        <v>3</v>
      </c>
      <c r="G311" s="2" t="s">
        <v>4</v>
      </c>
      <c r="H311" s="3" t="s">
        <v>5</v>
      </c>
      <c r="I311" s="4" t="s">
        <v>6</v>
      </c>
      <c r="J311" s="96"/>
      <c r="M311" s="4" t="s">
        <v>2</v>
      </c>
      <c r="N311" s="1" t="s">
        <v>3</v>
      </c>
      <c r="O311" s="2" t="s">
        <v>4</v>
      </c>
      <c r="P311" s="3" t="s">
        <v>5</v>
      </c>
      <c r="Q311" s="4" t="s">
        <v>6</v>
      </c>
      <c r="R311" s="1" t="s">
        <v>3</v>
      </c>
      <c r="S311" s="2" t="s">
        <v>4</v>
      </c>
      <c r="T311" s="3" t="s">
        <v>5</v>
      </c>
      <c r="U311" s="4" t="s">
        <v>6</v>
      </c>
      <c r="V311" s="96"/>
    </row>
    <row r="312" spans="1:22" ht="14.25" thickBot="1" x14ac:dyDescent="0.2">
      <c r="A312" s="21" t="s">
        <v>19</v>
      </c>
      <c r="B312" s="22">
        <f>B305</f>
        <v>16</v>
      </c>
      <c r="C312" s="23">
        <f>C305</f>
        <v>6</v>
      </c>
      <c r="D312" s="24">
        <f>D305</f>
        <v>16</v>
      </c>
      <c r="E312" s="55">
        <f>SUM(B312:D312)</f>
        <v>38</v>
      </c>
      <c r="F312" s="22">
        <f>F305</f>
        <v>10</v>
      </c>
      <c r="G312" s="23">
        <f>G305</f>
        <v>5</v>
      </c>
      <c r="H312" s="24">
        <f>H305</f>
        <v>14</v>
      </c>
      <c r="I312" s="55">
        <f>SUM(F312:H312)</f>
        <v>29</v>
      </c>
      <c r="J312" s="62">
        <f>E312+I312</f>
        <v>67</v>
      </c>
      <c r="M312" s="21" t="s">
        <v>19</v>
      </c>
      <c r="N312" s="67">
        <f>N305</f>
        <v>0</v>
      </c>
      <c r="O312" s="68">
        <f>O305</f>
        <v>0</v>
      </c>
      <c r="P312" s="69">
        <f>P305</f>
        <v>0</v>
      </c>
      <c r="Q312" s="70">
        <f>SUM(N312:P312)</f>
        <v>0</v>
      </c>
      <c r="R312" s="67">
        <f>R305</f>
        <v>0</v>
      </c>
      <c r="S312" s="68">
        <f>S305</f>
        <v>0</v>
      </c>
      <c r="T312" s="69">
        <f>T305</f>
        <v>0</v>
      </c>
      <c r="U312" s="70">
        <f>SUM(R312:T312)</f>
        <v>0</v>
      </c>
      <c r="V312" s="71">
        <f>Q312+U312</f>
        <v>0</v>
      </c>
    </row>
    <row r="313" spans="1:22" x14ac:dyDescent="0.15">
      <c r="A313" s="19" t="s">
        <v>193</v>
      </c>
      <c r="B313" s="9">
        <v>2</v>
      </c>
      <c r="C313" s="10">
        <v>4</v>
      </c>
      <c r="D313" s="37">
        <v>3</v>
      </c>
      <c r="E313" s="53">
        <f t="shared" ref="E313:E320" si="259">SUM(B313:D313)</f>
        <v>9</v>
      </c>
      <c r="F313" s="12">
        <v>2</v>
      </c>
      <c r="G313" s="10">
        <v>4</v>
      </c>
      <c r="H313" s="11">
        <v>3</v>
      </c>
      <c r="I313" s="53">
        <f t="shared" ref="I313:I320" si="260">SUM(F313:H313)</f>
        <v>9</v>
      </c>
      <c r="J313" s="60">
        <f t="shared" ref="J313:J320" si="261">E313+I313</f>
        <v>18</v>
      </c>
      <c r="K313" s="40">
        <v>46094</v>
      </c>
      <c r="M313" s="19" t="s">
        <v>8</v>
      </c>
      <c r="N313" s="32"/>
      <c r="O313" s="33"/>
      <c r="P313" s="45"/>
      <c r="Q313" s="51">
        <f>SUM(N313:P313)</f>
        <v>0</v>
      </c>
      <c r="R313" s="46"/>
      <c r="S313" s="47"/>
      <c r="T313" s="48"/>
      <c r="U313" s="51">
        <f>SUM(R313:T313)</f>
        <v>0</v>
      </c>
      <c r="V313" s="59">
        <f>Q313+U313</f>
        <v>0</v>
      </c>
    </row>
    <row r="314" spans="1:22" x14ac:dyDescent="0.15">
      <c r="A314" s="19" t="s">
        <v>9</v>
      </c>
      <c r="B314" s="9"/>
      <c r="C314" s="10">
        <v>10</v>
      </c>
      <c r="D314" s="37"/>
      <c r="E314" s="53">
        <f t="shared" ref="E314" si="262">SUM(B314:D314)</f>
        <v>10</v>
      </c>
      <c r="F314" s="12">
        <v>6</v>
      </c>
      <c r="G314" s="10">
        <v>11</v>
      </c>
      <c r="H314" s="11">
        <v>2</v>
      </c>
      <c r="I314" s="53">
        <f t="shared" ref="I314" si="263">SUM(F314:H314)</f>
        <v>19</v>
      </c>
      <c r="J314" s="60">
        <f t="shared" ref="J314" si="264">E314+I314</f>
        <v>29</v>
      </c>
      <c r="K314" s="40">
        <v>46100</v>
      </c>
      <c r="L314" s="49"/>
      <c r="M314" s="19" t="s">
        <v>9</v>
      </c>
      <c r="N314" s="5"/>
      <c r="O314" s="6"/>
      <c r="P314" s="36"/>
      <c r="Q314" s="53">
        <f t="shared" ref="Q314:Q317" si="265">SUM(N314:P314)</f>
        <v>0</v>
      </c>
      <c r="R314" s="8"/>
      <c r="S314" s="6"/>
      <c r="T314" s="7"/>
      <c r="U314" s="53">
        <f t="shared" ref="U314:U317" si="266">SUM(R314:T314)</f>
        <v>0</v>
      </c>
      <c r="V314" s="60">
        <f t="shared" ref="V314:V317" si="267">Q314+U314</f>
        <v>0</v>
      </c>
    </row>
    <row r="315" spans="1:22" x14ac:dyDescent="0.15">
      <c r="A315" s="19" t="s">
        <v>10</v>
      </c>
      <c r="B315" s="9">
        <v>10</v>
      </c>
      <c r="C315" s="10">
        <v>10</v>
      </c>
      <c r="D315" s="37">
        <v>10</v>
      </c>
      <c r="E315" s="53">
        <f t="shared" si="259"/>
        <v>30</v>
      </c>
      <c r="F315" s="12">
        <v>10</v>
      </c>
      <c r="G315" s="10">
        <v>10</v>
      </c>
      <c r="H315" s="11">
        <v>10</v>
      </c>
      <c r="I315" s="53">
        <f t="shared" si="260"/>
        <v>30</v>
      </c>
      <c r="J315" s="60">
        <f t="shared" si="261"/>
        <v>60</v>
      </c>
      <c r="K315" s="40">
        <v>46115</v>
      </c>
      <c r="L315" s="49"/>
      <c r="M315" s="19" t="s">
        <v>10</v>
      </c>
      <c r="N315" s="5"/>
      <c r="O315" s="6"/>
      <c r="P315" s="36"/>
      <c r="Q315" s="53">
        <f t="shared" si="265"/>
        <v>0</v>
      </c>
      <c r="R315" s="8"/>
      <c r="S315" s="6"/>
      <c r="T315" s="7"/>
      <c r="U315" s="53">
        <f t="shared" si="266"/>
        <v>0</v>
      </c>
      <c r="V315" s="60">
        <f t="shared" si="267"/>
        <v>0</v>
      </c>
    </row>
    <row r="316" spans="1:22" x14ac:dyDescent="0.15">
      <c r="A316" s="19" t="s">
        <v>48</v>
      </c>
      <c r="B316" s="9"/>
      <c r="C316" s="10">
        <v>1</v>
      </c>
      <c r="D316" s="37"/>
      <c r="E316" s="53">
        <f t="shared" si="259"/>
        <v>1</v>
      </c>
      <c r="F316" s="12"/>
      <c r="G316" s="10">
        <v>1</v>
      </c>
      <c r="H316" s="11"/>
      <c r="I316" s="53">
        <f t="shared" si="260"/>
        <v>1</v>
      </c>
      <c r="J316" s="60">
        <f t="shared" si="261"/>
        <v>2</v>
      </c>
      <c r="K316" s="40">
        <v>46107</v>
      </c>
      <c r="L316" s="49"/>
      <c r="M316" s="19" t="s">
        <v>11</v>
      </c>
      <c r="N316" s="5"/>
      <c r="O316" s="6"/>
      <c r="P316" s="36"/>
      <c r="Q316" s="53">
        <f t="shared" si="265"/>
        <v>0</v>
      </c>
      <c r="R316" s="8"/>
      <c r="S316" s="6"/>
      <c r="T316" s="7"/>
      <c r="U316" s="53">
        <f t="shared" si="266"/>
        <v>0</v>
      </c>
      <c r="V316" s="60">
        <f t="shared" si="267"/>
        <v>0</v>
      </c>
    </row>
    <row r="317" spans="1:22" x14ac:dyDescent="0.15">
      <c r="A317" s="19" t="s">
        <v>12</v>
      </c>
      <c r="B317" s="9">
        <v>5</v>
      </c>
      <c r="C317" s="10">
        <v>20</v>
      </c>
      <c r="D317" s="37">
        <v>20</v>
      </c>
      <c r="E317" s="53">
        <f t="shared" si="259"/>
        <v>45</v>
      </c>
      <c r="F317" s="12">
        <v>5</v>
      </c>
      <c r="G317" s="10">
        <v>20</v>
      </c>
      <c r="H317" s="11">
        <v>20</v>
      </c>
      <c r="I317" s="53">
        <f t="shared" si="260"/>
        <v>45</v>
      </c>
      <c r="J317" s="60">
        <f t="shared" si="261"/>
        <v>90</v>
      </c>
      <c r="K317" s="40">
        <v>46121</v>
      </c>
      <c r="L317" s="49"/>
      <c r="M317" s="19" t="s">
        <v>12</v>
      </c>
      <c r="N317" s="5"/>
      <c r="O317" s="6"/>
      <c r="P317" s="36"/>
      <c r="Q317" s="53">
        <f t="shared" si="265"/>
        <v>0</v>
      </c>
      <c r="R317" s="8"/>
      <c r="S317" s="6"/>
      <c r="T317" s="7"/>
      <c r="U317" s="53">
        <f t="shared" si="266"/>
        <v>0</v>
      </c>
      <c r="V317" s="60">
        <f t="shared" si="267"/>
        <v>0</v>
      </c>
    </row>
    <row r="318" spans="1:22" x14ac:dyDescent="0.15">
      <c r="A318" s="19" t="s">
        <v>48</v>
      </c>
      <c r="B318" s="9"/>
      <c r="C318" s="10">
        <v>1</v>
      </c>
      <c r="D318" s="37"/>
      <c r="E318" s="53">
        <f t="shared" si="259"/>
        <v>1</v>
      </c>
      <c r="F318" s="12"/>
      <c r="G318" s="10">
        <v>1</v>
      </c>
      <c r="H318" s="11"/>
      <c r="I318" s="53">
        <f t="shared" si="260"/>
        <v>1</v>
      </c>
      <c r="J318" s="60">
        <f t="shared" si="261"/>
        <v>2</v>
      </c>
      <c r="K318" s="40">
        <v>46119</v>
      </c>
      <c r="M318" s="19" t="s">
        <v>13</v>
      </c>
      <c r="N318" s="5"/>
      <c r="O318" s="6"/>
      <c r="P318" s="36"/>
      <c r="Q318" s="53">
        <f>SUM(N318:P318)</f>
        <v>0</v>
      </c>
      <c r="R318" s="8"/>
      <c r="S318" s="6"/>
      <c r="T318" s="7"/>
      <c r="U318" s="53">
        <f>SUM(R318:T318)</f>
        <v>0</v>
      </c>
      <c r="V318" s="60">
        <f>Q318+U318</f>
        <v>0</v>
      </c>
    </row>
    <row r="319" spans="1:22" x14ac:dyDescent="0.15">
      <c r="A319" s="19" t="s">
        <v>193</v>
      </c>
      <c r="B319" s="9">
        <v>8</v>
      </c>
      <c r="C319" s="10">
        <v>9</v>
      </c>
      <c r="D319" s="37">
        <v>17</v>
      </c>
      <c r="E319" s="53">
        <f t="shared" si="259"/>
        <v>34</v>
      </c>
      <c r="F319" s="12">
        <v>8</v>
      </c>
      <c r="G319" s="10">
        <v>9</v>
      </c>
      <c r="H319" s="11">
        <v>17</v>
      </c>
      <c r="I319" s="53">
        <f t="shared" si="260"/>
        <v>34</v>
      </c>
      <c r="J319" s="60">
        <f t="shared" si="261"/>
        <v>68</v>
      </c>
      <c r="K319" s="40">
        <v>46132</v>
      </c>
      <c r="M319" s="19" t="s">
        <v>14</v>
      </c>
      <c r="N319" s="9"/>
      <c r="O319" s="10"/>
      <c r="P319" s="37"/>
      <c r="Q319" s="53">
        <f t="shared" ref="Q319:Q320" si="268">SUM(N319:P319)</f>
        <v>0</v>
      </c>
      <c r="R319" s="12"/>
      <c r="S319" s="10"/>
      <c r="T319" s="11"/>
      <c r="U319" s="53">
        <f t="shared" ref="U319:U320" si="269">SUM(R319:T319)</f>
        <v>0</v>
      </c>
      <c r="V319" s="60">
        <f t="shared" ref="V319:V320" si="270">Q319+U319</f>
        <v>0</v>
      </c>
    </row>
    <row r="320" spans="1:22" ht="14.25" thickBot="1" x14ac:dyDescent="0.2">
      <c r="A320" s="19" t="s">
        <v>48</v>
      </c>
      <c r="B320" s="25"/>
      <c r="C320" s="26"/>
      <c r="D320" s="38">
        <v>1</v>
      </c>
      <c r="E320" s="54">
        <f t="shared" si="259"/>
        <v>1</v>
      </c>
      <c r="F320" s="27"/>
      <c r="G320" s="27"/>
      <c r="H320" s="29">
        <v>1</v>
      </c>
      <c r="I320" s="54">
        <f t="shared" si="260"/>
        <v>1</v>
      </c>
      <c r="J320" s="61">
        <f t="shared" si="261"/>
        <v>2</v>
      </c>
      <c r="K320" s="40">
        <v>46133</v>
      </c>
      <c r="M320" s="19" t="s">
        <v>15</v>
      </c>
      <c r="N320" s="25"/>
      <c r="O320" s="26"/>
      <c r="P320" s="38"/>
      <c r="Q320" s="54">
        <f t="shared" si="268"/>
        <v>0</v>
      </c>
      <c r="R320" s="27"/>
      <c r="S320" s="27"/>
      <c r="T320" s="29"/>
      <c r="U320" s="54">
        <f t="shared" si="269"/>
        <v>0</v>
      </c>
      <c r="V320" s="61">
        <f t="shared" si="270"/>
        <v>0</v>
      </c>
    </row>
    <row r="321" spans="1:22" ht="14.25" thickBot="1" x14ac:dyDescent="0.2">
      <c r="A321" s="28" t="s">
        <v>16</v>
      </c>
      <c r="B321" s="22">
        <f>SUM(B312:B320)</f>
        <v>41</v>
      </c>
      <c r="C321" s="23">
        <f t="shared" ref="C321:D321" si="271">SUM(C312:C320)</f>
        <v>61</v>
      </c>
      <c r="D321" s="24">
        <f t="shared" si="271"/>
        <v>67</v>
      </c>
      <c r="E321" s="55">
        <f>SUM(B321:D321)</f>
        <v>169</v>
      </c>
      <c r="F321" s="22">
        <f>SUM(F312:F320)</f>
        <v>41</v>
      </c>
      <c r="G321" s="23">
        <f t="shared" ref="G321:H321" si="272">SUM(G312:G320)</f>
        <v>61</v>
      </c>
      <c r="H321" s="24">
        <f t="shared" si="272"/>
        <v>67</v>
      </c>
      <c r="I321" s="55">
        <f>SUM(F321:H321)</f>
        <v>169</v>
      </c>
      <c r="J321" s="62">
        <f>SUM(J313:J320)</f>
        <v>271</v>
      </c>
      <c r="M321" s="28" t="s">
        <v>16</v>
      </c>
      <c r="N321" s="22">
        <f>SUM(N312:N320)</f>
        <v>0</v>
      </c>
      <c r="O321" s="23">
        <f t="shared" ref="O321:P321" si="273">SUM(O312:O320)</f>
        <v>0</v>
      </c>
      <c r="P321" s="24">
        <f t="shared" si="273"/>
        <v>0</v>
      </c>
      <c r="Q321" s="55">
        <f>SUM(N321:P321)</f>
        <v>0</v>
      </c>
      <c r="R321" s="22">
        <f>SUM(R312:R320)</f>
        <v>0</v>
      </c>
      <c r="S321" s="23">
        <f t="shared" ref="S321:T321" si="274">SUM(S312:S320)</f>
        <v>0</v>
      </c>
      <c r="T321" s="24">
        <f t="shared" si="274"/>
        <v>0</v>
      </c>
      <c r="U321" s="55">
        <f>SUM(R321:T321)</f>
        <v>0</v>
      </c>
      <c r="V321" s="62">
        <f>Q321+U321</f>
        <v>0</v>
      </c>
    </row>
    <row r="322" spans="1:22" x14ac:dyDescent="0.15">
      <c r="A322" s="17" t="s">
        <v>191</v>
      </c>
      <c r="B322" s="5">
        <v>3</v>
      </c>
      <c r="C322" s="6"/>
      <c r="D322" s="7">
        <v>5</v>
      </c>
      <c r="E322" s="52">
        <f t="shared" ref="E322:E345" si="275">SUM(B322:D322)</f>
        <v>8</v>
      </c>
      <c r="F322" s="8">
        <v>3</v>
      </c>
      <c r="G322" s="6"/>
      <c r="H322" s="7">
        <v>5</v>
      </c>
      <c r="I322" s="52">
        <f t="shared" ref="I322:I345" si="276">SUM(F322:H322)</f>
        <v>8</v>
      </c>
      <c r="J322" s="60">
        <f t="shared" ref="J322:J345" si="277">E322+I322</f>
        <v>16</v>
      </c>
      <c r="K322" s="40">
        <v>46099</v>
      </c>
      <c r="M322" s="18"/>
      <c r="N322" s="9"/>
      <c r="O322" s="10"/>
      <c r="P322" s="11"/>
      <c r="Q322" s="52">
        <f>SUM(N322:P322)</f>
        <v>0</v>
      </c>
      <c r="R322" s="12"/>
      <c r="S322" s="10"/>
      <c r="T322" s="11"/>
      <c r="U322" s="52">
        <f>SUM(R322:T322)</f>
        <v>0</v>
      </c>
      <c r="V322" s="60">
        <f>Q322+U322</f>
        <v>0</v>
      </c>
    </row>
    <row r="323" spans="1:22" x14ac:dyDescent="0.15">
      <c r="A323" s="17" t="s">
        <v>192</v>
      </c>
      <c r="B323" s="5">
        <v>1</v>
      </c>
      <c r="C323" s="6"/>
      <c r="D323" s="7"/>
      <c r="E323" s="52">
        <f t="shared" si="275"/>
        <v>1</v>
      </c>
      <c r="F323" s="8">
        <v>1</v>
      </c>
      <c r="G323" s="6"/>
      <c r="H323" s="7"/>
      <c r="I323" s="52">
        <f t="shared" si="276"/>
        <v>1</v>
      </c>
      <c r="J323" s="60">
        <f t="shared" si="277"/>
        <v>2</v>
      </c>
      <c r="K323" s="40">
        <v>46100</v>
      </c>
      <c r="M323" s="20"/>
      <c r="N323" s="5"/>
      <c r="O323" s="6"/>
      <c r="P323" s="7"/>
      <c r="Q323" s="52">
        <f t="shared" ref="Q323:Q348" si="278">SUM(N323:P323)</f>
        <v>0</v>
      </c>
      <c r="R323" s="8"/>
      <c r="S323" s="6"/>
      <c r="T323" s="7"/>
      <c r="U323" s="52">
        <f t="shared" ref="U323:U348" si="279">SUM(R323:T323)</f>
        <v>0</v>
      </c>
      <c r="V323" s="60">
        <f t="shared" ref="V323:V344" si="280">Q323+U323</f>
        <v>0</v>
      </c>
    </row>
    <row r="324" spans="1:22" x14ac:dyDescent="0.15">
      <c r="A324" s="17" t="s">
        <v>194</v>
      </c>
      <c r="B324" s="5">
        <v>1</v>
      </c>
      <c r="C324" s="6">
        <v>8</v>
      </c>
      <c r="D324" s="7"/>
      <c r="E324" s="52">
        <f t="shared" si="275"/>
        <v>9</v>
      </c>
      <c r="F324" s="8">
        <v>1</v>
      </c>
      <c r="G324" s="6">
        <v>8</v>
      </c>
      <c r="H324" s="7"/>
      <c r="I324" s="52">
        <f t="shared" si="276"/>
        <v>9</v>
      </c>
      <c r="J324" s="60">
        <f t="shared" si="277"/>
        <v>18</v>
      </c>
      <c r="K324" s="40">
        <v>46100</v>
      </c>
      <c r="M324" s="20"/>
      <c r="N324" s="5"/>
      <c r="O324" s="6"/>
      <c r="P324" s="7"/>
      <c r="Q324" s="52">
        <f t="shared" si="278"/>
        <v>0</v>
      </c>
      <c r="R324" s="8"/>
      <c r="S324" s="6"/>
      <c r="T324" s="7"/>
      <c r="U324" s="52">
        <f t="shared" si="279"/>
        <v>0</v>
      </c>
      <c r="V324" s="60">
        <f t="shared" si="280"/>
        <v>0</v>
      </c>
    </row>
    <row r="325" spans="1:22" x14ac:dyDescent="0.15">
      <c r="A325" s="17" t="s">
        <v>195</v>
      </c>
      <c r="B325" s="5"/>
      <c r="C325" s="6">
        <v>1</v>
      </c>
      <c r="D325" s="7"/>
      <c r="E325" s="52">
        <f t="shared" si="275"/>
        <v>1</v>
      </c>
      <c r="F325" s="8"/>
      <c r="G325" s="6">
        <v>1</v>
      </c>
      <c r="H325" s="7"/>
      <c r="I325" s="52">
        <f t="shared" si="276"/>
        <v>1</v>
      </c>
      <c r="J325" s="60">
        <f t="shared" si="277"/>
        <v>2</v>
      </c>
      <c r="K325" s="40">
        <v>46106</v>
      </c>
      <c r="M325" s="18"/>
      <c r="N325" s="5"/>
      <c r="O325" s="6"/>
      <c r="P325" s="7"/>
      <c r="Q325" s="52">
        <f t="shared" si="278"/>
        <v>0</v>
      </c>
      <c r="R325" s="8"/>
      <c r="S325" s="6"/>
      <c r="T325" s="7"/>
      <c r="U325" s="52">
        <f t="shared" si="279"/>
        <v>0</v>
      </c>
      <c r="V325" s="60">
        <f t="shared" si="280"/>
        <v>0</v>
      </c>
    </row>
    <row r="326" spans="1:22" x14ac:dyDescent="0.15">
      <c r="A326" s="17" t="s">
        <v>196</v>
      </c>
      <c r="B326" s="5"/>
      <c r="C326" s="6"/>
      <c r="D326" s="7">
        <v>2</v>
      </c>
      <c r="E326" s="52">
        <f t="shared" si="275"/>
        <v>2</v>
      </c>
      <c r="F326" s="8"/>
      <c r="G326" s="6"/>
      <c r="H326" s="7">
        <v>2</v>
      </c>
      <c r="I326" s="52">
        <f t="shared" si="276"/>
        <v>2</v>
      </c>
      <c r="J326" s="60">
        <f t="shared" si="277"/>
        <v>4</v>
      </c>
      <c r="K326" s="40">
        <v>46115</v>
      </c>
      <c r="L326" s="49"/>
      <c r="M326" s="18"/>
      <c r="N326" s="5"/>
      <c r="O326" s="6"/>
      <c r="P326" s="7"/>
      <c r="Q326" s="52">
        <f t="shared" si="278"/>
        <v>0</v>
      </c>
      <c r="R326" s="8"/>
      <c r="S326" s="6"/>
      <c r="T326" s="7"/>
      <c r="U326" s="52">
        <f t="shared" si="279"/>
        <v>0</v>
      </c>
      <c r="V326" s="60">
        <f t="shared" si="280"/>
        <v>0</v>
      </c>
    </row>
    <row r="327" spans="1:22" x14ac:dyDescent="0.15">
      <c r="A327" s="20" t="s">
        <v>197</v>
      </c>
      <c r="B327" s="5"/>
      <c r="C327" s="6"/>
      <c r="D327" s="7">
        <v>5</v>
      </c>
      <c r="E327" s="52">
        <f t="shared" si="275"/>
        <v>5</v>
      </c>
      <c r="F327" s="8"/>
      <c r="G327" s="6"/>
      <c r="H327" s="7">
        <v>5</v>
      </c>
      <c r="I327" s="52">
        <f t="shared" si="276"/>
        <v>5</v>
      </c>
      <c r="J327" s="60">
        <f t="shared" si="277"/>
        <v>10</v>
      </c>
      <c r="K327" s="40">
        <v>46120</v>
      </c>
      <c r="L327" s="49"/>
      <c r="M327" s="20"/>
      <c r="N327" s="5"/>
      <c r="O327" s="6"/>
      <c r="P327" s="14"/>
      <c r="Q327" s="52">
        <f t="shared" si="278"/>
        <v>0</v>
      </c>
      <c r="R327" s="15"/>
      <c r="S327" s="13"/>
      <c r="T327" s="14"/>
      <c r="U327" s="52">
        <f t="shared" si="279"/>
        <v>0</v>
      </c>
      <c r="V327" s="60">
        <f t="shared" si="280"/>
        <v>0</v>
      </c>
    </row>
    <row r="328" spans="1:22" x14ac:dyDescent="0.15">
      <c r="A328" s="20" t="s">
        <v>198</v>
      </c>
      <c r="B328" s="5">
        <v>15</v>
      </c>
      <c r="C328" s="6">
        <v>20</v>
      </c>
      <c r="D328" s="7">
        <v>15</v>
      </c>
      <c r="E328" s="52">
        <f t="shared" si="275"/>
        <v>50</v>
      </c>
      <c r="F328" s="8">
        <v>15</v>
      </c>
      <c r="G328" s="6">
        <v>20</v>
      </c>
      <c r="H328" s="7">
        <v>15</v>
      </c>
      <c r="I328" s="52">
        <f t="shared" si="276"/>
        <v>50</v>
      </c>
      <c r="J328" s="60">
        <f t="shared" si="277"/>
        <v>100</v>
      </c>
      <c r="K328" s="40">
        <v>46121</v>
      </c>
      <c r="M328" s="42"/>
      <c r="N328" s="5"/>
      <c r="O328" s="6"/>
      <c r="P328" s="7"/>
      <c r="Q328" s="52">
        <f t="shared" si="278"/>
        <v>0</v>
      </c>
      <c r="R328" s="8"/>
      <c r="S328" s="6"/>
      <c r="T328" s="7"/>
      <c r="U328" s="52">
        <f t="shared" si="279"/>
        <v>0</v>
      </c>
      <c r="V328" s="60">
        <f t="shared" si="280"/>
        <v>0</v>
      </c>
    </row>
    <row r="329" spans="1:22" x14ac:dyDescent="0.15">
      <c r="A329" s="20" t="s">
        <v>199</v>
      </c>
      <c r="B329" s="5"/>
      <c r="C329" s="6">
        <v>10</v>
      </c>
      <c r="D329" s="7">
        <v>15</v>
      </c>
      <c r="E329" s="52">
        <f t="shared" si="275"/>
        <v>25</v>
      </c>
      <c r="F329" s="8"/>
      <c r="G329" s="6">
        <v>10</v>
      </c>
      <c r="H329" s="7">
        <v>15</v>
      </c>
      <c r="I329" s="52">
        <f t="shared" si="276"/>
        <v>25</v>
      </c>
      <c r="J329" s="60">
        <f t="shared" si="277"/>
        <v>50</v>
      </c>
      <c r="K329" s="40">
        <v>46122</v>
      </c>
      <c r="M329" s="18"/>
      <c r="N329" s="5" t="s">
        <v>20</v>
      </c>
      <c r="O329" s="6"/>
      <c r="P329" s="7"/>
      <c r="Q329" s="52">
        <f t="shared" si="278"/>
        <v>0</v>
      </c>
      <c r="R329" s="8"/>
      <c r="S329" s="6"/>
      <c r="T329" s="7"/>
      <c r="U329" s="52">
        <f t="shared" si="279"/>
        <v>0</v>
      </c>
      <c r="V329" s="60">
        <f t="shared" si="280"/>
        <v>0</v>
      </c>
    </row>
    <row r="330" spans="1:22" x14ac:dyDescent="0.15">
      <c r="A330" s="18" t="s">
        <v>200</v>
      </c>
      <c r="B330" s="5">
        <v>1</v>
      </c>
      <c r="C330" s="6"/>
      <c r="D330" s="7"/>
      <c r="E330" s="52">
        <f t="shared" si="275"/>
        <v>1</v>
      </c>
      <c r="F330" s="8">
        <v>1</v>
      </c>
      <c r="G330" s="6"/>
      <c r="H330" s="7"/>
      <c r="I330" s="52">
        <f t="shared" si="276"/>
        <v>1</v>
      </c>
      <c r="J330" s="60">
        <f t="shared" si="277"/>
        <v>2</v>
      </c>
      <c r="K330" s="40">
        <v>46127</v>
      </c>
      <c r="M330" s="20"/>
      <c r="N330" s="5"/>
      <c r="O330" s="6"/>
      <c r="P330" s="7"/>
      <c r="Q330" s="52">
        <f t="shared" si="278"/>
        <v>0</v>
      </c>
      <c r="R330" s="8"/>
      <c r="S330" s="6"/>
      <c r="T330" s="7"/>
      <c r="U330" s="52">
        <f t="shared" si="279"/>
        <v>0</v>
      </c>
      <c r="V330" s="60">
        <f t="shared" si="280"/>
        <v>0</v>
      </c>
    </row>
    <row r="331" spans="1:22" x14ac:dyDescent="0.15">
      <c r="A331" s="17" t="s">
        <v>201</v>
      </c>
      <c r="B331" s="5"/>
      <c r="C331" s="6"/>
      <c r="D331" s="7">
        <v>1</v>
      </c>
      <c r="E331" s="52">
        <f t="shared" si="275"/>
        <v>1</v>
      </c>
      <c r="F331" s="8"/>
      <c r="G331" s="6"/>
      <c r="H331" s="7">
        <v>1</v>
      </c>
      <c r="I331" s="52">
        <f t="shared" si="276"/>
        <v>1</v>
      </c>
      <c r="J331" s="60">
        <f t="shared" si="277"/>
        <v>2</v>
      </c>
      <c r="K331" s="40">
        <v>46129</v>
      </c>
      <c r="M331" s="18"/>
      <c r="N331" s="9"/>
      <c r="O331" s="10"/>
      <c r="P331" s="11"/>
      <c r="Q331" s="52">
        <f t="shared" si="278"/>
        <v>0</v>
      </c>
      <c r="R331" s="12"/>
      <c r="S331" s="10"/>
      <c r="T331" s="11"/>
      <c r="U331" s="52">
        <f t="shared" si="279"/>
        <v>0</v>
      </c>
      <c r="V331" s="60">
        <f t="shared" si="280"/>
        <v>0</v>
      </c>
    </row>
    <row r="332" spans="1:22" x14ac:dyDescent="0.15">
      <c r="A332" s="17" t="s">
        <v>202</v>
      </c>
      <c r="B332" s="5"/>
      <c r="C332" s="6">
        <v>1</v>
      </c>
      <c r="D332" s="7">
        <v>1</v>
      </c>
      <c r="E332" s="52">
        <f t="shared" si="275"/>
        <v>2</v>
      </c>
      <c r="F332" s="8"/>
      <c r="G332" s="6">
        <v>1</v>
      </c>
      <c r="H332" s="7">
        <v>1</v>
      </c>
      <c r="I332" s="52">
        <f t="shared" si="276"/>
        <v>2</v>
      </c>
      <c r="J332" s="60">
        <f t="shared" si="277"/>
        <v>4</v>
      </c>
      <c r="K332" s="40">
        <v>46136</v>
      </c>
      <c r="M332" s="20"/>
      <c r="N332" s="5"/>
      <c r="O332" s="6"/>
      <c r="P332" s="7"/>
      <c r="Q332" s="52">
        <f t="shared" si="278"/>
        <v>0</v>
      </c>
      <c r="R332" s="8"/>
      <c r="S332" s="6"/>
      <c r="T332" s="7"/>
      <c r="U332" s="52">
        <f t="shared" si="279"/>
        <v>0</v>
      </c>
      <c r="V332" s="60">
        <f t="shared" si="280"/>
        <v>0</v>
      </c>
    </row>
    <row r="333" spans="1:22" x14ac:dyDescent="0.15">
      <c r="A333" s="17" t="s">
        <v>203</v>
      </c>
      <c r="B333" s="5"/>
      <c r="C333" s="6">
        <v>5</v>
      </c>
      <c r="D333" s="7">
        <v>1</v>
      </c>
      <c r="E333" s="52">
        <f t="shared" si="275"/>
        <v>6</v>
      </c>
      <c r="F333" s="8"/>
      <c r="G333" s="6">
        <v>5</v>
      </c>
      <c r="H333" s="7">
        <v>1</v>
      </c>
      <c r="I333" s="52">
        <f t="shared" si="276"/>
        <v>6</v>
      </c>
      <c r="J333" s="60">
        <f t="shared" si="277"/>
        <v>12</v>
      </c>
      <c r="K333" s="40">
        <v>46137</v>
      </c>
      <c r="M333" s="20"/>
      <c r="N333" s="5"/>
      <c r="O333" s="6"/>
      <c r="P333" s="7"/>
      <c r="Q333" s="52">
        <f t="shared" si="278"/>
        <v>0</v>
      </c>
      <c r="R333" s="8"/>
      <c r="S333" s="6"/>
      <c r="T333" s="7"/>
      <c r="U333" s="52">
        <f t="shared" si="279"/>
        <v>0</v>
      </c>
      <c r="V333" s="60">
        <f t="shared" si="280"/>
        <v>0</v>
      </c>
    </row>
    <row r="334" spans="1:22" x14ac:dyDescent="0.15">
      <c r="A334" s="17" t="s">
        <v>206</v>
      </c>
      <c r="B334" s="5">
        <v>1</v>
      </c>
      <c r="C334" s="6"/>
      <c r="D334" s="7"/>
      <c r="E334" s="52">
        <f t="shared" si="275"/>
        <v>1</v>
      </c>
      <c r="F334" s="8">
        <v>1</v>
      </c>
      <c r="G334" s="6"/>
      <c r="H334" s="7"/>
      <c r="I334" s="52">
        <f t="shared" si="276"/>
        <v>1</v>
      </c>
      <c r="J334" s="60">
        <f t="shared" si="277"/>
        <v>2</v>
      </c>
      <c r="K334" s="40">
        <v>46140</v>
      </c>
      <c r="M334" s="18"/>
      <c r="N334" s="5"/>
      <c r="O334" s="6"/>
      <c r="P334" s="7"/>
      <c r="Q334" s="52">
        <f t="shared" si="278"/>
        <v>0</v>
      </c>
      <c r="R334" s="8"/>
      <c r="S334" s="6"/>
      <c r="T334" s="7"/>
      <c r="U334" s="52">
        <f t="shared" si="279"/>
        <v>0</v>
      </c>
      <c r="V334" s="60">
        <f t="shared" si="280"/>
        <v>0</v>
      </c>
    </row>
    <row r="335" spans="1:22" x14ac:dyDescent="0.15">
      <c r="A335" s="17" t="s">
        <v>207</v>
      </c>
      <c r="B335" s="5">
        <v>2</v>
      </c>
      <c r="C335" s="6">
        <v>1</v>
      </c>
      <c r="D335" s="7"/>
      <c r="E335" s="52">
        <f t="shared" si="275"/>
        <v>3</v>
      </c>
      <c r="F335" s="8">
        <v>2</v>
      </c>
      <c r="G335" s="6">
        <v>1</v>
      </c>
      <c r="H335" s="7"/>
      <c r="I335" s="52">
        <f t="shared" si="276"/>
        <v>3</v>
      </c>
      <c r="J335" s="60">
        <f t="shared" si="277"/>
        <v>6</v>
      </c>
      <c r="K335" s="40">
        <v>46143</v>
      </c>
      <c r="M335" s="18"/>
      <c r="N335" s="5"/>
      <c r="O335" s="6"/>
      <c r="P335" s="7"/>
      <c r="Q335" s="52">
        <f t="shared" si="278"/>
        <v>0</v>
      </c>
      <c r="R335" s="8"/>
      <c r="S335" s="6"/>
      <c r="T335" s="7"/>
      <c r="U335" s="52">
        <f t="shared" si="279"/>
        <v>0</v>
      </c>
      <c r="V335" s="60">
        <f t="shared" si="280"/>
        <v>0</v>
      </c>
    </row>
    <row r="336" spans="1:22" x14ac:dyDescent="0.15">
      <c r="A336" s="17" t="s">
        <v>208</v>
      </c>
      <c r="B336" s="5"/>
      <c r="C336" s="6">
        <v>2</v>
      </c>
      <c r="D336" s="7"/>
      <c r="E336" s="52">
        <f t="shared" si="275"/>
        <v>2</v>
      </c>
      <c r="F336" s="8"/>
      <c r="G336" s="6">
        <v>2</v>
      </c>
      <c r="H336" s="7"/>
      <c r="I336" s="52">
        <f t="shared" si="276"/>
        <v>2</v>
      </c>
      <c r="J336" s="60">
        <f t="shared" si="277"/>
        <v>4</v>
      </c>
      <c r="K336" s="40">
        <v>46149</v>
      </c>
      <c r="L336" s="49"/>
      <c r="M336" s="20"/>
      <c r="N336" s="5"/>
      <c r="O336" s="6"/>
      <c r="P336" s="7"/>
      <c r="Q336" s="52">
        <f t="shared" si="278"/>
        <v>0</v>
      </c>
      <c r="R336" s="8"/>
      <c r="S336" s="6"/>
      <c r="T336" s="7"/>
      <c r="U336" s="52">
        <f t="shared" si="279"/>
        <v>0</v>
      </c>
      <c r="V336" s="60">
        <f t="shared" si="280"/>
        <v>0</v>
      </c>
    </row>
    <row r="337" spans="1:23" x14ac:dyDescent="0.15">
      <c r="A337" s="17" t="s">
        <v>209</v>
      </c>
      <c r="B337" s="5"/>
      <c r="C337" s="6"/>
      <c r="D337" s="7">
        <v>4</v>
      </c>
      <c r="E337" s="52">
        <f t="shared" si="275"/>
        <v>4</v>
      </c>
      <c r="F337" s="8"/>
      <c r="G337" s="6"/>
      <c r="H337" s="7">
        <v>4</v>
      </c>
      <c r="I337" s="52">
        <f t="shared" si="276"/>
        <v>4</v>
      </c>
      <c r="J337" s="60">
        <f t="shared" si="277"/>
        <v>8</v>
      </c>
      <c r="K337" s="40">
        <v>46150</v>
      </c>
      <c r="L337" s="49"/>
      <c r="M337" s="20"/>
      <c r="N337" s="5"/>
      <c r="O337" s="6"/>
      <c r="P337" s="7"/>
      <c r="Q337" s="52">
        <f t="shared" si="278"/>
        <v>0</v>
      </c>
      <c r="R337" s="8"/>
      <c r="S337" s="6"/>
      <c r="T337" s="7"/>
      <c r="U337" s="52">
        <f t="shared" si="279"/>
        <v>0</v>
      </c>
      <c r="V337" s="60">
        <f t="shared" si="280"/>
        <v>0</v>
      </c>
    </row>
    <row r="338" spans="1:23" x14ac:dyDescent="0.15">
      <c r="A338" s="18" t="s">
        <v>210</v>
      </c>
      <c r="B338" s="5">
        <v>1</v>
      </c>
      <c r="C338" s="6"/>
      <c r="D338" s="7"/>
      <c r="E338" s="52">
        <f t="shared" si="275"/>
        <v>1</v>
      </c>
      <c r="F338" s="8">
        <v>1</v>
      </c>
      <c r="G338" s="6"/>
      <c r="H338" s="7"/>
      <c r="I338" s="52">
        <f t="shared" si="276"/>
        <v>1</v>
      </c>
      <c r="J338" s="60">
        <f t="shared" si="277"/>
        <v>2</v>
      </c>
      <c r="K338" s="40">
        <v>46162</v>
      </c>
      <c r="M338" s="18"/>
      <c r="N338" s="5"/>
      <c r="O338" s="6"/>
      <c r="P338" s="7"/>
      <c r="Q338" s="52">
        <f t="shared" si="278"/>
        <v>0</v>
      </c>
      <c r="R338" s="8"/>
      <c r="S338" s="6"/>
      <c r="T338" s="7"/>
      <c r="U338" s="52">
        <f t="shared" si="279"/>
        <v>0</v>
      </c>
      <c r="V338" s="60">
        <f t="shared" si="280"/>
        <v>0</v>
      </c>
    </row>
    <row r="339" spans="1:23" x14ac:dyDescent="0.15">
      <c r="A339" s="18" t="s">
        <v>211</v>
      </c>
      <c r="B339" s="5">
        <v>-2</v>
      </c>
      <c r="C339" s="6">
        <v>-2</v>
      </c>
      <c r="D339" s="7">
        <v>-3</v>
      </c>
      <c r="E339" s="52">
        <f t="shared" si="275"/>
        <v>-7</v>
      </c>
      <c r="F339" s="8">
        <v>-2</v>
      </c>
      <c r="G339" s="6">
        <v>-2</v>
      </c>
      <c r="H339" s="7">
        <v>-3</v>
      </c>
      <c r="I339" s="52">
        <f t="shared" si="276"/>
        <v>-7</v>
      </c>
      <c r="J339" s="60">
        <f t="shared" si="277"/>
        <v>-14</v>
      </c>
      <c r="K339" s="41">
        <v>46157</v>
      </c>
      <c r="M339" s="20"/>
      <c r="N339" s="5"/>
      <c r="O339" s="6"/>
      <c r="P339" s="7"/>
      <c r="Q339" s="52">
        <f t="shared" si="278"/>
        <v>0</v>
      </c>
      <c r="R339" s="8"/>
      <c r="S339" s="6"/>
      <c r="T339" s="7"/>
      <c r="U339" s="52">
        <f t="shared" si="279"/>
        <v>0</v>
      </c>
      <c r="V339" s="60">
        <f t="shared" si="280"/>
        <v>0</v>
      </c>
    </row>
    <row r="340" spans="1:23" x14ac:dyDescent="0.15">
      <c r="A340" s="17" t="s">
        <v>212</v>
      </c>
      <c r="B340" s="5"/>
      <c r="C340" s="6"/>
      <c r="D340" s="7">
        <v>1</v>
      </c>
      <c r="E340" s="52">
        <f t="shared" si="275"/>
        <v>1</v>
      </c>
      <c r="F340" s="8"/>
      <c r="G340" s="6"/>
      <c r="H340" s="7">
        <v>1</v>
      </c>
      <c r="I340" s="52">
        <f t="shared" si="276"/>
        <v>1</v>
      </c>
      <c r="J340" s="60">
        <f t="shared" si="277"/>
        <v>2</v>
      </c>
      <c r="K340" s="40">
        <v>46183</v>
      </c>
      <c r="M340" s="18"/>
      <c r="N340" s="5"/>
      <c r="O340" s="6"/>
      <c r="P340" s="7"/>
      <c r="Q340" s="52">
        <f t="shared" si="278"/>
        <v>0</v>
      </c>
      <c r="R340" s="8"/>
      <c r="S340" s="6"/>
      <c r="T340" s="7"/>
      <c r="U340" s="52">
        <f t="shared" si="279"/>
        <v>0</v>
      </c>
      <c r="V340" s="60">
        <f t="shared" si="280"/>
        <v>0</v>
      </c>
    </row>
    <row r="341" spans="1:23" x14ac:dyDescent="0.15">
      <c r="A341" s="17" t="s">
        <v>213</v>
      </c>
      <c r="B341" s="5"/>
      <c r="C341" s="6"/>
      <c r="D341" s="7">
        <v>1</v>
      </c>
      <c r="E341" s="52">
        <f t="shared" si="275"/>
        <v>1</v>
      </c>
      <c r="F341" s="8"/>
      <c r="G341" s="6"/>
      <c r="H341" s="7">
        <v>1</v>
      </c>
      <c r="I341" s="52">
        <f t="shared" si="276"/>
        <v>1</v>
      </c>
      <c r="J341" s="60">
        <f t="shared" si="277"/>
        <v>2</v>
      </c>
      <c r="K341" s="40">
        <v>46188</v>
      </c>
      <c r="M341" s="20"/>
      <c r="N341" s="5"/>
      <c r="O341" s="6"/>
      <c r="P341" s="7"/>
      <c r="Q341" s="52">
        <f t="shared" si="278"/>
        <v>0</v>
      </c>
      <c r="R341" s="8"/>
      <c r="S341" s="6"/>
      <c r="T341" s="7"/>
      <c r="U341" s="52">
        <f t="shared" si="279"/>
        <v>0</v>
      </c>
      <c r="V341" s="60">
        <f t="shared" si="280"/>
        <v>0</v>
      </c>
    </row>
    <row r="342" spans="1:23" x14ac:dyDescent="0.15">
      <c r="A342" s="18" t="s">
        <v>214</v>
      </c>
      <c r="B342" s="5"/>
      <c r="C342" s="6"/>
      <c r="D342" s="7">
        <v>-1</v>
      </c>
      <c r="E342" s="52">
        <f t="shared" si="275"/>
        <v>-1</v>
      </c>
      <c r="F342" s="8"/>
      <c r="G342" s="6"/>
      <c r="H342" s="7">
        <v>-1</v>
      </c>
      <c r="I342" s="52">
        <f t="shared" si="276"/>
        <v>-1</v>
      </c>
      <c r="J342" s="60">
        <f t="shared" si="277"/>
        <v>-2</v>
      </c>
      <c r="K342" s="41">
        <v>46191</v>
      </c>
      <c r="M342" s="20"/>
      <c r="N342" s="5"/>
      <c r="O342" s="6"/>
      <c r="P342" s="7"/>
      <c r="Q342" s="52">
        <f t="shared" si="278"/>
        <v>0</v>
      </c>
      <c r="R342" s="8"/>
      <c r="S342" s="6"/>
      <c r="T342" s="7"/>
      <c r="U342" s="52">
        <f t="shared" si="279"/>
        <v>0</v>
      </c>
      <c r="V342" s="60">
        <f t="shared" si="280"/>
        <v>0</v>
      </c>
    </row>
    <row r="343" spans="1:23" x14ac:dyDescent="0.15">
      <c r="A343" s="18"/>
      <c r="B343" s="5"/>
      <c r="C343" s="6"/>
      <c r="D343" s="7"/>
      <c r="E343" s="52">
        <f t="shared" si="275"/>
        <v>0</v>
      </c>
      <c r="F343" s="8"/>
      <c r="G343" s="6"/>
      <c r="H343" s="7"/>
      <c r="I343" s="52">
        <f t="shared" si="276"/>
        <v>0</v>
      </c>
      <c r="J343" s="60">
        <f t="shared" si="277"/>
        <v>0</v>
      </c>
      <c r="M343" s="20"/>
      <c r="N343" s="5"/>
      <c r="O343" s="6"/>
      <c r="P343" s="7"/>
      <c r="Q343" s="52">
        <f t="shared" si="278"/>
        <v>0</v>
      </c>
      <c r="R343" s="8"/>
      <c r="S343" s="6"/>
      <c r="T343" s="7"/>
      <c r="U343" s="52">
        <f t="shared" si="279"/>
        <v>0</v>
      </c>
      <c r="V343" s="60">
        <f t="shared" si="280"/>
        <v>0</v>
      </c>
      <c r="W343" s="87"/>
    </row>
    <row r="344" spans="1:23" x14ac:dyDescent="0.15">
      <c r="A344" s="18"/>
      <c r="B344" s="5"/>
      <c r="C344" s="6"/>
      <c r="D344" s="7"/>
      <c r="E344" s="52">
        <f t="shared" si="275"/>
        <v>0</v>
      </c>
      <c r="F344" s="8"/>
      <c r="G344" s="6"/>
      <c r="H344" s="7"/>
      <c r="I344" s="52">
        <f t="shared" si="276"/>
        <v>0</v>
      </c>
      <c r="J344" s="60">
        <f t="shared" si="277"/>
        <v>0</v>
      </c>
      <c r="M344" s="20" t="s">
        <v>186</v>
      </c>
      <c r="N344" s="5"/>
      <c r="O344" s="6"/>
      <c r="P344" s="7"/>
      <c r="Q344" s="52">
        <f t="shared" si="278"/>
        <v>0</v>
      </c>
      <c r="R344" s="8"/>
      <c r="S344" s="6"/>
      <c r="T344" s="7"/>
      <c r="U344" s="52">
        <f t="shared" si="279"/>
        <v>0</v>
      </c>
      <c r="V344" s="60">
        <f t="shared" si="280"/>
        <v>0</v>
      </c>
      <c r="W344" s="49" t="s">
        <v>185</v>
      </c>
    </row>
    <row r="345" spans="1:23" x14ac:dyDescent="0.15">
      <c r="A345" s="18"/>
      <c r="B345" s="5"/>
      <c r="C345" s="6"/>
      <c r="D345" s="7"/>
      <c r="E345" s="52">
        <f t="shared" si="275"/>
        <v>0</v>
      </c>
      <c r="F345" s="8"/>
      <c r="G345" s="6"/>
      <c r="H345" s="7"/>
      <c r="I345" s="52">
        <f t="shared" si="276"/>
        <v>0</v>
      </c>
      <c r="J345" s="60">
        <f t="shared" si="277"/>
        <v>0</v>
      </c>
      <c r="M345" s="80" t="s">
        <v>204</v>
      </c>
      <c r="N345" s="81">
        <v>10</v>
      </c>
      <c r="O345" s="82">
        <v>10</v>
      </c>
      <c r="P345" s="83">
        <v>10</v>
      </c>
      <c r="Q345" s="84">
        <f t="shared" ref="Q345" si="281">SUM(N345:P345)</f>
        <v>30</v>
      </c>
      <c r="R345" s="85">
        <v>10</v>
      </c>
      <c r="S345" s="82">
        <v>10</v>
      </c>
      <c r="T345" s="83">
        <v>10</v>
      </c>
      <c r="U345" s="84">
        <f t="shared" ref="U345" si="282">SUM(R345:T345)</f>
        <v>30</v>
      </c>
      <c r="V345" s="86">
        <f t="shared" ref="V345" si="283">Q345+U345</f>
        <v>60</v>
      </c>
      <c r="W345" s="30" t="s">
        <v>205</v>
      </c>
    </row>
    <row r="346" spans="1:23" x14ac:dyDescent="0.15">
      <c r="A346" s="18"/>
      <c r="B346" s="5"/>
      <c r="C346" s="6"/>
      <c r="D346" s="7"/>
      <c r="E346" s="52">
        <f t="shared" ref="E346:E348" si="284">SUM(B346:D346)</f>
        <v>0</v>
      </c>
      <c r="F346" s="8"/>
      <c r="G346" s="6"/>
      <c r="H346" s="7"/>
      <c r="I346" s="52">
        <f t="shared" ref="I346:I348" si="285">SUM(F346:H346)</f>
        <v>0</v>
      </c>
      <c r="J346" s="60">
        <f t="shared" ref="J346" si="286">E346+I346</f>
        <v>0</v>
      </c>
      <c r="K346" s="49"/>
      <c r="M346" s="88" t="s">
        <v>177</v>
      </c>
      <c r="N346" s="89"/>
      <c r="O346" s="90"/>
      <c r="P346" s="91"/>
      <c r="Q346" s="92">
        <f t="shared" ref="Q346:Q347" si="287">SUM(N346:P346)</f>
        <v>0</v>
      </c>
      <c r="R346" s="89"/>
      <c r="S346" s="90"/>
      <c r="T346" s="91"/>
      <c r="U346" s="92">
        <f t="shared" ref="U346:U347" si="288">SUM(R346:T346)</f>
        <v>0</v>
      </c>
      <c r="V346" s="93">
        <f t="shared" ref="V346:V347" si="289">Q346+U346</f>
        <v>0</v>
      </c>
      <c r="W346" s="94"/>
    </row>
    <row r="347" spans="1:23" ht="14.25" thickBot="1" x14ac:dyDescent="0.2">
      <c r="A347" s="18"/>
      <c r="B347" s="5"/>
      <c r="C347" s="6"/>
      <c r="D347" s="7"/>
      <c r="E347" s="52">
        <f t="shared" ref="E347" si="290">SUM(B347:D347)</f>
        <v>0</v>
      </c>
      <c r="F347" s="8"/>
      <c r="G347" s="6"/>
      <c r="H347" s="7"/>
      <c r="I347" s="52">
        <f t="shared" ref="I347" si="291">SUM(F347:H347)</f>
        <v>0</v>
      </c>
      <c r="J347" s="60">
        <f t="shared" ref="J347" si="292">E347+I347</f>
        <v>0</v>
      </c>
      <c r="K347" s="49"/>
      <c r="M347" s="20" t="s">
        <v>176</v>
      </c>
      <c r="N347" s="5"/>
      <c r="O347" s="6"/>
      <c r="P347" s="7"/>
      <c r="Q347" s="52">
        <f t="shared" si="287"/>
        <v>0</v>
      </c>
      <c r="R347" s="5"/>
      <c r="S347" s="6"/>
      <c r="T347" s="7"/>
      <c r="U347" s="52">
        <f t="shared" si="288"/>
        <v>0</v>
      </c>
      <c r="V347" s="60">
        <f t="shared" si="289"/>
        <v>0</v>
      </c>
      <c r="W347" s="49" t="s">
        <v>175</v>
      </c>
    </row>
    <row r="348" spans="1:23" ht="14.25" thickBot="1" x14ac:dyDescent="0.2">
      <c r="A348" s="31" t="s">
        <v>18</v>
      </c>
      <c r="B348" s="34">
        <f>SUM(B322:B347)</f>
        <v>23</v>
      </c>
      <c r="C348" s="35">
        <f t="shared" ref="C348:D348" si="293">SUM(C322:C347)</f>
        <v>46</v>
      </c>
      <c r="D348" s="39">
        <f t="shared" si="293"/>
        <v>47</v>
      </c>
      <c r="E348" s="57">
        <f t="shared" si="284"/>
        <v>116</v>
      </c>
      <c r="F348" s="34">
        <f>SUM(F322:F347)</f>
        <v>23</v>
      </c>
      <c r="G348" s="35">
        <f t="shared" ref="G348:H348" si="294">SUM(G322:G347)</f>
        <v>46</v>
      </c>
      <c r="H348" s="39">
        <f t="shared" si="294"/>
        <v>47</v>
      </c>
      <c r="I348" s="57">
        <f t="shared" si="285"/>
        <v>116</v>
      </c>
      <c r="J348" s="63">
        <f>E348+I348</f>
        <v>232</v>
      </c>
      <c r="M348" s="31" t="s">
        <v>18</v>
      </c>
      <c r="N348" s="34">
        <f>SUM(N322:N347)</f>
        <v>10</v>
      </c>
      <c r="O348" s="35">
        <f t="shared" ref="O348:P348" si="295">SUM(O322:O347)</f>
        <v>10</v>
      </c>
      <c r="P348" s="39">
        <f t="shared" si="295"/>
        <v>10</v>
      </c>
      <c r="Q348" s="57">
        <f t="shared" si="278"/>
        <v>30</v>
      </c>
      <c r="R348" s="34">
        <f>SUM(R322:R347)</f>
        <v>10</v>
      </c>
      <c r="S348" s="35">
        <f t="shared" ref="S348:T348" si="296">SUM(S322:S347)</f>
        <v>10</v>
      </c>
      <c r="T348" s="39">
        <f t="shared" si="296"/>
        <v>10</v>
      </c>
      <c r="U348" s="57">
        <f t="shared" si="279"/>
        <v>30</v>
      </c>
      <c r="V348" s="63">
        <f>Q348+U348</f>
        <v>60</v>
      </c>
    </row>
    <row r="349" spans="1:23" ht="14.25" thickBot="1" x14ac:dyDescent="0.2">
      <c r="A349" s="16" t="s">
        <v>17</v>
      </c>
      <c r="B349" s="64">
        <f>B321-B348</f>
        <v>18</v>
      </c>
      <c r="C349" s="65">
        <f t="shared" ref="C349:D349" si="297">C321-C348</f>
        <v>15</v>
      </c>
      <c r="D349" s="66">
        <f t="shared" si="297"/>
        <v>20</v>
      </c>
      <c r="E349" s="58">
        <f>SUM(B349:D349)</f>
        <v>53</v>
      </c>
      <c r="F349" s="64">
        <f>F321-F348</f>
        <v>18</v>
      </c>
      <c r="G349" s="65">
        <f t="shared" ref="G349:H349" si="298">G321-G348</f>
        <v>15</v>
      </c>
      <c r="H349" s="66">
        <f t="shared" si="298"/>
        <v>20</v>
      </c>
      <c r="I349" s="58">
        <f>SUM(F349:H349)</f>
        <v>53</v>
      </c>
      <c r="J349" s="62">
        <f>E349+I349</f>
        <v>106</v>
      </c>
      <c r="M349" s="16" t="s">
        <v>17</v>
      </c>
      <c r="N349" s="64">
        <f>N321-N348</f>
        <v>-10</v>
      </c>
      <c r="O349" s="65">
        <f t="shared" ref="O349:P349" si="299">O321-O348</f>
        <v>-10</v>
      </c>
      <c r="P349" s="66">
        <f t="shared" si="299"/>
        <v>-10</v>
      </c>
      <c r="Q349" s="58">
        <f>SUM(N349:P349)</f>
        <v>-30</v>
      </c>
      <c r="R349" s="64">
        <f>R321-R348</f>
        <v>-10</v>
      </c>
      <c r="S349" s="65">
        <f t="shared" ref="S349:T349" si="300">S321-S348</f>
        <v>-10</v>
      </c>
      <c r="T349" s="66">
        <f t="shared" si="300"/>
        <v>-10</v>
      </c>
      <c r="U349" s="58">
        <f>SUM(R349:T349)</f>
        <v>-30</v>
      </c>
      <c r="V349" s="62">
        <f>Q349+U349</f>
        <v>-60</v>
      </c>
    </row>
  </sheetData>
  <mergeCells count="48">
    <mergeCell ref="V310:V311"/>
    <mergeCell ref="B310:E310"/>
    <mergeCell ref="F310:I310"/>
    <mergeCell ref="J310:J311"/>
    <mergeCell ref="N310:Q310"/>
    <mergeCell ref="R310:U310"/>
    <mergeCell ref="N266:Q266"/>
    <mergeCell ref="R266:U266"/>
    <mergeCell ref="V266:V267"/>
    <mergeCell ref="B266:E266"/>
    <mergeCell ref="F266:I266"/>
    <mergeCell ref="J266:J267"/>
    <mergeCell ref="N222:Q222"/>
    <mergeCell ref="R222:U222"/>
    <mergeCell ref="V222:V223"/>
    <mergeCell ref="B222:E222"/>
    <mergeCell ref="F222:I222"/>
    <mergeCell ref="J222:J223"/>
    <mergeCell ref="V178:V179"/>
    <mergeCell ref="B178:E178"/>
    <mergeCell ref="F178:I178"/>
    <mergeCell ref="J178:J179"/>
    <mergeCell ref="N178:Q178"/>
    <mergeCell ref="R178:U178"/>
    <mergeCell ref="V134:V135"/>
    <mergeCell ref="B134:E134"/>
    <mergeCell ref="F134:I134"/>
    <mergeCell ref="J134:J135"/>
    <mergeCell ref="N134:Q134"/>
    <mergeCell ref="R134:U134"/>
    <mergeCell ref="V46:V47"/>
    <mergeCell ref="B2:E2"/>
    <mergeCell ref="F2:I2"/>
    <mergeCell ref="J2:J3"/>
    <mergeCell ref="N2:Q2"/>
    <mergeCell ref="R2:U2"/>
    <mergeCell ref="V2:V3"/>
    <mergeCell ref="B46:E46"/>
    <mergeCell ref="F46:I46"/>
    <mergeCell ref="J46:J47"/>
    <mergeCell ref="N46:Q46"/>
    <mergeCell ref="R46:U46"/>
    <mergeCell ref="V90:V91"/>
    <mergeCell ref="B90:E90"/>
    <mergeCell ref="F90:I90"/>
    <mergeCell ref="J90:J91"/>
    <mergeCell ref="N90:Q90"/>
    <mergeCell ref="R90:U90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花柄ブラキャミ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村田敦彦</cp:lastModifiedBy>
  <cp:lastPrinted>2018-05-21T08:37:08Z</cp:lastPrinted>
  <dcterms:created xsi:type="dcterms:W3CDTF">2017-08-26T01:27:44Z</dcterms:created>
  <dcterms:modified xsi:type="dcterms:W3CDTF">2026-06-18T06:12:29Z</dcterms:modified>
</cp:coreProperties>
</file>