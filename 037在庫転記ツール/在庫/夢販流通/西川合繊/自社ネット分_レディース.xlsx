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西川合繊\"/>
    </mc:Choice>
  </mc:AlternateContent>
  <xr:revisionPtr revIDLastSave="0" documentId="13_ncr:1_{6BE52EB2-CE3E-499C-94A9-8F336767C21D}" xr6:coauthVersionLast="47" xr6:coauthVersionMax="47" xr10:uidLastSave="{00000000-0000-0000-0000-000000000000}"/>
  <bookViews>
    <workbookView xWindow="12465" yWindow="1410" windowWidth="16065" windowHeight="12450" firstSheet="2" activeTab="6" xr2:uid="{00000000-000D-0000-FFFF-FFFF00000000}"/>
  </bookViews>
  <sheets>
    <sheet name="赤失禁" sheetId="13" r:id="rId1"/>
    <sheet name="赤3分長" sheetId="15" r:id="rId2"/>
    <sheet name="赤8分袖 " sheetId="17" r:id="rId3"/>
    <sheet name="赤3分袖" sheetId="18" r:id="rId4"/>
    <sheet name="スキンケアロング" sheetId="7" r:id="rId5"/>
    <sheet name="スキンケア" sheetId="4" r:id="rId6"/>
    <sheet name="水玉50cc" sheetId="2" r:id="rId7"/>
    <sheet name="ワッフル50cc" sheetId="9" r:id="rId8"/>
    <sheet name="ジャガード柄1分丈" sheetId="12" r:id="rId9"/>
    <sheet name="300CC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19" i="4" l="1"/>
  <c r="I919" i="4"/>
  <c r="J919" i="4" s="1"/>
  <c r="E920" i="4"/>
  <c r="I920" i="4"/>
  <c r="E921" i="4"/>
  <c r="I921" i="4"/>
  <c r="J921" i="4" s="1"/>
  <c r="E922" i="4"/>
  <c r="I922" i="4"/>
  <c r="J922" i="4"/>
  <c r="E923" i="4"/>
  <c r="I923" i="4"/>
  <c r="J923" i="4" s="1"/>
  <c r="E924" i="4"/>
  <c r="I924" i="4"/>
  <c r="J924" i="4"/>
  <c r="E925" i="4"/>
  <c r="I925" i="4"/>
  <c r="J925" i="4" s="1"/>
  <c r="E926" i="4"/>
  <c r="I926" i="4"/>
  <c r="J926" i="4"/>
  <c r="E927" i="4"/>
  <c r="I927" i="4"/>
  <c r="J927" i="4" s="1"/>
  <c r="E928" i="4"/>
  <c r="I928" i="4"/>
  <c r="J928" i="4"/>
  <c r="E929" i="4"/>
  <c r="I929" i="4"/>
  <c r="J929" i="4" s="1"/>
  <c r="E930" i="4"/>
  <c r="I930" i="4"/>
  <c r="J930" i="4"/>
  <c r="E931" i="4"/>
  <c r="I931" i="4"/>
  <c r="J931" i="4" s="1"/>
  <c r="E932" i="4"/>
  <c r="I932" i="4"/>
  <c r="J932" i="4"/>
  <c r="E933" i="4"/>
  <c r="I933" i="4"/>
  <c r="J933" i="4" s="1"/>
  <c r="E934" i="4"/>
  <c r="I934" i="4"/>
  <c r="J934" i="4"/>
  <c r="E935" i="4"/>
  <c r="I935" i="4"/>
  <c r="J935" i="4" s="1"/>
  <c r="E936" i="4"/>
  <c r="I936" i="4"/>
  <c r="J936" i="4"/>
  <c r="E937" i="4"/>
  <c r="I937" i="4"/>
  <c r="J937" i="4" s="1"/>
  <c r="E938" i="4"/>
  <c r="I938" i="4"/>
  <c r="J938" i="4"/>
  <c r="E939" i="4"/>
  <c r="I939" i="4"/>
  <c r="J939" i="4" s="1"/>
  <c r="E908" i="4"/>
  <c r="I908" i="4"/>
  <c r="J908" i="4" s="1"/>
  <c r="E909" i="4"/>
  <c r="I909" i="4"/>
  <c r="J909" i="4"/>
  <c r="E910" i="4"/>
  <c r="I910" i="4"/>
  <c r="J910" i="4" s="1"/>
  <c r="E911" i="4"/>
  <c r="I911" i="4"/>
  <c r="J911" i="4"/>
  <c r="E912" i="4"/>
  <c r="I912" i="4"/>
  <c r="J912" i="4" s="1"/>
  <c r="H943" i="4"/>
  <c r="G943" i="4"/>
  <c r="F943" i="4"/>
  <c r="I943" i="4" s="1"/>
  <c r="D943" i="4"/>
  <c r="C943" i="4"/>
  <c r="B943" i="4"/>
  <c r="I942" i="4"/>
  <c r="J942" i="4" s="1"/>
  <c r="E942" i="4"/>
  <c r="I941" i="4"/>
  <c r="E941" i="4"/>
  <c r="J941" i="4" s="1"/>
  <c r="I940" i="4"/>
  <c r="J940" i="4" s="1"/>
  <c r="E940" i="4"/>
  <c r="C918" i="4"/>
  <c r="I917" i="4"/>
  <c r="E917" i="4"/>
  <c r="J917" i="4" s="1"/>
  <c r="I916" i="4"/>
  <c r="J916" i="4" s="1"/>
  <c r="E916" i="4"/>
  <c r="I915" i="4"/>
  <c r="E915" i="4"/>
  <c r="J915" i="4" s="1"/>
  <c r="I914" i="4"/>
  <c r="J914" i="4" s="1"/>
  <c r="E914" i="4"/>
  <c r="I913" i="4"/>
  <c r="E913" i="4"/>
  <c r="J913" i="4" s="1"/>
  <c r="C907" i="4"/>
  <c r="I341" i="2"/>
  <c r="H341" i="2"/>
  <c r="G341" i="2"/>
  <c r="E341" i="2"/>
  <c r="D341" i="2"/>
  <c r="C341" i="2"/>
  <c r="J340" i="2"/>
  <c r="F340" i="2"/>
  <c r="J339" i="2"/>
  <c r="F339" i="2"/>
  <c r="J338" i="2"/>
  <c r="F338" i="2"/>
  <c r="J337" i="2"/>
  <c r="F337" i="2"/>
  <c r="J336" i="2"/>
  <c r="F336" i="2"/>
  <c r="J335" i="2"/>
  <c r="F335" i="2"/>
  <c r="J334" i="2"/>
  <c r="F334" i="2"/>
  <c r="J333" i="2"/>
  <c r="F333" i="2"/>
  <c r="J332" i="2"/>
  <c r="F332" i="2"/>
  <c r="J331" i="2"/>
  <c r="F331" i="2"/>
  <c r="J330" i="2"/>
  <c r="F330" i="2"/>
  <c r="J329" i="2"/>
  <c r="F329" i="2"/>
  <c r="J328" i="2"/>
  <c r="F328" i="2"/>
  <c r="J327" i="2"/>
  <c r="F327" i="2"/>
  <c r="J326" i="2"/>
  <c r="F326" i="2"/>
  <c r="J325" i="2"/>
  <c r="F325" i="2"/>
  <c r="J324" i="2"/>
  <c r="F324" i="2"/>
  <c r="J323" i="2"/>
  <c r="F323" i="2"/>
  <c r="J322" i="2"/>
  <c r="F322" i="2"/>
  <c r="J321" i="2"/>
  <c r="F321" i="2"/>
  <c r="J320" i="2"/>
  <c r="F320" i="2"/>
  <c r="J319" i="2"/>
  <c r="F319" i="2"/>
  <c r="J318" i="2"/>
  <c r="F318" i="2"/>
  <c r="J317" i="2"/>
  <c r="F317" i="2"/>
  <c r="J315" i="2"/>
  <c r="F315" i="2"/>
  <c r="J314" i="2"/>
  <c r="F314" i="2"/>
  <c r="J313" i="2"/>
  <c r="F313" i="2"/>
  <c r="J312" i="2"/>
  <c r="F312" i="2"/>
  <c r="J311" i="2"/>
  <c r="F311" i="2"/>
  <c r="J310" i="2"/>
  <c r="F310" i="2"/>
  <c r="J309" i="2"/>
  <c r="F309" i="2"/>
  <c r="J308" i="2"/>
  <c r="F308" i="2"/>
  <c r="J307" i="2"/>
  <c r="F307" i="2"/>
  <c r="J306" i="2"/>
  <c r="F306" i="2"/>
  <c r="I305" i="2"/>
  <c r="I316" i="2" s="1"/>
  <c r="G305" i="2"/>
  <c r="E305" i="2"/>
  <c r="E316" i="2" s="1"/>
  <c r="D305" i="2"/>
  <c r="D316" i="2" s="1"/>
  <c r="C305" i="2"/>
  <c r="F305" i="2" s="1"/>
  <c r="E876" i="4"/>
  <c r="I876" i="4"/>
  <c r="J876" i="4" s="1"/>
  <c r="E877" i="4"/>
  <c r="I877" i="4"/>
  <c r="E878" i="4"/>
  <c r="I878" i="4"/>
  <c r="J878" i="4" s="1"/>
  <c r="E879" i="4"/>
  <c r="J879" i="4" s="1"/>
  <c r="I879" i="4"/>
  <c r="E880" i="4"/>
  <c r="I880" i="4"/>
  <c r="J880" i="4" s="1"/>
  <c r="E881" i="4"/>
  <c r="I881" i="4"/>
  <c r="E882" i="4"/>
  <c r="I882" i="4"/>
  <c r="J882" i="4" s="1"/>
  <c r="E883" i="4"/>
  <c r="I883" i="4"/>
  <c r="J883" i="4" s="1"/>
  <c r="E884" i="4"/>
  <c r="I884" i="4"/>
  <c r="J884" i="4" s="1"/>
  <c r="E885" i="4"/>
  <c r="I885" i="4"/>
  <c r="J885" i="4"/>
  <c r="E886" i="4"/>
  <c r="I886" i="4"/>
  <c r="J886" i="4" s="1"/>
  <c r="E887" i="4"/>
  <c r="I887" i="4"/>
  <c r="E888" i="4"/>
  <c r="I888" i="4"/>
  <c r="J888" i="4" s="1"/>
  <c r="E889" i="4"/>
  <c r="I889" i="4"/>
  <c r="J889" i="4" s="1"/>
  <c r="E890" i="4"/>
  <c r="I890" i="4"/>
  <c r="J890" i="4" s="1"/>
  <c r="E891" i="4"/>
  <c r="I891" i="4"/>
  <c r="J891" i="4" s="1"/>
  <c r="E892" i="4"/>
  <c r="I892" i="4"/>
  <c r="J892" i="4" s="1"/>
  <c r="E893" i="4"/>
  <c r="I893" i="4"/>
  <c r="E894" i="4"/>
  <c r="I894" i="4"/>
  <c r="J894" i="4" s="1"/>
  <c r="E895" i="4"/>
  <c r="I895" i="4"/>
  <c r="J895" i="4" s="1"/>
  <c r="E896" i="4"/>
  <c r="I896" i="4"/>
  <c r="J896" i="4" s="1"/>
  <c r="E897" i="4"/>
  <c r="I897" i="4"/>
  <c r="J897" i="4"/>
  <c r="E865" i="4"/>
  <c r="I865" i="4"/>
  <c r="J865" i="4" s="1"/>
  <c r="E866" i="4"/>
  <c r="I866" i="4"/>
  <c r="J866" i="4" s="1"/>
  <c r="E867" i="4"/>
  <c r="I867" i="4"/>
  <c r="J867" i="4" s="1"/>
  <c r="E868" i="4"/>
  <c r="I868" i="4"/>
  <c r="J868" i="4"/>
  <c r="E869" i="4"/>
  <c r="I869" i="4"/>
  <c r="H900" i="4"/>
  <c r="G900" i="4"/>
  <c r="F900" i="4"/>
  <c r="D900" i="4"/>
  <c r="C900" i="4"/>
  <c r="B900" i="4"/>
  <c r="I899" i="4"/>
  <c r="J899" i="4" s="1"/>
  <c r="E899" i="4"/>
  <c r="I898" i="4"/>
  <c r="E898" i="4"/>
  <c r="J898" i="4" s="1"/>
  <c r="J874" i="4"/>
  <c r="I874" i="4"/>
  <c r="E874" i="4"/>
  <c r="J873" i="4"/>
  <c r="I873" i="4"/>
  <c r="E873" i="4"/>
  <c r="J872" i="4"/>
  <c r="I872" i="4"/>
  <c r="E872" i="4"/>
  <c r="I871" i="4"/>
  <c r="E871" i="4"/>
  <c r="I870" i="4"/>
  <c r="E870" i="4"/>
  <c r="I255" i="12"/>
  <c r="H255" i="12"/>
  <c r="G255" i="12"/>
  <c r="E255" i="12"/>
  <c r="D255" i="12"/>
  <c r="C255" i="12"/>
  <c r="J254" i="12"/>
  <c r="F254" i="12"/>
  <c r="J253" i="12"/>
  <c r="F253" i="12"/>
  <c r="J252" i="12"/>
  <c r="F252" i="12"/>
  <c r="J251" i="12"/>
  <c r="F251" i="12"/>
  <c r="J250" i="12"/>
  <c r="F250" i="12"/>
  <c r="J249" i="12"/>
  <c r="F249" i="12"/>
  <c r="J248" i="12"/>
  <c r="F248" i="12"/>
  <c r="J247" i="12"/>
  <c r="F247" i="12"/>
  <c r="J246" i="12"/>
  <c r="F246" i="12"/>
  <c r="J245" i="12"/>
  <c r="F245" i="12"/>
  <c r="J244" i="12"/>
  <c r="F244" i="12"/>
  <c r="J243" i="12"/>
  <c r="F243" i="12"/>
  <c r="J242" i="12"/>
  <c r="F242" i="12"/>
  <c r="J241" i="12"/>
  <c r="F241" i="12"/>
  <c r="J240" i="12"/>
  <c r="F240" i="12"/>
  <c r="J239" i="12"/>
  <c r="F239" i="12"/>
  <c r="J238" i="12"/>
  <c r="F238" i="12"/>
  <c r="J237" i="12"/>
  <c r="F237" i="12"/>
  <c r="J236" i="12"/>
  <c r="F236" i="12"/>
  <c r="J235" i="12"/>
  <c r="F235" i="12"/>
  <c r="J234" i="12"/>
  <c r="F234" i="12"/>
  <c r="J233" i="12"/>
  <c r="F233" i="12"/>
  <c r="J232" i="12"/>
  <c r="F232" i="12"/>
  <c r="J231" i="12"/>
  <c r="F231" i="12"/>
  <c r="J229" i="12"/>
  <c r="F229" i="12"/>
  <c r="J228" i="12"/>
  <c r="F228" i="12"/>
  <c r="J227" i="12"/>
  <c r="F227" i="12"/>
  <c r="J226" i="12"/>
  <c r="F226" i="12"/>
  <c r="J225" i="12"/>
  <c r="F225" i="12"/>
  <c r="J224" i="12"/>
  <c r="F224" i="12"/>
  <c r="J223" i="12"/>
  <c r="F223" i="12"/>
  <c r="J222" i="12"/>
  <c r="F222" i="12"/>
  <c r="J221" i="12"/>
  <c r="F221" i="12"/>
  <c r="J220" i="12"/>
  <c r="F220" i="12"/>
  <c r="H857" i="4"/>
  <c r="G857" i="4"/>
  <c r="F857" i="4"/>
  <c r="D857" i="4"/>
  <c r="C857" i="4"/>
  <c r="B857" i="4"/>
  <c r="I856" i="4"/>
  <c r="E856" i="4"/>
  <c r="I855" i="4"/>
  <c r="E855" i="4"/>
  <c r="I854" i="4"/>
  <c r="E854" i="4"/>
  <c r="I853" i="4"/>
  <c r="E853" i="4"/>
  <c r="I852" i="4"/>
  <c r="E852" i="4"/>
  <c r="I851" i="4"/>
  <c r="E851" i="4"/>
  <c r="I850" i="4"/>
  <c r="E850" i="4"/>
  <c r="I849" i="4"/>
  <c r="E849" i="4"/>
  <c r="I848" i="4"/>
  <c r="E848" i="4"/>
  <c r="I847" i="4"/>
  <c r="E847" i="4"/>
  <c r="I846" i="4"/>
  <c r="E846" i="4"/>
  <c r="I845" i="4"/>
  <c r="E845" i="4"/>
  <c r="I844" i="4"/>
  <c r="E844" i="4"/>
  <c r="I843" i="4"/>
  <c r="E843" i="4"/>
  <c r="I842" i="4"/>
  <c r="E842" i="4"/>
  <c r="I841" i="4"/>
  <c r="E841" i="4"/>
  <c r="I840" i="4"/>
  <c r="E840" i="4"/>
  <c r="I839" i="4"/>
  <c r="E839" i="4"/>
  <c r="I838" i="4"/>
  <c r="E838" i="4"/>
  <c r="I837" i="4"/>
  <c r="E837" i="4"/>
  <c r="J837" i="4" s="1"/>
  <c r="I836" i="4"/>
  <c r="E836" i="4"/>
  <c r="I835" i="4"/>
  <c r="E835" i="4"/>
  <c r="J835" i="4" s="1"/>
  <c r="I834" i="4"/>
  <c r="E834" i="4"/>
  <c r="I833" i="4"/>
  <c r="E833" i="4"/>
  <c r="H832" i="4"/>
  <c r="G832" i="4"/>
  <c r="F832" i="4"/>
  <c r="D832" i="4"/>
  <c r="C832" i="4"/>
  <c r="B832" i="4"/>
  <c r="J831" i="4"/>
  <c r="I831" i="4"/>
  <c r="E831" i="4"/>
  <c r="I830" i="4"/>
  <c r="E830" i="4"/>
  <c r="J830" i="4" s="1"/>
  <c r="I829" i="4"/>
  <c r="E829" i="4"/>
  <c r="I828" i="4"/>
  <c r="E828" i="4"/>
  <c r="I827" i="4"/>
  <c r="E827" i="4"/>
  <c r="I826" i="4"/>
  <c r="E826" i="4"/>
  <c r="I825" i="4"/>
  <c r="E825" i="4"/>
  <c r="I824" i="4"/>
  <c r="E824" i="4"/>
  <c r="I823" i="4"/>
  <c r="E823" i="4"/>
  <c r="I822" i="4"/>
  <c r="E822" i="4"/>
  <c r="I821" i="4"/>
  <c r="J821" i="4" s="1"/>
  <c r="H821" i="4"/>
  <c r="G821" i="4"/>
  <c r="F821" i="4"/>
  <c r="E821" i="4"/>
  <c r="D821" i="4"/>
  <c r="C821" i="4"/>
  <c r="B821" i="4"/>
  <c r="E212" i="13"/>
  <c r="D212" i="13"/>
  <c r="C212" i="13"/>
  <c r="F212" i="13" s="1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E187" i="13"/>
  <c r="F186" i="13"/>
  <c r="F185" i="13"/>
  <c r="F184" i="13"/>
  <c r="F183" i="13"/>
  <c r="F182" i="13"/>
  <c r="F181" i="13"/>
  <c r="F180" i="13"/>
  <c r="F179" i="13"/>
  <c r="F178" i="13"/>
  <c r="F177" i="13"/>
  <c r="E176" i="13"/>
  <c r="I255" i="9"/>
  <c r="H255" i="9"/>
  <c r="G255" i="9"/>
  <c r="E255" i="9"/>
  <c r="D255" i="9"/>
  <c r="C255" i="9"/>
  <c r="J254" i="9"/>
  <c r="F254" i="9"/>
  <c r="J253" i="9"/>
  <c r="F253" i="9"/>
  <c r="J252" i="9"/>
  <c r="F252" i="9"/>
  <c r="J251" i="9"/>
  <c r="F251" i="9"/>
  <c r="J250" i="9"/>
  <c r="F250" i="9"/>
  <c r="J249" i="9"/>
  <c r="F249" i="9"/>
  <c r="J248" i="9"/>
  <c r="F248" i="9"/>
  <c r="J247" i="9"/>
  <c r="F247" i="9"/>
  <c r="J246" i="9"/>
  <c r="F246" i="9"/>
  <c r="J245" i="9"/>
  <c r="F245" i="9"/>
  <c r="J244" i="9"/>
  <c r="F244" i="9"/>
  <c r="J243" i="9"/>
  <c r="F243" i="9"/>
  <c r="J242" i="9"/>
  <c r="F242" i="9"/>
  <c r="J241" i="9"/>
  <c r="F241" i="9"/>
  <c r="J240" i="9"/>
  <c r="F240" i="9"/>
  <c r="J239" i="9"/>
  <c r="F239" i="9"/>
  <c r="J238" i="9"/>
  <c r="F238" i="9"/>
  <c r="J237" i="9"/>
  <c r="F237" i="9"/>
  <c r="J236" i="9"/>
  <c r="F236" i="9"/>
  <c r="J235" i="9"/>
  <c r="F235" i="9"/>
  <c r="J234" i="9"/>
  <c r="F234" i="9"/>
  <c r="J233" i="9"/>
  <c r="F233" i="9"/>
  <c r="J232" i="9"/>
  <c r="F232" i="9"/>
  <c r="J231" i="9"/>
  <c r="F231" i="9"/>
  <c r="J229" i="9"/>
  <c r="F229" i="9"/>
  <c r="J228" i="9"/>
  <c r="F228" i="9"/>
  <c r="J227" i="9"/>
  <c r="F227" i="9"/>
  <c r="J226" i="9"/>
  <c r="F226" i="9"/>
  <c r="J225" i="9"/>
  <c r="F225" i="9"/>
  <c r="J224" i="9"/>
  <c r="F224" i="9"/>
  <c r="J223" i="9"/>
  <c r="F223" i="9"/>
  <c r="J222" i="9"/>
  <c r="F222" i="9"/>
  <c r="J221" i="9"/>
  <c r="F221" i="9"/>
  <c r="J220" i="9"/>
  <c r="F220" i="9"/>
  <c r="I219" i="9"/>
  <c r="I230" i="9" s="1"/>
  <c r="H219" i="9"/>
  <c r="H230" i="9" s="1"/>
  <c r="H256" i="9" s="1"/>
  <c r="G219" i="9"/>
  <c r="J219" i="9" s="1"/>
  <c r="E219" i="9"/>
  <c r="E230" i="9" s="1"/>
  <c r="D219" i="9"/>
  <c r="D230" i="9" s="1"/>
  <c r="D256" i="9" s="1"/>
  <c r="C219" i="9"/>
  <c r="F219" i="9" s="1"/>
  <c r="H794" i="4"/>
  <c r="E157" i="7"/>
  <c r="I157" i="7"/>
  <c r="J157" i="7"/>
  <c r="H814" i="4"/>
  <c r="G814" i="4"/>
  <c r="G815" i="4" s="1"/>
  <c r="F814" i="4"/>
  <c r="D814" i="4"/>
  <c r="C814" i="4"/>
  <c r="B814" i="4"/>
  <c r="J813" i="4"/>
  <c r="I813" i="4"/>
  <c r="E813" i="4"/>
  <c r="I812" i="4"/>
  <c r="E812" i="4"/>
  <c r="I811" i="4"/>
  <c r="E811" i="4"/>
  <c r="I810" i="4"/>
  <c r="E810" i="4"/>
  <c r="I809" i="4"/>
  <c r="E809" i="4"/>
  <c r="I808" i="4"/>
  <c r="E808" i="4"/>
  <c r="I807" i="4"/>
  <c r="E807" i="4"/>
  <c r="I806" i="4"/>
  <c r="E806" i="4"/>
  <c r="I805" i="4"/>
  <c r="E805" i="4"/>
  <c r="I804" i="4"/>
  <c r="E804" i="4"/>
  <c r="I803" i="4"/>
  <c r="E803" i="4"/>
  <c r="I802" i="4"/>
  <c r="E802" i="4"/>
  <c r="I801" i="4"/>
  <c r="E801" i="4"/>
  <c r="I800" i="4"/>
  <c r="E800" i="4"/>
  <c r="I799" i="4"/>
  <c r="E799" i="4"/>
  <c r="I798" i="4"/>
  <c r="E798" i="4"/>
  <c r="I797" i="4"/>
  <c r="E797" i="4"/>
  <c r="I796" i="4"/>
  <c r="E796" i="4"/>
  <c r="I795" i="4"/>
  <c r="E795" i="4"/>
  <c r="I794" i="4"/>
  <c r="E794" i="4"/>
  <c r="I793" i="4"/>
  <c r="E793" i="4"/>
  <c r="I792" i="4"/>
  <c r="E792" i="4"/>
  <c r="I791" i="4"/>
  <c r="E791" i="4"/>
  <c r="I790" i="4"/>
  <c r="E790" i="4"/>
  <c r="H789" i="4"/>
  <c r="G789" i="4"/>
  <c r="D789" i="4"/>
  <c r="C789" i="4"/>
  <c r="J788" i="4"/>
  <c r="I788" i="4"/>
  <c r="E788" i="4"/>
  <c r="I787" i="4"/>
  <c r="E787" i="4"/>
  <c r="J787" i="4" s="1"/>
  <c r="I786" i="4"/>
  <c r="E786" i="4"/>
  <c r="J786" i="4" s="1"/>
  <c r="I785" i="4"/>
  <c r="E785" i="4"/>
  <c r="J785" i="4" s="1"/>
  <c r="I784" i="4"/>
  <c r="E784" i="4"/>
  <c r="J784" i="4" s="1"/>
  <c r="I783" i="4"/>
  <c r="E783" i="4"/>
  <c r="J783" i="4" s="1"/>
  <c r="I782" i="4"/>
  <c r="E782" i="4"/>
  <c r="J782" i="4" s="1"/>
  <c r="I781" i="4"/>
  <c r="E781" i="4"/>
  <c r="J781" i="4" s="1"/>
  <c r="I780" i="4"/>
  <c r="E780" i="4"/>
  <c r="J780" i="4" s="1"/>
  <c r="I779" i="4"/>
  <c r="E779" i="4"/>
  <c r="J779" i="4" s="1"/>
  <c r="H778" i="4"/>
  <c r="G778" i="4"/>
  <c r="D778" i="4"/>
  <c r="C778" i="4"/>
  <c r="I298" i="2"/>
  <c r="H298" i="2"/>
  <c r="G298" i="2"/>
  <c r="E298" i="2"/>
  <c r="D298" i="2"/>
  <c r="C298" i="2"/>
  <c r="J297" i="2"/>
  <c r="F297" i="2"/>
  <c r="J296" i="2"/>
  <c r="F296" i="2"/>
  <c r="J295" i="2"/>
  <c r="F295" i="2"/>
  <c r="J294" i="2"/>
  <c r="F294" i="2"/>
  <c r="J293" i="2"/>
  <c r="F293" i="2"/>
  <c r="J292" i="2"/>
  <c r="F292" i="2"/>
  <c r="J291" i="2"/>
  <c r="F291" i="2"/>
  <c r="J290" i="2"/>
  <c r="F290" i="2"/>
  <c r="J289" i="2"/>
  <c r="F289" i="2"/>
  <c r="J288" i="2"/>
  <c r="F288" i="2"/>
  <c r="J287" i="2"/>
  <c r="F287" i="2"/>
  <c r="J286" i="2"/>
  <c r="F286" i="2"/>
  <c r="J285" i="2"/>
  <c r="F285" i="2"/>
  <c r="J284" i="2"/>
  <c r="F284" i="2"/>
  <c r="J283" i="2"/>
  <c r="F283" i="2"/>
  <c r="J282" i="2"/>
  <c r="F282" i="2"/>
  <c r="J281" i="2"/>
  <c r="F281" i="2"/>
  <c r="J280" i="2"/>
  <c r="F280" i="2"/>
  <c r="J279" i="2"/>
  <c r="F279" i="2"/>
  <c r="J278" i="2"/>
  <c r="F278" i="2"/>
  <c r="J277" i="2"/>
  <c r="F277" i="2"/>
  <c r="J276" i="2"/>
  <c r="F276" i="2"/>
  <c r="J275" i="2"/>
  <c r="F275" i="2"/>
  <c r="J274" i="2"/>
  <c r="F274" i="2"/>
  <c r="J272" i="2"/>
  <c r="F272" i="2"/>
  <c r="J271" i="2"/>
  <c r="F271" i="2"/>
  <c r="J270" i="2"/>
  <c r="F270" i="2"/>
  <c r="J269" i="2"/>
  <c r="F269" i="2"/>
  <c r="J268" i="2"/>
  <c r="F268" i="2"/>
  <c r="J267" i="2"/>
  <c r="F267" i="2"/>
  <c r="J266" i="2"/>
  <c r="F266" i="2"/>
  <c r="J265" i="2"/>
  <c r="F265" i="2"/>
  <c r="J264" i="2"/>
  <c r="F264" i="2"/>
  <c r="J263" i="2"/>
  <c r="F263" i="2"/>
  <c r="I262" i="2"/>
  <c r="I273" i="2" s="1"/>
  <c r="I299" i="2" s="1"/>
  <c r="E262" i="2"/>
  <c r="E273" i="2" s="1"/>
  <c r="D751" i="4"/>
  <c r="E736" i="4"/>
  <c r="I736" i="4"/>
  <c r="J736" i="4" s="1"/>
  <c r="E737" i="4"/>
  <c r="I737" i="4"/>
  <c r="E738" i="4"/>
  <c r="I738" i="4"/>
  <c r="E739" i="4"/>
  <c r="I739" i="4"/>
  <c r="H771" i="4"/>
  <c r="F771" i="4"/>
  <c r="D771" i="4"/>
  <c r="B771" i="4"/>
  <c r="I770" i="4"/>
  <c r="E770" i="4"/>
  <c r="I769" i="4"/>
  <c r="E769" i="4"/>
  <c r="I768" i="4"/>
  <c r="E768" i="4"/>
  <c r="I767" i="4"/>
  <c r="E767" i="4"/>
  <c r="I766" i="4"/>
  <c r="E766" i="4"/>
  <c r="I765" i="4"/>
  <c r="E765" i="4"/>
  <c r="I764" i="4"/>
  <c r="E764" i="4"/>
  <c r="I763" i="4"/>
  <c r="E763" i="4"/>
  <c r="I762" i="4"/>
  <c r="E762" i="4"/>
  <c r="I761" i="4"/>
  <c r="E761" i="4"/>
  <c r="I760" i="4"/>
  <c r="E760" i="4"/>
  <c r="I759" i="4"/>
  <c r="E759" i="4"/>
  <c r="I758" i="4"/>
  <c r="E758" i="4"/>
  <c r="I757" i="4"/>
  <c r="E757" i="4"/>
  <c r="I756" i="4"/>
  <c r="E756" i="4"/>
  <c r="I755" i="4"/>
  <c r="E755" i="4"/>
  <c r="I754" i="4"/>
  <c r="E754" i="4"/>
  <c r="I753" i="4"/>
  <c r="E753" i="4"/>
  <c r="I752" i="4"/>
  <c r="E752" i="4"/>
  <c r="I751" i="4"/>
  <c r="E751" i="4"/>
  <c r="I750" i="4"/>
  <c r="E750" i="4"/>
  <c r="I749" i="4"/>
  <c r="E749" i="4"/>
  <c r="I748" i="4"/>
  <c r="G771" i="4"/>
  <c r="E748" i="4"/>
  <c r="C771" i="4"/>
  <c r="I747" i="4"/>
  <c r="E747" i="4"/>
  <c r="J747" i="4" s="1"/>
  <c r="I745" i="4"/>
  <c r="E745" i="4"/>
  <c r="I744" i="4"/>
  <c r="E744" i="4"/>
  <c r="I743" i="4"/>
  <c r="E743" i="4"/>
  <c r="I742" i="4"/>
  <c r="E742" i="4"/>
  <c r="I741" i="4"/>
  <c r="E741" i="4"/>
  <c r="I740" i="4"/>
  <c r="E740" i="4"/>
  <c r="G725" i="4"/>
  <c r="I725" i="4" s="1"/>
  <c r="C725" i="4"/>
  <c r="F150" i="13"/>
  <c r="F149" i="13"/>
  <c r="F148" i="13"/>
  <c r="F147" i="13"/>
  <c r="J240" i="2"/>
  <c r="F240" i="2"/>
  <c r="J239" i="2"/>
  <c r="F239" i="2"/>
  <c r="J238" i="2"/>
  <c r="F238" i="2"/>
  <c r="J237" i="2"/>
  <c r="F237" i="2"/>
  <c r="J236" i="2"/>
  <c r="F236" i="2"/>
  <c r="G716" i="4"/>
  <c r="I716" i="4" s="1"/>
  <c r="C716" i="4"/>
  <c r="E716" i="4" s="1"/>
  <c r="F145" i="13"/>
  <c r="F146" i="13"/>
  <c r="F151" i="13"/>
  <c r="F152" i="13"/>
  <c r="F153" i="13"/>
  <c r="F154" i="13"/>
  <c r="F155" i="13"/>
  <c r="F156" i="13"/>
  <c r="E169" i="13"/>
  <c r="D169" i="13"/>
  <c r="C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43" i="13"/>
  <c r="F142" i="13"/>
  <c r="F141" i="13"/>
  <c r="F140" i="13"/>
  <c r="F139" i="13"/>
  <c r="F138" i="13"/>
  <c r="F137" i="13"/>
  <c r="F136" i="13"/>
  <c r="F135" i="13"/>
  <c r="F134" i="13"/>
  <c r="E133" i="13"/>
  <c r="E144" i="13" s="1"/>
  <c r="D133" i="13"/>
  <c r="D144" i="13" s="1"/>
  <c r="C133" i="13"/>
  <c r="F133" i="13" s="1"/>
  <c r="G705" i="4"/>
  <c r="C705" i="4"/>
  <c r="F683" i="4"/>
  <c r="I683" i="4" s="1"/>
  <c r="B683" i="4"/>
  <c r="E683" i="4" s="1"/>
  <c r="E693" i="4"/>
  <c r="I693" i="4"/>
  <c r="J693" i="4" s="1"/>
  <c r="E694" i="4"/>
  <c r="I694" i="4"/>
  <c r="E704" i="4"/>
  <c r="I704" i="4"/>
  <c r="E705" i="4"/>
  <c r="I705" i="4"/>
  <c r="E706" i="4"/>
  <c r="I706" i="4"/>
  <c r="E707" i="4"/>
  <c r="I707" i="4"/>
  <c r="E708" i="4"/>
  <c r="I708" i="4"/>
  <c r="E709" i="4"/>
  <c r="I709" i="4"/>
  <c r="E710" i="4"/>
  <c r="I710" i="4"/>
  <c r="E711" i="4"/>
  <c r="I711" i="4"/>
  <c r="E712" i="4"/>
  <c r="I712" i="4"/>
  <c r="E713" i="4"/>
  <c r="I713" i="4"/>
  <c r="E714" i="4"/>
  <c r="I714" i="4"/>
  <c r="E715" i="4"/>
  <c r="I715" i="4"/>
  <c r="E717" i="4"/>
  <c r="I717" i="4"/>
  <c r="E718" i="4"/>
  <c r="I718" i="4"/>
  <c r="E719" i="4"/>
  <c r="I719" i="4"/>
  <c r="J719" i="4" s="1"/>
  <c r="E720" i="4"/>
  <c r="I720" i="4"/>
  <c r="E721" i="4"/>
  <c r="I721" i="4"/>
  <c r="E722" i="4"/>
  <c r="J722" i="4" s="1"/>
  <c r="I722" i="4"/>
  <c r="E723" i="4"/>
  <c r="I723" i="4"/>
  <c r="J723" i="4" s="1"/>
  <c r="E724" i="4"/>
  <c r="I724" i="4"/>
  <c r="E725" i="4"/>
  <c r="H728" i="4"/>
  <c r="B728" i="4"/>
  <c r="I727" i="4"/>
  <c r="E727" i="4"/>
  <c r="I726" i="4"/>
  <c r="E726" i="4"/>
  <c r="D728" i="4"/>
  <c r="F728" i="4"/>
  <c r="I702" i="4"/>
  <c r="E702" i="4"/>
  <c r="I701" i="4"/>
  <c r="E701" i="4"/>
  <c r="I700" i="4"/>
  <c r="E700" i="4"/>
  <c r="I699" i="4"/>
  <c r="E699" i="4"/>
  <c r="I698" i="4"/>
  <c r="E698" i="4"/>
  <c r="I697" i="4"/>
  <c r="E697" i="4"/>
  <c r="I696" i="4"/>
  <c r="E696" i="4"/>
  <c r="I695" i="4"/>
  <c r="E695" i="4"/>
  <c r="B680" i="4"/>
  <c r="G677" i="4"/>
  <c r="I677" i="4" s="1"/>
  <c r="C677" i="4"/>
  <c r="F675" i="4"/>
  <c r="C673" i="4"/>
  <c r="E673" i="4" s="1"/>
  <c r="F672" i="4"/>
  <c r="I672" i="4" s="1"/>
  <c r="B672" i="4"/>
  <c r="E672" i="4" s="1"/>
  <c r="G668" i="4"/>
  <c r="C668" i="4"/>
  <c r="E668" i="4" s="1"/>
  <c r="F8" i="15"/>
  <c r="H667" i="4"/>
  <c r="I667" i="4" s="1"/>
  <c r="D667" i="4"/>
  <c r="E667" i="4" s="1"/>
  <c r="F665" i="4"/>
  <c r="B665" i="4"/>
  <c r="E665" i="4" s="1"/>
  <c r="G665" i="4"/>
  <c r="C665" i="4"/>
  <c r="E650" i="4"/>
  <c r="I650" i="4"/>
  <c r="J650" i="4" s="1"/>
  <c r="E651" i="4"/>
  <c r="I651" i="4"/>
  <c r="E652" i="4"/>
  <c r="I652" i="4"/>
  <c r="E653" i="4"/>
  <c r="I653" i="4"/>
  <c r="J653" i="4" s="1"/>
  <c r="E654" i="4"/>
  <c r="I654" i="4"/>
  <c r="J654" i="4"/>
  <c r="E655" i="4"/>
  <c r="I655" i="4"/>
  <c r="D685" i="4"/>
  <c r="I684" i="4"/>
  <c r="E684" i="4"/>
  <c r="I682" i="4"/>
  <c r="E682" i="4"/>
  <c r="I681" i="4"/>
  <c r="E681" i="4"/>
  <c r="I680" i="4"/>
  <c r="I679" i="4"/>
  <c r="E679" i="4"/>
  <c r="E678" i="4"/>
  <c r="I676" i="4"/>
  <c r="E676" i="4"/>
  <c r="I675" i="4"/>
  <c r="E675" i="4"/>
  <c r="I674" i="4"/>
  <c r="E674" i="4"/>
  <c r="I673" i="4"/>
  <c r="I671" i="4"/>
  <c r="E671" i="4"/>
  <c r="I670" i="4"/>
  <c r="E670" i="4"/>
  <c r="I669" i="4"/>
  <c r="E669" i="4"/>
  <c r="I668" i="4"/>
  <c r="I666" i="4"/>
  <c r="E666" i="4"/>
  <c r="I664" i="4"/>
  <c r="E664" i="4"/>
  <c r="I663" i="4"/>
  <c r="E663" i="4"/>
  <c r="I662" i="4"/>
  <c r="E662" i="4"/>
  <c r="I661" i="4"/>
  <c r="E661" i="4"/>
  <c r="I659" i="4"/>
  <c r="E659" i="4"/>
  <c r="I658" i="4"/>
  <c r="J658" i="4" s="1"/>
  <c r="E658" i="4"/>
  <c r="I657" i="4"/>
  <c r="E657" i="4"/>
  <c r="I656" i="4"/>
  <c r="E656" i="4"/>
  <c r="F635" i="4"/>
  <c r="F642" i="4" s="1"/>
  <c r="F164" i="12"/>
  <c r="J164" i="12"/>
  <c r="F188" i="12"/>
  <c r="J188" i="12"/>
  <c r="F189" i="12"/>
  <c r="J189" i="12"/>
  <c r="F190" i="12"/>
  <c r="J190" i="12"/>
  <c r="F191" i="12"/>
  <c r="J191" i="12"/>
  <c r="F192" i="12"/>
  <c r="J192" i="12"/>
  <c r="F193" i="12"/>
  <c r="J193" i="12"/>
  <c r="F194" i="12"/>
  <c r="J194" i="12"/>
  <c r="F195" i="12"/>
  <c r="J195" i="12"/>
  <c r="F196" i="12"/>
  <c r="J196" i="12"/>
  <c r="F197" i="12"/>
  <c r="J197" i="12"/>
  <c r="F198" i="12"/>
  <c r="J198" i="12"/>
  <c r="F199" i="12"/>
  <c r="J199" i="12"/>
  <c r="F200" i="12"/>
  <c r="J200" i="12"/>
  <c r="F201" i="12"/>
  <c r="J201" i="12"/>
  <c r="F202" i="12"/>
  <c r="J202" i="12"/>
  <c r="F203" i="12"/>
  <c r="J203" i="12"/>
  <c r="F204" i="12"/>
  <c r="J204" i="12"/>
  <c r="F205" i="12"/>
  <c r="J205" i="12"/>
  <c r="F206" i="12"/>
  <c r="J206" i="12"/>
  <c r="F208" i="12"/>
  <c r="J208" i="12"/>
  <c r="F178" i="12"/>
  <c r="J178" i="12"/>
  <c r="F179" i="12"/>
  <c r="J179" i="12"/>
  <c r="F180" i="12"/>
  <c r="J180" i="12"/>
  <c r="F181" i="12"/>
  <c r="J181" i="12"/>
  <c r="F182" i="12"/>
  <c r="J182" i="12"/>
  <c r="F183" i="12"/>
  <c r="J183" i="12"/>
  <c r="F184" i="12"/>
  <c r="J184" i="12"/>
  <c r="F185" i="12"/>
  <c r="J185" i="12"/>
  <c r="F186" i="12"/>
  <c r="J186" i="12"/>
  <c r="I212" i="12"/>
  <c r="H212" i="12"/>
  <c r="G212" i="12"/>
  <c r="E212" i="12"/>
  <c r="D212" i="12"/>
  <c r="C212" i="12"/>
  <c r="J211" i="12"/>
  <c r="F211" i="12"/>
  <c r="J210" i="12"/>
  <c r="F210" i="12"/>
  <c r="J209" i="12"/>
  <c r="F209" i="12"/>
  <c r="J177" i="12"/>
  <c r="F177" i="12"/>
  <c r="F231" i="2"/>
  <c r="J231" i="2"/>
  <c r="F232" i="2"/>
  <c r="J232" i="2"/>
  <c r="F233" i="2"/>
  <c r="J233" i="2"/>
  <c r="F234" i="2"/>
  <c r="J234" i="2"/>
  <c r="F235" i="2"/>
  <c r="J235" i="2"/>
  <c r="F241" i="2"/>
  <c r="J241" i="2"/>
  <c r="F242" i="2"/>
  <c r="J242" i="2"/>
  <c r="F243" i="2"/>
  <c r="J243" i="2"/>
  <c r="F244" i="2"/>
  <c r="J244" i="2"/>
  <c r="F245" i="2"/>
  <c r="J245" i="2"/>
  <c r="F246" i="2"/>
  <c r="J246" i="2"/>
  <c r="F247" i="2"/>
  <c r="J247" i="2"/>
  <c r="F248" i="2"/>
  <c r="J248" i="2"/>
  <c r="F249" i="2"/>
  <c r="J249" i="2"/>
  <c r="I255" i="2"/>
  <c r="H255" i="2"/>
  <c r="G255" i="2"/>
  <c r="E255" i="2"/>
  <c r="D255" i="2"/>
  <c r="C255" i="2"/>
  <c r="J254" i="2"/>
  <c r="F254" i="2"/>
  <c r="J253" i="2"/>
  <c r="F253" i="2"/>
  <c r="J252" i="2"/>
  <c r="F252" i="2"/>
  <c r="J251" i="2"/>
  <c r="F251" i="2"/>
  <c r="J250" i="2"/>
  <c r="F250" i="2"/>
  <c r="J229" i="2"/>
  <c r="F229" i="2"/>
  <c r="J228" i="2"/>
  <c r="F228" i="2"/>
  <c r="J227" i="2"/>
  <c r="F227" i="2"/>
  <c r="J226" i="2"/>
  <c r="F226" i="2"/>
  <c r="J225" i="2"/>
  <c r="F225" i="2"/>
  <c r="J224" i="2"/>
  <c r="F224" i="2"/>
  <c r="J223" i="2"/>
  <c r="F223" i="2"/>
  <c r="J222" i="2"/>
  <c r="F222" i="2"/>
  <c r="J221" i="2"/>
  <c r="F221" i="2"/>
  <c r="J220" i="2"/>
  <c r="F220" i="2"/>
  <c r="G219" i="2"/>
  <c r="C219" i="2"/>
  <c r="C632" i="4"/>
  <c r="E632" i="4" s="1"/>
  <c r="G632" i="4"/>
  <c r="I632" i="4" s="1"/>
  <c r="C631" i="4"/>
  <c r="F6" i="15"/>
  <c r="B624" i="4"/>
  <c r="E624" i="4" s="1"/>
  <c r="G598" i="4"/>
  <c r="I598" i="4" s="1"/>
  <c r="E607" i="4"/>
  <c r="I607" i="4"/>
  <c r="J607" i="4"/>
  <c r="E608" i="4"/>
  <c r="I608" i="4"/>
  <c r="E609" i="4"/>
  <c r="I609" i="4"/>
  <c r="J609" i="4" s="1"/>
  <c r="E610" i="4"/>
  <c r="I610" i="4"/>
  <c r="E611" i="4"/>
  <c r="I611" i="4"/>
  <c r="J611" i="4" s="1"/>
  <c r="E618" i="4"/>
  <c r="I618" i="4"/>
  <c r="E619" i="4"/>
  <c r="I619" i="4"/>
  <c r="E620" i="4"/>
  <c r="I620" i="4"/>
  <c r="E621" i="4"/>
  <c r="I621" i="4"/>
  <c r="E622" i="4"/>
  <c r="I622" i="4"/>
  <c r="E623" i="4"/>
  <c r="I623" i="4"/>
  <c r="I624" i="4"/>
  <c r="E625" i="4"/>
  <c r="I625" i="4"/>
  <c r="J625" i="4" s="1"/>
  <c r="E626" i="4"/>
  <c r="J626" i="4" s="1"/>
  <c r="I626" i="4"/>
  <c r="E627" i="4"/>
  <c r="I627" i="4"/>
  <c r="J627" i="4" s="1"/>
  <c r="E628" i="4"/>
  <c r="I628" i="4"/>
  <c r="E629" i="4"/>
  <c r="I629" i="4"/>
  <c r="E630" i="4"/>
  <c r="I630" i="4"/>
  <c r="E631" i="4"/>
  <c r="I631" i="4"/>
  <c r="J631" i="4" s="1"/>
  <c r="E633" i="4"/>
  <c r="I633" i="4"/>
  <c r="E634" i="4"/>
  <c r="I634" i="4"/>
  <c r="E635" i="4"/>
  <c r="I635" i="4"/>
  <c r="E636" i="4"/>
  <c r="I636" i="4"/>
  <c r="E637" i="4"/>
  <c r="I637" i="4"/>
  <c r="E638" i="4"/>
  <c r="I638" i="4"/>
  <c r="J638" i="4" s="1"/>
  <c r="E639" i="4"/>
  <c r="I639" i="4"/>
  <c r="C642" i="4"/>
  <c r="I641" i="4"/>
  <c r="J641" i="4" s="1"/>
  <c r="E641" i="4"/>
  <c r="I640" i="4"/>
  <c r="E640" i="4"/>
  <c r="I616" i="4"/>
  <c r="E616" i="4"/>
  <c r="I615" i="4"/>
  <c r="E615" i="4"/>
  <c r="I614" i="4"/>
  <c r="J614" i="4" s="1"/>
  <c r="E614" i="4"/>
  <c r="I613" i="4"/>
  <c r="E613" i="4"/>
  <c r="I612" i="4"/>
  <c r="E612" i="4"/>
  <c r="H593" i="4"/>
  <c r="D593" i="4"/>
  <c r="E593" i="4" s="1"/>
  <c r="B585" i="4"/>
  <c r="B599" i="4" s="1"/>
  <c r="F16" i="18"/>
  <c r="E83" i="18"/>
  <c r="D83" i="18"/>
  <c r="C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7" i="18"/>
  <c r="F56" i="18"/>
  <c r="F55" i="18"/>
  <c r="F54" i="18"/>
  <c r="F53" i="18"/>
  <c r="F52" i="18"/>
  <c r="F51" i="18"/>
  <c r="F50" i="18"/>
  <c r="F49" i="18"/>
  <c r="F48" i="18"/>
  <c r="E40" i="18"/>
  <c r="D40" i="18"/>
  <c r="C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E15" i="18"/>
  <c r="E41" i="18" s="1"/>
  <c r="E47" i="18" s="1"/>
  <c r="E58" i="18" s="1"/>
  <c r="E84" i="18" s="1"/>
  <c r="D15" i="18"/>
  <c r="C15" i="18"/>
  <c r="F14" i="18"/>
  <c r="F13" i="18"/>
  <c r="F12" i="18"/>
  <c r="F11" i="18"/>
  <c r="F10" i="18"/>
  <c r="F9" i="18"/>
  <c r="F8" i="18"/>
  <c r="F7" i="18"/>
  <c r="F6" i="18"/>
  <c r="F5" i="18"/>
  <c r="F4" i="18"/>
  <c r="F16" i="17"/>
  <c r="F17" i="17"/>
  <c r="E83" i="17"/>
  <c r="D83" i="17"/>
  <c r="C83" i="17"/>
  <c r="F83" i="17" s="1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7" i="17"/>
  <c r="F56" i="17"/>
  <c r="F55" i="17"/>
  <c r="F54" i="17"/>
  <c r="F53" i="17"/>
  <c r="F52" i="17"/>
  <c r="F51" i="17"/>
  <c r="F50" i="17"/>
  <c r="F49" i="17"/>
  <c r="F48" i="17"/>
  <c r="E40" i="17"/>
  <c r="D40" i="17"/>
  <c r="C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E15" i="17"/>
  <c r="D15" i="17"/>
  <c r="C15" i="17"/>
  <c r="F14" i="17"/>
  <c r="F13" i="17"/>
  <c r="F12" i="17"/>
  <c r="F11" i="17"/>
  <c r="F10" i="17"/>
  <c r="F9" i="17"/>
  <c r="F8" i="17"/>
  <c r="F7" i="17"/>
  <c r="F6" i="17"/>
  <c r="F5" i="17"/>
  <c r="F4" i="17"/>
  <c r="H580" i="4"/>
  <c r="I580" i="4" s="1"/>
  <c r="J193" i="2"/>
  <c r="F193" i="2"/>
  <c r="F577" i="4"/>
  <c r="I577" i="4" s="1"/>
  <c r="B577" i="4"/>
  <c r="E564" i="4"/>
  <c r="I564" i="4"/>
  <c r="J564" i="4" s="1"/>
  <c r="E565" i="4"/>
  <c r="I565" i="4"/>
  <c r="E566" i="4"/>
  <c r="I566" i="4"/>
  <c r="E567" i="4"/>
  <c r="I567" i="4"/>
  <c r="E568" i="4"/>
  <c r="I568" i="4"/>
  <c r="E569" i="4"/>
  <c r="I569" i="4"/>
  <c r="E575" i="4"/>
  <c r="I575" i="4"/>
  <c r="J575" i="4" s="1"/>
  <c r="E576" i="4"/>
  <c r="I576" i="4"/>
  <c r="E577" i="4"/>
  <c r="E578" i="4"/>
  <c r="I578" i="4"/>
  <c r="E579" i="4"/>
  <c r="I579" i="4"/>
  <c r="E580" i="4"/>
  <c r="E581" i="4"/>
  <c r="J581" i="4" s="1"/>
  <c r="I581" i="4"/>
  <c r="E582" i="4"/>
  <c r="I582" i="4"/>
  <c r="E583" i="4"/>
  <c r="I583" i="4"/>
  <c r="J583" i="4" s="1"/>
  <c r="E584" i="4"/>
  <c r="J584" i="4" s="1"/>
  <c r="I584" i="4"/>
  <c r="I585" i="4"/>
  <c r="E586" i="4"/>
  <c r="I586" i="4"/>
  <c r="E587" i="4"/>
  <c r="J587" i="4" s="1"/>
  <c r="I587" i="4"/>
  <c r="E588" i="4"/>
  <c r="I588" i="4"/>
  <c r="E589" i="4"/>
  <c r="I589" i="4"/>
  <c r="J589" i="4" s="1"/>
  <c r="E590" i="4"/>
  <c r="I590" i="4"/>
  <c r="E591" i="4"/>
  <c r="I591" i="4"/>
  <c r="E592" i="4"/>
  <c r="I592" i="4"/>
  <c r="I593" i="4"/>
  <c r="E594" i="4"/>
  <c r="I594" i="4"/>
  <c r="C599" i="4"/>
  <c r="E598" i="4"/>
  <c r="I597" i="4"/>
  <c r="E597" i="4"/>
  <c r="I596" i="4"/>
  <c r="E596" i="4"/>
  <c r="I595" i="4"/>
  <c r="E595" i="4"/>
  <c r="I573" i="4"/>
  <c r="E573" i="4"/>
  <c r="I572" i="4"/>
  <c r="E572" i="4"/>
  <c r="I571" i="4"/>
  <c r="E571" i="4"/>
  <c r="I570" i="4"/>
  <c r="E570" i="4"/>
  <c r="F83" i="16"/>
  <c r="E83" i="16"/>
  <c r="D83" i="16"/>
  <c r="C83" i="16"/>
  <c r="G83" i="16" s="1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7" i="16"/>
  <c r="G56" i="16"/>
  <c r="G55" i="16"/>
  <c r="G54" i="16"/>
  <c r="G53" i="16"/>
  <c r="G52" i="16"/>
  <c r="G51" i="16"/>
  <c r="G50" i="16"/>
  <c r="G49" i="16"/>
  <c r="G48" i="16"/>
  <c r="F15" i="16"/>
  <c r="F41" i="16"/>
  <c r="F47" i="16" s="1"/>
  <c r="F58" i="16" s="1"/>
  <c r="F84" i="16" s="1"/>
  <c r="F40" i="16"/>
  <c r="G6" i="16"/>
  <c r="G7" i="16"/>
  <c r="G8" i="16"/>
  <c r="G9" i="16"/>
  <c r="G10" i="16"/>
  <c r="G11" i="16"/>
  <c r="G12" i="16"/>
  <c r="G13" i="16"/>
  <c r="G14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5" i="16"/>
  <c r="G4" i="16"/>
  <c r="E40" i="16"/>
  <c r="D40" i="16"/>
  <c r="C40" i="16"/>
  <c r="E15" i="16"/>
  <c r="D15" i="16"/>
  <c r="C15" i="16"/>
  <c r="F545" i="4"/>
  <c r="F556" i="4" s="1"/>
  <c r="B545" i="4"/>
  <c r="E545" i="4" s="1"/>
  <c r="F7" i="15"/>
  <c r="F9" i="15"/>
  <c r="F10" i="15"/>
  <c r="F11" i="15"/>
  <c r="E83" i="15"/>
  <c r="D83" i="15"/>
  <c r="C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7" i="15"/>
  <c r="F56" i="15"/>
  <c r="F55" i="15"/>
  <c r="F54" i="15"/>
  <c r="F53" i="15"/>
  <c r="F52" i="15"/>
  <c r="F51" i="15"/>
  <c r="F50" i="15"/>
  <c r="F49" i="15"/>
  <c r="F48" i="15"/>
  <c r="E40" i="15"/>
  <c r="D40" i="15"/>
  <c r="C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E15" i="15"/>
  <c r="D15" i="15"/>
  <c r="C15" i="15"/>
  <c r="F14" i="15"/>
  <c r="F13" i="15"/>
  <c r="F12" i="15"/>
  <c r="F5" i="15"/>
  <c r="F4" i="15"/>
  <c r="G543" i="4"/>
  <c r="C543" i="4"/>
  <c r="C556" i="4" s="1"/>
  <c r="D543" i="4"/>
  <c r="D556" i="4" s="1"/>
  <c r="G538" i="4"/>
  <c r="E188" i="7"/>
  <c r="I188" i="7"/>
  <c r="J188" i="7"/>
  <c r="E189" i="7"/>
  <c r="J189" i="7" s="1"/>
  <c r="I189" i="7"/>
  <c r="E190" i="7"/>
  <c r="I190" i="7"/>
  <c r="J190" i="7"/>
  <c r="E191" i="7"/>
  <c r="J191" i="7" s="1"/>
  <c r="I191" i="7"/>
  <c r="H212" i="7"/>
  <c r="I212" i="7" s="1"/>
  <c r="G212" i="7"/>
  <c r="F212" i="7"/>
  <c r="D212" i="7"/>
  <c r="C212" i="7"/>
  <c r="B212" i="7"/>
  <c r="E212" i="7" s="1"/>
  <c r="I211" i="7"/>
  <c r="J211" i="7" s="1"/>
  <c r="E211" i="7"/>
  <c r="I210" i="7"/>
  <c r="J210" i="7" s="1"/>
  <c r="E210" i="7"/>
  <c r="I209" i="7"/>
  <c r="J209" i="7" s="1"/>
  <c r="E209" i="7"/>
  <c r="I208" i="7"/>
  <c r="J208" i="7" s="1"/>
  <c r="E208" i="7"/>
  <c r="I207" i="7"/>
  <c r="J207" i="7" s="1"/>
  <c r="E207" i="7"/>
  <c r="I206" i="7"/>
  <c r="J206" i="7" s="1"/>
  <c r="E206" i="7"/>
  <c r="I205" i="7"/>
  <c r="J205" i="7" s="1"/>
  <c r="E205" i="7"/>
  <c r="I204" i="7"/>
  <c r="J204" i="7" s="1"/>
  <c r="E204" i="7"/>
  <c r="I203" i="7"/>
  <c r="J203" i="7" s="1"/>
  <c r="E203" i="7"/>
  <c r="I202" i="7"/>
  <c r="J202" i="7" s="1"/>
  <c r="E202" i="7"/>
  <c r="I201" i="7"/>
  <c r="J201" i="7" s="1"/>
  <c r="E201" i="7"/>
  <c r="I200" i="7"/>
  <c r="J200" i="7" s="1"/>
  <c r="E200" i="7"/>
  <c r="I199" i="7"/>
  <c r="J199" i="7" s="1"/>
  <c r="E199" i="7"/>
  <c r="I198" i="7"/>
  <c r="J198" i="7" s="1"/>
  <c r="E198" i="7"/>
  <c r="I197" i="7"/>
  <c r="E197" i="7"/>
  <c r="J197" i="7" s="1"/>
  <c r="I196" i="7"/>
  <c r="J196" i="7" s="1"/>
  <c r="E196" i="7"/>
  <c r="I195" i="7"/>
  <c r="E195" i="7"/>
  <c r="J195" i="7" s="1"/>
  <c r="I194" i="7"/>
  <c r="J194" i="7" s="1"/>
  <c r="E194" i="7"/>
  <c r="I193" i="7"/>
  <c r="E193" i="7"/>
  <c r="J193" i="7" s="1"/>
  <c r="I192" i="7"/>
  <c r="J192" i="7" s="1"/>
  <c r="E192" i="7"/>
  <c r="I186" i="7"/>
  <c r="J186" i="7" s="1"/>
  <c r="E186" i="7"/>
  <c r="I185" i="7"/>
  <c r="J185" i="7" s="1"/>
  <c r="E185" i="7"/>
  <c r="I184" i="7"/>
  <c r="J184" i="7" s="1"/>
  <c r="E184" i="7"/>
  <c r="I183" i="7"/>
  <c r="J183" i="7" s="1"/>
  <c r="E183" i="7"/>
  <c r="I182" i="7"/>
  <c r="J182" i="7" s="1"/>
  <c r="E182" i="7"/>
  <c r="I181" i="7"/>
  <c r="J181" i="7" s="1"/>
  <c r="E181" i="7"/>
  <c r="I180" i="7"/>
  <c r="J180" i="7" s="1"/>
  <c r="E180" i="7"/>
  <c r="I179" i="7"/>
  <c r="E179" i="7"/>
  <c r="I178" i="7"/>
  <c r="E178" i="7"/>
  <c r="I177" i="7"/>
  <c r="E177" i="7"/>
  <c r="H133" i="7"/>
  <c r="G133" i="7"/>
  <c r="F133" i="7"/>
  <c r="H556" i="4"/>
  <c r="B556" i="4"/>
  <c r="I555" i="4"/>
  <c r="E555" i="4"/>
  <c r="I554" i="4"/>
  <c r="E554" i="4"/>
  <c r="I553" i="4"/>
  <c r="E553" i="4"/>
  <c r="I552" i="4"/>
  <c r="E552" i="4"/>
  <c r="I551" i="4"/>
  <c r="E551" i="4"/>
  <c r="I550" i="4"/>
  <c r="E550" i="4"/>
  <c r="I549" i="4"/>
  <c r="E549" i="4"/>
  <c r="I548" i="4"/>
  <c r="E548" i="4"/>
  <c r="I547" i="4"/>
  <c r="E547" i="4"/>
  <c r="I546" i="4"/>
  <c r="E546" i="4"/>
  <c r="I544" i="4"/>
  <c r="E544" i="4"/>
  <c r="I543" i="4"/>
  <c r="I542" i="4"/>
  <c r="E542" i="4"/>
  <c r="I541" i="4"/>
  <c r="E541" i="4"/>
  <c r="I540" i="4"/>
  <c r="E540" i="4"/>
  <c r="I539" i="4"/>
  <c r="E539" i="4"/>
  <c r="I538" i="4"/>
  <c r="E538" i="4"/>
  <c r="I537" i="4"/>
  <c r="E537" i="4"/>
  <c r="J537" i="4" s="1"/>
  <c r="I536" i="4"/>
  <c r="E536" i="4"/>
  <c r="I535" i="4"/>
  <c r="E535" i="4"/>
  <c r="I534" i="4"/>
  <c r="E534" i="4"/>
  <c r="G556" i="4"/>
  <c r="I532" i="4"/>
  <c r="E532" i="4"/>
  <c r="I530" i="4"/>
  <c r="J530" i="4" s="1"/>
  <c r="E530" i="4"/>
  <c r="I529" i="4"/>
  <c r="E529" i="4"/>
  <c r="I528" i="4"/>
  <c r="J528" i="4" s="1"/>
  <c r="E528" i="4"/>
  <c r="I527" i="4"/>
  <c r="E527" i="4"/>
  <c r="I526" i="4"/>
  <c r="E526" i="4"/>
  <c r="I525" i="4"/>
  <c r="E525" i="4"/>
  <c r="I524" i="4"/>
  <c r="E524" i="4"/>
  <c r="I523" i="4"/>
  <c r="E523" i="4"/>
  <c r="I522" i="4"/>
  <c r="E522" i="4"/>
  <c r="I521" i="4"/>
  <c r="E521" i="4"/>
  <c r="F506" i="4"/>
  <c r="I506" i="4" s="1"/>
  <c r="F160" i="2"/>
  <c r="J160" i="2"/>
  <c r="J189" i="2"/>
  <c r="F189" i="2"/>
  <c r="J188" i="2"/>
  <c r="F188" i="2"/>
  <c r="E134" i="7"/>
  <c r="I134" i="7"/>
  <c r="J134" i="7"/>
  <c r="E135" i="7"/>
  <c r="I135" i="7"/>
  <c r="J135" i="7" s="1"/>
  <c r="E136" i="7"/>
  <c r="I136" i="7"/>
  <c r="J136" i="7" s="1"/>
  <c r="E137" i="7"/>
  <c r="I137" i="7"/>
  <c r="J137" i="7"/>
  <c r="E138" i="7"/>
  <c r="I138" i="7"/>
  <c r="J138" i="7" s="1"/>
  <c r="E139" i="7"/>
  <c r="I139" i="7"/>
  <c r="J139" i="7"/>
  <c r="E140" i="7"/>
  <c r="I140" i="7"/>
  <c r="J140" i="7"/>
  <c r="E141" i="7"/>
  <c r="I141" i="7"/>
  <c r="E145" i="7"/>
  <c r="I145" i="7"/>
  <c r="J145" i="7" s="1"/>
  <c r="E146" i="7"/>
  <c r="I146" i="7"/>
  <c r="J146" i="7"/>
  <c r="E147" i="7"/>
  <c r="I147" i="7"/>
  <c r="J147" i="7" s="1"/>
  <c r="E148" i="7"/>
  <c r="I148" i="7"/>
  <c r="E149" i="7"/>
  <c r="I149" i="7"/>
  <c r="J149" i="7" s="1"/>
  <c r="E150" i="7"/>
  <c r="I150" i="7"/>
  <c r="E151" i="7"/>
  <c r="I151" i="7"/>
  <c r="J151" i="7" s="1"/>
  <c r="E152" i="7"/>
  <c r="I152" i="7"/>
  <c r="E153" i="7"/>
  <c r="I153" i="7"/>
  <c r="J153" i="7" s="1"/>
  <c r="E154" i="7"/>
  <c r="I154" i="7"/>
  <c r="J154" i="7" s="1"/>
  <c r="H169" i="7"/>
  <c r="G169" i="7"/>
  <c r="F169" i="7"/>
  <c r="D169" i="7"/>
  <c r="C169" i="7"/>
  <c r="B169" i="7"/>
  <c r="I168" i="7"/>
  <c r="E168" i="7"/>
  <c r="J168" i="7" s="1"/>
  <c r="I167" i="7"/>
  <c r="E167" i="7"/>
  <c r="J167" i="7" s="1"/>
  <c r="I166" i="7"/>
  <c r="E166" i="7"/>
  <c r="J165" i="7"/>
  <c r="I165" i="7"/>
  <c r="E165" i="7"/>
  <c r="I164" i="7"/>
  <c r="E164" i="7"/>
  <c r="J164" i="7" s="1"/>
  <c r="I163" i="7"/>
  <c r="E163" i="7"/>
  <c r="I162" i="7"/>
  <c r="E162" i="7"/>
  <c r="I161" i="7"/>
  <c r="E161" i="7"/>
  <c r="J161" i="7" s="1"/>
  <c r="I160" i="7"/>
  <c r="E160" i="7"/>
  <c r="I159" i="7"/>
  <c r="E159" i="7"/>
  <c r="I158" i="7"/>
  <c r="E158" i="7"/>
  <c r="I156" i="7"/>
  <c r="E156" i="7"/>
  <c r="I155" i="7"/>
  <c r="E155" i="7"/>
  <c r="J155" i="7" s="1"/>
  <c r="I143" i="7"/>
  <c r="E143" i="7"/>
  <c r="I142" i="7"/>
  <c r="J142" i="7" s="1"/>
  <c r="E142" i="7"/>
  <c r="F159" i="9"/>
  <c r="J159" i="9"/>
  <c r="F160" i="9"/>
  <c r="J160" i="9"/>
  <c r="J189" i="9"/>
  <c r="F189" i="9"/>
  <c r="J188" i="9"/>
  <c r="F188" i="9"/>
  <c r="F190" i="2"/>
  <c r="J190" i="2"/>
  <c r="F191" i="2"/>
  <c r="J191" i="2"/>
  <c r="F192" i="2"/>
  <c r="J192" i="2"/>
  <c r="F194" i="2"/>
  <c r="J194" i="2"/>
  <c r="F195" i="2"/>
  <c r="J195" i="2"/>
  <c r="F196" i="2"/>
  <c r="J196" i="2"/>
  <c r="F197" i="2"/>
  <c r="J197" i="2"/>
  <c r="F198" i="2"/>
  <c r="J198" i="2"/>
  <c r="F199" i="2"/>
  <c r="J199" i="2"/>
  <c r="F200" i="2"/>
  <c r="J200" i="2"/>
  <c r="F201" i="2"/>
  <c r="J201" i="2"/>
  <c r="F202" i="2"/>
  <c r="J202" i="2"/>
  <c r="I212" i="2"/>
  <c r="H212" i="2"/>
  <c r="G212" i="2"/>
  <c r="E212" i="2"/>
  <c r="C212" i="2"/>
  <c r="J211" i="2"/>
  <c r="F211" i="2"/>
  <c r="J210" i="2"/>
  <c r="F210" i="2"/>
  <c r="J209" i="2"/>
  <c r="F209" i="2"/>
  <c r="J208" i="2"/>
  <c r="F208" i="2"/>
  <c r="J207" i="2"/>
  <c r="F207" i="2"/>
  <c r="J206" i="2"/>
  <c r="F206" i="2"/>
  <c r="J205" i="2"/>
  <c r="F205" i="2"/>
  <c r="J204" i="2"/>
  <c r="F204" i="2"/>
  <c r="J203" i="2"/>
  <c r="F203" i="2"/>
  <c r="D212" i="2"/>
  <c r="J186" i="2"/>
  <c r="F186" i="2"/>
  <c r="J185" i="2"/>
  <c r="F185" i="2"/>
  <c r="J184" i="2"/>
  <c r="F184" i="2"/>
  <c r="J183" i="2"/>
  <c r="F183" i="2"/>
  <c r="J182" i="2"/>
  <c r="F182" i="2"/>
  <c r="J181" i="2"/>
  <c r="F181" i="2"/>
  <c r="J180" i="2"/>
  <c r="F180" i="2"/>
  <c r="J179" i="2"/>
  <c r="F179" i="2"/>
  <c r="J178" i="2"/>
  <c r="F178" i="2"/>
  <c r="J177" i="2"/>
  <c r="F177" i="2"/>
  <c r="I212" i="9"/>
  <c r="H212" i="9"/>
  <c r="G212" i="9"/>
  <c r="E212" i="9"/>
  <c r="D212" i="9"/>
  <c r="C212" i="9"/>
  <c r="J211" i="9"/>
  <c r="F211" i="9"/>
  <c r="J210" i="9"/>
  <c r="F210" i="9"/>
  <c r="J209" i="9"/>
  <c r="F209" i="9"/>
  <c r="J208" i="9"/>
  <c r="F208" i="9"/>
  <c r="J207" i="9"/>
  <c r="F207" i="9"/>
  <c r="J206" i="9"/>
  <c r="F206" i="9"/>
  <c r="J205" i="9"/>
  <c r="F205" i="9"/>
  <c r="J204" i="9"/>
  <c r="F204" i="9"/>
  <c r="J203" i="9"/>
  <c r="F203" i="9"/>
  <c r="J202" i="9"/>
  <c r="F202" i="9"/>
  <c r="J201" i="9"/>
  <c r="F201" i="9"/>
  <c r="J200" i="9"/>
  <c r="F200" i="9"/>
  <c r="J199" i="9"/>
  <c r="F199" i="9"/>
  <c r="J198" i="9"/>
  <c r="F198" i="9"/>
  <c r="J197" i="9"/>
  <c r="F197" i="9"/>
  <c r="J196" i="9"/>
  <c r="F196" i="9"/>
  <c r="J195" i="9"/>
  <c r="F195" i="9"/>
  <c r="J194" i="9"/>
  <c r="F194" i="9"/>
  <c r="J193" i="9"/>
  <c r="F193" i="9"/>
  <c r="J192" i="9"/>
  <c r="F192" i="9"/>
  <c r="J191" i="9"/>
  <c r="F191" i="9"/>
  <c r="J190" i="9"/>
  <c r="F190" i="9"/>
  <c r="J186" i="9"/>
  <c r="F186" i="9"/>
  <c r="J185" i="9"/>
  <c r="F185" i="9"/>
  <c r="J184" i="9"/>
  <c r="F184" i="9"/>
  <c r="J183" i="9"/>
  <c r="F183" i="9"/>
  <c r="J182" i="9"/>
  <c r="F182" i="9"/>
  <c r="J181" i="9"/>
  <c r="F181" i="9"/>
  <c r="J180" i="9"/>
  <c r="F180" i="9"/>
  <c r="J179" i="9"/>
  <c r="F179" i="9"/>
  <c r="J178" i="9"/>
  <c r="F178" i="9"/>
  <c r="J177" i="9"/>
  <c r="F177" i="9"/>
  <c r="C490" i="4"/>
  <c r="C513" i="4" s="1"/>
  <c r="G490" i="4"/>
  <c r="G513" i="4" s="1"/>
  <c r="E478" i="4"/>
  <c r="I478" i="4"/>
  <c r="J478" i="4" s="1"/>
  <c r="E479" i="4"/>
  <c r="I479" i="4"/>
  <c r="E480" i="4"/>
  <c r="I480" i="4"/>
  <c r="E481" i="4"/>
  <c r="I481" i="4"/>
  <c r="H513" i="4"/>
  <c r="D513" i="4"/>
  <c r="B513" i="4"/>
  <c r="I512" i="4"/>
  <c r="E512" i="4"/>
  <c r="I511" i="4"/>
  <c r="E511" i="4"/>
  <c r="I510" i="4"/>
  <c r="E510" i="4"/>
  <c r="I509" i="4"/>
  <c r="E509" i="4"/>
  <c r="I508" i="4"/>
  <c r="E508" i="4"/>
  <c r="I507" i="4"/>
  <c r="E507" i="4"/>
  <c r="E506" i="4"/>
  <c r="I505" i="4"/>
  <c r="E505" i="4"/>
  <c r="I504" i="4"/>
  <c r="E504" i="4"/>
  <c r="I503" i="4"/>
  <c r="E503" i="4"/>
  <c r="I502" i="4"/>
  <c r="E502" i="4"/>
  <c r="I501" i="4"/>
  <c r="E501" i="4"/>
  <c r="I500" i="4"/>
  <c r="E500" i="4"/>
  <c r="I499" i="4"/>
  <c r="E499" i="4"/>
  <c r="I498" i="4"/>
  <c r="E498" i="4"/>
  <c r="I497" i="4"/>
  <c r="E497" i="4"/>
  <c r="I496" i="4"/>
  <c r="E496" i="4"/>
  <c r="I495" i="4"/>
  <c r="E495" i="4"/>
  <c r="I494" i="4"/>
  <c r="E494" i="4"/>
  <c r="I493" i="4"/>
  <c r="E493" i="4"/>
  <c r="I492" i="4"/>
  <c r="E492" i="4"/>
  <c r="I491" i="4"/>
  <c r="E491" i="4"/>
  <c r="I489" i="4"/>
  <c r="E489" i="4"/>
  <c r="I487" i="4"/>
  <c r="E487" i="4"/>
  <c r="I486" i="4"/>
  <c r="E486" i="4"/>
  <c r="I485" i="4"/>
  <c r="E485" i="4"/>
  <c r="I484" i="4"/>
  <c r="E484" i="4"/>
  <c r="I483" i="4"/>
  <c r="E483" i="4"/>
  <c r="I482" i="4"/>
  <c r="E482" i="4"/>
  <c r="D154" i="2"/>
  <c r="E126" i="13"/>
  <c r="D126" i="13"/>
  <c r="C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0" i="13"/>
  <c r="F99" i="13"/>
  <c r="F98" i="13"/>
  <c r="F97" i="13"/>
  <c r="F96" i="13"/>
  <c r="F95" i="13"/>
  <c r="F94" i="13"/>
  <c r="F93" i="13"/>
  <c r="F92" i="13"/>
  <c r="F91" i="13"/>
  <c r="E90" i="13"/>
  <c r="E101" i="13" s="1"/>
  <c r="D90" i="13"/>
  <c r="D101" i="13" s="1"/>
  <c r="C90" i="13"/>
  <c r="F90" i="13" s="1"/>
  <c r="G444" i="4"/>
  <c r="M444" i="4"/>
  <c r="G446" i="4"/>
  <c r="M446" i="4"/>
  <c r="G447" i="4"/>
  <c r="M447" i="4"/>
  <c r="G448" i="4"/>
  <c r="M448" i="4"/>
  <c r="G449" i="4"/>
  <c r="M449" i="4"/>
  <c r="G450" i="4"/>
  <c r="M450" i="4"/>
  <c r="G451" i="4"/>
  <c r="M451" i="4"/>
  <c r="G452" i="4"/>
  <c r="M452" i="4"/>
  <c r="G453" i="4"/>
  <c r="M453" i="4"/>
  <c r="G454" i="4"/>
  <c r="M454" i="4"/>
  <c r="G455" i="4"/>
  <c r="M455" i="4"/>
  <c r="G456" i="4"/>
  <c r="M456" i="4"/>
  <c r="G457" i="4"/>
  <c r="M457" i="4"/>
  <c r="G458" i="4"/>
  <c r="M458" i="4"/>
  <c r="G459" i="4"/>
  <c r="M459" i="4"/>
  <c r="G460" i="4"/>
  <c r="M460" i="4"/>
  <c r="G461" i="4"/>
  <c r="M461" i="4"/>
  <c r="G462" i="4"/>
  <c r="M462" i="4"/>
  <c r="G463" i="4"/>
  <c r="M463" i="4"/>
  <c r="G464" i="4"/>
  <c r="M464" i="4"/>
  <c r="G465" i="4"/>
  <c r="M465" i="4"/>
  <c r="G466" i="4"/>
  <c r="M466" i="4"/>
  <c r="G467" i="4"/>
  <c r="M467" i="4"/>
  <c r="G435" i="4"/>
  <c r="M435" i="4"/>
  <c r="G436" i="4"/>
  <c r="M436" i="4"/>
  <c r="G437" i="4"/>
  <c r="M437" i="4"/>
  <c r="G438" i="4"/>
  <c r="M438" i="4"/>
  <c r="L470" i="4"/>
  <c r="K470" i="4"/>
  <c r="J470" i="4"/>
  <c r="H470" i="4"/>
  <c r="F470" i="4"/>
  <c r="E470" i="4"/>
  <c r="D470" i="4"/>
  <c r="M469" i="4"/>
  <c r="G469" i="4"/>
  <c r="M468" i="4"/>
  <c r="G468" i="4"/>
  <c r="I470" i="4"/>
  <c r="C470" i="4"/>
  <c r="B470" i="4"/>
  <c r="M443" i="4"/>
  <c r="G443" i="4"/>
  <c r="M442" i="4"/>
  <c r="G442" i="4"/>
  <c r="M441" i="4"/>
  <c r="G441" i="4"/>
  <c r="M440" i="4"/>
  <c r="G440" i="4"/>
  <c r="M439" i="4"/>
  <c r="G439" i="4"/>
  <c r="C413" i="4"/>
  <c r="G413" i="4" s="1"/>
  <c r="I410" i="4"/>
  <c r="C410" i="4"/>
  <c r="H410" i="4"/>
  <c r="H427" i="4" s="1"/>
  <c r="B410" i="4"/>
  <c r="B427" i="4" s="1"/>
  <c r="G392" i="4"/>
  <c r="M392" i="4"/>
  <c r="G393" i="4"/>
  <c r="M393" i="4"/>
  <c r="G394" i="4"/>
  <c r="M394" i="4"/>
  <c r="G395" i="4"/>
  <c r="M395" i="4"/>
  <c r="G396" i="4"/>
  <c r="M396" i="4"/>
  <c r="G397" i="4"/>
  <c r="M397" i="4"/>
  <c r="G403" i="4"/>
  <c r="M403" i="4"/>
  <c r="G404" i="4"/>
  <c r="M404" i="4"/>
  <c r="G405" i="4"/>
  <c r="M405" i="4"/>
  <c r="G406" i="4"/>
  <c r="M406" i="4"/>
  <c r="G407" i="4"/>
  <c r="M407" i="4"/>
  <c r="G408" i="4"/>
  <c r="M408" i="4"/>
  <c r="G409" i="4"/>
  <c r="M409" i="4"/>
  <c r="G411" i="4"/>
  <c r="M411" i="4"/>
  <c r="G412" i="4"/>
  <c r="M412" i="4"/>
  <c r="M413" i="4"/>
  <c r="G414" i="4"/>
  <c r="M414" i="4"/>
  <c r="G415" i="4"/>
  <c r="M415" i="4"/>
  <c r="G416" i="4"/>
  <c r="M416" i="4"/>
  <c r="G417" i="4"/>
  <c r="M417" i="4"/>
  <c r="G418" i="4"/>
  <c r="M418" i="4"/>
  <c r="G419" i="4"/>
  <c r="M419" i="4"/>
  <c r="G420" i="4"/>
  <c r="M420" i="4"/>
  <c r="G421" i="4"/>
  <c r="M421" i="4"/>
  <c r="G422" i="4"/>
  <c r="M422" i="4"/>
  <c r="G423" i="4"/>
  <c r="M423" i="4"/>
  <c r="G424" i="4"/>
  <c r="M424" i="4"/>
  <c r="L427" i="4"/>
  <c r="K427" i="4"/>
  <c r="J427" i="4"/>
  <c r="I427" i="4"/>
  <c r="F427" i="4"/>
  <c r="E427" i="4"/>
  <c r="D427" i="4"/>
  <c r="M426" i="4"/>
  <c r="G426" i="4"/>
  <c r="M425" i="4"/>
  <c r="G425" i="4"/>
  <c r="M401" i="4"/>
  <c r="G401" i="4"/>
  <c r="M400" i="4"/>
  <c r="G400" i="4"/>
  <c r="M399" i="4"/>
  <c r="G399" i="4"/>
  <c r="M398" i="4"/>
  <c r="G398" i="4"/>
  <c r="F134" i="2"/>
  <c r="J134" i="2"/>
  <c r="F135" i="2"/>
  <c r="J135" i="2"/>
  <c r="F136" i="2"/>
  <c r="J136" i="2"/>
  <c r="F137" i="2"/>
  <c r="J137" i="2"/>
  <c r="F138" i="2"/>
  <c r="J138" i="2"/>
  <c r="F139" i="2"/>
  <c r="J139" i="2"/>
  <c r="F140" i="2"/>
  <c r="J140" i="2"/>
  <c r="F141" i="2"/>
  <c r="J141" i="2"/>
  <c r="F145" i="2"/>
  <c r="J145" i="2"/>
  <c r="F146" i="2"/>
  <c r="J146" i="2"/>
  <c r="F147" i="2"/>
  <c r="J147" i="2"/>
  <c r="F148" i="2"/>
  <c r="J148" i="2"/>
  <c r="F149" i="2"/>
  <c r="J149" i="2"/>
  <c r="F150" i="2"/>
  <c r="J150" i="2"/>
  <c r="F151" i="2"/>
  <c r="J151" i="2"/>
  <c r="F152" i="2"/>
  <c r="J152" i="2"/>
  <c r="F153" i="2"/>
  <c r="J153" i="2"/>
  <c r="F154" i="2"/>
  <c r="J154" i="2"/>
  <c r="F155" i="2"/>
  <c r="J155" i="2"/>
  <c r="F156" i="2"/>
  <c r="J156" i="2"/>
  <c r="F157" i="2"/>
  <c r="J157" i="2"/>
  <c r="I169" i="2"/>
  <c r="H169" i="2"/>
  <c r="G169" i="2"/>
  <c r="E169" i="2"/>
  <c r="D169" i="2"/>
  <c r="C169" i="2"/>
  <c r="J168" i="2"/>
  <c r="F168" i="2"/>
  <c r="J167" i="2"/>
  <c r="F167" i="2"/>
  <c r="J166" i="2"/>
  <c r="F166" i="2"/>
  <c r="J165" i="2"/>
  <c r="F165" i="2"/>
  <c r="J164" i="2"/>
  <c r="F164" i="2"/>
  <c r="J163" i="2"/>
  <c r="F163" i="2"/>
  <c r="J162" i="2"/>
  <c r="F162" i="2"/>
  <c r="J161" i="2"/>
  <c r="F161" i="2"/>
  <c r="J159" i="2"/>
  <c r="F159" i="2"/>
  <c r="J158" i="2"/>
  <c r="F158" i="2"/>
  <c r="J143" i="2"/>
  <c r="F143" i="2"/>
  <c r="J142" i="2"/>
  <c r="F142" i="2"/>
  <c r="G353" i="4"/>
  <c r="M353" i="4"/>
  <c r="M352" i="4"/>
  <c r="G352" i="4"/>
  <c r="M351" i="4"/>
  <c r="G351" i="4"/>
  <c r="G360" i="4"/>
  <c r="M360" i="4"/>
  <c r="G361" i="4"/>
  <c r="M361" i="4"/>
  <c r="G362" i="4"/>
  <c r="M362" i="4"/>
  <c r="G363" i="4"/>
  <c r="M363" i="4"/>
  <c r="G364" i="4"/>
  <c r="M364" i="4"/>
  <c r="G365" i="4"/>
  <c r="M365" i="4"/>
  <c r="G366" i="4"/>
  <c r="M366" i="4"/>
  <c r="G367" i="4"/>
  <c r="M367" i="4"/>
  <c r="G368" i="4"/>
  <c r="M368" i="4"/>
  <c r="G369" i="4"/>
  <c r="M369" i="4"/>
  <c r="G370" i="4"/>
  <c r="M370" i="4"/>
  <c r="G371" i="4"/>
  <c r="M371" i="4"/>
  <c r="G372" i="4"/>
  <c r="M372" i="4"/>
  <c r="G373" i="4"/>
  <c r="M373" i="4"/>
  <c r="G374" i="4"/>
  <c r="M374" i="4"/>
  <c r="G375" i="4"/>
  <c r="M375" i="4"/>
  <c r="G376" i="4"/>
  <c r="M376" i="4"/>
  <c r="G377" i="4"/>
  <c r="M377" i="4"/>
  <c r="G349" i="4"/>
  <c r="M349" i="4"/>
  <c r="G350" i="4"/>
  <c r="M350" i="4"/>
  <c r="G354" i="4"/>
  <c r="M354" i="4"/>
  <c r="G355" i="4"/>
  <c r="M355" i="4"/>
  <c r="G356" i="4"/>
  <c r="M356" i="4"/>
  <c r="G357" i="4"/>
  <c r="M357" i="4"/>
  <c r="L384" i="4"/>
  <c r="K384" i="4"/>
  <c r="J384" i="4"/>
  <c r="I384" i="4"/>
  <c r="H384" i="4"/>
  <c r="F384" i="4"/>
  <c r="E384" i="4"/>
  <c r="D384" i="4"/>
  <c r="C384" i="4"/>
  <c r="B384" i="4"/>
  <c r="M383" i="4"/>
  <c r="G383" i="4"/>
  <c r="M382" i="4"/>
  <c r="G382" i="4"/>
  <c r="M381" i="4"/>
  <c r="G381" i="4"/>
  <c r="M380" i="4"/>
  <c r="G380" i="4"/>
  <c r="M379" i="4"/>
  <c r="G379" i="4"/>
  <c r="M378" i="4"/>
  <c r="G378" i="4"/>
  <c r="M358" i="4"/>
  <c r="G358" i="4"/>
  <c r="G313" i="4"/>
  <c r="M313" i="4"/>
  <c r="G311" i="4"/>
  <c r="M311" i="4"/>
  <c r="G312" i="4"/>
  <c r="M312" i="4"/>
  <c r="F145" i="12"/>
  <c r="J145" i="12"/>
  <c r="F146" i="12"/>
  <c r="J146" i="12"/>
  <c r="F147" i="12"/>
  <c r="J147" i="12"/>
  <c r="F148" i="12"/>
  <c r="J148" i="12"/>
  <c r="F149" i="12"/>
  <c r="J149" i="12"/>
  <c r="F150" i="12"/>
  <c r="J150" i="12"/>
  <c r="F151" i="12"/>
  <c r="J151" i="12"/>
  <c r="F152" i="12"/>
  <c r="J152" i="12"/>
  <c r="F153" i="12"/>
  <c r="J153" i="12"/>
  <c r="F154" i="12"/>
  <c r="J154" i="12"/>
  <c r="F135" i="12"/>
  <c r="J135" i="12"/>
  <c r="F136" i="12"/>
  <c r="J136" i="12"/>
  <c r="F137" i="12"/>
  <c r="J137" i="12"/>
  <c r="F138" i="12"/>
  <c r="J138" i="12"/>
  <c r="F139" i="12"/>
  <c r="J139" i="12"/>
  <c r="F141" i="12"/>
  <c r="J141" i="12"/>
  <c r="F142" i="12"/>
  <c r="J142" i="12"/>
  <c r="F143" i="12"/>
  <c r="J143" i="12"/>
  <c r="I169" i="12"/>
  <c r="H169" i="12"/>
  <c r="G169" i="12"/>
  <c r="E169" i="12"/>
  <c r="D169" i="12"/>
  <c r="C169" i="12"/>
  <c r="J168" i="12"/>
  <c r="F168" i="12"/>
  <c r="J167" i="12"/>
  <c r="F167" i="12"/>
  <c r="J166" i="12"/>
  <c r="F166" i="12"/>
  <c r="J165" i="12"/>
  <c r="F165" i="12"/>
  <c r="J163" i="12"/>
  <c r="F163" i="12"/>
  <c r="J162" i="12"/>
  <c r="F162" i="12"/>
  <c r="J161" i="12"/>
  <c r="F161" i="12"/>
  <c r="J160" i="12"/>
  <c r="F160" i="12"/>
  <c r="J159" i="12"/>
  <c r="F159" i="12"/>
  <c r="J158" i="12"/>
  <c r="F158" i="12"/>
  <c r="J157" i="12"/>
  <c r="F157" i="12"/>
  <c r="J156" i="12"/>
  <c r="F156" i="12"/>
  <c r="J155" i="12"/>
  <c r="F155" i="12"/>
  <c r="J140" i="12"/>
  <c r="F140" i="12"/>
  <c r="J134" i="12"/>
  <c r="F134" i="12"/>
  <c r="H133" i="12"/>
  <c r="H144" i="12" s="1"/>
  <c r="G133" i="12"/>
  <c r="D133" i="12"/>
  <c r="D144" i="12" s="1"/>
  <c r="C133" i="12"/>
  <c r="J332" i="4"/>
  <c r="J341" i="4" s="1"/>
  <c r="G306" i="4"/>
  <c r="M306" i="4"/>
  <c r="G307" i="4"/>
  <c r="M307" i="4"/>
  <c r="G308" i="4"/>
  <c r="M308" i="4"/>
  <c r="G309" i="4"/>
  <c r="M309" i="4"/>
  <c r="G310" i="4"/>
  <c r="M310" i="4"/>
  <c r="G317" i="4"/>
  <c r="M317" i="4"/>
  <c r="G318" i="4"/>
  <c r="M318" i="4"/>
  <c r="G319" i="4"/>
  <c r="M319" i="4"/>
  <c r="G320" i="4"/>
  <c r="M320" i="4"/>
  <c r="G321" i="4"/>
  <c r="M321" i="4"/>
  <c r="G322" i="4"/>
  <c r="M322" i="4"/>
  <c r="G323" i="4"/>
  <c r="M323" i="4"/>
  <c r="G324" i="4"/>
  <c r="M324" i="4"/>
  <c r="G325" i="4"/>
  <c r="M325" i="4"/>
  <c r="G326" i="4"/>
  <c r="M326" i="4"/>
  <c r="G327" i="4"/>
  <c r="M327" i="4"/>
  <c r="G328" i="4"/>
  <c r="M328" i="4"/>
  <c r="G329" i="4"/>
  <c r="M329" i="4"/>
  <c r="G330" i="4"/>
  <c r="M330" i="4"/>
  <c r="G331" i="4"/>
  <c r="M331" i="4"/>
  <c r="G332" i="4"/>
  <c r="G333" i="4"/>
  <c r="M333" i="4"/>
  <c r="G334" i="4"/>
  <c r="M334" i="4"/>
  <c r="G335" i="4"/>
  <c r="M335" i="4"/>
  <c r="G336" i="4"/>
  <c r="M336" i="4"/>
  <c r="G337" i="4"/>
  <c r="M337" i="4"/>
  <c r="G338" i="4"/>
  <c r="M338" i="4"/>
  <c r="L341" i="4"/>
  <c r="K341" i="4"/>
  <c r="I341" i="4"/>
  <c r="H341" i="4"/>
  <c r="F341" i="4"/>
  <c r="E341" i="4"/>
  <c r="D341" i="4"/>
  <c r="C341" i="4"/>
  <c r="B341" i="4"/>
  <c r="M340" i="4"/>
  <c r="G340" i="4"/>
  <c r="M339" i="4"/>
  <c r="G339" i="4"/>
  <c r="M315" i="4"/>
  <c r="G315" i="4"/>
  <c r="M314" i="4"/>
  <c r="G314" i="4"/>
  <c r="F145" i="9"/>
  <c r="J145" i="9"/>
  <c r="F146" i="9"/>
  <c r="J146" i="9"/>
  <c r="F147" i="9"/>
  <c r="J147" i="9"/>
  <c r="F148" i="9"/>
  <c r="J148" i="9"/>
  <c r="F149" i="9"/>
  <c r="J149" i="9"/>
  <c r="F150" i="9"/>
  <c r="J150" i="9"/>
  <c r="F151" i="9"/>
  <c r="J151" i="9"/>
  <c r="F152" i="9"/>
  <c r="J152" i="9"/>
  <c r="F153" i="9"/>
  <c r="J153" i="9"/>
  <c r="F154" i="9"/>
  <c r="J154" i="9"/>
  <c r="F155" i="9"/>
  <c r="J155" i="9"/>
  <c r="F156" i="9"/>
  <c r="J156" i="9"/>
  <c r="F157" i="9"/>
  <c r="J157" i="9"/>
  <c r="F158" i="9"/>
  <c r="J158" i="9"/>
  <c r="F134" i="9"/>
  <c r="J134" i="9"/>
  <c r="F135" i="9"/>
  <c r="J135" i="9"/>
  <c r="F136" i="9"/>
  <c r="J136" i="9"/>
  <c r="F137" i="9"/>
  <c r="J137" i="9"/>
  <c r="F138" i="9"/>
  <c r="J138" i="9"/>
  <c r="F139" i="9"/>
  <c r="J139" i="9"/>
  <c r="F140" i="9"/>
  <c r="J140" i="9"/>
  <c r="F141" i="9"/>
  <c r="J141" i="9"/>
  <c r="I169" i="9"/>
  <c r="H169" i="9"/>
  <c r="G169" i="9"/>
  <c r="E169" i="9"/>
  <c r="D169" i="9"/>
  <c r="C169" i="9"/>
  <c r="J168" i="9"/>
  <c r="F168" i="9"/>
  <c r="J167" i="9"/>
  <c r="F167" i="9"/>
  <c r="J166" i="9"/>
  <c r="F166" i="9"/>
  <c r="J165" i="9"/>
  <c r="F165" i="9"/>
  <c r="J164" i="9"/>
  <c r="F164" i="9"/>
  <c r="J163" i="9"/>
  <c r="F163" i="9"/>
  <c r="J162" i="9"/>
  <c r="F162" i="9"/>
  <c r="J161" i="9"/>
  <c r="F161" i="9"/>
  <c r="J143" i="9"/>
  <c r="F143" i="9"/>
  <c r="J142" i="9"/>
  <c r="F142" i="9"/>
  <c r="J920" i="4" l="1"/>
  <c r="J871" i="4"/>
  <c r="J870" i="4"/>
  <c r="J179" i="7"/>
  <c r="J178" i="7"/>
  <c r="C944" i="4"/>
  <c r="E943" i="4"/>
  <c r="J943" i="4" s="1"/>
  <c r="J869" i="4"/>
  <c r="J893" i="4"/>
  <c r="D342" i="2"/>
  <c r="J887" i="4"/>
  <c r="J163" i="7"/>
  <c r="I342" i="2"/>
  <c r="F341" i="2"/>
  <c r="E342" i="2"/>
  <c r="J255" i="12"/>
  <c r="J162" i="7"/>
  <c r="I256" i="9"/>
  <c r="J341" i="2"/>
  <c r="C316" i="2"/>
  <c r="G316" i="2"/>
  <c r="J881" i="4"/>
  <c r="I900" i="4"/>
  <c r="J877" i="4"/>
  <c r="E900" i="4"/>
  <c r="I832" i="4"/>
  <c r="J159" i="7"/>
  <c r="D41" i="17"/>
  <c r="D47" i="17" s="1"/>
  <c r="D58" i="17" s="1"/>
  <c r="D84" i="17" s="1"/>
  <c r="F255" i="12"/>
  <c r="F858" i="4"/>
  <c r="F864" i="4" s="1"/>
  <c r="E832" i="4"/>
  <c r="J832" i="4" s="1"/>
  <c r="J836" i="4"/>
  <c r="E857" i="4"/>
  <c r="E858" i="4" s="1"/>
  <c r="J834" i="4"/>
  <c r="J833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B858" i="4"/>
  <c r="B864" i="4" s="1"/>
  <c r="D858" i="4"/>
  <c r="D864" i="4" s="1"/>
  <c r="D875" i="4" s="1"/>
  <c r="D901" i="4" s="1"/>
  <c r="D907" i="4" s="1"/>
  <c r="D918" i="4" s="1"/>
  <c r="D944" i="4" s="1"/>
  <c r="J822" i="4"/>
  <c r="J823" i="4"/>
  <c r="J824" i="4"/>
  <c r="J825" i="4"/>
  <c r="J826" i="4"/>
  <c r="J827" i="4"/>
  <c r="J828" i="4"/>
  <c r="J829" i="4"/>
  <c r="H858" i="4"/>
  <c r="H864" i="4" s="1"/>
  <c r="H875" i="4" s="1"/>
  <c r="H901" i="4" s="1"/>
  <c r="H907" i="4" s="1"/>
  <c r="H918" i="4" s="1"/>
  <c r="H944" i="4" s="1"/>
  <c r="G858" i="4"/>
  <c r="G864" i="4" s="1"/>
  <c r="G875" i="4" s="1"/>
  <c r="G901" i="4" s="1"/>
  <c r="G907" i="4" s="1"/>
  <c r="G918" i="4" s="1"/>
  <c r="G944" i="4" s="1"/>
  <c r="C858" i="4"/>
  <c r="C864" i="4" s="1"/>
  <c r="C875" i="4" s="1"/>
  <c r="C901" i="4" s="1"/>
  <c r="I857" i="4"/>
  <c r="F40" i="17"/>
  <c r="E256" i="9"/>
  <c r="F255" i="9"/>
  <c r="E213" i="13"/>
  <c r="E299" i="2"/>
  <c r="J255" i="9"/>
  <c r="C230" i="9"/>
  <c r="G230" i="9"/>
  <c r="F83" i="18"/>
  <c r="J143" i="7"/>
  <c r="D815" i="4"/>
  <c r="H815" i="4"/>
  <c r="F298" i="2"/>
  <c r="J156" i="7"/>
  <c r="E814" i="4"/>
  <c r="I814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C815" i="4"/>
  <c r="J141" i="7"/>
  <c r="J579" i="4"/>
  <c r="J634" i="4"/>
  <c r="J656" i="4"/>
  <c r="J539" i="4"/>
  <c r="J596" i="4"/>
  <c r="J576" i="4"/>
  <c r="J637" i="4"/>
  <c r="J635" i="4"/>
  <c r="J633" i="4"/>
  <c r="J657" i="4"/>
  <c r="J655" i="4"/>
  <c r="J652" i="4"/>
  <c r="I665" i="4"/>
  <c r="C685" i="4"/>
  <c r="G728" i="4"/>
  <c r="I728" i="4" s="1"/>
  <c r="J710" i="4"/>
  <c r="J708" i="4"/>
  <c r="N446" i="4"/>
  <c r="J547" i="4"/>
  <c r="J623" i="4"/>
  <c r="J619" i="4"/>
  <c r="J659" i="4"/>
  <c r="J662" i="4"/>
  <c r="J715" i="4"/>
  <c r="J711" i="4"/>
  <c r="J694" i="4"/>
  <c r="J741" i="4"/>
  <c r="J743" i="4"/>
  <c r="J745" i="4"/>
  <c r="J753" i="4"/>
  <c r="J755" i="4"/>
  <c r="J761" i="4"/>
  <c r="J763" i="4"/>
  <c r="J765" i="4"/>
  <c r="J767" i="4"/>
  <c r="J769" i="4"/>
  <c r="J740" i="4"/>
  <c r="J742" i="4"/>
  <c r="J744" i="4"/>
  <c r="J298" i="2"/>
  <c r="J739" i="4"/>
  <c r="J757" i="4"/>
  <c r="J566" i="4"/>
  <c r="E677" i="4"/>
  <c r="J677" i="4" s="1"/>
  <c r="H685" i="4"/>
  <c r="J727" i="4"/>
  <c r="J758" i="4"/>
  <c r="J762" i="4"/>
  <c r="J766" i="4"/>
  <c r="J770" i="4"/>
  <c r="E543" i="4"/>
  <c r="I545" i="4"/>
  <c r="J545" i="4" s="1"/>
  <c r="E585" i="4"/>
  <c r="J585" i="4" s="1"/>
  <c r="H599" i="4"/>
  <c r="G642" i="4"/>
  <c r="J636" i="4"/>
  <c r="J628" i="4"/>
  <c r="J620" i="4"/>
  <c r="J664" i="4"/>
  <c r="J675" i="4"/>
  <c r="B685" i="4"/>
  <c r="E685" i="4" s="1"/>
  <c r="J696" i="4"/>
  <c r="J698" i="4"/>
  <c r="J700" i="4"/>
  <c r="J702" i="4"/>
  <c r="J724" i="4"/>
  <c r="J714" i="4"/>
  <c r="F513" i="4"/>
  <c r="I513" i="4" s="1"/>
  <c r="J538" i="4"/>
  <c r="J570" i="4"/>
  <c r="J597" i="4"/>
  <c r="J582" i="4"/>
  <c r="J568" i="4"/>
  <c r="J640" i="4"/>
  <c r="J666" i="4"/>
  <c r="G685" i="4"/>
  <c r="J756" i="4"/>
  <c r="J760" i="4"/>
  <c r="J764" i="4"/>
  <c r="N417" i="4"/>
  <c r="N455" i="4"/>
  <c r="J509" i="4"/>
  <c r="J591" i="4"/>
  <c r="B642" i="4"/>
  <c r="J639" i="4"/>
  <c r="J610" i="4"/>
  <c r="J697" i="4"/>
  <c r="J699" i="4"/>
  <c r="J701" i="4"/>
  <c r="J713" i="4"/>
  <c r="J737" i="4"/>
  <c r="J754" i="4"/>
  <c r="J738" i="4"/>
  <c r="J752" i="4"/>
  <c r="J751" i="4"/>
  <c r="J750" i="4"/>
  <c r="J749" i="4"/>
  <c r="J748" i="4"/>
  <c r="J768" i="4"/>
  <c r="E771" i="4"/>
  <c r="I771" i="4"/>
  <c r="J759" i="4"/>
  <c r="J726" i="4"/>
  <c r="J725" i="4"/>
  <c r="J695" i="4"/>
  <c r="J721" i="4"/>
  <c r="J720" i="4"/>
  <c r="F212" i="12"/>
  <c r="D41" i="15"/>
  <c r="D47" i="15" s="1"/>
  <c r="D58" i="15" s="1"/>
  <c r="D84" i="15" s="1"/>
  <c r="J718" i="4"/>
  <c r="J717" i="4"/>
  <c r="J716" i="4"/>
  <c r="J712" i="4"/>
  <c r="J709" i="4"/>
  <c r="E170" i="13"/>
  <c r="J707" i="4"/>
  <c r="D170" i="13"/>
  <c r="D176" i="13" s="1"/>
  <c r="D187" i="13" s="1"/>
  <c r="D213" i="13" s="1"/>
  <c r="F169" i="13"/>
  <c r="C144" i="13"/>
  <c r="J706" i="4"/>
  <c r="J705" i="4"/>
  <c r="J704" i="4"/>
  <c r="J684" i="4"/>
  <c r="F685" i="4"/>
  <c r="I685" i="4" s="1"/>
  <c r="C728" i="4"/>
  <c r="E728" i="4" s="1"/>
  <c r="E680" i="4"/>
  <c r="J680" i="4"/>
  <c r="J152" i="7"/>
  <c r="D41" i="18"/>
  <c r="D47" i="18" s="1"/>
  <c r="D58" i="18" s="1"/>
  <c r="D84" i="18" s="1"/>
  <c r="J672" i="4"/>
  <c r="J669" i="4"/>
  <c r="J651" i="4"/>
  <c r="F255" i="2"/>
  <c r="J663" i="4"/>
  <c r="D41" i="16"/>
  <c r="D47" i="16" s="1"/>
  <c r="D58" i="16" s="1"/>
  <c r="D84" i="16" s="1"/>
  <c r="J665" i="4"/>
  <c r="J661" i="4"/>
  <c r="J670" i="4"/>
  <c r="J673" i="4"/>
  <c r="J679" i="4"/>
  <c r="J668" i="4"/>
  <c r="J671" i="4"/>
  <c r="J674" i="4"/>
  <c r="J681" i="4"/>
  <c r="J676" i="4"/>
  <c r="J682" i="4"/>
  <c r="J683" i="4"/>
  <c r="J667" i="4"/>
  <c r="I678" i="4"/>
  <c r="J678" i="4" s="1"/>
  <c r="J212" i="12"/>
  <c r="J255" i="2"/>
  <c r="C230" i="2"/>
  <c r="G230" i="2"/>
  <c r="J608" i="4"/>
  <c r="J632" i="4"/>
  <c r="G40" i="16"/>
  <c r="J630" i="4"/>
  <c r="J629" i="4"/>
  <c r="J624" i="4"/>
  <c r="J622" i="4"/>
  <c r="J621" i="4"/>
  <c r="J618" i="4"/>
  <c r="G599" i="4"/>
  <c r="J598" i="4"/>
  <c r="J613" i="4"/>
  <c r="J616" i="4"/>
  <c r="J612" i="4"/>
  <c r="J615" i="4"/>
  <c r="H642" i="4"/>
  <c r="I642" i="4" s="1"/>
  <c r="D642" i="4"/>
  <c r="J595" i="4"/>
  <c r="J594" i="4"/>
  <c r="J593" i="4"/>
  <c r="J573" i="4"/>
  <c r="J592" i="4"/>
  <c r="J150" i="7"/>
  <c r="J590" i="4"/>
  <c r="J572" i="4"/>
  <c r="J588" i="4"/>
  <c r="J571" i="4"/>
  <c r="J586" i="4"/>
  <c r="J569" i="4"/>
  <c r="F40" i="18"/>
  <c r="F15" i="18"/>
  <c r="C41" i="18"/>
  <c r="C47" i="18" s="1"/>
  <c r="J567" i="4"/>
  <c r="E41" i="17"/>
  <c r="E47" i="17" s="1"/>
  <c r="E58" i="17" s="1"/>
  <c r="E84" i="17" s="1"/>
  <c r="F15" i="17"/>
  <c r="F41" i="17" s="1"/>
  <c r="C41" i="17"/>
  <c r="C47" i="17" s="1"/>
  <c r="J580" i="4"/>
  <c r="F40" i="15"/>
  <c r="J578" i="4"/>
  <c r="F599" i="4"/>
  <c r="J577" i="4"/>
  <c r="J555" i="4"/>
  <c r="J554" i="4"/>
  <c r="J565" i="4"/>
  <c r="J552" i="4"/>
  <c r="D599" i="4"/>
  <c r="J550" i="4"/>
  <c r="J526" i="4"/>
  <c r="G15" i="16"/>
  <c r="E41" i="16"/>
  <c r="E47" i="16" s="1"/>
  <c r="E58" i="16" s="1"/>
  <c r="E84" i="16" s="1"/>
  <c r="C41" i="16"/>
  <c r="C47" i="16" s="1"/>
  <c r="J548" i="4"/>
  <c r="J546" i="4"/>
  <c r="J148" i="7"/>
  <c r="J544" i="4"/>
  <c r="F15" i="15"/>
  <c r="E41" i="15"/>
  <c r="E47" i="15" s="1"/>
  <c r="E58" i="15" s="1"/>
  <c r="E84" i="15" s="1"/>
  <c r="F83" i="15"/>
  <c r="C41" i="15"/>
  <c r="C47" i="15" s="1"/>
  <c r="J543" i="4"/>
  <c r="J524" i="4"/>
  <c r="J542" i="4"/>
  <c r="J541" i="4"/>
  <c r="J540" i="4"/>
  <c r="E127" i="13"/>
  <c r="J536" i="4"/>
  <c r="J535" i="4"/>
  <c r="E556" i="4"/>
  <c r="J534" i="4"/>
  <c r="J522" i="4"/>
  <c r="J532" i="4"/>
  <c r="J177" i="7"/>
  <c r="J212" i="7"/>
  <c r="J549" i="4"/>
  <c r="J551" i="4"/>
  <c r="J553" i="4"/>
  <c r="J521" i="4"/>
  <c r="J523" i="4"/>
  <c r="J525" i="4"/>
  <c r="J527" i="4"/>
  <c r="J529" i="4"/>
  <c r="I556" i="4"/>
  <c r="E533" i="4"/>
  <c r="I533" i="4"/>
  <c r="J160" i="7"/>
  <c r="J158" i="7"/>
  <c r="I169" i="7"/>
  <c r="J166" i="7"/>
  <c r="E169" i="7"/>
  <c r="N436" i="4"/>
  <c r="N405" i="4"/>
  <c r="N464" i="4"/>
  <c r="N461" i="4"/>
  <c r="N458" i="4"/>
  <c r="N453" i="4"/>
  <c r="E490" i="4"/>
  <c r="J511" i="4"/>
  <c r="J480" i="4"/>
  <c r="N395" i="4"/>
  <c r="J501" i="4"/>
  <c r="N419" i="4"/>
  <c r="N311" i="4"/>
  <c r="N367" i="4"/>
  <c r="N352" i="4"/>
  <c r="N398" i="4"/>
  <c r="N442" i="4"/>
  <c r="N375" i="4"/>
  <c r="N369" i="4"/>
  <c r="N354" i="4"/>
  <c r="N365" i="4"/>
  <c r="N362" i="4"/>
  <c r="N351" i="4"/>
  <c r="J491" i="4"/>
  <c r="J503" i="4"/>
  <c r="N371" i="4"/>
  <c r="G410" i="4"/>
  <c r="N337" i="4"/>
  <c r="N334" i="4"/>
  <c r="N356" i="4"/>
  <c r="N350" i="4"/>
  <c r="N370" i="4"/>
  <c r="M410" i="4"/>
  <c r="N396" i="4"/>
  <c r="N441" i="4"/>
  <c r="J481" i="4"/>
  <c r="N313" i="4"/>
  <c r="N366" i="4"/>
  <c r="N415" i="4"/>
  <c r="N435" i="4"/>
  <c r="N397" i="4"/>
  <c r="N394" i="4"/>
  <c r="N468" i="4"/>
  <c r="N400" i="4"/>
  <c r="N403" i="4"/>
  <c r="J483" i="4"/>
  <c r="J486" i="4"/>
  <c r="I490" i="4"/>
  <c r="J493" i="4"/>
  <c r="J502" i="4"/>
  <c r="J505" i="4"/>
  <c r="N392" i="4"/>
  <c r="N438" i="4"/>
  <c r="N451" i="4"/>
  <c r="N444" i="4"/>
  <c r="N330" i="4"/>
  <c r="N425" i="4"/>
  <c r="N424" i="4"/>
  <c r="N418" i="4"/>
  <c r="N406" i="4"/>
  <c r="N404" i="4"/>
  <c r="N443" i="4"/>
  <c r="J482" i="4"/>
  <c r="J485" i="4"/>
  <c r="N416" i="4"/>
  <c r="N358" i="4"/>
  <c r="N376" i="4"/>
  <c r="N399" i="4"/>
  <c r="C427" i="4"/>
  <c r="G427" i="4" s="1"/>
  <c r="N440" i="4"/>
  <c r="N463" i="4"/>
  <c r="N460" i="4"/>
  <c r="N449" i="4"/>
  <c r="J510" i="4"/>
  <c r="J507" i="4"/>
  <c r="J484" i="4"/>
  <c r="N355" i="4"/>
  <c r="N465" i="4"/>
  <c r="J487" i="4"/>
  <c r="J498" i="4"/>
  <c r="N380" i="4"/>
  <c r="N357" i="4"/>
  <c r="N364" i="4"/>
  <c r="N422" i="4"/>
  <c r="N439" i="4"/>
  <c r="J497" i="4"/>
  <c r="J495" i="4"/>
  <c r="F212" i="9"/>
  <c r="J212" i="2"/>
  <c r="F212" i="2"/>
  <c r="J479" i="4"/>
  <c r="J212" i="9"/>
  <c r="E513" i="4"/>
  <c r="J489" i="4"/>
  <c r="J499" i="4"/>
  <c r="J494" i="4"/>
  <c r="J506" i="4"/>
  <c r="J496" i="4"/>
  <c r="J492" i="4"/>
  <c r="J504" i="4"/>
  <c r="J508" i="4"/>
  <c r="J500" i="4"/>
  <c r="J512" i="4"/>
  <c r="N469" i="4"/>
  <c r="N467" i="4"/>
  <c r="N466" i="4"/>
  <c r="N462" i="4"/>
  <c r="N437" i="4"/>
  <c r="N459" i="4"/>
  <c r="N457" i="4"/>
  <c r="N456" i="4"/>
  <c r="H170" i="12"/>
  <c r="H176" i="12" s="1"/>
  <c r="H187" i="12" s="1"/>
  <c r="H213" i="12" s="1"/>
  <c r="H219" i="12" s="1"/>
  <c r="H230" i="12" s="1"/>
  <c r="H256" i="12" s="1"/>
  <c r="D170" i="12"/>
  <c r="D176" i="12" s="1"/>
  <c r="D187" i="12" s="1"/>
  <c r="D213" i="12" s="1"/>
  <c r="D219" i="12" s="1"/>
  <c r="D230" i="12" s="1"/>
  <c r="D256" i="12" s="1"/>
  <c r="N454" i="4"/>
  <c r="N452" i="4"/>
  <c r="N450" i="4"/>
  <c r="D127" i="13"/>
  <c r="F126" i="13"/>
  <c r="C101" i="13"/>
  <c r="G470" i="4"/>
  <c r="N448" i="4"/>
  <c r="N447" i="4"/>
  <c r="N426" i="4"/>
  <c r="M470" i="4"/>
  <c r="N423" i="4"/>
  <c r="N421" i="4"/>
  <c r="N420" i="4"/>
  <c r="N414" i="4"/>
  <c r="N413" i="4"/>
  <c r="N393" i="4"/>
  <c r="N401" i="4"/>
  <c r="N412" i="4"/>
  <c r="N411" i="4"/>
  <c r="F169" i="2"/>
  <c r="N409" i="4"/>
  <c r="N408" i="4"/>
  <c r="N407" i="4"/>
  <c r="F169" i="12"/>
  <c r="N383" i="4"/>
  <c r="M427" i="4"/>
  <c r="N382" i="4"/>
  <c r="J169" i="2"/>
  <c r="N381" i="4"/>
  <c r="N379" i="4"/>
  <c r="N378" i="4"/>
  <c r="N377" i="4"/>
  <c r="N353" i="4"/>
  <c r="N374" i="4"/>
  <c r="N373" i="4"/>
  <c r="N372" i="4"/>
  <c r="N368" i="4"/>
  <c r="N363" i="4"/>
  <c r="G384" i="4"/>
  <c r="N361" i="4"/>
  <c r="N360" i="4"/>
  <c r="N349" i="4"/>
  <c r="M384" i="4"/>
  <c r="N312" i="4"/>
  <c r="J169" i="12"/>
  <c r="C144" i="12"/>
  <c r="G144" i="12"/>
  <c r="M332" i="4"/>
  <c r="N332" i="4" s="1"/>
  <c r="N314" i="4"/>
  <c r="N340" i="4"/>
  <c r="N328" i="4"/>
  <c r="N308" i="4"/>
  <c r="N326" i="4"/>
  <c r="N320" i="4"/>
  <c r="N338" i="4"/>
  <c r="N324" i="4"/>
  <c r="N321" i="4"/>
  <c r="N310" i="4"/>
  <c r="N307" i="4"/>
  <c r="N336" i="4"/>
  <c r="N333" i="4"/>
  <c r="N325" i="4"/>
  <c r="N322" i="4"/>
  <c r="N318" i="4"/>
  <c r="N315" i="4"/>
  <c r="N335" i="4"/>
  <c r="N323" i="4"/>
  <c r="N327" i="4"/>
  <c r="N329" i="4"/>
  <c r="N317" i="4"/>
  <c r="N331" i="4"/>
  <c r="N319" i="4"/>
  <c r="N306" i="4"/>
  <c r="N339" i="4"/>
  <c r="N309" i="4"/>
  <c r="M341" i="4"/>
  <c r="G341" i="4"/>
  <c r="J169" i="9"/>
  <c r="F169" i="9"/>
  <c r="G274" i="4"/>
  <c r="M274" i="4"/>
  <c r="G275" i="4"/>
  <c r="M275" i="4"/>
  <c r="G276" i="4"/>
  <c r="M276" i="4"/>
  <c r="G277" i="4"/>
  <c r="M277" i="4"/>
  <c r="G278" i="4"/>
  <c r="M278" i="4"/>
  <c r="G279" i="4"/>
  <c r="M279" i="4"/>
  <c r="G280" i="4"/>
  <c r="M280" i="4"/>
  <c r="G281" i="4"/>
  <c r="M281" i="4"/>
  <c r="G282" i="4"/>
  <c r="M282" i="4"/>
  <c r="G283" i="4"/>
  <c r="M283" i="4"/>
  <c r="G284" i="4"/>
  <c r="M284" i="4"/>
  <c r="G285" i="4"/>
  <c r="M285" i="4"/>
  <c r="G286" i="4"/>
  <c r="M286" i="4"/>
  <c r="G287" i="4"/>
  <c r="M287" i="4"/>
  <c r="G288" i="4"/>
  <c r="M288" i="4"/>
  <c r="G289" i="4"/>
  <c r="M289" i="4"/>
  <c r="G290" i="4"/>
  <c r="M290" i="4"/>
  <c r="G291" i="4"/>
  <c r="M291" i="4"/>
  <c r="G292" i="4"/>
  <c r="M292" i="4"/>
  <c r="G293" i="4"/>
  <c r="M293" i="4"/>
  <c r="G294" i="4"/>
  <c r="M294" i="4"/>
  <c r="G295" i="4"/>
  <c r="M295" i="4"/>
  <c r="G263" i="4"/>
  <c r="M263" i="4"/>
  <c r="G264" i="4"/>
  <c r="M264" i="4"/>
  <c r="G265" i="4"/>
  <c r="M265" i="4"/>
  <c r="G266" i="4"/>
  <c r="M266" i="4"/>
  <c r="G267" i="4"/>
  <c r="M267" i="4"/>
  <c r="G268" i="4"/>
  <c r="M268" i="4"/>
  <c r="G269" i="4"/>
  <c r="M269" i="4"/>
  <c r="G270" i="4"/>
  <c r="M270" i="4"/>
  <c r="L298" i="4"/>
  <c r="K298" i="4"/>
  <c r="J298" i="4"/>
  <c r="I298" i="4"/>
  <c r="F298" i="4"/>
  <c r="E298" i="4"/>
  <c r="D298" i="4"/>
  <c r="C298" i="4"/>
  <c r="B298" i="4"/>
  <c r="M297" i="4"/>
  <c r="G297" i="4"/>
  <c r="M296" i="4"/>
  <c r="G296" i="4"/>
  <c r="H298" i="4"/>
  <c r="M272" i="4"/>
  <c r="G272" i="4"/>
  <c r="M271" i="4"/>
  <c r="G271" i="4"/>
  <c r="F102" i="2"/>
  <c r="J102" i="2"/>
  <c r="F103" i="2"/>
  <c r="J103" i="2"/>
  <c r="F104" i="2"/>
  <c r="J104" i="2"/>
  <c r="F105" i="2"/>
  <c r="J105" i="2"/>
  <c r="F106" i="2"/>
  <c r="J106" i="2"/>
  <c r="F107" i="2"/>
  <c r="J107" i="2"/>
  <c r="F108" i="2"/>
  <c r="J108" i="2"/>
  <c r="F109" i="2"/>
  <c r="J109" i="2"/>
  <c r="F110" i="2"/>
  <c r="J110" i="2"/>
  <c r="F111" i="2"/>
  <c r="J111" i="2"/>
  <c r="F112" i="2"/>
  <c r="J112" i="2"/>
  <c r="F113" i="2"/>
  <c r="J113" i="2"/>
  <c r="F91" i="2"/>
  <c r="J91" i="2"/>
  <c r="F92" i="2"/>
  <c r="J92" i="2"/>
  <c r="F93" i="2"/>
  <c r="J93" i="2"/>
  <c r="F94" i="2"/>
  <c r="J94" i="2"/>
  <c r="F95" i="2"/>
  <c r="J95" i="2"/>
  <c r="F96" i="2"/>
  <c r="J96" i="2"/>
  <c r="F97" i="2"/>
  <c r="J97" i="2"/>
  <c r="F98" i="2"/>
  <c r="J98" i="2"/>
  <c r="I126" i="2"/>
  <c r="H126" i="2"/>
  <c r="G126" i="2"/>
  <c r="E126" i="2"/>
  <c r="D126" i="2"/>
  <c r="C126" i="2"/>
  <c r="J125" i="2"/>
  <c r="F125" i="2"/>
  <c r="J124" i="2"/>
  <c r="F124" i="2"/>
  <c r="J123" i="2"/>
  <c r="F123" i="2"/>
  <c r="J122" i="2"/>
  <c r="F122" i="2"/>
  <c r="J121" i="2"/>
  <c r="F121" i="2"/>
  <c r="J120" i="2"/>
  <c r="F120" i="2"/>
  <c r="J119" i="2"/>
  <c r="F119" i="2"/>
  <c r="J118" i="2"/>
  <c r="F118" i="2"/>
  <c r="J117" i="2"/>
  <c r="F117" i="2"/>
  <c r="J116" i="2"/>
  <c r="F116" i="2"/>
  <c r="J115" i="2"/>
  <c r="F115" i="2"/>
  <c r="J114" i="2"/>
  <c r="F114" i="2"/>
  <c r="J100" i="2"/>
  <c r="F100" i="2"/>
  <c r="J99" i="2"/>
  <c r="F99" i="2"/>
  <c r="J900" i="4" l="1"/>
  <c r="G342" i="2"/>
  <c r="F316" i="2"/>
  <c r="F342" i="2" s="1"/>
  <c r="C342" i="2"/>
  <c r="F875" i="4"/>
  <c r="I864" i="4"/>
  <c r="B875" i="4"/>
  <c r="E864" i="4"/>
  <c r="J857" i="4"/>
  <c r="I858" i="4"/>
  <c r="J858" i="4" s="1"/>
  <c r="J230" i="9"/>
  <c r="J256" i="9" s="1"/>
  <c r="G256" i="9"/>
  <c r="F230" i="9"/>
  <c r="F256" i="9" s="1"/>
  <c r="C256" i="9"/>
  <c r="J814" i="4"/>
  <c r="E642" i="4"/>
  <c r="J771" i="4"/>
  <c r="F41" i="18"/>
  <c r="F144" i="13"/>
  <c r="F170" i="13" s="1"/>
  <c r="C170" i="13"/>
  <c r="C176" i="13" s="1"/>
  <c r="J728" i="4"/>
  <c r="J685" i="4"/>
  <c r="G256" i="2"/>
  <c r="G262" i="2" s="1"/>
  <c r="C256" i="2"/>
  <c r="C262" i="2" s="1"/>
  <c r="C273" i="2" s="1"/>
  <c r="C299" i="2" s="1"/>
  <c r="I599" i="4"/>
  <c r="J642" i="4"/>
  <c r="F41" i="15"/>
  <c r="F47" i="18"/>
  <c r="C58" i="18"/>
  <c r="F47" i="17"/>
  <c r="C58" i="17"/>
  <c r="E599" i="4"/>
  <c r="G47" i="16"/>
  <c r="C58" i="16"/>
  <c r="G41" i="16"/>
  <c r="F47" i="15"/>
  <c r="C58" i="15"/>
  <c r="J556" i="4"/>
  <c r="J533" i="4"/>
  <c r="J169" i="7"/>
  <c r="J490" i="4"/>
  <c r="N410" i="4"/>
  <c r="J513" i="4"/>
  <c r="F101" i="13"/>
  <c r="F127" i="13" s="1"/>
  <c r="C127" i="13"/>
  <c r="N470" i="4"/>
  <c r="N427" i="4"/>
  <c r="N384" i="4"/>
  <c r="G170" i="12"/>
  <c r="G176" i="12" s="1"/>
  <c r="C170" i="12"/>
  <c r="C176" i="12" s="1"/>
  <c r="N341" i="4"/>
  <c r="N268" i="4"/>
  <c r="N265" i="4"/>
  <c r="N270" i="4"/>
  <c r="N288" i="4"/>
  <c r="N297" i="4"/>
  <c r="N287" i="4"/>
  <c r="N275" i="4"/>
  <c r="N283" i="4"/>
  <c r="N280" i="4"/>
  <c r="N267" i="4"/>
  <c r="N291" i="4"/>
  <c r="N279" i="4"/>
  <c r="N276" i="4"/>
  <c r="N269" i="4"/>
  <c r="N266" i="4"/>
  <c r="N290" i="4"/>
  <c r="N284" i="4"/>
  <c r="N264" i="4"/>
  <c r="N294" i="4"/>
  <c r="N282" i="4"/>
  <c r="N278" i="4"/>
  <c r="N295" i="4"/>
  <c r="N292" i="4"/>
  <c r="N286" i="4"/>
  <c r="N263" i="4"/>
  <c r="N274" i="4"/>
  <c r="N285" i="4"/>
  <c r="N271" i="4"/>
  <c r="N289" i="4"/>
  <c r="N277" i="4"/>
  <c r="N272" i="4"/>
  <c r="N296" i="4"/>
  <c r="N293" i="4"/>
  <c r="N281" i="4"/>
  <c r="G298" i="4"/>
  <c r="M298" i="4"/>
  <c r="F126" i="2"/>
  <c r="J126" i="2"/>
  <c r="M239" i="4"/>
  <c r="M240" i="4"/>
  <c r="M241" i="4"/>
  <c r="M242" i="4"/>
  <c r="M243" i="4"/>
  <c r="G238" i="4"/>
  <c r="G239" i="4"/>
  <c r="G240" i="4"/>
  <c r="G241" i="4"/>
  <c r="G242" i="4"/>
  <c r="J864" i="4" l="1"/>
  <c r="F901" i="4"/>
  <c r="F907" i="4" s="1"/>
  <c r="I875" i="4"/>
  <c r="I901" i="4" s="1"/>
  <c r="B901" i="4"/>
  <c r="B907" i="4" s="1"/>
  <c r="E875" i="4"/>
  <c r="F176" i="13"/>
  <c r="C187" i="13"/>
  <c r="G273" i="2"/>
  <c r="C187" i="12"/>
  <c r="G187" i="12"/>
  <c r="J599" i="4"/>
  <c r="F58" i="18"/>
  <c r="F84" i="18" s="1"/>
  <c r="C84" i="18"/>
  <c r="F58" i="17"/>
  <c r="F84" i="17" s="1"/>
  <c r="C84" i="17"/>
  <c r="C84" i="16"/>
  <c r="G84" i="16" s="1"/>
  <c r="G58" i="16"/>
  <c r="F58" i="15"/>
  <c r="F84" i="15" s="1"/>
  <c r="C84" i="15"/>
  <c r="N298" i="4"/>
  <c r="F918" i="4" l="1"/>
  <c r="I907" i="4"/>
  <c r="B918" i="4"/>
  <c r="E907" i="4"/>
  <c r="J907" i="4" s="1"/>
  <c r="E901" i="4"/>
  <c r="J901" i="4" s="1"/>
  <c r="J875" i="4"/>
  <c r="C213" i="13"/>
  <c r="F187" i="13"/>
  <c r="F213" i="13" s="1"/>
  <c r="G299" i="2"/>
  <c r="G213" i="12"/>
  <c r="G219" i="12" s="1"/>
  <c r="G230" i="12" s="1"/>
  <c r="G256" i="12" s="1"/>
  <c r="C213" i="12"/>
  <c r="C219" i="12" s="1"/>
  <c r="C230" i="12" s="1"/>
  <c r="C256" i="12" s="1"/>
  <c r="F96" i="12"/>
  <c r="J96" i="12"/>
  <c r="F97" i="12"/>
  <c r="J97" i="12"/>
  <c r="F98" i="12"/>
  <c r="J98" i="12"/>
  <c r="F944" i="4" l="1"/>
  <c r="I918" i="4"/>
  <c r="I944" i="4" s="1"/>
  <c r="E918" i="4"/>
  <c r="B944" i="4"/>
  <c r="N240" i="4"/>
  <c r="G125" i="7"/>
  <c r="M125" i="7"/>
  <c r="L126" i="7"/>
  <c r="K126" i="7"/>
  <c r="J126" i="7"/>
  <c r="I126" i="7"/>
  <c r="H126" i="7"/>
  <c r="F126" i="7"/>
  <c r="E126" i="7"/>
  <c r="D126" i="7"/>
  <c r="C126" i="7"/>
  <c r="B126" i="7"/>
  <c r="M124" i="7"/>
  <c r="G124" i="7"/>
  <c r="M123" i="7"/>
  <c r="G123" i="7"/>
  <c r="M122" i="7"/>
  <c r="G122" i="7"/>
  <c r="M121" i="7"/>
  <c r="G121" i="7"/>
  <c r="M120" i="7"/>
  <c r="G120" i="7"/>
  <c r="M119" i="7"/>
  <c r="G119" i="7"/>
  <c r="M118" i="7"/>
  <c r="G118" i="7"/>
  <c r="M117" i="7"/>
  <c r="G117" i="7"/>
  <c r="M116" i="7"/>
  <c r="G116" i="7"/>
  <c r="M115" i="7"/>
  <c r="G115" i="7"/>
  <c r="M114" i="7"/>
  <c r="G114" i="7"/>
  <c r="M113" i="7"/>
  <c r="G113" i="7"/>
  <c r="M112" i="7"/>
  <c r="G112" i="7"/>
  <c r="M111" i="7"/>
  <c r="G111" i="7"/>
  <c r="M110" i="7"/>
  <c r="G110" i="7"/>
  <c r="M109" i="7"/>
  <c r="G109" i="7"/>
  <c r="M108" i="7"/>
  <c r="G108" i="7"/>
  <c r="M107" i="7"/>
  <c r="G107" i="7"/>
  <c r="M106" i="7"/>
  <c r="G106" i="7"/>
  <c r="M105" i="7"/>
  <c r="G105" i="7"/>
  <c r="M104" i="7"/>
  <c r="G104" i="7"/>
  <c r="M103" i="7"/>
  <c r="G103" i="7"/>
  <c r="M102" i="7"/>
  <c r="G102" i="7"/>
  <c r="M100" i="7"/>
  <c r="G100" i="7"/>
  <c r="M99" i="7"/>
  <c r="G99" i="7"/>
  <c r="M98" i="7"/>
  <c r="G98" i="7"/>
  <c r="M97" i="7"/>
  <c r="G97" i="7"/>
  <c r="M96" i="7"/>
  <c r="G96" i="7"/>
  <c r="M95" i="7"/>
  <c r="G95" i="7"/>
  <c r="M94" i="7"/>
  <c r="G94" i="7"/>
  <c r="M93" i="7"/>
  <c r="G93" i="7"/>
  <c r="M92" i="7"/>
  <c r="G92" i="7"/>
  <c r="M91" i="7"/>
  <c r="G91" i="7"/>
  <c r="E944" i="4" l="1"/>
  <c r="J944" i="4" s="1"/>
  <c r="J918" i="4"/>
  <c r="N114" i="7"/>
  <c r="N120" i="7"/>
  <c r="N117" i="7"/>
  <c r="N123" i="7"/>
  <c r="N115" i="7"/>
  <c r="N118" i="7"/>
  <c r="N121" i="7"/>
  <c r="N97" i="7"/>
  <c r="N125" i="7"/>
  <c r="N124" i="7"/>
  <c r="N100" i="7"/>
  <c r="N113" i="7"/>
  <c r="N98" i="7"/>
  <c r="N94" i="7"/>
  <c r="N95" i="7"/>
  <c r="N96" i="7"/>
  <c r="N116" i="7"/>
  <c r="N119" i="7"/>
  <c r="N122" i="7"/>
  <c r="M126" i="7"/>
  <c r="G126" i="7"/>
  <c r="N102" i="7"/>
  <c r="N103" i="7"/>
  <c r="N104" i="7"/>
  <c r="N105" i="7"/>
  <c r="N106" i="7"/>
  <c r="N107" i="7"/>
  <c r="N108" i="7"/>
  <c r="N109" i="7"/>
  <c r="N110" i="7"/>
  <c r="N111" i="7"/>
  <c r="N112" i="7"/>
  <c r="N91" i="7"/>
  <c r="N92" i="7"/>
  <c r="N93" i="7"/>
  <c r="N99" i="7"/>
  <c r="F102" i="12"/>
  <c r="J102" i="12"/>
  <c r="F103" i="12"/>
  <c r="J103" i="12"/>
  <c r="F104" i="12"/>
  <c r="J104" i="12"/>
  <c r="F105" i="12"/>
  <c r="J105" i="12"/>
  <c r="F106" i="12"/>
  <c r="J106" i="12"/>
  <c r="F107" i="12"/>
  <c r="J107" i="12"/>
  <c r="F108" i="12"/>
  <c r="J108" i="12"/>
  <c r="F109" i="12"/>
  <c r="J109" i="12"/>
  <c r="F110" i="12"/>
  <c r="J110" i="12"/>
  <c r="F111" i="12"/>
  <c r="J111" i="12"/>
  <c r="F112" i="12"/>
  <c r="J112" i="12"/>
  <c r="I126" i="12"/>
  <c r="H126" i="12"/>
  <c r="G126" i="12"/>
  <c r="E126" i="12"/>
  <c r="D126" i="12"/>
  <c r="C126" i="12"/>
  <c r="J125" i="12"/>
  <c r="F125" i="12"/>
  <c r="J124" i="12"/>
  <c r="F124" i="12"/>
  <c r="J123" i="12"/>
  <c r="F123" i="12"/>
  <c r="J122" i="12"/>
  <c r="F122" i="12"/>
  <c r="J121" i="12"/>
  <c r="F121" i="12"/>
  <c r="J120" i="12"/>
  <c r="F120" i="12"/>
  <c r="J119" i="12"/>
  <c r="F119" i="12"/>
  <c r="J118" i="12"/>
  <c r="F118" i="12"/>
  <c r="J117" i="12"/>
  <c r="F117" i="12"/>
  <c r="J116" i="12"/>
  <c r="F116" i="12"/>
  <c r="J115" i="12"/>
  <c r="F115" i="12"/>
  <c r="J114" i="12"/>
  <c r="F114" i="12"/>
  <c r="J113" i="12"/>
  <c r="F113" i="12"/>
  <c r="J100" i="12"/>
  <c r="F100" i="12"/>
  <c r="J99" i="12"/>
  <c r="F99" i="12"/>
  <c r="J95" i="12"/>
  <c r="F95" i="12"/>
  <c r="J94" i="12"/>
  <c r="F94" i="12"/>
  <c r="J93" i="12"/>
  <c r="F93" i="12"/>
  <c r="J92" i="12"/>
  <c r="F92" i="12"/>
  <c r="J91" i="12"/>
  <c r="F91" i="12"/>
  <c r="N126" i="7" l="1"/>
  <c r="J126" i="12"/>
  <c r="F126" i="12"/>
  <c r="H238" i="4"/>
  <c r="M238" i="4" s="1"/>
  <c r="G231" i="4"/>
  <c r="M231" i="4"/>
  <c r="G232" i="4"/>
  <c r="M232" i="4"/>
  <c r="G233" i="4"/>
  <c r="M233" i="4"/>
  <c r="G234" i="4"/>
  <c r="M234" i="4"/>
  <c r="G235" i="4"/>
  <c r="M235" i="4"/>
  <c r="G236" i="4"/>
  <c r="M236" i="4"/>
  <c r="G237" i="4"/>
  <c r="M237" i="4"/>
  <c r="G243" i="4"/>
  <c r="G244" i="4"/>
  <c r="M244" i="4"/>
  <c r="G245" i="4"/>
  <c r="M245" i="4"/>
  <c r="G246" i="4"/>
  <c r="M246" i="4"/>
  <c r="G247" i="4"/>
  <c r="M247" i="4"/>
  <c r="G248" i="4"/>
  <c r="M248" i="4"/>
  <c r="G249" i="4"/>
  <c r="M249" i="4"/>
  <c r="G250" i="4"/>
  <c r="M250" i="4"/>
  <c r="G251" i="4"/>
  <c r="M251" i="4"/>
  <c r="G252" i="4"/>
  <c r="M252" i="4"/>
  <c r="G253" i="4"/>
  <c r="M253" i="4"/>
  <c r="G220" i="4"/>
  <c r="M220" i="4"/>
  <c r="G221" i="4"/>
  <c r="M221" i="4"/>
  <c r="G222" i="4"/>
  <c r="M222" i="4"/>
  <c r="G223" i="4"/>
  <c r="M223" i="4"/>
  <c r="G224" i="4"/>
  <c r="M224" i="4"/>
  <c r="G225" i="4"/>
  <c r="M225" i="4"/>
  <c r="G226" i="4"/>
  <c r="M226" i="4"/>
  <c r="L255" i="4"/>
  <c r="K255" i="4"/>
  <c r="J255" i="4"/>
  <c r="I255" i="4"/>
  <c r="F255" i="4"/>
  <c r="E255" i="4"/>
  <c r="D255" i="4"/>
  <c r="C255" i="4"/>
  <c r="M254" i="4"/>
  <c r="G254" i="4"/>
  <c r="M229" i="4"/>
  <c r="G229" i="4"/>
  <c r="M228" i="4"/>
  <c r="G228" i="4"/>
  <c r="M227" i="4"/>
  <c r="G227" i="4"/>
  <c r="N224" i="4" l="1"/>
  <c r="N254" i="4"/>
  <c r="N237" i="4"/>
  <c r="N243" i="4"/>
  <c r="N236" i="4"/>
  <c r="N229" i="4"/>
  <c r="N252" i="4"/>
  <c r="N249" i="4"/>
  <c r="N227" i="4"/>
  <c r="N235" i="4"/>
  <c r="N222" i="4"/>
  <c r="N253" i="4"/>
  <c r="N228" i="4"/>
  <c r="N223" i="4"/>
  <c r="N251" i="4"/>
  <c r="N248" i="4"/>
  <c r="H255" i="4"/>
  <c r="M255" i="4" s="1"/>
  <c r="N241" i="4"/>
  <c r="N238" i="4"/>
  <c r="N226" i="4"/>
  <c r="N225" i="4"/>
  <c r="N245" i="4"/>
  <c r="N242" i="4"/>
  <c r="N239" i="4"/>
  <c r="N220" i="4"/>
  <c r="N233" i="4"/>
  <c r="N232" i="4"/>
  <c r="N231" i="4"/>
  <c r="N247" i="4"/>
  <c r="N244" i="4"/>
  <c r="N246" i="4"/>
  <c r="N234" i="4"/>
  <c r="N221" i="4"/>
  <c r="N250" i="4"/>
  <c r="B255" i="4"/>
  <c r="G255" i="4" s="1"/>
  <c r="H207" i="4"/>
  <c r="B207" i="4"/>
  <c r="N255" i="4" l="1"/>
  <c r="H197" i="4" l="1"/>
  <c r="H212" i="4" s="1"/>
  <c r="J196" i="4"/>
  <c r="M196" i="4" s="1"/>
  <c r="D196" i="4"/>
  <c r="D212" i="4" s="1"/>
  <c r="I189" i="4"/>
  <c r="M189" i="4" s="1"/>
  <c r="C189" i="4"/>
  <c r="G189" i="4" s="1"/>
  <c r="L212" i="4"/>
  <c r="K212" i="4"/>
  <c r="F212" i="4"/>
  <c r="E212" i="4"/>
  <c r="B212" i="4"/>
  <c r="M211" i="4"/>
  <c r="G211" i="4"/>
  <c r="M210" i="4"/>
  <c r="G210" i="4"/>
  <c r="M209" i="4"/>
  <c r="G209" i="4"/>
  <c r="M208" i="4"/>
  <c r="G208" i="4"/>
  <c r="M207" i="4"/>
  <c r="G207" i="4"/>
  <c r="M206" i="4"/>
  <c r="G206" i="4"/>
  <c r="M205" i="4"/>
  <c r="G205" i="4"/>
  <c r="M204" i="4"/>
  <c r="G204" i="4"/>
  <c r="M203" i="4"/>
  <c r="G203" i="4"/>
  <c r="M202" i="4"/>
  <c r="G202" i="4"/>
  <c r="M201" i="4"/>
  <c r="G201" i="4"/>
  <c r="M200" i="4"/>
  <c r="G200" i="4"/>
  <c r="M199" i="4"/>
  <c r="G199" i="4"/>
  <c r="M198" i="4"/>
  <c r="G198" i="4"/>
  <c r="G197" i="4"/>
  <c r="M195" i="4"/>
  <c r="G195" i="4"/>
  <c r="M194" i="4"/>
  <c r="G194" i="4"/>
  <c r="M193" i="4"/>
  <c r="G193" i="4"/>
  <c r="M192" i="4"/>
  <c r="G192" i="4"/>
  <c r="M191" i="4"/>
  <c r="G191" i="4"/>
  <c r="M190" i="4"/>
  <c r="G190" i="4"/>
  <c r="M188" i="4"/>
  <c r="G188" i="4"/>
  <c r="M186" i="4"/>
  <c r="G186" i="4"/>
  <c r="M185" i="4"/>
  <c r="G185" i="4"/>
  <c r="M184" i="4"/>
  <c r="G184" i="4"/>
  <c r="M183" i="4"/>
  <c r="G183" i="4"/>
  <c r="M182" i="4"/>
  <c r="G182" i="4"/>
  <c r="M181" i="4"/>
  <c r="G181" i="4"/>
  <c r="M180" i="4"/>
  <c r="G180" i="4"/>
  <c r="M179" i="4"/>
  <c r="G179" i="4"/>
  <c r="M178" i="4"/>
  <c r="G178" i="4"/>
  <c r="M177" i="4"/>
  <c r="G177" i="4"/>
  <c r="M197" i="4" l="1"/>
  <c r="N197" i="4" s="1"/>
  <c r="J212" i="4"/>
  <c r="N201" i="4"/>
  <c r="G196" i="4"/>
  <c r="N196" i="4" s="1"/>
  <c r="N202" i="4"/>
  <c r="N205" i="4"/>
  <c r="N208" i="4"/>
  <c r="N211" i="4"/>
  <c r="N194" i="4"/>
  <c r="N183" i="4"/>
  <c r="N191" i="4"/>
  <c r="N181" i="4"/>
  <c r="N178" i="4"/>
  <c r="N199" i="4"/>
  <c r="N182" i="4"/>
  <c r="N188" i="4"/>
  <c r="I212" i="4"/>
  <c r="N200" i="4"/>
  <c r="N189" i="4"/>
  <c r="N192" i="4"/>
  <c r="N195" i="4"/>
  <c r="N203" i="4"/>
  <c r="N206" i="4"/>
  <c r="N209" i="4"/>
  <c r="N198" i="4"/>
  <c r="N190" i="4"/>
  <c r="N193" i="4"/>
  <c r="N204" i="4"/>
  <c r="N207" i="4"/>
  <c r="N210" i="4"/>
  <c r="N179" i="4"/>
  <c r="N177" i="4"/>
  <c r="N185" i="4"/>
  <c r="N186" i="4"/>
  <c r="N184" i="4"/>
  <c r="N180" i="4"/>
  <c r="C212" i="4"/>
  <c r="G212" i="4" s="1"/>
  <c r="J60" i="2"/>
  <c r="F60" i="2"/>
  <c r="J59" i="2"/>
  <c r="F59" i="2"/>
  <c r="I156" i="4"/>
  <c r="C156" i="4"/>
  <c r="M212" i="4" l="1"/>
  <c r="N212" i="4" s="1"/>
  <c r="E83" i="13"/>
  <c r="D83" i="13"/>
  <c r="C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7" i="13"/>
  <c r="F56" i="13"/>
  <c r="F55" i="13"/>
  <c r="F54" i="13"/>
  <c r="F53" i="13"/>
  <c r="F52" i="13"/>
  <c r="F51" i="13"/>
  <c r="F50" i="13"/>
  <c r="F49" i="13"/>
  <c r="F48" i="13"/>
  <c r="E40" i="13"/>
  <c r="D40" i="13"/>
  <c r="C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E15" i="13"/>
  <c r="D15" i="13"/>
  <c r="C15" i="13"/>
  <c r="F14" i="13"/>
  <c r="F13" i="13"/>
  <c r="F12" i="13"/>
  <c r="F11" i="13"/>
  <c r="F10" i="13"/>
  <c r="F9" i="13"/>
  <c r="F8" i="13"/>
  <c r="F7" i="13"/>
  <c r="F6" i="13"/>
  <c r="F5" i="13"/>
  <c r="F4" i="13"/>
  <c r="E41" i="13" l="1"/>
  <c r="E47" i="13" s="1"/>
  <c r="E58" i="13" s="1"/>
  <c r="E84" i="13" s="1"/>
  <c r="F83" i="13"/>
  <c r="C41" i="13"/>
  <c r="C47" i="13" s="1"/>
  <c r="D41" i="13"/>
  <c r="D47" i="13" s="1"/>
  <c r="D58" i="13" s="1"/>
  <c r="D84" i="13" s="1"/>
  <c r="F40" i="13"/>
  <c r="F15" i="13"/>
  <c r="I126" i="9"/>
  <c r="H126" i="9"/>
  <c r="G126" i="9"/>
  <c r="E126" i="9"/>
  <c r="D126" i="9"/>
  <c r="C126" i="9"/>
  <c r="J125" i="9"/>
  <c r="F125" i="9"/>
  <c r="J124" i="9"/>
  <c r="F124" i="9"/>
  <c r="J123" i="9"/>
  <c r="F123" i="9"/>
  <c r="J122" i="9"/>
  <c r="F122" i="9"/>
  <c r="J121" i="9"/>
  <c r="F121" i="9"/>
  <c r="J120" i="9"/>
  <c r="F120" i="9"/>
  <c r="J119" i="9"/>
  <c r="F119" i="9"/>
  <c r="J118" i="9"/>
  <c r="F118" i="9"/>
  <c r="J117" i="9"/>
  <c r="F117" i="9"/>
  <c r="J116" i="9"/>
  <c r="F116" i="9"/>
  <c r="J115" i="9"/>
  <c r="F115" i="9"/>
  <c r="J114" i="9"/>
  <c r="F114" i="9"/>
  <c r="J113" i="9"/>
  <c r="F113" i="9"/>
  <c r="J112" i="9"/>
  <c r="F112" i="9"/>
  <c r="J111" i="9"/>
  <c r="F111" i="9"/>
  <c r="J110" i="9"/>
  <c r="F110" i="9"/>
  <c r="J109" i="9"/>
  <c r="F109" i="9"/>
  <c r="J108" i="9"/>
  <c r="F108" i="9"/>
  <c r="J107" i="9"/>
  <c r="F107" i="9"/>
  <c r="J106" i="9"/>
  <c r="F106" i="9"/>
  <c r="J105" i="9"/>
  <c r="F105" i="9"/>
  <c r="J104" i="9"/>
  <c r="F104" i="9"/>
  <c r="J103" i="9"/>
  <c r="F103" i="9"/>
  <c r="J102" i="9"/>
  <c r="F102" i="9"/>
  <c r="J100" i="9"/>
  <c r="F100" i="9"/>
  <c r="J99" i="9"/>
  <c r="F99" i="9"/>
  <c r="J98" i="9"/>
  <c r="F98" i="9"/>
  <c r="J97" i="9"/>
  <c r="F97" i="9"/>
  <c r="J96" i="9"/>
  <c r="F96" i="9"/>
  <c r="J95" i="9"/>
  <c r="F95" i="9"/>
  <c r="J94" i="9"/>
  <c r="F94" i="9"/>
  <c r="J93" i="9"/>
  <c r="F93" i="9"/>
  <c r="J92" i="9"/>
  <c r="F92" i="9"/>
  <c r="J91" i="9"/>
  <c r="F91" i="9"/>
  <c r="F47" i="13" l="1"/>
  <c r="C58" i="13"/>
  <c r="F58" i="13" s="1"/>
  <c r="F84" i="13" s="1"/>
  <c r="F41" i="13"/>
  <c r="J126" i="9"/>
  <c r="F126" i="9"/>
  <c r="C84" i="13" l="1"/>
  <c r="L169" i="4" l="1"/>
  <c r="K169" i="4"/>
  <c r="J169" i="4"/>
  <c r="I169" i="4"/>
  <c r="H169" i="4"/>
  <c r="F169" i="4"/>
  <c r="E169" i="4"/>
  <c r="D169" i="4"/>
  <c r="C169" i="4"/>
  <c r="B169" i="4"/>
  <c r="M168" i="4"/>
  <c r="G168" i="4"/>
  <c r="M167" i="4"/>
  <c r="G167" i="4"/>
  <c r="M166" i="4"/>
  <c r="G166" i="4"/>
  <c r="M165" i="4"/>
  <c r="G165" i="4"/>
  <c r="M164" i="4"/>
  <c r="G164" i="4"/>
  <c r="M163" i="4"/>
  <c r="G163" i="4"/>
  <c r="M162" i="4"/>
  <c r="G162" i="4"/>
  <c r="M161" i="4"/>
  <c r="G161" i="4"/>
  <c r="M160" i="4"/>
  <c r="G160" i="4"/>
  <c r="M159" i="4"/>
  <c r="G159" i="4"/>
  <c r="M158" i="4"/>
  <c r="G158" i="4"/>
  <c r="M157" i="4"/>
  <c r="G157" i="4"/>
  <c r="M156" i="4"/>
  <c r="G156" i="4"/>
  <c r="M155" i="4"/>
  <c r="G155" i="4"/>
  <c r="M154" i="4"/>
  <c r="G154" i="4"/>
  <c r="M153" i="4"/>
  <c r="G153" i="4"/>
  <c r="M152" i="4"/>
  <c r="G152" i="4"/>
  <c r="M151" i="4"/>
  <c r="G151" i="4"/>
  <c r="M150" i="4"/>
  <c r="G150" i="4"/>
  <c r="M149" i="4"/>
  <c r="G149" i="4"/>
  <c r="M148" i="4"/>
  <c r="G148" i="4"/>
  <c r="M147" i="4"/>
  <c r="G147" i="4"/>
  <c r="M146" i="4"/>
  <c r="G146" i="4"/>
  <c r="M145" i="4"/>
  <c r="G145" i="4"/>
  <c r="M143" i="4"/>
  <c r="G143" i="4"/>
  <c r="N143" i="4" s="1"/>
  <c r="M142" i="4"/>
  <c r="G142" i="4"/>
  <c r="M141" i="4"/>
  <c r="G141" i="4"/>
  <c r="M140" i="4"/>
  <c r="G140" i="4"/>
  <c r="M139" i="4"/>
  <c r="G139" i="4"/>
  <c r="M138" i="4"/>
  <c r="G138" i="4"/>
  <c r="M137" i="4"/>
  <c r="G137" i="4"/>
  <c r="M136" i="4"/>
  <c r="G136" i="4"/>
  <c r="M135" i="4"/>
  <c r="G135" i="4"/>
  <c r="M134" i="4"/>
  <c r="G134" i="4"/>
  <c r="N138" i="4" l="1"/>
  <c r="N142" i="4"/>
  <c r="N140" i="4"/>
  <c r="N136" i="4"/>
  <c r="N13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M169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G169" i="4"/>
  <c r="N135" i="4"/>
  <c r="N137" i="4"/>
  <c r="N139" i="4"/>
  <c r="N141" i="4"/>
  <c r="M59" i="7"/>
  <c r="G59" i="7"/>
  <c r="J13" i="2"/>
  <c r="F13" i="2"/>
  <c r="J12" i="2"/>
  <c r="F12" i="2"/>
  <c r="J11" i="2"/>
  <c r="F11" i="2"/>
  <c r="N169" i="4" l="1"/>
  <c r="N59" i="7"/>
  <c r="L126" i="4"/>
  <c r="K126" i="4"/>
  <c r="J126" i="4"/>
  <c r="I126" i="4"/>
  <c r="H126" i="4"/>
  <c r="F126" i="4"/>
  <c r="E126" i="4"/>
  <c r="D126" i="4"/>
  <c r="C126" i="4"/>
  <c r="B126" i="4"/>
  <c r="M125" i="4"/>
  <c r="G125" i="4"/>
  <c r="M124" i="4"/>
  <c r="G124" i="4"/>
  <c r="M123" i="4"/>
  <c r="G123" i="4"/>
  <c r="M122" i="4"/>
  <c r="G122" i="4"/>
  <c r="M121" i="4"/>
  <c r="G121" i="4"/>
  <c r="M120" i="4"/>
  <c r="G120" i="4"/>
  <c r="M119" i="4"/>
  <c r="G119" i="4"/>
  <c r="M118" i="4"/>
  <c r="G118" i="4"/>
  <c r="M117" i="4"/>
  <c r="G117" i="4"/>
  <c r="M116" i="4"/>
  <c r="G116" i="4"/>
  <c r="M115" i="4"/>
  <c r="G115" i="4"/>
  <c r="M114" i="4"/>
  <c r="G114" i="4"/>
  <c r="M113" i="4"/>
  <c r="G113" i="4"/>
  <c r="M112" i="4"/>
  <c r="G112" i="4"/>
  <c r="M111" i="4"/>
  <c r="G111" i="4"/>
  <c r="M110" i="4"/>
  <c r="G110" i="4"/>
  <c r="M109" i="4"/>
  <c r="G109" i="4"/>
  <c r="M108" i="4"/>
  <c r="G108" i="4"/>
  <c r="M107" i="4"/>
  <c r="G107" i="4"/>
  <c r="M106" i="4"/>
  <c r="G106" i="4"/>
  <c r="M105" i="4"/>
  <c r="G105" i="4"/>
  <c r="M104" i="4"/>
  <c r="G104" i="4"/>
  <c r="M103" i="4"/>
  <c r="G103" i="4"/>
  <c r="M102" i="4"/>
  <c r="G102" i="4"/>
  <c r="M100" i="4"/>
  <c r="G100" i="4"/>
  <c r="M99" i="4"/>
  <c r="G99" i="4"/>
  <c r="M98" i="4"/>
  <c r="G98" i="4"/>
  <c r="M97" i="4"/>
  <c r="G97" i="4"/>
  <c r="M96" i="4"/>
  <c r="G96" i="4"/>
  <c r="M95" i="4"/>
  <c r="G95" i="4"/>
  <c r="M94" i="4"/>
  <c r="G94" i="4"/>
  <c r="M93" i="4"/>
  <c r="G93" i="4"/>
  <c r="M92" i="4"/>
  <c r="G92" i="4"/>
  <c r="M91" i="4"/>
  <c r="G91" i="4"/>
  <c r="N91" i="4" l="1"/>
  <c r="N97" i="4"/>
  <c r="N100" i="4"/>
  <c r="N107" i="4"/>
  <c r="N113" i="4"/>
  <c r="N119" i="4"/>
  <c r="N125" i="4"/>
  <c r="N95" i="4"/>
  <c r="N98" i="4"/>
  <c r="N111" i="4"/>
  <c r="N117" i="4"/>
  <c r="N123" i="4"/>
  <c r="N105" i="4"/>
  <c r="N99" i="4"/>
  <c r="N103" i="4"/>
  <c r="N93" i="4"/>
  <c r="N109" i="4"/>
  <c r="N115" i="4"/>
  <c r="N121" i="4"/>
  <c r="M126" i="4"/>
  <c r="N124" i="4"/>
  <c r="N102" i="4"/>
  <c r="N104" i="4"/>
  <c r="N106" i="4"/>
  <c r="N108" i="4"/>
  <c r="N110" i="4"/>
  <c r="N112" i="4"/>
  <c r="N114" i="4"/>
  <c r="N116" i="4"/>
  <c r="N118" i="4"/>
  <c r="N120" i="4"/>
  <c r="N122" i="4"/>
  <c r="G126" i="4"/>
  <c r="N92" i="4"/>
  <c r="N94" i="4"/>
  <c r="N96" i="4"/>
  <c r="F23" i="12"/>
  <c r="J23" i="12"/>
  <c r="F24" i="12"/>
  <c r="J24" i="12"/>
  <c r="N126" i="4" l="1"/>
  <c r="I20" i="12"/>
  <c r="E20" i="12"/>
  <c r="I83" i="12" l="1"/>
  <c r="H83" i="12"/>
  <c r="G83" i="12"/>
  <c r="E83" i="12"/>
  <c r="D83" i="12"/>
  <c r="C83" i="12"/>
  <c r="J82" i="12"/>
  <c r="F82" i="12"/>
  <c r="J81" i="12"/>
  <c r="F81" i="12"/>
  <c r="J80" i="12"/>
  <c r="F80" i="12"/>
  <c r="J79" i="12"/>
  <c r="F79" i="12"/>
  <c r="J78" i="12"/>
  <c r="F78" i="12"/>
  <c r="J77" i="12"/>
  <c r="F77" i="12"/>
  <c r="J76" i="12"/>
  <c r="F76" i="12"/>
  <c r="J75" i="12"/>
  <c r="F75" i="12"/>
  <c r="J74" i="12"/>
  <c r="F74" i="12"/>
  <c r="J73" i="12"/>
  <c r="F73" i="12"/>
  <c r="J72" i="12"/>
  <c r="F72" i="12"/>
  <c r="J71" i="12"/>
  <c r="F71" i="12"/>
  <c r="J70" i="12"/>
  <c r="F70" i="12"/>
  <c r="J69" i="12"/>
  <c r="F69" i="12"/>
  <c r="J68" i="12"/>
  <c r="F68" i="12"/>
  <c r="J67" i="12"/>
  <c r="F67" i="12"/>
  <c r="J66" i="12"/>
  <c r="F66" i="12"/>
  <c r="J65" i="12"/>
  <c r="F65" i="12"/>
  <c r="J64" i="12"/>
  <c r="F64" i="12"/>
  <c r="J63" i="12"/>
  <c r="F63" i="12"/>
  <c r="J62" i="12"/>
  <c r="F62" i="12"/>
  <c r="J61" i="12"/>
  <c r="F61" i="12"/>
  <c r="J60" i="12"/>
  <c r="F60" i="12"/>
  <c r="J59" i="12"/>
  <c r="F59" i="12"/>
  <c r="J57" i="12"/>
  <c r="F57" i="12"/>
  <c r="J56" i="12"/>
  <c r="F56" i="12"/>
  <c r="J55" i="12"/>
  <c r="F55" i="12"/>
  <c r="J54" i="12"/>
  <c r="F54" i="12"/>
  <c r="J53" i="12"/>
  <c r="F53" i="12"/>
  <c r="J52" i="12"/>
  <c r="F52" i="12"/>
  <c r="J51" i="12"/>
  <c r="F51" i="12"/>
  <c r="J50" i="12"/>
  <c r="F50" i="12"/>
  <c r="J49" i="12"/>
  <c r="F49" i="12"/>
  <c r="J48" i="12"/>
  <c r="F48" i="12"/>
  <c r="I40" i="12"/>
  <c r="H40" i="12"/>
  <c r="G40" i="12"/>
  <c r="E40" i="12"/>
  <c r="D40" i="12"/>
  <c r="C40" i="12"/>
  <c r="J39" i="12"/>
  <c r="F39" i="12"/>
  <c r="J38" i="12"/>
  <c r="F38" i="12"/>
  <c r="J37" i="12"/>
  <c r="F37" i="12"/>
  <c r="J36" i="12"/>
  <c r="F36" i="12"/>
  <c r="J35" i="12"/>
  <c r="F35" i="12"/>
  <c r="J34" i="12"/>
  <c r="F34" i="12"/>
  <c r="J33" i="12"/>
  <c r="F33" i="12"/>
  <c r="J32" i="12"/>
  <c r="F32" i="12"/>
  <c r="J31" i="12"/>
  <c r="F31" i="12"/>
  <c r="J30" i="12"/>
  <c r="F30" i="12"/>
  <c r="J29" i="12"/>
  <c r="F29" i="12"/>
  <c r="J28" i="12"/>
  <c r="F28" i="12"/>
  <c r="J27" i="12"/>
  <c r="F27" i="12"/>
  <c r="J26" i="12"/>
  <c r="F26" i="12"/>
  <c r="J25" i="12"/>
  <c r="F25" i="12"/>
  <c r="J22" i="12"/>
  <c r="F22" i="12"/>
  <c r="J21" i="12"/>
  <c r="F21" i="12"/>
  <c r="J20" i="12"/>
  <c r="F20" i="12"/>
  <c r="J19" i="12"/>
  <c r="F19" i="12"/>
  <c r="J18" i="12"/>
  <c r="F18" i="12"/>
  <c r="J17" i="12"/>
  <c r="F17" i="12"/>
  <c r="J16" i="12"/>
  <c r="F16" i="12"/>
  <c r="I15" i="12"/>
  <c r="H15" i="12"/>
  <c r="G15" i="12"/>
  <c r="E15" i="12"/>
  <c r="D15" i="12"/>
  <c r="C15" i="12"/>
  <c r="J14" i="12"/>
  <c r="F14" i="12"/>
  <c r="J13" i="12"/>
  <c r="F13" i="12"/>
  <c r="J12" i="12"/>
  <c r="F12" i="12"/>
  <c r="J11" i="12"/>
  <c r="F11" i="12"/>
  <c r="J10" i="12"/>
  <c r="F10" i="12"/>
  <c r="J9" i="12"/>
  <c r="F9" i="12"/>
  <c r="J8" i="12"/>
  <c r="F8" i="12"/>
  <c r="J7" i="12"/>
  <c r="F7" i="12"/>
  <c r="J6" i="12"/>
  <c r="F6" i="12"/>
  <c r="J5" i="12"/>
  <c r="F5" i="12"/>
  <c r="J4" i="12"/>
  <c r="F4" i="12"/>
  <c r="H41" i="12" l="1"/>
  <c r="H47" i="12" s="1"/>
  <c r="H58" i="12" s="1"/>
  <c r="H84" i="12" s="1"/>
  <c r="H90" i="12" s="1"/>
  <c r="H101" i="12" s="1"/>
  <c r="H127" i="12" s="1"/>
  <c r="I41" i="12"/>
  <c r="I47" i="12" s="1"/>
  <c r="I58" i="12" s="1"/>
  <c r="I84" i="12" s="1"/>
  <c r="I90" i="12" s="1"/>
  <c r="I101" i="12" s="1"/>
  <c r="I127" i="12" s="1"/>
  <c r="I133" i="12" s="1"/>
  <c r="C41" i="12"/>
  <c r="C47" i="12" s="1"/>
  <c r="C58" i="12" s="1"/>
  <c r="D41" i="12"/>
  <c r="D47" i="12" s="1"/>
  <c r="D58" i="12" s="1"/>
  <c r="D84" i="12" s="1"/>
  <c r="D90" i="12" s="1"/>
  <c r="D101" i="12" s="1"/>
  <c r="D127" i="12" s="1"/>
  <c r="G41" i="12"/>
  <c r="G47" i="12" s="1"/>
  <c r="E41" i="12"/>
  <c r="E47" i="12" s="1"/>
  <c r="E58" i="12" s="1"/>
  <c r="E84" i="12" s="1"/>
  <c r="E90" i="12" s="1"/>
  <c r="E101" i="12" s="1"/>
  <c r="E127" i="12" s="1"/>
  <c r="E133" i="12" s="1"/>
  <c r="F83" i="12"/>
  <c r="J83" i="12"/>
  <c r="F40" i="12"/>
  <c r="J40" i="12"/>
  <c r="F15" i="12"/>
  <c r="J15" i="12"/>
  <c r="M28" i="4"/>
  <c r="G28" i="4"/>
  <c r="M27" i="4"/>
  <c r="G27" i="4"/>
  <c r="M26" i="4"/>
  <c r="G26" i="4"/>
  <c r="I144" i="12" l="1"/>
  <c r="J133" i="12"/>
  <c r="E144" i="12"/>
  <c r="F133" i="12"/>
  <c r="N26" i="4"/>
  <c r="J47" i="12"/>
  <c r="G58" i="12"/>
  <c r="J58" i="12" s="1"/>
  <c r="J84" i="12" s="1"/>
  <c r="F47" i="12"/>
  <c r="N27" i="4"/>
  <c r="N28" i="4"/>
  <c r="J41" i="12"/>
  <c r="F41" i="12"/>
  <c r="F58" i="12"/>
  <c r="F84" i="12" s="1"/>
  <c r="C84" i="12"/>
  <c r="C90" i="12" s="1"/>
  <c r="I170" i="12" l="1"/>
  <c r="I176" i="12" s="1"/>
  <c r="J144" i="12"/>
  <c r="J170" i="12" s="1"/>
  <c r="E170" i="12"/>
  <c r="E176" i="12" s="1"/>
  <c r="F144" i="12"/>
  <c r="F170" i="12" s="1"/>
  <c r="F90" i="12"/>
  <c r="C101" i="12"/>
  <c r="G84" i="12"/>
  <c r="G90" i="12" s="1"/>
  <c r="E187" i="12" l="1"/>
  <c r="F176" i="12"/>
  <c r="I187" i="12"/>
  <c r="J176" i="12"/>
  <c r="C127" i="12"/>
  <c r="F101" i="12"/>
  <c r="F127" i="12" s="1"/>
  <c r="J90" i="12"/>
  <c r="G101" i="12"/>
  <c r="I83" i="9"/>
  <c r="H83" i="9"/>
  <c r="G83" i="9"/>
  <c r="E83" i="9"/>
  <c r="D83" i="9"/>
  <c r="C83" i="9"/>
  <c r="J82" i="9"/>
  <c r="F82" i="9"/>
  <c r="J81" i="9"/>
  <c r="F81" i="9"/>
  <c r="J80" i="9"/>
  <c r="F80" i="9"/>
  <c r="J79" i="9"/>
  <c r="F79" i="9"/>
  <c r="J78" i="9"/>
  <c r="F78" i="9"/>
  <c r="J77" i="9"/>
  <c r="F77" i="9"/>
  <c r="J76" i="9"/>
  <c r="F76" i="9"/>
  <c r="J75" i="9"/>
  <c r="F75" i="9"/>
  <c r="J74" i="9"/>
  <c r="F74" i="9"/>
  <c r="J73" i="9"/>
  <c r="F73" i="9"/>
  <c r="J72" i="9"/>
  <c r="F72" i="9"/>
  <c r="J71" i="9"/>
  <c r="F71" i="9"/>
  <c r="J70" i="9"/>
  <c r="F70" i="9"/>
  <c r="J69" i="9"/>
  <c r="F69" i="9"/>
  <c r="J68" i="9"/>
  <c r="F68" i="9"/>
  <c r="J67" i="9"/>
  <c r="F67" i="9"/>
  <c r="J66" i="9"/>
  <c r="F66" i="9"/>
  <c r="J65" i="9"/>
  <c r="F65" i="9"/>
  <c r="J64" i="9"/>
  <c r="F64" i="9"/>
  <c r="J63" i="9"/>
  <c r="F63" i="9"/>
  <c r="J62" i="9"/>
  <c r="F62" i="9"/>
  <c r="J61" i="9"/>
  <c r="F61" i="9"/>
  <c r="J60" i="9"/>
  <c r="F60" i="9"/>
  <c r="J59" i="9"/>
  <c r="F59" i="9"/>
  <c r="J57" i="9"/>
  <c r="F57" i="9"/>
  <c r="J56" i="9"/>
  <c r="F56" i="9"/>
  <c r="J55" i="9"/>
  <c r="F55" i="9"/>
  <c r="J54" i="9"/>
  <c r="F54" i="9"/>
  <c r="J53" i="9"/>
  <c r="F53" i="9"/>
  <c r="J52" i="9"/>
  <c r="F52" i="9"/>
  <c r="J51" i="9"/>
  <c r="F51" i="9"/>
  <c r="J50" i="9"/>
  <c r="F50" i="9"/>
  <c r="J49" i="9"/>
  <c r="F49" i="9"/>
  <c r="J48" i="9"/>
  <c r="F48" i="9"/>
  <c r="I40" i="9"/>
  <c r="H40" i="9"/>
  <c r="G40" i="9"/>
  <c r="E40" i="9"/>
  <c r="D40" i="9"/>
  <c r="C40" i="9"/>
  <c r="J39" i="9"/>
  <c r="F39" i="9"/>
  <c r="J38" i="9"/>
  <c r="F38" i="9"/>
  <c r="J37" i="9"/>
  <c r="F37" i="9"/>
  <c r="J36" i="9"/>
  <c r="F36" i="9"/>
  <c r="J35" i="9"/>
  <c r="F35" i="9"/>
  <c r="J34" i="9"/>
  <c r="F34" i="9"/>
  <c r="J33" i="9"/>
  <c r="F33" i="9"/>
  <c r="J32" i="9"/>
  <c r="F32" i="9"/>
  <c r="J31" i="9"/>
  <c r="F31" i="9"/>
  <c r="J30" i="9"/>
  <c r="F30" i="9"/>
  <c r="J29" i="9"/>
  <c r="F29" i="9"/>
  <c r="J28" i="9"/>
  <c r="F28" i="9"/>
  <c r="J27" i="9"/>
  <c r="F27" i="9"/>
  <c r="J26" i="9"/>
  <c r="F26" i="9"/>
  <c r="J25" i="9"/>
  <c r="F25" i="9"/>
  <c r="J24" i="9"/>
  <c r="F24" i="9"/>
  <c r="J23" i="9"/>
  <c r="F23" i="9"/>
  <c r="J22" i="9"/>
  <c r="F22" i="9"/>
  <c r="J21" i="9"/>
  <c r="F21" i="9"/>
  <c r="J20" i="9"/>
  <c r="F20" i="9"/>
  <c r="J19" i="9"/>
  <c r="F19" i="9"/>
  <c r="J18" i="9"/>
  <c r="F18" i="9"/>
  <c r="J17" i="9"/>
  <c r="F17" i="9"/>
  <c r="J16" i="9"/>
  <c r="F16" i="9"/>
  <c r="I15" i="9"/>
  <c r="H15" i="9"/>
  <c r="G15" i="9"/>
  <c r="E15" i="9"/>
  <c r="D15" i="9"/>
  <c r="C15" i="9"/>
  <c r="J14" i="9"/>
  <c r="F14" i="9"/>
  <c r="J13" i="9"/>
  <c r="F13" i="9"/>
  <c r="J12" i="9"/>
  <c r="F12" i="9"/>
  <c r="J11" i="9"/>
  <c r="F11" i="9"/>
  <c r="J10" i="9"/>
  <c r="F10" i="9"/>
  <c r="J9" i="9"/>
  <c r="F9" i="9"/>
  <c r="J8" i="9"/>
  <c r="F8" i="9"/>
  <c r="J7" i="9"/>
  <c r="F7" i="9"/>
  <c r="J6" i="9"/>
  <c r="F6" i="9"/>
  <c r="J5" i="9"/>
  <c r="F5" i="9"/>
  <c r="J4" i="9"/>
  <c r="F4" i="9"/>
  <c r="I213" i="12" l="1"/>
  <c r="I219" i="12" s="1"/>
  <c r="J187" i="12"/>
  <c r="J213" i="12" s="1"/>
  <c r="E213" i="12"/>
  <c r="E219" i="12" s="1"/>
  <c r="F187" i="12"/>
  <c r="F213" i="12" s="1"/>
  <c r="E41" i="9"/>
  <c r="E47" i="9" s="1"/>
  <c r="E58" i="9" s="1"/>
  <c r="E84" i="9" s="1"/>
  <c r="E90" i="9" s="1"/>
  <c r="E101" i="9" s="1"/>
  <c r="E127" i="9" s="1"/>
  <c r="E133" i="9" s="1"/>
  <c r="E144" i="9" s="1"/>
  <c r="E170" i="9" s="1"/>
  <c r="E176" i="9" s="1"/>
  <c r="E187" i="9" s="1"/>
  <c r="E213" i="9" s="1"/>
  <c r="J101" i="12"/>
  <c r="J127" i="12" s="1"/>
  <c r="G127" i="12"/>
  <c r="G41" i="9"/>
  <c r="G47" i="9" s="1"/>
  <c r="G58" i="9" s="1"/>
  <c r="C41" i="9"/>
  <c r="C47" i="9" s="1"/>
  <c r="C58" i="9" s="1"/>
  <c r="H41" i="9"/>
  <c r="H47" i="9" s="1"/>
  <c r="H58" i="9" s="1"/>
  <c r="H84" i="9" s="1"/>
  <c r="H90" i="9" s="1"/>
  <c r="H101" i="9" s="1"/>
  <c r="H127" i="9" s="1"/>
  <c r="H133" i="9" s="1"/>
  <c r="H144" i="9" s="1"/>
  <c r="H170" i="9" s="1"/>
  <c r="H176" i="9" s="1"/>
  <c r="H187" i="9" s="1"/>
  <c r="H213" i="9" s="1"/>
  <c r="D41" i="9"/>
  <c r="D47" i="9" s="1"/>
  <c r="D58" i="9" s="1"/>
  <c r="D84" i="9" s="1"/>
  <c r="D90" i="9" s="1"/>
  <c r="D101" i="9" s="1"/>
  <c r="D127" i="9" s="1"/>
  <c r="D133" i="9" s="1"/>
  <c r="D144" i="9" s="1"/>
  <c r="D170" i="9" s="1"/>
  <c r="D176" i="9" s="1"/>
  <c r="D187" i="9" s="1"/>
  <c r="D213" i="9" s="1"/>
  <c r="I41" i="9"/>
  <c r="I47" i="9" s="1"/>
  <c r="I58" i="9" s="1"/>
  <c r="I84" i="9" s="1"/>
  <c r="I90" i="9" s="1"/>
  <c r="I101" i="9" s="1"/>
  <c r="I127" i="9" s="1"/>
  <c r="I133" i="9" s="1"/>
  <c r="I144" i="9" s="1"/>
  <c r="I170" i="9" s="1"/>
  <c r="I176" i="9" s="1"/>
  <c r="I187" i="9" s="1"/>
  <c r="I213" i="9" s="1"/>
  <c r="J83" i="9"/>
  <c r="F83" i="9"/>
  <c r="F40" i="9"/>
  <c r="J40" i="9"/>
  <c r="J15" i="9"/>
  <c r="F15" i="9"/>
  <c r="L83" i="7"/>
  <c r="K83" i="7"/>
  <c r="J83" i="7"/>
  <c r="I83" i="7"/>
  <c r="H83" i="7"/>
  <c r="F83" i="7"/>
  <c r="E83" i="7"/>
  <c r="D83" i="7"/>
  <c r="C83" i="7"/>
  <c r="B83" i="7"/>
  <c r="M82" i="7"/>
  <c r="G82" i="7"/>
  <c r="M81" i="7"/>
  <c r="G81" i="7"/>
  <c r="M80" i="7"/>
  <c r="G80" i="7"/>
  <c r="M79" i="7"/>
  <c r="G79" i="7"/>
  <c r="M78" i="7"/>
  <c r="G78" i="7"/>
  <c r="M77" i="7"/>
  <c r="G77" i="7"/>
  <c r="M76" i="7"/>
  <c r="G76" i="7"/>
  <c r="M75" i="7"/>
  <c r="G75" i="7"/>
  <c r="M74" i="7"/>
  <c r="G74" i="7"/>
  <c r="M73" i="7"/>
  <c r="G73" i="7"/>
  <c r="M72" i="7"/>
  <c r="G72" i="7"/>
  <c r="M71" i="7"/>
  <c r="G71" i="7"/>
  <c r="M70" i="7"/>
  <c r="G70" i="7"/>
  <c r="M69" i="7"/>
  <c r="G69" i="7"/>
  <c r="M68" i="7"/>
  <c r="G68" i="7"/>
  <c r="M67" i="7"/>
  <c r="G67" i="7"/>
  <c r="M66" i="7"/>
  <c r="G66" i="7"/>
  <c r="M65" i="7"/>
  <c r="G65" i="7"/>
  <c r="M64" i="7"/>
  <c r="G64" i="7"/>
  <c r="M63" i="7"/>
  <c r="G63" i="7"/>
  <c r="M62" i="7"/>
  <c r="G62" i="7"/>
  <c r="M61" i="7"/>
  <c r="G61" i="7"/>
  <c r="M60" i="7"/>
  <c r="G60" i="7"/>
  <c r="M57" i="7"/>
  <c r="G57" i="7"/>
  <c r="M56" i="7"/>
  <c r="G56" i="7"/>
  <c r="M55" i="7"/>
  <c r="G55" i="7"/>
  <c r="M54" i="7"/>
  <c r="G54" i="7"/>
  <c r="M53" i="7"/>
  <c r="G53" i="7"/>
  <c r="M52" i="7"/>
  <c r="G52" i="7"/>
  <c r="M51" i="7"/>
  <c r="G51" i="7"/>
  <c r="M50" i="7"/>
  <c r="G50" i="7"/>
  <c r="M49" i="7"/>
  <c r="G49" i="7"/>
  <c r="M48" i="7"/>
  <c r="G48" i="7"/>
  <c r="L40" i="7"/>
  <c r="K40" i="7"/>
  <c r="J40" i="7"/>
  <c r="I40" i="7"/>
  <c r="H40" i="7"/>
  <c r="F40" i="7"/>
  <c r="E40" i="7"/>
  <c r="D40" i="7"/>
  <c r="C40" i="7"/>
  <c r="B40" i="7"/>
  <c r="M39" i="7"/>
  <c r="G39" i="7"/>
  <c r="M38" i="7"/>
  <c r="G38" i="7"/>
  <c r="M37" i="7"/>
  <c r="G37" i="7"/>
  <c r="M36" i="7"/>
  <c r="G36" i="7"/>
  <c r="M35" i="7"/>
  <c r="G35" i="7"/>
  <c r="M34" i="7"/>
  <c r="G34" i="7"/>
  <c r="M33" i="7"/>
  <c r="G33" i="7"/>
  <c r="M32" i="7"/>
  <c r="G32" i="7"/>
  <c r="M31" i="7"/>
  <c r="G31" i="7"/>
  <c r="M30" i="7"/>
  <c r="G30" i="7"/>
  <c r="M29" i="7"/>
  <c r="G29" i="7"/>
  <c r="M28" i="7"/>
  <c r="G28" i="7"/>
  <c r="M27" i="7"/>
  <c r="G27" i="7"/>
  <c r="M26" i="7"/>
  <c r="G26" i="7"/>
  <c r="M25" i="7"/>
  <c r="G25" i="7"/>
  <c r="M24" i="7"/>
  <c r="G24" i="7"/>
  <c r="M23" i="7"/>
  <c r="G23" i="7"/>
  <c r="M22" i="7"/>
  <c r="G22" i="7"/>
  <c r="M21" i="7"/>
  <c r="G21" i="7"/>
  <c r="M20" i="7"/>
  <c r="G20" i="7"/>
  <c r="M19" i="7"/>
  <c r="G19" i="7"/>
  <c r="M18" i="7"/>
  <c r="G18" i="7"/>
  <c r="M17" i="7"/>
  <c r="G17" i="7"/>
  <c r="M16" i="7"/>
  <c r="G16" i="7"/>
  <c r="L15" i="7"/>
  <c r="K15" i="7"/>
  <c r="J15" i="7"/>
  <c r="I15" i="7"/>
  <c r="H15" i="7"/>
  <c r="F15" i="7"/>
  <c r="E15" i="7"/>
  <c r="D15" i="7"/>
  <c r="C15" i="7"/>
  <c r="B15" i="7"/>
  <c r="M14" i="7"/>
  <c r="G14" i="7"/>
  <c r="M13" i="7"/>
  <c r="G13" i="7"/>
  <c r="M12" i="7"/>
  <c r="G12" i="7"/>
  <c r="M11" i="7"/>
  <c r="G11" i="7"/>
  <c r="M10" i="7"/>
  <c r="G10" i="7"/>
  <c r="M9" i="7"/>
  <c r="G9" i="7"/>
  <c r="M8" i="7"/>
  <c r="G8" i="7"/>
  <c r="M7" i="7"/>
  <c r="G7" i="7"/>
  <c r="M6" i="7"/>
  <c r="G6" i="7"/>
  <c r="M5" i="7"/>
  <c r="G5" i="7"/>
  <c r="M4" i="7"/>
  <c r="G4" i="7"/>
  <c r="I230" i="12" l="1"/>
  <c r="J219" i="12"/>
  <c r="F219" i="12"/>
  <c r="E230" i="12"/>
  <c r="F47" i="9"/>
  <c r="J47" i="9"/>
  <c r="N19" i="7"/>
  <c r="N31" i="7"/>
  <c r="N37" i="7"/>
  <c r="D41" i="7"/>
  <c r="D47" i="7" s="1"/>
  <c r="D58" i="7" s="1"/>
  <c r="D84" i="7" s="1"/>
  <c r="D90" i="7" s="1"/>
  <c r="D101" i="7" s="1"/>
  <c r="D127" i="7" s="1"/>
  <c r="D133" i="7" s="1"/>
  <c r="D144" i="7" s="1"/>
  <c r="D170" i="7" s="1"/>
  <c r="D176" i="7" s="1"/>
  <c r="D187" i="7" s="1"/>
  <c r="D213" i="7" s="1"/>
  <c r="K41" i="7"/>
  <c r="K47" i="7" s="1"/>
  <c r="K58" i="7" s="1"/>
  <c r="K84" i="7" s="1"/>
  <c r="K90" i="7" s="1"/>
  <c r="K101" i="7" s="1"/>
  <c r="K127" i="7" s="1"/>
  <c r="N24" i="7"/>
  <c r="N30" i="7"/>
  <c r="N36" i="7"/>
  <c r="N51" i="7"/>
  <c r="N57" i="7"/>
  <c r="N61" i="7"/>
  <c r="N67" i="7"/>
  <c r="L41" i="7"/>
  <c r="L47" i="7" s="1"/>
  <c r="L58" i="7" s="1"/>
  <c r="L84" i="7" s="1"/>
  <c r="L90" i="7" s="1"/>
  <c r="L101" i="7" s="1"/>
  <c r="L127" i="7" s="1"/>
  <c r="E41" i="7"/>
  <c r="E47" i="7" s="1"/>
  <c r="E58" i="7" s="1"/>
  <c r="E84" i="7" s="1"/>
  <c r="E90" i="7" s="1"/>
  <c r="E101" i="7" s="1"/>
  <c r="E127" i="7" s="1"/>
  <c r="N52" i="7"/>
  <c r="N62" i="7"/>
  <c r="N6" i="7"/>
  <c r="N12" i="7"/>
  <c r="N20" i="7"/>
  <c r="N26" i="7"/>
  <c r="N32" i="7"/>
  <c r="N38" i="7"/>
  <c r="N53" i="7"/>
  <c r="N63" i="7"/>
  <c r="N69" i="7"/>
  <c r="N75" i="7"/>
  <c r="N81" i="7"/>
  <c r="N68" i="7"/>
  <c r="N74" i="7"/>
  <c r="N73" i="7"/>
  <c r="N80" i="7"/>
  <c r="I41" i="7"/>
  <c r="I47" i="7" s="1"/>
  <c r="I58" i="7" s="1"/>
  <c r="I84" i="7" s="1"/>
  <c r="I90" i="7" s="1"/>
  <c r="I101" i="7" s="1"/>
  <c r="I127" i="7" s="1"/>
  <c r="G144" i="7" s="1"/>
  <c r="G170" i="7" s="1"/>
  <c r="G176" i="7" s="1"/>
  <c r="G187" i="7" s="1"/>
  <c r="H41" i="7"/>
  <c r="H47" i="7" s="1"/>
  <c r="H58" i="7" s="1"/>
  <c r="B41" i="7"/>
  <c r="B47" i="7" s="1"/>
  <c r="B58" i="7" s="1"/>
  <c r="N79" i="7"/>
  <c r="C41" i="7"/>
  <c r="C47" i="7" s="1"/>
  <c r="C58" i="7" s="1"/>
  <c r="C84" i="7" s="1"/>
  <c r="C90" i="7" s="1"/>
  <c r="C101" i="7" s="1"/>
  <c r="C127" i="7" s="1"/>
  <c r="C133" i="7" s="1"/>
  <c r="C144" i="7" s="1"/>
  <c r="C170" i="7" s="1"/>
  <c r="C176" i="7" s="1"/>
  <c r="C187" i="7" s="1"/>
  <c r="J41" i="7"/>
  <c r="J47" i="7" s="1"/>
  <c r="J58" i="7" s="1"/>
  <c r="J84" i="7" s="1"/>
  <c r="J90" i="7" s="1"/>
  <c r="J101" i="7" s="1"/>
  <c r="J127" i="7" s="1"/>
  <c r="H144" i="7" s="1"/>
  <c r="H170" i="7" s="1"/>
  <c r="H176" i="7" s="1"/>
  <c r="H187" i="7" s="1"/>
  <c r="H213" i="7" s="1"/>
  <c r="N17" i="7"/>
  <c r="N29" i="7"/>
  <c r="N35" i="7"/>
  <c r="N50" i="7"/>
  <c r="N56" i="7"/>
  <c r="N60" i="7"/>
  <c r="N66" i="7"/>
  <c r="N72" i="7"/>
  <c r="N78" i="7"/>
  <c r="N7" i="7"/>
  <c r="N13" i="7"/>
  <c r="N21" i="7"/>
  <c r="N27" i="7"/>
  <c r="N33" i="7"/>
  <c r="N39" i="7"/>
  <c r="N48" i="7"/>
  <c r="N54" i="7"/>
  <c r="N64" i="7"/>
  <c r="N70" i="7"/>
  <c r="N76" i="7"/>
  <c r="N82" i="7"/>
  <c r="M83" i="7"/>
  <c r="N14" i="7"/>
  <c r="F41" i="7"/>
  <c r="F47" i="7" s="1"/>
  <c r="F58" i="7" s="1"/>
  <c r="F84" i="7" s="1"/>
  <c r="F90" i="7" s="1"/>
  <c r="F101" i="7" s="1"/>
  <c r="F127" i="7" s="1"/>
  <c r="N28" i="7"/>
  <c r="N34" i="7"/>
  <c r="N49" i="7"/>
  <c r="N55" i="7"/>
  <c r="N65" i="7"/>
  <c r="N71" i="7"/>
  <c r="N77" i="7"/>
  <c r="G83" i="7"/>
  <c r="N25" i="7"/>
  <c r="M40" i="7"/>
  <c r="N11" i="7"/>
  <c r="N23" i="7"/>
  <c r="N22" i="7"/>
  <c r="N10" i="7"/>
  <c r="N9" i="7"/>
  <c r="N8" i="7"/>
  <c r="F41" i="9"/>
  <c r="J41" i="9"/>
  <c r="J58" i="9"/>
  <c r="J84" i="9" s="1"/>
  <c r="G84" i="9"/>
  <c r="G90" i="9" s="1"/>
  <c r="F58" i="9"/>
  <c r="F84" i="9" s="1"/>
  <c r="C84" i="9"/>
  <c r="C90" i="9" s="1"/>
  <c r="N4" i="7"/>
  <c r="N5" i="7"/>
  <c r="N16" i="7"/>
  <c r="N18" i="7"/>
  <c r="G40" i="7"/>
  <c r="G15" i="7"/>
  <c r="M15" i="7"/>
  <c r="I256" i="12" l="1"/>
  <c r="J230" i="12"/>
  <c r="J256" i="12" s="1"/>
  <c r="E256" i="12"/>
  <c r="F230" i="12"/>
  <c r="F256" i="12" s="1"/>
  <c r="G213" i="7"/>
  <c r="C213" i="7"/>
  <c r="C101" i="9"/>
  <c r="F90" i="9"/>
  <c r="G101" i="9"/>
  <c r="J90" i="9"/>
  <c r="N83" i="7"/>
  <c r="G47" i="7"/>
  <c r="M47" i="7"/>
  <c r="N40" i="7"/>
  <c r="G41" i="7"/>
  <c r="N15" i="7"/>
  <c r="M41" i="7"/>
  <c r="B84" i="7"/>
  <c r="B90" i="7" s="1"/>
  <c r="G58" i="7"/>
  <c r="G84" i="7" s="1"/>
  <c r="H84" i="7"/>
  <c r="H90" i="7" s="1"/>
  <c r="M58" i="7"/>
  <c r="I83" i="2"/>
  <c r="H83" i="2"/>
  <c r="G83" i="2"/>
  <c r="E83" i="2"/>
  <c r="D83" i="2"/>
  <c r="C83" i="2"/>
  <c r="J82" i="2"/>
  <c r="F82" i="2"/>
  <c r="J81" i="2"/>
  <c r="F81" i="2"/>
  <c r="J80" i="2"/>
  <c r="F80" i="2"/>
  <c r="J79" i="2"/>
  <c r="F79" i="2"/>
  <c r="J78" i="2"/>
  <c r="F78" i="2"/>
  <c r="J77" i="2"/>
  <c r="F77" i="2"/>
  <c r="J76" i="2"/>
  <c r="F76" i="2"/>
  <c r="J75" i="2"/>
  <c r="F75" i="2"/>
  <c r="J74" i="2"/>
  <c r="F74" i="2"/>
  <c r="J73" i="2"/>
  <c r="F73" i="2"/>
  <c r="J72" i="2"/>
  <c r="F72" i="2"/>
  <c r="J71" i="2"/>
  <c r="F71" i="2"/>
  <c r="J70" i="2"/>
  <c r="F70" i="2"/>
  <c r="J69" i="2"/>
  <c r="F69" i="2"/>
  <c r="J68" i="2"/>
  <c r="F68" i="2"/>
  <c r="J67" i="2"/>
  <c r="F67" i="2"/>
  <c r="J66" i="2"/>
  <c r="F66" i="2"/>
  <c r="J65" i="2"/>
  <c r="F65" i="2"/>
  <c r="J64" i="2"/>
  <c r="F64" i="2"/>
  <c r="J63" i="2"/>
  <c r="F63" i="2"/>
  <c r="J62" i="2"/>
  <c r="F62" i="2"/>
  <c r="J61" i="2"/>
  <c r="F61" i="2"/>
  <c r="J57" i="2"/>
  <c r="F57" i="2"/>
  <c r="J56" i="2"/>
  <c r="F56" i="2"/>
  <c r="J55" i="2"/>
  <c r="F55" i="2"/>
  <c r="J54" i="2"/>
  <c r="F54" i="2"/>
  <c r="J53" i="2"/>
  <c r="F53" i="2"/>
  <c r="J52" i="2"/>
  <c r="F52" i="2"/>
  <c r="J51" i="2"/>
  <c r="F51" i="2"/>
  <c r="J50" i="2"/>
  <c r="F50" i="2"/>
  <c r="J49" i="2"/>
  <c r="F49" i="2"/>
  <c r="J48" i="2"/>
  <c r="F48" i="2"/>
  <c r="I40" i="2"/>
  <c r="H40" i="2"/>
  <c r="G40" i="2"/>
  <c r="E40" i="2"/>
  <c r="D40" i="2"/>
  <c r="C40" i="2"/>
  <c r="J39" i="2"/>
  <c r="F39" i="2"/>
  <c r="J38" i="2"/>
  <c r="F38" i="2"/>
  <c r="J37" i="2"/>
  <c r="F37" i="2"/>
  <c r="J36" i="2"/>
  <c r="F36" i="2"/>
  <c r="J35" i="2"/>
  <c r="F35" i="2"/>
  <c r="J34" i="2"/>
  <c r="F34" i="2"/>
  <c r="J33" i="2"/>
  <c r="F33" i="2"/>
  <c r="J32" i="2"/>
  <c r="F32" i="2"/>
  <c r="J31" i="2"/>
  <c r="F31" i="2"/>
  <c r="J30" i="2"/>
  <c r="F30" i="2"/>
  <c r="J29" i="2"/>
  <c r="F29" i="2"/>
  <c r="J28" i="2"/>
  <c r="F28" i="2"/>
  <c r="J27" i="2"/>
  <c r="F27" i="2"/>
  <c r="J26" i="2"/>
  <c r="F26" i="2"/>
  <c r="J25" i="2"/>
  <c r="F25" i="2"/>
  <c r="J24" i="2"/>
  <c r="F24" i="2"/>
  <c r="J23" i="2"/>
  <c r="F23" i="2"/>
  <c r="J22" i="2"/>
  <c r="F22" i="2"/>
  <c r="J21" i="2"/>
  <c r="F21" i="2"/>
  <c r="J20" i="2"/>
  <c r="F20" i="2"/>
  <c r="J19" i="2"/>
  <c r="F19" i="2"/>
  <c r="J18" i="2"/>
  <c r="F18" i="2"/>
  <c r="J17" i="2"/>
  <c r="F17" i="2"/>
  <c r="J16" i="2"/>
  <c r="F16" i="2"/>
  <c r="I15" i="2"/>
  <c r="H15" i="2"/>
  <c r="G15" i="2"/>
  <c r="E15" i="2"/>
  <c r="D15" i="2"/>
  <c r="C15" i="2"/>
  <c r="J14" i="2"/>
  <c r="F14" i="2"/>
  <c r="J10" i="2"/>
  <c r="F10" i="2"/>
  <c r="J9" i="2"/>
  <c r="F9" i="2"/>
  <c r="J8" i="2"/>
  <c r="F8" i="2"/>
  <c r="J7" i="2"/>
  <c r="F7" i="2"/>
  <c r="J6" i="2"/>
  <c r="F6" i="2"/>
  <c r="J5" i="2"/>
  <c r="F5" i="2"/>
  <c r="J4" i="2"/>
  <c r="F4" i="2"/>
  <c r="I41" i="2" l="1"/>
  <c r="I47" i="2" s="1"/>
  <c r="I58" i="2" s="1"/>
  <c r="G90" i="7"/>
  <c r="B101" i="7"/>
  <c r="M90" i="7"/>
  <c r="H101" i="7"/>
  <c r="E41" i="2"/>
  <c r="E47" i="2" s="1"/>
  <c r="E58" i="2" s="1"/>
  <c r="E84" i="2" s="1"/>
  <c r="E90" i="2" s="1"/>
  <c r="E101" i="2" s="1"/>
  <c r="E127" i="2" s="1"/>
  <c r="E133" i="2" s="1"/>
  <c r="E144" i="2" s="1"/>
  <c r="E170" i="2" s="1"/>
  <c r="E176" i="2" s="1"/>
  <c r="E187" i="2" s="1"/>
  <c r="E213" i="2" s="1"/>
  <c r="E219" i="2" s="1"/>
  <c r="C127" i="9"/>
  <c r="C133" i="9" s="1"/>
  <c r="F101" i="9"/>
  <c r="F127" i="9" s="1"/>
  <c r="G127" i="9"/>
  <c r="G133" i="9" s="1"/>
  <c r="J101" i="9"/>
  <c r="J127" i="9" s="1"/>
  <c r="D41" i="2"/>
  <c r="D47" i="2" s="1"/>
  <c r="D58" i="2" s="1"/>
  <c r="D84" i="2" s="1"/>
  <c r="D90" i="2" s="1"/>
  <c r="D101" i="2" s="1"/>
  <c r="D127" i="2" s="1"/>
  <c r="D133" i="2" s="1"/>
  <c r="G41" i="2"/>
  <c r="G47" i="2" s="1"/>
  <c r="G58" i="2" s="1"/>
  <c r="C41" i="2"/>
  <c r="C47" i="2" s="1"/>
  <c r="C58" i="2" s="1"/>
  <c r="H41" i="2"/>
  <c r="H47" i="2" s="1"/>
  <c r="H58" i="2" s="1"/>
  <c r="H84" i="2" s="1"/>
  <c r="H90" i="2" s="1"/>
  <c r="H101" i="2" s="1"/>
  <c r="H127" i="2" s="1"/>
  <c r="H133" i="2" s="1"/>
  <c r="N47" i="7"/>
  <c r="I84" i="2"/>
  <c r="I90" i="2" s="1"/>
  <c r="I101" i="2" s="1"/>
  <c r="I127" i="2" s="1"/>
  <c r="I133" i="2" s="1"/>
  <c r="I144" i="2" s="1"/>
  <c r="I170" i="2" s="1"/>
  <c r="I176" i="2" s="1"/>
  <c r="N41" i="7"/>
  <c r="N58" i="7"/>
  <c r="M84" i="7"/>
  <c r="N84" i="7" s="1"/>
  <c r="F40" i="2"/>
  <c r="J83" i="2"/>
  <c r="F83" i="2"/>
  <c r="J40" i="2"/>
  <c r="F15" i="2"/>
  <c r="J15" i="2"/>
  <c r="I83" i="4"/>
  <c r="J83" i="4"/>
  <c r="D83" i="4"/>
  <c r="E83" i="4"/>
  <c r="I40" i="4"/>
  <c r="J40" i="4"/>
  <c r="D40" i="4"/>
  <c r="E40" i="4"/>
  <c r="L83" i="4"/>
  <c r="K83" i="4"/>
  <c r="H83" i="4"/>
  <c r="F83" i="4"/>
  <c r="C83" i="4"/>
  <c r="B83" i="4"/>
  <c r="M82" i="4"/>
  <c r="G82" i="4"/>
  <c r="M81" i="4"/>
  <c r="G81" i="4"/>
  <c r="M80" i="4"/>
  <c r="G80" i="4"/>
  <c r="M79" i="4"/>
  <c r="G79" i="4"/>
  <c r="M78" i="4"/>
  <c r="G78" i="4"/>
  <c r="M77" i="4"/>
  <c r="G77" i="4"/>
  <c r="M76" i="4"/>
  <c r="G76" i="4"/>
  <c r="M75" i="4"/>
  <c r="G75" i="4"/>
  <c r="M74" i="4"/>
  <c r="G74" i="4"/>
  <c r="M73" i="4"/>
  <c r="G73" i="4"/>
  <c r="M72" i="4"/>
  <c r="G72" i="4"/>
  <c r="M71" i="4"/>
  <c r="G71" i="4"/>
  <c r="M70" i="4"/>
  <c r="G70" i="4"/>
  <c r="M69" i="4"/>
  <c r="G69" i="4"/>
  <c r="M68" i="4"/>
  <c r="G68" i="4"/>
  <c r="M67" i="4"/>
  <c r="G67" i="4"/>
  <c r="M66" i="4"/>
  <c r="G66" i="4"/>
  <c r="M65" i="4"/>
  <c r="G65" i="4"/>
  <c r="M64" i="4"/>
  <c r="G64" i="4"/>
  <c r="M63" i="4"/>
  <c r="G63" i="4"/>
  <c r="M62" i="4"/>
  <c r="G62" i="4"/>
  <c r="M61" i="4"/>
  <c r="G61" i="4"/>
  <c r="M60" i="4"/>
  <c r="G60" i="4"/>
  <c r="M59" i="4"/>
  <c r="G59" i="4"/>
  <c r="M57" i="4"/>
  <c r="G57" i="4"/>
  <c r="M56" i="4"/>
  <c r="G56" i="4"/>
  <c r="M55" i="4"/>
  <c r="G55" i="4"/>
  <c r="M54" i="4"/>
  <c r="G54" i="4"/>
  <c r="M53" i="4"/>
  <c r="G53" i="4"/>
  <c r="M52" i="4"/>
  <c r="G52" i="4"/>
  <c r="M51" i="4"/>
  <c r="G51" i="4"/>
  <c r="M50" i="4"/>
  <c r="G50" i="4"/>
  <c r="M49" i="4"/>
  <c r="G49" i="4"/>
  <c r="M48" i="4"/>
  <c r="G48" i="4"/>
  <c r="I15" i="4"/>
  <c r="J15" i="4"/>
  <c r="D15" i="4"/>
  <c r="E15" i="4"/>
  <c r="E230" i="2" l="1"/>
  <c r="I187" i="2"/>
  <c r="H144" i="2"/>
  <c r="D144" i="2"/>
  <c r="F133" i="9"/>
  <c r="C144" i="9"/>
  <c r="J133" i="9"/>
  <c r="G144" i="9"/>
  <c r="N90" i="7"/>
  <c r="H127" i="7"/>
  <c r="M101" i="7"/>
  <c r="B127" i="7"/>
  <c r="B133" i="7" s="1"/>
  <c r="G101" i="7"/>
  <c r="G127" i="7" s="1"/>
  <c r="F47" i="2"/>
  <c r="E41" i="4"/>
  <c r="E47" i="4" s="1"/>
  <c r="E58" i="4" s="1"/>
  <c r="E84" i="4" s="1"/>
  <c r="E90" i="4" s="1"/>
  <c r="E101" i="4" s="1"/>
  <c r="E127" i="4" s="1"/>
  <c r="E133" i="4" s="1"/>
  <c r="E144" i="4" s="1"/>
  <c r="E170" i="4" s="1"/>
  <c r="E176" i="4" s="1"/>
  <c r="E187" i="4" s="1"/>
  <c r="E213" i="4" s="1"/>
  <c r="E219" i="4" s="1"/>
  <c r="E230" i="4" s="1"/>
  <c r="E256" i="4" s="1"/>
  <c r="E262" i="4" s="1"/>
  <c r="E273" i="4" s="1"/>
  <c r="E299" i="4" s="1"/>
  <c r="E305" i="4" s="1"/>
  <c r="E316" i="4" s="1"/>
  <c r="E342" i="4" s="1"/>
  <c r="E348" i="4" s="1"/>
  <c r="E359" i="4" s="1"/>
  <c r="E385" i="4" s="1"/>
  <c r="E391" i="4" s="1"/>
  <c r="E402" i="4" s="1"/>
  <c r="E428" i="4" s="1"/>
  <c r="E434" i="4" s="1"/>
  <c r="E445" i="4" s="1"/>
  <c r="E471" i="4" s="1"/>
  <c r="J47" i="2"/>
  <c r="I41" i="4"/>
  <c r="I47" i="4" s="1"/>
  <c r="I58" i="4" s="1"/>
  <c r="I84" i="4" s="1"/>
  <c r="I90" i="4" s="1"/>
  <c r="N55" i="4"/>
  <c r="N65" i="4"/>
  <c r="N71" i="4"/>
  <c r="N77" i="4"/>
  <c r="N49" i="4"/>
  <c r="J41" i="2"/>
  <c r="N51" i="4"/>
  <c r="N61" i="4"/>
  <c r="N67" i="4"/>
  <c r="N73" i="4"/>
  <c r="N79" i="4"/>
  <c r="N53" i="4"/>
  <c r="N63" i="4"/>
  <c r="N69" i="4"/>
  <c r="N75" i="4"/>
  <c r="N81" i="4"/>
  <c r="N50" i="4"/>
  <c r="N60" i="4"/>
  <c r="N66" i="4"/>
  <c r="N72" i="4"/>
  <c r="N48" i="4"/>
  <c r="N54" i="4"/>
  <c r="N76" i="4"/>
  <c r="N82" i="4"/>
  <c r="G83" i="4"/>
  <c r="N56" i="4"/>
  <c r="N78" i="4"/>
  <c r="N57" i="4"/>
  <c r="N64" i="4"/>
  <c r="N70" i="4"/>
  <c r="N52" i="4"/>
  <c r="N62" i="4"/>
  <c r="N68" i="4"/>
  <c r="N74" i="4"/>
  <c r="N80" i="4"/>
  <c r="J41" i="4"/>
  <c r="J47" i="4" s="1"/>
  <c r="J58" i="4" s="1"/>
  <c r="J84" i="4" s="1"/>
  <c r="J90" i="4" s="1"/>
  <c r="J101" i="4" s="1"/>
  <c r="J127" i="4" s="1"/>
  <c r="J133" i="4" s="1"/>
  <c r="J144" i="4" s="1"/>
  <c r="J170" i="4" s="1"/>
  <c r="J176" i="4" s="1"/>
  <c r="D41" i="4"/>
  <c r="D47" i="4" s="1"/>
  <c r="D58" i="4" s="1"/>
  <c r="D84" i="4" s="1"/>
  <c r="D90" i="4" s="1"/>
  <c r="D101" i="4" s="1"/>
  <c r="D127" i="4" s="1"/>
  <c r="D133" i="4" s="1"/>
  <c r="D144" i="4" s="1"/>
  <c r="D170" i="4" s="1"/>
  <c r="D176" i="4" s="1"/>
  <c r="F41" i="2"/>
  <c r="J58" i="2"/>
  <c r="J84" i="2" s="1"/>
  <c r="G84" i="2"/>
  <c r="G90" i="2" s="1"/>
  <c r="F58" i="2"/>
  <c r="F84" i="2" s="1"/>
  <c r="C84" i="2"/>
  <c r="C90" i="2" s="1"/>
  <c r="M83" i="4"/>
  <c r="N59" i="4"/>
  <c r="L40" i="4"/>
  <c r="K40" i="4"/>
  <c r="H40" i="4"/>
  <c r="F40" i="4"/>
  <c r="C40" i="4"/>
  <c r="B40" i="4"/>
  <c r="M39" i="4"/>
  <c r="G39" i="4"/>
  <c r="M38" i="4"/>
  <c r="G38" i="4"/>
  <c r="M37" i="4"/>
  <c r="G37" i="4"/>
  <c r="M36" i="4"/>
  <c r="G36" i="4"/>
  <c r="M35" i="4"/>
  <c r="G35" i="4"/>
  <c r="M34" i="4"/>
  <c r="G34" i="4"/>
  <c r="M33" i="4"/>
  <c r="G33" i="4"/>
  <c r="M32" i="4"/>
  <c r="G32" i="4"/>
  <c r="M31" i="4"/>
  <c r="G31" i="4"/>
  <c r="M30" i="4"/>
  <c r="G30" i="4"/>
  <c r="M29" i="4"/>
  <c r="G29" i="4"/>
  <c r="M25" i="4"/>
  <c r="G25" i="4"/>
  <c r="M24" i="4"/>
  <c r="G24" i="4"/>
  <c r="M23" i="4"/>
  <c r="G23" i="4"/>
  <c r="M22" i="4"/>
  <c r="G22" i="4"/>
  <c r="M21" i="4"/>
  <c r="G21" i="4"/>
  <c r="M20" i="4"/>
  <c r="G20" i="4"/>
  <c r="M19" i="4"/>
  <c r="G19" i="4"/>
  <c r="M18" i="4"/>
  <c r="G18" i="4"/>
  <c r="M17" i="4"/>
  <c r="G17" i="4"/>
  <c r="M16" i="4"/>
  <c r="G16" i="4"/>
  <c r="L15" i="4"/>
  <c r="L41" i="4" s="1"/>
  <c r="L47" i="4" s="1"/>
  <c r="L58" i="4" s="1"/>
  <c r="L84" i="4" s="1"/>
  <c r="L90" i="4" s="1"/>
  <c r="L101" i="4" s="1"/>
  <c r="L127" i="4" s="1"/>
  <c r="L133" i="4" s="1"/>
  <c r="L144" i="4" s="1"/>
  <c r="L170" i="4" s="1"/>
  <c r="L176" i="4" s="1"/>
  <c r="L187" i="4" s="1"/>
  <c r="L213" i="4" s="1"/>
  <c r="L219" i="4" s="1"/>
  <c r="L230" i="4" s="1"/>
  <c r="L256" i="4" s="1"/>
  <c r="L262" i="4" s="1"/>
  <c r="L273" i="4" s="1"/>
  <c r="L299" i="4" s="1"/>
  <c r="L305" i="4" s="1"/>
  <c r="L316" i="4" s="1"/>
  <c r="L342" i="4" s="1"/>
  <c r="L348" i="4" s="1"/>
  <c r="L359" i="4" s="1"/>
  <c r="L385" i="4" s="1"/>
  <c r="L391" i="4" s="1"/>
  <c r="L402" i="4" s="1"/>
  <c r="L428" i="4" s="1"/>
  <c r="L434" i="4" s="1"/>
  <c r="L445" i="4" s="1"/>
  <c r="L471" i="4" s="1"/>
  <c r="K15" i="4"/>
  <c r="K41" i="4" s="1"/>
  <c r="K47" i="4" s="1"/>
  <c r="K58" i="4" s="1"/>
  <c r="K84" i="4" s="1"/>
  <c r="K90" i="4" s="1"/>
  <c r="K101" i="4" s="1"/>
  <c r="K127" i="4" s="1"/>
  <c r="K133" i="4" s="1"/>
  <c r="K144" i="4" s="1"/>
  <c r="K170" i="4" s="1"/>
  <c r="K176" i="4" s="1"/>
  <c r="K187" i="4" s="1"/>
  <c r="K213" i="4" s="1"/>
  <c r="K219" i="4" s="1"/>
  <c r="K230" i="4" s="1"/>
  <c r="K256" i="4" s="1"/>
  <c r="K262" i="4" s="1"/>
  <c r="K273" i="4" s="1"/>
  <c r="K299" i="4" s="1"/>
  <c r="K305" i="4" s="1"/>
  <c r="K316" i="4" s="1"/>
  <c r="K342" i="4" s="1"/>
  <c r="K348" i="4" s="1"/>
  <c r="K359" i="4" s="1"/>
  <c r="K385" i="4" s="1"/>
  <c r="K391" i="4" s="1"/>
  <c r="K402" i="4" s="1"/>
  <c r="K428" i="4" s="1"/>
  <c r="K434" i="4" s="1"/>
  <c r="K445" i="4" s="1"/>
  <c r="K471" i="4" s="1"/>
  <c r="H15" i="4"/>
  <c r="F15" i="4"/>
  <c r="F41" i="4" s="1"/>
  <c r="F47" i="4" s="1"/>
  <c r="F58" i="4" s="1"/>
  <c r="F84" i="4" s="1"/>
  <c r="F90" i="4" s="1"/>
  <c r="F101" i="4" s="1"/>
  <c r="F127" i="4" s="1"/>
  <c r="F133" i="4" s="1"/>
  <c r="F144" i="4" s="1"/>
  <c r="F170" i="4" s="1"/>
  <c r="F176" i="4" s="1"/>
  <c r="F187" i="4" s="1"/>
  <c r="F213" i="4" s="1"/>
  <c r="F219" i="4" s="1"/>
  <c r="F230" i="4" s="1"/>
  <c r="F256" i="4" s="1"/>
  <c r="F262" i="4" s="1"/>
  <c r="F273" i="4" s="1"/>
  <c r="F299" i="4" s="1"/>
  <c r="F305" i="4" s="1"/>
  <c r="F316" i="4" s="1"/>
  <c r="F342" i="4" s="1"/>
  <c r="F348" i="4" s="1"/>
  <c r="F359" i="4" s="1"/>
  <c r="F385" i="4" s="1"/>
  <c r="F391" i="4" s="1"/>
  <c r="F402" i="4" s="1"/>
  <c r="F428" i="4" s="1"/>
  <c r="F434" i="4" s="1"/>
  <c r="F445" i="4" s="1"/>
  <c r="F471" i="4" s="1"/>
  <c r="C15" i="4"/>
  <c r="C41" i="4" s="1"/>
  <c r="C47" i="4" s="1"/>
  <c r="C58" i="4" s="1"/>
  <c r="C84" i="4" s="1"/>
  <c r="C90" i="4" s="1"/>
  <c r="B15" i="4"/>
  <c r="M14" i="4"/>
  <c r="G14" i="4"/>
  <c r="M13" i="4"/>
  <c r="G13" i="4"/>
  <c r="M12" i="4"/>
  <c r="G12" i="4"/>
  <c r="M11" i="4"/>
  <c r="G11" i="4"/>
  <c r="M10" i="4"/>
  <c r="G10" i="4"/>
  <c r="M9" i="4"/>
  <c r="G9" i="4"/>
  <c r="M8" i="4"/>
  <c r="G8" i="4"/>
  <c r="M7" i="4"/>
  <c r="G7" i="4"/>
  <c r="M6" i="4"/>
  <c r="G6" i="4"/>
  <c r="M5" i="4"/>
  <c r="G5" i="4"/>
  <c r="M4" i="4"/>
  <c r="G4" i="4"/>
  <c r="E256" i="2" l="1"/>
  <c r="I213" i="2"/>
  <c r="I219" i="2" s="1"/>
  <c r="B144" i="7"/>
  <c r="E133" i="7"/>
  <c r="F144" i="7"/>
  <c r="I133" i="7"/>
  <c r="J133" i="7" s="1"/>
  <c r="H170" i="2"/>
  <c r="H176" i="2" s="1"/>
  <c r="H187" i="2" s="1"/>
  <c r="H213" i="2" s="1"/>
  <c r="H219" i="2" s="1"/>
  <c r="H230" i="2" s="1"/>
  <c r="H256" i="2" s="1"/>
  <c r="H262" i="2" s="1"/>
  <c r="D170" i="2"/>
  <c r="D176" i="2" s="1"/>
  <c r="D187" i="2" s="1"/>
  <c r="D213" i="2" s="1"/>
  <c r="D219" i="2" s="1"/>
  <c r="J144" i="9"/>
  <c r="J170" i="9" s="1"/>
  <c r="G170" i="9"/>
  <c r="G176" i="9" s="1"/>
  <c r="F144" i="9"/>
  <c r="F170" i="9" s="1"/>
  <c r="C170" i="9"/>
  <c r="C176" i="9" s="1"/>
  <c r="J90" i="2"/>
  <c r="G101" i="2"/>
  <c r="F90" i="2"/>
  <c r="C101" i="2"/>
  <c r="N101" i="7"/>
  <c r="M127" i="7"/>
  <c r="N127" i="7" s="1"/>
  <c r="J187" i="4"/>
  <c r="D187" i="4"/>
  <c r="I101" i="4"/>
  <c r="C101" i="4"/>
  <c r="N4" i="4"/>
  <c r="N7" i="4"/>
  <c r="N17" i="4"/>
  <c r="N8" i="4"/>
  <c r="N14" i="4"/>
  <c r="N25" i="4"/>
  <c r="N31" i="4"/>
  <c r="N34" i="4"/>
  <c r="N37" i="4"/>
  <c r="N83" i="4"/>
  <c r="N20" i="4"/>
  <c r="N23" i="4"/>
  <c r="N32" i="4"/>
  <c r="N38" i="4"/>
  <c r="M40" i="4"/>
  <c r="N5" i="4"/>
  <c r="N18" i="4"/>
  <c r="N21" i="4"/>
  <c r="N24" i="4"/>
  <c r="N30" i="4"/>
  <c r="N33" i="4"/>
  <c r="N36" i="4"/>
  <c r="N39" i="4"/>
  <c r="N9" i="4"/>
  <c r="N16" i="4"/>
  <c r="N19" i="4"/>
  <c r="N35" i="4"/>
  <c r="N13" i="4"/>
  <c r="N29" i="4"/>
  <c r="N22" i="4"/>
  <c r="N12" i="4"/>
  <c r="N11" i="4"/>
  <c r="N10" i="4"/>
  <c r="M15" i="4"/>
  <c r="N6" i="4"/>
  <c r="G40" i="4"/>
  <c r="G15" i="4"/>
  <c r="B41" i="4"/>
  <c r="B47" i="4" s="1"/>
  <c r="B58" i="4" s="1"/>
  <c r="B84" i="4" s="1"/>
  <c r="B90" i="4" s="1"/>
  <c r="B101" i="4" s="1"/>
  <c r="B127" i="4" s="1"/>
  <c r="B133" i="4" s="1"/>
  <c r="H41" i="4"/>
  <c r="H47" i="4" s="1"/>
  <c r="H273" i="2" l="1"/>
  <c r="J262" i="2"/>
  <c r="D230" i="2"/>
  <c r="F219" i="2"/>
  <c r="I230" i="2"/>
  <c r="J219" i="2"/>
  <c r="F170" i="7"/>
  <c r="F176" i="7" s="1"/>
  <c r="F187" i="7" s="1"/>
  <c r="I144" i="7"/>
  <c r="B170" i="7"/>
  <c r="B176" i="7" s="1"/>
  <c r="B187" i="7" s="1"/>
  <c r="E144" i="7"/>
  <c r="E170" i="7" s="1"/>
  <c r="E176" i="7" s="1"/>
  <c r="F176" i="9"/>
  <c r="C187" i="9"/>
  <c r="J176" i="9"/>
  <c r="G187" i="9"/>
  <c r="F101" i="2"/>
  <c r="F127" i="2" s="1"/>
  <c r="C127" i="2"/>
  <c r="C133" i="2" s="1"/>
  <c r="J101" i="2"/>
  <c r="J127" i="2" s="1"/>
  <c r="G127" i="2"/>
  <c r="G133" i="2" s="1"/>
  <c r="J213" i="4"/>
  <c r="J219" i="4" s="1"/>
  <c r="J230" i="4" s="1"/>
  <c r="J256" i="4" s="1"/>
  <c r="J262" i="4" s="1"/>
  <c r="J273" i="4" s="1"/>
  <c r="J299" i="4" s="1"/>
  <c r="J305" i="4" s="1"/>
  <c r="J316" i="4" s="1"/>
  <c r="J342" i="4" s="1"/>
  <c r="J348" i="4" s="1"/>
  <c r="J359" i="4" s="1"/>
  <c r="J385" i="4" s="1"/>
  <c r="J391" i="4" s="1"/>
  <c r="J402" i="4" s="1"/>
  <c r="J428" i="4" s="1"/>
  <c r="J434" i="4" s="1"/>
  <c r="J445" i="4" s="1"/>
  <c r="J471" i="4" s="1"/>
  <c r="D213" i="4"/>
  <c r="D219" i="4" s="1"/>
  <c r="D230" i="4" s="1"/>
  <c r="D256" i="4" s="1"/>
  <c r="D262" i="4" s="1"/>
  <c r="D273" i="4" s="1"/>
  <c r="D299" i="4" s="1"/>
  <c r="D305" i="4" s="1"/>
  <c r="D316" i="4" s="1"/>
  <c r="D342" i="4" s="1"/>
  <c r="D348" i="4" s="1"/>
  <c r="D359" i="4" s="1"/>
  <c r="D385" i="4" s="1"/>
  <c r="D391" i="4" s="1"/>
  <c r="D402" i="4" s="1"/>
  <c r="D428" i="4" s="1"/>
  <c r="D434" i="4" s="1"/>
  <c r="D445" i="4" s="1"/>
  <c r="D471" i="4" s="1"/>
  <c r="D477" i="4" s="1"/>
  <c r="D488" i="4" s="1"/>
  <c r="D514" i="4" s="1"/>
  <c r="D520" i="4" s="1"/>
  <c r="B144" i="4"/>
  <c r="G90" i="4"/>
  <c r="I127" i="4"/>
  <c r="I133" i="4" s="1"/>
  <c r="I144" i="4" s="1"/>
  <c r="I170" i="4" s="1"/>
  <c r="I176" i="4" s="1"/>
  <c r="I187" i="4" s="1"/>
  <c r="I213" i="4" s="1"/>
  <c r="I219" i="4" s="1"/>
  <c r="I230" i="4" s="1"/>
  <c r="I256" i="4" s="1"/>
  <c r="I262" i="4" s="1"/>
  <c r="I273" i="4" s="1"/>
  <c r="I299" i="4" s="1"/>
  <c r="I305" i="4" s="1"/>
  <c r="C127" i="4"/>
  <c r="C133" i="4" s="1"/>
  <c r="C144" i="4" s="1"/>
  <c r="C170" i="4" s="1"/>
  <c r="C176" i="4" s="1"/>
  <c r="C187" i="4" s="1"/>
  <c r="C213" i="4" s="1"/>
  <c r="C219" i="4" s="1"/>
  <c r="C230" i="4" s="1"/>
  <c r="C256" i="4" s="1"/>
  <c r="C262" i="4" s="1"/>
  <c r="G101" i="4"/>
  <c r="M41" i="4"/>
  <c r="N40" i="4"/>
  <c r="H58" i="4"/>
  <c r="M47" i="4"/>
  <c r="G47" i="4"/>
  <c r="G58" i="4"/>
  <c r="G41" i="4"/>
  <c r="N15" i="4"/>
  <c r="H299" i="2" l="1"/>
  <c r="H305" i="2" s="1"/>
  <c r="J273" i="2"/>
  <c r="J299" i="2" s="1"/>
  <c r="H477" i="4"/>
  <c r="H488" i="4" s="1"/>
  <c r="H514" i="4" s="1"/>
  <c r="H520" i="4" s="1"/>
  <c r="D256" i="2"/>
  <c r="D262" i="2" s="1"/>
  <c r="F230" i="2"/>
  <c r="F256" i="2" s="1"/>
  <c r="F213" i="7"/>
  <c r="I187" i="7"/>
  <c r="I213" i="7" s="1"/>
  <c r="B213" i="7"/>
  <c r="E187" i="7"/>
  <c r="I256" i="2"/>
  <c r="J230" i="2"/>
  <c r="J256" i="2" s="1"/>
  <c r="D531" i="4"/>
  <c r="I170" i="7"/>
  <c r="J144" i="7"/>
  <c r="C213" i="9"/>
  <c r="F187" i="9"/>
  <c r="F213" i="9" s="1"/>
  <c r="J187" i="9"/>
  <c r="J213" i="9" s="1"/>
  <c r="G213" i="9"/>
  <c r="G144" i="2"/>
  <c r="J133" i="2"/>
  <c r="C144" i="2"/>
  <c r="F133" i="2"/>
  <c r="I316" i="4"/>
  <c r="C273" i="4"/>
  <c r="G133" i="4"/>
  <c r="B170" i="4"/>
  <c r="B176" i="4" s="1"/>
  <c r="G144" i="4"/>
  <c r="G170" i="4" s="1"/>
  <c r="G127" i="4"/>
  <c r="N41" i="4"/>
  <c r="N47" i="4"/>
  <c r="H84" i="4"/>
  <c r="H90" i="4" s="1"/>
  <c r="M58" i="4"/>
  <c r="M84" i="4" s="1"/>
  <c r="G84" i="4"/>
  <c r="H316" i="2" l="1"/>
  <c r="J305" i="2"/>
  <c r="D273" i="2"/>
  <c r="F262" i="2"/>
  <c r="E213" i="7"/>
  <c r="J213" i="7" s="1"/>
  <c r="J187" i="7"/>
  <c r="J170" i="7"/>
  <c r="J176" i="7" s="1"/>
  <c r="I176" i="7"/>
  <c r="D557" i="4"/>
  <c r="D563" i="4" s="1"/>
  <c r="D574" i="4" s="1"/>
  <c r="D600" i="4" s="1"/>
  <c r="D606" i="4" s="1"/>
  <c r="D617" i="4" s="1"/>
  <c r="D643" i="4" s="1"/>
  <c r="D649" i="4" s="1"/>
  <c r="D660" i="4" s="1"/>
  <c r="D686" i="4" s="1"/>
  <c r="D692" i="4" s="1"/>
  <c r="D703" i="4" s="1"/>
  <c r="D729" i="4" s="1"/>
  <c r="D735" i="4" s="1"/>
  <c r="D746" i="4" s="1"/>
  <c r="D772" i="4" s="1"/>
  <c r="G170" i="2"/>
  <c r="G176" i="2" s="1"/>
  <c r="J144" i="2"/>
  <c r="J170" i="2" s="1"/>
  <c r="C170" i="2"/>
  <c r="C176" i="2" s="1"/>
  <c r="F144" i="2"/>
  <c r="F170" i="2" s="1"/>
  <c r="I342" i="4"/>
  <c r="I348" i="4" s="1"/>
  <c r="I359" i="4" s="1"/>
  <c r="I385" i="4" s="1"/>
  <c r="I391" i="4" s="1"/>
  <c r="I402" i="4" s="1"/>
  <c r="I428" i="4" s="1"/>
  <c r="I434" i="4" s="1"/>
  <c r="I445" i="4" s="1"/>
  <c r="I471" i="4" s="1"/>
  <c r="C299" i="4"/>
  <c r="C305" i="4" s="1"/>
  <c r="C316" i="4" s="1"/>
  <c r="C342" i="4" s="1"/>
  <c r="C348" i="4" s="1"/>
  <c r="C359" i="4" s="1"/>
  <c r="C385" i="4" s="1"/>
  <c r="C391" i="4" s="1"/>
  <c r="C402" i="4" s="1"/>
  <c r="C428" i="4" s="1"/>
  <c r="C434" i="4" s="1"/>
  <c r="C445" i="4" s="1"/>
  <c r="C471" i="4" s="1"/>
  <c r="C477" i="4" s="1"/>
  <c r="C488" i="4" s="1"/>
  <c r="C514" i="4" s="1"/>
  <c r="C520" i="4" s="1"/>
  <c r="B187" i="4"/>
  <c r="G176" i="4"/>
  <c r="H101" i="4"/>
  <c r="M90" i="4"/>
  <c r="N90" i="4" s="1"/>
  <c r="N58" i="4"/>
  <c r="N84" i="4"/>
  <c r="H342" i="2" l="1"/>
  <c r="J316" i="2"/>
  <c r="J342" i="2" s="1"/>
  <c r="D299" i="2"/>
  <c r="F273" i="2"/>
  <c r="F299" i="2" s="1"/>
  <c r="G477" i="4"/>
  <c r="C531" i="4"/>
  <c r="C187" i="2"/>
  <c r="F176" i="2"/>
  <c r="G187" i="2"/>
  <c r="J176" i="2"/>
  <c r="B213" i="4"/>
  <c r="B219" i="4" s="1"/>
  <c r="G187" i="4"/>
  <c r="G213" i="4" s="1"/>
  <c r="H127" i="4"/>
  <c r="H133" i="4" s="1"/>
  <c r="M101" i="4"/>
  <c r="G488" i="4" l="1"/>
  <c r="G514" i="4" s="1"/>
  <c r="G520" i="4" s="1"/>
  <c r="C557" i="4"/>
  <c r="C563" i="4" s="1"/>
  <c r="G213" i="2"/>
  <c r="J187" i="2"/>
  <c r="J213" i="2" s="1"/>
  <c r="C213" i="2"/>
  <c r="F187" i="2"/>
  <c r="F213" i="2" s="1"/>
  <c r="G219" i="4"/>
  <c r="B230" i="4"/>
  <c r="H144" i="4"/>
  <c r="M133" i="4"/>
  <c r="N133" i="4" s="1"/>
  <c r="M127" i="4"/>
  <c r="N127" i="4" s="1"/>
  <c r="N101" i="4"/>
  <c r="C574" i="4" l="1"/>
  <c r="B256" i="4"/>
  <c r="B262" i="4" s="1"/>
  <c r="G230" i="4"/>
  <c r="M144" i="4"/>
  <c r="H170" i="4"/>
  <c r="H176" i="4" s="1"/>
  <c r="C600" i="4" l="1"/>
  <c r="C606" i="4" s="1"/>
  <c r="B273" i="4"/>
  <c r="G262" i="4"/>
  <c r="G256" i="4"/>
  <c r="H187" i="4"/>
  <c r="M176" i="4"/>
  <c r="N176" i="4" s="1"/>
  <c r="N144" i="4"/>
  <c r="M170" i="4"/>
  <c r="N170" i="4" s="1"/>
  <c r="C617" i="4" l="1"/>
  <c r="B299" i="4"/>
  <c r="B305" i="4" s="1"/>
  <c r="G273" i="4"/>
  <c r="G299" i="4" s="1"/>
  <c r="H213" i="4"/>
  <c r="H219" i="4" s="1"/>
  <c r="M187" i="4"/>
  <c r="C643" i="4" l="1"/>
  <c r="C649" i="4" s="1"/>
  <c r="C660" i="4" s="1"/>
  <c r="C686" i="4" s="1"/>
  <c r="C692" i="4" s="1"/>
  <c r="C703" i="4" s="1"/>
  <c r="C729" i="4" s="1"/>
  <c r="C735" i="4" s="1"/>
  <c r="C746" i="4" s="1"/>
  <c r="C772" i="4" s="1"/>
  <c r="B316" i="4"/>
  <c r="G305" i="4"/>
  <c r="H230" i="4"/>
  <c r="M219" i="4"/>
  <c r="N219" i="4" s="1"/>
  <c r="M213" i="4"/>
  <c r="N213" i="4" s="1"/>
  <c r="N187" i="4"/>
  <c r="B342" i="4" l="1"/>
  <c r="B348" i="4" s="1"/>
  <c r="G316" i="4"/>
  <c r="G342" i="4" s="1"/>
  <c r="H256" i="4"/>
  <c r="H262" i="4" s="1"/>
  <c r="M230" i="4"/>
  <c r="B359" i="4" l="1"/>
  <c r="G348" i="4"/>
  <c r="H273" i="4"/>
  <c r="M262" i="4"/>
  <c r="N262" i="4" s="1"/>
  <c r="M256" i="4"/>
  <c r="N256" i="4" s="1"/>
  <c r="N230" i="4"/>
  <c r="B385" i="4" l="1"/>
  <c r="B391" i="4" s="1"/>
  <c r="G359" i="4"/>
  <c r="H299" i="4"/>
  <c r="H305" i="4" s="1"/>
  <c r="M273" i="4"/>
  <c r="B402" i="4" l="1"/>
  <c r="G391" i="4"/>
  <c r="G385" i="4"/>
  <c r="H316" i="4"/>
  <c r="M305" i="4"/>
  <c r="N305" i="4" s="1"/>
  <c r="M299" i="4"/>
  <c r="N299" i="4" s="1"/>
  <c r="N273" i="4"/>
  <c r="B428" i="4" l="1"/>
  <c r="B434" i="4" s="1"/>
  <c r="G402" i="4"/>
  <c r="H342" i="4"/>
  <c r="H348" i="4" s="1"/>
  <c r="M316" i="4"/>
  <c r="B445" i="4" l="1"/>
  <c r="G434" i="4"/>
  <c r="G428" i="4"/>
  <c r="H359" i="4"/>
  <c r="M348" i="4"/>
  <c r="N348" i="4" s="1"/>
  <c r="N316" i="4"/>
  <c r="M342" i="4"/>
  <c r="N342" i="4" s="1"/>
  <c r="B471" i="4" l="1"/>
  <c r="B477" i="4" s="1"/>
  <c r="G445" i="4"/>
  <c r="H385" i="4"/>
  <c r="H391" i="4" s="1"/>
  <c r="M359" i="4"/>
  <c r="B488" i="4" l="1"/>
  <c r="E477" i="4"/>
  <c r="G471" i="4"/>
  <c r="H402" i="4"/>
  <c r="M391" i="4"/>
  <c r="N391" i="4" s="1"/>
  <c r="M385" i="4"/>
  <c r="N385" i="4" s="1"/>
  <c r="N359" i="4"/>
  <c r="B514" i="4" l="1"/>
  <c r="B520" i="4" s="1"/>
  <c r="E488" i="4"/>
  <c r="E514" i="4" s="1"/>
  <c r="H428" i="4"/>
  <c r="H434" i="4" s="1"/>
  <c r="M402" i="4"/>
  <c r="B531" i="4" l="1"/>
  <c r="E520" i="4"/>
  <c r="H445" i="4"/>
  <c r="M434" i="4"/>
  <c r="N434" i="4" s="1"/>
  <c r="M428" i="4"/>
  <c r="N428" i="4" s="1"/>
  <c r="N402" i="4"/>
  <c r="B557" i="4" l="1"/>
  <c r="B563" i="4" s="1"/>
  <c r="E531" i="4"/>
  <c r="E557" i="4" s="1"/>
  <c r="M445" i="4"/>
  <c r="H471" i="4"/>
  <c r="F477" i="4" s="1"/>
  <c r="I477" i="4" s="1"/>
  <c r="J477" i="4" s="1"/>
  <c r="B574" i="4" l="1"/>
  <c r="E563" i="4"/>
  <c r="F488" i="4"/>
  <c r="M471" i="4"/>
  <c r="N471" i="4" s="1"/>
  <c r="N445" i="4"/>
  <c r="B600" i="4" l="1"/>
  <c r="B606" i="4" s="1"/>
  <c r="E574" i="4"/>
  <c r="E600" i="4" s="1"/>
  <c r="I488" i="4"/>
  <c r="F514" i="4"/>
  <c r="F520" i="4" s="1"/>
  <c r="F531" i="4" l="1"/>
  <c r="F557" i="4" s="1"/>
  <c r="F563" i="4" s="1"/>
  <c r="F574" i="4" s="1"/>
  <c r="F600" i="4" s="1"/>
  <c r="F606" i="4" s="1"/>
  <c r="F617" i="4" s="1"/>
  <c r="F643" i="4" s="1"/>
  <c r="F649" i="4" s="1"/>
  <c r="I520" i="4"/>
  <c r="B617" i="4"/>
  <c r="E606" i="4"/>
  <c r="I514" i="4"/>
  <c r="J488" i="4"/>
  <c r="B643" i="4" l="1"/>
  <c r="B649" i="4" s="1"/>
  <c r="E617" i="4"/>
  <c r="E643" i="4" s="1"/>
  <c r="F660" i="4"/>
  <c r="J514" i="4"/>
  <c r="H531" i="4" s="1"/>
  <c r="G531" i="4"/>
  <c r="G557" i="4" s="1"/>
  <c r="G563" i="4" s="1"/>
  <c r="F686" i="4" l="1"/>
  <c r="F692" i="4" s="1"/>
  <c r="B660" i="4"/>
  <c r="E649" i="4"/>
  <c r="G574" i="4"/>
  <c r="J520" i="4"/>
  <c r="H557" i="4"/>
  <c r="H563" i="4" s="1"/>
  <c r="H574" i="4" s="1"/>
  <c r="H600" i="4" s="1"/>
  <c r="H606" i="4" s="1"/>
  <c r="H617" i="4" s="1"/>
  <c r="H643" i="4" s="1"/>
  <c r="H649" i="4" s="1"/>
  <c r="H660" i="4" s="1"/>
  <c r="H686" i="4" s="1"/>
  <c r="H692" i="4" s="1"/>
  <c r="H703" i="4" s="1"/>
  <c r="H729" i="4" s="1"/>
  <c r="H735" i="4" s="1"/>
  <c r="H746" i="4" s="1"/>
  <c r="H772" i="4" s="1"/>
  <c r="I531" i="4"/>
  <c r="B686" i="4" l="1"/>
  <c r="B692" i="4" s="1"/>
  <c r="E660" i="4"/>
  <c r="E686" i="4" s="1"/>
  <c r="I563" i="4"/>
  <c r="J563" i="4" s="1"/>
  <c r="F703" i="4"/>
  <c r="G600" i="4"/>
  <c r="G606" i="4" s="1"/>
  <c r="I574" i="4"/>
  <c r="I557" i="4"/>
  <c r="J557" i="4" s="1"/>
  <c r="J531" i="4"/>
  <c r="F729" i="4" l="1"/>
  <c r="F735" i="4" s="1"/>
  <c r="B703" i="4"/>
  <c r="E692" i="4"/>
  <c r="G617" i="4"/>
  <c r="I606" i="4"/>
  <c r="J606" i="4" s="1"/>
  <c r="I600" i="4"/>
  <c r="J600" i="4" s="1"/>
  <c r="J574" i="4"/>
  <c r="B729" i="4" l="1"/>
  <c r="B735" i="4" s="1"/>
  <c r="E703" i="4"/>
  <c r="E729" i="4" s="1"/>
  <c r="F746" i="4"/>
  <c r="G643" i="4"/>
  <c r="G649" i="4" s="1"/>
  <c r="I617" i="4"/>
  <c r="F772" i="4" l="1"/>
  <c r="F778" i="4" s="1"/>
  <c r="G660" i="4"/>
  <c r="I649" i="4"/>
  <c r="J649" i="4" s="1"/>
  <c r="B746" i="4"/>
  <c r="E735" i="4"/>
  <c r="I643" i="4"/>
  <c r="J643" i="4" s="1"/>
  <c r="J617" i="4"/>
  <c r="F789" i="4" l="1"/>
  <c r="I778" i="4"/>
  <c r="E746" i="4"/>
  <c r="E772" i="4" s="1"/>
  <c r="B772" i="4"/>
  <c r="B778" i="4" s="1"/>
  <c r="G686" i="4"/>
  <c r="G692" i="4" s="1"/>
  <c r="I660" i="4"/>
  <c r="F815" i="4" l="1"/>
  <c r="I789" i="4"/>
  <c r="I815" i="4" s="1"/>
  <c r="B789" i="4"/>
  <c r="E778" i="4"/>
  <c r="J778" i="4" s="1"/>
  <c r="I686" i="4"/>
  <c r="J686" i="4" s="1"/>
  <c r="J660" i="4"/>
  <c r="G703" i="4"/>
  <c r="I692" i="4"/>
  <c r="J692" i="4" s="1"/>
  <c r="B815" i="4" l="1"/>
  <c r="E789" i="4"/>
  <c r="G729" i="4"/>
  <c r="G735" i="4" s="1"/>
  <c r="I703" i="4"/>
  <c r="E815" i="4" l="1"/>
  <c r="J815" i="4" s="1"/>
  <c r="J789" i="4"/>
  <c r="I729" i="4"/>
  <c r="J729" i="4" s="1"/>
  <c r="J703" i="4"/>
  <c r="G746" i="4"/>
  <c r="I735" i="4"/>
  <c r="J735" i="4" s="1"/>
  <c r="G772" i="4" l="1"/>
  <c r="I746" i="4"/>
  <c r="J746" i="4" l="1"/>
  <c r="I772" i="4"/>
  <c r="J772" i="4" s="1"/>
</calcChain>
</file>

<file path=xl/sharedStrings.xml><?xml version="1.0" encoding="utf-8"?>
<sst xmlns="http://schemas.openxmlformats.org/spreadsheetml/2006/main" count="2698" uniqueCount="111">
  <si>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</si>
  <si>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</si>
  <si>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</si>
  <si>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</si>
  <si>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</si>
  <si>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</si>
  <si>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</si>
  <si>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8"/>
  </si>
  <si>
    <t>L</t>
    <phoneticPr fontId="8"/>
  </si>
  <si>
    <t>LL</t>
    <phoneticPr fontId="8"/>
  </si>
  <si>
    <t>合計</t>
    <rPh sb="0" eb="2">
      <t>ゴウケイ</t>
    </rPh>
    <phoneticPr fontId="8"/>
  </si>
  <si>
    <t>M</t>
  </si>
  <si>
    <t>L</t>
  </si>
  <si>
    <t>LL</t>
  </si>
  <si>
    <t>ピンク</t>
    <phoneticPr fontId="8"/>
  </si>
  <si>
    <t>モカ</t>
    <phoneticPr fontId="8"/>
  </si>
  <si>
    <t>ネット</t>
    <phoneticPr fontId="8"/>
  </si>
  <si>
    <t>＜No.37674　スキンケア＞</t>
    <phoneticPr fontId="3"/>
  </si>
  <si>
    <t>LL</t>
    <phoneticPr fontId="8"/>
  </si>
  <si>
    <t>3L</t>
  </si>
  <si>
    <t>3L</t>
    <phoneticPr fontId="8"/>
  </si>
  <si>
    <t>4L</t>
  </si>
  <si>
    <t>4L</t>
    <phoneticPr fontId="8"/>
  </si>
  <si>
    <t>初回</t>
    <rPh sb="0" eb="2">
      <t>ショカイ</t>
    </rPh>
    <phoneticPr fontId="3"/>
  </si>
  <si>
    <t>M、L　400　LL　430　3L　470　4L　520</t>
    <phoneticPr fontId="8"/>
  </si>
  <si>
    <t>M</t>
    <phoneticPr fontId="3"/>
  </si>
  <si>
    <t>L</t>
    <phoneticPr fontId="3"/>
  </si>
  <si>
    <t>LL</t>
    <phoneticPr fontId="3"/>
  </si>
  <si>
    <t>在庫</t>
    <rPh sb="0" eb="2">
      <t>ザイコ</t>
    </rPh>
    <phoneticPr fontId="3"/>
  </si>
  <si>
    <t>M</t>
    <phoneticPr fontId="3"/>
  </si>
  <si>
    <t>L</t>
    <phoneticPr fontId="3"/>
  </si>
  <si>
    <t>LL</t>
    <phoneticPr fontId="3"/>
  </si>
  <si>
    <t>＜No.32043 水玉50CC＞</t>
    <rPh sb="10" eb="12">
      <t>ミズタマ</t>
    </rPh>
    <phoneticPr fontId="3"/>
  </si>
  <si>
    <t>グレー</t>
    <phoneticPr fontId="3"/>
  </si>
  <si>
    <t>モカ</t>
    <phoneticPr fontId="3"/>
  </si>
  <si>
    <t>グレー</t>
    <phoneticPr fontId="3"/>
  </si>
  <si>
    <t>ネット</t>
    <phoneticPr fontId="8"/>
  </si>
  <si>
    <t>M、L　520　LL　550</t>
    <phoneticPr fontId="8"/>
  </si>
  <si>
    <t>ピンク</t>
    <phoneticPr fontId="3"/>
  </si>
  <si>
    <t>＜No.32066　スキンケアロング　3分丈＞</t>
    <rPh sb="20" eb="21">
      <t>ブ</t>
    </rPh>
    <rPh sb="21" eb="22">
      <t>タケ</t>
    </rPh>
    <phoneticPr fontId="3"/>
  </si>
  <si>
    <t>＜No.32033 ワッフル50CC＞</t>
    <phoneticPr fontId="3"/>
  </si>
  <si>
    <t>ピーチ</t>
    <phoneticPr fontId="3"/>
  </si>
  <si>
    <t>M、L　555　LL　585</t>
    <phoneticPr fontId="8"/>
  </si>
  <si>
    <t>ネット</t>
    <phoneticPr fontId="8"/>
  </si>
  <si>
    <t>M、L580　LL610</t>
    <phoneticPr fontId="8"/>
  </si>
  <si>
    <t>ネット</t>
    <phoneticPr fontId="8"/>
  </si>
  <si>
    <t>パープル</t>
  </si>
  <si>
    <t>パープル</t>
    <phoneticPr fontId="8"/>
  </si>
  <si>
    <t>モカ</t>
    <phoneticPr fontId="8"/>
  </si>
  <si>
    <t>追加</t>
    <rPh sb="0" eb="2">
      <t>ツイカ</t>
    </rPh>
    <phoneticPr fontId="8"/>
  </si>
  <si>
    <t>＜No.37672 ジャガード柄1分丈＞</t>
    <rPh sb="15" eb="16">
      <t>ガラ</t>
    </rPh>
    <rPh sb="17" eb="18">
      <t>ブ</t>
    </rPh>
    <rPh sb="18" eb="19">
      <t>タケ</t>
    </rPh>
    <phoneticPr fontId="3"/>
  </si>
  <si>
    <t>M、L　430　LL　450</t>
    <phoneticPr fontId="8"/>
  </si>
  <si>
    <t>ネット</t>
    <phoneticPr fontId="8"/>
  </si>
  <si>
    <t>ネット返品</t>
    <rPh sb="3" eb="5">
      <t>ヘンピン</t>
    </rPh>
    <phoneticPr fontId="8"/>
  </si>
  <si>
    <t>ネット</t>
  </si>
  <si>
    <t>追加</t>
    <rPh sb="0" eb="2">
      <t>ツイカ</t>
    </rPh>
    <phoneticPr fontId="8"/>
  </si>
  <si>
    <t>ピンク</t>
    <phoneticPr fontId="3"/>
  </si>
  <si>
    <t>追加</t>
    <rPh sb="0" eb="2">
      <t>ツイカ</t>
    </rPh>
    <phoneticPr fontId="8"/>
  </si>
  <si>
    <t>西川合繊返品</t>
    <rPh sb="0" eb="4">
      <t>ニシカワゴウセン</t>
    </rPh>
    <rPh sb="4" eb="6">
      <t>ヘンピン</t>
    </rPh>
    <phoneticPr fontId="8"/>
  </si>
  <si>
    <t>追加</t>
    <rPh sb="0" eb="2">
      <t>ツイカ</t>
    </rPh>
    <phoneticPr fontId="8"/>
  </si>
  <si>
    <t>在庫確認</t>
    <rPh sb="0" eb="4">
      <t>ザイコカクニン</t>
    </rPh>
    <phoneticPr fontId="3"/>
  </si>
  <si>
    <t>＜No.32048　赤フライス＞</t>
    <rPh sb="10" eb="11">
      <t>アカ</t>
    </rPh>
    <phoneticPr fontId="3"/>
  </si>
  <si>
    <t>赤</t>
    <rPh sb="0" eb="1">
      <t>アカ</t>
    </rPh>
    <phoneticPr fontId="8"/>
  </si>
  <si>
    <t>ネット</t>
    <phoneticPr fontId="8"/>
  </si>
  <si>
    <t>ネット交換</t>
    <rPh sb="3" eb="5">
      <t>コウカン</t>
    </rPh>
    <phoneticPr fontId="8"/>
  </si>
  <si>
    <t>M、L　450　LL　480　3L　520　4L　570</t>
    <phoneticPr fontId="8"/>
  </si>
  <si>
    <t>M,L620　LL650</t>
    <phoneticPr fontId="8"/>
  </si>
  <si>
    <t>M、L　445　LL　465</t>
    <phoneticPr fontId="8"/>
  </si>
  <si>
    <t>棚卸</t>
    <rPh sb="0" eb="2">
      <t>タナオロシ</t>
    </rPh>
    <phoneticPr fontId="3"/>
  </si>
  <si>
    <t>12/20頃入荷</t>
    <rPh sb="5" eb="6">
      <t>ゴロ</t>
    </rPh>
    <rPh sb="6" eb="8">
      <t>ニュウカ</t>
    </rPh>
    <phoneticPr fontId="8"/>
  </si>
  <si>
    <t>1/20頃</t>
    <rPh sb="4" eb="5">
      <t>ゴロ</t>
    </rPh>
    <phoneticPr fontId="8"/>
  </si>
  <si>
    <t>1/末</t>
    <rPh sb="2" eb="3">
      <t>マツ</t>
    </rPh>
    <phoneticPr fontId="8"/>
  </si>
  <si>
    <t>2/20頃</t>
    <rPh sb="4" eb="5">
      <t>ゴロ</t>
    </rPh>
    <phoneticPr fontId="8"/>
  </si>
  <si>
    <t>在庫確認</t>
    <rPh sb="0" eb="4">
      <t>ザイコカクニン</t>
    </rPh>
    <phoneticPr fontId="8"/>
  </si>
  <si>
    <t>在庫確認</t>
    <rPh sb="0" eb="4">
      <t>ザイコカクニン</t>
    </rPh>
    <phoneticPr fontId="8"/>
  </si>
  <si>
    <t>追加</t>
    <rPh sb="0" eb="2">
      <t>ツイカ</t>
    </rPh>
    <phoneticPr fontId="8"/>
  </si>
  <si>
    <t>入荷未定</t>
    <rPh sb="0" eb="4">
      <t>ニュウカミテイ</t>
    </rPh>
    <phoneticPr fontId="8"/>
  </si>
  <si>
    <t>追加</t>
    <rPh sb="0" eb="2">
      <t>ツイカ</t>
    </rPh>
    <phoneticPr fontId="8"/>
  </si>
  <si>
    <t>4/末頃</t>
    <rPh sb="2" eb="4">
      <t>マツゴロ</t>
    </rPh>
    <phoneticPr fontId="8"/>
  </si>
  <si>
    <t>4/末頃</t>
    <rPh sb="2" eb="4">
      <t>マツゴロ</t>
    </rPh>
    <phoneticPr fontId="8"/>
  </si>
  <si>
    <t>7/初旬</t>
    <rPh sb="2" eb="4">
      <t>ショジュン</t>
    </rPh>
    <phoneticPr fontId="8"/>
  </si>
  <si>
    <t>在庫確認</t>
    <rPh sb="0" eb="4">
      <t>ザイコカクニン</t>
    </rPh>
    <phoneticPr fontId="8"/>
  </si>
  <si>
    <t>調整</t>
    <rPh sb="0" eb="2">
      <t>チョウセイ</t>
    </rPh>
    <phoneticPr fontId="3"/>
  </si>
  <si>
    <t>次回2月中旬上がり</t>
    <rPh sb="0" eb="2">
      <t>ジカイ</t>
    </rPh>
    <rPh sb="3" eb="4">
      <t>ガツ</t>
    </rPh>
    <rPh sb="4" eb="6">
      <t>チュウジュン</t>
    </rPh>
    <rPh sb="6" eb="7">
      <t>ア</t>
    </rPh>
    <phoneticPr fontId="8"/>
  </si>
  <si>
    <t>在庫差異</t>
    <rPh sb="0" eb="2">
      <t>ザイコ</t>
    </rPh>
    <rPh sb="2" eb="4">
      <t>サイ</t>
    </rPh>
    <phoneticPr fontId="8"/>
  </si>
  <si>
    <t>2月伝</t>
    <rPh sb="1" eb="3">
      <t>ガツデン</t>
    </rPh>
    <phoneticPr fontId="8"/>
  </si>
  <si>
    <t>4/20頃まで</t>
    <rPh sb="4" eb="5">
      <t>ゴロ</t>
    </rPh>
    <phoneticPr fontId="8"/>
  </si>
  <si>
    <t>在庫確認</t>
    <rPh sb="0" eb="4">
      <t>ザイコカクニン</t>
    </rPh>
    <phoneticPr fontId="8"/>
  </si>
  <si>
    <t>調整</t>
    <rPh sb="0" eb="2">
      <t>チョウセイ</t>
    </rPh>
    <phoneticPr fontId="8"/>
  </si>
  <si>
    <t>伝11月</t>
    <rPh sb="0" eb="1">
      <t>デン</t>
    </rPh>
    <rPh sb="3" eb="4">
      <t>ガツ</t>
    </rPh>
    <phoneticPr fontId="8"/>
  </si>
  <si>
    <t>ネット</t>
    <phoneticPr fontId="8"/>
  </si>
  <si>
    <t>＜No.32030　婦人300CC＞　＠2100、2250、2600</t>
    <rPh sb="10" eb="12">
      <t>フジン</t>
    </rPh>
    <phoneticPr fontId="3"/>
  </si>
  <si>
    <t>ネット</t>
    <phoneticPr fontId="8"/>
  </si>
  <si>
    <t>＜No.52710　綿100％フライス8分袖インナー＞　＠900、950</t>
    <rPh sb="10" eb="11">
      <t>メン</t>
    </rPh>
    <rPh sb="20" eb="22">
      <t>ブソデ</t>
    </rPh>
    <phoneticPr fontId="3"/>
  </si>
  <si>
    <t>ネット</t>
    <phoneticPr fontId="8"/>
  </si>
  <si>
    <t>＜No.52717　綿100％フライス3分袖インナー＞　＠800、850</t>
    <rPh sb="10" eb="11">
      <t>メン</t>
    </rPh>
    <rPh sb="20" eb="22">
      <t>ブソデ</t>
    </rPh>
    <phoneticPr fontId="3"/>
  </si>
  <si>
    <t>＜No.50711　綿100％フライス3分長＞　＠480</t>
    <rPh sb="10" eb="11">
      <t>メン</t>
    </rPh>
    <rPh sb="20" eb="22">
      <t>ブナガ</t>
    </rPh>
    <phoneticPr fontId="3"/>
  </si>
  <si>
    <t>5/20まで欠品</t>
    <rPh sb="6" eb="8">
      <t>ケッピン</t>
    </rPh>
    <phoneticPr fontId="8"/>
  </si>
  <si>
    <t>ネット</t>
    <phoneticPr fontId="8"/>
  </si>
  <si>
    <t>在庫確認</t>
    <rPh sb="0" eb="4">
      <t>ザイコカクニン</t>
    </rPh>
    <phoneticPr fontId="8"/>
  </si>
  <si>
    <t>在庫確認</t>
    <rPh sb="0" eb="4">
      <t>ザイコカクニン</t>
    </rPh>
    <phoneticPr fontId="8"/>
  </si>
  <si>
    <t>9月伝</t>
    <rPh sb="1" eb="3">
      <t>ガツデン</t>
    </rPh>
    <phoneticPr fontId="8"/>
  </si>
  <si>
    <t>9月伝</t>
    <rPh sb="1" eb="3">
      <t>ガツデン</t>
    </rPh>
    <phoneticPr fontId="8"/>
  </si>
  <si>
    <t>9月伝</t>
    <rPh sb="1" eb="3">
      <t>ガツデン</t>
    </rPh>
    <phoneticPr fontId="8"/>
  </si>
  <si>
    <t>次回入荷12月末頃予定</t>
    <rPh sb="0" eb="2">
      <t>ジカイ</t>
    </rPh>
    <rPh sb="2" eb="4">
      <t>ニュウカ</t>
    </rPh>
    <rPh sb="6" eb="7">
      <t>ガツ</t>
    </rPh>
    <rPh sb="7" eb="9">
      <t>マツゴロ</t>
    </rPh>
    <rPh sb="9" eb="11">
      <t>ヨテイ</t>
    </rPh>
    <phoneticPr fontId="8"/>
  </si>
  <si>
    <t>追加</t>
    <rPh sb="0" eb="2">
      <t>ツイカ</t>
    </rPh>
    <phoneticPr fontId="8"/>
  </si>
  <si>
    <t>在庫確認</t>
    <rPh sb="0" eb="2">
      <t>ザイコ</t>
    </rPh>
    <rPh sb="2" eb="4">
      <t>カクニン</t>
    </rPh>
    <phoneticPr fontId="8"/>
  </si>
  <si>
    <t>追加</t>
    <rPh sb="0" eb="2">
      <t>ツイカ</t>
    </rPh>
    <phoneticPr fontId="8"/>
  </si>
  <si>
    <t>ネット返品</t>
    <rPh sb="3" eb="5">
      <t>ヘンピン</t>
    </rPh>
    <phoneticPr fontId="8"/>
  </si>
  <si>
    <t>在庫調整</t>
    <rPh sb="0" eb="4">
      <t>ザイコチョウセイ</t>
    </rPh>
    <phoneticPr fontId="8"/>
  </si>
  <si>
    <t>追加 注残</t>
    <rPh sb="0" eb="2">
      <t>ツイカ</t>
    </rPh>
    <rPh sb="3" eb="5">
      <t>チュウザン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</si>
</sst>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24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1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7" fillId="2" borderId="4" xfId="2" applyFont="1" applyFill="1" applyBorder="1"/>
    <xf numFmtId="0" fontId="4" fillId="0" borderId="12" xfId="2" applyFont="1" applyBorder="1" applyAlignment="1">
      <alignment horizontal="center" vertical="center"/>
    </xf>
    <xf numFmtId="0" fontId="2" fillId="2" borderId="13" xfId="2" applyFill="1" applyBorder="1"/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0" fontId="6" fillId="0" borderId="5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11" fillId="0" borderId="0" xfId="2" applyFont="1"/>
    <xf numFmtId="0" fontId="9" fillId="3" borderId="4" xfId="0" applyFont="1" applyFill="1" applyBorder="1">
      <alignment vertical="center"/>
    </xf>
    <xf numFmtId="0" fontId="12" fillId="3" borderId="4" xfId="0" applyFont="1" applyFill="1" applyBorder="1">
      <alignment vertical="center"/>
    </xf>
    <xf numFmtId="56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3" borderId="1" xfId="0" applyFont="1" applyFill="1" applyBorder="1">
      <alignment vertical="center"/>
    </xf>
    <xf numFmtId="0" fontId="2" fillId="0" borderId="8" xfId="2" applyBorder="1" applyAlignment="1">
      <alignment horizontal="center" vertical="center"/>
    </xf>
    <xf numFmtId="0" fontId="12" fillId="3" borderId="13" xfId="0" applyFont="1" applyFill="1" applyBorder="1">
      <alignment vertical="center"/>
    </xf>
    <xf numFmtId="56" fontId="0" fillId="0" borderId="0" xfId="0" applyNumberFormat="1">
      <alignment vertical="center"/>
    </xf>
    <xf numFmtId="0" fontId="12" fillId="3" borderId="18" xfId="0" applyFont="1" applyFill="1" applyBorder="1">
      <alignment vertical="center"/>
    </xf>
    <xf numFmtId="0" fontId="2" fillId="0" borderId="9" xfId="2" applyBorder="1" applyAlignment="1">
      <alignment horizontal="center" vertical="center"/>
    </xf>
    <xf numFmtId="0" fontId="2" fillId="0" borderId="16" xfId="2" applyBorder="1" applyAlignment="1">
      <alignment horizontal="center" vertical="center"/>
    </xf>
    <xf numFmtId="0" fontId="2" fillId="2" borderId="21" xfId="2" applyFill="1" applyBorder="1"/>
    <xf numFmtId="0" fontId="2" fillId="2" borderId="22" xfId="2" applyFill="1" applyBorder="1"/>
    <xf numFmtId="0" fontId="7" fillId="2" borderId="3" xfId="2" applyFont="1" applyFill="1" applyBorder="1"/>
    <xf numFmtId="0" fontId="2" fillId="2" borderId="19" xfId="2" applyFill="1" applyBorder="1"/>
    <xf numFmtId="0" fontId="2" fillId="2" borderId="8" xfId="2" applyFill="1" applyBorder="1"/>
    <xf numFmtId="0" fontId="2" fillId="2" borderId="0" xfId="2" applyFill="1"/>
    <xf numFmtId="0" fontId="7" fillId="2" borderId="12" xfId="2" applyFont="1" applyFill="1" applyBorder="1"/>
    <xf numFmtId="0" fontId="2" fillId="2" borderId="6" xfId="2" applyFill="1" applyBorder="1"/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2" fillId="0" borderId="14" xfId="2" applyBorder="1" applyAlignment="1">
      <alignment horizontal="center" vertical="center"/>
    </xf>
    <xf numFmtId="0" fontId="2" fillId="0" borderId="4" xfId="2" applyBorder="1"/>
    <xf numFmtId="0" fontId="2" fillId="0" borderId="8" xfId="2" applyBorder="1"/>
    <xf numFmtId="0" fontId="7" fillId="0" borderId="12" xfId="2" applyFont="1" applyBorder="1"/>
    <xf numFmtId="0" fontId="10" fillId="0" borderId="10" xfId="2" applyFont="1" applyBorder="1" applyAlignment="1">
      <alignment horizontal="center" vertical="center"/>
    </xf>
    <xf numFmtId="0" fontId="2" fillId="2" borderId="11" xfId="2" applyFill="1" applyBorder="1"/>
    <xf numFmtId="0" fontId="2" fillId="2" borderId="20" xfId="2" applyFill="1" applyBorder="1"/>
    <xf numFmtId="0" fontId="2" fillId="2" borderId="12" xfId="2" applyFill="1" applyBorder="1"/>
    <xf numFmtId="0" fontId="4" fillId="0" borderId="16" xfId="2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" fillId="2" borderId="3" xfId="2" applyFill="1" applyBorder="1"/>
    <xf numFmtId="0" fontId="13" fillId="0" borderId="0" xfId="2" applyFont="1"/>
    <xf numFmtId="0" fontId="1" fillId="0" borderId="0" xfId="1">
      <alignment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14" fillId="0" borderId="5" xfId="2" applyFont="1" applyBorder="1" applyAlignment="1">
      <alignment horizontal="center" vertical="center"/>
    </xf>
    <xf numFmtId="0" fontId="7" fillId="0" borderId="9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9" fillId="0" borderId="0" xfId="0" applyFont="1">
      <alignment vertical="center"/>
    </xf>
    <xf numFmtId="0" fontId="2" fillId="0" borderId="26" xfId="2" applyBorder="1" applyAlignment="1">
      <alignment horizontal="center" vertical="center"/>
    </xf>
    <xf numFmtId="0" fontId="2" fillId="0" borderId="24" xfId="2" applyBorder="1" applyAlignment="1">
      <alignment horizontal="center" vertical="center"/>
    </xf>
    <xf numFmtId="0" fontId="2" fillId="0" borderId="24" xfId="2" applyBorder="1"/>
    <xf numFmtId="0" fontId="10" fillId="0" borderId="7" xfId="2" applyFont="1" applyBorder="1" applyAlignment="1">
      <alignment horizontal="center" vertical="center"/>
    </xf>
    <xf numFmtId="0" fontId="2" fillId="0" borderId="28" xfId="2" applyBorder="1"/>
    <xf numFmtId="0" fontId="4" fillId="0" borderId="17" xfId="2" applyFont="1" applyBorder="1" applyAlignment="1">
      <alignment horizontal="center" vertical="center"/>
    </xf>
    <xf numFmtId="0" fontId="4" fillId="0" borderId="29" xfId="2" applyFont="1" applyBorder="1"/>
    <xf numFmtId="0" fontId="4" fillId="0" borderId="31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2" fillId="0" borderId="23" xfId="2" applyBorder="1" applyAlignment="1">
      <alignment horizontal="center" vertical="center"/>
    </xf>
    <xf numFmtId="0" fontId="2" fillId="0" borderId="23" xfId="2" applyBorder="1"/>
    <xf numFmtId="0" fontId="2" fillId="0" borderId="34" xfId="2" applyBorder="1"/>
    <xf numFmtId="0" fontId="2" fillId="2" borderId="7" xfId="2" applyFill="1" applyBorder="1"/>
    <xf numFmtId="0" fontId="4" fillId="0" borderId="35" xfId="2" applyFont="1" applyBorder="1" applyAlignment="1">
      <alignment horizontal="center" vertical="center"/>
    </xf>
    <xf numFmtId="0" fontId="2" fillId="0" borderId="26" xfId="2" applyBorder="1"/>
    <xf numFmtId="0" fontId="2" fillId="0" borderId="37" xfId="2" applyBorder="1"/>
    <xf numFmtId="0" fontId="2" fillId="0" borderId="36" xfId="2" applyBorder="1"/>
    <xf numFmtId="0" fontId="2" fillId="0" borderId="30" xfId="2" applyBorder="1"/>
    <xf numFmtId="0" fontId="2" fillId="0" borderId="33" xfId="2" applyBorder="1"/>
    <xf numFmtId="0" fontId="7" fillId="0" borderId="35" xfId="2" applyFont="1" applyBorder="1"/>
    <xf numFmtId="0" fontId="7" fillId="0" borderId="31" xfId="2" applyFont="1" applyBorder="1"/>
    <xf numFmtId="0" fontId="7" fillId="0" borderId="32" xfId="2" applyFont="1" applyBorder="1"/>
    <xf numFmtId="0" fontId="7" fillId="0" borderId="30" xfId="2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/>
    </xf>
    <xf numFmtId="0" fontId="7" fillId="2" borderId="38" xfId="2" applyFont="1" applyFill="1" applyBorder="1"/>
    <xf numFmtId="0" fontId="7" fillId="2" borderId="39" xfId="2" applyFont="1" applyFill="1" applyBorder="1"/>
    <xf numFmtId="0" fontId="7" fillId="2" borderId="40" xfId="2" applyFont="1" applyFill="1" applyBorder="1"/>
    <xf numFmtId="0" fontId="7" fillId="2" borderId="18" xfId="2" applyFont="1" applyFill="1" applyBorder="1"/>
    <xf numFmtId="0" fontId="2" fillId="2" borderId="35" xfId="2" applyFill="1" applyBorder="1"/>
    <xf numFmtId="0" fontId="2" fillId="2" borderId="31" xfId="2" applyFill="1" applyBorder="1"/>
    <xf numFmtId="0" fontId="2" fillId="2" borderId="32" xfId="2" applyFill="1" applyBorder="1"/>
    <xf numFmtId="0" fontId="6" fillId="0" borderId="14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2" fillId="0" borderId="27" xfId="2" applyBorder="1"/>
    <xf numFmtId="0" fontId="4" fillId="0" borderId="4" xfId="2" applyFont="1" applyBorder="1" applyAlignment="1">
      <alignment horizontal="center" vertical="center"/>
    </xf>
    <xf numFmtId="0" fontId="2" fillId="0" borderId="36" xfId="2" applyBorder="1" applyAlignment="1">
      <alignment horizontal="center" vertical="center"/>
    </xf>
    <xf numFmtId="0" fontId="2" fillId="0" borderId="30" xfId="2" applyBorder="1" applyAlignment="1">
      <alignment horizontal="center" vertical="center"/>
    </xf>
    <xf numFmtId="0" fontId="2" fillId="0" borderId="33" xfId="2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2" borderId="4" xfId="2" applyFont="1" applyFill="1" applyBorder="1"/>
    <xf numFmtId="56" fontId="15" fillId="0" borderId="0" xfId="0" applyNumberFormat="1" applyFont="1">
      <alignment vertical="center"/>
    </xf>
    <xf numFmtId="0" fontId="6" fillId="0" borderId="26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2" borderId="5" xfId="2" applyFont="1" applyFill="1" applyBorder="1"/>
    <xf numFmtId="0" fontId="6" fillId="0" borderId="6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/>
    <xf numFmtId="0" fontId="6" fillId="0" borderId="5" xfId="2" applyFont="1" applyBorder="1"/>
    <xf numFmtId="0" fontId="6" fillId="0" borderId="9" xfId="2" applyFont="1" applyBorder="1" applyAlignment="1">
      <alignment horizontal="center" vertical="center"/>
    </xf>
    <xf numFmtId="0" fontId="6" fillId="2" borderId="8" xfId="2" applyFont="1" applyFill="1" applyBorder="1"/>
    <xf numFmtId="0" fontId="6" fillId="2" borderId="21" xfId="2" applyFont="1" applyFill="1" applyBorder="1"/>
    <xf numFmtId="0" fontId="15" fillId="3" borderId="4" xfId="0" applyFont="1" applyFill="1" applyBorder="1">
      <alignment vertical="center"/>
    </xf>
    <xf numFmtId="0" fontId="2" fillId="0" borderId="5" xfId="2" applyBorder="1" applyAlignment="1">
      <alignment shrinkToFit="1"/>
    </xf>
    <xf numFmtId="0" fontId="7" fillId="0" borderId="5" xfId="2" applyFont="1" applyBorder="1"/>
    <xf numFmtId="0" fontId="7" fillId="0" borderId="6" xfId="2" applyFont="1" applyBorder="1"/>
    <xf numFmtId="56" fontId="9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4" borderId="7" xfId="2" applyFill="1" applyBorder="1"/>
    <xf numFmtId="0" fontId="2" fillId="4" borderId="6" xfId="2" applyFill="1" applyBorder="1"/>
    <xf numFmtId="0" fontId="2" fillId="4" borderId="5" xfId="2" applyFill="1" applyBorder="1"/>
    <xf numFmtId="0" fontId="2" fillId="4" borderId="6" xfId="2" applyFill="1" applyBorder="1" applyAlignment="1">
      <alignment horizontal="center" vertical="center"/>
    </xf>
    <xf numFmtId="0" fontId="7" fillId="2" borderId="8" xfId="2" applyFont="1" applyFill="1" applyBorder="1"/>
    <xf numFmtId="0" fontId="7" fillId="2" borderId="21" xfId="2" applyFont="1" applyFill="1" applyBorder="1"/>
    <xf numFmtId="0" fontId="2" fillId="2" borderId="4" xfId="2" applyFill="1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2" borderId="13" xfId="2" applyFill="1" applyBorder="1" applyAlignment="1">
      <alignment horizontal="center"/>
    </xf>
    <xf numFmtId="0" fontId="12" fillId="3" borderId="5" xfId="0" applyFont="1" applyFill="1" applyBorder="1">
      <alignment vertical="center"/>
    </xf>
    <xf numFmtId="0" fontId="2" fillId="0" borderId="10" xfId="2" applyBorder="1"/>
    <xf numFmtId="0" fontId="2" fillId="0" borderId="20" xfId="2" applyBorder="1"/>
    <xf numFmtId="0" fontId="2" fillId="0" borderId="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7" fillId="0" borderId="3" xfId="2" applyFont="1" applyBorder="1"/>
    <xf numFmtId="0" fontId="2" fillId="2" borderId="14" xfId="2" applyFill="1" applyBorder="1"/>
    <xf numFmtId="0" fontId="12" fillId="3" borderId="14" xfId="0" applyFont="1" applyFill="1" applyBorder="1">
      <alignment vertical="center"/>
    </xf>
    <xf numFmtId="0" fontId="2" fillId="0" borderId="10" xfId="2" applyBorder="1" applyAlignment="1">
      <alignment horizontal="center" vertical="center"/>
    </xf>
    <xf numFmtId="0" fontId="6" fillId="0" borderId="42" xfId="2" applyFont="1" applyBorder="1" applyAlignment="1">
      <alignment horizontal="center" vertical="center"/>
    </xf>
    <xf numFmtId="0" fontId="2" fillId="0" borderId="41" xfId="2" applyBorder="1" applyAlignment="1">
      <alignment horizontal="center" vertical="center"/>
    </xf>
    <xf numFmtId="0" fontId="2" fillId="0" borderId="41" xfId="2" applyBorder="1"/>
    <xf numFmtId="0" fontId="2" fillId="0" borderId="43" xfId="2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2" fillId="0" borderId="45" xfId="2" applyBorder="1"/>
    <xf numFmtId="0" fontId="2" fillId="0" borderId="43" xfId="2" applyBorder="1"/>
    <xf numFmtId="0" fontId="7" fillId="0" borderId="44" xfId="2" applyFont="1" applyBorder="1"/>
    <xf numFmtId="0" fontId="2" fillId="2" borderId="44" xfId="2" applyFill="1" applyBorder="1"/>
    <xf numFmtId="0" fontId="7" fillId="2" borderId="35" xfId="2" applyFont="1" applyFill="1" applyBorder="1"/>
    <xf numFmtId="0" fontId="7" fillId="2" borderId="44" xfId="2" applyFont="1" applyFill="1" applyBorder="1"/>
    <xf numFmtId="0" fontId="6" fillId="0" borderId="10" xfId="2" applyFont="1" applyBorder="1" applyAlignment="1">
      <alignment horizontal="center" vertical="center"/>
    </xf>
    <xf numFmtId="0" fontId="7" fillId="0" borderId="7" xfId="2" applyFont="1" applyBorder="1"/>
    <xf numFmtId="0" fontId="7" fillId="0" borderId="11" xfId="2" applyFont="1" applyBorder="1"/>
    <xf numFmtId="0" fontId="7" fillId="2" borderId="19" xfId="2" applyFont="1" applyFill="1" applyBorder="1"/>
    <xf numFmtId="0" fontId="7" fillId="0" borderId="20" xfId="2" applyFont="1" applyBorder="1"/>
    <xf numFmtId="0" fontId="7" fillId="2" borderId="5" xfId="2" applyFont="1" applyFill="1" applyBorder="1"/>
    <xf numFmtId="0" fontId="9" fillId="3" borderId="5" xfId="0" applyFont="1" applyFill="1" applyBorder="1">
      <alignment vertical="center"/>
    </xf>
    <xf numFmtId="0" fontId="17" fillId="0" borderId="5" xfId="2" applyFont="1" applyBorder="1" applyAlignment="1">
      <alignment horizontal="center" vertical="center"/>
    </xf>
    <xf numFmtId="0" fontId="18" fillId="0" borderId="26" xfId="2" applyFont="1" applyBorder="1" applyAlignment="1">
      <alignment horizontal="center" vertical="center"/>
    </xf>
    <xf numFmtId="0" fontId="18" fillId="0" borderId="23" xfId="2" applyFont="1" applyBorder="1" applyAlignment="1">
      <alignment horizontal="center" vertical="center"/>
    </xf>
    <xf numFmtId="0" fontId="18" fillId="2" borderId="5" xfId="2" applyFont="1" applyFill="1" applyBorder="1"/>
    <xf numFmtId="56" fontId="1" fillId="0" borderId="0" xfId="0" applyNumberFormat="1" applyFont="1">
      <alignment vertical="center"/>
    </xf>
    <xf numFmtId="0" fontId="18" fillId="9" borderId="24" xfId="2" applyFont="1" applyFill="1" applyBorder="1" applyAlignment="1">
      <alignment horizontal="center" vertical="center"/>
    </xf>
    <xf numFmtId="0" fontId="2" fillId="9" borderId="24" xfId="2" applyFill="1" applyBorder="1"/>
    <xf numFmtId="0" fontId="19" fillId="0" borderId="0" xfId="0" applyFont="1">
      <alignment vertical="center"/>
    </xf>
    <xf numFmtId="0" fontId="2" fillId="9" borderId="23" xfId="2" applyFill="1" applyBorder="1"/>
    <xf numFmtId="0" fontId="2" fillId="9" borderId="28" xfId="2" applyFill="1" applyBorder="1"/>
    <xf numFmtId="0" fontId="2" fillId="9" borderId="34" xfId="2" applyFill="1" applyBorder="1"/>
    <xf numFmtId="0" fontId="7" fillId="0" borderId="4" xfId="2" applyFont="1" applyBorder="1" applyAlignment="1">
      <alignment horizontal="center" vertical="center"/>
    </xf>
    <xf numFmtId="0" fontId="7" fillId="0" borderId="9" xfId="2" applyFont="1" applyBorder="1"/>
    <xf numFmtId="0" fontId="17" fillId="0" borderId="7" xfId="2" applyFont="1" applyBorder="1" applyAlignment="1">
      <alignment horizontal="center" vertical="center"/>
    </xf>
    <xf numFmtId="0" fontId="18" fillId="0" borderId="37" xfId="2" applyFont="1" applyBorder="1"/>
    <xf numFmtId="0" fontId="18" fillId="0" borderId="28" xfId="2" applyFont="1" applyBorder="1"/>
    <xf numFmtId="0" fontId="18" fillId="0" borderId="34" xfId="2" applyFont="1" applyBorder="1"/>
    <xf numFmtId="0" fontId="18" fillId="2" borderId="7" xfId="2" applyFont="1" applyFill="1" applyBorder="1"/>
    <xf numFmtId="0" fontId="18" fillId="0" borderId="6" xfId="2" applyFont="1" applyBorder="1"/>
    <xf numFmtId="0" fontId="18" fillId="0" borderId="5" xfId="2" applyFont="1" applyBorder="1"/>
    <xf numFmtId="0" fontId="18" fillId="0" borderId="6" xfId="2" applyFont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8" fillId="2" borderId="4" xfId="2" applyFont="1" applyFill="1" applyBorder="1"/>
    <xf numFmtId="0" fontId="17" fillId="0" borderId="10" xfId="2" applyFont="1" applyBorder="1" applyAlignment="1">
      <alignment horizontal="center" vertical="center"/>
    </xf>
    <xf numFmtId="0" fontId="18" fillId="0" borderId="7" xfId="2" applyFont="1" applyBorder="1"/>
    <xf numFmtId="0" fontId="18" fillId="0" borderId="11" xfId="2" applyFont="1" applyBorder="1"/>
    <xf numFmtId="0" fontId="18" fillId="2" borderId="19" xfId="2" applyFont="1" applyFill="1" applyBorder="1"/>
    <xf numFmtId="0" fontId="18" fillId="0" borderId="20" xfId="2" applyFont="1" applyBorder="1"/>
    <xf numFmtId="0" fontId="1" fillId="3" borderId="5" xfId="0" applyFont="1" applyFill="1" applyBorder="1">
      <alignment vertical="center"/>
    </xf>
    <xf numFmtId="0" fontId="18" fillId="0" borderId="9" xfId="2" applyFont="1" applyBorder="1" applyAlignment="1">
      <alignment horizontal="center" vertical="center"/>
    </xf>
    <xf numFmtId="0" fontId="18" fillId="2" borderId="8" xfId="2" applyFont="1" applyFill="1" applyBorder="1"/>
    <xf numFmtId="0" fontId="18" fillId="2" borderId="21" xfId="2" applyFont="1" applyFill="1" applyBorder="1"/>
    <xf numFmtId="0" fontId="1" fillId="3" borderId="4" xfId="0" applyFont="1" applyFill="1" applyBorder="1">
      <alignment vertical="center"/>
    </xf>
    <xf numFmtId="0" fontId="4" fillId="0" borderId="2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6" fillId="8" borderId="2" xfId="2" applyFont="1" applyFill="1" applyBorder="1" applyAlignment="1">
      <alignment horizontal="center"/>
    </xf>
    <xf numFmtId="0" fontId="16" fillId="8" borderId="12" xfId="2" applyFont="1" applyFill="1" applyBorder="1" applyAlignment="1">
      <alignment horizontal="center"/>
    </xf>
    <xf numFmtId="0" fontId="16" fillId="8" borderId="3" xfId="2" applyFont="1" applyFill="1" applyBorder="1" applyAlignment="1">
      <alignment horizontal="center"/>
    </xf>
    <xf numFmtId="0" fontId="16" fillId="7" borderId="2" xfId="2" applyFont="1" applyFill="1" applyBorder="1" applyAlignment="1">
      <alignment horizontal="center"/>
    </xf>
    <xf numFmtId="0" fontId="16" fillId="7" borderId="12" xfId="2" applyFont="1" applyFill="1" applyBorder="1" applyAlignment="1">
      <alignment horizontal="center"/>
    </xf>
    <xf numFmtId="0" fontId="16" fillId="7" borderId="3" xfId="2" applyFont="1" applyFill="1" applyBorder="1" applyAlignment="1">
      <alignment horizontal="center"/>
    </xf>
    <xf numFmtId="0" fontId="4" fillId="6" borderId="2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3" xfId="2" applyFont="1" applyFill="1" applyBorder="1" applyAlignment="1">
      <alignment horizontal="center"/>
    </xf>
    <xf numFmtId="0" fontId="4" fillId="5" borderId="2" xfId="2" applyFont="1" applyFill="1" applyBorder="1" applyAlignment="1">
      <alignment horizontal="center"/>
    </xf>
    <xf numFmtId="0" fontId="4" fillId="5" borderId="12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10</xdr:row>
      <xdr:rowOff>104775</xdr:rowOff>
    </xdr:from>
    <xdr:to>
      <xdr:col>6</xdr:col>
      <xdr:colOff>542925</xdr:colOff>
      <xdr:row>10</xdr:row>
      <xdr:rowOff>104775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E9387162-9C89-110E-3F79-D2FE669BE9D2}"/>
            </a:ext>
          </a:extLst>
        </xdr:cNvPr>
        <xdr:cNvCxnSpPr/>
      </xdr:nvCxnSpPr>
      <xdr:spPr>
        <a:xfrm>
          <a:off x="2686050" y="1895475"/>
          <a:ext cx="1847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H213"/>
  <sheetViews>
    <sheetView topLeftCell="A184" zoomScale="90" zoomScaleNormal="90" workbookViewId="0">
      <selection activeCell="G170" sqref="G170"/>
    </sheetView>
  </sheetViews>
  <sheetFormatPr defaultRowHeight="13.5" x14ac:dyDescent="0.15"/>
  <cols>
    <col min="1" max="1" width="5.25" customWidth="1"/>
    <col min="2" max="2" width="16.125" customWidth="1"/>
    <col min="3" max="6" width="7.75" customWidth="1"/>
    <col min="7" max="7" width="9.25" bestFit="1" customWidth="1"/>
  </cols>
  <sheetData>
    <row r="1" spans="2:8" ht="18" thickBot="1" x14ac:dyDescent="0.25">
      <c r="B1" s="29" t="s">
        <v>61</v>
      </c>
      <c r="C1" s="1"/>
      <c r="D1" s="1"/>
      <c r="E1" s="1">
        <v>490</v>
      </c>
      <c r="F1" s="1">
        <v>520</v>
      </c>
    </row>
    <row r="2" spans="2:8" ht="14.25" thickBot="1" x14ac:dyDescent="0.2">
      <c r="B2" s="81" t="s">
        <v>0</v>
      </c>
      <c r="C2" s="205" t="s">
        <v>62</v>
      </c>
      <c r="D2" s="206"/>
      <c r="E2" s="207"/>
      <c r="F2" s="82"/>
    </row>
    <row r="3" spans="2:8" ht="14.25" thickBot="1" x14ac:dyDescent="0.2">
      <c r="B3" s="2" t="s">
        <v>1</v>
      </c>
      <c r="C3" s="89" t="s">
        <v>7</v>
      </c>
      <c r="D3" s="83" t="s">
        <v>8</v>
      </c>
      <c r="E3" s="84" t="s">
        <v>9</v>
      </c>
      <c r="F3" s="2" t="s">
        <v>2</v>
      </c>
    </row>
    <row r="4" spans="2:8" x14ac:dyDescent="0.15">
      <c r="B4" s="111" t="s">
        <v>3</v>
      </c>
      <c r="C4" s="112">
        <v>2</v>
      </c>
      <c r="D4" s="113">
        <v>2</v>
      </c>
      <c r="E4" s="114">
        <v>2</v>
      </c>
      <c r="F4" s="5">
        <f t="shared" ref="F4:F40" si="0">SUM(C4:E4)</f>
        <v>6</v>
      </c>
      <c r="G4" s="32"/>
    </row>
    <row r="5" spans="2:8" x14ac:dyDescent="0.15">
      <c r="B5" s="6" t="s">
        <v>3</v>
      </c>
      <c r="C5" s="76"/>
      <c r="D5" s="77"/>
      <c r="E5" s="85">
        <v>4</v>
      </c>
      <c r="F5" s="8">
        <f t="shared" si="0"/>
        <v>4</v>
      </c>
      <c r="G5" s="32">
        <v>44635</v>
      </c>
    </row>
    <row r="6" spans="2:8" x14ac:dyDescent="0.15">
      <c r="B6" s="6" t="s">
        <v>3</v>
      </c>
      <c r="C6" s="76">
        <v>2</v>
      </c>
      <c r="D6" s="77"/>
      <c r="E6" s="85">
        <v>2</v>
      </c>
      <c r="F6" s="8">
        <f t="shared" si="0"/>
        <v>4</v>
      </c>
      <c r="G6" s="32">
        <v>44677</v>
      </c>
    </row>
    <row r="7" spans="2:8" x14ac:dyDescent="0.15">
      <c r="B7" s="27" t="s">
        <v>68</v>
      </c>
      <c r="C7" s="118">
        <v>0</v>
      </c>
      <c r="D7" s="119">
        <v>0</v>
      </c>
      <c r="E7" s="120">
        <v>0</v>
      </c>
      <c r="F7" s="121">
        <f t="shared" si="0"/>
        <v>0</v>
      </c>
      <c r="G7" s="117">
        <v>44796</v>
      </c>
    </row>
    <row r="8" spans="2:8" x14ac:dyDescent="0.15">
      <c r="B8" s="6" t="s">
        <v>3</v>
      </c>
      <c r="C8" s="76"/>
      <c r="D8" s="77"/>
      <c r="E8" s="85">
        <v>4</v>
      </c>
      <c r="F8" s="8">
        <f t="shared" si="0"/>
        <v>4</v>
      </c>
      <c r="G8" s="32">
        <v>44811</v>
      </c>
      <c r="H8" s="33"/>
    </row>
    <row r="9" spans="2:8" x14ac:dyDescent="0.15">
      <c r="B9" s="6" t="s">
        <v>3</v>
      </c>
      <c r="C9" s="76"/>
      <c r="D9" s="77"/>
      <c r="E9" s="85">
        <v>2</v>
      </c>
      <c r="F9" s="8">
        <f t="shared" si="0"/>
        <v>2</v>
      </c>
      <c r="G9" s="32">
        <v>44944</v>
      </c>
    </row>
    <row r="10" spans="2:8" x14ac:dyDescent="0.15">
      <c r="B10" s="6" t="s">
        <v>3</v>
      </c>
      <c r="C10" s="76"/>
      <c r="D10" s="77"/>
      <c r="E10" s="85">
        <v>4</v>
      </c>
      <c r="F10" s="8">
        <f t="shared" si="0"/>
        <v>4</v>
      </c>
      <c r="G10" s="32">
        <v>44995</v>
      </c>
    </row>
    <row r="11" spans="2:8" x14ac:dyDescent="0.15">
      <c r="B11" s="6" t="s">
        <v>3</v>
      </c>
      <c r="C11" s="90"/>
      <c r="D11" s="78">
        <v>4</v>
      </c>
      <c r="E11" s="86"/>
      <c r="F11" s="8">
        <f t="shared" si="0"/>
        <v>4</v>
      </c>
      <c r="G11" s="32">
        <v>45056</v>
      </c>
      <c r="H11" s="33"/>
    </row>
    <row r="12" spans="2:8" x14ac:dyDescent="0.15">
      <c r="B12" s="6" t="s">
        <v>3</v>
      </c>
      <c r="C12" s="90"/>
      <c r="D12" s="78"/>
      <c r="E12" s="86">
        <v>4</v>
      </c>
      <c r="F12" s="8">
        <f t="shared" si="0"/>
        <v>4</v>
      </c>
      <c r="G12" s="32">
        <v>45057</v>
      </c>
    </row>
    <row r="13" spans="2:8" x14ac:dyDescent="0.15">
      <c r="B13" s="6" t="s">
        <v>3</v>
      </c>
      <c r="C13" s="90"/>
      <c r="D13" s="78"/>
      <c r="E13" s="86">
        <v>4</v>
      </c>
      <c r="F13" s="8">
        <f t="shared" si="0"/>
        <v>4</v>
      </c>
      <c r="G13" s="32">
        <v>45091</v>
      </c>
    </row>
    <row r="14" spans="2:8" ht="14.25" thickBot="1" x14ac:dyDescent="0.2">
      <c r="B14" s="7" t="s">
        <v>3</v>
      </c>
      <c r="C14" s="91"/>
      <c r="D14" s="80"/>
      <c r="E14" s="87">
        <v>4</v>
      </c>
      <c r="F14" s="88">
        <f t="shared" si="0"/>
        <v>4</v>
      </c>
      <c r="G14" s="32">
        <v>45104</v>
      </c>
    </row>
    <row r="15" spans="2:8" ht="14.25" thickBot="1" x14ac:dyDescent="0.2">
      <c r="B15" s="21" t="s">
        <v>4</v>
      </c>
      <c r="C15" s="95">
        <f>SUM(C4:C14)</f>
        <v>4</v>
      </c>
      <c r="D15" s="96">
        <f>SUM(D4:D14)</f>
        <v>6</v>
      </c>
      <c r="E15" s="97">
        <f>SUM(E4:E14)</f>
        <v>30</v>
      </c>
      <c r="F15" s="24">
        <f t="shared" si="0"/>
        <v>40</v>
      </c>
    </row>
    <row r="16" spans="2:8" x14ac:dyDescent="0.15">
      <c r="B16" s="4" t="s">
        <v>63</v>
      </c>
      <c r="C16" s="92"/>
      <c r="D16" s="93"/>
      <c r="E16" s="94">
        <v>4</v>
      </c>
      <c r="F16" s="5">
        <f t="shared" si="0"/>
        <v>4</v>
      </c>
      <c r="G16" s="32">
        <v>44635</v>
      </c>
      <c r="H16" s="33"/>
    </row>
    <row r="17" spans="2:8" x14ac:dyDescent="0.15">
      <c r="B17" s="4" t="s">
        <v>16</v>
      </c>
      <c r="C17" s="90"/>
      <c r="D17" s="78"/>
      <c r="E17" s="86">
        <v>2</v>
      </c>
      <c r="F17" s="8">
        <f t="shared" si="0"/>
        <v>2</v>
      </c>
      <c r="G17" s="32">
        <v>44655</v>
      </c>
      <c r="H17" s="33"/>
    </row>
    <row r="18" spans="2:8" x14ac:dyDescent="0.15">
      <c r="B18" s="4" t="s">
        <v>16</v>
      </c>
      <c r="C18" s="90">
        <v>2</v>
      </c>
      <c r="D18" s="78"/>
      <c r="E18" s="86"/>
      <c r="F18" s="8">
        <f t="shared" si="0"/>
        <v>2</v>
      </c>
      <c r="G18" s="32">
        <v>44662</v>
      </c>
      <c r="H18" s="33"/>
    </row>
    <row r="19" spans="2:8" x14ac:dyDescent="0.15">
      <c r="B19" s="4" t="s">
        <v>16</v>
      </c>
      <c r="C19" s="90"/>
      <c r="D19" s="78"/>
      <c r="E19" s="86">
        <v>4</v>
      </c>
      <c r="F19" s="8">
        <f t="shared" si="0"/>
        <v>4</v>
      </c>
      <c r="G19" s="32">
        <v>44811</v>
      </c>
      <c r="H19" s="33"/>
    </row>
    <row r="20" spans="2:8" x14ac:dyDescent="0.15">
      <c r="B20" s="4" t="s">
        <v>16</v>
      </c>
      <c r="C20" s="90"/>
      <c r="D20" s="78"/>
      <c r="E20" s="86">
        <v>2</v>
      </c>
      <c r="F20" s="8">
        <f t="shared" si="0"/>
        <v>2</v>
      </c>
      <c r="G20" s="32">
        <v>44915</v>
      </c>
      <c r="H20" s="33"/>
    </row>
    <row r="21" spans="2:8" x14ac:dyDescent="0.15">
      <c r="B21" s="4" t="s">
        <v>16</v>
      </c>
      <c r="C21" s="90"/>
      <c r="D21" s="78"/>
      <c r="E21" s="86">
        <v>2</v>
      </c>
      <c r="F21" s="8">
        <f t="shared" si="0"/>
        <v>2</v>
      </c>
      <c r="G21" s="32">
        <v>44985</v>
      </c>
      <c r="H21" s="33"/>
    </row>
    <row r="22" spans="2:8" x14ac:dyDescent="0.15">
      <c r="B22" s="4" t="s">
        <v>16</v>
      </c>
      <c r="C22" s="90"/>
      <c r="D22" s="78"/>
      <c r="E22" s="86">
        <v>2</v>
      </c>
      <c r="F22" s="8">
        <f t="shared" si="0"/>
        <v>2</v>
      </c>
      <c r="G22" s="32">
        <v>44995</v>
      </c>
      <c r="H22" s="33"/>
    </row>
    <row r="23" spans="2:8" x14ac:dyDescent="0.15">
      <c r="B23" s="4" t="s">
        <v>16</v>
      </c>
      <c r="C23" s="90"/>
      <c r="D23" s="78">
        <v>4</v>
      </c>
      <c r="E23" s="86"/>
      <c r="F23" s="8">
        <f t="shared" si="0"/>
        <v>4</v>
      </c>
      <c r="G23" s="32">
        <v>45056</v>
      </c>
      <c r="H23" s="33"/>
    </row>
    <row r="24" spans="2:8" x14ac:dyDescent="0.15">
      <c r="B24" s="4" t="s">
        <v>16</v>
      </c>
      <c r="C24" s="90"/>
      <c r="D24" s="78"/>
      <c r="E24" s="86">
        <v>4</v>
      </c>
      <c r="F24" s="8">
        <f t="shared" si="0"/>
        <v>4</v>
      </c>
      <c r="G24" s="32">
        <v>45057</v>
      </c>
      <c r="H24" s="33"/>
    </row>
    <row r="25" spans="2:8" x14ac:dyDescent="0.15">
      <c r="B25" s="4" t="s">
        <v>16</v>
      </c>
      <c r="C25" s="90"/>
      <c r="D25" s="78"/>
      <c r="E25" s="86">
        <v>4</v>
      </c>
      <c r="F25" s="8">
        <f t="shared" si="0"/>
        <v>4</v>
      </c>
      <c r="G25" s="32">
        <v>45091</v>
      </c>
      <c r="H25" s="33"/>
    </row>
    <row r="26" spans="2:8" x14ac:dyDescent="0.15">
      <c r="B26" s="12"/>
      <c r="C26" s="90"/>
      <c r="D26" s="78"/>
      <c r="E26" s="86"/>
      <c r="F26" s="8">
        <f t="shared" si="0"/>
        <v>0</v>
      </c>
      <c r="G26" s="32"/>
      <c r="H26" s="33"/>
    </row>
    <row r="27" spans="2:8" x14ac:dyDescent="0.15">
      <c r="B27" s="12"/>
      <c r="C27" s="90"/>
      <c r="D27" s="78"/>
      <c r="E27" s="86"/>
      <c r="F27" s="8">
        <f t="shared" si="0"/>
        <v>0</v>
      </c>
      <c r="G27" s="32"/>
      <c r="H27" s="33"/>
    </row>
    <row r="28" spans="2:8" x14ac:dyDescent="0.15">
      <c r="B28" s="12"/>
      <c r="C28" s="90"/>
      <c r="D28" s="78"/>
      <c r="E28" s="86"/>
      <c r="F28" s="8">
        <f t="shared" si="0"/>
        <v>0</v>
      </c>
      <c r="G28" s="32"/>
      <c r="H28" s="33"/>
    </row>
    <row r="29" spans="2:8" x14ac:dyDescent="0.15">
      <c r="B29" s="12"/>
      <c r="C29" s="90"/>
      <c r="D29" s="78"/>
      <c r="E29" s="86"/>
      <c r="F29" s="8">
        <f t="shared" si="0"/>
        <v>0</v>
      </c>
      <c r="G29" s="32"/>
      <c r="H29" s="33"/>
    </row>
    <row r="30" spans="2:8" x14ac:dyDescent="0.15">
      <c r="B30" s="12"/>
      <c r="C30" s="90"/>
      <c r="D30" s="78"/>
      <c r="E30" s="86"/>
      <c r="F30" s="8">
        <f t="shared" si="0"/>
        <v>0</v>
      </c>
      <c r="G30" s="32"/>
      <c r="H30" s="33"/>
    </row>
    <row r="31" spans="2:8" x14ac:dyDescent="0.15">
      <c r="B31" s="12"/>
      <c r="C31" s="90"/>
      <c r="D31" s="78"/>
      <c r="E31" s="86"/>
      <c r="F31" s="8">
        <f t="shared" si="0"/>
        <v>0</v>
      </c>
      <c r="G31" s="32"/>
      <c r="H31" s="33"/>
    </row>
    <row r="32" spans="2:8" x14ac:dyDescent="0.15">
      <c r="B32" s="12"/>
      <c r="C32" s="90"/>
      <c r="D32" s="78"/>
      <c r="E32" s="86"/>
      <c r="F32" s="8">
        <f t="shared" si="0"/>
        <v>0</v>
      </c>
      <c r="G32" s="32"/>
      <c r="H32" s="33"/>
    </row>
    <row r="33" spans="2:8" x14ac:dyDescent="0.15">
      <c r="B33" s="12"/>
      <c r="C33" s="90"/>
      <c r="D33" s="78"/>
      <c r="E33" s="86"/>
      <c r="F33" s="8">
        <f t="shared" si="0"/>
        <v>0</v>
      </c>
      <c r="G33" s="33"/>
      <c r="H33" s="33"/>
    </row>
    <row r="34" spans="2:8" x14ac:dyDescent="0.15">
      <c r="B34" s="12"/>
      <c r="C34" s="90"/>
      <c r="D34" s="78"/>
      <c r="E34" s="86"/>
      <c r="F34" s="8">
        <f t="shared" si="0"/>
        <v>0</v>
      </c>
      <c r="G34" s="33"/>
      <c r="H34" s="33"/>
    </row>
    <row r="35" spans="2:8" x14ac:dyDescent="0.15">
      <c r="B35" s="12"/>
      <c r="C35" s="90"/>
      <c r="D35" s="78"/>
      <c r="E35" s="86"/>
      <c r="F35" s="8">
        <f t="shared" si="0"/>
        <v>0</v>
      </c>
      <c r="G35" s="33"/>
      <c r="H35" s="33"/>
    </row>
    <row r="36" spans="2:8" x14ac:dyDescent="0.15">
      <c r="B36" s="12"/>
      <c r="C36" s="90"/>
      <c r="D36" s="78"/>
      <c r="E36" s="86"/>
      <c r="F36" s="8">
        <f t="shared" si="0"/>
        <v>0</v>
      </c>
      <c r="G36" s="33"/>
      <c r="H36" s="33"/>
    </row>
    <row r="37" spans="2:8" x14ac:dyDescent="0.15">
      <c r="B37" s="28"/>
      <c r="C37" s="90"/>
      <c r="D37" s="78"/>
      <c r="E37" s="86"/>
      <c r="F37" s="8">
        <f t="shared" si="0"/>
        <v>0</v>
      </c>
      <c r="G37" s="33"/>
      <c r="H37" s="33"/>
    </row>
    <row r="38" spans="2:8" x14ac:dyDescent="0.15">
      <c r="B38" s="12"/>
      <c r="C38" s="90"/>
      <c r="D38" s="78"/>
      <c r="E38" s="86"/>
      <c r="F38" s="8">
        <f t="shared" si="0"/>
        <v>0</v>
      </c>
      <c r="G38" s="33"/>
      <c r="H38" s="33"/>
    </row>
    <row r="39" spans="2:8" ht="14.25" thickBot="1" x14ac:dyDescent="0.2">
      <c r="B39" s="79"/>
      <c r="C39" s="91"/>
      <c r="D39" s="80"/>
      <c r="E39" s="87"/>
      <c r="F39" s="88">
        <f t="shared" si="0"/>
        <v>0</v>
      </c>
      <c r="G39" s="33"/>
      <c r="H39" s="33"/>
    </row>
    <row r="40" spans="2:8" ht="14.25" thickBot="1" x14ac:dyDescent="0.2">
      <c r="B40" s="2" t="s">
        <v>5</v>
      </c>
      <c r="C40" s="104">
        <f>SUM(C16:C39)</f>
        <v>2</v>
      </c>
      <c r="D40" s="105">
        <f>SUM(D16:D39)</f>
        <v>4</v>
      </c>
      <c r="E40" s="106">
        <f>SUM(E16:E39)</f>
        <v>24</v>
      </c>
      <c r="F40" s="16">
        <f t="shared" si="0"/>
        <v>30</v>
      </c>
      <c r="G40" s="33"/>
      <c r="H40" s="33"/>
    </row>
    <row r="41" spans="2:8" ht="14.25" thickBot="1" x14ac:dyDescent="0.2">
      <c r="B41" s="99" t="s">
        <v>6</v>
      </c>
      <c r="C41" s="100">
        <f>C15-C40</f>
        <v>2</v>
      </c>
      <c r="D41" s="101">
        <f t="shared" ref="D41:F41" si="1">D15-D40</f>
        <v>2</v>
      </c>
      <c r="E41" s="102">
        <f t="shared" si="1"/>
        <v>6</v>
      </c>
      <c r="F41" s="103">
        <f t="shared" si="1"/>
        <v>10</v>
      </c>
    </row>
    <row r="44" spans="2:8" ht="18" thickBot="1" x14ac:dyDescent="0.25">
      <c r="B44" s="29" t="s">
        <v>61</v>
      </c>
      <c r="C44" s="1"/>
      <c r="D44" s="1"/>
      <c r="E44" s="1">
        <v>490</v>
      </c>
      <c r="F44" s="1">
        <v>520</v>
      </c>
    </row>
    <row r="45" spans="2:8" ht="14.25" thickBot="1" x14ac:dyDescent="0.2">
      <c r="B45" s="81" t="s">
        <v>0</v>
      </c>
      <c r="C45" s="205" t="s">
        <v>62</v>
      </c>
      <c r="D45" s="206"/>
      <c r="E45" s="207"/>
      <c r="F45" s="82"/>
    </row>
    <row r="46" spans="2:8" ht="14.25" thickBot="1" x14ac:dyDescent="0.2">
      <c r="B46" s="2" t="s">
        <v>1</v>
      </c>
      <c r="C46" s="89" t="s">
        <v>7</v>
      </c>
      <c r="D46" s="83" t="s">
        <v>8</v>
      </c>
      <c r="E46" s="84" t="s">
        <v>9</v>
      </c>
      <c r="F46" s="2" t="s">
        <v>2</v>
      </c>
    </row>
    <row r="47" spans="2:8" x14ac:dyDescent="0.15">
      <c r="B47" s="107" t="s">
        <v>6</v>
      </c>
      <c r="C47" s="109">
        <f>C41</f>
        <v>2</v>
      </c>
      <c r="D47" s="98">
        <f>D41</f>
        <v>2</v>
      </c>
      <c r="E47" s="98">
        <f>E41</f>
        <v>6</v>
      </c>
      <c r="F47" s="18">
        <f t="shared" ref="F47:F83" si="2">SUM(C47:E47)</f>
        <v>10</v>
      </c>
    </row>
    <row r="48" spans="2:8" x14ac:dyDescent="0.15">
      <c r="B48" s="6" t="s">
        <v>3</v>
      </c>
      <c r="C48" s="76"/>
      <c r="D48" s="77">
        <v>4</v>
      </c>
      <c r="E48" s="85"/>
      <c r="F48" s="8">
        <f t="shared" si="2"/>
        <v>4</v>
      </c>
      <c r="G48" s="32">
        <v>45105</v>
      </c>
    </row>
    <row r="49" spans="2:8" x14ac:dyDescent="0.15">
      <c r="B49" s="6" t="s">
        <v>3</v>
      </c>
      <c r="C49" s="76"/>
      <c r="D49" s="77">
        <v>2</v>
      </c>
      <c r="E49" s="85">
        <v>2</v>
      </c>
      <c r="F49" s="8">
        <f t="shared" si="2"/>
        <v>4</v>
      </c>
      <c r="G49" s="32">
        <v>45126</v>
      </c>
    </row>
    <row r="50" spans="2:8" x14ac:dyDescent="0.15">
      <c r="B50" s="6" t="s">
        <v>60</v>
      </c>
      <c r="C50" s="76">
        <v>-1</v>
      </c>
      <c r="D50" s="77">
        <v>1</v>
      </c>
      <c r="E50" s="85"/>
      <c r="F50" s="8">
        <f t="shared" si="2"/>
        <v>0</v>
      </c>
      <c r="G50" s="32">
        <v>45142</v>
      </c>
    </row>
    <row r="51" spans="2:8" x14ac:dyDescent="0.15">
      <c r="B51" s="6" t="s">
        <v>3</v>
      </c>
      <c r="C51" s="76">
        <v>5</v>
      </c>
      <c r="D51" s="77">
        <v>3</v>
      </c>
      <c r="E51" s="85"/>
      <c r="F51" s="8">
        <f t="shared" si="2"/>
        <v>8</v>
      </c>
      <c r="G51" s="32">
        <v>45176</v>
      </c>
    </row>
    <row r="52" spans="2:8" x14ac:dyDescent="0.15">
      <c r="B52" s="6" t="s">
        <v>3</v>
      </c>
      <c r="C52" s="76"/>
      <c r="D52" s="77">
        <v>2</v>
      </c>
      <c r="E52" s="85"/>
      <c r="F52" s="8">
        <f t="shared" si="2"/>
        <v>2</v>
      </c>
      <c r="G52" s="32">
        <v>45231</v>
      </c>
    </row>
    <row r="53" spans="2:8" x14ac:dyDescent="0.15">
      <c r="B53" s="6" t="s">
        <v>3</v>
      </c>
      <c r="C53" s="76"/>
      <c r="D53" s="77">
        <v>2</v>
      </c>
      <c r="E53" s="85"/>
      <c r="F53" s="8">
        <f t="shared" si="2"/>
        <v>2</v>
      </c>
      <c r="G53" s="32">
        <v>45258</v>
      </c>
    </row>
    <row r="54" spans="2:8" x14ac:dyDescent="0.15">
      <c r="B54" s="6" t="s">
        <v>3</v>
      </c>
      <c r="C54" s="90"/>
      <c r="D54" s="78">
        <v>2</v>
      </c>
      <c r="E54" s="86"/>
      <c r="F54" s="8">
        <f t="shared" si="2"/>
        <v>2</v>
      </c>
      <c r="G54" s="32">
        <v>45286</v>
      </c>
      <c r="H54" s="33"/>
    </row>
    <row r="55" spans="2:8" x14ac:dyDescent="0.15">
      <c r="B55" s="6" t="s">
        <v>3</v>
      </c>
      <c r="C55" s="90"/>
      <c r="D55" s="78"/>
      <c r="E55" s="86">
        <v>2</v>
      </c>
      <c r="F55" s="8">
        <f t="shared" si="2"/>
        <v>2</v>
      </c>
      <c r="G55" s="32">
        <v>45301</v>
      </c>
    </row>
    <row r="56" spans="2:8" x14ac:dyDescent="0.15">
      <c r="B56" s="6" t="s">
        <v>3</v>
      </c>
      <c r="C56" s="90"/>
      <c r="D56" s="78">
        <v>4</v>
      </c>
      <c r="E56" s="86"/>
      <c r="F56" s="8">
        <f t="shared" si="2"/>
        <v>4</v>
      </c>
      <c r="G56" s="32">
        <v>45330</v>
      </c>
    </row>
    <row r="57" spans="2:8" ht="14.25" thickBot="1" x14ac:dyDescent="0.2">
      <c r="B57" s="108" t="s">
        <v>3</v>
      </c>
      <c r="C57" s="110"/>
      <c r="D57" s="80">
        <v>4</v>
      </c>
      <c r="E57" s="87"/>
      <c r="F57" s="88">
        <f t="shared" si="2"/>
        <v>4</v>
      </c>
      <c r="G57" s="32">
        <v>45394</v>
      </c>
    </row>
    <row r="58" spans="2:8" ht="14.25" thickBot="1" x14ac:dyDescent="0.2">
      <c r="B58" s="21" t="s">
        <v>4</v>
      </c>
      <c r="C58" s="95">
        <f>SUM(C47:C57)</f>
        <v>6</v>
      </c>
      <c r="D58" s="96">
        <f>SUM(D47:D57)</f>
        <v>26</v>
      </c>
      <c r="E58" s="97">
        <f>SUM(E47:E57)</f>
        <v>10</v>
      </c>
      <c r="F58" s="24">
        <f t="shared" si="2"/>
        <v>42</v>
      </c>
    </row>
    <row r="59" spans="2:8" x14ac:dyDescent="0.15">
      <c r="B59" s="4" t="s">
        <v>16</v>
      </c>
      <c r="C59" s="92"/>
      <c r="D59" s="93">
        <v>4</v>
      </c>
      <c r="E59" s="94"/>
      <c r="F59" s="5">
        <f t="shared" si="2"/>
        <v>4</v>
      </c>
      <c r="G59" s="37">
        <v>45105</v>
      </c>
    </row>
    <row r="60" spans="2:8" x14ac:dyDescent="0.15">
      <c r="B60" s="4" t="s">
        <v>16</v>
      </c>
      <c r="C60" s="90"/>
      <c r="D60" s="78"/>
      <c r="E60" s="86">
        <v>4</v>
      </c>
      <c r="F60" s="8">
        <f t="shared" si="2"/>
        <v>4</v>
      </c>
      <c r="G60" s="32">
        <v>45125</v>
      </c>
    </row>
    <row r="61" spans="2:8" x14ac:dyDescent="0.15">
      <c r="B61" s="4" t="s">
        <v>16</v>
      </c>
      <c r="C61" s="90"/>
      <c r="D61" s="78">
        <v>4</v>
      </c>
      <c r="E61" s="86"/>
      <c r="F61" s="8">
        <f t="shared" si="2"/>
        <v>4</v>
      </c>
      <c r="G61" s="37">
        <v>45138</v>
      </c>
    </row>
    <row r="62" spans="2:8" x14ac:dyDescent="0.15">
      <c r="B62" s="4" t="s">
        <v>16</v>
      </c>
      <c r="C62" s="90">
        <v>2</v>
      </c>
      <c r="D62" s="78"/>
      <c r="E62" s="86"/>
      <c r="F62" s="8">
        <f t="shared" si="2"/>
        <v>2</v>
      </c>
      <c r="G62" s="37">
        <v>45176</v>
      </c>
    </row>
    <row r="63" spans="2:8" x14ac:dyDescent="0.15">
      <c r="B63" s="4" t="s">
        <v>16</v>
      </c>
      <c r="C63" s="90"/>
      <c r="D63" s="78">
        <v>2</v>
      </c>
      <c r="E63" s="86"/>
      <c r="F63" s="8">
        <f t="shared" si="2"/>
        <v>2</v>
      </c>
      <c r="G63" s="37">
        <v>45222</v>
      </c>
    </row>
    <row r="64" spans="2:8" x14ac:dyDescent="0.15">
      <c r="B64" s="4" t="s">
        <v>16</v>
      </c>
      <c r="C64" s="90"/>
      <c r="D64" s="78">
        <v>2</v>
      </c>
      <c r="E64" s="86"/>
      <c r="F64" s="8">
        <f t="shared" si="2"/>
        <v>2</v>
      </c>
      <c r="G64" s="37">
        <v>45257</v>
      </c>
    </row>
    <row r="65" spans="2:7" x14ac:dyDescent="0.15">
      <c r="B65" s="4" t="s">
        <v>16</v>
      </c>
      <c r="C65" s="90"/>
      <c r="D65" s="78">
        <v>2</v>
      </c>
      <c r="E65" s="86"/>
      <c r="F65" s="8">
        <f t="shared" si="2"/>
        <v>2</v>
      </c>
      <c r="G65" s="37">
        <v>45281</v>
      </c>
    </row>
    <row r="66" spans="2:7" x14ac:dyDescent="0.15">
      <c r="B66" s="4" t="s">
        <v>16</v>
      </c>
      <c r="C66" s="90"/>
      <c r="D66" s="78"/>
      <c r="E66" s="86">
        <v>2</v>
      </c>
      <c r="F66" s="8">
        <f t="shared" si="2"/>
        <v>2</v>
      </c>
      <c r="G66" s="37">
        <v>45296</v>
      </c>
    </row>
    <row r="67" spans="2:7" x14ac:dyDescent="0.15">
      <c r="B67" s="4" t="s">
        <v>16</v>
      </c>
      <c r="C67" s="90"/>
      <c r="D67" s="78">
        <v>4</v>
      </c>
      <c r="E67" s="86"/>
      <c r="F67" s="8">
        <f t="shared" si="2"/>
        <v>4</v>
      </c>
      <c r="G67" s="37">
        <v>45321</v>
      </c>
    </row>
    <row r="68" spans="2:7" x14ac:dyDescent="0.15">
      <c r="B68" s="4" t="s">
        <v>16</v>
      </c>
      <c r="C68" s="90"/>
      <c r="D68" s="78">
        <v>4</v>
      </c>
      <c r="E68" s="86"/>
      <c r="F68" s="8">
        <f t="shared" si="2"/>
        <v>4</v>
      </c>
      <c r="G68" s="37">
        <v>45390</v>
      </c>
    </row>
    <row r="69" spans="2:7" x14ac:dyDescent="0.15">
      <c r="B69" s="12"/>
      <c r="C69" s="90"/>
      <c r="D69" s="78"/>
      <c r="E69" s="86"/>
      <c r="F69" s="8">
        <f t="shared" si="2"/>
        <v>0</v>
      </c>
    </row>
    <row r="70" spans="2:7" x14ac:dyDescent="0.15">
      <c r="B70" s="12"/>
      <c r="C70" s="90"/>
      <c r="D70" s="78"/>
      <c r="E70" s="86"/>
      <c r="F70" s="8">
        <f t="shared" si="2"/>
        <v>0</v>
      </c>
    </row>
    <row r="71" spans="2:7" x14ac:dyDescent="0.15">
      <c r="B71" s="12"/>
      <c r="C71" s="90"/>
      <c r="D71" s="78"/>
      <c r="E71" s="86"/>
      <c r="F71" s="8">
        <f t="shared" si="2"/>
        <v>0</v>
      </c>
    </row>
    <row r="72" spans="2:7" x14ac:dyDescent="0.15">
      <c r="B72" s="12"/>
      <c r="C72" s="90"/>
      <c r="D72" s="78"/>
      <c r="E72" s="86"/>
      <c r="F72" s="8">
        <f t="shared" si="2"/>
        <v>0</v>
      </c>
    </row>
    <row r="73" spans="2:7" x14ac:dyDescent="0.15">
      <c r="B73" s="12"/>
      <c r="C73" s="90"/>
      <c r="D73" s="78"/>
      <c r="E73" s="86"/>
      <c r="F73" s="8">
        <f t="shared" si="2"/>
        <v>0</v>
      </c>
    </row>
    <row r="74" spans="2:7" x14ac:dyDescent="0.15">
      <c r="B74" s="12"/>
      <c r="C74" s="90"/>
      <c r="D74" s="78"/>
      <c r="E74" s="86"/>
      <c r="F74" s="8">
        <f t="shared" si="2"/>
        <v>0</v>
      </c>
    </row>
    <row r="75" spans="2:7" x14ac:dyDescent="0.15">
      <c r="B75" s="12"/>
      <c r="C75" s="90"/>
      <c r="D75" s="78"/>
      <c r="E75" s="86"/>
      <c r="F75" s="8">
        <f t="shared" si="2"/>
        <v>0</v>
      </c>
    </row>
    <row r="76" spans="2:7" x14ac:dyDescent="0.15">
      <c r="B76" s="12"/>
      <c r="C76" s="90"/>
      <c r="D76" s="78"/>
      <c r="E76" s="86"/>
      <c r="F76" s="8">
        <f t="shared" si="2"/>
        <v>0</v>
      </c>
    </row>
    <row r="77" spans="2:7" x14ac:dyDescent="0.15">
      <c r="B77" s="12"/>
      <c r="C77" s="90"/>
      <c r="D77" s="78"/>
      <c r="E77" s="86"/>
      <c r="F77" s="8">
        <f t="shared" si="2"/>
        <v>0</v>
      </c>
    </row>
    <row r="78" spans="2:7" x14ac:dyDescent="0.15">
      <c r="B78" s="12"/>
      <c r="C78" s="90"/>
      <c r="D78" s="78"/>
      <c r="E78" s="86"/>
      <c r="F78" s="8">
        <f t="shared" si="2"/>
        <v>0</v>
      </c>
    </row>
    <row r="79" spans="2:7" x14ac:dyDescent="0.15">
      <c r="B79" s="12"/>
      <c r="C79" s="90"/>
      <c r="D79" s="78"/>
      <c r="E79" s="86"/>
      <c r="F79" s="8">
        <f t="shared" si="2"/>
        <v>0</v>
      </c>
    </row>
    <row r="80" spans="2:7" x14ac:dyDescent="0.15">
      <c r="B80" s="28"/>
      <c r="C80" s="90"/>
      <c r="D80" s="78"/>
      <c r="E80" s="86"/>
      <c r="F80" s="8">
        <f t="shared" si="2"/>
        <v>0</v>
      </c>
    </row>
    <row r="81" spans="2:8" x14ac:dyDescent="0.15">
      <c r="B81" s="12"/>
      <c r="C81" s="90"/>
      <c r="D81" s="78"/>
      <c r="E81" s="86"/>
      <c r="F81" s="8">
        <f t="shared" si="2"/>
        <v>0</v>
      </c>
    </row>
    <row r="82" spans="2:8" ht="14.25" thickBot="1" x14ac:dyDescent="0.2">
      <c r="B82" s="79"/>
      <c r="C82" s="91"/>
      <c r="D82" s="80"/>
      <c r="E82" s="87"/>
      <c r="F82" s="88">
        <f t="shared" si="2"/>
        <v>0</v>
      </c>
    </row>
    <row r="83" spans="2:8" ht="14.25" thickBot="1" x14ac:dyDescent="0.2">
      <c r="B83" s="2" t="s">
        <v>5</v>
      </c>
      <c r="C83" s="104">
        <f>SUM(C59:C82)</f>
        <v>2</v>
      </c>
      <c r="D83" s="105">
        <f>SUM(D59:D82)</f>
        <v>22</v>
      </c>
      <c r="E83" s="106">
        <f>SUM(E59:E82)</f>
        <v>6</v>
      </c>
      <c r="F83" s="16">
        <f t="shared" si="2"/>
        <v>30</v>
      </c>
    </row>
    <row r="84" spans="2:8" ht="14.25" thickBot="1" x14ac:dyDescent="0.2">
      <c r="B84" s="99" t="s">
        <v>6</v>
      </c>
      <c r="C84" s="100">
        <f>C58-C83</f>
        <v>4</v>
      </c>
      <c r="D84" s="101">
        <f t="shared" ref="D84:F84" si="3">D58-D83</f>
        <v>4</v>
      </c>
      <c r="E84" s="102">
        <f t="shared" si="3"/>
        <v>4</v>
      </c>
      <c r="F84" s="103">
        <f t="shared" si="3"/>
        <v>12</v>
      </c>
    </row>
    <row r="87" spans="2:8" ht="18" thickBot="1" x14ac:dyDescent="0.25">
      <c r="B87" s="29" t="s">
        <v>61</v>
      </c>
      <c r="C87" s="1"/>
      <c r="D87" s="1"/>
      <c r="E87" s="1">
        <v>490</v>
      </c>
      <c r="F87" s="1">
        <v>520</v>
      </c>
    </row>
    <row r="88" spans="2:8" ht="14.25" thickBot="1" x14ac:dyDescent="0.2">
      <c r="B88" s="81" t="s">
        <v>0</v>
      </c>
      <c r="C88" s="205" t="s">
        <v>62</v>
      </c>
      <c r="D88" s="206"/>
      <c r="E88" s="207"/>
      <c r="F88" s="82"/>
    </row>
    <row r="89" spans="2:8" ht="14.25" thickBot="1" x14ac:dyDescent="0.2">
      <c r="B89" s="2" t="s">
        <v>1</v>
      </c>
      <c r="C89" s="89" t="s">
        <v>7</v>
      </c>
      <c r="D89" s="83" t="s">
        <v>8</v>
      </c>
      <c r="E89" s="84" t="s">
        <v>9</v>
      </c>
      <c r="F89" s="2" t="s">
        <v>2</v>
      </c>
    </row>
    <row r="90" spans="2:8" x14ac:dyDescent="0.15">
      <c r="B90" s="107" t="s">
        <v>6</v>
      </c>
      <c r="C90" s="109">
        <f>C84</f>
        <v>4</v>
      </c>
      <c r="D90" s="98">
        <f>D84</f>
        <v>4</v>
      </c>
      <c r="E90" s="98">
        <f>E84</f>
        <v>4</v>
      </c>
      <c r="F90" s="18">
        <f t="shared" ref="F90:F126" si="4">SUM(C90:E90)</f>
        <v>12</v>
      </c>
    </row>
    <row r="91" spans="2:8" x14ac:dyDescent="0.15">
      <c r="B91" s="6" t="s">
        <v>3</v>
      </c>
      <c r="C91" s="76">
        <v>8</v>
      </c>
      <c r="D91" s="77"/>
      <c r="E91" s="85"/>
      <c r="F91" s="8">
        <f t="shared" si="4"/>
        <v>8</v>
      </c>
      <c r="G91" s="32">
        <v>45496</v>
      </c>
    </row>
    <row r="92" spans="2:8" x14ac:dyDescent="0.15">
      <c r="B92" s="6" t="s">
        <v>60</v>
      </c>
      <c r="C92" s="76">
        <v>0</v>
      </c>
      <c r="D92" s="77">
        <v>0</v>
      </c>
      <c r="E92" s="85">
        <v>0</v>
      </c>
      <c r="F92" s="8">
        <f t="shared" si="4"/>
        <v>0</v>
      </c>
      <c r="G92" s="37">
        <v>45531</v>
      </c>
    </row>
    <row r="93" spans="2:8" x14ac:dyDescent="0.15">
      <c r="B93" s="6" t="s">
        <v>3</v>
      </c>
      <c r="C93" s="76"/>
      <c r="D93" s="77"/>
      <c r="E93" s="85">
        <v>8</v>
      </c>
      <c r="F93" s="8">
        <f t="shared" si="4"/>
        <v>8</v>
      </c>
      <c r="G93" s="32">
        <v>45609</v>
      </c>
    </row>
    <row r="94" spans="2:8" x14ac:dyDescent="0.15">
      <c r="B94" s="6" t="s">
        <v>3</v>
      </c>
      <c r="C94" s="76"/>
      <c r="D94" s="77">
        <v>4</v>
      </c>
      <c r="E94" s="85"/>
      <c r="F94" s="8">
        <f t="shared" si="4"/>
        <v>4</v>
      </c>
      <c r="G94" s="32">
        <v>45637</v>
      </c>
    </row>
    <row r="95" spans="2:8" x14ac:dyDescent="0.15">
      <c r="B95" s="6" t="s">
        <v>3</v>
      </c>
      <c r="C95" s="76"/>
      <c r="D95" s="77">
        <v>4</v>
      </c>
      <c r="E95" s="85"/>
      <c r="F95" s="8">
        <f t="shared" si="4"/>
        <v>4</v>
      </c>
      <c r="G95" s="32">
        <v>45651</v>
      </c>
      <c r="H95" s="33"/>
    </row>
    <row r="96" spans="2:8" x14ac:dyDescent="0.15">
      <c r="B96" s="6" t="s">
        <v>3</v>
      </c>
      <c r="C96" s="76"/>
      <c r="D96" s="77">
        <v>2</v>
      </c>
      <c r="E96" s="85"/>
      <c r="F96" s="8">
        <f t="shared" si="4"/>
        <v>2</v>
      </c>
      <c r="G96" s="32">
        <v>45665</v>
      </c>
    </row>
    <row r="97" spans="2:7" x14ac:dyDescent="0.15">
      <c r="B97" s="6" t="s">
        <v>3</v>
      </c>
      <c r="C97" s="90"/>
      <c r="D97" s="78"/>
      <c r="E97" s="86">
        <v>4</v>
      </c>
      <c r="F97" s="8">
        <f t="shared" si="4"/>
        <v>4</v>
      </c>
      <c r="G97" s="32">
        <v>45714</v>
      </c>
    </row>
    <row r="98" spans="2:7" x14ac:dyDescent="0.15">
      <c r="B98" s="6" t="s">
        <v>3</v>
      </c>
      <c r="C98" s="90"/>
      <c r="D98" s="78">
        <v>4</v>
      </c>
      <c r="E98" s="86"/>
      <c r="F98" s="8">
        <f t="shared" si="4"/>
        <v>4</v>
      </c>
      <c r="G98" s="32">
        <v>45735</v>
      </c>
    </row>
    <row r="99" spans="2:7" x14ac:dyDescent="0.15">
      <c r="B99" s="6" t="s">
        <v>3</v>
      </c>
      <c r="C99" s="90"/>
      <c r="D99" s="78"/>
      <c r="E99" s="86">
        <v>6</v>
      </c>
      <c r="F99" s="8">
        <f t="shared" si="4"/>
        <v>6</v>
      </c>
      <c r="G99" s="32">
        <v>45740</v>
      </c>
    </row>
    <row r="100" spans="2:7" ht="14.25" thickBot="1" x14ac:dyDescent="0.2">
      <c r="B100" s="108" t="s">
        <v>3</v>
      </c>
      <c r="C100" s="110"/>
      <c r="D100" s="80">
        <v>4</v>
      </c>
      <c r="E100" s="87"/>
      <c r="F100" s="88">
        <f t="shared" si="4"/>
        <v>4</v>
      </c>
      <c r="G100" s="32">
        <v>45786</v>
      </c>
    </row>
    <row r="101" spans="2:7" ht="14.25" thickBot="1" x14ac:dyDescent="0.2">
      <c r="B101" s="21" t="s">
        <v>4</v>
      </c>
      <c r="C101" s="95">
        <f>SUM(C90:C100)</f>
        <v>12</v>
      </c>
      <c r="D101" s="96">
        <f>SUM(D90:D100)</f>
        <v>22</v>
      </c>
      <c r="E101" s="97">
        <f>SUM(E90:E100)</f>
        <v>22</v>
      </c>
      <c r="F101" s="24">
        <f t="shared" si="4"/>
        <v>56</v>
      </c>
    </row>
    <row r="102" spans="2:7" x14ac:dyDescent="0.15">
      <c r="B102" s="4" t="s">
        <v>16</v>
      </c>
      <c r="C102" s="92">
        <v>8</v>
      </c>
      <c r="D102" s="93"/>
      <c r="E102" s="94"/>
      <c r="F102" s="5">
        <f t="shared" si="4"/>
        <v>8</v>
      </c>
      <c r="G102" s="37">
        <v>45496</v>
      </c>
    </row>
    <row r="103" spans="2:7" x14ac:dyDescent="0.15">
      <c r="B103" s="4" t="s">
        <v>16</v>
      </c>
      <c r="C103" s="90"/>
      <c r="D103" s="78"/>
      <c r="E103" s="86">
        <v>4</v>
      </c>
      <c r="F103" s="8">
        <f t="shared" si="4"/>
        <v>4</v>
      </c>
      <c r="G103" s="37">
        <v>45607</v>
      </c>
    </row>
    <row r="104" spans="2:7" x14ac:dyDescent="0.15">
      <c r="B104" s="4" t="s">
        <v>16</v>
      </c>
      <c r="C104" s="90"/>
      <c r="D104" s="78"/>
      <c r="E104" s="86">
        <v>4</v>
      </c>
      <c r="F104" s="8">
        <f t="shared" si="4"/>
        <v>4</v>
      </c>
      <c r="G104" s="37">
        <v>45609</v>
      </c>
    </row>
    <row r="105" spans="2:7" x14ac:dyDescent="0.15">
      <c r="B105" s="4" t="s">
        <v>16</v>
      </c>
      <c r="C105" s="90"/>
      <c r="D105" s="78">
        <v>4</v>
      </c>
      <c r="E105" s="86"/>
      <c r="F105" s="8">
        <f t="shared" si="4"/>
        <v>4</v>
      </c>
      <c r="G105" s="37">
        <v>45628</v>
      </c>
    </row>
    <row r="106" spans="2:7" x14ac:dyDescent="0.15">
      <c r="B106" s="4" t="s">
        <v>16</v>
      </c>
      <c r="C106" s="90"/>
      <c r="D106" s="78">
        <v>4</v>
      </c>
      <c r="E106" s="86"/>
      <c r="F106" s="8">
        <f t="shared" si="4"/>
        <v>4</v>
      </c>
      <c r="G106" s="37">
        <v>45649</v>
      </c>
    </row>
    <row r="107" spans="2:7" x14ac:dyDescent="0.15">
      <c r="B107" s="4" t="s">
        <v>16</v>
      </c>
      <c r="C107" s="90"/>
      <c r="D107" s="78">
        <v>2</v>
      </c>
      <c r="E107" s="86"/>
      <c r="F107" s="8">
        <f t="shared" si="4"/>
        <v>2</v>
      </c>
      <c r="G107" s="37">
        <v>45663</v>
      </c>
    </row>
    <row r="108" spans="2:7" x14ac:dyDescent="0.15">
      <c r="B108" s="4" t="s">
        <v>16</v>
      </c>
      <c r="C108" s="90"/>
      <c r="D108" s="78"/>
      <c r="E108" s="86">
        <v>4</v>
      </c>
      <c r="F108" s="8">
        <f t="shared" si="4"/>
        <v>4</v>
      </c>
      <c r="G108" s="37">
        <v>45692</v>
      </c>
    </row>
    <row r="109" spans="2:7" x14ac:dyDescent="0.15">
      <c r="B109" s="4" t="s">
        <v>16</v>
      </c>
      <c r="C109" s="90"/>
      <c r="D109" s="78">
        <v>2</v>
      </c>
      <c r="E109" s="86"/>
      <c r="F109" s="8">
        <f t="shared" si="4"/>
        <v>2</v>
      </c>
      <c r="G109" s="37">
        <v>45726</v>
      </c>
    </row>
    <row r="110" spans="2:7" x14ac:dyDescent="0.15">
      <c r="B110" s="4" t="s">
        <v>16</v>
      </c>
      <c r="C110" s="90"/>
      <c r="D110" s="78"/>
      <c r="E110" s="86">
        <v>6</v>
      </c>
      <c r="F110" s="8">
        <f t="shared" si="4"/>
        <v>6</v>
      </c>
      <c r="G110" s="37">
        <v>45740</v>
      </c>
    </row>
    <row r="111" spans="2:7" x14ac:dyDescent="0.15">
      <c r="B111" s="4" t="s">
        <v>16</v>
      </c>
      <c r="C111" s="90"/>
      <c r="D111" s="78">
        <v>2</v>
      </c>
      <c r="E111" s="86"/>
      <c r="F111" s="8">
        <f t="shared" si="4"/>
        <v>2</v>
      </c>
      <c r="G111" s="37">
        <v>45762</v>
      </c>
    </row>
    <row r="112" spans="2:7" x14ac:dyDescent="0.15">
      <c r="B112" s="4" t="s">
        <v>16</v>
      </c>
      <c r="C112" s="90"/>
      <c r="D112" s="78">
        <v>4</v>
      </c>
      <c r="E112" s="86"/>
      <c r="F112" s="8">
        <f t="shared" si="4"/>
        <v>4</v>
      </c>
      <c r="G112" s="37">
        <v>45777</v>
      </c>
    </row>
    <row r="113" spans="2:7" x14ac:dyDescent="0.15">
      <c r="B113" s="4" t="s">
        <v>16</v>
      </c>
      <c r="C113" s="90"/>
      <c r="D113" s="78">
        <v>4</v>
      </c>
      <c r="E113" s="86"/>
      <c r="F113" s="8">
        <f t="shared" si="4"/>
        <v>4</v>
      </c>
      <c r="G113" s="37">
        <v>45831</v>
      </c>
    </row>
    <row r="114" spans="2:7" x14ac:dyDescent="0.15">
      <c r="B114" s="12"/>
      <c r="C114" s="90"/>
      <c r="D114" s="78"/>
      <c r="E114" s="86"/>
      <c r="F114" s="8">
        <f t="shared" si="4"/>
        <v>0</v>
      </c>
    </row>
    <row r="115" spans="2:7" x14ac:dyDescent="0.15">
      <c r="B115" s="12"/>
      <c r="C115" s="90"/>
      <c r="D115" s="78"/>
      <c r="E115" s="86"/>
      <c r="F115" s="8">
        <f t="shared" si="4"/>
        <v>0</v>
      </c>
    </row>
    <row r="116" spans="2:7" x14ac:dyDescent="0.15">
      <c r="B116" s="12"/>
      <c r="C116" s="90"/>
      <c r="D116" s="78"/>
      <c r="E116" s="86"/>
      <c r="F116" s="8">
        <f t="shared" si="4"/>
        <v>0</v>
      </c>
    </row>
    <row r="117" spans="2:7" x14ac:dyDescent="0.15">
      <c r="B117" s="12"/>
      <c r="C117" s="90"/>
      <c r="D117" s="78"/>
      <c r="E117" s="86"/>
      <c r="F117" s="8">
        <f t="shared" si="4"/>
        <v>0</v>
      </c>
    </row>
    <row r="118" spans="2:7" x14ac:dyDescent="0.15">
      <c r="B118" s="12"/>
      <c r="C118" s="90"/>
      <c r="D118" s="78"/>
      <c r="E118" s="86"/>
      <c r="F118" s="8">
        <f t="shared" si="4"/>
        <v>0</v>
      </c>
    </row>
    <row r="119" spans="2:7" x14ac:dyDescent="0.15">
      <c r="B119" s="12"/>
      <c r="C119" s="90"/>
      <c r="D119" s="78"/>
      <c r="E119" s="86"/>
      <c r="F119" s="8">
        <f t="shared" si="4"/>
        <v>0</v>
      </c>
    </row>
    <row r="120" spans="2:7" x14ac:dyDescent="0.15">
      <c r="B120" s="12"/>
      <c r="C120" s="90"/>
      <c r="D120" s="78"/>
      <c r="E120" s="86"/>
      <c r="F120" s="8">
        <f t="shared" si="4"/>
        <v>0</v>
      </c>
    </row>
    <row r="121" spans="2:7" x14ac:dyDescent="0.15">
      <c r="B121" s="12"/>
      <c r="C121" s="90"/>
      <c r="D121" s="78"/>
      <c r="E121" s="86"/>
      <c r="F121" s="8">
        <f t="shared" si="4"/>
        <v>0</v>
      </c>
    </row>
    <row r="122" spans="2:7" x14ac:dyDescent="0.15">
      <c r="B122" s="12"/>
      <c r="C122" s="90"/>
      <c r="D122" s="78"/>
      <c r="E122" s="86"/>
      <c r="F122" s="8">
        <f t="shared" si="4"/>
        <v>0</v>
      </c>
    </row>
    <row r="123" spans="2:7" x14ac:dyDescent="0.15">
      <c r="B123" s="28"/>
      <c r="C123" s="90"/>
      <c r="D123" s="78"/>
      <c r="E123" s="86"/>
      <c r="F123" s="8">
        <f t="shared" si="4"/>
        <v>0</v>
      </c>
    </row>
    <row r="124" spans="2:7" x14ac:dyDescent="0.15">
      <c r="B124" s="12"/>
      <c r="C124" s="90"/>
      <c r="D124" s="78"/>
      <c r="E124" s="86"/>
      <c r="F124" s="8">
        <f t="shared" si="4"/>
        <v>0</v>
      </c>
    </row>
    <row r="125" spans="2:7" ht="14.25" thickBot="1" x14ac:dyDescent="0.2">
      <c r="B125" s="79"/>
      <c r="C125" s="91"/>
      <c r="D125" s="80"/>
      <c r="E125" s="87"/>
      <c r="F125" s="88">
        <f t="shared" si="4"/>
        <v>0</v>
      </c>
    </row>
    <row r="126" spans="2:7" ht="14.25" thickBot="1" x14ac:dyDescent="0.2">
      <c r="B126" s="2" t="s">
        <v>5</v>
      </c>
      <c r="C126" s="104">
        <f>SUM(C102:C125)</f>
        <v>8</v>
      </c>
      <c r="D126" s="105">
        <f>SUM(D102:D125)</f>
        <v>22</v>
      </c>
      <c r="E126" s="106">
        <f>SUM(E102:E125)</f>
        <v>18</v>
      </c>
      <c r="F126" s="16">
        <f t="shared" si="4"/>
        <v>48</v>
      </c>
    </row>
    <row r="127" spans="2:7" ht="14.25" thickBot="1" x14ac:dyDescent="0.2">
      <c r="B127" s="99" t="s">
        <v>6</v>
      </c>
      <c r="C127" s="100">
        <f>C101-C126</f>
        <v>4</v>
      </c>
      <c r="D127" s="101">
        <f t="shared" ref="D127:F127" si="5">D101-D126</f>
        <v>0</v>
      </c>
      <c r="E127" s="102">
        <f t="shared" si="5"/>
        <v>4</v>
      </c>
      <c r="F127" s="103">
        <f t="shared" si="5"/>
        <v>8</v>
      </c>
    </row>
    <row r="130" spans="2:8" ht="18" thickBot="1" x14ac:dyDescent="0.25">
      <c r="B130" s="29" t="s">
        <v>61</v>
      </c>
      <c r="C130" s="1"/>
      <c r="D130" s="1"/>
      <c r="E130" s="1">
        <v>490</v>
      </c>
      <c r="F130" s="1">
        <v>520</v>
      </c>
    </row>
    <row r="131" spans="2:8" ht="14.25" thickBot="1" x14ac:dyDescent="0.2">
      <c r="B131" s="81" t="s">
        <v>0</v>
      </c>
      <c r="C131" s="205" t="s">
        <v>62</v>
      </c>
      <c r="D131" s="206"/>
      <c r="E131" s="207"/>
      <c r="F131" s="82"/>
    </row>
    <row r="132" spans="2:8" ht="14.25" thickBot="1" x14ac:dyDescent="0.2">
      <c r="B132" s="2" t="s">
        <v>1</v>
      </c>
      <c r="C132" s="89" t="s">
        <v>7</v>
      </c>
      <c r="D132" s="83" t="s">
        <v>8</v>
      </c>
      <c r="E132" s="84" t="s">
        <v>9</v>
      </c>
      <c r="F132" s="2" t="s">
        <v>2</v>
      </c>
    </row>
    <row r="133" spans="2:8" x14ac:dyDescent="0.15">
      <c r="B133" s="107" t="s">
        <v>6</v>
      </c>
      <c r="C133" s="109">
        <f>C127</f>
        <v>4</v>
      </c>
      <c r="D133" s="98">
        <f>D127</f>
        <v>0</v>
      </c>
      <c r="E133" s="98">
        <f>E127</f>
        <v>4</v>
      </c>
      <c r="F133" s="18">
        <f t="shared" ref="F133:F169" si="6">SUM(C133:E133)</f>
        <v>8</v>
      </c>
    </row>
    <row r="134" spans="2:8" x14ac:dyDescent="0.15">
      <c r="B134" s="6" t="s">
        <v>3</v>
      </c>
      <c r="C134" s="76"/>
      <c r="D134" s="77">
        <v>4</v>
      </c>
      <c r="E134" s="85"/>
      <c r="F134" s="8">
        <f t="shared" si="6"/>
        <v>4</v>
      </c>
      <c r="G134" s="32">
        <v>45855</v>
      </c>
    </row>
    <row r="135" spans="2:8" x14ac:dyDescent="0.15">
      <c r="B135" s="6" t="s">
        <v>3</v>
      </c>
      <c r="C135" s="76"/>
      <c r="D135" s="77">
        <v>8</v>
      </c>
      <c r="E135" s="85"/>
      <c r="F135" s="8">
        <f t="shared" si="6"/>
        <v>8</v>
      </c>
      <c r="G135" s="32">
        <v>45863</v>
      </c>
    </row>
    <row r="136" spans="2:8" x14ac:dyDescent="0.15">
      <c r="B136" s="6" t="s">
        <v>3</v>
      </c>
      <c r="C136" s="76">
        <v>2</v>
      </c>
      <c r="D136" s="77"/>
      <c r="E136" s="85">
        <v>4</v>
      </c>
      <c r="F136" s="8">
        <f t="shared" si="6"/>
        <v>6</v>
      </c>
      <c r="G136" s="32">
        <v>45896</v>
      </c>
      <c r="H136" s="179" t="s">
        <v>102</v>
      </c>
    </row>
    <row r="137" spans="2:8" x14ac:dyDescent="0.15">
      <c r="B137" s="6" t="s">
        <v>3</v>
      </c>
      <c r="C137" s="76"/>
      <c r="D137" s="77">
        <v>2</v>
      </c>
      <c r="E137" s="85">
        <v>5</v>
      </c>
      <c r="F137" s="8">
        <f t="shared" si="6"/>
        <v>7</v>
      </c>
      <c r="G137" s="32">
        <v>45944</v>
      </c>
      <c r="H137" s="33"/>
    </row>
    <row r="138" spans="2:8" x14ac:dyDescent="0.15">
      <c r="B138" s="6" t="s">
        <v>3</v>
      </c>
      <c r="C138" s="76"/>
      <c r="D138" s="77">
        <v>4</v>
      </c>
      <c r="E138" s="85"/>
      <c r="F138" s="8">
        <f t="shared" si="6"/>
        <v>4</v>
      </c>
      <c r="G138" s="32">
        <v>45966</v>
      </c>
      <c r="H138" s="33"/>
    </row>
    <row r="139" spans="2:8" x14ac:dyDescent="0.15">
      <c r="B139" s="6" t="s">
        <v>3</v>
      </c>
      <c r="C139" s="76">
        <v>2</v>
      </c>
      <c r="D139" s="77">
        <v>2</v>
      </c>
      <c r="E139" s="85">
        <v>1</v>
      </c>
      <c r="F139" s="8">
        <f t="shared" si="6"/>
        <v>5</v>
      </c>
      <c r="G139" s="32">
        <v>45980</v>
      </c>
      <c r="H139" s="33"/>
    </row>
    <row r="140" spans="2:8" x14ac:dyDescent="0.15">
      <c r="B140" s="6" t="s">
        <v>3</v>
      </c>
      <c r="C140" s="90"/>
      <c r="D140" s="77">
        <v>8</v>
      </c>
      <c r="E140" s="86">
        <v>6</v>
      </c>
      <c r="F140" s="8">
        <f t="shared" si="6"/>
        <v>14</v>
      </c>
      <c r="G140" s="32">
        <v>45993</v>
      </c>
      <c r="H140" s="33"/>
    </row>
    <row r="141" spans="2:8" x14ac:dyDescent="0.15">
      <c r="B141" s="6" t="s">
        <v>3</v>
      </c>
      <c r="C141" s="90">
        <v>4</v>
      </c>
      <c r="D141" s="78"/>
      <c r="E141" s="86"/>
      <c r="F141" s="8">
        <f t="shared" si="6"/>
        <v>4</v>
      </c>
      <c r="G141" s="32">
        <v>45995</v>
      </c>
      <c r="H141" s="33"/>
    </row>
    <row r="142" spans="2:8" x14ac:dyDescent="0.15">
      <c r="B142" s="6" t="s">
        <v>3</v>
      </c>
      <c r="C142" s="90"/>
      <c r="D142" s="78"/>
      <c r="E142" s="86">
        <v>8</v>
      </c>
      <c r="F142" s="8">
        <f t="shared" si="6"/>
        <v>8</v>
      </c>
      <c r="G142" s="32">
        <v>46002</v>
      </c>
    </row>
    <row r="143" spans="2:8" ht="14.25" thickBot="1" x14ac:dyDescent="0.2">
      <c r="B143" s="108" t="s">
        <v>3</v>
      </c>
      <c r="C143" s="110"/>
      <c r="D143" s="80">
        <v>4</v>
      </c>
      <c r="E143" s="87">
        <v>2</v>
      </c>
      <c r="F143" s="88">
        <f t="shared" si="6"/>
        <v>6</v>
      </c>
      <c r="G143" s="32">
        <v>46029</v>
      </c>
    </row>
    <row r="144" spans="2:8" ht="14.25" thickBot="1" x14ac:dyDescent="0.2">
      <c r="B144" s="21" t="s">
        <v>4</v>
      </c>
      <c r="C144" s="95">
        <f>SUM(C133:C143)</f>
        <v>12</v>
      </c>
      <c r="D144" s="96">
        <f>SUM(D133:D143)</f>
        <v>32</v>
      </c>
      <c r="E144" s="97">
        <f>SUM(E133:E143)</f>
        <v>30</v>
      </c>
      <c r="F144" s="24">
        <f t="shared" si="6"/>
        <v>74</v>
      </c>
    </row>
    <row r="145" spans="2:7" x14ac:dyDescent="0.15">
      <c r="B145" s="4" t="s">
        <v>16</v>
      </c>
      <c r="C145" s="90"/>
      <c r="D145" s="78"/>
      <c r="E145" s="86">
        <v>4</v>
      </c>
      <c r="F145" s="8">
        <f t="shared" ref="F145:F156" si="7">SUM(C145:E145)</f>
        <v>4</v>
      </c>
      <c r="G145" s="37">
        <v>45855</v>
      </c>
    </row>
    <row r="146" spans="2:7" x14ac:dyDescent="0.15">
      <c r="B146" s="4" t="s">
        <v>16</v>
      </c>
      <c r="C146" s="90"/>
      <c r="D146" s="78">
        <v>4</v>
      </c>
      <c r="E146" s="86"/>
      <c r="F146" s="8">
        <f t="shared" si="7"/>
        <v>4</v>
      </c>
      <c r="G146" s="37">
        <v>45857</v>
      </c>
    </row>
    <row r="147" spans="2:7" x14ac:dyDescent="0.15">
      <c r="B147" s="4" t="s">
        <v>16</v>
      </c>
      <c r="C147" s="90"/>
      <c r="D147" s="78">
        <v>4</v>
      </c>
      <c r="E147" s="86"/>
      <c r="F147" s="8">
        <f t="shared" ref="F147:F150" si="8">SUM(C147:E147)</f>
        <v>4</v>
      </c>
      <c r="G147" s="37">
        <v>45862</v>
      </c>
    </row>
    <row r="148" spans="2:7" x14ac:dyDescent="0.15">
      <c r="B148" s="4" t="s">
        <v>16</v>
      </c>
      <c r="C148" s="90">
        <v>2</v>
      </c>
      <c r="D148" s="78"/>
      <c r="E148" s="86"/>
      <c r="F148" s="8">
        <f t="shared" si="8"/>
        <v>2</v>
      </c>
      <c r="G148" s="37">
        <v>45877</v>
      </c>
    </row>
    <row r="149" spans="2:7" x14ac:dyDescent="0.15">
      <c r="B149" s="12" t="s">
        <v>99</v>
      </c>
      <c r="C149" s="90">
        <v>0</v>
      </c>
      <c r="D149" s="78">
        <v>0</v>
      </c>
      <c r="E149" s="86">
        <v>0</v>
      </c>
      <c r="F149" s="8">
        <f t="shared" si="8"/>
        <v>0</v>
      </c>
      <c r="G149" s="37">
        <v>45890</v>
      </c>
    </row>
    <row r="150" spans="2:7" x14ac:dyDescent="0.15">
      <c r="B150" s="4" t="s">
        <v>16</v>
      </c>
      <c r="C150" s="90"/>
      <c r="D150" s="78">
        <v>2</v>
      </c>
      <c r="E150" s="86"/>
      <c r="F150" s="8">
        <f t="shared" si="8"/>
        <v>2</v>
      </c>
      <c r="G150" s="37">
        <v>45929</v>
      </c>
    </row>
    <row r="151" spans="2:7" x14ac:dyDescent="0.15">
      <c r="B151" s="4" t="s">
        <v>16</v>
      </c>
      <c r="C151" s="90"/>
      <c r="D151" s="78"/>
      <c r="E151" s="86">
        <v>4</v>
      </c>
      <c r="F151" s="8">
        <f t="shared" si="7"/>
        <v>4</v>
      </c>
      <c r="G151" s="37">
        <v>45936</v>
      </c>
    </row>
    <row r="152" spans="2:7" x14ac:dyDescent="0.15">
      <c r="B152" s="12" t="s">
        <v>16</v>
      </c>
      <c r="C152" s="90"/>
      <c r="D152" s="78">
        <v>2</v>
      </c>
      <c r="E152" s="86"/>
      <c r="F152" s="8">
        <f t="shared" si="7"/>
        <v>2</v>
      </c>
      <c r="G152" s="37">
        <v>45939</v>
      </c>
    </row>
    <row r="153" spans="2:7" x14ac:dyDescent="0.15">
      <c r="B153" s="12" t="s">
        <v>16</v>
      </c>
      <c r="C153" s="90"/>
      <c r="D153" s="78"/>
      <c r="E153" s="86">
        <v>2</v>
      </c>
      <c r="F153" s="8">
        <f t="shared" si="7"/>
        <v>2</v>
      </c>
      <c r="G153" s="37">
        <v>45957</v>
      </c>
    </row>
    <row r="154" spans="2:7" x14ac:dyDescent="0.15">
      <c r="B154" s="12" t="s">
        <v>16</v>
      </c>
      <c r="C154" s="90">
        <v>2</v>
      </c>
      <c r="D154" s="78"/>
      <c r="E154" s="86"/>
      <c r="F154" s="8">
        <f t="shared" si="7"/>
        <v>2</v>
      </c>
      <c r="G154" s="37">
        <v>45971</v>
      </c>
    </row>
    <row r="155" spans="2:7" x14ac:dyDescent="0.15">
      <c r="B155" s="12" t="s">
        <v>16</v>
      </c>
      <c r="C155" s="90"/>
      <c r="D155" s="78">
        <v>4</v>
      </c>
      <c r="E155" s="86"/>
      <c r="F155" s="8">
        <f t="shared" si="7"/>
        <v>4</v>
      </c>
      <c r="G155" s="37">
        <v>45978</v>
      </c>
    </row>
    <row r="156" spans="2:7" x14ac:dyDescent="0.15">
      <c r="B156" s="12" t="s">
        <v>16</v>
      </c>
      <c r="C156" s="90"/>
      <c r="D156" s="78">
        <v>2</v>
      </c>
      <c r="E156" s="86"/>
      <c r="F156" s="8">
        <f t="shared" si="7"/>
        <v>2</v>
      </c>
      <c r="G156" s="37">
        <v>45979</v>
      </c>
    </row>
    <row r="157" spans="2:7" x14ac:dyDescent="0.15">
      <c r="B157" s="12" t="s">
        <v>16</v>
      </c>
      <c r="C157" s="90"/>
      <c r="D157" s="78">
        <v>2</v>
      </c>
      <c r="E157" s="86"/>
      <c r="F157" s="8">
        <f t="shared" si="6"/>
        <v>2</v>
      </c>
      <c r="G157" s="37">
        <v>45980</v>
      </c>
    </row>
    <row r="158" spans="2:7" x14ac:dyDescent="0.15">
      <c r="B158" s="12" t="s">
        <v>16</v>
      </c>
      <c r="C158" s="90">
        <v>2</v>
      </c>
      <c r="D158" s="78"/>
      <c r="E158" s="86"/>
      <c r="F158" s="8">
        <f t="shared" si="6"/>
        <v>2</v>
      </c>
      <c r="G158" s="37">
        <v>45992</v>
      </c>
    </row>
    <row r="159" spans="2:7" x14ac:dyDescent="0.15">
      <c r="B159" s="12" t="s">
        <v>16</v>
      </c>
      <c r="C159" s="90"/>
      <c r="D159" s="78"/>
      <c r="E159" s="86">
        <v>6</v>
      </c>
      <c r="F159" s="8">
        <f t="shared" si="6"/>
        <v>6</v>
      </c>
      <c r="G159" s="37">
        <v>45993</v>
      </c>
    </row>
    <row r="160" spans="2:7" x14ac:dyDescent="0.15">
      <c r="B160" s="12" t="s">
        <v>16</v>
      </c>
      <c r="C160" s="90"/>
      <c r="D160" s="78"/>
      <c r="E160" s="86">
        <v>4</v>
      </c>
      <c r="F160" s="8">
        <f t="shared" si="6"/>
        <v>4</v>
      </c>
      <c r="G160" s="37">
        <v>45996</v>
      </c>
    </row>
    <row r="161" spans="2:7" x14ac:dyDescent="0.15">
      <c r="B161" s="12" t="s">
        <v>16</v>
      </c>
      <c r="C161" s="90"/>
      <c r="D161" s="78"/>
      <c r="E161" s="86">
        <v>2</v>
      </c>
      <c r="F161" s="8">
        <f t="shared" si="6"/>
        <v>2</v>
      </c>
      <c r="G161" s="37">
        <v>46013</v>
      </c>
    </row>
    <row r="162" spans="2:7" x14ac:dyDescent="0.15">
      <c r="B162" s="12" t="s">
        <v>16</v>
      </c>
      <c r="C162" s="90"/>
      <c r="D162" s="78">
        <v>4</v>
      </c>
      <c r="E162" s="86"/>
      <c r="F162" s="8">
        <f t="shared" si="6"/>
        <v>4</v>
      </c>
      <c r="G162" s="37">
        <v>46027</v>
      </c>
    </row>
    <row r="163" spans="2:7" x14ac:dyDescent="0.15">
      <c r="B163" s="12" t="s">
        <v>16</v>
      </c>
      <c r="C163" s="90">
        <v>2</v>
      </c>
      <c r="D163" s="78"/>
      <c r="E163" s="86"/>
      <c r="F163" s="8">
        <f t="shared" si="6"/>
        <v>2</v>
      </c>
      <c r="G163" s="37">
        <v>46029</v>
      </c>
    </row>
    <row r="164" spans="2:7" x14ac:dyDescent="0.15">
      <c r="B164" s="12" t="s">
        <v>16</v>
      </c>
      <c r="C164" s="90"/>
      <c r="D164" s="78"/>
      <c r="E164" s="86">
        <v>8</v>
      </c>
      <c r="F164" s="8">
        <f t="shared" si="6"/>
        <v>8</v>
      </c>
      <c r="G164" s="37">
        <v>46035</v>
      </c>
    </row>
    <row r="165" spans="2:7" x14ac:dyDescent="0.15">
      <c r="B165" s="12" t="s">
        <v>16</v>
      </c>
      <c r="C165" s="90">
        <v>2</v>
      </c>
      <c r="D165" s="78"/>
      <c r="E165" s="86"/>
      <c r="F165" s="8">
        <f t="shared" si="6"/>
        <v>2</v>
      </c>
      <c r="G165" s="37">
        <v>46055</v>
      </c>
    </row>
    <row r="166" spans="2:7" x14ac:dyDescent="0.15">
      <c r="B166" s="12" t="s">
        <v>16</v>
      </c>
      <c r="C166" s="90"/>
      <c r="D166" s="78">
        <v>4</v>
      </c>
      <c r="E166" s="86"/>
      <c r="F166" s="8">
        <f t="shared" si="6"/>
        <v>4</v>
      </c>
      <c r="G166" s="37">
        <v>46140</v>
      </c>
    </row>
    <row r="167" spans="2:7" x14ac:dyDescent="0.15">
      <c r="B167" s="12" t="s">
        <v>16</v>
      </c>
      <c r="C167" s="90"/>
      <c r="D167" s="78">
        <v>4</v>
      </c>
      <c r="E167" s="86"/>
      <c r="F167" s="8">
        <f t="shared" si="6"/>
        <v>4</v>
      </c>
      <c r="G167" s="37">
        <v>46174</v>
      </c>
    </row>
    <row r="168" spans="2:7" ht="14.25" thickBot="1" x14ac:dyDescent="0.2">
      <c r="B168" s="79"/>
      <c r="C168" s="91"/>
      <c r="D168" s="80"/>
      <c r="E168" s="87"/>
      <c r="F168" s="88">
        <f t="shared" si="6"/>
        <v>0</v>
      </c>
    </row>
    <row r="169" spans="2:7" ht="14.25" thickBot="1" x14ac:dyDescent="0.2">
      <c r="B169" s="2" t="s">
        <v>5</v>
      </c>
      <c r="C169" s="104">
        <f>SUM(C145:C168)</f>
        <v>10</v>
      </c>
      <c r="D169" s="105">
        <f>SUM(D145:D168)</f>
        <v>32</v>
      </c>
      <c r="E169" s="106">
        <f>SUM(E145:E168)</f>
        <v>30</v>
      </c>
      <c r="F169" s="16">
        <f t="shared" si="6"/>
        <v>72</v>
      </c>
    </row>
    <row r="170" spans="2:7" ht="14.25" thickBot="1" x14ac:dyDescent="0.2">
      <c r="B170" s="99" t="s">
        <v>6</v>
      </c>
      <c r="C170" s="100">
        <f>C144-C169</f>
        <v>2</v>
      </c>
      <c r="D170" s="101">
        <f t="shared" ref="D170:F170" si="9">D144-D169</f>
        <v>0</v>
      </c>
      <c r="E170" s="102">
        <f t="shared" si="9"/>
        <v>0</v>
      </c>
      <c r="F170" s="103">
        <f t="shared" si="9"/>
        <v>2</v>
      </c>
    </row>
    <row r="173" spans="2:7" ht="18" thickBot="1" x14ac:dyDescent="0.25">
      <c r="B173" s="29" t="s">
        <v>61</v>
      </c>
      <c r="C173" s="1"/>
      <c r="D173" s="1"/>
      <c r="E173" s="1">
        <v>490</v>
      </c>
      <c r="F173" s="1">
        <v>520</v>
      </c>
    </row>
    <row r="174" spans="2:7" ht="14.25" thickBot="1" x14ac:dyDescent="0.2">
      <c r="B174" s="81" t="s">
        <v>0</v>
      </c>
      <c r="C174" s="205" t="s">
        <v>62</v>
      </c>
      <c r="D174" s="206"/>
      <c r="E174" s="207"/>
      <c r="F174" s="82"/>
    </row>
    <row r="175" spans="2:7" ht="14.25" thickBot="1" x14ac:dyDescent="0.2">
      <c r="B175" s="2" t="s">
        <v>1</v>
      </c>
      <c r="C175" s="89" t="s">
        <v>7</v>
      </c>
      <c r="D175" s="83" t="s">
        <v>8</v>
      </c>
      <c r="E175" s="84" t="s">
        <v>9</v>
      </c>
      <c r="F175" s="2" t="s">
        <v>2</v>
      </c>
    </row>
    <row r="176" spans="2:7" x14ac:dyDescent="0.15">
      <c r="B176" s="107" t="s">
        <v>6</v>
      </c>
      <c r="C176" s="109">
        <f>C170</f>
        <v>2</v>
      </c>
      <c r="D176" s="98">
        <f>D170</f>
        <v>0</v>
      </c>
      <c r="E176" s="98">
        <f>E170</f>
        <v>0</v>
      </c>
      <c r="F176" s="18">
        <f t="shared" ref="F176:F212" si="10">SUM(C176:E176)</f>
        <v>2</v>
      </c>
    </row>
    <row r="177" spans="2:7" x14ac:dyDescent="0.15">
      <c r="B177" s="6" t="s">
        <v>3</v>
      </c>
      <c r="C177" s="76"/>
      <c r="D177" s="77"/>
      <c r="E177" s="85">
        <v>8</v>
      </c>
      <c r="F177" s="8">
        <f t="shared" si="10"/>
        <v>8</v>
      </c>
      <c r="G177" s="32">
        <v>46037</v>
      </c>
    </row>
    <row r="178" spans="2:7" x14ac:dyDescent="0.15">
      <c r="B178" s="6" t="s">
        <v>3</v>
      </c>
      <c r="C178" s="76"/>
      <c r="D178" s="77">
        <v>4</v>
      </c>
      <c r="E178" s="85"/>
      <c r="F178" s="8">
        <f t="shared" si="10"/>
        <v>4</v>
      </c>
      <c r="G178" s="32">
        <v>46038</v>
      </c>
    </row>
    <row r="179" spans="2:7" x14ac:dyDescent="0.15">
      <c r="B179" s="6" t="s">
        <v>3</v>
      </c>
      <c r="C179" s="76">
        <v>6</v>
      </c>
      <c r="D179" s="77"/>
      <c r="E179" s="85"/>
      <c r="F179" s="8">
        <f t="shared" si="10"/>
        <v>6</v>
      </c>
      <c r="G179" s="32">
        <v>46072</v>
      </c>
    </row>
    <row r="180" spans="2:7" x14ac:dyDescent="0.15">
      <c r="B180" s="6" t="s">
        <v>60</v>
      </c>
      <c r="C180" s="76">
        <v>0</v>
      </c>
      <c r="D180" s="77">
        <v>0</v>
      </c>
      <c r="E180" s="85">
        <v>0</v>
      </c>
      <c r="F180" s="8">
        <f t="shared" si="10"/>
        <v>0</v>
      </c>
      <c r="G180" s="37">
        <v>46085</v>
      </c>
    </row>
    <row r="181" spans="2:7" x14ac:dyDescent="0.15">
      <c r="B181" s="6" t="s">
        <v>3</v>
      </c>
      <c r="C181" s="76"/>
      <c r="D181" s="77"/>
      <c r="E181" s="85"/>
      <c r="F181" s="8">
        <f t="shared" si="10"/>
        <v>0</v>
      </c>
    </row>
    <row r="182" spans="2:7" x14ac:dyDescent="0.15">
      <c r="B182" s="6" t="s">
        <v>3</v>
      </c>
      <c r="C182" s="76"/>
      <c r="D182" s="77"/>
      <c r="E182" s="85"/>
      <c r="F182" s="8">
        <f t="shared" si="10"/>
        <v>0</v>
      </c>
    </row>
    <row r="183" spans="2:7" x14ac:dyDescent="0.15">
      <c r="B183" s="6" t="s">
        <v>3</v>
      </c>
      <c r="C183" s="90"/>
      <c r="D183" s="77"/>
      <c r="E183" s="86"/>
      <c r="F183" s="8">
        <f t="shared" si="10"/>
        <v>0</v>
      </c>
    </row>
    <row r="184" spans="2:7" x14ac:dyDescent="0.15">
      <c r="B184" s="6" t="s">
        <v>3</v>
      </c>
      <c r="C184" s="90"/>
      <c r="D184" s="78"/>
      <c r="E184" s="86"/>
      <c r="F184" s="8">
        <f t="shared" si="10"/>
        <v>0</v>
      </c>
    </row>
    <row r="185" spans="2:7" x14ac:dyDescent="0.15">
      <c r="B185" s="6" t="s">
        <v>3</v>
      </c>
      <c r="C185" s="90"/>
      <c r="D185" s="78"/>
      <c r="E185" s="86"/>
      <c r="F185" s="8">
        <f t="shared" si="10"/>
        <v>0</v>
      </c>
    </row>
    <row r="186" spans="2:7" ht="14.25" thickBot="1" x14ac:dyDescent="0.2">
      <c r="B186" s="108" t="s">
        <v>3</v>
      </c>
      <c r="C186" s="110"/>
      <c r="D186" s="80"/>
      <c r="E186" s="87"/>
      <c r="F186" s="88">
        <f t="shared" si="10"/>
        <v>0</v>
      </c>
    </row>
    <row r="187" spans="2:7" ht="14.25" thickBot="1" x14ac:dyDescent="0.2">
      <c r="B187" s="21" t="s">
        <v>4</v>
      </c>
      <c r="C187" s="95">
        <f>SUM(C176:C186)</f>
        <v>8</v>
      </c>
      <c r="D187" s="96">
        <f>SUM(D176:D186)</f>
        <v>4</v>
      </c>
      <c r="E187" s="97">
        <f>SUM(E176:E186)</f>
        <v>8</v>
      </c>
      <c r="F187" s="24">
        <f t="shared" si="10"/>
        <v>20</v>
      </c>
    </row>
    <row r="188" spans="2:7" x14ac:dyDescent="0.15">
      <c r="B188" s="4"/>
      <c r="C188" s="90"/>
      <c r="D188" s="78"/>
      <c r="E188" s="86"/>
      <c r="F188" s="8">
        <f t="shared" si="10"/>
        <v>0</v>
      </c>
    </row>
    <row r="189" spans="2:7" x14ac:dyDescent="0.15">
      <c r="B189" s="4"/>
      <c r="C189" s="90"/>
      <c r="D189" s="78"/>
      <c r="E189" s="86"/>
      <c r="F189" s="8">
        <f t="shared" si="10"/>
        <v>0</v>
      </c>
    </row>
    <row r="190" spans="2:7" x14ac:dyDescent="0.15">
      <c r="B190" s="4"/>
      <c r="C190" s="90"/>
      <c r="D190" s="78"/>
      <c r="E190" s="86"/>
      <c r="F190" s="8">
        <f t="shared" si="10"/>
        <v>0</v>
      </c>
    </row>
    <row r="191" spans="2:7" x14ac:dyDescent="0.15">
      <c r="B191" s="4"/>
      <c r="C191" s="90"/>
      <c r="D191" s="78"/>
      <c r="E191" s="86"/>
      <c r="F191" s="8">
        <f t="shared" si="10"/>
        <v>0</v>
      </c>
    </row>
    <row r="192" spans="2:7" x14ac:dyDescent="0.15">
      <c r="B192" s="12"/>
      <c r="C192" s="90"/>
      <c r="D192" s="78"/>
      <c r="E192" s="86"/>
      <c r="F192" s="8">
        <f t="shared" si="10"/>
        <v>0</v>
      </c>
    </row>
    <row r="193" spans="2:6" x14ac:dyDescent="0.15">
      <c r="B193" s="4"/>
      <c r="C193" s="90"/>
      <c r="D193" s="78"/>
      <c r="E193" s="86"/>
      <c r="F193" s="8">
        <f t="shared" si="10"/>
        <v>0</v>
      </c>
    </row>
    <row r="194" spans="2:6" x14ac:dyDescent="0.15">
      <c r="B194" s="4"/>
      <c r="C194" s="90"/>
      <c r="D194" s="78"/>
      <c r="E194" s="86"/>
      <c r="F194" s="8">
        <f t="shared" si="10"/>
        <v>0</v>
      </c>
    </row>
    <row r="195" spans="2:6" x14ac:dyDescent="0.15">
      <c r="B195" s="12"/>
      <c r="C195" s="90"/>
      <c r="D195" s="78"/>
      <c r="E195" s="86"/>
      <c r="F195" s="8">
        <f t="shared" si="10"/>
        <v>0</v>
      </c>
    </row>
    <row r="196" spans="2:6" x14ac:dyDescent="0.15">
      <c r="B196" s="12"/>
      <c r="C196" s="90"/>
      <c r="D196" s="78"/>
      <c r="E196" s="86"/>
      <c r="F196" s="8">
        <f t="shared" si="10"/>
        <v>0</v>
      </c>
    </row>
    <row r="197" spans="2:6" x14ac:dyDescent="0.15">
      <c r="B197" s="12"/>
      <c r="C197" s="90"/>
      <c r="D197" s="78"/>
      <c r="E197" s="86"/>
      <c r="F197" s="8">
        <f t="shared" si="10"/>
        <v>0</v>
      </c>
    </row>
    <row r="198" spans="2:6" x14ac:dyDescent="0.15">
      <c r="B198" s="12"/>
      <c r="C198" s="90"/>
      <c r="D198" s="78"/>
      <c r="E198" s="86"/>
      <c r="F198" s="8">
        <f t="shared" si="10"/>
        <v>0</v>
      </c>
    </row>
    <row r="199" spans="2:6" x14ac:dyDescent="0.15">
      <c r="B199" s="12"/>
      <c r="C199" s="90"/>
      <c r="D199" s="78"/>
      <c r="E199" s="86"/>
      <c r="F199" s="8">
        <f t="shared" si="10"/>
        <v>0</v>
      </c>
    </row>
    <row r="200" spans="2:6" x14ac:dyDescent="0.15">
      <c r="B200" s="12"/>
      <c r="C200" s="90"/>
      <c r="D200" s="78"/>
      <c r="E200" s="86"/>
      <c r="F200" s="8">
        <f t="shared" si="10"/>
        <v>0</v>
      </c>
    </row>
    <row r="201" spans="2:6" x14ac:dyDescent="0.15">
      <c r="B201" s="12"/>
      <c r="C201" s="90"/>
      <c r="D201" s="78"/>
      <c r="E201" s="86"/>
      <c r="F201" s="8">
        <f t="shared" si="10"/>
        <v>0</v>
      </c>
    </row>
    <row r="202" spans="2:6" x14ac:dyDescent="0.15">
      <c r="B202" s="12"/>
      <c r="C202" s="90"/>
      <c r="D202" s="78"/>
      <c r="E202" s="86"/>
      <c r="F202" s="8">
        <f t="shared" si="10"/>
        <v>0</v>
      </c>
    </row>
    <row r="203" spans="2:6" x14ac:dyDescent="0.15">
      <c r="B203" s="12"/>
      <c r="C203" s="90"/>
      <c r="D203" s="78"/>
      <c r="E203" s="86"/>
      <c r="F203" s="8">
        <f t="shared" si="10"/>
        <v>0</v>
      </c>
    </row>
    <row r="204" spans="2:6" x14ac:dyDescent="0.15">
      <c r="B204" s="12"/>
      <c r="C204" s="90"/>
      <c r="D204" s="78"/>
      <c r="E204" s="86"/>
      <c r="F204" s="8">
        <f t="shared" si="10"/>
        <v>0</v>
      </c>
    </row>
    <row r="205" spans="2:6" x14ac:dyDescent="0.15">
      <c r="B205" s="12"/>
      <c r="C205" s="90"/>
      <c r="D205" s="78"/>
      <c r="E205" s="86"/>
      <c r="F205" s="8">
        <f t="shared" si="10"/>
        <v>0</v>
      </c>
    </row>
    <row r="206" spans="2:6" x14ac:dyDescent="0.15">
      <c r="B206" s="12"/>
      <c r="C206" s="90"/>
      <c r="D206" s="78"/>
      <c r="E206" s="86"/>
      <c r="F206" s="8">
        <f t="shared" si="10"/>
        <v>0</v>
      </c>
    </row>
    <row r="207" spans="2:6" x14ac:dyDescent="0.15">
      <c r="B207" s="12"/>
      <c r="C207" s="90"/>
      <c r="D207" s="78"/>
      <c r="E207" s="86"/>
      <c r="F207" s="8">
        <f t="shared" si="10"/>
        <v>0</v>
      </c>
    </row>
    <row r="208" spans="2:6" x14ac:dyDescent="0.15">
      <c r="B208" s="12"/>
      <c r="C208" s="90"/>
      <c r="D208" s="78"/>
      <c r="E208" s="86"/>
      <c r="F208" s="8">
        <f t="shared" si="10"/>
        <v>0</v>
      </c>
    </row>
    <row r="209" spans="2:6" x14ac:dyDescent="0.15">
      <c r="B209" s="28"/>
      <c r="C209" s="90"/>
      <c r="D209" s="78"/>
      <c r="E209" s="86"/>
      <c r="F209" s="8">
        <f t="shared" si="10"/>
        <v>0</v>
      </c>
    </row>
    <row r="210" spans="2:6" x14ac:dyDescent="0.15">
      <c r="B210" s="12"/>
      <c r="C210" s="90"/>
      <c r="D210" s="78"/>
      <c r="E210" s="86"/>
      <c r="F210" s="8">
        <f t="shared" si="10"/>
        <v>0</v>
      </c>
    </row>
    <row r="211" spans="2:6" ht="14.25" thickBot="1" x14ac:dyDescent="0.2">
      <c r="B211" s="79"/>
      <c r="C211" s="91"/>
      <c r="D211" s="80"/>
      <c r="E211" s="87"/>
      <c r="F211" s="88">
        <f t="shared" si="10"/>
        <v>0</v>
      </c>
    </row>
    <row r="212" spans="2:6" ht="14.25" thickBot="1" x14ac:dyDescent="0.2">
      <c r="B212" s="2" t="s">
        <v>5</v>
      </c>
      <c r="C212" s="104">
        <f>SUM(C188:C211)</f>
        <v>0</v>
      </c>
      <c r="D212" s="105">
        <f>SUM(D188:D211)</f>
        <v>0</v>
      </c>
      <c r="E212" s="106">
        <f>SUM(E188:E211)</f>
        <v>0</v>
      </c>
      <c r="F212" s="16">
        <f t="shared" si="10"/>
        <v>0</v>
      </c>
    </row>
    <row r="213" spans="2:6" ht="14.25" thickBot="1" x14ac:dyDescent="0.2">
      <c r="B213" s="99" t="s">
        <v>6</v>
      </c>
      <c r="C213" s="100">
        <f>C187-C212</f>
        <v>8</v>
      </c>
      <c r="D213" s="101">
        <f t="shared" ref="D213:F213" si="11">D187-D212</f>
        <v>4</v>
      </c>
      <c r="E213" s="102">
        <f t="shared" si="11"/>
        <v>8</v>
      </c>
      <c r="F213" s="103">
        <f t="shared" si="11"/>
        <v>20</v>
      </c>
    </row>
  </sheetData>
  <mergeCells count="5">
    <mergeCell ref="C2:E2"/>
    <mergeCell ref="C45:E45"/>
    <mergeCell ref="C88:E88"/>
    <mergeCell ref="C131:E131"/>
    <mergeCell ref="C174:E174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3762-98CD-4BAE-AB78-A3E535B2DB9E}">
  <sheetPr>
    <tabColor rgb="FFFF0000"/>
  </sheetPr>
  <dimension ref="B1:H84"/>
  <sheetViews>
    <sheetView topLeftCell="A25" workbookViewId="0">
      <selection activeCell="G14" sqref="B14:G14"/>
    </sheetView>
  </sheetViews>
  <sheetFormatPr defaultRowHeight="13.5" x14ac:dyDescent="0.15"/>
  <cols>
    <col min="1" max="1" width="5.25" customWidth="1"/>
    <col min="2" max="2" width="16.125" customWidth="1"/>
    <col min="3" max="6" width="7.75" customWidth="1"/>
    <col min="7" max="7" width="9.25" bestFit="1" customWidth="1"/>
  </cols>
  <sheetData>
    <row r="1" spans="2:8" ht="18" thickBot="1" x14ac:dyDescent="0.25">
      <c r="B1" s="29" t="s">
        <v>96</v>
      </c>
      <c r="C1" s="1"/>
      <c r="D1" s="1"/>
      <c r="E1" s="1"/>
      <c r="F1" s="1"/>
    </row>
    <row r="2" spans="2:8" ht="14.25" thickBot="1" x14ac:dyDescent="0.2">
      <c r="B2" s="81" t="s">
        <v>0</v>
      </c>
      <c r="C2" s="205" t="s">
        <v>62</v>
      </c>
      <c r="D2" s="206"/>
      <c r="E2" s="207"/>
      <c r="F2" s="82"/>
    </row>
    <row r="3" spans="2:8" ht="14.25" thickBot="1" x14ac:dyDescent="0.2">
      <c r="B3" s="2" t="s">
        <v>1</v>
      </c>
      <c r="C3" s="89" t="s">
        <v>7</v>
      </c>
      <c r="D3" s="83" t="s">
        <v>8</v>
      </c>
      <c r="E3" s="84" t="s">
        <v>9</v>
      </c>
      <c r="F3" s="2" t="s">
        <v>2</v>
      </c>
    </row>
    <row r="4" spans="2:8" x14ac:dyDescent="0.15">
      <c r="B4" s="111" t="s">
        <v>23</v>
      </c>
      <c r="C4" s="112">
        <v>3</v>
      </c>
      <c r="D4" s="113">
        <v>3</v>
      </c>
      <c r="E4" s="114">
        <v>3</v>
      </c>
      <c r="F4" s="5">
        <f t="shared" ref="F4:F40" si="0">SUM(C4:E4)</f>
        <v>9</v>
      </c>
      <c r="G4" s="32">
        <v>45623</v>
      </c>
    </row>
    <row r="5" spans="2:8" x14ac:dyDescent="0.15">
      <c r="B5" s="172" t="s">
        <v>3</v>
      </c>
      <c r="C5" s="173"/>
      <c r="D5" s="177" t="s">
        <v>97</v>
      </c>
      <c r="E5" s="174">
        <v>2</v>
      </c>
      <c r="F5" s="175">
        <f t="shared" si="0"/>
        <v>2</v>
      </c>
      <c r="G5" s="176">
        <v>45714</v>
      </c>
    </row>
    <row r="6" spans="2:8" x14ac:dyDescent="0.15">
      <c r="B6" s="6" t="s">
        <v>3</v>
      </c>
      <c r="C6" s="90">
        <v>2</v>
      </c>
      <c r="D6" s="178"/>
      <c r="E6" s="86"/>
      <c r="F6" s="8">
        <f t="shared" si="0"/>
        <v>2</v>
      </c>
      <c r="G6" s="32">
        <v>45722</v>
      </c>
    </row>
    <row r="7" spans="2:8" x14ac:dyDescent="0.15">
      <c r="B7" s="6" t="s">
        <v>3</v>
      </c>
      <c r="C7" s="90">
        <v>2</v>
      </c>
      <c r="D7" s="178"/>
      <c r="E7" s="86">
        <v>6</v>
      </c>
      <c r="F7" s="8">
        <f t="shared" ref="F7:F11" si="1">SUM(C7:E7)</f>
        <v>8</v>
      </c>
      <c r="G7" s="32">
        <v>45762</v>
      </c>
    </row>
    <row r="8" spans="2:8" x14ac:dyDescent="0.15">
      <c r="B8" s="6" t="s">
        <v>3</v>
      </c>
      <c r="C8" s="90"/>
      <c r="D8" s="78">
        <v>3</v>
      </c>
      <c r="E8" s="86"/>
      <c r="F8" s="8">
        <f t="shared" ref="F8" si="2">SUM(C8:E8)</f>
        <v>3</v>
      </c>
      <c r="G8" s="32">
        <v>45827</v>
      </c>
      <c r="H8" s="33"/>
    </row>
    <row r="9" spans="2:8" x14ac:dyDescent="0.15">
      <c r="B9" s="6" t="s">
        <v>3</v>
      </c>
      <c r="C9" s="90"/>
      <c r="D9" s="78"/>
      <c r="E9" s="86">
        <v>4</v>
      </c>
      <c r="F9" s="8">
        <f t="shared" si="1"/>
        <v>4</v>
      </c>
      <c r="G9" s="32">
        <v>45855</v>
      </c>
    </row>
    <row r="10" spans="2:8" x14ac:dyDescent="0.15">
      <c r="B10" s="6" t="s">
        <v>3</v>
      </c>
      <c r="C10" s="90">
        <v>2</v>
      </c>
      <c r="D10" s="78"/>
      <c r="E10" s="86"/>
      <c r="F10" s="8">
        <f t="shared" si="1"/>
        <v>2</v>
      </c>
      <c r="G10" s="32">
        <v>45980</v>
      </c>
      <c r="H10" s="33"/>
    </row>
    <row r="11" spans="2:8" x14ac:dyDescent="0.15">
      <c r="B11" s="6" t="s">
        <v>3</v>
      </c>
      <c r="C11" s="90">
        <v>3</v>
      </c>
      <c r="D11" s="78"/>
      <c r="E11" s="86"/>
      <c r="F11" s="8">
        <f t="shared" si="1"/>
        <v>3</v>
      </c>
      <c r="G11" s="32">
        <v>45993</v>
      </c>
      <c r="H11" s="33"/>
    </row>
    <row r="12" spans="2:8" x14ac:dyDescent="0.15">
      <c r="B12" s="6" t="s">
        <v>3</v>
      </c>
      <c r="C12" s="90">
        <v>5</v>
      </c>
      <c r="D12" s="78">
        <v>2</v>
      </c>
      <c r="E12" s="86"/>
      <c r="F12" s="8">
        <f t="shared" si="0"/>
        <v>7</v>
      </c>
      <c r="G12" s="32">
        <v>46029</v>
      </c>
    </row>
    <row r="13" spans="2:8" x14ac:dyDescent="0.15">
      <c r="B13" s="6" t="s">
        <v>3</v>
      </c>
      <c r="C13" s="90"/>
      <c r="D13" s="78">
        <v>2</v>
      </c>
      <c r="E13" s="86"/>
      <c r="F13" s="8">
        <f t="shared" si="0"/>
        <v>2</v>
      </c>
      <c r="G13" s="32">
        <v>46143</v>
      </c>
    </row>
    <row r="14" spans="2:8" ht="14.25" thickBot="1" x14ac:dyDescent="0.2">
      <c r="B14" s="185" t="s">
        <v>3</v>
      </c>
      <c r="C14" s="186"/>
      <c r="D14" s="187"/>
      <c r="E14" s="188">
        <v>2</v>
      </c>
      <c r="F14" s="189">
        <f t="shared" si="0"/>
        <v>2</v>
      </c>
      <c r="G14" s="176">
        <v>46155</v>
      </c>
    </row>
    <row r="15" spans="2:8" ht="14.25" thickBot="1" x14ac:dyDescent="0.2">
      <c r="B15" s="21" t="s">
        <v>4</v>
      </c>
      <c r="C15" s="95">
        <f>SUM(C4:C14)</f>
        <v>17</v>
      </c>
      <c r="D15" s="96">
        <f>SUM(D4:D14)</f>
        <v>10</v>
      </c>
      <c r="E15" s="97">
        <f>SUM(E4:E14)</f>
        <v>17</v>
      </c>
      <c r="F15" s="24">
        <f t="shared" si="0"/>
        <v>44</v>
      </c>
    </row>
    <row r="16" spans="2:8" x14ac:dyDescent="0.15">
      <c r="B16" s="4" t="s">
        <v>90</v>
      </c>
      <c r="C16" s="92"/>
      <c r="D16" s="93"/>
      <c r="E16" s="94">
        <v>1</v>
      </c>
      <c r="F16" s="5">
        <f t="shared" si="0"/>
        <v>1</v>
      </c>
      <c r="G16" s="32">
        <v>45623</v>
      </c>
      <c r="H16" s="33"/>
    </row>
    <row r="17" spans="2:8" x14ac:dyDescent="0.15">
      <c r="B17" s="4" t="s">
        <v>16</v>
      </c>
      <c r="C17" s="90"/>
      <c r="D17" s="78">
        <v>1</v>
      </c>
      <c r="E17" s="86"/>
      <c r="F17" s="8">
        <f t="shared" si="0"/>
        <v>1</v>
      </c>
      <c r="G17" s="32">
        <v>45663</v>
      </c>
      <c r="H17" s="33"/>
    </row>
    <row r="18" spans="2:8" x14ac:dyDescent="0.15">
      <c r="B18" s="4" t="s">
        <v>16</v>
      </c>
      <c r="C18" s="90">
        <v>1</v>
      </c>
      <c r="D18" s="78"/>
      <c r="E18" s="86"/>
      <c r="F18" s="8">
        <f t="shared" si="0"/>
        <v>1</v>
      </c>
      <c r="G18" s="32">
        <v>45667</v>
      </c>
      <c r="H18" s="33"/>
    </row>
    <row r="19" spans="2:8" x14ac:dyDescent="0.15">
      <c r="B19" s="4" t="s">
        <v>16</v>
      </c>
      <c r="C19" s="90"/>
      <c r="D19" s="78"/>
      <c r="E19" s="86">
        <v>1</v>
      </c>
      <c r="F19" s="8">
        <f t="shared" si="0"/>
        <v>1</v>
      </c>
      <c r="G19" s="32">
        <v>45695</v>
      </c>
      <c r="H19" s="33"/>
    </row>
    <row r="20" spans="2:8" x14ac:dyDescent="0.15">
      <c r="B20" s="4" t="s">
        <v>16</v>
      </c>
      <c r="C20" s="90"/>
      <c r="D20" s="78">
        <v>1</v>
      </c>
      <c r="E20" s="86"/>
      <c r="F20" s="8">
        <f t="shared" si="0"/>
        <v>1</v>
      </c>
      <c r="G20" s="32">
        <v>45703</v>
      </c>
      <c r="H20" s="33"/>
    </row>
    <row r="21" spans="2:8" x14ac:dyDescent="0.15">
      <c r="B21" s="4" t="s">
        <v>16</v>
      </c>
      <c r="C21" s="90">
        <v>1</v>
      </c>
      <c r="D21" s="78"/>
      <c r="E21" s="86"/>
      <c r="F21" s="8">
        <f t="shared" si="0"/>
        <v>1</v>
      </c>
      <c r="G21" s="32">
        <v>45721</v>
      </c>
      <c r="H21" s="33"/>
    </row>
    <row r="22" spans="2:8" x14ac:dyDescent="0.15">
      <c r="B22" s="4" t="s">
        <v>16</v>
      </c>
      <c r="C22" s="90"/>
      <c r="D22" s="78"/>
      <c r="E22" s="86">
        <v>4</v>
      </c>
      <c r="F22" s="8">
        <f t="shared" si="0"/>
        <v>4</v>
      </c>
      <c r="G22" s="32">
        <v>45762</v>
      </c>
      <c r="H22" s="33"/>
    </row>
    <row r="23" spans="2:8" x14ac:dyDescent="0.15">
      <c r="B23" s="4" t="s">
        <v>16</v>
      </c>
      <c r="C23" s="90">
        <v>2</v>
      </c>
      <c r="D23" s="78"/>
      <c r="E23" s="86"/>
      <c r="F23" s="8">
        <f t="shared" si="0"/>
        <v>2</v>
      </c>
      <c r="G23" s="32">
        <v>45843</v>
      </c>
      <c r="H23" s="33"/>
    </row>
    <row r="24" spans="2:8" x14ac:dyDescent="0.15">
      <c r="B24" s="4" t="s">
        <v>16</v>
      </c>
      <c r="C24" s="90"/>
      <c r="D24" s="78"/>
      <c r="E24" s="86">
        <v>1</v>
      </c>
      <c r="F24" s="8">
        <f t="shared" si="0"/>
        <v>1</v>
      </c>
      <c r="G24" s="32">
        <v>45845</v>
      </c>
      <c r="H24" s="33"/>
    </row>
    <row r="25" spans="2:8" x14ac:dyDescent="0.15">
      <c r="B25" s="4" t="s">
        <v>16</v>
      </c>
      <c r="C25" s="90"/>
      <c r="D25" s="78"/>
      <c r="E25" s="86">
        <v>4</v>
      </c>
      <c r="F25" s="8">
        <f t="shared" si="0"/>
        <v>4</v>
      </c>
      <c r="G25" s="32">
        <v>45852</v>
      </c>
      <c r="H25" s="33"/>
    </row>
    <row r="26" spans="2:8" x14ac:dyDescent="0.15">
      <c r="B26" s="12" t="s">
        <v>99</v>
      </c>
      <c r="C26" s="90">
        <v>-1</v>
      </c>
      <c r="D26" s="78">
        <v>0</v>
      </c>
      <c r="E26" s="86">
        <v>0</v>
      </c>
      <c r="F26" s="8">
        <f t="shared" si="0"/>
        <v>-1</v>
      </c>
      <c r="G26" s="32">
        <v>45890</v>
      </c>
      <c r="H26" s="33"/>
    </row>
    <row r="27" spans="2:8" x14ac:dyDescent="0.15">
      <c r="B27" s="4" t="s">
        <v>16</v>
      </c>
      <c r="C27" s="90"/>
      <c r="D27" s="78">
        <v>1</v>
      </c>
      <c r="E27" s="86"/>
      <c r="F27" s="8">
        <f t="shared" si="0"/>
        <v>1</v>
      </c>
      <c r="G27" s="32">
        <v>45925</v>
      </c>
      <c r="H27" s="33"/>
    </row>
    <row r="28" spans="2:8" x14ac:dyDescent="0.15">
      <c r="B28" s="4" t="s">
        <v>16</v>
      </c>
      <c r="C28" s="90">
        <v>2</v>
      </c>
      <c r="D28" s="78"/>
      <c r="E28" s="86">
        <v>1</v>
      </c>
      <c r="F28" s="8">
        <f t="shared" si="0"/>
        <v>3</v>
      </c>
      <c r="G28" s="32">
        <v>45936</v>
      </c>
      <c r="H28" s="33"/>
    </row>
    <row r="29" spans="2:8" x14ac:dyDescent="0.15">
      <c r="B29" s="4" t="s">
        <v>16</v>
      </c>
      <c r="C29" s="90">
        <v>1</v>
      </c>
      <c r="D29" s="78"/>
      <c r="E29" s="86"/>
      <c r="F29" s="8">
        <f t="shared" si="0"/>
        <v>1</v>
      </c>
      <c r="G29" s="32">
        <v>45968</v>
      </c>
      <c r="H29" s="33"/>
    </row>
    <row r="30" spans="2:8" x14ac:dyDescent="0.15">
      <c r="B30" s="4" t="s">
        <v>16</v>
      </c>
      <c r="C30" s="90">
        <v>2</v>
      </c>
      <c r="D30" s="78"/>
      <c r="E30" s="86"/>
      <c r="F30" s="8">
        <f t="shared" si="0"/>
        <v>2</v>
      </c>
      <c r="G30" s="32">
        <v>45986</v>
      </c>
      <c r="H30" s="33"/>
    </row>
    <row r="31" spans="2:8" x14ac:dyDescent="0.15">
      <c r="B31" s="4" t="s">
        <v>16</v>
      </c>
      <c r="C31" s="90">
        <v>3</v>
      </c>
      <c r="D31" s="78">
        <v>1</v>
      </c>
      <c r="E31" s="86"/>
      <c r="F31" s="8">
        <f t="shared" si="0"/>
        <v>4</v>
      </c>
      <c r="G31" s="32">
        <v>46027</v>
      </c>
      <c r="H31" s="33"/>
    </row>
    <row r="32" spans="2:8" x14ac:dyDescent="0.15">
      <c r="B32" s="12" t="s">
        <v>73</v>
      </c>
      <c r="C32" s="90">
        <v>0</v>
      </c>
      <c r="D32" s="78">
        <v>0</v>
      </c>
      <c r="E32" s="86">
        <v>0</v>
      </c>
      <c r="F32" s="8">
        <f t="shared" si="0"/>
        <v>0</v>
      </c>
      <c r="G32" s="32">
        <v>46085</v>
      </c>
      <c r="H32" s="33"/>
    </row>
    <row r="33" spans="2:8" x14ac:dyDescent="0.15">
      <c r="B33" s="12" t="s">
        <v>16</v>
      </c>
      <c r="C33" s="90"/>
      <c r="D33" s="78">
        <v>2</v>
      </c>
      <c r="E33" s="86"/>
      <c r="F33" s="8">
        <f t="shared" si="0"/>
        <v>2</v>
      </c>
      <c r="G33" s="32">
        <v>46090</v>
      </c>
      <c r="H33" s="33"/>
    </row>
    <row r="34" spans="2:8" x14ac:dyDescent="0.15">
      <c r="B34" s="12" t="s">
        <v>16</v>
      </c>
      <c r="C34" s="90">
        <v>1</v>
      </c>
      <c r="D34" s="78"/>
      <c r="E34" s="86"/>
      <c r="F34" s="8">
        <f t="shared" si="0"/>
        <v>1</v>
      </c>
      <c r="G34" s="32">
        <v>46097</v>
      </c>
      <c r="H34" s="33"/>
    </row>
    <row r="35" spans="2:8" x14ac:dyDescent="0.15">
      <c r="B35" s="12" t="s">
        <v>16</v>
      </c>
      <c r="C35" s="90">
        <v>1</v>
      </c>
      <c r="D35" s="78"/>
      <c r="E35" s="86"/>
      <c r="F35" s="8">
        <f t="shared" si="0"/>
        <v>1</v>
      </c>
      <c r="G35" s="32">
        <v>46098</v>
      </c>
      <c r="H35" s="33"/>
    </row>
    <row r="36" spans="2:8" x14ac:dyDescent="0.15">
      <c r="B36" s="12" t="s">
        <v>16</v>
      </c>
      <c r="C36" s="90"/>
      <c r="D36" s="78"/>
      <c r="E36" s="86">
        <v>1</v>
      </c>
      <c r="F36" s="8">
        <f t="shared" si="0"/>
        <v>1</v>
      </c>
      <c r="G36" s="32">
        <v>46149</v>
      </c>
      <c r="H36" s="33"/>
    </row>
    <row r="37" spans="2:8" x14ac:dyDescent="0.15">
      <c r="B37" s="28"/>
      <c r="C37" s="90"/>
      <c r="D37" s="78"/>
      <c r="E37" s="86"/>
      <c r="F37" s="8">
        <f t="shared" si="0"/>
        <v>0</v>
      </c>
      <c r="G37" s="33"/>
      <c r="H37" s="33"/>
    </row>
    <row r="38" spans="2:8" x14ac:dyDescent="0.15">
      <c r="B38" s="12"/>
      <c r="C38" s="90"/>
      <c r="D38" s="78"/>
      <c r="E38" s="86"/>
      <c r="F38" s="8">
        <f t="shared" si="0"/>
        <v>0</v>
      </c>
      <c r="G38" s="33"/>
      <c r="H38" s="33"/>
    </row>
    <row r="39" spans="2:8" ht="14.25" thickBot="1" x14ac:dyDescent="0.2">
      <c r="B39" s="79"/>
      <c r="C39" s="91"/>
      <c r="D39" s="80"/>
      <c r="E39" s="87"/>
      <c r="F39" s="88">
        <f t="shared" si="0"/>
        <v>0</v>
      </c>
      <c r="G39" s="33"/>
      <c r="H39" s="33"/>
    </row>
    <row r="40" spans="2:8" ht="14.25" thickBot="1" x14ac:dyDescent="0.2">
      <c r="B40" s="2" t="s">
        <v>5</v>
      </c>
      <c r="C40" s="104">
        <f>SUM(C16:C39)</f>
        <v>13</v>
      </c>
      <c r="D40" s="105">
        <f>SUM(D16:D39)</f>
        <v>6</v>
      </c>
      <c r="E40" s="106">
        <f>SUM(E16:E39)</f>
        <v>13</v>
      </c>
      <c r="F40" s="16">
        <f t="shared" si="0"/>
        <v>32</v>
      </c>
      <c r="G40" s="33"/>
      <c r="H40" s="33"/>
    </row>
    <row r="41" spans="2:8" ht="14.25" thickBot="1" x14ac:dyDescent="0.2">
      <c r="B41" s="99" t="s">
        <v>6</v>
      </c>
      <c r="C41" s="100">
        <f>C15-C40</f>
        <v>4</v>
      </c>
      <c r="D41" s="101">
        <f t="shared" ref="D41:F41" si="3">D15-D40</f>
        <v>4</v>
      </c>
      <c r="E41" s="102">
        <f t="shared" si="3"/>
        <v>4</v>
      </c>
      <c r="F41" s="103">
        <f t="shared" si="3"/>
        <v>12</v>
      </c>
    </row>
    <row r="44" spans="2:8" ht="18" thickBot="1" x14ac:dyDescent="0.25">
      <c r="B44" s="29" t="s">
        <v>96</v>
      </c>
      <c r="C44" s="1"/>
      <c r="D44" s="1"/>
      <c r="E44" s="1"/>
      <c r="F44" s="1"/>
    </row>
    <row r="45" spans="2:8" ht="14.25" thickBot="1" x14ac:dyDescent="0.2">
      <c r="B45" s="81" t="s">
        <v>0</v>
      </c>
      <c r="C45" s="205" t="s">
        <v>62</v>
      </c>
      <c r="D45" s="206"/>
      <c r="E45" s="207"/>
      <c r="F45" s="82"/>
    </row>
    <row r="46" spans="2:8" ht="14.25" thickBot="1" x14ac:dyDescent="0.2">
      <c r="B46" s="2" t="s">
        <v>1</v>
      </c>
      <c r="C46" s="89" t="s">
        <v>7</v>
      </c>
      <c r="D46" s="83" t="s">
        <v>8</v>
      </c>
      <c r="E46" s="84" t="s">
        <v>9</v>
      </c>
      <c r="F46" s="2" t="s">
        <v>2</v>
      </c>
    </row>
    <row r="47" spans="2:8" x14ac:dyDescent="0.15">
      <c r="B47" s="107" t="s">
        <v>6</v>
      </c>
      <c r="C47" s="109">
        <f>C41</f>
        <v>4</v>
      </c>
      <c r="D47" s="98">
        <f>D41</f>
        <v>4</v>
      </c>
      <c r="E47" s="98">
        <f>E41</f>
        <v>4</v>
      </c>
      <c r="F47" s="18">
        <f t="shared" ref="F47:F83" si="4">SUM(C47:E47)</f>
        <v>12</v>
      </c>
    </row>
    <row r="48" spans="2:8" x14ac:dyDescent="0.15">
      <c r="B48" s="6" t="s">
        <v>3</v>
      </c>
      <c r="C48" s="76"/>
      <c r="D48" s="77"/>
      <c r="E48" s="85"/>
      <c r="F48" s="8">
        <f t="shared" si="4"/>
        <v>0</v>
      </c>
      <c r="G48" s="32"/>
    </row>
    <row r="49" spans="2:8" x14ac:dyDescent="0.15">
      <c r="B49" s="6" t="s">
        <v>3</v>
      </c>
      <c r="C49" s="76"/>
      <c r="D49" s="77"/>
      <c r="E49" s="85"/>
      <c r="F49" s="8">
        <f t="shared" si="4"/>
        <v>0</v>
      </c>
      <c r="G49" s="32"/>
    </row>
    <row r="50" spans="2:8" x14ac:dyDescent="0.15">
      <c r="B50" s="6" t="s">
        <v>3</v>
      </c>
      <c r="C50" s="76"/>
      <c r="D50" s="77"/>
      <c r="E50" s="85"/>
      <c r="F50" s="8">
        <f t="shared" si="4"/>
        <v>0</v>
      </c>
      <c r="G50" s="32"/>
    </row>
    <row r="51" spans="2:8" x14ac:dyDescent="0.15">
      <c r="B51" s="6" t="s">
        <v>3</v>
      </c>
      <c r="C51" s="76"/>
      <c r="D51" s="77"/>
      <c r="E51" s="85"/>
      <c r="F51" s="8">
        <f t="shared" si="4"/>
        <v>0</v>
      </c>
      <c r="G51" s="32"/>
    </row>
    <row r="52" spans="2:8" x14ac:dyDescent="0.15">
      <c r="B52" s="6" t="s">
        <v>3</v>
      </c>
      <c r="C52" s="76"/>
      <c r="D52" s="77"/>
      <c r="E52" s="85"/>
      <c r="F52" s="8">
        <f t="shared" si="4"/>
        <v>0</v>
      </c>
      <c r="G52" s="32"/>
    </row>
    <row r="53" spans="2:8" x14ac:dyDescent="0.15">
      <c r="B53" s="6" t="s">
        <v>3</v>
      </c>
      <c r="C53" s="76"/>
      <c r="D53" s="77"/>
      <c r="E53" s="85"/>
      <c r="F53" s="8">
        <f t="shared" si="4"/>
        <v>0</v>
      </c>
      <c r="G53" s="32"/>
    </row>
    <row r="54" spans="2:8" x14ac:dyDescent="0.15">
      <c r="B54" s="6" t="s">
        <v>3</v>
      </c>
      <c r="C54" s="90"/>
      <c r="D54" s="78"/>
      <c r="E54" s="86"/>
      <c r="F54" s="8">
        <f t="shared" si="4"/>
        <v>0</v>
      </c>
      <c r="G54" s="32"/>
      <c r="H54" s="33"/>
    </row>
    <row r="55" spans="2:8" x14ac:dyDescent="0.15">
      <c r="B55" s="6" t="s">
        <v>3</v>
      </c>
      <c r="C55" s="90"/>
      <c r="D55" s="78"/>
      <c r="E55" s="86"/>
      <c r="F55" s="8">
        <f t="shared" si="4"/>
        <v>0</v>
      </c>
      <c r="G55" s="32"/>
    </row>
    <row r="56" spans="2:8" x14ac:dyDescent="0.15">
      <c r="B56" s="6" t="s">
        <v>3</v>
      </c>
      <c r="C56" s="90"/>
      <c r="D56" s="78"/>
      <c r="E56" s="86"/>
      <c r="F56" s="8">
        <f t="shared" si="4"/>
        <v>0</v>
      </c>
      <c r="G56" s="32"/>
    </row>
    <row r="57" spans="2:8" ht="14.25" thickBot="1" x14ac:dyDescent="0.2">
      <c r="B57" s="108" t="s">
        <v>3</v>
      </c>
      <c r="C57" s="110"/>
      <c r="D57" s="80"/>
      <c r="E57" s="87"/>
      <c r="F57" s="88">
        <f t="shared" si="4"/>
        <v>0</v>
      </c>
      <c r="G57" s="32"/>
    </row>
    <row r="58" spans="2:8" ht="14.25" thickBot="1" x14ac:dyDescent="0.2">
      <c r="B58" s="21" t="s">
        <v>4</v>
      </c>
      <c r="C58" s="95">
        <f>SUM(C47:C57)</f>
        <v>4</v>
      </c>
      <c r="D58" s="96">
        <f>SUM(D47:D57)</f>
        <v>4</v>
      </c>
      <c r="E58" s="97">
        <f>SUM(E47:E57)</f>
        <v>4</v>
      </c>
      <c r="F58" s="24">
        <f t="shared" si="4"/>
        <v>12</v>
      </c>
    </row>
    <row r="59" spans="2:8" x14ac:dyDescent="0.15">
      <c r="B59" s="4"/>
      <c r="C59" s="92"/>
      <c r="D59" s="93"/>
      <c r="E59" s="94"/>
      <c r="F59" s="5">
        <f t="shared" si="4"/>
        <v>0</v>
      </c>
      <c r="G59" s="37"/>
    </row>
    <row r="60" spans="2:8" x14ac:dyDescent="0.15">
      <c r="B60" s="4"/>
      <c r="C60" s="90"/>
      <c r="D60" s="78"/>
      <c r="E60" s="86"/>
      <c r="F60" s="8">
        <f t="shared" si="4"/>
        <v>0</v>
      </c>
      <c r="G60" s="32"/>
    </row>
    <row r="61" spans="2:8" x14ac:dyDescent="0.15">
      <c r="B61" s="4"/>
      <c r="C61" s="90"/>
      <c r="D61" s="78"/>
      <c r="E61" s="86"/>
      <c r="F61" s="8">
        <f t="shared" si="4"/>
        <v>0</v>
      </c>
      <c r="G61" s="37"/>
    </row>
    <row r="62" spans="2:8" x14ac:dyDescent="0.15">
      <c r="B62" s="4"/>
      <c r="C62" s="90"/>
      <c r="D62" s="78"/>
      <c r="E62" s="86"/>
      <c r="F62" s="8">
        <f t="shared" si="4"/>
        <v>0</v>
      </c>
      <c r="G62" s="37"/>
    </row>
    <row r="63" spans="2:8" x14ac:dyDescent="0.15">
      <c r="B63" s="4"/>
      <c r="C63" s="90"/>
      <c r="D63" s="78"/>
      <c r="E63" s="86"/>
      <c r="F63" s="8">
        <f t="shared" si="4"/>
        <v>0</v>
      </c>
      <c r="G63" s="37"/>
    </row>
    <row r="64" spans="2:8" x14ac:dyDescent="0.15">
      <c r="B64" s="4"/>
      <c r="C64" s="90"/>
      <c r="D64" s="78"/>
      <c r="E64" s="86"/>
      <c r="F64" s="8">
        <f t="shared" si="4"/>
        <v>0</v>
      </c>
      <c r="G64" s="37"/>
    </row>
    <row r="65" spans="2:7" x14ac:dyDescent="0.15">
      <c r="B65" s="4"/>
      <c r="C65" s="90"/>
      <c r="D65" s="78"/>
      <c r="E65" s="86"/>
      <c r="F65" s="8">
        <f t="shared" si="4"/>
        <v>0</v>
      </c>
      <c r="G65" s="37"/>
    </row>
    <row r="66" spans="2:7" x14ac:dyDescent="0.15">
      <c r="B66" s="4"/>
      <c r="C66" s="90"/>
      <c r="D66" s="78"/>
      <c r="E66" s="86"/>
      <c r="F66" s="8">
        <f t="shared" si="4"/>
        <v>0</v>
      </c>
      <c r="G66" s="37"/>
    </row>
    <row r="67" spans="2:7" x14ac:dyDescent="0.15">
      <c r="B67" s="4"/>
      <c r="C67" s="90"/>
      <c r="D67" s="78"/>
      <c r="E67" s="86"/>
      <c r="F67" s="8">
        <f t="shared" si="4"/>
        <v>0</v>
      </c>
      <c r="G67" s="37"/>
    </row>
    <row r="68" spans="2:7" x14ac:dyDescent="0.15">
      <c r="B68" s="4"/>
      <c r="C68" s="90"/>
      <c r="D68" s="78"/>
      <c r="E68" s="86"/>
      <c r="F68" s="8">
        <f t="shared" si="4"/>
        <v>0</v>
      </c>
      <c r="G68" s="37"/>
    </row>
    <row r="69" spans="2:7" x14ac:dyDescent="0.15">
      <c r="B69" s="12"/>
      <c r="C69" s="90"/>
      <c r="D69" s="78"/>
      <c r="E69" s="86"/>
      <c r="F69" s="8">
        <f t="shared" si="4"/>
        <v>0</v>
      </c>
    </row>
    <row r="70" spans="2:7" x14ac:dyDescent="0.15">
      <c r="B70" s="12"/>
      <c r="C70" s="90"/>
      <c r="D70" s="78"/>
      <c r="E70" s="86"/>
      <c r="F70" s="8">
        <f t="shared" si="4"/>
        <v>0</v>
      </c>
    </row>
    <row r="71" spans="2:7" x14ac:dyDescent="0.15">
      <c r="B71" s="12"/>
      <c r="C71" s="90"/>
      <c r="D71" s="78"/>
      <c r="E71" s="86"/>
      <c r="F71" s="8">
        <f t="shared" si="4"/>
        <v>0</v>
      </c>
    </row>
    <row r="72" spans="2:7" x14ac:dyDescent="0.15">
      <c r="B72" s="12"/>
      <c r="C72" s="90"/>
      <c r="D72" s="78"/>
      <c r="E72" s="86"/>
      <c r="F72" s="8">
        <f t="shared" si="4"/>
        <v>0</v>
      </c>
    </row>
    <row r="73" spans="2:7" x14ac:dyDescent="0.15">
      <c r="B73" s="12"/>
      <c r="C73" s="90"/>
      <c r="D73" s="78"/>
      <c r="E73" s="86"/>
      <c r="F73" s="8">
        <f t="shared" si="4"/>
        <v>0</v>
      </c>
    </row>
    <row r="74" spans="2:7" x14ac:dyDescent="0.15">
      <c r="B74" s="12"/>
      <c r="C74" s="90"/>
      <c r="D74" s="78"/>
      <c r="E74" s="86"/>
      <c r="F74" s="8">
        <f t="shared" si="4"/>
        <v>0</v>
      </c>
    </row>
    <row r="75" spans="2:7" x14ac:dyDescent="0.15">
      <c r="B75" s="12"/>
      <c r="C75" s="90"/>
      <c r="D75" s="78"/>
      <c r="E75" s="86"/>
      <c r="F75" s="8">
        <f t="shared" si="4"/>
        <v>0</v>
      </c>
    </row>
    <row r="76" spans="2:7" x14ac:dyDescent="0.15">
      <c r="B76" s="12"/>
      <c r="C76" s="90"/>
      <c r="D76" s="78"/>
      <c r="E76" s="86"/>
      <c r="F76" s="8">
        <f t="shared" si="4"/>
        <v>0</v>
      </c>
    </row>
    <row r="77" spans="2:7" x14ac:dyDescent="0.15">
      <c r="B77" s="12"/>
      <c r="C77" s="90"/>
      <c r="D77" s="78"/>
      <c r="E77" s="86"/>
      <c r="F77" s="8">
        <f t="shared" si="4"/>
        <v>0</v>
      </c>
    </row>
    <row r="78" spans="2:7" x14ac:dyDescent="0.15">
      <c r="B78" s="12"/>
      <c r="C78" s="90"/>
      <c r="D78" s="78"/>
      <c r="E78" s="86"/>
      <c r="F78" s="8">
        <f t="shared" si="4"/>
        <v>0</v>
      </c>
    </row>
    <row r="79" spans="2:7" x14ac:dyDescent="0.15">
      <c r="B79" s="12"/>
      <c r="C79" s="90"/>
      <c r="D79" s="78"/>
      <c r="E79" s="86"/>
      <c r="F79" s="8">
        <f t="shared" si="4"/>
        <v>0</v>
      </c>
    </row>
    <row r="80" spans="2:7" x14ac:dyDescent="0.15">
      <c r="B80" s="28"/>
      <c r="C80" s="90"/>
      <c r="D80" s="78"/>
      <c r="E80" s="86"/>
      <c r="F80" s="8">
        <f t="shared" si="4"/>
        <v>0</v>
      </c>
    </row>
    <row r="81" spans="2:6" x14ac:dyDescent="0.15">
      <c r="B81" s="12"/>
      <c r="C81" s="90"/>
      <c r="D81" s="78"/>
      <c r="E81" s="86"/>
      <c r="F81" s="8">
        <f t="shared" si="4"/>
        <v>0</v>
      </c>
    </row>
    <row r="82" spans="2:6" ht="14.25" thickBot="1" x14ac:dyDescent="0.2">
      <c r="B82" s="79"/>
      <c r="C82" s="91"/>
      <c r="D82" s="80"/>
      <c r="E82" s="87"/>
      <c r="F82" s="88">
        <f t="shared" si="4"/>
        <v>0</v>
      </c>
    </row>
    <row r="83" spans="2:6" ht="14.25" thickBot="1" x14ac:dyDescent="0.2">
      <c r="B83" s="2" t="s">
        <v>5</v>
      </c>
      <c r="C83" s="104">
        <f>SUM(C59:C82)</f>
        <v>0</v>
      </c>
      <c r="D83" s="105">
        <f>SUM(D59:D82)</f>
        <v>0</v>
      </c>
      <c r="E83" s="106">
        <f>SUM(E59:E82)</f>
        <v>0</v>
      </c>
      <c r="F83" s="16">
        <f t="shared" si="4"/>
        <v>0</v>
      </c>
    </row>
    <row r="84" spans="2:6" ht="14.25" thickBot="1" x14ac:dyDescent="0.2">
      <c r="B84" s="99" t="s">
        <v>6</v>
      </c>
      <c r="C84" s="100">
        <f>C58-C83</f>
        <v>4</v>
      </c>
      <c r="D84" s="101">
        <f t="shared" ref="D84:F84" si="5">D58-D83</f>
        <v>4</v>
      </c>
      <c r="E84" s="102">
        <f t="shared" si="5"/>
        <v>4</v>
      </c>
      <c r="F84" s="103">
        <f t="shared" si="5"/>
        <v>12</v>
      </c>
    </row>
  </sheetData>
  <mergeCells count="2">
    <mergeCell ref="C2:E2"/>
    <mergeCell ref="C45:E45"/>
  </mergeCells>
  <phoneticPr fontId="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F0A8-C3C9-4F3A-82AC-86E7E4CE1A28}">
  <sheetPr>
    <tabColor rgb="FFFF0000"/>
  </sheetPr>
  <dimension ref="B1:H84"/>
  <sheetViews>
    <sheetView topLeftCell="A17" workbookViewId="0">
      <selection activeCell="C29" sqref="C29"/>
    </sheetView>
  </sheetViews>
  <sheetFormatPr defaultRowHeight="13.5" x14ac:dyDescent="0.15"/>
  <cols>
    <col min="1" max="1" width="5.25" customWidth="1"/>
    <col min="2" max="2" width="16.125" customWidth="1"/>
    <col min="3" max="6" width="7.75" customWidth="1"/>
    <col min="7" max="7" width="9.25" bestFit="1" customWidth="1"/>
  </cols>
  <sheetData>
    <row r="1" spans="2:8" ht="18" thickBot="1" x14ac:dyDescent="0.25">
      <c r="B1" s="29" t="s">
        <v>93</v>
      </c>
      <c r="C1" s="1"/>
      <c r="D1" s="1"/>
      <c r="E1" s="1"/>
      <c r="F1" s="1"/>
    </row>
    <row r="2" spans="2:8" ht="14.25" thickBot="1" x14ac:dyDescent="0.2">
      <c r="B2" s="81" t="s">
        <v>0</v>
      </c>
      <c r="C2" s="205" t="s">
        <v>62</v>
      </c>
      <c r="D2" s="206"/>
      <c r="E2" s="207"/>
      <c r="F2" s="82"/>
    </row>
    <row r="3" spans="2:8" ht="14.25" thickBot="1" x14ac:dyDescent="0.2">
      <c r="B3" s="2" t="s">
        <v>1</v>
      </c>
      <c r="C3" s="89" t="s">
        <v>7</v>
      </c>
      <c r="D3" s="83" t="s">
        <v>8</v>
      </c>
      <c r="E3" s="84" t="s">
        <v>9</v>
      </c>
      <c r="F3" s="2" t="s">
        <v>2</v>
      </c>
    </row>
    <row r="4" spans="2:8" x14ac:dyDescent="0.15">
      <c r="B4" s="111" t="s">
        <v>23</v>
      </c>
      <c r="C4" s="112">
        <v>2</v>
      </c>
      <c r="D4" s="113">
        <v>4</v>
      </c>
      <c r="E4" s="114">
        <v>2</v>
      </c>
      <c r="F4" s="5">
        <f t="shared" ref="F4:F40" si="0">SUM(C4:E4)</f>
        <v>8</v>
      </c>
      <c r="G4" s="32">
        <v>45665</v>
      </c>
      <c r="H4" s="33"/>
    </row>
    <row r="5" spans="2:8" x14ac:dyDescent="0.15">
      <c r="B5" s="6" t="s">
        <v>3</v>
      </c>
      <c r="C5" s="76">
        <v>3</v>
      </c>
      <c r="D5" s="77"/>
      <c r="E5" s="85"/>
      <c r="F5" s="8">
        <f t="shared" si="0"/>
        <v>3</v>
      </c>
      <c r="G5" s="32">
        <v>45685</v>
      </c>
    </row>
    <row r="6" spans="2:8" x14ac:dyDescent="0.15">
      <c r="B6" s="6" t="s">
        <v>3</v>
      </c>
      <c r="C6" s="90"/>
      <c r="D6" s="78">
        <v>2</v>
      </c>
      <c r="E6" s="86"/>
      <c r="F6" s="8">
        <f t="shared" si="0"/>
        <v>2</v>
      </c>
      <c r="G6" s="32">
        <v>45714</v>
      </c>
    </row>
    <row r="7" spans="2:8" x14ac:dyDescent="0.15">
      <c r="B7" s="6" t="s">
        <v>3</v>
      </c>
      <c r="C7" s="90"/>
      <c r="D7" s="78">
        <v>2</v>
      </c>
      <c r="E7" s="86"/>
      <c r="F7" s="8">
        <f t="shared" si="0"/>
        <v>2</v>
      </c>
      <c r="G7" s="32">
        <v>45966</v>
      </c>
    </row>
    <row r="8" spans="2:8" x14ac:dyDescent="0.15">
      <c r="B8" s="6" t="s">
        <v>3</v>
      </c>
      <c r="C8" s="90">
        <v>2</v>
      </c>
      <c r="D8" s="78"/>
      <c r="E8" s="86"/>
      <c r="F8" s="8">
        <f t="shared" si="0"/>
        <v>2</v>
      </c>
      <c r="G8" s="32">
        <v>45993</v>
      </c>
      <c r="H8" s="33"/>
    </row>
    <row r="9" spans="2:8" x14ac:dyDescent="0.15">
      <c r="B9" s="6" t="s">
        <v>3</v>
      </c>
      <c r="C9" s="90">
        <v>3</v>
      </c>
      <c r="D9" s="78"/>
      <c r="E9" s="86"/>
      <c r="F9" s="8">
        <f t="shared" si="0"/>
        <v>3</v>
      </c>
      <c r="G9" s="32">
        <v>46029</v>
      </c>
      <c r="H9" s="33"/>
    </row>
    <row r="10" spans="2:8" x14ac:dyDescent="0.15">
      <c r="B10" s="6" t="s">
        <v>3</v>
      </c>
      <c r="C10" s="90"/>
      <c r="D10" s="78">
        <v>2</v>
      </c>
      <c r="E10" s="86"/>
      <c r="F10" s="8">
        <f t="shared" si="0"/>
        <v>2</v>
      </c>
      <c r="G10" s="32">
        <v>46055</v>
      </c>
      <c r="H10" s="33"/>
    </row>
    <row r="11" spans="2:8" x14ac:dyDescent="0.15">
      <c r="B11" s="6" t="s">
        <v>3</v>
      </c>
      <c r="C11" s="90"/>
      <c r="D11" s="78">
        <v>2</v>
      </c>
      <c r="E11" s="86"/>
      <c r="F11" s="8">
        <f t="shared" si="0"/>
        <v>2</v>
      </c>
      <c r="G11" s="32">
        <v>46094</v>
      </c>
      <c r="H11" s="33"/>
    </row>
    <row r="12" spans="2:8" x14ac:dyDescent="0.15">
      <c r="B12" s="6" t="s">
        <v>3</v>
      </c>
      <c r="C12" s="90"/>
      <c r="D12" s="78"/>
      <c r="E12" s="86"/>
      <c r="F12" s="8">
        <f t="shared" si="0"/>
        <v>0</v>
      </c>
      <c r="G12" s="32"/>
    </row>
    <row r="13" spans="2:8" x14ac:dyDescent="0.15">
      <c r="B13" s="6" t="s">
        <v>3</v>
      </c>
      <c r="C13" s="90"/>
      <c r="D13" s="78"/>
      <c r="E13" s="86"/>
      <c r="F13" s="8">
        <f t="shared" si="0"/>
        <v>0</v>
      </c>
      <c r="G13" s="32"/>
    </row>
    <row r="14" spans="2:8" ht="14.25" thickBot="1" x14ac:dyDescent="0.2">
      <c r="B14" s="7" t="s">
        <v>3</v>
      </c>
      <c r="C14" s="91"/>
      <c r="D14" s="80"/>
      <c r="E14" s="87"/>
      <c r="F14" s="88">
        <f t="shared" si="0"/>
        <v>0</v>
      </c>
      <c r="G14" s="32"/>
    </row>
    <row r="15" spans="2:8" ht="14.25" thickBot="1" x14ac:dyDescent="0.2">
      <c r="B15" s="21" t="s">
        <v>4</v>
      </c>
      <c r="C15" s="95">
        <f>SUM(C4:C14)</f>
        <v>10</v>
      </c>
      <c r="D15" s="96">
        <f>SUM(D4:D14)</f>
        <v>12</v>
      </c>
      <c r="E15" s="97">
        <f>SUM(E4:E14)</f>
        <v>2</v>
      </c>
      <c r="F15" s="24">
        <f t="shared" si="0"/>
        <v>24</v>
      </c>
    </row>
    <row r="16" spans="2:8" x14ac:dyDescent="0.15">
      <c r="B16" s="4" t="s">
        <v>94</v>
      </c>
      <c r="C16" s="90"/>
      <c r="D16" s="78">
        <v>2</v>
      </c>
      <c r="E16" s="86"/>
      <c r="F16" s="8">
        <f t="shared" ref="F16:F17" si="1">SUM(C16:E16)</f>
        <v>2</v>
      </c>
      <c r="G16" s="32">
        <v>45665</v>
      </c>
      <c r="H16" s="33"/>
    </row>
    <row r="17" spans="2:8" x14ac:dyDescent="0.15">
      <c r="B17" s="4" t="s">
        <v>16</v>
      </c>
      <c r="C17" s="90">
        <v>1</v>
      </c>
      <c r="D17" s="78"/>
      <c r="E17" s="86"/>
      <c r="F17" s="8">
        <f t="shared" si="1"/>
        <v>1</v>
      </c>
      <c r="G17" s="32">
        <v>45680</v>
      </c>
      <c r="H17" s="33"/>
    </row>
    <row r="18" spans="2:8" x14ac:dyDescent="0.15">
      <c r="B18" s="4" t="s">
        <v>16</v>
      </c>
      <c r="C18" s="90">
        <v>2</v>
      </c>
      <c r="D18" s="78"/>
      <c r="E18" s="86"/>
      <c r="F18" s="8">
        <f t="shared" si="0"/>
        <v>2</v>
      </c>
      <c r="G18" s="32">
        <v>45685</v>
      </c>
      <c r="H18" s="33"/>
    </row>
    <row r="19" spans="2:8" x14ac:dyDescent="0.15">
      <c r="B19" s="4" t="s">
        <v>16</v>
      </c>
      <c r="C19" s="90"/>
      <c r="D19" s="78">
        <v>2</v>
      </c>
      <c r="E19" s="86"/>
      <c r="F19" s="8">
        <f t="shared" si="0"/>
        <v>2</v>
      </c>
      <c r="G19" s="32">
        <v>45702</v>
      </c>
      <c r="H19" s="33"/>
    </row>
    <row r="20" spans="2:8" x14ac:dyDescent="0.15">
      <c r="B20" s="4" t="s">
        <v>99</v>
      </c>
      <c r="C20" s="90">
        <v>0</v>
      </c>
      <c r="D20" s="78">
        <v>0</v>
      </c>
      <c r="E20" s="86">
        <v>0</v>
      </c>
      <c r="F20" s="8">
        <f t="shared" si="0"/>
        <v>0</v>
      </c>
      <c r="G20" s="32">
        <v>45890</v>
      </c>
      <c r="H20" s="33"/>
    </row>
    <row r="21" spans="2:8" x14ac:dyDescent="0.15">
      <c r="B21" s="4" t="s">
        <v>16</v>
      </c>
      <c r="C21" s="90"/>
      <c r="D21" s="78">
        <v>2</v>
      </c>
      <c r="E21" s="86"/>
      <c r="F21" s="8">
        <f t="shared" si="0"/>
        <v>2</v>
      </c>
      <c r="G21" s="32">
        <v>45947</v>
      </c>
      <c r="H21" s="33"/>
    </row>
    <row r="22" spans="2:8" x14ac:dyDescent="0.15">
      <c r="B22" s="4" t="s">
        <v>16</v>
      </c>
      <c r="C22" s="90">
        <v>1</v>
      </c>
      <c r="D22" s="78"/>
      <c r="E22" s="86"/>
      <c r="F22" s="8">
        <f t="shared" si="0"/>
        <v>1</v>
      </c>
      <c r="G22" s="32">
        <v>45986</v>
      </c>
      <c r="H22" s="33"/>
    </row>
    <row r="23" spans="2:8" x14ac:dyDescent="0.15">
      <c r="B23" s="4" t="s">
        <v>16</v>
      </c>
      <c r="C23" s="90">
        <v>3</v>
      </c>
      <c r="D23" s="78"/>
      <c r="E23" s="86"/>
      <c r="F23" s="8">
        <f t="shared" si="0"/>
        <v>3</v>
      </c>
      <c r="G23" s="32">
        <v>46027</v>
      </c>
      <c r="H23" s="33"/>
    </row>
    <row r="24" spans="2:8" x14ac:dyDescent="0.15">
      <c r="B24" s="4" t="s">
        <v>16</v>
      </c>
      <c r="C24" s="90"/>
      <c r="D24" s="78">
        <v>1</v>
      </c>
      <c r="E24" s="86"/>
      <c r="F24" s="8">
        <f t="shared" si="0"/>
        <v>1</v>
      </c>
      <c r="G24" s="32">
        <v>46048</v>
      </c>
      <c r="H24" s="33"/>
    </row>
    <row r="25" spans="2:8" x14ac:dyDescent="0.15">
      <c r="B25" s="4" t="s">
        <v>73</v>
      </c>
      <c r="C25" s="90">
        <v>0</v>
      </c>
      <c r="D25" s="78">
        <v>0</v>
      </c>
      <c r="E25" s="86">
        <v>0</v>
      </c>
      <c r="F25" s="8">
        <f t="shared" si="0"/>
        <v>0</v>
      </c>
      <c r="G25" s="32">
        <v>46085</v>
      </c>
      <c r="H25" s="33"/>
    </row>
    <row r="26" spans="2:8" x14ac:dyDescent="0.15">
      <c r="B26" s="12" t="s">
        <v>16</v>
      </c>
      <c r="C26" s="90"/>
      <c r="D26" s="78">
        <v>2</v>
      </c>
      <c r="E26" s="86"/>
      <c r="F26" s="8">
        <f t="shared" si="0"/>
        <v>2</v>
      </c>
      <c r="G26" s="32">
        <v>46090</v>
      </c>
      <c r="H26" s="33"/>
    </row>
    <row r="27" spans="2:8" x14ac:dyDescent="0.15">
      <c r="B27" s="12" t="s">
        <v>16</v>
      </c>
      <c r="C27" s="90">
        <v>1</v>
      </c>
      <c r="D27" s="78">
        <v>1</v>
      </c>
      <c r="E27" s="86"/>
      <c r="F27" s="8">
        <f t="shared" si="0"/>
        <v>2</v>
      </c>
      <c r="G27" s="32">
        <v>46097</v>
      </c>
      <c r="H27" s="33"/>
    </row>
    <row r="28" spans="2:8" x14ac:dyDescent="0.15">
      <c r="B28" s="12" t="s">
        <v>16</v>
      </c>
      <c r="C28" s="90">
        <v>2</v>
      </c>
      <c r="D28" s="78"/>
      <c r="E28" s="86"/>
      <c r="F28" s="8">
        <f t="shared" si="0"/>
        <v>2</v>
      </c>
      <c r="G28" s="32">
        <v>46185</v>
      </c>
      <c r="H28" s="33"/>
    </row>
    <row r="29" spans="2:8" x14ac:dyDescent="0.15">
      <c r="B29" s="12"/>
      <c r="C29" s="90"/>
      <c r="D29" s="78"/>
      <c r="E29" s="86"/>
      <c r="F29" s="8">
        <f t="shared" si="0"/>
        <v>0</v>
      </c>
      <c r="G29" s="32"/>
      <c r="H29" s="33"/>
    </row>
    <row r="30" spans="2:8" x14ac:dyDescent="0.15">
      <c r="B30" s="12"/>
      <c r="C30" s="90"/>
      <c r="D30" s="78"/>
      <c r="E30" s="86"/>
      <c r="F30" s="8">
        <f t="shared" si="0"/>
        <v>0</v>
      </c>
      <c r="G30" s="32"/>
      <c r="H30" s="33"/>
    </row>
    <row r="31" spans="2:8" x14ac:dyDescent="0.15">
      <c r="B31" s="12"/>
      <c r="C31" s="90"/>
      <c r="D31" s="78"/>
      <c r="E31" s="86"/>
      <c r="F31" s="8">
        <f t="shared" si="0"/>
        <v>0</v>
      </c>
      <c r="G31" s="32"/>
      <c r="H31" s="33"/>
    </row>
    <row r="32" spans="2:8" x14ac:dyDescent="0.15">
      <c r="B32" s="12"/>
      <c r="C32" s="90"/>
      <c r="D32" s="78"/>
      <c r="E32" s="86"/>
      <c r="F32" s="8">
        <f t="shared" si="0"/>
        <v>0</v>
      </c>
      <c r="G32" s="32"/>
      <c r="H32" s="33"/>
    </row>
    <row r="33" spans="2:8" x14ac:dyDescent="0.15">
      <c r="B33" s="12"/>
      <c r="C33" s="90"/>
      <c r="D33" s="78"/>
      <c r="E33" s="86"/>
      <c r="F33" s="8">
        <f t="shared" si="0"/>
        <v>0</v>
      </c>
      <c r="G33" s="33"/>
      <c r="H33" s="33"/>
    </row>
    <row r="34" spans="2:8" x14ac:dyDescent="0.15">
      <c r="B34" s="12"/>
      <c r="C34" s="90"/>
      <c r="D34" s="78"/>
      <c r="E34" s="86"/>
      <c r="F34" s="8">
        <f t="shared" si="0"/>
        <v>0</v>
      </c>
      <c r="G34" s="33"/>
      <c r="H34" s="33"/>
    </row>
    <row r="35" spans="2:8" x14ac:dyDescent="0.15">
      <c r="B35" s="12"/>
      <c r="C35" s="90"/>
      <c r="D35" s="78"/>
      <c r="E35" s="86"/>
      <c r="F35" s="8">
        <f t="shared" si="0"/>
        <v>0</v>
      </c>
      <c r="G35" s="33"/>
      <c r="H35" s="33"/>
    </row>
    <row r="36" spans="2:8" x14ac:dyDescent="0.15">
      <c r="B36" s="12"/>
      <c r="C36" s="90"/>
      <c r="D36" s="78"/>
      <c r="E36" s="86"/>
      <c r="F36" s="8">
        <f t="shared" si="0"/>
        <v>0</v>
      </c>
      <c r="G36" s="33"/>
      <c r="H36" s="33"/>
    </row>
    <row r="37" spans="2:8" x14ac:dyDescent="0.15">
      <c r="B37" s="28"/>
      <c r="C37" s="90"/>
      <c r="D37" s="78"/>
      <c r="E37" s="86"/>
      <c r="F37" s="8">
        <f t="shared" si="0"/>
        <v>0</v>
      </c>
      <c r="G37" s="33"/>
      <c r="H37" s="33"/>
    </row>
    <row r="38" spans="2:8" x14ac:dyDescent="0.15">
      <c r="B38" s="12"/>
      <c r="C38" s="90"/>
      <c r="D38" s="78"/>
      <c r="E38" s="86"/>
      <c r="F38" s="8">
        <f t="shared" si="0"/>
        <v>0</v>
      </c>
      <c r="G38" s="33"/>
      <c r="H38" s="33"/>
    </row>
    <row r="39" spans="2:8" ht="14.25" thickBot="1" x14ac:dyDescent="0.2">
      <c r="B39" s="79"/>
      <c r="C39" s="91"/>
      <c r="D39" s="80"/>
      <c r="E39" s="87"/>
      <c r="F39" s="88">
        <f t="shared" si="0"/>
        <v>0</v>
      </c>
      <c r="G39" s="33"/>
      <c r="H39" s="33"/>
    </row>
    <row r="40" spans="2:8" ht="14.25" thickBot="1" x14ac:dyDescent="0.2">
      <c r="B40" s="2" t="s">
        <v>5</v>
      </c>
      <c r="C40" s="104">
        <f>SUM(C16:C39)</f>
        <v>10</v>
      </c>
      <c r="D40" s="105">
        <f>SUM(D16:D39)</f>
        <v>10</v>
      </c>
      <c r="E40" s="106">
        <f>SUM(E16:E39)</f>
        <v>0</v>
      </c>
      <c r="F40" s="16">
        <f t="shared" si="0"/>
        <v>20</v>
      </c>
      <c r="G40" s="33"/>
      <c r="H40" s="33"/>
    </row>
    <row r="41" spans="2:8" ht="14.25" thickBot="1" x14ac:dyDescent="0.2">
      <c r="B41" s="99" t="s">
        <v>6</v>
      </c>
      <c r="C41" s="100">
        <f>C15-C40</f>
        <v>0</v>
      </c>
      <c r="D41" s="101">
        <f t="shared" ref="D41:F41" si="2">D15-D40</f>
        <v>2</v>
      </c>
      <c r="E41" s="102">
        <f t="shared" si="2"/>
        <v>2</v>
      </c>
      <c r="F41" s="103">
        <f t="shared" si="2"/>
        <v>4</v>
      </c>
    </row>
    <row r="44" spans="2:8" ht="18" thickBot="1" x14ac:dyDescent="0.25">
      <c r="B44" s="29" t="s">
        <v>93</v>
      </c>
      <c r="C44" s="1"/>
      <c r="D44" s="1"/>
      <c r="E44" s="1"/>
      <c r="F44" s="1"/>
    </row>
    <row r="45" spans="2:8" ht="14.25" thickBot="1" x14ac:dyDescent="0.2">
      <c r="B45" s="81" t="s">
        <v>0</v>
      </c>
      <c r="C45" s="205" t="s">
        <v>62</v>
      </c>
      <c r="D45" s="206"/>
      <c r="E45" s="207"/>
      <c r="F45" s="82"/>
    </row>
    <row r="46" spans="2:8" ht="14.25" thickBot="1" x14ac:dyDescent="0.2">
      <c r="B46" s="2" t="s">
        <v>1</v>
      </c>
      <c r="C46" s="89" t="s">
        <v>7</v>
      </c>
      <c r="D46" s="83" t="s">
        <v>8</v>
      </c>
      <c r="E46" s="84" t="s">
        <v>9</v>
      </c>
      <c r="F46" s="2" t="s">
        <v>2</v>
      </c>
    </row>
    <row r="47" spans="2:8" x14ac:dyDescent="0.15">
      <c r="B47" s="107" t="s">
        <v>6</v>
      </c>
      <c r="C47" s="109">
        <f>C41</f>
        <v>0</v>
      </c>
      <c r="D47" s="98">
        <f>D41</f>
        <v>2</v>
      </c>
      <c r="E47" s="98">
        <f>E41</f>
        <v>2</v>
      </c>
      <c r="F47" s="18">
        <f t="shared" ref="F47:F83" si="3">SUM(C47:E47)</f>
        <v>4</v>
      </c>
    </row>
    <row r="48" spans="2:8" x14ac:dyDescent="0.15">
      <c r="B48" s="6" t="s">
        <v>3</v>
      </c>
      <c r="C48" s="76"/>
      <c r="D48" s="77"/>
      <c r="E48" s="85"/>
      <c r="F48" s="8">
        <f t="shared" si="3"/>
        <v>0</v>
      </c>
      <c r="G48" s="32"/>
    </row>
    <row r="49" spans="2:8" x14ac:dyDescent="0.15">
      <c r="B49" s="6" t="s">
        <v>3</v>
      </c>
      <c r="C49" s="76"/>
      <c r="D49" s="77"/>
      <c r="E49" s="85"/>
      <c r="F49" s="8">
        <f t="shared" si="3"/>
        <v>0</v>
      </c>
      <c r="G49" s="32"/>
    </row>
    <row r="50" spans="2:8" x14ac:dyDescent="0.15">
      <c r="B50" s="6" t="s">
        <v>3</v>
      </c>
      <c r="C50" s="76"/>
      <c r="D50" s="77"/>
      <c r="E50" s="85"/>
      <c r="F50" s="8">
        <f t="shared" si="3"/>
        <v>0</v>
      </c>
      <c r="G50" s="32"/>
    </row>
    <row r="51" spans="2:8" x14ac:dyDescent="0.15">
      <c r="B51" s="6" t="s">
        <v>3</v>
      </c>
      <c r="C51" s="76"/>
      <c r="D51" s="77"/>
      <c r="E51" s="85"/>
      <c r="F51" s="8">
        <f t="shared" si="3"/>
        <v>0</v>
      </c>
      <c r="G51" s="32"/>
    </row>
    <row r="52" spans="2:8" x14ac:dyDescent="0.15">
      <c r="B52" s="6" t="s">
        <v>3</v>
      </c>
      <c r="C52" s="76"/>
      <c r="D52" s="77"/>
      <c r="E52" s="85"/>
      <c r="F52" s="8">
        <f t="shared" si="3"/>
        <v>0</v>
      </c>
      <c r="G52" s="32"/>
    </row>
    <row r="53" spans="2:8" x14ac:dyDescent="0.15">
      <c r="B53" s="6" t="s">
        <v>3</v>
      </c>
      <c r="C53" s="76"/>
      <c r="D53" s="77"/>
      <c r="E53" s="85"/>
      <c r="F53" s="8">
        <f t="shared" si="3"/>
        <v>0</v>
      </c>
      <c r="G53" s="32"/>
    </row>
    <row r="54" spans="2:8" x14ac:dyDescent="0.15">
      <c r="B54" s="6" t="s">
        <v>3</v>
      </c>
      <c r="C54" s="90"/>
      <c r="D54" s="78"/>
      <c r="E54" s="86"/>
      <c r="F54" s="8">
        <f t="shared" si="3"/>
        <v>0</v>
      </c>
      <c r="G54" s="32"/>
      <c r="H54" s="33"/>
    </row>
    <row r="55" spans="2:8" x14ac:dyDescent="0.15">
      <c r="B55" s="6" t="s">
        <v>3</v>
      </c>
      <c r="C55" s="90"/>
      <c r="D55" s="78"/>
      <c r="E55" s="86"/>
      <c r="F55" s="8">
        <f t="shared" si="3"/>
        <v>0</v>
      </c>
      <c r="G55" s="32"/>
    </row>
    <row r="56" spans="2:8" x14ac:dyDescent="0.15">
      <c r="B56" s="6" t="s">
        <v>3</v>
      </c>
      <c r="C56" s="90"/>
      <c r="D56" s="78"/>
      <c r="E56" s="86"/>
      <c r="F56" s="8">
        <f t="shared" si="3"/>
        <v>0</v>
      </c>
      <c r="G56" s="32"/>
    </row>
    <row r="57" spans="2:8" ht="14.25" thickBot="1" x14ac:dyDescent="0.2">
      <c r="B57" s="108" t="s">
        <v>3</v>
      </c>
      <c r="C57" s="110"/>
      <c r="D57" s="80"/>
      <c r="E57" s="87"/>
      <c r="F57" s="88">
        <f t="shared" si="3"/>
        <v>0</v>
      </c>
      <c r="G57" s="32"/>
    </row>
    <row r="58" spans="2:8" ht="14.25" thickBot="1" x14ac:dyDescent="0.2">
      <c r="B58" s="21" t="s">
        <v>4</v>
      </c>
      <c r="C58" s="95">
        <f>SUM(C47:C57)</f>
        <v>0</v>
      </c>
      <c r="D58" s="96">
        <f>SUM(D47:D57)</f>
        <v>2</v>
      </c>
      <c r="E58" s="97">
        <f>SUM(E47:E57)</f>
        <v>2</v>
      </c>
      <c r="F58" s="24">
        <f t="shared" si="3"/>
        <v>4</v>
      </c>
    </row>
    <row r="59" spans="2:8" x14ac:dyDescent="0.15">
      <c r="B59" s="4"/>
      <c r="C59" s="92"/>
      <c r="D59" s="93"/>
      <c r="E59" s="94"/>
      <c r="F59" s="5">
        <f t="shared" si="3"/>
        <v>0</v>
      </c>
      <c r="G59" s="37"/>
    </row>
    <row r="60" spans="2:8" x14ac:dyDescent="0.15">
      <c r="B60" s="4"/>
      <c r="C60" s="90"/>
      <c r="D60" s="78"/>
      <c r="E60" s="86"/>
      <c r="F60" s="8">
        <f t="shared" si="3"/>
        <v>0</v>
      </c>
      <c r="G60" s="32"/>
    </row>
    <row r="61" spans="2:8" x14ac:dyDescent="0.15">
      <c r="B61" s="4"/>
      <c r="C61" s="90"/>
      <c r="D61" s="78"/>
      <c r="E61" s="86"/>
      <c r="F61" s="8">
        <f t="shared" si="3"/>
        <v>0</v>
      </c>
      <c r="G61" s="37"/>
    </row>
    <row r="62" spans="2:8" x14ac:dyDescent="0.15">
      <c r="B62" s="4"/>
      <c r="C62" s="90"/>
      <c r="D62" s="78"/>
      <c r="E62" s="86"/>
      <c r="F62" s="8">
        <f t="shared" si="3"/>
        <v>0</v>
      </c>
      <c r="G62" s="37"/>
    </row>
    <row r="63" spans="2:8" x14ac:dyDescent="0.15">
      <c r="B63" s="4"/>
      <c r="C63" s="90"/>
      <c r="D63" s="78"/>
      <c r="E63" s="86"/>
      <c r="F63" s="8">
        <f t="shared" si="3"/>
        <v>0</v>
      </c>
      <c r="G63" s="37"/>
    </row>
    <row r="64" spans="2:8" x14ac:dyDescent="0.15">
      <c r="B64" s="4"/>
      <c r="C64" s="90"/>
      <c r="D64" s="78"/>
      <c r="E64" s="86"/>
      <c r="F64" s="8">
        <f t="shared" si="3"/>
        <v>0</v>
      </c>
      <c r="G64" s="37"/>
    </row>
    <row r="65" spans="2:7" x14ac:dyDescent="0.15">
      <c r="B65" s="4"/>
      <c r="C65" s="90"/>
      <c r="D65" s="78"/>
      <c r="E65" s="86"/>
      <c r="F65" s="8">
        <f t="shared" si="3"/>
        <v>0</v>
      </c>
      <c r="G65" s="37"/>
    </row>
    <row r="66" spans="2:7" x14ac:dyDescent="0.15">
      <c r="B66" s="4"/>
      <c r="C66" s="90"/>
      <c r="D66" s="78"/>
      <c r="E66" s="86"/>
      <c r="F66" s="8">
        <f t="shared" si="3"/>
        <v>0</v>
      </c>
      <c r="G66" s="37"/>
    </row>
    <row r="67" spans="2:7" x14ac:dyDescent="0.15">
      <c r="B67" s="4"/>
      <c r="C67" s="90"/>
      <c r="D67" s="78"/>
      <c r="E67" s="86"/>
      <c r="F67" s="8">
        <f t="shared" si="3"/>
        <v>0</v>
      </c>
      <c r="G67" s="37"/>
    </row>
    <row r="68" spans="2:7" x14ac:dyDescent="0.15">
      <c r="B68" s="4"/>
      <c r="C68" s="90"/>
      <c r="D68" s="78"/>
      <c r="E68" s="86"/>
      <c r="F68" s="8">
        <f t="shared" si="3"/>
        <v>0</v>
      </c>
      <c r="G68" s="37"/>
    </row>
    <row r="69" spans="2:7" x14ac:dyDescent="0.15">
      <c r="B69" s="12"/>
      <c r="C69" s="90"/>
      <c r="D69" s="78"/>
      <c r="E69" s="86"/>
      <c r="F69" s="8">
        <f t="shared" si="3"/>
        <v>0</v>
      </c>
    </row>
    <row r="70" spans="2:7" x14ac:dyDescent="0.15">
      <c r="B70" s="12"/>
      <c r="C70" s="90"/>
      <c r="D70" s="78"/>
      <c r="E70" s="86"/>
      <c r="F70" s="8">
        <f t="shared" si="3"/>
        <v>0</v>
      </c>
    </row>
    <row r="71" spans="2:7" x14ac:dyDescent="0.15">
      <c r="B71" s="12"/>
      <c r="C71" s="90"/>
      <c r="D71" s="78"/>
      <c r="E71" s="86"/>
      <c r="F71" s="8">
        <f t="shared" si="3"/>
        <v>0</v>
      </c>
    </row>
    <row r="72" spans="2:7" x14ac:dyDescent="0.15">
      <c r="B72" s="12"/>
      <c r="C72" s="90"/>
      <c r="D72" s="78"/>
      <c r="E72" s="86"/>
      <c r="F72" s="8">
        <f t="shared" si="3"/>
        <v>0</v>
      </c>
    </row>
    <row r="73" spans="2:7" x14ac:dyDescent="0.15">
      <c r="B73" s="12"/>
      <c r="C73" s="90"/>
      <c r="D73" s="78"/>
      <c r="E73" s="86"/>
      <c r="F73" s="8">
        <f t="shared" si="3"/>
        <v>0</v>
      </c>
    </row>
    <row r="74" spans="2:7" x14ac:dyDescent="0.15">
      <c r="B74" s="12"/>
      <c r="C74" s="90"/>
      <c r="D74" s="78"/>
      <c r="E74" s="86"/>
      <c r="F74" s="8">
        <f t="shared" si="3"/>
        <v>0</v>
      </c>
    </row>
    <row r="75" spans="2:7" x14ac:dyDescent="0.15">
      <c r="B75" s="12"/>
      <c r="C75" s="90"/>
      <c r="D75" s="78"/>
      <c r="E75" s="86"/>
      <c r="F75" s="8">
        <f t="shared" si="3"/>
        <v>0</v>
      </c>
    </row>
    <row r="76" spans="2:7" x14ac:dyDescent="0.15">
      <c r="B76" s="12"/>
      <c r="C76" s="90"/>
      <c r="D76" s="78"/>
      <c r="E76" s="86"/>
      <c r="F76" s="8">
        <f t="shared" si="3"/>
        <v>0</v>
      </c>
    </row>
    <row r="77" spans="2:7" x14ac:dyDescent="0.15">
      <c r="B77" s="12"/>
      <c r="C77" s="90"/>
      <c r="D77" s="78"/>
      <c r="E77" s="86"/>
      <c r="F77" s="8">
        <f t="shared" si="3"/>
        <v>0</v>
      </c>
    </row>
    <row r="78" spans="2:7" x14ac:dyDescent="0.15">
      <c r="B78" s="12"/>
      <c r="C78" s="90"/>
      <c r="D78" s="78"/>
      <c r="E78" s="86"/>
      <c r="F78" s="8">
        <f t="shared" si="3"/>
        <v>0</v>
      </c>
    </row>
    <row r="79" spans="2:7" x14ac:dyDescent="0.15">
      <c r="B79" s="12"/>
      <c r="C79" s="90"/>
      <c r="D79" s="78"/>
      <c r="E79" s="86"/>
      <c r="F79" s="8">
        <f t="shared" si="3"/>
        <v>0</v>
      </c>
    </row>
    <row r="80" spans="2:7" x14ac:dyDescent="0.15">
      <c r="B80" s="28"/>
      <c r="C80" s="90"/>
      <c r="D80" s="78"/>
      <c r="E80" s="86"/>
      <c r="F80" s="8">
        <f t="shared" si="3"/>
        <v>0</v>
      </c>
    </row>
    <row r="81" spans="2:6" x14ac:dyDescent="0.15">
      <c r="B81" s="12"/>
      <c r="C81" s="90"/>
      <c r="D81" s="78"/>
      <c r="E81" s="86"/>
      <c r="F81" s="8">
        <f t="shared" si="3"/>
        <v>0</v>
      </c>
    </row>
    <row r="82" spans="2:6" ht="14.25" thickBot="1" x14ac:dyDescent="0.2">
      <c r="B82" s="79"/>
      <c r="C82" s="91"/>
      <c r="D82" s="80"/>
      <c r="E82" s="87"/>
      <c r="F82" s="88">
        <f t="shared" si="3"/>
        <v>0</v>
      </c>
    </row>
    <row r="83" spans="2:6" ht="14.25" thickBot="1" x14ac:dyDescent="0.2">
      <c r="B83" s="2" t="s">
        <v>5</v>
      </c>
      <c r="C83" s="104">
        <f>SUM(C59:C82)</f>
        <v>0</v>
      </c>
      <c r="D83" s="105">
        <f>SUM(D59:D82)</f>
        <v>0</v>
      </c>
      <c r="E83" s="106">
        <f>SUM(E59:E82)</f>
        <v>0</v>
      </c>
      <c r="F83" s="16">
        <f t="shared" si="3"/>
        <v>0</v>
      </c>
    </row>
    <row r="84" spans="2:6" ht="14.25" thickBot="1" x14ac:dyDescent="0.2">
      <c r="B84" s="99" t="s">
        <v>6</v>
      </c>
      <c r="C84" s="100">
        <f>C58-C83</f>
        <v>0</v>
      </c>
      <c r="D84" s="101">
        <f t="shared" ref="D84:F84" si="4">D58-D83</f>
        <v>2</v>
      </c>
      <c r="E84" s="102">
        <f t="shared" si="4"/>
        <v>2</v>
      </c>
      <c r="F84" s="103">
        <f t="shared" si="4"/>
        <v>4</v>
      </c>
    </row>
  </sheetData>
  <mergeCells count="2">
    <mergeCell ref="C2:E2"/>
    <mergeCell ref="C45:E45"/>
  </mergeCells>
  <phoneticPr fontId="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8DC6-ED80-46C4-B07D-984FCC60BB06}">
  <sheetPr>
    <tabColor rgb="FFFF0000"/>
  </sheetPr>
  <dimension ref="B1:H84"/>
  <sheetViews>
    <sheetView topLeftCell="A67" zoomScale="90" zoomScaleNormal="90" workbookViewId="0">
      <selection activeCell="K70" sqref="K70"/>
    </sheetView>
  </sheetViews>
  <sheetFormatPr defaultRowHeight="13.5" x14ac:dyDescent="0.15"/>
  <cols>
    <col min="1" max="1" width="5.25" customWidth="1"/>
    <col min="2" max="2" width="16.125" customWidth="1"/>
    <col min="3" max="6" width="7.75" customWidth="1"/>
    <col min="7" max="7" width="9.25" bestFit="1" customWidth="1"/>
  </cols>
  <sheetData>
    <row r="1" spans="2:8" ht="18" thickBot="1" x14ac:dyDescent="0.25">
      <c r="B1" s="29" t="s">
        <v>95</v>
      </c>
      <c r="C1" s="1"/>
      <c r="D1" s="1"/>
      <c r="E1" s="1"/>
      <c r="F1" s="1"/>
    </row>
    <row r="2" spans="2:8" ht="14.25" thickBot="1" x14ac:dyDescent="0.2">
      <c r="B2" s="81" t="s">
        <v>0</v>
      </c>
      <c r="C2" s="205" t="s">
        <v>62</v>
      </c>
      <c r="D2" s="206"/>
      <c r="E2" s="207"/>
      <c r="F2" s="82"/>
    </row>
    <row r="3" spans="2:8" ht="14.25" thickBot="1" x14ac:dyDescent="0.2">
      <c r="B3" s="2" t="s">
        <v>1</v>
      </c>
      <c r="C3" s="89" t="s">
        <v>7</v>
      </c>
      <c r="D3" s="83" t="s">
        <v>8</v>
      </c>
      <c r="E3" s="84" t="s">
        <v>9</v>
      </c>
      <c r="F3" s="2" t="s">
        <v>2</v>
      </c>
    </row>
    <row r="4" spans="2:8" x14ac:dyDescent="0.15">
      <c r="B4" s="111" t="s">
        <v>23</v>
      </c>
      <c r="C4" s="112">
        <v>3</v>
      </c>
      <c r="D4" s="113">
        <v>2</v>
      </c>
      <c r="E4" s="114">
        <v>2</v>
      </c>
      <c r="F4" s="5">
        <f t="shared" ref="F4:F40" si="0">SUM(C4:E4)</f>
        <v>7</v>
      </c>
      <c r="G4" s="32">
        <v>45667</v>
      </c>
      <c r="H4" s="33"/>
    </row>
    <row r="5" spans="2:8" x14ac:dyDescent="0.15">
      <c r="B5" s="6" t="s">
        <v>3</v>
      </c>
      <c r="C5" s="76">
        <v>2</v>
      </c>
      <c r="D5" s="77">
        <v>2</v>
      </c>
      <c r="E5" s="85"/>
      <c r="F5" s="8">
        <f t="shared" si="0"/>
        <v>4</v>
      </c>
      <c r="G5" s="32">
        <v>45827</v>
      </c>
    </row>
    <row r="6" spans="2:8" x14ac:dyDescent="0.15">
      <c r="B6" s="6" t="s">
        <v>3</v>
      </c>
      <c r="C6" s="90"/>
      <c r="D6" s="178"/>
      <c r="E6" s="180"/>
      <c r="F6" s="8">
        <f t="shared" si="0"/>
        <v>0</v>
      </c>
      <c r="G6" s="32"/>
    </row>
    <row r="7" spans="2:8" x14ac:dyDescent="0.15">
      <c r="B7" s="6" t="s">
        <v>3</v>
      </c>
      <c r="C7" s="90"/>
      <c r="D7" s="178"/>
      <c r="E7" s="180"/>
      <c r="F7" s="8">
        <f t="shared" si="0"/>
        <v>0</v>
      </c>
      <c r="G7" s="32"/>
    </row>
    <row r="8" spans="2:8" x14ac:dyDescent="0.15">
      <c r="B8" s="6" t="s">
        <v>3</v>
      </c>
      <c r="C8" s="90"/>
      <c r="D8" s="178"/>
      <c r="E8" s="180"/>
      <c r="F8" s="8">
        <f t="shared" si="0"/>
        <v>0</v>
      </c>
      <c r="G8" s="32"/>
      <c r="H8" s="33"/>
    </row>
    <row r="9" spans="2:8" x14ac:dyDescent="0.15">
      <c r="B9" s="6" t="s">
        <v>3</v>
      </c>
      <c r="C9" s="90"/>
      <c r="D9" s="178"/>
      <c r="E9" s="180"/>
      <c r="F9" s="8">
        <f t="shared" si="0"/>
        <v>0</v>
      </c>
      <c r="G9" s="32"/>
    </row>
    <row r="10" spans="2:8" x14ac:dyDescent="0.15">
      <c r="B10" s="6" t="s">
        <v>3</v>
      </c>
      <c r="C10" s="90"/>
      <c r="D10" s="178"/>
      <c r="E10" s="180"/>
      <c r="F10" s="8">
        <f t="shared" si="0"/>
        <v>0</v>
      </c>
      <c r="G10" s="32"/>
    </row>
    <row r="11" spans="2:8" x14ac:dyDescent="0.15">
      <c r="B11" s="6" t="s">
        <v>3</v>
      </c>
      <c r="C11" s="90"/>
      <c r="D11" s="178"/>
      <c r="E11" s="180"/>
      <c r="F11" s="8">
        <f t="shared" si="0"/>
        <v>0</v>
      </c>
      <c r="G11" s="32"/>
      <c r="H11" s="33" t="s">
        <v>104</v>
      </c>
    </row>
    <row r="12" spans="2:8" x14ac:dyDescent="0.15">
      <c r="B12" s="6" t="s">
        <v>3</v>
      </c>
      <c r="C12" s="90"/>
      <c r="D12" s="178"/>
      <c r="E12" s="180"/>
      <c r="F12" s="8">
        <f t="shared" si="0"/>
        <v>0</v>
      </c>
      <c r="G12" s="32"/>
    </row>
    <row r="13" spans="2:8" x14ac:dyDescent="0.15">
      <c r="B13" s="6" t="s">
        <v>3</v>
      </c>
      <c r="C13" s="90"/>
      <c r="D13" s="178"/>
      <c r="E13" s="180"/>
      <c r="F13" s="8">
        <f t="shared" si="0"/>
        <v>0</v>
      </c>
      <c r="G13" s="32"/>
    </row>
    <row r="14" spans="2:8" ht="14.25" thickBot="1" x14ac:dyDescent="0.2">
      <c r="B14" s="7" t="s">
        <v>3</v>
      </c>
      <c r="C14" s="91"/>
      <c r="D14" s="181"/>
      <c r="E14" s="182"/>
      <c r="F14" s="88">
        <f t="shared" si="0"/>
        <v>0</v>
      </c>
      <c r="G14" s="32"/>
    </row>
    <row r="15" spans="2:8" ht="14.25" thickBot="1" x14ac:dyDescent="0.2">
      <c r="B15" s="21" t="s">
        <v>4</v>
      </c>
      <c r="C15" s="95">
        <f>SUM(C4:C14)</f>
        <v>5</v>
      </c>
      <c r="D15" s="96">
        <f>SUM(D4:D14)</f>
        <v>4</v>
      </c>
      <c r="E15" s="97">
        <f>SUM(E4:E14)</f>
        <v>2</v>
      </c>
      <c r="F15" s="24">
        <f t="shared" si="0"/>
        <v>11</v>
      </c>
    </row>
    <row r="16" spans="2:8" x14ac:dyDescent="0.15">
      <c r="B16" s="4" t="s">
        <v>98</v>
      </c>
      <c r="C16" s="90">
        <v>2</v>
      </c>
      <c r="D16" s="78"/>
      <c r="E16" s="86"/>
      <c r="F16" s="8">
        <f t="shared" ref="F16" si="1">SUM(C16:E16)</f>
        <v>2</v>
      </c>
      <c r="G16" s="32">
        <v>45796</v>
      </c>
      <c r="H16" s="33"/>
    </row>
    <row r="17" spans="2:8" x14ac:dyDescent="0.15">
      <c r="B17" s="4" t="s">
        <v>16</v>
      </c>
      <c r="C17" s="90"/>
      <c r="D17" s="78">
        <v>1</v>
      </c>
      <c r="E17" s="86"/>
      <c r="F17" s="8">
        <f t="shared" si="0"/>
        <v>1</v>
      </c>
      <c r="G17" s="32">
        <v>45817</v>
      </c>
      <c r="H17" s="33"/>
    </row>
    <row r="18" spans="2:8" x14ac:dyDescent="0.15">
      <c r="B18" s="4" t="s">
        <v>99</v>
      </c>
      <c r="C18" s="90">
        <v>1</v>
      </c>
      <c r="D18" s="78">
        <v>0</v>
      </c>
      <c r="E18" s="86">
        <v>0</v>
      </c>
      <c r="F18" s="8">
        <f t="shared" si="0"/>
        <v>1</v>
      </c>
      <c r="G18" s="32">
        <v>45890</v>
      </c>
      <c r="H18" s="33"/>
    </row>
    <row r="19" spans="2:8" x14ac:dyDescent="0.15">
      <c r="B19" s="4" t="s">
        <v>16</v>
      </c>
      <c r="C19" s="90"/>
      <c r="D19" s="78">
        <v>2</v>
      </c>
      <c r="E19" s="86"/>
      <c r="F19" s="8">
        <f t="shared" si="0"/>
        <v>2</v>
      </c>
      <c r="G19" s="32">
        <v>45931</v>
      </c>
      <c r="H19" s="33"/>
    </row>
    <row r="20" spans="2:8" x14ac:dyDescent="0.15">
      <c r="B20" s="4" t="s">
        <v>16</v>
      </c>
      <c r="C20" s="90">
        <v>1</v>
      </c>
      <c r="D20" s="78"/>
      <c r="E20" s="86"/>
      <c r="F20" s="8">
        <f t="shared" si="0"/>
        <v>1</v>
      </c>
      <c r="G20" s="32">
        <v>45999</v>
      </c>
      <c r="H20" s="33"/>
    </row>
    <row r="21" spans="2:8" x14ac:dyDescent="0.15">
      <c r="B21" s="4" t="s">
        <v>16</v>
      </c>
      <c r="C21" s="90">
        <v>1</v>
      </c>
      <c r="D21" s="78"/>
      <c r="E21" s="86"/>
      <c r="F21" s="8">
        <f t="shared" si="0"/>
        <v>1</v>
      </c>
      <c r="G21" s="32">
        <v>46013</v>
      </c>
      <c r="H21" s="33"/>
    </row>
    <row r="22" spans="2:8" x14ac:dyDescent="0.15">
      <c r="B22" s="4"/>
      <c r="C22" s="90"/>
      <c r="D22" s="78"/>
      <c r="E22" s="86"/>
      <c r="F22" s="8">
        <f t="shared" si="0"/>
        <v>0</v>
      </c>
      <c r="G22" s="32"/>
      <c r="H22" s="33"/>
    </row>
    <row r="23" spans="2:8" x14ac:dyDescent="0.15">
      <c r="B23" s="4"/>
      <c r="C23" s="90"/>
      <c r="D23" s="78"/>
      <c r="E23" s="86"/>
      <c r="F23" s="8">
        <f t="shared" si="0"/>
        <v>0</v>
      </c>
      <c r="G23" s="32"/>
      <c r="H23" s="33"/>
    </row>
    <row r="24" spans="2:8" x14ac:dyDescent="0.15">
      <c r="B24" s="4"/>
      <c r="C24" s="90"/>
      <c r="D24" s="78"/>
      <c r="E24" s="86"/>
      <c r="F24" s="8">
        <f t="shared" si="0"/>
        <v>0</v>
      </c>
      <c r="G24" s="32"/>
      <c r="H24" s="33"/>
    </row>
    <row r="25" spans="2:8" x14ac:dyDescent="0.15">
      <c r="B25" s="4"/>
      <c r="C25" s="90"/>
      <c r="D25" s="78"/>
      <c r="E25" s="86"/>
      <c r="F25" s="8">
        <f t="shared" si="0"/>
        <v>0</v>
      </c>
      <c r="G25" s="32"/>
      <c r="H25" s="33"/>
    </row>
    <row r="26" spans="2:8" x14ac:dyDescent="0.15">
      <c r="B26" s="12"/>
      <c r="C26" s="90"/>
      <c r="D26" s="78"/>
      <c r="E26" s="86"/>
      <c r="F26" s="8">
        <f t="shared" si="0"/>
        <v>0</v>
      </c>
      <c r="G26" s="32"/>
      <c r="H26" s="33"/>
    </row>
    <row r="27" spans="2:8" x14ac:dyDescent="0.15">
      <c r="B27" s="12"/>
      <c r="C27" s="90"/>
      <c r="D27" s="78"/>
      <c r="E27" s="86"/>
      <c r="F27" s="8">
        <f t="shared" si="0"/>
        <v>0</v>
      </c>
      <c r="G27" s="32"/>
      <c r="H27" s="33"/>
    </row>
    <row r="28" spans="2:8" x14ac:dyDescent="0.15">
      <c r="B28" s="12"/>
      <c r="C28" s="90"/>
      <c r="D28" s="78"/>
      <c r="E28" s="86"/>
      <c r="F28" s="8">
        <f t="shared" si="0"/>
        <v>0</v>
      </c>
      <c r="G28" s="32"/>
      <c r="H28" s="33"/>
    </row>
    <row r="29" spans="2:8" x14ac:dyDescent="0.15">
      <c r="B29" s="12"/>
      <c r="C29" s="90"/>
      <c r="D29" s="78"/>
      <c r="E29" s="86"/>
      <c r="F29" s="8">
        <f t="shared" si="0"/>
        <v>0</v>
      </c>
      <c r="G29" s="32"/>
      <c r="H29" s="33"/>
    </row>
    <row r="30" spans="2:8" x14ac:dyDescent="0.15">
      <c r="B30" s="12"/>
      <c r="C30" s="90"/>
      <c r="D30" s="78"/>
      <c r="E30" s="86"/>
      <c r="F30" s="8">
        <f t="shared" si="0"/>
        <v>0</v>
      </c>
      <c r="G30" s="32"/>
      <c r="H30" s="33"/>
    </row>
    <row r="31" spans="2:8" x14ac:dyDescent="0.15">
      <c r="B31" s="12"/>
      <c r="C31" s="90"/>
      <c r="D31" s="78"/>
      <c r="E31" s="86"/>
      <c r="F31" s="8">
        <f t="shared" si="0"/>
        <v>0</v>
      </c>
      <c r="G31" s="32"/>
      <c r="H31" s="33"/>
    </row>
    <row r="32" spans="2:8" x14ac:dyDescent="0.15">
      <c r="B32" s="12"/>
      <c r="C32" s="90"/>
      <c r="D32" s="78"/>
      <c r="E32" s="86"/>
      <c r="F32" s="8">
        <f t="shared" si="0"/>
        <v>0</v>
      </c>
      <c r="G32" s="32"/>
      <c r="H32" s="33"/>
    </row>
    <row r="33" spans="2:8" x14ac:dyDescent="0.15">
      <c r="B33" s="12"/>
      <c r="C33" s="90"/>
      <c r="D33" s="78"/>
      <c r="E33" s="86"/>
      <c r="F33" s="8">
        <f t="shared" si="0"/>
        <v>0</v>
      </c>
      <c r="G33" s="33"/>
      <c r="H33" s="33"/>
    </row>
    <row r="34" spans="2:8" x14ac:dyDescent="0.15">
      <c r="B34" s="12"/>
      <c r="C34" s="90"/>
      <c r="D34" s="78"/>
      <c r="E34" s="86"/>
      <c r="F34" s="8">
        <f t="shared" si="0"/>
        <v>0</v>
      </c>
      <c r="G34" s="33"/>
      <c r="H34" s="33"/>
    </row>
    <row r="35" spans="2:8" x14ac:dyDescent="0.15">
      <c r="B35" s="12"/>
      <c r="C35" s="90"/>
      <c r="D35" s="78"/>
      <c r="E35" s="86"/>
      <c r="F35" s="8">
        <f t="shared" si="0"/>
        <v>0</v>
      </c>
      <c r="G35" s="33"/>
      <c r="H35" s="33"/>
    </row>
    <row r="36" spans="2:8" x14ac:dyDescent="0.15">
      <c r="B36" s="12"/>
      <c r="C36" s="90"/>
      <c r="D36" s="78"/>
      <c r="E36" s="86"/>
      <c r="F36" s="8">
        <f t="shared" si="0"/>
        <v>0</v>
      </c>
      <c r="G36" s="33"/>
      <c r="H36" s="33"/>
    </row>
    <row r="37" spans="2:8" x14ac:dyDescent="0.15">
      <c r="B37" s="28"/>
      <c r="C37" s="90"/>
      <c r="D37" s="78"/>
      <c r="E37" s="86"/>
      <c r="F37" s="8">
        <f t="shared" si="0"/>
        <v>0</v>
      </c>
      <c r="G37" s="33"/>
      <c r="H37" s="33"/>
    </row>
    <row r="38" spans="2:8" x14ac:dyDescent="0.15">
      <c r="B38" s="12"/>
      <c r="C38" s="90"/>
      <c r="D38" s="78"/>
      <c r="E38" s="86"/>
      <c r="F38" s="8">
        <f t="shared" si="0"/>
        <v>0</v>
      </c>
      <c r="G38" s="33"/>
      <c r="H38" s="33"/>
    </row>
    <row r="39" spans="2:8" ht="14.25" thickBot="1" x14ac:dyDescent="0.2">
      <c r="B39" s="79"/>
      <c r="C39" s="91"/>
      <c r="D39" s="80"/>
      <c r="E39" s="87"/>
      <c r="F39" s="88">
        <f t="shared" si="0"/>
        <v>0</v>
      </c>
      <c r="G39" s="33"/>
      <c r="H39" s="33"/>
    </row>
    <row r="40" spans="2:8" ht="14.25" thickBot="1" x14ac:dyDescent="0.2">
      <c r="B40" s="2" t="s">
        <v>5</v>
      </c>
      <c r="C40" s="104">
        <f>SUM(C16:C39)</f>
        <v>5</v>
      </c>
      <c r="D40" s="105">
        <f>SUM(D16:D39)</f>
        <v>3</v>
      </c>
      <c r="E40" s="106">
        <f>SUM(E16:E39)</f>
        <v>0</v>
      </c>
      <c r="F40" s="16">
        <f t="shared" si="0"/>
        <v>8</v>
      </c>
      <c r="G40" s="33"/>
      <c r="H40" s="33"/>
    </row>
    <row r="41" spans="2:8" ht="14.25" thickBot="1" x14ac:dyDescent="0.2">
      <c r="B41" s="99" t="s">
        <v>6</v>
      </c>
      <c r="C41" s="100">
        <f>C15-C40</f>
        <v>0</v>
      </c>
      <c r="D41" s="101">
        <f t="shared" ref="D41:F41" si="2">D15-D40</f>
        <v>1</v>
      </c>
      <c r="E41" s="102">
        <f t="shared" si="2"/>
        <v>2</v>
      </c>
      <c r="F41" s="103">
        <f t="shared" si="2"/>
        <v>3</v>
      </c>
    </row>
    <row r="44" spans="2:8" ht="18" thickBot="1" x14ac:dyDescent="0.25">
      <c r="B44" s="29" t="s">
        <v>95</v>
      </c>
      <c r="C44" s="1"/>
      <c r="D44" s="1"/>
      <c r="E44" s="1"/>
      <c r="F44" s="1"/>
    </row>
    <row r="45" spans="2:8" ht="14.25" thickBot="1" x14ac:dyDescent="0.2">
      <c r="B45" s="81" t="s">
        <v>0</v>
      </c>
      <c r="C45" s="205" t="s">
        <v>62</v>
      </c>
      <c r="D45" s="206"/>
      <c r="E45" s="207"/>
      <c r="F45" s="82"/>
    </row>
    <row r="46" spans="2:8" ht="14.25" thickBot="1" x14ac:dyDescent="0.2">
      <c r="B46" s="2" t="s">
        <v>1</v>
      </c>
      <c r="C46" s="89" t="s">
        <v>7</v>
      </c>
      <c r="D46" s="83" t="s">
        <v>8</v>
      </c>
      <c r="E46" s="84" t="s">
        <v>9</v>
      </c>
      <c r="F46" s="2" t="s">
        <v>2</v>
      </c>
    </row>
    <row r="47" spans="2:8" x14ac:dyDescent="0.15">
      <c r="B47" s="107" t="s">
        <v>6</v>
      </c>
      <c r="C47" s="109">
        <f>C41</f>
        <v>0</v>
      </c>
      <c r="D47" s="98">
        <f>D41</f>
        <v>1</v>
      </c>
      <c r="E47" s="98">
        <f>E41</f>
        <v>2</v>
      </c>
      <c r="F47" s="18">
        <f t="shared" ref="F47:F83" si="3">SUM(C47:E47)</f>
        <v>3</v>
      </c>
    </row>
    <row r="48" spans="2:8" x14ac:dyDescent="0.15">
      <c r="B48" s="6" t="s">
        <v>3</v>
      </c>
      <c r="C48" s="76">
        <v>2</v>
      </c>
      <c r="D48" s="77">
        <v>2</v>
      </c>
      <c r="E48" s="85"/>
      <c r="F48" s="8">
        <f t="shared" si="3"/>
        <v>4</v>
      </c>
      <c r="G48" s="32">
        <v>46015</v>
      </c>
    </row>
    <row r="49" spans="2:8" x14ac:dyDescent="0.15">
      <c r="B49" s="6" t="s">
        <v>3</v>
      </c>
      <c r="C49" s="76">
        <v>3</v>
      </c>
      <c r="D49" s="77">
        <v>3</v>
      </c>
      <c r="E49" s="85">
        <v>3</v>
      </c>
      <c r="F49" s="8">
        <f t="shared" si="3"/>
        <v>9</v>
      </c>
      <c r="G49" s="32">
        <v>46029</v>
      </c>
    </row>
    <row r="50" spans="2:8" x14ac:dyDescent="0.15">
      <c r="B50" s="6" t="s">
        <v>60</v>
      </c>
      <c r="C50" s="76">
        <v>0</v>
      </c>
      <c r="D50" s="77">
        <v>0</v>
      </c>
      <c r="E50" s="85">
        <v>0</v>
      </c>
      <c r="F50" s="8">
        <f t="shared" si="3"/>
        <v>0</v>
      </c>
      <c r="G50" s="32">
        <v>46085</v>
      </c>
    </row>
    <row r="51" spans="2:8" x14ac:dyDescent="0.15">
      <c r="B51" s="6" t="s">
        <v>3</v>
      </c>
      <c r="C51" s="76">
        <v>2</v>
      </c>
      <c r="D51" s="77"/>
      <c r="E51" s="85"/>
      <c r="F51" s="8">
        <f t="shared" si="3"/>
        <v>2</v>
      </c>
      <c r="G51" s="32">
        <v>46143</v>
      </c>
    </row>
    <row r="52" spans="2:8" x14ac:dyDescent="0.15">
      <c r="B52" s="6" t="s">
        <v>3</v>
      </c>
      <c r="C52" s="76"/>
      <c r="D52" s="77"/>
      <c r="E52" s="85"/>
      <c r="F52" s="8">
        <f t="shared" si="3"/>
        <v>0</v>
      </c>
      <c r="G52" s="32"/>
    </row>
    <row r="53" spans="2:8" x14ac:dyDescent="0.15">
      <c r="B53" s="6" t="s">
        <v>3</v>
      </c>
      <c r="C53" s="76"/>
      <c r="D53" s="77"/>
      <c r="E53" s="85"/>
      <c r="F53" s="8">
        <f t="shared" si="3"/>
        <v>0</v>
      </c>
      <c r="G53" s="32"/>
    </row>
    <row r="54" spans="2:8" x14ac:dyDescent="0.15">
      <c r="B54" s="6" t="s">
        <v>3</v>
      </c>
      <c r="C54" s="90"/>
      <c r="D54" s="78"/>
      <c r="E54" s="86"/>
      <c r="F54" s="8">
        <f t="shared" si="3"/>
        <v>0</v>
      </c>
      <c r="G54" s="32"/>
      <c r="H54" s="33"/>
    </row>
    <row r="55" spans="2:8" x14ac:dyDescent="0.15">
      <c r="B55" s="6" t="s">
        <v>3</v>
      </c>
      <c r="C55" s="90"/>
      <c r="D55" s="78"/>
      <c r="E55" s="86"/>
      <c r="F55" s="8">
        <f t="shared" si="3"/>
        <v>0</v>
      </c>
      <c r="G55" s="32"/>
    </row>
    <row r="56" spans="2:8" x14ac:dyDescent="0.15">
      <c r="B56" s="6" t="s">
        <v>3</v>
      </c>
      <c r="C56" s="90"/>
      <c r="D56" s="78"/>
      <c r="E56" s="86"/>
      <c r="F56" s="8">
        <f t="shared" si="3"/>
        <v>0</v>
      </c>
      <c r="G56" s="32"/>
    </row>
    <row r="57" spans="2:8" ht="14.25" thickBot="1" x14ac:dyDescent="0.2">
      <c r="B57" s="108" t="s">
        <v>3</v>
      </c>
      <c r="C57" s="110"/>
      <c r="D57" s="80"/>
      <c r="E57" s="87"/>
      <c r="F57" s="88">
        <f t="shared" si="3"/>
        <v>0</v>
      </c>
      <c r="G57" s="32"/>
    </row>
    <row r="58" spans="2:8" ht="14.25" thickBot="1" x14ac:dyDescent="0.2">
      <c r="B58" s="21" t="s">
        <v>4</v>
      </c>
      <c r="C58" s="95">
        <f>SUM(C47:C57)</f>
        <v>7</v>
      </c>
      <c r="D58" s="96">
        <f>SUM(D47:D57)</f>
        <v>6</v>
      </c>
      <c r="E58" s="97">
        <f>SUM(E47:E57)</f>
        <v>5</v>
      </c>
      <c r="F58" s="24">
        <f t="shared" si="3"/>
        <v>18</v>
      </c>
    </row>
    <row r="59" spans="2:8" x14ac:dyDescent="0.15">
      <c r="B59" s="4" t="s">
        <v>16</v>
      </c>
      <c r="C59" s="92">
        <v>1</v>
      </c>
      <c r="D59" s="93"/>
      <c r="E59" s="94">
        <v>1</v>
      </c>
      <c r="F59" s="5">
        <f t="shared" si="3"/>
        <v>2</v>
      </c>
      <c r="G59" s="37">
        <v>46017</v>
      </c>
    </row>
    <row r="60" spans="2:8" x14ac:dyDescent="0.15">
      <c r="B60" s="4" t="s">
        <v>16</v>
      </c>
      <c r="C60" s="90"/>
      <c r="D60" s="78">
        <v>2</v>
      </c>
      <c r="E60" s="86"/>
      <c r="F60" s="8">
        <f t="shared" si="3"/>
        <v>2</v>
      </c>
      <c r="G60" s="32">
        <v>46027</v>
      </c>
    </row>
    <row r="61" spans="2:8" x14ac:dyDescent="0.15">
      <c r="B61" s="4" t="s">
        <v>16</v>
      </c>
      <c r="C61" s="90">
        <v>2</v>
      </c>
      <c r="D61" s="78"/>
      <c r="E61" s="86"/>
      <c r="F61" s="8">
        <f t="shared" si="3"/>
        <v>2</v>
      </c>
      <c r="G61" s="37">
        <v>46118</v>
      </c>
    </row>
    <row r="62" spans="2:8" x14ac:dyDescent="0.15">
      <c r="B62" s="4"/>
      <c r="C62" s="90"/>
      <c r="D62" s="78"/>
      <c r="E62" s="86"/>
      <c r="F62" s="8">
        <f t="shared" si="3"/>
        <v>0</v>
      </c>
      <c r="G62" s="37"/>
    </row>
    <row r="63" spans="2:8" x14ac:dyDescent="0.15">
      <c r="B63" s="4"/>
      <c r="C63" s="90"/>
      <c r="D63" s="78"/>
      <c r="E63" s="86"/>
      <c r="F63" s="8">
        <f t="shared" si="3"/>
        <v>0</v>
      </c>
      <c r="G63" s="37"/>
    </row>
    <row r="64" spans="2:8" x14ac:dyDescent="0.15">
      <c r="B64" s="4"/>
      <c r="C64" s="90"/>
      <c r="D64" s="78"/>
      <c r="E64" s="86"/>
      <c r="F64" s="8">
        <f t="shared" si="3"/>
        <v>0</v>
      </c>
      <c r="G64" s="37"/>
    </row>
    <row r="65" spans="2:7" x14ac:dyDescent="0.15">
      <c r="B65" s="4"/>
      <c r="C65" s="90"/>
      <c r="D65" s="78"/>
      <c r="E65" s="86"/>
      <c r="F65" s="8">
        <f t="shared" si="3"/>
        <v>0</v>
      </c>
      <c r="G65" s="37"/>
    </row>
    <row r="66" spans="2:7" x14ac:dyDescent="0.15">
      <c r="B66" s="4"/>
      <c r="C66" s="90"/>
      <c r="D66" s="78"/>
      <c r="E66" s="86"/>
      <c r="F66" s="8">
        <f t="shared" si="3"/>
        <v>0</v>
      </c>
      <c r="G66" s="37"/>
    </row>
    <row r="67" spans="2:7" x14ac:dyDescent="0.15">
      <c r="B67" s="4"/>
      <c r="C67" s="90"/>
      <c r="D67" s="78"/>
      <c r="E67" s="86"/>
      <c r="F67" s="8">
        <f t="shared" si="3"/>
        <v>0</v>
      </c>
      <c r="G67" s="37"/>
    </row>
    <row r="68" spans="2:7" x14ac:dyDescent="0.15">
      <c r="B68" s="4"/>
      <c r="C68" s="90"/>
      <c r="D68" s="78"/>
      <c r="E68" s="86"/>
      <c r="F68" s="8">
        <f t="shared" si="3"/>
        <v>0</v>
      </c>
      <c r="G68" s="37"/>
    </row>
    <row r="69" spans="2:7" x14ac:dyDescent="0.15">
      <c r="B69" s="12"/>
      <c r="C69" s="90"/>
      <c r="D69" s="78"/>
      <c r="E69" s="86"/>
      <c r="F69" s="8">
        <f t="shared" si="3"/>
        <v>0</v>
      </c>
    </row>
    <row r="70" spans="2:7" x14ac:dyDescent="0.15">
      <c r="B70" s="12"/>
      <c r="C70" s="90"/>
      <c r="D70" s="78"/>
      <c r="E70" s="86"/>
      <c r="F70" s="8">
        <f t="shared" si="3"/>
        <v>0</v>
      </c>
    </row>
    <row r="71" spans="2:7" x14ac:dyDescent="0.15">
      <c r="B71" s="12"/>
      <c r="C71" s="90"/>
      <c r="D71" s="78"/>
      <c r="E71" s="86"/>
      <c r="F71" s="8">
        <f t="shared" si="3"/>
        <v>0</v>
      </c>
    </row>
    <row r="72" spans="2:7" x14ac:dyDescent="0.15">
      <c r="B72" s="12"/>
      <c r="C72" s="90"/>
      <c r="D72" s="78"/>
      <c r="E72" s="86"/>
      <c r="F72" s="8">
        <f t="shared" si="3"/>
        <v>0</v>
      </c>
    </row>
    <row r="73" spans="2:7" x14ac:dyDescent="0.15">
      <c r="B73" s="12"/>
      <c r="C73" s="90"/>
      <c r="D73" s="78"/>
      <c r="E73" s="86"/>
      <c r="F73" s="8">
        <f t="shared" si="3"/>
        <v>0</v>
      </c>
    </row>
    <row r="74" spans="2:7" x14ac:dyDescent="0.15">
      <c r="B74" s="12"/>
      <c r="C74" s="90"/>
      <c r="D74" s="78"/>
      <c r="E74" s="86"/>
      <c r="F74" s="8">
        <f t="shared" si="3"/>
        <v>0</v>
      </c>
    </row>
    <row r="75" spans="2:7" x14ac:dyDescent="0.15">
      <c r="B75" s="12"/>
      <c r="C75" s="90"/>
      <c r="D75" s="78"/>
      <c r="E75" s="86"/>
      <c r="F75" s="8">
        <f t="shared" si="3"/>
        <v>0</v>
      </c>
    </row>
    <row r="76" spans="2:7" x14ac:dyDescent="0.15">
      <c r="B76" s="12"/>
      <c r="C76" s="90"/>
      <c r="D76" s="78"/>
      <c r="E76" s="86"/>
      <c r="F76" s="8">
        <f t="shared" si="3"/>
        <v>0</v>
      </c>
    </row>
    <row r="77" spans="2:7" x14ac:dyDescent="0.15">
      <c r="B77" s="12"/>
      <c r="C77" s="90"/>
      <c r="D77" s="78"/>
      <c r="E77" s="86"/>
      <c r="F77" s="8">
        <f t="shared" si="3"/>
        <v>0</v>
      </c>
    </row>
    <row r="78" spans="2:7" x14ac:dyDescent="0.15">
      <c r="B78" s="12"/>
      <c r="C78" s="90"/>
      <c r="D78" s="78"/>
      <c r="E78" s="86"/>
      <c r="F78" s="8">
        <f t="shared" si="3"/>
        <v>0</v>
      </c>
    </row>
    <row r="79" spans="2:7" x14ac:dyDescent="0.15">
      <c r="B79" s="12"/>
      <c r="C79" s="90"/>
      <c r="D79" s="78"/>
      <c r="E79" s="86"/>
      <c r="F79" s="8">
        <f t="shared" si="3"/>
        <v>0</v>
      </c>
    </row>
    <row r="80" spans="2:7" x14ac:dyDescent="0.15">
      <c r="B80" s="28"/>
      <c r="C80" s="90"/>
      <c r="D80" s="78"/>
      <c r="E80" s="86"/>
      <c r="F80" s="8">
        <f t="shared" si="3"/>
        <v>0</v>
      </c>
    </row>
    <row r="81" spans="2:6" x14ac:dyDescent="0.15">
      <c r="B81" s="12"/>
      <c r="C81" s="90"/>
      <c r="D81" s="78"/>
      <c r="E81" s="86"/>
      <c r="F81" s="8">
        <f t="shared" si="3"/>
        <v>0</v>
      </c>
    </row>
    <row r="82" spans="2:6" ht="14.25" thickBot="1" x14ac:dyDescent="0.2">
      <c r="B82" s="79"/>
      <c r="C82" s="91"/>
      <c r="D82" s="80"/>
      <c r="E82" s="87"/>
      <c r="F82" s="88">
        <f t="shared" si="3"/>
        <v>0</v>
      </c>
    </row>
    <row r="83" spans="2:6" ht="14.25" thickBot="1" x14ac:dyDescent="0.2">
      <c r="B83" s="2" t="s">
        <v>5</v>
      </c>
      <c r="C83" s="104">
        <f>SUM(C59:C82)</f>
        <v>3</v>
      </c>
      <c r="D83" s="105">
        <f>SUM(D59:D82)</f>
        <v>2</v>
      </c>
      <c r="E83" s="106">
        <f>SUM(E59:E82)</f>
        <v>1</v>
      </c>
      <c r="F83" s="16">
        <f t="shared" si="3"/>
        <v>6</v>
      </c>
    </row>
    <row r="84" spans="2:6" ht="14.25" thickBot="1" x14ac:dyDescent="0.2">
      <c r="B84" s="99" t="s">
        <v>6</v>
      </c>
      <c r="C84" s="100">
        <f>C58-C83</f>
        <v>4</v>
      </c>
      <c r="D84" s="101">
        <f t="shared" ref="D84:F84" si="4">D58-D83</f>
        <v>4</v>
      </c>
      <c r="E84" s="102">
        <f t="shared" si="4"/>
        <v>4</v>
      </c>
      <c r="F84" s="103">
        <f t="shared" si="4"/>
        <v>12</v>
      </c>
    </row>
  </sheetData>
  <mergeCells count="2">
    <mergeCell ref="C2:E2"/>
    <mergeCell ref="C45:E45"/>
  </mergeCells>
  <phoneticPr fontId="8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P213"/>
  <sheetViews>
    <sheetView topLeftCell="A171" zoomScale="90" zoomScaleNormal="90" workbookViewId="0">
      <selection activeCell="O192" sqref="O192"/>
    </sheetView>
  </sheetViews>
  <sheetFormatPr defaultRowHeight="13.5" x14ac:dyDescent="0.15"/>
  <cols>
    <col min="1" max="1" width="16.125" customWidth="1"/>
    <col min="2" max="11" width="9" customWidth="1"/>
    <col min="12" max="13" width="7.75" customWidth="1"/>
    <col min="15" max="15" width="9.25" bestFit="1" customWidth="1"/>
  </cols>
  <sheetData>
    <row r="1" spans="1:16" ht="18" thickBot="1" x14ac:dyDescent="0.25">
      <c r="A1" s="29" t="s">
        <v>39</v>
      </c>
      <c r="B1" s="1"/>
      <c r="C1" s="1"/>
      <c r="D1" s="1"/>
      <c r="E1" s="1"/>
      <c r="F1" s="1" t="s">
        <v>44</v>
      </c>
      <c r="G1" s="1"/>
      <c r="H1" s="1"/>
      <c r="I1" s="1"/>
      <c r="J1" s="1"/>
      <c r="K1" s="1"/>
      <c r="L1" s="1"/>
      <c r="M1" s="1"/>
    </row>
    <row r="2" spans="1:16" ht="14.25" thickBot="1" x14ac:dyDescent="0.2">
      <c r="A2" s="2" t="s">
        <v>0</v>
      </c>
      <c r="B2" s="206" t="s">
        <v>14</v>
      </c>
      <c r="C2" s="206"/>
      <c r="D2" s="206"/>
      <c r="E2" s="206"/>
      <c r="F2" s="206"/>
      <c r="G2" s="207"/>
      <c r="H2" s="206" t="s">
        <v>47</v>
      </c>
      <c r="I2" s="206"/>
      <c r="J2" s="206"/>
      <c r="K2" s="206"/>
      <c r="L2" s="206"/>
      <c r="M2" s="207"/>
      <c r="N2" s="208" t="s">
        <v>10</v>
      </c>
    </row>
    <row r="3" spans="1:16" ht="14.25" thickBot="1" x14ac:dyDescent="0.2">
      <c r="A3" s="2" t="s">
        <v>1</v>
      </c>
      <c r="B3" s="3" t="s">
        <v>7</v>
      </c>
      <c r="C3" s="2" t="s">
        <v>8</v>
      </c>
      <c r="D3" s="19" t="s">
        <v>9</v>
      </c>
      <c r="E3" s="2" t="s">
        <v>20</v>
      </c>
      <c r="F3" s="2" t="s">
        <v>22</v>
      </c>
      <c r="G3" s="19" t="s">
        <v>2</v>
      </c>
      <c r="H3" s="2" t="s">
        <v>11</v>
      </c>
      <c r="I3" s="19" t="s">
        <v>12</v>
      </c>
      <c r="J3" s="2" t="s">
        <v>13</v>
      </c>
      <c r="K3" s="53" t="s">
        <v>19</v>
      </c>
      <c r="L3" s="53" t="s">
        <v>21</v>
      </c>
      <c r="M3" s="2" t="s">
        <v>2</v>
      </c>
      <c r="N3" s="209"/>
    </row>
    <row r="4" spans="1:16" x14ac:dyDescent="0.15">
      <c r="A4" s="49" t="s">
        <v>23</v>
      </c>
      <c r="B4" s="54"/>
      <c r="C4" s="35"/>
      <c r="D4" s="54">
        <v>2</v>
      </c>
      <c r="E4" s="35"/>
      <c r="F4" s="4"/>
      <c r="G4" s="45">
        <f t="shared" ref="G4:G40" si="0">SUM(B4:F4)</f>
        <v>2</v>
      </c>
      <c r="H4" s="4"/>
      <c r="I4" s="35"/>
      <c r="J4" s="4">
        <v>2</v>
      </c>
      <c r="K4" s="35"/>
      <c r="L4" s="54"/>
      <c r="M4" s="41">
        <f t="shared" ref="M4:M40" si="1">SUM(H4:L4)</f>
        <v>2</v>
      </c>
      <c r="N4" s="31">
        <f>SUM(M4,G4)</f>
        <v>4</v>
      </c>
      <c r="O4" s="32">
        <v>43946</v>
      </c>
    </row>
    <row r="5" spans="1:16" x14ac:dyDescent="0.15">
      <c r="A5" s="49" t="s">
        <v>3</v>
      </c>
      <c r="B5" s="12">
        <v>1</v>
      </c>
      <c r="C5" s="17"/>
      <c r="D5" s="12"/>
      <c r="E5" s="17"/>
      <c r="F5" s="12"/>
      <c r="G5" s="45">
        <f t="shared" si="0"/>
        <v>1</v>
      </c>
      <c r="H5" s="12"/>
      <c r="I5" s="17"/>
      <c r="J5" s="12"/>
      <c r="K5" s="17"/>
      <c r="L5" s="12"/>
      <c r="M5" s="41">
        <f t="shared" si="1"/>
        <v>0</v>
      </c>
      <c r="N5" s="31">
        <f t="shared" ref="N5:N41" si="2">SUM(M5,G5)</f>
        <v>1</v>
      </c>
      <c r="O5" s="32">
        <v>44011</v>
      </c>
      <c r="P5" s="33"/>
    </row>
    <row r="6" spans="1:16" x14ac:dyDescent="0.15">
      <c r="A6" s="49" t="s">
        <v>3</v>
      </c>
      <c r="B6" s="12"/>
      <c r="C6" s="17"/>
      <c r="D6" s="12">
        <v>3</v>
      </c>
      <c r="E6" s="17"/>
      <c r="F6" s="12"/>
      <c r="G6" s="45">
        <f t="shared" si="0"/>
        <v>3</v>
      </c>
      <c r="H6" s="12"/>
      <c r="I6" s="17"/>
      <c r="J6" s="12">
        <v>2</v>
      </c>
      <c r="K6" s="17"/>
      <c r="L6" s="12"/>
      <c r="M6" s="41">
        <f t="shared" si="1"/>
        <v>2</v>
      </c>
      <c r="N6" s="31">
        <f t="shared" si="2"/>
        <v>5</v>
      </c>
      <c r="O6" s="32">
        <v>44069</v>
      </c>
    </row>
    <row r="7" spans="1:16" x14ac:dyDescent="0.15">
      <c r="A7" s="49" t="s">
        <v>3</v>
      </c>
      <c r="B7" s="12"/>
      <c r="C7" s="17"/>
      <c r="D7" s="12"/>
      <c r="E7" s="17"/>
      <c r="F7" s="12"/>
      <c r="G7" s="45">
        <f t="shared" si="0"/>
        <v>0</v>
      </c>
      <c r="H7" s="12"/>
      <c r="I7" s="17"/>
      <c r="J7" s="12">
        <v>1</v>
      </c>
      <c r="K7" s="17"/>
      <c r="L7" s="12"/>
      <c r="M7" s="41">
        <f t="shared" si="1"/>
        <v>1</v>
      </c>
      <c r="N7" s="31">
        <f t="shared" si="2"/>
        <v>1</v>
      </c>
      <c r="O7" s="32">
        <v>44090</v>
      </c>
    </row>
    <row r="8" spans="1:16" x14ac:dyDescent="0.15">
      <c r="A8" s="49" t="s">
        <v>3</v>
      </c>
      <c r="B8" s="12"/>
      <c r="C8" s="17"/>
      <c r="D8" s="12"/>
      <c r="E8" s="17"/>
      <c r="F8" s="12"/>
      <c r="G8" s="45">
        <f t="shared" si="0"/>
        <v>0</v>
      </c>
      <c r="H8" s="12"/>
      <c r="I8" s="17"/>
      <c r="J8" s="12">
        <v>1</v>
      </c>
      <c r="K8" s="17"/>
      <c r="L8" s="12"/>
      <c r="M8" s="41">
        <f t="shared" si="1"/>
        <v>1</v>
      </c>
      <c r="N8" s="31">
        <f t="shared" si="2"/>
        <v>1</v>
      </c>
      <c r="O8" s="32">
        <v>44119</v>
      </c>
      <c r="P8" s="33"/>
    </row>
    <row r="9" spans="1:16" x14ac:dyDescent="0.15">
      <c r="A9" s="49" t="s">
        <v>3</v>
      </c>
      <c r="B9" s="12">
        <v>3</v>
      </c>
      <c r="C9" s="17"/>
      <c r="D9" s="12"/>
      <c r="E9" s="17"/>
      <c r="F9" s="12"/>
      <c r="G9" s="45">
        <f t="shared" si="0"/>
        <v>3</v>
      </c>
      <c r="H9" s="12">
        <v>3</v>
      </c>
      <c r="I9" s="17"/>
      <c r="J9" s="12"/>
      <c r="K9" s="17"/>
      <c r="L9" s="12"/>
      <c r="M9" s="41">
        <f t="shared" si="1"/>
        <v>3</v>
      </c>
      <c r="N9" s="31">
        <f t="shared" si="2"/>
        <v>6</v>
      </c>
      <c r="O9" s="32">
        <v>44145</v>
      </c>
    </row>
    <row r="10" spans="1:16" x14ac:dyDescent="0.15">
      <c r="A10" s="49" t="s">
        <v>3</v>
      </c>
      <c r="B10" s="12">
        <v>1</v>
      </c>
      <c r="C10" s="17">
        <v>1</v>
      </c>
      <c r="D10" s="12">
        <v>2</v>
      </c>
      <c r="E10" s="17"/>
      <c r="F10" s="12"/>
      <c r="G10" s="45">
        <f t="shared" si="0"/>
        <v>4</v>
      </c>
      <c r="H10" s="12">
        <v>1</v>
      </c>
      <c r="I10" s="17">
        <v>1</v>
      </c>
      <c r="J10" s="12">
        <v>2</v>
      </c>
      <c r="K10" s="17"/>
      <c r="L10" s="12"/>
      <c r="M10" s="41">
        <f t="shared" si="1"/>
        <v>4</v>
      </c>
      <c r="N10" s="31">
        <f t="shared" si="2"/>
        <v>8</v>
      </c>
      <c r="O10" s="32">
        <v>44182</v>
      </c>
    </row>
    <row r="11" spans="1:16" x14ac:dyDescent="0.15">
      <c r="A11" s="49" t="s">
        <v>3</v>
      </c>
      <c r="B11" s="10">
        <v>1</v>
      </c>
      <c r="C11" s="11">
        <v>1</v>
      </c>
      <c r="D11" s="10"/>
      <c r="E11" s="11"/>
      <c r="F11" s="10"/>
      <c r="G11" s="45">
        <f t="shared" si="0"/>
        <v>2</v>
      </c>
      <c r="H11" s="10">
        <v>1</v>
      </c>
      <c r="I11" s="11">
        <v>1</v>
      </c>
      <c r="J11" s="10"/>
      <c r="K11" s="11"/>
      <c r="L11" s="10"/>
      <c r="M11" s="41">
        <f t="shared" si="1"/>
        <v>2</v>
      </c>
      <c r="N11" s="31">
        <f t="shared" si="2"/>
        <v>4</v>
      </c>
      <c r="O11" s="32">
        <v>44203</v>
      </c>
    </row>
    <row r="12" spans="1:16" x14ac:dyDescent="0.15">
      <c r="A12" s="49" t="s">
        <v>3</v>
      </c>
      <c r="B12" s="10">
        <v>1</v>
      </c>
      <c r="C12" s="11"/>
      <c r="D12" s="10"/>
      <c r="E12" s="11"/>
      <c r="F12" s="10"/>
      <c r="G12" s="45">
        <f t="shared" si="0"/>
        <v>1</v>
      </c>
      <c r="H12" s="10">
        <v>1</v>
      </c>
      <c r="I12" s="11"/>
      <c r="J12" s="10"/>
      <c r="K12" s="11"/>
      <c r="L12" s="10"/>
      <c r="M12" s="41">
        <f t="shared" si="1"/>
        <v>1</v>
      </c>
      <c r="N12" s="31">
        <f t="shared" si="2"/>
        <v>2</v>
      </c>
      <c r="O12" s="32">
        <v>44215</v>
      </c>
    </row>
    <row r="13" spans="1:16" x14ac:dyDescent="0.15">
      <c r="A13" s="49" t="s">
        <v>3</v>
      </c>
      <c r="B13" s="10">
        <v>2</v>
      </c>
      <c r="C13" s="11"/>
      <c r="D13" s="10">
        <v>1</v>
      </c>
      <c r="E13" s="11"/>
      <c r="F13" s="10"/>
      <c r="G13" s="45">
        <f t="shared" si="0"/>
        <v>3</v>
      </c>
      <c r="H13" s="10"/>
      <c r="I13" s="11"/>
      <c r="J13" s="10">
        <v>1</v>
      </c>
      <c r="K13" s="11"/>
      <c r="L13" s="10"/>
      <c r="M13" s="41">
        <f t="shared" si="1"/>
        <v>1</v>
      </c>
      <c r="N13" s="31">
        <f t="shared" si="2"/>
        <v>4</v>
      </c>
      <c r="O13" s="32">
        <v>44221</v>
      </c>
    </row>
    <row r="14" spans="1:16" ht="14.25" thickBot="1" x14ac:dyDescent="0.2">
      <c r="A14" s="50" t="s">
        <v>3</v>
      </c>
      <c r="B14" s="13"/>
      <c r="C14" s="14"/>
      <c r="D14" s="13">
        <v>3</v>
      </c>
      <c r="E14" s="14"/>
      <c r="F14" s="13"/>
      <c r="G14" s="46">
        <f t="shared" si="0"/>
        <v>3</v>
      </c>
      <c r="H14" s="13"/>
      <c r="I14" s="14"/>
      <c r="J14" s="13">
        <v>3</v>
      </c>
      <c r="K14" s="14"/>
      <c r="L14" s="13"/>
      <c r="M14" s="42">
        <f t="shared" si="1"/>
        <v>3</v>
      </c>
      <c r="N14" s="36">
        <f t="shared" si="2"/>
        <v>6</v>
      </c>
      <c r="O14" s="32">
        <v>44452</v>
      </c>
    </row>
    <row r="15" spans="1:16" ht="14.25" thickBot="1" x14ac:dyDescent="0.2">
      <c r="A15" s="51" t="s">
        <v>4</v>
      </c>
      <c r="B15" s="22">
        <f>SUM(B4:B14)</f>
        <v>9</v>
      </c>
      <c r="C15" s="22">
        <f>SUM(C4:C14)</f>
        <v>2</v>
      </c>
      <c r="D15" s="57">
        <f t="shared" ref="D15:E15" si="3">SUM(D4:D14)</f>
        <v>11</v>
      </c>
      <c r="E15" s="22">
        <f t="shared" si="3"/>
        <v>0</v>
      </c>
      <c r="F15" s="22">
        <f>SUM(F4:F14)</f>
        <v>0</v>
      </c>
      <c r="G15" s="47">
        <f t="shared" si="0"/>
        <v>22</v>
      </c>
      <c r="H15" s="22">
        <f>SUM(H4:H14)</f>
        <v>6</v>
      </c>
      <c r="I15" s="22">
        <f t="shared" ref="I15:J15" si="4">SUM(I4:I14)</f>
        <v>2</v>
      </c>
      <c r="J15" s="22">
        <f t="shared" si="4"/>
        <v>12</v>
      </c>
      <c r="K15" s="57">
        <f>SUM(K4:K14)</f>
        <v>0</v>
      </c>
      <c r="L15" s="22">
        <f>SUM(L4:L14)</f>
        <v>0</v>
      </c>
      <c r="M15" s="43">
        <f t="shared" si="1"/>
        <v>20</v>
      </c>
      <c r="N15" s="34">
        <f t="shared" si="2"/>
        <v>42</v>
      </c>
    </row>
    <row r="16" spans="1:16" x14ac:dyDescent="0.15">
      <c r="A16" s="40" t="s">
        <v>45</v>
      </c>
      <c r="B16" s="55">
        <v>1</v>
      </c>
      <c r="C16" s="56"/>
      <c r="D16" s="55"/>
      <c r="E16" s="56"/>
      <c r="F16" s="55"/>
      <c r="G16" s="45">
        <f t="shared" si="0"/>
        <v>1</v>
      </c>
      <c r="H16" s="55"/>
      <c r="I16" s="56"/>
      <c r="J16" s="55"/>
      <c r="K16" s="56"/>
      <c r="L16" s="55"/>
      <c r="M16" s="41">
        <f t="shared" si="1"/>
        <v>0</v>
      </c>
      <c r="N16" s="31">
        <f t="shared" si="2"/>
        <v>1</v>
      </c>
      <c r="O16" s="32">
        <v>43946</v>
      </c>
      <c r="P16" s="33"/>
    </row>
    <row r="17" spans="1:16" x14ac:dyDescent="0.15">
      <c r="A17" s="40" t="s">
        <v>16</v>
      </c>
      <c r="B17" s="10"/>
      <c r="C17" s="11"/>
      <c r="D17" s="10"/>
      <c r="E17" s="11"/>
      <c r="F17" s="10"/>
      <c r="G17" s="45">
        <f t="shared" si="0"/>
        <v>0</v>
      </c>
      <c r="H17" s="10"/>
      <c r="I17" s="11"/>
      <c r="J17" s="10">
        <v>1</v>
      </c>
      <c r="K17" s="11"/>
      <c r="L17" s="10"/>
      <c r="M17" s="41">
        <f t="shared" si="1"/>
        <v>1</v>
      </c>
      <c r="N17" s="31">
        <f t="shared" si="2"/>
        <v>1</v>
      </c>
      <c r="O17" s="32">
        <v>44011</v>
      </c>
      <c r="P17" s="33"/>
    </row>
    <row r="18" spans="1:16" x14ac:dyDescent="0.15">
      <c r="A18" s="40" t="s">
        <v>16</v>
      </c>
      <c r="B18" s="10"/>
      <c r="C18" s="11"/>
      <c r="D18" s="10">
        <v>3</v>
      </c>
      <c r="E18" s="11"/>
      <c r="F18" s="10"/>
      <c r="G18" s="45">
        <f t="shared" si="0"/>
        <v>3</v>
      </c>
      <c r="H18" s="10"/>
      <c r="I18" s="11"/>
      <c r="J18" s="10">
        <v>2</v>
      </c>
      <c r="K18" s="11"/>
      <c r="L18" s="10"/>
      <c r="M18" s="41">
        <f t="shared" si="1"/>
        <v>2</v>
      </c>
      <c r="N18" s="31">
        <f t="shared" si="2"/>
        <v>5</v>
      </c>
      <c r="O18" s="32">
        <v>44069</v>
      </c>
      <c r="P18" s="33"/>
    </row>
    <row r="19" spans="1:16" x14ac:dyDescent="0.15">
      <c r="A19" s="40" t="s">
        <v>16</v>
      </c>
      <c r="B19" s="10"/>
      <c r="C19" s="11"/>
      <c r="D19" s="10">
        <v>2</v>
      </c>
      <c r="E19" s="11"/>
      <c r="F19" s="10"/>
      <c r="G19" s="45">
        <f t="shared" si="0"/>
        <v>2</v>
      </c>
      <c r="H19" s="10"/>
      <c r="I19" s="11"/>
      <c r="J19" s="10">
        <v>2</v>
      </c>
      <c r="K19" s="11"/>
      <c r="L19" s="10"/>
      <c r="M19" s="41">
        <f t="shared" si="1"/>
        <v>2</v>
      </c>
      <c r="N19" s="31">
        <f t="shared" si="2"/>
        <v>4</v>
      </c>
      <c r="O19" s="32">
        <v>44090</v>
      </c>
      <c r="P19" s="33"/>
    </row>
    <row r="20" spans="1:16" x14ac:dyDescent="0.15">
      <c r="A20" s="40" t="s">
        <v>16</v>
      </c>
      <c r="B20" s="10"/>
      <c r="C20" s="11"/>
      <c r="D20" s="10"/>
      <c r="E20" s="11"/>
      <c r="F20" s="10"/>
      <c r="G20" s="45">
        <f t="shared" si="0"/>
        <v>0</v>
      </c>
      <c r="H20" s="10"/>
      <c r="I20" s="11"/>
      <c r="J20" s="10">
        <v>1</v>
      </c>
      <c r="K20" s="11"/>
      <c r="L20" s="10"/>
      <c r="M20" s="41">
        <f t="shared" si="1"/>
        <v>1</v>
      </c>
      <c r="N20" s="31">
        <f t="shared" si="2"/>
        <v>1</v>
      </c>
      <c r="O20" s="32">
        <v>44119</v>
      </c>
      <c r="P20" s="33"/>
    </row>
    <row r="21" spans="1:16" x14ac:dyDescent="0.15">
      <c r="A21" s="40" t="s">
        <v>16</v>
      </c>
      <c r="B21" s="10">
        <v>2</v>
      </c>
      <c r="C21" s="11"/>
      <c r="D21" s="10"/>
      <c r="E21" s="11"/>
      <c r="F21" s="10"/>
      <c r="G21" s="48">
        <f t="shared" si="0"/>
        <v>2</v>
      </c>
      <c r="H21" s="10">
        <v>2</v>
      </c>
      <c r="I21" s="11"/>
      <c r="J21" s="10"/>
      <c r="K21" s="11"/>
      <c r="L21" s="10"/>
      <c r="M21" s="44">
        <f t="shared" si="1"/>
        <v>2</v>
      </c>
      <c r="N21" s="31">
        <f t="shared" si="2"/>
        <v>4</v>
      </c>
      <c r="O21" s="32">
        <v>44145</v>
      </c>
      <c r="P21" s="33"/>
    </row>
    <row r="22" spans="1:16" x14ac:dyDescent="0.15">
      <c r="A22" s="40" t="s">
        <v>16</v>
      </c>
      <c r="B22" s="10"/>
      <c r="C22" s="11"/>
      <c r="D22" s="10">
        <v>1</v>
      </c>
      <c r="E22" s="11"/>
      <c r="F22" s="10"/>
      <c r="G22" s="48">
        <f t="shared" si="0"/>
        <v>1</v>
      </c>
      <c r="H22" s="10"/>
      <c r="I22" s="11"/>
      <c r="J22" s="10">
        <v>1</v>
      </c>
      <c r="K22" s="11"/>
      <c r="L22" s="10"/>
      <c r="M22" s="44">
        <f t="shared" si="1"/>
        <v>1</v>
      </c>
      <c r="N22" s="31">
        <f t="shared" si="2"/>
        <v>2</v>
      </c>
      <c r="O22" s="32">
        <v>44182</v>
      </c>
      <c r="P22" s="33"/>
    </row>
    <row r="23" spans="1:16" x14ac:dyDescent="0.15">
      <c r="A23" s="40" t="s">
        <v>16</v>
      </c>
      <c r="B23" s="10"/>
      <c r="C23" s="11"/>
      <c r="D23" s="10">
        <v>1</v>
      </c>
      <c r="E23" s="11"/>
      <c r="F23" s="10"/>
      <c r="G23" s="48">
        <f t="shared" si="0"/>
        <v>1</v>
      </c>
      <c r="H23" s="10"/>
      <c r="I23" s="11"/>
      <c r="J23" s="10">
        <v>1</v>
      </c>
      <c r="K23" s="11"/>
      <c r="L23" s="10"/>
      <c r="M23" s="44">
        <f t="shared" si="1"/>
        <v>1</v>
      </c>
      <c r="N23" s="31">
        <f t="shared" si="2"/>
        <v>2</v>
      </c>
      <c r="O23" s="32">
        <v>44188</v>
      </c>
      <c r="P23" s="33"/>
    </row>
    <row r="24" spans="1:16" x14ac:dyDescent="0.15">
      <c r="A24" s="40" t="s">
        <v>16</v>
      </c>
      <c r="B24" s="10">
        <v>2</v>
      </c>
      <c r="C24" s="11">
        <v>1</v>
      </c>
      <c r="D24" s="10"/>
      <c r="E24" s="11"/>
      <c r="F24" s="10"/>
      <c r="G24" s="48">
        <f t="shared" si="0"/>
        <v>3</v>
      </c>
      <c r="H24" s="10"/>
      <c r="I24" s="11">
        <v>1</v>
      </c>
      <c r="J24" s="10"/>
      <c r="K24" s="11"/>
      <c r="L24" s="10"/>
      <c r="M24" s="44">
        <f t="shared" si="1"/>
        <v>1</v>
      </c>
      <c r="N24" s="31">
        <f t="shared" si="2"/>
        <v>4</v>
      </c>
      <c r="O24" s="32">
        <v>44203</v>
      </c>
      <c r="P24" s="33"/>
    </row>
    <row r="25" spans="1:16" x14ac:dyDescent="0.15">
      <c r="A25" s="40" t="s">
        <v>16</v>
      </c>
      <c r="B25" s="10">
        <v>1</v>
      </c>
      <c r="C25" s="11"/>
      <c r="D25" s="10"/>
      <c r="E25" s="11"/>
      <c r="F25" s="10"/>
      <c r="G25" s="48">
        <f t="shared" si="0"/>
        <v>1</v>
      </c>
      <c r="H25" s="10">
        <v>1</v>
      </c>
      <c r="I25" s="11"/>
      <c r="J25" s="10"/>
      <c r="K25" s="11"/>
      <c r="L25" s="10"/>
      <c r="M25" s="44">
        <f t="shared" si="1"/>
        <v>1</v>
      </c>
      <c r="N25" s="31">
        <f t="shared" si="2"/>
        <v>2</v>
      </c>
      <c r="O25" s="32">
        <v>44215</v>
      </c>
      <c r="P25" s="33"/>
    </row>
    <row r="26" spans="1:16" x14ac:dyDescent="0.15">
      <c r="A26" s="40" t="s">
        <v>16</v>
      </c>
      <c r="B26" s="10">
        <v>1</v>
      </c>
      <c r="C26" s="11"/>
      <c r="D26" s="10"/>
      <c r="E26" s="11"/>
      <c r="F26" s="10"/>
      <c r="G26" s="48">
        <f t="shared" si="0"/>
        <v>1</v>
      </c>
      <c r="H26" s="10">
        <v>1</v>
      </c>
      <c r="I26" s="11"/>
      <c r="J26" s="10"/>
      <c r="K26" s="11"/>
      <c r="L26" s="10"/>
      <c r="M26" s="44">
        <f t="shared" si="1"/>
        <v>1</v>
      </c>
      <c r="N26" s="31">
        <f t="shared" si="2"/>
        <v>2</v>
      </c>
      <c r="O26" s="32">
        <v>44221</v>
      </c>
      <c r="P26" s="33"/>
    </row>
    <row r="27" spans="1:16" x14ac:dyDescent="0.15">
      <c r="A27" s="40" t="s">
        <v>16</v>
      </c>
      <c r="B27" s="10"/>
      <c r="C27" s="11"/>
      <c r="D27" s="10">
        <v>1</v>
      </c>
      <c r="E27" s="11"/>
      <c r="F27" s="10"/>
      <c r="G27" s="48">
        <f t="shared" si="0"/>
        <v>1</v>
      </c>
      <c r="H27" s="10"/>
      <c r="I27" s="11"/>
      <c r="J27" s="10">
        <v>1</v>
      </c>
      <c r="K27" s="11"/>
      <c r="L27" s="10"/>
      <c r="M27" s="44">
        <f t="shared" si="1"/>
        <v>1</v>
      </c>
      <c r="N27" s="31">
        <f t="shared" si="2"/>
        <v>2</v>
      </c>
      <c r="O27" s="32">
        <v>44369</v>
      </c>
      <c r="P27" s="33"/>
    </row>
    <row r="28" spans="1:16" x14ac:dyDescent="0.15">
      <c r="A28" s="40" t="s">
        <v>16</v>
      </c>
      <c r="B28" s="10"/>
      <c r="C28" s="11"/>
      <c r="D28" s="10">
        <v>2</v>
      </c>
      <c r="E28" s="11"/>
      <c r="F28" s="10"/>
      <c r="G28" s="48">
        <f t="shared" si="0"/>
        <v>2</v>
      </c>
      <c r="H28" s="10"/>
      <c r="I28" s="11"/>
      <c r="J28" s="10">
        <v>2</v>
      </c>
      <c r="K28" s="11"/>
      <c r="L28" s="10"/>
      <c r="M28" s="44">
        <f t="shared" si="1"/>
        <v>2</v>
      </c>
      <c r="N28" s="31">
        <f t="shared" si="2"/>
        <v>4</v>
      </c>
      <c r="O28" s="32">
        <v>44453</v>
      </c>
      <c r="P28" s="33"/>
    </row>
    <row r="29" spans="1:16" x14ac:dyDescent="0.15">
      <c r="A29" s="40" t="s">
        <v>16</v>
      </c>
      <c r="B29" s="10">
        <v>1</v>
      </c>
      <c r="C29" s="11"/>
      <c r="D29" s="10"/>
      <c r="E29" s="11"/>
      <c r="F29" s="10"/>
      <c r="G29" s="48">
        <f t="shared" si="0"/>
        <v>1</v>
      </c>
      <c r="H29" s="10">
        <v>1</v>
      </c>
      <c r="I29" s="11"/>
      <c r="J29" s="10"/>
      <c r="K29" s="11"/>
      <c r="L29" s="10"/>
      <c r="M29" s="44">
        <f t="shared" si="1"/>
        <v>1</v>
      </c>
      <c r="N29" s="31">
        <f t="shared" si="2"/>
        <v>2</v>
      </c>
      <c r="O29" s="32">
        <v>44482</v>
      </c>
      <c r="P29" s="33"/>
    </row>
    <row r="30" spans="1:16" x14ac:dyDescent="0.15">
      <c r="A30" s="40" t="s">
        <v>16</v>
      </c>
      <c r="B30" s="10"/>
      <c r="C30" s="11">
        <v>1</v>
      </c>
      <c r="D30" s="10">
        <v>1</v>
      </c>
      <c r="E30" s="11"/>
      <c r="F30" s="10"/>
      <c r="G30" s="48">
        <f t="shared" si="0"/>
        <v>2</v>
      </c>
      <c r="H30" s="10"/>
      <c r="I30" s="11">
        <v>1</v>
      </c>
      <c r="J30" s="10">
        <v>1</v>
      </c>
      <c r="K30" s="11"/>
      <c r="L30" s="10"/>
      <c r="M30" s="44">
        <f t="shared" si="1"/>
        <v>2</v>
      </c>
      <c r="N30" s="31">
        <f t="shared" si="2"/>
        <v>4</v>
      </c>
      <c r="O30" s="32">
        <v>44505</v>
      </c>
      <c r="P30" s="33"/>
    </row>
    <row r="31" spans="1:16" x14ac:dyDescent="0.15">
      <c r="A31" s="40" t="s">
        <v>16</v>
      </c>
      <c r="B31" s="10">
        <v>1</v>
      </c>
      <c r="C31" s="11"/>
      <c r="D31" s="10"/>
      <c r="E31" s="11"/>
      <c r="F31" s="10"/>
      <c r="G31" s="48">
        <f t="shared" si="0"/>
        <v>1</v>
      </c>
      <c r="H31" s="10">
        <v>1</v>
      </c>
      <c r="I31" s="11"/>
      <c r="J31" s="10"/>
      <c r="K31" s="11"/>
      <c r="L31" s="10"/>
      <c r="M31" s="44">
        <f t="shared" si="1"/>
        <v>1</v>
      </c>
      <c r="N31" s="31">
        <f t="shared" si="2"/>
        <v>2</v>
      </c>
      <c r="O31" s="32">
        <v>44522</v>
      </c>
      <c r="P31" s="33"/>
    </row>
    <row r="32" spans="1:16" x14ac:dyDescent="0.15">
      <c r="A32" s="40"/>
      <c r="B32" s="10"/>
      <c r="C32" s="11"/>
      <c r="D32" s="10"/>
      <c r="E32" s="11"/>
      <c r="F32" s="10"/>
      <c r="G32" s="48">
        <f t="shared" si="0"/>
        <v>0</v>
      </c>
      <c r="H32" s="10"/>
      <c r="I32" s="11"/>
      <c r="J32" s="10"/>
      <c r="K32" s="11"/>
      <c r="L32" s="10"/>
      <c r="M32" s="44">
        <f t="shared" si="1"/>
        <v>0</v>
      </c>
      <c r="N32" s="31">
        <f t="shared" si="2"/>
        <v>0</v>
      </c>
      <c r="O32" s="32"/>
      <c r="P32" s="33"/>
    </row>
    <row r="33" spans="1:16" x14ac:dyDescent="0.15">
      <c r="A33" s="40"/>
      <c r="B33" s="10"/>
      <c r="C33" s="11"/>
      <c r="D33" s="10"/>
      <c r="E33" s="11"/>
      <c r="F33" s="10"/>
      <c r="G33" s="48">
        <f t="shared" si="0"/>
        <v>0</v>
      </c>
      <c r="H33" s="10"/>
      <c r="I33" s="11"/>
      <c r="J33" s="10"/>
      <c r="K33" s="11"/>
      <c r="L33" s="10"/>
      <c r="M33" s="44">
        <f t="shared" si="1"/>
        <v>0</v>
      </c>
      <c r="N33" s="31">
        <f t="shared" si="2"/>
        <v>0</v>
      </c>
      <c r="O33" s="33"/>
      <c r="P33" s="33"/>
    </row>
    <row r="34" spans="1:16" x14ac:dyDescent="0.15">
      <c r="A34" s="39"/>
      <c r="B34" s="10"/>
      <c r="C34" s="11"/>
      <c r="D34" s="10"/>
      <c r="E34" s="11"/>
      <c r="F34" s="10"/>
      <c r="G34" s="48">
        <f t="shared" si="0"/>
        <v>0</v>
      </c>
      <c r="H34" s="10"/>
      <c r="I34" s="11"/>
      <c r="J34" s="10"/>
      <c r="K34" s="11"/>
      <c r="L34" s="10"/>
      <c r="M34" s="44">
        <f t="shared" si="1"/>
        <v>0</v>
      </c>
      <c r="N34" s="31">
        <f t="shared" si="2"/>
        <v>0</v>
      </c>
      <c r="O34" s="33"/>
      <c r="P34" s="33"/>
    </row>
    <row r="35" spans="1:16" x14ac:dyDescent="0.15">
      <c r="A35" s="39"/>
      <c r="B35" s="10"/>
      <c r="C35" s="11"/>
      <c r="D35" s="10"/>
      <c r="E35" s="11"/>
      <c r="F35" s="10"/>
      <c r="G35" s="48">
        <f t="shared" si="0"/>
        <v>0</v>
      </c>
      <c r="H35" s="10"/>
      <c r="I35" s="11"/>
      <c r="J35" s="10"/>
      <c r="K35" s="11"/>
      <c r="L35" s="10"/>
      <c r="M35" s="44">
        <f t="shared" si="1"/>
        <v>0</v>
      </c>
      <c r="N35" s="31">
        <f t="shared" si="2"/>
        <v>0</v>
      </c>
      <c r="O35" s="33"/>
      <c r="P35" s="33"/>
    </row>
    <row r="36" spans="1:16" x14ac:dyDescent="0.15">
      <c r="A36" s="39"/>
      <c r="B36" s="10"/>
      <c r="C36" s="11"/>
      <c r="D36" s="10"/>
      <c r="E36" s="11"/>
      <c r="F36" s="10"/>
      <c r="G36" s="48">
        <f t="shared" si="0"/>
        <v>0</v>
      </c>
      <c r="H36" s="10"/>
      <c r="I36" s="11"/>
      <c r="J36" s="10"/>
      <c r="K36" s="11"/>
      <c r="L36" s="10"/>
      <c r="M36" s="44">
        <f t="shared" si="1"/>
        <v>0</v>
      </c>
      <c r="N36" s="31">
        <f t="shared" si="2"/>
        <v>0</v>
      </c>
      <c r="O36" s="33"/>
      <c r="P36" s="33"/>
    </row>
    <row r="37" spans="1:16" x14ac:dyDescent="0.15">
      <c r="A37" s="52"/>
      <c r="B37" s="10"/>
      <c r="C37" s="11"/>
      <c r="D37" s="10"/>
      <c r="E37" s="11"/>
      <c r="F37" s="10"/>
      <c r="G37" s="48">
        <f t="shared" si="0"/>
        <v>0</v>
      </c>
      <c r="H37" s="10"/>
      <c r="I37" s="11"/>
      <c r="J37" s="10"/>
      <c r="K37" s="11"/>
      <c r="L37" s="10"/>
      <c r="M37" s="44">
        <f t="shared" si="1"/>
        <v>0</v>
      </c>
      <c r="N37" s="31">
        <f t="shared" si="2"/>
        <v>0</v>
      </c>
      <c r="O37" s="33"/>
      <c r="P37" s="33"/>
    </row>
    <row r="38" spans="1:16" x14ac:dyDescent="0.15">
      <c r="A38" s="39"/>
      <c r="B38" s="10"/>
      <c r="C38" s="11"/>
      <c r="D38" s="10"/>
      <c r="E38" s="11"/>
      <c r="F38" s="10"/>
      <c r="G38" s="48">
        <f t="shared" si="0"/>
        <v>0</v>
      </c>
      <c r="H38" s="10"/>
      <c r="I38" s="11"/>
      <c r="J38" s="10"/>
      <c r="K38" s="11"/>
      <c r="L38" s="10"/>
      <c r="M38" s="44">
        <f t="shared" si="1"/>
        <v>0</v>
      </c>
      <c r="N38" s="31">
        <f t="shared" si="2"/>
        <v>0</v>
      </c>
      <c r="O38" s="33"/>
      <c r="P38" s="33"/>
    </row>
    <row r="39" spans="1:16" ht="14.25" thickBot="1" x14ac:dyDescent="0.2">
      <c r="A39" s="58"/>
      <c r="B39" s="13"/>
      <c r="C39" s="14"/>
      <c r="D39" s="13"/>
      <c r="E39" s="14"/>
      <c r="F39" s="13"/>
      <c r="G39" s="59">
        <f t="shared" si="0"/>
        <v>0</v>
      </c>
      <c r="H39" s="13"/>
      <c r="I39" s="14"/>
      <c r="J39" s="13"/>
      <c r="K39" s="14"/>
      <c r="L39" s="13"/>
      <c r="M39" s="60">
        <f t="shared" si="1"/>
        <v>0</v>
      </c>
      <c r="N39" s="36">
        <f t="shared" si="2"/>
        <v>0</v>
      </c>
      <c r="O39" s="33"/>
      <c r="P39" s="33"/>
    </row>
    <row r="40" spans="1:16" ht="14.25" thickBot="1" x14ac:dyDescent="0.2">
      <c r="A40" s="3" t="s">
        <v>5</v>
      </c>
      <c r="B40" s="16">
        <f>SUM(B16:B39)</f>
        <v>9</v>
      </c>
      <c r="C40" s="61">
        <f>SUM(C16:C39)</f>
        <v>2</v>
      </c>
      <c r="D40" s="16">
        <f t="shared" ref="D40:E40" si="5">SUM(D16:D39)</f>
        <v>11</v>
      </c>
      <c r="E40" s="61">
        <f t="shared" si="5"/>
        <v>0</v>
      </c>
      <c r="F40" s="15">
        <f>SUM(F16:F39)</f>
        <v>0</v>
      </c>
      <c r="G40" s="16">
        <f t="shared" si="0"/>
        <v>22</v>
      </c>
      <c r="H40" s="15">
        <f>SUM(H16:H39)</f>
        <v>6</v>
      </c>
      <c r="I40" s="15">
        <f t="shared" ref="I40:J40" si="6">SUM(I16:I39)</f>
        <v>2</v>
      </c>
      <c r="J40" s="15">
        <f t="shared" si="6"/>
        <v>12</v>
      </c>
      <c r="K40" s="15">
        <f>SUM(K16:K39)</f>
        <v>0</v>
      </c>
      <c r="L40" s="15">
        <f>SUM(L16:L39)</f>
        <v>0</v>
      </c>
      <c r="M40" s="16">
        <f t="shared" si="1"/>
        <v>20</v>
      </c>
      <c r="N40" s="34">
        <f t="shared" si="2"/>
        <v>42</v>
      </c>
      <c r="O40" s="33"/>
      <c r="P40" s="33"/>
    </row>
    <row r="41" spans="1:16" ht="14.25" thickBot="1" x14ac:dyDescent="0.2">
      <c r="A41" s="25" t="s">
        <v>6</v>
      </c>
      <c r="B41" s="26">
        <f>B15-B40</f>
        <v>0</v>
      </c>
      <c r="C41" s="26">
        <f t="shared" ref="C41:G41" si="7">C15-C40</f>
        <v>0</v>
      </c>
      <c r="D41" s="26">
        <f t="shared" si="7"/>
        <v>0</v>
      </c>
      <c r="E41" s="26">
        <f t="shared" si="7"/>
        <v>0</v>
      </c>
      <c r="F41" s="26">
        <f t="shared" si="7"/>
        <v>0</v>
      </c>
      <c r="G41" s="26">
        <f t="shared" si="7"/>
        <v>0</v>
      </c>
      <c r="H41" s="26">
        <f>H15-H40</f>
        <v>0</v>
      </c>
      <c r="I41" s="26">
        <f t="shared" ref="I41:M41" si="8">I15-I40</f>
        <v>0</v>
      </c>
      <c r="J41" s="26">
        <f t="shared" si="8"/>
        <v>0</v>
      </c>
      <c r="K41" s="26">
        <f t="shared" si="8"/>
        <v>0</v>
      </c>
      <c r="L41" s="26">
        <f t="shared" si="8"/>
        <v>0</v>
      </c>
      <c r="M41" s="26">
        <f t="shared" si="8"/>
        <v>0</v>
      </c>
      <c r="N41" s="38">
        <f t="shared" si="2"/>
        <v>0</v>
      </c>
    </row>
    <row r="44" spans="1:16" ht="18" thickBot="1" x14ac:dyDescent="0.25">
      <c r="A44" s="29" t="s">
        <v>39</v>
      </c>
      <c r="B44" s="1"/>
      <c r="C44" s="1"/>
      <c r="D44" s="1"/>
      <c r="E44" s="1"/>
      <c r="F44" s="1" t="s">
        <v>66</v>
      </c>
      <c r="G44" s="1"/>
      <c r="H44" s="1"/>
      <c r="I44" s="1"/>
      <c r="J44" s="1"/>
      <c r="K44" s="1"/>
      <c r="L44" s="1"/>
      <c r="M44" s="1"/>
    </row>
    <row r="45" spans="1:16" ht="14.25" thickBot="1" x14ac:dyDescent="0.2">
      <c r="A45" s="2" t="s">
        <v>0</v>
      </c>
      <c r="B45" s="206" t="s">
        <v>14</v>
      </c>
      <c r="C45" s="206"/>
      <c r="D45" s="206"/>
      <c r="E45" s="206"/>
      <c r="F45" s="206"/>
      <c r="G45" s="207"/>
      <c r="H45" s="206" t="s">
        <v>46</v>
      </c>
      <c r="I45" s="206"/>
      <c r="J45" s="206"/>
      <c r="K45" s="206"/>
      <c r="L45" s="206"/>
      <c r="M45" s="207"/>
      <c r="N45" s="208" t="s">
        <v>10</v>
      </c>
    </row>
    <row r="46" spans="1:16" ht="14.25" thickBot="1" x14ac:dyDescent="0.2">
      <c r="A46" s="2" t="s">
        <v>1</v>
      </c>
      <c r="B46" s="3" t="s">
        <v>7</v>
      </c>
      <c r="C46" s="2" t="s">
        <v>8</v>
      </c>
      <c r="D46" s="19" t="s">
        <v>9</v>
      </c>
      <c r="E46" s="2" t="s">
        <v>20</v>
      </c>
      <c r="F46" s="2" t="s">
        <v>22</v>
      </c>
      <c r="G46" s="19" t="s">
        <v>2</v>
      </c>
      <c r="H46" s="2" t="s">
        <v>11</v>
      </c>
      <c r="I46" s="19" t="s">
        <v>12</v>
      </c>
      <c r="J46" s="2" t="s">
        <v>13</v>
      </c>
      <c r="K46" s="53" t="s">
        <v>19</v>
      </c>
      <c r="L46" s="53" t="s">
        <v>21</v>
      </c>
      <c r="M46" s="2" t="s">
        <v>2</v>
      </c>
      <c r="N46" s="209"/>
    </row>
    <row r="47" spans="1:16" ht="14.25" thickBot="1" x14ac:dyDescent="0.2">
      <c r="A47" s="3" t="s">
        <v>6</v>
      </c>
      <c r="B47" s="63">
        <f>B41</f>
        <v>0</v>
      </c>
      <c r="C47" s="64">
        <f>C41</f>
        <v>0</v>
      </c>
      <c r="D47" s="63">
        <f>D41</f>
        <v>0</v>
      </c>
      <c r="E47" s="64">
        <f>E41</f>
        <v>0</v>
      </c>
      <c r="F47" s="63">
        <f>F41</f>
        <v>0</v>
      </c>
      <c r="G47" s="61">
        <f t="shared" ref="G47:G83" si="9">SUM(B47:F47)</f>
        <v>0</v>
      </c>
      <c r="H47" s="63">
        <f>H41</f>
        <v>0</v>
      </c>
      <c r="I47" s="63">
        <f t="shared" ref="I47:L47" si="10">I41</f>
        <v>0</v>
      </c>
      <c r="J47" s="63">
        <f t="shared" si="10"/>
        <v>0</v>
      </c>
      <c r="K47" s="63">
        <f t="shared" si="10"/>
        <v>0</v>
      </c>
      <c r="L47" s="63">
        <f t="shared" si="10"/>
        <v>0</v>
      </c>
      <c r="M47" s="65">
        <f t="shared" ref="M47:M83" si="11">SUM(H47:L47)</f>
        <v>0</v>
      </c>
      <c r="N47" s="34">
        <f>SUM(M47,G47)</f>
        <v>0</v>
      </c>
    </row>
    <row r="48" spans="1:16" x14ac:dyDescent="0.15">
      <c r="A48" s="62" t="s">
        <v>3</v>
      </c>
      <c r="B48" s="4">
        <v>2</v>
      </c>
      <c r="C48" s="35">
        <v>2</v>
      </c>
      <c r="D48" s="4">
        <v>2</v>
      </c>
      <c r="E48" s="35"/>
      <c r="F48" s="4"/>
      <c r="G48" s="45">
        <f t="shared" si="9"/>
        <v>6</v>
      </c>
      <c r="H48" s="4">
        <v>2</v>
      </c>
      <c r="I48" s="35">
        <v>2</v>
      </c>
      <c r="J48" s="4">
        <v>2</v>
      </c>
      <c r="K48" s="35"/>
      <c r="L48" s="4"/>
      <c r="M48" s="41">
        <f t="shared" si="11"/>
        <v>6</v>
      </c>
      <c r="N48" s="31">
        <f t="shared" ref="N48:N84" si="12">SUM(M48,G48)</f>
        <v>12</v>
      </c>
      <c r="O48" s="32">
        <v>44511</v>
      </c>
    </row>
    <row r="49" spans="1:16" x14ac:dyDescent="0.15">
      <c r="A49" s="49" t="s">
        <v>3</v>
      </c>
      <c r="B49" s="12">
        <v>3</v>
      </c>
      <c r="C49" s="17">
        <v>2</v>
      </c>
      <c r="D49" s="12"/>
      <c r="E49" s="17"/>
      <c r="F49" s="12"/>
      <c r="G49" s="45">
        <f t="shared" si="9"/>
        <v>5</v>
      </c>
      <c r="H49" s="12">
        <v>3</v>
      </c>
      <c r="I49" s="17">
        <v>2</v>
      </c>
      <c r="J49" s="12"/>
      <c r="K49" s="17"/>
      <c r="L49" s="12"/>
      <c r="M49" s="41">
        <f t="shared" si="11"/>
        <v>5</v>
      </c>
      <c r="N49" s="31">
        <f t="shared" si="12"/>
        <v>10</v>
      </c>
      <c r="O49" s="32">
        <v>44579</v>
      </c>
    </row>
    <row r="50" spans="1:16" x14ac:dyDescent="0.15">
      <c r="A50" s="49" t="s">
        <v>3</v>
      </c>
      <c r="B50" s="12"/>
      <c r="C50" s="17">
        <v>1</v>
      </c>
      <c r="D50" s="12"/>
      <c r="E50" s="17"/>
      <c r="F50" s="12"/>
      <c r="G50" s="45">
        <f t="shared" si="9"/>
        <v>1</v>
      </c>
      <c r="H50" s="12"/>
      <c r="I50" s="17">
        <v>1</v>
      </c>
      <c r="J50" s="12"/>
      <c r="K50" s="17"/>
      <c r="L50" s="12"/>
      <c r="M50" s="41">
        <f t="shared" si="11"/>
        <v>1</v>
      </c>
      <c r="N50" s="31">
        <f t="shared" si="12"/>
        <v>2</v>
      </c>
      <c r="O50" s="32">
        <v>44581</v>
      </c>
      <c r="P50" s="33"/>
    </row>
    <row r="51" spans="1:16" x14ac:dyDescent="0.15">
      <c r="A51" s="49" t="s">
        <v>3</v>
      </c>
      <c r="B51" s="12"/>
      <c r="C51" s="17">
        <v>2</v>
      </c>
      <c r="D51" s="12"/>
      <c r="E51" s="17"/>
      <c r="F51" s="12"/>
      <c r="G51" s="45">
        <f t="shared" si="9"/>
        <v>2</v>
      </c>
      <c r="H51" s="12"/>
      <c r="I51" s="17">
        <v>2</v>
      </c>
      <c r="J51" s="12"/>
      <c r="K51" s="17"/>
      <c r="L51" s="12"/>
      <c r="M51" s="41">
        <f t="shared" si="11"/>
        <v>2</v>
      </c>
      <c r="N51" s="31">
        <f t="shared" si="12"/>
        <v>4</v>
      </c>
      <c r="O51" s="32">
        <v>44588</v>
      </c>
      <c r="P51" s="33"/>
    </row>
    <row r="52" spans="1:16" x14ac:dyDescent="0.15">
      <c r="A52" s="49" t="s">
        <v>3</v>
      </c>
      <c r="B52" s="12">
        <v>2</v>
      </c>
      <c r="C52" s="17">
        <v>2</v>
      </c>
      <c r="D52" s="12">
        <v>2</v>
      </c>
      <c r="E52" s="17"/>
      <c r="F52" s="12"/>
      <c r="G52" s="45">
        <f t="shared" si="9"/>
        <v>6</v>
      </c>
      <c r="H52" s="12">
        <v>2</v>
      </c>
      <c r="I52" s="17">
        <v>2</v>
      </c>
      <c r="J52" s="12">
        <v>2</v>
      </c>
      <c r="K52" s="17"/>
      <c r="L52" s="12"/>
      <c r="M52" s="41">
        <f t="shared" si="11"/>
        <v>6</v>
      </c>
      <c r="N52" s="31">
        <f t="shared" si="12"/>
        <v>12</v>
      </c>
      <c r="O52" s="32">
        <v>44693</v>
      </c>
      <c r="P52" s="33"/>
    </row>
    <row r="53" spans="1:16" x14ac:dyDescent="0.15">
      <c r="A53" s="49" t="s">
        <v>3</v>
      </c>
      <c r="B53" s="12">
        <v>1</v>
      </c>
      <c r="C53" s="17"/>
      <c r="D53" s="12">
        <v>2</v>
      </c>
      <c r="E53" s="17"/>
      <c r="F53" s="12"/>
      <c r="G53" s="45">
        <f t="shared" si="9"/>
        <v>3</v>
      </c>
      <c r="H53" s="12">
        <v>1</v>
      </c>
      <c r="I53" s="17"/>
      <c r="J53" s="12">
        <v>2</v>
      </c>
      <c r="K53" s="17"/>
      <c r="L53" s="12"/>
      <c r="M53" s="41">
        <f t="shared" si="11"/>
        <v>3</v>
      </c>
      <c r="N53" s="31">
        <f t="shared" si="12"/>
        <v>6</v>
      </c>
      <c r="O53" s="32">
        <v>44713</v>
      </c>
    </row>
    <row r="54" spans="1:16" x14ac:dyDescent="0.15">
      <c r="A54" s="126" t="s">
        <v>68</v>
      </c>
      <c r="B54" s="125">
        <v>0</v>
      </c>
      <c r="C54" s="124">
        <v>0</v>
      </c>
      <c r="D54" s="125">
        <v>0</v>
      </c>
      <c r="E54" s="124"/>
      <c r="F54" s="125"/>
      <c r="G54" s="127">
        <f t="shared" si="9"/>
        <v>0</v>
      </c>
      <c r="H54" s="125">
        <v>0</v>
      </c>
      <c r="I54" s="124">
        <v>0</v>
      </c>
      <c r="J54" s="125">
        <v>0</v>
      </c>
      <c r="K54" s="124"/>
      <c r="L54" s="125"/>
      <c r="M54" s="128">
        <f t="shared" si="11"/>
        <v>0</v>
      </c>
      <c r="N54" s="129">
        <f t="shared" si="12"/>
        <v>0</v>
      </c>
      <c r="O54" s="117">
        <v>44796</v>
      </c>
    </row>
    <row r="55" spans="1:16" x14ac:dyDescent="0.15">
      <c r="A55" s="49" t="s">
        <v>3</v>
      </c>
      <c r="B55" s="10"/>
      <c r="C55" s="11">
        <v>2</v>
      </c>
      <c r="D55" s="10">
        <v>2</v>
      </c>
      <c r="E55" s="11"/>
      <c r="F55" s="10"/>
      <c r="G55" s="45">
        <f t="shared" si="9"/>
        <v>4</v>
      </c>
      <c r="H55" s="10"/>
      <c r="I55" s="11">
        <v>2</v>
      </c>
      <c r="J55" s="10"/>
      <c r="K55" s="11"/>
      <c r="L55" s="10"/>
      <c r="M55" s="41">
        <f t="shared" si="11"/>
        <v>2</v>
      </c>
      <c r="N55" s="31">
        <f t="shared" si="12"/>
        <v>6</v>
      </c>
      <c r="O55" s="32">
        <v>44811</v>
      </c>
    </row>
    <row r="56" spans="1:16" x14ac:dyDescent="0.15">
      <c r="A56" s="49" t="s">
        <v>3</v>
      </c>
      <c r="B56" s="10">
        <v>2</v>
      </c>
      <c r="C56" s="11">
        <v>3</v>
      </c>
      <c r="D56" s="10"/>
      <c r="E56" s="11"/>
      <c r="F56" s="10"/>
      <c r="G56" s="45">
        <f t="shared" si="9"/>
        <v>5</v>
      </c>
      <c r="H56" s="10">
        <v>2</v>
      </c>
      <c r="I56" s="11">
        <v>3</v>
      </c>
      <c r="J56" s="10"/>
      <c r="K56" s="11"/>
      <c r="L56" s="10"/>
      <c r="M56" s="41">
        <f t="shared" si="11"/>
        <v>5</v>
      </c>
      <c r="N56" s="31">
        <f t="shared" si="12"/>
        <v>10</v>
      </c>
      <c r="O56" s="32">
        <v>44870</v>
      </c>
    </row>
    <row r="57" spans="1:16" ht="14.25" thickBot="1" x14ac:dyDescent="0.2">
      <c r="A57" s="50" t="s">
        <v>3</v>
      </c>
      <c r="B57" s="13"/>
      <c r="C57" s="14">
        <v>2</v>
      </c>
      <c r="D57" s="13"/>
      <c r="E57" s="14"/>
      <c r="F57" s="13"/>
      <c r="G57" s="46">
        <f t="shared" si="9"/>
        <v>2</v>
      </c>
      <c r="H57" s="13"/>
      <c r="I57" s="14"/>
      <c r="J57" s="13"/>
      <c r="K57" s="14"/>
      <c r="L57" s="13"/>
      <c r="M57" s="42">
        <f t="shared" si="11"/>
        <v>0</v>
      </c>
      <c r="N57" s="36">
        <f t="shared" si="12"/>
        <v>2</v>
      </c>
      <c r="O57" s="32">
        <v>44944</v>
      </c>
    </row>
    <row r="58" spans="1:16" ht="14.25" thickBot="1" x14ac:dyDescent="0.2">
      <c r="A58" s="51" t="s">
        <v>4</v>
      </c>
      <c r="B58" s="22">
        <f>SUM(B47:B57)</f>
        <v>10</v>
      </c>
      <c r="C58" s="22">
        <f>SUM(C47:C57)</f>
        <v>16</v>
      </c>
      <c r="D58" s="57">
        <f t="shared" ref="D58:E58" si="13">SUM(D47:D57)</f>
        <v>8</v>
      </c>
      <c r="E58" s="22">
        <f t="shared" si="13"/>
        <v>0</v>
      </c>
      <c r="F58" s="22">
        <f>SUM(F47:F57)</f>
        <v>0</v>
      </c>
      <c r="G58" s="47">
        <f t="shared" si="9"/>
        <v>34</v>
      </c>
      <c r="H58" s="22">
        <f>SUM(H47:H57)</f>
        <v>10</v>
      </c>
      <c r="I58" s="22">
        <f t="shared" ref="I58:J58" si="14">SUM(I47:I57)</f>
        <v>14</v>
      </c>
      <c r="J58" s="22">
        <f t="shared" si="14"/>
        <v>6</v>
      </c>
      <c r="K58" s="57">
        <f>SUM(K47:K57)</f>
        <v>0</v>
      </c>
      <c r="L58" s="22">
        <f>SUM(L47:L57)</f>
        <v>0</v>
      </c>
      <c r="M58" s="43">
        <f t="shared" si="11"/>
        <v>30</v>
      </c>
      <c r="N58" s="34">
        <f t="shared" si="12"/>
        <v>64</v>
      </c>
    </row>
    <row r="59" spans="1:16" x14ac:dyDescent="0.15">
      <c r="A59" s="40" t="s">
        <v>16</v>
      </c>
      <c r="B59" s="10"/>
      <c r="C59" s="11">
        <v>1</v>
      </c>
      <c r="D59" s="10"/>
      <c r="E59" s="11"/>
      <c r="F59" s="10"/>
      <c r="G59" s="48">
        <f t="shared" si="9"/>
        <v>1</v>
      </c>
      <c r="H59" s="10"/>
      <c r="I59" s="11">
        <v>1</v>
      </c>
      <c r="J59" s="10"/>
      <c r="K59" s="11"/>
      <c r="L59" s="10"/>
      <c r="M59" s="44">
        <f t="shared" si="11"/>
        <v>1</v>
      </c>
      <c r="N59" s="31">
        <f t="shared" si="12"/>
        <v>2</v>
      </c>
      <c r="O59" s="32">
        <v>44538</v>
      </c>
    </row>
    <row r="60" spans="1:16" x14ac:dyDescent="0.15">
      <c r="A60" s="40" t="s">
        <v>16</v>
      </c>
      <c r="B60" s="10">
        <v>1</v>
      </c>
      <c r="C60" s="11"/>
      <c r="D60" s="10"/>
      <c r="E60" s="11"/>
      <c r="F60" s="10"/>
      <c r="G60" s="45">
        <f t="shared" si="9"/>
        <v>1</v>
      </c>
      <c r="H60" s="10">
        <v>1</v>
      </c>
      <c r="I60" s="11"/>
      <c r="J60" s="10"/>
      <c r="K60" s="11"/>
      <c r="L60" s="10"/>
      <c r="M60" s="41">
        <f t="shared" si="11"/>
        <v>1</v>
      </c>
      <c r="N60" s="31">
        <f t="shared" si="12"/>
        <v>2</v>
      </c>
      <c r="O60" s="32">
        <v>44550</v>
      </c>
    </row>
    <row r="61" spans="1:16" x14ac:dyDescent="0.15">
      <c r="A61" s="40" t="s">
        <v>16</v>
      </c>
      <c r="B61" s="10"/>
      <c r="C61" s="11">
        <v>1</v>
      </c>
      <c r="D61" s="10"/>
      <c r="E61" s="11"/>
      <c r="F61" s="10"/>
      <c r="G61" s="45">
        <f t="shared" si="9"/>
        <v>1</v>
      </c>
      <c r="H61" s="10"/>
      <c r="I61" s="11">
        <v>1</v>
      </c>
      <c r="J61" s="10"/>
      <c r="K61" s="11"/>
      <c r="L61" s="10"/>
      <c r="M61" s="41">
        <f t="shared" si="11"/>
        <v>1</v>
      </c>
      <c r="N61" s="31">
        <f t="shared" si="12"/>
        <v>2</v>
      </c>
      <c r="O61" s="32">
        <v>44576</v>
      </c>
    </row>
    <row r="62" spans="1:16" x14ac:dyDescent="0.15">
      <c r="A62" s="40" t="s">
        <v>16</v>
      </c>
      <c r="B62" s="10">
        <v>2</v>
      </c>
      <c r="C62" s="11"/>
      <c r="D62" s="10"/>
      <c r="E62" s="11"/>
      <c r="F62" s="10"/>
      <c r="G62" s="45">
        <f t="shared" si="9"/>
        <v>2</v>
      </c>
      <c r="H62" s="10">
        <v>2</v>
      </c>
      <c r="I62" s="11"/>
      <c r="J62" s="10"/>
      <c r="K62" s="11"/>
      <c r="L62" s="10"/>
      <c r="M62" s="41">
        <f t="shared" si="11"/>
        <v>2</v>
      </c>
      <c r="N62" s="31">
        <f t="shared" si="12"/>
        <v>4</v>
      </c>
      <c r="O62" s="37">
        <v>44579</v>
      </c>
    </row>
    <row r="63" spans="1:16" x14ac:dyDescent="0.15">
      <c r="A63" s="40" t="s">
        <v>16</v>
      </c>
      <c r="B63" s="10"/>
      <c r="C63" s="11">
        <v>1</v>
      </c>
      <c r="D63" s="10"/>
      <c r="E63" s="11"/>
      <c r="F63" s="10"/>
      <c r="G63" s="45">
        <f t="shared" si="9"/>
        <v>1</v>
      </c>
      <c r="H63" s="10"/>
      <c r="I63" s="11">
        <v>1</v>
      </c>
      <c r="J63" s="10"/>
      <c r="K63" s="11"/>
      <c r="L63" s="10"/>
      <c r="M63" s="41">
        <f t="shared" si="11"/>
        <v>1</v>
      </c>
      <c r="N63" s="31">
        <f t="shared" si="12"/>
        <v>2</v>
      </c>
      <c r="O63" s="37">
        <v>44580</v>
      </c>
    </row>
    <row r="64" spans="1:16" x14ac:dyDescent="0.15">
      <c r="A64" s="40" t="s">
        <v>16</v>
      </c>
      <c r="B64" s="10"/>
      <c r="C64" s="11">
        <v>1</v>
      </c>
      <c r="D64" s="10"/>
      <c r="E64" s="11"/>
      <c r="F64" s="10"/>
      <c r="G64" s="48">
        <f t="shared" si="9"/>
        <v>1</v>
      </c>
      <c r="H64" s="10"/>
      <c r="I64" s="11">
        <v>1</v>
      </c>
      <c r="J64" s="10"/>
      <c r="K64" s="11"/>
      <c r="L64" s="10"/>
      <c r="M64" s="44">
        <f t="shared" si="11"/>
        <v>1</v>
      </c>
      <c r="N64" s="31">
        <f t="shared" si="12"/>
        <v>2</v>
      </c>
      <c r="O64" s="37">
        <v>44586</v>
      </c>
    </row>
    <row r="65" spans="1:15" x14ac:dyDescent="0.15">
      <c r="A65" s="40" t="s">
        <v>16</v>
      </c>
      <c r="B65" s="10"/>
      <c r="C65" s="11">
        <v>1</v>
      </c>
      <c r="D65" s="10"/>
      <c r="E65" s="11"/>
      <c r="F65" s="10"/>
      <c r="G65" s="48">
        <f t="shared" si="9"/>
        <v>1</v>
      </c>
      <c r="H65" s="10"/>
      <c r="I65" s="11">
        <v>1</v>
      </c>
      <c r="J65" s="10"/>
      <c r="K65" s="11"/>
      <c r="L65" s="10"/>
      <c r="M65" s="44">
        <f t="shared" si="11"/>
        <v>1</v>
      </c>
      <c r="N65" s="31">
        <f t="shared" si="12"/>
        <v>2</v>
      </c>
      <c r="O65" s="37">
        <v>44592</v>
      </c>
    </row>
    <row r="66" spans="1:15" x14ac:dyDescent="0.15">
      <c r="A66" s="40" t="s">
        <v>16</v>
      </c>
      <c r="B66" s="10">
        <v>1</v>
      </c>
      <c r="C66" s="11"/>
      <c r="D66" s="10"/>
      <c r="E66" s="11"/>
      <c r="F66" s="10"/>
      <c r="G66" s="48">
        <f t="shared" si="9"/>
        <v>1</v>
      </c>
      <c r="H66" s="10">
        <v>1</v>
      </c>
      <c r="I66" s="11"/>
      <c r="J66" s="10"/>
      <c r="K66" s="11"/>
      <c r="L66" s="10"/>
      <c r="M66" s="44">
        <f t="shared" si="11"/>
        <v>1</v>
      </c>
      <c r="N66" s="31">
        <f t="shared" si="12"/>
        <v>2</v>
      </c>
      <c r="O66" s="37">
        <v>44649</v>
      </c>
    </row>
    <row r="67" spans="1:15" x14ac:dyDescent="0.15">
      <c r="A67" s="40" t="s">
        <v>16</v>
      </c>
      <c r="B67" s="10"/>
      <c r="C67" s="11"/>
      <c r="D67" s="10">
        <v>2</v>
      </c>
      <c r="E67" s="11"/>
      <c r="F67" s="10"/>
      <c r="G67" s="48">
        <f t="shared" si="9"/>
        <v>2</v>
      </c>
      <c r="H67" s="10"/>
      <c r="I67" s="11"/>
      <c r="J67" s="10">
        <v>2</v>
      </c>
      <c r="K67" s="11"/>
      <c r="L67" s="10"/>
      <c r="M67" s="44">
        <f t="shared" si="11"/>
        <v>2</v>
      </c>
      <c r="N67" s="31">
        <f t="shared" si="12"/>
        <v>4</v>
      </c>
      <c r="O67" s="37">
        <v>44659</v>
      </c>
    </row>
    <row r="68" spans="1:15" x14ac:dyDescent="0.15">
      <c r="A68" s="40" t="s">
        <v>16</v>
      </c>
      <c r="B68" s="10">
        <v>1</v>
      </c>
      <c r="C68" s="11"/>
      <c r="D68" s="10"/>
      <c r="E68" s="11"/>
      <c r="F68" s="10"/>
      <c r="G68" s="48">
        <f t="shared" si="9"/>
        <v>1</v>
      </c>
      <c r="H68" s="10">
        <v>1</v>
      </c>
      <c r="I68" s="11"/>
      <c r="J68" s="10"/>
      <c r="K68" s="11"/>
      <c r="L68" s="10"/>
      <c r="M68" s="44">
        <f t="shared" si="11"/>
        <v>1</v>
      </c>
      <c r="N68" s="31">
        <f t="shared" si="12"/>
        <v>2</v>
      </c>
      <c r="O68" s="37">
        <v>44665</v>
      </c>
    </row>
    <row r="69" spans="1:15" x14ac:dyDescent="0.15">
      <c r="A69" s="40" t="s">
        <v>16</v>
      </c>
      <c r="B69" s="10"/>
      <c r="C69" s="11">
        <v>2</v>
      </c>
      <c r="D69" s="10"/>
      <c r="E69" s="11"/>
      <c r="F69" s="10"/>
      <c r="G69" s="48">
        <f t="shared" si="9"/>
        <v>2</v>
      </c>
      <c r="H69" s="10"/>
      <c r="I69" s="11">
        <v>2</v>
      </c>
      <c r="J69" s="10"/>
      <c r="K69" s="11"/>
      <c r="L69" s="10"/>
      <c r="M69" s="44">
        <f t="shared" si="11"/>
        <v>2</v>
      </c>
      <c r="N69" s="31">
        <f t="shared" si="12"/>
        <v>4</v>
      </c>
      <c r="O69" s="37">
        <v>44667</v>
      </c>
    </row>
    <row r="70" spans="1:15" x14ac:dyDescent="0.15">
      <c r="A70" s="40" t="s">
        <v>16</v>
      </c>
      <c r="B70" s="10"/>
      <c r="C70" s="11"/>
      <c r="D70" s="10">
        <v>2</v>
      </c>
      <c r="E70" s="11"/>
      <c r="F70" s="10"/>
      <c r="G70" s="48">
        <f t="shared" si="9"/>
        <v>2</v>
      </c>
      <c r="H70" s="10"/>
      <c r="I70" s="11"/>
      <c r="J70" s="10">
        <v>2</v>
      </c>
      <c r="K70" s="11"/>
      <c r="L70" s="10"/>
      <c r="M70" s="44">
        <f t="shared" si="11"/>
        <v>2</v>
      </c>
      <c r="N70" s="31">
        <f t="shared" si="12"/>
        <v>4</v>
      </c>
      <c r="O70" s="37">
        <v>44693</v>
      </c>
    </row>
    <row r="71" spans="1:15" x14ac:dyDescent="0.15">
      <c r="A71" s="40" t="s">
        <v>16</v>
      </c>
      <c r="B71" s="10">
        <v>1</v>
      </c>
      <c r="C71" s="11"/>
      <c r="D71" s="10"/>
      <c r="E71" s="11"/>
      <c r="F71" s="10"/>
      <c r="G71" s="48">
        <f t="shared" si="9"/>
        <v>1</v>
      </c>
      <c r="H71" s="10">
        <v>1</v>
      </c>
      <c r="I71" s="11"/>
      <c r="J71" s="10"/>
      <c r="K71" s="11"/>
      <c r="L71" s="10"/>
      <c r="M71" s="44">
        <f t="shared" si="11"/>
        <v>1</v>
      </c>
      <c r="N71" s="31">
        <f t="shared" si="12"/>
        <v>2</v>
      </c>
      <c r="O71" s="37">
        <v>44706</v>
      </c>
    </row>
    <row r="72" spans="1:15" x14ac:dyDescent="0.15">
      <c r="A72" s="40" t="s">
        <v>16</v>
      </c>
      <c r="B72" s="10"/>
      <c r="C72" s="11">
        <v>1</v>
      </c>
      <c r="D72" s="10"/>
      <c r="E72" s="11"/>
      <c r="F72" s="10"/>
      <c r="G72" s="48">
        <f t="shared" si="9"/>
        <v>1</v>
      </c>
      <c r="H72" s="10"/>
      <c r="I72" s="11">
        <v>1</v>
      </c>
      <c r="J72" s="10"/>
      <c r="K72" s="11"/>
      <c r="L72" s="10"/>
      <c r="M72" s="44">
        <f t="shared" si="11"/>
        <v>1</v>
      </c>
      <c r="N72" s="31">
        <f t="shared" si="12"/>
        <v>2</v>
      </c>
      <c r="O72" s="37">
        <v>44753</v>
      </c>
    </row>
    <row r="73" spans="1:15" x14ac:dyDescent="0.15">
      <c r="A73" s="40" t="s">
        <v>16</v>
      </c>
      <c r="B73" s="10"/>
      <c r="C73" s="11"/>
      <c r="D73" s="10">
        <v>2</v>
      </c>
      <c r="E73" s="11"/>
      <c r="F73" s="10"/>
      <c r="G73" s="48">
        <f t="shared" si="9"/>
        <v>2</v>
      </c>
      <c r="H73" s="10"/>
      <c r="I73" s="11"/>
      <c r="J73" s="10"/>
      <c r="K73" s="11"/>
      <c r="L73" s="10"/>
      <c r="M73" s="44">
        <f t="shared" si="11"/>
        <v>0</v>
      </c>
      <c r="N73" s="31">
        <f t="shared" si="12"/>
        <v>2</v>
      </c>
      <c r="O73" s="37">
        <v>44784</v>
      </c>
    </row>
    <row r="74" spans="1:15" x14ac:dyDescent="0.15">
      <c r="A74" s="40" t="s">
        <v>16</v>
      </c>
      <c r="B74" s="10"/>
      <c r="C74" s="11">
        <v>1</v>
      </c>
      <c r="D74" s="10"/>
      <c r="E74" s="11"/>
      <c r="F74" s="10"/>
      <c r="G74" s="48">
        <f t="shared" si="9"/>
        <v>1</v>
      </c>
      <c r="H74" s="10"/>
      <c r="I74" s="11">
        <v>1</v>
      </c>
      <c r="J74" s="10"/>
      <c r="K74" s="11"/>
      <c r="L74" s="10"/>
      <c r="M74" s="44">
        <f t="shared" si="11"/>
        <v>1</v>
      </c>
      <c r="N74" s="31">
        <f t="shared" si="12"/>
        <v>2</v>
      </c>
      <c r="O74" s="37">
        <v>44790</v>
      </c>
    </row>
    <row r="75" spans="1:15" x14ac:dyDescent="0.15">
      <c r="A75" s="40" t="s">
        <v>16</v>
      </c>
      <c r="B75" s="10"/>
      <c r="C75" s="11">
        <v>1</v>
      </c>
      <c r="D75" s="10"/>
      <c r="E75" s="11"/>
      <c r="F75" s="10"/>
      <c r="G75" s="48">
        <f t="shared" si="9"/>
        <v>1</v>
      </c>
      <c r="H75" s="10"/>
      <c r="I75" s="11">
        <v>1</v>
      </c>
      <c r="J75" s="10"/>
      <c r="K75" s="11"/>
      <c r="L75" s="10"/>
      <c r="M75" s="44">
        <f t="shared" si="11"/>
        <v>1</v>
      </c>
      <c r="N75" s="31">
        <f t="shared" si="12"/>
        <v>2</v>
      </c>
      <c r="O75" s="37">
        <v>44826</v>
      </c>
    </row>
    <row r="76" spans="1:15" x14ac:dyDescent="0.15">
      <c r="A76" s="40" t="s">
        <v>16</v>
      </c>
      <c r="B76" s="10">
        <v>1</v>
      </c>
      <c r="C76" s="11"/>
      <c r="D76" s="10"/>
      <c r="E76" s="11"/>
      <c r="F76" s="10"/>
      <c r="G76" s="48">
        <f t="shared" si="9"/>
        <v>1</v>
      </c>
      <c r="H76" s="10">
        <v>1</v>
      </c>
      <c r="I76" s="11"/>
      <c r="J76" s="10"/>
      <c r="K76" s="11"/>
      <c r="L76" s="10"/>
      <c r="M76" s="44">
        <f t="shared" si="11"/>
        <v>1</v>
      </c>
      <c r="N76" s="31">
        <f t="shared" si="12"/>
        <v>2</v>
      </c>
      <c r="O76" s="37">
        <v>44837</v>
      </c>
    </row>
    <row r="77" spans="1:15" x14ac:dyDescent="0.15">
      <c r="A77" s="40" t="s">
        <v>16</v>
      </c>
      <c r="B77" s="10"/>
      <c r="C77" s="11">
        <v>1</v>
      </c>
      <c r="D77" s="10"/>
      <c r="E77" s="11"/>
      <c r="F77" s="10"/>
      <c r="G77" s="48">
        <f t="shared" si="9"/>
        <v>1</v>
      </c>
      <c r="H77" s="10"/>
      <c r="I77" s="11">
        <v>1</v>
      </c>
      <c r="J77" s="10"/>
      <c r="K77" s="11"/>
      <c r="L77" s="10"/>
      <c r="M77" s="44">
        <f t="shared" si="11"/>
        <v>1</v>
      </c>
      <c r="N77" s="31">
        <f t="shared" si="12"/>
        <v>2</v>
      </c>
      <c r="O77" s="37">
        <v>44855</v>
      </c>
    </row>
    <row r="78" spans="1:15" x14ac:dyDescent="0.15">
      <c r="A78" s="40" t="s">
        <v>16</v>
      </c>
      <c r="B78" s="10">
        <v>1</v>
      </c>
      <c r="C78" s="11"/>
      <c r="D78" s="10"/>
      <c r="E78" s="11"/>
      <c r="F78" s="10"/>
      <c r="G78" s="48">
        <f t="shared" si="9"/>
        <v>1</v>
      </c>
      <c r="H78" s="10">
        <v>1</v>
      </c>
      <c r="I78" s="11"/>
      <c r="J78" s="10"/>
      <c r="K78" s="11"/>
      <c r="L78" s="10"/>
      <c r="M78" s="44">
        <f t="shared" si="11"/>
        <v>1</v>
      </c>
      <c r="N78" s="31">
        <f t="shared" si="12"/>
        <v>2</v>
      </c>
      <c r="O78" s="37">
        <v>44869</v>
      </c>
    </row>
    <row r="79" spans="1:15" x14ac:dyDescent="0.15">
      <c r="A79" s="40" t="s">
        <v>16</v>
      </c>
      <c r="B79" s="10"/>
      <c r="C79" s="11">
        <v>1</v>
      </c>
      <c r="D79" s="10"/>
      <c r="E79" s="11"/>
      <c r="F79" s="10"/>
      <c r="G79" s="48">
        <f t="shared" si="9"/>
        <v>1</v>
      </c>
      <c r="H79" s="10"/>
      <c r="I79" s="11">
        <v>1</v>
      </c>
      <c r="J79" s="10"/>
      <c r="K79" s="11"/>
      <c r="L79" s="10"/>
      <c r="M79" s="44">
        <f t="shared" si="11"/>
        <v>1</v>
      </c>
      <c r="N79" s="31">
        <f t="shared" si="12"/>
        <v>2</v>
      </c>
      <c r="O79" s="37">
        <v>44911</v>
      </c>
    </row>
    <row r="80" spans="1:15" x14ac:dyDescent="0.15">
      <c r="A80" s="40" t="s">
        <v>16</v>
      </c>
      <c r="B80" s="10"/>
      <c r="C80" s="11">
        <v>2</v>
      </c>
      <c r="D80" s="10"/>
      <c r="E80" s="11"/>
      <c r="F80" s="10"/>
      <c r="G80" s="48">
        <f t="shared" si="9"/>
        <v>2</v>
      </c>
      <c r="H80" s="10"/>
      <c r="I80" s="11"/>
      <c r="J80" s="10"/>
      <c r="K80" s="11"/>
      <c r="L80" s="10"/>
      <c r="M80" s="44">
        <f t="shared" si="11"/>
        <v>0</v>
      </c>
      <c r="N80" s="31">
        <f t="shared" si="12"/>
        <v>2</v>
      </c>
      <c r="O80" s="37">
        <v>44921</v>
      </c>
    </row>
    <row r="81" spans="1:16" x14ac:dyDescent="0.15">
      <c r="A81" s="40" t="s">
        <v>16</v>
      </c>
      <c r="B81" s="10">
        <v>1</v>
      </c>
      <c r="C81" s="11"/>
      <c r="D81" s="10"/>
      <c r="E81" s="11"/>
      <c r="F81" s="10"/>
      <c r="G81" s="48">
        <f t="shared" si="9"/>
        <v>1</v>
      </c>
      <c r="H81" s="10">
        <v>1</v>
      </c>
      <c r="I81" s="11"/>
      <c r="J81" s="10"/>
      <c r="K81" s="11"/>
      <c r="L81" s="10"/>
      <c r="M81" s="44">
        <f t="shared" si="11"/>
        <v>1</v>
      </c>
      <c r="N81" s="31">
        <f t="shared" si="12"/>
        <v>2</v>
      </c>
      <c r="O81" s="32">
        <v>44952</v>
      </c>
    </row>
    <row r="82" spans="1:16" ht="14.25" thickBot="1" x14ac:dyDescent="0.2">
      <c r="A82" s="58" t="s">
        <v>73</v>
      </c>
      <c r="B82" s="13"/>
      <c r="C82" s="14"/>
      <c r="D82" s="13"/>
      <c r="E82" s="14"/>
      <c r="F82" s="13"/>
      <c r="G82" s="59">
        <f t="shared" si="9"/>
        <v>0</v>
      </c>
      <c r="H82" s="13"/>
      <c r="I82" s="14"/>
      <c r="J82" s="13"/>
      <c r="K82" s="14"/>
      <c r="L82" s="13"/>
      <c r="M82" s="60">
        <f t="shared" si="11"/>
        <v>0</v>
      </c>
      <c r="N82" s="36">
        <f t="shared" si="12"/>
        <v>0</v>
      </c>
      <c r="O82" s="33"/>
    </row>
    <row r="83" spans="1:16" ht="14.25" thickBot="1" x14ac:dyDescent="0.2">
      <c r="A83" s="3" t="s">
        <v>5</v>
      </c>
      <c r="B83" s="16">
        <f>SUM(B59:B82)</f>
        <v>9</v>
      </c>
      <c r="C83" s="61">
        <f>SUM(C59:C82)</f>
        <v>14</v>
      </c>
      <c r="D83" s="16">
        <f t="shared" ref="D83:E83" si="15">SUM(D59:D82)</f>
        <v>6</v>
      </c>
      <c r="E83" s="61">
        <f t="shared" si="15"/>
        <v>0</v>
      </c>
      <c r="F83" s="15">
        <f>SUM(F59:F82)</f>
        <v>0</v>
      </c>
      <c r="G83" s="16">
        <f t="shared" si="9"/>
        <v>29</v>
      </c>
      <c r="H83" s="15">
        <f>SUM(H59:H82)</f>
        <v>9</v>
      </c>
      <c r="I83" s="15">
        <f t="shared" ref="I83:J83" si="16">SUM(I59:I82)</f>
        <v>12</v>
      </c>
      <c r="J83" s="15">
        <f t="shared" si="16"/>
        <v>4</v>
      </c>
      <c r="K83" s="15">
        <f>SUM(K59:K82)</f>
        <v>0</v>
      </c>
      <c r="L83" s="15">
        <f>SUM(L59:L82)</f>
        <v>0</v>
      </c>
      <c r="M83" s="16">
        <f t="shared" si="11"/>
        <v>25</v>
      </c>
      <c r="N83" s="34">
        <f t="shared" si="12"/>
        <v>54</v>
      </c>
    </row>
    <row r="84" spans="1:16" ht="14.25" thickBot="1" x14ac:dyDescent="0.2">
      <c r="A84" s="25" t="s">
        <v>6</v>
      </c>
      <c r="B84" s="26">
        <f>B58-B83</f>
        <v>1</v>
      </c>
      <c r="C84" s="26">
        <f t="shared" ref="C84:G84" si="17">C58-C83</f>
        <v>2</v>
      </c>
      <c r="D84" s="26">
        <f t="shared" si="17"/>
        <v>2</v>
      </c>
      <c r="E84" s="26">
        <f t="shared" si="17"/>
        <v>0</v>
      </c>
      <c r="F84" s="26">
        <f t="shared" si="17"/>
        <v>0</v>
      </c>
      <c r="G84" s="26">
        <f t="shared" si="17"/>
        <v>5</v>
      </c>
      <c r="H84" s="26">
        <f>H58-H83</f>
        <v>1</v>
      </c>
      <c r="I84" s="26">
        <f t="shared" ref="I84:M84" si="18">I58-I83</f>
        <v>2</v>
      </c>
      <c r="J84" s="26">
        <f t="shared" si="18"/>
        <v>2</v>
      </c>
      <c r="K84" s="26">
        <f t="shared" si="18"/>
        <v>0</v>
      </c>
      <c r="L84" s="26">
        <f t="shared" si="18"/>
        <v>0</v>
      </c>
      <c r="M84" s="26">
        <f t="shared" si="18"/>
        <v>5</v>
      </c>
      <c r="N84" s="38">
        <f t="shared" si="12"/>
        <v>10</v>
      </c>
    </row>
    <row r="87" spans="1:16" ht="18" thickBot="1" x14ac:dyDescent="0.25">
      <c r="A87" s="29" t="s">
        <v>39</v>
      </c>
      <c r="B87" s="1"/>
      <c r="C87" s="1"/>
      <c r="D87" s="1"/>
      <c r="E87" s="1"/>
      <c r="F87" s="1" t="s">
        <v>66</v>
      </c>
      <c r="G87" s="1"/>
      <c r="H87" s="1"/>
      <c r="I87" s="1"/>
      <c r="J87" s="1"/>
      <c r="K87" s="1"/>
      <c r="L87" s="1"/>
      <c r="M87" s="1"/>
    </row>
    <row r="88" spans="1:16" ht="14.25" thickBot="1" x14ac:dyDescent="0.2">
      <c r="A88" s="2" t="s">
        <v>0</v>
      </c>
      <c r="B88" s="206" t="s">
        <v>14</v>
      </c>
      <c r="C88" s="206"/>
      <c r="D88" s="206"/>
      <c r="E88" s="206"/>
      <c r="F88" s="206"/>
      <c r="G88" s="207"/>
      <c r="H88" s="206" t="s">
        <v>46</v>
      </c>
      <c r="I88" s="206"/>
      <c r="J88" s="206"/>
      <c r="K88" s="206"/>
      <c r="L88" s="206"/>
      <c r="M88" s="207"/>
      <c r="N88" s="208" t="s">
        <v>10</v>
      </c>
    </row>
    <row r="89" spans="1:16" ht="14.25" thickBot="1" x14ac:dyDescent="0.2">
      <c r="A89" s="2" t="s">
        <v>1</v>
      </c>
      <c r="B89" s="3" t="s">
        <v>7</v>
      </c>
      <c r="C89" s="2" t="s">
        <v>8</v>
      </c>
      <c r="D89" s="19" t="s">
        <v>9</v>
      </c>
      <c r="E89" s="2" t="s">
        <v>20</v>
      </c>
      <c r="F89" s="2" t="s">
        <v>22</v>
      </c>
      <c r="G89" s="19" t="s">
        <v>2</v>
      </c>
      <c r="H89" s="2" t="s">
        <v>11</v>
      </c>
      <c r="I89" s="19" t="s">
        <v>12</v>
      </c>
      <c r="J89" s="2" t="s">
        <v>13</v>
      </c>
      <c r="K89" s="53" t="s">
        <v>19</v>
      </c>
      <c r="L89" s="53" t="s">
        <v>21</v>
      </c>
      <c r="M89" s="2" t="s">
        <v>2</v>
      </c>
      <c r="N89" s="209"/>
    </row>
    <row r="90" spans="1:16" ht="14.25" thickBot="1" x14ac:dyDescent="0.2">
      <c r="A90" s="3" t="s">
        <v>6</v>
      </c>
      <c r="B90" s="63">
        <f>B84</f>
        <v>1</v>
      </c>
      <c r="C90" s="64">
        <f>C84</f>
        <v>2</v>
      </c>
      <c r="D90" s="63">
        <f>D84</f>
        <v>2</v>
      </c>
      <c r="E90" s="64">
        <f>E84</f>
        <v>0</v>
      </c>
      <c r="F90" s="63">
        <f>F84</f>
        <v>0</v>
      </c>
      <c r="G90" s="61">
        <f t="shared" ref="G90:G126" si="19">SUM(B90:F90)</f>
        <v>5</v>
      </c>
      <c r="H90" s="63">
        <f>H84</f>
        <v>1</v>
      </c>
      <c r="I90" s="63">
        <f t="shared" ref="I90:L90" si="20">I84</f>
        <v>2</v>
      </c>
      <c r="J90" s="63">
        <f t="shared" si="20"/>
        <v>2</v>
      </c>
      <c r="K90" s="63">
        <f t="shared" si="20"/>
        <v>0</v>
      </c>
      <c r="L90" s="63">
        <f t="shared" si="20"/>
        <v>0</v>
      </c>
      <c r="M90" s="65">
        <f t="shared" ref="M90:M126" si="21">SUM(H90:L90)</f>
        <v>5</v>
      </c>
      <c r="N90" s="34">
        <f>SUM(M90,G90)</f>
        <v>10</v>
      </c>
    </row>
    <row r="91" spans="1:16" x14ac:dyDescent="0.15">
      <c r="A91" s="40" t="s">
        <v>3</v>
      </c>
      <c r="B91" s="4">
        <v>2</v>
      </c>
      <c r="C91" s="35"/>
      <c r="D91" s="4"/>
      <c r="E91" s="35"/>
      <c r="F91" s="4"/>
      <c r="G91" s="45">
        <f t="shared" si="19"/>
        <v>2</v>
      </c>
      <c r="H91" s="4">
        <v>2</v>
      </c>
      <c r="I91" s="35"/>
      <c r="J91" s="4"/>
      <c r="K91" s="35"/>
      <c r="L91" s="4"/>
      <c r="M91" s="41">
        <f t="shared" si="21"/>
        <v>2</v>
      </c>
      <c r="N91" s="31">
        <f t="shared" ref="N91:N127" si="22">SUM(M91,G91)</f>
        <v>4</v>
      </c>
      <c r="O91" s="32">
        <v>44958</v>
      </c>
      <c r="P91" s="134"/>
    </row>
    <row r="92" spans="1:16" x14ac:dyDescent="0.15">
      <c r="A92" s="39" t="s">
        <v>60</v>
      </c>
      <c r="B92" s="12">
        <v>0</v>
      </c>
      <c r="C92" s="17">
        <v>0</v>
      </c>
      <c r="D92" s="12">
        <v>0</v>
      </c>
      <c r="E92" s="17"/>
      <c r="F92" s="12"/>
      <c r="G92" s="45">
        <f t="shared" si="19"/>
        <v>0</v>
      </c>
      <c r="H92" s="12">
        <v>0</v>
      </c>
      <c r="I92" s="17">
        <v>0</v>
      </c>
      <c r="J92" s="12">
        <v>0</v>
      </c>
      <c r="K92" s="17"/>
      <c r="L92" s="12"/>
      <c r="M92" s="41">
        <f t="shared" si="21"/>
        <v>0</v>
      </c>
      <c r="N92" s="31">
        <f t="shared" si="22"/>
        <v>0</v>
      </c>
      <c r="O92" s="32">
        <v>45142</v>
      </c>
      <c r="P92" s="134"/>
    </row>
    <row r="93" spans="1:16" x14ac:dyDescent="0.15">
      <c r="A93" s="39" t="s">
        <v>3</v>
      </c>
      <c r="B93" s="12"/>
      <c r="C93" s="17">
        <v>2</v>
      </c>
      <c r="D93" s="12"/>
      <c r="E93" s="17"/>
      <c r="F93" s="12"/>
      <c r="G93" s="45">
        <f t="shared" si="19"/>
        <v>2</v>
      </c>
      <c r="H93" s="12"/>
      <c r="I93" s="17">
        <v>2</v>
      </c>
      <c r="J93" s="12"/>
      <c r="K93" s="17"/>
      <c r="L93" s="12"/>
      <c r="M93" s="41">
        <f t="shared" si="21"/>
        <v>2</v>
      </c>
      <c r="N93" s="31">
        <f t="shared" si="22"/>
        <v>4</v>
      </c>
      <c r="O93" s="32">
        <v>45175</v>
      </c>
      <c r="P93" s="134"/>
    </row>
    <row r="94" spans="1:16" x14ac:dyDescent="0.15">
      <c r="A94" s="39" t="s">
        <v>3</v>
      </c>
      <c r="B94" s="12"/>
      <c r="C94" s="17"/>
      <c r="D94" s="12">
        <v>2</v>
      </c>
      <c r="E94" s="17"/>
      <c r="F94" s="12"/>
      <c r="G94" s="45">
        <f t="shared" si="19"/>
        <v>2</v>
      </c>
      <c r="H94" s="12"/>
      <c r="I94" s="17"/>
      <c r="J94" s="12"/>
      <c r="K94" s="17"/>
      <c r="L94" s="12"/>
      <c r="M94" s="41">
        <f t="shared" si="21"/>
        <v>0</v>
      </c>
      <c r="N94" s="31">
        <f t="shared" si="22"/>
        <v>2</v>
      </c>
      <c r="O94" s="32">
        <v>45286</v>
      </c>
      <c r="P94" s="134"/>
    </row>
    <row r="95" spans="1:16" x14ac:dyDescent="0.15">
      <c r="A95" s="39" t="s">
        <v>3</v>
      </c>
      <c r="B95" s="12"/>
      <c r="C95" s="17"/>
      <c r="D95" s="12">
        <v>2</v>
      </c>
      <c r="E95" s="17"/>
      <c r="F95" s="12"/>
      <c r="G95" s="45">
        <f t="shared" si="19"/>
        <v>2</v>
      </c>
      <c r="H95" s="12"/>
      <c r="I95" s="17"/>
      <c r="J95" s="12">
        <v>2</v>
      </c>
      <c r="K95" s="17"/>
      <c r="L95" s="12"/>
      <c r="M95" s="41">
        <f t="shared" si="21"/>
        <v>2</v>
      </c>
      <c r="N95" s="31">
        <f t="shared" si="22"/>
        <v>4</v>
      </c>
      <c r="O95" s="32">
        <v>45330</v>
      </c>
      <c r="P95" s="134"/>
    </row>
    <row r="96" spans="1:16" x14ac:dyDescent="0.15">
      <c r="A96" s="39" t="s">
        <v>3</v>
      </c>
      <c r="B96" s="12"/>
      <c r="C96" s="17">
        <v>2</v>
      </c>
      <c r="D96" s="12"/>
      <c r="E96" s="17"/>
      <c r="F96" s="12"/>
      <c r="G96" s="45">
        <f t="shared" si="19"/>
        <v>2</v>
      </c>
      <c r="H96" s="12"/>
      <c r="I96" s="17">
        <v>2</v>
      </c>
      <c r="J96" s="12"/>
      <c r="K96" s="17"/>
      <c r="L96" s="12"/>
      <c r="M96" s="41">
        <f t="shared" si="21"/>
        <v>2</v>
      </c>
      <c r="N96" s="31">
        <f t="shared" si="22"/>
        <v>4</v>
      </c>
      <c r="O96" s="32">
        <v>45394</v>
      </c>
      <c r="P96" s="134"/>
    </row>
    <row r="97" spans="1:16" x14ac:dyDescent="0.15">
      <c r="A97" s="39" t="s">
        <v>3</v>
      </c>
      <c r="B97" s="10"/>
      <c r="C97" s="70">
        <v>2</v>
      </c>
      <c r="D97" s="10"/>
      <c r="E97" s="11"/>
      <c r="F97" s="10"/>
      <c r="G97" s="45">
        <f t="shared" si="19"/>
        <v>2</v>
      </c>
      <c r="H97" s="10"/>
      <c r="I97" s="70">
        <v>2</v>
      </c>
      <c r="J97" s="10"/>
      <c r="K97" s="11"/>
      <c r="L97" s="10"/>
      <c r="M97" s="41">
        <f t="shared" si="21"/>
        <v>2</v>
      </c>
      <c r="N97" s="31">
        <f t="shared" si="22"/>
        <v>4</v>
      </c>
      <c r="O97" s="32">
        <v>45458</v>
      </c>
      <c r="P97" s="134"/>
    </row>
    <row r="98" spans="1:16" x14ac:dyDescent="0.15">
      <c r="A98" s="39" t="s">
        <v>60</v>
      </c>
      <c r="B98" s="10">
        <v>0</v>
      </c>
      <c r="C98" s="11">
        <v>0</v>
      </c>
      <c r="D98" s="10">
        <v>0</v>
      </c>
      <c r="E98" s="11"/>
      <c r="F98" s="10"/>
      <c r="G98" s="45">
        <f t="shared" si="19"/>
        <v>0</v>
      </c>
      <c r="H98" s="10">
        <v>0</v>
      </c>
      <c r="I98" s="11">
        <v>0</v>
      </c>
      <c r="J98" s="10">
        <v>0</v>
      </c>
      <c r="K98" s="11"/>
      <c r="L98" s="10"/>
      <c r="M98" s="41">
        <f t="shared" si="21"/>
        <v>0</v>
      </c>
      <c r="N98" s="31">
        <f t="shared" si="22"/>
        <v>0</v>
      </c>
      <c r="O98" s="32">
        <v>45531</v>
      </c>
      <c r="P98" s="134"/>
    </row>
    <row r="99" spans="1:16" x14ac:dyDescent="0.15">
      <c r="A99" s="39" t="s">
        <v>3</v>
      </c>
      <c r="B99" s="10"/>
      <c r="C99" s="11"/>
      <c r="D99" s="10"/>
      <c r="E99" s="11"/>
      <c r="F99" s="10"/>
      <c r="G99" s="45">
        <f t="shared" si="19"/>
        <v>0</v>
      </c>
      <c r="H99" s="10"/>
      <c r="I99" s="11"/>
      <c r="J99" s="10"/>
      <c r="K99" s="11"/>
      <c r="L99" s="10"/>
      <c r="M99" s="41">
        <f t="shared" si="21"/>
        <v>0</v>
      </c>
      <c r="N99" s="31">
        <f t="shared" si="22"/>
        <v>0</v>
      </c>
      <c r="O99" s="33"/>
      <c r="P99" s="134"/>
    </row>
    <row r="100" spans="1:16" ht="14.25" thickBot="1" x14ac:dyDescent="0.2">
      <c r="A100" s="153" t="s">
        <v>3</v>
      </c>
      <c r="B100" s="13"/>
      <c r="C100" s="14"/>
      <c r="D100" s="13"/>
      <c r="E100" s="14"/>
      <c r="F100" s="13"/>
      <c r="G100" s="46">
        <f t="shared" si="19"/>
        <v>0</v>
      </c>
      <c r="H100" s="13"/>
      <c r="I100" s="14"/>
      <c r="J100" s="13"/>
      <c r="K100" s="14"/>
      <c r="L100" s="13"/>
      <c r="M100" s="42">
        <f t="shared" si="21"/>
        <v>0</v>
      </c>
      <c r="N100" s="36">
        <f t="shared" si="22"/>
        <v>0</v>
      </c>
      <c r="O100" s="33"/>
      <c r="P100" s="134"/>
    </row>
    <row r="101" spans="1:16" ht="14.25" thickBot="1" x14ac:dyDescent="0.2">
      <c r="A101" s="51" t="s">
        <v>4</v>
      </c>
      <c r="B101" s="22">
        <f>SUM(B90:B100)</f>
        <v>3</v>
      </c>
      <c r="C101" s="22">
        <f>SUM(C90:C100)</f>
        <v>8</v>
      </c>
      <c r="D101" s="57">
        <f t="shared" ref="D101:E101" si="23">SUM(D90:D100)</f>
        <v>6</v>
      </c>
      <c r="E101" s="22">
        <f t="shared" si="23"/>
        <v>0</v>
      </c>
      <c r="F101" s="22">
        <f>SUM(F90:F100)</f>
        <v>0</v>
      </c>
      <c r="G101" s="47">
        <f t="shared" si="19"/>
        <v>17</v>
      </c>
      <c r="H101" s="22">
        <f>SUM(H90:H100)</f>
        <v>3</v>
      </c>
      <c r="I101" s="22">
        <f t="shared" ref="I101:J101" si="24">SUM(I90:I100)</f>
        <v>8</v>
      </c>
      <c r="J101" s="22">
        <f t="shared" si="24"/>
        <v>4</v>
      </c>
      <c r="K101" s="57">
        <f>SUM(K90:K100)</f>
        <v>0</v>
      </c>
      <c r="L101" s="22">
        <f>SUM(L90:L100)</f>
        <v>0</v>
      </c>
      <c r="M101" s="43">
        <f t="shared" si="21"/>
        <v>15</v>
      </c>
      <c r="N101" s="34">
        <f t="shared" si="22"/>
        <v>32</v>
      </c>
    </row>
    <row r="102" spans="1:16" x14ac:dyDescent="0.15">
      <c r="A102" s="40" t="s">
        <v>16</v>
      </c>
      <c r="B102" s="10"/>
      <c r="C102" s="11">
        <v>1</v>
      </c>
      <c r="D102" s="10"/>
      <c r="E102" s="11"/>
      <c r="F102" s="10"/>
      <c r="G102" s="48">
        <f t="shared" si="19"/>
        <v>1</v>
      </c>
      <c r="H102" s="10"/>
      <c r="I102" s="11">
        <v>1</v>
      </c>
      <c r="J102" s="10"/>
      <c r="K102" s="11"/>
      <c r="L102" s="10"/>
      <c r="M102" s="44">
        <f t="shared" si="21"/>
        <v>1</v>
      </c>
      <c r="N102" s="31">
        <f t="shared" si="22"/>
        <v>2</v>
      </c>
      <c r="O102" s="37">
        <v>44991</v>
      </c>
    </row>
    <row r="103" spans="1:16" x14ac:dyDescent="0.15">
      <c r="A103" s="40" t="s">
        <v>16</v>
      </c>
      <c r="B103" s="10"/>
      <c r="C103" s="11"/>
      <c r="D103" s="10">
        <v>2</v>
      </c>
      <c r="E103" s="11"/>
      <c r="F103" s="10"/>
      <c r="G103" s="45">
        <f t="shared" si="19"/>
        <v>2</v>
      </c>
      <c r="H103" s="10"/>
      <c r="I103" s="11"/>
      <c r="J103" s="10"/>
      <c r="K103" s="11"/>
      <c r="L103" s="10"/>
      <c r="M103" s="41">
        <f t="shared" si="21"/>
        <v>0</v>
      </c>
      <c r="N103" s="31">
        <f t="shared" si="22"/>
        <v>2</v>
      </c>
      <c r="O103" s="37">
        <v>45278</v>
      </c>
    </row>
    <row r="104" spans="1:16" x14ac:dyDescent="0.15">
      <c r="A104" s="40" t="s">
        <v>16</v>
      </c>
      <c r="B104" s="10"/>
      <c r="C104" s="11">
        <v>1</v>
      </c>
      <c r="D104" s="10"/>
      <c r="E104" s="11"/>
      <c r="F104" s="10"/>
      <c r="G104" s="45">
        <f t="shared" si="19"/>
        <v>1</v>
      </c>
      <c r="H104" s="10"/>
      <c r="I104" s="11">
        <v>1</v>
      </c>
      <c r="J104" s="10"/>
      <c r="K104" s="11"/>
      <c r="L104" s="10"/>
      <c r="M104" s="41">
        <f t="shared" si="21"/>
        <v>1</v>
      </c>
      <c r="N104" s="31">
        <f t="shared" si="22"/>
        <v>2</v>
      </c>
      <c r="O104" s="37">
        <v>45281</v>
      </c>
    </row>
    <row r="105" spans="1:16" x14ac:dyDescent="0.15">
      <c r="A105" s="40" t="s">
        <v>16</v>
      </c>
      <c r="B105" s="10"/>
      <c r="C105" s="11"/>
      <c r="D105" s="10">
        <v>1</v>
      </c>
      <c r="E105" s="11"/>
      <c r="F105" s="10"/>
      <c r="G105" s="45">
        <f t="shared" si="19"/>
        <v>1</v>
      </c>
      <c r="H105" s="10"/>
      <c r="I105" s="11"/>
      <c r="J105" s="10">
        <v>1</v>
      </c>
      <c r="K105" s="11"/>
      <c r="L105" s="10"/>
      <c r="M105" s="41">
        <f t="shared" si="21"/>
        <v>1</v>
      </c>
      <c r="N105" s="31">
        <f t="shared" si="22"/>
        <v>2</v>
      </c>
      <c r="O105" s="37">
        <v>45316</v>
      </c>
    </row>
    <row r="106" spans="1:16" x14ac:dyDescent="0.15">
      <c r="A106" s="40" t="s">
        <v>16</v>
      </c>
      <c r="B106" s="10">
        <v>1</v>
      </c>
      <c r="C106" s="11"/>
      <c r="D106" s="10"/>
      <c r="E106" s="11"/>
      <c r="F106" s="10"/>
      <c r="G106" s="45">
        <f t="shared" si="19"/>
        <v>1</v>
      </c>
      <c r="H106" s="10">
        <v>1</v>
      </c>
      <c r="I106" s="11"/>
      <c r="J106" s="10"/>
      <c r="K106" s="11"/>
      <c r="L106" s="10"/>
      <c r="M106" s="41">
        <f t="shared" si="21"/>
        <v>1</v>
      </c>
      <c r="N106" s="31">
        <f t="shared" si="22"/>
        <v>2</v>
      </c>
      <c r="O106" s="37">
        <v>45335</v>
      </c>
    </row>
    <row r="107" spans="1:16" x14ac:dyDescent="0.15">
      <c r="A107" s="40" t="s">
        <v>16</v>
      </c>
      <c r="B107" s="10"/>
      <c r="C107" s="11"/>
      <c r="D107" s="10">
        <v>1</v>
      </c>
      <c r="E107" s="11"/>
      <c r="F107" s="10"/>
      <c r="G107" s="48">
        <f t="shared" si="19"/>
        <v>1</v>
      </c>
      <c r="H107" s="10"/>
      <c r="I107" s="11"/>
      <c r="J107" s="10">
        <v>1</v>
      </c>
      <c r="K107" s="11"/>
      <c r="L107" s="10"/>
      <c r="M107" s="44">
        <f t="shared" si="21"/>
        <v>1</v>
      </c>
      <c r="N107" s="31">
        <f t="shared" si="22"/>
        <v>2</v>
      </c>
      <c r="O107" s="37">
        <v>45348</v>
      </c>
    </row>
    <row r="108" spans="1:16" x14ac:dyDescent="0.15">
      <c r="A108" s="40" t="s">
        <v>16</v>
      </c>
      <c r="B108" s="10"/>
      <c r="C108" s="11">
        <v>1</v>
      </c>
      <c r="D108" s="10"/>
      <c r="E108" s="11"/>
      <c r="F108" s="10"/>
      <c r="G108" s="48">
        <f t="shared" si="19"/>
        <v>1</v>
      </c>
      <c r="H108" s="10"/>
      <c r="I108" s="11">
        <v>1</v>
      </c>
      <c r="J108" s="10"/>
      <c r="K108" s="11"/>
      <c r="L108" s="10"/>
      <c r="M108" s="44">
        <f t="shared" si="21"/>
        <v>1</v>
      </c>
      <c r="N108" s="31">
        <f t="shared" si="22"/>
        <v>2</v>
      </c>
      <c r="O108" s="37">
        <v>45388</v>
      </c>
    </row>
    <row r="109" spans="1:16" x14ac:dyDescent="0.15">
      <c r="A109" s="40" t="s">
        <v>16</v>
      </c>
      <c r="B109" s="10"/>
      <c r="C109" s="11">
        <v>2</v>
      </c>
      <c r="D109" s="10"/>
      <c r="E109" s="11"/>
      <c r="F109" s="10"/>
      <c r="G109" s="48">
        <f t="shared" si="19"/>
        <v>2</v>
      </c>
      <c r="H109" s="10"/>
      <c r="I109" s="11">
        <v>2</v>
      </c>
      <c r="J109" s="10"/>
      <c r="K109" s="11"/>
      <c r="L109" s="10"/>
      <c r="M109" s="44">
        <f t="shared" si="21"/>
        <v>2</v>
      </c>
      <c r="N109" s="31">
        <f t="shared" si="22"/>
        <v>4</v>
      </c>
      <c r="O109" s="37">
        <v>45449</v>
      </c>
    </row>
    <row r="110" spans="1:16" x14ac:dyDescent="0.15">
      <c r="A110" s="40"/>
      <c r="B110" s="10"/>
      <c r="C110" s="11"/>
      <c r="D110" s="10"/>
      <c r="E110" s="11"/>
      <c r="F110" s="10"/>
      <c r="G110" s="48">
        <f t="shared" si="19"/>
        <v>0</v>
      </c>
      <c r="H110" s="10"/>
      <c r="I110" s="11"/>
      <c r="J110" s="10"/>
      <c r="K110" s="11"/>
      <c r="L110" s="10"/>
      <c r="M110" s="44">
        <f t="shared" si="21"/>
        <v>0</v>
      </c>
      <c r="N110" s="31">
        <f t="shared" si="22"/>
        <v>0</v>
      </c>
    </row>
    <row r="111" spans="1:16" x14ac:dyDescent="0.15">
      <c r="A111" s="40"/>
      <c r="B111" s="10"/>
      <c r="C111" s="11"/>
      <c r="D111" s="10"/>
      <c r="E111" s="11"/>
      <c r="F111" s="10"/>
      <c r="G111" s="48">
        <f t="shared" si="19"/>
        <v>0</v>
      </c>
      <c r="H111" s="10"/>
      <c r="I111" s="11"/>
      <c r="J111" s="10"/>
      <c r="K111" s="11"/>
      <c r="L111" s="10"/>
      <c r="M111" s="44">
        <f t="shared" si="21"/>
        <v>0</v>
      </c>
      <c r="N111" s="31">
        <f t="shared" si="22"/>
        <v>0</v>
      </c>
    </row>
    <row r="112" spans="1:16" x14ac:dyDescent="0.15">
      <c r="A112" s="40"/>
      <c r="B112" s="10"/>
      <c r="C112" s="11"/>
      <c r="D112" s="10"/>
      <c r="E112" s="11"/>
      <c r="F112" s="10"/>
      <c r="G112" s="48">
        <f t="shared" si="19"/>
        <v>0</v>
      </c>
      <c r="H112" s="10"/>
      <c r="I112" s="11"/>
      <c r="J112" s="10"/>
      <c r="K112" s="11"/>
      <c r="L112" s="10"/>
      <c r="M112" s="44">
        <f t="shared" si="21"/>
        <v>0</v>
      </c>
      <c r="N112" s="31">
        <f t="shared" si="22"/>
        <v>0</v>
      </c>
    </row>
    <row r="113" spans="1:14" x14ac:dyDescent="0.15">
      <c r="A113" s="40"/>
      <c r="B113" s="10"/>
      <c r="C113" s="11"/>
      <c r="D113" s="10"/>
      <c r="E113" s="11"/>
      <c r="F113" s="10"/>
      <c r="G113" s="48">
        <f t="shared" si="19"/>
        <v>0</v>
      </c>
      <c r="H113" s="10"/>
      <c r="I113" s="11"/>
      <c r="J113" s="10"/>
      <c r="K113" s="11"/>
      <c r="L113" s="10"/>
      <c r="M113" s="44">
        <f t="shared" si="21"/>
        <v>0</v>
      </c>
      <c r="N113" s="31">
        <f t="shared" si="22"/>
        <v>0</v>
      </c>
    </row>
    <row r="114" spans="1:14" x14ac:dyDescent="0.15">
      <c r="A114" s="40"/>
      <c r="B114" s="10"/>
      <c r="C114" s="11"/>
      <c r="D114" s="10"/>
      <c r="E114" s="11"/>
      <c r="F114" s="10"/>
      <c r="G114" s="48">
        <f t="shared" si="19"/>
        <v>0</v>
      </c>
      <c r="H114" s="10"/>
      <c r="I114" s="11"/>
      <c r="J114" s="10"/>
      <c r="K114" s="11"/>
      <c r="L114" s="10"/>
      <c r="M114" s="44">
        <f t="shared" si="21"/>
        <v>0</v>
      </c>
      <c r="N114" s="31">
        <f t="shared" si="22"/>
        <v>0</v>
      </c>
    </row>
    <row r="115" spans="1:14" x14ac:dyDescent="0.15">
      <c r="A115" s="40"/>
      <c r="B115" s="10"/>
      <c r="C115" s="11"/>
      <c r="D115" s="10"/>
      <c r="E115" s="11"/>
      <c r="F115" s="10"/>
      <c r="G115" s="48">
        <f t="shared" si="19"/>
        <v>0</v>
      </c>
      <c r="H115" s="10"/>
      <c r="I115" s="11"/>
      <c r="J115" s="10"/>
      <c r="K115" s="11"/>
      <c r="L115" s="10"/>
      <c r="M115" s="44">
        <f t="shared" si="21"/>
        <v>0</v>
      </c>
      <c r="N115" s="31">
        <f t="shared" si="22"/>
        <v>0</v>
      </c>
    </row>
    <row r="116" spans="1:14" x14ac:dyDescent="0.15">
      <c r="A116" s="40"/>
      <c r="B116" s="10"/>
      <c r="C116" s="11"/>
      <c r="D116" s="10"/>
      <c r="E116" s="11"/>
      <c r="F116" s="10"/>
      <c r="G116" s="48">
        <f t="shared" si="19"/>
        <v>0</v>
      </c>
      <c r="H116" s="10"/>
      <c r="I116" s="11"/>
      <c r="J116" s="10"/>
      <c r="K116" s="11"/>
      <c r="L116" s="10"/>
      <c r="M116" s="44">
        <f t="shared" si="21"/>
        <v>0</v>
      </c>
      <c r="N116" s="31">
        <f t="shared" si="22"/>
        <v>0</v>
      </c>
    </row>
    <row r="117" spans="1:14" x14ac:dyDescent="0.15">
      <c r="A117" s="40"/>
      <c r="B117" s="10"/>
      <c r="C117" s="11"/>
      <c r="D117" s="10"/>
      <c r="E117" s="11"/>
      <c r="F117" s="10"/>
      <c r="G117" s="48">
        <f t="shared" si="19"/>
        <v>0</v>
      </c>
      <c r="H117" s="10"/>
      <c r="I117" s="11"/>
      <c r="J117" s="10"/>
      <c r="K117" s="11"/>
      <c r="L117" s="10"/>
      <c r="M117" s="44">
        <f t="shared" si="21"/>
        <v>0</v>
      </c>
      <c r="N117" s="31">
        <f t="shared" si="22"/>
        <v>0</v>
      </c>
    </row>
    <row r="118" spans="1:14" x14ac:dyDescent="0.15">
      <c r="A118" s="40"/>
      <c r="B118" s="10"/>
      <c r="C118" s="11"/>
      <c r="D118" s="10"/>
      <c r="E118" s="11"/>
      <c r="F118" s="10"/>
      <c r="G118" s="48">
        <f t="shared" si="19"/>
        <v>0</v>
      </c>
      <c r="H118" s="10"/>
      <c r="I118" s="11"/>
      <c r="J118" s="10"/>
      <c r="K118" s="11"/>
      <c r="L118" s="10"/>
      <c r="M118" s="44">
        <f t="shared" si="21"/>
        <v>0</v>
      </c>
      <c r="N118" s="31">
        <f t="shared" si="22"/>
        <v>0</v>
      </c>
    </row>
    <row r="119" spans="1:14" x14ac:dyDescent="0.15">
      <c r="A119" s="40"/>
      <c r="B119" s="10"/>
      <c r="C119" s="11"/>
      <c r="D119" s="10"/>
      <c r="E119" s="11"/>
      <c r="F119" s="10"/>
      <c r="G119" s="48">
        <f t="shared" si="19"/>
        <v>0</v>
      </c>
      <c r="H119" s="10"/>
      <c r="I119" s="11"/>
      <c r="J119" s="10"/>
      <c r="K119" s="11"/>
      <c r="L119" s="10"/>
      <c r="M119" s="44">
        <f t="shared" si="21"/>
        <v>0</v>
      </c>
      <c r="N119" s="31">
        <f t="shared" si="22"/>
        <v>0</v>
      </c>
    </row>
    <row r="120" spans="1:14" x14ac:dyDescent="0.15">
      <c r="A120" s="40"/>
      <c r="B120" s="10"/>
      <c r="C120" s="11"/>
      <c r="D120" s="10"/>
      <c r="E120" s="11"/>
      <c r="F120" s="10"/>
      <c r="G120" s="48">
        <f t="shared" si="19"/>
        <v>0</v>
      </c>
      <c r="H120" s="10"/>
      <c r="I120" s="11"/>
      <c r="J120" s="10"/>
      <c r="K120" s="11"/>
      <c r="L120" s="10"/>
      <c r="M120" s="44">
        <f t="shared" si="21"/>
        <v>0</v>
      </c>
      <c r="N120" s="31">
        <f t="shared" si="22"/>
        <v>0</v>
      </c>
    </row>
    <row r="121" spans="1:14" x14ac:dyDescent="0.15">
      <c r="A121" s="40"/>
      <c r="B121" s="10"/>
      <c r="C121" s="11"/>
      <c r="D121" s="10"/>
      <c r="E121" s="11"/>
      <c r="F121" s="10"/>
      <c r="G121" s="48">
        <f t="shared" si="19"/>
        <v>0</v>
      </c>
      <c r="H121" s="10"/>
      <c r="I121" s="11"/>
      <c r="J121" s="10"/>
      <c r="K121" s="11"/>
      <c r="L121" s="10"/>
      <c r="M121" s="44">
        <f t="shared" si="21"/>
        <v>0</v>
      </c>
      <c r="N121" s="31">
        <f t="shared" si="22"/>
        <v>0</v>
      </c>
    </row>
    <row r="122" spans="1:14" x14ac:dyDescent="0.15">
      <c r="A122" s="40"/>
      <c r="B122" s="10"/>
      <c r="C122" s="11"/>
      <c r="D122" s="10"/>
      <c r="E122" s="11"/>
      <c r="F122" s="10"/>
      <c r="G122" s="48">
        <f t="shared" si="19"/>
        <v>0</v>
      </c>
      <c r="H122" s="10"/>
      <c r="I122" s="11"/>
      <c r="J122" s="10"/>
      <c r="K122" s="11"/>
      <c r="L122" s="10"/>
      <c r="M122" s="44">
        <f t="shared" si="21"/>
        <v>0</v>
      </c>
      <c r="N122" s="31">
        <f t="shared" si="22"/>
        <v>0</v>
      </c>
    </row>
    <row r="123" spans="1:14" x14ac:dyDescent="0.15">
      <c r="A123" s="40"/>
      <c r="B123" s="10"/>
      <c r="C123" s="11"/>
      <c r="D123" s="10"/>
      <c r="E123" s="11"/>
      <c r="F123" s="10"/>
      <c r="G123" s="48">
        <f t="shared" si="19"/>
        <v>0</v>
      </c>
      <c r="H123" s="10"/>
      <c r="I123" s="11"/>
      <c r="J123" s="10"/>
      <c r="K123" s="11"/>
      <c r="L123" s="10"/>
      <c r="M123" s="44">
        <f t="shared" si="21"/>
        <v>0</v>
      </c>
      <c r="N123" s="31">
        <f t="shared" si="22"/>
        <v>0</v>
      </c>
    </row>
    <row r="124" spans="1:14" x14ac:dyDescent="0.15">
      <c r="A124" s="40"/>
      <c r="B124" s="10"/>
      <c r="C124" s="11"/>
      <c r="D124" s="10"/>
      <c r="E124" s="11"/>
      <c r="F124" s="10"/>
      <c r="G124" s="48">
        <f t="shared" si="19"/>
        <v>0</v>
      </c>
      <c r="H124" s="10"/>
      <c r="I124" s="11"/>
      <c r="J124" s="10"/>
      <c r="K124" s="11"/>
      <c r="L124" s="10"/>
      <c r="M124" s="44">
        <f t="shared" si="21"/>
        <v>0</v>
      </c>
      <c r="N124" s="31">
        <f t="shared" si="22"/>
        <v>0</v>
      </c>
    </row>
    <row r="125" spans="1:14" ht="14.25" thickBot="1" x14ac:dyDescent="0.2">
      <c r="A125" s="40"/>
      <c r="B125" s="10"/>
      <c r="C125" s="11"/>
      <c r="D125" s="10"/>
      <c r="E125" s="11"/>
      <c r="F125" s="10"/>
      <c r="G125" s="48">
        <f t="shared" ref="G125" si="25">SUM(B125:F125)</f>
        <v>0</v>
      </c>
      <c r="H125" s="10"/>
      <c r="I125" s="11"/>
      <c r="J125" s="10"/>
      <c r="K125" s="11"/>
      <c r="L125" s="10"/>
      <c r="M125" s="44">
        <f t="shared" ref="M125" si="26">SUM(H125:L125)</f>
        <v>0</v>
      </c>
      <c r="N125" s="31">
        <f t="shared" ref="N125" si="27">SUM(M125,G125)</f>
        <v>0</v>
      </c>
    </row>
    <row r="126" spans="1:14" ht="14.25" thickBot="1" x14ac:dyDescent="0.2">
      <c r="A126" s="3" t="s">
        <v>5</v>
      </c>
      <c r="B126" s="16">
        <f>SUM(B102:B125)</f>
        <v>1</v>
      </c>
      <c r="C126" s="61">
        <f>SUM(C102:C125)</f>
        <v>5</v>
      </c>
      <c r="D126" s="16">
        <f t="shared" ref="D126:E126" si="28">SUM(D102:D125)</f>
        <v>4</v>
      </c>
      <c r="E126" s="61">
        <f t="shared" si="28"/>
        <v>0</v>
      </c>
      <c r="F126" s="15">
        <f>SUM(F102:F125)</f>
        <v>0</v>
      </c>
      <c r="G126" s="16">
        <f t="shared" si="19"/>
        <v>10</v>
      </c>
      <c r="H126" s="15">
        <f>SUM(H102:H125)</f>
        <v>1</v>
      </c>
      <c r="I126" s="15">
        <f t="shared" ref="I126:J126" si="29">SUM(I102:I125)</f>
        <v>5</v>
      </c>
      <c r="J126" s="15">
        <f t="shared" si="29"/>
        <v>2</v>
      </c>
      <c r="K126" s="15">
        <f>SUM(K102:K125)</f>
        <v>0</v>
      </c>
      <c r="L126" s="15">
        <f>SUM(L102:L125)</f>
        <v>0</v>
      </c>
      <c r="M126" s="16">
        <f t="shared" si="21"/>
        <v>8</v>
      </c>
      <c r="N126" s="34">
        <f t="shared" si="22"/>
        <v>18</v>
      </c>
    </row>
    <row r="127" spans="1:14" ht="14.25" thickBot="1" x14ac:dyDescent="0.2">
      <c r="A127" s="25" t="s">
        <v>6</v>
      </c>
      <c r="B127" s="26">
        <f>B101-B126</f>
        <v>2</v>
      </c>
      <c r="C127" s="26">
        <f t="shared" ref="C127:G127" si="30">C101-C126</f>
        <v>3</v>
      </c>
      <c r="D127" s="26">
        <f t="shared" si="30"/>
        <v>2</v>
      </c>
      <c r="E127" s="26">
        <f t="shared" si="30"/>
        <v>0</v>
      </c>
      <c r="F127" s="26">
        <f t="shared" si="30"/>
        <v>0</v>
      </c>
      <c r="G127" s="26">
        <f t="shared" si="30"/>
        <v>7</v>
      </c>
      <c r="H127" s="26">
        <f>H101-H126</f>
        <v>2</v>
      </c>
      <c r="I127" s="26">
        <f t="shared" ref="I127:M127" si="31">I101-I126</f>
        <v>3</v>
      </c>
      <c r="J127" s="26">
        <f t="shared" si="31"/>
        <v>2</v>
      </c>
      <c r="K127" s="26">
        <f t="shared" si="31"/>
        <v>0</v>
      </c>
      <c r="L127" s="26">
        <f t="shared" si="31"/>
        <v>0</v>
      </c>
      <c r="M127" s="26">
        <f t="shared" si="31"/>
        <v>7</v>
      </c>
      <c r="N127" s="38">
        <f t="shared" si="22"/>
        <v>14</v>
      </c>
    </row>
    <row r="130" spans="1:13" ht="18" thickBot="1" x14ac:dyDescent="0.25">
      <c r="A130" s="29" t="s">
        <v>39</v>
      </c>
      <c r="B130" s="1"/>
      <c r="C130" s="1"/>
      <c r="D130" s="1"/>
      <c r="E130" s="1"/>
      <c r="F130" s="1" t="s">
        <v>66</v>
      </c>
      <c r="G130" s="1"/>
      <c r="H130" s="1"/>
      <c r="I130" s="1"/>
      <c r="J130" s="1"/>
      <c r="K130" s="1"/>
      <c r="L130" s="1"/>
      <c r="M130" s="1"/>
    </row>
    <row r="131" spans="1:13" ht="14.25" thickBot="1" x14ac:dyDescent="0.2">
      <c r="A131" s="2" t="s">
        <v>0</v>
      </c>
      <c r="B131" s="210" t="s">
        <v>14</v>
      </c>
      <c r="C131" s="211"/>
      <c r="D131" s="211"/>
      <c r="E131" s="212"/>
      <c r="F131" s="213" t="s">
        <v>46</v>
      </c>
      <c r="G131" s="214"/>
      <c r="H131" s="214"/>
      <c r="I131" s="215"/>
      <c r="J131" s="208" t="s">
        <v>10</v>
      </c>
    </row>
    <row r="132" spans="1:13" ht="14.25" thickBot="1" x14ac:dyDescent="0.2">
      <c r="A132" s="2" t="s">
        <v>1</v>
      </c>
      <c r="B132" s="3" t="s">
        <v>7</v>
      </c>
      <c r="C132" s="2" t="s">
        <v>8</v>
      </c>
      <c r="D132" s="2" t="s">
        <v>9</v>
      </c>
      <c r="E132" s="19" t="s">
        <v>2</v>
      </c>
      <c r="F132" s="2" t="s">
        <v>11</v>
      </c>
      <c r="G132" s="19" t="s">
        <v>12</v>
      </c>
      <c r="H132" s="2" t="s">
        <v>13</v>
      </c>
      <c r="I132" s="2" t="s">
        <v>2</v>
      </c>
      <c r="J132" s="209"/>
    </row>
    <row r="133" spans="1:13" ht="14.25" thickBot="1" x14ac:dyDescent="0.2">
      <c r="A133" s="3" t="s">
        <v>6</v>
      </c>
      <c r="B133" s="63">
        <f>B127</f>
        <v>2</v>
      </c>
      <c r="C133" s="64">
        <f>C127</f>
        <v>3</v>
      </c>
      <c r="D133" s="63">
        <f>D127</f>
        <v>2</v>
      </c>
      <c r="E133" s="61">
        <f>SUM(B133:D133)</f>
        <v>7</v>
      </c>
      <c r="F133" s="63">
        <f>H127</f>
        <v>2</v>
      </c>
      <c r="G133" s="63">
        <f>I127</f>
        <v>3</v>
      </c>
      <c r="H133" s="63">
        <f>J127</f>
        <v>2</v>
      </c>
      <c r="I133" s="65">
        <f>SUM(F133:H133)</f>
        <v>7</v>
      </c>
      <c r="J133" s="34">
        <f>SUM(I133,E133)</f>
        <v>14</v>
      </c>
    </row>
    <row r="134" spans="1:13" x14ac:dyDescent="0.15">
      <c r="A134" s="39" t="s">
        <v>3</v>
      </c>
      <c r="B134" s="10"/>
      <c r="C134" s="11">
        <v>2</v>
      </c>
      <c r="D134" s="10"/>
      <c r="E134" s="45">
        <f t="shared" ref="E134:E141" si="32">SUM(B134:D134)</f>
        <v>2</v>
      </c>
      <c r="F134" s="10"/>
      <c r="G134" s="11">
        <v>2</v>
      </c>
      <c r="H134" s="10"/>
      <c r="I134" s="41">
        <f t="shared" ref="I134:I141" si="33">SUM(F134:H134)</f>
        <v>2</v>
      </c>
      <c r="J134" s="31">
        <f t="shared" ref="J134:J141" si="34">SUM(I134,E134)</f>
        <v>4</v>
      </c>
      <c r="K134" s="32">
        <v>45580</v>
      </c>
    </row>
    <row r="135" spans="1:13" x14ac:dyDescent="0.15">
      <c r="A135" s="39" t="s">
        <v>3</v>
      </c>
      <c r="B135" s="10"/>
      <c r="C135" s="11">
        <v>2</v>
      </c>
      <c r="D135" s="10"/>
      <c r="E135" s="45">
        <f t="shared" si="32"/>
        <v>2</v>
      </c>
      <c r="F135" s="10"/>
      <c r="G135" s="11">
        <v>2</v>
      </c>
      <c r="H135" s="10"/>
      <c r="I135" s="41">
        <f t="shared" si="33"/>
        <v>2</v>
      </c>
      <c r="J135" s="31">
        <f t="shared" si="34"/>
        <v>4</v>
      </c>
      <c r="K135" s="32">
        <v>45589</v>
      </c>
      <c r="L135" s="33"/>
    </row>
    <row r="136" spans="1:13" x14ac:dyDescent="0.15">
      <c r="A136" s="39" t="s">
        <v>3</v>
      </c>
      <c r="B136" s="10"/>
      <c r="C136" s="11">
        <v>2</v>
      </c>
      <c r="D136" s="10"/>
      <c r="E136" s="45">
        <f t="shared" si="32"/>
        <v>2</v>
      </c>
      <c r="F136" s="10"/>
      <c r="G136" s="11">
        <v>2</v>
      </c>
      <c r="H136" s="10"/>
      <c r="I136" s="41">
        <f t="shared" si="33"/>
        <v>2</v>
      </c>
      <c r="J136" s="31">
        <f t="shared" si="34"/>
        <v>4</v>
      </c>
      <c r="K136" s="32">
        <v>45637</v>
      </c>
    </row>
    <row r="137" spans="1:13" x14ac:dyDescent="0.15">
      <c r="A137" s="39" t="s">
        <v>3</v>
      </c>
      <c r="B137" s="10"/>
      <c r="C137" s="11"/>
      <c r="D137" s="10"/>
      <c r="E137" s="45">
        <f t="shared" si="32"/>
        <v>0</v>
      </c>
      <c r="F137" s="10"/>
      <c r="G137" s="11">
        <v>2</v>
      </c>
      <c r="H137" s="10"/>
      <c r="I137" s="41">
        <f t="shared" si="33"/>
        <v>2</v>
      </c>
      <c r="J137" s="31">
        <f t="shared" si="34"/>
        <v>2</v>
      </c>
      <c r="K137" s="32">
        <v>45679</v>
      </c>
    </row>
    <row r="138" spans="1:13" x14ac:dyDescent="0.15">
      <c r="A138" s="39" t="s">
        <v>3</v>
      </c>
      <c r="B138" s="10"/>
      <c r="C138" s="11"/>
      <c r="D138" s="10">
        <v>2</v>
      </c>
      <c r="E138" s="45">
        <f t="shared" si="32"/>
        <v>2</v>
      </c>
      <c r="F138" s="10"/>
      <c r="G138" s="11"/>
      <c r="H138" s="10">
        <v>2</v>
      </c>
      <c r="I138" s="41">
        <f t="shared" si="33"/>
        <v>2</v>
      </c>
      <c r="J138" s="31">
        <f t="shared" si="34"/>
        <v>4</v>
      </c>
      <c r="K138" s="32">
        <v>45692</v>
      </c>
    </row>
    <row r="139" spans="1:13" x14ac:dyDescent="0.15">
      <c r="A139" s="39" t="s">
        <v>3</v>
      </c>
      <c r="B139" s="10">
        <v>2</v>
      </c>
      <c r="C139" s="11"/>
      <c r="D139" s="10"/>
      <c r="E139" s="45">
        <f t="shared" si="32"/>
        <v>2</v>
      </c>
      <c r="F139" s="10">
        <v>2</v>
      </c>
      <c r="G139" s="11"/>
      <c r="H139" s="10"/>
      <c r="I139" s="41">
        <f t="shared" si="33"/>
        <v>2</v>
      </c>
      <c r="J139" s="31">
        <f t="shared" si="34"/>
        <v>4</v>
      </c>
      <c r="K139" s="32">
        <v>45786</v>
      </c>
    </row>
    <row r="140" spans="1:13" x14ac:dyDescent="0.15">
      <c r="A140" s="39" t="s">
        <v>3</v>
      </c>
      <c r="B140" s="10"/>
      <c r="C140" s="11">
        <v>2</v>
      </c>
      <c r="D140" s="10"/>
      <c r="E140" s="45">
        <f t="shared" si="32"/>
        <v>2</v>
      </c>
      <c r="F140" s="10"/>
      <c r="G140" s="11">
        <v>2</v>
      </c>
      <c r="H140" s="10"/>
      <c r="I140" s="41">
        <f t="shared" si="33"/>
        <v>2</v>
      </c>
      <c r="J140" s="31">
        <f t="shared" si="34"/>
        <v>4</v>
      </c>
      <c r="K140" s="32">
        <v>45966</v>
      </c>
    </row>
    <row r="141" spans="1:13" x14ac:dyDescent="0.15">
      <c r="A141" s="39" t="s">
        <v>3</v>
      </c>
      <c r="B141" s="10"/>
      <c r="C141" s="11"/>
      <c r="D141" s="10">
        <v>2</v>
      </c>
      <c r="E141" s="45">
        <f t="shared" si="32"/>
        <v>2</v>
      </c>
      <c r="F141" s="10"/>
      <c r="G141" s="11"/>
      <c r="H141" s="10">
        <v>2</v>
      </c>
      <c r="I141" s="41">
        <f t="shared" si="33"/>
        <v>2</v>
      </c>
      <c r="J141" s="31">
        <f t="shared" si="34"/>
        <v>4</v>
      </c>
      <c r="K141" s="32">
        <v>45993</v>
      </c>
    </row>
    <row r="142" spans="1:13" x14ac:dyDescent="0.15">
      <c r="A142" s="39" t="s">
        <v>3</v>
      </c>
      <c r="B142" s="10"/>
      <c r="C142" s="11"/>
      <c r="D142" s="10">
        <v>2</v>
      </c>
      <c r="E142" s="45">
        <f>SUM(B142:D142)</f>
        <v>2</v>
      </c>
      <c r="F142" s="10">
        <v>2</v>
      </c>
      <c r="G142" s="11"/>
      <c r="H142" s="10"/>
      <c r="I142" s="41">
        <f>SUM(F142:H142)</f>
        <v>2</v>
      </c>
      <c r="J142" s="31">
        <f>SUM(I142,E142)</f>
        <v>4</v>
      </c>
      <c r="K142" s="32">
        <v>46009</v>
      </c>
    </row>
    <row r="143" spans="1:13" ht="14.25" thickBot="1" x14ac:dyDescent="0.2">
      <c r="A143" s="153" t="s">
        <v>3</v>
      </c>
      <c r="B143" s="13"/>
      <c r="C143" s="14"/>
      <c r="D143" s="13">
        <v>3</v>
      </c>
      <c r="E143" s="46">
        <f>SUM(B143:D143)</f>
        <v>3</v>
      </c>
      <c r="F143" s="13"/>
      <c r="G143" s="14"/>
      <c r="H143" s="13">
        <v>3</v>
      </c>
      <c r="I143" s="42">
        <f>SUM(F143:H143)</f>
        <v>3</v>
      </c>
      <c r="J143" s="36">
        <f>SUM(I143,E143)</f>
        <v>6</v>
      </c>
      <c r="K143" s="32">
        <v>46015</v>
      </c>
    </row>
    <row r="144" spans="1:13" ht="14.25" thickBot="1" x14ac:dyDescent="0.2">
      <c r="A144" s="51" t="s">
        <v>4</v>
      </c>
      <c r="B144" s="22">
        <f>SUM(B133:B143)</f>
        <v>4</v>
      </c>
      <c r="C144" s="22">
        <f>SUM(C133:C143)</f>
        <v>11</v>
      </c>
      <c r="D144" s="22">
        <f t="shared" ref="D144" si="35">SUM(D133:D143)</f>
        <v>11</v>
      </c>
      <c r="E144" s="47">
        <f>SUM(B144:D144)</f>
        <v>26</v>
      </c>
      <c r="F144" s="22">
        <f>SUM(F133:F143)</f>
        <v>6</v>
      </c>
      <c r="G144" s="22">
        <f t="shared" ref="G144:H144" si="36">SUM(G133:G143)</f>
        <v>13</v>
      </c>
      <c r="H144" s="22">
        <f t="shared" si="36"/>
        <v>9</v>
      </c>
      <c r="I144" s="43">
        <f>SUM(F144:H144)</f>
        <v>28</v>
      </c>
      <c r="J144" s="34">
        <f>SUM(I144,E144)</f>
        <v>54</v>
      </c>
    </row>
    <row r="145" spans="1:11" x14ac:dyDescent="0.15">
      <c r="A145" s="40" t="s">
        <v>16</v>
      </c>
      <c r="B145" s="10"/>
      <c r="C145" s="11">
        <v>1</v>
      </c>
      <c r="D145" s="10"/>
      <c r="E145" s="48">
        <f t="shared" ref="E145:E154" si="37">SUM(B145:D145)</f>
        <v>1</v>
      </c>
      <c r="F145" s="10"/>
      <c r="G145" s="11">
        <v>1</v>
      </c>
      <c r="H145" s="10"/>
      <c r="I145" s="44">
        <f t="shared" ref="I145:I154" si="38">SUM(F145:H145)</f>
        <v>1</v>
      </c>
      <c r="J145" s="31">
        <f t="shared" ref="J145:J154" si="39">SUM(I145,E145)</f>
        <v>2</v>
      </c>
      <c r="K145" s="37">
        <v>45565</v>
      </c>
    </row>
    <row r="146" spans="1:11" x14ac:dyDescent="0.15">
      <c r="A146" s="40" t="s">
        <v>16</v>
      </c>
      <c r="B146" s="10"/>
      <c r="C146" s="11">
        <v>1</v>
      </c>
      <c r="D146" s="10"/>
      <c r="E146" s="48">
        <f t="shared" si="37"/>
        <v>1</v>
      </c>
      <c r="F146" s="10"/>
      <c r="G146" s="11">
        <v>1</v>
      </c>
      <c r="H146" s="10"/>
      <c r="I146" s="44">
        <f t="shared" si="38"/>
        <v>1</v>
      </c>
      <c r="J146" s="31">
        <f t="shared" si="39"/>
        <v>2</v>
      </c>
      <c r="K146" s="37">
        <v>45575</v>
      </c>
    </row>
    <row r="147" spans="1:11" x14ac:dyDescent="0.15">
      <c r="A147" s="40" t="s">
        <v>16</v>
      </c>
      <c r="B147" s="10"/>
      <c r="C147" s="11">
        <v>2</v>
      </c>
      <c r="D147" s="10"/>
      <c r="E147" s="48">
        <f t="shared" si="37"/>
        <v>2</v>
      </c>
      <c r="F147" s="10"/>
      <c r="G147" s="11">
        <v>2</v>
      </c>
      <c r="H147" s="10"/>
      <c r="I147" s="44">
        <f t="shared" si="38"/>
        <v>2</v>
      </c>
      <c r="J147" s="31">
        <f t="shared" si="39"/>
        <v>4</v>
      </c>
      <c r="K147" s="37">
        <v>45580</v>
      </c>
    </row>
    <row r="148" spans="1:11" x14ac:dyDescent="0.15">
      <c r="A148" s="40" t="s">
        <v>16</v>
      </c>
      <c r="B148" s="10"/>
      <c r="C148" s="11">
        <v>2</v>
      </c>
      <c r="D148" s="10"/>
      <c r="E148" s="48">
        <f t="shared" si="37"/>
        <v>2</v>
      </c>
      <c r="F148" s="10"/>
      <c r="G148" s="11">
        <v>2</v>
      </c>
      <c r="H148" s="10"/>
      <c r="I148" s="44">
        <f t="shared" si="38"/>
        <v>2</v>
      </c>
      <c r="J148" s="31">
        <f t="shared" si="39"/>
        <v>4</v>
      </c>
      <c r="K148" s="37">
        <v>45626</v>
      </c>
    </row>
    <row r="149" spans="1:11" x14ac:dyDescent="0.15">
      <c r="A149" s="40" t="s">
        <v>16</v>
      </c>
      <c r="B149" s="10"/>
      <c r="C149" s="11"/>
      <c r="D149" s="10"/>
      <c r="E149" s="48">
        <f t="shared" si="37"/>
        <v>0</v>
      </c>
      <c r="F149" s="10"/>
      <c r="G149" s="11">
        <v>2</v>
      </c>
      <c r="H149" s="10"/>
      <c r="I149" s="44">
        <f t="shared" si="38"/>
        <v>2</v>
      </c>
      <c r="J149" s="31">
        <f t="shared" si="39"/>
        <v>2</v>
      </c>
      <c r="K149" s="37">
        <v>45677</v>
      </c>
    </row>
    <row r="150" spans="1:11" x14ac:dyDescent="0.15">
      <c r="A150" s="40" t="s">
        <v>16</v>
      </c>
      <c r="B150" s="10"/>
      <c r="C150" s="11"/>
      <c r="D150" s="10">
        <v>1</v>
      </c>
      <c r="E150" s="48">
        <f t="shared" si="37"/>
        <v>1</v>
      </c>
      <c r="F150" s="10"/>
      <c r="G150" s="11"/>
      <c r="H150" s="10">
        <v>1</v>
      </c>
      <c r="I150" s="44">
        <f t="shared" si="38"/>
        <v>1</v>
      </c>
      <c r="J150" s="31">
        <f t="shared" si="39"/>
        <v>2</v>
      </c>
      <c r="K150" s="37">
        <v>45686</v>
      </c>
    </row>
    <row r="151" spans="1:11" x14ac:dyDescent="0.15">
      <c r="A151" s="40" t="s">
        <v>16</v>
      </c>
      <c r="B151" s="10">
        <v>1</v>
      </c>
      <c r="C151" s="11"/>
      <c r="D151" s="10"/>
      <c r="E151" s="48">
        <f t="shared" si="37"/>
        <v>1</v>
      </c>
      <c r="F151" s="10">
        <v>1</v>
      </c>
      <c r="G151" s="11"/>
      <c r="H151" s="10"/>
      <c r="I151" s="44">
        <f t="shared" si="38"/>
        <v>1</v>
      </c>
      <c r="J151" s="31">
        <f t="shared" si="39"/>
        <v>2</v>
      </c>
      <c r="K151" s="37">
        <v>45762</v>
      </c>
    </row>
    <row r="152" spans="1:11" x14ac:dyDescent="0.15">
      <c r="A152" s="40" t="s">
        <v>16</v>
      </c>
      <c r="B152" s="10"/>
      <c r="C152" s="11">
        <v>1</v>
      </c>
      <c r="D152" s="10"/>
      <c r="E152" s="48">
        <f t="shared" si="37"/>
        <v>1</v>
      </c>
      <c r="F152" s="10"/>
      <c r="G152" s="11">
        <v>1</v>
      </c>
      <c r="H152" s="10"/>
      <c r="I152" s="44">
        <f t="shared" si="38"/>
        <v>1</v>
      </c>
      <c r="J152" s="31">
        <f t="shared" si="39"/>
        <v>2</v>
      </c>
      <c r="K152" s="37">
        <v>45817</v>
      </c>
    </row>
    <row r="153" spans="1:11" x14ac:dyDescent="0.15">
      <c r="A153" s="40" t="s">
        <v>99</v>
      </c>
      <c r="B153" s="10">
        <v>0</v>
      </c>
      <c r="C153" s="11">
        <v>0</v>
      </c>
      <c r="D153" s="10">
        <v>1</v>
      </c>
      <c r="E153" s="48">
        <f t="shared" si="37"/>
        <v>1</v>
      </c>
      <c r="F153" s="10">
        <v>0</v>
      </c>
      <c r="G153" s="11">
        <v>0</v>
      </c>
      <c r="H153" s="10">
        <v>1</v>
      </c>
      <c r="I153" s="44">
        <f t="shared" si="38"/>
        <v>1</v>
      </c>
      <c r="J153" s="31">
        <f t="shared" si="39"/>
        <v>2</v>
      </c>
      <c r="K153" s="37">
        <v>45890</v>
      </c>
    </row>
    <row r="154" spans="1:11" x14ac:dyDescent="0.15">
      <c r="A154" s="40" t="s">
        <v>16</v>
      </c>
      <c r="B154" s="10"/>
      <c r="C154" s="11">
        <v>1</v>
      </c>
      <c r="D154" s="10"/>
      <c r="E154" s="48">
        <f t="shared" si="37"/>
        <v>1</v>
      </c>
      <c r="F154" s="10"/>
      <c r="G154" s="11">
        <v>1</v>
      </c>
      <c r="H154" s="10"/>
      <c r="I154" s="44">
        <f t="shared" si="38"/>
        <v>1</v>
      </c>
      <c r="J154" s="31">
        <f t="shared" si="39"/>
        <v>2</v>
      </c>
      <c r="K154" s="37">
        <v>45961</v>
      </c>
    </row>
    <row r="155" spans="1:11" x14ac:dyDescent="0.15">
      <c r="A155" s="40" t="s">
        <v>16</v>
      </c>
      <c r="B155" s="10"/>
      <c r="C155" s="11"/>
      <c r="D155" s="10">
        <v>2</v>
      </c>
      <c r="E155" s="48">
        <f t="shared" ref="E155:E169" si="40">SUM(B155:D155)</f>
        <v>2</v>
      </c>
      <c r="F155" s="10"/>
      <c r="G155" s="11"/>
      <c r="H155" s="10">
        <v>2</v>
      </c>
      <c r="I155" s="44">
        <f t="shared" ref="I155:I169" si="41">SUM(F155:H155)</f>
        <v>2</v>
      </c>
      <c r="J155" s="31">
        <f t="shared" ref="J155:J170" si="42">SUM(I155,E155)</f>
        <v>4</v>
      </c>
      <c r="K155" s="37">
        <v>45989</v>
      </c>
    </row>
    <row r="156" spans="1:11" x14ac:dyDescent="0.15">
      <c r="A156" s="40" t="s">
        <v>16</v>
      </c>
      <c r="B156" s="10"/>
      <c r="C156" s="11"/>
      <c r="D156" s="10">
        <v>2</v>
      </c>
      <c r="E156" s="48">
        <f t="shared" si="40"/>
        <v>2</v>
      </c>
      <c r="F156" s="10">
        <v>2</v>
      </c>
      <c r="G156" s="11"/>
      <c r="H156" s="10"/>
      <c r="I156" s="44">
        <f t="shared" si="41"/>
        <v>2</v>
      </c>
      <c r="J156" s="31">
        <f t="shared" si="42"/>
        <v>4</v>
      </c>
      <c r="K156" s="37">
        <v>46006</v>
      </c>
    </row>
    <row r="157" spans="1:11" x14ac:dyDescent="0.15">
      <c r="A157" s="40" t="s">
        <v>16</v>
      </c>
      <c r="B157" s="10"/>
      <c r="C157" s="11"/>
      <c r="D157" s="10">
        <v>2</v>
      </c>
      <c r="E157" s="48">
        <f t="shared" ref="E157" si="43">SUM(B157:D157)</f>
        <v>2</v>
      </c>
      <c r="F157" s="10"/>
      <c r="G157" s="11"/>
      <c r="H157" s="10">
        <v>2</v>
      </c>
      <c r="I157" s="44">
        <f t="shared" ref="I157" si="44">SUM(F157:H157)</f>
        <v>2</v>
      </c>
      <c r="J157" s="31">
        <f t="shared" ref="J157" si="45">SUM(I157,E157)</f>
        <v>4</v>
      </c>
      <c r="K157" s="37">
        <v>46011</v>
      </c>
    </row>
    <row r="158" spans="1:11" x14ac:dyDescent="0.15">
      <c r="A158" s="40" t="s">
        <v>16</v>
      </c>
      <c r="B158" s="10"/>
      <c r="C158" s="11"/>
      <c r="D158" s="10">
        <v>1</v>
      </c>
      <c r="E158" s="48">
        <f t="shared" si="40"/>
        <v>1</v>
      </c>
      <c r="F158" s="10"/>
      <c r="G158" s="11"/>
      <c r="H158" s="10">
        <v>1</v>
      </c>
      <c r="I158" s="44">
        <f t="shared" si="41"/>
        <v>1</v>
      </c>
      <c r="J158" s="31">
        <f t="shared" si="42"/>
        <v>2</v>
      </c>
      <c r="K158" s="37">
        <v>46015</v>
      </c>
    </row>
    <row r="159" spans="1:11" x14ac:dyDescent="0.15">
      <c r="A159" s="40" t="s">
        <v>73</v>
      </c>
      <c r="B159" s="10">
        <v>0</v>
      </c>
      <c r="C159" s="11">
        <v>0</v>
      </c>
      <c r="D159" s="10">
        <v>-2</v>
      </c>
      <c r="E159" s="48">
        <f t="shared" si="40"/>
        <v>-2</v>
      </c>
      <c r="F159" s="10">
        <v>0</v>
      </c>
      <c r="G159" s="11">
        <v>0</v>
      </c>
      <c r="H159" s="10">
        <v>0</v>
      </c>
      <c r="I159" s="44">
        <f t="shared" si="41"/>
        <v>0</v>
      </c>
      <c r="J159" s="31">
        <f t="shared" si="42"/>
        <v>-2</v>
      </c>
      <c r="K159" s="37">
        <v>46085</v>
      </c>
    </row>
    <row r="160" spans="1:11" x14ac:dyDescent="0.15">
      <c r="A160" s="40" t="s">
        <v>16</v>
      </c>
      <c r="B160" s="10">
        <v>1</v>
      </c>
      <c r="C160" s="11"/>
      <c r="D160" s="10"/>
      <c r="E160" s="48">
        <f t="shared" si="40"/>
        <v>1</v>
      </c>
      <c r="F160" s="10">
        <v>1</v>
      </c>
      <c r="G160" s="11"/>
      <c r="H160" s="10"/>
      <c r="I160" s="44">
        <f t="shared" si="41"/>
        <v>1</v>
      </c>
      <c r="J160" s="31">
        <f t="shared" si="42"/>
        <v>2</v>
      </c>
      <c r="K160" s="37">
        <v>46107</v>
      </c>
    </row>
    <row r="161" spans="1:11" x14ac:dyDescent="0.15">
      <c r="A161" s="40" t="s">
        <v>16</v>
      </c>
      <c r="B161" s="10"/>
      <c r="C161" s="11">
        <v>1</v>
      </c>
      <c r="D161" s="10"/>
      <c r="E161" s="48">
        <f t="shared" si="40"/>
        <v>1</v>
      </c>
      <c r="F161" s="10"/>
      <c r="G161" s="11">
        <v>1</v>
      </c>
      <c r="H161" s="10"/>
      <c r="I161" s="44">
        <f t="shared" si="41"/>
        <v>1</v>
      </c>
      <c r="J161" s="31">
        <f t="shared" si="42"/>
        <v>2</v>
      </c>
      <c r="K161" s="37">
        <v>46118</v>
      </c>
    </row>
    <row r="162" spans="1:11" x14ac:dyDescent="0.15">
      <c r="A162" s="40" t="s">
        <v>16</v>
      </c>
      <c r="B162" s="10"/>
      <c r="C162" s="11">
        <v>2</v>
      </c>
      <c r="D162" s="10"/>
      <c r="E162" s="48">
        <f t="shared" si="40"/>
        <v>2</v>
      </c>
      <c r="F162" s="10"/>
      <c r="G162" s="11">
        <v>2</v>
      </c>
      <c r="H162" s="10"/>
      <c r="I162" s="44">
        <f t="shared" si="41"/>
        <v>2</v>
      </c>
      <c r="J162" s="31">
        <f t="shared" si="42"/>
        <v>4</v>
      </c>
      <c r="K162" s="37">
        <v>46149</v>
      </c>
    </row>
    <row r="163" spans="1:11" x14ac:dyDescent="0.15">
      <c r="A163" s="40" t="s">
        <v>16</v>
      </c>
      <c r="B163" s="10"/>
      <c r="C163" s="11"/>
      <c r="D163" s="10">
        <v>1</v>
      </c>
      <c r="E163" s="48">
        <f t="shared" si="40"/>
        <v>1</v>
      </c>
      <c r="F163" s="10"/>
      <c r="G163" s="11"/>
      <c r="H163" s="10">
        <v>1</v>
      </c>
      <c r="I163" s="44">
        <f t="shared" si="41"/>
        <v>1</v>
      </c>
      <c r="J163" s="31">
        <f t="shared" si="42"/>
        <v>2</v>
      </c>
      <c r="K163" s="37">
        <v>46156</v>
      </c>
    </row>
    <row r="164" spans="1:11" x14ac:dyDescent="0.15">
      <c r="A164" s="40" t="s">
        <v>16</v>
      </c>
      <c r="B164" s="10"/>
      <c r="C164" s="11">
        <v>1</v>
      </c>
      <c r="D164" s="10"/>
      <c r="E164" s="48">
        <f t="shared" si="40"/>
        <v>1</v>
      </c>
      <c r="F164" s="10"/>
      <c r="G164" s="11">
        <v>1</v>
      </c>
      <c r="H164" s="10"/>
      <c r="I164" s="44">
        <f t="shared" si="41"/>
        <v>1</v>
      </c>
      <c r="J164" s="31">
        <f t="shared" si="42"/>
        <v>2</v>
      </c>
      <c r="K164" s="37">
        <v>46176</v>
      </c>
    </row>
    <row r="165" spans="1:11" x14ac:dyDescent="0.15">
      <c r="A165" s="40"/>
      <c r="B165" s="10"/>
      <c r="C165" s="11"/>
      <c r="D165" s="10"/>
      <c r="E165" s="48">
        <f t="shared" si="40"/>
        <v>0</v>
      </c>
      <c r="F165" s="10"/>
      <c r="G165" s="11"/>
      <c r="H165" s="10"/>
      <c r="I165" s="44">
        <f t="shared" si="41"/>
        <v>0</v>
      </c>
      <c r="J165" s="31">
        <f t="shared" si="42"/>
        <v>0</v>
      </c>
    </row>
    <row r="166" spans="1:11" x14ac:dyDescent="0.15">
      <c r="A166" s="40"/>
      <c r="B166" s="10"/>
      <c r="C166" s="11"/>
      <c r="D166" s="10"/>
      <c r="E166" s="48">
        <f t="shared" si="40"/>
        <v>0</v>
      </c>
      <c r="F166" s="10"/>
      <c r="G166" s="11"/>
      <c r="H166" s="10"/>
      <c r="I166" s="44">
        <f t="shared" si="41"/>
        <v>0</v>
      </c>
      <c r="J166" s="31">
        <f t="shared" si="42"/>
        <v>0</v>
      </c>
    </row>
    <row r="167" spans="1:11" x14ac:dyDescent="0.15">
      <c r="A167" s="40"/>
      <c r="B167" s="10"/>
      <c r="C167" s="11"/>
      <c r="D167" s="10"/>
      <c r="E167" s="48">
        <f t="shared" si="40"/>
        <v>0</v>
      </c>
      <c r="F167" s="10"/>
      <c r="G167" s="11"/>
      <c r="H167" s="10"/>
      <c r="I167" s="44">
        <f t="shared" si="41"/>
        <v>0</v>
      </c>
      <c r="J167" s="31">
        <f t="shared" si="42"/>
        <v>0</v>
      </c>
    </row>
    <row r="168" spans="1:11" ht="14.25" thickBot="1" x14ac:dyDescent="0.2">
      <c r="A168" s="40"/>
      <c r="B168" s="10"/>
      <c r="C168" s="11"/>
      <c r="D168" s="10"/>
      <c r="E168" s="48">
        <f t="shared" si="40"/>
        <v>0</v>
      </c>
      <c r="F168" s="10"/>
      <c r="G168" s="11"/>
      <c r="H168" s="10"/>
      <c r="I168" s="44">
        <f t="shared" si="41"/>
        <v>0</v>
      </c>
      <c r="J168" s="31">
        <f t="shared" si="42"/>
        <v>0</v>
      </c>
    </row>
    <row r="169" spans="1:11" ht="14.25" thickBot="1" x14ac:dyDescent="0.2">
      <c r="A169" s="3" t="s">
        <v>5</v>
      </c>
      <c r="B169" s="16">
        <f>SUM(B145:B168)</f>
        <v>2</v>
      </c>
      <c r="C169" s="61">
        <f>SUM(C145:C168)</f>
        <v>12</v>
      </c>
      <c r="D169" s="16">
        <f t="shared" ref="D169" si="46">SUM(D145:D168)</f>
        <v>8</v>
      </c>
      <c r="E169" s="65">
        <f t="shared" si="40"/>
        <v>22</v>
      </c>
      <c r="F169" s="15">
        <f>SUM(F145:F168)</f>
        <v>4</v>
      </c>
      <c r="G169" s="15">
        <f t="shared" ref="G169:H169" si="47">SUM(G145:G168)</f>
        <v>14</v>
      </c>
      <c r="H169" s="15">
        <f t="shared" si="47"/>
        <v>8</v>
      </c>
      <c r="I169" s="16">
        <f t="shared" si="41"/>
        <v>26</v>
      </c>
      <c r="J169" s="34">
        <f t="shared" si="42"/>
        <v>48</v>
      </c>
    </row>
    <row r="170" spans="1:11" ht="14.25" thickBot="1" x14ac:dyDescent="0.2">
      <c r="A170" s="25" t="s">
        <v>6</v>
      </c>
      <c r="B170" s="26">
        <f>B144-B169</f>
        <v>2</v>
      </c>
      <c r="C170" s="26">
        <f t="shared" ref="C170:E170" si="48">C144-C169</f>
        <v>-1</v>
      </c>
      <c r="D170" s="24">
        <f t="shared" si="48"/>
        <v>3</v>
      </c>
      <c r="E170" s="47">
        <f t="shared" si="48"/>
        <v>4</v>
      </c>
      <c r="F170" s="26">
        <f>F144-F169</f>
        <v>2</v>
      </c>
      <c r="G170" s="26">
        <f t="shared" ref="G170:I170" si="49">G144-G169</f>
        <v>-1</v>
      </c>
      <c r="H170" s="26">
        <f t="shared" si="49"/>
        <v>1</v>
      </c>
      <c r="I170" s="26">
        <f t="shared" si="49"/>
        <v>2</v>
      </c>
      <c r="J170" s="38">
        <f t="shared" si="42"/>
        <v>6</v>
      </c>
    </row>
    <row r="173" spans="1:11" ht="18" thickBot="1" x14ac:dyDescent="0.25">
      <c r="A173" s="29" t="s">
        <v>39</v>
      </c>
      <c r="B173" s="1"/>
      <c r="C173" s="1"/>
      <c r="D173" s="1"/>
      <c r="E173" s="1"/>
      <c r="F173" s="1" t="s">
        <v>66</v>
      </c>
      <c r="G173" s="1"/>
      <c r="H173" s="1"/>
      <c r="I173" s="1"/>
      <c r="J173" s="1"/>
    </row>
    <row r="174" spans="1:11" ht="14.25" thickBot="1" x14ac:dyDescent="0.2">
      <c r="A174" s="2" t="s">
        <v>0</v>
      </c>
      <c r="B174" s="210" t="s">
        <v>14</v>
      </c>
      <c r="C174" s="211"/>
      <c r="D174" s="211"/>
      <c r="E174" s="212"/>
      <c r="F174" s="213" t="s">
        <v>46</v>
      </c>
      <c r="G174" s="214"/>
      <c r="H174" s="214"/>
      <c r="I174" s="215"/>
      <c r="J174" s="208" t="s">
        <v>10</v>
      </c>
    </row>
    <row r="175" spans="1:11" ht="14.25" thickBot="1" x14ac:dyDescent="0.2">
      <c r="A175" s="2" t="s">
        <v>1</v>
      </c>
      <c r="B175" s="3" t="s">
        <v>7</v>
      </c>
      <c r="C175" s="2" t="s">
        <v>8</v>
      </c>
      <c r="D175" s="2" t="s">
        <v>9</v>
      </c>
      <c r="E175" s="19" t="s">
        <v>2</v>
      </c>
      <c r="F175" s="2" t="s">
        <v>11</v>
      </c>
      <c r="G175" s="19" t="s">
        <v>12</v>
      </c>
      <c r="H175" s="2" t="s">
        <v>13</v>
      </c>
      <c r="I175" s="2" t="s">
        <v>2</v>
      </c>
      <c r="J175" s="209"/>
    </row>
    <row r="176" spans="1:11" ht="14.25" thickBot="1" x14ac:dyDescent="0.2">
      <c r="A176" s="3" t="s">
        <v>6</v>
      </c>
      <c r="B176" s="63">
        <f>B170</f>
        <v>2</v>
      </c>
      <c r="C176" s="64">
        <f t="shared" ref="C176:J176" si="50">C170</f>
        <v>-1</v>
      </c>
      <c r="D176" s="63">
        <f t="shared" si="50"/>
        <v>3</v>
      </c>
      <c r="E176" s="61">
        <f t="shared" si="50"/>
        <v>4</v>
      </c>
      <c r="F176" s="63">
        <f t="shared" si="50"/>
        <v>2</v>
      </c>
      <c r="G176" s="63">
        <f t="shared" si="50"/>
        <v>-1</v>
      </c>
      <c r="H176" s="63">
        <f t="shared" si="50"/>
        <v>1</v>
      </c>
      <c r="I176" s="65">
        <f t="shared" si="50"/>
        <v>2</v>
      </c>
      <c r="J176" s="34">
        <f t="shared" si="50"/>
        <v>6</v>
      </c>
    </row>
    <row r="177" spans="1:11" x14ac:dyDescent="0.15">
      <c r="A177" s="201" t="s">
        <v>3</v>
      </c>
      <c r="B177" s="191"/>
      <c r="C177" s="190">
        <v>2</v>
      </c>
      <c r="D177" s="191"/>
      <c r="E177" s="202">
        <f t="shared" ref="E177:E184" si="51">SUM(B177:D177)</f>
        <v>2</v>
      </c>
      <c r="F177" s="191"/>
      <c r="G177" s="190">
        <v>2</v>
      </c>
      <c r="H177" s="191"/>
      <c r="I177" s="203">
        <f t="shared" ref="I177:I184" si="52">SUM(F177:H177)</f>
        <v>2</v>
      </c>
      <c r="J177" s="204">
        <f t="shared" ref="J177:J184" si="53">SUM(I177,E177)</f>
        <v>4</v>
      </c>
      <c r="K177" s="176">
        <v>46155</v>
      </c>
    </row>
    <row r="178" spans="1:11" x14ac:dyDescent="0.15">
      <c r="A178" s="39" t="s">
        <v>3</v>
      </c>
      <c r="B178" s="10"/>
      <c r="C178" s="11"/>
      <c r="D178" s="10"/>
      <c r="E178" s="45">
        <f t="shared" si="51"/>
        <v>0</v>
      </c>
      <c r="F178" s="10"/>
      <c r="G178" s="11"/>
      <c r="H178" s="10">
        <v>2</v>
      </c>
      <c r="I178" s="41">
        <f t="shared" si="52"/>
        <v>2</v>
      </c>
      <c r="J178" s="31">
        <f t="shared" si="53"/>
        <v>2</v>
      </c>
      <c r="K178" s="32">
        <v>46161</v>
      </c>
    </row>
    <row r="179" spans="1:11" x14ac:dyDescent="0.15">
      <c r="A179" s="39" t="s">
        <v>3</v>
      </c>
      <c r="B179" s="10"/>
      <c r="C179" s="11">
        <v>2</v>
      </c>
      <c r="D179" s="10"/>
      <c r="E179" s="45">
        <f t="shared" si="51"/>
        <v>2</v>
      </c>
      <c r="F179" s="10"/>
      <c r="G179" s="11">
        <v>2</v>
      </c>
      <c r="H179" s="10"/>
      <c r="I179" s="41">
        <f t="shared" si="52"/>
        <v>2</v>
      </c>
      <c r="J179" s="31">
        <f t="shared" si="53"/>
        <v>4</v>
      </c>
      <c r="K179" s="32">
        <v>46183</v>
      </c>
    </row>
    <row r="180" spans="1:11" x14ac:dyDescent="0.15">
      <c r="A180" s="39" t="s">
        <v>3</v>
      </c>
      <c r="B180" s="10"/>
      <c r="C180" s="11"/>
      <c r="D180" s="10"/>
      <c r="E180" s="45">
        <f t="shared" si="51"/>
        <v>0</v>
      </c>
      <c r="F180" s="10"/>
      <c r="G180" s="11"/>
      <c r="H180" s="10"/>
      <c r="I180" s="41">
        <f t="shared" si="52"/>
        <v>0</v>
      </c>
      <c r="J180" s="31">
        <f t="shared" si="53"/>
        <v>0</v>
      </c>
    </row>
    <row r="181" spans="1:11" x14ac:dyDescent="0.15">
      <c r="A181" s="39" t="s">
        <v>3</v>
      </c>
      <c r="B181" s="10"/>
      <c r="C181" s="11"/>
      <c r="D181" s="10"/>
      <c r="E181" s="45">
        <f t="shared" si="51"/>
        <v>0</v>
      </c>
      <c r="F181" s="10"/>
      <c r="G181" s="11"/>
      <c r="H181" s="10"/>
      <c r="I181" s="41">
        <f t="shared" si="52"/>
        <v>0</v>
      </c>
      <c r="J181" s="31">
        <f t="shared" si="53"/>
        <v>0</v>
      </c>
    </row>
    <row r="182" spans="1:11" x14ac:dyDescent="0.15">
      <c r="A182" s="39" t="s">
        <v>3</v>
      </c>
      <c r="B182" s="10"/>
      <c r="C182" s="11"/>
      <c r="D182" s="10"/>
      <c r="E182" s="45">
        <f t="shared" si="51"/>
        <v>0</v>
      </c>
      <c r="F182" s="10"/>
      <c r="G182" s="11"/>
      <c r="H182" s="10"/>
      <c r="I182" s="41">
        <f t="shared" si="52"/>
        <v>0</v>
      </c>
      <c r="J182" s="31">
        <f t="shared" si="53"/>
        <v>0</v>
      </c>
    </row>
    <row r="183" spans="1:11" x14ac:dyDescent="0.15">
      <c r="A183" s="39" t="s">
        <v>3</v>
      </c>
      <c r="B183" s="10"/>
      <c r="C183" s="11"/>
      <c r="D183" s="10"/>
      <c r="E183" s="45">
        <f t="shared" si="51"/>
        <v>0</v>
      </c>
      <c r="F183" s="10"/>
      <c r="G183" s="11"/>
      <c r="H183" s="10"/>
      <c r="I183" s="41">
        <f t="shared" si="52"/>
        <v>0</v>
      </c>
      <c r="J183" s="31">
        <f t="shared" si="53"/>
        <v>0</v>
      </c>
    </row>
    <row r="184" spans="1:11" x14ac:dyDescent="0.15">
      <c r="A184" s="39" t="s">
        <v>3</v>
      </c>
      <c r="B184" s="10"/>
      <c r="C184" s="11"/>
      <c r="D184" s="10"/>
      <c r="E184" s="45">
        <f t="shared" si="51"/>
        <v>0</v>
      </c>
      <c r="F184" s="10"/>
      <c r="G184" s="11"/>
      <c r="H184" s="10"/>
      <c r="I184" s="41">
        <f t="shared" si="52"/>
        <v>0</v>
      </c>
      <c r="J184" s="31">
        <f t="shared" si="53"/>
        <v>0</v>
      </c>
    </row>
    <row r="185" spans="1:11" x14ac:dyDescent="0.15">
      <c r="A185" s="39" t="s">
        <v>3</v>
      </c>
      <c r="B185" s="10"/>
      <c r="C185" s="11"/>
      <c r="D185" s="10"/>
      <c r="E185" s="45">
        <f>SUM(B185:D185)</f>
        <v>0</v>
      </c>
      <c r="F185" s="10"/>
      <c r="G185" s="11"/>
      <c r="H185" s="10"/>
      <c r="I185" s="41">
        <f>SUM(F185:H185)</f>
        <v>0</v>
      </c>
      <c r="J185" s="31">
        <f>SUM(I185,E185)</f>
        <v>0</v>
      </c>
    </row>
    <row r="186" spans="1:11" ht="14.25" thickBot="1" x14ac:dyDescent="0.2">
      <c r="A186" s="153" t="s">
        <v>3</v>
      </c>
      <c r="B186" s="13"/>
      <c r="C186" s="14"/>
      <c r="D186" s="13"/>
      <c r="E186" s="46">
        <f>SUM(B186:D186)</f>
        <v>0</v>
      </c>
      <c r="F186" s="13"/>
      <c r="G186" s="14"/>
      <c r="H186" s="13"/>
      <c r="I186" s="42">
        <f>SUM(F186:H186)</f>
        <v>0</v>
      </c>
      <c r="J186" s="36">
        <f>SUM(I186,E186)</f>
        <v>0</v>
      </c>
    </row>
    <row r="187" spans="1:11" ht="14.25" thickBot="1" x14ac:dyDescent="0.2">
      <c r="A187" s="51" t="s">
        <v>4</v>
      </c>
      <c r="B187" s="22">
        <f>SUM(B176:B186)</f>
        <v>2</v>
      </c>
      <c r="C187" s="22">
        <f>SUM(C176:C186)</f>
        <v>3</v>
      </c>
      <c r="D187" s="22">
        <f t="shared" ref="D187" si="54">SUM(D176:D186)</f>
        <v>3</v>
      </c>
      <c r="E187" s="47">
        <f>SUM(B187:D187)</f>
        <v>8</v>
      </c>
      <c r="F187" s="22">
        <f>SUM(F176:F186)</f>
        <v>2</v>
      </c>
      <c r="G187" s="22">
        <f t="shared" ref="G187:H187" si="55">SUM(G176:G186)</f>
        <v>3</v>
      </c>
      <c r="H187" s="22">
        <f t="shared" si="55"/>
        <v>3</v>
      </c>
      <c r="I187" s="43">
        <f>SUM(F187:H187)</f>
        <v>8</v>
      </c>
      <c r="J187" s="34">
        <f>SUM(I187,E187)</f>
        <v>16</v>
      </c>
    </row>
    <row r="188" spans="1:11" x14ac:dyDescent="0.15">
      <c r="A188" s="40"/>
      <c r="B188" s="10"/>
      <c r="C188" s="11"/>
      <c r="D188" s="10"/>
      <c r="E188" s="48">
        <f t="shared" ref="E188:E191" si="56">SUM(B188:D188)</f>
        <v>0</v>
      </c>
      <c r="F188" s="10"/>
      <c r="G188" s="11"/>
      <c r="H188" s="10"/>
      <c r="I188" s="44">
        <f t="shared" ref="I188:I191" si="57">SUM(F188:H188)</f>
        <v>0</v>
      </c>
      <c r="J188" s="31">
        <f t="shared" ref="J188:J191" si="58">SUM(I188,E188)</f>
        <v>0</v>
      </c>
    </row>
    <row r="189" spans="1:11" x14ac:dyDescent="0.15">
      <c r="A189" s="40"/>
      <c r="B189" s="10"/>
      <c r="C189" s="11"/>
      <c r="D189" s="10"/>
      <c r="E189" s="48">
        <f t="shared" si="56"/>
        <v>0</v>
      </c>
      <c r="F189" s="10"/>
      <c r="G189" s="11"/>
      <c r="H189" s="10"/>
      <c r="I189" s="44">
        <f t="shared" si="57"/>
        <v>0</v>
      </c>
      <c r="J189" s="31">
        <f t="shared" si="58"/>
        <v>0</v>
      </c>
    </row>
    <row r="190" spans="1:11" x14ac:dyDescent="0.15">
      <c r="A190" s="40"/>
      <c r="B190" s="10"/>
      <c r="C190" s="11"/>
      <c r="D190" s="10"/>
      <c r="E190" s="48">
        <f t="shared" si="56"/>
        <v>0</v>
      </c>
      <c r="F190" s="10"/>
      <c r="G190" s="11"/>
      <c r="H190" s="10"/>
      <c r="I190" s="44">
        <f t="shared" si="57"/>
        <v>0</v>
      </c>
      <c r="J190" s="31">
        <f t="shared" si="58"/>
        <v>0</v>
      </c>
    </row>
    <row r="191" spans="1:11" x14ac:dyDescent="0.15">
      <c r="A191" s="40"/>
      <c r="B191" s="10"/>
      <c r="C191" s="11"/>
      <c r="D191" s="10"/>
      <c r="E191" s="48">
        <f t="shared" si="56"/>
        <v>0</v>
      </c>
      <c r="F191" s="10"/>
      <c r="G191" s="11"/>
      <c r="H191" s="10"/>
      <c r="I191" s="44">
        <f t="shared" si="57"/>
        <v>0</v>
      </c>
      <c r="J191" s="31">
        <f t="shared" si="58"/>
        <v>0</v>
      </c>
    </row>
    <row r="192" spans="1:11" x14ac:dyDescent="0.15">
      <c r="A192" s="40"/>
      <c r="B192" s="10"/>
      <c r="C192" s="11"/>
      <c r="D192" s="10"/>
      <c r="E192" s="48">
        <f t="shared" ref="E192:E212" si="59">SUM(B192:D192)</f>
        <v>0</v>
      </c>
      <c r="F192" s="10"/>
      <c r="G192" s="11"/>
      <c r="H192" s="10"/>
      <c r="I192" s="44">
        <f t="shared" ref="I192:I212" si="60">SUM(F192:H192)</f>
        <v>0</v>
      </c>
      <c r="J192" s="31">
        <f t="shared" ref="J192:J213" si="61">SUM(I192,E192)</f>
        <v>0</v>
      </c>
    </row>
    <row r="193" spans="1:10" x14ac:dyDescent="0.15">
      <c r="A193" s="40"/>
      <c r="B193" s="10"/>
      <c r="C193" s="11"/>
      <c r="D193" s="10"/>
      <c r="E193" s="48">
        <f t="shared" si="59"/>
        <v>0</v>
      </c>
      <c r="F193" s="10"/>
      <c r="G193" s="11"/>
      <c r="H193" s="10"/>
      <c r="I193" s="44">
        <f t="shared" si="60"/>
        <v>0</v>
      </c>
      <c r="J193" s="31">
        <f t="shared" si="61"/>
        <v>0</v>
      </c>
    </row>
    <row r="194" spans="1:10" x14ac:dyDescent="0.15">
      <c r="A194" s="40"/>
      <c r="B194" s="10"/>
      <c r="C194" s="11"/>
      <c r="D194" s="10"/>
      <c r="E194" s="48">
        <f t="shared" si="59"/>
        <v>0</v>
      </c>
      <c r="F194" s="10"/>
      <c r="G194" s="11"/>
      <c r="H194" s="10"/>
      <c r="I194" s="44">
        <f t="shared" si="60"/>
        <v>0</v>
      </c>
      <c r="J194" s="31">
        <f t="shared" si="61"/>
        <v>0</v>
      </c>
    </row>
    <row r="195" spans="1:10" x14ac:dyDescent="0.15">
      <c r="A195" s="40"/>
      <c r="B195" s="10"/>
      <c r="C195" s="11"/>
      <c r="D195" s="10"/>
      <c r="E195" s="48">
        <f t="shared" si="59"/>
        <v>0</v>
      </c>
      <c r="F195" s="10"/>
      <c r="G195" s="11"/>
      <c r="H195" s="10"/>
      <c r="I195" s="44">
        <f t="shared" si="60"/>
        <v>0</v>
      </c>
      <c r="J195" s="31">
        <f t="shared" si="61"/>
        <v>0</v>
      </c>
    </row>
    <row r="196" spans="1:10" x14ac:dyDescent="0.15">
      <c r="A196" s="40"/>
      <c r="B196" s="10"/>
      <c r="C196" s="11"/>
      <c r="D196" s="10"/>
      <c r="E196" s="48">
        <f t="shared" si="59"/>
        <v>0</v>
      </c>
      <c r="F196" s="10"/>
      <c r="G196" s="11"/>
      <c r="H196" s="10"/>
      <c r="I196" s="44">
        <f t="shared" si="60"/>
        <v>0</v>
      </c>
      <c r="J196" s="31">
        <f t="shared" si="61"/>
        <v>0</v>
      </c>
    </row>
    <row r="197" spans="1:10" x14ac:dyDescent="0.15">
      <c r="A197" s="40"/>
      <c r="B197" s="10"/>
      <c r="C197" s="11"/>
      <c r="D197" s="10"/>
      <c r="E197" s="48">
        <f t="shared" si="59"/>
        <v>0</v>
      </c>
      <c r="F197" s="10"/>
      <c r="G197" s="11"/>
      <c r="H197" s="10"/>
      <c r="I197" s="44">
        <f t="shared" si="60"/>
        <v>0</v>
      </c>
      <c r="J197" s="31">
        <f t="shared" si="61"/>
        <v>0</v>
      </c>
    </row>
    <row r="198" spans="1:10" x14ac:dyDescent="0.15">
      <c r="A198" s="40"/>
      <c r="B198" s="10"/>
      <c r="C198" s="11"/>
      <c r="D198" s="10"/>
      <c r="E198" s="48">
        <f t="shared" si="59"/>
        <v>0</v>
      </c>
      <c r="F198" s="10"/>
      <c r="G198" s="11"/>
      <c r="H198" s="10"/>
      <c r="I198" s="44">
        <f t="shared" si="60"/>
        <v>0</v>
      </c>
      <c r="J198" s="31">
        <f t="shared" si="61"/>
        <v>0</v>
      </c>
    </row>
    <row r="199" spans="1:10" x14ac:dyDescent="0.15">
      <c r="A199" s="40"/>
      <c r="B199" s="10"/>
      <c r="C199" s="11"/>
      <c r="D199" s="10"/>
      <c r="E199" s="48">
        <f t="shared" si="59"/>
        <v>0</v>
      </c>
      <c r="F199" s="10"/>
      <c r="G199" s="11"/>
      <c r="H199" s="10"/>
      <c r="I199" s="44">
        <f t="shared" si="60"/>
        <v>0</v>
      </c>
      <c r="J199" s="31">
        <f t="shared" si="61"/>
        <v>0</v>
      </c>
    </row>
    <row r="200" spans="1:10" x14ac:dyDescent="0.15">
      <c r="A200" s="40"/>
      <c r="B200" s="10"/>
      <c r="C200" s="11"/>
      <c r="D200" s="10"/>
      <c r="E200" s="48">
        <f t="shared" si="59"/>
        <v>0</v>
      </c>
      <c r="F200" s="10"/>
      <c r="G200" s="11"/>
      <c r="H200" s="10"/>
      <c r="I200" s="44">
        <f t="shared" si="60"/>
        <v>0</v>
      </c>
      <c r="J200" s="31">
        <f t="shared" si="61"/>
        <v>0</v>
      </c>
    </row>
    <row r="201" spans="1:10" x14ac:dyDescent="0.15">
      <c r="A201" s="40"/>
      <c r="B201" s="10"/>
      <c r="C201" s="11"/>
      <c r="D201" s="10"/>
      <c r="E201" s="48">
        <f t="shared" si="59"/>
        <v>0</v>
      </c>
      <c r="F201" s="10"/>
      <c r="G201" s="11"/>
      <c r="H201" s="10"/>
      <c r="I201" s="44">
        <f t="shared" si="60"/>
        <v>0</v>
      </c>
      <c r="J201" s="31">
        <f t="shared" si="61"/>
        <v>0</v>
      </c>
    </row>
    <row r="202" spans="1:10" x14ac:dyDescent="0.15">
      <c r="A202" s="40"/>
      <c r="B202" s="10"/>
      <c r="C202" s="11"/>
      <c r="D202" s="10"/>
      <c r="E202" s="48">
        <f t="shared" si="59"/>
        <v>0</v>
      </c>
      <c r="F202" s="10"/>
      <c r="G202" s="11"/>
      <c r="H202" s="10"/>
      <c r="I202" s="44">
        <f t="shared" si="60"/>
        <v>0</v>
      </c>
      <c r="J202" s="31">
        <f t="shared" si="61"/>
        <v>0</v>
      </c>
    </row>
    <row r="203" spans="1:10" x14ac:dyDescent="0.15">
      <c r="A203" s="40"/>
      <c r="B203" s="10"/>
      <c r="C203" s="11"/>
      <c r="D203" s="10"/>
      <c r="E203" s="48">
        <f t="shared" si="59"/>
        <v>0</v>
      </c>
      <c r="F203" s="10"/>
      <c r="G203" s="11"/>
      <c r="H203" s="10"/>
      <c r="I203" s="44">
        <f t="shared" si="60"/>
        <v>0</v>
      </c>
      <c r="J203" s="31">
        <f t="shared" si="61"/>
        <v>0</v>
      </c>
    </row>
    <row r="204" spans="1:10" x14ac:dyDescent="0.15">
      <c r="A204" s="40"/>
      <c r="B204" s="10"/>
      <c r="C204" s="11"/>
      <c r="D204" s="10"/>
      <c r="E204" s="48">
        <f t="shared" si="59"/>
        <v>0</v>
      </c>
      <c r="F204" s="10"/>
      <c r="G204" s="11"/>
      <c r="H204" s="10"/>
      <c r="I204" s="44">
        <f t="shared" si="60"/>
        <v>0</v>
      </c>
      <c r="J204" s="31">
        <f t="shared" si="61"/>
        <v>0</v>
      </c>
    </row>
    <row r="205" spans="1:10" x14ac:dyDescent="0.15">
      <c r="A205" s="40"/>
      <c r="B205" s="10"/>
      <c r="C205" s="11"/>
      <c r="D205" s="10"/>
      <c r="E205" s="48">
        <f t="shared" si="59"/>
        <v>0</v>
      </c>
      <c r="F205" s="10"/>
      <c r="G205" s="11"/>
      <c r="H205" s="10"/>
      <c r="I205" s="44">
        <f t="shared" si="60"/>
        <v>0</v>
      </c>
      <c r="J205" s="31">
        <f t="shared" si="61"/>
        <v>0</v>
      </c>
    </row>
    <row r="206" spans="1:10" x14ac:dyDescent="0.15">
      <c r="A206" s="40"/>
      <c r="B206" s="10"/>
      <c r="C206" s="11"/>
      <c r="D206" s="10"/>
      <c r="E206" s="48">
        <f t="shared" si="59"/>
        <v>0</v>
      </c>
      <c r="F206" s="10"/>
      <c r="G206" s="11"/>
      <c r="H206" s="10"/>
      <c r="I206" s="44">
        <f t="shared" si="60"/>
        <v>0</v>
      </c>
      <c r="J206" s="31">
        <f t="shared" si="61"/>
        <v>0</v>
      </c>
    </row>
    <row r="207" spans="1:10" x14ac:dyDescent="0.15">
      <c r="A207" s="40"/>
      <c r="B207" s="10"/>
      <c r="C207" s="11"/>
      <c r="D207" s="10"/>
      <c r="E207" s="48">
        <f t="shared" si="59"/>
        <v>0</v>
      </c>
      <c r="F207" s="10"/>
      <c r="G207" s="11"/>
      <c r="H207" s="10"/>
      <c r="I207" s="44">
        <f t="shared" si="60"/>
        <v>0</v>
      </c>
      <c r="J207" s="31">
        <f t="shared" si="61"/>
        <v>0</v>
      </c>
    </row>
    <row r="208" spans="1:10" x14ac:dyDescent="0.15">
      <c r="A208" s="40"/>
      <c r="B208" s="10"/>
      <c r="C208" s="11"/>
      <c r="D208" s="10"/>
      <c r="E208" s="48">
        <f t="shared" si="59"/>
        <v>0</v>
      </c>
      <c r="F208" s="10"/>
      <c r="G208" s="11"/>
      <c r="H208" s="10"/>
      <c r="I208" s="44">
        <f t="shared" si="60"/>
        <v>0</v>
      </c>
      <c r="J208" s="31">
        <f t="shared" si="61"/>
        <v>0</v>
      </c>
    </row>
    <row r="209" spans="1:10" x14ac:dyDescent="0.15">
      <c r="A209" s="40"/>
      <c r="B209" s="10"/>
      <c r="C209" s="11"/>
      <c r="D209" s="10"/>
      <c r="E209" s="48">
        <f t="shared" si="59"/>
        <v>0</v>
      </c>
      <c r="F209" s="10"/>
      <c r="G209" s="11"/>
      <c r="H209" s="10"/>
      <c r="I209" s="44">
        <f t="shared" si="60"/>
        <v>0</v>
      </c>
      <c r="J209" s="31">
        <f t="shared" si="61"/>
        <v>0</v>
      </c>
    </row>
    <row r="210" spans="1:10" x14ac:dyDescent="0.15">
      <c r="A210" s="40"/>
      <c r="B210" s="10"/>
      <c r="C210" s="11"/>
      <c r="D210" s="10"/>
      <c r="E210" s="48">
        <f t="shared" si="59"/>
        <v>0</v>
      </c>
      <c r="F210" s="10"/>
      <c r="G210" s="11"/>
      <c r="H210" s="10"/>
      <c r="I210" s="44">
        <f t="shared" si="60"/>
        <v>0</v>
      </c>
      <c r="J210" s="31">
        <f t="shared" si="61"/>
        <v>0</v>
      </c>
    </row>
    <row r="211" spans="1:10" ht="14.25" thickBot="1" x14ac:dyDescent="0.2">
      <c r="A211" s="40"/>
      <c r="B211" s="10"/>
      <c r="C211" s="11"/>
      <c r="D211" s="10"/>
      <c r="E211" s="48">
        <f t="shared" si="59"/>
        <v>0</v>
      </c>
      <c r="F211" s="10"/>
      <c r="G211" s="11"/>
      <c r="H211" s="10"/>
      <c r="I211" s="44">
        <f t="shared" si="60"/>
        <v>0</v>
      </c>
      <c r="J211" s="31">
        <f t="shared" si="61"/>
        <v>0</v>
      </c>
    </row>
    <row r="212" spans="1:10" ht="14.25" thickBot="1" x14ac:dyDescent="0.2">
      <c r="A212" s="3" t="s">
        <v>5</v>
      </c>
      <c r="B212" s="16">
        <f>SUM(B188:B211)</f>
        <v>0</v>
      </c>
      <c r="C212" s="61">
        <f>SUM(C188:C211)</f>
        <v>0</v>
      </c>
      <c r="D212" s="16">
        <f t="shared" ref="D212" si="62">SUM(D188:D211)</f>
        <v>0</v>
      </c>
      <c r="E212" s="65">
        <f t="shared" si="59"/>
        <v>0</v>
      </c>
      <c r="F212" s="15">
        <f>SUM(F188:F211)</f>
        <v>0</v>
      </c>
      <c r="G212" s="15">
        <f t="shared" ref="G212:H212" si="63">SUM(G188:G211)</f>
        <v>0</v>
      </c>
      <c r="H212" s="15">
        <f t="shared" si="63"/>
        <v>0</v>
      </c>
      <c r="I212" s="16">
        <f t="shared" si="60"/>
        <v>0</v>
      </c>
      <c r="J212" s="34">
        <f t="shared" si="61"/>
        <v>0</v>
      </c>
    </row>
    <row r="213" spans="1:10" ht="14.25" thickBot="1" x14ac:dyDescent="0.2">
      <c r="A213" s="25" t="s">
        <v>6</v>
      </c>
      <c r="B213" s="26">
        <f>B187-B212</f>
        <v>2</v>
      </c>
      <c r="C213" s="26">
        <f t="shared" ref="C213:E213" si="64">C187-C212</f>
        <v>3</v>
      </c>
      <c r="D213" s="24">
        <f t="shared" si="64"/>
        <v>3</v>
      </c>
      <c r="E213" s="47">
        <f t="shared" si="64"/>
        <v>8</v>
      </c>
      <c r="F213" s="26">
        <f>F187-F212</f>
        <v>2</v>
      </c>
      <c r="G213" s="26">
        <f t="shared" ref="G213:I213" si="65">G187-G212</f>
        <v>3</v>
      </c>
      <c r="H213" s="26">
        <f t="shared" si="65"/>
        <v>3</v>
      </c>
      <c r="I213" s="26">
        <f t="shared" si="65"/>
        <v>8</v>
      </c>
      <c r="J213" s="38">
        <f t="shared" si="61"/>
        <v>16</v>
      </c>
    </row>
  </sheetData>
  <mergeCells count="15">
    <mergeCell ref="B174:E174"/>
    <mergeCell ref="F174:I174"/>
    <mergeCell ref="J174:J175"/>
    <mergeCell ref="J131:J132"/>
    <mergeCell ref="B131:E131"/>
    <mergeCell ref="F131:I131"/>
    <mergeCell ref="B88:G88"/>
    <mergeCell ref="H88:M88"/>
    <mergeCell ref="N88:N89"/>
    <mergeCell ref="B2:G2"/>
    <mergeCell ref="H2:M2"/>
    <mergeCell ref="N2:N3"/>
    <mergeCell ref="B45:G45"/>
    <mergeCell ref="H45:M45"/>
    <mergeCell ref="N45:N46"/>
  </mergeCells>
  <phoneticPr fontId="8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Q944"/>
  <sheetViews>
    <sheetView topLeftCell="A908" zoomScale="90" zoomScaleNormal="90" workbookViewId="0">
      <selection activeCell="K922" sqref="K922"/>
    </sheetView>
  </sheetViews>
  <sheetFormatPr defaultRowHeight="13.5" x14ac:dyDescent="0.15"/>
  <cols>
    <col min="1" max="1" width="16.125" customWidth="1"/>
    <col min="2" max="10" width="8.375" customWidth="1"/>
    <col min="11" max="11" width="9.25" bestFit="1" customWidth="1"/>
    <col min="12" max="13" width="7.75" customWidth="1"/>
    <col min="15" max="15" width="9.25" bestFit="1" customWidth="1"/>
  </cols>
  <sheetData>
    <row r="1" spans="1:16" ht="18" thickBot="1" x14ac:dyDescent="0.25">
      <c r="A1" s="29" t="s">
        <v>17</v>
      </c>
      <c r="B1" s="1"/>
      <c r="C1" s="1"/>
      <c r="D1" s="1" t="s">
        <v>24</v>
      </c>
      <c r="E1" s="1"/>
      <c r="F1" s="1"/>
      <c r="G1" s="1"/>
      <c r="H1" s="1"/>
      <c r="I1" s="1"/>
      <c r="J1" s="1"/>
      <c r="K1" s="1"/>
      <c r="L1" s="1"/>
      <c r="M1" s="1"/>
    </row>
    <row r="2" spans="1:16" ht="14.25" thickBot="1" x14ac:dyDescent="0.2">
      <c r="A2" s="2" t="s">
        <v>0</v>
      </c>
      <c r="B2" s="206" t="s">
        <v>14</v>
      </c>
      <c r="C2" s="206"/>
      <c r="D2" s="206"/>
      <c r="E2" s="206"/>
      <c r="F2" s="206"/>
      <c r="G2" s="207"/>
      <c r="H2" s="206" t="s">
        <v>48</v>
      </c>
      <c r="I2" s="206"/>
      <c r="J2" s="206"/>
      <c r="K2" s="206"/>
      <c r="L2" s="206"/>
      <c r="M2" s="207"/>
      <c r="N2" s="208" t="s">
        <v>10</v>
      </c>
    </row>
    <row r="3" spans="1:16" ht="14.25" thickBot="1" x14ac:dyDescent="0.2">
      <c r="A3" s="2" t="s">
        <v>1</v>
      </c>
      <c r="B3" s="3" t="s">
        <v>7</v>
      </c>
      <c r="C3" s="2" t="s">
        <v>8</v>
      </c>
      <c r="D3" s="19" t="s">
        <v>18</v>
      </c>
      <c r="E3" s="2" t="s">
        <v>20</v>
      </c>
      <c r="F3" s="2" t="s">
        <v>22</v>
      </c>
      <c r="G3" s="19" t="s">
        <v>2</v>
      </c>
      <c r="H3" s="2" t="s">
        <v>11</v>
      </c>
      <c r="I3" s="19" t="s">
        <v>12</v>
      </c>
      <c r="J3" s="2" t="s">
        <v>13</v>
      </c>
      <c r="K3" s="53" t="s">
        <v>19</v>
      </c>
      <c r="L3" s="53" t="s">
        <v>21</v>
      </c>
      <c r="M3" s="2" t="s">
        <v>2</v>
      </c>
      <c r="N3" s="209"/>
    </row>
    <row r="4" spans="1:16" x14ac:dyDescent="0.15">
      <c r="A4" s="49" t="s">
        <v>23</v>
      </c>
      <c r="B4" s="54">
        <v>4</v>
      </c>
      <c r="C4" s="35"/>
      <c r="D4" s="54"/>
      <c r="E4" s="35"/>
      <c r="F4" s="4"/>
      <c r="G4" s="45">
        <f t="shared" ref="G4:G40" si="0">SUM(B4:F4)</f>
        <v>4</v>
      </c>
      <c r="H4" s="4">
        <v>4</v>
      </c>
      <c r="I4" s="35"/>
      <c r="J4" s="4"/>
      <c r="K4" s="35"/>
      <c r="L4" s="54"/>
      <c r="M4" s="41">
        <f t="shared" ref="M4:M40" si="1">SUM(H4:L4)</f>
        <v>4</v>
      </c>
      <c r="N4" s="31">
        <f>SUM(M4,G4)</f>
        <v>8</v>
      </c>
      <c r="O4" s="32">
        <v>43916</v>
      </c>
    </row>
    <row r="5" spans="1:16" x14ac:dyDescent="0.15">
      <c r="A5" s="49" t="s">
        <v>3</v>
      </c>
      <c r="B5" s="12"/>
      <c r="C5" s="17">
        <v>2</v>
      </c>
      <c r="D5" s="12"/>
      <c r="E5" s="17"/>
      <c r="F5" s="12"/>
      <c r="G5" s="45">
        <f t="shared" si="0"/>
        <v>2</v>
      </c>
      <c r="H5" s="12"/>
      <c r="I5" s="17">
        <v>2</v>
      </c>
      <c r="J5" s="12"/>
      <c r="K5" s="17"/>
      <c r="L5" s="12"/>
      <c r="M5" s="41">
        <f t="shared" si="1"/>
        <v>2</v>
      </c>
      <c r="N5" s="31">
        <f t="shared" ref="N5:N41" si="2">SUM(M5,G5)</f>
        <v>4</v>
      </c>
      <c r="O5" s="37">
        <v>43939</v>
      </c>
    </row>
    <row r="6" spans="1:16" x14ac:dyDescent="0.15">
      <c r="A6" s="49" t="s">
        <v>3</v>
      </c>
      <c r="B6" s="12">
        <v>2</v>
      </c>
      <c r="C6" s="17"/>
      <c r="D6" s="12"/>
      <c r="E6" s="17"/>
      <c r="F6" s="12"/>
      <c r="G6" s="45">
        <f t="shared" si="0"/>
        <v>2</v>
      </c>
      <c r="H6" s="12">
        <v>2</v>
      </c>
      <c r="I6" s="17"/>
      <c r="J6" s="12"/>
      <c r="K6" s="17"/>
      <c r="L6" s="12"/>
      <c r="M6" s="41">
        <f t="shared" si="1"/>
        <v>2</v>
      </c>
      <c r="N6" s="31">
        <f t="shared" si="2"/>
        <v>4</v>
      </c>
      <c r="O6" s="32">
        <v>43942</v>
      </c>
    </row>
    <row r="7" spans="1:16" x14ac:dyDescent="0.15">
      <c r="A7" s="49" t="s">
        <v>3</v>
      </c>
      <c r="B7" s="12"/>
      <c r="C7" s="17"/>
      <c r="D7" s="12">
        <v>2</v>
      </c>
      <c r="E7" s="17"/>
      <c r="F7" s="12"/>
      <c r="G7" s="45">
        <f t="shared" si="0"/>
        <v>2</v>
      </c>
      <c r="H7" s="12"/>
      <c r="I7" s="17"/>
      <c r="J7" s="12"/>
      <c r="K7" s="17"/>
      <c r="L7" s="12"/>
      <c r="M7" s="41">
        <f t="shared" si="1"/>
        <v>0</v>
      </c>
      <c r="N7" s="31">
        <f t="shared" si="2"/>
        <v>2</v>
      </c>
      <c r="O7" s="32">
        <v>43952</v>
      </c>
    </row>
    <row r="8" spans="1:16" x14ac:dyDescent="0.15">
      <c r="A8" s="49" t="s">
        <v>3</v>
      </c>
      <c r="B8" s="12"/>
      <c r="C8" s="17"/>
      <c r="D8" s="12">
        <v>2</v>
      </c>
      <c r="E8" s="17"/>
      <c r="F8" s="12"/>
      <c r="G8" s="45">
        <f t="shared" si="0"/>
        <v>2</v>
      </c>
      <c r="H8" s="12"/>
      <c r="I8" s="17"/>
      <c r="J8" s="12">
        <v>2</v>
      </c>
      <c r="K8" s="17"/>
      <c r="L8" s="12"/>
      <c r="M8" s="41">
        <f t="shared" si="1"/>
        <v>2</v>
      </c>
      <c r="N8" s="31">
        <f t="shared" si="2"/>
        <v>4</v>
      </c>
      <c r="O8" s="32">
        <v>43985</v>
      </c>
      <c r="P8" s="33"/>
    </row>
    <row r="9" spans="1:16" x14ac:dyDescent="0.15">
      <c r="A9" s="49" t="s">
        <v>3</v>
      </c>
      <c r="B9" s="12">
        <v>1</v>
      </c>
      <c r="C9" s="17">
        <v>2</v>
      </c>
      <c r="D9" s="12"/>
      <c r="E9" s="17"/>
      <c r="F9" s="12"/>
      <c r="G9" s="45">
        <f t="shared" si="0"/>
        <v>3</v>
      </c>
      <c r="H9" s="12">
        <v>1</v>
      </c>
      <c r="I9" s="17"/>
      <c r="J9" s="12"/>
      <c r="K9" s="17"/>
      <c r="L9" s="12"/>
      <c r="M9" s="41">
        <f t="shared" si="1"/>
        <v>1</v>
      </c>
      <c r="N9" s="31">
        <f t="shared" si="2"/>
        <v>4</v>
      </c>
      <c r="O9" s="32">
        <v>44006</v>
      </c>
    </row>
    <row r="10" spans="1:16" x14ac:dyDescent="0.15">
      <c r="A10" s="49" t="s">
        <v>3</v>
      </c>
      <c r="B10" s="12">
        <v>1</v>
      </c>
      <c r="C10" s="17">
        <v>1</v>
      </c>
      <c r="D10" s="12">
        <v>2</v>
      </c>
      <c r="E10" s="17"/>
      <c r="F10" s="12"/>
      <c r="G10" s="45">
        <f t="shared" si="0"/>
        <v>4</v>
      </c>
      <c r="H10" s="12">
        <v>1</v>
      </c>
      <c r="I10" s="17">
        <v>1</v>
      </c>
      <c r="J10" s="12">
        <v>2</v>
      </c>
      <c r="K10" s="17"/>
      <c r="L10" s="12"/>
      <c r="M10" s="41">
        <f t="shared" si="1"/>
        <v>4</v>
      </c>
      <c r="N10" s="31">
        <f t="shared" si="2"/>
        <v>8</v>
      </c>
      <c r="O10" s="32">
        <v>44011</v>
      </c>
    </row>
    <row r="11" spans="1:16" x14ac:dyDescent="0.15">
      <c r="A11" s="49" t="s">
        <v>3</v>
      </c>
      <c r="B11" s="10"/>
      <c r="C11" s="11"/>
      <c r="D11" s="10"/>
      <c r="E11" s="11"/>
      <c r="F11" s="10"/>
      <c r="G11" s="45">
        <f t="shared" si="0"/>
        <v>0</v>
      </c>
      <c r="H11" s="10"/>
      <c r="I11" s="11"/>
      <c r="J11" s="10">
        <v>2</v>
      </c>
      <c r="K11" s="11"/>
      <c r="L11" s="10"/>
      <c r="M11" s="41">
        <f t="shared" si="1"/>
        <v>2</v>
      </c>
      <c r="N11" s="31">
        <f t="shared" si="2"/>
        <v>2</v>
      </c>
      <c r="O11" s="32">
        <v>44027</v>
      </c>
      <c r="P11" s="33"/>
    </row>
    <row r="12" spans="1:16" x14ac:dyDescent="0.15">
      <c r="A12" s="49" t="s">
        <v>3</v>
      </c>
      <c r="B12" s="10">
        <v>3</v>
      </c>
      <c r="C12" s="11"/>
      <c r="D12" s="10"/>
      <c r="E12" s="11"/>
      <c r="F12" s="10"/>
      <c r="G12" s="45">
        <f t="shared" si="0"/>
        <v>3</v>
      </c>
      <c r="H12" s="10">
        <v>3</v>
      </c>
      <c r="I12" s="11"/>
      <c r="J12" s="10"/>
      <c r="K12" s="11"/>
      <c r="L12" s="10"/>
      <c r="M12" s="41">
        <f t="shared" si="1"/>
        <v>3</v>
      </c>
      <c r="N12" s="31">
        <f t="shared" si="2"/>
        <v>6</v>
      </c>
      <c r="O12" s="32">
        <v>44040</v>
      </c>
    </row>
    <row r="13" spans="1:16" x14ac:dyDescent="0.15">
      <c r="A13" s="49" t="s">
        <v>3</v>
      </c>
      <c r="B13" s="10"/>
      <c r="C13" s="11"/>
      <c r="D13" s="10"/>
      <c r="E13" s="11"/>
      <c r="F13" s="10"/>
      <c r="G13" s="45">
        <f t="shared" si="0"/>
        <v>0</v>
      </c>
      <c r="H13" s="10"/>
      <c r="I13" s="11">
        <v>5</v>
      </c>
      <c r="J13" s="10"/>
      <c r="K13" s="11"/>
      <c r="L13" s="10"/>
      <c r="M13" s="41">
        <f t="shared" si="1"/>
        <v>5</v>
      </c>
      <c r="N13" s="31">
        <f t="shared" si="2"/>
        <v>5</v>
      </c>
      <c r="O13" s="32">
        <v>44061</v>
      </c>
    </row>
    <row r="14" spans="1:16" ht="14.25" thickBot="1" x14ac:dyDescent="0.2">
      <c r="A14" s="50" t="s">
        <v>3</v>
      </c>
      <c r="B14" s="13"/>
      <c r="C14" s="14"/>
      <c r="D14" s="13"/>
      <c r="E14" s="14"/>
      <c r="F14" s="13"/>
      <c r="G14" s="46">
        <f t="shared" si="0"/>
        <v>0</v>
      </c>
      <c r="H14" s="13"/>
      <c r="I14" s="14">
        <v>1</v>
      </c>
      <c r="J14" s="13"/>
      <c r="K14" s="14"/>
      <c r="L14" s="13"/>
      <c r="M14" s="42">
        <f t="shared" si="1"/>
        <v>1</v>
      </c>
      <c r="N14" s="36">
        <f t="shared" si="2"/>
        <v>1</v>
      </c>
      <c r="O14" s="32">
        <v>44092</v>
      </c>
      <c r="P14" s="33"/>
    </row>
    <row r="15" spans="1:16" ht="14.25" thickBot="1" x14ac:dyDescent="0.2">
      <c r="A15" s="51" t="s">
        <v>4</v>
      </c>
      <c r="B15" s="22">
        <f>SUM(B4:B14)</f>
        <v>11</v>
      </c>
      <c r="C15" s="22">
        <f>SUM(C4:C14)</f>
        <v>5</v>
      </c>
      <c r="D15" s="57">
        <f t="shared" ref="D15:E15" si="3">SUM(D4:D14)</f>
        <v>6</v>
      </c>
      <c r="E15" s="22">
        <f t="shared" si="3"/>
        <v>0</v>
      </c>
      <c r="F15" s="22">
        <f>SUM(F4:F14)</f>
        <v>0</v>
      </c>
      <c r="G15" s="47">
        <f t="shared" si="0"/>
        <v>22</v>
      </c>
      <c r="H15" s="22">
        <f>SUM(H4:H14)</f>
        <v>11</v>
      </c>
      <c r="I15" s="22">
        <f t="shared" ref="I15:J15" si="4">SUM(I4:I14)</f>
        <v>9</v>
      </c>
      <c r="J15" s="22">
        <f t="shared" si="4"/>
        <v>6</v>
      </c>
      <c r="K15" s="57">
        <f>SUM(K4:K14)</f>
        <v>0</v>
      </c>
      <c r="L15" s="22">
        <f>SUM(L4:L14)</f>
        <v>0</v>
      </c>
      <c r="M15" s="43">
        <f t="shared" si="1"/>
        <v>26</v>
      </c>
      <c r="N15" s="34">
        <f t="shared" si="2"/>
        <v>48</v>
      </c>
    </row>
    <row r="16" spans="1:16" x14ac:dyDescent="0.15">
      <c r="A16" s="40" t="s">
        <v>16</v>
      </c>
      <c r="B16" s="55">
        <v>4</v>
      </c>
      <c r="C16" s="56"/>
      <c r="D16" s="55"/>
      <c r="E16" s="56"/>
      <c r="F16" s="55"/>
      <c r="G16" s="45">
        <f t="shared" si="0"/>
        <v>4</v>
      </c>
      <c r="H16" s="55">
        <v>4</v>
      </c>
      <c r="I16" s="56"/>
      <c r="J16" s="55"/>
      <c r="K16" s="56"/>
      <c r="L16" s="55"/>
      <c r="M16" s="41">
        <f t="shared" si="1"/>
        <v>4</v>
      </c>
      <c r="N16" s="31">
        <f t="shared" si="2"/>
        <v>8</v>
      </c>
      <c r="O16" s="32">
        <v>43916</v>
      </c>
      <c r="P16" s="33"/>
    </row>
    <row r="17" spans="1:16" x14ac:dyDescent="0.15">
      <c r="A17" s="40" t="s">
        <v>16</v>
      </c>
      <c r="B17" s="10"/>
      <c r="C17" s="11">
        <v>2</v>
      </c>
      <c r="D17" s="10"/>
      <c r="E17" s="11"/>
      <c r="F17" s="10"/>
      <c r="G17" s="45">
        <f t="shared" si="0"/>
        <v>2</v>
      </c>
      <c r="H17" s="10"/>
      <c r="I17" s="11">
        <v>2</v>
      </c>
      <c r="J17" s="10"/>
      <c r="K17" s="11"/>
      <c r="L17" s="10"/>
      <c r="M17" s="41">
        <f t="shared" si="1"/>
        <v>2</v>
      </c>
      <c r="N17" s="31">
        <f t="shared" si="2"/>
        <v>4</v>
      </c>
      <c r="O17" s="32">
        <v>43939</v>
      </c>
      <c r="P17" s="33"/>
    </row>
    <row r="18" spans="1:16" x14ac:dyDescent="0.15">
      <c r="A18" s="40" t="s">
        <v>16</v>
      </c>
      <c r="B18" s="10">
        <v>2</v>
      </c>
      <c r="C18" s="11"/>
      <c r="D18" s="10"/>
      <c r="E18" s="11"/>
      <c r="F18" s="10"/>
      <c r="G18" s="45">
        <f t="shared" si="0"/>
        <v>2</v>
      </c>
      <c r="H18" s="10">
        <v>2</v>
      </c>
      <c r="I18" s="11"/>
      <c r="J18" s="10"/>
      <c r="K18" s="11"/>
      <c r="L18" s="10"/>
      <c r="M18" s="41">
        <f t="shared" si="1"/>
        <v>2</v>
      </c>
      <c r="N18" s="31">
        <f t="shared" si="2"/>
        <v>4</v>
      </c>
      <c r="O18" s="32">
        <v>43942</v>
      </c>
      <c r="P18" s="33"/>
    </row>
    <row r="19" spans="1:16" x14ac:dyDescent="0.15">
      <c r="A19" s="40" t="s">
        <v>16</v>
      </c>
      <c r="B19" s="10"/>
      <c r="C19" s="11"/>
      <c r="D19" s="10">
        <v>2</v>
      </c>
      <c r="E19" s="11"/>
      <c r="F19" s="10"/>
      <c r="G19" s="45">
        <f t="shared" si="0"/>
        <v>2</v>
      </c>
      <c r="H19" s="10"/>
      <c r="I19" s="11"/>
      <c r="J19" s="10"/>
      <c r="K19" s="11"/>
      <c r="L19" s="10"/>
      <c r="M19" s="41">
        <f t="shared" si="1"/>
        <v>0</v>
      </c>
      <c r="N19" s="31">
        <f t="shared" si="2"/>
        <v>2</v>
      </c>
      <c r="O19" s="32">
        <v>43952</v>
      </c>
      <c r="P19" s="33"/>
    </row>
    <row r="20" spans="1:16" x14ac:dyDescent="0.15">
      <c r="A20" s="40" t="s">
        <v>16</v>
      </c>
      <c r="B20" s="10"/>
      <c r="C20" s="11"/>
      <c r="D20" s="10">
        <v>2</v>
      </c>
      <c r="E20" s="11"/>
      <c r="F20" s="10"/>
      <c r="G20" s="45">
        <f t="shared" si="0"/>
        <v>2</v>
      </c>
      <c r="H20" s="10"/>
      <c r="I20" s="11"/>
      <c r="J20" s="10">
        <v>2</v>
      </c>
      <c r="K20" s="11"/>
      <c r="L20" s="10"/>
      <c r="M20" s="41">
        <f t="shared" si="1"/>
        <v>2</v>
      </c>
      <c r="N20" s="31">
        <f t="shared" si="2"/>
        <v>4</v>
      </c>
      <c r="O20" s="32">
        <v>43985</v>
      </c>
      <c r="P20" s="33"/>
    </row>
    <row r="21" spans="1:16" x14ac:dyDescent="0.15">
      <c r="A21" s="40" t="s">
        <v>16</v>
      </c>
      <c r="B21" s="10">
        <v>1</v>
      </c>
      <c r="C21" s="11"/>
      <c r="D21" s="10"/>
      <c r="E21" s="11"/>
      <c r="F21" s="10"/>
      <c r="G21" s="48">
        <f t="shared" si="0"/>
        <v>1</v>
      </c>
      <c r="H21" s="10">
        <v>1</v>
      </c>
      <c r="I21" s="11"/>
      <c r="J21" s="10"/>
      <c r="K21" s="11"/>
      <c r="L21" s="10"/>
      <c r="M21" s="44">
        <f t="shared" si="1"/>
        <v>1</v>
      </c>
      <c r="N21" s="31">
        <f t="shared" si="2"/>
        <v>2</v>
      </c>
      <c r="O21" s="32">
        <v>44006</v>
      </c>
      <c r="P21" s="33"/>
    </row>
    <row r="22" spans="1:16" x14ac:dyDescent="0.15">
      <c r="A22" s="40" t="s">
        <v>16</v>
      </c>
      <c r="B22" s="10">
        <v>1</v>
      </c>
      <c r="C22" s="11">
        <v>1</v>
      </c>
      <c r="D22" s="10">
        <v>2</v>
      </c>
      <c r="E22" s="11"/>
      <c r="F22" s="10"/>
      <c r="G22" s="48">
        <f t="shared" si="0"/>
        <v>4</v>
      </c>
      <c r="H22" s="10">
        <v>1</v>
      </c>
      <c r="I22" s="11">
        <v>1</v>
      </c>
      <c r="J22" s="10">
        <v>2</v>
      </c>
      <c r="K22" s="11"/>
      <c r="L22" s="10"/>
      <c r="M22" s="44">
        <f t="shared" si="1"/>
        <v>4</v>
      </c>
      <c r="N22" s="31">
        <f t="shared" si="2"/>
        <v>8</v>
      </c>
      <c r="O22" s="32">
        <v>44011</v>
      </c>
      <c r="P22" s="33"/>
    </row>
    <row r="23" spans="1:16" x14ac:dyDescent="0.15">
      <c r="A23" s="40" t="s">
        <v>16</v>
      </c>
      <c r="B23" s="10"/>
      <c r="C23" s="11"/>
      <c r="D23" s="10"/>
      <c r="E23" s="11"/>
      <c r="F23" s="10"/>
      <c r="G23" s="48">
        <f t="shared" si="0"/>
        <v>0</v>
      </c>
      <c r="H23" s="10"/>
      <c r="I23" s="11"/>
      <c r="J23" s="10">
        <v>2</v>
      </c>
      <c r="K23" s="11"/>
      <c r="L23" s="10"/>
      <c r="M23" s="44">
        <f t="shared" si="1"/>
        <v>2</v>
      </c>
      <c r="N23" s="31">
        <f t="shared" si="2"/>
        <v>2</v>
      </c>
      <c r="O23" s="32">
        <v>44027</v>
      </c>
      <c r="P23" s="33"/>
    </row>
    <row r="24" spans="1:16" x14ac:dyDescent="0.15">
      <c r="A24" s="40" t="s">
        <v>16</v>
      </c>
      <c r="B24" s="10">
        <v>2</v>
      </c>
      <c r="C24" s="11"/>
      <c r="D24" s="10"/>
      <c r="E24" s="11"/>
      <c r="F24" s="10"/>
      <c r="G24" s="48">
        <f t="shared" si="0"/>
        <v>2</v>
      </c>
      <c r="H24" s="10">
        <v>2</v>
      </c>
      <c r="I24" s="11"/>
      <c r="J24" s="10"/>
      <c r="K24" s="11"/>
      <c r="L24" s="10"/>
      <c r="M24" s="44">
        <f t="shared" si="1"/>
        <v>2</v>
      </c>
      <c r="N24" s="31">
        <f t="shared" si="2"/>
        <v>4</v>
      </c>
      <c r="O24" s="32">
        <v>44040</v>
      </c>
      <c r="P24" s="33"/>
    </row>
    <row r="25" spans="1:16" x14ac:dyDescent="0.15">
      <c r="A25" s="40" t="s">
        <v>16</v>
      </c>
      <c r="B25" s="10"/>
      <c r="C25" s="11"/>
      <c r="D25" s="10"/>
      <c r="E25" s="11"/>
      <c r="F25" s="10"/>
      <c r="G25" s="48">
        <f t="shared" si="0"/>
        <v>0</v>
      </c>
      <c r="H25" s="10"/>
      <c r="I25" s="11">
        <v>5</v>
      </c>
      <c r="J25" s="10"/>
      <c r="K25" s="11"/>
      <c r="L25" s="10"/>
      <c r="M25" s="44">
        <f t="shared" si="1"/>
        <v>5</v>
      </c>
      <c r="N25" s="31">
        <f t="shared" si="2"/>
        <v>5</v>
      </c>
      <c r="O25" s="32">
        <v>44061</v>
      </c>
      <c r="P25" s="33"/>
    </row>
    <row r="26" spans="1:16" x14ac:dyDescent="0.15">
      <c r="A26" s="40" t="s">
        <v>16</v>
      </c>
      <c r="B26" s="10">
        <v>1</v>
      </c>
      <c r="C26" s="11"/>
      <c r="D26" s="10"/>
      <c r="E26" s="11"/>
      <c r="F26" s="10"/>
      <c r="G26" s="48">
        <f t="shared" ref="G26:G28" si="5">SUM(B26:F26)</f>
        <v>1</v>
      </c>
      <c r="H26" s="10">
        <v>1</v>
      </c>
      <c r="I26" s="11"/>
      <c r="J26" s="10"/>
      <c r="K26" s="11"/>
      <c r="L26" s="10"/>
      <c r="M26" s="44">
        <f t="shared" ref="M26:M28" si="6">SUM(H26:L26)</f>
        <v>1</v>
      </c>
      <c r="N26" s="31">
        <f t="shared" ref="N26:N28" si="7">SUM(M26,G26)</f>
        <v>2</v>
      </c>
      <c r="O26" s="32">
        <v>44111</v>
      </c>
      <c r="P26" s="33"/>
    </row>
    <row r="27" spans="1:16" x14ac:dyDescent="0.15">
      <c r="A27" s="40" t="s">
        <v>49</v>
      </c>
      <c r="B27" s="10">
        <v>-2</v>
      </c>
      <c r="C27" s="11"/>
      <c r="D27" s="10"/>
      <c r="E27" s="11"/>
      <c r="F27" s="10"/>
      <c r="G27" s="48">
        <f t="shared" si="5"/>
        <v>-2</v>
      </c>
      <c r="H27" s="10">
        <v>-2</v>
      </c>
      <c r="I27" s="11"/>
      <c r="J27" s="10"/>
      <c r="K27" s="11"/>
      <c r="L27" s="10"/>
      <c r="M27" s="44">
        <f t="shared" si="6"/>
        <v>-2</v>
      </c>
      <c r="N27" s="31">
        <f t="shared" si="7"/>
        <v>-4</v>
      </c>
      <c r="O27" s="32">
        <v>44116</v>
      </c>
      <c r="P27" s="33"/>
    </row>
    <row r="28" spans="1:16" x14ac:dyDescent="0.15">
      <c r="A28" s="40" t="s">
        <v>16</v>
      </c>
      <c r="B28" s="10">
        <v>2</v>
      </c>
      <c r="C28" s="11"/>
      <c r="D28" s="10"/>
      <c r="E28" s="11"/>
      <c r="F28" s="10"/>
      <c r="G28" s="48">
        <f t="shared" si="5"/>
        <v>2</v>
      </c>
      <c r="H28" s="10">
        <v>2</v>
      </c>
      <c r="I28" s="11"/>
      <c r="J28" s="10"/>
      <c r="K28" s="11"/>
      <c r="L28" s="10"/>
      <c r="M28" s="44">
        <f t="shared" si="6"/>
        <v>2</v>
      </c>
      <c r="N28" s="31">
        <f t="shared" si="7"/>
        <v>4</v>
      </c>
      <c r="O28" s="32">
        <v>44116</v>
      </c>
      <c r="P28" s="33"/>
    </row>
    <row r="29" spans="1:16" x14ac:dyDescent="0.15">
      <c r="A29" s="40" t="s">
        <v>49</v>
      </c>
      <c r="B29" s="10">
        <v>-2</v>
      </c>
      <c r="C29" s="11"/>
      <c r="D29" s="10">
        <v>-2</v>
      </c>
      <c r="E29" s="11"/>
      <c r="F29" s="10"/>
      <c r="G29" s="48">
        <f t="shared" si="0"/>
        <v>-4</v>
      </c>
      <c r="H29" s="10">
        <v>-2</v>
      </c>
      <c r="I29" s="11">
        <v>-1</v>
      </c>
      <c r="J29" s="10">
        <v>-2</v>
      </c>
      <c r="K29" s="11"/>
      <c r="L29" s="10"/>
      <c r="M29" s="44">
        <f t="shared" si="1"/>
        <v>-5</v>
      </c>
      <c r="N29" s="31">
        <f t="shared" si="2"/>
        <v>-9</v>
      </c>
      <c r="O29" s="32">
        <v>44117</v>
      </c>
      <c r="P29" s="33"/>
    </row>
    <row r="30" spans="1:16" x14ac:dyDescent="0.15">
      <c r="A30" s="40" t="s">
        <v>16</v>
      </c>
      <c r="B30" s="10">
        <v>1</v>
      </c>
      <c r="C30" s="11"/>
      <c r="D30" s="10"/>
      <c r="E30" s="11"/>
      <c r="F30" s="10"/>
      <c r="G30" s="48">
        <f t="shared" si="0"/>
        <v>1</v>
      </c>
      <c r="H30" s="10">
        <v>1</v>
      </c>
      <c r="I30" s="11"/>
      <c r="J30" s="10"/>
      <c r="K30" s="11"/>
      <c r="L30" s="10"/>
      <c r="M30" s="44">
        <f t="shared" si="1"/>
        <v>1</v>
      </c>
      <c r="N30" s="31">
        <f t="shared" si="2"/>
        <v>2</v>
      </c>
      <c r="O30" s="32">
        <v>44126</v>
      </c>
      <c r="P30" s="33"/>
    </row>
    <row r="31" spans="1:16" x14ac:dyDescent="0.15">
      <c r="A31" s="40" t="s">
        <v>16</v>
      </c>
      <c r="B31" s="10">
        <v>1</v>
      </c>
      <c r="C31" s="11"/>
      <c r="D31" s="10"/>
      <c r="E31" s="11"/>
      <c r="F31" s="10"/>
      <c r="G31" s="48">
        <f t="shared" si="0"/>
        <v>1</v>
      </c>
      <c r="H31" s="10">
        <v>1</v>
      </c>
      <c r="I31" s="11"/>
      <c r="J31" s="10"/>
      <c r="K31" s="11"/>
      <c r="L31" s="10"/>
      <c r="M31" s="44">
        <f t="shared" si="1"/>
        <v>1</v>
      </c>
      <c r="N31" s="31">
        <f t="shared" si="2"/>
        <v>2</v>
      </c>
      <c r="O31" s="32">
        <v>44140</v>
      </c>
      <c r="P31" s="33"/>
    </row>
    <row r="32" spans="1:16" x14ac:dyDescent="0.15">
      <c r="A32" s="40" t="s">
        <v>16</v>
      </c>
      <c r="B32" s="10"/>
      <c r="C32" s="11"/>
      <c r="D32" s="10">
        <v>2</v>
      </c>
      <c r="E32" s="11"/>
      <c r="F32" s="10"/>
      <c r="G32" s="48">
        <f t="shared" si="0"/>
        <v>2</v>
      </c>
      <c r="H32" s="10"/>
      <c r="I32" s="11"/>
      <c r="J32" s="10">
        <v>2</v>
      </c>
      <c r="K32" s="11"/>
      <c r="L32" s="10"/>
      <c r="M32" s="44">
        <f t="shared" si="1"/>
        <v>2</v>
      </c>
      <c r="N32" s="31">
        <f t="shared" si="2"/>
        <v>4</v>
      </c>
      <c r="O32" s="32">
        <v>44144</v>
      </c>
      <c r="P32" s="33"/>
    </row>
    <row r="33" spans="1:16" x14ac:dyDescent="0.15">
      <c r="A33" s="40" t="s">
        <v>53</v>
      </c>
      <c r="B33" s="10">
        <v>-1</v>
      </c>
      <c r="C33" s="11"/>
      <c r="D33" s="10"/>
      <c r="E33" s="11"/>
      <c r="F33" s="10"/>
      <c r="G33" s="48">
        <f t="shared" si="0"/>
        <v>-1</v>
      </c>
      <c r="H33" s="10">
        <v>-1</v>
      </c>
      <c r="I33" s="11"/>
      <c r="J33" s="10"/>
      <c r="K33" s="11"/>
      <c r="L33" s="10"/>
      <c r="M33" s="44">
        <f t="shared" si="1"/>
        <v>-1</v>
      </c>
      <c r="N33" s="31">
        <f t="shared" si="2"/>
        <v>-2</v>
      </c>
      <c r="O33" s="32">
        <v>44151</v>
      </c>
      <c r="P33" s="33"/>
    </row>
    <row r="34" spans="1:16" x14ac:dyDescent="0.15">
      <c r="A34" s="39" t="s">
        <v>54</v>
      </c>
      <c r="B34" s="10"/>
      <c r="C34" s="11">
        <v>2</v>
      </c>
      <c r="D34" s="10"/>
      <c r="E34" s="11"/>
      <c r="F34" s="10"/>
      <c r="G34" s="48">
        <f t="shared" si="0"/>
        <v>2</v>
      </c>
      <c r="H34" s="10"/>
      <c r="I34" s="11">
        <v>2</v>
      </c>
      <c r="J34" s="10"/>
      <c r="K34" s="11"/>
      <c r="L34" s="10"/>
      <c r="M34" s="44">
        <f t="shared" si="1"/>
        <v>2</v>
      </c>
      <c r="N34" s="31">
        <f t="shared" si="2"/>
        <v>4</v>
      </c>
      <c r="O34" s="32">
        <v>44159</v>
      </c>
      <c r="P34" s="33"/>
    </row>
    <row r="35" spans="1:16" x14ac:dyDescent="0.15">
      <c r="A35" s="39" t="s">
        <v>55</v>
      </c>
      <c r="B35" s="10">
        <v>-1</v>
      </c>
      <c r="C35" s="11">
        <v>-2</v>
      </c>
      <c r="D35" s="10">
        <v>-2</v>
      </c>
      <c r="E35" s="11"/>
      <c r="F35" s="10"/>
      <c r="G35" s="48">
        <f t="shared" si="0"/>
        <v>-5</v>
      </c>
      <c r="H35" s="10">
        <v>-1</v>
      </c>
      <c r="I35" s="11">
        <v>-2</v>
      </c>
      <c r="J35" s="10">
        <v>-2</v>
      </c>
      <c r="K35" s="11"/>
      <c r="L35" s="10"/>
      <c r="M35" s="44">
        <f t="shared" si="1"/>
        <v>-5</v>
      </c>
      <c r="N35" s="31">
        <f t="shared" si="2"/>
        <v>-10</v>
      </c>
      <c r="O35" s="32">
        <v>44176</v>
      </c>
      <c r="P35" s="33"/>
    </row>
    <row r="36" spans="1:16" x14ac:dyDescent="0.15">
      <c r="A36" s="39" t="s">
        <v>49</v>
      </c>
      <c r="B36" s="10"/>
      <c r="C36" s="11"/>
      <c r="D36" s="10">
        <v>-2</v>
      </c>
      <c r="E36" s="11"/>
      <c r="F36" s="10"/>
      <c r="G36" s="48">
        <f t="shared" si="0"/>
        <v>-2</v>
      </c>
      <c r="H36" s="10"/>
      <c r="I36" s="11"/>
      <c r="J36" s="10">
        <v>-2</v>
      </c>
      <c r="K36" s="11"/>
      <c r="L36" s="10"/>
      <c r="M36" s="44">
        <f t="shared" si="1"/>
        <v>-2</v>
      </c>
      <c r="N36" s="31">
        <f t="shared" si="2"/>
        <v>-4</v>
      </c>
      <c r="O36" s="32">
        <v>44180</v>
      </c>
      <c r="P36" s="33"/>
    </row>
    <row r="37" spans="1:16" x14ac:dyDescent="0.15">
      <c r="A37" s="39" t="s">
        <v>54</v>
      </c>
      <c r="B37" s="10"/>
      <c r="C37" s="11"/>
      <c r="D37" s="10">
        <v>2</v>
      </c>
      <c r="E37" s="11"/>
      <c r="F37" s="10"/>
      <c r="G37" s="48">
        <f t="shared" si="0"/>
        <v>2</v>
      </c>
      <c r="H37" s="10"/>
      <c r="I37" s="11"/>
      <c r="J37" s="10">
        <v>2</v>
      </c>
      <c r="K37" s="11"/>
      <c r="L37" s="10"/>
      <c r="M37" s="44">
        <f t="shared" si="1"/>
        <v>2</v>
      </c>
      <c r="N37" s="31">
        <f t="shared" si="2"/>
        <v>4</v>
      </c>
      <c r="O37" s="32">
        <v>44176</v>
      </c>
      <c r="P37" s="33"/>
    </row>
    <row r="38" spans="1:16" x14ac:dyDescent="0.15">
      <c r="A38" s="39" t="s">
        <v>54</v>
      </c>
      <c r="B38" s="10"/>
      <c r="C38" s="11"/>
      <c r="D38" s="10">
        <v>1</v>
      </c>
      <c r="E38" s="11"/>
      <c r="F38" s="10"/>
      <c r="G38" s="48">
        <f t="shared" si="0"/>
        <v>1</v>
      </c>
      <c r="H38" s="10"/>
      <c r="I38" s="11"/>
      <c r="J38" s="10">
        <v>1</v>
      </c>
      <c r="K38" s="11"/>
      <c r="L38" s="10"/>
      <c r="M38" s="44">
        <f t="shared" si="1"/>
        <v>1</v>
      </c>
      <c r="N38" s="31">
        <f t="shared" si="2"/>
        <v>2</v>
      </c>
      <c r="O38" s="32">
        <v>44180</v>
      </c>
      <c r="P38" s="33"/>
    </row>
    <row r="39" spans="1:16" ht="14.25" thickBot="1" x14ac:dyDescent="0.2">
      <c r="A39" s="39" t="s">
        <v>54</v>
      </c>
      <c r="B39" s="13"/>
      <c r="C39" s="14"/>
      <c r="D39" s="13"/>
      <c r="E39" s="14"/>
      <c r="F39" s="13"/>
      <c r="G39" s="59">
        <f t="shared" si="0"/>
        <v>0</v>
      </c>
      <c r="H39" s="13"/>
      <c r="I39" s="14">
        <v>2</v>
      </c>
      <c r="J39" s="13"/>
      <c r="K39" s="14"/>
      <c r="L39" s="13"/>
      <c r="M39" s="60">
        <f t="shared" si="1"/>
        <v>2</v>
      </c>
      <c r="N39" s="36">
        <f t="shared" si="2"/>
        <v>2</v>
      </c>
      <c r="O39" s="32">
        <v>44187</v>
      </c>
      <c r="P39" s="33"/>
    </row>
    <row r="40" spans="1:16" ht="14.25" thickBot="1" x14ac:dyDescent="0.2">
      <c r="A40" s="3" t="s">
        <v>5</v>
      </c>
      <c r="B40" s="16">
        <f>SUM(B16:B39)</f>
        <v>9</v>
      </c>
      <c r="C40" s="61">
        <f>SUM(C16:C39)</f>
        <v>3</v>
      </c>
      <c r="D40" s="16">
        <f t="shared" ref="D40:E40" si="8">SUM(D16:D39)</f>
        <v>5</v>
      </c>
      <c r="E40" s="61">
        <f t="shared" si="8"/>
        <v>0</v>
      </c>
      <c r="F40" s="15">
        <f>SUM(F16:F39)</f>
        <v>0</v>
      </c>
      <c r="G40" s="16">
        <f t="shared" si="0"/>
        <v>17</v>
      </c>
      <c r="H40" s="15">
        <f>SUM(H16:H39)</f>
        <v>9</v>
      </c>
      <c r="I40" s="15">
        <f t="shared" ref="I40:J40" si="9">SUM(I16:I39)</f>
        <v>9</v>
      </c>
      <c r="J40" s="15">
        <f t="shared" si="9"/>
        <v>5</v>
      </c>
      <c r="K40" s="15">
        <f>SUM(K16:K39)</f>
        <v>0</v>
      </c>
      <c r="L40" s="15">
        <f>SUM(L16:L39)</f>
        <v>0</v>
      </c>
      <c r="M40" s="16">
        <f t="shared" si="1"/>
        <v>23</v>
      </c>
      <c r="N40" s="34">
        <f t="shared" si="2"/>
        <v>40</v>
      </c>
      <c r="O40" s="33"/>
      <c r="P40" s="33"/>
    </row>
    <row r="41" spans="1:16" ht="14.25" thickBot="1" x14ac:dyDescent="0.2">
      <c r="A41" s="25" t="s">
        <v>6</v>
      </c>
      <c r="B41" s="26">
        <f>B15-B40</f>
        <v>2</v>
      </c>
      <c r="C41" s="26">
        <f t="shared" ref="C41:G41" si="10">C15-C40</f>
        <v>2</v>
      </c>
      <c r="D41" s="26">
        <f t="shared" si="10"/>
        <v>1</v>
      </c>
      <c r="E41" s="26">
        <f t="shared" si="10"/>
        <v>0</v>
      </c>
      <c r="F41" s="26">
        <f t="shared" si="10"/>
        <v>0</v>
      </c>
      <c r="G41" s="26">
        <f t="shared" si="10"/>
        <v>5</v>
      </c>
      <c r="H41" s="26">
        <f>H15-H40</f>
        <v>2</v>
      </c>
      <c r="I41" s="26">
        <f t="shared" ref="I41:J41" si="11">I15-I40</f>
        <v>0</v>
      </c>
      <c r="J41" s="26">
        <f t="shared" si="11"/>
        <v>1</v>
      </c>
      <c r="K41" s="26">
        <f t="shared" ref="K41:M41" si="12">K15-K40</f>
        <v>0</v>
      </c>
      <c r="L41" s="26">
        <f t="shared" si="12"/>
        <v>0</v>
      </c>
      <c r="M41" s="26">
        <f t="shared" si="12"/>
        <v>3</v>
      </c>
      <c r="N41" s="38">
        <f t="shared" si="2"/>
        <v>8</v>
      </c>
    </row>
    <row r="44" spans="1:16" ht="18" thickBot="1" x14ac:dyDescent="0.25">
      <c r="A44" s="29" t="s">
        <v>17</v>
      </c>
      <c r="B44" s="1"/>
      <c r="C44" s="1"/>
      <c r="D44" s="1" t="s">
        <v>24</v>
      </c>
      <c r="E44" s="1"/>
      <c r="F44" s="1"/>
      <c r="G44" s="1"/>
      <c r="H44" s="1"/>
      <c r="I44" s="1"/>
      <c r="J44" s="1"/>
      <c r="K44" s="1"/>
      <c r="L44" s="1"/>
      <c r="M44" s="1"/>
    </row>
    <row r="45" spans="1:16" ht="14.25" thickBot="1" x14ac:dyDescent="0.2">
      <c r="A45" s="2" t="s">
        <v>0</v>
      </c>
      <c r="B45" s="206" t="s">
        <v>14</v>
      </c>
      <c r="C45" s="206"/>
      <c r="D45" s="206"/>
      <c r="E45" s="206"/>
      <c r="F45" s="206"/>
      <c r="G45" s="207"/>
      <c r="H45" s="206" t="s">
        <v>48</v>
      </c>
      <c r="I45" s="206"/>
      <c r="J45" s="206"/>
      <c r="K45" s="206"/>
      <c r="L45" s="206"/>
      <c r="M45" s="207"/>
      <c r="N45" s="208" t="s">
        <v>10</v>
      </c>
    </row>
    <row r="46" spans="1:16" ht="14.25" thickBot="1" x14ac:dyDescent="0.2">
      <c r="A46" s="2" t="s">
        <v>1</v>
      </c>
      <c r="B46" s="3" t="s">
        <v>7</v>
      </c>
      <c r="C46" s="2" t="s">
        <v>8</v>
      </c>
      <c r="D46" s="19" t="s">
        <v>18</v>
      </c>
      <c r="E46" s="2" t="s">
        <v>20</v>
      </c>
      <c r="F46" s="2" t="s">
        <v>22</v>
      </c>
      <c r="G46" s="19" t="s">
        <v>2</v>
      </c>
      <c r="H46" s="2" t="s">
        <v>11</v>
      </c>
      <c r="I46" s="19" t="s">
        <v>12</v>
      </c>
      <c r="J46" s="2" t="s">
        <v>13</v>
      </c>
      <c r="K46" s="53" t="s">
        <v>19</v>
      </c>
      <c r="L46" s="53" t="s">
        <v>21</v>
      </c>
      <c r="M46" s="2" t="s">
        <v>2</v>
      </c>
      <c r="N46" s="209"/>
    </row>
    <row r="47" spans="1:16" ht="14.25" thickBot="1" x14ac:dyDescent="0.2">
      <c r="A47" s="3" t="s">
        <v>6</v>
      </c>
      <c r="B47" s="63">
        <f>B41</f>
        <v>2</v>
      </c>
      <c r="C47" s="64">
        <f>C41</f>
        <v>2</v>
      </c>
      <c r="D47" s="63">
        <f>D41</f>
        <v>1</v>
      </c>
      <c r="E47" s="64">
        <f>E41</f>
        <v>0</v>
      </c>
      <c r="F47" s="63">
        <f>F41</f>
        <v>0</v>
      </c>
      <c r="G47" s="61">
        <f t="shared" ref="G47:G83" si="13">SUM(B47:F47)</f>
        <v>5</v>
      </c>
      <c r="H47" s="63">
        <f>H41</f>
        <v>2</v>
      </c>
      <c r="I47" s="63">
        <f t="shared" ref="I47:L47" si="14">I41</f>
        <v>0</v>
      </c>
      <c r="J47" s="63">
        <f t="shared" si="14"/>
        <v>1</v>
      </c>
      <c r="K47" s="63">
        <f t="shared" si="14"/>
        <v>0</v>
      </c>
      <c r="L47" s="63">
        <f t="shared" si="14"/>
        <v>0</v>
      </c>
      <c r="M47" s="65">
        <f t="shared" ref="M47:M83" si="15">SUM(H47:L47)</f>
        <v>3</v>
      </c>
      <c r="N47" s="34">
        <f>SUM(M47,G47)</f>
        <v>8</v>
      </c>
    </row>
    <row r="48" spans="1:16" x14ac:dyDescent="0.15">
      <c r="A48" s="62" t="s">
        <v>3</v>
      </c>
      <c r="B48" s="4"/>
      <c r="C48" s="35">
        <v>3</v>
      </c>
      <c r="D48" s="4">
        <v>2</v>
      </c>
      <c r="E48" s="35"/>
      <c r="F48" s="4"/>
      <c r="G48" s="45">
        <f t="shared" si="13"/>
        <v>5</v>
      </c>
      <c r="H48" s="4">
        <v>2</v>
      </c>
      <c r="I48" s="35">
        <v>3</v>
      </c>
      <c r="J48" s="4"/>
      <c r="K48" s="35"/>
      <c r="L48" s="4"/>
      <c r="M48" s="41">
        <f t="shared" si="15"/>
        <v>5</v>
      </c>
      <c r="N48" s="31">
        <f t="shared" ref="N48:N84" si="16">SUM(M48,G48)</f>
        <v>10</v>
      </c>
      <c r="O48" s="37">
        <v>44256</v>
      </c>
    </row>
    <row r="49" spans="1:16" x14ac:dyDescent="0.15">
      <c r="A49" s="49" t="s">
        <v>3</v>
      </c>
      <c r="B49" s="12">
        <v>3</v>
      </c>
      <c r="C49" s="17">
        <v>1</v>
      </c>
      <c r="D49" s="12"/>
      <c r="E49" s="17"/>
      <c r="F49" s="12"/>
      <c r="G49" s="45">
        <f t="shared" si="13"/>
        <v>4</v>
      </c>
      <c r="H49" s="12">
        <v>3</v>
      </c>
      <c r="I49" s="17">
        <v>1</v>
      </c>
      <c r="J49" s="12">
        <v>2</v>
      </c>
      <c r="K49" s="17"/>
      <c r="L49" s="12"/>
      <c r="M49" s="41">
        <f t="shared" si="15"/>
        <v>6</v>
      </c>
      <c r="N49" s="31">
        <f t="shared" si="16"/>
        <v>10</v>
      </c>
      <c r="O49" s="32">
        <v>44286</v>
      </c>
    </row>
    <row r="50" spans="1:16" x14ac:dyDescent="0.15">
      <c r="A50" s="49" t="s">
        <v>3</v>
      </c>
      <c r="B50" s="12">
        <v>1</v>
      </c>
      <c r="C50" s="17">
        <v>1</v>
      </c>
      <c r="D50" s="12"/>
      <c r="E50" s="17"/>
      <c r="F50" s="12"/>
      <c r="G50" s="45">
        <f t="shared" si="13"/>
        <v>2</v>
      </c>
      <c r="H50" s="12">
        <v>1</v>
      </c>
      <c r="I50" s="17">
        <v>1</v>
      </c>
      <c r="J50" s="12"/>
      <c r="K50" s="17"/>
      <c r="L50" s="12"/>
      <c r="M50" s="41">
        <f t="shared" si="15"/>
        <v>2</v>
      </c>
      <c r="N50" s="31">
        <f t="shared" si="16"/>
        <v>4</v>
      </c>
      <c r="O50" s="32">
        <v>44309</v>
      </c>
      <c r="P50" s="33"/>
    </row>
    <row r="51" spans="1:16" x14ac:dyDescent="0.15">
      <c r="A51" s="49" t="s">
        <v>3</v>
      </c>
      <c r="B51" s="12"/>
      <c r="C51" s="17">
        <v>4</v>
      </c>
      <c r="D51" s="12">
        <v>1</v>
      </c>
      <c r="E51" s="17"/>
      <c r="F51" s="12"/>
      <c r="G51" s="45">
        <f t="shared" si="13"/>
        <v>5</v>
      </c>
      <c r="H51" s="12"/>
      <c r="I51" s="17"/>
      <c r="J51" s="12">
        <v>1</v>
      </c>
      <c r="K51" s="17"/>
      <c r="L51" s="12"/>
      <c r="M51" s="41">
        <f t="shared" si="15"/>
        <v>1</v>
      </c>
      <c r="N51" s="31">
        <f t="shared" si="16"/>
        <v>6</v>
      </c>
      <c r="O51" s="32">
        <v>44313</v>
      </c>
      <c r="P51" s="33"/>
    </row>
    <row r="52" spans="1:16" x14ac:dyDescent="0.15">
      <c r="A52" s="49" t="s">
        <v>3</v>
      </c>
      <c r="B52" s="12">
        <v>3</v>
      </c>
      <c r="C52" s="17"/>
      <c r="D52" s="12"/>
      <c r="E52" s="17"/>
      <c r="F52" s="12"/>
      <c r="G52" s="45">
        <f t="shared" si="13"/>
        <v>3</v>
      </c>
      <c r="H52" s="12">
        <v>1</v>
      </c>
      <c r="I52" s="17"/>
      <c r="J52" s="12">
        <v>2</v>
      </c>
      <c r="K52" s="17"/>
      <c r="L52" s="12"/>
      <c r="M52" s="41">
        <f t="shared" si="15"/>
        <v>3</v>
      </c>
      <c r="N52" s="31">
        <f t="shared" si="16"/>
        <v>6</v>
      </c>
      <c r="O52" s="32">
        <v>44327</v>
      </c>
      <c r="P52" s="33"/>
    </row>
    <row r="53" spans="1:16" x14ac:dyDescent="0.15">
      <c r="A53" s="49" t="s">
        <v>3</v>
      </c>
      <c r="B53" s="12"/>
      <c r="C53" s="17"/>
      <c r="D53" s="12">
        <v>2</v>
      </c>
      <c r="E53" s="17"/>
      <c r="F53" s="12"/>
      <c r="G53" s="45">
        <f t="shared" si="13"/>
        <v>2</v>
      </c>
      <c r="H53" s="12"/>
      <c r="I53" s="17"/>
      <c r="J53" s="12">
        <v>2</v>
      </c>
      <c r="K53" s="17"/>
      <c r="L53" s="12"/>
      <c r="M53" s="41">
        <f t="shared" si="15"/>
        <v>2</v>
      </c>
      <c r="N53" s="31">
        <f t="shared" si="16"/>
        <v>4</v>
      </c>
      <c r="O53" s="32">
        <v>44327</v>
      </c>
      <c r="P53" s="33"/>
    </row>
    <row r="54" spans="1:16" x14ac:dyDescent="0.15">
      <c r="A54" s="49" t="s">
        <v>3</v>
      </c>
      <c r="B54" s="10"/>
      <c r="C54" s="11">
        <v>1</v>
      </c>
      <c r="D54" s="10">
        <v>2</v>
      </c>
      <c r="E54" s="11"/>
      <c r="F54" s="10"/>
      <c r="G54" s="45">
        <f t="shared" si="13"/>
        <v>3</v>
      </c>
      <c r="H54" s="10"/>
      <c r="I54" s="11">
        <v>1</v>
      </c>
      <c r="J54" s="10"/>
      <c r="K54" s="11"/>
      <c r="L54" s="10"/>
      <c r="M54" s="41">
        <f t="shared" si="15"/>
        <v>1</v>
      </c>
      <c r="N54" s="31">
        <f t="shared" si="16"/>
        <v>4</v>
      </c>
      <c r="O54" s="32">
        <v>44383</v>
      </c>
    </row>
    <row r="55" spans="1:16" x14ac:dyDescent="0.15">
      <c r="A55" s="49" t="s">
        <v>3</v>
      </c>
      <c r="B55" s="10"/>
      <c r="C55" s="11"/>
      <c r="D55" s="10">
        <v>1</v>
      </c>
      <c r="E55" s="11"/>
      <c r="F55" s="10"/>
      <c r="G55" s="45">
        <f t="shared" si="13"/>
        <v>1</v>
      </c>
      <c r="H55" s="10"/>
      <c r="I55" s="11"/>
      <c r="J55" s="10">
        <v>3</v>
      </c>
      <c r="K55" s="11"/>
      <c r="L55" s="10"/>
      <c r="M55" s="41">
        <f t="shared" si="15"/>
        <v>3</v>
      </c>
      <c r="N55" s="31">
        <f t="shared" si="16"/>
        <v>4</v>
      </c>
      <c r="O55" s="32">
        <v>44433</v>
      </c>
    </row>
    <row r="56" spans="1:16" x14ac:dyDescent="0.15">
      <c r="A56" s="49" t="s">
        <v>3</v>
      </c>
      <c r="B56" s="10"/>
      <c r="C56" s="11">
        <v>3</v>
      </c>
      <c r="D56" s="10">
        <v>1</v>
      </c>
      <c r="E56" s="11"/>
      <c r="F56" s="10"/>
      <c r="G56" s="45">
        <f t="shared" si="13"/>
        <v>4</v>
      </c>
      <c r="H56" s="10"/>
      <c r="I56" s="11">
        <v>1</v>
      </c>
      <c r="J56" s="10">
        <v>1</v>
      </c>
      <c r="K56" s="11"/>
      <c r="L56" s="10"/>
      <c r="M56" s="41">
        <f t="shared" si="15"/>
        <v>2</v>
      </c>
      <c r="N56" s="31">
        <f t="shared" si="16"/>
        <v>6</v>
      </c>
      <c r="O56" s="32">
        <v>44453</v>
      </c>
    </row>
    <row r="57" spans="1:16" ht="14.25" thickBot="1" x14ac:dyDescent="0.2">
      <c r="A57" s="50" t="s">
        <v>3</v>
      </c>
      <c r="B57" s="13"/>
      <c r="C57" s="14">
        <v>5</v>
      </c>
      <c r="D57" s="13">
        <v>2</v>
      </c>
      <c r="E57" s="14"/>
      <c r="F57" s="13"/>
      <c r="G57" s="46">
        <f t="shared" si="13"/>
        <v>7</v>
      </c>
      <c r="H57" s="13"/>
      <c r="I57" s="14">
        <v>3</v>
      </c>
      <c r="J57" s="13">
        <v>2</v>
      </c>
      <c r="K57" s="14"/>
      <c r="L57" s="13"/>
      <c r="M57" s="42">
        <f t="shared" si="15"/>
        <v>5</v>
      </c>
      <c r="N57" s="36">
        <f t="shared" si="16"/>
        <v>12</v>
      </c>
      <c r="O57" s="32">
        <v>44474</v>
      </c>
    </row>
    <row r="58" spans="1:16" ht="14.25" thickBot="1" x14ac:dyDescent="0.2">
      <c r="A58" s="51" t="s">
        <v>4</v>
      </c>
      <c r="B58" s="22">
        <f>SUM(B47:B57)</f>
        <v>9</v>
      </c>
      <c r="C58" s="22">
        <f>SUM(C47:C57)</f>
        <v>20</v>
      </c>
      <c r="D58" s="57">
        <f t="shared" ref="D58" si="17">SUM(D47:D57)</f>
        <v>12</v>
      </c>
      <c r="E58" s="22">
        <f t="shared" ref="E58" si="18">SUM(E47:E57)</f>
        <v>0</v>
      </c>
      <c r="F58" s="22">
        <f>SUM(F47:F57)</f>
        <v>0</v>
      </c>
      <c r="G58" s="47">
        <f t="shared" si="13"/>
        <v>41</v>
      </c>
      <c r="H58" s="22">
        <f>SUM(H47:H57)</f>
        <v>9</v>
      </c>
      <c r="I58" s="22">
        <f t="shared" ref="I58" si="19">SUM(I47:I57)</f>
        <v>10</v>
      </c>
      <c r="J58" s="22">
        <f t="shared" ref="J58" si="20">SUM(J47:J57)</f>
        <v>14</v>
      </c>
      <c r="K58" s="57">
        <f>SUM(K47:K57)</f>
        <v>0</v>
      </c>
      <c r="L58" s="22">
        <f>SUM(L47:L57)</f>
        <v>0</v>
      </c>
      <c r="M58" s="43">
        <f t="shared" si="15"/>
        <v>33</v>
      </c>
      <c r="N58" s="34">
        <f t="shared" si="16"/>
        <v>74</v>
      </c>
    </row>
    <row r="59" spans="1:16" x14ac:dyDescent="0.15">
      <c r="A59" s="39" t="s">
        <v>54</v>
      </c>
      <c r="B59" s="55"/>
      <c r="C59" s="56"/>
      <c r="D59" s="55"/>
      <c r="E59" s="56"/>
      <c r="F59" s="55"/>
      <c r="G59" s="45">
        <f t="shared" si="13"/>
        <v>0</v>
      </c>
      <c r="H59" s="55">
        <v>2</v>
      </c>
      <c r="I59" s="56"/>
      <c r="J59" s="55"/>
      <c r="K59" s="56"/>
      <c r="L59" s="55"/>
      <c r="M59" s="41">
        <f t="shared" si="15"/>
        <v>2</v>
      </c>
      <c r="N59" s="31">
        <f t="shared" si="16"/>
        <v>2</v>
      </c>
      <c r="O59" s="37">
        <v>44208</v>
      </c>
    </row>
    <row r="60" spans="1:16" x14ac:dyDescent="0.15">
      <c r="A60" s="39" t="s">
        <v>54</v>
      </c>
      <c r="B60" s="10"/>
      <c r="C60" s="11">
        <v>2</v>
      </c>
      <c r="D60" s="10"/>
      <c r="E60" s="11"/>
      <c r="F60" s="10"/>
      <c r="G60" s="45">
        <f t="shared" si="13"/>
        <v>2</v>
      </c>
      <c r="H60" s="10"/>
      <c r="I60" s="11"/>
      <c r="J60" s="10"/>
      <c r="K60" s="11"/>
      <c r="L60" s="10"/>
      <c r="M60" s="41">
        <f t="shared" si="15"/>
        <v>0</v>
      </c>
      <c r="N60" s="31">
        <f t="shared" si="16"/>
        <v>2</v>
      </c>
      <c r="O60" s="37">
        <v>44256</v>
      </c>
    </row>
    <row r="61" spans="1:16" x14ac:dyDescent="0.15">
      <c r="A61" s="39" t="s">
        <v>54</v>
      </c>
      <c r="B61" s="10"/>
      <c r="C61" s="11">
        <v>1</v>
      </c>
      <c r="D61" s="10"/>
      <c r="E61" s="11"/>
      <c r="F61" s="10"/>
      <c r="G61" s="45">
        <f t="shared" si="13"/>
        <v>1</v>
      </c>
      <c r="H61" s="10"/>
      <c r="I61" s="11">
        <v>1</v>
      </c>
      <c r="J61" s="10"/>
      <c r="K61" s="11"/>
      <c r="L61" s="10"/>
      <c r="M61" s="41">
        <f t="shared" si="15"/>
        <v>1</v>
      </c>
      <c r="N61" s="31">
        <f t="shared" si="16"/>
        <v>2</v>
      </c>
      <c r="O61" s="37">
        <v>44264</v>
      </c>
    </row>
    <row r="62" spans="1:16" x14ac:dyDescent="0.15">
      <c r="A62" s="39" t="s">
        <v>54</v>
      </c>
      <c r="B62" s="10"/>
      <c r="C62" s="11">
        <v>1</v>
      </c>
      <c r="D62" s="10"/>
      <c r="E62" s="11"/>
      <c r="F62" s="10"/>
      <c r="G62" s="45">
        <f t="shared" si="13"/>
        <v>1</v>
      </c>
      <c r="H62" s="10"/>
      <c r="I62" s="11">
        <v>1</v>
      </c>
      <c r="J62" s="10"/>
      <c r="K62" s="11"/>
      <c r="L62" s="10"/>
      <c r="M62" s="41">
        <f t="shared" si="15"/>
        <v>1</v>
      </c>
      <c r="N62" s="31">
        <f t="shared" si="16"/>
        <v>2</v>
      </c>
      <c r="O62" s="37">
        <v>44279</v>
      </c>
    </row>
    <row r="63" spans="1:16" x14ac:dyDescent="0.15">
      <c r="A63" s="39" t="s">
        <v>54</v>
      </c>
      <c r="B63" s="10">
        <v>2</v>
      </c>
      <c r="C63" s="11"/>
      <c r="D63" s="10"/>
      <c r="E63" s="11"/>
      <c r="F63" s="10"/>
      <c r="G63" s="45">
        <f t="shared" si="13"/>
        <v>2</v>
      </c>
      <c r="H63" s="10">
        <v>2</v>
      </c>
      <c r="I63" s="11"/>
      <c r="J63" s="10"/>
      <c r="K63" s="11"/>
      <c r="L63" s="10"/>
      <c r="M63" s="41">
        <f t="shared" si="15"/>
        <v>2</v>
      </c>
      <c r="N63" s="31">
        <f t="shared" si="16"/>
        <v>4</v>
      </c>
      <c r="O63" s="37">
        <v>44284</v>
      </c>
    </row>
    <row r="64" spans="1:16" x14ac:dyDescent="0.15">
      <c r="A64" s="39" t="s">
        <v>54</v>
      </c>
      <c r="B64" s="10">
        <v>1</v>
      </c>
      <c r="C64" s="11"/>
      <c r="D64" s="10"/>
      <c r="E64" s="11"/>
      <c r="F64" s="10"/>
      <c r="G64" s="48">
        <f t="shared" si="13"/>
        <v>1</v>
      </c>
      <c r="H64" s="10">
        <v>1</v>
      </c>
      <c r="I64" s="11"/>
      <c r="J64" s="10"/>
      <c r="K64" s="11"/>
      <c r="L64" s="10"/>
      <c r="M64" s="44">
        <f t="shared" si="15"/>
        <v>1</v>
      </c>
      <c r="N64" s="31">
        <f t="shared" si="16"/>
        <v>2</v>
      </c>
      <c r="O64" s="37">
        <v>44286</v>
      </c>
    </row>
    <row r="65" spans="1:15" x14ac:dyDescent="0.15">
      <c r="A65" s="39" t="s">
        <v>54</v>
      </c>
      <c r="B65" s="10"/>
      <c r="C65" s="11">
        <v>1</v>
      </c>
      <c r="D65" s="10"/>
      <c r="E65" s="11"/>
      <c r="F65" s="10"/>
      <c r="G65" s="48">
        <f t="shared" si="13"/>
        <v>1</v>
      </c>
      <c r="H65" s="10"/>
      <c r="I65" s="11">
        <v>1</v>
      </c>
      <c r="J65" s="10"/>
      <c r="K65" s="11"/>
      <c r="L65" s="10"/>
      <c r="M65" s="44">
        <f t="shared" si="15"/>
        <v>1</v>
      </c>
      <c r="N65" s="31">
        <f t="shared" si="16"/>
        <v>2</v>
      </c>
      <c r="O65" s="37">
        <v>44307</v>
      </c>
    </row>
    <row r="66" spans="1:15" x14ac:dyDescent="0.15">
      <c r="A66" s="39" t="s">
        <v>54</v>
      </c>
      <c r="B66" s="10"/>
      <c r="C66" s="11">
        <v>4</v>
      </c>
      <c r="D66" s="10"/>
      <c r="E66" s="11"/>
      <c r="F66" s="10"/>
      <c r="G66" s="48">
        <f t="shared" si="13"/>
        <v>4</v>
      </c>
      <c r="H66" s="10"/>
      <c r="I66" s="11"/>
      <c r="J66" s="10"/>
      <c r="K66" s="11"/>
      <c r="L66" s="10"/>
      <c r="M66" s="44">
        <f t="shared" si="15"/>
        <v>0</v>
      </c>
      <c r="N66" s="31">
        <f t="shared" si="16"/>
        <v>4</v>
      </c>
      <c r="O66" s="37">
        <v>44313</v>
      </c>
    </row>
    <row r="67" spans="1:15" x14ac:dyDescent="0.15">
      <c r="A67" s="39" t="s">
        <v>54</v>
      </c>
      <c r="B67" s="10">
        <v>2</v>
      </c>
      <c r="C67" s="11"/>
      <c r="D67" s="10"/>
      <c r="E67" s="11"/>
      <c r="F67" s="10"/>
      <c r="G67" s="48">
        <f t="shared" si="13"/>
        <v>2</v>
      </c>
      <c r="H67" s="10"/>
      <c r="I67" s="11"/>
      <c r="J67" s="10"/>
      <c r="K67" s="11"/>
      <c r="L67" s="10"/>
      <c r="M67" s="44">
        <f t="shared" si="15"/>
        <v>0</v>
      </c>
      <c r="N67" s="31">
        <f t="shared" si="16"/>
        <v>2</v>
      </c>
      <c r="O67" s="37">
        <v>44323</v>
      </c>
    </row>
    <row r="68" spans="1:15" x14ac:dyDescent="0.15">
      <c r="A68" s="39" t="s">
        <v>54</v>
      </c>
      <c r="B68" s="10"/>
      <c r="C68" s="11"/>
      <c r="D68" s="10">
        <v>2</v>
      </c>
      <c r="E68" s="11"/>
      <c r="F68" s="10"/>
      <c r="G68" s="48">
        <f t="shared" si="13"/>
        <v>2</v>
      </c>
      <c r="H68" s="10"/>
      <c r="I68" s="11"/>
      <c r="J68" s="10">
        <v>2</v>
      </c>
      <c r="K68" s="11"/>
      <c r="L68" s="10"/>
      <c r="M68" s="44">
        <f t="shared" si="15"/>
        <v>2</v>
      </c>
      <c r="N68" s="31">
        <f t="shared" si="16"/>
        <v>4</v>
      </c>
      <c r="O68" s="37">
        <v>44326</v>
      </c>
    </row>
    <row r="69" spans="1:15" x14ac:dyDescent="0.15">
      <c r="A69" s="39" t="s">
        <v>54</v>
      </c>
      <c r="B69" s="10"/>
      <c r="C69" s="11"/>
      <c r="D69" s="10">
        <v>2</v>
      </c>
      <c r="E69" s="11"/>
      <c r="F69" s="10"/>
      <c r="G69" s="48">
        <f t="shared" si="13"/>
        <v>2</v>
      </c>
      <c r="H69" s="10"/>
      <c r="I69" s="11"/>
      <c r="J69" s="10">
        <v>2</v>
      </c>
      <c r="K69" s="11"/>
      <c r="L69" s="10"/>
      <c r="M69" s="44">
        <f t="shared" si="15"/>
        <v>2</v>
      </c>
      <c r="N69" s="31">
        <f t="shared" si="16"/>
        <v>4</v>
      </c>
      <c r="O69" s="37">
        <v>44327</v>
      </c>
    </row>
    <row r="70" spans="1:15" x14ac:dyDescent="0.15">
      <c r="A70" s="39" t="s">
        <v>54</v>
      </c>
      <c r="B70" s="10">
        <v>2</v>
      </c>
      <c r="C70" s="11"/>
      <c r="D70" s="10"/>
      <c r="E70" s="11"/>
      <c r="F70" s="10"/>
      <c r="G70" s="48">
        <f t="shared" si="13"/>
        <v>2</v>
      </c>
      <c r="H70" s="10">
        <v>2</v>
      </c>
      <c r="I70" s="11"/>
      <c r="J70" s="10"/>
      <c r="K70" s="11"/>
      <c r="L70" s="10"/>
      <c r="M70" s="44">
        <f t="shared" si="15"/>
        <v>2</v>
      </c>
      <c r="N70" s="31">
        <f t="shared" si="16"/>
        <v>4</v>
      </c>
      <c r="O70" s="37">
        <v>44355</v>
      </c>
    </row>
    <row r="71" spans="1:15" x14ac:dyDescent="0.15">
      <c r="A71" s="39" t="s">
        <v>54</v>
      </c>
      <c r="B71" s="10"/>
      <c r="C71" s="11">
        <v>1</v>
      </c>
      <c r="D71" s="10"/>
      <c r="E71" s="11"/>
      <c r="F71" s="10"/>
      <c r="G71" s="48">
        <f t="shared" si="13"/>
        <v>1</v>
      </c>
      <c r="H71" s="10"/>
      <c r="I71" s="11">
        <v>1</v>
      </c>
      <c r="J71" s="10"/>
      <c r="K71" s="11"/>
      <c r="L71" s="10"/>
      <c r="M71" s="44">
        <f t="shared" si="15"/>
        <v>1</v>
      </c>
      <c r="N71" s="31">
        <f t="shared" si="16"/>
        <v>2</v>
      </c>
      <c r="O71" s="37">
        <v>44375</v>
      </c>
    </row>
    <row r="72" spans="1:15" x14ac:dyDescent="0.15">
      <c r="A72" s="39" t="s">
        <v>54</v>
      </c>
      <c r="B72" s="10"/>
      <c r="C72" s="11"/>
      <c r="D72" s="10">
        <v>1</v>
      </c>
      <c r="E72" s="11"/>
      <c r="F72" s="10"/>
      <c r="G72" s="48">
        <f t="shared" si="13"/>
        <v>1</v>
      </c>
      <c r="H72" s="10"/>
      <c r="I72" s="11"/>
      <c r="J72" s="10">
        <v>1</v>
      </c>
      <c r="K72" s="11"/>
      <c r="L72" s="10"/>
      <c r="M72" s="44">
        <f t="shared" si="15"/>
        <v>1</v>
      </c>
      <c r="N72" s="31">
        <f t="shared" si="16"/>
        <v>2</v>
      </c>
      <c r="O72" s="37">
        <v>44393</v>
      </c>
    </row>
    <row r="73" spans="1:15" x14ac:dyDescent="0.15">
      <c r="A73" s="39" t="s">
        <v>54</v>
      </c>
      <c r="B73" s="10"/>
      <c r="C73" s="11"/>
      <c r="D73" s="10">
        <v>1</v>
      </c>
      <c r="E73" s="11"/>
      <c r="F73" s="10"/>
      <c r="G73" s="48">
        <f t="shared" si="13"/>
        <v>1</v>
      </c>
      <c r="H73" s="10"/>
      <c r="I73" s="11"/>
      <c r="J73" s="10">
        <v>1</v>
      </c>
      <c r="K73" s="11"/>
      <c r="L73" s="10"/>
      <c r="M73" s="44">
        <f t="shared" si="15"/>
        <v>1</v>
      </c>
      <c r="N73" s="31">
        <f t="shared" si="16"/>
        <v>2</v>
      </c>
      <c r="O73" s="37">
        <v>44403</v>
      </c>
    </row>
    <row r="74" spans="1:15" x14ac:dyDescent="0.15">
      <c r="A74" s="39" t="s">
        <v>54</v>
      </c>
      <c r="B74" s="10"/>
      <c r="C74" s="11"/>
      <c r="D74" s="10">
        <v>1</v>
      </c>
      <c r="E74" s="11"/>
      <c r="F74" s="10"/>
      <c r="G74" s="48">
        <f t="shared" si="13"/>
        <v>1</v>
      </c>
      <c r="H74" s="10"/>
      <c r="I74" s="11"/>
      <c r="J74" s="10">
        <v>1</v>
      </c>
      <c r="K74" s="11"/>
      <c r="L74" s="10"/>
      <c r="M74" s="44">
        <f t="shared" si="15"/>
        <v>1</v>
      </c>
      <c r="N74" s="31">
        <f t="shared" si="16"/>
        <v>2</v>
      </c>
      <c r="O74" s="37">
        <v>44426</v>
      </c>
    </row>
    <row r="75" spans="1:15" x14ac:dyDescent="0.15">
      <c r="A75" s="39" t="s">
        <v>54</v>
      </c>
      <c r="B75" s="10"/>
      <c r="C75" s="11"/>
      <c r="D75" s="10"/>
      <c r="E75" s="11"/>
      <c r="F75" s="10"/>
      <c r="G75" s="48">
        <f t="shared" si="13"/>
        <v>0</v>
      </c>
      <c r="H75" s="10"/>
      <c r="I75" s="11"/>
      <c r="J75" s="10">
        <v>2</v>
      </c>
      <c r="K75" s="11"/>
      <c r="L75" s="10"/>
      <c r="M75" s="44">
        <f t="shared" si="15"/>
        <v>2</v>
      </c>
      <c r="N75" s="31">
        <f t="shared" si="16"/>
        <v>2</v>
      </c>
      <c r="O75" s="37">
        <v>44433</v>
      </c>
    </row>
    <row r="76" spans="1:15" x14ac:dyDescent="0.15">
      <c r="A76" s="39" t="s">
        <v>54</v>
      </c>
      <c r="B76" s="10"/>
      <c r="C76" s="11"/>
      <c r="D76" s="10">
        <v>1</v>
      </c>
      <c r="E76" s="11"/>
      <c r="F76" s="10"/>
      <c r="G76" s="48">
        <f t="shared" si="13"/>
        <v>1</v>
      </c>
      <c r="H76" s="10"/>
      <c r="I76" s="11"/>
      <c r="J76" s="10">
        <v>1</v>
      </c>
      <c r="K76" s="11"/>
      <c r="L76" s="10"/>
      <c r="M76" s="44">
        <f t="shared" si="15"/>
        <v>1</v>
      </c>
      <c r="N76" s="31">
        <f t="shared" si="16"/>
        <v>2</v>
      </c>
      <c r="O76" s="37">
        <v>44445</v>
      </c>
    </row>
    <row r="77" spans="1:15" x14ac:dyDescent="0.15">
      <c r="A77" s="39" t="s">
        <v>54</v>
      </c>
      <c r="B77" s="10"/>
      <c r="C77" s="11">
        <v>2</v>
      </c>
      <c r="D77" s="10"/>
      <c r="E77" s="11"/>
      <c r="F77" s="10"/>
      <c r="G77" s="48">
        <f t="shared" si="13"/>
        <v>2</v>
      </c>
      <c r="H77" s="10"/>
      <c r="I77" s="11"/>
      <c r="J77" s="10"/>
      <c r="K77" s="11"/>
      <c r="L77" s="10"/>
      <c r="M77" s="44">
        <f t="shared" si="15"/>
        <v>0</v>
      </c>
      <c r="N77" s="31">
        <f t="shared" si="16"/>
        <v>2</v>
      </c>
      <c r="O77" s="37">
        <v>44447</v>
      </c>
    </row>
    <row r="78" spans="1:15" x14ac:dyDescent="0.15">
      <c r="A78" s="39" t="s">
        <v>54</v>
      </c>
      <c r="B78" s="10"/>
      <c r="C78" s="11">
        <v>1</v>
      </c>
      <c r="D78" s="10"/>
      <c r="E78" s="11"/>
      <c r="F78" s="10"/>
      <c r="G78" s="48">
        <f t="shared" si="13"/>
        <v>1</v>
      </c>
      <c r="H78" s="10"/>
      <c r="I78" s="11">
        <v>1</v>
      </c>
      <c r="J78" s="10"/>
      <c r="K78" s="11"/>
      <c r="L78" s="10"/>
      <c r="M78" s="44">
        <f t="shared" si="15"/>
        <v>1</v>
      </c>
      <c r="N78" s="31">
        <f t="shared" si="16"/>
        <v>2</v>
      </c>
      <c r="O78" s="37">
        <v>44453</v>
      </c>
    </row>
    <row r="79" spans="1:15" x14ac:dyDescent="0.15">
      <c r="A79" s="39" t="s">
        <v>54</v>
      </c>
      <c r="B79" s="10"/>
      <c r="C79" s="11"/>
      <c r="D79" s="10">
        <v>1</v>
      </c>
      <c r="E79" s="11"/>
      <c r="F79" s="10"/>
      <c r="G79" s="48">
        <f t="shared" si="13"/>
        <v>1</v>
      </c>
      <c r="H79" s="10"/>
      <c r="I79" s="11"/>
      <c r="J79" s="10">
        <v>1</v>
      </c>
      <c r="K79" s="11"/>
      <c r="L79" s="10"/>
      <c r="M79" s="44">
        <f t="shared" si="15"/>
        <v>1</v>
      </c>
      <c r="N79" s="31">
        <f t="shared" si="16"/>
        <v>2</v>
      </c>
      <c r="O79" s="37">
        <v>44457</v>
      </c>
    </row>
    <row r="80" spans="1:15" x14ac:dyDescent="0.15">
      <c r="A80" s="39" t="s">
        <v>54</v>
      </c>
      <c r="B80" s="10"/>
      <c r="C80" s="11">
        <v>1</v>
      </c>
      <c r="D80" s="10"/>
      <c r="E80" s="11"/>
      <c r="F80" s="10"/>
      <c r="G80" s="48">
        <f t="shared" si="13"/>
        <v>1</v>
      </c>
      <c r="H80" s="10"/>
      <c r="I80" s="11">
        <v>1</v>
      </c>
      <c r="J80" s="10"/>
      <c r="K80" s="11"/>
      <c r="L80" s="10"/>
      <c r="M80" s="44">
        <f t="shared" si="15"/>
        <v>1</v>
      </c>
      <c r="N80" s="31">
        <f t="shared" si="16"/>
        <v>2</v>
      </c>
      <c r="O80" s="37">
        <v>44460</v>
      </c>
    </row>
    <row r="81" spans="1:15" x14ac:dyDescent="0.15">
      <c r="A81" s="39" t="s">
        <v>54</v>
      </c>
      <c r="B81" s="10"/>
      <c r="C81" s="11">
        <v>2</v>
      </c>
      <c r="D81" s="10"/>
      <c r="E81" s="11"/>
      <c r="F81" s="10"/>
      <c r="G81" s="48">
        <f t="shared" si="13"/>
        <v>2</v>
      </c>
      <c r="H81" s="10"/>
      <c r="I81" s="11"/>
      <c r="J81" s="10"/>
      <c r="K81" s="11"/>
      <c r="L81" s="10"/>
      <c r="M81" s="44">
        <f t="shared" si="15"/>
        <v>0</v>
      </c>
      <c r="N81" s="31">
        <f t="shared" si="16"/>
        <v>2</v>
      </c>
      <c r="O81" s="37">
        <v>44474</v>
      </c>
    </row>
    <row r="82" spans="1:15" ht="14.25" thickBot="1" x14ac:dyDescent="0.2">
      <c r="A82" s="39" t="s">
        <v>54</v>
      </c>
      <c r="B82" s="13"/>
      <c r="C82" s="14"/>
      <c r="D82" s="13"/>
      <c r="E82" s="14"/>
      <c r="F82" s="13"/>
      <c r="G82" s="59">
        <f t="shared" si="13"/>
        <v>0</v>
      </c>
      <c r="H82" s="13"/>
      <c r="I82" s="14">
        <v>2</v>
      </c>
      <c r="J82" s="13"/>
      <c r="K82" s="14"/>
      <c r="L82" s="13"/>
      <c r="M82" s="60">
        <f t="shared" si="15"/>
        <v>2</v>
      </c>
      <c r="N82" s="36">
        <f t="shared" si="16"/>
        <v>2</v>
      </c>
      <c r="O82" s="37">
        <v>44475</v>
      </c>
    </row>
    <row r="83" spans="1:15" ht="14.25" thickBot="1" x14ac:dyDescent="0.2">
      <c r="A83" s="3" t="s">
        <v>5</v>
      </c>
      <c r="B83" s="16">
        <f>SUM(B59:B82)</f>
        <v>7</v>
      </c>
      <c r="C83" s="61">
        <f>SUM(C59:C82)</f>
        <v>16</v>
      </c>
      <c r="D83" s="16">
        <f t="shared" ref="D83:E83" si="21">SUM(D59:D82)</f>
        <v>9</v>
      </c>
      <c r="E83" s="61">
        <f t="shared" si="21"/>
        <v>0</v>
      </c>
      <c r="F83" s="15">
        <f>SUM(F59:F82)</f>
        <v>0</v>
      </c>
      <c r="G83" s="16">
        <f t="shared" si="13"/>
        <v>32</v>
      </c>
      <c r="H83" s="15">
        <f>SUM(H59:H82)</f>
        <v>7</v>
      </c>
      <c r="I83" s="15">
        <f t="shared" ref="I83:J83" si="22">SUM(I59:I82)</f>
        <v>8</v>
      </c>
      <c r="J83" s="15">
        <f t="shared" si="22"/>
        <v>11</v>
      </c>
      <c r="K83" s="15">
        <f>SUM(K59:K82)</f>
        <v>0</v>
      </c>
      <c r="L83" s="15">
        <f>SUM(L59:L82)</f>
        <v>0</v>
      </c>
      <c r="M83" s="16">
        <f t="shared" si="15"/>
        <v>26</v>
      </c>
      <c r="N83" s="34">
        <f t="shared" si="16"/>
        <v>58</v>
      </c>
      <c r="O83" s="37"/>
    </row>
    <row r="84" spans="1:15" ht="14.25" thickBot="1" x14ac:dyDescent="0.2">
      <c r="A84" s="25" t="s">
        <v>6</v>
      </c>
      <c r="B84" s="26">
        <f>B58-B83</f>
        <v>2</v>
      </c>
      <c r="C84" s="26">
        <f t="shared" ref="C84:E84" si="23">C58-C83</f>
        <v>4</v>
      </c>
      <c r="D84" s="26">
        <f t="shared" si="23"/>
        <v>3</v>
      </c>
      <c r="E84" s="26">
        <f t="shared" si="23"/>
        <v>0</v>
      </c>
      <c r="F84" s="26">
        <f t="shared" ref="F84:G84" si="24">F58-F83</f>
        <v>0</v>
      </c>
      <c r="G84" s="26">
        <f t="shared" si="24"/>
        <v>9</v>
      </c>
      <c r="H84" s="26">
        <f>H58-H83</f>
        <v>2</v>
      </c>
      <c r="I84" s="26">
        <f t="shared" ref="I84:J84" si="25">I58-I83</f>
        <v>2</v>
      </c>
      <c r="J84" s="26">
        <f t="shared" si="25"/>
        <v>3</v>
      </c>
      <c r="K84" s="26">
        <f t="shared" ref="K84:M84" si="26">K58-K83</f>
        <v>0</v>
      </c>
      <c r="L84" s="26">
        <f t="shared" si="26"/>
        <v>0</v>
      </c>
      <c r="M84" s="26">
        <f t="shared" si="26"/>
        <v>7</v>
      </c>
      <c r="N84" s="38">
        <f t="shared" si="16"/>
        <v>16</v>
      </c>
    </row>
    <row r="87" spans="1:15" ht="18" thickBot="1" x14ac:dyDescent="0.25">
      <c r="A87" s="29" t="s">
        <v>17</v>
      </c>
      <c r="B87" s="1"/>
      <c r="C87" s="1"/>
      <c r="D87" s="1" t="s">
        <v>24</v>
      </c>
      <c r="E87" s="1"/>
      <c r="F87" s="1"/>
      <c r="G87" s="1"/>
      <c r="H87" s="1"/>
      <c r="I87" s="1"/>
      <c r="J87" s="1"/>
      <c r="K87" s="1"/>
      <c r="L87" s="1"/>
      <c r="M87" s="1"/>
    </row>
    <row r="88" spans="1:15" ht="14.25" thickBot="1" x14ac:dyDescent="0.2">
      <c r="A88" s="2" t="s">
        <v>0</v>
      </c>
      <c r="B88" s="206" t="s">
        <v>14</v>
      </c>
      <c r="C88" s="206"/>
      <c r="D88" s="206"/>
      <c r="E88" s="206"/>
      <c r="F88" s="206"/>
      <c r="G88" s="207"/>
      <c r="H88" s="206" t="s">
        <v>15</v>
      </c>
      <c r="I88" s="206"/>
      <c r="J88" s="206"/>
      <c r="K88" s="206"/>
      <c r="L88" s="206"/>
      <c r="M88" s="207"/>
      <c r="N88" s="208" t="s">
        <v>10</v>
      </c>
    </row>
    <row r="89" spans="1:15" ht="14.25" thickBot="1" x14ac:dyDescent="0.2">
      <c r="A89" s="2" t="s">
        <v>1</v>
      </c>
      <c r="B89" s="3" t="s">
        <v>7</v>
      </c>
      <c r="C89" s="2" t="s">
        <v>8</v>
      </c>
      <c r="D89" s="19" t="s">
        <v>9</v>
      </c>
      <c r="E89" s="2" t="s">
        <v>20</v>
      </c>
      <c r="F89" s="2" t="s">
        <v>22</v>
      </c>
      <c r="G89" s="19" t="s">
        <v>2</v>
      </c>
      <c r="H89" s="2" t="s">
        <v>11</v>
      </c>
      <c r="I89" s="19" t="s">
        <v>12</v>
      </c>
      <c r="J89" s="2" t="s">
        <v>13</v>
      </c>
      <c r="K89" s="53" t="s">
        <v>19</v>
      </c>
      <c r="L89" s="53" t="s">
        <v>21</v>
      </c>
      <c r="M89" s="2" t="s">
        <v>2</v>
      </c>
      <c r="N89" s="209"/>
    </row>
    <row r="90" spans="1:15" ht="14.25" thickBot="1" x14ac:dyDescent="0.2">
      <c r="A90" s="3" t="s">
        <v>6</v>
      </c>
      <c r="B90" s="63">
        <f>B84</f>
        <v>2</v>
      </c>
      <c r="C90" s="64">
        <f>C84</f>
        <v>4</v>
      </c>
      <c r="D90" s="63">
        <f>D84</f>
        <v>3</v>
      </c>
      <c r="E90" s="64">
        <f>E84</f>
        <v>0</v>
      </c>
      <c r="F90" s="63">
        <f>F84</f>
        <v>0</v>
      </c>
      <c r="G90" s="61">
        <f t="shared" ref="G90:G126" si="27">SUM(B90:F90)</f>
        <v>9</v>
      </c>
      <c r="H90" s="63">
        <f>H84</f>
        <v>2</v>
      </c>
      <c r="I90" s="63">
        <f t="shared" ref="I90:L90" si="28">I84</f>
        <v>2</v>
      </c>
      <c r="J90" s="63">
        <f t="shared" si="28"/>
        <v>3</v>
      </c>
      <c r="K90" s="63">
        <f t="shared" si="28"/>
        <v>0</v>
      </c>
      <c r="L90" s="63">
        <f t="shared" si="28"/>
        <v>0</v>
      </c>
      <c r="M90" s="65">
        <f t="shared" ref="M90:M126" si="29">SUM(H90:L90)</f>
        <v>7</v>
      </c>
      <c r="N90" s="34">
        <f>SUM(M90,G90)</f>
        <v>16</v>
      </c>
    </row>
    <row r="91" spans="1:15" x14ac:dyDescent="0.15">
      <c r="A91" s="62" t="s">
        <v>3</v>
      </c>
      <c r="B91" s="4">
        <v>6</v>
      </c>
      <c r="C91" s="35"/>
      <c r="D91" s="4"/>
      <c r="E91" s="35"/>
      <c r="F91" s="4"/>
      <c r="G91" s="45">
        <f t="shared" si="27"/>
        <v>6</v>
      </c>
      <c r="H91" s="4">
        <v>2</v>
      </c>
      <c r="I91" s="35"/>
      <c r="J91" s="4"/>
      <c r="K91" s="35"/>
      <c r="L91" s="4"/>
      <c r="M91" s="41">
        <f t="shared" si="29"/>
        <v>2</v>
      </c>
      <c r="N91" s="31">
        <f t="shared" ref="N91:N127" si="30">SUM(M91,G91)</f>
        <v>8</v>
      </c>
      <c r="O91" s="32">
        <v>44476</v>
      </c>
    </row>
    <row r="92" spans="1:15" x14ac:dyDescent="0.15">
      <c r="A92" s="49" t="s">
        <v>3</v>
      </c>
      <c r="B92" s="12">
        <v>2</v>
      </c>
      <c r="C92" s="17">
        <v>1</v>
      </c>
      <c r="D92" s="12">
        <v>2</v>
      </c>
      <c r="E92" s="17"/>
      <c r="F92" s="12"/>
      <c r="G92" s="45">
        <f t="shared" si="27"/>
        <v>5</v>
      </c>
      <c r="H92" s="12"/>
      <c r="I92" s="17">
        <v>3</v>
      </c>
      <c r="J92" s="12">
        <v>2</v>
      </c>
      <c r="K92" s="17"/>
      <c r="L92" s="12"/>
      <c r="M92" s="41">
        <f t="shared" si="29"/>
        <v>5</v>
      </c>
      <c r="N92" s="31">
        <f t="shared" si="30"/>
        <v>10</v>
      </c>
      <c r="O92" s="32">
        <v>44497</v>
      </c>
    </row>
    <row r="93" spans="1:15" x14ac:dyDescent="0.15">
      <c r="A93" s="49" t="s">
        <v>3</v>
      </c>
      <c r="B93" s="12">
        <v>5</v>
      </c>
      <c r="C93" s="17">
        <v>5</v>
      </c>
      <c r="D93" s="12">
        <v>2</v>
      </c>
      <c r="E93" s="17"/>
      <c r="F93" s="12"/>
      <c r="G93" s="45">
        <f t="shared" si="27"/>
        <v>12</v>
      </c>
      <c r="H93" s="12">
        <v>5</v>
      </c>
      <c r="I93" s="17">
        <v>5</v>
      </c>
      <c r="J93" s="12"/>
      <c r="K93" s="17"/>
      <c r="L93" s="12"/>
      <c r="M93" s="41">
        <f t="shared" si="29"/>
        <v>10</v>
      </c>
      <c r="N93" s="31">
        <f t="shared" si="30"/>
        <v>22</v>
      </c>
      <c r="O93" s="32">
        <v>44511</v>
      </c>
    </row>
    <row r="94" spans="1:15" x14ac:dyDescent="0.15">
      <c r="A94" s="49" t="s">
        <v>3</v>
      </c>
      <c r="B94" s="12">
        <v>4</v>
      </c>
      <c r="C94" s="17"/>
      <c r="D94" s="12"/>
      <c r="E94" s="17"/>
      <c r="F94" s="12"/>
      <c r="G94" s="45">
        <f t="shared" si="27"/>
        <v>4</v>
      </c>
      <c r="H94" s="12"/>
      <c r="I94" s="17"/>
      <c r="J94" s="12"/>
      <c r="K94" s="17"/>
      <c r="L94" s="12"/>
      <c r="M94" s="41">
        <f t="shared" si="29"/>
        <v>0</v>
      </c>
      <c r="N94" s="31">
        <f t="shared" si="30"/>
        <v>4</v>
      </c>
      <c r="O94" s="37">
        <v>44520</v>
      </c>
    </row>
    <row r="95" spans="1:15" x14ac:dyDescent="0.15">
      <c r="A95" s="49" t="s">
        <v>3</v>
      </c>
      <c r="B95" s="12">
        <v>6</v>
      </c>
      <c r="C95" s="17"/>
      <c r="D95" s="12"/>
      <c r="E95" s="17"/>
      <c r="F95" s="12"/>
      <c r="G95" s="45">
        <f t="shared" si="27"/>
        <v>6</v>
      </c>
      <c r="H95" s="12"/>
      <c r="I95" s="17"/>
      <c r="J95" s="12"/>
      <c r="K95" s="17"/>
      <c r="L95" s="12"/>
      <c r="M95" s="41">
        <f t="shared" si="29"/>
        <v>0</v>
      </c>
      <c r="N95" s="31">
        <f t="shared" si="30"/>
        <v>6</v>
      </c>
      <c r="O95" s="37">
        <v>44524</v>
      </c>
    </row>
    <row r="96" spans="1:15" x14ac:dyDescent="0.15">
      <c r="A96" s="49" t="s">
        <v>3</v>
      </c>
      <c r="B96" s="12">
        <v>10</v>
      </c>
      <c r="C96" s="17">
        <v>10</v>
      </c>
      <c r="D96" s="12">
        <v>3</v>
      </c>
      <c r="E96" s="17"/>
      <c r="F96" s="12"/>
      <c r="G96" s="45">
        <f t="shared" si="27"/>
        <v>23</v>
      </c>
      <c r="H96" s="12">
        <v>5</v>
      </c>
      <c r="I96" s="17">
        <v>10</v>
      </c>
      <c r="J96" s="12">
        <v>3</v>
      </c>
      <c r="K96" s="17"/>
      <c r="L96" s="12"/>
      <c r="M96" s="41">
        <f t="shared" si="29"/>
        <v>18</v>
      </c>
      <c r="N96" s="31">
        <f t="shared" si="30"/>
        <v>41</v>
      </c>
      <c r="O96" s="32">
        <v>44531</v>
      </c>
    </row>
    <row r="97" spans="1:16" x14ac:dyDescent="0.15">
      <c r="A97" s="49" t="s">
        <v>3</v>
      </c>
      <c r="B97" s="69">
        <v>10</v>
      </c>
      <c r="C97" s="11"/>
      <c r="D97" s="10"/>
      <c r="E97" s="11"/>
      <c r="F97" s="10"/>
      <c r="G97" s="45">
        <f t="shared" si="27"/>
        <v>10</v>
      </c>
      <c r="H97" s="69">
        <v>10</v>
      </c>
      <c r="I97" s="11"/>
      <c r="J97" s="10"/>
      <c r="K97" s="11"/>
      <c r="L97" s="10"/>
      <c r="M97" s="41">
        <f t="shared" si="29"/>
        <v>10</v>
      </c>
      <c r="N97" s="31">
        <f t="shared" si="30"/>
        <v>20</v>
      </c>
      <c r="O97" s="32">
        <v>44534</v>
      </c>
    </row>
    <row r="98" spans="1:16" x14ac:dyDescent="0.15">
      <c r="A98" s="49" t="s">
        <v>3</v>
      </c>
      <c r="B98" s="10"/>
      <c r="C98" s="11"/>
      <c r="D98" s="10">
        <v>2</v>
      </c>
      <c r="E98" s="11"/>
      <c r="F98" s="10"/>
      <c r="G98" s="45">
        <f t="shared" si="27"/>
        <v>2</v>
      </c>
      <c r="H98" s="10"/>
      <c r="I98" s="11">
        <v>4</v>
      </c>
      <c r="J98" s="10">
        <v>4</v>
      </c>
      <c r="K98" s="11"/>
      <c r="L98" s="10"/>
      <c r="M98" s="41">
        <f t="shared" si="29"/>
        <v>8</v>
      </c>
      <c r="N98" s="31">
        <f t="shared" si="30"/>
        <v>10</v>
      </c>
      <c r="O98" s="32">
        <v>44579</v>
      </c>
      <c r="P98" s="33"/>
    </row>
    <row r="99" spans="1:16" x14ac:dyDescent="0.15">
      <c r="A99" s="49" t="s">
        <v>3</v>
      </c>
      <c r="B99" s="10">
        <v>5</v>
      </c>
      <c r="C99" s="11"/>
      <c r="D99" s="10"/>
      <c r="E99" s="11"/>
      <c r="F99" s="10"/>
      <c r="G99" s="45">
        <f t="shared" si="27"/>
        <v>5</v>
      </c>
      <c r="H99" s="10"/>
      <c r="I99" s="11"/>
      <c r="J99" s="10"/>
      <c r="K99" s="11"/>
      <c r="L99" s="10"/>
      <c r="M99" s="41">
        <f t="shared" si="29"/>
        <v>0</v>
      </c>
      <c r="N99" s="31">
        <f t="shared" si="30"/>
        <v>5</v>
      </c>
      <c r="O99" s="32">
        <v>44588</v>
      </c>
      <c r="P99" s="33"/>
    </row>
    <row r="100" spans="1:16" ht="14.25" thickBot="1" x14ac:dyDescent="0.2">
      <c r="A100" s="50" t="s">
        <v>3</v>
      </c>
      <c r="B100" s="13"/>
      <c r="C100" s="14"/>
      <c r="D100" s="13"/>
      <c r="E100" s="14"/>
      <c r="F100" s="13"/>
      <c r="G100" s="46">
        <f t="shared" si="27"/>
        <v>0</v>
      </c>
      <c r="H100" s="13"/>
      <c r="I100" s="14"/>
      <c r="J100" s="13"/>
      <c r="K100" s="14"/>
      <c r="L100" s="13"/>
      <c r="M100" s="42">
        <f t="shared" si="29"/>
        <v>0</v>
      </c>
      <c r="N100" s="36">
        <f t="shared" si="30"/>
        <v>0</v>
      </c>
    </row>
    <row r="101" spans="1:16" ht="14.25" thickBot="1" x14ac:dyDescent="0.2">
      <c r="A101" s="51" t="s">
        <v>4</v>
      </c>
      <c r="B101" s="22">
        <f>SUM(B90:B100)</f>
        <v>50</v>
      </c>
      <c r="C101" s="22">
        <f>SUM(C90:C100)</f>
        <v>20</v>
      </c>
      <c r="D101" s="57">
        <f t="shared" ref="D101:E101" si="31">SUM(D90:D100)</f>
        <v>12</v>
      </c>
      <c r="E101" s="22">
        <f t="shared" si="31"/>
        <v>0</v>
      </c>
      <c r="F101" s="22">
        <f>SUM(F90:F100)</f>
        <v>0</v>
      </c>
      <c r="G101" s="47">
        <f t="shared" si="27"/>
        <v>82</v>
      </c>
      <c r="H101" s="22">
        <f>SUM(H90:H100)</f>
        <v>24</v>
      </c>
      <c r="I101" s="22">
        <f t="shared" ref="I101:J101" si="32">SUM(I90:I100)</f>
        <v>24</v>
      </c>
      <c r="J101" s="22">
        <f t="shared" si="32"/>
        <v>12</v>
      </c>
      <c r="K101" s="57">
        <f>SUM(K90:K100)</f>
        <v>0</v>
      </c>
      <c r="L101" s="22">
        <f>SUM(L90:L100)</f>
        <v>0</v>
      </c>
      <c r="M101" s="43">
        <f t="shared" si="29"/>
        <v>60</v>
      </c>
      <c r="N101" s="34">
        <f t="shared" si="30"/>
        <v>142</v>
      </c>
    </row>
    <row r="102" spans="1:16" x14ac:dyDescent="0.15">
      <c r="A102" s="39" t="s">
        <v>54</v>
      </c>
      <c r="B102" s="55">
        <v>4</v>
      </c>
      <c r="C102" s="56"/>
      <c r="D102" s="55"/>
      <c r="E102" s="56"/>
      <c r="F102" s="55"/>
      <c r="G102" s="45">
        <f t="shared" si="27"/>
        <v>4</v>
      </c>
      <c r="H102" s="55"/>
      <c r="I102" s="56"/>
      <c r="J102" s="55"/>
      <c r="K102" s="56"/>
      <c r="L102" s="55"/>
      <c r="M102" s="41">
        <f t="shared" si="29"/>
        <v>0</v>
      </c>
      <c r="N102" s="31">
        <f t="shared" si="30"/>
        <v>4</v>
      </c>
      <c r="O102" s="37">
        <v>44476</v>
      </c>
    </row>
    <row r="103" spans="1:16" x14ac:dyDescent="0.15">
      <c r="A103" s="39" t="s">
        <v>54</v>
      </c>
      <c r="B103" s="10"/>
      <c r="C103" s="11">
        <v>2</v>
      </c>
      <c r="D103" s="10">
        <v>2</v>
      </c>
      <c r="E103" s="11"/>
      <c r="F103" s="10"/>
      <c r="G103" s="45">
        <f t="shared" si="27"/>
        <v>4</v>
      </c>
      <c r="H103" s="10"/>
      <c r="I103" s="11">
        <v>2</v>
      </c>
      <c r="J103" s="10">
        <v>2</v>
      </c>
      <c r="K103" s="11"/>
      <c r="L103" s="10"/>
      <c r="M103" s="41">
        <f t="shared" si="29"/>
        <v>4</v>
      </c>
      <c r="N103" s="31">
        <f t="shared" si="30"/>
        <v>8</v>
      </c>
      <c r="O103" s="37">
        <v>44480</v>
      </c>
    </row>
    <row r="104" spans="1:16" x14ac:dyDescent="0.15">
      <c r="A104" s="39" t="s">
        <v>54</v>
      </c>
      <c r="B104" s="10">
        <v>1</v>
      </c>
      <c r="C104" s="11"/>
      <c r="D104" s="10"/>
      <c r="E104" s="11"/>
      <c r="F104" s="10"/>
      <c r="G104" s="45">
        <f t="shared" si="27"/>
        <v>1</v>
      </c>
      <c r="H104" s="10">
        <v>1</v>
      </c>
      <c r="I104" s="11"/>
      <c r="J104" s="10"/>
      <c r="K104" s="11"/>
      <c r="L104" s="10"/>
      <c r="M104" s="41">
        <f t="shared" si="29"/>
        <v>1</v>
      </c>
      <c r="N104" s="31">
        <f t="shared" si="30"/>
        <v>2</v>
      </c>
      <c r="O104" s="37">
        <v>44485</v>
      </c>
    </row>
    <row r="105" spans="1:16" x14ac:dyDescent="0.15">
      <c r="A105" s="39" t="s">
        <v>54</v>
      </c>
      <c r="B105" s="10">
        <v>2</v>
      </c>
      <c r="C105" s="11"/>
      <c r="D105" s="10"/>
      <c r="E105" s="11"/>
      <c r="F105" s="10"/>
      <c r="G105" s="45">
        <f t="shared" si="27"/>
        <v>2</v>
      </c>
      <c r="H105" s="10"/>
      <c r="I105" s="11"/>
      <c r="J105" s="10"/>
      <c r="K105" s="11"/>
      <c r="L105" s="10"/>
      <c r="M105" s="41">
        <f t="shared" si="29"/>
        <v>0</v>
      </c>
      <c r="N105" s="31">
        <f t="shared" si="30"/>
        <v>2</v>
      </c>
      <c r="O105" s="37">
        <v>44491</v>
      </c>
    </row>
    <row r="106" spans="1:16" x14ac:dyDescent="0.15">
      <c r="A106" s="39" t="s">
        <v>54</v>
      </c>
      <c r="B106" s="10"/>
      <c r="C106" s="11"/>
      <c r="D106" s="10">
        <v>2</v>
      </c>
      <c r="E106" s="11"/>
      <c r="F106" s="10"/>
      <c r="G106" s="45">
        <f t="shared" si="27"/>
        <v>2</v>
      </c>
      <c r="H106" s="10"/>
      <c r="I106" s="11"/>
      <c r="J106" s="10"/>
      <c r="K106" s="11"/>
      <c r="L106" s="10"/>
      <c r="M106" s="41">
        <f t="shared" si="29"/>
        <v>0</v>
      </c>
      <c r="N106" s="31">
        <f t="shared" si="30"/>
        <v>2</v>
      </c>
      <c r="O106" s="37">
        <v>44497</v>
      </c>
    </row>
    <row r="107" spans="1:16" x14ac:dyDescent="0.15">
      <c r="A107" s="39" t="s">
        <v>54</v>
      </c>
      <c r="B107" s="10">
        <v>1</v>
      </c>
      <c r="C107" s="11"/>
      <c r="D107" s="10"/>
      <c r="E107" s="11"/>
      <c r="F107" s="10"/>
      <c r="G107" s="48">
        <f t="shared" si="27"/>
        <v>1</v>
      </c>
      <c r="H107" s="10">
        <v>1</v>
      </c>
      <c r="I107" s="11"/>
      <c r="J107" s="10"/>
      <c r="K107" s="11"/>
      <c r="L107" s="10"/>
      <c r="M107" s="44">
        <f t="shared" si="29"/>
        <v>1</v>
      </c>
      <c r="N107" s="31">
        <f t="shared" si="30"/>
        <v>2</v>
      </c>
      <c r="O107" s="37">
        <v>44501</v>
      </c>
    </row>
    <row r="108" spans="1:16" x14ac:dyDescent="0.15">
      <c r="A108" s="39" t="s">
        <v>54</v>
      </c>
      <c r="B108" s="10">
        <v>1</v>
      </c>
      <c r="C108" s="11"/>
      <c r="D108" s="10"/>
      <c r="E108" s="11"/>
      <c r="F108" s="10"/>
      <c r="G108" s="48">
        <f t="shared" si="27"/>
        <v>1</v>
      </c>
      <c r="H108" s="10">
        <v>1</v>
      </c>
      <c r="I108" s="11"/>
      <c r="J108" s="10"/>
      <c r="K108" s="11"/>
      <c r="L108" s="10"/>
      <c r="M108" s="44">
        <f t="shared" si="29"/>
        <v>1</v>
      </c>
      <c r="N108" s="31">
        <f t="shared" si="30"/>
        <v>2</v>
      </c>
      <c r="O108" s="37">
        <v>44502</v>
      </c>
    </row>
    <row r="109" spans="1:16" x14ac:dyDescent="0.15">
      <c r="A109" s="39" t="s">
        <v>54</v>
      </c>
      <c r="B109" s="10"/>
      <c r="C109" s="11">
        <v>1</v>
      </c>
      <c r="D109" s="10"/>
      <c r="E109" s="11"/>
      <c r="F109" s="10"/>
      <c r="G109" s="48">
        <f t="shared" si="27"/>
        <v>1</v>
      </c>
      <c r="H109" s="10"/>
      <c r="I109" s="11">
        <v>1</v>
      </c>
      <c r="J109" s="10"/>
      <c r="K109" s="11"/>
      <c r="L109" s="10"/>
      <c r="M109" s="44">
        <f t="shared" si="29"/>
        <v>1</v>
      </c>
      <c r="N109" s="31">
        <f t="shared" si="30"/>
        <v>2</v>
      </c>
      <c r="O109" s="37">
        <v>44505</v>
      </c>
    </row>
    <row r="110" spans="1:16" x14ac:dyDescent="0.15">
      <c r="A110" s="39" t="s">
        <v>54</v>
      </c>
      <c r="B110" s="10">
        <v>1</v>
      </c>
      <c r="C110" s="11"/>
      <c r="D110" s="10"/>
      <c r="E110" s="11"/>
      <c r="F110" s="10"/>
      <c r="G110" s="48">
        <f t="shared" si="27"/>
        <v>1</v>
      </c>
      <c r="H110" s="10">
        <v>1</v>
      </c>
      <c r="I110" s="11"/>
      <c r="J110" s="10"/>
      <c r="K110" s="11"/>
      <c r="L110" s="10"/>
      <c r="M110" s="44">
        <f t="shared" si="29"/>
        <v>1</v>
      </c>
      <c r="N110" s="31">
        <f t="shared" si="30"/>
        <v>2</v>
      </c>
      <c r="O110" s="37">
        <v>44508</v>
      </c>
    </row>
    <row r="111" spans="1:16" x14ac:dyDescent="0.15">
      <c r="A111" s="39" t="s">
        <v>54</v>
      </c>
      <c r="B111" s="10"/>
      <c r="C111" s="11">
        <v>3</v>
      </c>
      <c r="D111" s="10"/>
      <c r="E111" s="11"/>
      <c r="F111" s="10"/>
      <c r="G111" s="48">
        <f t="shared" si="27"/>
        <v>3</v>
      </c>
      <c r="H111" s="10"/>
      <c r="I111" s="11">
        <v>3</v>
      </c>
      <c r="J111" s="10"/>
      <c r="K111" s="11"/>
      <c r="L111" s="10"/>
      <c r="M111" s="44">
        <f t="shared" si="29"/>
        <v>3</v>
      </c>
      <c r="N111" s="31">
        <f t="shared" si="30"/>
        <v>6</v>
      </c>
      <c r="O111" s="37">
        <v>44511</v>
      </c>
    </row>
    <row r="112" spans="1:16" x14ac:dyDescent="0.15">
      <c r="A112" s="39" t="s">
        <v>54</v>
      </c>
      <c r="B112" s="10">
        <v>4</v>
      </c>
      <c r="C112" s="11"/>
      <c r="D112" s="10"/>
      <c r="E112" s="11"/>
      <c r="F112" s="10"/>
      <c r="G112" s="48">
        <f t="shared" si="27"/>
        <v>4</v>
      </c>
      <c r="H112" s="10"/>
      <c r="I112" s="11"/>
      <c r="J112" s="10"/>
      <c r="K112" s="11"/>
      <c r="L112" s="10"/>
      <c r="M112" s="44">
        <f t="shared" si="29"/>
        <v>0</v>
      </c>
      <c r="N112" s="31">
        <f t="shared" si="30"/>
        <v>4</v>
      </c>
      <c r="O112" s="37">
        <v>44520</v>
      </c>
    </row>
    <row r="113" spans="1:15" x14ac:dyDescent="0.15">
      <c r="A113" s="39" t="s">
        <v>54</v>
      </c>
      <c r="B113" s="10"/>
      <c r="C113" s="11"/>
      <c r="D113" s="10">
        <v>1</v>
      </c>
      <c r="E113" s="11"/>
      <c r="F113" s="10"/>
      <c r="G113" s="48">
        <f t="shared" si="27"/>
        <v>1</v>
      </c>
      <c r="H113" s="10"/>
      <c r="I113" s="11"/>
      <c r="J113" s="10">
        <v>1</v>
      </c>
      <c r="K113" s="11"/>
      <c r="L113" s="10"/>
      <c r="M113" s="44">
        <f t="shared" si="29"/>
        <v>1</v>
      </c>
      <c r="N113" s="31">
        <f t="shared" si="30"/>
        <v>2</v>
      </c>
      <c r="O113" s="37">
        <v>44522</v>
      </c>
    </row>
    <row r="114" spans="1:15" x14ac:dyDescent="0.15">
      <c r="A114" s="39" t="s">
        <v>54</v>
      </c>
      <c r="B114" s="10">
        <v>6</v>
      </c>
      <c r="C114" s="11"/>
      <c r="D114" s="10"/>
      <c r="E114" s="11"/>
      <c r="F114" s="10"/>
      <c r="G114" s="48">
        <f t="shared" si="27"/>
        <v>6</v>
      </c>
      <c r="H114" s="10"/>
      <c r="I114" s="11"/>
      <c r="J114" s="10"/>
      <c r="K114" s="11"/>
      <c r="L114" s="10"/>
      <c r="M114" s="44">
        <f t="shared" si="29"/>
        <v>0</v>
      </c>
      <c r="N114" s="31">
        <f t="shared" si="30"/>
        <v>6</v>
      </c>
      <c r="O114" s="37">
        <v>44524</v>
      </c>
    </row>
    <row r="115" spans="1:15" x14ac:dyDescent="0.15">
      <c r="A115" s="39" t="s">
        <v>54</v>
      </c>
      <c r="B115" s="10">
        <v>4</v>
      </c>
      <c r="C115" s="11"/>
      <c r="D115" s="10"/>
      <c r="E115" s="11"/>
      <c r="F115" s="10"/>
      <c r="G115" s="48">
        <f t="shared" si="27"/>
        <v>4</v>
      </c>
      <c r="H115" s="10"/>
      <c r="I115" s="11"/>
      <c r="J115" s="10"/>
      <c r="K115" s="11"/>
      <c r="L115" s="10"/>
      <c r="M115" s="44">
        <f t="shared" si="29"/>
        <v>0</v>
      </c>
      <c r="N115" s="31">
        <f t="shared" si="30"/>
        <v>4</v>
      </c>
      <c r="O115" s="37">
        <v>44526</v>
      </c>
    </row>
    <row r="116" spans="1:15" x14ac:dyDescent="0.15">
      <c r="A116" s="39" t="s">
        <v>54</v>
      </c>
      <c r="B116" s="10">
        <v>6</v>
      </c>
      <c r="C116" s="11"/>
      <c r="D116" s="10"/>
      <c r="E116" s="11"/>
      <c r="F116" s="10"/>
      <c r="G116" s="48">
        <f t="shared" si="27"/>
        <v>6</v>
      </c>
      <c r="H116" s="10">
        <v>6</v>
      </c>
      <c r="I116" s="11"/>
      <c r="J116" s="10"/>
      <c r="K116" s="11"/>
      <c r="L116" s="10"/>
      <c r="M116" s="44">
        <f t="shared" si="29"/>
        <v>6</v>
      </c>
      <c r="N116" s="31">
        <f t="shared" si="30"/>
        <v>12</v>
      </c>
      <c r="O116" s="37">
        <v>44531</v>
      </c>
    </row>
    <row r="117" spans="1:15" x14ac:dyDescent="0.15">
      <c r="A117" s="39" t="s">
        <v>54</v>
      </c>
      <c r="B117" s="10"/>
      <c r="C117" s="11"/>
      <c r="D117" s="10"/>
      <c r="E117" s="11"/>
      <c r="F117" s="10"/>
      <c r="G117" s="48">
        <f t="shared" si="27"/>
        <v>0</v>
      </c>
      <c r="H117" s="10"/>
      <c r="I117" s="11">
        <v>2</v>
      </c>
      <c r="J117" s="10"/>
      <c r="K117" s="11"/>
      <c r="L117" s="10"/>
      <c r="M117" s="44">
        <f t="shared" si="29"/>
        <v>2</v>
      </c>
      <c r="N117" s="31">
        <f t="shared" si="30"/>
        <v>2</v>
      </c>
      <c r="O117" s="37">
        <v>44536</v>
      </c>
    </row>
    <row r="118" spans="1:15" x14ac:dyDescent="0.15">
      <c r="A118" s="39" t="s">
        <v>54</v>
      </c>
      <c r="B118" s="10">
        <v>1</v>
      </c>
      <c r="C118" s="11"/>
      <c r="D118" s="10"/>
      <c r="E118" s="11"/>
      <c r="F118" s="10"/>
      <c r="G118" s="48">
        <f t="shared" si="27"/>
        <v>1</v>
      </c>
      <c r="H118" s="10">
        <v>1</v>
      </c>
      <c r="I118" s="11"/>
      <c r="J118" s="10"/>
      <c r="K118" s="11"/>
      <c r="L118" s="10"/>
      <c r="M118" s="44">
        <f t="shared" si="29"/>
        <v>1</v>
      </c>
      <c r="N118" s="31">
        <f t="shared" si="30"/>
        <v>2</v>
      </c>
      <c r="O118" s="37">
        <v>44545</v>
      </c>
    </row>
    <row r="119" spans="1:15" x14ac:dyDescent="0.15">
      <c r="A119" s="39" t="s">
        <v>54</v>
      </c>
      <c r="B119" s="10"/>
      <c r="C119" s="11"/>
      <c r="D119" s="10">
        <v>1</v>
      </c>
      <c r="E119" s="11"/>
      <c r="F119" s="10"/>
      <c r="G119" s="48">
        <f t="shared" si="27"/>
        <v>1</v>
      </c>
      <c r="H119" s="10"/>
      <c r="I119" s="11"/>
      <c r="J119" s="10">
        <v>1</v>
      </c>
      <c r="K119" s="11"/>
      <c r="L119" s="10"/>
      <c r="M119" s="44">
        <f t="shared" si="29"/>
        <v>1</v>
      </c>
      <c r="N119" s="31">
        <f t="shared" si="30"/>
        <v>2</v>
      </c>
      <c r="O119" s="37">
        <v>44548</v>
      </c>
    </row>
    <row r="120" spans="1:15" x14ac:dyDescent="0.15">
      <c r="A120" s="39" t="s">
        <v>54</v>
      </c>
      <c r="B120" s="10"/>
      <c r="C120" s="11"/>
      <c r="D120" s="10"/>
      <c r="E120" s="11"/>
      <c r="F120" s="10"/>
      <c r="G120" s="48">
        <f t="shared" si="27"/>
        <v>0</v>
      </c>
      <c r="H120" s="10"/>
      <c r="I120" s="11"/>
      <c r="J120" s="10">
        <v>2</v>
      </c>
      <c r="K120" s="11"/>
      <c r="L120" s="10"/>
      <c r="M120" s="44">
        <f t="shared" si="29"/>
        <v>2</v>
      </c>
      <c r="N120" s="31">
        <f t="shared" si="30"/>
        <v>2</v>
      </c>
      <c r="O120" s="37">
        <v>44551</v>
      </c>
    </row>
    <row r="121" spans="1:15" x14ac:dyDescent="0.15">
      <c r="A121" s="39" t="s">
        <v>54</v>
      </c>
      <c r="B121" s="10">
        <v>1</v>
      </c>
      <c r="C121" s="11"/>
      <c r="D121" s="10"/>
      <c r="E121" s="11"/>
      <c r="F121" s="10"/>
      <c r="G121" s="48">
        <f t="shared" si="27"/>
        <v>1</v>
      </c>
      <c r="H121" s="10">
        <v>1</v>
      </c>
      <c r="I121" s="11"/>
      <c r="J121" s="10"/>
      <c r="K121" s="11"/>
      <c r="L121" s="10"/>
      <c r="M121" s="44">
        <f t="shared" si="29"/>
        <v>1</v>
      </c>
      <c r="N121" s="31">
        <f t="shared" si="30"/>
        <v>2</v>
      </c>
      <c r="O121" s="37">
        <v>44557</v>
      </c>
    </row>
    <row r="122" spans="1:15" x14ac:dyDescent="0.15">
      <c r="A122" s="39" t="s">
        <v>54</v>
      </c>
      <c r="B122" s="10">
        <v>2</v>
      </c>
      <c r="C122" s="11">
        <v>1</v>
      </c>
      <c r="D122" s="10"/>
      <c r="E122" s="11"/>
      <c r="F122" s="10"/>
      <c r="G122" s="48">
        <f t="shared" si="27"/>
        <v>3</v>
      </c>
      <c r="H122" s="10">
        <v>2</v>
      </c>
      <c r="I122" s="11">
        <v>1</v>
      </c>
      <c r="J122" s="10"/>
      <c r="K122" s="11"/>
      <c r="L122" s="10"/>
      <c r="M122" s="44">
        <f t="shared" si="29"/>
        <v>3</v>
      </c>
      <c r="N122" s="31">
        <f t="shared" si="30"/>
        <v>6</v>
      </c>
      <c r="O122" s="37">
        <v>44572</v>
      </c>
    </row>
    <row r="123" spans="1:15" x14ac:dyDescent="0.15">
      <c r="A123" s="39" t="s">
        <v>54</v>
      </c>
      <c r="B123" s="10">
        <v>4</v>
      </c>
      <c r="C123" s="11">
        <v>2</v>
      </c>
      <c r="D123" s="10">
        <v>2</v>
      </c>
      <c r="E123" s="11"/>
      <c r="F123" s="10"/>
      <c r="G123" s="48">
        <f t="shared" si="27"/>
        <v>8</v>
      </c>
      <c r="H123" s="10"/>
      <c r="I123" s="11"/>
      <c r="J123" s="10">
        <v>2</v>
      </c>
      <c r="K123" s="11"/>
      <c r="L123" s="10"/>
      <c r="M123" s="44">
        <f t="shared" si="29"/>
        <v>2</v>
      </c>
      <c r="N123" s="31">
        <f t="shared" si="30"/>
        <v>10</v>
      </c>
      <c r="O123" s="37">
        <v>44574</v>
      </c>
    </row>
    <row r="124" spans="1:15" x14ac:dyDescent="0.15">
      <c r="A124" s="39" t="s">
        <v>54</v>
      </c>
      <c r="B124" s="10"/>
      <c r="C124" s="11"/>
      <c r="D124" s="10"/>
      <c r="E124" s="11"/>
      <c r="F124" s="10"/>
      <c r="G124" s="48">
        <f t="shared" si="27"/>
        <v>0</v>
      </c>
      <c r="H124" s="10"/>
      <c r="I124" s="11">
        <v>2</v>
      </c>
      <c r="J124" s="10"/>
      <c r="K124" s="11"/>
      <c r="L124" s="10"/>
      <c r="M124" s="44">
        <f t="shared" si="29"/>
        <v>2</v>
      </c>
      <c r="N124" s="31">
        <f t="shared" si="30"/>
        <v>2</v>
      </c>
      <c r="O124" s="37">
        <v>44575</v>
      </c>
    </row>
    <row r="125" spans="1:15" ht="14.25" thickBot="1" x14ac:dyDescent="0.2">
      <c r="A125" s="39" t="s">
        <v>54</v>
      </c>
      <c r="B125" s="13"/>
      <c r="C125" s="14"/>
      <c r="D125" s="13"/>
      <c r="E125" s="14"/>
      <c r="F125" s="13"/>
      <c r="G125" s="59">
        <f t="shared" si="27"/>
        <v>0</v>
      </c>
      <c r="H125" s="13"/>
      <c r="I125" s="14">
        <v>4</v>
      </c>
      <c r="J125" s="13"/>
      <c r="K125" s="14"/>
      <c r="L125" s="13"/>
      <c r="M125" s="60">
        <f t="shared" si="29"/>
        <v>4</v>
      </c>
      <c r="N125" s="36">
        <f t="shared" si="30"/>
        <v>4</v>
      </c>
      <c r="O125" s="37">
        <v>44579</v>
      </c>
    </row>
    <row r="126" spans="1:15" ht="14.25" thickBot="1" x14ac:dyDescent="0.2">
      <c r="A126" s="3" t="s">
        <v>5</v>
      </c>
      <c r="B126" s="16">
        <f>SUM(B102:B125)</f>
        <v>38</v>
      </c>
      <c r="C126" s="61">
        <f>SUM(C102:C125)</f>
        <v>9</v>
      </c>
      <c r="D126" s="16">
        <f t="shared" ref="D126:E126" si="33">SUM(D102:D125)</f>
        <v>8</v>
      </c>
      <c r="E126" s="61">
        <f t="shared" si="33"/>
        <v>0</v>
      </c>
      <c r="F126" s="15">
        <f>SUM(F102:F125)</f>
        <v>0</v>
      </c>
      <c r="G126" s="16">
        <f t="shared" si="27"/>
        <v>55</v>
      </c>
      <c r="H126" s="15">
        <f>SUM(H102:H125)</f>
        <v>14</v>
      </c>
      <c r="I126" s="15">
        <f t="shared" ref="I126:J126" si="34">SUM(I102:I125)</f>
        <v>15</v>
      </c>
      <c r="J126" s="15">
        <f t="shared" si="34"/>
        <v>8</v>
      </c>
      <c r="K126" s="15">
        <f>SUM(K102:K125)</f>
        <v>0</v>
      </c>
      <c r="L126" s="15">
        <f>SUM(L102:L125)</f>
        <v>0</v>
      </c>
      <c r="M126" s="16">
        <f t="shared" si="29"/>
        <v>37</v>
      </c>
      <c r="N126" s="34">
        <f t="shared" si="30"/>
        <v>92</v>
      </c>
    </row>
    <row r="127" spans="1:15" ht="14.25" thickBot="1" x14ac:dyDescent="0.2">
      <c r="A127" s="25" t="s">
        <v>6</v>
      </c>
      <c r="B127" s="26">
        <f>B101-B126</f>
        <v>12</v>
      </c>
      <c r="C127" s="26">
        <f t="shared" ref="C127:G127" si="35">C101-C126</f>
        <v>11</v>
      </c>
      <c r="D127" s="26">
        <f t="shared" si="35"/>
        <v>4</v>
      </c>
      <c r="E127" s="26">
        <f t="shared" si="35"/>
        <v>0</v>
      </c>
      <c r="F127" s="26">
        <f t="shared" si="35"/>
        <v>0</v>
      </c>
      <c r="G127" s="26">
        <f t="shared" si="35"/>
        <v>27</v>
      </c>
      <c r="H127" s="26">
        <f>H101-H126</f>
        <v>10</v>
      </c>
      <c r="I127" s="26">
        <f t="shared" ref="I127:M127" si="36">I101-I126</f>
        <v>9</v>
      </c>
      <c r="J127" s="26">
        <f t="shared" si="36"/>
        <v>4</v>
      </c>
      <c r="K127" s="26">
        <f t="shared" si="36"/>
        <v>0</v>
      </c>
      <c r="L127" s="26">
        <f t="shared" si="36"/>
        <v>0</v>
      </c>
      <c r="M127" s="26">
        <f t="shared" si="36"/>
        <v>23</v>
      </c>
      <c r="N127" s="38">
        <f t="shared" si="30"/>
        <v>50</v>
      </c>
    </row>
    <row r="130" spans="1:15" ht="18" thickBot="1" x14ac:dyDescent="0.25">
      <c r="A130" s="29" t="s">
        <v>17</v>
      </c>
      <c r="B130" s="1"/>
      <c r="C130" s="1"/>
      <c r="D130" s="1" t="s">
        <v>65</v>
      </c>
      <c r="E130" s="1"/>
      <c r="F130" s="1"/>
      <c r="G130" s="1"/>
      <c r="H130" s="1"/>
      <c r="I130" s="1"/>
      <c r="J130" s="1"/>
      <c r="K130" s="1"/>
      <c r="L130" s="1"/>
      <c r="M130" s="1"/>
    </row>
    <row r="131" spans="1:15" ht="14.25" thickBot="1" x14ac:dyDescent="0.2">
      <c r="A131" s="2" t="s">
        <v>0</v>
      </c>
      <c r="B131" s="206" t="s">
        <v>14</v>
      </c>
      <c r="C131" s="206"/>
      <c r="D131" s="206"/>
      <c r="E131" s="206"/>
      <c r="F131" s="206"/>
      <c r="G131" s="207"/>
      <c r="H131" s="206" t="s">
        <v>15</v>
      </c>
      <c r="I131" s="206"/>
      <c r="J131" s="206"/>
      <c r="K131" s="206"/>
      <c r="L131" s="206"/>
      <c r="M131" s="207"/>
      <c r="N131" s="208" t="s">
        <v>10</v>
      </c>
    </row>
    <row r="132" spans="1:15" ht="14.25" thickBot="1" x14ac:dyDescent="0.2">
      <c r="A132" s="2" t="s">
        <v>1</v>
      </c>
      <c r="B132" s="3" t="s">
        <v>7</v>
      </c>
      <c r="C132" s="2" t="s">
        <v>8</v>
      </c>
      <c r="D132" s="19" t="s">
        <v>9</v>
      </c>
      <c r="E132" s="2" t="s">
        <v>20</v>
      </c>
      <c r="F132" s="2" t="s">
        <v>22</v>
      </c>
      <c r="G132" s="19" t="s">
        <v>2</v>
      </c>
      <c r="H132" s="2" t="s">
        <v>11</v>
      </c>
      <c r="I132" s="19" t="s">
        <v>12</v>
      </c>
      <c r="J132" s="2" t="s">
        <v>13</v>
      </c>
      <c r="K132" s="53" t="s">
        <v>19</v>
      </c>
      <c r="L132" s="53" t="s">
        <v>21</v>
      </c>
      <c r="M132" s="2" t="s">
        <v>2</v>
      </c>
      <c r="N132" s="209"/>
    </row>
    <row r="133" spans="1:15" ht="14.25" thickBot="1" x14ac:dyDescent="0.2">
      <c r="A133" s="3" t="s">
        <v>6</v>
      </c>
      <c r="B133" s="63">
        <f>B127</f>
        <v>12</v>
      </c>
      <c r="C133" s="64">
        <f>C127</f>
        <v>11</v>
      </c>
      <c r="D133" s="63">
        <f>D127</f>
        <v>4</v>
      </c>
      <c r="E133" s="64">
        <f>E127</f>
        <v>0</v>
      </c>
      <c r="F133" s="63">
        <f>F127</f>
        <v>0</v>
      </c>
      <c r="G133" s="61">
        <f t="shared" ref="G133:G169" si="37">SUM(B133:F133)</f>
        <v>27</v>
      </c>
      <c r="H133" s="63">
        <f>H127</f>
        <v>10</v>
      </c>
      <c r="I133" s="63">
        <f t="shared" ref="I133:L133" si="38">I127</f>
        <v>9</v>
      </c>
      <c r="J133" s="63">
        <f t="shared" si="38"/>
        <v>4</v>
      </c>
      <c r="K133" s="63">
        <f t="shared" si="38"/>
        <v>0</v>
      </c>
      <c r="L133" s="63">
        <f t="shared" si="38"/>
        <v>0</v>
      </c>
      <c r="M133" s="65">
        <f t="shared" ref="M133:M169" si="39">SUM(H133:L133)</f>
        <v>23</v>
      </c>
      <c r="N133" s="34">
        <f>SUM(M133,G133)</f>
        <v>50</v>
      </c>
    </row>
    <row r="134" spans="1:15" x14ac:dyDescent="0.15">
      <c r="A134" s="62" t="s">
        <v>60</v>
      </c>
      <c r="B134" s="4">
        <v>6</v>
      </c>
      <c r="C134" s="35">
        <v>-6</v>
      </c>
      <c r="D134" s="4"/>
      <c r="E134" s="35"/>
      <c r="F134" s="4"/>
      <c r="G134" s="45">
        <f t="shared" si="37"/>
        <v>0</v>
      </c>
      <c r="H134" s="4">
        <v>6</v>
      </c>
      <c r="I134" s="35">
        <v>-6</v>
      </c>
      <c r="J134" s="4"/>
      <c r="K134" s="35"/>
      <c r="L134" s="4"/>
      <c r="M134" s="41">
        <f t="shared" si="39"/>
        <v>0</v>
      </c>
      <c r="N134" s="31">
        <f t="shared" ref="N134:N170" si="40">SUM(M134,G134)</f>
        <v>0</v>
      </c>
      <c r="O134" s="37">
        <v>44621</v>
      </c>
    </row>
    <row r="135" spans="1:15" x14ac:dyDescent="0.15">
      <c r="A135" s="49" t="s">
        <v>3</v>
      </c>
      <c r="B135" s="12"/>
      <c r="C135" s="17">
        <v>5</v>
      </c>
      <c r="D135" s="12"/>
      <c r="E135" s="17"/>
      <c r="F135" s="12"/>
      <c r="G135" s="45">
        <f t="shared" si="37"/>
        <v>5</v>
      </c>
      <c r="H135" s="12"/>
      <c r="I135" s="17">
        <v>10</v>
      </c>
      <c r="J135" s="12"/>
      <c r="K135" s="17"/>
      <c r="L135" s="12"/>
      <c r="M135" s="41">
        <f t="shared" si="39"/>
        <v>10</v>
      </c>
      <c r="N135" s="31">
        <f t="shared" si="40"/>
        <v>15</v>
      </c>
      <c r="O135" s="32">
        <v>44624</v>
      </c>
    </row>
    <row r="136" spans="1:15" x14ac:dyDescent="0.15">
      <c r="A136" s="49" t="s">
        <v>3</v>
      </c>
      <c r="B136" s="12"/>
      <c r="C136" s="17"/>
      <c r="D136" s="12"/>
      <c r="E136" s="17"/>
      <c r="F136" s="12"/>
      <c r="G136" s="45">
        <f t="shared" si="37"/>
        <v>0</v>
      </c>
      <c r="H136" s="12"/>
      <c r="I136" s="17">
        <v>5</v>
      </c>
      <c r="J136" s="12"/>
      <c r="K136" s="17"/>
      <c r="L136" s="12"/>
      <c r="M136" s="41">
        <f t="shared" si="39"/>
        <v>5</v>
      </c>
      <c r="N136" s="31">
        <f t="shared" si="40"/>
        <v>5</v>
      </c>
      <c r="O136" s="32">
        <v>44643</v>
      </c>
    </row>
    <row r="137" spans="1:15" x14ac:dyDescent="0.15">
      <c r="A137" s="49" t="s">
        <v>3</v>
      </c>
      <c r="B137" s="12"/>
      <c r="C137" s="17">
        <v>2</v>
      </c>
      <c r="D137" s="12">
        <v>2</v>
      </c>
      <c r="E137" s="17"/>
      <c r="F137" s="12"/>
      <c r="G137" s="45">
        <f t="shared" si="37"/>
        <v>4</v>
      </c>
      <c r="H137" s="12"/>
      <c r="I137" s="17">
        <v>2</v>
      </c>
      <c r="J137" s="12">
        <v>2</v>
      </c>
      <c r="K137" s="17"/>
      <c r="L137" s="12"/>
      <c r="M137" s="41">
        <f t="shared" si="39"/>
        <v>4</v>
      </c>
      <c r="N137" s="31">
        <f t="shared" si="40"/>
        <v>8</v>
      </c>
      <c r="O137" s="32">
        <v>44650</v>
      </c>
    </row>
    <row r="138" spans="1:15" x14ac:dyDescent="0.15">
      <c r="A138" s="49" t="s">
        <v>3</v>
      </c>
      <c r="B138" s="12"/>
      <c r="C138" s="17">
        <v>5</v>
      </c>
      <c r="D138" s="12"/>
      <c r="E138" s="17"/>
      <c r="F138" s="12"/>
      <c r="G138" s="45">
        <f t="shared" si="37"/>
        <v>5</v>
      </c>
      <c r="H138" s="12"/>
      <c r="I138" s="17">
        <v>5</v>
      </c>
      <c r="J138" s="12"/>
      <c r="K138" s="17"/>
      <c r="L138" s="12"/>
      <c r="M138" s="41">
        <f t="shared" si="39"/>
        <v>5</v>
      </c>
      <c r="N138" s="31">
        <f t="shared" si="40"/>
        <v>10</v>
      </c>
      <c r="O138" s="32">
        <v>44693</v>
      </c>
    </row>
    <row r="139" spans="1:15" x14ac:dyDescent="0.15">
      <c r="A139" s="49" t="s">
        <v>3</v>
      </c>
      <c r="B139" s="12"/>
      <c r="C139" s="17"/>
      <c r="D139" s="12">
        <v>2</v>
      </c>
      <c r="E139" s="17"/>
      <c r="F139" s="12"/>
      <c r="G139" s="45">
        <f t="shared" si="37"/>
        <v>2</v>
      </c>
      <c r="H139" s="12"/>
      <c r="I139" s="17"/>
      <c r="J139" s="12">
        <v>2</v>
      </c>
      <c r="K139" s="17"/>
      <c r="L139" s="12"/>
      <c r="M139" s="41">
        <f t="shared" si="39"/>
        <v>2</v>
      </c>
      <c r="N139" s="31">
        <f t="shared" si="40"/>
        <v>4</v>
      </c>
      <c r="O139" s="32">
        <v>44706</v>
      </c>
    </row>
    <row r="140" spans="1:15" x14ac:dyDescent="0.15">
      <c r="A140" s="49" t="s">
        <v>3</v>
      </c>
      <c r="B140" s="69">
        <v>5</v>
      </c>
      <c r="C140" s="11"/>
      <c r="D140" s="10"/>
      <c r="E140" s="11"/>
      <c r="F140" s="10"/>
      <c r="G140" s="45">
        <f t="shared" si="37"/>
        <v>5</v>
      </c>
      <c r="H140" s="69">
        <v>5</v>
      </c>
      <c r="I140" s="11"/>
      <c r="J140" s="10"/>
      <c r="K140" s="11"/>
      <c r="L140" s="10"/>
      <c r="M140" s="41">
        <f t="shared" si="39"/>
        <v>5</v>
      </c>
      <c r="N140" s="31">
        <f t="shared" si="40"/>
        <v>10</v>
      </c>
      <c r="O140" s="32">
        <v>44713</v>
      </c>
    </row>
    <row r="141" spans="1:15" x14ac:dyDescent="0.15">
      <c r="A141" s="49" t="s">
        <v>3</v>
      </c>
      <c r="B141" s="10"/>
      <c r="C141" s="11"/>
      <c r="D141" s="10"/>
      <c r="E141" s="11"/>
      <c r="F141" s="10"/>
      <c r="G141" s="45">
        <f t="shared" si="37"/>
        <v>0</v>
      </c>
      <c r="H141" s="10"/>
      <c r="I141" s="11"/>
      <c r="J141" s="10"/>
      <c r="K141" s="11"/>
      <c r="L141" s="10"/>
      <c r="M141" s="41">
        <f t="shared" si="39"/>
        <v>0</v>
      </c>
      <c r="N141" s="31">
        <f t="shared" si="40"/>
        <v>0</v>
      </c>
    </row>
    <row r="142" spans="1:15" x14ac:dyDescent="0.15">
      <c r="A142" s="49" t="s">
        <v>3</v>
      </c>
      <c r="B142" s="10"/>
      <c r="C142" s="11"/>
      <c r="D142" s="10"/>
      <c r="E142" s="11"/>
      <c r="F142" s="10"/>
      <c r="G142" s="45">
        <f t="shared" si="37"/>
        <v>0</v>
      </c>
      <c r="H142" s="10"/>
      <c r="I142" s="11"/>
      <c r="J142" s="10"/>
      <c r="K142" s="11"/>
      <c r="L142" s="10"/>
      <c r="M142" s="41">
        <f t="shared" si="39"/>
        <v>0</v>
      </c>
      <c r="N142" s="31">
        <f t="shared" si="40"/>
        <v>0</v>
      </c>
    </row>
    <row r="143" spans="1:15" ht="14.25" thickBot="1" x14ac:dyDescent="0.2">
      <c r="A143" s="50" t="s">
        <v>3</v>
      </c>
      <c r="B143" s="13"/>
      <c r="C143" s="14"/>
      <c r="D143" s="13"/>
      <c r="E143" s="14"/>
      <c r="F143" s="13"/>
      <c r="G143" s="46">
        <f t="shared" si="37"/>
        <v>0</v>
      </c>
      <c r="H143" s="13"/>
      <c r="I143" s="14"/>
      <c r="J143" s="13"/>
      <c r="K143" s="14"/>
      <c r="L143" s="13"/>
      <c r="M143" s="42">
        <f t="shared" si="39"/>
        <v>0</v>
      </c>
      <c r="N143" s="36">
        <f t="shared" si="40"/>
        <v>0</v>
      </c>
    </row>
    <row r="144" spans="1:15" ht="14.25" thickBot="1" x14ac:dyDescent="0.2">
      <c r="A144" s="51" t="s">
        <v>4</v>
      </c>
      <c r="B144" s="22">
        <f>SUM(B133:B143)</f>
        <v>23</v>
      </c>
      <c r="C144" s="22">
        <f>SUM(C133:C143)</f>
        <v>17</v>
      </c>
      <c r="D144" s="57">
        <f t="shared" ref="D144:E144" si="41">SUM(D133:D143)</f>
        <v>8</v>
      </c>
      <c r="E144" s="22">
        <f t="shared" si="41"/>
        <v>0</v>
      </c>
      <c r="F144" s="22">
        <f>SUM(F133:F143)</f>
        <v>0</v>
      </c>
      <c r="G144" s="47">
        <f t="shared" si="37"/>
        <v>48</v>
      </c>
      <c r="H144" s="22">
        <f>SUM(H133:H143)</f>
        <v>21</v>
      </c>
      <c r="I144" s="22">
        <f t="shared" ref="I144:J144" si="42">SUM(I133:I143)</f>
        <v>25</v>
      </c>
      <c r="J144" s="22">
        <f t="shared" si="42"/>
        <v>8</v>
      </c>
      <c r="K144" s="57">
        <f>SUM(K133:K143)</f>
        <v>0</v>
      </c>
      <c r="L144" s="22">
        <f>SUM(L133:L143)</f>
        <v>0</v>
      </c>
      <c r="M144" s="43">
        <f t="shared" si="39"/>
        <v>54</v>
      </c>
      <c r="N144" s="34">
        <f t="shared" si="40"/>
        <v>102</v>
      </c>
    </row>
    <row r="145" spans="1:15" x14ac:dyDescent="0.15">
      <c r="A145" s="39" t="s">
        <v>54</v>
      </c>
      <c r="B145" s="55"/>
      <c r="C145" s="56"/>
      <c r="D145" s="55"/>
      <c r="E145" s="56"/>
      <c r="F145" s="55"/>
      <c r="G145" s="45">
        <f t="shared" si="37"/>
        <v>0</v>
      </c>
      <c r="H145" s="55"/>
      <c r="I145" s="56">
        <v>2</v>
      </c>
      <c r="J145" s="55"/>
      <c r="K145" s="56"/>
      <c r="L145" s="55"/>
      <c r="M145" s="41">
        <f t="shared" si="39"/>
        <v>2</v>
      </c>
      <c r="N145" s="31">
        <f t="shared" si="40"/>
        <v>2</v>
      </c>
      <c r="O145" s="37">
        <v>44613</v>
      </c>
    </row>
    <row r="146" spans="1:15" x14ac:dyDescent="0.15">
      <c r="A146" s="39" t="s">
        <v>54</v>
      </c>
      <c r="B146" s="10"/>
      <c r="C146" s="11">
        <v>1</v>
      </c>
      <c r="D146" s="10"/>
      <c r="E146" s="11"/>
      <c r="F146" s="10"/>
      <c r="G146" s="45">
        <f t="shared" si="37"/>
        <v>1</v>
      </c>
      <c r="H146" s="10"/>
      <c r="I146" s="11">
        <v>1</v>
      </c>
      <c r="J146" s="10"/>
      <c r="K146" s="11"/>
      <c r="L146" s="10"/>
      <c r="M146" s="41">
        <f t="shared" si="39"/>
        <v>1</v>
      </c>
      <c r="N146" s="31">
        <f t="shared" si="40"/>
        <v>2</v>
      </c>
      <c r="O146" s="37">
        <v>44621</v>
      </c>
    </row>
    <row r="147" spans="1:15" x14ac:dyDescent="0.15">
      <c r="A147" s="39" t="s">
        <v>54</v>
      </c>
      <c r="B147" s="10"/>
      <c r="C147" s="11"/>
      <c r="D147" s="10"/>
      <c r="E147" s="11"/>
      <c r="F147" s="10"/>
      <c r="G147" s="45">
        <f t="shared" si="37"/>
        <v>0</v>
      </c>
      <c r="H147" s="10">
        <v>2</v>
      </c>
      <c r="I147" s="11">
        <v>4</v>
      </c>
      <c r="J147" s="10"/>
      <c r="K147" s="11"/>
      <c r="L147" s="10"/>
      <c r="M147" s="41">
        <f t="shared" si="39"/>
        <v>6</v>
      </c>
      <c r="N147" s="31">
        <f t="shared" si="40"/>
        <v>6</v>
      </c>
      <c r="O147" s="37">
        <v>44642</v>
      </c>
    </row>
    <row r="148" spans="1:15" x14ac:dyDescent="0.15">
      <c r="A148" s="39" t="s">
        <v>54</v>
      </c>
      <c r="B148" s="10"/>
      <c r="C148" s="11"/>
      <c r="D148" s="10">
        <v>1</v>
      </c>
      <c r="E148" s="11"/>
      <c r="F148" s="10"/>
      <c r="G148" s="45">
        <f t="shared" si="37"/>
        <v>1</v>
      </c>
      <c r="H148" s="10"/>
      <c r="I148" s="11"/>
      <c r="J148" s="10">
        <v>1</v>
      </c>
      <c r="K148" s="11"/>
      <c r="L148" s="10"/>
      <c r="M148" s="41">
        <f t="shared" si="39"/>
        <v>1</v>
      </c>
      <c r="N148" s="31">
        <f t="shared" si="40"/>
        <v>2</v>
      </c>
      <c r="O148" s="37">
        <v>44648</v>
      </c>
    </row>
    <row r="149" spans="1:15" x14ac:dyDescent="0.15">
      <c r="A149" s="39" t="s">
        <v>54</v>
      </c>
      <c r="B149" s="10">
        <v>1</v>
      </c>
      <c r="C149" s="11"/>
      <c r="D149" s="10"/>
      <c r="E149" s="11"/>
      <c r="F149" s="10"/>
      <c r="G149" s="45">
        <f t="shared" si="37"/>
        <v>1</v>
      </c>
      <c r="H149" s="10">
        <v>1</v>
      </c>
      <c r="I149" s="11"/>
      <c r="J149" s="10"/>
      <c r="K149" s="11"/>
      <c r="L149" s="10"/>
      <c r="M149" s="41">
        <f t="shared" si="39"/>
        <v>1</v>
      </c>
      <c r="N149" s="31">
        <f t="shared" si="40"/>
        <v>2</v>
      </c>
      <c r="O149" s="37">
        <v>44653</v>
      </c>
    </row>
    <row r="150" spans="1:15" x14ac:dyDescent="0.15">
      <c r="A150" s="39" t="s">
        <v>54</v>
      </c>
      <c r="B150" s="10">
        <v>2</v>
      </c>
      <c r="C150" s="11"/>
      <c r="D150" s="10"/>
      <c r="E150" s="11"/>
      <c r="F150" s="10"/>
      <c r="G150" s="48">
        <f t="shared" si="37"/>
        <v>2</v>
      </c>
      <c r="H150" s="10"/>
      <c r="I150" s="11">
        <v>2</v>
      </c>
      <c r="J150" s="10"/>
      <c r="K150" s="11"/>
      <c r="L150" s="10"/>
      <c r="M150" s="44">
        <f t="shared" si="39"/>
        <v>2</v>
      </c>
      <c r="N150" s="31">
        <f t="shared" si="40"/>
        <v>4</v>
      </c>
      <c r="O150" s="37">
        <v>44657</v>
      </c>
    </row>
    <row r="151" spans="1:15" x14ac:dyDescent="0.15">
      <c r="A151" s="39" t="s">
        <v>54</v>
      </c>
      <c r="B151" s="10">
        <v>1</v>
      </c>
      <c r="C151" s="11"/>
      <c r="D151" s="10"/>
      <c r="E151" s="11"/>
      <c r="F151" s="10"/>
      <c r="G151" s="48">
        <f t="shared" si="37"/>
        <v>1</v>
      </c>
      <c r="H151" s="10">
        <v>1</v>
      </c>
      <c r="I151" s="11"/>
      <c r="J151" s="10"/>
      <c r="K151" s="11"/>
      <c r="L151" s="10"/>
      <c r="M151" s="44">
        <f t="shared" si="39"/>
        <v>1</v>
      </c>
      <c r="N151" s="31">
        <f t="shared" si="40"/>
        <v>2</v>
      </c>
      <c r="O151" s="37">
        <v>44666</v>
      </c>
    </row>
    <row r="152" spans="1:15" x14ac:dyDescent="0.15">
      <c r="A152" s="39" t="s">
        <v>54</v>
      </c>
      <c r="B152" s="10"/>
      <c r="C152" s="11">
        <v>2</v>
      </c>
      <c r="D152" s="10"/>
      <c r="E152" s="11"/>
      <c r="F152" s="10"/>
      <c r="G152" s="48">
        <f t="shared" si="37"/>
        <v>2</v>
      </c>
      <c r="H152" s="10"/>
      <c r="I152" s="11">
        <v>2</v>
      </c>
      <c r="J152" s="10"/>
      <c r="K152" s="11"/>
      <c r="L152" s="10"/>
      <c r="M152" s="44">
        <f t="shared" si="39"/>
        <v>2</v>
      </c>
      <c r="N152" s="31">
        <f t="shared" si="40"/>
        <v>4</v>
      </c>
      <c r="O152" s="37">
        <v>44667</v>
      </c>
    </row>
    <row r="153" spans="1:15" x14ac:dyDescent="0.15">
      <c r="A153" s="39" t="s">
        <v>54</v>
      </c>
      <c r="B153" s="10">
        <v>1</v>
      </c>
      <c r="C153" s="11"/>
      <c r="D153" s="10"/>
      <c r="E153" s="11"/>
      <c r="F153" s="10"/>
      <c r="G153" s="48">
        <f t="shared" si="37"/>
        <v>1</v>
      </c>
      <c r="H153" s="10">
        <v>1</v>
      </c>
      <c r="I153" s="11"/>
      <c r="J153" s="10"/>
      <c r="K153" s="11"/>
      <c r="L153" s="10"/>
      <c r="M153" s="44">
        <f t="shared" si="39"/>
        <v>1</v>
      </c>
      <c r="N153" s="31">
        <f t="shared" si="40"/>
        <v>2</v>
      </c>
      <c r="O153" s="37">
        <v>44670</v>
      </c>
    </row>
    <row r="154" spans="1:15" x14ac:dyDescent="0.15">
      <c r="A154" s="39" t="s">
        <v>64</v>
      </c>
      <c r="B154" s="10">
        <v>2</v>
      </c>
      <c r="C154" s="11">
        <v>-2</v>
      </c>
      <c r="D154" s="10"/>
      <c r="E154" s="11"/>
      <c r="F154" s="10"/>
      <c r="G154" s="48">
        <f t="shared" si="37"/>
        <v>0</v>
      </c>
      <c r="H154" s="10">
        <v>2</v>
      </c>
      <c r="I154" s="11">
        <v>-2</v>
      </c>
      <c r="J154" s="10"/>
      <c r="K154" s="11"/>
      <c r="L154" s="10"/>
      <c r="M154" s="44">
        <f t="shared" si="39"/>
        <v>0</v>
      </c>
      <c r="N154" s="31">
        <f t="shared" si="40"/>
        <v>0</v>
      </c>
      <c r="O154" s="37">
        <v>44671</v>
      </c>
    </row>
    <row r="155" spans="1:15" x14ac:dyDescent="0.15">
      <c r="A155" s="39" t="s">
        <v>54</v>
      </c>
      <c r="B155" s="10"/>
      <c r="C155" s="11">
        <v>1</v>
      </c>
      <c r="D155" s="10"/>
      <c r="E155" s="11"/>
      <c r="F155" s="10"/>
      <c r="G155" s="48">
        <f t="shared" si="37"/>
        <v>1</v>
      </c>
      <c r="H155" s="10"/>
      <c r="I155" s="11">
        <v>1</v>
      </c>
      <c r="J155" s="10"/>
      <c r="K155" s="11"/>
      <c r="L155" s="10"/>
      <c r="M155" s="44">
        <f t="shared" si="39"/>
        <v>1</v>
      </c>
      <c r="N155" s="31">
        <f t="shared" si="40"/>
        <v>2</v>
      </c>
      <c r="O155" s="37">
        <v>44677</v>
      </c>
    </row>
    <row r="156" spans="1:15" x14ac:dyDescent="0.15">
      <c r="A156" s="39" t="s">
        <v>54</v>
      </c>
      <c r="B156" s="10">
        <v>1</v>
      </c>
      <c r="C156" s="11">
        <f>1+2</f>
        <v>3</v>
      </c>
      <c r="D156" s="10"/>
      <c r="E156" s="11"/>
      <c r="F156" s="10"/>
      <c r="G156" s="48">
        <f t="shared" si="37"/>
        <v>4</v>
      </c>
      <c r="H156" s="10">
        <v>1</v>
      </c>
      <c r="I156" s="11">
        <f>1+2</f>
        <v>3</v>
      </c>
      <c r="J156" s="10"/>
      <c r="K156" s="11"/>
      <c r="L156" s="10"/>
      <c r="M156" s="44">
        <f t="shared" si="39"/>
        <v>4</v>
      </c>
      <c r="N156" s="31">
        <f t="shared" si="40"/>
        <v>8</v>
      </c>
      <c r="O156" s="37">
        <v>44681</v>
      </c>
    </row>
    <row r="157" spans="1:15" x14ac:dyDescent="0.15">
      <c r="A157" s="39" t="s">
        <v>54</v>
      </c>
      <c r="B157" s="10"/>
      <c r="C157" s="11">
        <v>2</v>
      </c>
      <c r="D157" s="10"/>
      <c r="E157" s="11"/>
      <c r="F157" s="10"/>
      <c r="G157" s="48">
        <f t="shared" si="37"/>
        <v>2</v>
      </c>
      <c r="H157" s="10"/>
      <c r="I157" s="11">
        <v>2</v>
      </c>
      <c r="J157" s="10"/>
      <c r="K157" s="11"/>
      <c r="L157" s="10"/>
      <c r="M157" s="44">
        <f t="shared" si="39"/>
        <v>2</v>
      </c>
      <c r="N157" s="31">
        <f t="shared" si="40"/>
        <v>4</v>
      </c>
      <c r="O157" s="37">
        <v>44683</v>
      </c>
    </row>
    <row r="158" spans="1:15" x14ac:dyDescent="0.15">
      <c r="A158" s="39" t="s">
        <v>54</v>
      </c>
      <c r="B158" s="10"/>
      <c r="C158" s="11">
        <v>1</v>
      </c>
      <c r="D158" s="10">
        <v>1</v>
      </c>
      <c r="E158" s="11"/>
      <c r="F158" s="10"/>
      <c r="G158" s="48">
        <f t="shared" si="37"/>
        <v>2</v>
      </c>
      <c r="H158" s="10"/>
      <c r="I158" s="11">
        <v>1</v>
      </c>
      <c r="J158" s="10">
        <v>1</v>
      </c>
      <c r="K158" s="11"/>
      <c r="L158" s="10"/>
      <c r="M158" s="44">
        <f t="shared" si="39"/>
        <v>2</v>
      </c>
      <c r="N158" s="31">
        <f t="shared" si="40"/>
        <v>4</v>
      </c>
      <c r="O158" s="37">
        <v>44687</v>
      </c>
    </row>
    <row r="159" spans="1:15" x14ac:dyDescent="0.15">
      <c r="A159" s="39" t="s">
        <v>54</v>
      </c>
      <c r="B159" s="10"/>
      <c r="C159" s="11">
        <v>1</v>
      </c>
      <c r="D159" s="10">
        <v>1</v>
      </c>
      <c r="E159" s="11"/>
      <c r="F159" s="10"/>
      <c r="G159" s="48">
        <f t="shared" si="37"/>
        <v>2</v>
      </c>
      <c r="H159" s="10"/>
      <c r="I159" s="11">
        <v>1</v>
      </c>
      <c r="J159" s="10">
        <v>1</v>
      </c>
      <c r="K159" s="11"/>
      <c r="L159" s="10"/>
      <c r="M159" s="44">
        <f t="shared" si="39"/>
        <v>2</v>
      </c>
      <c r="N159" s="31">
        <f t="shared" si="40"/>
        <v>4</v>
      </c>
      <c r="O159" s="37">
        <v>44690</v>
      </c>
    </row>
    <row r="160" spans="1:15" x14ac:dyDescent="0.15">
      <c r="A160" s="39" t="s">
        <v>54</v>
      </c>
      <c r="B160" s="10"/>
      <c r="C160" s="11"/>
      <c r="D160" s="10">
        <v>1</v>
      </c>
      <c r="E160" s="11"/>
      <c r="F160" s="10"/>
      <c r="G160" s="48">
        <f t="shared" si="37"/>
        <v>1</v>
      </c>
      <c r="H160" s="10"/>
      <c r="I160" s="11"/>
      <c r="J160" s="10">
        <v>1</v>
      </c>
      <c r="K160" s="11"/>
      <c r="L160" s="10"/>
      <c r="M160" s="44">
        <f t="shared" si="39"/>
        <v>1</v>
      </c>
      <c r="N160" s="31">
        <f t="shared" si="40"/>
        <v>2</v>
      </c>
      <c r="O160" s="37">
        <v>44697</v>
      </c>
    </row>
    <row r="161" spans="1:15" x14ac:dyDescent="0.15">
      <c r="A161" s="39" t="s">
        <v>54</v>
      </c>
      <c r="B161" s="10">
        <v>2</v>
      </c>
      <c r="C161" s="11"/>
      <c r="D161" s="10"/>
      <c r="E161" s="11"/>
      <c r="F161" s="10"/>
      <c r="G161" s="48">
        <f t="shared" si="37"/>
        <v>2</v>
      </c>
      <c r="H161" s="10">
        <v>2</v>
      </c>
      <c r="I161" s="11"/>
      <c r="J161" s="10"/>
      <c r="K161" s="11"/>
      <c r="L161" s="10"/>
      <c r="M161" s="44">
        <f t="shared" si="39"/>
        <v>2</v>
      </c>
      <c r="N161" s="31">
        <f t="shared" si="40"/>
        <v>4</v>
      </c>
      <c r="O161" s="37">
        <v>44704</v>
      </c>
    </row>
    <row r="162" spans="1:15" x14ac:dyDescent="0.15">
      <c r="A162" s="39" t="s">
        <v>54</v>
      </c>
      <c r="B162" s="10">
        <v>1</v>
      </c>
      <c r="C162" s="11"/>
      <c r="D162" s="10"/>
      <c r="E162" s="11"/>
      <c r="F162" s="10"/>
      <c r="G162" s="48">
        <f t="shared" si="37"/>
        <v>1</v>
      </c>
      <c r="H162" s="10">
        <v>1</v>
      </c>
      <c r="I162" s="11"/>
      <c r="J162" s="10"/>
      <c r="K162" s="11"/>
      <c r="L162" s="10"/>
      <c r="M162" s="44">
        <f t="shared" si="39"/>
        <v>1</v>
      </c>
      <c r="N162" s="31">
        <f t="shared" si="40"/>
        <v>2</v>
      </c>
      <c r="O162" s="37">
        <v>44705</v>
      </c>
    </row>
    <row r="163" spans="1:15" x14ac:dyDescent="0.15">
      <c r="A163" s="39" t="s">
        <v>54</v>
      </c>
      <c r="B163" s="10">
        <v>2</v>
      </c>
      <c r="C163" s="11"/>
      <c r="D163" s="10"/>
      <c r="E163" s="11"/>
      <c r="F163" s="10"/>
      <c r="G163" s="48">
        <f t="shared" si="37"/>
        <v>2</v>
      </c>
      <c r="H163" s="10"/>
      <c r="I163" s="11"/>
      <c r="J163" s="10"/>
      <c r="K163" s="11"/>
      <c r="L163" s="10"/>
      <c r="M163" s="44">
        <f t="shared" si="39"/>
        <v>0</v>
      </c>
      <c r="N163" s="31">
        <f t="shared" si="40"/>
        <v>2</v>
      </c>
      <c r="O163" s="37">
        <v>44706</v>
      </c>
    </row>
    <row r="164" spans="1:15" x14ac:dyDescent="0.15">
      <c r="A164" s="39" t="s">
        <v>54</v>
      </c>
      <c r="B164" s="10"/>
      <c r="C164" s="11">
        <v>1</v>
      </c>
      <c r="D164" s="10"/>
      <c r="E164" s="11"/>
      <c r="F164" s="10"/>
      <c r="G164" s="48">
        <f t="shared" si="37"/>
        <v>1</v>
      </c>
      <c r="H164" s="10"/>
      <c r="I164" s="11">
        <v>1</v>
      </c>
      <c r="J164" s="10"/>
      <c r="K164" s="11"/>
      <c r="L164" s="10"/>
      <c r="M164" s="44">
        <f t="shared" si="39"/>
        <v>1</v>
      </c>
      <c r="N164" s="31">
        <f t="shared" si="40"/>
        <v>2</v>
      </c>
      <c r="O164" s="37">
        <v>44707</v>
      </c>
    </row>
    <row r="165" spans="1:15" x14ac:dyDescent="0.15">
      <c r="A165" s="39" t="s">
        <v>54</v>
      </c>
      <c r="B165" s="10">
        <v>1</v>
      </c>
      <c r="C165" s="11"/>
      <c r="D165" s="10"/>
      <c r="E165" s="11"/>
      <c r="F165" s="10"/>
      <c r="G165" s="48">
        <f t="shared" si="37"/>
        <v>1</v>
      </c>
      <c r="H165" s="10">
        <v>1</v>
      </c>
      <c r="I165" s="11"/>
      <c r="J165" s="10"/>
      <c r="K165" s="11"/>
      <c r="L165" s="10"/>
      <c r="M165" s="44">
        <f t="shared" si="39"/>
        <v>1</v>
      </c>
      <c r="N165" s="31">
        <f t="shared" si="40"/>
        <v>2</v>
      </c>
      <c r="O165" s="37">
        <v>44711</v>
      </c>
    </row>
    <row r="166" spans="1:15" x14ac:dyDescent="0.15">
      <c r="A166" s="39" t="s">
        <v>54</v>
      </c>
      <c r="B166" s="10"/>
      <c r="C166" s="11">
        <v>2</v>
      </c>
      <c r="D166" s="10"/>
      <c r="E166" s="11"/>
      <c r="F166" s="10"/>
      <c r="G166" s="48">
        <f t="shared" si="37"/>
        <v>2</v>
      </c>
      <c r="H166" s="10"/>
      <c r="I166" s="11">
        <v>2</v>
      </c>
      <c r="J166" s="10"/>
      <c r="K166" s="11"/>
      <c r="L166" s="10"/>
      <c r="M166" s="44">
        <f t="shared" si="39"/>
        <v>2</v>
      </c>
      <c r="N166" s="31">
        <f t="shared" si="40"/>
        <v>4</v>
      </c>
      <c r="O166" s="37">
        <v>44712</v>
      </c>
    </row>
    <row r="167" spans="1:15" x14ac:dyDescent="0.15">
      <c r="A167" s="39" t="s">
        <v>54</v>
      </c>
      <c r="B167" s="10"/>
      <c r="C167" s="11"/>
      <c r="D167" s="10">
        <v>1</v>
      </c>
      <c r="E167" s="11"/>
      <c r="F167" s="10"/>
      <c r="G167" s="48">
        <f t="shared" si="37"/>
        <v>1</v>
      </c>
      <c r="H167" s="10"/>
      <c r="I167" s="11"/>
      <c r="J167" s="10">
        <v>1</v>
      </c>
      <c r="K167" s="11"/>
      <c r="L167" s="10"/>
      <c r="M167" s="44">
        <f t="shared" si="39"/>
        <v>1</v>
      </c>
      <c r="N167" s="31">
        <f t="shared" si="40"/>
        <v>2</v>
      </c>
      <c r="O167" s="37">
        <v>44718</v>
      </c>
    </row>
    <row r="168" spans="1:15" ht="14.25" thickBot="1" x14ac:dyDescent="0.2">
      <c r="A168" s="39" t="s">
        <v>54</v>
      </c>
      <c r="B168" s="13"/>
      <c r="C168" s="14"/>
      <c r="D168" s="13">
        <v>2</v>
      </c>
      <c r="E168" s="14"/>
      <c r="F168" s="13"/>
      <c r="G168" s="59">
        <f t="shared" si="37"/>
        <v>2</v>
      </c>
      <c r="H168" s="13"/>
      <c r="I168" s="14"/>
      <c r="J168" s="13">
        <v>2</v>
      </c>
      <c r="K168" s="14"/>
      <c r="L168" s="13"/>
      <c r="M168" s="60">
        <f t="shared" si="39"/>
        <v>2</v>
      </c>
      <c r="N168" s="36">
        <f t="shared" si="40"/>
        <v>4</v>
      </c>
      <c r="O168" s="37">
        <v>44720</v>
      </c>
    </row>
    <row r="169" spans="1:15" ht="14.25" thickBot="1" x14ac:dyDescent="0.2">
      <c r="A169" s="3" t="s">
        <v>5</v>
      </c>
      <c r="B169" s="16">
        <f>SUM(B145:B168)</f>
        <v>14</v>
      </c>
      <c r="C169" s="61">
        <f>SUM(C145:C168)</f>
        <v>12</v>
      </c>
      <c r="D169" s="16">
        <f t="shared" ref="D169:E169" si="43">SUM(D145:D168)</f>
        <v>7</v>
      </c>
      <c r="E169" s="61">
        <f t="shared" si="43"/>
        <v>0</v>
      </c>
      <c r="F169" s="15">
        <f>SUM(F145:F168)</f>
        <v>0</v>
      </c>
      <c r="G169" s="16">
        <f t="shared" si="37"/>
        <v>33</v>
      </c>
      <c r="H169" s="15">
        <f>SUM(H145:H168)</f>
        <v>12</v>
      </c>
      <c r="I169" s="15">
        <f t="shared" ref="I169:J169" si="44">SUM(I145:I168)</f>
        <v>20</v>
      </c>
      <c r="J169" s="15">
        <f t="shared" si="44"/>
        <v>7</v>
      </c>
      <c r="K169" s="15">
        <f>SUM(K145:K168)</f>
        <v>0</v>
      </c>
      <c r="L169" s="15">
        <f>SUM(L145:L168)</f>
        <v>0</v>
      </c>
      <c r="M169" s="16">
        <f t="shared" si="39"/>
        <v>39</v>
      </c>
      <c r="N169" s="34">
        <f t="shared" si="40"/>
        <v>72</v>
      </c>
    </row>
    <row r="170" spans="1:15" ht="14.25" thickBot="1" x14ac:dyDescent="0.2">
      <c r="A170" s="25" t="s">
        <v>6</v>
      </c>
      <c r="B170" s="26">
        <f>B144-B169</f>
        <v>9</v>
      </c>
      <c r="C170" s="26">
        <f t="shared" ref="C170:G170" si="45">C144-C169</f>
        <v>5</v>
      </c>
      <c r="D170" s="26">
        <f t="shared" si="45"/>
        <v>1</v>
      </c>
      <c r="E170" s="26">
        <f t="shared" si="45"/>
        <v>0</v>
      </c>
      <c r="F170" s="26">
        <f t="shared" si="45"/>
        <v>0</v>
      </c>
      <c r="G170" s="26">
        <f t="shared" si="45"/>
        <v>15</v>
      </c>
      <c r="H170" s="26">
        <f>H144-H169</f>
        <v>9</v>
      </c>
      <c r="I170" s="26">
        <f t="shared" ref="I170:M170" si="46">I144-I169</f>
        <v>5</v>
      </c>
      <c r="J170" s="26">
        <f t="shared" si="46"/>
        <v>1</v>
      </c>
      <c r="K170" s="26">
        <f t="shared" si="46"/>
        <v>0</v>
      </c>
      <c r="L170" s="26">
        <f t="shared" si="46"/>
        <v>0</v>
      </c>
      <c r="M170" s="26">
        <f t="shared" si="46"/>
        <v>15</v>
      </c>
      <c r="N170" s="38">
        <f t="shared" si="40"/>
        <v>30</v>
      </c>
    </row>
    <row r="173" spans="1:15" ht="18" thickBot="1" x14ac:dyDescent="0.25">
      <c r="A173" s="29" t="s">
        <v>17</v>
      </c>
      <c r="B173" s="1"/>
      <c r="C173" s="1"/>
      <c r="D173" s="1" t="s">
        <v>65</v>
      </c>
      <c r="E173" s="1"/>
      <c r="F173" s="1"/>
      <c r="G173" s="1"/>
      <c r="H173" s="1"/>
      <c r="I173" s="1"/>
      <c r="J173" s="1"/>
      <c r="K173" s="1"/>
      <c r="L173" s="1"/>
      <c r="M173" s="1"/>
    </row>
    <row r="174" spans="1:15" ht="14.25" thickBot="1" x14ac:dyDescent="0.2">
      <c r="A174" s="2" t="s">
        <v>0</v>
      </c>
      <c r="B174" s="206" t="s">
        <v>14</v>
      </c>
      <c r="C174" s="206"/>
      <c r="D174" s="206"/>
      <c r="E174" s="206"/>
      <c r="F174" s="206"/>
      <c r="G174" s="207"/>
      <c r="H174" s="206" t="s">
        <v>15</v>
      </c>
      <c r="I174" s="206"/>
      <c r="J174" s="206"/>
      <c r="K174" s="206"/>
      <c r="L174" s="206"/>
      <c r="M174" s="207"/>
      <c r="N174" s="208" t="s">
        <v>10</v>
      </c>
    </row>
    <row r="175" spans="1:15" ht="14.25" thickBot="1" x14ac:dyDescent="0.2">
      <c r="A175" s="2" t="s">
        <v>1</v>
      </c>
      <c r="B175" s="3" t="s">
        <v>7</v>
      </c>
      <c r="C175" s="2" t="s">
        <v>8</v>
      </c>
      <c r="D175" s="19" t="s">
        <v>9</v>
      </c>
      <c r="E175" s="2" t="s">
        <v>20</v>
      </c>
      <c r="F175" s="2" t="s">
        <v>22</v>
      </c>
      <c r="G175" s="19" t="s">
        <v>2</v>
      </c>
      <c r="H175" s="2" t="s">
        <v>11</v>
      </c>
      <c r="I175" s="19" t="s">
        <v>12</v>
      </c>
      <c r="J175" s="2" t="s">
        <v>13</v>
      </c>
      <c r="K175" s="53" t="s">
        <v>19</v>
      </c>
      <c r="L175" s="53" t="s">
        <v>21</v>
      </c>
      <c r="M175" s="2" t="s">
        <v>2</v>
      </c>
      <c r="N175" s="209"/>
    </row>
    <row r="176" spans="1:15" ht="14.25" thickBot="1" x14ac:dyDescent="0.2">
      <c r="A176" s="3" t="s">
        <v>6</v>
      </c>
      <c r="B176" s="63">
        <f>B170</f>
        <v>9</v>
      </c>
      <c r="C176" s="64">
        <f>C170</f>
        <v>5</v>
      </c>
      <c r="D176" s="63">
        <f>D170</f>
        <v>1</v>
      </c>
      <c r="E176" s="64">
        <f>E170</f>
        <v>0</v>
      </c>
      <c r="F176" s="63">
        <f>F170</f>
        <v>0</v>
      </c>
      <c r="G176" s="61">
        <f t="shared" ref="G176:G212" si="47">SUM(B176:F176)</f>
        <v>15</v>
      </c>
      <c r="H176" s="63">
        <f>H170</f>
        <v>9</v>
      </c>
      <c r="I176" s="63">
        <f t="shared" ref="I176:L176" si="48">I170</f>
        <v>5</v>
      </c>
      <c r="J176" s="63">
        <f t="shared" si="48"/>
        <v>1</v>
      </c>
      <c r="K176" s="63">
        <f t="shared" si="48"/>
        <v>0</v>
      </c>
      <c r="L176" s="63">
        <f t="shared" si="48"/>
        <v>0</v>
      </c>
      <c r="M176" s="65">
        <f t="shared" ref="M176:M212" si="49">SUM(H176:L176)</f>
        <v>15</v>
      </c>
      <c r="N176" s="34">
        <f>SUM(M176,G176)</f>
        <v>30</v>
      </c>
    </row>
    <row r="177" spans="1:16" x14ac:dyDescent="0.15">
      <c r="A177" s="49" t="s">
        <v>3</v>
      </c>
      <c r="B177" s="4"/>
      <c r="C177" s="35">
        <v>10</v>
      </c>
      <c r="D177" s="4">
        <v>5</v>
      </c>
      <c r="E177" s="35"/>
      <c r="F177" s="4"/>
      <c r="G177" s="45">
        <f t="shared" si="47"/>
        <v>15</v>
      </c>
      <c r="H177" s="4"/>
      <c r="I177" s="35">
        <v>10</v>
      </c>
      <c r="J177" s="4">
        <v>5</v>
      </c>
      <c r="K177" s="35"/>
      <c r="L177" s="4"/>
      <c r="M177" s="41">
        <f t="shared" si="49"/>
        <v>15</v>
      </c>
      <c r="N177" s="31">
        <f t="shared" ref="N177:N213" si="50">SUM(M177,G177)</f>
        <v>30</v>
      </c>
      <c r="O177" s="32">
        <v>44729</v>
      </c>
    </row>
    <row r="178" spans="1:16" x14ac:dyDescent="0.15">
      <c r="A178" s="49" t="s">
        <v>3</v>
      </c>
      <c r="B178" s="12"/>
      <c r="C178" s="17">
        <v>5</v>
      </c>
      <c r="D178" s="12">
        <v>5</v>
      </c>
      <c r="E178" s="17"/>
      <c r="F178" s="12"/>
      <c r="G178" s="45">
        <f t="shared" si="47"/>
        <v>10</v>
      </c>
      <c r="H178" s="12"/>
      <c r="I178" s="17"/>
      <c r="J178" s="12"/>
      <c r="K178" s="17"/>
      <c r="L178" s="12"/>
      <c r="M178" s="41">
        <f t="shared" si="49"/>
        <v>0</v>
      </c>
      <c r="N178" s="31">
        <f t="shared" si="50"/>
        <v>10</v>
      </c>
      <c r="O178" s="32">
        <v>44754</v>
      </c>
      <c r="P178" s="33"/>
    </row>
    <row r="179" spans="1:16" x14ac:dyDescent="0.15">
      <c r="A179" s="49" t="s">
        <v>3</v>
      </c>
      <c r="B179" s="12"/>
      <c r="C179" s="17"/>
      <c r="D179" s="12"/>
      <c r="E179" s="17"/>
      <c r="F179" s="12"/>
      <c r="G179" s="45">
        <f t="shared" si="47"/>
        <v>0</v>
      </c>
      <c r="H179" s="12"/>
      <c r="I179" s="17">
        <v>5</v>
      </c>
      <c r="J179" s="12">
        <v>10</v>
      </c>
      <c r="K179" s="17"/>
      <c r="L179" s="12"/>
      <c r="M179" s="41">
        <f t="shared" si="49"/>
        <v>15</v>
      </c>
      <c r="N179" s="31">
        <f t="shared" si="50"/>
        <v>15</v>
      </c>
      <c r="O179" s="32">
        <v>44757</v>
      </c>
    </row>
    <row r="180" spans="1:16" x14ac:dyDescent="0.15">
      <c r="A180" s="126" t="s">
        <v>68</v>
      </c>
      <c r="B180" s="27">
        <v>1</v>
      </c>
      <c r="C180" s="115">
        <v>1</v>
      </c>
      <c r="D180" s="27">
        <v>2</v>
      </c>
      <c r="E180" s="115"/>
      <c r="F180" s="27"/>
      <c r="G180" s="127">
        <f t="shared" si="47"/>
        <v>4</v>
      </c>
      <c r="H180" s="27">
        <v>1</v>
      </c>
      <c r="I180" s="115">
        <v>1</v>
      </c>
      <c r="J180" s="27">
        <v>2</v>
      </c>
      <c r="K180" s="115"/>
      <c r="L180" s="27"/>
      <c r="M180" s="128">
        <f t="shared" si="49"/>
        <v>4</v>
      </c>
      <c r="N180" s="129">
        <f t="shared" si="50"/>
        <v>8</v>
      </c>
      <c r="O180" s="117">
        <v>44796</v>
      </c>
    </row>
    <row r="181" spans="1:16" x14ac:dyDescent="0.15">
      <c r="A181" s="49" t="s">
        <v>3</v>
      </c>
      <c r="B181" s="12"/>
      <c r="C181" s="17"/>
      <c r="D181" s="12"/>
      <c r="E181" s="17"/>
      <c r="F181" s="12"/>
      <c r="G181" s="45">
        <f t="shared" si="47"/>
        <v>0</v>
      </c>
      <c r="H181" s="12"/>
      <c r="I181" s="17"/>
      <c r="J181" s="12"/>
      <c r="K181" s="17"/>
      <c r="L181" s="12"/>
      <c r="M181" s="41">
        <f t="shared" si="49"/>
        <v>0</v>
      </c>
      <c r="N181" s="31">
        <f t="shared" si="50"/>
        <v>0</v>
      </c>
      <c r="O181" s="32"/>
    </row>
    <row r="182" spans="1:16" x14ac:dyDescent="0.15">
      <c r="A182" s="49" t="s">
        <v>3</v>
      </c>
      <c r="B182" s="12">
        <v>3</v>
      </c>
      <c r="C182" s="17"/>
      <c r="D182" s="12"/>
      <c r="E182" s="17"/>
      <c r="F182" s="12"/>
      <c r="G182" s="45">
        <f t="shared" si="47"/>
        <v>3</v>
      </c>
      <c r="H182" s="12">
        <v>5</v>
      </c>
      <c r="I182" s="17"/>
      <c r="J182" s="12"/>
      <c r="K182" s="17"/>
      <c r="L182" s="12"/>
      <c r="M182" s="41">
        <f t="shared" si="49"/>
        <v>5</v>
      </c>
      <c r="N182" s="31">
        <f t="shared" si="50"/>
        <v>8</v>
      </c>
      <c r="O182" s="32">
        <v>44811</v>
      </c>
    </row>
    <row r="183" spans="1:16" x14ac:dyDescent="0.15">
      <c r="A183" s="49" t="s">
        <v>3</v>
      </c>
      <c r="B183" s="69">
        <v>3</v>
      </c>
      <c r="C183" s="11">
        <v>3</v>
      </c>
      <c r="D183" s="10"/>
      <c r="E183" s="11"/>
      <c r="F183" s="10"/>
      <c r="G183" s="45">
        <f t="shared" si="47"/>
        <v>6</v>
      </c>
      <c r="H183" s="69">
        <v>3</v>
      </c>
      <c r="I183" s="11">
        <v>5</v>
      </c>
      <c r="J183" s="10"/>
      <c r="K183" s="11"/>
      <c r="L183" s="10"/>
      <c r="M183" s="41">
        <f t="shared" si="49"/>
        <v>8</v>
      </c>
      <c r="N183" s="31">
        <f t="shared" si="50"/>
        <v>14</v>
      </c>
      <c r="O183" s="32">
        <v>44870</v>
      </c>
    </row>
    <row r="184" spans="1:16" x14ac:dyDescent="0.15">
      <c r="A184" s="49" t="s">
        <v>3</v>
      </c>
      <c r="B184" s="130" t="s">
        <v>69</v>
      </c>
      <c r="C184" s="11">
        <v>10</v>
      </c>
      <c r="D184" s="10"/>
      <c r="E184" s="11"/>
      <c r="F184" s="10"/>
      <c r="G184" s="45">
        <f t="shared" si="47"/>
        <v>10</v>
      </c>
      <c r="H184" s="10">
        <v>10</v>
      </c>
      <c r="I184" s="11">
        <v>10</v>
      </c>
      <c r="J184" s="10"/>
      <c r="K184" s="11"/>
      <c r="L184" s="10"/>
      <c r="M184" s="41">
        <f t="shared" si="49"/>
        <v>20</v>
      </c>
      <c r="N184" s="31">
        <f t="shared" si="50"/>
        <v>30</v>
      </c>
      <c r="O184" s="32">
        <v>44902</v>
      </c>
    </row>
    <row r="185" spans="1:16" x14ac:dyDescent="0.15">
      <c r="A185" s="49" t="s">
        <v>3</v>
      </c>
      <c r="B185" s="10"/>
      <c r="C185" s="11"/>
      <c r="D185" s="10"/>
      <c r="E185" s="11"/>
      <c r="F185" s="10"/>
      <c r="G185" s="45">
        <f t="shared" si="47"/>
        <v>0</v>
      </c>
      <c r="H185" s="10"/>
      <c r="I185" s="11"/>
      <c r="J185" s="10"/>
      <c r="K185" s="11"/>
      <c r="L185" s="10"/>
      <c r="M185" s="41">
        <f t="shared" si="49"/>
        <v>0</v>
      </c>
      <c r="N185" s="31">
        <f t="shared" si="50"/>
        <v>0</v>
      </c>
    </row>
    <row r="186" spans="1:16" ht="14.25" thickBot="1" x14ac:dyDescent="0.2">
      <c r="A186" s="50" t="s">
        <v>3</v>
      </c>
      <c r="B186" s="13"/>
      <c r="C186" s="14"/>
      <c r="D186" s="13"/>
      <c r="E186" s="14"/>
      <c r="F186" s="13"/>
      <c r="G186" s="46">
        <f t="shared" si="47"/>
        <v>0</v>
      </c>
      <c r="H186" s="13"/>
      <c r="I186" s="14"/>
      <c r="J186" s="13"/>
      <c r="K186" s="14"/>
      <c r="L186" s="13"/>
      <c r="M186" s="42">
        <f t="shared" si="49"/>
        <v>0</v>
      </c>
      <c r="N186" s="36">
        <f t="shared" si="50"/>
        <v>0</v>
      </c>
    </row>
    <row r="187" spans="1:16" ht="14.25" thickBot="1" x14ac:dyDescent="0.2">
      <c r="A187" s="51" t="s">
        <v>4</v>
      </c>
      <c r="B187" s="22">
        <f>SUM(B176:B186)</f>
        <v>16</v>
      </c>
      <c r="C187" s="22">
        <f>SUM(C176:C186)</f>
        <v>34</v>
      </c>
      <c r="D187" s="57">
        <f t="shared" ref="D187:E187" si="51">SUM(D176:D186)</f>
        <v>13</v>
      </c>
      <c r="E187" s="22">
        <f t="shared" si="51"/>
        <v>0</v>
      </c>
      <c r="F187" s="22">
        <f>SUM(F176:F186)</f>
        <v>0</v>
      </c>
      <c r="G187" s="47">
        <f t="shared" si="47"/>
        <v>63</v>
      </c>
      <c r="H187" s="22">
        <f>SUM(H176:H186)</f>
        <v>28</v>
      </c>
      <c r="I187" s="22">
        <f t="shared" ref="I187:J187" si="52">SUM(I176:I186)</f>
        <v>36</v>
      </c>
      <c r="J187" s="22">
        <f t="shared" si="52"/>
        <v>18</v>
      </c>
      <c r="K187" s="57">
        <f>SUM(K176:K186)</f>
        <v>0</v>
      </c>
      <c r="L187" s="22">
        <f>SUM(L176:L186)</f>
        <v>0</v>
      </c>
      <c r="M187" s="43">
        <f t="shared" si="49"/>
        <v>82</v>
      </c>
      <c r="N187" s="34">
        <f t="shared" si="50"/>
        <v>145</v>
      </c>
    </row>
    <row r="188" spans="1:16" x14ac:dyDescent="0.15">
      <c r="A188" s="39" t="s">
        <v>54</v>
      </c>
      <c r="B188" s="55"/>
      <c r="C188" s="56"/>
      <c r="D188" s="55"/>
      <c r="E188" s="56"/>
      <c r="F188" s="55"/>
      <c r="G188" s="45">
        <f t="shared" si="47"/>
        <v>0</v>
      </c>
      <c r="H188" s="55"/>
      <c r="I188" s="56">
        <v>2</v>
      </c>
      <c r="J188" s="55"/>
      <c r="K188" s="56"/>
      <c r="L188" s="55"/>
      <c r="M188" s="41">
        <f t="shared" si="49"/>
        <v>2</v>
      </c>
      <c r="N188" s="31">
        <f t="shared" si="50"/>
        <v>2</v>
      </c>
      <c r="O188" s="37">
        <v>44721</v>
      </c>
    </row>
    <row r="189" spans="1:16" x14ac:dyDescent="0.15">
      <c r="A189" s="39" t="s">
        <v>54</v>
      </c>
      <c r="B189" s="10"/>
      <c r="C189" s="11">
        <f>1+1</f>
        <v>2</v>
      </c>
      <c r="D189" s="10"/>
      <c r="E189" s="11"/>
      <c r="F189" s="10"/>
      <c r="G189" s="45">
        <f t="shared" si="47"/>
        <v>2</v>
      </c>
      <c r="H189" s="10"/>
      <c r="I189" s="11">
        <f>1+1</f>
        <v>2</v>
      </c>
      <c r="J189" s="10"/>
      <c r="K189" s="11"/>
      <c r="L189" s="10"/>
      <c r="M189" s="41">
        <f t="shared" si="49"/>
        <v>2</v>
      </c>
      <c r="N189" s="31">
        <f t="shared" si="50"/>
        <v>4</v>
      </c>
      <c r="O189" s="37">
        <v>44725</v>
      </c>
    </row>
    <row r="190" spans="1:16" x14ac:dyDescent="0.15">
      <c r="A190" s="39" t="s">
        <v>54</v>
      </c>
      <c r="B190" s="10"/>
      <c r="C190" s="11"/>
      <c r="D190" s="10"/>
      <c r="E190" s="11"/>
      <c r="F190" s="10"/>
      <c r="G190" s="45">
        <f t="shared" si="47"/>
        <v>0</v>
      </c>
      <c r="H190" s="10"/>
      <c r="I190" s="11"/>
      <c r="J190" s="10">
        <v>2</v>
      </c>
      <c r="K190" s="11"/>
      <c r="L190" s="10"/>
      <c r="M190" s="41">
        <f t="shared" si="49"/>
        <v>2</v>
      </c>
      <c r="N190" s="31">
        <f t="shared" si="50"/>
        <v>2</v>
      </c>
      <c r="O190" s="37">
        <v>44729</v>
      </c>
    </row>
    <row r="191" spans="1:16" x14ac:dyDescent="0.15">
      <c r="A191" s="39" t="s">
        <v>54</v>
      </c>
      <c r="B191" s="10">
        <v>1</v>
      </c>
      <c r="C191" s="11"/>
      <c r="D191" s="10"/>
      <c r="E191" s="11"/>
      <c r="F191" s="10"/>
      <c r="G191" s="45">
        <f t="shared" si="47"/>
        <v>1</v>
      </c>
      <c r="H191" s="10">
        <v>1</v>
      </c>
      <c r="I191" s="11"/>
      <c r="J191" s="10"/>
      <c r="K191" s="11"/>
      <c r="L191" s="10"/>
      <c r="M191" s="41">
        <f t="shared" si="49"/>
        <v>1</v>
      </c>
      <c r="N191" s="31">
        <f t="shared" si="50"/>
        <v>2</v>
      </c>
      <c r="O191" s="37">
        <v>44732</v>
      </c>
    </row>
    <row r="192" spans="1:16" x14ac:dyDescent="0.15">
      <c r="A192" s="39" t="s">
        <v>54</v>
      </c>
      <c r="B192" s="10"/>
      <c r="C192" s="11"/>
      <c r="D192" s="10"/>
      <c r="E192" s="11"/>
      <c r="F192" s="10"/>
      <c r="G192" s="45">
        <f t="shared" si="47"/>
        <v>0</v>
      </c>
      <c r="H192" s="10"/>
      <c r="I192" s="11"/>
      <c r="J192" s="10">
        <v>2</v>
      </c>
      <c r="K192" s="11"/>
      <c r="L192" s="10"/>
      <c r="M192" s="41">
        <f t="shared" si="49"/>
        <v>2</v>
      </c>
      <c r="N192" s="31">
        <f t="shared" si="50"/>
        <v>2</v>
      </c>
      <c r="O192" s="37">
        <v>44733</v>
      </c>
    </row>
    <row r="193" spans="1:15" x14ac:dyDescent="0.15">
      <c r="A193" s="39" t="s">
        <v>54</v>
      </c>
      <c r="B193" s="10"/>
      <c r="C193" s="11"/>
      <c r="D193" s="10">
        <v>2</v>
      </c>
      <c r="E193" s="11"/>
      <c r="F193" s="10"/>
      <c r="G193" s="48">
        <f t="shared" si="47"/>
        <v>2</v>
      </c>
      <c r="H193" s="10"/>
      <c r="I193" s="11"/>
      <c r="J193" s="10">
        <v>2</v>
      </c>
      <c r="K193" s="11"/>
      <c r="L193" s="10"/>
      <c r="M193" s="44">
        <f t="shared" si="49"/>
        <v>2</v>
      </c>
      <c r="N193" s="31">
        <f t="shared" si="50"/>
        <v>4</v>
      </c>
      <c r="O193" s="37">
        <v>44743</v>
      </c>
    </row>
    <row r="194" spans="1:15" x14ac:dyDescent="0.15">
      <c r="A194" s="39" t="s">
        <v>54</v>
      </c>
      <c r="B194" s="10"/>
      <c r="C194" s="11">
        <v>6</v>
      </c>
      <c r="D194" s="10"/>
      <c r="E194" s="11"/>
      <c r="F194" s="10"/>
      <c r="G194" s="48">
        <f t="shared" si="47"/>
        <v>6</v>
      </c>
      <c r="H194" s="10"/>
      <c r="I194" s="11">
        <v>6</v>
      </c>
      <c r="J194" s="10"/>
      <c r="K194" s="11"/>
      <c r="L194" s="10"/>
      <c r="M194" s="44">
        <f t="shared" si="49"/>
        <v>6</v>
      </c>
      <c r="N194" s="31">
        <f t="shared" si="50"/>
        <v>12</v>
      </c>
      <c r="O194" s="37">
        <v>44753</v>
      </c>
    </row>
    <row r="195" spans="1:15" x14ac:dyDescent="0.15">
      <c r="A195" s="39" t="s">
        <v>54</v>
      </c>
      <c r="B195" s="10">
        <v>1</v>
      </c>
      <c r="C195" s="11"/>
      <c r="D195" s="10"/>
      <c r="E195" s="11"/>
      <c r="F195" s="10"/>
      <c r="G195" s="48">
        <f t="shared" si="47"/>
        <v>1</v>
      </c>
      <c r="H195" s="10">
        <v>1</v>
      </c>
      <c r="I195" s="11"/>
      <c r="J195" s="10"/>
      <c r="K195" s="11"/>
      <c r="L195" s="10"/>
      <c r="M195" s="44">
        <f t="shared" si="49"/>
        <v>1</v>
      </c>
      <c r="N195" s="31">
        <f t="shared" si="50"/>
        <v>2</v>
      </c>
      <c r="O195" s="37">
        <v>44762</v>
      </c>
    </row>
    <row r="196" spans="1:15" x14ac:dyDescent="0.15">
      <c r="A196" s="39" t="s">
        <v>54</v>
      </c>
      <c r="B196" s="10"/>
      <c r="C196" s="11"/>
      <c r="D196" s="10">
        <f>1+1</f>
        <v>2</v>
      </c>
      <c r="E196" s="11"/>
      <c r="F196" s="10"/>
      <c r="G196" s="48">
        <f t="shared" si="47"/>
        <v>2</v>
      </c>
      <c r="H196" s="10"/>
      <c r="I196" s="11"/>
      <c r="J196" s="10">
        <f>1+1</f>
        <v>2</v>
      </c>
      <c r="K196" s="11"/>
      <c r="L196" s="10"/>
      <c r="M196" s="44">
        <f t="shared" si="49"/>
        <v>2</v>
      </c>
      <c r="N196" s="31">
        <f t="shared" si="50"/>
        <v>4</v>
      </c>
      <c r="O196" s="37">
        <v>44768</v>
      </c>
    </row>
    <row r="197" spans="1:15" x14ac:dyDescent="0.15">
      <c r="A197" s="39" t="s">
        <v>54</v>
      </c>
      <c r="B197" s="10">
        <v>2</v>
      </c>
      <c r="C197" s="11"/>
      <c r="D197" s="10"/>
      <c r="E197" s="11"/>
      <c r="F197" s="10"/>
      <c r="G197" s="48">
        <f t="shared" si="47"/>
        <v>2</v>
      </c>
      <c r="H197" s="10">
        <f>2+2</f>
        <v>4</v>
      </c>
      <c r="I197" s="11"/>
      <c r="J197" s="10"/>
      <c r="K197" s="11"/>
      <c r="L197" s="10"/>
      <c r="M197" s="44">
        <f t="shared" si="49"/>
        <v>4</v>
      </c>
      <c r="N197" s="31">
        <f t="shared" si="50"/>
        <v>6</v>
      </c>
      <c r="O197" s="37">
        <v>44781</v>
      </c>
    </row>
    <row r="198" spans="1:15" x14ac:dyDescent="0.15">
      <c r="A198" s="39" t="s">
        <v>54</v>
      </c>
      <c r="B198" s="10">
        <v>2</v>
      </c>
      <c r="C198" s="11"/>
      <c r="D198" s="10"/>
      <c r="E198" s="11"/>
      <c r="F198" s="10"/>
      <c r="G198" s="48">
        <f t="shared" si="47"/>
        <v>2</v>
      </c>
      <c r="H198" s="10">
        <v>2</v>
      </c>
      <c r="I198" s="11"/>
      <c r="J198" s="10"/>
      <c r="K198" s="11"/>
      <c r="L198" s="10"/>
      <c r="M198" s="44">
        <f t="shared" si="49"/>
        <v>2</v>
      </c>
      <c r="N198" s="31">
        <f t="shared" si="50"/>
        <v>4</v>
      </c>
      <c r="O198" s="37">
        <v>44802</v>
      </c>
    </row>
    <row r="199" spans="1:15" x14ac:dyDescent="0.15">
      <c r="A199" s="39" t="s">
        <v>54</v>
      </c>
      <c r="B199" s="10"/>
      <c r="C199" s="11">
        <v>1</v>
      </c>
      <c r="D199" s="10"/>
      <c r="E199" s="11"/>
      <c r="F199" s="10"/>
      <c r="G199" s="48">
        <f t="shared" si="47"/>
        <v>1</v>
      </c>
      <c r="H199" s="10"/>
      <c r="I199" s="11">
        <v>1</v>
      </c>
      <c r="J199" s="10"/>
      <c r="K199" s="11"/>
      <c r="L199" s="10"/>
      <c r="M199" s="44">
        <f t="shared" si="49"/>
        <v>1</v>
      </c>
      <c r="N199" s="31">
        <f t="shared" si="50"/>
        <v>2</v>
      </c>
      <c r="O199" s="37">
        <v>44806</v>
      </c>
    </row>
    <row r="200" spans="1:15" x14ac:dyDescent="0.15">
      <c r="A200" s="39" t="s">
        <v>54</v>
      </c>
      <c r="B200" s="10">
        <v>1</v>
      </c>
      <c r="C200" s="11"/>
      <c r="D200" s="10"/>
      <c r="E200" s="11"/>
      <c r="F200" s="10"/>
      <c r="G200" s="48">
        <f t="shared" si="47"/>
        <v>1</v>
      </c>
      <c r="H200" s="10">
        <v>1</v>
      </c>
      <c r="I200" s="11"/>
      <c r="J200" s="10"/>
      <c r="K200" s="11"/>
      <c r="L200" s="10"/>
      <c r="M200" s="44">
        <f t="shared" si="49"/>
        <v>1</v>
      </c>
      <c r="N200" s="31">
        <f t="shared" si="50"/>
        <v>2</v>
      </c>
      <c r="O200" s="37">
        <v>44809</v>
      </c>
    </row>
    <row r="201" spans="1:15" x14ac:dyDescent="0.15">
      <c r="A201" s="39" t="s">
        <v>54</v>
      </c>
      <c r="B201" s="10"/>
      <c r="C201" s="11">
        <v>1</v>
      </c>
      <c r="D201" s="10"/>
      <c r="E201" s="11"/>
      <c r="F201" s="10"/>
      <c r="G201" s="48">
        <f t="shared" si="47"/>
        <v>1</v>
      </c>
      <c r="H201" s="10"/>
      <c r="I201" s="11">
        <v>1</v>
      </c>
      <c r="J201" s="10"/>
      <c r="K201" s="11"/>
      <c r="L201" s="10"/>
      <c r="M201" s="44">
        <f t="shared" si="49"/>
        <v>1</v>
      </c>
      <c r="N201" s="31">
        <f t="shared" si="50"/>
        <v>2</v>
      </c>
      <c r="O201" s="37">
        <v>44810</v>
      </c>
    </row>
    <row r="202" spans="1:15" x14ac:dyDescent="0.15">
      <c r="A202" s="39" t="s">
        <v>54</v>
      </c>
      <c r="B202" s="10">
        <v>1</v>
      </c>
      <c r="C202" s="11"/>
      <c r="D202" s="10"/>
      <c r="E202" s="11"/>
      <c r="F202" s="10"/>
      <c r="G202" s="48">
        <f t="shared" si="47"/>
        <v>1</v>
      </c>
      <c r="H202" s="10">
        <v>1</v>
      </c>
      <c r="I202" s="11"/>
      <c r="J202" s="10"/>
      <c r="K202" s="11"/>
      <c r="L202" s="10"/>
      <c r="M202" s="44">
        <f t="shared" si="49"/>
        <v>1</v>
      </c>
      <c r="N202" s="31">
        <f t="shared" si="50"/>
        <v>2</v>
      </c>
      <c r="O202" s="37">
        <v>44816</v>
      </c>
    </row>
    <row r="203" spans="1:15" x14ac:dyDescent="0.15">
      <c r="A203" s="39" t="s">
        <v>54</v>
      </c>
      <c r="B203" s="10"/>
      <c r="C203" s="11">
        <v>6</v>
      </c>
      <c r="D203" s="10"/>
      <c r="E203" s="11"/>
      <c r="F203" s="10"/>
      <c r="G203" s="48">
        <f t="shared" si="47"/>
        <v>6</v>
      </c>
      <c r="H203" s="10"/>
      <c r="I203" s="11">
        <v>6</v>
      </c>
      <c r="J203" s="10"/>
      <c r="K203" s="11"/>
      <c r="L203" s="10"/>
      <c r="M203" s="44">
        <f t="shared" si="49"/>
        <v>6</v>
      </c>
      <c r="N203" s="31">
        <f t="shared" si="50"/>
        <v>12</v>
      </c>
      <c r="O203" s="37">
        <v>44830</v>
      </c>
    </row>
    <row r="204" spans="1:15" x14ac:dyDescent="0.15">
      <c r="A204" s="39" t="s">
        <v>54</v>
      </c>
      <c r="B204" s="10">
        <v>1</v>
      </c>
      <c r="C204" s="11"/>
      <c r="D204" s="10"/>
      <c r="E204" s="11"/>
      <c r="F204" s="10"/>
      <c r="G204" s="48">
        <f t="shared" si="47"/>
        <v>1</v>
      </c>
      <c r="H204" s="10">
        <v>1</v>
      </c>
      <c r="I204" s="11"/>
      <c r="J204" s="10"/>
      <c r="K204" s="11"/>
      <c r="L204" s="10"/>
      <c r="M204" s="44">
        <f t="shared" si="49"/>
        <v>1</v>
      </c>
      <c r="N204" s="31">
        <f t="shared" si="50"/>
        <v>2</v>
      </c>
      <c r="O204" s="37">
        <v>44833</v>
      </c>
    </row>
    <row r="205" spans="1:15" x14ac:dyDescent="0.15">
      <c r="A205" s="39" t="s">
        <v>54</v>
      </c>
      <c r="B205" s="10">
        <v>1</v>
      </c>
      <c r="C205" s="11"/>
      <c r="D205" s="10"/>
      <c r="E205" s="11"/>
      <c r="F205" s="10"/>
      <c r="G205" s="48">
        <f t="shared" si="47"/>
        <v>1</v>
      </c>
      <c r="H205" s="10">
        <v>1</v>
      </c>
      <c r="I205" s="11"/>
      <c r="J205" s="10"/>
      <c r="K205" s="11"/>
      <c r="L205" s="10"/>
      <c r="M205" s="44">
        <f t="shared" si="49"/>
        <v>1</v>
      </c>
      <c r="N205" s="31">
        <f t="shared" si="50"/>
        <v>2</v>
      </c>
      <c r="O205" s="37">
        <v>44854</v>
      </c>
    </row>
    <row r="206" spans="1:15" x14ac:dyDescent="0.15">
      <c r="A206" s="39" t="s">
        <v>54</v>
      </c>
      <c r="B206" s="10"/>
      <c r="C206" s="11">
        <v>1</v>
      </c>
      <c r="D206" s="10"/>
      <c r="E206" s="11"/>
      <c r="F206" s="10"/>
      <c r="G206" s="48">
        <f t="shared" si="47"/>
        <v>1</v>
      </c>
      <c r="H206" s="10"/>
      <c r="I206" s="11">
        <v>1</v>
      </c>
      <c r="J206" s="10"/>
      <c r="K206" s="11"/>
      <c r="L206" s="10"/>
      <c r="M206" s="44">
        <f t="shared" si="49"/>
        <v>1</v>
      </c>
      <c r="N206" s="31">
        <f t="shared" si="50"/>
        <v>2</v>
      </c>
      <c r="O206" s="37">
        <v>44860</v>
      </c>
    </row>
    <row r="207" spans="1:15" x14ac:dyDescent="0.15">
      <c r="A207" s="39" t="s">
        <v>54</v>
      </c>
      <c r="B207" s="10">
        <f>1+1</f>
        <v>2</v>
      </c>
      <c r="C207" s="11"/>
      <c r="D207" s="10"/>
      <c r="E207" s="11"/>
      <c r="F207" s="10"/>
      <c r="G207" s="48">
        <f t="shared" si="47"/>
        <v>2</v>
      </c>
      <c r="H207" s="10">
        <f>1+1</f>
        <v>2</v>
      </c>
      <c r="I207" s="11"/>
      <c r="J207" s="10"/>
      <c r="K207" s="11"/>
      <c r="L207" s="10"/>
      <c r="M207" s="44">
        <f t="shared" si="49"/>
        <v>2</v>
      </c>
      <c r="N207" s="31">
        <f t="shared" si="50"/>
        <v>4</v>
      </c>
      <c r="O207" s="37">
        <v>44872</v>
      </c>
    </row>
    <row r="208" spans="1:15" x14ac:dyDescent="0.15">
      <c r="A208" s="39" t="s">
        <v>54</v>
      </c>
      <c r="B208" s="10"/>
      <c r="C208" s="11"/>
      <c r="D208" s="10"/>
      <c r="E208" s="11"/>
      <c r="F208" s="10"/>
      <c r="G208" s="48">
        <f t="shared" si="47"/>
        <v>0</v>
      </c>
      <c r="H208" s="10"/>
      <c r="I208" s="11">
        <v>2</v>
      </c>
      <c r="J208" s="10"/>
      <c r="K208" s="11"/>
      <c r="L208" s="10"/>
      <c r="M208" s="44">
        <f t="shared" si="49"/>
        <v>2</v>
      </c>
      <c r="N208" s="31">
        <f t="shared" si="50"/>
        <v>2</v>
      </c>
      <c r="O208" s="37">
        <v>44882</v>
      </c>
    </row>
    <row r="209" spans="1:16" x14ac:dyDescent="0.15">
      <c r="A209" s="39" t="s">
        <v>54</v>
      </c>
      <c r="B209" s="10"/>
      <c r="C209" s="11">
        <v>4</v>
      </c>
      <c r="D209" s="10"/>
      <c r="E209" s="11"/>
      <c r="F209" s="10"/>
      <c r="G209" s="48">
        <f t="shared" si="47"/>
        <v>4</v>
      </c>
      <c r="H209" s="10"/>
      <c r="I209" s="11">
        <v>4</v>
      </c>
      <c r="J209" s="10"/>
      <c r="K209" s="11"/>
      <c r="L209" s="10"/>
      <c r="M209" s="44">
        <f t="shared" si="49"/>
        <v>4</v>
      </c>
      <c r="N209" s="31">
        <f t="shared" si="50"/>
        <v>8</v>
      </c>
      <c r="O209" s="37">
        <v>44895</v>
      </c>
    </row>
    <row r="210" spans="1:16" x14ac:dyDescent="0.15">
      <c r="A210" s="39" t="s">
        <v>54</v>
      </c>
      <c r="B210" s="10">
        <v>1</v>
      </c>
      <c r="C210" s="11"/>
      <c r="D210" s="10"/>
      <c r="E210" s="11"/>
      <c r="F210" s="10"/>
      <c r="G210" s="48">
        <f t="shared" si="47"/>
        <v>1</v>
      </c>
      <c r="H210" s="10">
        <v>1</v>
      </c>
      <c r="I210" s="11"/>
      <c r="J210" s="10"/>
      <c r="K210" s="11"/>
      <c r="L210" s="10"/>
      <c r="M210" s="44">
        <f t="shared" si="49"/>
        <v>1</v>
      </c>
      <c r="N210" s="31">
        <f t="shared" si="50"/>
        <v>2</v>
      </c>
      <c r="O210" s="37">
        <v>44900</v>
      </c>
    </row>
    <row r="211" spans="1:16" ht="14.25" thickBot="1" x14ac:dyDescent="0.2">
      <c r="A211" s="58" t="s">
        <v>74</v>
      </c>
      <c r="B211" s="13">
        <v>-3</v>
      </c>
      <c r="C211" s="14">
        <v>1</v>
      </c>
      <c r="D211" s="13"/>
      <c r="E211" s="14"/>
      <c r="F211" s="13"/>
      <c r="G211" s="59">
        <f t="shared" si="47"/>
        <v>-2</v>
      </c>
      <c r="H211" s="13">
        <v>-3</v>
      </c>
      <c r="I211" s="14">
        <v>1</v>
      </c>
      <c r="J211" s="13"/>
      <c r="K211" s="14"/>
      <c r="L211" s="13"/>
      <c r="M211" s="60">
        <f t="shared" si="49"/>
        <v>-2</v>
      </c>
      <c r="N211" s="36">
        <f t="shared" si="50"/>
        <v>-4</v>
      </c>
    </row>
    <row r="212" spans="1:16" ht="14.25" thickBot="1" x14ac:dyDescent="0.2">
      <c r="A212" s="3" t="s">
        <v>5</v>
      </c>
      <c r="B212" s="16">
        <f>SUM(B188:B211)</f>
        <v>10</v>
      </c>
      <c r="C212" s="61">
        <f>SUM(C188:C211)</f>
        <v>22</v>
      </c>
      <c r="D212" s="16">
        <f t="shared" ref="D212:E212" si="53">SUM(D188:D211)</f>
        <v>4</v>
      </c>
      <c r="E212" s="61">
        <f t="shared" si="53"/>
        <v>0</v>
      </c>
      <c r="F212" s="15">
        <f>SUM(F188:F211)</f>
        <v>0</v>
      </c>
      <c r="G212" s="16">
        <f t="shared" si="47"/>
        <v>36</v>
      </c>
      <c r="H212" s="15">
        <f>SUM(H188:H211)</f>
        <v>12</v>
      </c>
      <c r="I212" s="15">
        <f t="shared" ref="I212:J212" si="54">SUM(I188:I211)</f>
        <v>26</v>
      </c>
      <c r="J212" s="15">
        <f t="shared" si="54"/>
        <v>8</v>
      </c>
      <c r="K212" s="15">
        <f>SUM(K188:K211)</f>
        <v>0</v>
      </c>
      <c r="L212" s="15">
        <f>SUM(L188:L211)</f>
        <v>0</v>
      </c>
      <c r="M212" s="16">
        <f t="shared" si="49"/>
        <v>46</v>
      </c>
      <c r="N212" s="34">
        <f t="shared" si="50"/>
        <v>82</v>
      </c>
    </row>
    <row r="213" spans="1:16" ht="14.25" thickBot="1" x14ac:dyDescent="0.2">
      <c r="A213" s="25" t="s">
        <v>6</v>
      </c>
      <c r="B213" s="26">
        <f>B187-B212</f>
        <v>6</v>
      </c>
      <c r="C213" s="26">
        <f t="shared" ref="C213:G213" si="55">C187-C212</f>
        <v>12</v>
      </c>
      <c r="D213" s="26">
        <f t="shared" si="55"/>
        <v>9</v>
      </c>
      <c r="E213" s="26">
        <f t="shared" si="55"/>
        <v>0</v>
      </c>
      <c r="F213" s="26">
        <f t="shared" si="55"/>
        <v>0</v>
      </c>
      <c r="G213" s="26">
        <f t="shared" si="55"/>
        <v>27</v>
      </c>
      <c r="H213" s="26">
        <f>H187-H212</f>
        <v>16</v>
      </c>
      <c r="I213" s="26">
        <f t="shared" ref="I213:M213" si="56">I187-I212</f>
        <v>10</v>
      </c>
      <c r="J213" s="26">
        <f t="shared" si="56"/>
        <v>10</v>
      </c>
      <c r="K213" s="26">
        <f t="shared" si="56"/>
        <v>0</v>
      </c>
      <c r="L213" s="26">
        <f t="shared" si="56"/>
        <v>0</v>
      </c>
      <c r="M213" s="26">
        <f t="shared" si="56"/>
        <v>36</v>
      </c>
      <c r="N213" s="38">
        <f t="shared" si="50"/>
        <v>63</v>
      </c>
    </row>
    <row r="216" spans="1:16" ht="18" thickBot="1" x14ac:dyDescent="0.25">
      <c r="A216" s="29" t="s">
        <v>17</v>
      </c>
      <c r="B216" s="1"/>
      <c r="C216" s="1"/>
      <c r="D216" s="1" t="s">
        <v>65</v>
      </c>
      <c r="E216" s="1"/>
      <c r="F216" s="1"/>
      <c r="G216" s="1"/>
      <c r="H216" s="1"/>
      <c r="I216" s="1"/>
      <c r="J216" s="1"/>
      <c r="K216" s="1"/>
      <c r="L216" s="1"/>
      <c r="M216" s="1"/>
    </row>
    <row r="217" spans="1:16" ht="14.25" thickBot="1" x14ac:dyDescent="0.2">
      <c r="A217" s="2" t="s">
        <v>0</v>
      </c>
      <c r="B217" s="220" t="s">
        <v>14</v>
      </c>
      <c r="C217" s="220"/>
      <c r="D217" s="220"/>
      <c r="E217" s="220"/>
      <c r="F217" s="220"/>
      <c r="G217" s="221"/>
      <c r="H217" s="217" t="s">
        <v>15</v>
      </c>
      <c r="I217" s="217"/>
      <c r="J217" s="217"/>
      <c r="K217" s="217"/>
      <c r="L217" s="217"/>
      <c r="M217" s="218"/>
      <c r="N217" s="208" t="s">
        <v>10</v>
      </c>
    </row>
    <row r="218" spans="1:16" ht="14.25" thickBot="1" x14ac:dyDescent="0.2">
      <c r="A218" s="2" t="s">
        <v>1</v>
      </c>
      <c r="B218" s="3" t="s">
        <v>7</v>
      </c>
      <c r="C218" s="2" t="s">
        <v>8</v>
      </c>
      <c r="D218" s="19" t="s">
        <v>9</v>
      </c>
      <c r="E218" s="2" t="s">
        <v>20</v>
      </c>
      <c r="F218" s="2" t="s">
        <v>22</v>
      </c>
      <c r="G218" s="19" t="s">
        <v>2</v>
      </c>
      <c r="H218" s="2" t="s">
        <v>11</v>
      </c>
      <c r="I218" s="19" t="s">
        <v>12</v>
      </c>
      <c r="J218" s="2" t="s">
        <v>13</v>
      </c>
      <c r="K218" s="53" t="s">
        <v>19</v>
      </c>
      <c r="L218" s="53" t="s">
        <v>21</v>
      </c>
      <c r="M218" s="2" t="s">
        <v>2</v>
      </c>
      <c r="N218" s="209"/>
    </row>
    <row r="219" spans="1:16" ht="14.25" thickBot="1" x14ac:dyDescent="0.2">
      <c r="A219" s="3" t="s">
        <v>6</v>
      </c>
      <c r="B219" s="63">
        <f>B213</f>
        <v>6</v>
      </c>
      <c r="C219" s="64">
        <f>C213</f>
        <v>12</v>
      </c>
      <c r="D219" s="63">
        <f>D213</f>
        <v>9</v>
      </c>
      <c r="E219" s="64">
        <f>E213</f>
        <v>0</v>
      </c>
      <c r="F219" s="63">
        <f>F213</f>
        <v>0</v>
      </c>
      <c r="G219" s="61">
        <f t="shared" ref="G219:G255" si="57">SUM(B219:F219)</f>
        <v>27</v>
      </c>
      <c r="H219" s="63">
        <f>H213</f>
        <v>16</v>
      </c>
      <c r="I219" s="63">
        <f t="shared" ref="I219:L219" si="58">I213</f>
        <v>10</v>
      </c>
      <c r="J219" s="63">
        <f t="shared" si="58"/>
        <v>10</v>
      </c>
      <c r="K219" s="63">
        <f t="shared" si="58"/>
        <v>0</v>
      </c>
      <c r="L219" s="63">
        <f t="shared" si="58"/>
        <v>0</v>
      </c>
      <c r="M219" s="65">
        <f t="shared" ref="M219:M255" si="59">SUM(H219:L219)</f>
        <v>36</v>
      </c>
      <c r="N219" s="34">
        <f>SUM(M219,G219)</f>
        <v>63</v>
      </c>
    </row>
    <row r="220" spans="1:16" x14ac:dyDescent="0.15">
      <c r="A220" s="49" t="s">
        <v>3</v>
      </c>
      <c r="B220" s="10" t="s">
        <v>70</v>
      </c>
      <c r="C220" s="11"/>
      <c r="D220" s="10"/>
      <c r="E220" s="11"/>
      <c r="F220" s="10"/>
      <c r="G220" s="45">
        <f t="shared" ref="G220:G226" si="60">SUM(B220:F220)</f>
        <v>0</v>
      </c>
      <c r="H220" s="10"/>
      <c r="I220" s="11">
        <v>6</v>
      </c>
      <c r="J220" s="10"/>
      <c r="K220" s="11"/>
      <c r="L220" s="10"/>
      <c r="M220" s="41">
        <f t="shared" ref="M220:M226" si="61">SUM(H220:L220)</f>
        <v>6</v>
      </c>
      <c r="N220" s="31">
        <f t="shared" ref="N220:N226" si="62">SUM(M220,G220)</f>
        <v>6</v>
      </c>
      <c r="O220" s="32">
        <v>44922</v>
      </c>
    </row>
    <row r="221" spans="1:16" x14ac:dyDescent="0.15">
      <c r="A221" s="49" t="s">
        <v>3</v>
      </c>
      <c r="B221" s="10" t="s">
        <v>71</v>
      </c>
      <c r="C221" s="10" t="s">
        <v>71</v>
      </c>
      <c r="D221" s="10"/>
      <c r="E221" s="11"/>
      <c r="F221" s="10"/>
      <c r="G221" s="45">
        <f t="shared" si="60"/>
        <v>0</v>
      </c>
      <c r="H221" s="10">
        <v>10</v>
      </c>
      <c r="I221" s="10" t="s">
        <v>71</v>
      </c>
      <c r="J221" s="10"/>
      <c r="K221" s="11"/>
      <c r="L221" s="10"/>
      <c r="M221" s="41">
        <f t="shared" si="61"/>
        <v>10</v>
      </c>
      <c r="N221" s="31">
        <f t="shared" si="62"/>
        <v>10</v>
      </c>
      <c r="O221" s="32">
        <v>44944</v>
      </c>
    </row>
    <row r="222" spans="1:16" x14ac:dyDescent="0.15">
      <c r="A222" s="49" t="s">
        <v>3</v>
      </c>
      <c r="B222" s="10">
        <v>10</v>
      </c>
      <c r="C222" s="11">
        <v>10</v>
      </c>
      <c r="D222" s="10"/>
      <c r="E222" s="11"/>
      <c r="F222" s="10"/>
      <c r="G222" s="45">
        <f t="shared" si="60"/>
        <v>20</v>
      </c>
      <c r="H222" s="10"/>
      <c r="I222" s="11">
        <v>5</v>
      </c>
      <c r="J222" s="10"/>
      <c r="K222" s="11"/>
      <c r="L222" s="10"/>
      <c r="M222" s="41">
        <f t="shared" si="61"/>
        <v>5</v>
      </c>
      <c r="N222" s="31">
        <f t="shared" si="62"/>
        <v>25</v>
      </c>
      <c r="O222" s="37">
        <v>44958</v>
      </c>
    </row>
    <row r="223" spans="1:16" x14ac:dyDescent="0.15">
      <c r="A223" s="49" t="s">
        <v>3</v>
      </c>
      <c r="B223" s="10"/>
      <c r="C223" s="11"/>
      <c r="D223" s="10"/>
      <c r="E223" s="11"/>
      <c r="F223" s="10"/>
      <c r="G223" s="45">
        <f t="shared" si="60"/>
        <v>0</v>
      </c>
      <c r="H223" s="10"/>
      <c r="I223" s="11">
        <v>5</v>
      </c>
      <c r="J223" s="10"/>
      <c r="K223" s="11"/>
      <c r="L223" s="10"/>
      <c r="M223" s="41">
        <f t="shared" si="61"/>
        <v>5</v>
      </c>
      <c r="N223" s="31">
        <f t="shared" si="62"/>
        <v>5</v>
      </c>
      <c r="O223" s="32">
        <v>44995</v>
      </c>
      <c r="P223" s="33"/>
    </row>
    <row r="224" spans="1:16" x14ac:dyDescent="0.15">
      <c r="A224" s="49" t="s">
        <v>3</v>
      </c>
      <c r="B224" s="10"/>
      <c r="C224" s="11">
        <v>10</v>
      </c>
      <c r="D224" s="10"/>
      <c r="E224" s="11"/>
      <c r="F224" s="10"/>
      <c r="G224" s="45">
        <f t="shared" si="60"/>
        <v>10</v>
      </c>
      <c r="H224" s="10"/>
      <c r="I224" s="11">
        <v>10</v>
      </c>
      <c r="J224" s="10"/>
      <c r="K224" s="11"/>
      <c r="L224" s="10"/>
      <c r="M224" s="41">
        <f t="shared" si="61"/>
        <v>10</v>
      </c>
      <c r="N224" s="31">
        <f t="shared" si="62"/>
        <v>20</v>
      </c>
      <c r="O224" s="32">
        <v>45027</v>
      </c>
    </row>
    <row r="225" spans="1:15" x14ac:dyDescent="0.15">
      <c r="A225" s="49" t="s">
        <v>3</v>
      </c>
      <c r="B225" s="10">
        <v>5</v>
      </c>
      <c r="C225" s="11">
        <v>10</v>
      </c>
      <c r="D225" s="10"/>
      <c r="E225" s="11"/>
      <c r="F225" s="10"/>
      <c r="G225" s="45">
        <f t="shared" si="60"/>
        <v>15</v>
      </c>
      <c r="H225" s="10"/>
      <c r="I225" s="11"/>
      <c r="J225" s="10"/>
      <c r="K225" s="11"/>
      <c r="L225" s="10"/>
      <c r="M225" s="41">
        <f t="shared" si="61"/>
        <v>0</v>
      </c>
      <c r="N225" s="31">
        <f t="shared" si="62"/>
        <v>15</v>
      </c>
      <c r="O225" s="32">
        <v>45056</v>
      </c>
    </row>
    <row r="226" spans="1:15" x14ac:dyDescent="0.15">
      <c r="A226" s="49" t="s">
        <v>3</v>
      </c>
      <c r="B226" s="10"/>
      <c r="C226" s="11">
        <v>5</v>
      </c>
      <c r="D226" s="10"/>
      <c r="E226" s="11"/>
      <c r="F226" s="10"/>
      <c r="G226" s="45">
        <f t="shared" si="60"/>
        <v>5</v>
      </c>
      <c r="H226" s="10"/>
      <c r="I226" s="11"/>
      <c r="J226" s="10"/>
      <c r="K226" s="11"/>
      <c r="L226" s="10"/>
      <c r="M226" s="41">
        <f t="shared" si="61"/>
        <v>0</v>
      </c>
      <c r="N226" s="31">
        <f t="shared" si="62"/>
        <v>5</v>
      </c>
      <c r="O226" s="32">
        <v>45057</v>
      </c>
    </row>
    <row r="227" spans="1:15" x14ac:dyDescent="0.15">
      <c r="A227" s="49" t="s">
        <v>3</v>
      </c>
      <c r="B227" s="10">
        <v>5</v>
      </c>
      <c r="C227" s="11"/>
      <c r="D227" s="10"/>
      <c r="E227" s="11"/>
      <c r="F227" s="10"/>
      <c r="G227" s="45">
        <f t="shared" si="57"/>
        <v>5</v>
      </c>
      <c r="H227" s="10"/>
      <c r="I227" s="11">
        <v>5</v>
      </c>
      <c r="J227" s="10"/>
      <c r="K227" s="11"/>
      <c r="L227" s="10"/>
      <c r="M227" s="41">
        <f t="shared" si="59"/>
        <v>5</v>
      </c>
      <c r="N227" s="31">
        <f t="shared" ref="N227:N256" si="63">SUM(M227,G227)</f>
        <v>10</v>
      </c>
      <c r="O227" s="32">
        <v>45070</v>
      </c>
    </row>
    <row r="228" spans="1:15" x14ac:dyDescent="0.15">
      <c r="A228" s="49" t="s">
        <v>3</v>
      </c>
      <c r="B228" s="10"/>
      <c r="C228" s="11"/>
      <c r="D228" s="10"/>
      <c r="E228" s="11"/>
      <c r="F228" s="10"/>
      <c r="G228" s="45">
        <f t="shared" si="57"/>
        <v>0</v>
      </c>
      <c r="H228" s="10"/>
      <c r="I228" s="11"/>
      <c r="J228" s="10"/>
      <c r="K228" s="11"/>
      <c r="L228" s="10"/>
      <c r="M228" s="41">
        <f t="shared" si="59"/>
        <v>0</v>
      </c>
      <c r="N228" s="31">
        <f t="shared" si="63"/>
        <v>0</v>
      </c>
    </row>
    <row r="229" spans="1:15" ht="14.25" thickBot="1" x14ac:dyDescent="0.2">
      <c r="A229" s="50" t="s">
        <v>3</v>
      </c>
      <c r="B229" s="13"/>
      <c r="C229" s="14"/>
      <c r="D229" s="13"/>
      <c r="E229" s="14"/>
      <c r="F229" s="13"/>
      <c r="G229" s="46">
        <f t="shared" si="57"/>
        <v>0</v>
      </c>
      <c r="H229" s="13"/>
      <c r="I229" s="14"/>
      <c r="J229" s="13"/>
      <c r="K229" s="14"/>
      <c r="L229" s="13"/>
      <c r="M229" s="42">
        <f t="shared" si="59"/>
        <v>0</v>
      </c>
      <c r="N229" s="36">
        <f t="shared" si="63"/>
        <v>0</v>
      </c>
    </row>
    <row r="230" spans="1:15" ht="14.25" thickBot="1" x14ac:dyDescent="0.2">
      <c r="A230" s="51" t="s">
        <v>4</v>
      </c>
      <c r="B230" s="22">
        <f>SUM(B219:B229)</f>
        <v>26</v>
      </c>
      <c r="C230" s="22">
        <f>SUM(C219:C229)</f>
        <v>47</v>
      </c>
      <c r="D230" s="57">
        <f t="shared" ref="D230:E230" si="64">SUM(D219:D229)</f>
        <v>9</v>
      </c>
      <c r="E230" s="22">
        <f t="shared" si="64"/>
        <v>0</v>
      </c>
      <c r="F230" s="22">
        <f>SUM(F219:F229)</f>
        <v>0</v>
      </c>
      <c r="G230" s="47">
        <f t="shared" si="57"/>
        <v>82</v>
      </c>
      <c r="H230" s="22">
        <f>SUM(H219:H229)</f>
        <v>26</v>
      </c>
      <c r="I230" s="22">
        <f t="shared" ref="I230:J230" si="65">SUM(I219:I229)</f>
        <v>41</v>
      </c>
      <c r="J230" s="22">
        <f t="shared" si="65"/>
        <v>10</v>
      </c>
      <c r="K230" s="57">
        <f>SUM(K219:K229)</f>
        <v>0</v>
      </c>
      <c r="L230" s="22">
        <f>SUM(L219:L229)</f>
        <v>0</v>
      </c>
      <c r="M230" s="43">
        <f t="shared" si="59"/>
        <v>77</v>
      </c>
      <c r="N230" s="34">
        <f t="shared" si="63"/>
        <v>159</v>
      </c>
    </row>
    <row r="231" spans="1:15" x14ac:dyDescent="0.15">
      <c r="A231" s="39" t="s">
        <v>54</v>
      </c>
      <c r="B231" s="10"/>
      <c r="C231" s="11">
        <v>2</v>
      </c>
      <c r="D231" s="10"/>
      <c r="E231" s="11"/>
      <c r="F231" s="10"/>
      <c r="G231" s="48">
        <f t="shared" ref="G231:G252" si="66">SUM(B231:F231)</f>
        <v>2</v>
      </c>
      <c r="H231" s="10"/>
      <c r="I231" s="11">
        <v>2</v>
      </c>
      <c r="J231" s="10"/>
      <c r="K231" s="11"/>
      <c r="L231" s="10"/>
      <c r="M231" s="44">
        <f t="shared" ref="M231:M252" si="67">SUM(H231:L231)</f>
        <v>2</v>
      </c>
      <c r="N231" s="31">
        <f t="shared" ref="N231:N252" si="68">SUM(M231,G231)</f>
        <v>4</v>
      </c>
      <c r="O231" s="37">
        <v>44902</v>
      </c>
    </row>
    <row r="232" spans="1:15" x14ac:dyDescent="0.15">
      <c r="A232" s="39" t="s">
        <v>54</v>
      </c>
      <c r="B232" s="10">
        <v>1</v>
      </c>
      <c r="C232" s="11"/>
      <c r="D232" s="10"/>
      <c r="E232" s="11"/>
      <c r="F232" s="10"/>
      <c r="G232" s="48">
        <f t="shared" si="66"/>
        <v>1</v>
      </c>
      <c r="H232" s="10">
        <v>1</v>
      </c>
      <c r="I232" s="11"/>
      <c r="J232" s="10"/>
      <c r="K232" s="11"/>
      <c r="L232" s="10"/>
      <c r="M232" s="44">
        <f t="shared" si="67"/>
        <v>1</v>
      </c>
      <c r="N232" s="31">
        <f t="shared" si="68"/>
        <v>2</v>
      </c>
      <c r="O232" s="37">
        <v>44903</v>
      </c>
    </row>
    <row r="233" spans="1:15" x14ac:dyDescent="0.15">
      <c r="A233" s="39" t="s">
        <v>54</v>
      </c>
      <c r="B233" s="10"/>
      <c r="C233" s="11"/>
      <c r="D233" s="10"/>
      <c r="E233" s="11"/>
      <c r="F233" s="10"/>
      <c r="G233" s="48">
        <f t="shared" si="66"/>
        <v>0</v>
      </c>
      <c r="H233" s="10"/>
      <c r="I233" s="11"/>
      <c r="J233" s="10">
        <v>2</v>
      </c>
      <c r="K233" s="11"/>
      <c r="L233" s="10"/>
      <c r="M233" s="44">
        <f t="shared" si="67"/>
        <v>2</v>
      </c>
      <c r="N233" s="31">
        <f t="shared" si="68"/>
        <v>2</v>
      </c>
      <c r="O233" s="37">
        <v>44907</v>
      </c>
    </row>
    <row r="234" spans="1:15" x14ac:dyDescent="0.15">
      <c r="A234" s="39" t="s">
        <v>54</v>
      </c>
      <c r="B234" s="10"/>
      <c r="C234" s="11"/>
      <c r="D234" s="10"/>
      <c r="E234" s="11"/>
      <c r="F234" s="10"/>
      <c r="G234" s="48">
        <f t="shared" si="66"/>
        <v>0</v>
      </c>
      <c r="H234" s="10">
        <v>2</v>
      </c>
      <c r="I234" s="11"/>
      <c r="J234" s="10"/>
      <c r="K234" s="11"/>
      <c r="L234" s="10"/>
      <c r="M234" s="44">
        <f t="shared" si="67"/>
        <v>2</v>
      </c>
      <c r="N234" s="31">
        <f t="shared" si="68"/>
        <v>2</v>
      </c>
      <c r="O234" s="37">
        <v>44910</v>
      </c>
    </row>
    <row r="235" spans="1:15" x14ac:dyDescent="0.15">
      <c r="A235" s="39" t="s">
        <v>54</v>
      </c>
      <c r="B235" s="10"/>
      <c r="C235" s="11">
        <v>4</v>
      </c>
      <c r="D235" s="10"/>
      <c r="E235" s="11"/>
      <c r="F235" s="10"/>
      <c r="G235" s="48">
        <f t="shared" si="66"/>
        <v>4</v>
      </c>
      <c r="H235" s="10"/>
      <c r="I235" s="11">
        <v>4</v>
      </c>
      <c r="J235" s="10"/>
      <c r="K235" s="11"/>
      <c r="L235" s="10"/>
      <c r="M235" s="44">
        <f t="shared" si="67"/>
        <v>4</v>
      </c>
      <c r="N235" s="31">
        <f t="shared" si="68"/>
        <v>8</v>
      </c>
      <c r="O235" s="37">
        <v>44914</v>
      </c>
    </row>
    <row r="236" spans="1:15" x14ac:dyDescent="0.15">
      <c r="A236" s="39" t="s">
        <v>54</v>
      </c>
      <c r="B236" s="10"/>
      <c r="C236" s="11">
        <v>2</v>
      </c>
      <c r="D236" s="10">
        <v>2</v>
      </c>
      <c r="E236" s="11"/>
      <c r="F236" s="10"/>
      <c r="G236" s="48">
        <f t="shared" si="66"/>
        <v>4</v>
      </c>
      <c r="H236" s="10"/>
      <c r="I236" s="11">
        <v>2</v>
      </c>
      <c r="J236" s="10"/>
      <c r="K236" s="11"/>
      <c r="L236" s="10"/>
      <c r="M236" s="44">
        <f t="shared" si="67"/>
        <v>2</v>
      </c>
      <c r="N236" s="31">
        <f t="shared" si="68"/>
        <v>6</v>
      </c>
      <c r="O236" s="37">
        <v>44915</v>
      </c>
    </row>
    <row r="237" spans="1:15" x14ac:dyDescent="0.15">
      <c r="A237" s="39" t="s">
        <v>54</v>
      </c>
      <c r="B237" s="10"/>
      <c r="C237" s="11"/>
      <c r="D237" s="10"/>
      <c r="E237" s="11"/>
      <c r="F237" s="10"/>
      <c r="G237" s="48">
        <f t="shared" si="66"/>
        <v>0</v>
      </c>
      <c r="H237" s="10"/>
      <c r="I237" s="11">
        <v>6</v>
      </c>
      <c r="J237" s="10"/>
      <c r="K237" s="11"/>
      <c r="L237" s="10"/>
      <c r="M237" s="44">
        <f t="shared" si="67"/>
        <v>6</v>
      </c>
      <c r="N237" s="31">
        <f t="shared" si="68"/>
        <v>6</v>
      </c>
      <c r="O237" s="37">
        <v>44922</v>
      </c>
    </row>
    <row r="238" spans="1:15" x14ac:dyDescent="0.15">
      <c r="A238" s="39" t="s">
        <v>54</v>
      </c>
      <c r="B238" s="10">
        <v>2</v>
      </c>
      <c r="C238" s="11"/>
      <c r="D238" s="10"/>
      <c r="E238" s="11"/>
      <c r="F238" s="10"/>
      <c r="G238" s="48">
        <f t="shared" si="66"/>
        <v>2</v>
      </c>
      <c r="H238" s="10">
        <f>2+2</f>
        <v>4</v>
      </c>
      <c r="I238" s="11"/>
      <c r="J238" s="10"/>
      <c r="K238" s="11"/>
      <c r="L238" s="10"/>
      <c r="M238" s="44">
        <f t="shared" si="67"/>
        <v>4</v>
      </c>
      <c r="N238" s="31">
        <f t="shared" si="68"/>
        <v>6</v>
      </c>
      <c r="O238" s="37">
        <v>44931</v>
      </c>
    </row>
    <row r="239" spans="1:15" x14ac:dyDescent="0.15">
      <c r="A239" s="39" t="s">
        <v>54</v>
      </c>
      <c r="B239" s="10"/>
      <c r="C239" s="11">
        <v>4</v>
      </c>
      <c r="D239" s="10"/>
      <c r="E239" s="11"/>
      <c r="F239" s="10"/>
      <c r="G239" s="48">
        <f t="shared" si="66"/>
        <v>4</v>
      </c>
      <c r="H239" s="10">
        <v>4</v>
      </c>
      <c r="I239" s="11"/>
      <c r="J239" s="10"/>
      <c r="K239" s="11"/>
      <c r="L239" s="10"/>
      <c r="M239" s="44">
        <f t="shared" si="67"/>
        <v>4</v>
      </c>
      <c r="N239" s="31">
        <f t="shared" si="68"/>
        <v>8</v>
      </c>
      <c r="O239" s="37">
        <v>44943</v>
      </c>
    </row>
    <row r="240" spans="1:15" x14ac:dyDescent="0.15">
      <c r="A240" s="39" t="s">
        <v>54</v>
      </c>
      <c r="B240" s="10"/>
      <c r="C240" s="11">
        <v>2</v>
      </c>
      <c r="D240" s="10"/>
      <c r="E240" s="11"/>
      <c r="F240" s="10"/>
      <c r="G240" s="48">
        <f t="shared" si="66"/>
        <v>2</v>
      </c>
      <c r="H240" s="10"/>
      <c r="I240" s="11">
        <v>2</v>
      </c>
      <c r="J240" s="10"/>
      <c r="K240" s="11"/>
      <c r="L240" s="10"/>
      <c r="M240" s="44">
        <f t="shared" si="67"/>
        <v>2</v>
      </c>
      <c r="N240" s="31">
        <f t="shared" ref="N240" si="69">SUM(M240,G240)</f>
        <v>4</v>
      </c>
      <c r="O240" s="37">
        <v>44970</v>
      </c>
    </row>
    <row r="241" spans="1:15" x14ac:dyDescent="0.15">
      <c r="A241" s="39" t="s">
        <v>54</v>
      </c>
      <c r="B241" s="10"/>
      <c r="C241" s="11">
        <v>1</v>
      </c>
      <c r="D241" s="10"/>
      <c r="E241" s="11"/>
      <c r="F241" s="10"/>
      <c r="G241" s="48">
        <f t="shared" si="66"/>
        <v>1</v>
      </c>
      <c r="H241" s="10"/>
      <c r="I241" s="11">
        <v>1</v>
      </c>
      <c r="J241" s="10"/>
      <c r="K241" s="11"/>
      <c r="L241" s="10"/>
      <c r="M241" s="44">
        <f t="shared" si="67"/>
        <v>1</v>
      </c>
      <c r="N241" s="31">
        <f t="shared" si="68"/>
        <v>2</v>
      </c>
      <c r="O241" s="37">
        <v>44979</v>
      </c>
    </row>
    <row r="242" spans="1:15" x14ac:dyDescent="0.15">
      <c r="A242" s="39" t="s">
        <v>54</v>
      </c>
      <c r="B242" s="10"/>
      <c r="C242" s="11">
        <v>2</v>
      </c>
      <c r="D242" s="10"/>
      <c r="E242" s="11"/>
      <c r="F242" s="10"/>
      <c r="G242" s="48">
        <f t="shared" si="66"/>
        <v>2</v>
      </c>
      <c r="H242" s="10"/>
      <c r="I242" s="11">
        <v>2</v>
      </c>
      <c r="J242" s="10"/>
      <c r="K242" s="11"/>
      <c r="L242" s="10"/>
      <c r="M242" s="44">
        <f t="shared" si="67"/>
        <v>2</v>
      </c>
      <c r="N242" s="31">
        <f t="shared" si="68"/>
        <v>4</v>
      </c>
      <c r="O242" s="37">
        <v>44998</v>
      </c>
    </row>
    <row r="243" spans="1:15" x14ac:dyDescent="0.15">
      <c r="A243" s="39" t="s">
        <v>54</v>
      </c>
      <c r="B243" s="10">
        <v>2</v>
      </c>
      <c r="C243" s="11"/>
      <c r="D243" s="10"/>
      <c r="E243" s="11"/>
      <c r="F243" s="10"/>
      <c r="G243" s="48">
        <f t="shared" si="66"/>
        <v>2</v>
      </c>
      <c r="H243" s="10">
        <v>2</v>
      </c>
      <c r="I243" s="11"/>
      <c r="J243" s="10"/>
      <c r="K243" s="11"/>
      <c r="L243" s="10"/>
      <c r="M243" s="44">
        <f t="shared" si="67"/>
        <v>2</v>
      </c>
      <c r="N243" s="31">
        <f t="shared" si="68"/>
        <v>4</v>
      </c>
      <c r="O243" s="37">
        <v>45007</v>
      </c>
    </row>
    <row r="244" spans="1:15" x14ac:dyDescent="0.15">
      <c r="A244" s="39" t="s">
        <v>54</v>
      </c>
      <c r="B244" s="10">
        <v>3</v>
      </c>
      <c r="C244" s="11"/>
      <c r="D244" s="10">
        <v>1</v>
      </c>
      <c r="E244" s="11"/>
      <c r="F244" s="10"/>
      <c r="G244" s="48">
        <f t="shared" si="66"/>
        <v>4</v>
      </c>
      <c r="H244" s="10">
        <v>1</v>
      </c>
      <c r="I244" s="11"/>
      <c r="J244" s="10">
        <v>1</v>
      </c>
      <c r="K244" s="11"/>
      <c r="L244" s="10"/>
      <c r="M244" s="44">
        <f t="shared" si="67"/>
        <v>2</v>
      </c>
      <c r="N244" s="31">
        <f t="shared" si="68"/>
        <v>6</v>
      </c>
      <c r="O244" s="37">
        <v>45012</v>
      </c>
    </row>
    <row r="245" spans="1:15" x14ac:dyDescent="0.15">
      <c r="A245" s="39" t="s">
        <v>54</v>
      </c>
      <c r="B245" s="10"/>
      <c r="C245" s="11">
        <v>1</v>
      </c>
      <c r="D245" s="10"/>
      <c r="E245" s="11"/>
      <c r="F245" s="10"/>
      <c r="G245" s="48">
        <f t="shared" si="66"/>
        <v>1</v>
      </c>
      <c r="H245" s="10"/>
      <c r="I245" s="11">
        <v>1</v>
      </c>
      <c r="J245" s="10"/>
      <c r="K245" s="11"/>
      <c r="L245" s="10"/>
      <c r="M245" s="44">
        <f t="shared" si="67"/>
        <v>1</v>
      </c>
      <c r="N245" s="31">
        <f t="shared" si="68"/>
        <v>2</v>
      </c>
      <c r="O245" s="37">
        <v>45013</v>
      </c>
    </row>
    <row r="246" spans="1:15" x14ac:dyDescent="0.15">
      <c r="A246" s="39" t="s">
        <v>54</v>
      </c>
      <c r="B246" s="10"/>
      <c r="C246" s="11"/>
      <c r="D246" s="10"/>
      <c r="E246" s="11"/>
      <c r="F246" s="10"/>
      <c r="G246" s="48">
        <f t="shared" si="66"/>
        <v>0</v>
      </c>
      <c r="H246" s="10"/>
      <c r="I246" s="11"/>
      <c r="J246" s="10">
        <v>2</v>
      </c>
      <c r="K246" s="11"/>
      <c r="L246" s="10"/>
      <c r="M246" s="44">
        <f t="shared" si="67"/>
        <v>2</v>
      </c>
      <c r="N246" s="31">
        <f t="shared" si="68"/>
        <v>2</v>
      </c>
      <c r="O246" s="37">
        <v>45017</v>
      </c>
    </row>
    <row r="247" spans="1:15" x14ac:dyDescent="0.15">
      <c r="A247" s="39" t="s">
        <v>54</v>
      </c>
      <c r="B247" s="10"/>
      <c r="C247" s="11">
        <v>1</v>
      </c>
      <c r="D247" s="10"/>
      <c r="E247" s="11"/>
      <c r="F247" s="10"/>
      <c r="G247" s="48">
        <f t="shared" si="66"/>
        <v>1</v>
      </c>
      <c r="H247" s="10"/>
      <c r="I247" s="11">
        <v>1</v>
      </c>
      <c r="J247" s="10"/>
      <c r="K247" s="11"/>
      <c r="L247" s="10"/>
      <c r="M247" s="44">
        <f t="shared" si="67"/>
        <v>1</v>
      </c>
      <c r="N247" s="31">
        <f t="shared" si="68"/>
        <v>2</v>
      </c>
      <c r="O247" s="37">
        <v>45026</v>
      </c>
    </row>
    <row r="248" spans="1:15" x14ac:dyDescent="0.15">
      <c r="A248" s="39" t="s">
        <v>54</v>
      </c>
      <c r="B248" s="10"/>
      <c r="C248" s="11">
        <v>2</v>
      </c>
      <c r="D248" s="10"/>
      <c r="E248" s="11"/>
      <c r="F248" s="10"/>
      <c r="G248" s="48">
        <f t="shared" si="66"/>
        <v>2</v>
      </c>
      <c r="H248" s="10"/>
      <c r="I248" s="11"/>
      <c r="J248" s="10"/>
      <c r="K248" s="11"/>
      <c r="L248" s="10"/>
      <c r="M248" s="44">
        <f t="shared" si="67"/>
        <v>0</v>
      </c>
      <c r="N248" s="31">
        <f t="shared" si="68"/>
        <v>2</v>
      </c>
      <c r="O248" s="37">
        <v>45031</v>
      </c>
    </row>
    <row r="249" spans="1:15" x14ac:dyDescent="0.15">
      <c r="A249" s="39" t="s">
        <v>54</v>
      </c>
      <c r="B249" s="10"/>
      <c r="C249" s="11">
        <v>2</v>
      </c>
      <c r="D249" s="10">
        <v>1</v>
      </c>
      <c r="E249" s="11"/>
      <c r="F249" s="10"/>
      <c r="G249" s="48">
        <f t="shared" si="66"/>
        <v>3</v>
      </c>
      <c r="H249" s="10"/>
      <c r="I249" s="11"/>
      <c r="J249" s="10">
        <v>1</v>
      </c>
      <c r="K249" s="11"/>
      <c r="L249" s="10"/>
      <c r="M249" s="44">
        <f t="shared" si="67"/>
        <v>1</v>
      </c>
      <c r="N249" s="31">
        <f t="shared" si="68"/>
        <v>4</v>
      </c>
      <c r="O249" s="37">
        <v>45033</v>
      </c>
    </row>
    <row r="250" spans="1:15" x14ac:dyDescent="0.15">
      <c r="A250" s="39" t="s">
        <v>54</v>
      </c>
      <c r="B250" s="10"/>
      <c r="C250" s="11">
        <v>4</v>
      </c>
      <c r="D250" s="10"/>
      <c r="E250" s="11"/>
      <c r="F250" s="10"/>
      <c r="G250" s="48">
        <f t="shared" si="66"/>
        <v>4</v>
      </c>
      <c r="H250" s="10"/>
      <c r="I250" s="11"/>
      <c r="J250" s="10"/>
      <c r="K250" s="11"/>
      <c r="L250" s="10"/>
      <c r="M250" s="44">
        <f t="shared" si="67"/>
        <v>0</v>
      </c>
      <c r="N250" s="31">
        <f t="shared" si="68"/>
        <v>4</v>
      </c>
      <c r="O250" s="37">
        <v>45041</v>
      </c>
    </row>
    <row r="251" spans="1:15" x14ac:dyDescent="0.15">
      <c r="A251" s="39" t="s">
        <v>54</v>
      </c>
      <c r="B251" s="10">
        <v>1</v>
      </c>
      <c r="C251" s="11"/>
      <c r="D251" s="10"/>
      <c r="E251" s="11"/>
      <c r="F251" s="10"/>
      <c r="G251" s="48">
        <f t="shared" si="66"/>
        <v>1</v>
      </c>
      <c r="H251" s="10">
        <v>1</v>
      </c>
      <c r="I251" s="11"/>
      <c r="J251" s="10"/>
      <c r="K251" s="11"/>
      <c r="L251" s="10"/>
      <c r="M251" s="44">
        <f t="shared" si="67"/>
        <v>1</v>
      </c>
      <c r="N251" s="31">
        <f t="shared" si="68"/>
        <v>2</v>
      </c>
      <c r="O251" s="37">
        <v>45044</v>
      </c>
    </row>
    <row r="252" spans="1:15" x14ac:dyDescent="0.15">
      <c r="A252" s="39" t="s">
        <v>54</v>
      </c>
      <c r="B252" s="10">
        <v>4</v>
      </c>
      <c r="C252" s="11"/>
      <c r="D252" s="10"/>
      <c r="E252" s="11"/>
      <c r="F252" s="10"/>
      <c r="G252" s="48">
        <f t="shared" si="66"/>
        <v>4</v>
      </c>
      <c r="H252" s="10"/>
      <c r="I252" s="11"/>
      <c r="J252" s="10"/>
      <c r="K252" s="11"/>
      <c r="L252" s="10"/>
      <c r="M252" s="44">
        <f t="shared" si="67"/>
        <v>0</v>
      </c>
      <c r="N252" s="31">
        <f t="shared" si="68"/>
        <v>4</v>
      </c>
      <c r="O252" s="37">
        <v>45055</v>
      </c>
    </row>
    <row r="253" spans="1:15" x14ac:dyDescent="0.15">
      <c r="A253" s="39" t="s">
        <v>54</v>
      </c>
      <c r="B253" s="10">
        <v>2</v>
      </c>
      <c r="C253" s="11"/>
      <c r="D253" s="10"/>
      <c r="E253" s="11"/>
      <c r="F253" s="10"/>
      <c r="G253" s="48">
        <f t="shared" si="57"/>
        <v>2</v>
      </c>
      <c r="H253" s="10">
        <v>2</v>
      </c>
      <c r="I253" s="11"/>
      <c r="J253" s="10"/>
      <c r="K253" s="11"/>
      <c r="L253" s="10"/>
      <c r="M253" s="44">
        <f t="shared" si="59"/>
        <v>2</v>
      </c>
      <c r="N253" s="31">
        <f t="shared" si="63"/>
        <v>4</v>
      </c>
      <c r="O253" s="37">
        <v>45061</v>
      </c>
    </row>
    <row r="254" spans="1:15" ht="14.25" thickBot="1" x14ac:dyDescent="0.2">
      <c r="A254" s="39" t="s">
        <v>54</v>
      </c>
      <c r="B254" s="13"/>
      <c r="C254" s="14">
        <v>4</v>
      </c>
      <c r="D254" s="13"/>
      <c r="E254" s="14"/>
      <c r="F254" s="13"/>
      <c r="G254" s="59">
        <f t="shared" si="57"/>
        <v>4</v>
      </c>
      <c r="H254" s="13"/>
      <c r="I254" s="14"/>
      <c r="J254" s="13"/>
      <c r="K254" s="14"/>
      <c r="L254" s="13"/>
      <c r="M254" s="60">
        <f t="shared" si="59"/>
        <v>0</v>
      </c>
      <c r="N254" s="36">
        <f t="shared" si="63"/>
        <v>4</v>
      </c>
      <c r="O254" s="37">
        <v>45076</v>
      </c>
    </row>
    <row r="255" spans="1:15" ht="14.25" thickBot="1" x14ac:dyDescent="0.2">
      <c r="A255" s="3" t="s">
        <v>5</v>
      </c>
      <c r="B255" s="16">
        <f>SUM(B231:B254)</f>
        <v>15</v>
      </c>
      <c r="C255" s="61">
        <f>SUM(C231:C254)</f>
        <v>31</v>
      </c>
      <c r="D255" s="16">
        <f t="shared" ref="D255:E255" si="70">SUM(D231:D254)</f>
        <v>4</v>
      </c>
      <c r="E255" s="61">
        <f t="shared" si="70"/>
        <v>0</v>
      </c>
      <c r="F255" s="15">
        <f>SUM(F231:F254)</f>
        <v>0</v>
      </c>
      <c r="G255" s="16">
        <f t="shared" si="57"/>
        <v>50</v>
      </c>
      <c r="H255" s="15">
        <f>SUM(H231:H254)</f>
        <v>17</v>
      </c>
      <c r="I255" s="15">
        <f t="shared" ref="I255:J255" si="71">SUM(I231:I254)</f>
        <v>21</v>
      </c>
      <c r="J255" s="15">
        <f t="shared" si="71"/>
        <v>6</v>
      </c>
      <c r="K255" s="15">
        <f>SUM(K231:K254)</f>
        <v>0</v>
      </c>
      <c r="L255" s="15">
        <f>SUM(L231:L254)</f>
        <v>0</v>
      </c>
      <c r="M255" s="16">
        <f t="shared" si="59"/>
        <v>44</v>
      </c>
      <c r="N255" s="34">
        <f t="shared" si="63"/>
        <v>94</v>
      </c>
    </row>
    <row r="256" spans="1:15" ht="14.25" thickBot="1" x14ac:dyDescent="0.2">
      <c r="A256" s="25" t="s">
        <v>6</v>
      </c>
      <c r="B256" s="26">
        <f>B230-B255</f>
        <v>11</v>
      </c>
      <c r="C256" s="26">
        <f t="shared" ref="C256:G256" si="72">C230-C255</f>
        <v>16</v>
      </c>
      <c r="D256" s="26">
        <f t="shared" si="72"/>
        <v>5</v>
      </c>
      <c r="E256" s="26">
        <f t="shared" si="72"/>
        <v>0</v>
      </c>
      <c r="F256" s="26">
        <f t="shared" si="72"/>
        <v>0</v>
      </c>
      <c r="G256" s="26">
        <f t="shared" si="72"/>
        <v>32</v>
      </c>
      <c r="H256" s="26">
        <f>H230-H255</f>
        <v>9</v>
      </c>
      <c r="I256" s="26">
        <f t="shared" ref="I256:M256" si="73">I230-I255</f>
        <v>20</v>
      </c>
      <c r="J256" s="26">
        <f t="shared" si="73"/>
        <v>4</v>
      </c>
      <c r="K256" s="26">
        <f t="shared" si="73"/>
        <v>0</v>
      </c>
      <c r="L256" s="26">
        <f t="shared" si="73"/>
        <v>0</v>
      </c>
      <c r="M256" s="26">
        <f t="shared" si="73"/>
        <v>33</v>
      </c>
      <c r="N256" s="38">
        <f t="shared" si="63"/>
        <v>65</v>
      </c>
    </row>
    <row r="259" spans="1:16" ht="18" thickBot="1" x14ac:dyDescent="0.25">
      <c r="A259" s="29" t="s">
        <v>17</v>
      </c>
      <c r="B259" s="1"/>
      <c r="C259" s="1"/>
      <c r="D259" s="1" t="s">
        <v>65</v>
      </c>
      <c r="E259" s="1"/>
      <c r="F259" s="1"/>
      <c r="G259" s="1"/>
      <c r="H259" s="1"/>
      <c r="I259" s="1"/>
      <c r="J259" s="1"/>
      <c r="K259" s="1"/>
      <c r="L259" s="1"/>
      <c r="M259" s="1"/>
    </row>
    <row r="260" spans="1:16" ht="14.25" thickBot="1" x14ac:dyDescent="0.2">
      <c r="A260" s="2" t="s">
        <v>0</v>
      </c>
      <c r="B260" s="220" t="s">
        <v>14</v>
      </c>
      <c r="C260" s="220"/>
      <c r="D260" s="220"/>
      <c r="E260" s="220"/>
      <c r="F260" s="220"/>
      <c r="G260" s="221"/>
      <c r="H260" s="217" t="s">
        <v>15</v>
      </c>
      <c r="I260" s="217"/>
      <c r="J260" s="217"/>
      <c r="K260" s="217"/>
      <c r="L260" s="217"/>
      <c r="M260" s="218"/>
      <c r="N260" s="208" t="s">
        <v>10</v>
      </c>
    </row>
    <row r="261" spans="1:16" ht="14.25" thickBot="1" x14ac:dyDescent="0.2">
      <c r="A261" s="2" t="s">
        <v>1</v>
      </c>
      <c r="B261" s="3" t="s">
        <v>7</v>
      </c>
      <c r="C261" s="2" t="s">
        <v>8</v>
      </c>
      <c r="D261" s="19" t="s">
        <v>9</v>
      </c>
      <c r="E261" s="2" t="s">
        <v>20</v>
      </c>
      <c r="F261" s="2" t="s">
        <v>22</v>
      </c>
      <c r="G261" s="19" t="s">
        <v>2</v>
      </c>
      <c r="H261" s="2" t="s">
        <v>11</v>
      </c>
      <c r="I261" s="19" t="s">
        <v>12</v>
      </c>
      <c r="J261" s="2" t="s">
        <v>13</v>
      </c>
      <c r="K261" s="53" t="s">
        <v>19</v>
      </c>
      <c r="L261" s="53" t="s">
        <v>21</v>
      </c>
      <c r="M261" s="2" t="s">
        <v>2</v>
      </c>
      <c r="N261" s="209"/>
    </row>
    <row r="262" spans="1:16" ht="14.25" thickBot="1" x14ac:dyDescent="0.2">
      <c r="A262" s="3" t="s">
        <v>6</v>
      </c>
      <c r="B262" s="63">
        <f>B256</f>
        <v>11</v>
      </c>
      <c r="C262" s="64">
        <f>C256</f>
        <v>16</v>
      </c>
      <c r="D262" s="63">
        <f>D256</f>
        <v>5</v>
      </c>
      <c r="E262" s="64">
        <f>E256</f>
        <v>0</v>
      </c>
      <c r="F262" s="63">
        <f>F256</f>
        <v>0</v>
      </c>
      <c r="G262" s="61">
        <f t="shared" ref="G262:G270" si="74">SUM(B262:F262)</f>
        <v>32</v>
      </c>
      <c r="H262" s="63">
        <f>H256</f>
        <v>9</v>
      </c>
      <c r="I262" s="63">
        <f t="shared" ref="I262:L262" si="75">I256</f>
        <v>20</v>
      </c>
      <c r="J262" s="63">
        <f t="shared" si="75"/>
        <v>4</v>
      </c>
      <c r="K262" s="63">
        <f t="shared" si="75"/>
        <v>0</v>
      </c>
      <c r="L262" s="63">
        <f t="shared" si="75"/>
        <v>0</v>
      </c>
      <c r="M262" s="65">
        <f t="shared" ref="M262:M298" si="76">SUM(H262:L262)</f>
        <v>33</v>
      </c>
      <c r="N262" s="34">
        <f>SUM(M262,G262)</f>
        <v>65</v>
      </c>
    </row>
    <row r="263" spans="1:16" x14ac:dyDescent="0.15">
      <c r="A263" s="49" t="s">
        <v>3</v>
      </c>
      <c r="B263" s="10" t="s">
        <v>80</v>
      </c>
      <c r="C263" s="10" t="s">
        <v>80</v>
      </c>
      <c r="D263" s="10"/>
      <c r="E263" s="11"/>
      <c r="F263" s="10"/>
      <c r="G263" s="45">
        <f t="shared" si="74"/>
        <v>0</v>
      </c>
      <c r="H263" s="10">
        <v>5</v>
      </c>
      <c r="I263" s="11"/>
      <c r="J263" s="10"/>
      <c r="K263" s="11"/>
      <c r="L263" s="10"/>
      <c r="M263" s="41">
        <f t="shared" ref="M263:M270" si="77">SUM(H263:L263)</f>
        <v>5</v>
      </c>
      <c r="N263" s="31">
        <f t="shared" ref="N263:N270" si="78">SUM(M263,G263)</f>
        <v>5</v>
      </c>
      <c r="O263" s="32">
        <v>45091</v>
      </c>
    </row>
    <row r="264" spans="1:16" x14ac:dyDescent="0.15">
      <c r="A264" s="49" t="s">
        <v>3</v>
      </c>
      <c r="B264" s="10"/>
      <c r="C264" s="11"/>
      <c r="D264" s="10"/>
      <c r="E264" s="11"/>
      <c r="F264" s="10"/>
      <c r="G264" s="45">
        <f t="shared" si="74"/>
        <v>0</v>
      </c>
      <c r="H264" s="10"/>
      <c r="I264" s="11"/>
      <c r="J264" s="10"/>
      <c r="K264" s="11"/>
      <c r="L264" s="10"/>
      <c r="M264" s="41">
        <f t="shared" si="77"/>
        <v>0</v>
      </c>
      <c r="N264" s="31">
        <f t="shared" si="78"/>
        <v>0</v>
      </c>
    </row>
    <row r="265" spans="1:16" x14ac:dyDescent="0.15">
      <c r="A265" s="49" t="s">
        <v>60</v>
      </c>
      <c r="B265" s="10"/>
      <c r="C265" s="11">
        <v>-1</v>
      </c>
      <c r="D265" s="10"/>
      <c r="E265" s="11"/>
      <c r="F265" s="10"/>
      <c r="G265" s="45">
        <f t="shared" si="74"/>
        <v>-1</v>
      </c>
      <c r="H265" s="10">
        <v>4</v>
      </c>
      <c r="I265" s="11">
        <v>1</v>
      </c>
      <c r="J265" s="10"/>
      <c r="K265" s="11"/>
      <c r="L265" s="10"/>
      <c r="M265" s="41">
        <f t="shared" si="77"/>
        <v>5</v>
      </c>
      <c r="N265" s="31">
        <f t="shared" si="78"/>
        <v>4</v>
      </c>
      <c r="O265" s="32">
        <v>45142</v>
      </c>
    </row>
    <row r="266" spans="1:16" x14ac:dyDescent="0.15">
      <c r="A266" s="49" t="s">
        <v>3</v>
      </c>
      <c r="B266" s="10"/>
      <c r="C266" s="11">
        <v>5</v>
      </c>
      <c r="D266" s="10"/>
      <c r="E266" s="11"/>
      <c r="F266" s="10"/>
      <c r="G266" s="45">
        <f t="shared" si="74"/>
        <v>5</v>
      </c>
      <c r="H266" s="10"/>
      <c r="I266" s="11"/>
      <c r="J266" s="10"/>
      <c r="K266" s="11"/>
      <c r="L266" s="10"/>
      <c r="M266" s="41">
        <f t="shared" si="77"/>
        <v>0</v>
      </c>
      <c r="N266" s="31">
        <f t="shared" si="78"/>
        <v>5</v>
      </c>
      <c r="O266" s="32">
        <v>45175</v>
      </c>
      <c r="P266" s="33"/>
    </row>
    <row r="267" spans="1:16" x14ac:dyDescent="0.15">
      <c r="A267" s="49" t="s">
        <v>3</v>
      </c>
      <c r="B267" s="10"/>
      <c r="C267" s="11"/>
      <c r="D267" s="10">
        <v>2</v>
      </c>
      <c r="E267" s="11"/>
      <c r="F267" s="10"/>
      <c r="G267" s="45">
        <f t="shared" si="74"/>
        <v>2</v>
      </c>
      <c r="H267" s="10"/>
      <c r="I267" s="11"/>
      <c r="J267" s="10">
        <v>1</v>
      </c>
      <c r="K267" s="11"/>
      <c r="L267" s="10"/>
      <c r="M267" s="41">
        <f t="shared" si="77"/>
        <v>1</v>
      </c>
      <c r="N267" s="31">
        <f t="shared" si="78"/>
        <v>3</v>
      </c>
      <c r="O267" s="32">
        <v>45210</v>
      </c>
    </row>
    <row r="268" spans="1:16" x14ac:dyDescent="0.15">
      <c r="A268" s="49" t="s">
        <v>3</v>
      </c>
      <c r="B268" s="10"/>
      <c r="C268" s="11">
        <v>3</v>
      </c>
      <c r="D268" s="10"/>
      <c r="E268" s="11"/>
      <c r="F268" s="10"/>
      <c r="G268" s="45">
        <f t="shared" si="74"/>
        <v>3</v>
      </c>
      <c r="H268" s="10"/>
      <c r="I268" s="11"/>
      <c r="J268" s="10"/>
      <c r="K268" s="11"/>
      <c r="L268" s="10"/>
      <c r="M268" s="41">
        <f t="shared" si="77"/>
        <v>0</v>
      </c>
      <c r="N268" s="31">
        <f t="shared" si="78"/>
        <v>3</v>
      </c>
      <c r="O268" s="32">
        <v>45231</v>
      </c>
    </row>
    <row r="269" spans="1:16" x14ac:dyDescent="0.15">
      <c r="A269" s="126" t="s">
        <v>82</v>
      </c>
      <c r="B269" s="131"/>
      <c r="C269" s="132"/>
      <c r="D269" s="131"/>
      <c r="E269" s="132"/>
      <c r="F269" s="131"/>
      <c r="G269" s="139">
        <f t="shared" si="74"/>
        <v>0</v>
      </c>
      <c r="H269" s="131">
        <v>-4</v>
      </c>
      <c r="I269" s="132"/>
      <c r="J269" s="131"/>
      <c r="K269" s="132"/>
      <c r="L269" s="131"/>
      <c r="M269" s="140">
        <f t="shared" si="77"/>
        <v>-4</v>
      </c>
      <c r="N269" s="30">
        <f t="shared" si="78"/>
        <v>-4</v>
      </c>
      <c r="O269" s="133">
        <v>45229</v>
      </c>
    </row>
    <row r="270" spans="1:16" x14ac:dyDescent="0.15">
      <c r="A270" s="49" t="s">
        <v>3</v>
      </c>
      <c r="B270" s="10">
        <v>3</v>
      </c>
      <c r="C270" s="11">
        <v>3</v>
      </c>
      <c r="D270" s="10">
        <v>5</v>
      </c>
      <c r="E270" s="11"/>
      <c r="F270" s="10"/>
      <c r="G270" s="45">
        <f t="shared" si="74"/>
        <v>11</v>
      </c>
      <c r="H270" s="10">
        <v>5</v>
      </c>
      <c r="I270" s="11">
        <v>3</v>
      </c>
      <c r="J270" s="10">
        <v>5</v>
      </c>
      <c r="K270" s="11"/>
      <c r="L270" s="10"/>
      <c r="M270" s="41">
        <f t="shared" si="77"/>
        <v>13</v>
      </c>
      <c r="N270" s="31">
        <f t="shared" si="78"/>
        <v>24</v>
      </c>
      <c r="O270" s="32">
        <v>45231</v>
      </c>
    </row>
    <row r="271" spans="1:16" x14ac:dyDescent="0.15">
      <c r="A271" s="49" t="s">
        <v>3</v>
      </c>
      <c r="B271" s="10"/>
      <c r="C271" s="11"/>
      <c r="D271" s="10"/>
      <c r="E271" s="11"/>
      <c r="F271" s="10"/>
      <c r="G271" s="45">
        <f t="shared" ref="G271:G298" si="79">SUM(B271:F271)</f>
        <v>0</v>
      </c>
      <c r="H271" s="10"/>
      <c r="I271" s="11">
        <v>4</v>
      </c>
      <c r="J271" s="10"/>
      <c r="K271" s="11"/>
      <c r="L271" s="10"/>
      <c r="M271" s="41">
        <f t="shared" si="76"/>
        <v>4</v>
      </c>
      <c r="N271" s="31">
        <f t="shared" ref="N271:N299" si="80">SUM(M271,G271)</f>
        <v>4</v>
      </c>
      <c r="O271" s="32">
        <v>45237</v>
      </c>
    </row>
    <row r="272" spans="1:16" ht="14.25" thickBot="1" x14ac:dyDescent="0.2">
      <c r="A272" s="50" t="s">
        <v>3</v>
      </c>
      <c r="B272" s="13"/>
      <c r="C272" s="14"/>
      <c r="D272" s="13"/>
      <c r="E272" s="14"/>
      <c r="F272" s="13"/>
      <c r="G272" s="46">
        <f t="shared" si="79"/>
        <v>0</v>
      </c>
      <c r="H272" s="13"/>
      <c r="I272" s="14"/>
      <c r="J272" s="13"/>
      <c r="K272" s="14"/>
      <c r="L272" s="13"/>
      <c r="M272" s="42">
        <f t="shared" si="76"/>
        <v>0</v>
      </c>
      <c r="N272" s="36">
        <f t="shared" si="80"/>
        <v>0</v>
      </c>
    </row>
    <row r="273" spans="1:15" ht="14.25" thickBot="1" x14ac:dyDescent="0.2">
      <c r="A273" s="51" t="s">
        <v>4</v>
      </c>
      <c r="B273" s="22">
        <f>SUM(B262:B272)</f>
        <v>14</v>
      </c>
      <c r="C273" s="22">
        <f>SUM(C262:C272)</f>
        <v>26</v>
      </c>
      <c r="D273" s="57">
        <f t="shared" ref="D273:E273" si="81">SUM(D262:D272)</f>
        <v>12</v>
      </c>
      <c r="E273" s="22">
        <f t="shared" si="81"/>
        <v>0</v>
      </c>
      <c r="F273" s="22">
        <f>SUM(F262:F272)</f>
        <v>0</v>
      </c>
      <c r="G273" s="47">
        <f t="shared" si="79"/>
        <v>52</v>
      </c>
      <c r="H273" s="22">
        <f>SUM(H262:H272)</f>
        <v>19</v>
      </c>
      <c r="I273" s="22">
        <f t="shared" ref="I273:J273" si="82">SUM(I262:I272)</f>
        <v>28</v>
      </c>
      <c r="J273" s="22">
        <f t="shared" si="82"/>
        <v>10</v>
      </c>
      <c r="K273" s="57">
        <f>SUM(K262:K272)</f>
        <v>0</v>
      </c>
      <c r="L273" s="22">
        <f>SUM(L262:L272)</f>
        <v>0</v>
      </c>
      <c r="M273" s="43">
        <f t="shared" si="76"/>
        <v>57</v>
      </c>
      <c r="N273" s="34">
        <f t="shared" si="80"/>
        <v>109</v>
      </c>
    </row>
    <row r="274" spans="1:15" x14ac:dyDescent="0.15">
      <c r="A274" s="39" t="s">
        <v>54</v>
      </c>
      <c r="B274" s="10"/>
      <c r="C274" s="11"/>
      <c r="D274" s="10">
        <v>1</v>
      </c>
      <c r="E274" s="11"/>
      <c r="F274" s="10"/>
      <c r="G274" s="48">
        <f t="shared" ref="G274:G295" si="83">SUM(B274:F274)</f>
        <v>1</v>
      </c>
      <c r="H274" s="10"/>
      <c r="I274" s="11"/>
      <c r="J274" s="10">
        <v>1</v>
      </c>
      <c r="K274" s="11"/>
      <c r="L274" s="10"/>
      <c r="M274" s="44">
        <f t="shared" ref="M274:M295" si="84">SUM(H274:L274)</f>
        <v>1</v>
      </c>
      <c r="N274" s="31">
        <f t="shared" ref="N274:N295" si="85">SUM(M274,G274)</f>
        <v>2</v>
      </c>
      <c r="O274" s="37">
        <v>45085</v>
      </c>
    </row>
    <row r="275" spans="1:15" x14ac:dyDescent="0.15">
      <c r="A275" s="39" t="s">
        <v>54</v>
      </c>
      <c r="B275" s="10"/>
      <c r="C275" s="11">
        <v>1</v>
      </c>
      <c r="D275" s="10"/>
      <c r="E275" s="11"/>
      <c r="F275" s="10"/>
      <c r="G275" s="48">
        <f t="shared" si="83"/>
        <v>1</v>
      </c>
      <c r="H275" s="10"/>
      <c r="I275" s="11">
        <v>1</v>
      </c>
      <c r="J275" s="10"/>
      <c r="K275" s="11"/>
      <c r="L275" s="10"/>
      <c r="M275" s="44">
        <f t="shared" si="84"/>
        <v>1</v>
      </c>
      <c r="N275" s="31">
        <f t="shared" si="85"/>
        <v>2</v>
      </c>
      <c r="O275" s="37">
        <v>45103</v>
      </c>
    </row>
    <row r="276" spans="1:15" x14ac:dyDescent="0.15">
      <c r="A276" s="39" t="s">
        <v>54</v>
      </c>
      <c r="B276" s="10">
        <v>2</v>
      </c>
      <c r="C276" s="11"/>
      <c r="D276" s="10"/>
      <c r="E276" s="11"/>
      <c r="F276" s="10"/>
      <c r="G276" s="48">
        <f t="shared" si="83"/>
        <v>2</v>
      </c>
      <c r="H276" s="10">
        <v>2</v>
      </c>
      <c r="I276" s="11"/>
      <c r="J276" s="10"/>
      <c r="K276" s="11"/>
      <c r="L276" s="10"/>
      <c r="M276" s="44">
        <f t="shared" si="84"/>
        <v>2</v>
      </c>
      <c r="N276" s="31">
        <f t="shared" si="85"/>
        <v>4</v>
      </c>
      <c r="O276" s="37">
        <v>45105</v>
      </c>
    </row>
    <row r="277" spans="1:15" x14ac:dyDescent="0.15">
      <c r="A277" s="39" t="s">
        <v>54</v>
      </c>
      <c r="B277" s="10"/>
      <c r="C277" s="11"/>
      <c r="D277" s="10"/>
      <c r="E277" s="11"/>
      <c r="F277" s="10"/>
      <c r="G277" s="48">
        <f t="shared" si="83"/>
        <v>0</v>
      </c>
      <c r="H277" s="10">
        <v>2</v>
      </c>
      <c r="I277" s="11"/>
      <c r="J277" s="10"/>
      <c r="K277" s="11"/>
      <c r="L277" s="10"/>
      <c r="M277" s="44">
        <f t="shared" si="84"/>
        <v>2</v>
      </c>
      <c r="N277" s="31">
        <f t="shared" si="85"/>
        <v>2</v>
      </c>
      <c r="O277" s="37">
        <v>45113</v>
      </c>
    </row>
    <row r="278" spans="1:15" x14ac:dyDescent="0.15">
      <c r="A278" s="39" t="s">
        <v>54</v>
      </c>
      <c r="B278" s="10"/>
      <c r="C278" s="11">
        <v>1</v>
      </c>
      <c r="D278" s="10"/>
      <c r="E278" s="11"/>
      <c r="F278" s="10"/>
      <c r="G278" s="48">
        <f t="shared" si="83"/>
        <v>1</v>
      </c>
      <c r="H278" s="10"/>
      <c r="I278" s="11">
        <v>1</v>
      </c>
      <c r="J278" s="10"/>
      <c r="K278" s="11"/>
      <c r="L278" s="10"/>
      <c r="M278" s="44">
        <f t="shared" si="84"/>
        <v>1</v>
      </c>
      <c r="N278" s="31">
        <f t="shared" si="85"/>
        <v>2</v>
      </c>
      <c r="O278" s="37">
        <v>45131</v>
      </c>
    </row>
    <row r="279" spans="1:15" x14ac:dyDescent="0.15">
      <c r="A279" s="39" t="s">
        <v>54</v>
      </c>
      <c r="B279" s="10"/>
      <c r="C279" s="11">
        <v>2</v>
      </c>
      <c r="D279" s="10"/>
      <c r="E279" s="11"/>
      <c r="F279" s="10"/>
      <c r="G279" s="48">
        <f t="shared" si="83"/>
        <v>2</v>
      </c>
      <c r="H279" s="10"/>
      <c r="I279" s="11">
        <v>2</v>
      </c>
      <c r="J279" s="10"/>
      <c r="K279" s="11"/>
      <c r="L279" s="10"/>
      <c r="M279" s="44">
        <f t="shared" si="84"/>
        <v>2</v>
      </c>
      <c r="N279" s="31">
        <f t="shared" si="85"/>
        <v>4</v>
      </c>
      <c r="O279" s="37">
        <v>45138</v>
      </c>
    </row>
    <row r="280" spans="1:15" x14ac:dyDescent="0.15">
      <c r="A280" s="39" t="s">
        <v>54</v>
      </c>
      <c r="B280" s="10"/>
      <c r="C280" s="11">
        <v>2</v>
      </c>
      <c r="D280" s="10"/>
      <c r="E280" s="11"/>
      <c r="F280" s="10"/>
      <c r="G280" s="48">
        <f t="shared" si="83"/>
        <v>2</v>
      </c>
      <c r="H280" s="10"/>
      <c r="I280" s="11"/>
      <c r="J280" s="10"/>
      <c r="K280" s="11"/>
      <c r="L280" s="10"/>
      <c r="M280" s="44">
        <f t="shared" si="84"/>
        <v>0</v>
      </c>
      <c r="N280" s="31">
        <f t="shared" si="85"/>
        <v>2</v>
      </c>
      <c r="O280" s="37">
        <v>45141</v>
      </c>
    </row>
    <row r="281" spans="1:15" x14ac:dyDescent="0.15">
      <c r="A281" s="39" t="s">
        <v>54</v>
      </c>
      <c r="B281" s="10"/>
      <c r="C281" s="11">
        <v>2</v>
      </c>
      <c r="D281" s="10"/>
      <c r="E281" s="11"/>
      <c r="F281" s="10"/>
      <c r="G281" s="48">
        <f t="shared" si="83"/>
        <v>2</v>
      </c>
      <c r="H281" s="10"/>
      <c r="I281" s="11">
        <v>2</v>
      </c>
      <c r="J281" s="10"/>
      <c r="K281" s="11"/>
      <c r="L281" s="10"/>
      <c r="M281" s="44">
        <f t="shared" si="84"/>
        <v>2</v>
      </c>
      <c r="N281" s="31">
        <f t="shared" si="85"/>
        <v>4</v>
      </c>
      <c r="O281" s="37">
        <v>45154</v>
      </c>
    </row>
    <row r="282" spans="1:15" x14ac:dyDescent="0.15">
      <c r="A282" s="39" t="s">
        <v>54</v>
      </c>
      <c r="B282" s="10"/>
      <c r="C282" s="11">
        <v>2</v>
      </c>
      <c r="D282" s="10"/>
      <c r="E282" s="11"/>
      <c r="F282" s="10"/>
      <c r="G282" s="48">
        <f t="shared" si="83"/>
        <v>2</v>
      </c>
      <c r="H282" s="10"/>
      <c r="I282" s="11">
        <v>2</v>
      </c>
      <c r="J282" s="10"/>
      <c r="K282" s="11"/>
      <c r="L282" s="10"/>
      <c r="M282" s="44">
        <f t="shared" si="84"/>
        <v>2</v>
      </c>
      <c r="N282" s="31">
        <f t="shared" si="85"/>
        <v>4</v>
      </c>
      <c r="O282" s="37">
        <v>45163</v>
      </c>
    </row>
    <row r="283" spans="1:15" x14ac:dyDescent="0.15">
      <c r="A283" s="39" t="s">
        <v>54</v>
      </c>
      <c r="B283" s="10"/>
      <c r="C283" s="11">
        <v>2</v>
      </c>
      <c r="D283" s="10"/>
      <c r="E283" s="11"/>
      <c r="F283" s="10"/>
      <c r="G283" s="48">
        <f t="shared" si="83"/>
        <v>2</v>
      </c>
      <c r="H283" s="10"/>
      <c r="I283" s="11">
        <v>2</v>
      </c>
      <c r="J283" s="10"/>
      <c r="K283" s="11"/>
      <c r="L283" s="10"/>
      <c r="M283" s="44">
        <f t="shared" si="84"/>
        <v>2</v>
      </c>
      <c r="N283" s="31">
        <f t="shared" si="85"/>
        <v>4</v>
      </c>
      <c r="O283" s="37">
        <v>45166</v>
      </c>
    </row>
    <row r="284" spans="1:15" x14ac:dyDescent="0.15">
      <c r="A284" s="39" t="s">
        <v>54</v>
      </c>
      <c r="B284" s="10"/>
      <c r="C284" s="11"/>
      <c r="D284" s="10">
        <v>2</v>
      </c>
      <c r="E284" s="11"/>
      <c r="F284" s="10"/>
      <c r="G284" s="48">
        <f t="shared" si="83"/>
        <v>2</v>
      </c>
      <c r="H284" s="10"/>
      <c r="I284" s="11"/>
      <c r="J284" s="10"/>
      <c r="K284" s="11"/>
      <c r="L284" s="10"/>
      <c r="M284" s="44">
        <f t="shared" si="84"/>
        <v>0</v>
      </c>
      <c r="N284" s="31">
        <f t="shared" si="85"/>
        <v>2</v>
      </c>
      <c r="O284" s="37">
        <v>45168</v>
      </c>
    </row>
    <row r="285" spans="1:15" x14ac:dyDescent="0.15">
      <c r="A285" s="39" t="s">
        <v>54</v>
      </c>
      <c r="B285" s="10">
        <v>2</v>
      </c>
      <c r="C285" s="11"/>
      <c r="D285" s="10"/>
      <c r="E285" s="11"/>
      <c r="F285" s="10"/>
      <c r="G285" s="48">
        <f t="shared" si="83"/>
        <v>2</v>
      </c>
      <c r="H285" s="10">
        <v>2</v>
      </c>
      <c r="I285" s="11"/>
      <c r="J285" s="10"/>
      <c r="K285" s="11"/>
      <c r="L285" s="10"/>
      <c r="M285" s="44">
        <f t="shared" si="84"/>
        <v>2</v>
      </c>
      <c r="N285" s="31">
        <f t="shared" si="85"/>
        <v>4</v>
      </c>
      <c r="O285" s="37">
        <v>45175</v>
      </c>
    </row>
    <row r="286" spans="1:15" x14ac:dyDescent="0.15">
      <c r="A286" s="39" t="s">
        <v>54</v>
      </c>
      <c r="B286" s="10">
        <v>1</v>
      </c>
      <c r="C286" s="11"/>
      <c r="D286" s="10"/>
      <c r="E286" s="11"/>
      <c r="F286" s="10"/>
      <c r="G286" s="48">
        <f t="shared" si="83"/>
        <v>1</v>
      </c>
      <c r="H286" s="10">
        <v>1</v>
      </c>
      <c r="I286" s="11"/>
      <c r="J286" s="10"/>
      <c r="K286" s="11"/>
      <c r="L286" s="10"/>
      <c r="M286" s="44">
        <f t="shared" si="84"/>
        <v>1</v>
      </c>
      <c r="N286" s="31">
        <f t="shared" si="85"/>
        <v>2</v>
      </c>
      <c r="O286" s="37">
        <v>45184</v>
      </c>
    </row>
    <row r="287" spans="1:15" x14ac:dyDescent="0.15">
      <c r="A287" s="39" t="s">
        <v>54</v>
      </c>
      <c r="B287" s="10"/>
      <c r="C287" s="11"/>
      <c r="D287" s="10">
        <v>1</v>
      </c>
      <c r="E287" s="11"/>
      <c r="F287" s="10"/>
      <c r="G287" s="48">
        <f t="shared" si="83"/>
        <v>1</v>
      </c>
      <c r="H287" s="10"/>
      <c r="I287" s="11"/>
      <c r="J287" s="10">
        <v>1</v>
      </c>
      <c r="K287" s="11"/>
      <c r="L287" s="10"/>
      <c r="M287" s="44">
        <f t="shared" si="84"/>
        <v>1</v>
      </c>
      <c r="N287" s="31">
        <f t="shared" si="85"/>
        <v>2</v>
      </c>
      <c r="O287" s="37">
        <v>45188</v>
      </c>
    </row>
    <row r="288" spans="1:15" x14ac:dyDescent="0.15">
      <c r="A288" s="39" t="s">
        <v>54</v>
      </c>
      <c r="B288" s="10">
        <v>1</v>
      </c>
      <c r="C288" s="11">
        <v>4</v>
      </c>
      <c r="D288" s="10"/>
      <c r="E288" s="11"/>
      <c r="F288" s="10"/>
      <c r="G288" s="48">
        <f t="shared" si="83"/>
        <v>5</v>
      </c>
      <c r="H288" s="10">
        <v>1</v>
      </c>
      <c r="I288" s="11">
        <v>4</v>
      </c>
      <c r="J288" s="10"/>
      <c r="K288" s="11"/>
      <c r="L288" s="10"/>
      <c r="M288" s="44">
        <f t="shared" si="84"/>
        <v>5</v>
      </c>
      <c r="N288" s="31">
        <f t="shared" si="85"/>
        <v>10</v>
      </c>
      <c r="O288" s="37">
        <v>45201</v>
      </c>
    </row>
    <row r="289" spans="1:15" x14ac:dyDescent="0.15">
      <c r="A289" s="39" t="s">
        <v>54</v>
      </c>
      <c r="B289" s="10"/>
      <c r="C289" s="11"/>
      <c r="D289" s="10"/>
      <c r="E289" s="11"/>
      <c r="F289" s="10"/>
      <c r="G289" s="48">
        <f t="shared" si="83"/>
        <v>0</v>
      </c>
      <c r="H289" s="10">
        <v>4</v>
      </c>
      <c r="I289" s="11"/>
      <c r="J289" s="10"/>
      <c r="K289" s="11"/>
      <c r="L289" s="10"/>
      <c r="M289" s="44">
        <f t="shared" si="84"/>
        <v>4</v>
      </c>
      <c r="N289" s="31">
        <f t="shared" si="85"/>
        <v>4</v>
      </c>
      <c r="O289" s="37">
        <v>45215</v>
      </c>
    </row>
    <row r="290" spans="1:15" x14ac:dyDescent="0.15">
      <c r="A290" s="39" t="s">
        <v>54</v>
      </c>
      <c r="B290" s="10"/>
      <c r="C290" s="11">
        <v>1</v>
      </c>
      <c r="D290" s="10"/>
      <c r="E290" s="11"/>
      <c r="F290" s="10"/>
      <c r="G290" s="48">
        <f t="shared" si="83"/>
        <v>1</v>
      </c>
      <c r="H290" s="10"/>
      <c r="I290" s="11">
        <v>1</v>
      </c>
      <c r="J290" s="10"/>
      <c r="K290" s="11"/>
      <c r="L290" s="10"/>
      <c r="M290" s="44">
        <f t="shared" si="84"/>
        <v>1</v>
      </c>
      <c r="N290" s="31">
        <f t="shared" si="85"/>
        <v>2</v>
      </c>
      <c r="O290" s="37">
        <v>45217</v>
      </c>
    </row>
    <row r="291" spans="1:15" x14ac:dyDescent="0.15">
      <c r="A291" s="39" t="s">
        <v>54</v>
      </c>
      <c r="B291" s="10"/>
      <c r="C291" s="11">
        <v>1</v>
      </c>
      <c r="D291" s="10"/>
      <c r="E291" s="11"/>
      <c r="F291" s="10"/>
      <c r="G291" s="48">
        <f t="shared" si="83"/>
        <v>1</v>
      </c>
      <c r="H291" s="10"/>
      <c r="I291" s="11">
        <v>1</v>
      </c>
      <c r="J291" s="10"/>
      <c r="K291" s="11"/>
      <c r="L291" s="10"/>
      <c r="M291" s="44">
        <f t="shared" si="84"/>
        <v>1</v>
      </c>
      <c r="N291" s="31">
        <f t="shared" si="85"/>
        <v>2</v>
      </c>
      <c r="O291" s="37">
        <v>45218</v>
      </c>
    </row>
    <row r="292" spans="1:15" x14ac:dyDescent="0.15">
      <c r="A292" s="39" t="s">
        <v>54</v>
      </c>
      <c r="B292" s="10">
        <v>2</v>
      </c>
      <c r="C292" s="11"/>
      <c r="D292" s="10"/>
      <c r="E292" s="11"/>
      <c r="F292" s="10"/>
      <c r="G292" s="48">
        <f t="shared" si="83"/>
        <v>2</v>
      </c>
      <c r="H292" s="10">
        <v>2</v>
      </c>
      <c r="I292" s="11"/>
      <c r="J292" s="10"/>
      <c r="K292" s="11"/>
      <c r="L292" s="10"/>
      <c r="M292" s="44">
        <f t="shared" si="84"/>
        <v>2</v>
      </c>
      <c r="N292" s="31">
        <f t="shared" si="85"/>
        <v>4</v>
      </c>
      <c r="O292" s="37">
        <v>45222</v>
      </c>
    </row>
    <row r="293" spans="1:15" x14ac:dyDescent="0.15">
      <c r="A293" s="39" t="s">
        <v>54</v>
      </c>
      <c r="B293" s="10"/>
      <c r="C293" s="11"/>
      <c r="D293" s="10">
        <v>3</v>
      </c>
      <c r="E293" s="11"/>
      <c r="F293" s="10"/>
      <c r="G293" s="48">
        <f t="shared" si="83"/>
        <v>3</v>
      </c>
      <c r="H293" s="10"/>
      <c r="I293" s="11"/>
      <c r="J293" s="10">
        <v>3</v>
      </c>
      <c r="K293" s="11"/>
      <c r="L293" s="10"/>
      <c r="M293" s="44">
        <f t="shared" si="84"/>
        <v>3</v>
      </c>
      <c r="N293" s="31">
        <f t="shared" si="85"/>
        <v>6</v>
      </c>
      <c r="O293" s="37">
        <v>45226</v>
      </c>
    </row>
    <row r="294" spans="1:15" x14ac:dyDescent="0.15">
      <c r="A294" s="39" t="s">
        <v>54</v>
      </c>
      <c r="B294" s="10"/>
      <c r="C294" s="11"/>
      <c r="D294" s="10">
        <v>1</v>
      </c>
      <c r="E294" s="11"/>
      <c r="F294" s="10"/>
      <c r="G294" s="48">
        <f t="shared" si="83"/>
        <v>1</v>
      </c>
      <c r="H294" s="10"/>
      <c r="I294" s="11"/>
      <c r="J294" s="10">
        <v>1</v>
      </c>
      <c r="K294" s="11"/>
      <c r="L294" s="10"/>
      <c r="M294" s="44">
        <f t="shared" si="84"/>
        <v>1</v>
      </c>
      <c r="N294" s="31">
        <f t="shared" si="85"/>
        <v>2</v>
      </c>
      <c r="O294" s="37">
        <v>45231</v>
      </c>
    </row>
    <row r="295" spans="1:15" x14ac:dyDescent="0.15">
      <c r="A295" s="39" t="s">
        <v>54</v>
      </c>
      <c r="B295" s="10"/>
      <c r="C295" s="11">
        <v>1</v>
      </c>
      <c r="D295" s="10"/>
      <c r="E295" s="11"/>
      <c r="F295" s="10"/>
      <c r="G295" s="48">
        <f t="shared" si="83"/>
        <v>1</v>
      </c>
      <c r="H295" s="10"/>
      <c r="I295" s="11">
        <v>1</v>
      </c>
      <c r="J295" s="10"/>
      <c r="K295" s="11"/>
      <c r="L295" s="10"/>
      <c r="M295" s="44">
        <f t="shared" si="84"/>
        <v>1</v>
      </c>
      <c r="N295" s="31">
        <f t="shared" si="85"/>
        <v>2</v>
      </c>
      <c r="O295" s="37">
        <v>45232</v>
      </c>
    </row>
    <row r="296" spans="1:15" x14ac:dyDescent="0.15">
      <c r="A296" s="39" t="s">
        <v>54</v>
      </c>
      <c r="B296" s="10"/>
      <c r="C296" s="11"/>
      <c r="D296" s="10"/>
      <c r="E296" s="11"/>
      <c r="F296" s="10"/>
      <c r="G296" s="48">
        <f t="shared" si="79"/>
        <v>0</v>
      </c>
      <c r="H296" s="10"/>
      <c r="I296" s="11">
        <v>4</v>
      </c>
      <c r="J296" s="10"/>
      <c r="K296" s="11"/>
      <c r="L296" s="10"/>
      <c r="M296" s="44">
        <f t="shared" si="76"/>
        <v>4</v>
      </c>
      <c r="N296" s="31">
        <f t="shared" si="80"/>
        <v>4</v>
      </c>
      <c r="O296" s="37">
        <v>45234</v>
      </c>
    </row>
    <row r="297" spans="1:15" ht="14.25" thickBot="1" x14ac:dyDescent="0.2">
      <c r="A297" s="39" t="s">
        <v>54</v>
      </c>
      <c r="B297" s="13"/>
      <c r="C297" s="14">
        <v>1</v>
      </c>
      <c r="D297" s="13"/>
      <c r="E297" s="14"/>
      <c r="F297" s="13"/>
      <c r="G297" s="59">
        <f t="shared" si="79"/>
        <v>1</v>
      </c>
      <c r="H297" s="13"/>
      <c r="I297" s="14">
        <v>1</v>
      </c>
      <c r="J297" s="13"/>
      <c r="K297" s="14"/>
      <c r="L297" s="13"/>
      <c r="M297" s="60">
        <f t="shared" si="76"/>
        <v>1</v>
      </c>
      <c r="N297" s="36">
        <f t="shared" si="80"/>
        <v>2</v>
      </c>
      <c r="O297" s="37">
        <v>45236</v>
      </c>
    </row>
    <row r="298" spans="1:15" ht="14.25" thickBot="1" x14ac:dyDescent="0.2">
      <c r="A298" s="3" t="s">
        <v>5</v>
      </c>
      <c r="B298" s="16">
        <f>SUM(B274:B297)</f>
        <v>8</v>
      </c>
      <c r="C298" s="61">
        <f>SUM(C274:C297)</f>
        <v>20</v>
      </c>
      <c r="D298" s="16">
        <f t="shared" ref="D298:E298" si="86">SUM(D274:D297)</f>
        <v>8</v>
      </c>
      <c r="E298" s="61">
        <f t="shared" si="86"/>
        <v>0</v>
      </c>
      <c r="F298" s="15">
        <f>SUM(F274:F297)</f>
        <v>0</v>
      </c>
      <c r="G298" s="16">
        <f t="shared" si="79"/>
        <v>36</v>
      </c>
      <c r="H298" s="15">
        <f>SUM(H274:H297)</f>
        <v>14</v>
      </c>
      <c r="I298" s="15">
        <f t="shared" ref="I298:J298" si="87">SUM(I274:I297)</f>
        <v>22</v>
      </c>
      <c r="J298" s="15">
        <f t="shared" si="87"/>
        <v>6</v>
      </c>
      <c r="K298" s="15">
        <f>SUM(K274:K297)</f>
        <v>0</v>
      </c>
      <c r="L298" s="15">
        <f>SUM(L274:L297)</f>
        <v>0</v>
      </c>
      <c r="M298" s="16">
        <f t="shared" si="76"/>
        <v>42</v>
      </c>
      <c r="N298" s="34">
        <f t="shared" si="80"/>
        <v>78</v>
      </c>
    </row>
    <row r="299" spans="1:15" ht="14.25" thickBot="1" x14ac:dyDescent="0.2">
      <c r="A299" s="25" t="s">
        <v>6</v>
      </c>
      <c r="B299" s="26">
        <f>B273-B298</f>
        <v>6</v>
      </c>
      <c r="C299" s="26">
        <f t="shared" ref="C299:G299" si="88">C273-C298</f>
        <v>6</v>
      </c>
      <c r="D299" s="26">
        <f t="shared" si="88"/>
        <v>4</v>
      </c>
      <c r="E299" s="26">
        <f t="shared" si="88"/>
        <v>0</v>
      </c>
      <c r="F299" s="26">
        <f t="shared" si="88"/>
        <v>0</v>
      </c>
      <c r="G299" s="26">
        <f t="shared" si="88"/>
        <v>16</v>
      </c>
      <c r="H299" s="26">
        <f>H273-H298</f>
        <v>5</v>
      </c>
      <c r="I299" s="26">
        <f t="shared" ref="I299:M299" si="89">I273-I298</f>
        <v>6</v>
      </c>
      <c r="J299" s="26">
        <f t="shared" si="89"/>
        <v>4</v>
      </c>
      <c r="K299" s="26">
        <f t="shared" si="89"/>
        <v>0</v>
      </c>
      <c r="L299" s="26">
        <f t="shared" si="89"/>
        <v>0</v>
      </c>
      <c r="M299" s="26">
        <f t="shared" si="89"/>
        <v>15</v>
      </c>
      <c r="N299" s="38">
        <f t="shared" si="80"/>
        <v>31</v>
      </c>
    </row>
    <row r="302" spans="1:15" ht="18" thickBot="1" x14ac:dyDescent="0.25">
      <c r="A302" s="29" t="s">
        <v>17</v>
      </c>
      <c r="B302" s="1"/>
      <c r="C302" s="1"/>
      <c r="D302" s="1" t="s">
        <v>65</v>
      </c>
      <c r="E302" s="1"/>
      <c r="F302" s="1"/>
      <c r="G302" s="1"/>
      <c r="H302" s="1"/>
      <c r="I302" s="1"/>
      <c r="J302" s="1"/>
      <c r="K302" s="1"/>
      <c r="L302" s="1"/>
      <c r="M302" s="1"/>
    </row>
    <row r="303" spans="1:15" ht="14.25" thickBot="1" x14ac:dyDescent="0.2">
      <c r="A303" s="2" t="s">
        <v>0</v>
      </c>
      <c r="B303" s="220" t="s">
        <v>14</v>
      </c>
      <c r="C303" s="220"/>
      <c r="D303" s="220"/>
      <c r="E303" s="220"/>
      <c r="F303" s="220"/>
      <c r="G303" s="221"/>
      <c r="H303" s="217" t="s">
        <v>15</v>
      </c>
      <c r="I303" s="217"/>
      <c r="J303" s="217"/>
      <c r="K303" s="217"/>
      <c r="L303" s="217"/>
      <c r="M303" s="218"/>
      <c r="N303" s="208" t="s">
        <v>10</v>
      </c>
    </row>
    <row r="304" spans="1:15" ht="14.25" thickBot="1" x14ac:dyDescent="0.2">
      <c r="A304" s="2" t="s">
        <v>1</v>
      </c>
      <c r="B304" s="3" t="s">
        <v>7</v>
      </c>
      <c r="C304" s="2" t="s">
        <v>8</v>
      </c>
      <c r="D304" s="19" t="s">
        <v>9</v>
      </c>
      <c r="E304" s="2" t="s">
        <v>20</v>
      </c>
      <c r="F304" s="2" t="s">
        <v>22</v>
      </c>
      <c r="G304" s="19" t="s">
        <v>2</v>
      </c>
      <c r="H304" s="2" t="s">
        <v>11</v>
      </c>
      <c r="I304" s="19" t="s">
        <v>12</v>
      </c>
      <c r="J304" s="2" t="s">
        <v>13</v>
      </c>
      <c r="K304" s="53" t="s">
        <v>19</v>
      </c>
      <c r="L304" s="53" t="s">
        <v>21</v>
      </c>
      <c r="M304" s="2" t="s">
        <v>2</v>
      </c>
      <c r="N304" s="209"/>
    </row>
    <row r="305" spans="1:16" ht="14.25" thickBot="1" x14ac:dyDescent="0.2">
      <c r="A305" s="3" t="s">
        <v>6</v>
      </c>
      <c r="B305" s="63">
        <f>B299</f>
        <v>6</v>
      </c>
      <c r="C305" s="64">
        <f>C299</f>
        <v>6</v>
      </c>
      <c r="D305" s="63">
        <f>D299</f>
        <v>4</v>
      </c>
      <c r="E305" s="64">
        <f>E299</f>
        <v>0</v>
      </c>
      <c r="F305" s="63">
        <f>F299</f>
        <v>0</v>
      </c>
      <c r="G305" s="61">
        <f t="shared" ref="G305" si="90">SUM(B305:F305)</f>
        <v>16</v>
      </c>
      <c r="H305" s="63">
        <f>H299</f>
        <v>5</v>
      </c>
      <c r="I305" s="63">
        <f t="shared" ref="I305:L305" si="91">I299</f>
        <v>6</v>
      </c>
      <c r="J305" s="63">
        <f t="shared" si="91"/>
        <v>4</v>
      </c>
      <c r="K305" s="63">
        <f t="shared" si="91"/>
        <v>0</v>
      </c>
      <c r="L305" s="63">
        <f t="shared" si="91"/>
        <v>0</v>
      </c>
      <c r="M305" s="65">
        <f t="shared" ref="M305:M310" si="92">SUM(H305:L305)</f>
        <v>15</v>
      </c>
      <c r="N305" s="34">
        <f>SUM(M305,G305)</f>
        <v>31</v>
      </c>
    </row>
    <row r="306" spans="1:16" x14ac:dyDescent="0.15">
      <c r="A306" s="49" t="s">
        <v>3</v>
      </c>
      <c r="B306" s="10"/>
      <c r="C306" s="11"/>
      <c r="D306" s="10">
        <v>3</v>
      </c>
      <c r="E306" s="11"/>
      <c r="F306" s="10"/>
      <c r="G306" s="45">
        <f t="shared" ref="G306:G310" si="93">SUM(B306:F306)</f>
        <v>3</v>
      </c>
      <c r="H306" s="10"/>
      <c r="I306" s="11"/>
      <c r="J306" s="10">
        <v>3</v>
      </c>
      <c r="K306" s="11"/>
      <c r="L306" s="10"/>
      <c r="M306" s="41">
        <f t="shared" si="92"/>
        <v>3</v>
      </c>
      <c r="N306" s="31">
        <f t="shared" ref="N306:N310" si="94">SUM(M306,G306)</f>
        <v>6</v>
      </c>
      <c r="O306" s="32">
        <v>45258</v>
      </c>
    </row>
    <row r="307" spans="1:16" x14ac:dyDescent="0.15">
      <c r="A307" s="49" t="s">
        <v>3</v>
      </c>
      <c r="B307" s="10"/>
      <c r="C307" s="11">
        <v>5</v>
      </c>
      <c r="D307" s="10">
        <v>5</v>
      </c>
      <c r="E307" s="11"/>
      <c r="F307" s="10"/>
      <c r="G307" s="45">
        <f t="shared" si="93"/>
        <v>10</v>
      </c>
      <c r="H307" s="10"/>
      <c r="I307" s="11">
        <v>5</v>
      </c>
      <c r="J307" s="10"/>
      <c r="K307" s="11"/>
      <c r="L307" s="10"/>
      <c r="M307" s="41">
        <f t="shared" si="92"/>
        <v>5</v>
      </c>
      <c r="N307" s="31">
        <f t="shared" si="94"/>
        <v>15</v>
      </c>
      <c r="O307" s="32">
        <v>45279</v>
      </c>
    </row>
    <row r="308" spans="1:16" x14ac:dyDescent="0.15">
      <c r="A308" s="49" t="s">
        <v>3</v>
      </c>
      <c r="B308" s="10"/>
      <c r="C308" s="11"/>
      <c r="D308" s="10">
        <v>3</v>
      </c>
      <c r="E308" s="11"/>
      <c r="F308" s="10"/>
      <c r="G308" s="45">
        <f t="shared" si="93"/>
        <v>3</v>
      </c>
      <c r="H308" s="10"/>
      <c r="I308" s="11">
        <v>6</v>
      </c>
      <c r="J308" s="10">
        <v>3</v>
      </c>
      <c r="K308" s="11"/>
      <c r="L308" s="10"/>
      <c r="M308" s="41">
        <f t="shared" si="92"/>
        <v>9</v>
      </c>
      <c r="N308" s="31">
        <f t="shared" si="94"/>
        <v>12</v>
      </c>
      <c r="O308" s="32">
        <v>45286</v>
      </c>
    </row>
    <row r="309" spans="1:16" x14ac:dyDescent="0.15">
      <c r="A309" s="49" t="s">
        <v>3</v>
      </c>
      <c r="B309" s="10"/>
      <c r="C309" s="11"/>
      <c r="D309" s="10"/>
      <c r="E309" s="11"/>
      <c r="F309" s="10"/>
      <c r="G309" s="45">
        <f t="shared" si="93"/>
        <v>0</v>
      </c>
      <c r="H309" s="10"/>
      <c r="I309" s="11">
        <v>5</v>
      </c>
      <c r="J309" s="10">
        <v>5</v>
      </c>
      <c r="K309" s="11"/>
      <c r="L309" s="10"/>
      <c r="M309" s="41">
        <f t="shared" si="92"/>
        <v>10</v>
      </c>
      <c r="N309" s="31">
        <f t="shared" si="94"/>
        <v>10</v>
      </c>
      <c r="O309" s="32">
        <v>45301</v>
      </c>
      <c r="P309" s="33"/>
    </row>
    <row r="310" spans="1:16" x14ac:dyDescent="0.15">
      <c r="A310" s="49" t="s">
        <v>3</v>
      </c>
      <c r="B310" s="10"/>
      <c r="C310" s="11"/>
      <c r="D310" s="10"/>
      <c r="E310" s="11"/>
      <c r="F310" s="10"/>
      <c r="G310" s="45">
        <f t="shared" si="93"/>
        <v>0</v>
      </c>
      <c r="H310" s="10">
        <v>5</v>
      </c>
      <c r="I310" s="11"/>
      <c r="J310" s="10"/>
      <c r="K310" s="11"/>
      <c r="L310" s="10"/>
      <c r="M310" s="41">
        <f t="shared" si="92"/>
        <v>5</v>
      </c>
      <c r="N310" s="31">
        <f t="shared" si="94"/>
        <v>5</v>
      </c>
      <c r="O310" s="32">
        <v>45314</v>
      </c>
    </row>
    <row r="311" spans="1:16" x14ac:dyDescent="0.15">
      <c r="A311" s="49" t="s">
        <v>3</v>
      </c>
      <c r="B311" s="10">
        <v>5</v>
      </c>
      <c r="C311" s="11">
        <v>5</v>
      </c>
      <c r="D311" s="10">
        <v>3</v>
      </c>
      <c r="E311" s="11"/>
      <c r="F311" s="10"/>
      <c r="G311" s="45">
        <f t="shared" ref="G311:G338" si="95">SUM(B311:F311)</f>
        <v>13</v>
      </c>
      <c r="H311" s="10"/>
      <c r="I311" s="11"/>
      <c r="J311" s="10"/>
      <c r="K311" s="11"/>
      <c r="L311" s="10"/>
      <c r="M311" s="41">
        <f t="shared" ref="M311:M341" si="96">SUM(H311:L311)</f>
        <v>0</v>
      </c>
      <c r="N311" s="31">
        <f t="shared" ref="N311:N342" si="97">SUM(M311,G311)</f>
        <v>13</v>
      </c>
      <c r="O311" s="32">
        <v>45317</v>
      </c>
      <c r="P311" s="33" t="s">
        <v>85</v>
      </c>
    </row>
    <row r="312" spans="1:16" x14ac:dyDescent="0.15">
      <c r="A312" s="49" t="s">
        <v>3</v>
      </c>
      <c r="B312" s="10"/>
      <c r="C312" s="11"/>
      <c r="D312" s="10"/>
      <c r="E312" s="11"/>
      <c r="F312" s="10"/>
      <c r="G312" s="45">
        <f t="shared" si="95"/>
        <v>0</v>
      </c>
      <c r="H312" s="10"/>
      <c r="I312" s="11">
        <v>5</v>
      </c>
      <c r="J312" s="10"/>
      <c r="K312" s="11"/>
      <c r="L312" s="10"/>
      <c r="M312" s="41">
        <f t="shared" si="96"/>
        <v>5</v>
      </c>
      <c r="N312" s="31">
        <f t="shared" si="97"/>
        <v>5</v>
      </c>
      <c r="O312" s="32">
        <v>45317</v>
      </c>
      <c r="P312" s="33" t="s">
        <v>85</v>
      </c>
    </row>
    <row r="313" spans="1:16" x14ac:dyDescent="0.15">
      <c r="A313" s="49" t="s">
        <v>3</v>
      </c>
      <c r="B313" s="10"/>
      <c r="C313" s="11"/>
      <c r="D313" s="10"/>
      <c r="E313" s="11"/>
      <c r="F313" s="10"/>
      <c r="G313" s="45">
        <f t="shared" ref="G313" si="98">SUM(B313:F313)</f>
        <v>0</v>
      </c>
      <c r="H313" s="10"/>
      <c r="I313" s="11"/>
      <c r="J313" s="10"/>
      <c r="K313" s="11"/>
      <c r="L313" s="10"/>
      <c r="M313" s="41">
        <f t="shared" ref="M313" si="99">SUM(H313:L313)</f>
        <v>0</v>
      </c>
      <c r="N313" s="31">
        <f t="shared" ref="N313" si="100">SUM(M313,G313)</f>
        <v>0</v>
      </c>
      <c r="O313" t="s">
        <v>83</v>
      </c>
    </row>
    <row r="314" spans="1:16" x14ac:dyDescent="0.15">
      <c r="A314" s="126" t="s">
        <v>3</v>
      </c>
      <c r="B314" s="131"/>
      <c r="C314" s="132">
        <v>1</v>
      </c>
      <c r="D314" s="131">
        <v>-1</v>
      </c>
      <c r="E314" s="132"/>
      <c r="F314" s="131"/>
      <c r="G314" s="139">
        <f t="shared" si="95"/>
        <v>0</v>
      </c>
      <c r="H314" s="131"/>
      <c r="I314" s="132">
        <v>-1</v>
      </c>
      <c r="J314" s="131">
        <v>-2</v>
      </c>
      <c r="K314" s="132"/>
      <c r="L314" s="131"/>
      <c r="M314" s="140">
        <f t="shared" si="96"/>
        <v>-3</v>
      </c>
      <c r="N314" s="30">
        <f t="shared" si="97"/>
        <v>-3</v>
      </c>
      <c r="O314" s="75" t="s">
        <v>84</v>
      </c>
    </row>
    <row r="315" spans="1:16" ht="14.25" thickBot="1" x14ac:dyDescent="0.2">
      <c r="A315" s="50" t="s">
        <v>3</v>
      </c>
      <c r="B315" s="13"/>
      <c r="C315" s="14"/>
      <c r="D315" s="13"/>
      <c r="E315" s="14"/>
      <c r="F315" s="13"/>
      <c r="G315" s="46">
        <f t="shared" si="95"/>
        <v>0</v>
      </c>
      <c r="H315" s="13"/>
      <c r="I315" s="14"/>
      <c r="J315" s="13"/>
      <c r="K315" s="14"/>
      <c r="L315" s="13"/>
      <c r="M315" s="42">
        <f t="shared" si="96"/>
        <v>0</v>
      </c>
      <c r="N315" s="36">
        <f t="shared" si="97"/>
        <v>0</v>
      </c>
    </row>
    <row r="316" spans="1:16" ht="14.25" thickBot="1" x14ac:dyDescent="0.2">
      <c r="A316" s="51" t="s">
        <v>4</v>
      </c>
      <c r="B316" s="22">
        <f>SUM(B305:B315)</f>
        <v>11</v>
      </c>
      <c r="C316" s="22">
        <f>SUM(C305:C315)</f>
        <v>17</v>
      </c>
      <c r="D316" s="57">
        <f t="shared" ref="D316:E316" si="101">SUM(D305:D315)</f>
        <v>17</v>
      </c>
      <c r="E316" s="22">
        <f t="shared" si="101"/>
        <v>0</v>
      </c>
      <c r="F316" s="22">
        <f>SUM(F305:F315)</f>
        <v>0</v>
      </c>
      <c r="G316" s="47">
        <f t="shared" si="95"/>
        <v>45</v>
      </c>
      <c r="H316" s="22">
        <f>SUM(H305:H315)</f>
        <v>10</v>
      </c>
      <c r="I316" s="22">
        <f t="shared" ref="I316:J316" si="102">SUM(I305:I315)</f>
        <v>26</v>
      </c>
      <c r="J316" s="22">
        <f t="shared" si="102"/>
        <v>13</v>
      </c>
      <c r="K316" s="57">
        <f>SUM(K305:K315)</f>
        <v>0</v>
      </c>
      <c r="L316" s="22">
        <f>SUM(L305:L315)</f>
        <v>0</v>
      </c>
      <c r="M316" s="43">
        <f t="shared" si="96"/>
        <v>49</v>
      </c>
      <c r="N316" s="34">
        <f t="shared" si="97"/>
        <v>94</v>
      </c>
    </row>
    <row r="317" spans="1:16" x14ac:dyDescent="0.15">
      <c r="A317" s="39" t="s">
        <v>54</v>
      </c>
      <c r="B317" s="10"/>
      <c r="C317" s="11"/>
      <c r="D317" s="10">
        <v>1</v>
      </c>
      <c r="E317" s="11"/>
      <c r="F317" s="10"/>
      <c r="G317" s="48">
        <f t="shared" si="95"/>
        <v>1</v>
      </c>
      <c r="H317" s="10"/>
      <c r="I317" s="11"/>
      <c r="J317" s="10"/>
      <c r="K317" s="11"/>
      <c r="L317" s="10"/>
      <c r="M317" s="44">
        <f t="shared" ref="M317:M338" si="103">SUM(H317:L317)</f>
        <v>0</v>
      </c>
      <c r="N317" s="31">
        <f t="shared" ref="N317:N338" si="104">SUM(M317,G317)</f>
        <v>1</v>
      </c>
      <c r="O317" s="37">
        <v>45237</v>
      </c>
    </row>
    <row r="318" spans="1:16" x14ac:dyDescent="0.15">
      <c r="A318" s="39" t="s">
        <v>54</v>
      </c>
      <c r="B318" s="10"/>
      <c r="C318" s="11">
        <v>1</v>
      </c>
      <c r="D318" s="10">
        <v>1</v>
      </c>
      <c r="E318" s="11"/>
      <c r="F318" s="10"/>
      <c r="G318" s="48">
        <f t="shared" si="95"/>
        <v>2</v>
      </c>
      <c r="H318" s="10"/>
      <c r="I318" s="11">
        <v>1</v>
      </c>
      <c r="J318" s="10">
        <v>1</v>
      </c>
      <c r="K318" s="11"/>
      <c r="L318" s="10"/>
      <c r="M318" s="44">
        <f t="shared" si="103"/>
        <v>2</v>
      </c>
      <c r="N318" s="31">
        <f t="shared" si="104"/>
        <v>4</v>
      </c>
      <c r="O318" s="37">
        <v>45239</v>
      </c>
    </row>
    <row r="319" spans="1:16" x14ac:dyDescent="0.15">
      <c r="A319" s="39" t="s">
        <v>54</v>
      </c>
      <c r="B319" s="10"/>
      <c r="C319" s="11"/>
      <c r="D319" s="10">
        <v>1</v>
      </c>
      <c r="E319" s="11"/>
      <c r="F319" s="10"/>
      <c r="G319" s="48">
        <f t="shared" si="95"/>
        <v>1</v>
      </c>
      <c r="H319" s="10"/>
      <c r="I319" s="11"/>
      <c r="J319" s="10">
        <v>1</v>
      </c>
      <c r="K319" s="11"/>
      <c r="L319" s="10"/>
      <c r="M319" s="44">
        <f t="shared" si="103"/>
        <v>1</v>
      </c>
      <c r="N319" s="31">
        <f t="shared" si="104"/>
        <v>2</v>
      </c>
      <c r="O319" s="37">
        <v>45251</v>
      </c>
    </row>
    <row r="320" spans="1:16" x14ac:dyDescent="0.15">
      <c r="A320" s="39" t="s">
        <v>54</v>
      </c>
      <c r="B320" s="10"/>
      <c r="C320" s="11"/>
      <c r="D320" s="10">
        <v>1</v>
      </c>
      <c r="E320" s="11"/>
      <c r="F320" s="10"/>
      <c r="G320" s="48">
        <f t="shared" si="95"/>
        <v>1</v>
      </c>
      <c r="H320" s="10"/>
      <c r="I320" s="11"/>
      <c r="J320" s="10">
        <v>1</v>
      </c>
      <c r="K320" s="11"/>
      <c r="L320" s="10"/>
      <c r="M320" s="44">
        <f t="shared" si="103"/>
        <v>1</v>
      </c>
      <c r="N320" s="31">
        <f t="shared" si="104"/>
        <v>2</v>
      </c>
      <c r="O320" s="37">
        <v>45257</v>
      </c>
    </row>
    <row r="321" spans="1:15" x14ac:dyDescent="0.15">
      <c r="A321" s="39" t="s">
        <v>54</v>
      </c>
      <c r="B321" s="10">
        <v>1</v>
      </c>
      <c r="C321" s="11">
        <v>1</v>
      </c>
      <c r="D321" s="10"/>
      <c r="E321" s="11"/>
      <c r="F321" s="10"/>
      <c r="G321" s="48">
        <f t="shared" si="95"/>
        <v>2</v>
      </c>
      <c r="H321" s="10">
        <v>1</v>
      </c>
      <c r="I321" s="11">
        <v>1</v>
      </c>
      <c r="J321" s="10"/>
      <c r="K321" s="11"/>
      <c r="L321" s="10"/>
      <c r="M321" s="44">
        <f t="shared" si="103"/>
        <v>2</v>
      </c>
      <c r="N321" s="31">
        <f t="shared" si="104"/>
        <v>4</v>
      </c>
      <c r="O321" s="37">
        <v>45261</v>
      </c>
    </row>
    <row r="322" spans="1:15" x14ac:dyDescent="0.15">
      <c r="A322" s="39" t="s">
        <v>54</v>
      </c>
      <c r="B322" s="10"/>
      <c r="C322" s="11"/>
      <c r="D322" s="10">
        <v>1</v>
      </c>
      <c r="E322" s="11"/>
      <c r="F322" s="10"/>
      <c r="G322" s="48">
        <f t="shared" si="95"/>
        <v>1</v>
      </c>
      <c r="H322" s="10"/>
      <c r="I322" s="11"/>
      <c r="J322" s="10">
        <v>1</v>
      </c>
      <c r="K322" s="11"/>
      <c r="L322" s="10"/>
      <c r="M322" s="44">
        <f t="shared" si="103"/>
        <v>1</v>
      </c>
      <c r="N322" s="31">
        <f t="shared" si="104"/>
        <v>2</v>
      </c>
      <c r="O322" s="37">
        <v>45262</v>
      </c>
    </row>
    <row r="323" spans="1:15" x14ac:dyDescent="0.15">
      <c r="A323" s="39" t="s">
        <v>54</v>
      </c>
      <c r="B323" s="10"/>
      <c r="C323" s="11">
        <v>1</v>
      </c>
      <c r="D323" s="10">
        <v>2</v>
      </c>
      <c r="E323" s="11"/>
      <c r="F323" s="10"/>
      <c r="G323" s="48">
        <f t="shared" si="95"/>
        <v>3</v>
      </c>
      <c r="H323" s="10"/>
      <c r="I323" s="11">
        <v>1</v>
      </c>
      <c r="J323" s="10"/>
      <c r="K323" s="11"/>
      <c r="L323" s="10"/>
      <c r="M323" s="44">
        <f t="shared" si="103"/>
        <v>1</v>
      </c>
      <c r="N323" s="31">
        <f t="shared" si="104"/>
        <v>4</v>
      </c>
      <c r="O323" s="37">
        <v>45264</v>
      </c>
    </row>
    <row r="324" spans="1:15" x14ac:dyDescent="0.15">
      <c r="A324" s="39" t="s">
        <v>54</v>
      </c>
      <c r="B324" s="10"/>
      <c r="C324" s="11">
        <v>1</v>
      </c>
      <c r="D324" s="10"/>
      <c r="E324" s="11"/>
      <c r="F324" s="10"/>
      <c r="G324" s="48">
        <f t="shared" si="95"/>
        <v>1</v>
      </c>
      <c r="H324" s="10"/>
      <c r="I324" s="11">
        <v>1</v>
      </c>
      <c r="J324" s="10"/>
      <c r="K324" s="11"/>
      <c r="L324" s="10"/>
      <c r="M324" s="44">
        <f t="shared" si="103"/>
        <v>1</v>
      </c>
      <c r="N324" s="31">
        <f t="shared" si="104"/>
        <v>2</v>
      </c>
      <c r="O324" s="37">
        <v>45267</v>
      </c>
    </row>
    <row r="325" spans="1:15" x14ac:dyDescent="0.15">
      <c r="A325" s="39" t="s">
        <v>54</v>
      </c>
      <c r="B325" s="10"/>
      <c r="C325" s="11">
        <v>1</v>
      </c>
      <c r="D325" s="10"/>
      <c r="E325" s="11"/>
      <c r="F325" s="10"/>
      <c r="G325" s="48">
        <f t="shared" si="95"/>
        <v>1</v>
      </c>
      <c r="H325" s="10"/>
      <c r="I325" s="11">
        <v>1</v>
      </c>
      <c r="J325" s="10"/>
      <c r="K325" s="11"/>
      <c r="L325" s="10"/>
      <c r="M325" s="44">
        <f t="shared" si="103"/>
        <v>1</v>
      </c>
      <c r="N325" s="31">
        <f t="shared" si="104"/>
        <v>2</v>
      </c>
      <c r="O325" s="37">
        <v>45268</v>
      </c>
    </row>
    <row r="326" spans="1:15" x14ac:dyDescent="0.15">
      <c r="A326" s="39" t="s">
        <v>54</v>
      </c>
      <c r="B326" s="10"/>
      <c r="C326" s="11"/>
      <c r="D326" s="10"/>
      <c r="E326" s="11"/>
      <c r="F326" s="10"/>
      <c r="G326" s="48">
        <f t="shared" si="95"/>
        <v>0</v>
      </c>
      <c r="H326" s="10"/>
      <c r="I326" s="11"/>
      <c r="J326" s="10">
        <v>2</v>
      </c>
      <c r="K326" s="11"/>
      <c r="L326" s="10"/>
      <c r="M326" s="44">
        <f t="shared" si="103"/>
        <v>2</v>
      </c>
      <c r="N326" s="31">
        <f t="shared" si="104"/>
        <v>2</v>
      </c>
      <c r="O326" s="37">
        <v>45276</v>
      </c>
    </row>
    <row r="327" spans="1:15" x14ac:dyDescent="0.15">
      <c r="A327" s="39" t="s">
        <v>54</v>
      </c>
      <c r="B327" s="10"/>
      <c r="C327" s="11">
        <v>4</v>
      </c>
      <c r="D327" s="10"/>
      <c r="E327" s="11"/>
      <c r="F327" s="10"/>
      <c r="G327" s="48">
        <f t="shared" si="95"/>
        <v>4</v>
      </c>
      <c r="H327" s="10"/>
      <c r="I327" s="11">
        <v>4</v>
      </c>
      <c r="J327" s="10"/>
      <c r="K327" s="11"/>
      <c r="L327" s="10"/>
      <c r="M327" s="44">
        <f t="shared" si="103"/>
        <v>4</v>
      </c>
      <c r="N327" s="31">
        <f t="shared" si="104"/>
        <v>8</v>
      </c>
      <c r="O327" s="37">
        <v>45279</v>
      </c>
    </row>
    <row r="328" spans="1:15" x14ac:dyDescent="0.15">
      <c r="A328" s="39" t="s">
        <v>54</v>
      </c>
      <c r="B328" s="10"/>
      <c r="C328" s="11"/>
      <c r="D328" s="10">
        <v>4</v>
      </c>
      <c r="E328" s="11"/>
      <c r="F328" s="10"/>
      <c r="G328" s="48">
        <f t="shared" si="95"/>
        <v>4</v>
      </c>
      <c r="H328" s="10"/>
      <c r="I328" s="11"/>
      <c r="J328" s="10"/>
      <c r="K328" s="11"/>
      <c r="L328" s="10"/>
      <c r="M328" s="44">
        <f t="shared" si="103"/>
        <v>0</v>
      </c>
      <c r="N328" s="31">
        <f t="shared" si="104"/>
        <v>4</v>
      </c>
      <c r="O328" s="37">
        <v>45280</v>
      </c>
    </row>
    <row r="329" spans="1:15" x14ac:dyDescent="0.15">
      <c r="A329" s="39" t="s">
        <v>54</v>
      </c>
      <c r="B329" s="10"/>
      <c r="C329" s="11">
        <v>1</v>
      </c>
      <c r="D329" s="10"/>
      <c r="E329" s="11"/>
      <c r="F329" s="10"/>
      <c r="G329" s="48">
        <f t="shared" si="95"/>
        <v>1</v>
      </c>
      <c r="H329" s="10"/>
      <c r="I329" s="11">
        <v>1</v>
      </c>
      <c r="J329" s="10"/>
      <c r="K329" s="11"/>
      <c r="L329" s="10"/>
      <c r="M329" s="44">
        <f t="shared" si="103"/>
        <v>1</v>
      </c>
      <c r="N329" s="31">
        <f t="shared" si="104"/>
        <v>2</v>
      </c>
      <c r="O329" s="37">
        <v>45285</v>
      </c>
    </row>
    <row r="330" spans="1:15" x14ac:dyDescent="0.15">
      <c r="A330" s="39" t="s">
        <v>54</v>
      </c>
      <c r="B330" s="10"/>
      <c r="C330" s="11"/>
      <c r="D330" s="10"/>
      <c r="E330" s="11"/>
      <c r="F330" s="10"/>
      <c r="G330" s="48">
        <f t="shared" si="95"/>
        <v>0</v>
      </c>
      <c r="H330" s="10"/>
      <c r="I330" s="11">
        <v>2</v>
      </c>
      <c r="J330" s="10"/>
      <c r="K330" s="11"/>
      <c r="L330" s="10"/>
      <c r="M330" s="44">
        <f t="shared" si="103"/>
        <v>2</v>
      </c>
      <c r="N330" s="31">
        <f t="shared" si="104"/>
        <v>2</v>
      </c>
      <c r="O330" s="37">
        <v>45286</v>
      </c>
    </row>
    <row r="331" spans="1:15" x14ac:dyDescent="0.15">
      <c r="A331" s="39" t="s">
        <v>54</v>
      </c>
      <c r="B331" s="10">
        <v>4</v>
      </c>
      <c r="C331" s="11"/>
      <c r="D331" s="10"/>
      <c r="E331" s="11"/>
      <c r="F331" s="10"/>
      <c r="G331" s="48">
        <f t="shared" si="95"/>
        <v>4</v>
      </c>
      <c r="H331" s="10"/>
      <c r="I331" s="11"/>
      <c r="J331" s="10"/>
      <c r="K331" s="11"/>
      <c r="L331" s="10"/>
      <c r="M331" s="44">
        <f t="shared" si="103"/>
        <v>0</v>
      </c>
      <c r="N331" s="31">
        <f t="shared" si="104"/>
        <v>4</v>
      </c>
      <c r="O331" s="37">
        <v>45288</v>
      </c>
    </row>
    <row r="332" spans="1:15" x14ac:dyDescent="0.15">
      <c r="A332" s="39" t="s">
        <v>54</v>
      </c>
      <c r="B332" s="10"/>
      <c r="C332" s="11"/>
      <c r="D332" s="10">
        <v>1</v>
      </c>
      <c r="E332" s="11"/>
      <c r="F332" s="10"/>
      <c r="G332" s="48">
        <f t="shared" si="95"/>
        <v>1</v>
      </c>
      <c r="H332" s="10"/>
      <c r="I332" s="11">
        <v>4</v>
      </c>
      <c r="J332" s="10">
        <f>2+1</f>
        <v>3</v>
      </c>
      <c r="K332" s="11"/>
      <c r="L332" s="10"/>
      <c r="M332" s="44">
        <f t="shared" si="103"/>
        <v>7</v>
      </c>
      <c r="N332" s="31">
        <f t="shared" si="104"/>
        <v>8</v>
      </c>
      <c r="O332" s="37">
        <v>45296</v>
      </c>
    </row>
    <row r="333" spans="1:15" x14ac:dyDescent="0.15">
      <c r="A333" s="39" t="s">
        <v>54</v>
      </c>
      <c r="B333" s="10">
        <v>1</v>
      </c>
      <c r="C333" s="11">
        <v>1</v>
      </c>
      <c r="D333" s="10">
        <v>1</v>
      </c>
      <c r="E333" s="11"/>
      <c r="F333" s="10"/>
      <c r="G333" s="48">
        <f t="shared" si="95"/>
        <v>3</v>
      </c>
      <c r="H333" s="10">
        <v>3</v>
      </c>
      <c r="I333" s="11">
        <v>1</v>
      </c>
      <c r="J333" s="10">
        <v>1</v>
      </c>
      <c r="K333" s="11"/>
      <c r="L333" s="10"/>
      <c r="M333" s="44">
        <f t="shared" si="103"/>
        <v>5</v>
      </c>
      <c r="N333" s="31">
        <f t="shared" si="104"/>
        <v>8</v>
      </c>
      <c r="O333" s="37">
        <v>45301</v>
      </c>
    </row>
    <row r="334" spans="1:15" x14ac:dyDescent="0.15">
      <c r="A334" s="39" t="s">
        <v>54</v>
      </c>
      <c r="B334" s="10">
        <v>2</v>
      </c>
      <c r="C334" s="11"/>
      <c r="D334" s="10"/>
      <c r="E334" s="11"/>
      <c r="F334" s="10"/>
      <c r="G334" s="48">
        <f t="shared" si="95"/>
        <v>2</v>
      </c>
      <c r="H334" s="10"/>
      <c r="I334" s="11"/>
      <c r="J334" s="10"/>
      <c r="K334" s="11"/>
      <c r="L334" s="10"/>
      <c r="M334" s="44">
        <f t="shared" si="103"/>
        <v>0</v>
      </c>
      <c r="N334" s="31">
        <f t="shared" si="104"/>
        <v>2</v>
      </c>
      <c r="O334" s="37">
        <v>45320</v>
      </c>
    </row>
    <row r="335" spans="1:15" x14ac:dyDescent="0.15">
      <c r="A335" s="39" t="s">
        <v>54</v>
      </c>
      <c r="B335" s="10">
        <v>3</v>
      </c>
      <c r="C335" s="11"/>
      <c r="D335" s="10"/>
      <c r="E335" s="11"/>
      <c r="F335" s="10"/>
      <c r="G335" s="48">
        <f t="shared" si="95"/>
        <v>3</v>
      </c>
      <c r="H335" s="10">
        <v>3</v>
      </c>
      <c r="I335" s="11"/>
      <c r="J335" s="10"/>
      <c r="K335" s="11"/>
      <c r="L335" s="10"/>
      <c r="M335" s="44">
        <f t="shared" si="103"/>
        <v>3</v>
      </c>
      <c r="N335" s="31">
        <f t="shared" si="104"/>
        <v>6</v>
      </c>
      <c r="O335" s="37">
        <v>45329</v>
      </c>
    </row>
    <row r="336" spans="1:15" x14ac:dyDescent="0.15">
      <c r="A336" s="39"/>
      <c r="B336" s="10"/>
      <c r="C336" s="11"/>
      <c r="D336" s="10"/>
      <c r="E336" s="11"/>
      <c r="F336" s="10"/>
      <c r="G336" s="48">
        <f t="shared" si="95"/>
        <v>0</v>
      </c>
      <c r="H336" s="10"/>
      <c r="I336" s="11"/>
      <c r="J336" s="10"/>
      <c r="K336" s="11"/>
      <c r="L336" s="10"/>
      <c r="M336" s="44">
        <f t="shared" si="103"/>
        <v>0</v>
      </c>
      <c r="N336" s="31">
        <f t="shared" si="104"/>
        <v>0</v>
      </c>
      <c r="O336" s="37"/>
    </row>
    <row r="337" spans="1:16" x14ac:dyDescent="0.15">
      <c r="A337" s="39"/>
      <c r="B337" s="10"/>
      <c r="C337" s="11"/>
      <c r="D337" s="10"/>
      <c r="E337" s="11"/>
      <c r="F337" s="10"/>
      <c r="G337" s="48">
        <f t="shared" si="95"/>
        <v>0</v>
      </c>
      <c r="H337" s="10"/>
      <c r="I337" s="11"/>
      <c r="J337" s="10"/>
      <c r="K337" s="11"/>
      <c r="L337" s="10"/>
      <c r="M337" s="44">
        <f t="shared" si="103"/>
        <v>0</v>
      </c>
      <c r="N337" s="31">
        <f t="shared" si="104"/>
        <v>0</v>
      </c>
      <c r="O337" s="37"/>
    </row>
    <row r="338" spans="1:16" x14ac:dyDescent="0.15">
      <c r="A338" s="39"/>
      <c r="B338" s="10"/>
      <c r="C338" s="11"/>
      <c r="D338" s="10"/>
      <c r="E338" s="11"/>
      <c r="F338" s="10"/>
      <c r="G338" s="48">
        <f t="shared" si="95"/>
        <v>0</v>
      </c>
      <c r="H338" s="10"/>
      <c r="I338" s="11"/>
      <c r="J338" s="10"/>
      <c r="K338" s="11"/>
      <c r="L338" s="10"/>
      <c r="M338" s="44">
        <f t="shared" si="103"/>
        <v>0</v>
      </c>
      <c r="N338" s="31">
        <f t="shared" si="104"/>
        <v>0</v>
      </c>
      <c r="O338" s="37"/>
    </row>
    <row r="339" spans="1:16" x14ac:dyDescent="0.15">
      <c r="A339" s="39"/>
      <c r="B339" s="10"/>
      <c r="C339" s="11"/>
      <c r="D339" s="10"/>
      <c r="E339" s="11"/>
      <c r="F339" s="10"/>
      <c r="G339" s="48">
        <f t="shared" ref="G339:G341" si="105">SUM(B339:F339)</f>
        <v>0</v>
      </c>
      <c r="H339" s="10"/>
      <c r="I339" s="11"/>
      <c r="J339" s="10"/>
      <c r="K339" s="11"/>
      <c r="L339" s="10"/>
      <c r="M339" s="44">
        <f t="shared" si="96"/>
        <v>0</v>
      </c>
      <c r="N339" s="31">
        <f t="shared" si="97"/>
        <v>0</v>
      </c>
      <c r="O339" s="37"/>
    </row>
    <row r="340" spans="1:16" ht="14.25" thickBot="1" x14ac:dyDescent="0.2">
      <c r="A340" s="58"/>
      <c r="B340" s="13"/>
      <c r="C340" s="14"/>
      <c r="D340" s="13"/>
      <c r="E340" s="14"/>
      <c r="F340" s="13"/>
      <c r="G340" s="59">
        <f t="shared" si="105"/>
        <v>0</v>
      </c>
      <c r="H340" s="13"/>
      <c r="I340" s="14"/>
      <c r="J340" s="13"/>
      <c r="K340" s="14"/>
      <c r="L340" s="13"/>
      <c r="M340" s="60">
        <f t="shared" si="96"/>
        <v>0</v>
      </c>
      <c r="N340" s="36">
        <f t="shared" si="97"/>
        <v>0</v>
      </c>
    </row>
    <row r="341" spans="1:16" ht="14.25" thickBot="1" x14ac:dyDescent="0.2">
      <c r="A341" s="3" t="s">
        <v>5</v>
      </c>
      <c r="B341" s="16">
        <f>SUM(B317:B340)</f>
        <v>11</v>
      </c>
      <c r="C341" s="61">
        <f>SUM(C317:C340)</f>
        <v>11</v>
      </c>
      <c r="D341" s="16">
        <f t="shared" ref="D341:E341" si="106">SUM(D317:D340)</f>
        <v>13</v>
      </c>
      <c r="E341" s="61">
        <f t="shared" si="106"/>
        <v>0</v>
      </c>
      <c r="F341" s="15">
        <f>SUM(F317:F340)</f>
        <v>0</v>
      </c>
      <c r="G341" s="16">
        <f t="shared" si="105"/>
        <v>35</v>
      </c>
      <c r="H341" s="15">
        <f>SUM(H317:H340)</f>
        <v>7</v>
      </c>
      <c r="I341" s="15">
        <f t="shared" ref="I341:J341" si="107">SUM(I317:I340)</f>
        <v>17</v>
      </c>
      <c r="J341" s="15">
        <f t="shared" si="107"/>
        <v>10</v>
      </c>
      <c r="K341" s="15">
        <f>SUM(K317:K340)</f>
        <v>0</v>
      </c>
      <c r="L341" s="15">
        <f>SUM(L317:L340)</f>
        <v>0</v>
      </c>
      <c r="M341" s="16">
        <f t="shared" si="96"/>
        <v>34</v>
      </c>
      <c r="N341" s="34">
        <f t="shared" si="97"/>
        <v>69</v>
      </c>
    </row>
    <row r="342" spans="1:16" ht="14.25" thickBot="1" x14ac:dyDescent="0.2">
      <c r="A342" s="25" t="s">
        <v>6</v>
      </c>
      <c r="B342" s="26">
        <f>B316-B341</f>
        <v>0</v>
      </c>
      <c r="C342" s="26">
        <f t="shared" ref="C342:G342" si="108">C316-C341</f>
        <v>6</v>
      </c>
      <c r="D342" s="26">
        <f t="shared" si="108"/>
        <v>4</v>
      </c>
      <c r="E342" s="26">
        <f t="shared" si="108"/>
        <v>0</v>
      </c>
      <c r="F342" s="26">
        <f t="shared" si="108"/>
        <v>0</v>
      </c>
      <c r="G342" s="26">
        <f t="shared" si="108"/>
        <v>10</v>
      </c>
      <c r="H342" s="26">
        <f>H316-H341</f>
        <v>3</v>
      </c>
      <c r="I342" s="26">
        <f t="shared" ref="I342:M342" si="109">I316-I341</f>
        <v>9</v>
      </c>
      <c r="J342" s="26">
        <f t="shared" si="109"/>
        <v>3</v>
      </c>
      <c r="K342" s="26">
        <f t="shared" si="109"/>
        <v>0</v>
      </c>
      <c r="L342" s="26">
        <f t="shared" si="109"/>
        <v>0</v>
      </c>
      <c r="M342" s="26">
        <f t="shared" si="109"/>
        <v>15</v>
      </c>
      <c r="N342" s="38">
        <f t="shared" si="97"/>
        <v>25</v>
      </c>
    </row>
    <row r="345" spans="1:16" ht="18" thickBot="1" x14ac:dyDescent="0.25">
      <c r="A345" s="29" t="s">
        <v>17</v>
      </c>
      <c r="B345" s="1"/>
      <c r="C345" s="1"/>
      <c r="D345" s="1" t="s">
        <v>65</v>
      </c>
      <c r="E345" s="1"/>
      <c r="F345" s="1"/>
      <c r="G345" s="1"/>
      <c r="H345" s="1"/>
      <c r="I345" s="1"/>
      <c r="J345" s="1"/>
      <c r="K345" s="1"/>
      <c r="L345" s="1"/>
      <c r="M345" s="1"/>
    </row>
    <row r="346" spans="1:16" ht="14.25" thickBot="1" x14ac:dyDescent="0.2">
      <c r="A346" s="2" t="s">
        <v>0</v>
      </c>
      <c r="B346" s="220" t="s">
        <v>14</v>
      </c>
      <c r="C346" s="220"/>
      <c r="D346" s="220"/>
      <c r="E346" s="220"/>
      <c r="F346" s="220"/>
      <c r="G346" s="221"/>
      <c r="H346" s="217" t="s">
        <v>15</v>
      </c>
      <c r="I346" s="217"/>
      <c r="J346" s="217"/>
      <c r="K346" s="217"/>
      <c r="L346" s="217"/>
      <c r="M346" s="218"/>
      <c r="N346" s="208" t="s">
        <v>10</v>
      </c>
    </row>
    <row r="347" spans="1:16" ht="14.25" thickBot="1" x14ac:dyDescent="0.2">
      <c r="A347" s="2" t="s">
        <v>1</v>
      </c>
      <c r="B347" s="3" t="s">
        <v>7</v>
      </c>
      <c r="C347" s="2" t="s">
        <v>8</v>
      </c>
      <c r="D347" s="19" t="s">
        <v>9</v>
      </c>
      <c r="E347" s="2" t="s">
        <v>20</v>
      </c>
      <c r="F347" s="2" t="s">
        <v>22</v>
      </c>
      <c r="G347" s="19" t="s">
        <v>2</v>
      </c>
      <c r="H347" s="2" t="s">
        <v>11</v>
      </c>
      <c r="I347" s="19" t="s">
        <v>12</v>
      </c>
      <c r="J347" s="2" t="s">
        <v>13</v>
      </c>
      <c r="K347" s="53" t="s">
        <v>19</v>
      </c>
      <c r="L347" s="53" t="s">
        <v>21</v>
      </c>
      <c r="M347" s="2" t="s">
        <v>2</v>
      </c>
      <c r="N347" s="209"/>
    </row>
    <row r="348" spans="1:16" ht="14.25" thickBot="1" x14ac:dyDescent="0.2">
      <c r="A348" s="3" t="s">
        <v>6</v>
      </c>
      <c r="B348" s="63">
        <f>B342</f>
        <v>0</v>
      </c>
      <c r="C348" s="64">
        <f>C342</f>
        <v>6</v>
      </c>
      <c r="D348" s="63">
        <f>D342</f>
        <v>4</v>
      </c>
      <c r="E348" s="64">
        <f>E342</f>
        <v>0</v>
      </c>
      <c r="F348" s="148">
        <f>F342</f>
        <v>0</v>
      </c>
      <c r="G348" s="16">
        <f t="shared" ref="G348" si="110">SUM(B348:F348)</f>
        <v>10</v>
      </c>
      <c r="H348" s="149">
        <f>H342</f>
        <v>3</v>
      </c>
      <c r="I348" s="63">
        <f t="shared" ref="I348:L348" si="111">I342</f>
        <v>9</v>
      </c>
      <c r="J348" s="63">
        <f t="shared" si="111"/>
        <v>3</v>
      </c>
      <c r="K348" s="63">
        <f t="shared" si="111"/>
        <v>0</v>
      </c>
      <c r="L348" s="63">
        <f t="shared" si="111"/>
        <v>0</v>
      </c>
      <c r="M348" s="65">
        <f t="shared" ref="M348:M384" si="112">SUM(H348:L348)</f>
        <v>15</v>
      </c>
      <c r="N348" s="34">
        <f>SUM(M348,G348)</f>
        <v>25</v>
      </c>
    </row>
    <row r="349" spans="1:16" x14ac:dyDescent="0.15">
      <c r="A349" s="50" t="s">
        <v>3</v>
      </c>
      <c r="B349" s="13">
        <v>8</v>
      </c>
      <c r="C349" s="14">
        <v>10</v>
      </c>
      <c r="D349" s="13">
        <v>5</v>
      </c>
      <c r="E349" s="14"/>
      <c r="F349" s="146"/>
      <c r="G349" s="5">
        <f t="shared" ref="G349:G357" si="113">SUM(B349:F349)</f>
        <v>23</v>
      </c>
      <c r="H349" s="147">
        <v>5</v>
      </c>
      <c r="I349" s="14">
        <v>10</v>
      </c>
      <c r="J349" s="13">
        <v>5</v>
      </c>
      <c r="K349" s="14"/>
      <c r="L349" s="13"/>
      <c r="M349" s="151">
        <f t="shared" ref="M349:M357" si="114">SUM(H349:L349)</f>
        <v>20</v>
      </c>
      <c r="N349" s="152">
        <f t="shared" ref="N349:N357" si="115">SUM(M349,G349)</f>
        <v>43</v>
      </c>
      <c r="O349" s="32">
        <v>45330</v>
      </c>
    </row>
    <row r="350" spans="1:16" x14ac:dyDescent="0.15">
      <c r="A350" s="50" t="s">
        <v>3</v>
      </c>
      <c r="B350" s="13">
        <v>10</v>
      </c>
      <c r="C350" s="14"/>
      <c r="D350" s="13"/>
      <c r="E350" s="14"/>
      <c r="F350" s="146"/>
      <c r="G350" s="8">
        <f t="shared" si="113"/>
        <v>10</v>
      </c>
      <c r="H350" s="147"/>
      <c r="I350" s="14"/>
      <c r="J350" s="13"/>
      <c r="K350" s="14"/>
      <c r="L350" s="13"/>
      <c r="M350" s="8">
        <f t="shared" si="114"/>
        <v>0</v>
      </c>
      <c r="N350" s="145">
        <f t="shared" si="115"/>
        <v>10</v>
      </c>
      <c r="O350" s="32">
        <v>45353</v>
      </c>
      <c r="P350" s="33"/>
    </row>
    <row r="351" spans="1:16" x14ac:dyDescent="0.15">
      <c r="A351" s="50" t="s">
        <v>3</v>
      </c>
      <c r="B351" s="13"/>
      <c r="C351" s="14">
        <v>20</v>
      </c>
      <c r="D351" s="13">
        <v>5</v>
      </c>
      <c r="E351" s="14"/>
      <c r="F351" s="146"/>
      <c r="G351" s="8">
        <f t="shared" ref="G351:G353" si="116">SUM(B351:F351)</f>
        <v>25</v>
      </c>
      <c r="H351" s="147"/>
      <c r="I351" s="14">
        <v>15</v>
      </c>
      <c r="J351" s="13">
        <v>5</v>
      </c>
      <c r="K351" s="14"/>
      <c r="L351" s="13"/>
      <c r="M351" s="8">
        <f t="shared" ref="M351:M353" si="117">SUM(H351:L351)</f>
        <v>20</v>
      </c>
      <c r="N351" s="145">
        <f t="shared" ref="N351:N353" si="118">SUM(M351,G351)</f>
        <v>45</v>
      </c>
      <c r="O351" s="32">
        <v>45370</v>
      </c>
    </row>
    <row r="352" spans="1:16" x14ac:dyDescent="0.15">
      <c r="A352" s="50" t="s">
        <v>3</v>
      </c>
      <c r="B352" s="13"/>
      <c r="C352" s="14"/>
      <c r="D352" s="13"/>
      <c r="E352" s="14"/>
      <c r="F352" s="146"/>
      <c r="G352" s="8">
        <f t="shared" si="116"/>
        <v>0</v>
      </c>
      <c r="H352" s="147">
        <v>10</v>
      </c>
      <c r="I352" s="14"/>
      <c r="J352" s="13"/>
      <c r="K352" s="14"/>
      <c r="L352" s="13"/>
      <c r="M352" s="8">
        <f t="shared" si="117"/>
        <v>10</v>
      </c>
      <c r="N352" s="145">
        <f t="shared" si="118"/>
        <v>10</v>
      </c>
      <c r="O352" s="37">
        <v>45378</v>
      </c>
    </row>
    <row r="353" spans="1:15" x14ac:dyDescent="0.15">
      <c r="A353" s="50" t="s">
        <v>3</v>
      </c>
      <c r="B353" s="13">
        <v>10</v>
      </c>
      <c r="C353" s="14"/>
      <c r="D353" s="13"/>
      <c r="E353" s="14"/>
      <c r="F353" s="146"/>
      <c r="G353" s="8">
        <f t="shared" si="116"/>
        <v>10</v>
      </c>
      <c r="H353" s="147"/>
      <c r="I353" s="14"/>
      <c r="J353" s="13"/>
      <c r="K353" s="14"/>
      <c r="L353" s="13"/>
      <c r="M353" s="8">
        <f t="shared" si="117"/>
        <v>0</v>
      </c>
      <c r="N353" s="145">
        <f t="shared" si="118"/>
        <v>10</v>
      </c>
      <c r="O353" s="32">
        <v>45379</v>
      </c>
    </row>
    <row r="354" spans="1:15" x14ac:dyDescent="0.15">
      <c r="A354" s="50" t="s">
        <v>3</v>
      </c>
      <c r="B354" s="13"/>
      <c r="C354" s="14"/>
      <c r="D354" s="13"/>
      <c r="E354" s="14"/>
      <c r="F354" s="146"/>
      <c r="G354" s="8">
        <f t="shared" si="113"/>
        <v>0</v>
      </c>
      <c r="H354" s="147">
        <v>5</v>
      </c>
      <c r="I354" s="14"/>
      <c r="J354" s="13"/>
      <c r="K354" s="14"/>
      <c r="L354" s="13"/>
      <c r="M354" s="8">
        <f t="shared" si="114"/>
        <v>5</v>
      </c>
      <c r="N354" s="145">
        <f t="shared" si="115"/>
        <v>5</v>
      </c>
      <c r="O354" s="32">
        <v>45394</v>
      </c>
    </row>
    <row r="355" spans="1:15" x14ac:dyDescent="0.15">
      <c r="A355" s="50" t="s">
        <v>3</v>
      </c>
      <c r="B355" s="13"/>
      <c r="C355" s="14"/>
      <c r="D355" s="13"/>
      <c r="E355" s="14"/>
      <c r="F355" s="146"/>
      <c r="G355" s="8">
        <f t="shared" si="113"/>
        <v>0</v>
      </c>
      <c r="H355" s="147"/>
      <c r="I355" s="14"/>
      <c r="J355" s="13"/>
      <c r="K355" s="14"/>
      <c r="L355" s="13"/>
      <c r="M355" s="8">
        <f t="shared" si="114"/>
        <v>0</v>
      </c>
      <c r="N355" s="145">
        <f t="shared" si="115"/>
        <v>0</v>
      </c>
    </row>
    <row r="356" spans="1:15" x14ac:dyDescent="0.15">
      <c r="A356" s="50" t="s">
        <v>3</v>
      </c>
      <c r="B356" s="13"/>
      <c r="C356" s="14"/>
      <c r="D356" s="13"/>
      <c r="E356" s="14"/>
      <c r="F356" s="146"/>
      <c r="G356" s="8">
        <f t="shared" si="113"/>
        <v>0</v>
      </c>
      <c r="H356" s="147"/>
      <c r="I356" s="14"/>
      <c r="J356" s="13"/>
      <c r="K356" s="14"/>
      <c r="L356" s="13"/>
      <c r="M356" s="8">
        <f t="shared" si="114"/>
        <v>0</v>
      </c>
      <c r="N356" s="145">
        <f t="shared" si="115"/>
        <v>0</v>
      </c>
    </row>
    <row r="357" spans="1:15" x14ac:dyDescent="0.15">
      <c r="A357" s="50" t="s">
        <v>3</v>
      </c>
      <c r="B357" s="13"/>
      <c r="C357" s="14"/>
      <c r="D357" s="13"/>
      <c r="E357" s="14"/>
      <c r="F357" s="146"/>
      <c r="G357" s="8">
        <f t="shared" si="113"/>
        <v>0</v>
      </c>
      <c r="H357" s="147"/>
      <c r="I357" s="14"/>
      <c r="J357" s="13"/>
      <c r="K357" s="14"/>
      <c r="L357" s="13"/>
      <c r="M357" s="8">
        <f t="shared" si="114"/>
        <v>0</v>
      </c>
      <c r="N357" s="145">
        <f t="shared" si="115"/>
        <v>0</v>
      </c>
    </row>
    <row r="358" spans="1:15" ht="14.25" thickBot="1" x14ac:dyDescent="0.2">
      <c r="A358" s="50" t="s">
        <v>3</v>
      </c>
      <c r="B358" s="13"/>
      <c r="C358" s="14"/>
      <c r="D358" s="13"/>
      <c r="E358" s="14"/>
      <c r="F358" s="146"/>
      <c r="G358" s="88">
        <f t="shared" ref="G358:G384" si="119">SUM(B358:F358)</f>
        <v>0</v>
      </c>
      <c r="H358" s="147"/>
      <c r="I358" s="14"/>
      <c r="J358" s="13"/>
      <c r="K358" s="14"/>
      <c r="L358" s="13"/>
      <c r="M358" s="42">
        <f t="shared" si="112"/>
        <v>0</v>
      </c>
      <c r="N358" s="36">
        <f t="shared" ref="N358:N385" si="120">SUM(M358,G358)</f>
        <v>0</v>
      </c>
    </row>
    <row r="359" spans="1:15" ht="14.25" thickBot="1" x14ac:dyDescent="0.2">
      <c r="A359" s="51" t="s">
        <v>4</v>
      </c>
      <c r="B359" s="22">
        <f>SUM(B348:B358)</f>
        <v>28</v>
      </c>
      <c r="C359" s="22">
        <f>SUM(C348:C358)</f>
        <v>36</v>
      </c>
      <c r="D359" s="57">
        <f t="shared" ref="D359:E359" si="121">SUM(D348:D358)</f>
        <v>14</v>
      </c>
      <c r="E359" s="22">
        <f t="shared" si="121"/>
        <v>0</v>
      </c>
      <c r="F359" s="23">
        <f>SUM(F348:F358)</f>
        <v>0</v>
      </c>
      <c r="G359" s="24">
        <f t="shared" si="119"/>
        <v>78</v>
      </c>
      <c r="H359" s="150">
        <f>SUM(H348:H358)</f>
        <v>23</v>
      </c>
      <c r="I359" s="22">
        <f t="shared" ref="I359:J359" si="122">SUM(I348:I358)</f>
        <v>34</v>
      </c>
      <c r="J359" s="22">
        <f t="shared" si="122"/>
        <v>13</v>
      </c>
      <c r="K359" s="57">
        <f>SUM(K348:K358)</f>
        <v>0</v>
      </c>
      <c r="L359" s="22">
        <f>SUM(L348:L358)</f>
        <v>0</v>
      </c>
      <c r="M359" s="43">
        <f t="shared" si="112"/>
        <v>70</v>
      </c>
      <c r="N359" s="34">
        <f t="shared" si="120"/>
        <v>148</v>
      </c>
    </row>
    <row r="360" spans="1:15" x14ac:dyDescent="0.15">
      <c r="A360" s="39" t="s">
        <v>54</v>
      </c>
      <c r="B360" s="10">
        <v>5</v>
      </c>
      <c r="C360" s="11"/>
      <c r="D360" s="10"/>
      <c r="E360" s="11"/>
      <c r="F360" s="10"/>
      <c r="G360" s="48">
        <f t="shared" ref="G360:G377" si="123">SUM(B360:F360)</f>
        <v>5</v>
      </c>
      <c r="H360" s="10">
        <v>1</v>
      </c>
      <c r="I360" s="11"/>
      <c r="J360" s="10"/>
      <c r="K360" s="11"/>
      <c r="L360" s="10"/>
      <c r="M360" s="44">
        <f t="shared" ref="M360:M377" si="124">SUM(H360:L360)</f>
        <v>1</v>
      </c>
      <c r="N360" s="31">
        <f t="shared" ref="N360:N377" si="125">SUM(M360,G360)</f>
        <v>6</v>
      </c>
      <c r="O360" s="37">
        <v>45335</v>
      </c>
    </row>
    <row r="361" spans="1:15" x14ac:dyDescent="0.15">
      <c r="A361" s="39" t="s">
        <v>54</v>
      </c>
      <c r="B361" s="10"/>
      <c r="C361" s="11">
        <v>4</v>
      </c>
      <c r="D361" s="10"/>
      <c r="E361" s="11"/>
      <c r="F361" s="10"/>
      <c r="G361" s="48">
        <f t="shared" si="123"/>
        <v>4</v>
      </c>
      <c r="H361" s="10"/>
      <c r="I361" s="11">
        <v>4</v>
      </c>
      <c r="J361" s="10"/>
      <c r="K361" s="11"/>
      <c r="L361" s="10"/>
      <c r="M361" s="44">
        <f t="shared" si="124"/>
        <v>4</v>
      </c>
      <c r="N361" s="31">
        <f t="shared" si="125"/>
        <v>8</v>
      </c>
      <c r="O361" s="37">
        <v>45337</v>
      </c>
    </row>
    <row r="362" spans="1:15" x14ac:dyDescent="0.15">
      <c r="A362" s="39" t="s">
        <v>54</v>
      </c>
      <c r="B362" s="10">
        <v>1</v>
      </c>
      <c r="C362" s="11"/>
      <c r="D362" s="10"/>
      <c r="E362" s="11"/>
      <c r="F362" s="10"/>
      <c r="G362" s="48">
        <f t="shared" si="123"/>
        <v>1</v>
      </c>
      <c r="H362" s="10">
        <v>1</v>
      </c>
      <c r="I362" s="11"/>
      <c r="J362" s="10"/>
      <c r="K362" s="11"/>
      <c r="L362" s="10"/>
      <c r="M362" s="44">
        <f t="shared" si="124"/>
        <v>1</v>
      </c>
      <c r="N362" s="31">
        <f t="shared" si="125"/>
        <v>2</v>
      </c>
      <c r="O362" s="37">
        <v>45341</v>
      </c>
    </row>
    <row r="363" spans="1:15" x14ac:dyDescent="0.15">
      <c r="A363" s="39" t="s">
        <v>54</v>
      </c>
      <c r="B363" s="10">
        <v>1</v>
      </c>
      <c r="C363" s="11"/>
      <c r="D363" s="10">
        <v>1</v>
      </c>
      <c r="E363" s="11"/>
      <c r="F363" s="10"/>
      <c r="G363" s="48">
        <f t="shared" si="123"/>
        <v>2</v>
      </c>
      <c r="H363" s="10">
        <v>3</v>
      </c>
      <c r="I363" s="11"/>
      <c r="J363" s="10">
        <v>1</v>
      </c>
      <c r="K363" s="11"/>
      <c r="L363" s="10"/>
      <c r="M363" s="44">
        <f t="shared" si="124"/>
        <v>4</v>
      </c>
      <c r="N363" s="31">
        <f t="shared" si="125"/>
        <v>6</v>
      </c>
      <c r="O363" s="37">
        <v>45348</v>
      </c>
    </row>
    <row r="364" spans="1:15" x14ac:dyDescent="0.15">
      <c r="A364" s="39" t="s">
        <v>54</v>
      </c>
      <c r="B364" s="10"/>
      <c r="C364" s="11">
        <v>2</v>
      </c>
      <c r="D364" s="10"/>
      <c r="E364" s="11"/>
      <c r="F364" s="10"/>
      <c r="G364" s="48">
        <f t="shared" si="123"/>
        <v>2</v>
      </c>
      <c r="H364" s="10"/>
      <c r="I364" s="11">
        <v>2</v>
      </c>
      <c r="J364" s="10"/>
      <c r="K364" s="11"/>
      <c r="L364" s="10"/>
      <c r="M364" s="44">
        <f t="shared" si="124"/>
        <v>2</v>
      </c>
      <c r="N364" s="31">
        <f t="shared" si="125"/>
        <v>4</v>
      </c>
      <c r="O364" s="37">
        <v>45350</v>
      </c>
    </row>
    <row r="365" spans="1:15" x14ac:dyDescent="0.15">
      <c r="A365" s="39" t="s">
        <v>54</v>
      </c>
      <c r="B365" s="10"/>
      <c r="C365" s="11"/>
      <c r="D365" s="10">
        <v>1</v>
      </c>
      <c r="E365" s="11"/>
      <c r="F365" s="10"/>
      <c r="G365" s="48">
        <f t="shared" si="123"/>
        <v>1</v>
      </c>
      <c r="H365" s="10"/>
      <c r="I365" s="11"/>
      <c r="J365" s="10">
        <v>1</v>
      </c>
      <c r="K365" s="11"/>
      <c r="L365" s="10"/>
      <c r="M365" s="44">
        <f t="shared" si="124"/>
        <v>1</v>
      </c>
      <c r="N365" s="31">
        <f t="shared" si="125"/>
        <v>2</v>
      </c>
      <c r="O365" s="37">
        <v>45353</v>
      </c>
    </row>
    <row r="366" spans="1:15" x14ac:dyDescent="0.15">
      <c r="A366" s="39" t="s">
        <v>54</v>
      </c>
      <c r="B366" s="10"/>
      <c r="C366" s="11"/>
      <c r="D366" s="10">
        <v>1</v>
      </c>
      <c r="E366" s="11"/>
      <c r="F366" s="10"/>
      <c r="G366" s="48">
        <f t="shared" si="123"/>
        <v>1</v>
      </c>
      <c r="H366" s="10"/>
      <c r="I366" s="11"/>
      <c r="J366" s="10">
        <v>1</v>
      </c>
      <c r="K366" s="11"/>
      <c r="L366" s="10"/>
      <c r="M366" s="44">
        <f t="shared" si="124"/>
        <v>1</v>
      </c>
      <c r="N366" s="31">
        <f t="shared" si="125"/>
        <v>2</v>
      </c>
      <c r="O366" s="37">
        <v>45355</v>
      </c>
    </row>
    <row r="367" spans="1:15" x14ac:dyDescent="0.15">
      <c r="A367" s="39" t="s">
        <v>54</v>
      </c>
      <c r="B367" s="10"/>
      <c r="C367" s="11">
        <v>1</v>
      </c>
      <c r="D367" s="10"/>
      <c r="E367" s="11"/>
      <c r="F367" s="10"/>
      <c r="G367" s="48">
        <f t="shared" si="123"/>
        <v>1</v>
      </c>
      <c r="H367" s="10"/>
      <c r="I367" s="11">
        <v>1</v>
      </c>
      <c r="J367" s="10"/>
      <c r="K367" s="11"/>
      <c r="L367" s="10"/>
      <c r="M367" s="44">
        <f t="shared" si="124"/>
        <v>1</v>
      </c>
      <c r="N367" s="31">
        <f t="shared" si="125"/>
        <v>2</v>
      </c>
      <c r="O367" s="37">
        <v>45357</v>
      </c>
    </row>
    <row r="368" spans="1:15" x14ac:dyDescent="0.15">
      <c r="A368" s="39" t="s">
        <v>54</v>
      </c>
      <c r="B368" s="10"/>
      <c r="C368" s="11">
        <v>1</v>
      </c>
      <c r="D368" s="10"/>
      <c r="E368" s="11"/>
      <c r="F368" s="10"/>
      <c r="G368" s="48">
        <f t="shared" si="123"/>
        <v>1</v>
      </c>
      <c r="H368" s="10"/>
      <c r="I368" s="11">
        <v>1</v>
      </c>
      <c r="J368" s="10"/>
      <c r="K368" s="11"/>
      <c r="L368" s="10"/>
      <c r="M368" s="44">
        <f t="shared" si="124"/>
        <v>1</v>
      </c>
      <c r="N368" s="31">
        <f t="shared" si="125"/>
        <v>2</v>
      </c>
      <c r="O368" s="37">
        <v>45364</v>
      </c>
    </row>
    <row r="369" spans="1:15" x14ac:dyDescent="0.15">
      <c r="A369" s="39" t="s">
        <v>54</v>
      </c>
      <c r="B369" s="10">
        <v>1</v>
      </c>
      <c r="C369" s="11"/>
      <c r="D369" s="10">
        <v>1</v>
      </c>
      <c r="E369" s="11"/>
      <c r="F369" s="10"/>
      <c r="G369" s="48">
        <f t="shared" si="123"/>
        <v>2</v>
      </c>
      <c r="H369" s="10">
        <v>1</v>
      </c>
      <c r="I369" s="11"/>
      <c r="J369" s="10">
        <v>1</v>
      </c>
      <c r="K369" s="11"/>
      <c r="L369" s="10"/>
      <c r="M369" s="44">
        <f t="shared" si="124"/>
        <v>2</v>
      </c>
      <c r="N369" s="31">
        <f t="shared" si="125"/>
        <v>4</v>
      </c>
      <c r="O369" s="37">
        <v>45366</v>
      </c>
    </row>
    <row r="370" spans="1:15" x14ac:dyDescent="0.15">
      <c r="A370" s="39" t="s">
        <v>54</v>
      </c>
      <c r="B370" s="10"/>
      <c r="C370" s="11">
        <v>6</v>
      </c>
      <c r="D370" s="10"/>
      <c r="E370" s="11"/>
      <c r="F370" s="10"/>
      <c r="G370" s="48">
        <f t="shared" si="123"/>
        <v>6</v>
      </c>
      <c r="H370" s="10"/>
      <c r="I370" s="11">
        <v>6</v>
      </c>
      <c r="J370" s="10"/>
      <c r="K370" s="11"/>
      <c r="L370" s="10"/>
      <c r="M370" s="44">
        <f t="shared" si="124"/>
        <v>6</v>
      </c>
      <c r="N370" s="31">
        <f t="shared" si="125"/>
        <v>12</v>
      </c>
      <c r="O370" s="37">
        <v>45367</v>
      </c>
    </row>
    <row r="371" spans="1:15" x14ac:dyDescent="0.15">
      <c r="A371" s="39" t="s">
        <v>54</v>
      </c>
      <c r="B371" s="10"/>
      <c r="C371" s="11">
        <v>1</v>
      </c>
      <c r="D371" s="10"/>
      <c r="E371" s="11"/>
      <c r="F371" s="10"/>
      <c r="G371" s="48">
        <f t="shared" si="123"/>
        <v>1</v>
      </c>
      <c r="H371" s="10"/>
      <c r="I371" s="11">
        <v>3</v>
      </c>
      <c r="J371" s="10"/>
      <c r="K371" s="11"/>
      <c r="L371" s="10"/>
      <c r="M371" s="44">
        <f t="shared" si="124"/>
        <v>3</v>
      </c>
      <c r="N371" s="31">
        <f t="shared" si="125"/>
        <v>4</v>
      </c>
      <c r="O371" s="37">
        <v>45369</v>
      </c>
    </row>
    <row r="372" spans="1:15" x14ac:dyDescent="0.15">
      <c r="A372" s="39" t="s">
        <v>54</v>
      </c>
      <c r="B372" s="10"/>
      <c r="C372" s="11">
        <v>1</v>
      </c>
      <c r="D372" s="10"/>
      <c r="E372" s="11"/>
      <c r="F372" s="10"/>
      <c r="G372" s="48">
        <f t="shared" si="123"/>
        <v>1</v>
      </c>
      <c r="H372" s="10"/>
      <c r="I372" s="11">
        <v>1</v>
      </c>
      <c r="J372" s="10"/>
      <c r="K372" s="11"/>
      <c r="L372" s="10"/>
      <c r="M372" s="44">
        <f t="shared" si="124"/>
        <v>1</v>
      </c>
      <c r="N372" s="31">
        <f t="shared" si="125"/>
        <v>2</v>
      </c>
      <c r="O372" s="37">
        <v>45372</v>
      </c>
    </row>
    <row r="373" spans="1:15" x14ac:dyDescent="0.15">
      <c r="A373" s="39" t="s">
        <v>54</v>
      </c>
      <c r="B373" s="10">
        <v>3</v>
      </c>
      <c r="C373" s="11">
        <v>1</v>
      </c>
      <c r="D373" s="10"/>
      <c r="E373" s="11"/>
      <c r="F373" s="10"/>
      <c r="G373" s="48">
        <f t="shared" si="123"/>
        <v>4</v>
      </c>
      <c r="H373" s="10">
        <v>1</v>
      </c>
      <c r="I373" s="11">
        <v>1</v>
      </c>
      <c r="J373" s="10"/>
      <c r="K373" s="11"/>
      <c r="L373" s="10"/>
      <c r="M373" s="44">
        <f t="shared" si="124"/>
        <v>2</v>
      </c>
      <c r="N373" s="31">
        <f t="shared" si="125"/>
        <v>6</v>
      </c>
      <c r="O373" s="37">
        <v>45376</v>
      </c>
    </row>
    <row r="374" spans="1:15" x14ac:dyDescent="0.15">
      <c r="A374" s="39" t="s">
        <v>54</v>
      </c>
      <c r="B374" s="10">
        <v>1</v>
      </c>
      <c r="C374" s="11"/>
      <c r="D374" s="10"/>
      <c r="E374" s="11"/>
      <c r="F374" s="10"/>
      <c r="G374" s="48">
        <f t="shared" si="123"/>
        <v>1</v>
      </c>
      <c r="H374" s="10">
        <v>1</v>
      </c>
      <c r="I374" s="11"/>
      <c r="J374" s="10"/>
      <c r="K374" s="11"/>
      <c r="L374" s="10"/>
      <c r="M374" s="44">
        <f t="shared" si="124"/>
        <v>1</v>
      </c>
      <c r="N374" s="31">
        <f t="shared" si="125"/>
        <v>2</v>
      </c>
      <c r="O374" s="37">
        <v>45377</v>
      </c>
    </row>
    <row r="375" spans="1:15" x14ac:dyDescent="0.15">
      <c r="A375" s="39" t="s">
        <v>54</v>
      </c>
      <c r="B375" s="10">
        <v>2</v>
      </c>
      <c r="C375" s="11"/>
      <c r="D375" s="10"/>
      <c r="E375" s="11"/>
      <c r="F375" s="10"/>
      <c r="G375" s="48">
        <f t="shared" si="123"/>
        <v>2</v>
      </c>
      <c r="H375" s="10"/>
      <c r="I375" s="11"/>
      <c r="J375" s="10"/>
      <c r="K375" s="11"/>
      <c r="L375" s="10"/>
      <c r="M375" s="44">
        <f t="shared" si="124"/>
        <v>0</v>
      </c>
      <c r="N375" s="31">
        <f t="shared" si="125"/>
        <v>2</v>
      </c>
      <c r="O375" s="37">
        <v>45378</v>
      </c>
    </row>
    <row r="376" spans="1:15" x14ac:dyDescent="0.15">
      <c r="A376" s="39" t="s">
        <v>54</v>
      </c>
      <c r="B376" s="10"/>
      <c r="C376" s="11">
        <v>1</v>
      </c>
      <c r="D376" s="10">
        <v>1</v>
      </c>
      <c r="E376" s="11"/>
      <c r="F376" s="10"/>
      <c r="G376" s="48">
        <f t="shared" si="123"/>
        <v>2</v>
      </c>
      <c r="H376" s="10"/>
      <c r="I376" s="11">
        <v>1</v>
      </c>
      <c r="J376" s="10">
        <v>1</v>
      </c>
      <c r="K376" s="11"/>
      <c r="L376" s="10"/>
      <c r="M376" s="44">
        <f t="shared" si="124"/>
        <v>2</v>
      </c>
      <c r="N376" s="31">
        <f t="shared" si="125"/>
        <v>4</v>
      </c>
      <c r="O376" s="37">
        <v>45379</v>
      </c>
    </row>
    <row r="377" spans="1:15" x14ac:dyDescent="0.15">
      <c r="A377" s="39" t="s">
        <v>54</v>
      </c>
      <c r="B377" s="10">
        <v>1</v>
      </c>
      <c r="C377" s="11"/>
      <c r="D377" s="10"/>
      <c r="E377" s="11"/>
      <c r="F377" s="10"/>
      <c r="G377" s="48">
        <f t="shared" si="123"/>
        <v>1</v>
      </c>
      <c r="H377" s="10">
        <v>1</v>
      </c>
      <c r="I377" s="11"/>
      <c r="J377" s="10"/>
      <c r="K377" s="11"/>
      <c r="L377" s="10"/>
      <c r="M377" s="44">
        <f t="shared" si="124"/>
        <v>1</v>
      </c>
      <c r="N377" s="31">
        <f t="shared" si="125"/>
        <v>2</v>
      </c>
      <c r="O377" s="37">
        <v>45383</v>
      </c>
    </row>
    <row r="378" spans="1:15" x14ac:dyDescent="0.15">
      <c r="A378" s="39" t="s">
        <v>54</v>
      </c>
      <c r="B378" s="10"/>
      <c r="C378" s="11"/>
      <c r="D378" s="10"/>
      <c r="E378" s="11"/>
      <c r="F378" s="10"/>
      <c r="G378" s="48">
        <f t="shared" si="119"/>
        <v>0</v>
      </c>
      <c r="H378" s="10">
        <v>2</v>
      </c>
      <c r="I378" s="11"/>
      <c r="J378" s="10"/>
      <c r="K378" s="11"/>
      <c r="L378" s="10"/>
      <c r="M378" s="44">
        <f t="shared" si="112"/>
        <v>2</v>
      </c>
      <c r="N378" s="31">
        <f t="shared" si="120"/>
        <v>2</v>
      </c>
      <c r="O378" s="37">
        <v>45384</v>
      </c>
    </row>
    <row r="379" spans="1:15" x14ac:dyDescent="0.15">
      <c r="A379" s="39" t="s">
        <v>54</v>
      </c>
      <c r="B379" s="10"/>
      <c r="C379" s="11"/>
      <c r="D379" s="10">
        <v>1</v>
      </c>
      <c r="E379" s="11"/>
      <c r="F379" s="10"/>
      <c r="G379" s="48">
        <f t="shared" si="119"/>
        <v>1</v>
      </c>
      <c r="H379" s="10"/>
      <c r="I379" s="11"/>
      <c r="J379" s="10">
        <v>1</v>
      </c>
      <c r="K379" s="11"/>
      <c r="L379" s="10"/>
      <c r="M379" s="44">
        <f t="shared" si="112"/>
        <v>1</v>
      </c>
      <c r="N379" s="31">
        <f t="shared" si="120"/>
        <v>2</v>
      </c>
      <c r="O379" s="37">
        <v>45387</v>
      </c>
    </row>
    <row r="380" spans="1:15" x14ac:dyDescent="0.15">
      <c r="A380" s="39" t="s">
        <v>54</v>
      </c>
      <c r="B380" s="10"/>
      <c r="C380" s="11">
        <v>1</v>
      </c>
      <c r="D380" s="10"/>
      <c r="E380" s="11"/>
      <c r="F380" s="10"/>
      <c r="G380" s="48">
        <f t="shared" si="119"/>
        <v>1</v>
      </c>
      <c r="H380" s="10"/>
      <c r="I380" s="11">
        <v>1</v>
      </c>
      <c r="J380" s="10"/>
      <c r="K380" s="11"/>
      <c r="L380" s="10"/>
      <c r="M380" s="44">
        <f t="shared" si="112"/>
        <v>1</v>
      </c>
      <c r="N380" s="31">
        <f t="shared" si="120"/>
        <v>2</v>
      </c>
      <c r="O380" s="37">
        <v>45388</v>
      </c>
    </row>
    <row r="381" spans="1:15" x14ac:dyDescent="0.15">
      <c r="A381" s="39" t="s">
        <v>54</v>
      </c>
      <c r="B381" s="10"/>
      <c r="C381" s="11">
        <v>1</v>
      </c>
      <c r="D381" s="10"/>
      <c r="E381" s="11"/>
      <c r="F381" s="10"/>
      <c r="G381" s="48">
        <f t="shared" si="119"/>
        <v>1</v>
      </c>
      <c r="H381" s="10"/>
      <c r="I381" s="11">
        <v>1</v>
      </c>
      <c r="J381" s="10"/>
      <c r="K381" s="11"/>
      <c r="L381" s="10"/>
      <c r="M381" s="44">
        <f t="shared" si="112"/>
        <v>1</v>
      </c>
      <c r="N381" s="31">
        <f t="shared" si="120"/>
        <v>2</v>
      </c>
      <c r="O381" s="37">
        <v>45392</v>
      </c>
    </row>
    <row r="382" spans="1:15" x14ac:dyDescent="0.15">
      <c r="A382" s="39" t="s">
        <v>54</v>
      </c>
      <c r="B382" s="10"/>
      <c r="C382" s="11"/>
      <c r="D382" s="10"/>
      <c r="E382" s="11"/>
      <c r="F382" s="10"/>
      <c r="G382" s="48">
        <f t="shared" si="119"/>
        <v>0</v>
      </c>
      <c r="H382" s="10"/>
      <c r="I382" s="11">
        <v>2</v>
      </c>
      <c r="J382" s="10"/>
      <c r="K382" s="11"/>
      <c r="L382" s="10"/>
      <c r="M382" s="44">
        <f t="shared" si="112"/>
        <v>2</v>
      </c>
      <c r="N382" s="31">
        <f t="shared" si="120"/>
        <v>2</v>
      </c>
      <c r="O382" s="37">
        <v>45397</v>
      </c>
    </row>
    <row r="383" spans="1:15" ht="14.25" thickBot="1" x14ac:dyDescent="0.2">
      <c r="A383" s="39" t="s">
        <v>54</v>
      </c>
      <c r="B383" s="13">
        <v>1</v>
      </c>
      <c r="C383" s="14">
        <v>1</v>
      </c>
      <c r="D383" s="13"/>
      <c r="E383" s="14"/>
      <c r="F383" s="13"/>
      <c r="G383" s="59">
        <f t="shared" si="119"/>
        <v>2</v>
      </c>
      <c r="H383" s="13">
        <v>1</v>
      </c>
      <c r="I383" s="14">
        <v>1</v>
      </c>
      <c r="J383" s="13"/>
      <c r="K383" s="14"/>
      <c r="L383" s="13"/>
      <c r="M383" s="60">
        <f t="shared" si="112"/>
        <v>2</v>
      </c>
      <c r="N383" s="36">
        <f t="shared" si="120"/>
        <v>4</v>
      </c>
      <c r="O383" s="37">
        <v>45400</v>
      </c>
    </row>
    <row r="384" spans="1:15" ht="14.25" thickBot="1" x14ac:dyDescent="0.2">
      <c r="A384" s="3" t="s">
        <v>5</v>
      </c>
      <c r="B384" s="16">
        <f>SUM(B360:B383)</f>
        <v>16</v>
      </c>
      <c r="C384" s="61">
        <f>SUM(C360:C383)</f>
        <v>21</v>
      </c>
      <c r="D384" s="16">
        <f t="shared" ref="D384:E384" si="126">SUM(D360:D383)</f>
        <v>6</v>
      </c>
      <c r="E384" s="61">
        <f t="shared" si="126"/>
        <v>0</v>
      </c>
      <c r="F384" s="15">
        <f>SUM(F360:F383)</f>
        <v>0</v>
      </c>
      <c r="G384" s="16">
        <f t="shared" si="119"/>
        <v>43</v>
      </c>
      <c r="H384" s="15">
        <f>SUM(H360:H383)</f>
        <v>12</v>
      </c>
      <c r="I384" s="15">
        <f t="shared" ref="I384:J384" si="127">SUM(I360:I383)</f>
        <v>25</v>
      </c>
      <c r="J384" s="15">
        <f t="shared" si="127"/>
        <v>6</v>
      </c>
      <c r="K384" s="15">
        <f>SUM(K360:K383)</f>
        <v>0</v>
      </c>
      <c r="L384" s="15">
        <f>SUM(L360:L383)</f>
        <v>0</v>
      </c>
      <c r="M384" s="16">
        <f t="shared" si="112"/>
        <v>43</v>
      </c>
      <c r="N384" s="34">
        <f t="shared" si="120"/>
        <v>86</v>
      </c>
    </row>
    <row r="385" spans="1:17" ht="14.25" thickBot="1" x14ac:dyDescent="0.2">
      <c r="A385" s="25" t="s">
        <v>6</v>
      </c>
      <c r="B385" s="26">
        <f>B359-B384</f>
        <v>12</v>
      </c>
      <c r="C385" s="26">
        <f t="shared" ref="C385:G385" si="128">C359-C384</f>
        <v>15</v>
      </c>
      <c r="D385" s="26">
        <f t="shared" si="128"/>
        <v>8</v>
      </c>
      <c r="E385" s="26">
        <f t="shared" si="128"/>
        <v>0</v>
      </c>
      <c r="F385" s="26">
        <f t="shared" si="128"/>
        <v>0</v>
      </c>
      <c r="G385" s="26">
        <f t="shared" si="128"/>
        <v>35</v>
      </c>
      <c r="H385" s="26">
        <f>H359-H384</f>
        <v>11</v>
      </c>
      <c r="I385" s="26">
        <f t="shared" ref="I385:M385" si="129">I359-I384</f>
        <v>9</v>
      </c>
      <c r="J385" s="26">
        <f t="shared" si="129"/>
        <v>7</v>
      </c>
      <c r="K385" s="26">
        <f t="shared" si="129"/>
        <v>0</v>
      </c>
      <c r="L385" s="26">
        <f t="shared" si="129"/>
        <v>0</v>
      </c>
      <c r="M385" s="26">
        <f t="shared" si="129"/>
        <v>27</v>
      </c>
      <c r="N385" s="38">
        <f t="shared" si="120"/>
        <v>62</v>
      </c>
    </row>
    <row r="388" spans="1:17" ht="18" thickBot="1" x14ac:dyDescent="0.25">
      <c r="A388" s="29" t="s">
        <v>17</v>
      </c>
      <c r="B388" s="1"/>
      <c r="C388" s="1"/>
      <c r="D388" s="1" t="s">
        <v>65</v>
      </c>
      <c r="E388" s="1"/>
      <c r="F388" s="1"/>
      <c r="G388" s="1"/>
      <c r="H388" s="1"/>
      <c r="I388" s="1"/>
      <c r="J388" s="1"/>
      <c r="K388" s="1"/>
      <c r="L388" s="1"/>
      <c r="M388" s="1"/>
    </row>
    <row r="389" spans="1:17" ht="14.25" thickBot="1" x14ac:dyDescent="0.2">
      <c r="A389" s="2" t="s">
        <v>0</v>
      </c>
      <c r="B389" s="220" t="s">
        <v>14</v>
      </c>
      <c r="C389" s="220"/>
      <c r="D389" s="220"/>
      <c r="E389" s="220"/>
      <c r="F389" s="220"/>
      <c r="G389" s="221"/>
      <c r="H389" s="217" t="s">
        <v>15</v>
      </c>
      <c r="I389" s="217"/>
      <c r="J389" s="217"/>
      <c r="K389" s="217"/>
      <c r="L389" s="217"/>
      <c r="M389" s="218"/>
      <c r="N389" s="208" t="s">
        <v>10</v>
      </c>
    </row>
    <row r="390" spans="1:17" ht="14.25" thickBot="1" x14ac:dyDescent="0.2">
      <c r="A390" s="2" t="s">
        <v>1</v>
      </c>
      <c r="B390" s="3" t="s">
        <v>7</v>
      </c>
      <c r="C390" s="2" t="s">
        <v>8</v>
      </c>
      <c r="D390" s="19" t="s">
        <v>9</v>
      </c>
      <c r="E390" s="2" t="s">
        <v>20</v>
      </c>
      <c r="F390" s="2" t="s">
        <v>22</v>
      </c>
      <c r="G390" s="19" t="s">
        <v>2</v>
      </c>
      <c r="H390" s="2" t="s">
        <v>11</v>
      </c>
      <c r="I390" s="19" t="s">
        <v>12</v>
      </c>
      <c r="J390" s="2" t="s">
        <v>13</v>
      </c>
      <c r="K390" s="53" t="s">
        <v>19</v>
      </c>
      <c r="L390" s="53" t="s">
        <v>21</v>
      </c>
      <c r="M390" s="2" t="s">
        <v>2</v>
      </c>
      <c r="N390" s="209"/>
    </row>
    <row r="391" spans="1:17" ht="14.25" thickBot="1" x14ac:dyDescent="0.2">
      <c r="A391" s="3" t="s">
        <v>6</v>
      </c>
      <c r="B391" s="63">
        <f>B385</f>
        <v>12</v>
      </c>
      <c r="C391" s="64">
        <f>C385</f>
        <v>15</v>
      </c>
      <c r="D391" s="63">
        <f>D385</f>
        <v>8</v>
      </c>
      <c r="E391" s="64">
        <f>E385</f>
        <v>0</v>
      </c>
      <c r="F391" s="148">
        <f>F385</f>
        <v>0</v>
      </c>
      <c r="G391" s="16">
        <f t="shared" ref="G391" si="130">SUM(B391:F391)</f>
        <v>35</v>
      </c>
      <c r="H391" s="149">
        <f>H385</f>
        <v>11</v>
      </c>
      <c r="I391" s="63">
        <f t="shared" ref="I391:L391" si="131">I385</f>
        <v>9</v>
      </c>
      <c r="J391" s="63">
        <f t="shared" si="131"/>
        <v>7</v>
      </c>
      <c r="K391" s="63">
        <f t="shared" si="131"/>
        <v>0</v>
      </c>
      <c r="L391" s="63">
        <f t="shared" si="131"/>
        <v>0</v>
      </c>
      <c r="M391" s="65">
        <f t="shared" ref="M391:M427" si="132">SUM(H391:L391)</f>
        <v>27</v>
      </c>
      <c r="N391" s="34">
        <f>SUM(M391,G391)</f>
        <v>62</v>
      </c>
    </row>
    <row r="392" spans="1:17" x14ac:dyDescent="0.15">
      <c r="A392" s="50" t="s">
        <v>3</v>
      </c>
      <c r="B392" s="13"/>
      <c r="C392" s="14"/>
      <c r="D392" s="13"/>
      <c r="E392" s="14"/>
      <c r="F392" s="146"/>
      <c r="G392" s="8">
        <f t="shared" ref="G392:G397" si="133">SUM(B392:F392)</f>
        <v>0</v>
      </c>
      <c r="H392" s="147"/>
      <c r="I392" s="14">
        <v>5</v>
      </c>
      <c r="J392" s="13"/>
      <c r="K392" s="14"/>
      <c r="L392" s="13"/>
      <c r="M392" s="8">
        <f t="shared" ref="M392:M397" si="134">SUM(H392:L392)</f>
        <v>5</v>
      </c>
      <c r="N392" s="145">
        <f t="shared" ref="N392:N397" si="135">SUM(M392,G392)</f>
        <v>5</v>
      </c>
      <c r="O392" s="32">
        <v>45434</v>
      </c>
    </row>
    <row r="393" spans="1:17" x14ac:dyDescent="0.15">
      <c r="A393" s="50" t="s">
        <v>3</v>
      </c>
      <c r="B393" s="13">
        <v>5</v>
      </c>
      <c r="C393" s="14">
        <v>10</v>
      </c>
      <c r="D393" s="13"/>
      <c r="E393" s="14"/>
      <c r="F393" s="146"/>
      <c r="G393" s="8">
        <f t="shared" si="133"/>
        <v>15</v>
      </c>
      <c r="H393" s="147">
        <v>5</v>
      </c>
      <c r="I393" s="14">
        <v>10</v>
      </c>
      <c r="J393" s="13"/>
      <c r="K393" s="14"/>
      <c r="L393" s="13"/>
      <c r="M393" s="8">
        <f t="shared" si="134"/>
        <v>15</v>
      </c>
      <c r="N393" s="145">
        <f t="shared" si="135"/>
        <v>30</v>
      </c>
      <c r="O393" s="32">
        <v>45446</v>
      </c>
    </row>
    <row r="394" spans="1:17" x14ac:dyDescent="0.15">
      <c r="A394" s="50" t="s">
        <v>3</v>
      </c>
      <c r="B394" s="13"/>
      <c r="C394" s="14">
        <v>10</v>
      </c>
      <c r="D394" s="13"/>
      <c r="E394" s="14"/>
      <c r="F394" s="146"/>
      <c r="G394" s="8">
        <f t="shared" si="133"/>
        <v>10</v>
      </c>
      <c r="H394" s="147"/>
      <c r="I394" s="14">
        <v>10</v>
      </c>
      <c r="J394" s="13"/>
      <c r="K394" s="14"/>
      <c r="L394" s="13"/>
      <c r="M394" s="8">
        <f t="shared" si="134"/>
        <v>10</v>
      </c>
      <c r="N394" s="145">
        <f t="shared" si="135"/>
        <v>20</v>
      </c>
      <c r="O394" s="32">
        <v>45458</v>
      </c>
      <c r="P394" s="33"/>
      <c r="Q394" s="33"/>
    </row>
    <row r="395" spans="1:17" x14ac:dyDescent="0.15">
      <c r="A395" s="50" t="s">
        <v>3</v>
      </c>
      <c r="B395" s="13">
        <v>10</v>
      </c>
      <c r="C395" s="14"/>
      <c r="D395" s="13"/>
      <c r="E395" s="14"/>
      <c r="F395" s="146"/>
      <c r="G395" s="8">
        <f t="shared" si="133"/>
        <v>10</v>
      </c>
      <c r="H395" s="147"/>
      <c r="I395" s="14">
        <v>10</v>
      </c>
      <c r="J395" s="13"/>
      <c r="K395" s="14"/>
      <c r="L395" s="13"/>
      <c r="M395" s="8">
        <f t="shared" si="134"/>
        <v>10</v>
      </c>
      <c r="N395" s="145">
        <f t="shared" si="135"/>
        <v>20</v>
      </c>
      <c r="O395" s="32">
        <v>45471</v>
      </c>
      <c r="P395" s="33"/>
      <c r="Q395" s="33"/>
    </row>
    <row r="396" spans="1:17" x14ac:dyDescent="0.15">
      <c r="A396" s="50" t="s">
        <v>3</v>
      </c>
      <c r="B396" s="13"/>
      <c r="C396" s="14"/>
      <c r="D396" s="13"/>
      <c r="E396" s="14"/>
      <c r="F396" s="146"/>
      <c r="G396" s="8">
        <f t="shared" si="133"/>
        <v>0</v>
      </c>
      <c r="H396" s="147"/>
      <c r="I396" s="14"/>
      <c r="J396" s="13"/>
      <c r="K396" s="14"/>
      <c r="L396" s="13"/>
      <c r="M396" s="8">
        <f t="shared" si="134"/>
        <v>0</v>
      </c>
      <c r="N396" s="145">
        <f t="shared" si="135"/>
        <v>0</v>
      </c>
    </row>
    <row r="397" spans="1:17" x14ac:dyDescent="0.15">
      <c r="A397" s="50" t="s">
        <v>3</v>
      </c>
      <c r="B397" s="13"/>
      <c r="C397" s="14"/>
      <c r="D397" s="13"/>
      <c r="E397" s="14"/>
      <c r="F397" s="146"/>
      <c r="G397" s="8">
        <f t="shared" si="133"/>
        <v>0</v>
      </c>
      <c r="H397" s="147"/>
      <c r="I397" s="14"/>
      <c r="J397" s="13"/>
      <c r="K397" s="14"/>
      <c r="L397" s="13"/>
      <c r="M397" s="8">
        <f t="shared" si="134"/>
        <v>0</v>
      </c>
      <c r="N397" s="145">
        <f t="shared" si="135"/>
        <v>0</v>
      </c>
    </row>
    <row r="398" spans="1:17" x14ac:dyDescent="0.15">
      <c r="A398" s="50" t="s">
        <v>3</v>
      </c>
      <c r="B398" s="13"/>
      <c r="C398" s="14"/>
      <c r="D398" s="13"/>
      <c r="E398" s="14"/>
      <c r="F398" s="146"/>
      <c r="G398" s="8">
        <f t="shared" ref="G398:G424" si="136">SUM(B398:F398)</f>
        <v>0</v>
      </c>
      <c r="H398" s="147"/>
      <c r="I398" s="14"/>
      <c r="J398" s="13"/>
      <c r="K398" s="14"/>
      <c r="L398" s="13"/>
      <c r="M398" s="8">
        <f t="shared" si="132"/>
        <v>0</v>
      </c>
      <c r="N398" s="145">
        <f t="shared" ref="N398:N428" si="137">SUM(M398,G398)</f>
        <v>0</v>
      </c>
    </row>
    <row r="399" spans="1:17" x14ac:dyDescent="0.15">
      <c r="A399" s="50" t="s">
        <v>3</v>
      </c>
      <c r="B399" s="13"/>
      <c r="C399" s="14"/>
      <c r="D399" s="13"/>
      <c r="E399" s="14"/>
      <c r="F399" s="146"/>
      <c r="G399" s="8">
        <f t="shared" si="136"/>
        <v>0</v>
      </c>
      <c r="H399" s="147"/>
      <c r="I399" s="14"/>
      <c r="J399" s="13"/>
      <c r="K399" s="14"/>
      <c r="L399" s="13"/>
      <c r="M399" s="8">
        <f t="shared" si="132"/>
        <v>0</v>
      </c>
      <c r="N399" s="145">
        <f t="shared" si="137"/>
        <v>0</v>
      </c>
    </row>
    <row r="400" spans="1:17" x14ac:dyDescent="0.15">
      <c r="A400" s="50" t="s">
        <v>3</v>
      </c>
      <c r="B400" s="13"/>
      <c r="C400" s="14"/>
      <c r="D400" s="13"/>
      <c r="E400" s="14"/>
      <c r="F400" s="146"/>
      <c r="G400" s="8">
        <f t="shared" si="136"/>
        <v>0</v>
      </c>
      <c r="H400" s="147"/>
      <c r="I400" s="14"/>
      <c r="J400" s="13"/>
      <c r="K400" s="14"/>
      <c r="L400" s="13"/>
      <c r="M400" s="8">
        <f t="shared" si="132"/>
        <v>0</v>
      </c>
      <c r="N400" s="145">
        <f t="shared" si="137"/>
        <v>0</v>
      </c>
    </row>
    <row r="401" spans="1:15" ht="14.25" thickBot="1" x14ac:dyDescent="0.2">
      <c r="A401" s="50" t="s">
        <v>60</v>
      </c>
      <c r="B401" s="13"/>
      <c r="C401" s="14">
        <v>-1</v>
      </c>
      <c r="D401" s="13"/>
      <c r="E401" s="14"/>
      <c r="F401" s="146"/>
      <c r="G401" s="88">
        <f t="shared" si="136"/>
        <v>-1</v>
      </c>
      <c r="H401" s="147"/>
      <c r="I401" s="14">
        <v>-1</v>
      </c>
      <c r="J401" s="13"/>
      <c r="K401" s="14"/>
      <c r="L401" s="13"/>
      <c r="M401" s="42">
        <f t="shared" si="132"/>
        <v>-1</v>
      </c>
      <c r="N401" s="36">
        <f t="shared" si="137"/>
        <v>-2</v>
      </c>
    </row>
    <row r="402" spans="1:15" ht="14.25" thickBot="1" x14ac:dyDescent="0.2">
      <c r="A402" s="51" t="s">
        <v>4</v>
      </c>
      <c r="B402" s="22">
        <f>SUM(B391:B401)</f>
        <v>27</v>
      </c>
      <c r="C402" s="22">
        <f>SUM(C391:C401)</f>
        <v>34</v>
      </c>
      <c r="D402" s="57">
        <f t="shared" ref="D402:E402" si="138">SUM(D391:D401)</f>
        <v>8</v>
      </c>
      <c r="E402" s="22">
        <f t="shared" si="138"/>
        <v>0</v>
      </c>
      <c r="F402" s="23">
        <f>SUM(F391:F401)</f>
        <v>0</v>
      </c>
      <c r="G402" s="24">
        <f t="shared" si="136"/>
        <v>69</v>
      </c>
      <c r="H402" s="150">
        <f>SUM(H391:H401)</f>
        <v>16</v>
      </c>
      <c r="I402" s="22">
        <f t="shared" ref="I402:J402" si="139">SUM(I391:I401)</f>
        <v>43</v>
      </c>
      <c r="J402" s="22">
        <f t="shared" si="139"/>
        <v>7</v>
      </c>
      <c r="K402" s="57">
        <f>SUM(K391:K401)</f>
        <v>0</v>
      </c>
      <c r="L402" s="22">
        <f>SUM(L391:L401)</f>
        <v>0</v>
      </c>
      <c r="M402" s="43">
        <f t="shared" si="132"/>
        <v>66</v>
      </c>
      <c r="N402" s="34">
        <f t="shared" si="137"/>
        <v>135</v>
      </c>
    </row>
    <row r="403" spans="1:15" x14ac:dyDescent="0.15">
      <c r="A403" s="39" t="s">
        <v>54</v>
      </c>
      <c r="B403" s="10"/>
      <c r="C403" s="11">
        <v>1</v>
      </c>
      <c r="D403" s="10"/>
      <c r="E403" s="11"/>
      <c r="F403" s="10"/>
      <c r="G403" s="48">
        <f t="shared" si="136"/>
        <v>1</v>
      </c>
      <c r="H403" s="10"/>
      <c r="I403" s="11">
        <v>1</v>
      </c>
      <c r="J403" s="10"/>
      <c r="K403" s="11"/>
      <c r="L403" s="10"/>
      <c r="M403" s="44">
        <f t="shared" ref="M403:M424" si="140">SUM(H403:L403)</f>
        <v>1</v>
      </c>
      <c r="N403" s="31">
        <f t="shared" ref="N403:N424" si="141">SUM(M403,G403)</f>
        <v>2</v>
      </c>
      <c r="O403" s="37">
        <v>45401</v>
      </c>
    </row>
    <row r="404" spans="1:15" x14ac:dyDescent="0.15">
      <c r="A404" s="39" t="s">
        <v>54</v>
      </c>
      <c r="B404" s="10">
        <v>1</v>
      </c>
      <c r="C404" s="11"/>
      <c r="D404" s="10"/>
      <c r="E404" s="11"/>
      <c r="F404" s="10"/>
      <c r="G404" s="48">
        <f t="shared" si="136"/>
        <v>1</v>
      </c>
      <c r="H404" s="10">
        <v>1</v>
      </c>
      <c r="I404" s="11"/>
      <c r="J404" s="10"/>
      <c r="K404" s="11"/>
      <c r="L404" s="10"/>
      <c r="M404" s="44">
        <f t="shared" si="140"/>
        <v>1</v>
      </c>
      <c r="N404" s="31">
        <f t="shared" si="141"/>
        <v>2</v>
      </c>
      <c r="O404" s="37">
        <v>45402</v>
      </c>
    </row>
    <row r="405" spans="1:15" x14ac:dyDescent="0.15">
      <c r="A405" s="39" t="s">
        <v>54</v>
      </c>
      <c r="B405" s="10">
        <v>1</v>
      </c>
      <c r="C405" s="11"/>
      <c r="D405" s="10"/>
      <c r="E405" s="11"/>
      <c r="F405" s="10"/>
      <c r="G405" s="48">
        <f t="shared" si="136"/>
        <v>1</v>
      </c>
      <c r="H405" s="10">
        <v>1</v>
      </c>
      <c r="I405" s="11"/>
      <c r="J405" s="10"/>
      <c r="K405" s="11"/>
      <c r="L405" s="10"/>
      <c r="M405" s="44">
        <f t="shared" si="140"/>
        <v>1</v>
      </c>
      <c r="N405" s="31">
        <f t="shared" si="141"/>
        <v>2</v>
      </c>
      <c r="O405" s="37">
        <v>45404</v>
      </c>
    </row>
    <row r="406" spans="1:15" x14ac:dyDescent="0.15">
      <c r="A406" s="39" t="s">
        <v>54</v>
      </c>
      <c r="B406" s="10"/>
      <c r="C406" s="11"/>
      <c r="D406" s="10">
        <v>1</v>
      </c>
      <c r="E406" s="11"/>
      <c r="F406" s="10"/>
      <c r="G406" s="48">
        <f t="shared" si="136"/>
        <v>1</v>
      </c>
      <c r="H406" s="10"/>
      <c r="I406" s="11"/>
      <c r="J406" s="10">
        <v>1</v>
      </c>
      <c r="K406" s="11"/>
      <c r="L406" s="10"/>
      <c r="M406" s="44">
        <f t="shared" si="140"/>
        <v>1</v>
      </c>
      <c r="N406" s="31">
        <f t="shared" si="141"/>
        <v>2</v>
      </c>
      <c r="O406" s="37">
        <v>45408</v>
      </c>
    </row>
    <row r="407" spans="1:15" x14ac:dyDescent="0.15">
      <c r="A407" s="39" t="s">
        <v>54</v>
      </c>
      <c r="B407" s="10"/>
      <c r="C407" s="11">
        <v>4</v>
      </c>
      <c r="D407" s="10"/>
      <c r="E407" s="11"/>
      <c r="F407" s="10"/>
      <c r="G407" s="48">
        <f t="shared" si="136"/>
        <v>4</v>
      </c>
      <c r="H407" s="10"/>
      <c r="I407" s="11">
        <v>4</v>
      </c>
      <c r="J407" s="10"/>
      <c r="K407" s="11"/>
      <c r="L407" s="10"/>
      <c r="M407" s="44">
        <f t="shared" si="140"/>
        <v>4</v>
      </c>
      <c r="N407" s="31">
        <f t="shared" si="141"/>
        <v>8</v>
      </c>
      <c r="O407" s="37">
        <v>45419</v>
      </c>
    </row>
    <row r="408" spans="1:15" x14ac:dyDescent="0.15">
      <c r="A408" s="39" t="s">
        <v>54</v>
      </c>
      <c r="B408" s="10">
        <v>1</v>
      </c>
      <c r="C408" s="11"/>
      <c r="D408" s="10"/>
      <c r="E408" s="11"/>
      <c r="F408" s="10"/>
      <c r="G408" s="48">
        <f t="shared" si="136"/>
        <v>1</v>
      </c>
      <c r="H408" s="10">
        <v>1</v>
      </c>
      <c r="I408" s="11"/>
      <c r="J408" s="10"/>
      <c r="K408" s="11"/>
      <c r="L408" s="10"/>
      <c r="M408" s="44">
        <f t="shared" si="140"/>
        <v>1</v>
      </c>
      <c r="N408" s="31">
        <f t="shared" si="141"/>
        <v>2</v>
      </c>
      <c r="O408" s="37">
        <v>45425</v>
      </c>
    </row>
    <row r="409" spans="1:15" x14ac:dyDescent="0.15">
      <c r="A409" s="39" t="s">
        <v>54</v>
      </c>
      <c r="B409" s="10"/>
      <c r="C409" s="11"/>
      <c r="D409" s="10">
        <v>2</v>
      </c>
      <c r="E409" s="11"/>
      <c r="F409" s="10"/>
      <c r="G409" s="48">
        <f t="shared" si="136"/>
        <v>2</v>
      </c>
      <c r="H409" s="10"/>
      <c r="I409" s="11"/>
      <c r="J409" s="10">
        <v>2</v>
      </c>
      <c r="K409" s="11"/>
      <c r="L409" s="10"/>
      <c r="M409" s="44">
        <f t="shared" si="140"/>
        <v>2</v>
      </c>
      <c r="N409" s="31">
        <f t="shared" si="141"/>
        <v>4</v>
      </c>
      <c r="O409" s="37">
        <v>45434</v>
      </c>
    </row>
    <row r="410" spans="1:15" x14ac:dyDescent="0.15">
      <c r="A410" s="39" t="s">
        <v>54</v>
      </c>
      <c r="B410" s="10">
        <f>2+1</f>
        <v>3</v>
      </c>
      <c r="C410" s="11">
        <f>3+2</f>
        <v>5</v>
      </c>
      <c r="D410" s="10">
        <v>1</v>
      </c>
      <c r="E410" s="11"/>
      <c r="F410" s="10"/>
      <c r="G410" s="48">
        <f t="shared" si="136"/>
        <v>9</v>
      </c>
      <c r="H410" s="10">
        <f>2+1</f>
        <v>3</v>
      </c>
      <c r="I410" s="11">
        <f>3+2</f>
        <v>5</v>
      </c>
      <c r="J410" s="10">
        <v>1</v>
      </c>
      <c r="K410" s="11"/>
      <c r="L410" s="10"/>
      <c r="M410" s="44">
        <f t="shared" si="140"/>
        <v>9</v>
      </c>
      <c r="N410" s="31">
        <f t="shared" si="141"/>
        <v>18</v>
      </c>
      <c r="O410" s="37">
        <v>45439</v>
      </c>
    </row>
    <row r="411" spans="1:15" x14ac:dyDescent="0.15">
      <c r="A411" s="39" t="s">
        <v>54</v>
      </c>
      <c r="B411" s="10">
        <v>1</v>
      </c>
      <c r="C411" s="11">
        <v>1</v>
      </c>
      <c r="D411" s="10"/>
      <c r="E411" s="11"/>
      <c r="F411" s="10"/>
      <c r="G411" s="48">
        <f t="shared" si="136"/>
        <v>2</v>
      </c>
      <c r="H411" s="10">
        <v>1</v>
      </c>
      <c r="I411" s="11">
        <v>1</v>
      </c>
      <c r="J411" s="10"/>
      <c r="K411" s="11"/>
      <c r="L411" s="10"/>
      <c r="M411" s="44">
        <f t="shared" si="140"/>
        <v>2</v>
      </c>
      <c r="N411" s="31">
        <f t="shared" si="141"/>
        <v>4</v>
      </c>
      <c r="O411" s="37">
        <v>45442</v>
      </c>
    </row>
    <row r="412" spans="1:15" x14ac:dyDescent="0.15">
      <c r="A412" s="39" t="s">
        <v>64</v>
      </c>
      <c r="B412" s="10"/>
      <c r="C412" s="11">
        <v>2</v>
      </c>
      <c r="D412" s="10">
        <v>-2</v>
      </c>
      <c r="E412" s="11"/>
      <c r="F412" s="10"/>
      <c r="G412" s="48">
        <f t="shared" si="136"/>
        <v>0</v>
      </c>
      <c r="H412" s="10"/>
      <c r="I412" s="11">
        <v>2</v>
      </c>
      <c r="J412" s="10">
        <v>-2</v>
      </c>
      <c r="K412" s="11"/>
      <c r="L412" s="10"/>
      <c r="M412" s="44">
        <f t="shared" si="140"/>
        <v>0</v>
      </c>
      <c r="N412" s="31">
        <f t="shared" si="141"/>
        <v>0</v>
      </c>
      <c r="O412" s="37">
        <v>45443</v>
      </c>
    </row>
    <row r="413" spans="1:15" x14ac:dyDescent="0.15">
      <c r="A413" s="39" t="s">
        <v>54</v>
      </c>
      <c r="B413" s="10"/>
      <c r="C413" s="11">
        <f>2+1</f>
        <v>3</v>
      </c>
      <c r="D413" s="10">
        <v>1</v>
      </c>
      <c r="E413" s="11"/>
      <c r="F413" s="10"/>
      <c r="G413" s="48">
        <f t="shared" si="136"/>
        <v>4</v>
      </c>
      <c r="H413" s="10"/>
      <c r="I413" s="11">
        <v>1</v>
      </c>
      <c r="J413" s="10">
        <v>1</v>
      </c>
      <c r="K413" s="11"/>
      <c r="L413" s="10"/>
      <c r="M413" s="44">
        <f t="shared" si="140"/>
        <v>2</v>
      </c>
      <c r="N413" s="31">
        <f t="shared" si="141"/>
        <v>6</v>
      </c>
      <c r="O413" s="37">
        <v>45446</v>
      </c>
    </row>
    <row r="414" spans="1:15" x14ac:dyDescent="0.15">
      <c r="A414" s="39" t="s">
        <v>54</v>
      </c>
      <c r="B414" s="10"/>
      <c r="C414" s="11">
        <v>2</v>
      </c>
      <c r="D414" s="10"/>
      <c r="E414" s="11"/>
      <c r="F414" s="10"/>
      <c r="G414" s="48">
        <f t="shared" si="136"/>
        <v>2</v>
      </c>
      <c r="H414" s="10"/>
      <c r="I414" s="11">
        <v>2</v>
      </c>
      <c r="J414" s="10"/>
      <c r="K414" s="11"/>
      <c r="L414" s="10"/>
      <c r="M414" s="44">
        <f t="shared" si="140"/>
        <v>2</v>
      </c>
      <c r="N414" s="31">
        <f t="shared" si="141"/>
        <v>4</v>
      </c>
      <c r="O414" s="37">
        <v>45449</v>
      </c>
    </row>
    <row r="415" spans="1:15" x14ac:dyDescent="0.15">
      <c r="A415" s="39" t="s">
        <v>54</v>
      </c>
      <c r="B415" s="10"/>
      <c r="C415" s="11">
        <v>1</v>
      </c>
      <c r="D415" s="10"/>
      <c r="E415" s="11"/>
      <c r="F415" s="10"/>
      <c r="G415" s="48">
        <f t="shared" si="136"/>
        <v>1</v>
      </c>
      <c r="H415" s="10"/>
      <c r="I415" s="11">
        <v>1</v>
      </c>
      <c r="J415" s="10"/>
      <c r="K415" s="11"/>
      <c r="L415" s="10"/>
      <c r="M415" s="44">
        <f t="shared" si="140"/>
        <v>1</v>
      </c>
      <c r="N415" s="31">
        <f t="shared" si="141"/>
        <v>2</v>
      </c>
      <c r="O415" s="37">
        <v>45450</v>
      </c>
    </row>
    <row r="416" spans="1:15" x14ac:dyDescent="0.15">
      <c r="A416" s="39" t="s">
        <v>54</v>
      </c>
      <c r="B416" s="10">
        <v>2</v>
      </c>
      <c r="C416" s="11"/>
      <c r="D416" s="10"/>
      <c r="E416" s="11"/>
      <c r="F416" s="10"/>
      <c r="G416" s="48">
        <f t="shared" si="136"/>
        <v>2</v>
      </c>
      <c r="H416" s="10"/>
      <c r="I416" s="11"/>
      <c r="J416" s="10"/>
      <c r="K416" s="11"/>
      <c r="L416" s="10"/>
      <c r="M416" s="44">
        <f t="shared" si="140"/>
        <v>0</v>
      </c>
      <c r="N416" s="31">
        <f t="shared" si="141"/>
        <v>2</v>
      </c>
      <c r="O416" s="37">
        <v>45454</v>
      </c>
    </row>
    <row r="417" spans="1:15" x14ac:dyDescent="0.15">
      <c r="A417" s="39" t="s">
        <v>54</v>
      </c>
      <c r="B417" s="10"/>
      <c r="C417" s="11"/>
      <c r="D417" s="10"/>
      <c r="E417" s="11"/>
      <c r="F417" s="10"/>
      <c r="G417" s="48">
        <f t="shared" si="136"/>
        <v>0</v>
      </c>
      <c r="H417" s="10"/>
      <c r="I417" s="11">
        <v>2</v>
      </c>
      <c r="J417" s="10"/>
      <c r="K417" s="11"/>
      <c r="L417" s="10"/>
      <c r="M417" s="44">
        <f t="shared" si="140"/>
        <v>2</v>
      </c>
      <c r="N417" s="31">
        <f t="shared" si="141"/>
        <v>2</v>
      </c>
      <c r="O417" s="37">
        <v>45460</v>
      </c>
    </row>
    <row r="418" spans="1:15" x14ac:dyDescent="0.15">
      <c r="A418" s="39" t="s">
        <v>54</v>
      </c>
      <c r="B418" s="10"/>
      <c r="C418" s="11"/>
      <c r="D418" s="10"/>
      <c r="E418" s="11"/>
      <c r="F418" s="10"/>
      <c r="G418" s="48">
        <f t="shared" si="136"/>
        <v>0</v>
      </c>
      <c r="H418" s="10"/>
      <c r="I418" s="11">
        <v>2</v>
      </c>
      <c r="J418" s="10"/>
      <c r="K418" s="11"/>
      <c r="L418" s="10"/>
      <c r="M418" s="44">
        <f t="shared" si="140"/>
        <v>2</v>
      </c>
      <c r="N418" s="31">
        <f t="shared" si="141"/>
        <v>2</v>
      </c>
      <c r="O418" s="37">
        <v>45461</v>
      </c>
    </row>
    <row r="419" spans="1:15" x14ac:dyDescent="0.15">
      <c r="A419" s="39" t="s">
        <v>54</v>
      </c>
      <c r="B419" s="10">
        <v>2</v>
      </c>
      <c r="C419" s="11"/>
      <c r="D419" s="10"/>
      <c r="E419" s="11"/>
      <c r="F419" s="10"/>
      <c r="G419" s="48">
        <f t="shared" si="136"/>
        <v>2</v>
      </c>
      <c r="H419" s="10"/>
      <c r="I419" s="11"/>
      <c r="J419" s="10"/>
      <c r="K419" s="11"/>
      <c r="L419" s="10"/>
      <c r="M419" s="44">
        <f t="shared" si="140"/>
        <v>0</v>
      </c>
      <c r="N419" s="31">
        <f t="shared" si="141"/>
        <v>2</v>
      </c>
      <c r="O419" s="37">
        <v>45463</v>
      </c>
    </row>
    <row r="420" spans="1:15" x14ac:dyDescent="0.15">
      <c r="A420" s="39" t="s">
        <v>54</v>
      </c>
      <c r="B420" s="10">
        <v>1</v>
      </c>
      <c r="C420" s="11"/>
      <c r="D420" s="10"/>
      <c r="E420" s="11"/>
      <c r="F420" s="10"/>
      <c r="G420" s="48">
        <f t="shared" si="136"/>
        <v>1</v>
      </c>
      <c r="H420" s="10">
        <v>1</v>
      </c>
      <c r="I420" s="11">
        <v>2</v>
      </c>
      <c r="J420" s="10"/>
      <c r="K420" s="11"/>
      <c r="L420" s="10"/>
      <c r="M420" s="44">
        <f t="shared" si="140"/>
        <v>3</v>
      </c>
      <c r="N420" s="31">
        <f t="shared" si="141"/>
        <v>4</v>
      </c>
      <c r="O420" s="37">
        <v>45467</v>
      </c>
    </row>
    <row r="421" spans="1:15" x14ac:dyDescent="0.15">
      <c r="A421" s="39" t="s">
        <v>54</v>
      </c>
      <c r="B421" s="10">
        <v>1</v>
      </c>
      <c r="C421" s="11"/>
      <c r="D421" s="10"/>
      <c r="E421" s="11"/>
      <c r="F421" s="10"/>
      <c r="G421" s="48">
        <f t="shared" si="136"/>
        <v>1</v>
      </c>
      <c r="H421" s="10">
        <v>1</v>
      </c>
      <c r="I421" s="11"/>
      <c r="J421" s="10"/>
      <c r="K421" s="11"/>
      <c r="L421" s="10"/>
      <c r="M421" s="44">
        <f t="shared" si="140"/>
        <v>1</v>
      </c>
      <c r="N421" s="31">
        <f t="shared" si="141"/>
        <v>2</v>
      </c>
      <c r="O421" s="37">
        <v>45468</v>
      </c>
    </row>
    <row r="422" spans="1:15" x14ac:dyDescent="0.15">
      <c r="A422" s="39" t="s">
        <v>54</v>
      </c>
      <c r="B422" s="10"/>
      <c r="C422" s="11"/>
      <c r="D422" s="10">
        <v>1</v>
      </c>
      <c r="E422" s="11"/>
      <c r="F422" s="10"/>
      <c r="G422" s="48">
        <f t="shared" si="136"/>
        <v>1</v>
      </c>
      <c r="H422" s="10"/>
      <c r="I422" s="11"/>
      <c r="J422" s="10">
        <v>1</v>
      </c>
      <c r="K422" s="11"/>
      <c r="L422" s="10"/>
      <c r="M422" s="44">
        <f t="shared" si="140"/>
        <v>1</v>
      </c>
      <c r="N422" s="31">
        <f t="shared" si="141"/>
        <v>2</v>
      </c>
      <c r="O422" s="37">
        <v>45474</v>
      </c>
    </row>
    <row r="423" spans="1:15" x14ac:dyDescent="0.15">
      <c r="A423" s="39" t="s">
        <v>54</v>
      </c>
      <c r="B423" s="10"/>
      <c r="C423" s="11">
        <v>1</v>
      </c>
      <c r="D423" s="10"/>
      <c r="E423" s="11"/>
      <c r="F423" s="10"/>
      <c r="G423" s="48">
        <f t="shared" si="136"/>
        <v>1</v>
      </c>
      <c r="H423" s="10"/>
      <c r="I423" s="11">
        <v>1</v>
      </c>
      <c r="J423" s="10"/>
      <c r="K423" s="11"/>
      <c r="L423" s="10"/>
      <c r="M423" s="44">
        <f t="shared" si="140"/>
        <v>1</v>
      </c>
      <c r="N423" s="31">
        <f t="shared" si="141"/>
        <v>2</v>
      </c>
      <c r="O423" s="37">
        <v>45475</v>
      </c>
    </row>
    <row r="424" spans="1:15" x14ac:dyDescent="0.15">
      <c r="A424" s="39" t="s">
        <v>54</v>
      </c>
      <c r="B424" s="10">
        <v>1</v>
      </c>
      <c r="C424" s="11"/>
      <c r="D424" s="10"/>
      <c r="E424" s="11"/>
      <c r="F424" s="10"/>
      <c r="G424" s="48">
        <f t="shared" si="136"/>
        <v>1</v>
      </c>
      <c r="H424" s="10">
        <v>1</v>
      </c>
      <c r="I424" s="11"/>
      <c r="J424" s="10"/>
      <c r="K424" s="11"/>
      <c r="L424" s="10"/>
      <c r="M424" s="44">
        <f t="shared" si="140"/>
        <v>1</v>
      </c>
      <c r="N424" s="31">
        <f t="shared" si="141"/>
        <v>2</v>
      </c>
      <c r="O424" s="37">
        <v>45476</v>
      </c>
    </row>
    <row r="425" spans="1:15" x14ac:dyDescent="0.15">
      <c r="A425" s="39" t="s">
        <v>54</v>
      </c>
      <c r="B425" s="10">
        <v>1</v>
      </c>
      <c r="C425" s="11"/>
      <c r="D425" s="10"/>
      <c r="E425" s="11"/>
      <c r="F425" s="10"/>
      <c r="G425" s="48">
        <f t="shared" ref="G425:G427" si="142">SUM(B425:F425)</f>
        <v>1</v>
      </c>
      <c r="H425" s="10">
        <v>1</v>
      </c>
      <c r="I425" s="11"/>
      <c r="J425" s="10"/>
      <c r="K425" s="11"/>
      <c r="L425" s="10"/>
      <c r="M425" s="44">
        <f t="shared" si="132"/>
        <v>1</v>
      </c>
      <c r="N425" s="31">
        <f t="shared" si="137"/>
        <v>2</v>
      </c>
      <c r="O425" s="37">
        <v>45477</v>
      </c>
    </row>
    <row r="426" spans="1:15" ht="14.25" thickBot="1" x14ac:dyDescent="0.2">
      <c r="A426" s="39" t="s">
        <v>54</v>
      </c>
      <c r="B426" s="13">
        <v>1</v>
      </c>
      <c r="C426" s="14"/>
      <c r="D426" s="13"/>
      <c r="E426" s="14"/>
      <c r="F426" s="13"/>
      <c r="G426" s="59">
        <f t="shared" si="142"/>
        <v>1</v>
      </c>
      <c r="H426" s="13">
        <v>1</v>
      </c>
      <c r="I426" s="14"/>
      <c r="J426" s="13"/>
      <c r="K426" s="14"/>
      <c r="L426" s="13"/>
      <c r="M426" s="60">
        <f t="shared" si="132"/>
        <v>1</v>
      </c>
      <c r="N426" s="36">
        <f t="shared" si="137"/>
        <v>2</v>
      </c>
      <c r="O426" s="37">
        <v>45479</v>
      </c>
    </row>
    <row r="427" spans="1:15" ht="14.25" thickBot="1" x14ac:dyDescent="0.2">
      <c r="A427" s="3" t="s">
        <v>5</v>
      </c>
      <c r="B427" s="16">
        <f>SUM(B403:B426)</f>
        <v>16</v>
      </c>
      <c r="C427" s="61">
        <f>SUM(C403:C426)</f>
        <v>20</v>
      </c>
      <c r="D427" s="16">
        <f t="shared" ref="D427:E427" si="143">SUM(D403:D426)</f>
        <v>4</v>
      </c>
      <c r="E427" s="61">
        <f t="shared" si="143"/>
        <v>0</v>
      </c>
      <c r="F427" s="15">
        <f>SUM(F403:F426)</f>
        <v>0</v>
      </c>
      <c r="G427" s="16">
        <f t="shared" si="142"/>
        <v>40</v>
      </c>
      <c r="H427" s="15">
        <f>SUM(H403:H426)</f>
        <v>12</v>
      </c>
      <c r="I427" s="15">
        <f t="shared" ref="I427:J427" si="144">SUM(I403:I426)</f>
        <v>24</v>
      </c>
      <c r="J427" s="15">
        <f t="shared" si="144"/>
        <v>4</v>
      </c>
      <c r="K427" s="15">
        <f>SUM(K403:K426)</f>
        <v>0</v>
      </c>
      <c r="L427" s="15">
        <f>SUM(L403:L426)</f>
        <v>0</v>
      </c>
      <c r="M427" s="16">
        <f t="shared" si="132"/>
        <v>40</v>
      </c>
      <c r="N427" s="34">
        <f t="shared" si="137"/>
        <v>80</v>
      </c>
    </row>
    <row r="428" spans="1:15" ht="14.25" thickBot="1" x14ac:dyDescent="0.2">
      <c r="A428" s="25" t="s">
        <v>6</v>
      </c>
      <c r="B428" s="26">
        <f>B402-B427</f>
        <v>11</v>
      </c>
      <c r="C428" s="26">
        <f t="shared" ref="C428:G428" si="145">C402-C427</f>
        <v>14</v>
      </c>
      <c r="D428" s="26">
        <f t="shared" si="145"/>
        <v>4</v>
      </c>
      <c r="E428" s="26">
        <f t="shared" si="145"/>
        <v>0</v>
      </c>
      <c r="F428" s="26">
        <f t="shared" si="145"/>
        <v>0</v>
      </c>
      <c r="G428" s="26">
        <f t="shared" si="145"/>
        <v>29</v>
      </c>
      <c r="H428" s="26">
        <f>H402-H427</f>
        <v>4</v>
      </c>
      <c r="I428" s="26">
        <f t="shared" ref="I428:M428" si="146">I402-I427</f>
        <v>19</v>
      </c>
      <c r="J428" s="26">
        <f t="shared" si="146"/>
        <v>3</v>
      </c>
      <c r="K428" s="26">
        <f t="shared" si="146"/>
        <v>0</v>
      </c>
      <c r="L428" s="26">
        <f t="shared" si="146"/>
        <v>0</v>
      </c>
      <c r="M428" s="26">
        <f t="shared" si="146"/>
        <v>26</v>
      </c>
      <c r="N428" s="38">
        <f t="shared" si="137"/>
        <v>55</v>
      </c>
    </row>
    <row r="431" spans="1:15" ht="18" thickBot="1" x14ac:dyDescent="0.25">
      <c r="A431" s="29" t="s">
        <v>17</v>
      </c>
      <c r="B431" s="1"/>
      <c r="C431" s="1"/>
      <c r="D431" s="1" t="s">
        <v>65</v>
      </c>
      <c r="E431" s="1"/>
      <c r="F431" s="1"/>
      <c r="G431" s="1"/>
      <c r="H431" s="1"/>
      <c r="I431" s="1"/>
      <c r="J431" s="1"/>
      <c r="K431" s="1"/>
      <c r="L431" s="1"/>
      <c r="M431" s="1"/>
    </row>
    <row r="432" spans="1:15" ht="14.25" thickBot="1" x14ac:dyDescent="0.2">
      <c r="A432" s="2" t="s">
        <v>0</v>
      </c>
      <c r="B432" s="220" t="s">
        <v>14</v>
      </c>
      <c r="C432" s="220"/>
      <c r="D432" s="220"/>
      <c r="E432" s="220"/>
      <c r="F432" s="220"/>
      <c r="G432" s="221"/>
      <c r="H432" s="217" t="s">
        <v>15</v>
      </c>
      <c r="I432" s="217"/>
      <c r="J432" s="217"/>
      <c r="K432" s="217"/>
      <c r="L432" s="217"/>
      <c r="M432" s="218"/>
      <c r="N432" s="208" t="s">
        <v>10</v>
      </c>
    </row>
    <row r="433" spans="1:16" ht="14.25" thickBot="1" x14ac:dyDescent="0.2">
      <c r="A433" s="2" t="s">
        <v>1</v>
      </c>
      <c r="B433" s="3" t="s">
        <v>7</v>
      </c>
      <c r="C433" s="2" t="s">
        <v>8</v>
      </c>
      <c r="D433" s="19" t="s">
        <v>9</v>
      </c>
      <c r="E433" s="2" t="s">
        <v>20</v>
      </c>
      <c r="F433" s="2" t="s">
        <v>22</v>
      </c>
      <c r="G433" s="19" t="s">
        <v>2</v>
      </c>
      <c r="H433" s="2" t="s">
        <v>11</v>
      </c>
      <c r="I433" s="19" t="s">
        <v>12</v>
      </c>
      <c r="J433" s="2" t="s">
        <v>13</v>
      </c>
      <c r="K433" s="53" t="s">
        <v>19</v>
      </c>
      <c r="L433" s="53" t="s">
        <v>21</v>
      </c>
      <c r="M433" s="2" t="s">
        <v>2</v>
      </c>
      <c r="N433" s="209"/>
    </row>
    <row r="434" spans="1:16" ht="14.25" thickBot="1" x14ac:dyDescent="0.2">
      <c r="A434" s="3" t="s">
        <v>6</v>
      </c>
      <c r="B434" s="63">
        <f>B428</f>
        <v>11</v>
      </c>
      <c r="C434" s="64">
        <f>C428</f>
        <v>14</v>
      </c>
      <c r="D434" s="63">
        <f>D428</f>
        <v>4</v>
      </c>
      <c r="E434" s="64">
        <f>E428</f>
        <v>0</v>
      </c>
      <c r="F434" s="148">
        <f>F428</f>
        <v>0</v>
      </c>
      <c r="G434" s="16">
        <f t="shared" ref="G434" si="147">SUM(B434:F434)</f>
        <v>29</v>
      </c>
      <c r="H434" s="149">
        <f>H428</f>
        <v>4</v>
      </c>
      <c r="I434" s="63">
        <f t="shared" ref="I434:L434" si="148">I428</f>
        <v>19</v>
      </c>
      <c r="J434" s="63">
        <f t="shared" si="148"/>
        <v>3</v>
      </c>
      <c r="K434" s="63">
        <f t="shared" si="148"/>
        <v>0</v>
      </c>
      <c r="L434" s="63">
        <f t="shared" si="148"/>
        <v>0</v>
      </c>
      <c r="M434" s="65">
        <f t="shared" ref="M434:M470" si="149">SUM(H434:L434)</f>
        <v>26</v>
      </c>
      <c r="N434" s="34">
        <f>SUM(M434,G434)</f>
        <v>55</v>
      </c>
    </row>
    <row r="435" spans="1:16" x14ac:dyDescent="0.15">
      <c r="A435" s="50" t="s">
        <v>3</v>
      </c>
      <c r="B435" s="13">
        <v>5</v>
      </c>
      <c r="C435" s="14">
        <v>5</v>
      </c>
      <c r="D435" s="13">
        <v>5</v>
      </c>
      <c r="E435" s="14"/>
      <c r="F435" s="146"/>
      <c r="G435" s="8">
        <f t="shared" ref="G435:G438" si="150">SUM(B435:F435)</f>
        <v>15</v>
      </c>
      <c r="H435" s="147">
        <v>10</v>
      </c>
      <c r="I435" s="14"/>
      <c r="J435" s="13">
        <v>5</v>
      </c>
      <c r="K435" s="14"/>
      <c r="L435" s="13"/>
      <c r="M435" s="8">
        <f t="shared" ref="M435:M438" si="151">SUM(H435:L435)</f>
        <v>15</v>
      </c>
      <c r="N435" s="145">
        <f t="shared" ref="N435:N438" si="152">SUM(M435,G435)</f>
        <v>30</v>
      </c>
      <c r="O435" s="32">
        <v>45491</v>
      </c>
    </row>
    <row r="436" spans="1:16" x14ac:dyDescent="0.15">
      <c r="A436" s="50" t="s">
        <v>3</v>
      </c>
      <c r="B436" s="13"/>
      <c r="C436" s="14"/>
      <c r="D436" s="13">
        <v>3</v>
      </c>
      <c r="E436" s="14"/>
      <c r="F436" s="146"/>
      <c r="G436" s="8">
        <f t="shared" si="150"/>
        <v>3</v>
      </c>
      <c r="H436" s="147"/>
      <c r="I436" s="14"/>
      <c r="J436" s="13">
        <v>2</v>
      </c>
      <c r="K436" s="14"/>
      <c r="L436" s="13"/>
      <c r="M436" s="8">
        <f t="shared" si="151"/>
        <v>2</v>
      </c>
      <c r="N436" s="145">
        <f t="shared" si="152"/>
        <v>5</v>
      </c>
      <c r="O436" s="32">
        <v>45496</v>
      </c>
    </row>
    <row r="437" spans="1:16" x14ac:dyDescent="0.15">
      <c r="A437" s="50" t="s">
        <v>3</v>
      </c>
      <c r="B437" s="13"/>
      <c r="C437" s="14"/>
      <c r="D437" s="13">
        <v>10</v>
      </c>
      <c r="E437" s="14"/>
      <c r="F437" s="146"/>
      <c r="G437" s="8">
        <f t="shared" si="150"/>
        <v>10</v>
      </c>
      <c r="H437" s="147">
        <v>5</v>
      </c>
      <c r="I437" s="14"/>
      <c r="J437" s="13">
        <v>5</v>
      </c>
      <c r="K437" s="14"/>
      <c r="L437" s="13"/>
      <c r="M437" s="8">
        <f t="shared" si="151"/>
        <v>10</v>
      </c>
      <c r="N437" s="145">
        <f t="shared" si="152"/>
        <v>20</v>
      </c>
      <c r="O437" s="32">
        <v>45524</v>
      </c>
      <c r="P437" s="33"/>
    </row>
    <row r="438" spans="1:16" x14ac:dyDescent="0.15">
      <c r="A438" s="50" t="s">
        <v>60</v>
      </c>
      <c r="B438" s="13">
        <v>0</v>
      </c>
      <c r="C438" s="14">
        <v>-1</v>
      </c>
      <c r="D438" s="13">
        <v>0</v>
      </c>
      <c r="E438" s="14"/>
      <c r="F438" s="146"/>
      <c r="G438" s="8">
        <f t="shared" si="150"/>
        <v>-1</v>
      </c>
      <c r="H438" s="147">
        <v>-2</v>
      </c>
      <c r="I438" s="14">
        <v>-5</v>
      </c>
      <c r="J438" s="13">
        <v>0</v>
      </c>
      <c r="K438" s="14"/>
      <c r="L438" s="13"/>
      <c r="M438" s="8">
        <f t="shared" si="151"/>
        <v>-7</v>
      </c>
      <c r="N438" s="145">
        <f t="shared" si="152"/>
        <v>-8</v>
      </c>
      <c r="O438" s="37">
        <v>45531</v>
      </c>
    </row>
    <row r="439" spans="1:16" x14ac:dyDescent="0.15">
      <c r="A439" s="50" t="s">
        <v>3</v>
      </c>
      <c r="B439" s="13"/>
      <c r="C439" s="14"/>
      <c r="D439" s="13"/>
      <c r="E439" s="14"/>
      <c r="F439" s="146"/>
      <c r="G439" s="8">
        <f t="shared" ref="G439:G470" si="153">SUM(B439:F439)</f>
        <v>0</v>
      </c>
      <c r="H439" s="147"/>
      <c r="I439" s="14"/>
      <c r="J439" s="13"/>
      <c r="K439" s="14"/>
      <c r="L439" s="13"/>
      <c r="M439" s="8">
        <f t="shared" si="149"/>
        <v>0</v>
      </c>
      <c r="N439" s="145">
        <f t="shared" ref="N439:N471" si="154">SUM(M439,G439)</f>
        <v>0</v>
      </c>
    </row>
    <row r="440" spans="1:16" x14ac:dyDescent="0.15">
      <c r="A440" s="50" t="s">
        <v>3</v>
      </c>
      <c r="B440" s="13"/>
      <c r="C440" s="14"/>
      <c r="D440" s="13"/>
      <c r="E440" s="14"/>
      <c r="F440" s="146"/>
      <c r="G440" s="8">
        <f t="shared" si="153"/>
        <v>0</v>
      </c>
      <c r="H440" s="147"/>
      <c r="I440" s="14"/>
      <c r="J440" s="13"/>
      <c r="K440" s="14"/>
      <c r="L440" s="13"/>
      <c r="M440" s="8">
        <f t="shared" si="149"/>
        <v>0</v>
      </c>
      <c r="N440" s="145">
        <f t="shared" si="154"/>
        <v>0</v>
      </c>
    </row>
    <row r="441" spans="1:16" x14ac:dyDescent="0.15">
      <c r="A441" s="50" t="s">
        <v>3</v>
      </c>
      <c r="B441" s="13"/>
      <c r="C441" s="14"/>
      <c r="D441" s="13"/>
      <c r="E441" s="14"/>
      <c r="F441" s="146"/>
      <c r="G441" s="8">
        <f t="shared" si="153"/>
        <v>0</v>
      </c>
      <c r="H441" s="147"/>
      <c r="I441" s="14"/>
      <c r="J441" s="13"/>
      <c r="K441" s="14"/>
      <c r="L441" s="13"/>
      <c r="M441" s="8">
        <f t="shared" si="149"/>
        <v>0</v>
      </c>
      <c r="N441" s="145">
        <f t="shared" si="154"/>
        <v>0</v>
      </c>
    </row>
    <row r="442" spans="1:16" x14ac:dyDescent="0.15">
      <c r="A442" s="50" t="s">
        <v>3</v>
      </c>
      <c r="B442" s="13"/>
      <c r="C442" s="14"/>
      <c r="D442" s="13"/>
      <c r="E442" s="14"/>
      <c r="F442" s="146"/>
      <c r="G442" s="8">
        <f t="shared" si="153"/>
        <v>0</v>
      </c>
      <c r="H442" s="147"/>
      <c r="I442" s="14"/>
      <c r="J442" s="13"/>
      <c r="K442" s="14"/>
      <c r="L442" s="13"/>
      <c r="M442" s="8">
        <f t="shared" si="149"/>
        <v>0</v>
      </c>
      <c r="N442" s="145">
        <f t="shared" si="154"/>
        <v>0</v>
      </c>
    </row>
    <row r="443" spans="1:16" x14ac:dyDescent="0.15">
      <c r="A443" s="50" t="s">
        <v>3</v>
      </c>
      <c r="B443" s="13"/>
      <c r="C443" s="14"/>
      <c r="D443" s="13"/>
      <c r="E443" s="14"/>
      <c r="F443" s="146"/>
      <c r="G443" s="8">
        <f t="shared" si="153"/>
        <v>0</v>
      </c>
      <c r="H443" s="147"/>
      <c r="I443" s="14"/>
      <c r="J443" s="13"/>
      <c r="K443" s="14"/>
      <c r="L443" s="13"/>
      <c r="M443" s="8">
        <f t="shared" si="149"/>
        <v>0</v>
      </c>
      <c r="N443" s="145">
        <f t="shared" si="154"/>
        <v>0</v>
      </c>
    </row>
    <row r="444" spans="1:16" ht="14.25" thickBot="1" x14ac:dyDescent="0.2">
      <c r="A444" s="50" t="s">
        <v>3</v>
      </c>
      <c r="B444" s="13"/>
      <c r="C444" s="14"/>
      <c r="D444" s="13"/>
      <c r="E444" s="14"/>
      <c r="F444" s="146"/>
      <c r="G444" s="8">
        <f t="shared" ref="G444" si="155">SUM(B444:F444)</f>
        <v>0</v>
      </c>
      <c r="H444" s="147"/>
      <c r="I444" s="14"/>
      <c r="J444" s="13"/>
      <c r="K444" s="14"/>
      <c r="L444" s="13"/>
      <c r="M444" s="8">
        <f t="shared" ref="M444" si="156">SUM(H444:L444)</f>
        <v>0</v>
      </c>
      <c r="N444" s="145">
        <f t="shared" ref="N444" si="157">SUM(M444,G444)</f>
        <v>0</v>
      </c>
    </row>
    <row r="445" spans="1:16" ht="14.25" thickBot="1" x14ac:dyDescent="0.2">
      <c r="A445" s="51" t="s">
        <v>4</v>
      </c>
      <c r="B445" s="22">
        <f>SUM(B434:B444)</f>
        <v>16</v>
      </c>
      <c r="C445" s="22">
        <f>SUM(C434:C444)</f>
        <v>18</v>
      </c>
      <c r="D445" s="57">
        <f t="shared" ref="D445:E445" si="158">SUM(D434:D444)</f>
        <v>22</v>
      </c>
      <c r="E445" s="22">
        <f t="shared" si="158"/>
        <v>0</v>
      </c>
      <c r="F445" s="23">
        <f>SUM(F434:F444)</f>
        <v>0</v>
      </c>
      <c r="G445" s="24">
        <f t="shared" si="153"/>
        <v>56</v>
      </c>
      <c r="H445" s="150">
        <f>SUM(H434:H444)</f>
        <v>17</v>
      </c>
      <c r="I445" s="22">
        <f t="shared" ref="I445:J445" si="159">SUM(I434:I444)</f>
        <v>14</v>
      </c>
      <c r="J445" s="22">
        <f t="shared" si="159"/>
        <v>15</v>
      </c>
      <c r="K445" s="57">
        <f>SUM(K434:K444)</f>
        <v>0</v>
      </c>
      <c r="L445" s="22">
        <f>SUM(L434:L444)</f>
        <v>0</v>
      </c>
      <c r="M445" s="43">
        <f t="shared" si="149"/>
        <v>46</v>
      </c>
      <c r="N445" s="34">
        <f t="shared" si="154"/>
        <v>102</v>
      </c>
    </row>
    <row r="446" spans="1:16" x14ac:dyDescent="0.15">
      <c r="A446" s="39" t="s">
        <v>54</v>
      </c>
      <c r="B446" s="10"/>
      <c r="C446" s="11"/>
      <c r="D446" s="10">
        <v>2</v>
      </c>
      <c r="E446" s="11"/>
      <c r="F446" s="10"/>
      <c r="G446" s="48">
        <f t="shared" ref="G446:G467" si="160">SUM(B446:F446)</f>
        <v>2</v>
      </c>
      <c r="H446" s="10"/>
      <c r="I446" s="11"/>
      <c r="J446" s="10">
        <v>2</v>
      </c>
      <c r="K446" s="11"/>
      <c r="L446" s="10"/>
      <c r="M446" s="44">
        <f t="shared" ref="M446:M467" si="161">SUM(H446:L446)</f>
        <v>2</v>
      </c>
      <c r="N446" s="31">
        <f t="shared" ref="N446:N467" si="162">SUM(M446,G446)</f>
        <v>4</v>
      </c>
      <c r="O446" s="37">
        <v>45481</v>
      </c>
    </row>
    <row r="447" spans="1:16" x14ac:dyDescent="0.15">
      <c r="A447" s="39" t="s">
        <v>54</v>
      </c>
      <c r="B447" s="10"/>
      <c r="C447" s="11">
        <v>1</v>
      </c>
      <c r="D447" s="10"/>
      <c r="E447" s="11"/>
      <c r="F447" s="10"/>
      <c r="G447" s="48">
        <f t="shared" si="160"/>
        <v>1</v>
      </c>
      <c r="H447" s="10"/>
      <c r="I447" s="11">
        <v>1</v>
      </c>
      <c r="J447" s="10"/>
      <c r="K447" s="11"/>
      <c r="L447" s="10"/>
      <c r="M447" s="44">
        <f t="shared" si="161"/>
        <v>1</v>
      </c>
      <c r="N447" s="31">
        <f t="shared" si="162"/>
        <v>2</v>
      </c>
      <c r="O447" s="37">
        <v>45485</v>
      </c>
    </row>
    <row r="448" spans="1:16" x14ac:dyDescent="0.15">
      <c r="A448" s="39" t="s">
        <v>54</v>
      </c>
      <c r="B448" s="10">
        <v>1</v>
      </c>
      <c r="C448" s="11"/>
      <c r="D448" s="10">
        <v>2</v>
      </c>
      <c r="E448" s="11"/>
      <c r="F448" s="10"/>
      <c r="G448" s="48">
        <f t="shared" si="160"/>
        <v>3</v>
      </c>
      <c r="H448" s="10">
        <v>1</v>
      </c>
      <c r="I448" s="11"/>
      <c r="J448" s="10"/>
      <c r="K448" s="11"/>
      <c r="L448" s="10"/>
      <c r="M448" s="44">
        <f t="shared" si="161"/>
        <v>1</v>
      </c>
      <c r="N448" s="31">
        <f t="shared" si="162"/>
        <v>4</v>
      </c>
      <c r="O448" s="37">
        <v>45489</v>
      </c>
    </row>
    <row r="449" spans="1:15" x14ac:dyDescent="0.15">
      <c r="A449" s="39" t="s">
        <v>54</v>
      </c>
      <c r="B449" s="10">
        <v>1</v>
      </c>
      <c r="C449" s="11"/>
      <c r="D449" s="10"/>
      <c r="E449" s="11"/>
      <c r="F449" s="10"/>
      <c r="G449" s="48">
        <f t="shared" si="160"/>
        <v>1</v>
      </c>
      <c r="H449" s="10">
        <v>1</v>
      </c>
      <c r="I449" s="11"/>
      <c r="J449" s="10"/>
      <c r="K449" s="11"/>
      <c r="L449" s="10"/>
      <c r="M449" s="44">
        <f t="shared" si="161"/>
        <v>1</v>
      </c>
      <c r="N449" s="31">
        <f t="shared" si="162"/>
        <v>2</v>
      </c>
      <c r="O449" s="37">
        <v>45490</v>
      </c>
    </row>
    <row r="450" spans="1:15" x14ac:dyDescent="0.15">
      <c r="A450" s="39" t="s">
        <v>54</v>
      </c>
      <c r="B450" s="10"/>
      <c r="C450" s="11">
        <v>1</v>
      </c>
      <c r="D450" s="10">
        <v>2</v>
      </c>
      <c r="E450" s="11"/>
      <c r="F450" s="10"/>
      <c r="G450" s="48">
        <f t="shared" si="160"/>
        <v>3</v>
      </c>
      <c r="H450" s="10"/>
      <c r="I450" s="11">
        <v>1</v>
      </c>
      <c r="J450" s="10">
        <v>2</v>
      </c>
      <c r="K450" s="11"/>
      <c r="L450" s="10"/>
      <c r="M450" s="44">
        <f t="shared" si="161"/>
        <v>3</v>
      </c>
      <c r="N450" s="31">
        <f t="shared" si="162"/>
        <v>6</v>
      </c>
      <c r="O450" s="37">
        <v>45495</v>
      </c>
    </row>
    <row r="451" spans="1:15" x14ac:dyDescent="0.15">
      <c r="A451" s="39" t="s">
        <v>54</v>
      </c>
      <c r="B451" s="10"/>
      <c r="C451" s="11"/>
      <c r="D451" s="10"/>
      <c r="E451" s="11"/>
      <c r="F451" s="10"/>
      <c r="G451" s="48">
        <f t="shared" si="160"/>
        <v>0</v>
      </c>
      <c r="H451" s="10">
        <v>2</v>
      </c>
      <c r="I451" s="11"/>
      <c r="J451" s="10"/>
      <c r="K451" s="11"/>
      <c r="L451" s="10"/>
      <c r="M451" s="44">
        <f t="shared" si="161"/>
        <v>2</v>
      </c>
      <c r="N451" s="31">
        <f t="shared" si="162"/>
        <v>2</v>
      </c>
      <c r="O451" s="37">
        <v>45496</v>
      </c>
    </row>
    <row r="452" spans="1:15" x14ac:dyDescent="0.15">
      <c r="A452" s="39" t="s">
        <v>54</v>
      </c>
      <c r="B452" s="10"/>
      <c r="C452" s="11">
        <v>1</v>
      </c>
      <c r="D452" s="10"/>
      <c r="E452" s="11"/>
      <c r="F452" s="10"/>
      <c r="G452" s="48">
        <f t="shared" si="160"/>
        <v>1</v>
      </c>
      <c r="H452" s="10"/>
      <c r="I452" s="11">
        <v>1</v>
      </c>
      <c r="J452" s="10"/>
      <c r="K452" s="11"/>
      <c r="L452" s="10"/>
      <c r="M452" s="44">
        <f t="shared" si="161"/>
        <v>1</v>
      </c>
      <c r="N452" s="31">
        <f t="shared" si="162"/>
        <v>2</v>
      </c>
      <c r="O452" s="37">
        <v>45498</v>
      </c>
    </row>
    <row r="453" spans="1:15" x14ac:dyDescent="0.15">
      <c r="A453" s="39" t="s">
        <v>54</v>
      </c>
      <c r="B453" s="10"/>
      <c r="C453" s="11"/>
      <c r="D453" s="10">
        <v>2</v>
      </c>
      <c r="E453" s="11"/>
      <c r="F453" s="10"/>
      <c r="G453" s="48">
        <f t="shared" si="160"/>
        <v>2</v>
      </c>
      <c r="H453" s="10"/>
      <c r="I453" s="11"/>
      <c r="J453" s="10"/>
      <c r="K453" s="11"/>
      <c r="L453" s="10"/>
      <c r="M453" s="44">
        <f t="shared" si="161"/>
        <v>0</v>
      </c>
      <c r="N453" s="31">
        <f t="shared" si="162"/>
        <v>2</v>
      </c>
      <c r="O453" s="37">
        <v>45499</v>
      </c>
    </row>
    <row r="454" spans="1:15" x14ac:dyDescent="0.15">
      <c r="A454" s="39" t="s">
        <v>54</v>
      </c>
      <c r="B454" s="10"/>
      <c r="C454" s="11">
        <v>2</v>
      </c>
      <c r="D454" s="10">
        <v>1</v>
      </c>
      <c r="E454" s="11"/>
      <c r="F454" s="10"/>
      <c r="G454" s="48">
        <f t="shared" si="160"/>
        <v>3</v>
      </c>
      <c r="H454" s="10"/>
      <c r="I454" s="11"/>
      <c r="J454" s="10">
        <v>1</v>
      </c>
      <c r="K454" s="11"/>
      <c r="L454" s="10"/>
      <c r="M454" s="44">
        <f t="shared" si="161"/>
        <v>1</v>
      </c>
      <c r="N454" s="31">
        <f t="shared" si="162"/>
        <v>4</v>
      </c>
      <c r="O454" s="37">
        <v>45502</v>
      </c>
    </row>
    <row r="455" spans="1:15" x14ac:dyDescent="0.15">
      <c r="A455" s="39" t="s">
        <v>54</v>
      </c>
      <c r="B455" s="10"/>
      <c r="C455" s="11"/>
      <c r="D455" s="10">
        <v>2</v>
      </c>
      <c r="E455" s="11"/>
      <c r="F455" s="10"/>
      <c r="G455" s="48">
        <f t="shared" si="160"/>
        <v>2</v>
      </c>
      <c r="H455" s="10"/>
      <c r="I455" s="11"/>
      <c r="J455" s="10"/>
      <c r="K455" s="11"/>
      <c r="L455" s="10"/>
      <c r="M455" s="44">
        <f t="shared" si="161"/>
        <v>0</v>
      </c>
      <c r="N455" s="31">
        <f t="shared" si="162"/>
        <v>2</v>
      </c>
      <c r="O455" s="37">
        <v>45504</v>
      </c>
    </row>
    <row r="456" spans="1:15" x14ac:dyDescent="0.15">
      <c r="A456" s="39" t="s">
        <v>54</v>
      </c>
      <c r="B456" s="10">
        <v>2</v>
      </c>
      <c r="C456" s="11"/>
      <c r="D456" s="10"/>
      <c r="E456" s="11"/>
      <c r="F456" s="10"/>
      <c r="G456" s="48">
        <f t="shared" si="160"/>
        <v>2</v>
      </c>
      <c r="H456" s="10"/>
      <c r="I456" s="11"/>
      <c r="J456" s="10"/>
      <c r="K456" s="11"/>
      <c r="L456" s="10"/>
      <c r="M456" s="44">
        <f t="shared" si="161"/>
        <v>0</v>
      </c>
      <c r="N456" s="31">
        <f t="shared" si="162"/>
        <v>2</v>
      </c>
      <c r="O456" s="37">
        <v>45505</v>
      </c>
    </row>
    <row r="457" spans="1:15" x14ac:dyDescent="0.15">
      <c r="A457" s="39" t="s">
        <v>54</v>
      </c>
      <c r="B457" s="10"/>
      <c r="C457" s="11">
        <v>1</v>
      </c>
      <c r="D457" s="10"/>
      <c r="E457" s="11"/>
      <c r="F457" s="10"/>
      <c r="G457" s="48">
        <f t="shared" si="160"/>
        <v>1</v>
      </c>
      <c r="H457" s="10"/>
      <c r="I457" s="11">
        <v>1</v>
      </c>
      <c r="J457" s="10"/>
      <c r="K457" s="11"/>
      <c r="L457" s="10"/>
      <c r="M457" s="44">
        <f t="shared" si="161"/>
        <v>1</v>
      </c>
      <c r="N457" s="31">
        <f t="shared" si="162"/>
        <v>2</v>
      </c>
      <c r="O457" s="37">
        <v>45506</v>
      </c>
    </row>
    <row r="458" spans="1:15" x14ac:dyDescent="0.15">
      <c r="A458" s="39" t="s">
        <v>54</v>
      </c>
      <c r="B458" s="10">
        <v>1</v>
      </c>
      <c r="C458" s="11">
        <v>1</v>
      </c>
      <c r="D458" s="10"/>
      <c r="E458" s="11"/>
      <c r="F458" s="10"/>
      <c r="G458" s="48">
        <f t="shared" si="160"/>
        <v>2</v>
      </c>
      <c r="H458" s="10">
        <v>1</v>
      </c>
      <c r="I458" s="11">
        <v>1</v>
      </c>
      <c r="J458" s="10"/>
      <c r="K458" s="11"/>
      <c r="L458" s="10"/>
      <c r="M458" s="44">
        <f t="shared" si="161"/>
        <v>2</v>
      </c>
      <c r="N458" s="31">
        <f t="shared" si="162"/>
        <v>4</v>
      </c>
      <c r="O458" s="37">
        <v>45509</v>
      </c>
    </row>
    <row r="459" spans="1:15" x14ac:dyDescent="0.15">
      <c r="A459" s="39" t="s">
        <v>54</v>
      </c>
      <c r="B459" s="10"/>
      <c r="C459" s="11"/>
      <c r="D459" s="10">
        <v>1</v>
      </c>
      <c r="E459" s="11"/>
      <c r="F459" s="10"/>
      <c r="G459" s="48">
        <f t="shared" si="160"/>
        <v>1</v>
      </c>
      <c r="H459" s="10"/>
      <c r="I459" s="11"/>
      <c r="J459" s="10">
        <v>1</v>
      </c>
      <c r="K459" s="11"/>
      <c r="L459" s="10"/>
      <c r="M459" s="44">
        <f t="shared" si="161"/>
        <v>1</v>
      </c>
      <c r="N459" s="31">
        <f t="shared" si="162"/>
        <v>2</v>
      </c>
      <c r="O459" s="37">
        <v>45511</v>
      </c>
    </row>
    <row r="460" spans="1:15" x14ac:dyDescent="0.15">
      <c r="A460" s="39" t="s">
        <v>54</v>
      </c>
      <c r="B460" s="10"/>
      <c r="C460" s="11"/>
      <c r="D460" s="10"/>
      <c r="E460" s="11"/>
      <c r="F460" s="10"/>
      <c r="G460" s="48">
        <f t="shared" si="160"/>
        <v>0</v>
      </c>
      <c r="H460" s="10">
        <v>2</v>
      </c>
      <c r="I460" s="11"/>
      <c r="J460" s="10"/>
      <c r="K460" s="11"/>
      <c r="L460" s="10"/>
      <c r="M460" s="44">
        <f t="shared" si="161"/>
        <v>2</v>
      </c>
      <c r="N460" s="31">
        <f t="shared" si="162"/>
        <v>2</v>
      </c>
      <c r="O460" s="37">
        <v>45515</v>
      </c>
    </row>
    <row r="461" spans="1:15" x14ac:dyDescent="0.15">
      <c r="A461" s="39" t="s">
        <v>54</v>
      </c>
      <c r="B461" s="10">
        <v>1</v>
      </c>
      <c r="C461" s="11"/>
      <c r="D461" s="10"/>
      <c r="E461" s="11"/>
      <c r="F461" s="10"/>
      <c r="G461" s="48">
        <f t="shared" si="160"/>
        <v>1</v>
      </c>
      <c r="H461" s="10">
        <v>1</v>
      </c>
      <c r="I461" s="11">
        <v>2</v>
      </c>
      <c r="J461" s="10"/>
      <c r="K461" s="11"/>
      <c r="L461" s="10"/>
      <c r="M461" s="44">
        <f t="shared" si="161"/>
        <v>3</v>
      </c>
      <c r="N461" s="31">
        <f t="shared" si="162"/>
        <v>4</v>
      </c>
      <c r="O461" s="37">
        <v>45520</v>
      </c>
    </row>
    <row r="462" spans="1:15" x14ac:dyDescent="0.15">
      <c r="A462" s="39" t="s">
        <v>54</v>
      </c>
      <c r="B462" s="10">
        <v>2</v>
      </c>
      <c r="C462" s="11"/>
      <c r="D462" s="10"/>
      <c r="E462" s="11"/>
      <c r="F462" s="10"/>
      <c r="G462" s="48">
        <f t="shared" si="160"/>
        <v>2</v>
      </c>
      <c r="H462" s="10">
        <v>2</v>
      </c>
      <c r="I462" s="11"/>
      <c r="J462" s="10"/>
      <c r="K462" s="11"/>
      <c r="L462" s="10"/>
      <c r="M462" s="44">
        <f t="shared" si="161"/>
        <v>2</v>
      </c>
      <c r="N462" s="31">
        <f t="shared" si="162"/>
        <v>4</v>
      </c>
      <c r="O462" s="37">
        <v>45523</v>
      </c>
    </row>
    <row r="463" spans="1:15" x14ac:dyDescent="0.15">
      <c r="A463" s="39" t="s">
        <v>54</v>
      </c>
      <c r="B463" s="10"/>
      <c r="C463" s="11">
        <v>2</v>
      </c>
      <c r="D463" s="10"/>
      <c r="E463" s="11"/>
      <c r="F463" s="10"/>
      <c r="G463" s="48">
        <f t="shared" si="160"/>
        <v>2</v>
      </c>
      <c r="H463" s="10"/>
      <c r="I463" s="11">
        <v>2</v>
      </c>
      <c r="J463" s="10"/>
      <c r="K463" s="11"/>
      <c r="L463" s="10"/>
      <c r="M463" s="44">
        <f t="shared" si="161"/>
        <v>2</v>
      </c>
      <c r="N463" s="31">
        <f t="shared" si="162"/>
        <v>4</v>
      </c>
      <c r="O463" s="37">
        <v>45526</v>
      </c>
    </row>
    <row r="464" spans="1:15" x14ac:dyDescent="0.15">
      <c r="A464" s="39" t="s">
        <v>54</v>
      </c>
      <c r="B464" s="10"/>
      <c r="C464" s="11"/>
      <c r="D464" s="10"/>
      <c r="E464" s="11"/>
      <c r="F464" s="10"/>
      <c r="G464" s="48">
        <f t="shared" si="160"/>
        <v>0</v>
      </c>
      <c r="H464" s="10">
        <v>2</v>
      </c>
      <c r="I464" s="11"/>
      <c r="J464" s="10"/>
      <c r="K464" s="11"/>
      <c r="L464" s="10"/>
      <c r="M464" s="44">
        <f t="shared" si="161"/>
        <v>2</v>
      </c>
      <c r="N464" s="31">
        <f t="shared" si="162"/>
        <v>2</v>
      </c>
      <c r="O464" s="37">
        <v>45527</v>
      </c>
    </row>
    <row r="465" spans="1:15" x14ac:dyDescent="0.15">
      <c r="A465" s="39" t="s">
        <v>54</v>
      </c>
      <c r="B465" s="10"/>
      <c r="C465" s="11">
        <v>1</v>
      </c>
      <c r="D465" s="10">
        <v>1</v>
      </c>
      <c r="E465" s="11"/>
      <c r="F465" s="10"/>
      <c r="G465" s="48">
        <f t="shared" si="160"/>
        <v>2</v>
      </c>
      <c r="H465" s="10"/>
      <c r="I465" s="11">
        <v>1</v>
      </c>
      <c r="J465" s="10">
        <v>3</v>
      </c>
      <c r="K465" s="11"/>
      <c r="L465" s="10"/>
      <c r="M465" s="44">
        <f t="shared" si="161"/>
        <v>4</v>
      </c>
      <c r="N465" s="31">
        <f t="shared" si="162"/>
        <v>6</v>
      </c>
      <c r="O465" s="37">
        <v>45530</v>
      </c>
    </row>
    <row r="466" spans="1:15" x14ac:dyDescent="0.15">
      <c r="A466" s="39" t="s">
        <v>54</v>
      </c>
      <c r="B466" s="10"/>
      <c r="C466" s="11">
        <v>2</v>
      </c>
      <c r="D466" s="10"/>
      <c r="E466" s="11"/>
      <c r="F466" s="10"/>
      <c r="G466" s="48">
        <f t="shared" si="160"/>
        <v>2</v>
      </c>
      <c r="H466" s="10"/>
      <c r="I466" s="11">
        <v>2</v>
      </c>
      <c r="J466" s="10"/>
      <c r="K466" s="11"/>
      <c r="L466" s="10"/>
      <c r="M466" s="44">
        <f t="shared" si="161"/>
        <v>2</v>
      </c>
      <c r="N466" s="31">
        <f t="shared" si="162"/>
        <v>4</v>
      </c>
      <c r="O466" s="37">
        <v>45531</v>
      </c>
    </row>
    <row r="467" spans="1:15" x14ac:dyDescent="0.15">
      <c r="A467" s="39" t="s">
        <v>54</v>
      </c>
      <c r="B467" s="10"/>
      <c r="C467" s="11"/>
      <c r="D467" s="10">
        <v>2</v>
      </c>
      <c r="E467" s="11"/>
      <c r="F467" s="10"/>
      <c r="G467" s="48">
        <f t="shared" si="160"/>
        <v>2</v>
      </c>
      <c r="H467" s="10"/>
      <c r="I467" s="11"/>
      <c r="J467" s="10">
        <v>2</v>
      </c>
      <c r="K467" s="11"/>
      <c r="L467" s="10"/>
      <c r="M467" s="44">
        <f t="shared" si="161"/>
        <v>2</v>
      </c>
      <c r="N467" s="31">
        <f t="shared" si="162"/>
        <v>4</v>
      </c>
      <c r="O467" s="37">
        <v>45532</v>
      </c>
    </row>
    <row r="468" spans="1:15" x14ac:dyDescent="0.15">
      <c r="A468" s="39" t="s">
        <v>54</v>
      </c>
      <c r="B468" s="10"/>
      <c r="C468" s="11"/>
      <c r="D468" s="10">
        <v>1</v>
      </c>
      <c r="E468" s="11"/>
      <c r="F468" s="10"/>
      <c r="G468" s="48">
        <f t="shared" si="153"/>
        <v>1</v>
      </c>
      <c r="H468" s="10"/>
      <c r="I468" s="11"/>
      <c r="J468" s="10">
        <v>1</v>
      </c>
      <c r="K468" s="11"/>
      <c r="L468" s="10"/>
      <c r="M468" s="44">
        <f t="shared" si="149"/>
        <v>1</v>
      </c>
      <c r="N468" s="31">
        <f t="shared" si="154"/>
        <v>2</v>
      </c>
      <c r="O468" s="37">
        <v>45534</v>
      </c>
    </row>
    <row r="469" spans="1:15" ht="14.25" thickBot="1" x14ac:dyDescent="0.2">
      <c r="A469" s="39" t="s">
        <v>54</v>
      </c>
      <c r="B469" s="13">
        <v>1</v>
      </c>
      <c r="C469" s="14"/>
      <c r="D469" s="13"/>
      <c r="E469" s="14"/>
      <c r="F469" s="13"/>
      <c r="G469" s="59">
        <f t="shared" si="153"/>
        <v>1</v>
      </c>
      <c r="H469" s="13">
        <v>1</v>
      </c>
      <c r="I469" s="14"/>
      <c r="J469" s="13"/>
      <c r="K469" s="14"/>
      <c r="L469" s="13"/>
      <c r="M469" s="60">
        <f t="shared" si="149"/>
        <v>1</v>
      </c>
      <c r="N469" s="36">
        <f t="shared" si="154"/>
        <v>2</v>
      </c>
      <c r="O469" s="37">
        <v>45535</v>
      </c>
    </row>
    <row r="470" spans="1:15" ht="14.25" thickBot="1" x14ac:dyDescent="0.2">
      <c r="A470" s="3" t="s">
        <v>5</v>
      </c>
      <c r="B470" s="16">
        <f>SUM(B446:B469)</f>
        <v>9</v>
      </c>
      <c r="C470" s="61">
        <f>SUM(C446:C469)</f>
        <v>12</v>
      </c>
      <c r="D470" s="16">
        <f t="shared" ref="D470:E470" si="163">SUM(D446:D469)</f>
        <v>16</v>
      </c>
      <c r="E470" s="61">
        <f t="shared" si="163"/>
        <v>0</v>
      </c>
      <c r="F470" s="15">
        <f>SUM(F446:F469)</f>
        <v>0</v>
      </c>
      <c r="G470" s="16">
        <f t="shared" si="153"/>
        <v>37</v>
      </c>
      <c r="H470" s="15">
        <f>SUM(H446:H469)</f>
        <v>13</v>
      </c>
      <c r="I470" s="15">
        <f t="shared" ref="I470:J470" si="164">SUM(I446:I469)</f>
        <v>12</v>
      </c>
      <c r="J470" s="15">
        <f t="shared" si="164"/>
        <v>12</v>
      </c>
      <c r="K470" s="15">
        <f>SUM(K446:K469)</f>
        <v>0</v>
      </c>
      <c r="L470" s="15">
        <f>SUM(L446:L469)</f>
        <v>0</v>
      </c>
      <c r="M470" s="16">
        <f t="shared" si="149"/>
        <v>37</v>
      </c>
      <c r="N470" s="34">
        <f t="shared" si="154"/>
        <v>74</v>
      </c>
    </row>
    <row r="471" spans="1:15" ht="14.25" thickBot="1" x14ac:dyDescent="0.2">
      <c r="A471" s="25" t="s">
        <v>6</v>
      </c>
      <c r="B471" s="26">
        <f>B445-B470</f>
        <v>7</v>
      </c>
      <c r="C471" s="26">
        <f t="shared" ref="C471:G471" si="165">C445-C470</f>
        <v>6</v>
      </c>
      <c r="D471" s="26">
        <f t="shared" si="165"/>
        <v>6</v>
      </c>
      <c r="E471" s="26">
        <f t="shared" si="165"/>
        <v>0</v>
      </c>
      <c r="F471" s="26">
        <f t="shared" si="165"/>
        <v>0</v>
      </c>
      <c r="G471" s="26">
        <f t="shared" si="165"/>
        <v>19</v>
      </c>
      <c r="H471" s="26">
        <f>H445-H470</f>
        <v>4</v>
      </c>
      <c r="I471" s="26">
        <f t="shared" ref="I471:M471" si="166">I445-I470</f>
        <v>2</v>
      </c>
      <c r="J471" s="26">
        <f t="shared" si="166"/>
        <v>3</v>
      </c>
      <c r="K471" s="26">
        <f t="shared" si="166"/>
        <v>0</v>
      </c>
      <c r="L471" s="26">
        <f t="shared" si="166"/>
        <v>0</v>
      </c>
      <c r="M471" s="26">
        <f t="shared" si="166"/>
        <v>9</v>
      </c>
      <c r="N471" s="38">
        <f t="shared" si="154"/>
        <v>28</v>
      </c>
    </row>
    <row r="474" spans="1:15" ht="18" thickBot="1" x14ac:dyDescent="0.25">
      <c r="A474" s="29" t="s">
        <v>17</v>
      </c>
      <c r="B474" s="1"/>
      <c r="C474" s="1"/>
      <c r="D474" s="1" t="s">
        <v>65</v>
      </c>
      <c r="E474" s="1"/>
      <c r="F474" s="1"/>
      <c r="G474" s="1"/>
      <c r="H474" s="1"/>
      <c r="I474" s="1"/>
      <c r="J474" s="1"/>
      <c r="K474" s="1"/>
      <c r="L474" s="1"/>
      <c r="M474" s="1"/>
    </row>
    <row r="475" spans="1:15" ht="14.25" thickBot="1" x14ac:dyDescent="0.2">
      <c r="A475" s="2" t="s">
        <v>0</v>
      </c>
      <c r="B475" s="219" t="s">
        <v>14</v>
      </c>
      <c r="C475" s="220"/>
      <c r="D475" s="220"/>
      <c r="E475" s="221"/>
      <c r="F475" s="216" t="s">
        <v>15</v>
      </c>
      <c r="G475" s="217"/>
      <c r="H475" s="217"/>
      <c r="I475" s="218"/>
      <c r="J475" s="208" t="s">
        <v>10</v>
      </c>
    </row>
    <row r="476" spans="1:15" ht="14.25" thickBot="1" x14ac:dyDescent="0.2">
      <c r="A476" s="2" t="s">
        <v>1</v>
      </c>
      <c r="B476" s="3" t="s">
        <v>7</v>
      </c>
      <c r="C476" s="2" t="s">
        <v>8</v>
      </c>
      <c r="D476" s="2" t="s">
        <v>9</v>
      </c>
      <c r="E476" s="19" t="s">
        <v>2</v>
      </c>
      <c r="F476" s="2" t="s">
        <v>11</v>
      </c>
      <c r="G476" s="19" t="s">
        <v>12</v>
      </c>
      <c r="H476" s="2" t="s">
        <v>13</v>
      </c>
      <c r="I476" s="2" t="s">
        <v>2</v>
      </c>
      <c r="J476" s="209"/>
    </row>
    <row r="477" spans="1:15" ht="14.25" thickBot="1" x14ac:dyDescent="0.2">
      <c r="A477" s="3" t="s">
        <v>6</v>
      </c>
      <c r="B477" s="63">
        <f>B471</f>
        <v>7</v>
      </c>
      <c r="C477" s="64">
        <f>C471</f>
        <v>6</v>
      </c>
      <c r="D477" s="63">
        <f>D471</f>
        <v>6</v>
      </c>
      <c r="E477" s="65">
        <f t="shared" ref="E477:E513" si="167">SUM(B477:D477)</f>
        <v>19</v>
      </c>
      <c r="F477" s="149">
        <f>H471</f>
        <v>4</v>
      </c>
      <c r="G477" s="63">
        <f>I471</f>
        <v>2</v>
      </c>
      <c r="H477" s="63">
        <f>J471</f>
        <v>3</v>
      </c>
      <c r="I477" s="65">
        <f t="shared" ref="I477:I513" si="168">SUM(F477:H477)</f>
        <v>9</v>
      </c>
      <c r="J477" s="34">
        <f t="shared" ref="J477:J514" si="169">SUM(I477,E477)</f>
        <v>28</v>
      </c>
    </row>
    <row r="478" spans="1:15" x14ac:dyDescent="0.15">
      <c r="A478" s="50" t="s">
        <v>3</v>
      </c>
      <c r="B478" s="13">
        <v>5</v>
      </c>
      <c r="C478" s="14">
        <v>5</v>
      </c>
      <c r="D478" s="13">
        <v>7</v>
      </c>
      <c r="E478" s="44">
        <f t="shared" si="167"/>
        <v>17</v>
      </c>
      <c r="F478" s="147">
        <v>10</v>
      </c>
      <c r="G478" s="14">
        <v>10</v>
      </c>
      <c r="H478" s="13">
        <v>10</v>
      </c>
      <c r="I478" s="8">
        <f t="shared" si="168"/>
        <v>30</v>
      </c>
      <c r="J478" s="145">
        <f t="shared" si="169"/>
        <v>47</v>
      </c>
      <c r="K478" s="32">
        <v>45538</v>
      </c>
    </row>
    <row r="479" spans="1:15" x14ac:dyDescent="0.15">
      <c r="A479" s="50" t="s">
        <v>3</v>
      </c>
      <c r="B479" s="13"/>
      <c r="C479" s="14">
        <v>10</v>
      </c>
      <c r="D479" s="13"/>
      <c r="E479" s="44">
        <f t="shared" si="167"/>
        <v>10</v>
      </c>
      <c r="F479" s="147"/>
      <c r="G479" s="14">
        <v>10</v>
      </c>
      <c r="H479" s="13"/>
      <c r="I479" s="8">
        <f t="shared" si="168"/>
        <v>10</v>
      </c>
      <c r="J479" s="145">
        <f t="shared" si="169"/>
        <v>20</v>
      </c>
      <c r="K479" s="32">
        <v>45545</v>
      </c>
    </row>
    <row r="480" spans="1:15" x14ac:dyDescent="0.15">
      <c r="A480" s="50" t="s">
        <v>3</v>
      </c>
      <c r="B480" s="13">
        <v>10</v>
      </c>
      <c r="C480" s="14"/>
      <c r="D480" s="13"/>
      <c r="E480" s="44">
        <f t="shared" si="167"/>
        <v>10</v>
      </c>
      <c r="F480" s="147">
        <v>10</v>
      </c>
      <c r="G480" s="14"/>
      <c r="H480" s="13"/>
      <c r="I480" s="8">
        <f t="shared" si="168"/>
        <v>10</v>
      </c>
      <c r="J480" s="145">
        <f t="shared" si="169"/>
        <v>20</v>
      </c>
      <c r="K480" s="32">
        <v>45566</v>
      </c>
      <c r="L480" s="33"/>
    </row>
    <row r="481" spans="1:12" x14ac:dyDescent="0.15">
      <c r="A481" s="50" t="s">
        <v>3</v>
      </c>
      <c r="B481" s="13">
        <v>5</v>
      </c>
      <c r="C481" s="14"/>
      <c r="D481" s="13">
        <v>5</v>
      </c>
      <c r="E481" s="44">
        <f t="shared" si="167"/>
        <v>10</v>
      </c>
      <c r="F481" s="147"/>
      <c r="G481" s="14">
        <v>5</v>
      </c>
      <c r="H481" s="13">
        <v>10</v>
      </c>
      <c r="I481" s="8">
        <f t="shared" si="168"/>
        <v>15</v>
      </c>
      <c r="J481" s="145">
        <f t="shared" si="169"/>
        <v>25</v>
      </c>
      <c r="K481" s="32">
        <v>45567</v>
      </c>
      <c r="L481" s="33"/>
    </row>
    <row r="482" spans="1:12" x14ac:dyDescent="0.15">
      <c r="A482" s="50" t="s">
        <v>3</v>
      </c>
      <c r="B482" s="13"/>
      <c r="C482" s="14">
        <v>5</v>
      </c>
      <c r="D482" s="13"/>
      <c r="E482" s="44">
        <f t="shared" si="167"/>
        <v>5</v>
      </c>
      <c r="F482" s="147"/>
      <c r="G482" s="14">
        <v>5</v>
      </c>
      <c r="H482" s="13"/>
      <c r="I482" s="8">
        <f t="shared" si="168"/>
        <v>5</v>
      </c>
      <c r="J482" s="145">
        <f t="shared" si="169"/>
        <v>10</v>
      </c>
      <c r="K482" s="32">
        <v>45573</v>
      </c>
    </row>
    <row r="483" spans="1:12" x14ac:dyDescent="0.15">
      <c r="A483" s="50" t="s">
        <v>3</v>
      </c>
      <c r="B483" s="13"/>
      <c r="C483" s="14"/>
      <c r="D483" s="13"/>
      <c r="E483" s="44">
        <f t="shared" si="167"/>
        <v>0</v>
      </c>
      <c r="F483" s="147">
        <v>5</v>
      </c>
      <c r="G483" s="14"/>
      <c r="H483" s="13">
        <v>10</v>
      </c>
      <c r="I483" s="8">
        <f t="shared" si="168"/>
        <v>15</v>
      </c>
      <c r="J483" s="145">
        <f t="shared" si="169"/>
        <v>15</v>
      </c>
      <c r="K483" s="32">
        <v>45576</v>
      </c>
    </row>
    <row r="484" spans="1:12" x14ac:dyDescent="0.15">
      <c r="A484" s="50" t="s">
        <v>3</v>
      </c>
      <c r="B484" s="13"/>
      <c r="C484" s="14"/>
      <c r="D484" s="13"/>
      <c r="E484" s="44">
        <f t="shared" si="167"/>
        <v>0</v>
      </c>
      <c r="F484" s="147"/>
      <c r="G484" s="14"/>
      <c r="H484" s="13"/>
      <c r="I484" s="8">
        <f t="shared" si="168"/>
        <v>0</v>
      </c>
      <c r="J484" s="145">
        <f t="shared" si="169"/>
        <v>0</v>
      </c>
    </row>
    <row r="485" spans="1:12" x14ac:dyDescent="0.15">
      <c r="A485" s="50" t="s">
        <v>3</v>
      </c>
      <c r="B485" s="13"/>
      <c r="C485" s="14"/>
      <c r="D485" s="13"/>
      <c r="E485" s="44">
        <f t="shared" si="167"/>
        <v>0</v>
      </c>
      <c r="F485" s="147"/>
      <c r="G485" s="14"/>
      <c r="H485" s="13"/>
      <c r="I485" s="8">
        <f t="shared" si="168"/>
        <v>0</v>
      </c>
      <c r="J485" s="145">
        <f t="shared" si="169"/>
        <v>0</v>
      </c>
    </row>
    <row r="486" spans="1:12" x14ac:dyDescent="0.15">
      <c r="A486" s="50" t="s">
        <v>3</v>
      </c>
      <c r="B486" s="13"/>
      <c r="C486" s="14"/>
      <c r="D486" s="13"/>
      <c r="E486" s="44">
        <f t="shared" si="167"/>
        <v>0</v>
      </c>
      <c r="F486" s="147"/>
      <c r="G486" s="14"/>
      <c r="H486" s="13"/>
      <c r="I486" s="8">
        <f t="shared" si="168"/>
        <v>0</v>
      </c>
      <c r="J486" s="145">
        <f t="shared" si="169"/>
        <v>0</v>
      </c>
    </row>
    <row r="487" spans="1:12" ht="14.25" thickBot="1" x14ac:dyDescent="0.2">
      <c r="A487" s="50" t="s">
        <v>3</v>
      </c>
      <c r="B487" s="13"/>
      <c r="C487" s="14"/>
      <c r="D487" s="13"/>
      <c r="E487" s="44">
        <f t="shared" si="167"/>
        <v>0</v>
      </c>
      <c r="F487" s="147"/>
      <c r="G487" s="14"/>
      <c r="H487" s="13"/>
      <c r="I487" s="8">
        <f t="shared" si="168"/>
        <v>0</v>
      </c>
      <c r="J487" s="145">
        <f t="shared" si="169"/>
        <v>0</v>
      </c>
    </row>
    <row r="488" spans="1:12" ht="14.25" thickBot="1" x14ac:dyDescent="0.2">
      <c r="A488" s="51" t="s">
        <v>4</v>
      </c>
      <c r="B488" s="22">
        <f>SUM(B477:B487)</f>
        <v>27</v>
      </c>
      <c r="C488" s="22">
        <f>SUM(C477:C487)</f>
        <v>26</v>
      </c>
      <c r="D488" s="22">
        <f t="shared" ref="D488" si="170">SUM(D477:D487)</f>
        <v>18</v>
      </c>
      <c r="E488" s="43">
        <f t="shared" si="167"/>
        <v>71</v>
      </c>
      <c r="F488" s="150">
        <f>SUM(F477:F487)</f>
        <v>29</v>
      </c>
      <c r="G488" s="22">
        <f t="shared" ref="G488:H488" si="171">SUM(G477:G487)</f>
        <v>32</v>
      </c>
      <c r="H488" s="22">
        <f t="shared" si="171"/>
        <v>33</v>
      </c>
      <c r="I488" s="43">
        <f t="shared" si="168"/>
        <v>94</v>
      </c>
      <c r="J488" s="34">
        <f t="shared" si="169"/>
        <v>165</v>
      </c>
    </row>
    <row r="489" spans="1:12" x14ac:dyDescent="0.15">
      <c r="A489" s="39" t="s">
        <v>54</v>
      </c>
      <c r="B489" s="10">
        <v>2</v>
      </c>
      <c r="C489" s="11">
        <v>1</v>
      </c>
      <c r="D489" s="10">
        <v>2</v>
      </c>
      <c r="E489" s="48">
        <f t="shared" si="167"/>
        <v>5</v>
      </c>
      <c r="F489" s="10"/>
      <c r="G489" s="11">
        <v>1</v>
      </c>
      <c r="H489" s="10">
        <v>2</v>
      </c>
      <c r="I489" s="44">
        <f t="shared" si="168"/>
        <v>3</v>
      </c>
      <c r="J489" s="31">
        <f t="shared" si="169"/>
        <v>8</v>
      </c>
      <c r="K489" s="37">
        <v>45537</v>
      </c>
    </row>
    <row r="490" spans="1:12" x14ac:dyDescent="0.15">
      <c r="A490" s="39" t="s">
        <v>54</v>
      </c>
      <c r="B490" s="10"/>
      <c r="C490" s="11">
        <f>2+2+1</f>
        <v>5</v>
      </c>
      <c r="D490" s="10"/>
      <c r="E490" s="48">
        <f t="shared" si="167"/>
        <v>5</v>
      </c>
      <c r="F490" s="10"/>
      <c r="G490" s="11">
        <f>1+4</f>
        <v>5</v>
      </c>
      <c r="H490" s="10"/>
      <c r="I490" s="44">
        <f t="shared" si="168"/>
        <v>5</v>
      </c>
      <c r="J490" s="31">
        <f t="shared" si="169"/>
        <v>10</v>
      </c>
      <c r="K490" s="37">
        <v>45540</v>
      </c>
    </row>
    <row r="491" spans="1:12" x14ac:dyDescent="0.15">
      <c r="A491" s="39" t="s">
        <v>54</v>
      </c>
      <c r="B491" s="10"/>
      <c r="C491" s="11"/>
      <c r="D491" s="10"/>
      <c r="E491" s="48">
        <f t="shared" si="167"/>
        <v>0</v>
      </c>
      <c r="F491" s="10"/>
      <c r="G491" s="11">
        <v>2</v>
      </c>
      <c r="H491" s="10"/>
      <c r="I491" s="44">
        <f t="shared" si="168"/>
        <v>2</v>
      </c>
      <c r="J491" s="31">
        <f t="shared" si="169"/>
        <v>2</v>
      </c>
      <c r="K491" s="37">
        <v>45544</v>
      </c>
    </row>
    <row r="492" spans="1:12" x14ac:dyDescent="0.15">
      <c r="A492" s="39" t="s">
        <v>54</v>
      </c>
      <c r="B492" s="10"/>
      <c r="C492" s="11"/>
      <c r="D492" s="10"/>
      <c r="E492" s="48">
        <f t="shared" si="167"/>
        <v>0</v>
      </c>
      <c r="F492" s="10">
        <v>4</v>
      </c>
      <c r="G492" s="11"/>
      <c r="H492" s="10"/>
      <c r="I492" s="44">
        <f t="shared" si="168"/>
        <v>4</v>
      </c>
      <c r="J492" s="31">
        <f t="shared" si="169"/>
        <v>4</v>
      </c>
      <c r="K492" s="37">
        <v>45545</v>
      </c>
    </row>
    <row r="493" spans="1:12" x14ac:dyDescent="0.15">
      <c r="A493" s="39" t="s">
        <v>54</v>
      </c>
      <c r="B493" s="10"/>
      <c r="C493" s="11"/>
      <c r="D493" s="10"/>
      <c r="E493" s="48">
        <f t="shared" si="167"/>
        <v>0</v>
      </c>
      <c r="F493" s="10"/>
      <c r="G493" s="11">
        <v>4</v>
      </c>
      <c r="H493" s="10"/>
      <c r="I493" s="44">
        <f t="shared" si="168"/>
        <v>4</v>
      </c>
      <c r="J493" s="31">
        <f t="shared" si="169"/>
        <v>4</v>
      </c>
      <c r="K493" s="37">
        <v>45547</v>
      </c>
    </row>
    <row r="494" spans="1:12" x14ac:dyDescent="0.15">
      <c r="A494" s="39" t="s">
        <v>54</v>
      </c>
      <c r="B494" s="10"/>
      <c r="C494" s="11">
        <v>2</v>
      </c>
      <c r="D494" s="10"/>
      <c r="E494" s="48">
        <f t="shared" si="167"/>
        <v>2</v>
      </c>
      <c r="F494" s="10"/>
      <c r="G494" s="11">
        <v>2</v>
      </c>
      <c r="H494" s="10"/>
      <c r="I494" s="44">
        <f t="shared" si="168"/>
        <v>2</v>
      </c>
      <c r="J494" s="31">
        <f t="shared" si="169"/>
        <v>4</v>
      </c>
      <c r="K494" s="37">
        <v>45548</v>
      </c>
    </row>
    <row r="495" spans="1:12" x14ac:dyDescent="0.15">
      <c r="A495" s="39" t="s">
        <v>54</v>
      </c>
      <c r="B495" s="10"/>
      <c r="C495" s="11">
        <v>3</v>
      </c>
      <c r="D495" s="10">
        <v>2</v>
      </c>
      <c r="E495" s="48">
        <f t="shared" si="167"/>
        <v>5</v>
      </c>
      <c r="F495" s="10"/>
      <c r="G495" s="11">
        <v>1</v>
      </c>
      <c r="H495" s="10">
        <v>2</v>
      </c>
      <c r="I495" s="44">
        <f t="shared" si="168"/>
        <v>3</v>
      </c>
      <c r="J495" s="31">
        <f t="shared" si="169"/>
        <v>8</v>
      </c>
      <c r="K495" s="37">
        <v>45552</v>
      </c>
    </row>
    <row r="496" spans="1:12" x14ac:dyDescent="0.15">
      <c r="A496" s="39" t="s">
        <v>54</v>
      </c>
      <c r="B496" s="10">
        <v>1</v>
      </c>
      <c r="C496" s="11"/>
      <c r="D496" s="10"/>
      <c r="E496" s="48">
        <f t="shared" si="167"/>
        <v>1</v>
      </c>
      <c r="F496" s="10">
        <v>1</v>
      </c>
      <c r="G496" s="11"/>
      <c r="H496" s="10"/>
      <c r="I496" s="44">
        <f t="shared" si="168"/>
        <v>1</v>
      </c>
      <c r="J496" s="31">
        <f t="shared" si="169"/>
        <v>2</v>
      </c>
      <c r="K496" s="37">
        <v>45553</v>
      </c>
    </row>
    <row r="497" spans="1:11" x14ac:dyDescent="0.15">
      <c r="A497" s="39" t="s">
        <v>54</v>
      </c>
      <c r="B497" s="10">
        <v>2</v>
      </c>
      <c r="C497" s="11"/>
      <c r="D497" s="10">
        <v>1</v>
      </c>
      <c r="E497" s="48">
        <f t="shared" si="167"/>
        <v>3</v>
      </c>
      <c r="F497" s="10">
        <v>2</v>
      </c>
      <c r="G497" s="11">
        <v>2</v>
      </c>
      <c r="H497" s="10">
        <v>1</v>
      </c>
      <c r="I497" s="44">
        <f t="shared" si="168"/>
        <v>5</v>
      </c>
      <c r="J497" s="31">
        <f t="shared" si="169"/>
        <v>8</v>
      </c>
      <c r="K497" s="37">
        <v>45554</v>
      </c>
    </row>
    <row r="498" spans="1:11" x14ac:dyDescent="0.15">
      <c r="A498" s="39" t="s">
        <v>54</v>
      </c>
      <c r="B498" s="10">
        <v>2</v>
      </c>
      <c r="C498" s="11"/>
      <c r="D498" s="10"/>
      <c r="E498" s="48">
        <f t="shared" si="167"/>
        <v>2</v>
      </c>
      <c r="F498" s="10">
        <v>2</v>
      </c>
      <c r="G498" s="11"/>
      <c r="H498" s="10"/>
      <c r="I498" s="44">
        <f t="shared" si="168"/>
        <v>2</v>
      </c>
      <c r="J498" s="31">
        <f t="shared" si="169"/>
        <v>4</v>
      </c>
      <c r="K498" s="37">
        <v>45555</v>
      </c>
    </row>
    <row r="499" spans="1:11" x14ac:dyDescent="0.15">
      <c r="A499" s="39" t="s">
        <v>54</v>
      </c>
      <c r="B499" s="10">
        <v>1</v>
      </c>
      <c r="C499" s="11"/>
      <c r="D499" s="10"/>
      <c r="E499" s="48">
        <f t="shared" si="167"/>
        <v>1</v>
      </c>
      <c r="F499" s="10">
        <v>1</v>
      </c>
      <c r="G499" s="11"/>
      <c r="H499" s="10"/>
      <c r="I499" s="44">
        <f t="shared" si="168"/>
        <v>1</v>
      </c>
      <c r="J499" s="31">
        <f t="shared" si="169"/>
        <v>2</v>
      </c>
      <c r="K499" s="37">
        <v>45556</v>
      </c>
    </row>
    <row r="500" spans="1:11" x14ac:dyDescent="0.15">
      <c r="A500" s="39" t="s">
        <v>54</v>
      </c>
      <c r="B500" s="10">
        <v>2</v>
      </c>
      <c r="C500" s="11"/>
      <c r="D500" s="10">
        <v>2</v>
      </c>
      <c r="E500" s="48">
        <f t="shared" si="167"/>
        <v>4</v>
      </c>
      <c r="F500" s="10">
        <v>2</v>
      </c>
      <c r="G500" s="11"/>
      <c r="H500" s="10">
        <v>2</v>
      </c>
      <c r="I500" s="44">
        <f t="shared" si="168"/>
        <v>4</v>
      </c>
      <c r="J500" s="31">
        <f t="shared" si="169"/>
        <v>8</v>
      </c>
      <c r="K500" s="37">
        <v>45559</v>
      </c>
    </row>
    <row r="501" spans="1:11" x14ac:dyDescent="0.15">
      <c r="A501" s="39" t="s">
        <v>54</v>
      </c>
      <c r="B501" s="10"/>
      <c r="C501" s="11">
        <v>1</v>
      </c>
      <c r="D501" s="10">
        <v>1</v>
      </c>
      <c r="E501" s="48">
        <f t="shared" si="167"/>
        <v>2</v>
      </c>
      <c r="F501" s="10"/>
      <c r="G501" s="11">
        <v>1</v>
      </c>
      <c r="H501" s="10">
        <v>1</v>
      </c>
      <c r="I501" s="44">
        <f t="shared" si="168"/>
        <v>2</v>
      </c>
      <c r="J501" s="31">
        <f t="shared" si="169"/>
        <v>4</v>
      </c>
      <c r="K501" s="37">
        <v>45565</v>
      </c>
    </row>
    <row r="502" spans="1:11" x14ac:dyDescent="0.15">
      <c r="A502" s="39" t="s">
        <v>88</v>
      </c>
      <c r="B502" s="10">
        <v>-1</v>
      </c>
      <c r="C502" s="11"/>
      <c r="D502" s="10">
        <v>2</v>
      </c>
      <c r="E502" s="48">
        <f t="shared" si="167"/>
        <v>1</v>
      </c>
      <c r="F502" s="10"/>
      <c r="G502" s="11"/>
      <c r="H502" s="10">
        <v>2</v>
      </c>
      <c r="I502" s="44">
        <f t="shared" si="168"/>
        <v>2</v>
      </c>
      <c r="J502" s="31">
        <f t="shared" si="169"/>
        <v>3</v>
      </c>
      <c r="K502" s="32">
        <v>45566</v>
      </c>
    </row>
    <row r="503" spans="1:11" x14ac:dyDescent="0.15">
      <c r="A503" s="39" t="s">
        <v>54</v>
      </c>
      <c r="B503" s="10">
        <v>4</v>
      </c>
      <c r="C503" s="11"/>
      <c r="D503" s="10"/>
      <c r="E503" s="48">
        <f t="shared" si="167"/>
        <v>4</v>
      </c>
      <c r="F503" s="10"/>
      <c r="G503" s="11"/>
      <c r="H503" s="10"/>
      <c r="I503" s="44">
        <f t="shared" si="168"/>
        <v>0</v>
      </c>
      <c r="J503" s="31">
        <f t="shared" si="169"/>
        <v>4</v>
      </c>
      <c r="K503" s="37">
        <v>45566</v>
      </c>
    </row>
    <row r="504" spans="1:11" x14ac:dyDescent="0.15">
      <c r="A504" s="39" t="s">
        <v>54</v>
      </c>
      <c r="B504" s="10"/>
      <c r="C504" s="11"/>
      <c r="D504" s="10"/>
      <c r="E504" s="48">
        <f t="shared" si="167"/>
        <v>0</v>
      </c>
      <c r="F504" s="10"/>
      <c r="G504" s="11"/>
      <c r="H504" s="10">
        <v>4</v>
      </c>
      <c r="I504" s="44">
        <f t="shared" si="168"/>
        <v>4</v>
      </c>
      <c r="J504" s="31">
        <f t="shared" si="169"/>
        <v>4</v>
      </c>
      <c r="K504" s="37">
        <v>45567</v>
      </c>
    </row>
    <row r="505" spans="1:11" x14ac:dyDescent="0.15">
      <c r="A505" s="39" t="s">
        <v>54</v>
      </c>
      <c r="B505" s="10"/>
      <c r="C505" s="11">
        <v>1</v>
      </c>
      <c r="D505" s="10"/>
      <c r="E505" s="48">
        <f t="shared" si="167"/>
        <v>1</v>
      </c>
      <c r="F505" s="10"/>
      <c r="G505" s="11">
        <v>1</v>
      </c>
      <c r="H505" s="10">
        <v>2</v>
      </c>
      <c r="I505" s="44">
        <f t="shared" si="168"/>
        <v>3</v>
      </c>
      <c r="J505" s="31">
        <f t="shared" si="169"/>
        <v>4</v>
      </c>
      <c r="K505" s="37">
        <v>45568</v>
      </c>
    </row>
    <row r="506" spans="1:11" x14ac:dyDescent="0.15">
      <c r="A506" s="39" t="s">
        <v>54</v>
      </c>
      <c r="B506" s="10">
        <v>2</v>
      </c>
      <c r="C506" s="11"/>
      <c r="D506" s="10"/>
      <c r="E506" s="48">
        <f t="shared" si="167"/>
        <v>2</v>
      </c>
      <c r="F506" s="10">
        <f>2+2</f>
        <v>4</v>
      </c>
      <c r="G506" s="11"/>
      <c r="H506" s="10">
        <v>4</v>
      </c>
      <c r="I506" s="44">
        <f t="shared" si="168"/>
        <v>8</v>
      </c>
      <c r="J506" s="31">
        <f t="shared" si="169"/>
        <v>10</v>
      </c>
      <c r="K506" s="37">
        <v>45572</v>
      </c>
    </row>
    <row r="507" spans="1:11" x14ac:dyDescent="0.15">
      <c r="A507" s="39" t="s">
        <v>54</v>
      </c>
      <c r="B507" s="10">
        <v>2</v>
      </c>
      <c r="C507" s="11">
        <v>2</v>
      </c>
      <c r="D507" s="10"/>
      <c r="E507" s="48">
        <f t="shared" si="167"/>
        <v>4</v>
      </c>
      <c r="F507" s="10">
        <v>2</v>
      </c>
      <c r="G507" s="11"/>
      <c r="H507" s="10">
        <v>2</v>
      </c>
      <c r="I507" s="44">
        <f t="shared" si="168"/>
        <v>4</v>
      </c>
      <c r="J507" s="31">
        <f t="shared" si="169"/>
        <v>8</v>
      </c>
      <c r="K507" s="37">
        <v>45574</v>
      </c>
    </row>
    <row r="508" spans="1:11" x14ac:dyDescent="0.15">
      <c r="A508" s="39" t="s">
        <v>54</v>
      </c>
      <c r="B508" s="10"/>
      <c r="C508" s="11">
        <v>3</v>
      </c>
      <c r="D508" s="10">
        <v>1</v>
      </c>
      <c r="E508" s="48">
        <f t="shared" si="167"/>
        <v>4</v>
      </c>
      <c r="F508" s="10"/>
      <c r="G508" s="11">
        <v>3</v>
      </c>
      <c r="H508" s="10">
        <v>1</v>
      </c>
      <c r="I508" s="44">
        <f t="shared" si="168"/>
        <v>4</v>
      </c>
      <c r="J508" s="31">
        <f t="shared" si="169"/>
        <v>8</v>
      </c>
      <c r="K508" s="37">
        <v>45576</v>
      </c>
    </row>
    <row r="509" spans="1:11" x14ac:dyDescent="0.15">
      <c r="A509" s="39" t="s">
        <v>54</v>
      </c>
      <c r="B509" s="10">
        <v>1</v>
      </c>
      <c r="C509" s="11"/>
      <c r="D509" s="10">
        <v>2</v>
      </c>
      <c r="E509" s="48">
        <f t="shared" si="167"/>
        <v>3</v>
      </c>
      <c r="F509" s="10">
        <v>1</v>
      </c>
      <c r="G509" s="11">
        <v>2</v>
      </c>
      <c r="H509" s="10">
        <v>2</v>
      </c>
      <c r="I509" s="44">
        <f t="shared" si="168"/>
        <v>5</v>
      </c>
      <c r="J509" s="31">
        <f t="shared" si="169"/>
        <v>8</v>
      </c>
      <c r="K509" s="37">
        <v>45580</v>
      </c>
    </row>
    <row r="510" spans="1:11" x14ac:dyDescent="0.15">
      <c r="A510" s="39" t="s">
        <v>54</v>
      </c>
      <c r="B510" s="10"/>
      <c r="C510" s="11"/>
      <c r="D510" s="10">
        <v>1</v>
      </c>
      <c r="E510" s="48">
        <f t="shared" si="167"/>
        <v>1</v>
      </c>
      <c r="F510" s="10"/>
      <c r="G510" s="11"/>
      <c r="H510" s="10">
        <v>1</v>
      </c>
      <c r="I510" s="44">
        <f t="shared" si="168"/>
        <v>1</v>
      </c>
      <c r="J510" s="31">
        <f t="shared" si="169"/>
        <v>2</v>
      </c>
      <c r="K510" s="37">
        <v>45581</v>
      </c>
    </row>
    <row r="511" spans="1:11" x14ac:dyDescent="0.15">
      <c r="A511" s="39" t="s">
        <v>54</v>
      </c>
      <c r="B511" s="10"/>
      <c r="C511" s="11">
        <v>2</v>
      </c>
      <c r="D511" s="10"/>
      <c r="E511" s="48">
        <f t="shared" si="167"/>
        <v>2</v>
      </c>
      <c r="F511" s="10"/>
      <c r="G511" s="11">
        <v>2</v>
      </c>
      <c r="H511" s="10"/>
      <c r="I511" s="44">
        <f t="shared" si="168"/>
        <v>2</v>
      </c>
      <c r="J511" s="31">
        <f t="shared" si="169"/>
        <v>4</v>
      </c>
      <c r="K511" s="37">
        <v>45583</v>
      </c>
    </row>
    <row r="512" spans="1:11" ht="14.25" thickBot="1" x14ac:dyDescent="0.2">
      <c r="A512" s="39" t="s">
        <v>54</v>
      </c>
      <c r="B512" s="13">
        <v>3</v>
      </c>
      <c r="C512" s="14"/>
      <c r="D512" s="13"/>
      <c r="E512" s="59">
        <f t="shared" si="167"/>
        <v>3</v>
      </c>
      <c r="F512" s="13">
        <v>5</v>
      </c>
      <c r="G512" s="14">
        <v>6</v>
      </c>
      <c r="H512" s="13"/>
      <c r="I512" s="60">
        <f t="shared" si="168"/>
        <v>11</v>
      </c>
      <c r="J512" s="36">
        <f t="shared" si="169"/>
        <v>14</v>
      </c>
      <c r="K512" s="37">
        <v>45586</v>
      </c>
    </row>
    <row r="513" spans="1:12" ht="14.25" thickBot="1" x14ac:dyDescent="0.2">
      <c r="A513" s="3" t="s">
        <v>5</v>
      </c>
      <c r="B513" s="16">
        <f>SUM(B489:B512)</f>
        <v>21</v>
      </c>
      <c r="C513" s="61">
        <f>SUM(C489:C512)</f>
        <v>20</v>
      </c>
      <c r="D513" s="16">
        <f t="shared" ref="D513" si="172">SUM(D489:D512)</f>
        <v>14</v>
      </c>
      <c r="E513" s="65">
        <f t="shared" si="167"/>
        <v>55</v>
      </c>
      <c r="F513" s="15">
        <f>SUM(F489:F512)</f>
        <v>24</v>
      </c>
      <c r="G513" s="15">
        <f t="shared" ref="G513:H513" si="173">SUM(G489:G512)</f>
        <v>32</v>
      </c>
      <c r="H513" s="15">
        <f t="shared" si="173"/>
        <v>26</v>
      </c>
      <c r="I513" s="16">
        <f t="shared" si="168"/>
        <v>82</v>
      </c>
      <c r="J513" s="34">
        <f t="shared" si="169"/>
        <v>137</v>
      </c>
    </row>
    <row r="514" spans="1:12" ht="14.25" thickBot="1" x14ac:dyDescent="0.2">
      <c r="A514" s="25" t="s">
        <v>6</v>
      </c>
      <c r="B514" s="26">
        <f>B488-B513</f>
        <v>6</v>
      </c>
      <c r="C514" s="26">
        <f t="shared" ref="C514:E514" si="174">C488-C513</f>
        <v>6</v>
      </c>
      <c r="D514" s="24">
        <f t="shared" si="174"/>
        <v>4</v>
      </c>
      <c r="E514" s="47">
        <f t="shared" si="174"/>
        <v>16</v>
      </c>
      <c r="F514" s="26">
        <f>F488-F513</f>
        <v>5</v>
      </c>
      <c r="G514" s="26">
        <f t="shared" ref="G514:I514" si="175">G488-G513</f>
        <v>0</v>
      </c>
      <c r="H514" s="26">
        <f t="shared" si="175"/>
        <v>7</v>
      </c>
      <c r="I514" s="26">
        <f t="shared" si="175"/>
        <v>12</v>
      </c>
      <c r="J514" s="38">
        <f t="shared" si="169"/>
        <v>28</v>
      </c>
    </row>
    <row r="517" spans="1:12" ht="18" thickBot="1" x14ac:dyDescent="0.25">
      <c r="A517" s="29" t="s">
        <v>17</v>
      </c>
      <c r="B517" s="1"/>
      <c r="C517" s="1"/>
      <c r="D517" s="1" t="s">
        <v>65</v>
      </c>
      <c r="E517" s="1"/>
      <c r="F517" s="1"/>
      <c r="G517" s="1"/>
      <c r="H517" s="1"/>
      <c r="I517" s="1"/>
      <c r="J517" s="1"/>
    </row>
    <row r="518" spans="1:12" ht="14.25" thickBot="1" x14ac:dyDescent="0.2">
      <c r="A518" s="2" t="s">
        <v>0</v>
      </c>
      <c r="B518" s="219" t="s">
        <v>14</v>
      </c>
      <c r="C518" s="220"/>
      <c r="D518" s="220"/>
      <c r="E518" s="221"/>
      <c r="F518" s="216" t="s">
        <v>15</v>
      </c>
      <c r="G518" s="217"/>
      <c r="H518" s="217"/>
      <c r="I518" s="218"/>
      <c r="J518" s="208" t="s">
        <v>10</v>
      </c>
    </row>
    <row r="519" spans="1:12" ht="14.25" thickBot="1" x14ac:dyDescent="0.2">
      <c r="A519" s="2" t="s">
        <v>1</v>
      </c>
      <c r="B519" s="3" t="s">
        <v>7</v>
      </c>
      <c r="C519" s="2" t="s">
        <v>8</v>
      </c>
      <c r="D519" s="2" t="s">
        <v>9</v>
      </c>
      <c r="E519" s="19" t="s">
        <v>2</v>
      </c>
      <c r="F519" s="2" t="s">
        <v>11</v>
      </c>
      <c r="G519" s="19" t="s">
        <v>12</v>
      </c>
      <c r="H519" s="2" t="s">
        <v>13</v>
      </c>
      <c r="I519" s="2" t="s">
        <v>2</v>
      </c>
      <c r="J519" s="209"/>
    </row>
    <row r="520" spans="1:12" ht="14.25" thickBot="1" x14ac:dyDescent="0.2">
      <c r="A520" s="3" t="s">
        <v>6</v>
      </c>
      <c r="B520" s="63">
        <f>B514</f>
        <v>6</v>
      </c>
      <c r="C520" s="64">
        <f>C514</f>
        <v>6</v>
      </c>
      <c r="D520" s="63">
        <f>D514</f>
        <v>4</v>
      </c>
      <c r="E520" s="65">
        <f t="shared" ref="E520:E556" si="176">SUM(B520:D520)</f>
        <v>16</v>
      </c>
      <c r="F520" s="63">
        <f>F514</f>
        <v>5</v>
      </c>
      <c r="G520" s="64">
        <f>G514</f>
        <v>0</v>
      </c>
      <c r="H520" s="63">
        <f>H514</f>
        <v>7</v>
      </c>
      <c r="I520" s="65">
        <f>SUM(F520:H520)</f>
        <v>12</v>
      </c>
      <c r="J520" s="34">
        <f t="shared" ref="J520:J557" si="177">SUM(I520,E520)</f>
        <v>28</v>
      </c>
    </row>
    <row r="521" spans="1:12" x14ac:dyDescent="0.15">
      <c r="A521" s="50" t="s">
        <v>3</v>
      </c>
      <c r="B521" s="13"/>
      <c r="C521" s="14"/>
      <c r="D521" s="13"/>
      <c r="E521" s="44">
        <f t="shared" si="176"/>
        <v>0</v>
      </c>
      <c r="F521" s="147"/>
      <c r="G521" s="14">
        <v>10</v>
      </c>
      <c r="H521" s="13"/>
      <c r="I521" s="8">
        <f t="shared" ref="I521:I556" si="178">SUM(F521:H521)</f>
        <v>10</v>
      </c>
      <c r="J521" s="145">
        <f t="shared" si="177"/>
        <v>10</v>
      </c>
      <c r="K521" s="32">
        <v>45589</v>
      </c>
      <c r="L521" s="33"/>
    </row>
    <row r="522" spans="1:12" x14ac:dyDescent="0.15">
      <c r="A522" s="50" t="s">
        <v>3</v>
      </c>
      <c r="B522" s="13">
        <v>10</v>
      </c>
      <c r="C522" s="14">
        <v>5</v>
      </c>
      <c r="D522" s="13">
        <v>5</v>
      </c>
      <c r="E522" s="44">
        <f t="shared" si="176"/>
        <v>20</v>
      </c>
      <c r="F522" s="147">
        <v>15</v>
      </c>
      <c r="G522" s="14"/>
      <c r="H522" s="13"/>
      <c r="I522" s="8">
        <f t="shared" si="178"/>
        <v>15</v>
      </c>
      <c r="J522" s="145">
        <f t="shared" si="177"/>
        <v>35</v>
      </c>
      <c r="K522" s="32">
        <v>45595</v>
      </c>
      <c r="L522" s="33" t="s">
        <v>89</v>
      </c>
    </row>
    <row r="523" spans="1:12" x14ac:dyDescent="0.15">
      <c r="A523" s="50" t="s">
        <v>3</v>
      </c>
      <c r="B523" s="13">
        <v>5</v>
      </c>
      <c r="C523" s="14">
        <v>3</v>
      </c>
      <c r="D523" s="13"/>
      <c r="E523" s="44">
        <f t="shared" si="176"/>
        <v>8</v>
      </c>
      <c r="F523" s="147">
        <v>3</v>
      </c>
      <c r="G523" s="14">
        <v>3</v>
      </c>
      <c r="H523" s="13"/>
      <c r="I523" s="8">
        <f t="shared" si="178"/>
        <v>6</v>
      </c>
      <c r="J523" s="145">
        <f t="shared" si="177"/>
        <v>14</v>
      </c>
      <c r="K523" s="32">
        <v>45602</v>
      </c>
      <c r="L523" s="33"/>
    </row>
    <row r="524" spans="1:12" x14ac:dyDescent="0.15">
      <c r="A524" s="50" t="s">
        <v>3</v>
      </c>
      <c r="B524" s="13"/>
      <c r="C524" s="14">
        <v>10</v>
      </c>
      <c r="D524" s="13"/>
      <c r="E524" s="44">
        <f t="shared" si="176"/>
        <v>10</v>
      </c>
      <c r="F524" s="147"/>
      <c r="G524" s="14">
        <v>15</v>
      </c>
      <c r="H524" s="13"/>
      <c r="I524" s="8">
        <f t="shared" si="178"/>
        <v>15</v>
      </c>
      <c r="J524" s="145">
        <f t="shared" si="177"/>
        <v>25</v>
      </c>
      <c r="K524" s="32">
        <v>45621</v>
      </c>
      <c r="L524" s="33"/>
    </row>
    <row r="525" spans="1:12" x14ac:dyDescent="0.15">
      <c r="A525" s="50" t="s">
        <v>3</v>
      </c>
      <c r="B525" s="13"/>
      <c r="C525" s="14">
        <v>10</v>
      </c>
      <c r="D525" s="13">
        <v>5</v>
      </c>
      <c r="E525" s="44">
        <f t="shared" si="176"/>
        <v>15</v>
      </c>
      <c r="F525" s="147"/>
      <c r="G525" s="14">
        <v>5</v>
      </c>
      <c r="H525" s="13">
        <v>5</v>
      </c>
      <c r="I525" s="8">
        <f t="shared" si="178"/>
        <v>10</v>
      </c>
      <c r="J525" s="145">
        <f t="shared" si="177"/>
        <v>25</v>
      </c>
      <c r="K525" s="32">
        <v>45623</v>
      </c>
    </row>
    <row r="526" spans="1:12" x14ac:dyDescent="0.15">
      <c r="A526" s="50" t="s">
        <v>3</v>
      </c>
      <c r="B526" s="13">
        <v>10</v>
      </c>
      <c r="C526" s="14"/>
      <c r="D526" s="13"/>
      <c r="E526" s="44">
        <f t="shared" si="176"/>
        <v>10</v>
      </c>
      <c r="F526" s="147">
        <v>5</v>
      </c>
      <c r="G526" s="14"/>
      <c r="H526" s="13"/>
      <c r="I526" s="8">
        <f t="shared" si="178"/>
        <v>5</v>
      </c>
      <c r="J526" s="145">
        <f t="shared" si="177"/>
        <v>15</v>
      </c>
      <c r="K526" s="32">
        <v>45637</v>
      </c>
    </row>
    <row r="527" spans="1:12" x14ac:dyDescent="0.15">
      <c r="A527" s="50" t="s">
        <v>3</v>
      </c>
      <c r="B527" s="13"/>
      <c r="C527" s="14"/>
      <c r="D527" s="13"/>
      <c r="E527" s="44">
        <f t="shared" si="176"/>
        <v>0</v>
      </c>
      <c r="F527" s="147"/>
      <c r="G527" s="14"/>
      <c r="H527" s="13"/>
      <c r="I527" s="8">
        <f t="shared" si="178"/>
        <v>0</v>
      </c>
      <c r="J527" s="145">
        <f t="shared" si="177"/>
        <v>0</v>
      </c>
    </row>
    <row r="528" spans="1:12" x14ac:dyDescent="0.15">
      <c r="A528" s="50" t="s">
        <v>3</v>
      </c>
      <c r="B528" s="13"/>
      <c r="C528" s="14"/>
      <c r="D528" s="13"/>
      <c r="E528" s="44">
        <f t="shared" si="176"/>
        <v>0</v>
      </c>
      <c r="F528" s="147"/>
      <c r="G528" s="14"/>
      <c r="H528" s="13"/>
      <c r="I528" s="8">
        <f t="shared" si="178"/>
        <v>0</v>
      </c>
      <c r="J528" s="145">
        <f t="shared" si="177"/>
        <v>0</v>
      </c>
    </row>
    <row r="529" spans="1:11" x14ac:dyDescent="0.15">
      <c r="A529" s="50" t="s">
        <v>3</v>
      </c>
      <c r="B529" s="13"/>
      <c r="C529" s="14"/>
      <c r="D529" s="13"/>
      <c r="E529" s="44">
        <f t="shared" si="176"/>
        <v>0</v>
      </c>
      <c r="F529" s="147"/>
      <c r="G529" s="14"/>
      <c r="H529" s="13"/>
      <c r="I529" s="8">
        <f t="shared" si="178"/>
        <v>0</v>
      </c>
      <c r="J529" s="145">
        <f t="shared" si="177"/>
        <v>0</v>
      </c>
    </row>
    <row r="530" spans="1:11" ht="14.25" thickBot="1" x14ac:dyDescent="0.2">
      <c r="A530" s="50" t="s">
        <v>3</v>
      </c>
      <c r="B530" s="13"/>
      <c r="C530" s="14"/>
      <c r="D530" s="13"/>
      <c r="E530" s="44">
        <f t="shared" si="176"/>
        <v>0</v>
      </c>
      <c r="F530" s="147"/>
      <c r="G530" s="14"/>
      <c r="H530" s="13"/>
      <c r="I530" s="8">
        <f t="shared" si="178"/>
        <v>0</v>
      </c>
      <c r="J530" s="145">
        <f t="shared" si="177"/>
        <v>0</v>
      </c>
    </row>
    <row r="531" spans="1:11" ht="14.25" thickBot="1" x14ac:dyDescent="0.2">
      <c r="A531" s="51" t="s">
        <v>4</v>
      </c>
      <c r="B531" s="22">
        <f>SUM(B520:B530)</f>
        <v>31</v>
      </c>
      <c r="C531" s="22">
        <f>SUM(C520:C530)</f>
        <v>34</v>
      </c>
      <c r="D531" s="22">
        <f t="shared" ref="D531" si="179">SUM(D520:D530)</f>
        <v>14</v>
      </c>
      <c r="E531" s="43">
        <f t="shared" si="176"/>
        <v>79</v>
      </c>
      <c r="F531" s="150">
        <f>SUM(F520:F530)</f>
        <v>28</v>
      </c>
      <c r="G531" s="22">
        <f t="shared" ref="G531:H531" si="180">SUM(G520:G530)</f>
        <v>33</v>
      </c>
      <c r="H531" s="22">
        <f t="shared" si="180"/>
        <v>12</v>
      </c>
      <c r="I531" s="43">
        <f t="shared" si="178"/>
        <v>73</v>
      </c>
      <c r="J531" s="34">
        <f t="shared" si="177"/>
        <v>152</v>
      </c>
    </row>
    <row r="532" spans="1:11" x14ac:dyDescent="0.15">
      <c r="A532" s="39" t="s">
        <v>54</v>
      </c>
      <c r="B532" s="10">
        <v>2</v>
      </c>
      <c r="C532" s="11"/>
      <c r="D532" s="10"/>
      <c r="E532" s="48">
        <f t="shared" si="176"/>
        <v>2</v>
      </c>
      <c r="F532" s="10"/>
      <c r="G532" s="11"/>
      <c r="H532" s="10"/>
      <c r="I532" s="44">
        <f t="shared" si="178"/>
        <v>0</v>
      </c>
      <c r="J532" s="31">
        <f t="shared" si="177"/>
        <v>2</v>
      </c>
      <c r="K532" s="37">
        <v>45590</v>
      </c>
    </row>
    <row r="533" spans="1:11" x14ac:dyDescent="0.15">
      <c r="A533" s="39" t="s">
        <v>54</v>
      </c>
      <c r="B533" s="10">
        <v>1</v>
      </c>
      <c r="C533" s="11"/>
      <c r="D533" s="10"/>
      <c r="E533" s="48">
        <f t="shared" si="176"/>
        <v>1</v>
      </c>
      <c r="F533" s="10">
        <v>1</v>
      </c>
      <c r="G533" s="11"/>
      <c r="H533" s="10"/>
      <c r="I533" s="44">
        <f t="shared" si="178"/>
        <v>1</v>
      </c>
      <c r="J533" s="31">
        <f t="shared" si="177"/>
        <v>2</v>
      </c>
      <c r="K533" s="37">
        <v>45593</v>
      </c>
    </row>
    <row r="534" spans="1:11" x14ac:dyDescent="0.15">
      <c r="A534" s="39" t="s">
        <v>54</v>
      </c>
      <c r="B534" s="10">
        <v>1</v>
      </c>
      <c r="C534" s="11">
        <v>2</v>
      </c>
      <c r="D534" s="10"/>
      <c r="E534" s="48">
        <f t="shared" si="176"/>
        <v>3</v>
      </c>
      <c r="F534" s="10">
        <v>9</v>
      </c>
      <c r="G534" s="11">
        <v>2</v>
      </c>
      <c r="H534" s="10"/>
      <c r="I534" s="44">
        <f t="shared" si="178"/>
        <v>11</v>
      </c>
      <c r="J534" s="31">
        <f t="shared" si="177"/>
        <v>14</v>
      </c>
      <c r="K534" s="37">
        <v>45595</v>
      </c>
    </row>
    <row r="535" spans="1:11" x14ac:dyDescent="0.15">
      <c r="A535" s="39" t="s">
        <v>54</v>
      </c>
      <c r="B535" s="10"/>
      <c r="C535" s="11">
        <v>1</v>
      </c>
      <c r="D535" s="10"/>
      <c r="E535" s="48">
        <f t="shared" si="176"/>
        <v>1</v>
      </c>
      <c r="F535" s="10"/>
      <c r="G535" s="11">
        <v>1</v>
      </c>
      <c r="H535" s="10"/>
      <c r="I535" s="44">
        <f t="shared" si="178"/>
        <v>1</v>
      </c>
      <c r="J535" s="31">
        <f t="shared" si="177"/>
        <v>2</v>
      </c>
      <c r="K535" s="37">
        <v>45597</v>
      </c>
    </row>
    <row r="536" spans="1:11" x14ac:dyDescent="0.15">
      <c r="A536" s="39" t="s">
        <v>54</v>
      </c>
      <c r="B536" s="10">
        <v>4</v>
      </c>
      <c r="C536" s="11">
        <v>1</v>
      </c>
      <c r="D536" s="10"/>
      <c r="E536" s="48">
        <f t="shared" si="176"/>
        <v>5</v>
      </c>
      <c r="F536" s="10"/>
      <c r="G536" s="11">
        <v>1</v>
      </c>
      <c r="H536" s="10"/>
      <c r="I536" s="44">
        <f t="shared" si="178"/>
        <v>1</v>
      </c>
      <c r="J536" s="31">
        <f t="shared" si="177"/>
        <v>6</v>
      </c>
      <c r="K536" s="37">
        <v>45601</v>
      </c>
    </row>
    <row r="537" spans="1:11" x14ac:dyDescent="0.15">
      <c r="A537" s="39" t="s">
        <v>54</v>
      </c>
      <c r="B537" s="10">
        <v>1</v>
      </c>
      <c r="C537" s="11"/>
      <c r="D537" s="10"/>
      <c r="E537" s="48">
        <f t="shared" si="176"/>
        <v>1</v>
      </c>
      <c r="F537" s="10">
        <v>1</v>
      </c>
      <c r="G537" s="11"/>
      <c r="H537" s="10"/>
      <c r="I537" s="44">
        <f t="shared" si="178"/>
        <v>1</v>
      </c>
      <c r="J537" s="31">
        <f t="shared" si="177"/>
        <v>2</v>
      </c>
      <c r="K537" s="37">
        <v>45607</v>
      </c>
    </row>
    <row r="538" spans="1:11" x14ac:dyDescent="0.15">
      <c r="A538" s="39" t="s">
        <v>54</v>
      </c>
      <c r="B538" s="10"/>
      <c r="C538" s="11">
        <v>1</v>
      </c>
      <c r="D538" s="10"/>
      <c r="E538" s="48">
        <f t="shared" si="176"/>
        <v>1</v>
      </c>
      <c r="F538" s="10"/>
      <c r="G538" s="11">
        <f>1+2</f>
        <v>3</v>
      </c>
      <c r="H538" s="10"/>
      <c r="I538" s="44">
        <f t="shared" si="178"/>
        <v>3</v>
      </c>
      <c r="J538" s="31">
        <f t="shared" si="177"/>
        <v>4</v>
      </c>
      <c r="K538" s="37">
        <v>45611</v>
      </c>
    </row>
    <row r="539" spans="1:11" x14ac:dyDescent="0.15">
      <c r="A539" s="39" t="s">
        <v>54</v>
      </c>
      <c r="B539" s="10">
        <v>1</v>
      </c>
      <c r="C539" s="11"/>
      <c r="D539" s="10">
        <v>1</v>
      </c>
      <c r="E539" s="48">
        <f t="shared" si="176"/>
        <v>2</v>
      </c>
      <c r="F539" s="10">
        <v>1</v>
      </c>
      <c r="G539" s="11"/>
      <c r="H539" s="10">
        <v>1</v>
      </c>
      <c r="I539" s="44">
        <f t="shared" si="178"/>
        <v>2</v>
      </c>
      <c r="J539" s="31">
        <f t="shared" si="177"/>
        <v>4</v>
      </c>
      <c r="K539" s="37">
        <v>45614</v>
      </c>
    </row>
    <row r="540" spans="1:11" x14ac:dyDescent="0.15">
      <c r="A540" s="39" t="s">
        <v>54</v>
      </c>
      <c r="B540" s="10"/>
      <c r="C540" s="11">
        <v>3</v>
      </c>
      <c r="D540" s="10"/>
      <c r="E540" s="48">
        <f t="shared" si="176"/>
        <v>3</v>
      </c>
      <c r="F540" s="10"/>
      <c r="G540" s="11">
        <v>3</v>
      </c>
      <c r="H540" s="10"/>
      <c r="I540" s="44">
        <f t="shared" si="178"/>
        <v>3</v>
      </c>
      <c r="J540" s="31">
        <f t="shared" si="177"/>
        <v>6</v>
      </c>
      <c r="K540" s="37">
        <v>45615</v>
      </c>
    </row>
    <row r="541" spans="1:11" x14ac:dyDescent="0.15">
      <c r="A541" s="39" t="s">
        <v>54</v>
      </c>
      <c r="B541" s="10"/>
      <c r="C541" s="11"/>
      <c r="D541" s="10">
        <v>1</v>
      </c>
      <c r="E541" s="48">
        <f t="shared" si="176"/>
        <v>1</v>
      </c>
      <c r="F541" s="10"/>
      <c r="G541" s="11"/>
      <c r="H541" s="10">
        <v>1</v>
      </c>
      <c r="I541" s="44">
        <f t="shared" si="178"/>
        <v>1</v>
      </c>
      <c r="J541" s="31">
        <f t="shared" si="177"/>
        <v>2</v>
      </c>
      <c r="K541" s="37">
        <v>45617</v>
      </c>
    </row>
    <row r="542" spans="1:11" x14ac:dyDescent="0.15">
      <c r="A542" s="39" t="s">
        <v>54</v>
      </c>
      <c r="B542" s="10"/>
      <c r="C542" s="11">
        <v>2</v>
      </c>
      <c r="D542" s="10"/>
      <c r="E542" s="48">
        <f t="shared" si="176"/>
        <v>2</v>
      </c>
      <c r="F542" s="10"/>
      <c r="G542" s="11">
        <v>2</v>
      </c>
      <c r="H542" s="10"/>
      <c r="I542" s="44">
        <f t="shared" si="178"/>
        <v>2</v>
      </c>
      <c r="J542" s="31">
        <f t="shared" si="177"/>
        <v>4</v>
      </c>
      <c r="K542" s="37">
        <v>45618</v>
      </c>
    </row>
    <row r="543" spans="1:11" x14ac:dyDescent="0.15">
      <c r="A543" s="39" t="s">
        <v>54</v>
      </c>
      <c r="B543" s="10"/>
      <c r="C543" s="11">
        <f>1+6</f>
        <v>7</v>
      </c>
      <c r="D543" s="10">
        <f>2+1</f>
        <v>3</v>
      </c>
      <c r="E543" s="48">
        <f t="shared" si="176"/>
        <v>10</v>
      </c>
      <c r="F543" s="10"/>
      <c r="G543" s="11">
        <f>1+4</f>
        <v>5</v>
      </c>
      <c r="H543" s="10">
        <v>1</v>
      </c>
      <c r="I543" s="44">
        <f t="shared" si="178"/>
        <v>6</v>
      </c>
      <c r="J543" s="31">
        <f t="shared" si="177"/>
        <v>16</v>
      </c>
      <c r="K543" s="37">
        <v>45621</v>
      </c>
    </row>
    <row r="544" spans="1:11" x14ac:dyDescent="0.15">
      <c r="A544" s="39" t="s">
        <v>54</v>
      </c>
      <c r="B544" s="10">
        <v>2</v>
      </c>
      <c r="C544" s="11">
        <v>2</v>
      </c>
      <c r="D544" s="10"/>
      <c r="E544" s="48">
        <f t="shared" si="176"/>
        <v>4</v>
      </c>
      <c r="F544" s="10"/>
      <c r="G544" s="11"/>
      <c r="H544" s="10"/>
      <c r="I544" s="44">
        <f t="shared" si="178"/>
        <v>0</v>
      </c>
      <c r="J544" s="31">
        <f t="shared" si="177"/>
        <v>4</v>
      </c>
      <c r="K544" s="32">
        <v>45622</v>
      </c>
    </row>
    <row r="545" spans="1:11" x14ac:dyDescent="0.15">
      <c r="A545" s="39" t="s">
        <v>54</v>
      </c>
      <c r="B545" s="10">
        <f>1+2</f>
        <v>3</v>
      </c>
      <c r="C545" s="11">
        <v>1</v>
      </c>
      <c r="D545" s="10"/>
      <c r="E545" s="48">
        <f t="shared" si="176"/>
        <v>4</v>
      </c>
      <c r="F545" s="10">
        <f>1+2</f>
        <v>3</v>
      </c>
      <c r="G545" s="11">
        <v>1</v>
      </c>
      <c r="H545" s="10"/>
      <c r="I545" s="44">
        <f t="shared" si="178"/>
        <v>4</v>
      </c>
      <c r="J545" s="31">
        <f t="shared" si="177"/>
        <v>8</v>
      </c>
      <c r="K545" s="32">
        <v>45628</v>
      </c>
    </row>
    <row r="546" spans="1:11" x14ac:dyDescent="0.15">
      <c r="A546" s="39" t="s">
        <v>54</v>
      </c>
      <c r="B546" s="10">
        <v>1</v>
      </c>
      <c r="C546" s="11"/>
      <c r="D546" s="10"/>
      <c r="E546" s="48">
        <f t="shared" si="176"/>
        <v>1</v>
      </c>
      <c r="F546" s="10">
        <v>1</v>
      </c>
      <c r="G546" s="11"/>
      <c r="H546" s="10"/>
      <c r="I546" s="44">
        <f t="shared" si="178"/>
        <v>1</v>
      </c>
      <c r="J546" s="31">
        <f t="shared" si="177"/>
        <v>2</v>
      </c>
      <c r="K546" s="37">
        <v>45630</v>
      </c>
    </row>
    <row r="547" spans="1:11" x14ac:dyDescent="0.15">
      <c r="A547" s="39" t="s">
        <v>54</v>
      </c>
      <c r="B547" s="10"/>
      <c r="C547" s="11">
        <v>2</v>
      </c>
      <c r="D547" s="10"/>
      <c r="E547" s="48">
        <f t="shared" si="176"/>
        <v>2</v>
      </c>
      <c r="F547" s="10"/>
      <c r="G547" s="11">
        <v>2</v>
      </c>
      <c r="H547" s="10"/>
      <c r="I547" s="44">
        <f t="shared" si="178"/>
        <v>2</v>
      </c>
      <c r="J547" s="31">
        <f t="shared" si="177"/>
        <v>4</v>
      </c>
      <c r="K547" s="37">
        <v>45633</v>
      </c>
    </row>
    <row r="548" spans="1:11" x14ac:dyDescent="0.15">
      <c r="A548" s="39" t="s">
        <v>54</v>
      </c>
      <c r="B548" s="10">
        <v>2</v>
      </c>
      <c r="C548" s="11"/>
      <c r="D548" s="10"/>
      <c r="E548" s="48">
        <f t="shared" si="176"/>
        <v>2</v>
      </c>
      <c r="F548" s="10">
        <v>2</v>
      </c>
      <c r="G548" s="11">
        <v>2</v>
      </c>
      <c r="H548" s="10"/>
      <c r="I548" s="44">
        <f t="shared" si="178"/>
        <v>4</v>
      </c>
      <c r="J548" s="31">
        <f t="shared" si="177"/>
        <v>6</v>
      </c>
      <c r="K548" s="37">
        <v>45635</v>
      </c>
    </row>
    <row r="549" spans="1:11" x14ac:dyDescent="0.15">
      <c r="A549" s="39" t="s">
        <v>54</v>
      </c>
      <c r="B549" s="10"/>
      <c r="C549" s="11"/>
      <c r="D549" s="10">
        <v>1</v>
      </c>
      <c r="E549" s="48">
        <f t="shared" si="176"/>
        <v>1</v>
      </c>
      <c r="F549" s="10">
        <v>2</v>
      </c>
      <c r="G549" s="11"/>
      <c r="H549" s="10">
        <v>1</v>
      </c>
      <c r="I549" s="44">
        <f t="shared" si="178"/>
        <v>3</v>
      </c>
      <c r="J549" s="31">
        <f t="shared" si="177"/>
        <v>4</v>
      </c>
      <c r="K549" s="37">
        <v>45637</v>
      </c>
    </row>
    <row r="550" spans="1:11" x14ac:dyDescent="0.15">
      <c r="A550" s="39" t="s">
        <v>54</v>
      </c>
      <c r="B550" s="10"/>
      <c r="C550" s="11">
        <v>1</v>
      </c>
      <c r="D550" s="10"/>
      <c r="E550" s="48">
        <f t="shared" si="176"/>
        <v>1</v>
      </c>
      <c r="F550" s="10"/>
      <c r="G550" s="11">
        <v>1</v>
      </c>
      <c r="H550" s="10"/>
      <c r="I550" s="44">
        <f t="shared" si="178"/>
        <v>1</v>
      </c>
      <c r="J550" s="31">
        <f t="shared" si="177"/>
        <v>2</v>
      </c>
      <c r="K550" s="37">
        <v>45638</v>
      </c>
    </row>
    <row r="551" spans="1:11" x14ac:dyDescent="0.15">
      <c r="A551" s="39" t="s">
        <v>54</v>
      </c>
      <c r="B551" s="10"/>
      <c r="C551" s="11"/>
      <c r="D551" s="10"/>
      <c r="E551" s="48">
        <f t="shared" si="176"/>
        <v>0</v>
      </c>
      <c r="F551" s="10"/>
      <c r="G551" s="11">
        <v>2</v>
      </c>
      <c r="H551" s="10">
        <v>-2</v>
      </c>
      <c r="I551" s="44">
        <f t="shared" si="178"/>
        <v>0</v>
      </c>
      <c r="J551" s="31">
        <f t="shared" si="177"/>
        <v>0</v>
      </c>
      <c r="K551" s="37">
        <v>45638</v>
      </c>
    </row>
    <row r="552" spans="1:11" x14ac:dyDescent="0.15">
      <c r="A552" s="39" t="s">
        <v>54</v>
      </c>
      <c r="B552" s="10">
        <v>5</v>
      </c>
      <c r="C552" s="11">
        <v>1</v>
      </c>
      <c r="D552" s="10"/>
      <c r="E552" s="48">
        <f t="shared" si="176"/>
        <v>6</v>
      </c>
      <c r="F552" s="10">
        <v>1</v>
      </c>
      <c r="G552" s="11">
        <v>1</v>
      </c>
      <c r="H552" s="10"/>
      <c r="I552" s="44">
        <f t="shared" si="178"/>
        <v>2</v>
      </c>
      <c r="J552" s="31">
        <f t="shared" si="177"/>
        <v>8</v>
      </c>
      <c r="K552" s="37">
        <v>45642</v>
      </c>
    </row>
    <row r="553" spans="1:11" x14ac:dyDescent="0.15">
      <c r="A553" s="39" t="s">
        <v>54</v>
      </c>
      <c r="B553" s="10"/>
      <c r="C553" s="11"/>
      <c r="D553" s="10"/>
      <c r="E553" s="48">
        <f t="shared" si="176"/>
        <v>0</v>
      </c>
      <c r="F553" s="10">
        <v>2</v>
      </c>
      <c r="G553" s="11"/>
      <c r="H553" s="10"/>
      <c r="I553" s="44">
        <f t="shared" si="178"/>
        <v>2</v>
      </c>
      <c r="J553" s="31">
        <f t="shared" si="177"/>
        <v>2</v>
      </c>
      <c r="K553" s="37">
        <v>45643</v>
      </c>
    </row>
    <row r="554" spans="1:11" x14ac:dyDescent="0.15">
      <c r="A554" s="39" t="s">
        <v>54</v>
      </c>
      <c r="B554" s="10"/>
      <c r="C554" s="11">
        <v>1</v>
      </c>
      <c r="D554" s="10"/>
      <c r="E554" s="48">
        <f t="shared" si="176"/>
        <v>1</v>
      </c>
      <c r="F554" s="10">
        <v>2</v>
      </c>
      <c r="G554" s="11">
        <v>1</v>
      </c>
      <c r="H554" s="10"/>
      <c r="I554" s="44">
        <f t="shared" si="178"/>
        <v>3</v>
      </c>
      <c r="J554" s="31">
        <f t="shared" si="177"/>
        <v>4</v>
      </c>
      <c r="K554" s="37">
        <v>45644</v>
      </c>
    </row>
    <row r="555" spans="1:11" ht="14.25" thickBot="1" x14ac:dyDescent="0.2">
      <c r="A555" s="39" t="s">
        <v>54</v>
      </c>
      <c r="B555" s="13"/>
      <c r="C555" s="14"/>
      <c r="D555" s="13">
        <v>2</v>
      </c>
      <c r="E555" s="59">
        <f t="shared" si="176"/>
        <v>2</v>
      </c>
      <c r="F555" s="13"/>
      <c r="G555" s="14"/>
      <c r="H555" s="13"/>
      <c r="I555" s="60">
        <f t="shared" si="178"/>
        <v>0</v>
      </c>
      <c r="J555" s="36">
        <f t="shared" si="177"/>
        <v>2</v>
      </c>
      <c r="K555" s="37">
        <v>45645</v>
      </c>
    </row>
    <row r="556" spans="1:11" ht="14.25" thickBot="1" x14ac:dyDescent="0.2">
      <c r="A556" s="3" t="s">
        <v>5</v>
      </c>
      <c r="B556" s="16">
        <f>SUM(B532:B555)</f>
        <v>23</v>
      </c>
      <c r="C556" s="61">
        <f>SUM(C532:C555)</f>
        <v>25</v>
      </c>
      <c r="D556" s="16">
        <f t="shared" ref="D556" si="181">SUM(D532:D555)</f>
        <v>8</v>
      </c>
      <c r="E556" s="65">
        <f t="shared" si="176"/>
        <v>56</v>
      </c>
      <c r="F556" s="15">
        <f>SUM(F532:F555)</f>
        <v>25</v>
      </c>
      <c r="G556" s="15">
        <f t="shared" ref="G556:H556" si="182">SUM(G532:G555)</f>
        <v>27</v>
      </c>
      <c r="H556" s="15">
        <f t="shared" si="182"/>
        <v>2</v>
      </c>
      <c r="I556" s="16">
        <f t="shared" si="178"/>
        <v>54</v>
      </c>
      <c r="J556" s="34">
        <f t="shared" si="177"/>
        <v>110</v>
      </c>
    </row>
    <row r="557" spans="1:11" ht="14.25" thickBot="1" x14ac:dyDescent="0.2">
      <c r="A557" s="25" t="s">
        <v>6</v>
      </c>
      <c r="B557" s="26">
        <f>B531-B556</f>
        <v>8</v>
      </c>
      <c r="C557" s="26">
        <f t="shared" ref="C557:E557" si="183">C531-C556</f>
        <v>9</v>
      </c>
      <c r="D557" s="24">
        <f t="shared" si="183"/>
        <v>6</v>
      </c>
      <c r="E557" s="47">
        <f t="shared" si="183"/>
        <v>23</v>
      </c>
      <c r="F557" s="26">
        <f>F531-F556</f>
        <v>3</v>
      </c>
      <c r="G557" s="26">
        <f t="shared" ref="G557:I557" si="184">G531-G556</f>
        <v>6</v>
      </c>
      <c r="H557" s="26">
        <f t="shared" si="184"/>
        <v>10</v>
      </c>
      <c r="I557" s="26">
        <f t="shared" si="184"/>
        <v>19</v>
      </c>
      <c r="J557" s="38">
        <f t="shared" si="177"/>
        <v>42</v>
      </c>
    </row>
    <row r="560" spans="1:11" ht="18" thickBot="1" x14ac:dyDescent="0.25">
      <c r="A560" s="29" t="s">
        <v>17</v>
      </c>
      <c r="B560" s="1"/>
      <c r="C560" s="1"/>
      <c r="D560" s="1" t="s">
        <v>65</v>
      </c>
      <c r="E560" s="1"/>
      <c r="F560" s="1"/>
      <c r="G560" s="1"/>
      <c r="H560" s="1"/>
      <c r="I560" s="1"/>
      <c r="J560" s="1"/>
    </row>
    <row r="561" spans="1:12" ht="14.25" thickBot="1" x14ac:dyDescent="0.2">
      <c r="A561" s="2" t="s">
        <v>0</v>
      </c>
      <c r="B561" s="219" t="s">
        <v>14</v>
      </c>
      <c r="C561" s="220"/>
      <c r="D561" s="220"/>
      <c r="E561" s="221"/>
      <c r="F561" s="216" t="s">
        <v>15</v>
      </c>
      <c r="G561" s="217"/>
      <c r="H561" s="217"/>
      <c r="I561" s="218"/>
      <c r="J561" s="208" t="s">
        <v>10</v>
      </c>
    </row>
    <row r="562" spans="1:12" ht="14.25" thickBot="1" x14ac:dyDescent="0.2">
      <c r="A562" s="2" t="s">
        <v>1</v>
      </c>
      <c r="B562" s="3" t="s">
        <v>7</v>
      </c>
      <c r="C562" s="2" t="s">
        <v>8</v>
      </c>
      <c r="D562" s="2" t="s">
        <v>9</v>
      </c>
      <c r="E562" s="19" t="s">
        <v>2</v>
      </c>
      <c r="F562" s="2" t="s">
        <v>11</v>
      </c>
      <c r="G562" s="19" t="s">
        <v>12</v>
      </c>
      <c r="H562" s="2" t="s">
        <v>13</v>
      </c>
      <c r="I562" s="2" t="s">
        <v>2</v>
      </c>
      <c r="J562" s="209"/>
    </row>
    <row r="563" spans="1:12" ht="14.25" thickBot="1" x14ac:dyDescent="0.2">
      <c r="A563" s="3" t="s">
        <v>6</v>
      </c>
      <c r="B563" s="63">
        <f>B557</f>
        <v>8</v>
      </c>
      <c r="C563" s="64">
        <f>C557</f>
        <v>9</v>
      </c>
      <c r="D563" s="63">
        <f>D557</f>
        <v>6</v>
      </c>
      <c r="E563" s="65">
        <f t="shared" ref="E563:E599" si="185">SUM(B563:D563)</f>
        <v>23</v>
      </c>
      <c r="F563" s="63">
        <f>F557</f>
        <v>3</v>
      </c>
      <c r="G563" s="64">
        <f>G557</f>
        <v>6</v>
      </c>
      <c r="H563" s="63">
        <f>H557</f>
        <v>10</v>
      </c>
      <c r="I563" s="65">
        <f>SUM(F563:H563)</f>
        <v>19</v>
      </c>
      <c r="J563" s="34">
        <f t="shared" ref="J563:J600" si="186">SUM(I563,E563)</f>
        <v>42</v>
      </c>
    </row>
    <row r="564" spans="1:12" x14ac:dyDescent="0.15">
      <c r="A564" s="165" t="s">
        <v>3</v>
      </c>
      <c r="B564" s="166">
        <v>2</v>
      </c>
      <c r="C564" s="167"/>
      <c r="D564" s="166">
        <v>1</v>
      </c>
      <c r="E564" s="168">
        <f t="shared" ref="E564:E569" si="187">SUM(B564:D564)</f>
        <v>3</v>
      </c>
      <c r="F564" s="169">
        <v>-5</v>
      </c>
      <c r="G564" s="167"/>
      <c r="H564" s="166">
        <v>-1</v>
      </c>
      <c r="I564" s="170">
        <f t="shared" ref="I564:I569" si="188">SUM(F564:H564)</f>
        <v>-6</v>
      </c>
      <c r="J564" s="171">
        <f t="shared" ref="J564:J569" si="189">SUM(I564,E564)</f>
        <v>-3</v>
      </c>
      <c r="K564" s="75"/>
    </row>
    <row r="565" spans="1:12" x14ac:dyDescent="0.15">
      <c r="A565" s="50" t="s">
        <v>3</v>
      </c>
      <c r="B565" s="13">
        <v>10</v>
      </c>
      <c r="C565" s="14">
        <v>10</v>
      </c>
      <c r="D565" s="13"/>
      <c r="E565" s="44">
        <f t="shared" si="187"/>
        <v>20</v>
      </c>
      <c r="F565" s="147">
        <v>20</v>
      </c>
      <c r="G565" s="14">
        <v>10</v>
      </c>
      <c r="H565" s="13"/>
      <c r="I565" s="8">
        <f t="shared" si="188"/>
        <v>30</v>
      </c>
      <c r="J565" s="145">
        <f t="shared" si="189"/>
        <v>50</v>
      </c>
      <c r="K565" s="32">
        <v>45644</v>
      </c>
    </row>
    <row r="566" spans="1:12" x14ac:dyDescent="0.15">
      <c r="A566" s="50" t="s">
        <v>3</v>
      </c>
      <c r="B566" s="13">
        <v>5</v>
      </c>
      <c r="C566" s="14"/>
      <c r="D566" s="13"/>
      <c r="E566" s="44">
        <f t="shared" si="187"/>
        <v>5</v>
      </c>
      <c r="F566" s="147">
        <v>5</v>
      </c>
      <c r="G566" s="14">
        <v>5</v>
      </c>
      <c r="H566" s="13"/>
      <c r="I566" s="8">
        <f t="shared" si="188"/>
        <v>10</v>
      </c>
      <c r="J566" s="145">
        <f t="shared" si="189"/>
        <v>15</v>
      </c>
      <c r="K566" s="32">
        <v>45651</v>
      </c>
    </row>
    <row r="567" spans="1:12" x14ac:dyDescent="0.15">
      <c r="A567" s="50" t="s">
        <v>3</v>
      </c>
      <c r="B567" s="13">
        <v>10</v>
      </c>
      <c r="C567" s="14">
        <v>10</v>
      </c>
      <c r="D567" s="13"/>
      <c r="E567" s="44">
        <f t="shared" si="187"/>
        <v>20</v>
      </c>
      <c r="F567" s="147">
        <v>10</v>
      </c>
      <c r="G567" s="14">
        <v>15</v>
      </c>
      <c r="H567" s="13">
        <v>3</v>
      </c>
      <c r="I567" s="8">
        <f t="shared" si="188"/>
        <v>28</v>
      </c>
      <c r="J567" s="145">
        <f t="shared" si="189"/>
        <v>48</v>
      </c>
      <c r="K567" s="32">
        <v>45665</v>
      </c>
    </row>
    <row r="568" spans="1:12" x14ac:dyDescent="0.15">
      <c r="A568" s="50" t="s">
        <v>3</v>
      </c>
      <c r="B568" s="13"/>
      <c r="C568" s="14"/>
      <c r="D568" s="13">
        <v>5</v>
      </c>
      <c r="E568" s="44">
        <f t="shared" si="187"/>
        <v>5</v>
      </c>
      <c r="F568" s="147"/>
      <c r="G568" s="14"/>
      <c r="H568" s="13"/>
      <c r="I568" s="8">
        <f t="shared" si="188"/>
        <v>0</v>
      </c>
      <c r="J568" s="145">
        <f t="shared" si="189"/>
        <v>5</v>
      </c>
      <c r="K568" s="32">
        <v>45667</v>
      </c>
    </row>
    <row r="569" spans="1:12" x14ac:dyDescent="0.15">
      <c r="A569" s="50" t="s">
        <v>3</v>
      </c>
      <c r="B569" s="13">
        <v>5</v>
      </c>
      <c r="C569" s="14">
        <v>5</v>
      </c>
      <c r="D569" s="13">
        <v>3</v>
      </c>
      <c r="E569" s="44">
        <f t="shared" si="187"/>
        <v>13</v>
      </c>
      <c r="F569" s="147"/>
      <c r="G569" s="14"/>
      <c r="H569" s="13">
        <v>3</v>
      </c>
      <c r="I569" s="8">
        <f t="shared" si="188"/>
        <v>3</v>
      </c>
      <c r="J569" s="145">
        <f t="shared" si="189"/>
        <v>16</v>
      </c>
      <c r="K569" s="32">
        <v>45673</v>
      </c>
    </row>
    <row r="570" spans="1:12" x14ac:dyDescent="0.15">
      <c r="A570" s="50" t="s">
        <v>3</v>
      </c>
      <c r="B570" s="13"/>
      <c r="C570" s="14"/>
      <c r="D570" s="13">
        <v>-1</v>
      </c>
      <c r="E570" s="44">
        <f t="shared" si="185"/>
        <v>-1</v>
      </c>
      <c r="F570" s="147"/>
      <c r="G570" s="14"/>
      <c r="H570" s="13">
        <v>-1</v>
      </c>
      <c r="I570" s="8">
        <f t="shared" ref="I570:I599" si="190">SUM(F570:H570)</f>
        <v>-1</v>
      </c>
      <c r="J570" s="145">
        <f t="shared" si="186"/>
        <v>-2</v>
      </c>
      <c r="K570" s="32">
        <v>45677</v>
      </c>
      <c r="L570" s="33"/>
    </row>
    <row r="571" spans="1:12" x14ac:dyDescent="0.15">
      <c r="A571" s="50" t="s">
        <v>3</v>
      </c>
      <c r="B571" s="13">
        <v>5</v>
      </c>
      <c r="C571" s="14">
        <v>5</v>
      </c>
      <c r="D571" s="13">
        <v>3</v>
      </c>
      <c r="E571" s="44">
        <f t="shared" si="185"/>
        <v>13</v>
      </c>
      <c r="F571" s="147">
        <v>5</v>
      </c>
      <c r="G571" s="14">
        <v>5</v>
      </c>
      <c r="H571" s="13">
        <v>3</v>
      </c>
      <c r="I571" s="8">
        <f t="shared" si="190"/>
        <v>13</v>
      </c>
      <c r="J571" s="145">
        <f t="shared" si="186"/>
        <v>26</v>
      </c>
      <c r="K571" s="32">
        <v>45679</v>
      </c>
      <c r="L571" s="33"/>
    </row>
    <row r="572" spans="1:12" x14ac:dyDescent="0.15">
      <c r="A572" s="50" t="s">
        <v>3</v>
      </c>
      <c r="B572" s="13">
        <v>5</v>
      </c>
      <c r="C572" s="14">
        <v>5</v>
      </c>
      <c r="D572" s="13"/>
      <c r="E572" s="44">
        <f t="shared" si="185"/>
        <v>10</v>
      </c>
      <c r="F572" s="147">
        <v>10</v>
      </c>
      <c r="G572" s="14">
        <v>5</v>
      </c>
      <c r="H572" s="13"/>
      <c r="I572" s="8">
        <f t="shared" si="190"/>
        <v>15</v>
      </c>
      <c r="J572" s="145">
        <f t="shared" si="186"/>
        <v>25</v>
      </c>
      <c r="K572" s="32">
        <v>45685</v>
      </c>
      <c r="L572" s="33"/>
    </row>
    <row r="573" spans="1:12" ht="14.25" thickBot="1" x14ac:dyDescent="0.2">
      <c r="A573" s="50" t="s">
        <v>3</v>
      </c>
      <c r="B573" s="13"/>
      <c r="C573" s="14"/>
      <c r="D573" s="13">
        <v>10</v>
      </c>
      <c r="E573" s="44">
        <f t="shared" si="185"/>
        <v>10</v>
      </c>
      <c r="F573" s="147"/>
      <c r="G573" s="14">
        <v>5</v>
      </c>
      <c r="H573" s="13">
        <v>5</v>
      </c>
      <c r="I573" s="8">
        <f t="shared" si="190"/>
        <v>10</v>
      </c>
      <c r="J573" s="145">
        <f t="shared" si="186"/>
        <v>20</v>
      </c>
      <c r="K573" s="32">
        <v>45692</v>
      </c>
      <c r="L573" s="33"/>
    </row>
    <row r="574" spans="1:12" ht="14.25" thickBot="1" x14ac:dyDescent="0.2">
      <c r="A574" s="51" t="s">
        <v>4</v>
      </c>
      <c r="B574" s="22">
        <f>SUM(B563:B573)</f>
        <v>50</v>
      </c>
      <c r="C574" s="22">
        <f>SUM(C563:C573)</f>
        <v>44</v>
      </c>
      <c r="D574" s="22">
        <f t="shared" ref="D574" si="191">SUM(D563:D573)</f>
        <v>27</v>
      </c>
      <c r="E574" s="43">
        <f t="shared" si="185"/>
        <v>121</v>
      </c>
      <c r="F574" s="150">
        <f>SUM(F563:F573)</f>
        <v>48</v>
      </c>
      <c r="G574" s="22">
        <f t="shared" ref="G574:H574" si="192">SUM(G563:G573)</f>
        <v>51</v>
      </c>
      <c r="H574" s="22">
        <f t="shared" si="192"/>
        <v>22</v>
      </c>
      <c r="I574" s="43">
        <f t="shared" si="190"/>
        <v>121</v>
      </c>
      <c r="J574" s="34">
        <f t="shared" si="186"/>
        <v>242</v>
      </c>
    </row>
    <row r="575" spans="1:12" x14ac:dyDescent="0.15">
      <c r="A575" s="39" t="s">
        <v>54</v>
      </c>
      <c r="B575" s="10">
        <v>2</v>
      </c>
      <c r="C575" s="11"/>
      <c r="D575" s="10"/>
      <c r="E575" s="48">
        <f t="shared" ref="E575:E594" si="193">SUM(B575:D575)</f>
        <v>2</v>
      </c>
      <c r="F575" s="10">
        <v>2</v>
      </c>
      <c r="G575" s="11"/>
      <c r="H575" s="10"/>
      <c r="I575" s="44">
        <f t="shared" ref="I575:I594" si="194">SUM(F575:H575)</f>
        <v>2</v>
      </c>
      <c r="J575" s="31">
        <f t="shared" ref="J575:J594" si="195">SUM(I575,E575)</f>
        <v>4</v>
      </c>
      <c r="K575" s="37">
        <v>45646</v>
      </c>
    </row>
    <row r="576" spans="1:12" x14ac:dyDescent="0.15">
      <c r="A576" s="39" t="s">
        <v>54</v>
      </c>
      <c r="B576" s="10">
        <v>1</v>
      </c>
      <c r="C576" s="11">
        <v>2</v>
      </c>
      <c r="D576" s="10"/>
      <c r="E576" s="48">
        <f t="shared" si="193"/>
        <v>3</v>
      </c>
      <c r="F576" s="10">
        <v>1</v>
      </c>
      <c r="G576" s="11">
        <v>4</v>
      </c>
      <c r="H576" s="10"/>
      <c r="I576" s="44">
        <f t="shared" si="194"/>
        <v>5</v>
      </c>
      <c r="J576" s="31">
        <f t="shared" si="195"/>
        <v>8</v>
      </c>
      <c r="K576" s="37">
        <v>45647</v>
      </c>
    </row>
    <row r="577" spans="1:11" x14ac:dyDescent="0.15">
      <c r="A577" s="39" t="s">
        <v>54</v>
      </c>
      <c r="B577" s="10">
        <f>1+4</f>
        <v>5</v>
      </c>
      <c r="C577" s="11">
        <v>2</v>
      </c>
      <c r="D577" s="10"/>
      <c r="E577" s="48">
        <f t="shared" si="193"/>
        <v>7</v>
      </c>
      <c r="F577" s="10">
        <f>1+2</f>
        <v>3</v>
      </c>
      <c r="G577" s="11">
        <v>2</v>
      </c>
      <c r="H577" s="10"/>
      <c r="I577" s="44">
        <f t="shared" si="194"/>
        <v>5</v>
      </c>
      <c r="J577" s="31">
        <f t="shared" si="195"/>
        <v>12</v>
      </c>
      <c r="K577" s="37">
        <v>45649</v>
      </c>
    </row>
    <row r="578" spans="1:11" x14ac:dyDescent="0.15">
      <c r="A578" s="39" t="s">
        <v>54</v>
      </c>
      <c r="B578" s="10"/>
      <c r="C578" s="11">
        <v>3</v>
      </c>
      <c r="D578" s="10"/>
      <c r="E578" s="48">
        <f t="shared" si="193"/>
        <v>3</v>
      </c>
      <c r="F578" s="10"/>
      <c r="G578" s="11">
        <v>1</v>
      </c>
      <c r="H578" s="10"/>
      <c r="I578" s="44">
        <f t="shared" si="194"/>
        <v>1</v>
      </c>
      <c r="J578" s="31">
        <f t="shared" si="195"/>
        <v>4</v>
      </c>
      <c r="K578" s="37">
        <v>45651</v>
      </c>
    </row>
    <row r="579" spans="1:11" x14ac:dyDescent="0.15">
      <c r="A579" s="39" t="s">
        <v>54</v>
      </c>
      <c r="B579" s="10"/>
      <c r="C579" s="11">
        <v>2</v>
      </c>
      <c r="D579" s="10"/>
      <c r="E579" s="48">
        <f t="shared" si="193"/>
        <v>2</v>
      </c>
      <c r="F579" s="10"/>
      <c r="G579" s="11">
        <v>2</v>
      </c>
      <c r="H579" s="10"/>
      <c r="I579" s="44">
        <f t="shared" si="194"/>
        <v>2</v>
      </c>
      <c r="J579" s="31">
        <f t="shared" si="195"/>
        <v>4</v>
      </c>
      <c r="K579" s="37">
        <v>45653</v>
      </c>
    </row>
    <row r="580" spans="1:11" x14ac:dyDescent="0.15">
      <c r="A580" s="39" t="s">
        <v>54</v>
      </c>
      <c r="B580" s="10">
        <v>8</v>
      </c>
      <c r="C580" s="11">
        <v>1</v>
      </c>
      <c r="D580" s="10">
        <v>2</v>
      </c>
      <c r="E580" s="48">
        <f t="shared" si="193"/>
        <v>11</v>
      </c>
      <c r="F580" s="10">
        <v>6</v>
      </c>
      <c r="G580" s="11">
        <v>5</v>
      </c>
      <c r="H580" s="10">
        <f>2+4</f>
        <v>6</v>
      </c>
      <c r="I580" s="44">
        <f t="shared" si="194"/>
        <v>17</v>
      </c>
      <c r="J580" s="31">
        <f t="shared" si="195"/>
        <v>28</v>
      </c>
      <c r="K580" s="37">
        <v>45663</v>
      </c>
    </row>
    <row r="581" spans="1:11" x14ac:dyDescent="0.15">
      <c r="A581" s="39" t="s">
        <v>54</v>
      </c>
      <c r="B581" s="10"/>
      <c r="C581" s="11"/>
      <c r="D581" s="10">
        <v>2</v>
      </c>
      <c r="E581" s="48">
        <f t="shared" si="193"/>
        <v>2</v>
      </c>
      <c r="F581" s="10"/>
      <c r="G581" s="11"/>
      <c r="H581" s="10"/>
      <c r="I581" s="44">
        <f t="shared" si="194"/>
        <v>0</v>
      </c>
      <c r="J581" s="31">
        <f t="shared" si="195"/>
        <v>2</v>
      </c>
      <c r="K581" s="37">
        <v>45665</v>
      </c>
    </row>
    <row r="582" spans="1:11" x14ac:dyDescent="0.15">
      <c r="A582" s="39" t="s">
        <v>54</v>
      </c>
      <c r="B582" s="10"/>
      <c r="C582" s="11">
        <v>2</v>
      </c>
      <c r="D582" s="10"/>
      <c r="E582" s="48">
        <f t="shared" si="193"/>
        <v>2</v>
      </c>
      <c r="F582" s="10"/>
      <c r="G582" s="11">
        <v>2</v>
      </c>
      <c r="H582" s="10"/>
      <c r="I582" s="44">
        <f t="shared" si="194"/>
        <v>2</v>
      </c>
      <c r="J582" s="31">
        <f t="shared" si="195"/>
        <v>4</v>
      </c>
      <c r="K582" s="37">
        <v>45667</v>
      </c>
    </row>
    <row r="583" spans="1:11" x14ac:dyDescent="0.15">
      <c r="A583" s="39" t="s">
        <v>54</v>
      </c>
      <c r="B583" s="10">
        <v>5</v>
      </c>
      <c r="C583" s="11">
        <v>4</v>
      </c>
      <c r="D583" s="10">
        <v>4</v>
      </c>
      <c r="E583" s="48">
        <f t="shared" si="193"/>
        <v>13</v>
      </c>
      <c r="F583" s="10">
        <v>1</v>
      </c>
      <c r="G583" s="11">
        <v>4</v>
      </c>
      <c r="H583" s="10"/>
      <c r="I583" s="44">
        <f t="shared" si="194"/>
        <v>5</v>
      </c>
      <c r="J583" s="31">
        <f t="shared" si="195"/>
        <v>18</v>
      </c>
      <c r="K583" s="37">
        <v>45671</v>
      </c>
    </row>
    <row r="584" spans="1:11" x14ac:dyDescent="0.15">
      <c r="A584" s="39" t="s">
        <v>54</v>
      </c>
      <c r="B584" s="10"/>
      <c r="C584" s="11">
        <v>2</v>
      </c>
      <c r="D584" s="10"/>
      <c r="E584" s="48">
        <f t="shared" si="193"/>
        <v>2</v>
      </c>
      <c r="F584" s="10"/>
      <c r="G584" s="11"/>
      <c r="H584" s="10"/>
      <c r="I584" s="44">
        <f t="shared" si="194"/>
        <v>0</v>
      </c>
      <c r="J584" s="31">
        <f t="shared" si="195"/>
        <v>2</v>
      </c>
      <c r="K584" s="37">
        <v>45672</v>
      </c>
    </row>
    <row r="585" spans="1:11" x14ac:dyDescent="0.15">
      <c r="A585" s="39" t="s">
        <v>54</v>
      </c>
      <c r="B585" s="10">
        <f>2+2</f>
        <v>4</v>
      </c>
      <c r="C585" s="11">
        <v>1</v>
      </c>
      <c r="D585" s="10">
        <v>1</v>
      </c>
      <c r="E585" s="48">
        <f t="shared" si="193"/>
        <v>6</v>
      </c>
      <c r="F585" s="10">
        <v>2</v>
      </c>
      <c r="G585" s="11">
        <v>1</v>
      </c>
      <c r="H585" s="10">
        <v>1</v>
      </c>
      <c r="I585" s="44">
        <f t="shared" si="194"/>
        <v>4</v>
      </c>
      <c r="J585" s="31">
        <f t="shared" si="195"/>
        <v>10</v>
      </c>
      <c r="K585" s="37">
        <v>45673</v>
      </c>
    </row>
    <row r="586" spans="1:11" x14ac:dyDescent="0.15">
      <c r="A586" s="39" t="s">
        <v>54</v>
      </c>
      <c r="B586" s="10"/>
      <c r="C586" s="11">
        <v>1</v>
      </c>
      <c r="D586" s="10"/>
      <c r="E586" s="48">
        <f t="shared" si="193"/>
        <v>1</v>
      </c>
      <c r="F586" s="10"/>
      <c r="G586" s="11">
        <v>1</v>
      </c>
      <c r="H586" s="10"/>
      <c r="I586" s="44">
        <f t="shared" si="194"/>
        <v>1</v>
      </c>
      <c r="J586" s="31">
        <f t="shared" si="195"/>
        <v>2</v>
      </c>
      <c r="K586" s="37">
        <v>45674</v>
      </c>
    </row>
    <row r="587" spans="1:11" x14ac:dyDescent="0.15">
      <c r="A587" s="39" t="s">
        <v>54</v>
      </c>
      <c r="B587" s="10"/>
      <c r="C587" s="11"/>
      <c r="D587" s="10"/>
      <c r="E587" s="48">
        <f t="shared" si="193"/>
        <v>0</v>
      </c>
      <c r="F587" s="10">
        <v>6</v>
      </c>
      <c r="G587" s="11"/>
      <c r="H587" s="10"/>
      <c r="I587" s="44">
        <f t="shared" si="194"/>
        <v>6</v>
      </c>
      <c r="J587" s="31">
        <f t="shared" si="195"/>
        <v>6</v>
      </c>
      <c r="K587" s="37">
        <v>45677</v>
      </c>
    </row>
    <row r="588" spans="1:11" x14ac:dyDescent="0.15">
      <c r="A588" s="39" t="s">
        <v>54</v>
      </c>
      <c r="B588" s="10">
        <v>1</v>
      </c>
      <c r="C588" s="11">
        <v>1</v>
      </c>
      <c r="D588" s="10"/>
      <c r="E588" s="48">
        <f t="shared" si="193"/>
        <v>2</v>
      </c>
      <c r="F588" s="10">
        <v>1</v>
      </c>
      <c r="G588" s="11">
        <v>1</v>
      </c>
      <c r="H588" s="10"/>
      <c r="I588" s="44">
        <f t="shared" si="194"/>
        <v>2</v>
      </c>
      <c r="J588" s="31">
        <f t="shared" si="195"/>
        <v>4</v>
      </c>
      <c r="K588" s="37">
        <v>45678</v>
      </c>
    </row>
    <row r="589" spans="1:11" x14ac:dyDescent="0.15">
      <c r="A589" s="39" t="s">
        <v>54</v>
      </c>
      <c r="B589" s="10"/>
      <c r="C589" s="11"/>
      <c r="D589" s="10"/>
      <c r="E589" s="48">
        <f t="shared" si="193"/>
        <v>0</v>
      </c>
      <c r="F589" s="10">
        <v>2</v>
      </c>
      <c r="G589" s="11"/>
      <c r="H589" s="10"/>
      <c r="I589" s="44">
        <f t="shared" si="194"/>
        <v>2</v>
      </c>
      <c r="J589" s="31">
        <f t="shared" si="195"/>
        <v>2</v>
      </c>
      <c r="K589" s="37">
        <v>45679</v>
      </c>
    </row>
    <row r="590" spans="1:11" x14ac:dyDescent="0.15">
      <c r="A590" s="39" t="s">
        <v>54</v>
      </c>
      <c r="B590" s="10">
        <v>2</v>
      </c>
      <c r="C590" s="11"/>
      <c r="D590" s="10">
        <v>4</v>
      </c>
      <c r="E590" s="48">
        <f t="shared" si="193"/>
        <v>6</v>
      </c>
      <c r="F590" s="10">
        <v>2</v>
      </c>
      <c r="G590" s="11">
        <v>4</v>
      </c>
      <c r="H590" s="10">
        <v>4</v>
      </c>
      <c r="I590" s="44">
        <f t="shared" si="194"/>
        <v>10</v>
      </c>
      <c r="J590" s="31">
        <f t="shared" si="195"/>
        <v>16</v>
      </c>
      <c r="K590" s="37">
        <v>45684</v>
      </c>
    </row>
    <row r="591" spans="1:11" x14ac:dyDescent="0.15">
      <c r="A591" s="39" t="s">
        <v>54</v>
      </c>
      <c r="B591" s="10"/>
      <c r="C591" s="11">
        <v>1</v>
      </c>
      <c r="D591" s="10"/>
      <c r="E591" s="48">
        <f t="shared" si="193"/>
        <v>1</v>
      </c>
      <c r="F591" s="10"/>
      <c r="G591" s="11">
        <v>1</v>
      </c>
      <c r="H591" s="10"/>
      <c r="I591" s="44">
        <f t="shared" si="194"/>
        <v>1</v>
      </c>
      <c r="J591" s="31">
        <f t="shared" si="195"/>
        <v>2</v>
      </c>
      <c r="K591" s="37">
        <v>45687</v>
      </c>
    </row>
    <row r="592" spans="1:11" x14ac:dyDescent="0.15">
      <c r="A592" s="39" t="s">
        <v>54</v>
      </c>
      <c r="B592" s="10"/>
      <c r="C592" s="11">
        <v>2</v>
      </c>
      <c r="D592" s="10">
        <v>1</v>
      </c>
      <c r="E592" s="48">
        <f t="shared" si="193"/>
        <v>3</v>
      </c>
      <c r="F592" s="10"/>
      <c r="G592" s="11">
        <v>2</v>
      </c>
      <c r="H592" s="10">
        <v>1</v>
      </c>
      <c r="I592" s="44">
        <f t="shared" si="194"/>
        <v>3</v>
      </c>
      <c r="J592" s="31">
        <f t="shared" si="195"/>
        <v>6</v>
      </c>
      <c r="K592" s="37">
        <v>45688</v>
      </c>
    </row>
    <row r="593" spans="1:11" x14ac:dyDescent="0.15">
      <c r="A593" s="39" t="s">
        <v>54</v>
      </c>
      <c r="B593" s="10"/>
      <c r="C593" s="11"/>
      <c r="D593" s="10">
        <f>2+1</f>
        <v>3</v>
      </c>
      <c r="E593" s="48">
        <f t="shared" si="193"/>
        <v>3</v>
      </c>
      <c r="F593" s="10"/>
      <c r="G593" s="11"/>
      <c r="H593" s="10">
        <f>2+1</f>
        <v>3</v>
      </c>
      <c r="I593" s="44">
        <f t="shared" si="194"/>
        <v>3</v>
      </c>
      <c r="J593" s="31">
        <f t="shared" si="195"/>
        <v>6</v>
      </c>
      <c r="K593" s="37">
        <v>45691</v>
      </c>
    </row>
    <row r="594" spans="1:11" x14ac:dyDescent="0.15">
      <c r="A594" s="39" t="s">
        <v>54</v>
      </c>
      <c r="B594" s="10">
        <v>1</v>
      </c>
      <c r="C594" s="11"/>
      <c r="D594" s="10"/>
      <c r="E594" s="48">
        <f t="shared" si="193"/>
        <v>1</v>
      </c>
      <c r="F594" s="10">
        <v>1</v>
      </c>
      <c r="G594" s="11"/>
      <c r="H594" s="10"/>
      <c r="I594" s="44">
        <f t="shared" si="194"/>
        <v>1</v>
      </c>
      <c r="J594" s="31">
        <f t="shared" si="195"/>
        <v>2</v>
      </c>
      <c r="K594" s="37">
        <v>45692</v>
      </c>
    </row>
    <row r="595" spans="1:11" x14ac:dyDescent="0.15">
      <c r="A595" s="39" t="s">
        <v>54</v>
      </c>
      <c r="B595" s="10">
        <v>1</v>
      </c>
      <c r="C595" s="11"/>
      <c r="D595" s="10"/>
      <c r="E595" s="48">
        <f t="shared" si="185"/>
        <v>1</v>
      </c>
      <c r="F595" s="10">
        <v>1</v>
      </c>
      <c r="G595" s="11"/>
      <c r="H595" s="10"/>
      <c r="I595" s="44">
        <f t="shared" si="190"/>
        <v>1</v>
      </c>
      <c r="J595" s="31">
        <f t="shared" si="186"/>
        <v>2</v>
      </c>
      <c r="K595" s="37">
        <v>45693</v>
      </c>
    </row>
    <row r="596" spans="1:11" x14ac:dyDescent="0.15">
      <c r="A596" s="39" t="s">
        <v>54</v>
      </c>
      <c r="B596" s="10">
        <v>1</v>
      </c>
      <c r="C596" s="11"/>
      <c r="D596" s="10"/>
      <c r="E596" s="48">
        <f t="shared" si="185"/>
        <v>1</v>
      </c>
      <c r="F596" s="10">
        <v>1</v>
      </c>
      <c r="G596" s="11">
        <v>2</v>
      </c>
      <c r="H596" s="10"/>
      <c r="I596" s="44">
        <f t="shared" si="190"/>
        <v>3</v>
      </c>
      <c r="J596" s="31">
        <f t="shared" si="186"/>
        <v>4</v>
      </c>
      <c r="K596" s="37">
        <v>45694</v>
      </c>
    </row>
    <row r="597" spans="1:11" x14ac:dyDescent="0.15">
      <c r="A597" s="39" t="s">
        <v>54</v>
      </c>
      <c r="B597" s="10"/>
      <c r="C597" s="11">
        <v>2</v>
      </c>
      <c r="D597" s="10"/>
      <c r="E597" s="48">
        <f t="shared" si="185"/>
        <v>2</v>
      </c>
      <c r="F597" s="10"/>
      <c r="G597" s="11"/>
      <c r="H597" s="10"/>
      <c r="I597" s="44">
        <f t="shared" si="190"/>
        <v>0</v>
      </c>
      <c r="J597" s="31">
        <f t="shared" si="186"/>
        <v>2</v>
      </c>
      <c r="K597" s="37">
        <v>45698</v>
      </c>
    </row>
    <row r="598" spans="1:11" ht="14.25" thickBot="1" x14ac:dyDescent="0.2">
      <c r="A598" s="39" t="s">
        <v>54</v>
      </c>
      <c r="B598" s="13"/>
      <c r="C598" s="14">
        <v>2</v>
      </c>
      <c r="D598" s="13"/>
      <c r="E598" s="59">
        <f t="shared" si="185"/>
        <v>2</v>
      </c>
      <c r="F598" s="13"/>
      <c r="G598" s="14">
        <f>2+2+2</f>
        <v>6</v>
      </c>
      <c r="H598" s="13"/>
      <c r="I598" s="60">
        <f t="shared" si="190"/>
        <v>6</v>
      </c>
      <c r="J598" s="36">
        <f t="shared" si="186"/>
        <v>8</v>
      </c>
      <c r="K598" s="37">
        <v>45700</v>
      </c>
    </row>
    <row r="599" spans="1:11" ht="14.25" thickBot="1" x14ac:dyDescent="0.2">
      <c r="A599" s="3" t="s">
        <v>5</v>
      </c>
      <c r="B599" s="16">
        <f>SUM(B575:B598)</f>
        <v>31</v>
      </c>
      <c r="C599" s="61">
        <f>SUM(C575:C598)</f>
        <v>28</v>
      </c>
      <c r="D599" s="16">
        <f t="shared" ref="D599" si="196">SUM(D575:D598)</f>
        <v>17</v>
      </c>
      <c r="E599" s="65">
        <f t="shared" si="185"/>
        <v>76</v>
      </c>
      <c r="F599" s="15">
        <f>SUM(F575:F598)</f>
        <v>29</v>
      </c>
      <c r="G599" s="15">
        <f t="shared" ref="G599:H599" si="197">SUM(G575:G598)</f>
        <v>38</v>
      </c>
      <c r="H599" s="15">
        <f t="shared" si="197"/>
        <v>15</v>
      </c>
      <c r="I599" s="16">
        <f t="shared" si="190"/>
        <v>82</v>
      </c>
      <c r="J599" s="34">
        <f t="shared" si="186"/>
        <v>158</v>
      </c>
    </row>
    <row r="600" spans="1:11" ht="14.25" thickBot="1" x14ac:dyDescent="0.2">
      <c r="A600" s="25" t="s">
        <v>6</v>
      </c>
      <c r="B600" s="26">
        <f>B574-B599</f>
        <v>19</v>
      </c>
      <c r="C600" s="26">
        <f t="shared" ref="C600:E600" si="198">C574-C599</f>
        <v>16</v>
      </c>
      <c r="D600" s="24">
        <f t="shared" si="198"/>
        <v>10</v>
      </c>
      <c r="E600" s="47">
        <f t="shared" si="198"/>
        <v>45</v>
      </c>
      <c r="F600" s="26">
        <f>F574-F599</f>
        <v>19</v>
      </c>
      <c r="G600" s="26">
        <f t="shared" ref="G600:I600" si="199">G574-G599</f>
        <v>13</v>
      </c>
      <c r="H600" s="26">
        <f t="shared" si="199"/>
        <v>7</v>
      </c>
      <c r="I600" s="26">
        <f t="shared" si="199"/>
        <v>39</v>
      </c>
      <c r="J600" s="38">
        <f t="shared" si="186"/>
        <v>84</v>
      </c>
    </row>
    <row r="603" spans="1:11" ht="18" thickBot="1" x14ac:dyDescent="0.25">
      <c r="A603" s="29" t="s">
        <v>17</v>
      </c>
      <c r="B603" s="1"/>
      <c r="C603" s="1"/>
      <c r="D603" s="1" t="s">
        <v>65</v>
      </c>
      <c r="E603" s="1"/>
      <c r="F603" s="1"/>
      <c r="G603" s="1"/>
      <c r="H603" s="1"/>
      <c r="I603" s="1"/>
      <c r="J603" s="1"/>
    </row>
    <row r="604" spans="1:11" ht="14.25" thickBot="1" x14ac:dyDescent="0.2">
      <c r="A604" s="2" t="s">
        <v>0</v>
      </c>
      <c r="B604" s="219" t="s">
        <v>14</v>
      </c>
      <c r="C604" s="220"/>
      <c r="D604" s="220"/>
      <c r="E604" s="221"/>
      <c r="F604" s="216" t="s">
        <v>15</v>
      </c>
      <c r="G604" s="217"/>
      <c r="H604" s="217"/>
      <c r="I604" s="218"/>
      <c r="J604" s="208" t="s">
        <v>10</v>
      </c>
    </row>
    <row r="605" spans="1:11" ht="14.25" thickBot="1" x14ac:dyDescent="0.2">
      <c r="A605" s="2" t="s">
        <v>1</v>
      </c>
      <c r="B605" s="3" t="s">
        <v>7</v>
      </c>
      <c r="C605" s="2" t="s">
        <v>8</v>
      </c>
      <c r="D605" s="2" t="s">
        <v>9</v>
      </c>
      <c r="E605" s="19" t="s">
        <v>2</v>
      </c>
      <c r="F605" s="2" t="s">
        <v>11</v>
      </c>
      <c r="G605" s="19" t="s">
        <v>12</v>
      </c>
      <c r="H605" s="2" t="s">
        <v>13</v>
      </c>
      <c r="I605" s="2" t="s">
        <v>2</v>
      </c>
      <c r="J605" s="209"/>
    </row>
    <row r="606" spans="1:11" ht="14.25" thickBot="1" x14ac:dyDescent="0.2">
      <c r="A606" s="3" t="s">
        <v>6</v>
      </c>
      <c r="B606" s="63">
        <f>B600</f>
        <v>19</v>
      </c>
      <c r="C606" s="64">
        <f>C600</f>
        <v>16</v>
      </c>
      <c r="D606" s="63">
        <f>D600</f>
        <v>10</v>
      </c>
      <c r="E606" s="65">
        <f t="shared" ref="E606" si="200">SUM(B606:D606)</f>
        <v>45</v>
      </c>
      <c r="F606" s="63">
        <f>F600</f>
        <v>19</v>
      </c>
      <c r="G606" s="64">
        <f>G600</f>
        <v>13</v>
      </c>
      <c r="H606" s="63">
        <f>H600</f>
        <v>7</v>
      </c>
      <c r="I606" s="65">
        <f>SUM(F606:H606)</f>
        <v>39</v>
      </c>
      <c r="J606" s="34">
        <f t="shared" ref="J606:J643" si="201">SUM(I606,E606)</f>
        <v>84</v>
      </c>
    </row>
    <row r="607" spans="1:11" x14ac:dyDescent="0.15">
      <c r="A607" s="50" t="s">
        <v>3</v>
      </c>
      <c r="B607" s="13">
        <v>20</v>
      </c>
      <c r="C607" s="14">
        <v>10</v>
      </c>
      <c r="D607" s="13">
        <v>5</v>
      </c>
      <c r="E607" s="44">
        <f t="shared" ref="E607" si="202">SUM(B607:D607)</f>
        <v>35</v>
      </c>
      <c r="F607" s="147">
        <v>10</v>
      </c>
      <c r="G607" s="14">
        <v>15</v>
      </c>
      <c r="H607" s="13">
        <v>5</v>
      </c>
      <c r="I607" s="8">
        <f t="shared" ref="I607" si="203">SUM(F607:H607)</f>
        <v>30</v>
      </c>
      <c r="J607" s="145">
        <f t="shared" si="201"/>
        <v>65</v>
      </c>
      <c r="K607" s="32">
        <v>45720</v>
      </c>
    </row>
    <row r="608" spans="1:11" x14ac:dyDescent="0.15">
      <c r="A608" s="50" t="s">
        <v>3</v>
      </c>
      <c r="B608" s="13"/>
      <c r="C608" s="14">
        <v>10</v>
      </c>
      <c r="D608" s="13">
        <v>5</v>
      </c>
      <c r="E608" s="44">
        <f t="shared" ref="E608:E611" si="204">SUM(B608:D608)</f>
        <v>15</v>
      </c>
      <c r="F608" s="147"/>
      <c r="G608" s="14">
        <v>10</v>
      </c>
      <c r="H608" s="13">
        <v>5</v>
      </c>
      <c r="I608" s="8">
        <f t="shared" ref="I608:I611" si="205">SUM(F608:H608)</f>
        <v>15</v>
      </c>
      <c r="J608" s="145">
        <f t="shared" ref="J608:J611" si="206">SUM(I608,E608)</f>
        <v>30</v>
      </c>
      <c r="K608" s="32">
        <v>45735</v>
      </c>
    </row>
    <row r="609" spans="1:12" x14ac:dyDescent="0.15">
      <c r="A609" s="50" t="s">
        <v>3</v>
      </c>
      <c r="B609" s="13"/>
      <c r="C609" s="14"/>
      <c r="D609" s="13"/>
      <c r="E609" s="44">
        <f t="shared" si="204"/>
        <v>0</v>
      </c>
      <c r="F609" s="147">
        <v>10</v>
      </c>
      <c r="G609" s="14"/>
      <c r="H609" s="13"/>
      <c r="I609" s="8">
        <f t="shared" si="205"/>
        <v>10</v>
      </c>
      <c r="J609" s="145">
        <f t="shared" si="206"/>
        <v>10</v>
      </c>
      <c r="K609" s="32">
        <v>45742</v>
      </c>
    </row>
    <row r="610" spans="1:12" x14ac:dyDescent="0.15">
      <c r="A610" s="50" t="s">
        <v>3</v>
      </c>
      <c r="B610" s="13">
        <v>5</v>
      </c>
      <c r="C610" s="14"/>
      <c r="D610" s="13">
        <v>5</v>
      </c>
      <c r="E610" s="44">
        <f t="shared" si="204"/>
        <v>10</v>
      </c>
      <c r="F610" s="147">
        <v>5</v>
      </c>
      <c r="G610" s="14"/>
      <c r="H610" s="13"/>
      <c r="I610" s="8">
        <f t="shared" si="205"/>
        <v>5</v>
      </c>
      <c r="J610" s="145">
        <f t="shared" si="206"/>
        <v>15</v>
      </c>
      <c r="K610" s="32">
        <v>45762</v>
      </c>
    </row>
    <row r="611" spans="1:12" x14ac:dyDescent="0.15">
      <c r="A611" s="50" t="s">
        <v>3</v>
      </c>
      <c r="B611" s="13"/>
      <c r="C611" s="14"/>
      <c r="D611" s="13"/>
      <c r="E611" s="44">
        <f t="shared" si="204"/>
        <v>0</v>
      </c>
      <c r="F611" s="147"/>
      <c r="G611" s="14"/>
      <c r="H611" s="13"/>
      <c r="I611" s="8">
        <f t="shared" si="205"/>
        <v>0</v>
      </c>
      <c r="J611" s="145">
        <f t="shared" si="206"/>
        <v>0</v>
      </c>
      <c r="K611" s="32"/>
    </row>
    <row r="612" spans="1:12" x14ac:dyDescent="0.15">
      <c r="A612" s="50" t="s">
        <v>3</v>
      </c>
      <c r="B612" s="13"/>
      <c r="C612" s="14"/>
      <c r="D612" s="13"/>
      <c r="E612" s="44">
        <f t="shared" ref="E612" si="207">SUM(B612:D612)</f>
        <v>0</v>
      </c>
      <c r="F612" s="147"/>
      <c r="G612" s="14"/>
      <c r="H612" s="13"/>
      <c r="I612" s="8">
        <f t="shared" ref="I612" si="208">SUM(F612:H612)</f>
        <v>0</v>
      </c>
      <c r="J612" s="145">
        <f t="shared" si="201"/>
        <v>0</v>
      </c>
      <c r="K612" s="32"/>
    </row>
    <row r="613" spans="1:12" x14ac:dyDescent="0.15">
      <c r="A613" s="50" t="s">
        <v>3</v>
      </c>
      <c r="B613" s="13"/>
      <c r="C613" s="14"/>
      <c r="D613" s="13"/>
      <c r="E613" s="44">
        <f t="shared" ref="E613:E642" si="209">SUM(B613:D613)</f>
        <v>0</v>
      </c>
      <c r="F613" s="147"/>
      <c r="G613" s="14"/>
      <c r="H613" s="13"/>
      <c r="I613" s="8">
        <f t="shared" ref="I613:I618" si="210">SUM(F613:H613)</f>
        <v>0</v>
      </c>
      <c r="J613" s="145">
        <f t="shared" si="201"/>
        <v>0</v>
      </c>
      <c r="K613" s="32"/>
      <c r="L613" s="33"/>
    </row>
    <row r="614" spans="1:12" x14ac:dyDescent="0.15">
      <c r="A614" s="50" t="s">
        <v>3</v>
      </c>
      <c r="B614" s="13"/>
      <c r="C614" s="14"/>
      <c r="D614" s="13"/>
      <c r="E614" s="44">
        <f t="shared" si="209"/>
        <v>0</v>
      </c>
      <c r="F614" s="147"/>
      <c r="G614" s="14"/>
      <c r="H614" s="13"/>
      <c r="I614" s="8">
        <f t="shared" si="210"/>
        <v>0</v>
      </c>
      <c r="J614" s="145">
        <f t="shared" si="201"/>
        <v>0</v>
      </c>
      <c r="K614" s="32"/>
      <c r="L614" s="33"/>
    </row>
    <row r="615" spans="1:12" x14ac:dyDescent="0.15">
      <c r="A615" s="50" t="s">
        <v>3</v>
      </c>
      <c r="B615" s="13"/>
      <c r="C615" s="14"/>
      <c r="D615" s="13"/>
      <c r="E615" s="44">
        <f t="shared" si="209"/>
        <v>0</v>
      </c>
      <c r="F615" s="147"/>
      <c r="G615" s="14"/>
      <c r="H615" s="13"/>
      <c r="I615" s="8">
        <f t="shared" si="210"/>
        <v>0</v>
      </c>
      <c r="J615" s="145">
        <f t="shared" si="201"/>
        <v>0</v>
      </c>
      <c r="K615" s="32"/>
      <c r="L615" s="33"/>
    </row>
    <row r="616" spans="1:12" ht="14.25" thickBot="1" x14ac:dyDescent="0.2">
      <c r="A616" s="50" t="s">
        <v>3</v>
      </c>
      <c r="B616" s="13"/>
      <c r="C616" s="14"/>
      <c r="D616" s="13"/>
      <c r="E616" s="44">
        <f t="shared" si="209"/>
        <v>0</v>
      </c>
      <c r="F616" s="147"/>
      <c r="G616" s="14"/>
      <c r="H616" s="13"/>
      <c r="I616" s="8">
        <f t="shared" si="210"/>
        <v>0</v>
      </c>
      <c r="J616" s="145">
        <f t="shared" si="201"/>
        <v>0</v>
      </c>
      <c r="K616" s="32"/>
      <c r="L616" s="33"/>
    </row>
    <row r="617" spans="1:12" ht="14.25" thickBot="1" x14ac:dyDescent="0.2">
      <c r="A617" s="51" t="s">
        <v>4</v>
      </c>
      <c r="B617" s="22">
        <f>SUM(B606:B616)</f>
        <v>44</v>
      </c>
      <c r="C617" s="22">
        <f>SUM(C606:C616)</f>
        <v>36</v>
      </c>
      <c r="D617" s="22">
        <f t="shared" ref="D617" si="211">SUM(D606:D616)</f>
        <v>25</v>
      </c>
      <c r="E617" s="43">
        <f t="shared" si="209"/>
        <v>105</v>
      </c>
      <c r="F617" s="150">
        <f>SUM(F606:F616)</f>
        <v>44</v>
      </c>
      <c r="G617" s="22">
        <f t="shared" ref="G617:H617" si="212">SUM(G606:G616)</f>
        <v>38</v>
      </c>
      <c r="H617" s="22">
        <f t="shared" si="212"/>
        <v>17</v>
      </c>
      <c r="I617" s="43">
        <f t="shared" si="210"/>
        <v>99</v>
      </c>
      <c r="J617" s="34">
        <f t="shared" si="201"/>
        <v>204</v>
      </c>
    </row>
    <row r="618" spans="1:12" x14ac:dyDescent="0.15">
      <c r="A618" s="39" t="s">
        <v>54</v>
      </c>
      <c r="B618" s="10">
        <v>2</v>
      </c>
      <c r="C618" s="11"/>
      <c r="D618" s="10"/>
      <c r="E618" s="48">
        <f t="shared" si="209"/>
        <v>2</v>
      </c>
      <c r="F618" s="10"/>
      <c r="G618" s="11"/>
      <c r="H618" s="10"/>
      <c r="I618" s="44">
        <f t="shared" si="210"/>
        <v>0</v>
      </c>
      <c r="J618" s="31">
        <f t="shared" si="201"/>
        <v>2</v>
      </c>
      <c r="K618" s="37">
        <v>45701</v>
      </c>
    </row>
    <row r="619" spans="1:12" x14ac:dyDescent="0.15">
      <c r="A619" s="39" t="s">
        <v>54</v>
      </c>
      <c r="B619" s="10"/>
      <c r="C619" s="11"/>
      <c r="D619" s="10"/>
      <c r="E619" s="48">
        <f t="shared" ref="E619:E639" si="213">SUM(B619:D619)</f>
        <v>0</v>
      </c>
      <c r="F619" s="10">
        <v>2</v>
      </c>
      <c r="G619" s="11"/>
      <c r="H619" s="10"/>
      <c r="I619" s="44">
        <f t="shared" ref="I619:I639" si="214">SUM(F619:H619)</f>
        <v>2</v>
      </c>
      <c r="J619" s="31">
        <f t="shared" ref="J619:J639" si="215">SUM(I619,E619)</f>
        <v>2</v>
      </c>
      <c r="K619" s="37">
        <v>45703</v>
      </c>
    </row>
    <row r="620" spans="1:12" x14ac:dyDescent="0.15">
      <c r="A620" s="39" t="s">
        <v>54</v>
      </c>
      <c r="B620" s="10">
        <v>4</v>
      </c>
      <c r="C620" s="11"/>
      <c r="D620" s="10">
        <v>1</v>
      </c>
      <c r="E620" s="48">
        <f t="shared" si="213"/>
        <v>5</v>
      </c>
      <c r="F620" s="10"/>
      <c r="G620" s="11">
        <v>2</v>
      </c>
      <c r="H620" s="10">
        <v>1</v>
      </c>
      <c r="I620" s="44">
        <f t="shared" si="214"/>
        <v>3</v>
      </c>
      <c r="J620" s="31">
        <f t="shared" si="215"/>
        <v>8</v>
      </c>
      <c r="K620" s="37">
        <v>45705</v>
      </c>
    </row>
    <row r="621" spans="1:12" x14ac:dyDescent="0.15">
      <c r="A621" s="39" t="s">
        <v>54</v>
      </c>
      <c r="B621" s="10">
        <v>4</v>
      </c>
      <c r="C621" s="11"/>
      <c r="D621" s="10"/>
      <c r="E621" s="48">
        <f t="shared" si="213"/>
        <v>4</v>
      </c>
      <c r="F621" s="10"/>
      <c r="G621" s="11"/>
      <c r="H621" s="10"/>
      <c r="I621" s="44">
        <f t="shared" si="214"/>
        <v>0</v>
      </c>
      <c r="J621" s="31">
        <f t="shared" si="215"/>
        <v>4</v>
      </c>
      <c r="K621" s="37">
        <v>45706</v>
      </c>
    </row>
    <row r="622" spans="1:12" x14ac:dyDescent="0.15">
      <c r="A622" s="39" t="s">
        <v>54</v>
      </c>
      <c r="B622" s="10"/>
      <c r="C622" s="11">
        <v>2</v>
      </c>
      <c r="D622" s="10">
        <v>2</v>
      </c>
      <c r="E622" s="48">
        <f t="shared" si="213"/>
        <v>4</v>
      </c>
      <c r="F622" s="10"/>
      <c r="G622" s="11">
        <v>2</v>
      </c>
      <c r="H622" s="10"/>
      <c r="I622" s="44">
        <f t="shared" si="214"/>
        <v>2</v>
      </c>
      <c r="J622" s="31">
        <f t="shared" si="215"/>
        <v>6</v>
      </c>
      <c r="K622" s="37">
        <v>45707</v>
      </c>
    </row>
    <row r="623" spans="1:12" x14ac:dyDescent="0.15">
      <c r="A623" s="39" t="s">
        <v>54</v>
      </c>
      <c r="B623" s="10"/>
      <c r="C623" s="11">
        <v>1</v>
      </c>
      <c r="D623" s="10"/>
      <c r="E623" s="48">
        <f t="shared" si="213"/>
        <v>1</v>
      </c>
      <c r="F623" s="10">
        <v>4</v>
      </c>
      <c r="G623" s="11">
        <v>1</v>
      </c>
      <c r="H623" s="10"/>
      <c r="I623" s="44">
        <f t="shared" si="214"/>
        <v>5</v>
      </c>
      <c r="J623" s="31">
        <f t="shared" si="215"/>
        <v>6</v>
      </c>
      <c r="K623" s="37">
        <v>45708</v>
      </c>
    </row>
    <row r="624" spans="1:12" x14ac:dyDescent="0.15">
      <c r="A624" s="39" t="s">
        <v>54</v>
      </c>
      <c r="B624" s="10">
        <f>2+2</f>
        <v>4</v>
      </c>
      <c r="C624" s="11">
        <v>2</v>
      </c>
      <c r="D624" s="10"/>
      <c r="E624" s="48">
        <f t="shared" si="213"/>
        <v>6</v>
      </c>
      <c r="F624" s="10">
        <v>2</v>
      </c>
      <c r="G624" s="11">
        <v>2</v>
      </c>
      <c r="H624" s="10"/>
      <c r="I624" s="44">
        <f t="shared" si="214"/>
        <v>4</v>
      </c>
      <c r="J624" s="31">
        <f t="shared" si="215"/>
        <v>10</v>
      </c>
      <c r="K624" s="37">
        <v>45713</v>
      </c>
    </row>
    <row r="625" spans="1:11" x14ac:dyDescent="0.15">
      <c r="A625" s="39" t="s">
        <v>54</v>
      </c>
      <c r="B625" s="10"/>
      <c r="C625" s="11"/>
      <c r="D625" s="10"/>
      <c r="E625" s="48">
        <f t="shared" si="213"/>
        <v>0</v>
      </c>
      <c r="F625" s="10"/>
      <c r="G625" s="11">
        <v>2</v>
      </c>
      <c r="H625" s="10"/>
      <c r="I625" s="44">
        <f t="shared" si="214"/>
        <v>2</v>
      </c>
      <c r="J625" s="31">
        <f t="shared" si="215"/>
        <v>2</v>
      </c>
      <c r="K625" s="37">
        <v>45714</v>
      </c>
    </row>
    <row r="626" spans="1:11" x14ac:dyDescent="0.15">
      <c r="A626" s="39" t="s">
        <v>54</v>
      </c>
      <c r="B626" s="10"/>
      <c r="C626" s="11"/>
      <c r="D626" s="10">
        <v>2</v>
      </c>
      <c r="E626" s="48">
        <f t="shared" si="213"/>
        <v>2</v>
      </c>
      <c r="F626" s="10"/>
      <c r="G626" s="11"/>
      <c r="H626" s="10">
        <v>2</v>
      </c>
      <c r="I626" s="44">
        <f t="shared" si="214"/>
        <v>2</v>
      </c>
      <c r="J626" s="31">
        <f t="shared" si="215"/>
        <v>4</v>
      </c>
      <c r="K626" s="37">
        <v>45715</v>
      </c>
    </row>
    <row r="627" spans="1:11" x14ac:dyDescent="0.15">
      <c r="A627" s="39" t="s">
        <v>54</v>
      </c>
      <c r="B627" s="10"/>
      <c r="C627" s="11">
        <v>2</v>
      </c>
      <c r="D627" s="10">
        <v>1</v>
      </c>
      <c r="E627" s="48">
        <f t="shared" si="213"/>
        <v>3</v>
      </c>
      <c r="F627" s="10"/>
      <c r="G627" s="11"/>
      <c r="H627" s="10">
        <v>1</v>
      </c>
      <c r="I627" s="44">
        <f t="shared" si="214"/>
        <v>1</v>
      </c>
      <c r="J627" s="31">
        <f t="shared" si="215"/>
        <v>4</v>
      </c>
      <c r="K627" s="37">
        <v>45716</v>
      </c>
    </row>
    <row r="628" spans="1:11" x14ac:dyDescent="0.15">
      <c r="A628" s="39" t="s">
        <v>54</v>
      </c>
      <c r="B628" s="10"/>
      <c r="C628" s="11">
        <v>2</v>
      </c>
      <c r="D628" s="10"/>
      <c r="E628" s="48">
        <f t="shared" si="213"/>
        <v>2</v>
      </c>
      <c r="F628" s="10">
        <v>2</v>
      </c>
      <c r="G628" s="11"/>
      <c r="H628" s="10"/>
      <c r="I628" s="44">
        <f t="shared" si="214"/>
        <v>2</v>
      </c>
      <c r="J628" s="31">
        <f t="shared" si="215"/>
        <v>4</v>
      </c>
      <c r="K628" s="37">
        <v>45719</v>
      </c>
    </row>
    <row r="629" spans="1:11" x14ac:dyDescent="0.15">
      <c r="A629" s="39" t="s">
        <v>54</v>
      </c>
      <c r="B629" s="10">
        <v>1</v>
      </c>
      <c r="C629" s="11"/>
      <c r="D629" s="10"/>
      <c r="E629" s="48">
        <f t="shared" si="213"/>
        <v>1</v>
      </c>
      <c r="F629" s="10">
        <v>1</v>
      </c>
      <c r="G629" s="11"/>
      <c r="H629" s="10"/>
      <c r="I629" s="44">
        <f t="shared" si="214"/>
        <v>1</v>
      </c>
      <c r="J629" s="31">
        <f t="shared" si="215"/>
        <v>2</v>
      </c>
      <c r="K629" s="37">
        <v>45720</v>
      </c>
    </row>
    <row r="630" spans="1:11" x14ac:dyDescent="0.15">
      <c r="A630" s="39" t="s">
        <v>54</v>
      </c>
      <c r="B630" s="10">
        <v>1</v>
      </c>
      <c r="C630" s="11"/>
      <c r="D630" s="10">
        <v>2</v>
      </c>
      <c r="E630" s="48">
        <f t="shared" si="213"/>
        <v>3</v>
      </c>
      <c r="F630" s="10">
        <v>1</v>
      </c>
      <c r="G630" s="11">
        <v>2</v>
      </c>
      <c r="H630" s="10"/>
      <c r="I630" s="44">
        <f t="shared" si="214"/>
        <v>3</v>
      </c>
      <c r="J630" s="31">
        <f t="shared" si="215"/>
        <v>6</v>
      </c>
      <c r="K630" s="37">
        <v>45721</v>
      </c>
    </row>
    <row r="631" spans="1:11" x14ac:dyDescent="0.15">
      <c r="A631" s="39" t="s">
        <v>54</v>
      </c>
      <c r="B631" s="10"/>
      <c r="C631" s="11">
        <f>2+1</f>
        <v>3</v>
      </c>
      <c r="D631" s="10"/>
      <c r="E631" s="48">
        <f t="shared" si="213"/>
        <v>3</v>
      </c>
      <c r="F631" s="10"/>
      <c r="G631" s="11">
        <v>1</v>
      </c>
      <c r="H631" s="10"/>
      <c r="I631" s="44">
        <f t="shared" si="214"/>
        <v>1</v>
      </c>
      <c r="J631" s="31">
        <f t="shared" si="215"/>
        <v>4</v>
      </c>
      <c r="K631" s="37">
        <v>45723</v>
      </c>
    </row>
    <row r="632" spans="1:11" x14ac:dyDescent="0.15">
      <c r="A632" s="39" t="s">
        <v>54</v>
      </c>
      <c r="B632" s="10"/>
      <c r="C632" s="11">
        <f>1+2</f>
        <v>3</v>
      </c>
      <c r="D632" s="10"/>
      <c r="E632" s="48">
        <f t="shared" si="213"/>
        <v>3</v>
      </c>
      <c r="F632" s="10"/>
      <c r="G632" s="11">
        <f>4+2+1</f>
        <v>7</v>
      </c>
      <c r="H632" s="10"/>
      <c r="I632" s="44">
        <f t="shared" si="214"/>
        <v>7</v>
      </c>
      <c r="J632" s="31">
        <f t="shared" si="215"/>
        <v>10</v>
      </c>
      <c r="K632" s="37">
        <v>45726</v>
      </c>
    </row>
    <row r="633" spans="1:11" x14ac:dyDescent="0.15">
      <c r="A633" s="39" t="s">
        <v>54</v>
      </c>
      <c r="B633" s="10"/>
      <c r="C633" s="11"/>
      <c r="D633" s="10">
        <v>1</v>
      </c>
      <c r="E633" s="48">
        <f t="shared" si="213"/>
        <v>1</v>
      </c>
      <c r="F633" s="10"/>
      <c r="G633" s="11"/>
      <c r="H633" s="10">
        <v>1</v>
      </c>
      <c r="I633" s="44">
        <f t="shared" si="214"/>
        <v>1</v>
      </c>
      <c r="J633" s="31">
        <f t="shared" si="215"/>
        <v>2</v>
      </c>
      <c r="K633" s="37">
        <v>45727</v>
      </c>
    </row>
    <row r="634" spans="1:11" x14ac:dyDescent="0.15">
      <c r="A634" s="39" t="s">
        <v>54</v>
      </c>
      <c r="B634" s="10">
        <v>1</v>
      </c>
      <c r="C634" s="11"/>
      <c r="D634" s="10"/>
      <c r="E634" s="48">
        <f t="shared" si="213"/>
        <v>1</v>
      </c>
      <c r="F634" s="10">
        <v>1</v>
      </c>
      <c r="G634" s="11"/>
      <c r="H634" s="10"/>
      <c r="I634" s="44">
        <f t="shared" si="214"/>
        <v>1</v>
      </c>
      <c r="J634" s="31">
        <f t="shared" si="215"/>
        <v>2</v>
      </c>
      <c r="K634" s="37">
        <v>45733</v>
      </c>
    </row>
    <row r="635" spans="1:11" x14ac:dyDescent="0.15">
      <c r="A635" s="39" t="s">
        <v>54</v>
      </c>
      <c r="B635" s="10">
        <v>1</v>
      </c>
      <c r="C635" s="11"/>
      <c r="D635" s="10"/>
      <c r="E635" s="48">
        <f t="shared" si="213"/>
        <v>1</v>
      </c>
      <c r="F635" s="10">
        <f>2+1</f>
        <v>3</v>
      </c>
      <c r="G635" s="11"/>
      <c r="H635" s="10"/>
      <c r="I635" s="44">
        <f t="shared" si="214"/>
        <v>3</v>
      </c>
      <c r="J635" s="31">
        <f t="shared" si="215"/>
        <v>4</v>
      </c>
      <c r="K635" s="37">
        <v>45740</v>
      </c>
    </row>
    <row r="636" spans="1:11" x14ac:dyDescent="0.15">
      <c r="A636" s="39" t="s">
        <v>54</v>
      </c>
      <c r="B636" s="10">
        <v>1</v>
      </c>
      <c r="C636" s="11"/>
      <c r="D636" s="10"/>
      <c r="E636" s="48">
        <f t="shared" si="213"/>
        <v>1</v>
      </c>
      <c r="F636" s="10">
        <v>1</v>
      </c>
      <c r="G636" s="11"/>
      <c r="H636" s="10"/>
      <c r="I636" s="44">
        <f t="shared" si="214"/>
        <v>1</v>
      </c>
      <c r="J636" s="31">
        <f t="shared" si="215"/>
        <v>2</v>
      </c>
      <c r="K636" s="37">
        <v>45741</v>
      </c>
    </row>
    <row r="637" spans="1:11" x14ac:dyDescent="0.15">
      <c r="A637" s="39" t="s">
        <v>54</v>
      </c>
      <c r="B637" s="10"/>
      <c r="C637" s="11"/>
      <c r="D637" s="10"/>
      <c r="E637" s="48">
        <f t="shared" si="213"/>
        <v>0</v>
      </c>
      <c r="F637" s="10">
        <v>2</v>
      </c>
      <c r="G637" s="11">
        <v>2</v>
      </c>
      <c r="H637" s="10"/>
      <c r="I637" s="44">
        <f t="shared" si="214"/>
        <v>4</v>
      </c>
      <c r="J637" s="31">
        <f t="shared" si="215"/>
        <v>4</v>
      </c>
      <c r="K637" s="37">
        <v>45742</v>
      </c>
    </row>
    <row r="638" spans="1:11" x14ac:dyDescent="0.15">
      <c r="A638" s="39" t="s">
        <v>54</v>
      </c>
      <c r="B638" s="10">
        <v>4</v>
      </c>
      <c r="C638" s="11">
        <v>1</v>
      </c>
      <c r="D638" s="10"/>
      <c r="E638" s="48">
        <f t="shared" si="213"/>
        <v>5</v>
      </c>
      <c r="F638" s="10">
        <v>2</v>
      </c>
      <c r="G638" s="11">
        <v>1</v>
      </c>
      <c r="H638" s="10"/>
      <c r="I638" s="44">
        <f t="shared" si="214"/>
        <v>3</v>
      </c>
      <c r="J638" s="31">
        <f t="shared" si="215"/>
        <v>8</v>
      </c>
      <c r="K638" s="37">
        <v>45747</v>
      </c>
    </row>
    <row r="639" spans="1:11" x14ac:dyDescent="0.15">
      <c r="A639" s="39" t="s">
        <v>54</v>
      </c>
      <c r="B639" s="10"/>
      <c r="C639" s="11"/>
      <c r="D639" s="10">
        <v>4</v>
      </c>
      <c r="E639" s="48">
        <f t="shared" si="213"/>
        <v>4</v>
      </c>
      <c r="F639" s="10"/>
      <c r="G639" s="11"/>
      <c r="H639" s="10"/>
      <c r="I639" s="44">
        <f t="shared" si="214"/>
        <v>0</v>
      </c>
      <c r="J639" s="31">
        <f t="shared" si="215"/>
        <v>4</v>
      </c>
      <c r="K639" s="37">
        <v>45754</v>
      </c>
    </row>
    <row r="640" spans="1:11" x14ac:dyDescent="0.15">
      <c r="A640" s="39" t="s">
        <v>54</v>
      </c>
      <c r="B640" s="10">
        <v>1</v>
      </c>
      <c r="C640" s="11">
        <v>2</v>
      </c>
      <c r="D640" s="10"/>
      <c r="E640" s="48">
        <f t="shared" si="209"/>
        <v>3</v>
      </c>
      <c r="F640" s="10">
        <v>1</v>
      </c>
      <c r="G640" s="11"/>
      <c r="H640" s="10"/>
      <c r="I640" s="44">
        <f t="shared" ref="I640:I642" si="216">SUM(F640:H640)</f>
        <v>1</v>
      </c>
      <c r="J640" s="31">
        <f t="shared" si="201"/>
        <v>4</v>
      </c>
      <c r="K640" s="37">
        <v>45761</v>
      </c>
    </row>
    <row r="641" spans="1:12" ht="14.25" thickBot="1" x14ac:dyDescent="0.2">
      <c r="A641" s="39" t="s">
        <v>54</v>
      </c>
      <c r="B641" s="13"/>
      <c r="C641" s="14"/>
      <c r="D641" s="13">
        <v>2</v>
      </c>
      <c r="E641" s="59">
        <f t="shared" si="209"/>
        <v>2</v>
      </c>
      <c r="F641" s="13"/>
      <c r="G641" s="14"/>
      <c r="H641" s="13">
        <v>2</v>
      </c>
      <c r="I641" s="60">
        <f t="shared" si="216"/>
        <v>2</v>
      </c>
      <c r="J641" s="36">
        <f t="shared" si="201"/>
        <v>4</v>
      </c>
      <c r="K641" s="37">
        <v>45762</v>
      </c>
    </row>
    <row r="642" spans="1:12" ht="14.25" thickBot="1" x14ac:dyDescent="0.2">
      <c r="A642" s="3" t="s">
        <v>5</v>
      </c>
      <c r="B642" s="16">
        <f>SUM(B618:B641)</f>
        <v>24</v>
      </c>
      <c r="C642" s="61">
        <f>SUM(C618:C641)</f>
        <v>18</v>
      </c>
      <c r="D642" s="16">
        <f t="shared" ref="D642" si="217">SUM(D618:D641)</f>
        <v>15</v>
      </c>
      <c r="E642" s="65">
        <f t="shared" si="209"/>
        <v>57</v>
      </c>
      <c r="F642" s="15">
        <f>SUM(F618:F641)</f>
        <v>22</v>
      </c>
      <c r="G642" s="15">
        <f t="shared" ref="G642:H642" si="218">SUM(G618:G641)</f>
        <v>22</v>
      </c>
      <c r="H642" s="15">
        <f t="shared" si="218"/>
        <v>7</v>
      </c>
      <c r="I642" s="16">
        <f t="shared" si="216"/>
        <v>51</v>
      </c>
      <c r="J642" s="34">
        <f t="shared" si="201"/>
        <v>108</v>
      </c>
    </row>
    <row r="643" spans="1:12" ht="14.25" thickBot="1" x14ac:dyDescent="0.2">
      <c r="A643" s="25" t="s">
        <v>6</v>
      </c>
      <c r="B643" s="26">
        <f>B617-B642</f>
        <v>20</v>
      </c>
      <c r="C643" s="26">
        <f t="shared" ref="C643:E643" si="219">C617-C642</f>
        <v>18</v>
      </c>
      <c r="D643" s="24">
        <f t="shared" si="219"/>
        <v>10</v>
      </c>
      <c r="E643" s="47">
        <f t="shared" si="219"/>
        <v>48</v>
      </c>
      <c r="F643" s="26">
        <f>F617-F642</f>
        <v>22</v>
      </c>
      <c r="G643" s="26">
        <f t="shared" ref="G643:I643" si="220">G617-G642</f>
        <v>16</v>
      </c>
      <c r="H643" s="26">
        <f t="shared" si="220"/>
        <v>10</v>
      </c>
      <c r="I643" s="26">
        <f t="shared" si="220"/>
        <v>48</v>
      </c>
      <c r="J643" s="38">
        <f t="shared" si="201"/>
        <v>96</v>
      </c>
    </row>
    <row r="646" spans="1:12" ht="18" thickBot="1" x14ac:dyDescent="0.25">
      <c r="A646" s="29" t="s">
        <v>17</v>
      </c>
      <c r="B646" s="1"/>
      <c r="C646" s="1"/>
      <c r="D646" s="1" t="s">
        <v>65</v>
      </c>
      <c r="E646" s="1"/>
      <c r="F646" s="1"/>
      <c r="G646" s="1"/>
      <c r="H646" s="1"/>
      <c r="I646" s="1"/>
      <c r="J646" s="1"/>
    </row>
    <row r="647" spans="1:12" ht="14.25" thickBot="1" x14ac:dyDescent="0.2">
      <c r="A647" s="2" t="s">
        <v>0</v>
      </c>
      <c r="B647" s="219" t="s">
        <v>14</v>
      </c>
      <c r="C647" s="220"/>
      <c r="D647" s="220"/>
      <c r="E647" s="221"/>
      <c r="F647" s="216" t="s">
        <v>15</v>
      </c>
      <c r="G647" s="217"/>
      <c r="H647" s="217"/>
      <c r="I647" s="218"/>
      <c r="J647" s="208" t="s">
        <v>10</v>
      </c>
    </row>
    <row r="648" spans="1:12" ht="14.25" thickBot="1" x14ac:dyDescent="0.2">
      <c r="A648" s="2" t="s">
        <v>1</v>
      </c>
      <c r="B648" s="3" t="s">
        <v>7</v>
      </c>
      <c r="C648" s="2" t="s">
        <v>8</v>
      </c>
      <c r="D648" s="2" t="s">
        <v>9</v>
      </c>
      <c r="E648" s="19" t="s">
        <v>2</v>
      </c>
      <c r="F648" s="2" t="s">
        <v>11</v>
      </c>
      <c r="G648" s="19" t="s">
        <v>12</v>
      </c>
      <c r="H648" s="2" t="s">
        <v>13</v>
      </c>
      <c r="I648" s="2" t="s">
        <v>2</v>
      </c>
      <c r="J648" s="209"/>
    </row>
    <row r="649" spans="1:12" ht="14.25" thickBot="1" x14ac:dyDescent="0.2">
      <c r="A649" s="3" t="s">
        <v>6</v>
      </c>
      <c r="B649" s="63">
        <f>B643</f>
        <v>20</v>
      </c>
      <c r="C649" s="64">
        <f>C643</f>
        <v>18</v>
      </c>
      <c r="D649" s="63">
        <f>D643</f>
        <v>10</v>
      </c>
      <c r="E649" s="65">
        <f t="shared" ref="E649:E655" si="221">SUM(B649:D649)</f>
        <v>48</v>
      </c>
      <c r="F649" s="63">
        <f>F643</f>
        <v>22</v>
      </c>
      <c r="G649" s="64">
        <f>G643</f>
        <v>16</v>
      </c>
      <c r="H649" s="63">
        <f>H643</f>
        <v>10</v>
      </c>
      <c r="I649" s="65">
        <f>SUM(F649:H649)</f>
        <v>48</v>
      </c>
      <c r="J649" s="34">
        <f t="shared" ref="J649:J686" si="222">SUM(I649,E649)</f>
        <v>96</v>
      </c>
    </row>
    <row r="650" spans="1:12" x14ac:dyDescent="0.15">
      <c r="A650" s="50" t="s">
        <v>3</v>
      </c>
      <c r="B650" s="13">
        <v>10</v>
      </c>
      <c r="C650" s="14">
        <v>10</v>
      </c>
      <c r="D650" s="13">
        <v>20</v>
      </c>
      <c r="E650" s="44">
        <f t="shared" si="221"/>
        <v>40</v>
      </c>
      <c r="F650" s="147"/>
      <c r="G650" s="14">
        <v>5</v>
      </c>
      <c r="H650" s="13">
        <v>5</v>
      </c>
      <c r="I650" s="8">
        <f t="shared" ref="I650:I655" si="223">SUM(F650:H650)</f>
        <v>10</v>
      </c>
      <c r="J650" s="145">
        <f t="shared" ref="J650:J655" si="224">SUM(I650,E650)</f>
        <v>50</v>
      </c>
      <c r="K650" s="32">
        <v>45786</v>
      </c>
      <c r="L650" s="33"/>
    </row>
    <row r="651" spans="1:12" x14ac:dyDescent="0.15">
      <c r="A651" s="50" t="s">
        <v>3</v>
      </c>
      <c r="B651" s="13"/>
      <c r="C651" s="14"/>
      <c r="D651" s="13"/>
      <c r="E651" s="44">
        <f t="shared" si="221"/>
        <v>0</v>
      </c>
      <c r="F651" s="147">
        <v>5</v>
      </c>
      <c r="G651" s="14">
        <v>10</v>
      </c>
      <c r="H651" s="13"/>
      <c r="I651" s="8">
        <f t="shared" si="223"/>
        <v>15</v>
      </c>
      <c r="J651" s="145">
        <f t="shared" si="224"/>
        <v>15</v>
      </c>
      <c r="K651" s="32">
        <v>45791</v>
      </c>
    </row>
    <row r="652" spans="1:12" x14ac:dyDescent="0.15">
      <c r="A652" s="50" t="s">
        <v>3</v>
      </c>
      <c r="B652" s="13"/>
      <c r="C652" s="14"/>
      <c r="D652" s="13"/>
      <c r="E652" s="44">
        <f t="shared" si="221"/>
        <v>0</v>
      </c>
      <c r="F652" s="147"/>
      <c r="G652" s="14"/>
      <c r="H652" s="13"/>
      <c r="I652" s="8">
        <f t="shared" si="223"/>
        <v>0</v>
      </c>
      <c r="J652" s="145">
        <f t="shared" si="224"/>
        <v>0</v>
      </c>
      <c r="K652" s="32"/>
    </row>
    <row r="653" spans="1:12" x14ac:dyDescent="0.15">
      <c r="A653" s="50" t="s">
        <v>3</v>
      </c>
      <c r="B653" s="13"/>
      <c r="C653" s="14"/>
      <c r="D653" s="13"/>
      <c r="E653" s="44">
        <f t="shared" si="221"/>
        <v>0</v>
      </c>
      <c r="F653" s="147"/>
      <c r="G653" s="14"/>
      <c r="H653" s="13"/>
      <c r="I653" s="8">
        <f t="shared" si="223"/>
        <v>0</v>
      </c>
      <c r="J653" s="145">
        <f t="shared" si="224"/>
        <v>0</v>
      </c>
      <c r="K653" s="32"/>
    </row>
    <row r="654" spans="1:12" x14ac:dyDescent="0.15">
      <c r="A654" s="50" t="s">
        <v>3</v>
      </c>
      <c r="B654" s="13"/>
      <c r="C654" s="14"/>
      <c r="D654" s="13"/>
      <c r="E654" s="44">
        <f t="shared" si="221"/>
        <v>0</v>
      </c>
      <c r="F654" s="147"/>
      <c r="G654" s="14"/>
      <c r="H654" s="13"/>
      <c r="I654" s="8">
        <f t="shared" si="223"/>
        <v>0</v>
      </c>
      <c r="J654" s="145">
        <f t="shared" si="224"/>
        <v>0</v>
      </c>
      <c r="K654" s="32"/>
    </row>
    <row r="655" spans="1:12" x14ac:dyDescent="0.15">
      <c r="A655" s="50" t="s">
        <v>3</v>
      </c>
      <c r="B655" s="13"/>
      <c r="C655" s="14"/>
      <c r="D655" s="13"/>
      <c r="E655" s="44">
        <f t="shared" si="221"/>
        <v>0</v>
      </c>
      <c r="F655" s="147"/>
      <c r="G655" s="14"/>
      <c r="H655" s="13"/>
      <c r="I655" s="8">
        <f t="shared" si="223"/>
        <v>0</v>
      </c>
      <c r="J655" s="145">
        <f t="shared" si="224"/>
        <v>0</v>
      </c>
      <c r="K655" s="32"/>
    </row>
    <row r="656" spans="1:12" x14ac:dyDescent="0.15">
      <c r="A656" s="50" t="s">
        <v>3</v>
      </c>
      <c r="B656" s="13"/>
      <c r="C656" s="14"/>
      <c r="D656" s="13"/>
      <c r="E656" s="44">
        <f t="shared" ref="E656:E685" si="225">SUM(B656:D656)</f>
        <v>0</v>
      </c>
      <c r="F656" s="147"/>
      <c r="G656" s="14"/>
      <c r="H656" s="13"/>
      <c r="I656" s="8">
        <f t="shared" ref="I656:I682" si="226">SUM(F656:H656)</f>
        <v>0</v>
      </c>
      <c r="J656" s="145">
        <f t="shared" si="222"/>
        <v>0</v>
      </c>
      <c r="K656" s="32"/>
    </row>
    <row r="657" spans="1:11" x14ac:dyDescent="0.15">
      <c r="A657" s="50" t="s">
        <v>3</v>
      </c>
      <c r="B657" s="13"/>
      <c r="C657" s="14"/>
      <c r="D657" s="13"/>
      <c r="E657" s="44">
        <f t="shared" si="225"/>
        <v>0</v>
      </c>
      <c r="F657" s="147"/>
      <c r="G657" s="14"/>
      <c r="H657" s="13"/>
      <c r="I657" s="8">
        <f t="shared" si="226"/>
        <v>0</v>
      </c>
      <c r="J657" s="145">
        <f t="shared" si="222"/>
        <v>0</v>
      </c>
      <c r="K657" s="32"/>
    </row>
    <row r="658" spans="1:11" x14ac:dyDescent="0.15">
      <c r="A658" s="50" t="s">
        <v>3</v>
      </c>
      <c r="B658" s="13"/>
      <c r="C658" s="14"/>
      <c r="D658" s="13"/>
      <c r="E658" s="44">
        <f t="shared" si="225"/>
        <v>0</v>
      </c>
      <c r="F658" s="147"/>
      <c r="G658" s="14"/>
      <c r="H658" s="13"/>
      <c r="I658" s="8">
        <f t="shared" si="226"/>
        <v>0</v>
      </c>
      <c r="J658" s="145">
        <f t="shared" si="222"/>
        <v>0</v>
      </c>
      <c r="K658" s="32"/>
    </row>
    <row r="659" spans="1:11" ht="14.25" thickBot="1" x14ac:dyDescent="0.2">
      <c r="A659" s="50" t="s">
        <v>3</v>
      </c>
      <c r="B659" s="13"/>
      <c r="C659" s="14"/>
      <c r="D659" s="13"/>
      <c r="E659" s="44">
        <f t="shared" si="225"/>
        <v>0</v>
      </c>
      <c r="F659" s="147"/>
      <c r="G659" s="14"/>
      <c r="H659" s="13"/>
      <c r="I659" s="8">
        <f t="shared" si="226"/>
        <v>0</v>
      </c>
      <c r="J659" s="145">
        <f t="shared" si="222"/>
        <v>0</v>
      </c>
      <c r="K659" s="32"/>
    </row>
    <row r="660" spans="1:11" ht="14.25" thickBot="1" x14ac:dyDescent="0.2">
      <c r="A660" s="51" t="s">
        <v>4</v>
      </c>
      <c r="B660" s="22">
        <f>SUM(B649:B659)</f>
        <v>30</v>
      </c>
      <c r="C660" s="22">
        <f>SUM(C649:C659)</f>
        <v>28</v>
      </c>
      <c r="D660" s="22">
        <f t="shared" ref="D660" si="227">SUM(D649:D659)</f>
        <v>30</v>
      </c>
      <c r="E660" s="43">
        <f t="shared" si="225"/>
        <v>88</v>
      </c>
      <c r="F660" s="150">
        <f>SUM(F649:F659)</f>
        <v>27</v>
      </c>
      <c r="G660" s="22">
        <f t="shared" ref="G660:H660" si="228">SUM(G649:G659)</f>
        <v>31</v>
      </c>
      <c r="H660" s="22">
        <f t="shared" si="228"/>
        <v>15</v>
      </c>
      <c r="I660" s="43">
        <f t="shared" si="226"/>
        <v>73</v>
      </c>
      <c r="J660" s="34">
        <f t="shared" si="222"/>
        <v>161</v>
      </c>
    </row>
    <row r="661" spans="1:11" x14ac:dyDescent="0.15">
      <c r="A661" s="39" t="s">
        <v>54</v>
      </c>
      <c r="B661" s="10">
        <v>2</v>
      </c>
      <c r="C661" s="11"/>
      <c r="D661" s="10"/>
      <c r="E661" s="48">
        <f t="shared" si="225"/>
        <v>2</v>
      </c>
      <c r="F661" s="10">
        <v>2</v>
      </c>
      <c r="G661" s="11"/>
      <c r="H661" s="10"/>
      <c r="I661" s="44">
        <f t="shared" si="226"/>
        <v>2</v>
      </c>
      <c r="J661" s="31">
        <f t="shared" si="222"/>
        <v>4</v>
      </c>
      <c r="K661" s="37">
        <v>45763</v>
      </c>
    </row>
    <row r="662" spans="1:11" x14ac:dyDescent="0.15">
      <c r="A662" s="39" t="s">
        <v>54</v>
      </c>
      <c r="B662" s="10"/>
      <c r="C662" s="11">
        <v>1</v>
      </c>
      <c r="D662" s="10">
        <v>6</v>
      </c>
      <c r="E662" s="48">
        <f t="shared" si="225"/>
        <v>7</v>
      </c>
      <c r="F662" s="10"/>
      <c r="G662" s="11">
        <v>1</v>
      </c>
      <c r="H662" s="10"/>
      <c r="I662" s="44">
        <f t="shared" si="226"/>
        <v>1</v>
      </c>
      <c r="J662" s="31">
        <f t="shared" si="222"/>
        <v>8</v>
      </c>
      <c r="K662" s="37">
        <v>45768</v>
      </c>
    </row>
    <row r="663" spans="1:11" x14ac:dyDescent="0.15">
      <c r="A663" s="39" t="s">
        <v>54</v>
      </c>
      <c r="B663" s="10"/>
      <c r="C663" s="11"/>
      <c r="D663" s="10">
        <v>1</v>
      </c>
      <c r="E663" s="48">
        <f t="shared" si="225"/>
        <v>1</v>
      </c>
      <c r="F663" s="10"/>
      <c r="G663" s="11"/>
      <c r="H663" s="10">
        <v>1</v>
      </c>
      <c r="I663" s="44">
        <f t="shared" si="226"/>
        <v>1</v>
      </c>
      <c r="J663" s="31">
        <f t="shared" si="222"/>
        <v>2</v>
      </c>
      <c r="K663" s="37">
        <v>45771</v>
      </c>
    </row>
    <row r="664" spans="1:11" x14ac:dyDescent="0.15">
      <c r="A664" s="39" t="s">
        <v>54</v>
      </c>
      <c r="B664" s="10"/>
      <c r="C664" s="11"/>
      <c r="D664" s="10"/>
      <c r="E664" s="48">
        <f t="shared" si="225"/>
        <v>0</v>
      </c>
      <c r="F664" s="10"/>
      <c r="G664" s="11">
        <v>2</v>
      </c>
      <c r="H664" s="10"/>
      <c r="I664" s="44">
        <f t="shared" si="226"/>
        <v>2</v>
      </c>
      <c r="J664" s="31">
        <f t="shared" si="222"/>
        <v>2</v>
      </c>
      <c r="K664" s="37">
        <v>45772</v>
      </c>
    </row>
    <row r="665" spans="1:11" x14ac:dyDescent="0.15">
      <c r="A665" s="39" t="s">
        <v>54</v>
      </c>
      <c r="B665" s="10">
        <f>1+2+1</f>
        <v>4</v>
      </c>
      <c r="C665" s="11">
        <f>1+2</f>
        <v>3</v>
      </c>
      <c r="D665" s="10"/>
      <c r="E665" s="48">
        <f t="shared" si="225"/>
        <v>7</v>
      </c>
      <c r="F665" s="10">
        <f>1+1</f>
        <v>2</v>
      </c>
      <c r="G665" s="11">
        <f>1+2</f>
        <v>3</v>
      </c>
      <c r="H665" s="10"/>
      <c r="I665" s="44">
        <f t="shared" si="226"/>
        <v>5</v>
      </c>
      <c r="J665" s="31">
        <f t="shared" si="222"/>
        <v>12</v>
      </c>
      <c r="K665" s="37">
        <v>45775</v>
      </c>
    </row>
    <row r="666" spans="1:11" x14ac:dyDescent="0.15">
      <c r="A666" s="39" t="s">
        <v>54</v>
      </c>
      <c r="B666" s="10">
        <v>3</v>
      </c>
      <c r="C666" s="11">
        <v>1</v>
      </c>
      <c r="D666" s="10"/>
      <c r="E666" s="48">
        <f t="shared" si="225"/>
        <v>4</v>
      </c>
      <c r="F666" s="10">
        <v>3</v>
      </c>
      <c r="G666" s="11">
        <v>1</v>
      </c>
      <c r="H666" s="10"/>
      <c r="I666" s="44">
        <f t="shared" si="226"/>
        <v>4</v>
      </c>
      <c r="J666" s="31">
        <f t="shared" si="222"/>
        <v>8</v>
      </c>
      <c r="K666" s="37">
        <v>45777</v>
      </c>
    </row>
    <row r="667" spans="1:11" x14ac:dyDescent="0.15">
      <c r="A667" s="39" t="s">
        <v>54</v>
      </c>
      <c r="B667" s="10">
        <v>1</v>
      </c>
      <c r="C667" s="11"/>
      <c r="D667" s="10">
        <f>1+2</f>
        <v>3</v>
      </c>
      <c r="E667" s="48">
        <f t="shared" si="225"/>
        <v>4</v>
      </c>
      <c r="F667" s="10">
        <v>1</v>
      </c>
      <c r="G667" s="11"/>
      <c r="H667" s="10">
        <f>1+2</f>
        <v>3</v>
      </c>
      <c r="I667" s="44">
        <f t="shared" si="226"/>
        <v>4</v>
      </c>
      <c r="J667" s="31">
        <f t="shared" si="222"/>
        <v>8</v>
      </c>
      <c r="K667" s="37">
        <v>45779</v>
      </c>
    </row>
    <row r="668" spans="1:11" x14ac:dyDescent="0.15">
      <c r="A668" s="39" t="s">
        <v>54</v>
      </c>
      <c r="B668" s="10"/>
      <c r="C668" s="11">
        <f>1+2</f>
        <v>3</v>
      </c>
      <c r="D668" s="10"/>
      <c r="E668" s="48">
        <f t="shared" si="225"/>
        <v>3</v>
      </c>
      <c r="F668" s="10"/>
      <c r="G668" s="11">
        <f>1+2</f>
        <v>3</v>
      </c>
      <c r="H668" s="10"/>
      <c r="I668" s="44">
        <f t="shared" si="226"/>
        <v>3</v>
      </c>
      <c r="J668" s="31">
        <f t="shared" si="222"/>
        <v>6</v>
      </c>
      <c r="K668" s="37">
        <v>45789</v>
      </c>
    </row>
    <row r="669" spans="1:11" x14ac:dyDescent="0.15">
      <c r="A669" s="39" t="s">
        <v>54</v>
      </c>
      <c r="B669" s="10"/>
      <c r="C669" s="11">
        <v>1</v>
      </c>
      <c r="D669" s="10"/>
      <c r="E669" s="48">
        <f t="shared" si="225"/>
        <v>1</v>
      </c>
      <c r="F669" s="10"/>
      <c r="G669" s="11">
        <v>1</v>
      </c>
      <c r="H669" s="10"/>
      <c r="I669" s="44">
        <f t="shared" si="226"/>
        <v>1</v>
      </c>
      <c r="J669" s="31">
        <f t="shared" si="222"/>
        <v>2</v>
      </c>
      <c r="K669" s="37">
        <v>45791</v>
      </c>
    </row>
    <row r="670" spans="1:11" x14ac:dyDescent="0.15">
      <c r="A670" s="39" t="s">
        <v>54</v>
      </c>
      <c r="B670" s="10"/>
      <c r="C670" s="11"/>
      <c r="D670" s="10">
        <v>2</v>
      </c>
      <c r="E670" s="48">
        <f t="shared" si="225"/>
        <v>2</v>
      </c>
      <c r="F670" s="10"/>
      <c r="G670" s="11"/>
      <c r="H670" s="10">
        <v>2</v>
      </c>
      <c r="I670" s="44">
        <f t="shared" si="226"/>
        <v>2</v>
      </c>
      <c r="J670" s="31">
        <f t="shared" si="222"/>
        <v>4</v>
      </c>
      <c r="K670" s="37">
        <v>45793</v>
      </c>
    </row>
    <row r="671" spans="1:11" x14ac:dyDescent="0.15">
      <c r="A671" s="39" t="s">
        <v>54</v>
      </c>
      <c r="B671" s="10"/>
      <c r="C671" s="11">
        <v>1</v>
      </c>
      <c r="D671" s="10"/>
      <c r="E671" s="48">
        <f t="shared" si="225"/>
        <v>1</v>
      </c>
      <c r="F671" s="10"/>
      <c r="G671" s="11">
        <v>1</v>
      </c>
      <c r="H671" s="10"/>
      <c r="I671" s="44">
        <f t="shared" si="226"/>
        <v>1</v>
      </c>
      <c r="J671" s="31">
        <f t="shared" si="222"/>
        <v>2</v>
      </c>
      <c r="K671" s="37">
        <v>45799</v>
      </c>
    </row>
    <row r="672" spans="1:11" x14ac:dyDescent="0.15">
      <c r="A672" s="39" t="s">
        <v>54</v>
      </c>
      <c r="B672" s="10">
        <f>1+2</f>
        <v>3</v>
      </c>
      <c r="C672" s="11"/>
      <c r="D672" s="10"/>
      <c r="E672" s="48">
        <f t="shared" si="225"/>
        <v>3</v>
      </c>
      <c r="F672" s="10">
        <f>1+2</f>
        <v>3</v>
      </c>
      <c r="G672" s="11"/>
      <c r="H672" s="10"/>
      <c r="I672" s="44">
        <f t="shared" si="226"/>
        <v>3</v>
      </c>
      <c r="J672" s="31">
        <f t="shared" si="222"/>
        <v>6</v>
      </c>
      <c r="K672" s="37">
        <v>45802</v>
      </c>
    </row>
    <row r="673" spans="1:11" x14ac:dyDescent="0.15">
      <c r="A673" s="39" t="s">
        <v>54</v>
      </c>
      <c r="B673" s="10"/>
      <c r="C673" s="11">
        <f>2+1</f>
        <v>3</v>
      </c>
      <c r="D673" s="10"/>
      <c r="E673" s="48">
        <f t="shared" si="225"/>
        <v>3</v>
      </c>
      <c r="F673" s="10"/>
      <c r="G673" s="11">
        <v>1</v>
      </c>
      <c r="H673" s="10"/>
      <c r="I673" s="44">
        <f t="shared" si="226"/>
        <v>1</v>
      </c>
      <c r="J673" s="31">
        <f t="shared" si="222"/>
        <v>4</v>
      </c>
      <c r="K673" s="37">
        <v>45818</v>
      </c>
    </row>
    <row r="674" spans="1:11" x14ac:dyDescent="0.15">
      <c r="A674" s="39" t="s">
        <v>54</v>
      </c>
      <c r="B674" s="10"/>
      <c r="C674" s="11"/>
      <c r="D674" s="10"/>
      <c r="E674" s="48">
        <f t="shared" si="225"/>
        <v>0</v>
      </c>
      <c r="F674" s="10"/>
      <c r="G674" s="11">
        <v>2</v>
      </c>
      <c r="H674" s="10"/>
      <c r="I674" s="44">
        <f t="shared" si="226"/>
        <v>2</v>
      </c>
      <c r="J674" s="31">
        <f t="shared" si="222"/>
        <v>2</v>
      </c>
      <c r="K674" s="37">
        <v>45824</v>
      </c>
    </row>
    <row r="675" spans="1:11" x14ac:dyDescent="0.15">
      <c r="A675" s="39" t="s">
        <v>54</v>
      </c>
      <c r="B675" s="10">
        <v>2</v>
      </c>
      <c r="C675" s="11"/>
      <c r="D675" s="10"/>
      <c r="E675" s="48">
        <f t="shared" si="225"/>
        <v>2</v>
      </c>
      <c r="F675" s="10">
        <f>2+2</f>
        <v>4</v>
      </c>
      <c r="G675" s="11"/>
      <c r="H675" s="10"/>
      <c r="I675" s="44">
        <f t="shared" si="226"/>
        <v>4</v>
      </c>
      <c r="J675" s="31">
        <f t="shared" si="222"/>
        <v>6</v>
      </c>
      <c r="K675" s="37">
        <v>45827</v>
      </c>
    </row>
    <row r="676" spans="1:11" x14ac:dyDescent="0.15">
      <c r="A676" s="39" t="s">
        <v>54</v>
      </c>
      <c r="B676" s="10"/>
      <c r="C676" s="11"/>
      <c r="D676" s="10">
        <v>4</v>
      </c>
      <c r="E676" s="48">
        <f t="shared" si="225"/>
        <v>4</v>
      </c>
      <c r="F676" s="10"/>
      <c r="G676" s="11"/>
      <c r="H676" s="10"/>
      <c r="I676" s="44">
        <f t="shared" si="226"/>
        <v>0</v>
      </c>
      <c r="J676" s="31">
        <f t="shared" si="222"/>
        <v>4</v>
      </c>
      <c r="K676" s="37">
        <v>45828</v>
      </c>
    </row>
    <row r="677" spans="1:11" x14ac:dyDescent="0.15">
      <c r="A677" s="39" t="s">
        <v>54</v>
      </c>
      <c r="B677" s="10"/>
      <c r="C677" s="11">
        <f>1+1</f>
        <v>2</v>
      </c>
      <c r="D677" s="10"/>
      <c r="E677" s="48">
        <f t="shared" si="225"/>
        <v>2</v>
      </c>
      <c r="F677" s="10"/>
      <c r="G677" s="11">
        <f>1+1</f>
        <v>2</v>
      </c>
      <c r="H677" s="10"/>
      <c r="I677" s="44">
        <f t="shared" si="226"/>
        <v>2</v>
      </c>
      <c r="J677" s="31">
        <f t="shared" si="222"/>
        <v>4</v>
      </c>
      <c r="K677" s="37">
        <v>45831</v>
      </c>
    </row>
    <row r="678" spans="1:11" x14ac:dyDescent="0.15">
      <c r="A678" s="39" t="s">
        <v>54</v>
      </c>
      <c r="B678" s="10"/>
      <c r="C678" s="11"/>
      <c r="D678" s="10"/>
      <c r="E678" s="48">
        <f t="shared" si="225"/>
        <v>0</v>
      </c>
      <c r="F678" s="10"/>
      <c r="G678" s="11">
        <v>2</v>
      </c>
      <c r="H678" s="10"/>
      <c r="I678" s="44">
        <f t="shared" si="226"/>
        <v>2</v>
      </c>
      <c r="J678" s="31">
        <f t="shared" si="222"/>
        <v>2</v>
      </c>
      <c r="K678" s="37">
        <v>45832</v>
      </c>
    </row>
    <row r="679" spans="1:11" x14ac:dyDescent="0.15">
      <c r="A679" s="39" t="s">
        <v>54</v>
      </c>
      <c r="B679" s="10"/>
      <c r="C679" s="11">
        <v>1</v>
      </c>
      <c r="D679" s="10"/>
      <c r="E679" s="48">
        <f t="shared" si="225"/>
        <v>1</v>
      </c>
      <c r="F679" s="10"/>
      <c r="G679" s="11">
        <v>1</v>
      </c>
      <c r="H679" s="10">
        <v>2</v>
      </c>
      <c r="I679" s="44">
        <f t="shared" si="226"/>
        <v>3</v>
      </c>
      <c r="J679" s="31">
        <f t="shared" si="222"/>
        <v>4</v>
      </c>
      <c r="K679" s="37">
        <v>45834</v>
      </c>
    </row>
    <row r="680" spans="1:11" x14ac:dyDescent="0.15">
      <c r="A680" s="39" t="s">
        <v>54</v>
      </c>
      <c r="B680" s="10">
        <f>2+1</f>
        <v>3</v>
      </c>
      <c r="C680" s="11">
        <v>1</v>
      </c>
      <c r="D680" s="10"/>
      <c r="E680" s="48">
        <f t="shared" si="225"/>
        <v>4</v>
      </c>
      <c r="F680" s="10">
        <v>1</v>
      </c>
      <c r="G680" s="11">
        <v>1</v>
      </c>
      <c r="H680" s="10"/>
      <c r="I680" s="44">
        <f t="shared" si="226"/>
        <v>2</v>
      </c>
      <c r="J680" s="31">
        <f t="shared" si="222"/>
        <v>6</v>
      </c>
      <c r="K680" s="37">
        <v>45839</v>
      </c>
    </row>
    <row r="681" spans="1:11" x14ac:dyDescent="0.15">
      <c r="A681" s="39" t="s">
        <v>54</v>
      </c>
      <c r="B681" s="10"/>
      <c r="C681" s="11"/>
      <c r="D681" s="10"/>
      <c r="E681" s="48">
        <f t="shared" si="225"/>
        <v>0</v>
      </c>
      <c r="F681" s="10"/>
      <c r="G681" s="11">
        <v>2</v>
      </c>
      <c r="H681" s="10"/>
      <c r="I681" s="44">
        <f t="shared" si="226"/>
        <v>2</v>
      </c>
      <c r="J681" s="31">
        <f t="shared" si="222"/>
        <v>2</v>
      </c>
      <c r="K681" s="37">
        <v>45841</v>
      </c>
    </row>
    <row r="682" spans="1:11" x14ac:dyDescent="0.15">
      <c r="A682" s="39" t="s">
        <v>54</v>
      </c>
      <c r="B682" s="10"/>
      <c r="C682" s="11">
        <v>1</v>
      </c>
      <c r="D682" s="10"/>
      <c r="E682" s="48">
        <f t="shared" si="225"/>
        <v>1</v>
      </c>
      <c r="F682" s="10"/>
      <c r="G682" s="11">
        <v>1</v>
      </c>
      <c r="H682" s="10"/>
      <c r="I682" s="44">
        <f t="shared" si="226"/>
        <v>1</v>
      </c>
      <c r="J682" s="31">
        <f t="shared" si="222"/>
        <v>2</v>
      </c>
      <c r="K682" s="37">
        <v>45843</v>
      </c>
    </row>
    <row r="683" spans="1:11" x14ac:dyDescent="0.15">
      <c r="A683" s="39" t="s">
        <v>54</v>
      </c>
      <c r="B683" s="10">
        <f>2+1</f>
        <v>3</v>
      </c>
      <c r="C683" s="11">
        <v>1</v>
      </c>
      <c r="D683" s="10">
        <v>2</v>
      </c>
      <c r="E683" s="48">
        <f t="shared" si="225"/>
        <v>6</v>
      </c>
      <c r="F683" s="10">
        <f>2+1</f>
        <v>3</v>
      </c>
      <c r="G683" s="11">
        <v>1</v>
      </c>
      <c r="H683" s="10">
        <v>2</v>
      </c>
      <c r="I683" s="44">
        <f t="shared" ref="I683:I685" si="229">SUM(F683:H683)</f>
        <v>6</v>
      </c>
      <c r="J683" s="31">
        <f t="shared" si="222"/>
        <v>12</v>
      </c>
      <c r="K683" s="37">
        <v>45845</v>
      </c>
    </row>
    <row r="684" spans="1:11" ht="14.25" thickBot="1" x14ac:dyDescent="0.2">
      <c r="A684" s="39" t="s">
        <v>54</v>
      </c>
      <c r="B684" s="13">
        <v>1</v>
      </c>
      <c r="C684" s="14"/>
      <c r="D684" s="13"/>
      <c r="E684" s="59">
        <f t="shared" si="225"/>
        <v>1</v>
      </c>
      <c r="F684" s="13">
        <v>1</v>
      </c>
      <c r="G684" s="14"/>
      <c r="H684" s="13"/>
      <c r="I684" s="60">
        <f t="shared" si="229"/>
        <v>1</v>
      </c>
      <c r="J684" s="36">
        <f t="shared" si="222"/>
        <v>2</v>
      </c>
      <c r="K684" s="37">
        <v>45848</v>
      </c>
    </row>
    <row r="685" spans="1:11" ht="14.25" thickBot="1" x14ac:dyDescent="0.2">
      <c r="A685" s="3" t="s">
        <v>5</v>
      </c>
      <c r="B685" s="16">
        <f>SUM(B661:B684)</f>
        <v>22</v>
      </c>
      <c r="C685" s="61">
        <f>SUM(C661:C684)</f>
        <v>19</v>
      </c>
      <c r="D685" s="16">
        <f t="shared" ref="D685" si="230">SUM(D661:D684)</f>
        <v>18</v>
      </c>
      <c r="E685" s="65">
        <f t="shared" si="225"/>
        <v>59</v>
      </c>
      <c r="F685" s="15">
        <f>SUM(F661:F684)</f>
        <v>20</v>
      </c>
      <c r="G685" s="15">
        <f t="shared" ref="G685:H685" si="231">SUM(G661:G684)</f>
        <v>25</v>
      </c>
      <c r="H685" s="15">
        <f t="shared" si="231"/>
        <v>10</v>
      </c>
      <c r="I685" s="16">
        <f t="shared" si="229"/>
        <v>55</v>
      </c>
      <c r="J685" s="34">
        <f t="shared" si="222"/>
        <v>114</v>
      </c>
    </row>
    <row r="686" spans="1:11" ht="14.25" thickBot="1" x14ac:dyDescent="0.2">
      <c r="A686" s="25" t="s">
        <v>6</v>
      </c>
      <c r="B686" s="26">
        <f>B660-B685</f>
        <v>8</v>
      </c>
      <c r="C686" s="26">
        <f t="shared" ref="C686:E686" si="232">C660-C685</f>
        <v>9</v>
      </c>
      <c r="D686" s="24">
        <f t="shared" si="232"/>
        <v>12</v>
      </c>
      <c r="E686" s="47">
        <f t="shared" si="232"/>
        <v>29</v>
      </c>
      <c r="F686" s="26">
        <f>F660-F685</f>
        <v>7</v>
      </c>
      <c r="G686" s="26">
        <f t="shared" ref="G686:I686" si="233">G660-G685</f>
        <v>6</v>
      </c>
      <c r="H686" s="26">
        <f t="shared" si="233"/>
        <v>5</v>
      </c>
      <c r="I686" s="26">
        <f t="shared" si="233"/>
        <v>18</v>
      </c>
      <c r="J686" s="38">
        <f t="shared" si="222"/>
        <v>47</v>
      </c>
    </row>
    <row r="689" spans="1:13" ht="18" thickBot="1" x14ac:dyDescent="0.25">
      <c r="A689" s="29" t="s">
        <v>17</v>
      </c>
      <c r="B689" s="1"/>
      <c r="C689" s="1"/>
      <c r="D689" s="1" t="s">
        <v>65</v>
      </c>
      <c r="E689" s="1"/>
      <c r="F689" s="1"/>
      <c r="G689" s="1"/>
      <c r="H689" s="1"/>
      <c r="I689" s="1"/>
      <c r="J689" s="1"/>
    </row>
    <row r="690" spans="1:13" ht="14.25" thickBot="1" x14ac:dyDescent="0.2">
      <c r="A690" s="2" t="s">
        <v>0</v>
      </c>
      <c r="B690" s="219" t="s">
        <v>14</v>
      </c>
      <c r="C690" s="220"/>
      <c r="D690" s="220"/>
      <c r="E690" s="221"/>
      <c r="F690" s="216" t="s">
        <v>15</v>
      </c>
      <c r="G690" s="217"/>
      <c r="H690" s="217"/>
      <c r="I690" s="218"/>
      <c r="J690" s="208" t="s">
        <v>10</v>
      </c>
    </row>
    <row r="691" spans="1:13" ht="14.25" thickBot="1" x14ac:dyDescent="0.2">
      <c r="A691" s="2" t="s">
        <v>1</v>
      </c>
      <c r="B691" s="3" t="s">
        <v>7</v>
      </c>
      <c r="C691" s="2" t="s">
        <v>8</v>
      </c>
      <c r="D691" s="2" t="s">
        <v>9</v>
      </c>
      <c r="E691" s="19" t="s">
        <v>2</v>
      </c>
      <c r="F691" s="2" t="s">
        <v>11</v>
      </c>
      <c r="G691" s="19" t="s">
        <v>12</v>
      </c>
      <c r="H691" s="2" t="s">
        <v>13</v>
      </c>
      <c r="I691" s="2" t="s">
        <v>2</v>
      </c>
      <c r="J691" s="209"/>
    </row>
    <row r="692" spans="1:13" ht="14.25" thickBot="1" x14ac:dyDescent="0.2">
      <c r="A692" s="3" t="s">
        <v>6</v>
      </c>
      <c r="B692" s="63">
        <f>B686</f>
        <v>8</v>
      </c>
      <c r="C692" s="64">
        <f>C686</f>
        <v>9</v>
      </c>
      <c r="D692" s="63">
        <f>D686</f>
        <v>12</v>
      </c>
      <c r="E692" s="65">
        <f t="shared" ref="E692:E698" si="234">SUM(B692:D692)</f>
        <v>29</v>
      </c>
      <c r="F692" s="63">
        <f>F686</f>
        <v>7</v>
      </c>
      <c r="G692" s="64">
        <f>G686</f>
        <v>6</v>
      </c>
      <c r="H692" s="63">
        <f>H686</f>
        <v>5</v>
      </c>
      <c r="I692" s="65">
        <f>SUM(F692:H692)</f>
        <v>18</v>
      </c>
      <c r="J692" s="34">
        <f t="shared" ref="J692:J729" si="235">SUM(I692,E692)</f>
        <v>47</v>
      </c>
    </row>
    <row r="693" spans="1:13" x14ac:dyDescent="0.15">
      <c r="A693" s="50" t="s">
        <v>3</v>
      </c>
      <c r="B693" s="13">
        <v>20</v>
      </c>
      <c r="C693" s="14">
        <v>15</v>
      </c>
      <c r="D693" s="13"/>
      <c r="E693" s="44">
        <f t="shared" ref="E693:E694" si="236">SUM(B693:D693)</f>
        <v>35</v>
      </c>
      <c r="F693" s="147">
        <v>20</v>
      </c>
      <c r="G693" s="14">
        <v>20</v>
      </c>
      <c r="H693" s="13">
        <v>5</v>
      </c>
      <c r="I693" s="8">
        <f t="shared" ref="I693:I694" si="237">SUM(F693:H693)</f>
        <v>45</v>
      </c>
      <c r="J693" s="145">
        <f t="shared" ref="J693:J694" si="238">SUM(I693,E693)</f>
        <v>80</v>
      </c>
      <c r="K693" s="32">
        <v>45855</v>
      </c>
      <c r="L693" s="33"/>
      <c r="M693" s="33"/>
    </row>
    <row r="694" spans="1:13" x14ac:dyDescent="0.15">
      <c r="A694" s="50" t="s">
        <v>3</v>
      </c>
      <c r="B694" s="13"/>
      <c r="C694" s="14">
        <v>10</v>
      </c>
      <c r="D694" s="13"/>
      <c r="E694" s="44">
        <f t="shared" si="236"/>
        <v>10</v>
      </c>
      <c r="F694" s="147"/>
      <c r="G694" s="14">
        <v>5</v>
      </c>
      <c r="H694" s="13">
        <v>3</v>
      </c>
      <c r="I694" s="8">
        <f t="shared" si="237"/>
        <v>8</v>
      </c>
      <c r="J694" s="145">
        <f t="shared" si="238"/>
        <v>18</v>
      </c>
      <c r="K694" s="32">
        <v>45862</v>
      </c>
      <c r="L694" s="33"/>
      <c r="M694" s="33"/>
    </row>
    <row r="695" spans="1:13" x14ac:dyDescent="0.15">
      <c r="A695" s="50" t="s">
        <v>3</v>
      </c>
      <c r="B695" s="13"/>
      <c r="C695" s="14"/>
      <c r="D695" s="13"/>
      <c r="E695" s="44">
        <f t="shared" si="234"/>
        <v>0</v>
      </c>
      <c r="F695" s="147"/>
      <c r="G695" s="14">
        <v>5</v>
      </c>
      <c r="H695" s="13">
        <v>5</v>
      </c>
      <c r="I695" s="8">
        <f t="shared" ref="I695:I698" si="239">SUM(F695:H695)</f>
        <v>10</v>
      </c>
      <c r="J695" s="145">
        <f t="shared" si="235"/>
        <v>10</v>
      </c>
      <c r="K695" s="32">
        <v>45898</v>
      </c>
      <c r="L695" s="75" t="s">
        <v>101</v>
      </c>
    </row>
    <row r="696" spans="1:13" x14ac:dyDescent="0.15">
      <c r="A696" s="50" t="s">
        <v>3</v>
      </c>
      <c r="B696" s="13"/>
      <c r="C696" s="14"/>
      <c r="D696" s="13"/>
      <c r="E696" s="44">
        <f t="shared" si="234"/>
        <v>0</v>
      </c>
      <c r="F696" s="147"/>
      <c r="G696" s="14"/>
      <c r="H696" s="13"/>
      <c r="I696" s="8">
        <f t="shared" si="239"/>
        <v>0</v>
      </c>
      <c r="J696" s="145">
        <f t="shared" si="235"/>
        <v>0</v>
      </c>
      <c r="K696" s="32"/>
    </row>
    <row r="697" spans="1:13" x14ac:dyDescent="0.15">
      <c r="A697" s="50" t="s">
        <v>3</v>
      </c>
      <c r="B697" s="13"/>
      <c r="C697" s="14"/>
      <c r="D697" s="13"/>
      <c r="E697" s="44">
        <f t="shared" si="234"/>
        <v>0</v>
      </c>
      <c r="F697" s="147"/>
      <c r="G697" s="14"/>
      <c r="H697" s="13"/>
      <c r="I697" s="8">
        <f t="shared" si="239"/>
        <v>0</v>
      </c>
      <c r="J697" s="145">
        <f t="shared" si="235"/>
        <v>0</v>
      </c>
      <c r="K697" s="32"/>
    </row>
    <row r="698" spans="1:13" x14ac:dyDescent="0.15">
      <c r="A698" s="50" t="s">
        <v>3</v>
      </c>
      <c r="B698" s="13"/>
      <c r="C698" s="14"/>
      <c r="D698" s="13"/>
      <c r="E698" s="44">
        <f t="shared" si="234"/>
        <v>0</v>
      </c>
      <c r="F698" s="147"/>
      <c r="G698" s="14"/>
      <c r="H698" s="13"/>
      <c r="I698" s="8">
        <f t="shared" si="239"/>
        <v>0</v>
      </c>
      <c r="J698" s="145">
        <f t="shared" si="235"/>
        <v>0</v>
      </c>
      <c r="K698" s="32"/>
    </row>
    <row r="699" spans="1:13" x14ac:dyDescent="0.15">
      <c r="A699" s="50" t="s">
        <v>3</v>
      </c>
      <c r="B699" s="13"/>
      <c r="C699" s="14"/>
      <c r="D699" s="13"/>
      <c r="E699" s="44">
        <f t="shared" ref="E699:E728" si="240">SUM(B699:D699)</f>
        <v>0</v>
      </c>
      <c r="F699" s="147"/>
      <c r="G699" s="14"/>
      <c r="H699" s="13"/>
      <c r="I699" s="8">
        <f t="shared" ref="I699:I728" si="241">SUM(F699:H699)</f>
        <v>0</v>
      </c>
      <c r="J699" s="145">
        <f t="shared" si="235"/>
        <v>0</v>
      </c>
      <c r="K699" s="32"/>
    </row>
    <row r="700" spans="1:13" x14ac:dyDescent="0.15">
      <c r="A700" s="50" t="s">
        <v>3</v>
      </c>
      <c r="B700" s="13"/>
      <c r="C700" s="14"/>
      <c r="D700" s="13"/>
      <c r="E700" s="44">
        <f t="shared" si="240"/>
        <v>0</v>
      </c>
      <c r="F700" s="147"/>
      <c r="G700" s="14"/>
      <c r="H700" s="13"/>
      <c r="I700" s="8">
        <f t="shared" si="241"/>
        <v>0</v>
      </c>
      <c r="J700" s="145">
        <f t="shared" si="235"/>
        <v>0</v>
      </c>
      <c r="K700" s="32"/>
    </row>
    <row r="701" spans="1:13" x14ac:dyDescent="0.15">
      <c r="A701" s="50" t="s">
        <v>3</v>
      </c>
      <c r="B701" s="13"/>
      <c r="C701" s="14"/>
      <c r="D701" s="13"/>
      <c r="E701" s="44">
        <f t="shared" si="240"/>
        <v>0</v>
      </c>
      <c r="F701" s="147"/>
      <c r="G701" s="14"/>
      <c r="H701" s="13"/>
      <c r="I701" s="8">
        <f t="shared" si="241"/>
        <v>0</v>
      </c>
      <c r="J701" s="145">
        <f t="shared" si="235"/>
        <v>0</v>
      </c>
      <c r="K701" s="32"/>
    </row>
    <row r="702" spans="1:13" ht="14.25" thickBot="1" x14ac:dyDescent="0.2">
      <c r="A702" s="50" t="s">
        <v>3</v>
      </c>
      <c r="B702" s="13"/>
      <c r="C702" s="14"/>
      <c r="D702" s="13"/>
      <c r="E702" s="44">
        <f t="shared" si="240"/>
        <v>0</v>
      </c>
      <c r="F702" s="147"/>
      <c r="G702" s="14"/>
      <c r="H702" s="13"/>
      <c r="I702" s="8">
        <f t="shared" si="241"/>
        <v>0</v>
      </c>
      <c r="J702" s="145">
        <f t="shared" si="235"/>
        <v>0</v>
      </c>
      <c r="K702" s="32"/>
    </row>
    <row r="703" spans="1:13" ht="14.25" thickBot="1" x14ac:dyDescent="0.2">
      <c r="A703" s="51" t="s">
        <v>4</v>
      </c>
      <c r="B703" s="22">
        <f>SUM(B692:B702)</f>
        <v>28</v>
      </c>
      <c r="C703" s="22">
        <f>SUM(C692:C702)</f>
        <v>34</v>
      </c>
      <c r="D703" s="22">
        <f t="shared" ref="D703" si="242">SUM(D692:D702)</f>
        <v>12</v>
      </c>
      <c r="E703" s="43">
        <f t="shared" si="240"/>
        <v>74</v>
      </c>
      <c r="F703" s="150">
        <f>SUM(F692:F702)</f>
        <v>27</v>
      </c>
      <c r="G703" s="22">
        <f t="shared" ref="G703:H703" si="243">SUM(G692:G702)</f>
        <v>36</v>
      </c>
      <c r="H703" s="22">
        <f t="shared" si="243"/>
        <v>18</v>
      </c>
      <c r="I703" s="43">
        <f t="shared" si="241"/>
        <v>81</v>
      </c>
      <c r="J703" s="34">
        <f t="shared" si="235"/>
        <v>155</v>
      </c>
    </row>
    <row r="704" spans="1:13" x14ac:dyDescent="0.15">
      <c r="A704" s="39" t="s">
        <v>54</v>
      </c>
      <c r="B704" s="10"/>
      <c r="C704" s="11"/>
      <c r="D704" s="10">
        <v>1</v>
      </c>
      <c r="E704" s="48">
        <f t="shared" ref="E704:E725" si="244">SUM(B704:D704)</f>
        <v>1</v>
      </c>
      <c r="F704" s="10"/>
      <c r="G704" s="11"/>
      <c r="H704" s="10">
        <v>1</v>
      </c>
      <c r="I704" s="44">
        <f t="shared" ref="I704:I725" si="245">SUM(F704:H704)</f>
        <v>1</v>
      </c>
      <c r="J704" s="31">
        <f t="shared" ref="J704:J725" si="246">SUM(I704,E704)</f>
        <v>2</v>
      </c>
      <c r="K704" s="37">
        <v>45849</v>
      </c>
    </row>
    <row r="705" spans="1:11" x14ac:dyDescent="0.15">
      <c r="A705" s="39" t="s">
        <v>54</v>
      </c>
      <c r="B705" s="10">
        <v>1</v>
      </c>
      <c r="C705" s="11">
        <f>1+1</f>
        <v>2</v>
      </c>
      <c r="D705" s="10"/>
      <c r="E705" s="48">
        <f t="shared" si="244"/>
        <v>3</v>
      </c>
      <c r="F705" s="10">
        <v>1</v>
      </c>
      <c r="G705" s="11">
        <f>1+1</f>
        <v>2</v>
      </c>
      <c r="H705" s="10"/>
      <c r="I705" s="44">
        <f t="shared" si="245"/>
        <v>3</v>
      </c>
      <c r="J705" s="31">
        <f t="shared" si="246"/>
        <v>6</v>
      </c>
      <c r="K705" s="37">
        <v>45852</v>
      </c>
    </row>
    <row r="706" spans="1:11" x14ac:dyDescent="0.15">
      <c r="A706" s="39" t="s">
        <v>54</v>
      </c>
      <c r="B706" s="10"/>
      <c r="C706" s="11">
        <v>1</v>
      </c>
      <c r="D706" s="10"/>
      <c r="E706" s="48">
        <f t="shared" si="244"/>
        <v>1</v>
      </c>
      <c r="F706" s="10"/>
      <c r="G706" s="11">
        <v>1</v>
      </c>
      <c r="H706" s="10"/>
      <c r="I706" s="44">
        <f t="shared" si="245"/>
        <v>1</v>
      </c>
      <c r="J706" s="31">
        <f t="shared" si="246"/>
        <v>2</v>
      </c>
      <c r="K706" s="37">
        <v>45853</v>
      </c>
    </row>
    <row r="707" spans="1:11" x14ac:dyDescent="0.15">
      <c r="A707" s="39" t="s">
        <v>54</v>
      </c>
      <c r="B707" s="10">
        <v>3</v>
      </c>
      <c r="C707" s="11">
        <v>2</v>
      </c>
      <c r="D707" s="10"/>
      <c r="E707" s="48">
        <f t="shared" si="244"/>
        <v>5</v>
      </c>
      <c r="F707" s="10">
        <v>3</v>
      </c>
      <c r="G707" s="11">
        <v>2</v>
      </c>
      <c r="H707" s="10"/>
      <c r="I707" s="44">
        <f t="shared" si="245"/>
        <v>5</v>
      </c>
      <c r="J707" s="31">
        <f t="shared" si="246"/>
        <v>10</v>
      </c>
      <c r="K707" s="37">
        <v>45854</v>
      </c>
    </row>
    <row r="708" spans="1:11" x14ac:dyDescent="0.15">
      <c r="A708" s="39" t="s">
        <v>54</v>
      </c>
      <c r="B708" s="10"/>
      <c r="C708" s="11">
        <v>2</v>
      </c>
      <c r="D708" s="10"/>
      <c r="E708" s="48">
        <f t="shared" si="244"/>
        <v>2</v>
      </c>
      <c r="F708" s="10"/>
      <c r="G708" s="11"/>
      <c r="H708" s="10"/>
      <c r="I708" s="44">
        <f t="shared" si="245"/>
        <v>0</v>
      </c>
      <c r="J708" s="31">
        <f t="shared" si="246"/>
        <v>2</v>
      </c>
      <c r="K708" s="37">
        <v>45856</v>
      </c>
    </row>
    <row r="709" spans="1:11" x14ac:dyDescent="0.15">
      <c r="A709" s="39" t="s">
        <v>54</v>
      </c>
      <c r="B709" s="10">
        <v>1</v>
      </c>
      <c r="C709" s="11">
        <v>2</v>
      </c>
      <c r="D709" s="10"/>
      <c r="E709" s="48">
        <f t="shared" si="244"/>
        <v>3</v>
      </c>
      <c r="F709" s="10">
        <v>1</v>
      </c>
      <c r="G709" s="11">
        <v>2</v>
      </c>
      <c r="H709" s="10">
        <v>2</v>
      </c>
      <c r="I709" s="44">
        <f t="shared" si="245"/>
        <v>5</v>
      </c>
      <c r="J709" s="31">
        <f t="shared" si="246"/>
        <v>8</v>
      </c>
      <c r="K709" s="37">
        <v>45860</v>
      </c>
    </row>
    <row r="710" spans="1:11" x14ac:dyDescent="0.15">
      <c r="A710" s="39" t="s">
        <v>54</v>
      </c>
      <c r="B710" s="10"/>
      <c r="C710" s="11"/>
      <c r="D710" s="10"/>
      <c r="E710" s="48">
        <f t="shared" si="244"/>
        <v>0</v>
      </c>
      <c r="F710" s="10"/>
      <c r="G710" s="11">
        <v>2</v>
      </c>
      <c r="H710" s="10"/>
      <c r="I710" s="44">
        <f t="shared" si="245"/>
        <v>2</v>
      </c>
      <c r="J710" s="31">
        <f t="shared" si="246"/>
        <v>2</v>
      </c>
      <c r="K710" s="37">
        <v>45867</v>
      </c>
    </row>
    <row r="711" spans="1:11" x14ac:dyDescent="0.15">
      <c r="A711" s="39" t="s">
        <v>54</v>
      </c>
      <c r="B711" s="10"/>
      <c r="C711" s="11"/>
      <c r="D711" s="10"/>
      <c r="E711" s="48">
        <f t="shared" si="244"/>
        <v>0</v>
      </c>
      <c r="F711" s="10"/>
      <c r="G711" s="11">
        <v>4</v>
      </c>
      <c r="H711" s="10"/>
      <c r="I711" s="44">
        <f t="shared" si="245"/>
        <v>4</v>
      </c>
      <c r="J711" s="31">
        <f t="shared" si="246"/>
        <v>4</v>
      </c>
      <c r="K711" s="37">
        <v>45869</v>
      </c>
    </row>
    <row r="712" spans="1:11" x14ac:dyDescent="0.15">
      <c r="A712" s="39" t="s">
        <v>54</v>
      </c>
      <c r="B712" s="10"/>
      <c r="C712" s="11"/>
      <c r="D712" s="10">
        <v>1</v>
      </c>
      <c r="E712" s="48">
        <f t="shared" si="244"/>
        <v>1</v>
      </c>
      <c r="F712" s="10"/>
      <c r="G712" s="11"/>
      <c r="H712" s="10">
        <v>1</v>
      </c>
      <c r="I712" s="44">
        <f t="shared" si="245"/>
        <v>1</v>
      </c>
      <c r="J712" s="31">
        <f t="shared" si="246"/>
        <v>2</v>
      </c>
      <c r="K712" s="37">
        <v>45870</v>
      </c>
    </row>
    <row r="713" spans="1:11" x14ac:dyDescent="0.15">
      <c r="A713" s="39" t="s">
        <v>54</v>
      </c>
      <c r="B713" s="10"/>
      <c r="C713" s="11"/>
      <c r="D713" s="10"/>
      <c r="E713" s="48">
        <f t="shared" si="244"/>
        <v>0</v>
      </c>
      <c r="F713" s="10"/>
      <c r="G713" s="11"/>
      <c r="H713" s="10">
        <v>2</v>
      </c>
      <c r="I713" s="44">
        <f t="shared" si="245"/>
        <v>2</v>
      </c>
      <c r="J713" s="31">
        <f t="shared" si="246"/>
        <v>2</v>
      </c>
      <c r="K713" s="37">
        <v>45875</v>
      </c>
    </row>
    <row r="714" spans="1:11" x14ac:dyDescent="0.15">
      <c r="A714" s="39" t="s">
        <v>54</v>
      </c>
      <c r="B714" s="10">
        <v>4</v>
      </c>
      <c r="C714" s="11"/>
      <c r="D714" s="10"/>
      <c r="E714" s="48">
        <f t="shared" si="244"/>
        <v>4</v>
      </c>
      <c r="F714" s="10"/>
      <c r="G714" s="11"/>
      <c r="H714" s="10"/>
      <c r="I714" s="44">
        <f t="shared" si="245"/>
        <v>0</v>
      </c>
      <c r="J714" s="31">
        <f t="shared" si="246"/>
        <v>4</v>
      </c>
      <c r="K714" s="37">
        <v>45876</v>
      </c>
    </row>
    <row r="715" spans="1:11" x14ac:dyDescent="0.15">
      <c r="A715" s="39" t="s">
        <v>54</v>
      </c>
      <c r="B715" s="10">
        <v>2</v>
      </c>
      <c r="C715" s="11"/>
      <c r="D715" s="10"/>
      <c r="E715" s="48">
        <f t="shared" si="244"/>
        <v>2</v>
      </c>
      <c r="F715" s="10">
        <v>2</v>
      </c>
      <c r="G715" s="11"/>
      <c r="H715" s="10"/>
      <c r="I715" s="44">
        <f t="shared" si="245"/>
        <v>2</v>
      </c>
      <c r="J715" s="31">
        <f t="shared" si="246"/>
        <v>4</v>
      </c>
      <c r="K715" s="37">
        <v>45877</v>
      </c>
    </row>
    <row r="716" spans="1:11" x14ac:dyDescent="0.15">
      <c r="A716" s="39" t="s">
        <v>54</v>
      </c>
      <c r="B716" s="10"/>
      <c r="C716" s="11">
        <f>1+1</f>
        <v>2</v>
      </c>
      <c r="D716" s="10"/>
      <c r="E716" s="48">
        <f t="shared" si="244"/>
        <v>2</v>
      </c>
      <c r="F716" s="10"/>
      <c r="G716" s="11">
        <f>1+1</f>
        <v>2</v>
      </c>
      <c r="H716" s="10"/>
      <c r="I716" s="44">
        <f t="shared" si="245"/>
        <v>2</v>
      </c>
      <c r="J716" s="31">
        <f t="shared" si="246"/>
        <v>4</v>
      </c>
      <c r="K716" s="37">
        <v>45878</v>
      </c>
    </row>
    <row r="717" spans="1:11" x14ac:dyDescent="0.15">
      <c r="A717" s="39" t="s">
        <v>54</v>
      </c>
      <c r="B717" s="10">
        <v>2</v>
      </c>
      <c r="C717" s="11">
        <v>3</v>
      </c>
      <c r="D717" s="10"/>
      <c r="E717" s="48">
        <f t="shared" si="244"/>
        <v>5</v>
      </c>
      <c r="F717" s="10"/>
      <c r="G717" s="11">
        <v>1</v>
      </c>
      <c r="H717" s="10"/>
      <c r="I717" s="44">
        <f t="shared" si="245"/>
        <v>1</v>
      </c>
      <c r="J717" s="31">
        <f t="shared" si="246"/>
        <v>6</v>
      </c>
      <c r="K717" s="37">
        <v>45887</v>
      </c>
    </row>
    <row r="718" spans="1:11" x14ac:dyDescent="0.15">
      <c r="A718" s="39" t="s">
        <v>54</v>
      </c>
      <c r="B718" s="10"/>
      <c r="C718" s="11"/>
      <c r="D718" s="10">
        <v>1</v>
      </c>
      <c r="E718" s="48">
        <f t="shared" si="244"/>
        <v>1</v>
      </c>
      <c r="F718" s="10"/>
      <c r="G718" s="11"/>
      <c r="H718" s="10">
        <v>1</v>
      </c>
      <c r="I718" s="44">
        <f t="shared" si="245"/>
        <v>1</v>
      </c>
      <c r="J718" s="31">
        <f t="shared" si="246"/>
        <v>2</v>
      </c>
      <c r="K718" s="37">
        <v>45888</v>
      </c>
    </row>
    <row r="719" spans="1:11" x14ac:dyDescent="0.15">
      <c r="A719" s="39" t="s">
        <v>99</v>
      </c>
      <c r="B719" s="10">
        <v>0</v>
      </c>
      <c r="C719" s="11">
        <v>2</v>
      </c>
      <c r="D719" s="10">
        <v>0</v>
      </c>
      <c r="E719" s="48">
        <f t="shared" si="244"/>
        <v>2</v>
      </c>
      <c r="F719" s="10">
        <v>0</v>
      </c>
      <c r="G719" s="11">
        <v>1</v>
      </c>
      <c r="H719" s="10">
        <v>1</v>
      </c>
      <c r="I719" s="44">
        <f t="shared" si="245"/>
        <v>2</v>
      </c>
      <c r="J719" s="31">
        <f t="shared" si="246"/>
        <v>4</v>
      </c>
      <c r="K719" s="37">
        <v>45890</v>
      </c>
    </row>
    <row r="720" spans="1:11" x14ac:dyDescent="0.15">
      <c r="A720" s="39" t="s">
        <v>54</v>
      </c>
      <c r="B720" s="10">
        <v>1</v>
      </c>
      <c r="C720" s="11">
        <v>2</v>
      </c>
      <c r="D720" s="10"/>
      <c r="E720" s="48">
        <f t="shared" si="244"/>
        <v>3</v>
      </c>
      <c r="F720" s="10">
        <v>1</v>
      </c>
      <c r="G720" s="11">
        <v>2</v>
      </c>
      <c r="H720" s="10"/>
      <c r="I720" s="44">
        <f t="shared" si="245"/>
        <v>3</v>
      </c>
      <c r="J720" s="31">
        <f t="shared" si="246"/>
        <v>6</v>
      </c>
      <c r="K720" s="37">
        <v>45894</v>
      </c>
    </row>
    <row r="721" spans="1:11" x14ac:dyDescent="0.15">
      <c r="A721" s="39" t="s">
        <v>54</v>
      </c>
      <c r="B721" s="10">
        <v>1</v>
      </c>
      <c r="C721" s="11"/>
      <c r="D721" s="10">
        <v>1</v>
      </c>
      <c r="E721" s="48">
        <f t="shared" si="244"/>
        <v>2</v>
      </c>
      <c r="F721" s="10">
        <v>1</v>
      </c>
      <c r="G721" s="11"/>
      <c r="H721" s="10">
        <v>1</v>
      </c>
      <c r="I721" s="44">
        <f t="shared" si="245"/>
        <v>2</v>
      </c>
      <c r="J721" s="31">
        <f t="shared" si="246"/>
        <v>4</v>
      </c>
      <c r="K721" s="37">
        <v>45895</v>
      </c>
    </row>
    <row r="722" spans="1:11" x14ac:dyDescent="0.15">
      <c r="A722" s="39" t="s">
        <v>54</v>
      </c>
      <c r="B722" s="10"/>
      <c r="C722" s="11"/>
      <c r="D722" s="10"/>
      <c r="E722" s="48">
        <f t="shared" si="244"/>
        <v>0</v>
      </c>
      <c r="F722" s="10">
        <v>2</v>
      </c>
      <c r="G722" s="11"/>
      <c r="H722" s="10"/>
      <c r="I722" s="44">
        <f t="shared" si="245"/>
        <v>2</v>
      </c>
      <c r="J722" s="31">
        <f t="shared" si="246"/>
        <v>2</v>
      </c>
      <c r="K722" s="37">
        <v>45897</v>
      </c>
    </row>
    <row r="723" spans="1:11" x14ac:dyDescent="0.15">
      <c r="A723" s="39" t="s">
        <v>54</v>
      </c>
      <c r="B723" s="10"/>
      <c r="C723" s="11"/>
      <c r="D723" s="10"/>
      <c r="E723" s="48">
        <f t="shared" si="244"/>
        <v>0</v>
      </c>
      <c r="F723" s="10"/>
      <c r="G723" s="11">
        <v>2</v>
      </c>
      <c r="H723" s="10"/>
      <c r="I723" s="44">
        <f t="shared" si="245"/>
        <v>2</v>
      </c>
      <c r="J723" s="31">
        <f t="shared" si="246"/>
        <v>2</v>
      </c>
      <c r="K723" s="37">
        <v>45901</v>
      </c>
    </row>
    <row r="724" spans="1:11" x14ac:dyDescent="0.15">
      <c r="A724" s="39" t="s">
        <v>54</v>
      </c>
      <c r="B724" s="10"/>
      <c r="C724" s="11"/>
      <c r="D724" s="10"/>
      <c r="E724" s="48">
        <f t="shared" si="244"/>
        <v>0</v>
      </c>
      <c r="F724" s="10"/>
      <c r="G724" s="11">
        <v>2</v>
      </c>
      <c r="H724" s="10"/>
      <c r="I724" s="44">
        <f t="shared" si="245"/>
        <v>2</v>
      </c>
      <c r="J724" s="31">
        <f t="shared" si="246"/>
        <v>2</v>
      </c>
      <c r="K724" s="37">
        <v>45902</v>
      </c>
    </row>
    <row r="725" spans="1:11" x14ac:dyDescent="0.15">
      <c r="A725" s="39" t="s">
        <v>54</v>
      </c>
      <c r="B725" s="10">
        <v>1</v>
      </c>
      <c r="C725" s="11">
        <f>1+1</f>
        <v>2</v>
      </c>
      <c r="D725" s="10"/>
      <c r="E725" s="48">
        <f t="shared" si="244"/>
        <v>3</v>
      </c>
      <c r="F725" s="10">
        <v>1</v>
      </c>
      <c r="G725" s="11">
        <f>1+1</f>
        <v>2</v>
      </c>
      <c r="H725" s="10"/>
      <c r="I725" s="44">
        <f t="shared" si="245"/>
        <v>3</v>
      </c>
      <c r="J725" s="31">
        <f t="shared" si="246"/>
        <v>6</v>
      </c>
      <c r="K725" s="37">
        <v>45905</v>
      </c>
    </row>
    <row r="726" spans="1:11" x14ac:dyDescent="0.15">
      <c r="A726" s="39" t="s">
        <v>54</v>
      </c>
      <c r="B726" s="10"/>
      <c r="C726" s="11"/>
      <c r="D726" s="10"/>
      <c r="E726" s="48">
        <f t="shared" si="240"/>
        <v>0</v>
      </c>
      <c r="F726" s="10"/>
      <c r="G726" s="11"/>
      <c r="H726" s="10">
        <v>4</v>
      </c>
      <c r="I726" s="44">
        <f t="shared" si="241"/>
        <v>4</v>
      </c>
      <c r="J726" s="31">
        <f t="shared" si="235"/>
        <v>4</v>
      </c>
      <c r="K726" s="37">
        <v>45909</v>
      </c>
    </row>
    <row r="727" spans="1:11" ht="14.25" thickBot="1" x14ac:dyDescent="0.2">
      <c r="A727" s="39" t="s">
        <v>54</v>
      </c>
      <c r="B727" s="13"/>
      <c r="C727" s="14"/>
      <c r="D727" s="13"/>
      <c r="E727" s="59">
        <f t="shared" si="240"/>
        <v>0</v>
      </c>
      <c r="F727" s="13"/>
      <c r="G727" s="14">
        <v>2</v>
      </c>
      <c r="H727" s="13"/>
      <c r="I727" s="60">
        <f t="shared" si="241"/>
        <v>2</v>
      </c>
      <c r="J727" s="36">
        <f t="shared" si="235"/>
        <v>2</v>
      </c>
      <c r="K727" s="37">
        <v>45911</v>
      </c>
    </row>
    <row r="728" spans="1:11" ht="14.25" thickBot="1" x14ac:dyDescent="0.2">
      <c r="A728" s="3" t="s">
        <v>5</v>
      </c>
      <c r="B728" s="16">
        <f>SUM(B704:B727)</f>
        <v>16</v>
      </c>
      <c r="C728" s="61">
        <f>SUM(C704:C727)</f>
        <v>20</v>
      </c>
      <c r="D728" s="16">
        <f t="shared" ref="D728" si="247">SUM(D704:D727)</f>
        <v>4</v>
      </c>
      <c r="E728" s="65">
        <f t="shared" si="240"/>
        <v>40</v>
      </c>
      <c r="F728" s="15">
        <f>SUM(F704:F727)</f>
        <v>12</v>
      </c>
      <c r="G728" s="15">
        <f t="shared" ref="G728:H728" si="248">SUM(G704:G727)</f>
        <v>27</v>
      </c>
      <c r="H728" s="15">
        <f t="shared" si="248"/>
        <v>13</v>
      </c>
      <c r="I728" s="16">
        <f t="shared" si="241"/>
        <v>52</v>
      </c>
      <c r="J728" s="34">
        <f t="shared" si="235"/>
        <v>92</v>
      </c>
    </row>
    <row r="729" spans="1:11" ht="14.25" thickBot="1" x14ac:dyDescent="0.2">
      <c r="A729" s="25" t="s">
        <v>6</v>
      </c>
      <c r="B729" s="26">
        <f>B703-B728</f>
        <v>12</v>
      </c>
      <c r="C729" s="26">
        <f t="shared" ref="C729:E729" si="249">C703-C728</f>
        <v>14</v>
      </c>
      <c r="D729" s="24">
        <f t="shared" si="249"/>
        <v>8</v>
      </c>
      <c r="E729" s="47">
        <f t="shared" si="249"/>
        <v>34</v>
      </c>
      <c r="F729" s="26">
        <f>F703-F728</f>
        <v>15</v>
      </c>
      <c r="G729" s="26">
        <f t="shared" ref="G729:I729" si="250">G703-G728</f>
        <v>9</v>
      </c>
      <c r="H729" s="26">
        <f t="shared" si="250"/>
        <v>5</v>
      </c>
      <c r="I729" s="26">
        <f t="shared" si="250"/>
        <v>29</v>
      </c>
      <c r="J729" s="38">
        <f t="shared" si="235"/>
        <v>63</v>
      </c>
    </row>
    <row r="732" spans="1:11" ht="18" thickBot="1" x14ac:dyDescent="0.25">
      <c r="A732" s="29" t="s">
        <v>17</v>
      </c>
      <c r="B732" s="1"/>
      <c r="C732" s="1"/>
      <c r="D732" s="1" t="s">
        <v>65</v>
      </c>
      <c r="E732" s="1"/>
      <c r="F732" s="1"/>
      <c r="G732" s="1"/>
      <c r="H732" s="1"/>
      <c r="I732" s="1"/>
      <c r="J732" s="1"/>
    </row>
    <row r="733" spans="1:11" ht="14.25" thickBot="1" x14ac:dyDescent="0.2">
      <c r="A733" s="2" t="s">
        <v>0</v>
      </c>
      <c r="B733" s="219" t="s">
        <v>14</v>
      </c>
      <c r="C733" s="220"/>
      <c r="D733" s="220"/>
      <c r="E733" s="221"/>
      <c r="F733" s="216" t="s">
        <v>15</v>
      </c>
      <c r="G733" s="217"/>
      <c r="H733" s="217"/>
      <c r="I733" s="218"/>
      <c r="J733" s="208" t="s">
        <v>10</v>
      </c>
    </row>
    <row r="734" spans="1:11" ht="14.25" thickBot="1" x14ac:dyDescent="0.2">
      <c r="A734" s="2" t="s">
        <v>1</v>
      </c>
      <c r="B734" s="3" t="s">
        <v>7</v>
      </c>
      <c r="C734" s="2" t="s">
        <v>8</v>
      </c>
      <c r="D734" s="2" t="s">
        <v>9</v>
      </c>
      <c r="E734" s="19" t="s">
        <v>2</v>
      </c>
      <c r="F734" s="2" t="s">
        <v>11</v>
      </c>
      <c r="G734" s="19" t="s">
        <v>12</v>
      </c>
      <c r="H734" s="2" t="s">
        <v>13</v>
      </c>
      <c r="I734" s="2" t="s">
        <v>2</v>
      </c>
      <c r="J734" s="209"/>
    </row>
    <row r="735" spans="1:11" ht="14.25" thickBot="1" x14ac:dyDescent="0.2">
      <c r="A735" s="3" t="s">
        <v>6</v>
      </c>
      <c r="B735" s="63">
        <f>B729</f>
        <v>12</v>
      </c>
      <c r="C735" s="64">
        <f>C729</f>
        <v>14</v>
      </c>
      <c r="D735" s="63">
        <f>D729</f>
        <v>8</v>
      </c>
      <c r="E735" s="65">
        <f t="shared" ref="E735:E739" si="251">SUM(B735:D735)</f>
        <v>34</v>
      </c>
      <c r="F735" s="63">
        <f>F729</f>
        <v>15</v>
      </c>
      <c r="G735" s="64">
        <f>G729</f>
        <v>9</v>
      </c>
      <c r="H735" s="63">
        <f>H729</f>
        <v>5</v>
      </c>
      <c r="I735" s="65">
        <f>SUM(F735:H735)</f>
        <v>29</v>
      </c>
      <c r="J735" s="34">
        <f t="shared" ref="J735:J772" si="252">SUM(I735,E735)</f>
        <v>63</v>
      </c>
    </row>
    <row r="736" spans="1:11" x14ac:dyDescent="0.15">
      <c r="A736" s="50" t="s">
        <v>3</v>
      </c>
      <c r="B736" s="13"/>
      <c r="C736" s="14"/>
      <c r="D736" s="13"/>
      <c r="E736" s="44">
        <f t="shared" si="251"/>
        <v>0</v>
      </c>
      <c r="F736" s="147"/>
      <c r="G736" s="14"/>
      <c r="H736" s="13">
        <v>5</v>
      </c>
      <c r="I736" s="8">
        <f t="shared" ref="I736:I739" si="253">SUM(F736:H736)</f>
        <v>5</v>
      </c>
      <c r="J736" s="145">
        <f t="shared" ref="J736:J739" si="254">SUM(I736,E736)</f>
        <v>5</v>
      </c>
      <c r="K736" s="32">
        <v>45926</v>
      </c>
    </row>
    <row r="737" spans="1:12" x14ac:dyDescent="0.15">
      <c r="A737" s="50" t="s">
        <v>3</v>
      </c>
      <c r="B737" s="13">
        <v>5</v>
      </c>
      <c r="C737" s="14"/>
      <c r="D737" s="13"/>
      <c r="E737" s="44">
        <f t="shared" si="251"/>
        <v>5</v>
      </c>
      <c r="F737" s="147"/>
      <c r="G737" s="14">
        <v>5</v>
      </c>
      <c r="H737" s="13"/>
      <c r="I737" s="8">
        <f t="shared" si="253"/>
        <v>5</v>
      </c>
      <c r="J737" s="145">
        <f t="shared" si="254"/>
        <v>10</v>
      </c>
      <c r="K737" s="32">
        <v>45932</v>
      </c>
    </row>
    <row r="738" spans="1:12" x14ac:dyDescent="0.15">
      <c r="A738" s="50" t="s">
        <v>3</v>
      </c>
      <c r="B738" s="13"/>
      <c r="C738" s="14">
        <v>5</v>
      </c>
      <c r="D738" s="13">
        <v>5</v>
      </c>
      <c r="E738" s="44">
        <f t="shared" si="251"/>
        <v>10</v>
      </c>
      <c r="F738" s="147"/>
      <c r="G738" s="14"/>
      <c r="H738" s="13"/>
      <c r="I738" s="8">
        <f t="shared" si="253"/>
        <v>0</v>
      </c>
      <c r="J738" s="145">
        <f t="shared" si="254"/>
        <v>10</v>
      </c>
      <c r="K738" s="32">
        <v>45944</v>
      </c>
    </row>
    <row r="739" spans="1:12" x14ac:dyDescent="0.15">
      <c r="A739" s="50" t="s">
        <v>3</v>
      </c>
      <c r="B739" s="13">
        <v>10</v>
      </c>
      <c r="C739" s="14"/>
      <c r="D739" s="13"/>
      <c r="E739" s="44">
        <f t="shared" si="251"/>
        <v>10</v>
      </c>
      <c r="F739" s="147"/>
      <c r="G739" s="14"/>
      <c r="H739" s="13"/>
      <c r="I739" s="8">
        <f t="shared" si="253"/>
        <v>0</v>
      </c>
      <c r="J739" s="145">
        <f t="shared" si="254"/>
        <v>10</v>
      </c>
      <c r="K739" s="32">
        <v>45966</v>
      </c>
      <c r="L739" s="33"/>
    </row>
    <row r="740" spans="1:12" x14ac:dyDescent="0.15">
      <c r="A740" s="50" t="s">
        <v>3</v>
      </c>
      <c r="B740" s="13"/>
      <c r="C740" s="14"/>
      <c r="D740" s="13"/>
      <c r="E740" s="44">
        <f t="shared" ref="E740:E771" si="255">SUM(B740:D740)</f>
        <v>0</v>
      </c>
      <c r="F740" s="147"/>
      <c r="G740" s="14">
        <v>5</v>
      </c>
      <c r="H740" s="13"/>
      <c r="I740" s="8">
        <f t="shared" ref="I740:I741" si="256">SUM(F740:H740)</f>
        <v>5</v>
      </c>
      <c r="J740" s="145">
        <f t="shared" si="252"/>
        <v>5</v>
      </c>
      <c r="K740" s="32">
        <v>45980</v>
      </c>
    </row>
    <row r="741" spans="1:12" x14ac:dyDescent="0.15">
      <c r="A741" s="50" t="s">
        <v>3</v>
      </c>
      <c r="B741" s="13"/>
      <c r="C741" s="14">
        <v>10</v>
      </c>
      <c r="D741" s="13"/>
      <c r="E741" s="44">
        <f t="shared" si="255"/>
        <v>10</v>
      </c>
      <c r="F741" s="147"/>
      <c r="G741" s="14">
        <v>10</v>
      </c>
      <c r="H741" s="13"/>
      <c r="I741" s="8">
        <f t="shared" si="256"/>
        <v>10</v>
      </c>
      <c r="J741" s="145">
        <f t="shared" si="252"/>
        <v>20</v>
      </c>
      <c r="K741" s="32">
        <v>45993</v>
      </c>
      <c r="L741" s="33"/>
    </row>
    <row r="742" spans="1:12" x14ac:dyDescent="0.15">
      <c r="A742" s="50" t="s">
        <v>3</v>
      </c>
      <c r="B742" s="13"/>
      <c r="C742" s="14"/>
      <c r="D742" s="13"/>
      <c r="E742" s="44">
        <f t="shared" si="255"/>
        <v>0</v>
      </c>
      <c r="F742" s="147">
        <v>5</v>
      </c>
      <c r="G742" s="14"/>
      <c r="H742" s="13"/>
      <c r="I742" s="8">
        <f t="shared" ref="I742:I771" si="257">SUM(F742:H742)</f>
        <v>5</v>
      </c>
      <c r="J742" s="145">
        <f t="shared" si="252"/>
        <v>5</v>
      </c>
      <c r="K742" s="32">
        <v>45995</v>
      </c>
      <c r="L742" s="33"/>
    </row>
    <row r="743" spans="1:12" x14ac:dyDescent="0.15">
      <c r="A743" s="50" t="s">
        <v>3</v>
      </c>
      <c r="B743" s="13"/>
      <c r="C743" s="14"/>
      <c r="D743" s="13"/>
      <c r="E743" s="44">
        <f t="shared" si="255"/>
        <v>0</v>
      </c>
      <c r="F743" s="147"/>
      <c r="G743" s="14"/>
      <c r="H743" s="13"/>
      <c r="I743" s="8">
        <f t="shared" si="257"/>
        <v>0</v>
      </c>
      <c r="J743" s="145">
        <f t="shared" si="252"/>
        <v>0</v>
      </c>
    </row>
    <row r="744" spans="1:12" x14ac:dyDescent="0.15">
      <c r="A744" s="50" t="s">
        <v>3</v>
      </c>
      <c r="B744" s="13"/>
      <c r="C744" s="14"/>
      <c r="D744" s="13"/>
      <c r="E744" s="44">
        <f t="shared" si="255"/>
        <v>0</v>
      </c>
      <c r="F744" s="147"/>
      <c r="G744" s="14"/>
      <c r="H744" s="13"/>
      <c r="I744" s="8">
        <f t="shared" si="257"/>
        <v>0</v>
      </c>
      <c r="J744" s="145">
        <f t="shared" si="252"/>
        <v>0</v>
      </c>
    </row>
    <row r="745" spans="1:12" ht="14.25" thickBot="1" x14ac:dyDescent="0.2">
      <c r="A745" s="50" t="s">
        <v>3</v>
      </c>
      <c r="B745" s="13"/>
      <c r="C745" s="14"/>
      <c r="D745" s="13"/>
      <c r="E745" s="44">
        <f t="shared" si="255"/>
        <v>0</v>
      </c>
      <c r="F745" s="147"/>
      <c r="G745" s="14"/>
      <c r="H745" s="13"/>
      <c r="I745" s="8">
        <f t="shared" si="257"/>
        <v>0</v>
      </c>
      <c r="J745" s="145">
        <f t="shared" si="252"/>
        <v>0</v>
      </c>
    </row>
    <row r="746" spans="1:12" ht="14.25" thickBot="1" x14ac:dyDescent="0.2">
      <c r="A746" s="51" t="s">
        <v>4</v>
      </c>
      <c r="B746" s="22">
        <f>SUM(B735:B745)</f>
        <v>27</v>
      </c>
      <c r="C746" s="22">
        <f>SUM(C735:C745)</f>
        <v>29</v>
      </c>
      <c r="D746" s="22">
        <f t="shared" ref="D746" si="258">SUM(D735:D745)</f>
        <v>13</v>
      </c>
      <c r="E746" s="43">
        <f t="shared" si="255"/>
        <v>69</v>
      </c>
      <c r="F746" s="150">
        <f>SUM(F735:F745)</f>
        <v>20</v>
      </c>
      <c r="G746" s="22">
        <f t="shared" ref="G746:H746" si="259">SUM(G735:G745)</f>
        <v>29</v>
      </c>
      <c r="H746" s="22">
        <f t="shared" si="259"/>
        <v>10</v>
      </c>
      <c r="I746" s="43">
        <f t="shared" si="257"/>
        <v>59</v>
      </c>
      <c r="J746" s="34">
        <f t="shared" si="252"/>
        <v>128</v>
      </c>
    </row>
    <row r="747" spans="1:12" x14ac:dyDescent="0.15">
      <c r="A747" s="39" t="s">
        <v>54</v>
      </c>
      <c r="B747" s="10">
        <v>2</v>
      </c>
      <c r="C747" s="11"/>
      <c r="D747" s="10"/>
      <c r="E747" s="48">
        <f t="shared" si="255"/>
        <v>2</v>
      </c>
      <c r="F747" s="10"/>
      <c r="G747" s="11"/>
      <c r="H747" s="10"/>
      <c r="I747" s="44">
        <f t="shared" si="257"/>
        <v>0</v>
      </c>
      <c r="J747" s="31">
        <f t="shared" si="252"/>
        <v>2</v>
      </c>
      <c r="K747" s="37">
        <v>45922</v>
      </c>
    </row>
    <row r="748" spans="1:12" x14ac:dyDescent="0.15">
      <c r="A748" s="39" t="s">
        <v>54</v>
      </c>
      <c r="B748" s="10">
        <v>2</v>
      </c>
      <c r="C748" s="11">
        <v>2</v>
      </c>
      <c r="D748" s="10"/>
      <c r="E748" s="48">
        <f t="shared" si="255"/>
        <v>4</v>
      </c>
      <c r="F748" s="10">
        <v>2</v>
      </c>
      <c r="G748" s="11"/>
      <c r="H748" s="10"/>
      <c r="I748" s="44">
        <f t="shared" si="257"/>
        <v>2</v>
      </c>
      <c r="J748" s="31">
        <f t="shared" si="252"/>
        <v>6</v>
      </c>
      <c r="K748" s="37">
        <v>45924</v>
      </c>
    </row>
    <row r="749" spans="1:12" x14ac:dyDescent="0.15">
      <c r="A749" s="39" t="s">
        <v>54</v>
      </c>
      <c r="B749" s="10">
        <v>1</v>
      </c>
      <c r="C749" s="11"/>
      <c r="D749" s="10"/>
      <c r="E749" s="48">
        <f t="shared" si="255"/>
        <v>1</v>
      </c>
      <c r="F749" s="10">
        <v>1</v>
      </c>
      <c r="G749" s="11">
        <v>2</v>
      </c>
      <c r="H749" s="10"/>
      <c r="I749" s="44">
        <f t="shared" si="257"/>
        <v>3</v>
      </c>
      <c r="J749" s="31">
        <f t="shared" si="252"/>
        <v>4</v>
      </c>
      <c r="K749" s="37">
        <v>45929</v>
      </c>
    </row>
    <row r="750" spans="1:12" x14ac:dyDescent="0.15">
      <c r="A750" s="39" t="s">
        <v>16</v>
      </c>
      <c r="B750" s="10"/>
      <c r="C750" s="11">
        <v>2</v>
      </c>
      <c r="D750" s="10"/>
      <c r="E750" s="48">
        <f t="shared" si="255"/>
        <v>2</v>
      </c>
      <c r="F750" s="10"/>
      <c r="G750" s="11"/>
      <c r="H750" s="10"/>
      <c r="I750" s="44">
        <f t="shared" si="257"/>
        <v>0</v>
      </c>
      <c r="J750" s="31">
        <f t="shared" si="252"/>
        <v>2</v>
      </c>
      <c r="K750" s="37">
        <v>45932</v>
      </c>
    </row>
    <row r="751" spans="1:12" x14ac:dyDescent="0.15">
      <c r="A751" s="39" t="s">
        <v>16</v>
      </c>
      <c r="B751" s="10"/>
      <c r="C751" s="11">
        <v>2</v>
      </c>
      <c r="D751" s="10">
        <f>1+2</f>
        <v>3</v>
      </c>
      <c r="E751" s="48">
        <f t="shared" si="255"/>
        <v>5</v>
      </c>
      <c r="F751" s="10"/>
      <c r="G751" s="11"/>
      <c r="H751" s="10">
        <v>1</v>
      </c>
      <c r="I751" s="44">
        <f t="shared" si="257"/>
        <v>1</v>
      </c>
      <c r="J751" s="31">
        <f t="shared" si="252"/>
        <v>6</v>
      </c>
      <c r="K751" s="37">
        <v>45936</v>
      </c>
    </row>
    <row r="752" spans="1:12" x14ac:dyDescent="0.15">
      <c r="A752" s="39" t="s">
        <v>16</v>
      </c>
      <c r="B752" s="10"/>
      <c r="C752" s="11">
        <v>1</v>
      </c>
      <c r="D752" s="10"/>
      <c r="E752" s="48">
        <f t="shared" si="255"/>
        <v>1</v>
      </c>
      <c r="F752" s="10"/>
      <c r="G752" s="11">
        <v>1</v>
      </c>
      <c r="H752" s="10"/>
      <c r="I752" s="44">
        <f t="shared" si="257"/>
        <v>1</v>
      </c>
      <c r="J752" s="31">
        <f t="shared" si="252"/>
        <v>2</v>
      </c>
      <c r="K752" s="37">
        <v>45938</v>
      </c>
    </row>
    <row r="753" spans="1:11" x14ac:dyDescent="0.15">
      <c r="A753" s="39" t="s">
        <v>16</v>
      </c>
      <c r="B753" s="10"/>
      <c r="C753" s="11"/>
      <c r="D753" s="10"/>
      <c r="E753" s="48">
        <f t="shared" si="255"/>
        <v>0</v>
      </c>
      <c r="F753" s="10"/>
      <c r="G753" s="11">
        <v>2</v>
      </c>
      <c r="H753" s="10"/>
      <c r="I753" s="44">
        <f t="shared" si="257"/>
        <v>2</v>
      </c>
      <c r="J753" s="31">
        <f t="shared" si="252"/>
        <v>2</v>
      </c>
      <c r="K753" s="37">
        <v>45939</v>
      </c>
    </row>
    <row r="754" spans="1:11" x14ac:dyDescent="0.15">
      <c r="A754" s="39" t="s">
        <v>16</v>
      </c>
      <c r="B754" s="10"/>
      <c r="C754" s="11">
        <v>1</v>
      </c>
      <c r="D754" s="10"/>
      <c r="E754" s="48">
        <f t="shared" si="255"/>
        <v>1</v>
      </c>
      <c r="F754" s="10"/>
      <c r="G754" s="11">
        <v>1</v>
      </c>
      <c r="H754" s="10"/>
      <c r="I754" s="44">
        <f t="shared" si="257"/>
        <v>1</v>
      </c>
      <c r="J754" s="31">
        <f t="shared" si="252"/>
        <v>2</v>
      </c>
      <c r="K754" s="37">
        <v>45946</v>
      </c>
    </row>
    <row r="755" spans="1:11" x14ac:dyDescent="0.15">
      <c r="A755" s="39" t="s">
        <v>16</v>
      </c>
      <c r="B755" s="10">
        <v>4</v>
      </c>
      <c r="C755" s="11"/>
      <c r="D755" s="10"/>
      <c r="E755" s="48">
        <f t="shared" si="255"/>
        <v>4</v>
      </c>
      <c r="F755" s="10"/>
      <c r="G755" s="11"/>
      <c r="H755" s="10"/>
      <c r="I755" s="44">
        <f t="shared" si="257"/>
        <v>0</v>
      </c>
      <c r="J755" s="31">
        <f t="shared" si="252"/>
        <v>4</v>
      </c>
      <c r="K755" s="37">
        <v>45950</v>
      </c>
    </row>
    <row r="756" spans="1:11" x14ac:dyDescent="0.15">
      <c r="A756" s="39" t="s">
        <v>16</v>
      </c>
      <c r="B756" s="10"/>
      <c r="C756" s="11"/>
      <c r="D756" s="10">
        <v>2</v>
      </c>
      <c r="E756" s="48">
        <f t="shared" si="255"/>
        <v>2</v>
      </c>
      <c r="F756" s="10"/>
      <c r="G756" s="11"/>
      <c r="H756" s="10">
        <v>2</v>
      </c>
      <c r="I756" s="44">
        <f t="shared" si="257"/>
        <v>2</v>
      </c>
      <c r="J756" s="31">
        <f t="shared" si="252"/>
        <v>4</v>
      </c>
      <c r="K756" s="37">
        <v>45957</v>
      </c>
    </row>
    <row r="757" spans="1:11" x14ac:dyDescent="0.15">
      <c r="A757" s="39" t="s">
        <v>16</v>
      </c>
      <c r="B757" s="10">
        <v>2</v>
      </c>
      <c r="C757" s="11"/>
      <c r="D757" s="10"/>
      <c r="E757" s="48">
        <f t="shared" si="255"/>
        <v>2</v>
      </c>
      <c r="F757" s="10">
        <v>2</v>
      </c>
      <c r="G757" s="11"/>
      <c r="H757" s="10"/>
      <c r="I757" s="44">
        <f t="shared" si="257"/>
        <v>2</v>
      </c>
      <c r="J757" s="31">
        <f t="shared" si="252"/>
        <v>4</v>
      </c>
      <c r="K757" s="37">
        <v>45960</v>
      </c>
    </row>
    <row r="758" spans="1:11" x14ac:dyDescent="0.15">
      <c r="A758" s="39" t="s">
        <v>16</v>
      </c>
      <c r="B758" s="10">
        <v>2</v>
      </c>
      <c r="C758" s="11"/>
      <c r="D758" s="10"/>
      <c r="E758" s="48">
        <f t="shared" si="255"/>
        <v>2</v>
      </c>
      <c r="F758" s="10"/>
      <c r="G758" s="11"/>
      <c r="H758" s="10"/>
      <c r="I758" s="44">
        <f t="shared" si="257"/>
        <v>0</v>
      </c>
      <c r="J758" s="31">
        <f t="shared" si="252"/>
        <v>2</v>
      </c>
      <c r="K758" s="37">
        <v>45961</v>
      </c>
    </row>
    <row r="759" spans="1:11" x14ac:dyDescent="0.15">
      <c r="A759" s="39" t="s">
        <v>16</v>
      </c>
      <c r="B759" s="10">
        <v>1</v>
      </c>
      <c r="C759" s="11"/>
      <c r="D759" s="10"/>
      <c r="E759" s="48">
        <f t="shared" si="255"/>
        <v>1</v>
      </c>
      <c r="F759" s="10">
        <v>1</v>
      </c>
      <c r="G759" s="11"/>
      <c r="H759" s="10"/>
      <c r="I759" s="44">
        <f t="shared" si="257"/>
        <v>1</v>
      </c>
      <c r="J759" s="31">
        <f t="shared" si="252"/>
        <v>2</v>
      </c>
      <c r="K759" s="37">
        <v>45974</v>
      </c>
    </row>
    <row r="760" spans="1:11" x14ac:dyDescent="0.15">
      <c r="A760" s="39" t="s">
        <v>16</v>
      </c>
      <c r="B760" s="10">
        <v>1</v>
      </c>
      <c r="C760" s="11"/>
      <c r="D760" s="10"/>
      <c r="E760" s="48">
        <f t="shared" si="255"/>
        <v>1</v>
      </c>
      <c r="F760" s="10">
        <v>1</v>
      </c>
      <c r="G760" s="11">
        <v>2</v>
      </c>
      <c r="H760" s="10"/>
      <c r="I760" s="44">
        <f t="shared" si="257"/>
        <v>3</v>
      </c>
      <c r="J760" s="31">
        <f t="shared" si="252"/>
        <v>4</v>
      </c>
      <c r="K760" s="37">
        <v>45978</v>
      </c>
    </row>
    <row r="761" spans="1:11" x14ac:dyDescent="0.15">
      <c r="A761" s="39" t="s">
        <v>16</v>
      </c>
      <c r="B761" s="10"/>
      <c r="C761" s="11">
        <v>2</v>
      </c>
      <c r="D761" s="10">
        <v>2</v>
      </c>
      <c r="E761" s="48">
        <f t="shared" si="255"/>
        <v>4</v>
      </c>
      <c r="F761" s="10"/>
      <c r="G761" s="11">
        <v>2</v>
      </c>
      <c r="H761" s="10"/>
      <c r="I761" s="44">
        <f t="shared" si="257"/>
        <v>2</v>
      </c>
      <c r="J761" s="31">
        <f t="shared" si="252"/>
        <v>6</v>
      </c>
      <c r="K761" s="37">
        <v>45981</v>
      </c>
    </row>
    <row r="762" spans="1:11" x14ac:dyDescent="0.15">
      <c r="A762" s="39" t="s">
        <v>16</v>
      </c>
      <c r="B762" s="10"/>
      <c r="C762" s="11">
        <v>1</v>
      </c>
      <c r="D762" s="10"/>
      <c r="E762" s="48">
        <f>SUM(B762:D762)</f>
        <v>1</v>
      </c>
      <c r="F762" s="10"/>
      <c r="G762" s="11">
        <v>1</v>
      </c>
      <c r="H762" s="10"/>
      <c r="I762" s="44">
        <f t="shared" si="257"/>
        <v>1</v>
      </c>
      <c r="J762" s="31">
        <f t="shared" si="252"/>
        <v>2</v>
      </c>
      <c r="K762" s="37">
        <v>45982</v>
      </c>
    </row>
    <row r="763" spans="1:11" x14ac:dyDescent="0.15">
      <c r="A763" s="39" t="s">
        <v>16</v>
      </c>
      <c r="B763" s="10"/>
      <c r="C763" s="11">
        <v>3</v>
      </c>
      <c r="D763" s="10">
        <v>1</v>
      </c>
      <c r="E763" s="48">
        <f t="shared" si="255"/>
        <v>4</v>
      </c>
      <c r="F763" s="10"/>
      <c r="G763" s="11">
        <v>3</v>
      </c>
      <c r="H763" s="10">
        <v>1</v>
      </c>
      <c r="I763" s="44">
        <f t="shared" si="257"/>
        <v>4</v>
      </c>
      <c r="J763" s="31">
        <f t="shared" si="252"/>
        <v>8</v>
      </c>
      <c r="K763" s="37">
        <v>45986</v>
      </c>
    </row>
    <row r="764" spans="1:11" x14ac:dyDescent="0.15">
      <c r="A764" s="39" t="s">
        <v>16</v>
      </c>
      <c r="B764" s="10"/>
      <c r="C764" s="11">
        <v>2</v>
      </c>
      <c r="D764" s="10"/>
      <c r="E764" s="48">
        <f t="shared" si="255"/>
        <v>2</v>
      </c>
      <c r="F764" s="10"/>
      <c r="G764" s="11">
        <v>2</v>
      </c>
      <c r="H764" s="10"/>
      <c r="I764" s="44">
        <f t="shared" si="257"/>
        <v>2</v>
      </c>
      <c r="J764" s="31">
        <f t="shared" si="252"/>
        <v>4</v>
      </c>
      <c r="K764" s="37">
        <v>45987</v>
      </c>
    </row>
    <row r="765" spans="1:11" x14ac:dyDescent="0.15">
      <c r="A765" s="39" t="s">
        <v>16</v>
      </c>
      <c r="B765" s="10">
        <v>2</v>
      </c>
      <c r="C765" s="11"/>
      <c r="D765" s="10"/>
      <c r="E765" s="48">
        <f t="shared" si="255"/>
        <v>2</v>
      </c>
      <c r="F765" s="10"/>
      <c r="G765" s="11"/>
      <c r="H765" s="10"/>
      <c r="I765" s="44">
        <f t="shared" si="257"/>
        <v>0</v>
      </c>
      <c r="J765" s="31">
        <f t="shared" si="252"/>
        <v>2</v>
      </c>
      <c r="K765" s="37">
        <v>45988</v>
      </c>
    </row>
    <row r="766" spans="1:11" x14ac:dyDescent="0.15">
      <c r="A766" s="39" t="s">
        <v>16</v>
      </c>
      <c r="B766" s="10"/>
      <c r="C766" s="11">
        <v>2</v>
      </c>
      <c r="D766" s="10"/>
      <c r="E766" s="48">
        <f t="shared" si="255"/>
        <v>2</v>
      </c>
      <c r="F766" s="10"/>
      <c r="G766" s="11">
        <v>2</v>
      </c>
      <c r="H766" s="10"/>
      <c r="I766" s="44">
        <f t="shared" si="257"/>
        <v>2</v>
      </c>
      <c r="J766" s="31">
        <f t="shared" si="252"/>
        <v>4</v>
      </c>
      <c r="K766" s="37">
        <v>45990</v>
      </c>
    </row>
    <row r="767" spans="1:11" x14ac:dyDescent="0.15">
      <c r="A767" s="39" t="s">
        <v>16</v>
      </c>
      <c r="B767" s="10"/>
      <c r="C767" s="11"/>
      <c r="D767" s="10"/>
      <c r="E767" s="48">
        <f t="shared" si="255"/>
        <v>0</v>
      </c>
      <c r="F767" s="10">
        <v>2</v>
      </c>
      <c r="G767" s="11"/>
      <c r="H767" s="10"/>
      <c r="I767" s="44">
        <f t="shared" si="257"/>
        <v>2</v>
      </c>
      <c r="J767" s="31">
        <f t="shared" si="252"/>
        <v>2</v>
      </c>
      <c r="K767" s="37">
        <v>45992</v>
      </c>
    </row>
    <row r="768" spans="1:11" x14ac:dyDescent="0.15">
      <c r="A768" s="39" t="s">
        <v>16</v>
      </c>
      <c r="B768" s="10"/>
      <c r="C768" s="11">
        <v>2</v>
      </c>
      <c r="D768" s="10"/>
      <c r="E768" s="48">
        <f t="shared" si="255"/>
        <v>2</v>
      </c>
      <c r="F768" s="10"/>
      <c r="G768" s="11">
        <v>2</v>
      </c>
      <c r="H768" s="10"/>
      <c r="I768" s="44">
        <f t="shared" si="257"/>
        <v>2</v>
      </c>
      <c r="J768" s="31">
        <f t="shared" si="252"/>
        <v>4</v>
      </c>
      <c r="K768" s="37">
        <v>45993</v>
      </c>
    </row>
    <row r="769" spans="1:12" x14ac:dyDescent="0.15">
      <c r="A769" s="39" t="s">
        <v>16</v>
      </c>
      <c r="B769" s="10"/>
      <c r="C769" s="11">
        <v>4</v>
      </c>
      <c r="D769" s="10"/>
      <c r="E769" s="48">
        <f t="shared" si="255"/>
        <v>4</v>
      </c>
      <c r="F769" s="10"/>
      <c r="G769" s="11">
        <v>4</v>
      </c>
      <c r="H769" s="10"/>
      <c r="I769" s="44">
        <f t="shared" si="257"/>
        <v>4</v>
      </c>
      <c r="J769" s="31">
        <f t="shared" si="252"/>
        <v>8</v>
      </c>
      <c r="K769" s="37">
        <v>45996</v>
      </c>
    </row>
    <row r="770" spans="1:12" ht="14.25" thickBot="1" x14ac:dyDescent="0.2">
      <c r="A770" s="39" t="s">
        <v>16</v>
      </c>
      <c r="B770" s="13">
        <v>2</v>
      </c>
      <c r="C770" s="14"/>
      <c r="D770" s="13"/>
      <c r="E770" s="59">
        <f t="shared" si="255"/>
        <v>2</v>
      </c>
      <c r="F770" s="13">
        <v>2</v>
      </c>
      <c r="G770" s="14"/>
      <c r="H770" s="13"/>
      <c r="I770" s="60">
        <f t="shared" si="257"/>
        <v>2</v>
      </c>
      <c r="J770" s="36">
        <f t="shared" si="252"/>
        <v>4</v>
      </c>
      <c r="K770" s="37">
        <v>45997</v>
      </c>
    </row>
    <row r="771" spans="1:12" ht="14.25" thickBot="1" x14ac:dyDescent="0.2">
      <c r="A771" s="3" t="s">
        <v>5</v>
      </c>
      <c r="B771" s="16">
        <f>SUM(B747:B770)</f>
        <v>19</v>
      </c>
      <c r="C771" s="61">
        <f>SUM(C747:C770)</f>
        <v>24</v>
      </c>
      <c r="D771" s="16">
        <f t="shared" ref="D771" si="260">SUM(D747:D770)</f>
        <v>8</v>
      </c>
      <c r="E771" s="65">
        <f t="shared" si="255"/>
        <v>51</v>
      </c>
      <c r="F771" s="15">
        <f>SUM(F747:F770)</f>
        <v>11</v>
      </c>
      <c r="G771" s="15">
        <f t="shared" ref="G771:H771" si="261">SUM(G747:G770)</f>
        <v>24</v>
      </c>
      <c r="H771" s="15">
        <f t="shared" si="261"/>
        <v>4</v>
      </c>
      <c r="I771" s="16">
        <f t="shared" si="257"/>
        <v>39</v>
      </c>
      <c r="J771" s="34">
        <f t="shared" si="252"/>
        <v>90</v>
      </c>
    </row>
    <row r="772" spans="1:12" ht="14.25" thickBot="1" x14ac:dyDescent="0.2">
      <c r="A772" s="25" t="s">
        <v>6</v>
      </c>
      <c r="B772" s="26">
        <f>B746-B771</f>
        <v>8</v>
      </c>
      <c r="C772" s="26">
        <f t="shared" ref="C772:E772" si="262">C746-C771</f>
        <v>5</v>
      </c>
      <c r="D772" s="24">
        <f t="shared" si="262"/>
        <v>5</v>
      </c>
      <c r="E772" s="47">
        <f t="shared" si="262"/>
        <v>18</v>
      </c>
      <c r="F772" s="26">
        <f>F746-F771</f>
        <v>9</v>
      </c>
      <c r="G772" s="26">
        <f t="shared" ref="G772:I772" si="263">G746-G771</f>
        <v>5</v>
      </c>
      <c r="H772" s="26">
        <f t="shared" si="263"/>
        <v>6</v>
      </c>
      <c r="I772" s="26">
        <f t="shared" si="263"/>
        <v>20</v>
      </c>
      <c r="J772" s="38">
        <f t="shared" si="252"/>
        <v>38</v>
      </c>
    </row>
    <row r="775" spans="1:12" ht="18" thickBot="1" x14ac:dyDescent="0.25">
      <c r="A775" s="29" t="s">
        <v>17</v>
      </c>
      <c r="B775" s="1"/>
      <c r="C775" s="1"/>
      <c r="D775" s="1" t="s">
        <v>65</v>
      </c>
      <c r="E775" s="1"/>
      <c r="F775" s="1"/>
      <c r="G775" s="1"/>
      <c r="H775" s="1"/>
      <c r="I775" s="1"/>
      <c r="J775" s="1"/>
    </row>
    <row r="776" spans="1:12" ht="14.25" thickBot="1" x14ac:dyDescent="0.2">
      <c r="A776" s="2" t="s">
        <v>0</v>
      </c>
      <c r="B776" s="219" t="s">
        <v>14</v>
      </c>
      <c r="C776" s="220"/>
      <c r="D776" s="220"/>
      <c r="E776" s="221"/>
      <c r="F776" s="216" t="s">
        <v>15</v>
      </c>
      <c r="G776" s="217"/>
      <c r="H776" s="217"/>
      <c r="I776" s="218"/>
      <c r="J776" s="208" t="s">
        <v>10</v>
      </c>
    </row>
    <row r="777" spans="1:12" ht="14.25" thickBot="1" x14ac:dyDescent="0.2">
      <c r="A777" s="2" t="s">
        <v>1</v>
      </c>
      <c r="B777" s="3" t="s">
        <v>7</v>
      </c>
      <c r="C777" s="2" t="s">
        <v>8</v>
      </c>
      <c r="D777" s="2" t="s">
        <v>9</v>
      </c>
      <c r="E777" s="19" t="s">
        <v>2</v>
      </c>
      <c r="F777" s="2" t="s">
        <v>11</v>
      </c>
      <c r="G777" s="19" t="s">
        <v>12</v>
      </c>
      <c r="H777" s="2" t="s">
        <v>13</v>
      </c>
      <c r="I777" s="2" t="s">
        <v>2</v>
      </c>
      <c r="J777" s="209"/>
    </row>
    <row r="778" spans="1:12" ht="14.25" thickBot="1" x14ac:dyDescent="0.2">
      <c r="A778" s="3" t="s">
        <v>6</v>
      </c>
      <c r="B778" s="63">
        <f>B772</f>
        <v>8</v>
      </c>
      <c r="C778" s="64">
        <f>C772</f>
        <v>5</v>
      </c>
      <c r="D778" s="63">
        <f>D772</f>
        <v>5</v>
      </c>
      <c r="E778" s="65">
        <f t="shared" ref="E778:E782" si="264">SUM(B778:D778)</f>
        <v>18</v>
      </c>
      <c r="F778" s="63">
        <f>F772</f>
        <v>9</v>
      </c>
      <c r="G778" s="64">
        <f>G772</f>
        <v>5</v>
      </c>
      <c r="H778" s="63">
        <f>H772</f>
        <v>6</v>
      </c>
      <c r="I778" s="65">
        <f>SUM(F778:H778)</f>
        <v>20</v>
      </c>
      <c r="J778" s="34">
        <f t="shared" ref="J778:J815" si="265">SUM(I778,E778)</f>
        <v>38</v>
      </c>
    </row>
    <row r="779" spans="1:12" x14ac:dyDescent="0.15">
      <c r="A779" s="50" t="s">
        <v>3</v>
      </c>
      <c r="B779" s="13"/>
      <c r="C779" s="14">
        <v>10</v>
      </c>
      <c r="D779" s="13"/>
      <c r="E779" s="44">
        <f t="shared" si="264"/>
        <v>10</v>
      </c>
      <c r="F779" s="147"/>
      <c r="G779" s="14">
        <v>10</v>
      </c>
      <c r="H779" s="13"/>
      <c r="I779" s="8">
        <f t="shared" ref="I779:I782" si="266">SUM(F779:H779)</f>
        <v>10</v>
      </c>
      <c r="J779" s="145">
        <f t="shared" si="265"/>
        <v>20</v>
      </c>
      <c r="K779" s="32">
        <v>46002</v>
      </c>
    </row>
    <row r="780" spans="1:12" x14ac:dyDescent="0.15">
      <c r="A780" s="50" t="s">
        <v>3</v>
      </c>
      <c r="B780" s="13">
        <v>5</v>
      </c>
      <c r="C780" s="14">
        <v>10</v>
      </c>
      <c r="D780" s="13">
        <v>3</v>
      </c>
      <c r="E780" s="44">
        <f t="shared" si="264"/>
        <v>18</v>
      </c>
      <c r="F780" s="147">
        <v>5</v>
      </c>
      <c r="G780" s="14">
        <v>10</v>
      </c>
      <c r="H780" s="13">
        <v>3</v>
      </c>
      <c r="I780" s="8">
        <f t="shared" si="266"/>
        <v>18</v>
      </c>
      <c r="J780" s="145">
        <f t="shared" si="265"/>
        <v>36</v>
      </c>
      <c r="K780" s="32">
        <v>46009</v>
      </c>
    </row>
    <row r="781" spans="1:12" x14ac:dyDescent="0.15">
      <c r="A781" s="50" t="s">
        <v>3</v>
      </c>
      <c r="B781" s="13">
        <v>5</v>
      </c>
      <c r="C781" s="14"/>
      <c r="D781" s="13">
        <v>3</v>
      </c>
      <c r="E781" s="44">
        <f t="shared" si="264"/>
        <v>8</v>
      </c>
      <c r="F781" s="147">
        <v>5</v>
      </c>
      <c r="G781" s="14"/>
      <c r="H781" s="13">
        <v>3</v>
      </c>
      <c r="I781" s="8">
        <f t="shared" si="266"/>
        <v>8</v>
      </c>
      <c r="J781" s="145">
        <f t="shared" si="265"/>
        <v>16</v>
      </c>
      <c r="K781" s="32">
        <v>46015</v>
      </c>
    </row>
    <row r="782" spans="1:12" x14ac:dyDescent="0.15">
      <c r="A782" s="50" t="s">
        <v>3</v>
      </c>
      <c r="B782" s="13">
        <v>5</v>
      </c>
      <c r="C782" s="14"/>
      <c r="D782" s="13"/>
      <c r="E782" s="44">
        <f t="shared" si="264"/>
        <v>5</v>
      </c>
      <c r="F782" s="147"/>
      <c r="G782" s="14"/>
      <c r="H782" s="13">
        <v>5</v>
      </c>
      <c r="I782" s="8">
        <f t="shared" si="266"/>
        <v>5</v>
      </c>
      <c r="J782" s="145">
        <f t="shared" si="265"/>
        <v>10</v>
      </c>
      <c r="K782" s="32">
        <v>46029</v>
      </c>
    </row>
    <row r="783" spans="1:12" x14ac:dyDescent="0.15">
      <c r="A783" s="50" t="s">
        <v>3</v>
      </c>
      <c r="B783" s="13">
        <v>5</v>
      </c>
      <c r="C783" s="14">
        <v>10</v>
      </c>
      <c r="D783" s="13"/>
      <c r="E783" s="44">
        <f t="shared" ref="E783:E804" si="267">SUM(B783:D783)</f>
        <v>15</v>
      </c>
      <c r="F783" s="147"/>
      <c r="G783" s="14">
        <v>10</v>
      </c>
      <c r="H783" s="13"/>
      <c r="I783" s="8">
        <f t="shared" ref="I783:I814" si="268">SUM(F783:H783)</f>
        <v>10</v>
      </c>
      <c r="J783" s="145">
        <f t="shared" si="265"/>
        <v>25</v>
      </c>
      <c r="K783" s="32">
        <v>46037</v>
      </c>
    </row>
    <row r="784" spans="1:12" x14ac:dyDescent="0.15">
      <c r="A784" s="50" t="s">
        <v>3</v>
      </c>
      <c r="B784" s="13">
        <v>5</v>
      </c>
      <c r="C784" s="14">
        <v>5</v>
      </c>
      <c r="D784" s="13"/>
      <c r="E784" s="44">
        <f t="shared" si="267"/>
        <v>10</v>
      </c>
      <c r="F784" s="147"/>
      <c r="G784" s="14">
        <v>10</v>
      </c>
      <c r="H784" s="13"/>
      <c r="I784" s="8">
        <f t="shared" si="268"/>
        <v>10</v>
      </c>
      <c r="J784" s="145">
        <f t="shared" si="265"/>
        <v>20</v>
      </c>
      <c r="K784" s="32">
        <v>46038</v>
      </c>
      <c r="L784" s="33"/>
    </row>
    <row r="785" spans="1:11" x14ac:dyDescent="0.15">
      <c r="A785" s="50" t="s">
        <v>3</v>
      </c>
      <c r="B785" s="13"/>
      <c r="C785" s="14"/>
      <c r="D785" s="13">
        <v>10</v>
      </c>
      <c r="E785" s="44">
        <f t="shared" si="267"/>
        <v>10</v>
      </c>
      <c r="F785" s="147">
        <v>10</v>
      </c>
      <c r="G785" s="14"/>
      <c r="H785" s="13">
        <v>10</v>
      </c>
      <c r="I785" s="8">
        <f t="shared" si="268"/>
        <v>20</v>
      </c>
      <c r="J785" s="145">
        <f t="shared" si="265"/>
        <v>30</v>
      </c>
      <c r="K785" s="32">
        <v>46055</v>
      </c>
    </row>
    <row r="786" spans="1:11" x14ac:dyDescent="0.15">
      <c r="A786" s="50" t="s">
        <v>3</v>
      </c>
      <c r="B786" s="13"/>
      <c r="C786" s="14"/>
      <c r="D786" s="13"/>
      <c r="E786" s="44">
        <f t="shared" si="267"/>
        <v>0</v>
      </c>
      <c r="F786" s="147"/>
      <c r="G786" s="14"/>
      <c r="H786" s="13"/>
      <c r="I786" s="8">
        <f t="shared" si="268"/>
        <v>0</v>
      </c>
      <c r="J786" s="145">
        <f t="shared" si="265"/>
        <v>0</v>
      </c>
    </row>
    <row r="787" spans="1:11" x14ac:dyDescent="0.15">
      <c r="A787" s="50" t="s">
        <v>3</v>
      </c>
      <c r="B787" s="13"/>
      <c r="C787" s="14"/>
      <c r="D787" s="13"/>
      <c r="E787" s="44">
        <f t="shared" si="267"/>
        <v>0</v>
      </c>
      <c r="F787" s="147"/>
      <c r="G787" s="14"/>
      <c r="H787" s="13"/>
      <c r="I787" s="8">
        <f t="shared" si="268"/>
        <v>0</v>
      </c>
      <c r="J787" s="145">
        <f t="shared" si="265"/>
        <v>0</v>
      </c>
    </row>
    <row r="788" spans="1:11" ht="14.25" thickBot="1" x14ac:dyDescent="0.2">
      <c r="A788" s="50" t="s">
        <v>3</v>
      </c>
      <c r="B788" s="13"/>
      <c r="C788" s="14"/>
      <c r="D788" s="13"/>
      <c r="E788" s="44">
        <f t="shared" si="267"/>
        <v>0</v>
      </c>
      <c r="F788" s="147"/>
      <c r="G788" s="14"/>
      <c r="H788" s="13"/>
      <c r="I788" s="8">
        <f t="shared" si="268"/>
        <v>0</v>
      </c>
      <c r="J788" s="145">
        <f t="shared" si="265"/>
        <v>0</v>
      </c>
    </row>
    <row r="789" spans="1:11" ht="14.25" thickBot="1" x14ac:dyDescent="0.2">
      <c r="A789" s="51" t="s">
        <v>4</v>
      </c>
      <c r="B789" s="22">
        <f>SUM(B778:B788)</f>
        <v>33</v>
      </c>
      <c r="C789" s="22">
        <f>SUM(C778:C788)</f>
        <v>40</v>
      </c>
      <c r="D789" s="22">
        <f t="shared" ref="D789" si="269">SUM(D778:D788)</f>
        <v>21</v>
      </c>
      <c r="E789" s="43">
        <f t="shared" si="267"/>
        <v>94</v>
      </c>
      <c r="F789" s="150">
        <f>SUM(F778:F788)</f>
        <v>29</v>
      </c>
      <c r="G789" s="22">
        <f t="shared" ref="G789:H789" si="270">SUM(G778:G788)</f>
        <v>45</v>
      </c>
      <c r="H789" s="22">
        <f t="shared" si="270"/>
        <v>27</v>
      </c>
      <c r="I789" s="43">
        <f t="shared" si="268"/>
        <v>101</v>
      </c>
      <c r="J789" s="34">
        <f t="shared" si="265"/>
        <v>195</v>
      </c>
    </row>
    <row r="790" spans="1:11" x14ac:dyDescent="0.15">
      <c r="A790" s="39" t="s">
        <v>16</v>
      </c>
      <c r="B790" s="10">
        <v>1</v>
      </c>
      <c r="C790" s="11">
        <v>2</v>
      </c>
      <c r="D790" s="10"/>
      <c r="E790" s="48">
        <f t="shared" si="267"/>
        <v>3</v>
      </c>
      <c r="F790" s="10">
        <v>1</v>
      </c>
      <c r="G790" s="11"/>
      <c r="H790" s="10"/>
      <c r="I790" s="44">
        <f t="shared" si="268"/>
        <v>1</v>
      </c>
      <c r="J790" s="31">
        <f t="shared" si="265"/>
        <v>4</v>
      </c>
      <c r="K790" s="37">
        <v>45999</v>
      </c>
    </row>
    <row r="791" spans="1:11" x14ac:dyDescent="0.15">
      <c r="A791" s="39" t="s">
        <v>16</v>
      </c>
      <c r="B791" s="10"/>
      <c r="C791" s="11"/>
      <c r="D791" s="10">
        <v>1</v>
      </c>
      <c r="E791" s="48">
        <f t="shared" si="267"/>
        <v>1</v>
      </c>
      <c r="F791" s="10">
        <v>2</v>
      </c>
      <c r="G791" s="11"/>
      <c r="H791" s="10">
        <v>1</v>
      </c>
      <c r="I791" s="44">
        <f t="shared" si="268"/>
        <v>3</v>
      </c>
      <c r="J791" s="31">
        <f t="shared" si="265"/>
        <v>4</v>
      </c>
      <c r="K791" s="37">
        <v>46003</v>
      </c>
    </row>
    <row r="792" spans="1:11" x14ac:dyDescent="0.15">
      <c r="A792" s="39" t="s">
        <v>108</v>
      </c>
      <c r="B792" s="10">
        <v>-1</v>
      </c>
      <c r="C792" s="11"/>
      <c r="D792" s="10"/>
      <c r="E792" s="48">
        <f t="shared" si="267"/>
        <v>-1</v>
      </c>
      <c r="F792" s="10">
        <v>-1</v>
      </c>
      <c r="G792" s="11"/>
      <c r="H792" s="10"/>
      <c r="I792" s="44">
        <f t="shared" si="268"/>
        <v>-1</v>
      </c>
      <c r="J792" s="31">
        <f t="shared" si="265"/>
        <v>-2</v>
      </c>
      <c r="K792" s="37">
        <v>46003</v>
      </c>
    </row>
    <row r="793" spans="1:11" x14ac:dyDescent="0.15">
      <c r="A793" s="39" t="s">
        <v>16</v>
      </c>
      <c r="B793" s="10">
        <v>2</v>
      </c>
      <c r="C793" s="11">
        <v>6</v>
      </c>
      <c r="D793" s="10"/>
      <c r="E793" s="48">
        <f t="shared" si="267"/>
        <v>8</v>
      </c>
      <c r="F793" s="10">
        <v>2</v>
      </c>
      <c r="G793" s="11">
        <v>6</v>
      </c>
      <c r="H793" s="10"/>
      <c r="I793" s="44">
        <f t="shared" si="268"/>
        <v>8</v>
      </c>
      <c r="J793" s="31">
        <f t="shared" si="265"/>
        <v>16</v>
      </c>
      <c r="K793" s="37">
        <v>46006</v>
      </c>
    </row>
    <row r="794" spans="1:11" x14ac:dyDescent="0.15">
      <c r="A794" s="39" t="s">
        <v>16</v>
      </c>
      <c r="B794" s="10">
        <v>1</v>
      </c>
      <c r="C794" s="11"/>
      <c r="D794" s="10">
        <v>1</v>
      </c>
      <c r="E794" s="48">
        <f t="shared" si="267"/>
        <v>2</v>
      </c>
      <c r="F794" s="10">
        <v>1</v>
      </c>
      <c r="G794" s="11"/>
      <c r="H794" s="10">
        <f>1+2</f>
        <v>3</v>
      </c>
      <c r="I794" s="44">
        <f t="shared" si="268"/>
        <v>4</v>
      </c>
      <c r="J794" s="31">
        <f t="shared" si="265"/>
        <v>6</v>
      </c>
      <c r="K794" s="37">
        <v>46010</v>
      </c>
    </row>
    <row r="795" spans="1:11" x14ac:dyDescent="0.15">
      <c r="A795" s="39" t="s">
        <v>16</v>
      </c>
      <c r="B795" s="10"/>
      <c r="C795" s="11">
        <v>1</v>
      </c>
      <c r="D795" s="10">
        <v>1</v>
      </c>
      <c r="E795" s="48">
        <f t="shared" si="267"/>
        <v>2</v>
      </c>
      <c r="F795" s="10"/>
      <c r="G795" s="11">
        <v>1</v>
      </c>
      <c r="H795" s="10">
        <v>1</v>
      </c>
      <c r="I795" s="44">
        <f t="shared" si="268"/>
        <v>2</v>
      </c>
      <c r="J795" s="31">
        <f t="shared" si="265"/>
        <v>4</v>
      </c>
      <c r="K795" s="37">
        <v>46013</v>
      </c>
    </row>
    <row r="796" spans="1:11" x14ac:dyDescent="0.15">
      <c r="A796" s="39" t="s">
        <v>16</v>
      </c>
      <c r="B796" s="10"/>
      <c r="C796" s="11">
        <v>1</v>
      </c>
      <c r="D796" s="10"/>
      <c r="E796" s="48">
        <f t="shared" si="267"/>
        <v>1</v>
      </c>
      <c r="F796" s="10"/>
      <c r="G796" s="11">
        <v>1</v>
      </c>
      <c r="H796" s="10"/>
      <c r="I796" s="44">
        <f t="shared" si="268"/>
        <v>1</v>
      </c>
      <c r="J796" s="31">
        <f t="shared" si="265"/>
        <v>2</v>
      </c>
      <c r="K796" s="37">
        <v>46014</v>
      </c>
    </row>
    <row r="797" spans="1:11" x14ac:dyDescent="0.15">
      <c r="A797" s="39" t="s">
        <v>16</v>
      </c>
      <c r="B797" s="10"/>
      <c r="C797" s="11"/>
      <c r="D797" s="10"/>
      <c r="E797" s="48">
        <f t="shared" si="267"/>
        <v>0</v>
      </c>
      <c r="F797" s="10"/>
      <c r="G797" s="11"/>
      <c r="H797" s="10">
        <v>2</v>
      </c>
      <c r="I797" s="44">
        <f t="shared" si="268"/>
        <v>2</v>
      </c>
      <c r="J797" s="31">
        <f t="shared" si="265"/>
        <v>2</v>
      </c>
      <c r="K797" s="37">
        <v>46015</v>
      </c>
    </row>
    <row r="798" spans="1:11" x14ac:dyDescent="0.15">
      <c r="A798" s="39" t="s">
        <v>16</v>
      </c>
      <c r="B798" s="10">
        <v>3</v>
      </c>
      <c r="C798" s="11"/>
      <c r="D798" s="10"/>
      <c r="E798" s="48">
        <f t="shared" si="267"/>
        <v>3</v>
      </c>
      <c r="F798" s="10">
        <v>1</v>
      </c>
      <c r="G798" s="11"/>
      <c r="H798" s="10"/>
      <c r="I798" s="44">
        <f t="shared" si="268"/>
        <v>1</v>
      </c>
      <c r="J798" s="31">
        <f t="shared" si="265"/>
        <v>4</v>
      </c>
      <c r="K798" s="37">
        <v>46016</v>
      </c>
    </row>
    <row r="799" spans="1:11" x14ac:dyDescent="0.15">
      <c r="A799" s="39" t="s">
        <v>16</v>
      </c>
      <c r="B799" s="10">
        <v>2</v>
      </c>
      <c r="C799" s="11"/>
      <c r="D799" s="10"/>
      <c r="E799" s="48">
        <f t="shared" si="267"/>
        <v>2</v>
      </c>
      <c r="F799" s="10"/>
      <c r="G799" s="11"/>
      <c r="H799" s="10">
        <v>2</v>
      </c>
      <c r="I799" s="44">
        <f t="shared" si="268"/>
        <v>2</v>
      </c>
      <c r="J799" s="31">
        <f t="shared" si="265"/>
        <v>4</v>
      </c>
      <c r="K799" s="37">
        <v>46017</v>
      </c>
    </row>
    <row r="800" spans="1:11" x14ac:dyDescent="0.15">
      <c r="A800" s="39" t="s">
        <v>16</v>
      </c>
      <c r="B800" s="10">
        <v>4</v>
      </c>
      <c r="C800" s="11">
        <v>6</v>
      </c>
      <c r="D800" s="10"/>
      <c r="E800" s="48">
        <f t="shared" si="267"/>
        <v>10</v>
      </c>
      <c r="F800" s="10">
        <v>2</v>
      </c>
      <c r="G800" s="11">
        <v>6</v>
      </c>
      <c r="H800" s="10"/>
      <c r="I800" s="44">
        <f t="shared" si="268"/>
        <v>8</v>
      </c>
      <c r="J800" s="31">
        <f t="shared" si="265"/>
        <v>18</v>
      </c>
      <c r="K800" s="37">
        <v>46027</v>
      </c>
    </row>
    <row r="801" spans="1:11" x14ac:dyDescent="0.15">
      <c r="A801" s="39" t="s">
        <v>16</v>
      </c>
      <c r="B801" s="10">
        <v>1</v>
      </c>
      <c r="C801" s="11">
        <v>1</v>
      </c>
      <c r="D801" s="10"/>
      <c r="E801" s="48">
        <f t="shared" si="267"/>
        <v>2</v>
      </c>
      <c r="F801" s="10">
        <v>1</v>
      </c>
      <c r="G801" s="11">
        <v>1</v>
      </c>
      <c r="H801" s="10"/>
      <c r="I801" s="44">
        <f t="shared" si="268"/>
        <v>2</v>
      </c>
      <c r="J801" s="31">
        <f t="shared" si="265"/>
        <v>4</v>
      </c>
      <c r="K801" s="37">
        <v>46028</v>
      </c>
    </row>
    <row r="802" spans="1:11" x14ac:dyDescent="0.15">
      <c r="A802" s="39" t="s">
        <v>16</v>
      </c>
      <c r="B802" s="10"/>
      <c r="C802" s="11"/>
      <c r="D802" s="10"/>
      <c r="E802" s="48">
        <f t="shared" si="267"/>
        <v>0</v>
      </c>
      <c r="F802" s="10"/>
      <c r="G802" s="11">
        <v>2</v>
      </c>
      <c r="H802" s="10"/>
      <c r="I802" s="44">
        <f t="shared" si="268"/>
        <v>2</v>
      </c>
      <c r="J802" s="31">
        <f t="shared" si="265"/>
        <v>2</v>
      </c>
      <c r="K802" s="37">
        <v>46029</v>
      </c>
    </row>
    <row r="803" spans="1:11" x14ac:dyDescent="0.15">
      <c r="A803" s="39" t="s">
        <v>16</v>
      </c>
      <c r="B803" s="10">
        <v>1</v>
      </c>
      <c r="C803" s="11"/>
      <c r="D803" s="10">
        <v>2</v>
      </c>
      <c r="E803" s="48">
        <f t="shared" si="267"/>
        <v>3</v>
      </c>
      <c r="F803" s="10">
        <v>1</v>
      </c>
      <c r="G803" s="11"/>
      <c r="H803" s="10">
        <v>2</v>
      </c>
      <c r="I803" s="44">
        <f t="shared" si="268"/>
        <v>3</v>
      </c>
      <c r="J803" s="31">
        <f t="shared" si="265"/>
        <v>6</v>
      </c>
      <c r="K803" s="37">
        <v>46031</v>
      </c>
    </row>
    <row r="804" spans="1:11" x14ac:dyDescent="0.15">
      <c r="A804" s="39" t="s">
        <v>16</v>
      </c>
      <c r="B804" s="10"/>
      <c r="C804" s="11">
        <v>2</v>
      </c>
      <c r="D804" s="10"/>
      <c r="E804" s="48">
        <f t="shared" si="267"/>
        <v>2</v>
      </c>
      <c r="F804" s="10"/>
      <c r="G804" s="11">
        <v>2</v>
      </c>
      <c r="H804" s="10"/>
      <c r="I804" s="44">
        <f t="shared" si="268"/>
        <v>2</v>
      </c>
      <c r="J804" s="31">
        <f t="shared" si="265"/>
        <v>4</v>
      </c>
      <c r="K804" s="37">
        <v>46032</v>
      </c>
    </row>
    <row r="805" spans="1:11" x14ac:dyDescent="0.15">
      <c r="A805" s="39" t="s">
        <v>16</v>
      </c>
      <c r="B805" s="10">
        <v>4</v>
      </c>
      <c r="C805" s="11">
        <v>2</v>
      </c>
      <c r="D805" s="10"/>
      <c r="E805" s="48">
        <f>SUM(B805:D805)</f>
        <v>6</v>
      </c>
      <c r="F805" s="10"/>
      <c r="G805" s="11">
        <v>4</v>
      </c>
      <c r="H805" s="10"/>
      <c r="I805" s="44">
        <f t="shared" si="268"/>
        <v>4</v>
      </c>
      <c r="J805" s="31">
        <f t="shared" si="265"/>
        <v>10</v>
      </c>
      <c r="K805" s="37">
        <v>46035</v>
      </c>
    </row>
    <row r="806" spans="1:11" x14ac:dyDescent="0.15">
      <c r="A806" s="39" t="s">
        <v>16</v>
      </c>
      <c r="B806" s="10"/>
      <c r="C806" s="11"/>
      <c r="D806" s="10">
        <v>2</v>
      </c>
      <c r="E806" s="48">
        <f t="shared" ref="E806:E814" si="271">SUM(B806:D806)</f>
        <v>2</v>
      </c>
      <c r="F806" s="10">
        <v>2</v>
      </c>
      <c r="G806" s="11"/>
      <c r="H806" s="10">
        <v>2</v>
      </c>
      <c r="I806" s="44">
        <f t="shared" si="268"/>
        <v>4</v>
      </c>
      <c r="J806" s="31">
        <f t="shared" si="265"/>
        <v>6</v>
      </c>
      <c r="K806" s="37">
        <v>46037</v>
      </c>
    </row>
    <row r="807" spans="1:11" x14ac:dyDescent="0.15">
      <c r="A807" s="39" t="s">
        <v>16</v>
      </c>
      <c r="B807" s="10"/>
      <c r="C807" s="11"/>
      <c r="D807" s="10">
        <v>2</v>
      </c>
      <c r="E807" s="48">
        <f t="shared" si="271"/>
        <v>2</v>
      </c>
      <c r="F807" s="10"/>
      <c r="G807" s="11"/>
      <c r="H807" s="10"/>
      <c r="I807" s="44">
        <f t="shared" si="268"/>
        <v>0</v>
      </c>
      <c r="J807" s="31">
        <f t="shared" si="265"/>
        <v>2</v>
      </c>
      <c r="K807" s="37">
        <v>46038</v>
      </c>
    </row>
    <row r="808" spans="1:11" x14ac:dyDescent="0.15">
      <c r="A808" s="39" t="s">
        <v>16</v>
      </c>
      <c r="B808" s="10"/>
      <c r="C808" s="11"/>
      <c r="D808" s="10"/>
      <c r="E808" s="48">
        <f t="shared" si="271"/>
        <v>0</v>
      </c>
      <c r="F808" s="10"/>
      <c r="G808" s="11"/>
      <c r="H808" s="10">
        <v>2</v>
      </c>
      <c r="I808" s="44">
        <f t="shared" si="268"/>
        <v>2</v>
      </c>
      <c r="J808" s="31">
        <f t="shared" si="265"/>
        <v>2</v>
      </c>
      <c r="K808" s="37">
        <v>46041</v>
      </c>
    </row>
    <row r="809" spans="1:11" x14ac:dyDescent="0.15">
      <c r="A809" s="39" t="s">
        <v>16</v>
      </c>
      <c r="B809" s="10"/>
      <c r="C809" s="11"/>
      <c r="D809" s="10"/>
      <c r="E809" s="48">
        <f t="shared" si="271"/>
        <v>0</v>
      </c>
      <c r="F809" s="10"/>
      <c r="G809" s="11">
        <v>2</v>
      </c>
      <c r="H809" s="10"/>
      <c r="I809" s="44">
        <f t="shared" si="268"/>
        <v>2</v>
      </c>
      <c r="J809" s="31">
        <f t="shared" si="265"/>
        <v>2</v>
      </c>
      <c r="K809" s="37">
        <v>46042</v>
      </c>
    </row>
    <row r="810" spans="1:11" x14ac:dyDescent="0.15">
      <c r="A810" s="39" t="s">
        <v>16</v>
      </c>
      <c r="B810" s="10">
        <v>1</v>
      </c>
      <c r="C810" s="11"/>
      <c r="D810" s="10"/>
      <c r="E810" s="48">
        <f t="shared" si="271"/>
        <v>1</v>
      </c>
      <c r="F810" s="10">
        <v>1</v>
      </c>
      <c r="G810" s="11">
        <v>2</v>
      </c>
      <c r="H810" s="10"/>
      <c r="I810" s="44">
        <f t="shared" si="268"/>
        <v>3</v>
      </c>
      <c r="J810" s="31">
        <f t="shared" si="265"/>
        <v>4</v>
      </c>
      <c r="K810" s="37">
        <v>46045</v>
      </c>
    </row>
    <row r="811" spans="1:11" x14ac:dyDescent="0.15">
      <c r="A811" s="39" t="s">
        <v>16</v>
      </c>
      <c r="B811" s="10">
        <v>3</v>
      </c>
      <c r="C811" s="11">
        <v>2</v>
      </c>
      <c r="D811" s="10"/>
      <c r="E811" s="48">
        <f t="shared" si="271"/>
        <v>5</v>
      </c>
      <c r="F811" s="10">
        <v>3</v>
      </c>
      <c r="G811" s="11">
        <v>4</v>
      </c>
      <c r="H811" s="10">
        <v>2</v>
      </c>
      <c r="I811" s="44">
        <f t="shared" si="268"/>
        <v>9</v>
      </c>
      <c r="J811" s="31">
        <f t="shared" si="265"/>
        <v>14</v>
      </c>
      <c r="K811" s="37">
        <v>46048</v>
      </c>
    </row>
    <row r="812" spans="1:11" x14ac:dyDescent="0.15">
      <c r="A812" s="39" t="s">
        <v>16</v>
      </c>
      <c r="B812" s="10"/>
      <c r="C812" s="11"/>
      <c r="D812" s="10"/>
      <c r="E812" s="48">
        <f t="shared" si="271"/>
        <v>0</v>
      </c>
      <c r="F812" s="10">
        <v>2</v>
      </c>
      <c r="G812" s="11"/>
      <c r="H812" s="10"/>
      <c r="I812" s="44">
        <f t="shared" si="268"/>
        <v>2</v>
      </c>
      <c r="J812" s="31">
        <f t="shared" si="265"/>
        <v>2</v>
      </c>
      <c r="K812" s="37">
        <v>46050</v>
      </c>
    </row>
    <row r="813" spans="1:11" ht="14.25" thickBot="1" x14ac:dyDescent="0.2">
      <c r="A813" s="39" t="s">
        <v>16</v>
      </c>
      <c r="B813" s="13"/>
      <c r="C813" s="14"/>
      <c r="D813" s="13">
        <v>2</v>
      </c>
      <c r="E813" s="59">
        <f t="shared" si="271"/>
        <v>2</v>
      </c>
      <c r="F813" s="13"/>
      <c r="G813" s="14"/>
      <c r="H813" s="13"/>
      <c r="I813" s="60">
        <f t="shared" si="268"/>
        <v>0</v>
      </c>
      <c r="J813" s="36">
        <f t="shared" si="265"/>
        <v>2</v>
      </c>
      <c r="K813" s="37">
        <v>46051</v>
      </c>
    </row>
    <row r="814" spans="1:11" ht="14.25" thickBot="1" x14ac:dyDescent="0.2">
      <c r="A814" s="3" t="s">
        <v>5</v>
      </c>
      <c r="B814" s="16">
        <f>SUM(B790:B813)</f>
        <v>22</v>
      </c>
      <c r="C814" s="61">
        <f>SUM(C790:C813)</f>
        <v>23</v>
      </c>
      <c r="D814" s="16">
        <f t="shared" ref="D814" si="272">SUM(D790:D813)</f>
        <v>11</v>
      </c>
      <c r="E814" s="65">
        <f t="shared" si="271"/>
        <v>56</v>
      </c>
      <c r="F814" s="15">
        <f>SUM(F790:F813)</f>
        <v>18</v>
      </c>
      <c r="G814" s="15">
        <f t="shared" ref="G814:H814" si="273">SUM(G790:G813)</f>
        <v>31</v>
      </c>
      <c r="H814" s="15">
        <f t="shared" si="273"/>
        <v>17</v>
      </c>
      <c r="I814" s="16">
        <f t="shared" si="268"/>
        <v>66</v>
      </c>
      <c r="J814" s="34">
        <f t="shared" si="265"/>
        <v>122</v>
      </c>
    </row>
    <row r="815" spans="1:11" ht="14.25" thickBot="1" x14ac:dyDescent="0.2">
      <c r="A815" s="25" t="s">
        <v>6</v>
      </c>
      <c r="B815" s="26">
        <f>B789-B814</f>
        <v>11</v>
      </c>
      <c r="C815" s="26">
        <f t="shared" ref="C815:E815" si="274">C789-C814</f>
        <v>17</v>
      </c>
      <c r="D815" s="24">
        <f t="shared" si="274"/>
        <v>10</v>
      </c>
      <c r="E815" s="47">
        <f t="shared" si="274"/>
        <v>38</v>
      </c>
      <c r="F815" s="26">
        <f>F789-F814</f>
        <v>11</v>
      </c>
      <c r="G815" s="26">
        <f t="shared" ref="G815:I815" si="275">G789-G814</f>
        <v>14</v>
      </c>
      <c r="H815" s="26">
        <f t="shared" si="275"/>
        <v>10</v>
      </c>
      <c r="I815" s="26">
        <f t="shared" si="275"/>
        <v>35</v>
      </c>
      <c r="J815" s="38">
        <f t="shared" si="265"/>
        <v>73</v>
      </c>
    </row>
    <row r="818" spans="1:14" ht="18" thickBot="1" x14ac:dyDescent="0.25">
      <c r="A818" s="29" t="s">
        <v>17</v>
      </c>
      <c r="B818" s="1"/>
      <c r="C818" s="1"/>
      <c r="D818" s="1" t="s">
        <v>65</v>
      </c>
      <c r="E818" s="1"/>
      <c r="F818" s="1"/>
      <c r="G818" s="1"/>
      <c r="H818" s="1"/>
      <c r="I818" s="1"/>
      <c r="J818" s="1"/>
    </row>
    <row r="819" spans="1:14" ht="14.25" thickBot="1" x14ac:dyDescent="0.2">
      <c r="A819" s="2" t="s">
        <v>0</v>
      </c>
      <c r="B819" s="219" t="s">
        <v>14</v>
      </c>
      <c r="C819" s="220"/>
      <c r="D819" s="220"/>
      <c r="E819" s="221"/>
      <c r="F819" s="216" t="s">
        <v>15</v>
      </c>
      <c r="G819" s="217"/>
      <c r="H819" s="217"/>
      <c r="I819" s="218"/>
      <c r="J819" s="208" t="s">
        <v>10</v>
      </c>
    </row>
    <row r="820" spans="1:14" ht="14.25" thickBot="1" x14ac:dyDescent="0.2">
      <c r="A820" s="2" t="s">
        <v>1</v>
      </c>
      <c r="B820" s="3" t="s">
        <v>7</v>
      </c>
      <c r="C820" s="2" t="s">
        <v>8</v>
      </c>
      <c r="D820" s="2" t="s">
        <v>9</v>
      </c>
      <c r="E820" s="19" t="s">
        <v>2</v>
      </c>
      <c r="F820" s="2" t="s">
        <v>11</v>
      </c>
      <c r="G820" s="19" t="s">
        <v>12</v>
      </c>
      <c r="H820" s="2" t="s">
        <v>13</v>
      </c>
      <c r="I820" s="2" t="s">
        <v>2</v>
      </c>
      <c r="J820" s="209"/>
    </row>
    <row r="821" spans="1:14" ht="14.25" thickBot="1" x14ac:dyDescent="0.2">
      <c r="A821" s="3" t="s">
        <v>6</v>
      </c>
      <c r="B821" s="63">
        <f>B815</f>
        <v>11</v>
      </c>
      <c r="C821" s="64">
        <f>C815</f>
        <v>17</v>
      </c>
      <c r="D821" s="63">
        <f>D815</f>
        <v>10</v>
      </c>
      <c r="E821" s="65">
        <f t="shared" ref="E821:E847" si="276">SUM(B821:D821)</f>
        <v>38</v>
      </c>
      <c r="F821" s="63">
        <f>F815</f>
        <v>11</v>
      </c>
      <c r="G821" s="64">
        <f>G815</f>
        <v>14</v>
      </c>
      <c r="H821" s="63">
        <f>H815</f>
        <v>10</v>
      </c>
      <c r="I821" s="65">
        <f>SUM(F821:H821)</f>
        <v>35</v>
      </c>
      <c r="J821" s="34">
        <f t="shared" ref="J821:J858" si="277">SUM(I821,E821)</f>
        <v>73</v>
      </c>
    </row>
    <row r="822" spans="1:14" x14ac:dyDescent="0.15">
      <c r="A822" s="50" t="s">
        <v>3</v>
      </c>
      <c r="B822" s="13">
        <v>5</v>
      </c>
      <c r="C822" s="14">
        <v>10</v>
      </c>
      <c r="D822" s="13"/>
      <c r="E822" s="44">
        <f t="shared" si="276"/>
        <v>15</v>
      </c>
      <c r="F822" s="147">
        <v>10</v>
      </c>
      <c r="G822" s="14">
        <v>10</v>
      </c>
      <c r="H822" s="13"/>
      <c r="I822" s="8">
        <f t="shared" ref="I822:I825" si="278">SUM(F822:H822)</f>
        <v>20</v>
      </c>
      <c r="J822" s="145">
        <f t="shared" si="277"/>
        <v>35</v>
      </c>
      <c r="K822" s="32">
        <v>46072</v>
      </c>
      <c r="L822" s="33"/>
    </row>
    <row r="823" spans="1:14" x14ac:dyDescent="0.15">
      <c r="A823" s="50" t="s">
        <v>3</v>
      </c>
      <c r="B823" s="13"/>
      <c r="C823" s="14"/>
      <c r="D823" s="13">
        <v>5</v>
      </c>
      <c r="E823" s="44">
        <f t="shared" si="276"/>
        <v>5</v>
      </c>
      <c r="F823" s="147"/>
      <c r="G823" s="14"/>
      <c r="H823" s="13">
        <v>5</v>
      </c>
      <c r="I823" s="8">
        <f t="shared" si="278"/>
        <v>5</v>
      </c>
      <c r="J823" s="145">
        <f t="shared" si="277"/>
        <v>10</v>
      </c>
      <c r="K823" s="32">
        <v>46080</v>
      </c>
    </row>
    <row r="824" spans="1:14" x14ac:dyDescent="0.15">
      <c r="A824" s="50" t="s">
        <v>60</v>
      </c>
      <c r="B824" s="13">
        <v>-1</v>
      </c>
      <c r="C824" s="14">
        <v>-1</v>
      </c>
      <c r="D824" s="13">
        <v>2</v>
      </c>
      <c r="E824" s="44">
        <f t="shared" si="276"/>
        <v>0</v>
      </c>
      <c r="F824" s="147">
        <v>-1</v>
      </c>
      <c r="G824" s="14">
        <v>-1</v>
      </c>
      <c r="H824" s="13">
        <v>2</v>
      </c>
      <c r="I824" s="8">
        <f t="shared" si="278"/>
        <v>0</v>
      </c>
      <c r="J824" s="145">
        <f t="shared" si="277"/>
        <v>0</v>
      </c>
      <c r="K824" s="32">
        <v>46085</v>
      </c>
    </row>
    <row r="825" spans="1:14" x14ac:dyDescent="0.15">
      <c r="A825" s="50" t="s">
        <v>3</v>
      </c>
      <c r="B825" s="13">
        <v>10</v>
      </c>
      <c r="C825" s="14">
        <v>5</v>
      </c>
      <c r="D825" s="13"/>
      <c r="E825" s="44">
        <f t="shared" si="276"/>
        <v>15</v>
      </c>
      <c r="F825" s="147">
        <v>10</v>
      </c>
      <c r="G825" s="14">
        <v>5</v>
      </c>
      <c r="H825" s="13"/>
      <c r="I825" s="8">
        <f t="shared" si="278"/>
        <v>15</v>
      </c>
      <c r="J825" s="145">
        <f t="shared" si="277"/>
        <v>30</v>
      </c>
      <c r="K825" s="32">
        <v>46094</v>
      </c>
    </row>
    <row r="826" spans="1:14" x14ac:dyDescent="0.15">
      <c r="A826" s="50" t="s">
        <v>3</v>
      </c>
      <c r="B826" s="13">
        <v>5</v>
      </c>
      <c r="C826" s="14"/>
      <c r="D826" s="13">
        <v>10</v>
      </c>
      <c r="E826" s="44">
        <f t="shared" si="276"/>
        <v>15</v>
      </c>
      <c r="F826" s="147">
        <v>5</v>
      </c>
      <c r="G826" s="14">
        <v>15</v>
      </c>
      <c r="H826" s="13">
        <v>10</v>
      </c>
      <c r="I826" s="8">
        <f t="shared" ref="I826:I857" si="279">SUM(F826:H826)</f>
        <v>30</v>
      </c>
      <c r="J826" s="145">
        <f t="shared" si="277"/>
        <v>45</v>
      </c>
      <c r="K826" s="32">
        <v>46115</v>
      </c>
    </row>
    <row r="827" spans="1:14" x14ac:dyDescent="0.15">
      <c r="A827" s="50" t="s">
        <v>110</v>
      </c>
      <c r="B827" s="13"/>
      <c r="C827" s="14">
        <v>15</v>
      </c>
      <c r="D827" s="13"/>
      <c r="E827" s="44">
        <f t="shared" si="276"/>
        <v>15</v>
      </c>
      <c r="F827" s="147"/>
      <c r="G827" s="14"/>
      <c r="H827" s="13"/>
      <c r="I827" s="8">
        <f t="shared" si="279"/>
        <v>0</v>
      </c>
      <c r="J827" s="145">
        <f t="shared" si="277"/>
        <v>15</v>
      </c>
      <c r="K827" s="32">
        <v>46129</v>
      </c>
    </row>
    <row r="828" spans="1:14" x14ac:dyDescent="0.15">
      <c r="A828" s="50" t="s">
        <v>3</v>
      </c>
      <c r="B828" s="13"/>
      <c r="C828" s="14"/>
      <c r="D828" s="13"/>
      <c r="E828" s="44">
        <f t="shared" si="276"/>
        <v>0</v>
      </c>
      <c r="F828" s="147"/>
      <c r="G828" s="14"/>
      <c r="H828" s="13"/>
      <c r="I828" s="8">
        <f t="shared" si="279"/>
        <v>0</v>
      </c>
      <c r="J828" s="145">
        <f t="shared" si="277"/>
        <v>0</v>
      </c>
      <c r="K828" s="33"/>
      <c r="L828" s="33"/>
      <c r="M828" s="33"/>
      <c r="N828" s="33"/>
    </row>
    <row r="829" spans="1:14" x14ac:dyDescent="0.15">
      <c r="A829" s="50" t="s">
        <v>3</v>
      </c>
      <c r="B829" s="13"/>
      <c r="C829" s="14"/>
      <c r="D829" s="13"/>
      <c r="E829" s="44">
        <f t="shared" si="276"/>
        <v>0</v>
      </c>
      <c r="F829" s="147"/>
      <c r="G829" s="14"/>
      <c r="H829" s="13"/>
      <c r="I829" s="8">
        <f t="shared" si="279"/>
        <v>0</v>
      </c>
      <c r="J829" s="145">
        <f t="shared" si="277"/>
        <v>0</v>
      </c>
    </row>
    <row r="830" spans="1:14" x14ac:dyDescent="0.15">
      <c r="A830" s="50" t="s">
        <v>3</v>
      </c>
      <c r="B830" s="13"/>
      <c r="C830" s="14"/>
      <c r="D830" s="13"/>
      <c r="E830" s="44">
        <f t="shared" si="276"/>
        <v>0</v>
      </c>
      <c r="F830" s="147"/>
      <c r="G830" s="14"/>
      <c r="H830" s="13"/>
      <c r="I830" s="8">
        <f t="shared" si="279"/>
        <v>0</v>
      </c>
      <c r="J830" s="145">
        <f t="shared" si="277"/>
        <v>0</v>
      </c>
    </row>
    <row r="831" spans="1:14" ht="14.25" thickBot="1" x14ac:dyDescent="0.2">
      <c r="A831" s="50" t="s">
        <v>3</v>
      </c>
      <c r="B831" s="13"/>
      <c r="C831" s="14"/>
      <c r="D831" s="13"/>
      <c r="E831" s="44">
        <f t="shared" si="276"/>
        <v>0</v>
      </c>
      <c r="F831" s="147"/>
      <c r="G831" s="14"/>
      <c r="H831" s="13"/>
      <c r="I831" s="8">
        <f t="shared" si="279"/>
        <v>0</v>
      </c>
      <c r="J831" s="145">
        <f t="shared" si="277"/>
        <v>0</v>
      </c>
    </row>
    <row r="832" spans="1:14" ht="14.25" thickBot="1" x14ac:dyDescent="0.2">
      <c r="A832" s="51" t="s">
        <v>4</v>
      </c>
      <c r="B832" s="22">
        <f>SUM(B821:B831)</f>
        <v>30</v>
      </c>
      <c r="C832" s="22">
        <f>SUM(C821:C831)</f>
        <v>46</v>
      </c>
      <c r="D832" s="22">
        <f t="shared" ref="D832" si="280">SUM(D821:D831)</f>
        <v>27</v>
      </c>
      <c r="E832" s="43">
        <f t="shared" si="276"/>
        <v>103</v>
      </c>
      <c r="F832" s="150">
        <f>SUM(F821:F831)</f>
        <v>35</v>
      </c>
      <c r="G832" s="22">
        <f t="shared" ref="G832:H832" si="281">SUM(G821:G831)</f>
        <v>43</v>
      </c>
      <c r="H832" s="22">
        <f t="shared" si="281"/>
        <v>27</v>
      </c>
      <c r="I832" s="43">
        <f t="shared" si="279"/>
        <v>105</v>
      </c>
      <c r="J832" s="34">
        <f t="shared" si="277"/>
        <v>208</v>
      </c>
    </row>
    <row r="833" spans="1:11" x14ac:dyDescent="0.15">
      <c r="A833" s="39" t="s">
        <v>16</v>
      </c>
      <c r="B833" s="10"/>
      <c r="C833" s="11">
        <v>1</v>
      </c>
      <c r="D833" s="10"/>
      <c r="E833" s="48">
        <f t="shared" si="276"/>
        <v>1</v>
      </c>
      <c r="F833" s="10"/>
      <c r="G833" s="11">
        <v>1</v>
      </c>
      <c r="H833" s="10"/>
      <c r="I833" s="44">
        <f t="shared" si="279"/>
        <v>1</v>
      </c>
      <c r="J833" s="31">
        <f t="shared" si="277"/>
        <v>2</v>
      </c>
      <c r="K833" s="37">
        <v>46052</v>
      </c>
    </row>
    <row r="834" spans="1:11" x14ac:dyDescent="0.15">
      <c r="A834" s="39" t="s">
        <v>16</v>
      </c>
      <c r="B834" s="10">
        <v>2</v>
      </c>
      <c r="C834" s="11"/>
      <c r="D834" s="10"/>
      <c r="E834" s="48">
        <f t="shared" si="276"/>
        <v>2</v>
      </c>
      <c r="F834" s="10">
        <v>2</v>
      </c>
      <c r="G834" s="11"/>
      <c r="H834" s="10"/>
      <c r="I834" s="44">
        <f t="shared" si="279"/>
        <v>2</v>
      </c>
      <c r="J834" s="31">
        <f t="shared" si="277"/>
        <v>4</v>
      </c>
      <c r="K834" s="37">
        <v>46055</v>
      </c>
    </row>
    <row r="835" spans="1:11" x14ac:dyDescent="0.15">
      <c r="A835" s="39" t="s">
        <v>16</v>
      </c>
      <c r="B835" s="10"/>
      <c r="C835" s="11">
        <v>2</v>
      </c>
      <c r="D835" s="10"/>
      <c r="E835" s="48">
        <f t="shared" si="276"/>
        <v>2</v>
      </c>
      <c r="F835" s="10">
        <v>2</v>
      </c>
      <c r="G835" s="11">
        <v>2</v>
      </c>
      <c r="H835" s="10"/>
      <c r="I835" s="44">
        <f t="shared" si="279"/>
        <v>4</v>
      </c>
      <c r="J835" s="31">
        <f t="shared" si="277"/>
        <v>6</v>
      </c>
      <c r="K835" s="37">
        <v>46057</v>
      </c>
    </row>
    <row r="836" spans="1:11" x14ac:dyDescent="0.15">
      <c r="A836" s="39" t="s">
        <v>16</v>
      </c>
      <c r="B836" s="10"/>
      <c r="C836" s="11"/>
      <c r="D836" s="10">
        <v>1</v>
      </c>
      <c r="E836" s="48">
        <f t="shared" si="276"/>
        <v>1</v>
      </c>
      <c r="F836" s="10"/>
      <c r="G836" s="11"/>
      <c r="H836" s="10">
        <v>1</v>
      </c>
      <c r="I836" s="44">
        <f t="shared" si="279"/>
        <v>1</v>
      </c>
      <c r="J836" s="31">
        <f t="shared" si="277"/>
        <v>2</v>
      </c>
      <c r="K836" s="37">
        <v>46062</v>
      </c>
    </row>
    <row r="837" spans="1:11" x14ac:dyDescent="0.15">
      <c r="A837" s="39" t="s">
        <v>16</v>
      </c>
      <c r="B837" s="10"/>
      <c r="C837" s="11">
        <v>1</v>
      </c>
      <c r="D837" s="10">
        <v>1</v>
      </c>
      <c r="E837" s="48">
        <f t="shared" si="276"/>
        <v>2</v>
      </c>
      <c r="F837" s="10"/>
      <c r="G837" s="11">
        <v>1</v>
      </c>
      <c r="H837" s="10">
        <v>1</v>
      </c>
      <c r="I837" s="44">
        <f t="shared" si="279"/>
        <v>2</v>
      </c>
      <c r="J837" s="31">
        <f t="shared" si="277"/>
        <v>4</v>
      </c>
      <c r="K837" s="37">
        <v>46069</v>
      </c>
    </row>
    <row r="838" spans="1:11" x14ac:dyDescent="0.15">
      <c r="A838" s="39" t="s">
        <v>16</v>
      </c>
      <c r="B838" s="10"/>
      <c r="C838" s="11"/>
      <c r="D838" s="10">
        <v>4</v>
      </c>
      <c r="E838" s="48">
        <f t="shared" si="276"/>
        <v>4</v>
      </c>
      <c r="F838" s="10"/>
      <c r="G838" s="11"/>
      <c r="H838" s="10">
        <v>4</v>
      </c>
      <c r="I838" s="44">
        <f t="shared" si="279"/>
        <v>4</v>
      </c>
      <c r="J838" s="31">
        <f t="shared" si="277"/>
        <v>8</v>
      </c>
      <c r="K838" s="37">
        <v>46071</v>
      </c>
    </row>
    <row r="839" spans="1:11" x14ac:dyDescent="0.15">
      <c r="A839" s="39" t="s">
        <v>16</v>
      </c>
      <c r="B839" s="10">
        <v>2</v>
      </c>
      <c r="C839" s="11"/>
      <c r="D839" s="10"/>
      <c r="E839" s="48">
        <f t="shared" si="276"/>
        <v>2</v>
      </c>
      <c r="F839" s="10">
        <v>2</v>
      </c>
      <c r="G839" s="11"/>
      <c r="H839" s="10"/>
      <c r="I839" s="44">
        <f t="shared" si="279"/>
        <v>2</v>
      </c>
      <c r="J839" s="31">
        <f t="shared" si="277"/>
        <v>4</v>
      </c>
      <c r="K839" s="37">
        <v>46073</v>
      </c>
    </row>
    <row r="840" spans="1:11" x14ac:dyDescent="0.15">
      <c r="A840" s="39" t="s">
        <v>16</v>
      </c>
      <c r="B840" s="10">
        <v>2</v>
      </c>
      <c r="C840" s="11"/>
      <c r="D840" s="10"/>
      <c r="E840" s="48">
        <f t="shared" si="276"/>
        <v>2</v>
      </c>
      <c r="F840" s="10"/>
      <c r="G840" s="11"/>
      <c r="H840" s="10"/>
      <c r="I840" s="44">
        <f t="shared" si="279"/>
        <v>0</v>
      </c>
      <c r="J840" s="31">
        <f t="shared" si="277"/>
        <v>2</v>
      </c>
      <c r="K840" s="37">
        <v>46077</v>
      </c>
    </row>
    <row r="841" spans="1:11" x14ac:dyDescent="0.15">
      <c r="A841" s="39" t="s">
        <v>16</v>
      </c>
      <c r="B841" s="10">
        <v>2</v>
      </c>
      <c r="C841" s="11">
        <v>5</v>
      </c>
      <c r="D841" s="10"/>
      <c r="E841" s="48">
        <f t="shared" si="276"/>
        <v>7</v>
      </c>
      <c r="F841" s="10"/>
      <c r="G841" s="11">
        <v>5</v>
      </c>
      <c r="H841" s="10"/>
      <c r="I841" s="44">
        <f t="shared" si="279"/>
        <v>5</v>
      </c>
      <c r="J841" s="31">
        <f t="shared" si="277"/>
        <v>12</v>
      </c>
      <c r="K841" s="37">
        <v>46079</v>
      </c>
    </row>
    <row r="842" spans="1:11" x14ac:dyDescent="0.15">
      <c r="A842" s="39" t="s">
        <v>16</v>
      </c>
      <c r="B842" s="10">
        <v>1</v>
      </c>
      <c r="C842" s="11">
        <v>1</v>
      </c>
      <c r="D842" s="10">
        <v>1</v>
      </c>
      <c r="E842" s="48">
        <f t="shared" si="276"/>
        <v>3</v>
      </c>
      <c r="F842" s="10">
        <v>3</v>
      </c>
      <c r="G842" s="11">
        <v>1</v>
      </c>
      <c r="H842" s="10">
        <v>1</v>
      </c>
      <c r="I842" s="44">
        <f t="shared" si="279"/>
        <v>5</v>
      </c>
      <c r="J842" s="31">
        <f t="shared" si="277"/>
        <v>8</v>
      </c>
      <c r="K842" s="37">
        <v>46083</v>
      </c>
    </row>
    <row r="843" spans="1:11" x14ac:dyDescent="0.15">
      <c r="A843" s="39" t="s">
        <v>16</v>
      </c>
      <c r="B843" s="10">
        <v>1</v>
      </c>
      <c r="C843" s="11"/>
      <c r="D843" s="10"/>
      <c r="E843" s="48">
        <f t="shared" si="276"/>
        <v>1</v>
      </c>
      <c r="F843" s="10">
        <v>1</v>
      </c>
      <c r="G843" s="11"/>
      <c r="H843" s="10"/>
      <c r="I843" s="44">
        <f t="shared" si="279"/>
        <v>1</v>
      </c>
      <c r="J843" s="31">
        <f t="shared" si="277"/>
        <v>2</v>
      </c>
      <c r="K843" s="37">
        <v>46087</v>
      </c>
    </row>
    <row r="844" spans="1:11" x14ac:dyDescent="0.15">
      <c r="A844" s="39" t="s">
        <v>16</v>
      </c>
      <c r="B844" s="10"/>
      <c r="C844" s="11">
        <v>3</v>
      </c>
      <c r="D844" s="10">
        <v>3</v>
      </c>
      <c r="E844" s="48">
        <f t="shared" si="276"/>
        <v>6</v>
      </c>
      <c r="F844" s="10">
        <v>2</v>
      </c>
      <c r="G844" s="11">
        <v>3</v>
      </c>
      <c r="H844" s="10">
        <v>1</v>
      </c>
      <c r="I844" s="44">
        <f t="shared" si="279"/>
        <v>6</v>
      </c>
      <c r="J844" s="31">
        <f t="shared" si="277"/>
        <v>12</v>
      </c>
      <c r="K844" s="37">
        <v>46090</v>
      </c>
    </row>
    <row r="845" spans="1:11" x14ac:dyDescent="0.15">
      <c r="A845" s="39" t="s">
        <v>16</v>
      </c>
      <c r="B845" s="10"/>
      <c r="C845" s="11">
        <v>2</v>
      </c>
      <c r="D845" s="10">
        <v>1</v>
      </c>
      <c r="E845" s="48">
        <f t="shared" si="276"/>
        <v>3</v>
      </c>
      <c r="F845" s="10"/>
      <c r="G845" s="11">
        <v>2</v>
      </c>
      <c r="H845" s="10">
        <v>1</v>
      </c>
      <c r="I845" s="44">
        <f t="shared" si="279"/>
        <v>3</v>
      </c>
      <c r="J845" s="31">
        <f t="shared" si="277"/>
        <v>6</v>
      </c>
      <c r="K845" s="37">
        <v>46092</v>
      </c>
    </row>
    <row r="846" spans="1:11" x14ac:dyDescent="0.15">
      <c r="A846" s="39" t="s">
        <v>16</v>
      </c>
      <c r="B846" s="10"/>
      <c r="C846" s="11">
        <v>1</v>
      </c>
      <c r="D846" s="10"/>
      <c r="E846" s="48">
        <f t="shared" si="276"/>
        <v>1</v>
      </c>
      <c r="F846" s="10">
        <v>2</v>
      </c>
      <c r="G846" s="11">
        <v>1</v>
      </c>
      <c r="H846" s="10"/>
      <c r="I846" s="44">
        <f t="shared" si="279"/>
        <v>3</v>
      </c>
      <c r="J846" s="31">
        <f t="shared" si="277"/>
        <v>4</v>
      </c>
      <c r="K846" s="37">
        <v>46094</v>
      </c>
    </row>
    <row r="847" spans="1:11" x14ac:dyDescent="0.15">
      <c r="A847" s="39" t="s">
        <v>16</v>
      </c>
      <c r="B847" s="10"/>
      <c r="C847" s="11">
        <v>1</v>
      </c>
      <c r="D847" s="10">
        <v>2</v>
      </c>
      <c r="E847" s="48">
        <f t="shared" si="276"/>
        <v>3</v>
      </c>
      <c r="F847" s="10"/>
      <c r="G847" s="11">
        <v>1</v>
      </c>
      <c r="H847" s="10">
        <v>2</v>
      </c>
      <c r="I847" s="44">
        <f t="shared" si="279"/>
        <v>3</v>
      </c>
      <c r="J847" s="31">
        <f t="shared" si="277"/>
        <v>6</v>
      </c>
      <c r="K847" s="37">
        <v>46097</v>
      </c>
    </row>
    <row r="848" spans="1:11" x14ac:dyDescent="0.15">
      <c r="A848" s="39" t="s">
        <v>16</v>
      </c>
      <c r="B848" s="10"/>
      <c r="C848" s="11">
        <v>1</v>
      </c>
      <c r="D848" s="10"/>
      <c r="E848" s="48">
        <f>SUM(B848:D848)</f>
        <v>1</v>
      </c>
      <c r="F848" s="10"/>
      <c r="G848" s="11">
        <v>1</v>
      </c>
      <c r="H848" s="10"/>
      <c r="I848" s="44">
        <f t="shared" si="279"/>
        <v>1</v>
      </c>
      <c r="J848" s="31">
        <f t="shared" si="277"/>
        <v>2</v>
      </c>
      <c r="K848" s="37">
        <v>46099</v>
      </c>
    </row>
    <row r="849" spans="1:11" x14ac:dyDescent="0.15">
      <c r="A849" s="39" t="s">
        <v>16</v>
      </c>
      <c r="B849" s="10">
        <v>1</v>
      </c>
      <c r="C849" s="11">
        <v>2</v>
      </c>
      <c r="D849" s="10">
        <v>4</v>
      </c>
      <c r="E849" s="48">
        <f t="shared" ref="E849:E857" si="282">SUM(B849:D849)</f>
        <v>7</v>
      </c>
      <c r="F849" s="10">
        <v>3</v>
      </c>
      <c r="G849" s="11"/>
      <c r="H849" s="10">
        <v>4</v>
      </c>
      <c r="I849" s="44">
        <f t="shared" si="279"/>
        <v>7</v>
      </c>
      <c r="J849" s="31">
        <f t="shared" si="277"/>
        <v>14</v>
      </c>
      <c r="K849" s="37">
        <v>46104</v>
      </c>
    </row>
    <row r="850" spans="1:11" x14ac:dyDescent="0.15">
      <c r="A850" s="39" t="s">
        <v>16</v>
      </c>
      <c r="B850" s="10"/>
      <c r="C850" s="11">
        <v>2</v>
      </c>
      <c r="D850" s="10"/>
      <c r="E850" s="48">
        <f t="shared" si="282"/>
        <v>2</v>
      </c>
      <c r="F850" s="10"/>
      <c r="G850" s="11"/>
      <c r="H850" s="10"/>
      <c r="I850" s="44">
        <f t="shared" si="279"/>
        <v>0</v>
      </c>
      <c r="J850" s="31">
        <f t="shared" si="277"/>
        <v>2</v>
      </c>
      <c r="K850" s="37">
        <v>46105</v>
      </c>
    </row>
    <row r="851" spans="1:11" x14ac:dyDescent="0.15">
      <c r="A851" s="39" t="s">
        <v>16</v>
      </c>
      <c r="B851" s="10">
        <v>1</v>
      </c>
      <c r="C851" s="11"/>
      <c r="D851" s="10"/>
      <c r="E851" s="48">
        <f t="shared" si="282"/>
        <v>1</v>
      </c>
      <c r="F851" s="10">
        <v>1</v>
      </c>
      <c r="G851" s="11"/>
      <c r="H851" s="10">
        <v>2</v>
      </c>
      <c r="I851" s="44">
        <f t="shared" si="279"/>
        <v>3</v>
      </c>
      <c r="J851" s="31">
        <f t="shared" si="277"/>
        <v>4</v>
      </c>
      <c r="K851" s="37">
        <v>46108</v>
      </c>
    </row>
    <row r="852" spans="1:11" x14ac:dyDescent="0.15">
      <c r="A852" s="39" t="s">
        <v>16</v>
      </c>
      <c r="B852" s="10"/>
      <c r="C852" s="11">
        <v>2</v>
      </c>
      <c r="D852" s="10"/>
      <c r="E852" s="48">
        <f t="shared" si="282"/>
        <v>2</v>
      </c>
      <c r="F852" s="10"/>
      <c r="G852" s="11">
        <v>2</v>
      </c>
      <c r="H852" s="10"/>
      <c r="I852" s="44">
        <f t="shared" si="279"/>
        <v>2</v>
      </c>
      <c r="J852" s="31">
        <f t="shared" si="277"/>
        <v>4</v>
      </c>
      <c r="K852" s="37">
        <v>46111</v>
      </c>
    </row>
    <row r="853" spans="1:11" x14ac:dyDescent="0.15">
      <c r="A853" s="39" t="s">
        <v>16</v>
      </c>
      <c r="B853" s="10">
        <v>3</v>
      </c>
      <c r="C853" s="11"/>
      <c r="D853" s="10"/>
      <c r="E853" s="48">
        <f t="shared" si="282"/>
        <v>3</v>
      </c>
      <c r="F853" s="10">
        <v>3</v>
      </c>
      <c r="G853" s="11"/>
      <c r="H853" s="10"/>
      <c r="I853" s="44">
        <f t="shared" si="279"/>
        <v>3</v>
      </c>
      <c r="J853" s="31">
        <f t="shared" si="277"/>
        <v>6</v>
      </c>
      <c r="K853" s="37">
        <v>46112</v>
      </c>
    </row>
    <row r="854" spans="1:11" x14ac:dyDescent="0.15">
      <c r="A854" s="39" t="s">
        <v>16</v>
      </c>
      <c r="B854" s="10">
        <v>1</v>
      </c>
      <c r="C854" s="11"/>
      <c r="D854" s="10"/>
      <c r="E854" s="48">
        <f t="shared" si="282"/>
        <v>1</v>
      </c>
      <c r="F854" s="10">
        <v>1</v>
      </c>
      <c r="G854" s="11"/>
      <c r="H854" s="10"/>
      <c r="I854" s="44">
        <f t="shared" si="279"/>
        <v>1</v>
      </c>
      <c r="J854" s="31">
        <f t="shared" si="277"/>
        <v>2</v>
      </c>
      <c r="K854" s="37">
        <v>46113</v>
      </c>
    </row>
    <row r="855" spans="1:11" x14ac:dyDescent="0.15">
      <c r="A855" s="39" t="s">
        <v>16</v>
      </c>
      <c r="B855" s="10">
        <v>1</v>
      </c>
      <c r="C855" s="11"/>
      <c r="D855" s="10"/>
      <c r="E855" s="48">
        <f t="shared" si="282"/>
        <v>1</v>
      </c>
      <c r="F855" s="10">
        <v>1</v>
      </c>
      <c r="G855" s="11"/>
      <c r="H855" s="10"/>
      <c r="I855" s="44">
        <f t="shared" si="279"/>
        <v>1</v>
      </c>
      <c r="J855" s="31">
        <f t="shared" si="277"/>
        <v>2</v>
      </c>
      <c r="K855" s="37">
        <v>46118</v>
      </c>
    </row>
    <row r="856" spans="1:11" ht="14.25" thickBot="1" x14ac:dyDescent="0.2">
      <c r="A856" s="39" t="s">
        <v>16</v>
      </c>
      <c r="B856" s="13">
        <v>1</v>
      </c>
      <c r="C856" s="14"/>
      <c r="D856" s="13"/>
      <c r="E856" s="59">
        <f t="shared" si="282"/>
        <v>1</v>
      </c>
      <c r="F856" s="13">
        <v>1</v>
      </c>
      <c r="G856" s="14"/>
      <c r="H856" s="13"/>
      <c r="I856" s="60">
        <f t="shared" si="279"/>
        <v>1</v>
      </c>
      <c r="J856" s="36">
        <f t="shared" si="277"/>
        <v>2</v>
      </c>
      <c r="K856" s="37">
        <v>46122</v>
      </c>
    </row>
    <row r="857" spans="1:11" ht="14.25" thickBot="1" x14ac:dyDescent="0.2">
      <c r="A857" s="3" t="s">
        <v>5</v>
      </c>
      <c r="B857" s="16">
        <f>SUM(B833:B856)</f>
        <v>18</v>
      </c>
      <c r="C857" s="61">
        <f>SUM(C833:C856)</f>
        <v>24</v>
      </c>
      <c r="D857" s="16">
        <f t="shared" ref="D857" si="283">SUM(D833:D856)</f>
        <v>17</v>
      </c>
      <c r="E857" s="65">
        <f t="shared" si="282"/>
        <v>59</v>
      </c>
      <c r="F857" s="15">
        <f>SUM(F833:F856)</f>
        <v>24</v>
      </c>
      <c r="G857" s="15">
        <f t="shared" ref="G857:H857" si="284">SUM(G833:G856)</f>
        <v>20</v>
      </c>
      <c r="H857" s="15">
        <f t="shared" si="284"/>
        <v>17</v>
      </c>
      <c r="I857" s="16">
        <f t="shared" si="279"/>
        <v>61</v>
      </c>
      <c r="J857" s="34">
        <f t="shared" si="277"/>
        <v>120</v>
      </c>
    </row>
    <row r="858" spans="1:11" ht="14.25" thickBot="1" x14ac:dyDescent="0.2">
      <c r="A858" s="25" t="s">
        <v>6</v>
      </c>
      <c r="B858" s="26">
        <f>B832-B857</f>
        <v>12</v>
      </c>
      <c r="C858" s="26">
        <f t="shared" ref="C858:E858" si="285">C832-C857</f>
        <v>22</v>
      </c>
      <c r="D858" s="24">
        <f t="shared" si="285"/>
        <v>10</v>
      </c>
      <c r="E858" s="47">
        <f t="shared" si="285"/>
        <v>44</v>
      </c>
      <c r="F858" s="26">
        <f>F832-F857</f>
        <v>11</v>
      </c>
      <c r="G858" s="26">
        <f t="shared" ref="G858:I858" si="286">G832-G857</f>
        <v>23</v>
      </c>
      <c r="H858" s="26">
        <f t="shared" si="286"/>
        <v>10</v>
      </c>
      <c r="I858" s="26">
        <f t="shared" si="286"/>
        <v>44</v>
      </c>
      <c r="J858" s="38">
        <f t="shared" si="277"/>
        <v>88</v>
      </c>
    </row>
    <row r="861" spans="1:11" ht="18" thickBot="1" x14ac:dyDescent="0.25">
      <c r="A861" s="29" t="s">
        <v>17</v>
      </c>
      <c r="B861" s="1"/>
      <c r="C861" s="1"/>
      <c r="D861" s="1" t="s">
        <v>65</v>
      </c>
      <c r="E861" s="1"/>
      <c r="F861" s="1"/>
      <c r="G861" s="1"/>
      <c r="H861" s="1"/>
      <c r="I861" s="1"/>
      <c r="J861" s="1"/>
    </row>
    <row r="862" spans="1:11" ht="14.25" thickBot="1" x14ac:dyDescent="0.2">
      <c r="A862" s="2" t="s">
        <v>0</v>
      </c>
      <c r="B862" s="219" t="s">
        <v>14</v>
      </c>
      <c r="C862" s="220"/>
      <c r="D862" s="220"/>
      <c r="E862" s="221"/>
      <c r="F862" s="216" t="s">
        <v>15</v>
      </c>
      <c r="G862" s="217"/>
      <c r="H862" s="217"/>
      <c r="I862" s="218"/>
      <c r="J862" s="208" t="s">
        <v>10</v>
      </c>
    </row>
    <row r="863" spans="1:11" ht="14.25" thickBot="1" x14ac:dyDescent="0.2">
      <c r="A863" s="2" t="s">
        <v>1</v>
      </c>
      <c r="B863" s="3" t="s">
        <v>7</v>
      </c>
      <c r="C863" s="2" t="s">
        <v>8</v>
      </c>
      <c r="D863" s="2" t="s">
        <v>9</v>
      </c>
      <c r="E863" s="19" t="s">
        <v>2</v>
      </c>
      <c r="F863" s="2" t="s">
        <v>11</v>
      </c>
      <c r="G863" s="19" t="s">
        <v>12</v>
      </c>
      <c r="H863" s="2" t="s">
        <v>13</v>
      </c>
      <c r="I863" s="2" t="s">
        <v>2</v>
      </c>
      <c r="J863" s="209"/>
    </row>
    <row r="864" spans="1:11" ht="14.25" thickBot="1" x14ac:dyDescent="0.2">
      <c r="A864" s="3" t="s">
        <v>6</v>
      </c>
      <c r="B864" s="63">
        <f>B858</f>
        <v>12</v>
      </c>
      <c r="C864" s="64">
        <f>C858</f>
        <v>22</v>
      </c>
      <c r="D864" s="63">
        <f>D858</f>
        <v>10</v>
      </c>
      <c r="E864" s="65">
        <f t="shared" ref="E864:E897" si="287">SUM(B864:D864)</f>
        <v>44</v>
      </c>
      <c r="F864" s="63">
        <f>F858</f>
        <v>11</v>
      </c>
      <c r="G864" s="64">
        <f>G858</f>
        <v>23</v>
      </c>
      <c r="H864" s="63">
        <f>H858</f>
        <v>10</v>
      </c>
      <c r="I864" s="65">
        <f>SUM(F864:H864)</f>
        <v>44</v>
      </c>
      <c r="J864" s="34">
        <f t="shared" ref="J864:J901" si="288">SUM(I864,E864)</f>
        <v>88</v>
      </c>
    </row>
    <row r="865" spans="1:14" x14ac:dyDescent="0.15">
      <c r="A865" s="50" t="s">
        <v>3</v>
      </c>
      <c r="B865" s="13">
        <v>15</v>
      </c>
      <c r="C865" s="14"/>
      <c r="D865" s="13"/>
      <c r="E865" s="44">
        <f t="shared" ref="E865:E869" si="289">SUM(B865:D865)</f>
        <v>15</v>
      </c>
      <c r="F865" s="147">
        <v>15</v>
      </c>
      <c r="G865" s="14"/>
      <c r="H865" s="13">
        <v>5</v>
      </c>
      <c r="I865" s="8">
        <f t="shared" ref="I865:I869" si="290">SUM(F865:H865)</f>
        <v>20</v>
      </c>
      <c r="J865" s="145">
        <f t="shared" ref="J865:J869" si="291">SUM(I865,E865)</f>
        <v>35</v>
      </c>
      <c r="K865" s="32">
        <v>46143</v>
      </c>
      <c r="L865" s="33"/>
    </row>
    <row r="866" spans="1:14" x14ac:dyDescent="0.15">
      <c r="A866" s="195" t="s">
        <v>3</v>
      </c>
      <c r="B866" s="196">
        <v>5</v>
      </c>
      <c r="C866" s="197"/>
      <c r="D866" s="196">
        <v>5</v>
      </c>
      <c r="E866" s="198">
        <f t="shared" si="289"/>
        <v>10</v>
      </c>
      <c r="F866" s="199"/>
      <c r="G866" s="197"/>
      <c r="H866" s="196">
        <v>8</v>
      </c>
      <c r="I866" s="175">
        <f t="shared" si="290"/>
        <v>8</v>
      </c>
      <c r="J866" s="200">
        <f t="shared" si="291"/>
        <v>18</v>
      </c>
      <c r="K866" s="176">
        <v>46155</v>
      </c>
      <c r="L866" s="33"/>
    </row>
    <row r="867" spans="1:14" x14ac:dyDescent="0.15">
      <c r="A867" s="50" t="s">
        <v>3</v>
      </c>
      <c r="B867" s="13"/>
      <c r="C867" s="14">
        <v>10</v>
      </c>
      <c r="D867" s="13">
        <v>10</v>
      </c>
      <c r="E867" s="44">
        <f t="shared" si="289"/>
        <v>20</v>
      </c>
      <c r="F867" s="147"/>
      <c r="G867" s="14">
        <v>5</v>
      </c>
      <c r="H867" s="13">
        <v>5</v>
      </c>
      <c r="I867" s="8">
        <f t="shared" si="290"/>
        <v>10</v>
      </c>
      <c r="J867" s="145">
        <f t="shared" si="291"/>
        <v>30</v>
      </c>
      <c r="K867" s="32">
        <v>46161</v>
      </c>
      <c r="L867" s="33"/>
      <c r="M867" s="33"/>
      <c r="N867" s="33"/>
    </row>
    <row r="868" spans="1:14" x14ac:dyDescent="0.15">
      <c r="A868" s="50" t="s">
        <v>3</v>
      </c>
      <c r="B868" s="13"/>
      <c r="C868" s="14">
        <v>10</v>
      </c>
      <c r="D868" s="13"/>
      <c r="E868" s="44">
        <f t="shared" si="289"/>
        <v>10</v>
      </c>
      <c r="F868" s="147"/>
      <c r="G868" s="14">
        <v>10</v>
      </c>
      <c r="H868" s="13"/>
      <c r="I868" s="8">
        <f t="shared" si="290"/>
        <v>10</v>
      </c>
      <c r="J868" s="145">
        <f t="shared" si="291"/>
        <v>20</v>
      </c>
      <c r="K868" s="32">
        <v>46171</v>
      </c>
      <c r="L868" s="33"/>
      <c r="M868" s="33"/>
      <c r="N868" s="33"/>
    </row>
    <row r="869" spans="1:14" x14ac:dyDescent="0.15">
      <c r="A869" s="50" t="s">
        <v>3</v>
      </c>
      <c r="B869" s="13"/>
      <c r="C869" s="14">
        <v>20</v>
      </c>
      <c r="D869" s="13"/>
      <c r="E869" s="44">
        <f t="shared" si="289"/>
        <v>20</v>
      </c>
      <c r="F869" s="147"/>
      <c r="G869" s="14"/>
      <c r="H869" s="13">
        <v>5</v>
      </c>
      <c r="I869" s="8">
        <f t="shared" si="290"/>
        <v>5</v>
      </c>
      <c r="J869" s="145">
        <f t="shared" si="291"/>
        <v>25</v>
      </c>
      <c r="K869" s="32">
        <v>46177</v>
      </c>
    </row>
    <row r="870" spans="1:14" x14ac:dyDescent="0.15">
      <c r="A870" s="50" t="s">
        <v>3</v>
      </c>
      <c r="B870" s="13">
        <v>5</v>
      </c>
      <c r="C870" s="14"/>
      <c r="D870" s="13"/>
      <c r="E870" s="44">
        <f t="shared" si="287"/>
        <v>5</v>
      </c>
      <c r="F870" s="147">
        <v>20</v>
      </c>
      <c r="G870" s="14">
        <v>10</v>
      </c>
      <c r="H870" s="13"/>
      <c r="I870" s="8">
        <f t="shared" ref="I870:I900" si="292">SUM(F870:H870)</f>
        <v>30</v>
      </c>
      <c r="J870" s="145">
        <f t="shared" si="288"/>
        <v>35</v>
      </c>
      <c r="K870" s="32">
        <v>46183</v>
      </c>
      <c r="L870" s="33"/>
    </row>
    <row r="871" spans="1:14" x14ac:dyDescent="0.15">
      <c r="A871" s="50" t="s">
        <v>3</v>
      </c>
      <c r="B871" s="13"/>
      <c r="C871" s="14"/>
      <c r="D871" s="13">
        <v>5</v>
      </c>
      <c r="E871" s="44">
        <f t="shared" si="287"/>
        <v>5</v>
      </c>
      <c r="F871" s="147"/>
      <c r="G871" s="14"/>
      <c r="H871" s="13">
        <v>5</v>
      </c>
      <c r="I871" s="8">
        <f t="shared" si="292"/>
        <v>5</v>
      </c>
      <c r="J871" s="145">
        <f t="shared" si="288"/>
        <v>10</v>
      </c>
      <c r="K871" s="32">
        <v>46185</v>
      </c>
    </row>
    <row r="872" spans="1:14" x14ac:dyDescent="0.15">
      <c r="A872" s="50" t="s">
        <v>3</v>
      </c>
      <c r="B872" s="13"/>
      <c r="C872" s="14"/>
      <c r="D872" s="13"/>
      <c r="E872" s="44">
        <f t="shared" si="287"/>
        <v>0</v>
      </c>
      <c r="F872" s="147"/>
      <c r="G872" s="14"/>
      <c r="H872" s="13"/>
      <c r="I872" s="8">
        <f t="shared" si="292"/>
        <v>0</v>
      </c>
      <c r="J872" s="145">
        <f t="shared" si="288"/>
        <v>0</v>
      </c>
    </row>
    <row r="873" spans="1:14" x14ac:dyDescent="0.15">
      <c r="A873" s="50" t="s">
        <v>3</v>
      </c>
      <c r="B873" s="13"/>
      <c r="C873" s="14"/>
      <c r="D873" s="13"/>
      <c r="E873" s="44">
        <f t="shared" si="287"/>
        <v>0</v>
      </c>
      <c r="F873" s="147"/>
      <c r="G873" s="14"/>
      <c r="H873" s="13"/>
      <c r="I873" s="8">
        <f t="shared" si="292"/>
        <v>0</v>
      </c>
      <c r="J873" s="145">
        <f t="shared" si="288"/>
        <v>0</v>
      </c>
    </row>
    <row r="874" spans="1:14" ht="14.25" thickBot="1" x14ac:dyDescent="0.2">
      <c r="A874" s="50" t="s">
        <v>3</v>
      </c>
      <c r="B874" s="13"/>
      <c r="C874" s="14"/>
      <c r="D874" s="13"/>
      <c r="E874" s="44">
        <f t="shared" si="287"/>
        <v>0</v>
      </c>
      <c r="F874" s="147"/>
      <c r="G874" s="14"/>
      <c r="H874" s="13"/>
      <c r="I874" s="8">
        <f t="shared" si="292"/>
        <v>0</v>
      </c>
      <c r="J874" s="145">
        <f t="shared" si="288"/>
        <v>0</v>
      </c>
    </row>
    <row r="875" spans="1:14" ht="14.25" thickBot="1" x14ac:dyDescent="0.2">
      <c r="A875" s="51" t="s">
        <v>4</v>
      </c>
      <c r="B875" s="22">
        <f>SUM(B864:B874)</f>
        <v>37</v>
      </c>
      <c r="C875" s="22">
        <f>SUM(C864:C874)</f>
        <v>62</v>
      </c>
      <c r="D875" s="22">
        <f t="shared" ref="D875" si="293">SUM(D864:D874)</f>
        <v>30</v>
      </c>
      <c r="E875" s="43">
        <f t="shared" si="287"/>
        <v>129</v>
      </c>
      <c r="F875" s="150">
        <f>SUM(F864:F874)</f>
        <v>46</v>
      </c>
      <c r="G875" s="22">
        <f t="shared" ref="G875:H875" si="294">SUM(G864:G874)</f>
        <v>48</v>
      </c>
      <c r="H875" s="22">
        <f t="shared" si="294"/>
        <v>38</v>
      </c>
      <c r="I875" s="43">
        <f t="shared" si="292"/>
        <v>132</v>
      </c>
      <c r="J875" s="34">
        <f t="shared" si="288"/>
        <v>261</v>
      </c>
    </row>
    <row r="876" spans="1:14" x14ac:dyDescent="0.15">
      <c r="A876" s="39" t="s">
        <v>16</v>
      </c>
      <c r="B876" s="10">
        <v>2</v>
      </c>
      <c r="C876" s="11">
        <v>1</v>
      </c>
      <c r="D876" s="10"/>
      <c r="E876" s="48">
        <f t="shared" si="287"/>
        <v>3</v>
      </c>
      <c r="F876" s="10">
        <v>2</v>
      </c>
      <c r="G876" s="11">
        <v>1</v>
      </c>
      <c r="H876" s="10"/>
      <c r="I876" s="44">
        <f t="shared" ref="I876:I897" si="295">SUM(F876:H876)</f>
        <v>3</v>
      </c>
      <c r="J876" s="31">
        <f t="shared" ref="J876:J897" si="296">SUM(I876,E876)</f>
        <v>6</v>
      </c>
      <c r="K876" s="37">
        <v>46125</v>
      </c>
    </row>
    <row r="877" spans="1:14" x14ac:dyDescent="0.15">
      <c r="A877" s="39" t="s">
        <v>16</v>
      </c>
      <c r="B877" s="10">
        <v>1</v>
      </c>
      <c r="C877" s="11">
        <v>1</v>
      </c>
      <c r="D877" s="10"/>
      <c r="E877" s="48">
        <f t="shared" si="287"/>
        <v>2</v>
      </c>
      <c r="F877" s="10">
        <v>1</v>
      </c>
      <c r="G877" s="11">
        <v>1</v>
      </c>
      <c r="H877" s="10"/>
      <c r="I877" s="44">
        <f t="shared" si="295"/>
        <v>2</v>
      </c>
      <c r="J877" s="31">
        <f t="shared" si="296"/>
        <v>4</v>
      </c>
      <c r="K877" s="37">
        <v>46126</v>
      </c>
    </row>
    <row r="878" spans="1:14" x14ac:dyDescent="0.15">
      <c r="A878" s="39" t="s">
        <v>16</v>
      </c>
      <c r="B878" s="10"/>
      <c r="C878" s="11"/>
      <c r="D878" s="10"/>
      <c r="E878" s="48">
        <f t="shared" si="287"/>
        <v>0</v>
      </c>
      <c r="F878" s="10"/>
      <c r="G878" s="11"/>
      <c r="H878" s="10">
        <v>4</v>
      </c>
      <c r="I878" s="44">
        <f t="shared" si="295"/>
        <v>4</v>
      </c>
      <c r="J878" s="31">
        <f t="shared" si="296"/>
        <v>4</v>
      </c>
      <c r="K878" s="37">
        <v>46128</v>
      </c>
    </row>
    <row r="879" spans="1:14" x14ac:dyDescent="0.15">
      <c r="A879" s="39" t="s">
        <v>16</v>
      </c>
      <c r="B879" s="10">
        <v>2</v>
      </c>
      <c r="C879" s="11"/>
      <c r="D879" s="10"/>
      <c r="E879" s="48">
        <f t="shared" si="287"/>
        <v>2</v>
      </c>
      <c r="F879" s="10"/>
      <c r="G879" s="11"/>
      <c r="H879" s="10"/>
      <c r="I879" s="44">
        <f t="shared" si="295"/>
        <v>0</v>
      </c>
      <c r="J879" s="31">
        <f t="shared" si="296"/>
        <v>2</v>
      </c>
      <c r="K879" s="37">
        <v>46132</v>
      </c>
    </row>
    <row r="880" spans="1:14" x14ac:dyDescent="0.15">
      <c r="A880" s="39" t="s">
        <v>16</v>
      </c>
      <c r="B880" s="10">
        <v>2</v>
      </c>
      <c r="C880" s="11"/>
      <c r="D880" s="10"/>
      <c r="E880" s="48">
        <f t="shared" si="287"/>
        <v>2</v>
      </c>
      <c r="F880" s="10"/>
      <c r="G880" s="11"/>
      <c r="H880" s="10"/>
      <c r="I880" s="44">
        <f t="shared" si="295"/>
        <v>0</v>
      </c>
      <c r="J880" s="31">
        <f t="shared" si="296"/>
        <v>2</v>
      </c>
      <c r="K880" s="37">
        <v>46134</v>
      </c>
    </row>
    <row r="881" spans="1:11" x14ac:dyDescent="0.15">
      <c r="A881" s="39" t="s">
        <v>16</v>
      </c>
      <c r="B881" s="10">
        <v>2</v>
      </c>
      <c r="C881" s="11">
        <v>3</v>
      </c>
      <c r="D881" s="10">
        <v>2</v>
      </c>
      <c r="E881" s="48">
        <f t="shared" si="287"/>
        <v>7</v>
      </c>
      <c r="F881" s="10">
        <v>4</v>
      </c>
      <c r="G881" s="11">
        <v>3</v>
      </c>
      <c r="H881" s="10">
        <v>4</v>
      </c>
      <c r="I881" s="44">
        <f t="shared" si="295"/>
        <v>11</v>
      </c>
      <c r="J881" s="31">
        <f t="shared" si="296"/>
        <v>18</v>
      </c>
      <c r="K881" s="37">
        <v>46139</v>
      </c>
    </row>
    <row r="882" spans="1:11" x14ac:dyDescent="0.15">
      <c r="A882" s="39" t="s">
        <v>16</v>
      </c>
      <c r="B882" s="10">
        <v>2</v>
      </c>
      <c r="C882" s="11"/>
      <c r="D882" s="10"/>
      <c r="E882" s="48">
        <f t="shared" si="287"/>
        <v>2</v>
      </c>
      <c r="F882" s="10"/>
      <c r="G882" s="11"/>
      <c r="H882" s="10"/>
      <c r="I882" s="44">
        <f t="shared" si="295"/>
        <v>0</v>
      </c>
      <c r="J882" s="31">
        <f t="shared" si="296"/>
        <v>2</v>
      </c>
      <c r="K882" s="37">
        <v>46142</v>
      </c>
    </row>
    <row r="883" spans="1:11" x14ac:dyDescent="0.15">
      <c r="A883" s="39" t="s">
        <v>16</v>
      </c>
      <c r="B883" s="10"/>
      <c r="C883" s="11">
        <v>2</v>
      </c>
      <c r="D883" s="10">
        <v>3</v>
      </c>
      <c r="E883" s="48">
        <f t="shared" si="287"/>
        <v>5</v>
      </c>
      <c r="F883" s="10"/>
      <c r="G883" s="11"/>
      <c r="H883" s="10">
        <v>3</v>
      </c>
      <c r="I883" s="44">
        <f t="shared" si="295"/>
        <v>3</v>
      </c>
      <c r="J883" s="31">
        <f t="shared" si="296"/>
        <v>8</v>
      </c>
      <c r="K883" s="37">
        <v>46143</v>
      </c>
    </row>
    <row r="884" spans="1:11" x14ac:dyDescent="0.15">
      <c r="A884" s="39" t="s">
        <v>16</v>
      </c>
      <c r="B884" s="10">
        <v>2</v>
      </c>
      <c r="C884" s="11">
        <v>2</v>
      </c>
      <c r="D884" s="10">
        <v>1</v>
      </c>
      <c r="E884" s="48">
        <f t="shared" si="287"/>
        <v>5</v>
      </c>
      <c r="F884" s="10">
        <v>2</v>
      </c>
      <c r="G884" s="11">
        <v>2</v>
      </c>
      <c r="H884" s="10">
        <v>3</v>
      </c>
      <c r="I884" s="44">
        <f t="shared" si="295"/>
        <v>7</v>
      </c>
      <c r="J884" s="31">
        <f t="shared" si="296"/>
        <v>12</v>
      </c>
      <c r="K884" s="37">
        <v>46149</v>
      </c>
    </row>
    <row r="885" spans="1:11" x14ac:dyDescent="0.15">
      <c r="A885" s="39" t="s">
        <v>16</v>
      </c>
      <c r="B885" s="10">
        <v>1</v>
      </c>
      <c r="C885" s="11">
        <v>2</v>
      </c>
      <c r="D885" s="10">
        <v>4</v>
      </c>
      <c r="E885" s="48">
        <f t="shared" si="287"/>
        <v>7</v>
      </c>
      <c r="F885" s="10">
        <v>1</v>
      </c>
      <c r="G885" s="11"/>
      <c r="H885" s="10"/>
      <c r="I885" s="44">
        <f t="shared" si="295"/>
        <v>1</v>
      </c>
      <c r="J885" s="31">
        <f t="shared" si="296"/>
        <v>8</v>
      </c>
      <c r="K885" s="37">
        <v>46153</v>
      </c>
    </row>
    <row r="886" spans="1:11" x14ac:dyDescent="0.15">
      <c r="A886" s="39" t="s">
        <v>16</v>
      </c>
      <c r="B886" s="10"/>
      <c r="C886" s="11"/>
      <c r="D886" s="10">
        <v>2</v>
      </c>
      <c r="E886" s="48">
        <f t="shared" si="287"/>
        <v>2</v>
      </c>
      <c r="F886" s="10"/>
      <c r="G886" s="11"/>
      <c r="H886" s="10">
        <v>2</v>
      </c>
      <c r="I886" s="44">
        <f t="shared" si="295"/>
        <v>2</v>
      </c>
      <c r="J886" s="31">
        <f t="shared" si="296"/>
        <v>4</v>
      </c>
      <c r="K886" s="37">
        <v>46155</v>
      </c>
    </row>
    <row r="887" spans="1:11" x14ac:dyDescent="0.15">
      <c r="A887" s="39" t="s">
        <v>16</v>
      </c>
      <c r="B887" s="10"/>
      <c r="C887" s="11">
        <v>7</v>
      </c>
      <c r="D887" s="10"/>
      <c r="E887" s="48">
        <f t="shared" si="287"/>
        <v>7</v>
      </c>
      <c r="F887" s="10"/>
      <c r="G887" s="11">
        <v>7</v>
      </c>
      <c r="H887" s="10"/>
      <c r="I887" s="44">
        <f t="shared" si="295"/>
        <v>7</v>
      </c>
      <c r="J887" s="31">
        <f t="shared" si="296"/>
        <v>14</v>
      </c>
      <c r="K887" s="37">
        <v>46160</v>
      </c>
    </row>
    <row r="888" spans="1:11" x14ac:dyDescent="0.15">
      <c r="A888" s="39" t="s">
        <v>16</v>
      </c>
      <c r="B888" s="10">
        <v>2</v>
      </c>
      <c r="C888" s="11"/>
      <c r="D888" s="10"/>
      <c r="E888" s="48">
        <f t="shared" si="287"/>
        <v>2</v>
      </c>
      <c r="F888" s="10">
        <v>2</v>
      </c>
      <c r="G888" s="11"/>
      <c r="H888" s="10"/>
      <c r="I888" s="44">
        <f t="shared" si="295"/>
        <v>2</v>
      </c>
      <c r="J888" s="31">
        <f t="shared" si="296"/>
        <v>4</v>
      </c>
      <c r="K888" s="37">
        <v>46161</v>
      </c>
    </row>
    <row r="889" spans="1:11" x14ac:dyDescent="0.15">
      <c r="A889" s="39" t="s">
        <v>16</v>
      </c>
      <c r="B889" s="10"/>
      <c r="C889" s="11">
        <v>2</v>
      </c>
      <c r="D889" s="10"/>
      <c r="E889" s="48">
        <f t="shared" si="287"/>
        <v>2</v>
      </c>
      <c r="F889" s="10"/>
      <c r="G889" s="11">
        <v>4</v>
      </c>
      <c r="H889" s="10"/>
      <c r="I889" s="44">
        <f t="shared" si="295"/>
        <v>4</v>
      </c>
      <c r="J889" s="31">
        <f t="shared" si="296"/>
        <v>6</v>
      </c>
      <c r="K889" s="37">
        <v>46164</v>
      </c>
    </row>
    <row r="890" spans="1:11" x14ac:dyDescent="0.15">
      <c r="A890" s="39" t="s">
        <v>16</v>
      </c>
      <c r="B890" s="10"/>
      <c r="C890" s="11">
        <v>6</v>
      </c>
      <c r="D890" s="10">
        <v>1</v>
      </c>
      <c r="E890" s="48">
        <f t="shared" si="287"/>
        <v>7</v>
      </c>
      <c r="F890" s="10"/>
      <c r="G890" s="11">
        <v>4</v>
      </c>
      <c r="H890" s="10">
        <v>1</v>
      </c>
      <c r="I890" s="44">
        <f t="shared" si="295"/>
        <v>5</v>
      </c>
      <c r="J890" s="31">
        <f t="shared" si="296"/>
        <v>12</v>
      </c>
      <c r="K890" s="37">
        <v>46167</v>
      </c>
    </row>
    <row r="891" spans="1:11" x14ac:dyDescent="0.15">
      <c r="A891" s="39" t="s">
        <v>16</v>
      </c>
      <c r="B891" s="10"/>
      <c r="C891" s="11"/>
      <c r="D891" s="10"/>
      <c r="E891" s="48">
        <f t="shared" si="287"/>
        <v>0</v>
      </c>
      <c r="F891" s="10"/>
      <c r="G891" s="11"/>
      <c r="H891" s="10">
        <v>2</v>
      </c>
      <c r="I891" s="44">
        <f t="shared" si="295"/>
        <v>2</v>
      </c>
      <c r="J891" s="31">
        <f t="shared" si="296"/>
        <v>2</v>
      </c>
      <c r="K891" s="37">
        <v>46168</v>
      </c>
    </row>
    <row r="892" spans="1:11" x14ac:dyDescent="0.15">
      <c r="A892" s="39" t="s">
        <v>16</v>
      </c>
      <c r="B892" s="10"/>
      <c r="C892" s="11">
        <v>2</v>
      </c>
      <c r="D892" s="10"/>
      <c r="E892" s="48">
        <f t="shared" si="287"/>
        <v>2</v>
      </c>
      <c r="F892" s="10"/>
      <c r="G892" s="11"/>
      <c r="H892" s="10"/>
      <c r="I892" s="44">
        <f t="shared" si="295"/>
        <v>0</v>
      </c>
      <c r="J892" s="31">
        <f t="shared" si="296"/>
        <v>2</v>
      </c>
      <c r="K892" s="37">
        <v>46171</v>
      </c>
    </row>
    <row r="893" spans="1:11" x14ac:dyDescent="0.15">
      <c r="A893" s="39" t="s">
        <v>16</v>
      </c>
      <c r="B893" s="10"/>
      <c r="C893" s="11">
        <v>9</v>
      </c>
      <c r="D893" s="10">
        <v>1</v>
      </c>
      <c r="E893" s="48">
        <f t="shared" si="287"/>
        <v>10</v>
      </c>
      <c r="F893" s="10">
        <v>2</v>
      </c>
      <c r="G893" s="11">
        <v>1</v>
      </c>
      <c r="H893" s="10">
        <v>1</v>
      </c>
      <c r="I893" s="44">
        <f t="shared" si="295"/>
        <v>4</v>
      </c>
      <c r="J893" s="31">
        <f t="shared" si="296"/>
        <v>14</v>
      </c>
      <c r="K893" s="37">
        <v>46174</v>
      </c>
    </row>
    <row r="894" spans="1:11" x14ac:dyDescent="0.15">
      <c r="A894" s="39" t="s">
        <v>16</v>
      </c>
      <c r="B894" s="10">
        <v>2</v>
      </c>
      <c r="C894" s="11"/>
      <c r="D894" s="10"/>
      <c r="E894" s="48">
        <f t="shared" si="287"/>
        <v>2</v>
      </c>
      <c r="F894" s="10"/>
      <c r="G894" s="11"/>
      <c r="H894" s="10"/>
      <c r="I894" s="44">
        <f t="shared" si="295"/>
        <v>0</v>
      </c>
      <c r="J894" s="31">
        <f t="shared" si="296"/>
        <v>2</v>
      </c>
      <c r="K894" s="37">
        <v>46175</v>
      </c>
    </row>
    <row r="895" spans="1:11" x14ac:dyDescent="0.15">
      <c r="A895" s="39" t="s">
        <v>16</v>
      </c>
      <c r="B895" s="10"/>
      <c r="C895" s="11"/>
      <c r="D895" s="10"/>
      <c r="E895" s="48">
        <f t="shared" si="287"/>
        <v>0</v>
      </c>
      <c r="F895" s="10">
        <v>8</v>
      </c>
      <c r="G895" s="11"/>
      <c r="H895" s="10"/>
      <c r="I895" s="44">
        <f t="shared" si="295"/>
        <v>8</v>
      </c>
      <c r="J895" s="31">
        <f t="shared" si="296"/>
        <v>8</v>
      </c>
      <c r="K895" s="37">
        <v>46176</v>
      </c>
    </row>
    <row r="896" spans="1:11" x14ac:dyDescent="0.15">
      <c r="A896" s="39" t="s">
        <v>16</v>
      </c>
      <c r="B896" s="10"/>
      <c r="C896" s="11">
        <v>2</v>
      </c>
      <c r="D896" s="10"/>
      <c r="E896" s="48">
        <f t="shared" si="287"/>
        <v>2</v>
      </c>
      <c r="F896" s="10"/>
      <c r="G896" s="11">
        <v>2</v>
      </c>
      <c r="H896" s="10"/>
      <c r="I896" s="44">
        <f t="shared" si="295"/>
        <v>2</v>
      </c>
      <c r="J896" s="31">
        <f t="shared" si="296"/>
        <v>4</v>
      </c>
      <c r="K896" s="37">
        <v>46178</v>
      </c>
    </row>
    <row r="897" spans="1:11" x14ac:dyDescent="0.15">
      <c r="A897" s="39" t="s">
        <v>16</v>
      </c>
      <c r="B897" s="10"/>
      <c r="C897" s="11"/>
      <c r="D897" s="10"/>
      <c r="E897" s="48">
        <f t="shared" si="287"/>
        <v>0</v>
      </c>
      <c r="F897" s="10"/>
      <c r="G897" s="11"/>
      <c r="H897" s="10">
        <v>2</v>
      </c>
      <c r="I897" s="44">
        <f t="shared" si="295"/>
        <v>2</v>
      </c>
      <c r="J897" s="31">
        <f t="shared" si="296"/>
        <v>2</v>
      </c>
      <c r="K897" s="37">
        <v>46181</v>
      </c>
    </row>
    <row r="898" spans="1:11" x14ac:dyDescent="0.15">
      <c r="A898" s="39" t="s">
        <v>16</v>
      </c>
      <c r="B898" s="10">
        <v>2</v>
      </c>
      <c r="C898" s="11"/>
      <c r="D898" s="10"/>
      <c r="E898" s="48">
        <f t="shared" ref="E898:E900" si="297">SUM(B898:D898)</f>
        <v>2</v>
      </c>
      <c r="F898" s="10"/>
      <c r="G898" s="11"/>
      <c r="H898" s="10"/>
      <c r="I898" s="44">
        <f t="shared" si="292"/>
        <v>0</v>
      </c>
      <c r="J898" s="31">
        <f t="shared" si="288"/>
        <v>2</v>
      </c>
      <c r="K898" s="37">
        <v>46184</v>
      </c>
    </row>
    <row r="899" spans="1:11" ht="14.25" thickBot="1" x14ac:dyDescent="0.2">
      <c r="A899" s="39" t="s">
        <v>16</v>
      </c>
      <c r="B899" s="13"/>
      <c r="C899" s="14"/>
      <c r="D899" s="13"/>
      <c r="E899" s="59">
        <f t="shared" si="297"/>
        <v>0</v>
      </c>
      <c r="F899" s="13">
        <v>2</v>
      </c>
      <c r="G899" s="14"/>
      <c r="H899" s="13"/>
      <c r="I899" s="60">
        <f t="shared" si="292"/>
        <v>2</v>
      </c>
      <c r="J899" s="36">
        <f t="shared" si="288"/>
        <v>2</v>
      </c>
      <c r="K899" s="37">
        <v>46185</v>
      </c>
    </row>
    <row r="900" spans="1:11" ht="14.25" thickBot="1" x14ac:dyDescent="0.2">
      <c r="A900" s="3" t="s">
        <v>5</v>
      </c>
      <c r="B900" s="16">
        <f>SUM(B876:B899)</f>
        <v>20</v>
      </c>
      <c r="C900" s="61">
        <f>SUM(C876:C899)</f>
        <v>39</v>
      </c>
      <c r="D900" s="16">
        <f t="shared" ref="D900" si="298">SUM(D876:D899)</f>
        <v>14</v>
      </c>
      <c r="E900" s="65">
        <f t="shared" si="297"/>
        <v>73</v>
      </c>
      <c r="F900" s="15">
        <f>SUM(F876:F899)</f>
        <v>24</v>
      </c>
      <c r="G900" s="15">
        <f t="shared" ref="G900:H900" si="299">SUM(G876:G899)</f>
        <v>25</v>
      </c>
      <c r="H900" s="15">
        <f t="shared" si="299"/>
        <v>22</v>
      </c>
      <c r="I900" s="16">
        <f t="shared" si="292"/>
        <v>71</v>
      </c>
      <c r="J900" s="34">
        <f t="shared" si="288"/>
        <v>144</v>
      </c>
    </row>
    <row r="901" spans="1:11" ht="14.25" thickBot="1" x14ac:dyDescent="0.2">
      <c r="A901" s="25" t="s">
        <v>6</v>
      </c>
      <c r="B901" s="26">
        <f>B875-B900</f>
        <v>17</v>
      </c>
      <c r="C901" s="26">
        <f t="shared" ref="C901:E901" si="300">C875-C900</f>
        <v>23</v>
      </c>
      <c r="D901" s="24">
        <f t="shared" si="300"/>
        <v>16</v>
      </c>
      <c r="E901" s="47">
        <f t="shared" si="300"/>
        <v>56</v>
      </c>
      <c r="F901" s="26">
        <f>F875-F900</f>
        <v>22</v>
      </c>
      <c r="G901" s="26">
        <f t="shared" ref="G901:I901" si="301">G875-G900</f>
        <v>23</v>
      </c>
      <c r="H901" s="26">
        <f t="shared" si="301"/>
        <v>16</v>
      </c>
      <c r="I901" s="26">
        <f t="shared" si="301"/>
        <v>61</v>
      </c>
      <c r="J901" s="38">
        <f t="shared" si="288"/>
        <v>117</v>
      </c>
    </row>
    <row r="904" spans="1:11" ht="18" thickBot="1" x14ac:dyDescent="0.25">
      <c r="A904" s="29" t="s">
        <v>17</v>
      </c>
      <c r="B904" s="1"/>
      <c r="C904" s="1"/>
      <c r="D904" s="1" t="s">
        <v>65</v>
      </c>
      <c r="E904" s="1"/>
      <c r="F904" s="1"/>
      <c r="G904" s="1"/>
      <c r="H904" s="1"/>
      <c r="I904" s="1"/>
      <c r="J904" s="1"/>
    </row>
    <row r="905" spans="1:11" ht="14.25" thickBot="1" x14ac:dyDescent="0.2">
      <c r="A905" s="2" t="s">
        <v>0</v>
      </c>
      <c r="B905" s="219" t="s">
        <v>14</v>
      </c>
      <c r="C905" s="220"/>
      <c r="D905" s="220"/>
      <c r="E905" s="221"/>
      <c r="F905" s="216" t="s">
        <v>15</v>
      </c>
      <c r="G905" s="217"/>
      <c r="H905" s="217"/>
      <c r="I905" s="218"/>
      <c r="J905" s="208" t="s">
        <v>10</v>
      </c>
    </row>
    <row r="906" spans="1:11" ht="14.25" thickBot="1" x14ac:dyDescent="0.2">
      <c r="A906" s="2" t="s">
        <v>1</v>
      </c>
      <c r="B906" s="3" t="s">
        <v>7</v>
      </c>
      <c r="C906" s="2" t="s">
        <v>8</v>
      </c>
      <c r="D906" s="2" t="s">
        <v>9</v>
      </c>
      <c r="E906" s="19" t="s">
        <v>2</v>
      </c>
      <c r="F906" s="2" t="s">
        <v>11</v>
      </c>
      <c r="G906" s="19" t="s">
        <v>12</v>
      </c>
      <c r="H906" s="2" t="s">
        <v>13</v>
      </c>
      <c r="I906" s="2" t="s">
        <v>2</v>
      </c>
      <c r="J906" s="209"/>
    </row>
    <row r="907" spans="1:11" ht="14.25" thickBot="1" x14ac:dyDescent="0.2">
      <c r="A907" s="3" t="s">
        <v>6</v>
      </c>
      <c r="B907" s="63">
        <f>B901</f>
        <v>17</v>
      </c>
      <c r="C907" s="64">
        <f>C901</f>
        <v>23</v>
      </c>
      <c r="D907" s="63">
        <f>D901</f>
        <v>16</v>
      </c>
      <c r="E907" s="65">
        <f t="shared" ref="E907:E943" si="302">SUM(B907:D907)</f>
        <v>56</v>
      </c>
      <c r="F907" s="63">
        <f>F901</f>
        <v>22</v>
      </c>
      <c r="G907" s="64">
        <f>G901</f>
        <v>23</v>
      </c>
      <c r="H907" s="63">
        <f>H901</f>
        <v>16</v>
      </c>
      <c r="I907" s="65">
        <f>SUM(F907:H907)</f>
        <v>61</v>
      </c>
      <c r="J907" s="34">
        <f t="shared" ref="J907:J944" si="303">SUM(I907,E907)</f>
        <v>117</v>
      </c>
    </row>
    <row r="908" spans="1:11" x14ac:dyDescent="0.15">
      <c r="A908" s="50" t="s">
        <v>3</v>
      </c>
      <c r="B908" s="13"/>
      <c r="C908" s="14"/>
      <c r="D908" s="13"/>
      <c r="E908" s="44">
        <f t="shared" ref="E908:E912" si="304">SUM(B908:D908)</f>
        <v>0</v>
      </c>
      <c r="F908" s="147"/>
      <c r="G908" s="14"/>
      <c r="H908" s="13"/>
      <c r="I908" s="8">
        <f t="shared" ref="I908:I912" si="305">SUM(F908:H908)</f>
        <v>0</v>
      </c>
      <c r="J908" s="145">
        <f t="shared" ref="J908:J912" si="306">SUM(I908,E908)</f>
        <v>0</v>
      </c>
    </row>
    <row r="909" spans="1:11" x14ac:dyDescent="0.15">
      <c r="A909" s="50" t="s">
        <v>3</v>
      </c>
      <c r="B909" s="13"/>
      <c r="C909" s="14"/>
      <c r="D909" s="13"/>
      <c r="E909" s="44">
        <f t="shared" si="304"/>
        <v>0</v>
      </c>
      <c r="F909" s="147"/>
      <c r="G909" s="14"/>
      <c r="H909" s="13"/>
      <c r="I909" s="8">
        <f t="shared" si="305"/>
        <v>0</v>
      </c>
      <c r="J909" s="145">
        <f t="shared" si="306"/>
        <v>0</v>
      </c>
    </row>
    <row r="910" spans="1:11" x14ac:dyDescent="0.15">
      <c r="A910" s="50" t="s">
        <v>3</v>
      </c>
      <c r="B910" s="13"/>
      <c r="C910" s="14"/>
      <c r="D910" s="13"/>
      <c r="E910" s="44">
        <f t="shared" si="304"/>
        <v>0</v>
      </c>
      <c r="F910" s="147"/>
      <c r="G910" s="14"/>
      <c r="H910" s="13"/>
      <c r="I910" s="8">
        <f t="shared" si="305"/>
        <v>0</v>
      </c>
      <c r="J910" s="145">
        <f t="shared" si="306"/>
        <v>0</v>
      </c>
    </row>
    <row r="911" spans="1:11" x14ac:dyDescent="0.15">
      <c r="A911" s="50" t="s">
        <v>3</v>
      </c>
      <c r="B911" s="13"/>
      <c r="C911" s="14"/>
      <c r="D911" s="13"/>
      <c r="E911" s="44">
        <f t="shared" si="304"/>
        <v>0</v>
      </c>
      <c r="F911" s="147"/>
      <c r="G911" s="14"/>
      <c r="H911" s="13"/>
      <c r="I911" s="8">
        <f t="shared" si="305"/>
        <v>0</v>
      </c>
      <c r="J911" s="145">
        <f t="shared" si="306"/>
        <v>0</v>
      </c>
    </row>
    <row r="912" spans="1:11" x14ac:dyDescent="0.15">
      <c r="A912" s="50" t="s">
        <v>3</v>
      </c>
      <c r="B912" s="13"/>
      <c r="C912" s="14"/>
      <c r="D912" s="13"/>
      <c r="E912" s="44">
        <f t="shared" si="304"/>
        <v>0</v>
      </c>
      <c r="F912" s="147"/>
      <c r="G912" s="14"/>
      <c r="H912" s="13"/>
      <c r="I912" s="8">
        <f t="shared" si="305"/>
        <v>0</v>
      </c>
      <c r="J912" s="145">
        <f t="shared" si="306"/>
        <v>0</v>
      </c>
    </row>
    <row r="913" spans="1:11" x14ac:dyDescent="0.15">
      <c r="A913" s="50" t="s">
        <v>3</v>
      </c>
      <c r="B913" s="13"/>
      <c r="C913" s="14"/>
      <c r="D913" s="13"/>
      <c r="E913" s="44">
        <f t="shared" si="302"/>
        <v>0</v>
      </c>
      <c r="F913" s="147"/>
      <c r="G913" s="14"/>
      <c r="H913" s="13"/>
      <c r="I913" s="8">
        <f t="shared" ref="I913:I943" si="307">SUM(F913:H913)</f>
        <v>0</v>
      </c>
      <c r="J913" s="145">
        <f t="shared" si="303"/>
        <v>0</v>
      </c>
    </row>
    <row r="914" spans="1:11" x14ac:dyDescent="0.15">
      <c r="A914" s="50" t="s">
        <v>3</v>
      </c>
      <c r="B914" s="13"/>
      <c r="C914" s="14"/>
      <c r="D914" s="13"/>
      <c r="E914" s="44">
        <f t="shared" si="302"/>
        <v>0</v>
      </c>
      <c r="F914" s="147"/>
      <c r="G914" s="14"/>
      <c r="H914" s="13"/>
      <c r="I914" s="8">
        <f t="shared" si="307"/>
        <v>0</v>
      </c>
      <c r="J914" s="145">
        <f t="shared" si="303"/>
        <v>0</v>
      </c>
    </row>
    <row r="915" spans="1:11" x14ac:dyDescent="0.15">
      <c r="A915" s="50" t="s">
        <v>3</v>
      </c>
      <c r="B915" s="13"/>
      <c r="C915" s="14"/>
      <c r="D915" s="13"/>
      <c r="E915" s="44">
        <f t="shared" si="302"/>
        <v>0</v>
      </c>
      <c r="F915" s="147"/>
      <c r="G915" s="14"/>
      <c r="H915" s="13"/>
      <c r="I915" s="8">
        <f t="shared" si="307"/>
        <v>0</v>
      </c>
      <c r="J915" s="145">
        <f t="shared" si="303"/>
        <v>0</v>
      </c>
    </row>
    <row r="916" spans="1:11" x14ac:dyDescent="0.15">
      <c r="A916" s="50" t="s">
        <v>3</v>
      </c>
      <c r="B916" s="13"/>
      <c r="C916" s="14"/>
      <c r="D916" s="13"/>
      <c r="E916" s="44">
        <f t="shared" si="302"/>
        <v>0</v>
      </c>
      <c r="F916" s="147"/>
      <c r="G916" s="14"/>
      <c r="H916" s="13"/>
      <c r="I916" s="8">
        <f t="shared" si="307"/>
        <v>0</v>
      </c>
      <c r="J916" s="145">
        <f t="shared" si="303"/>
        <v>0</v>
      </c>
    </row>
    <row r="917" spans="1:11" ht="14.25" thickBot="1" x14ac:dyDescent="0.2">
      <c r="A917" s="50" t="s">
        <v>3</v>
      </c>
      <c r="B917" s="13"/>
      <c r="C917" s="14"/>
      <c r="D917" s="13"/>
      <c r="E917" s="44">
        <f t="shared" si="302"/>
        <v>0</v>
      </c>
      <c r="F917" s="147"/>
      <c r="G917" s="14"/>
      <c r="H917" s="13"/>
      <c r="I917" s="8">
        <f t="shared" si="307"/>
        <v>0</v>
      </c>
      <c r="J917" s="145">
        <f t="shared" si="303"/>
        <v>0</v>
      </c>
    </row>
    <row r="918" spans="1:11" ht="14.25" thickBot="1" x14ac:dyDescent="0.2">
      <c r="A918" s="51" t="s">
        <v>4</v>
      </c>
      <c r="B918" s="22">
        <f>SUM(B907:B917)</f>
        <v>17</v>
      </c>
      <c r="C918" s="22">
        <f>SUM(C907:C917)</f>
        <v>23</v>
      </c>
      <c r="D918" s="22">
        <f t="shared" ref="D918" si="308">SUM(D907:D917)</f>
        <v>16</v>
      </c>
      <c r="E918" s="43">
        <f t="shared" si="302"/>
        <v>56</v>
      </c>
      <c r="F918" s="150">
        <f>SUM(F907:F917)</f>
        <v>22</v>
      </c>
      <c r="G918" s="22">
        <f t="shared" ref="G918:H918" si="309">SUM(G907:G917)</f>
        <v>23</v>
      </c>
      <c r="H918" s="22">
        <f t="shared" si="309"/>
        <v>16</v>
      </c>
      <c r="I918" s="43">
        <f t="shared" si="307"/>
        <v>61</v>
      </c>
      <c r="J918" s="34">
        <f t="shared" si="303"/>
        <v>117</v>
      </c>
    </row>
    <row r="919" spans="1:11" x14ac:dyDescent="0.15">
      <c r="A919" s="39" t="s">
        <v>16</v>
      </c>
      <c r="B919" s="10"/>
      <c r="C919" s="11">
        <v>1</v>
      </c>
      <c r="D919" s="10"/>
      <c r="E919" s="48">
        <f t="shared" ref="E919:E939" si="310">SUM(B919:D919)</f>
        <v>1</v>
      </c>
      <c r="F919" s="10"/>
      <c r="G919" s="11">
        <v>1</v>
      </c>
      <c r="H919" s="10"/>
      <c r="I919" s="44">
        <f t="shared" ref="I919:I939" si="311">SUM(F919:H919)</f>
        <v>1</v>
      </c>
      <c r="J919" s="31">
        <f t="shared" ref="J919:J939" si="312">SUM(I919,E919)</f>
        <v>2</v>
      </c>
      <c r="K919" s="37">
        <v>46188</v>
      </c>
    </row>
    <row r="920" spans="1:11" x14ac:dyDescent="0.15">
      <c r="A920" s="39" t="s">
        <v>53</v>
      </c>
      <c r="B920" s="10"/>
      <c r="C920" s="11">
        <v>-1</v>
      </c>
      <c r="D920" s="10"/>
      <c r="E920" s="48">
        <f t="shared" si="310"/>
        <v>-1</v>
      </c>
      <c r="F920" s="10"/>
      <c r="G920" s="11">
        <v>-1</v>
      </c>
      <c r="H920" s="10"/>
      <c r="I920" s="44">
        <f t="shared" si="311"/>
        <v>-1</v>
      </c>
      <c r="J920" s="31">
        <f t="shared" si="312"/>
        <v>-2</v>
      </c>
      <c r="K920" s="37">
        <v>46188</v>
      </c>
    </row>
    <row r="921" spans="1:11" x14ac:dyDescent="0.15">
      <c r="A921" s="39"/>
      <c r="B921" s="10"/>
      <c r="C921" s="11"/>
      <c r="D921" s="10"/>
      <c r="E921" s="48">
        <f t="shared" si="310"/>
        <v>0</v>
      </c>
      <c r="F921" s="10"/>
      <c r="G921" s="11"/>
      <c r="H921" s="10"/>
      <c r="I921" s="44">
        <f t="shared" si="311"/>
        <v>0</v>
      </c>
      <c r="J921" s="31">
        <f t="shared" si="312"/>
        <v>0</v>
      </c>
    </row>
    <row r="922" spans="1:11" x14ac:dyDescent="0.15">
      <c r="A922" s="39"/>
      <c r="B922" s="10"/>
      <c r="C922" s="11"/>
      <c r="D922" s="10"/>
      <c r="E922" s="48">
        <f t="shared" si="310"/>
        <v>0</v>
      </c>
      <c r="F922" s="10"/>
      <c r="G922" s="11"/>
      <c r="H922" s="10"/>
      <c r="I922" s="44">
        <f t="shared" si="311"/>
        <v>0</v>
      </c>
      <c r="J922" s="31">
        <f t="shared" si="312"/>
        <v>0</v>
      </c>
    </row>
    <row r="923" spans="1:11" x14ac:dyDescent="0.15">
      <c r="A923" s="39"/>
      <c r="B923" s="10"/>
      <c r="C923" s="11"/>
      <c r="D923" s="10"/>
      <c r="E923" s="48">
        <f t="shared" si="310"/>
        <v>0</v>
      </c>
      <c r="F923" s="10"/>
      <c r="G923" s="11"/>
      <c r="H923" s="10"/>
      <c r="I923" s="44">
        <f t="shared" si="311"/>
        <v>0</v>
      </c>
      <c r="J923" s="31">
        <f t="shared" si="312"/>
        <v>0</v>
      </c>
    </row>
    <row r="924" spans="1:11" x14ac:dyDescent="0.15">
      <c r="A924" s="39"/>
      <c r="B924" s="10"/>
      <c r="C924" s="11"/>
      <c r="D924" s="10"/>
      <c r="E924" s="48">
        <f t="shared" si="310"/>
        <v>0</v>
      </c>
      <c r="F924" s="10"/>
      <c r="G924" s="11"/>
      <c r="H924" s="10"/>
      <c r="I924" s="44">
        <f t="shared" si="311"/>
        <v>0</v>
      </c>
      <c r="J924" s="31">
        <f t="shared" si="312"/>
        <v>0</v>
      </c>
    </row>
    <row r="925" spans="1:11" x14ac:dyDescent="0.15">
      <c r="A925" s="39"/>
      <c r="B925" s="10"/>
      <c r="C925" s="11"/>
      <c r="D925" s="10"/>
      <c r="E925" s="48">
        <f t="shared" si="310"/>
        <v>0</v>
      </c>
      <c r="F925" s="10"/>
      <c r="G925" s="11"/>
      <c r="H925" s="10"/>
      <c r="I925" s="44">
        <f t="shared" si="311"/>
        <v>0</v>
      </c>
      <c r="J925" s="31">
        <f t="shared" si="312"/>
        <v>0</v>
      </c>
    </row>
    <row r="926" spans="1:11" x14ac:dyDescent="0.15">
      <c r="A926" s="39"/>
      <c r="B926" s="10"/>
      <c r="C926" s="11"/>
      <c r="D926" s="10"/>
      <c r="E926" s="48">
        <f t="shared" si="310"/>
        <v>0</v>
      </c>
      <c r="F926" s="10"/>
      <c r="G926" s="11"/>
      <c r="H926" s="10"/>
      <c r="I926" s="44">
        <f t="shared" si="311"/>
        <v>0</v>
      </c>
      <c r="J926" s="31">
        <f t="shared" si="312"/>
        <v>0</v>
      </c>
    </row>
    <row r="927" spans="1:11" x14ac:dyDescent="0.15">
      <c r="A927" s="39"/>
      <c r="B927" s="10"/>
      <c r="C927" s="11"/>
      <c r="D927" s="10"/>
      <c r="E927" s="48">
        <f t="shared" si="310"/>
        <v>0</v>
      </c>
      <c r="F927" s="10"/>
      <c r="G927" s="11"/>
      <c r="H927" s="10"/>
      <c r="I927" s="44">
        <f t="shared" si="311"/>
        <v>0</v>
      </c>
      <c r="J927" s="31">
        <f t="shared" si="312"/>
        <v>0</v>
      </c>
    </row>
    <row r="928" spans="1:11" x14ac:dyDescent="0.15">
      <c r="A928" s="39"/>
      <c r="B928" s="10"/>
      <c r="C928" s="11"/>
      <c r="D928" s="10"/>
      <c r="E928" s="48">
        <f t="shared" si="310"/>
        <v>0</v>
      </c>
      <c r="F928" s="10"/>
      <c r="G928" s="11"/>
      <c r="H928" s="10"/>
      <c r="I928" s="44">
        <f t="shared" si="311"/>
        <v>0</v>
      </c>
      <c r="J928" s="31">
        <f t="shared" si="312"/>
        <v>0</v>
      </c>
    </row>
    <row r="929" spans="1:10" x14ac:dyDescent="0.15">
      <c r="A929" s="39"/>
      <c r="B929" s="10"/>
      <c r="C929" s="11"/>
      <c r="D929" s="10"/>
      <c r="E929" s="48">
        <f t="shared" si="310"/>
        <v>0</v>
      </c>
      <c r="F929" s="10"/>
      <c r="G929" s="11"/>
      <c r="H929" s="10"/>
      <c r="I929" s="44">
        <f t="shared" si="311"/>
        <v>0</v>
      </c>
      <c r="J929" s="31">
        <f t="shared" si="312"/>
        <v>0</v>
      </c>
    </row>
    <row r="930" spans="1:10" x14ac:dyDescent="0.15">
      <c r="A930" s="39"/>
      <c r="B930" s="10"/>
      <c r="C930" s="11"/>
      <c r="D930" s="10"/>
      <c r="E930" s="48">
        <f t="shared" si="310"/>
        <v>0</v>
      </c>
      <c r="F930" s="10"/>
      <c r="G930" s="11"/>
      <c r="H930" s="10"/>
      <c r="I930" s="44">
        <f t="shared" si="311"/>
        <v>0</v>
      </c>
      <c r="J930" s="31">
        <f t="shared" si="312"/>
        <v>0</v>
      </c>
    </row>
    <row r="931" spans="1:10" x14ac:dyDescent="0.15">
      <c r="A931" s="39"/>
      <c r="B931" s="10"/>
      <c r="C931" s="11"/>
      <c r="D931" s="10"/>
      <c r="E931" s="48">
        <f t="shared" si="310"/>
        <v>0</v>
      </c>
      <c r="F931" s="10"/>
      <c r="G931" s="11"/>
      <c r="H931" s="10"/>
      <c r="I931" s="44">
        <f t="shared" si="311"/>
        <v>0</v>
      </c>
      <c r="J931" s="31">
        <f t="shared" si="312"/>
        <v>0</v>
      </c>
    </row>
    <row r="932" spans="1:10" x14ac:dyDescent="0.15">
      <c r="A932" s="39"/>
      <c r="B932" s="10"/>
      <c r="C932" s="11"/>
      <c r="D932" s="10"/>
      <c r="E932" s="48">
        <f t="shared" si="310"/>
        <v>0</v>
      </c>
      <c r="F932" s="10"/>
      <c r="G932" s="11"/>
      <c r="H932" s="10"/>
      <c r="I932" s="44">
        <f t="shared" si="311"/>
        <v>0</v>
      </c>
      <c r="J932" s="31">
        <f t="shared" si="312"/>
        <v>0</v>
      </c>
    </row>
    <row r="933" spans="1:10" x14ac:dyDescent="0.15">
      <c r="A933" s="39"/>
      <c r="B933" s="10"/>
      <c r="C933" s="11"/>
      <c r="D933" s="10"/>
      <c r="E933" s="48">
        <f t="shared" si="310"/>
        <v>0</v>
      </c>
      <c r="F933" s="10"/>
      <c r="G933" s="11"/>
      <c r="H933" s="10"/>
      <c r="I933" s="44">
        <f t="shared" si="311"/>
        <v>0</v>
      </c>
      <c r="J933" s="31">
        <f t="shared" si="312"/>
        <v>0</v>
      </c>
    </row>
    <row r="934" spans="1:10" x14ac:dyDescent="0.15">
      <c r="A934" s="39"/>
      <c r="B934" s="10"/>
      <c r="C934" s="11"/>
      <c r="D934" s="10"/>
      <c r="E934" s="48">
        <f t="shared" si="310"/>
        <v>0</v>
      </c>
      <c r="F934" s="10"/>
      <c r="G934" s="11"/>
      <c r="H934" s="10"/>
      <c r="I934" s="44">
        <f t="shared" si="311"/>
        <v>0</v>
      </c>
      <c r="J934" s="31">
        <f t="shared" si="312"/>
        <v>0</v>
      </c>
    </row>
    <row r="935" spans="1:10" x14ac:dyDescent="0.15">
      <c r="A935" s="39"/>
      <c r="B935" s="10"/>
      <c r="C935" s="11"/>
      <c r="D935" s="10"/>
      <c r="E935" s="48">
        <f t="shared" si="310"/>
        <v>0</v>
      </c>
      <c r="F935" s="10"/>
      <c r="G935" s="11"/>
      <c r="H935" s="10"/>
      <c r="I935" s="44">
        <f t="shared" si="311"/>
        <v>0</v>
      </c>
      <c r="J935" s="31">
        <f t="shared" si="312"/>
        <v>0</v>
      </c>
    </row>
    <row r="936" spans="1:10" x14ac:dyDescent="0.15">
      <c r="A936" s="39"/>
      <c r="B936" s="10"/>
      <c r="C936" s="11"/>
      <c r="D936" s="10"/>
      <c r="E936" s="48">
        <f t="shared" si="310"/>
        <v>0</v>
      </c>
      <c r="F936" s="10"/>
      <c r="G936" s="11"/>
      <c r="H936" s="10"/>
      <c r="I936" s="44">
        <f t="shared" si="311"/>
        <v>0</v>
      </c>
      <c r="J936" s="31">
        <f t="shared" si="312"/>
        <v>0</v>
      </c>
    </row>
    <row r="937" spans="1:10" x14ac:dyDescent="0.15">
      <c r="A937" s="39"/>
      <c r="B937" s="10"/>
      <c r="C937" s="11"/>
      <c r="D937" s="10"/>
      <c r="E937" s="48">
        <f t="shared" si="310"/>
        <v>0</v>
      </c>
      <c r="F937" s="10"/>
      <c r="G937" s="11"/>
      <c r="H937" s="10"/>
      <c r="I937" s="44">
        <f t="shared" si="311"/>
        <v>0</v>
      </c>
      <c r="J937" s="31">
        <f t="shared" si="312"/>
        <v>0</v>
      </c>
    </row>
    <row r="938" spans="1:10" x14ac:dyDescent="0.15">
      <c r="A938" s="39"/>
      <c r="B938" s="10"/>
      <c r="C938" s="11"/>
      <c r="D938" s="10"/>
      <c r="E938" s="48">
        <f t="shared" si="310"/>
        <v>0</v>
      </c>
      <c r="F938" s="10"/>
      <c r="G938" s="11"/>
      <c r="H938" s="10"/>
      <c r="I938" s="44">
        <f t="shared" si="311"/>
        <v>0</v>
      </c>
      <c r="J938" s="31">
        <f t="shared" si="312"/>
        <v>0</v>
      </c>
    </row>
    <row r="939" spans="1:10" x14ac:dyDescent="0.15">
      <c r="A939" s="39"/>
      <c r="B939" s="10"/>
      <c r="C939" s="11"/>
      <c r="D939" s="10"/>
      <c r="E939" s="48">
        <f t="shared" si="310"/>
        <v>0</v>
      </c>
      <c r="F939" s="10"/>
      <c r="G939" s="11"/>
      <c r="H939" s="10"/>
      <c r="I939" s="44">
        <f t="shared" si="311"/>
        <v>0</v>
      </c>
      <c r="J939" s="31">
        <f t="shared" si="312"/>
        <v>0</v>
      </c>
    </row>
    <row r="940" spans="1:10" x14ac:dyDescent="0.15">
      <c r="A940" s="39"/>
      <c r="B940" s="10"/>
      <c r="C940" s="11"/>
      <c r="D940" s="10"/>
      <c r="E940" s="48">
        <f t="shared" si="302"/>
        <v>0</v>
      </c>
      <c r="F940" s="10"/>
      <c r="G940" s="11"/>
      <c r="H940" s="10"/>
      <c r="I940" s="44">
        <f t="shared" si="307"/>
        <v>0</v>
      </c>
      <c r="J940" s="31">
        <f t="shared" si="303"/>
        <v>0</v>
      </c>
    </row>
    <row r="941" spans="1:10" x14ac:dyDescent="0.15">
      <c r="A941" s="39"/>
      <c r="B941" s="10"/>
      <c r="C941" s="11"/>
      <c r="D941" s="10"/>
      <c r="E941" s="48">
        <f t="shared" si="302"/>
        <v>0</v>
      </c>
      <c r="F941" s="10"/>
      <c r="G941" s="11"/>
      <c r="H941" s="10"/>
      <c r="I941" s="44">
        <f t="shared" si="307"/>
        <v>0</v>
      </c>
      <c r="J941" s="31">
        <f t="shared" si="303"/>
        <v>0</v>
      </c>
    </row>
    <row r="942" spans="1:10" ht="14.25" thickBot="1" x14ac:dyDescent="0.2">
      <c r="A942" s="39"/>
      <c r="B942" s="13"/>
      <c r="C942" s="14"/>
      <c r="D942" s="13"/>
      <c r="E942" s="59">
        <f t="shared" si="302"/>
        <v>0</v>
      </c>
      <c r="F942" s="13"/>
      <c r="G942" s="14"/>
      <c r="H942" s="13"/>
      <c r="I942" s="60">
        <f t="shared" si="307"/>
        <v>0</v>
      </c>
      <c r="J942" s="36">
        <f t="shared" si="303"/>
        <v>0</v>
      </c>
    </row>
    <row r="943" spans="1:10" ht="14.25" thickBot="1" x14ac:dyDescent="0.2">
      <c r="A943" s="3" t="s">
        <v>5</v>
      </c>
      <c r="B943" s="16">
        <f>SUM(B919:B942)</f>
        <v>0</v>
      </c>
      <c r="C943" s="61">
        <f>SUM(C919:C942)</f>
        <v>0</v>
      </c>
      <c r="D943" s="16">
        <f t="shared" ref="D943" si="313">SUM(D919:D942)</f>
        <v>0</v>
      </c>
      <c r="E943" s="65">
        <f t="shared" si="302"/>
        <v>0</v>
      </c>
      <c r="F943" s="15">
        <f>SUM(F919:F942)</f>
        <v>0</v>
      </c>
      <c r="G943" s="15">
        <f t="shared" ref="G943:H943" si="314">SUM(G919:G942)</f>
        <v>0</v>
      </c>
      <c r="H943" s="15">
        <f t="shared" si="314"/>
        <v>0</v>
      </c>
      <c r="I943" s="16">
        <f t="shared" si="307"/>
        <v>0</v>
      </c>
      <c r="J943" s="34">
        <f t="shared" si="303"/>
        <v>0</v>
      </c>
    </row>
    <row r="944" spans="1:10" ht="14.25" thickBot="1" x14ac:dyDescent="0.2">
      <c r="A944" s="25" t="s">
        <v>6</v>
      </c>
      <c r="B944" s="26">
        <f>B918-B943</f>
        <v>17</v>
      </c>
      <c r="C944" s="26">
        <f t="shared" ref="C944:E944" si="315">C918-C943</f>
        <v>23</v>
      </c>
      <c r="D944" s="24">
        <f t="shared" si="315"/>
        <v>16</v>
      </c>
      <c r="E944" s="47">
        <f t="shared" si="315"/>
        <v>56</v>
      </c>
      <c r="F944" s="26">
        <f>F918-F943</f>
        <v>22</v>
      </c>
      <c r="G944" s="26">
        <f t="shared" ref="G944:I944" si="316">G918-G943</f>
        <v>23</v>
      </c>
      <c r="H944" s="26">
        <f t="shared" si="316"/>
        <v>16</v>
      </c>
      <c r="I944" s="26">
        <f t="shared" si="316"/>
        <v>61</v>
      </c>
      <c r="J944" s="38">
        <f t="shared" si="303"/>
        <v>117</v>
      </c>
    </row>
  </sheetData>
  <mergeCells count="66">
    <mergeCell ref="B905:E905"/>
    <mergeCell ref="F905:I905"/>
    <mergeCell ref="J905:J906"/>
    <mergeCell ref="B862:E862"/>
    <mergeCell ref="F862:I862"/>
    <mergeCell ref="J862:J863"/>
    <mergeCell ref="B518:E518"/>
    <mergeCell ref="F518:I518"/>
    <mergeCell ref="B733:E733"/>
    <mergeCell ref="F733:I733"/>
    <mergeCell ref="J733:J734"/>
    <mergeCell ref="J518:J519"/>
    <mergeCell ref="B647:E647"/>
    <mergeCell ref="F647:I647"/>
    <mergeCell ref="J647:J648"/>
    <mergeCell ref="B604:E604"/>
    <mergeCell ref="F604:I604"/>
    <mergeCell ref="J604:J605"/>
    <mergeCell ref="B690:E690"/>
    <mergeCell ref="F690:I690"/>
    <mergeCell ref="J690:J691"/>
    <mergeCell ref="B561:E561"/>
    <mergeCell ref="N432:N433"/>
    <mergeCell ref="B346:G346"/>
    <mergeCell ref="H346:M346"/>
    <mergeCell ref="N346:N347"/>
    <mergeCell ref="J475:J476"/>
    <mergeCell ref="B432:G432"/>
    <mergeCell ref="H432:M432"/>
    <mergeCell ref="F475:I475"/>
    <mergeCell ref="B475:E475"/>
    <mergeCell ref="B303:G303"/>
    <mergeCell ref="B389:G389"/>
    <mergeCell ref="H389:M389"/>
    <mergeCell ref="N389:N390"/>
    <mergeCell ref="N303:N304"/>
    <mergeCell ref="H303:M303"/>
    <mergeCell ref="B131:G131"/>
    <mergeCell ref="H131:M131"/>
    <mergeCell ref="N131:N132"/>
    <mergeCell ref="B174:G174"/>
    <mergeCell ref="H174:M174"/>
    <mergeCell ref="N174:N175"/>
    <mergeCell ref="B260:G260"/>
    <mergeCell ref="B217:G217"/>
    <mergeCell ref="H217:M217"/>
    <mergeCell ref="N217:N218"/>
    <mergeCell ref="H260:M260"/>
    <mergeCell ref="N260:N261"/>
    <mergeCell ref="N2:N3"/>
    <mergeCell ref="B45:G45"/>
    <mergeCell ref="H45:M45"/>
    <mergeCell ref="N45:N46"/>
    <mergeCell ref="B88:G88"/>
    <mergeCell ref="H88:M88"/>
    <mergeCell ref="N88:N89"/>
    <mergeCell ref="B2:G2"/>
    <mergeCell ref="H2:M2"/>
    <mergeCell ref="F561:I561"/>
    <mergeCell ref="J561:J562"/>
    <mergeCell ref="B819:E819"/>
    <mergeCell ref="F819:I819"/>
    <mergeCell ref="J819:J820"/>
    <mergeCell ref="B776:E776"/>
    <mergeCell ref="F776:I776"/>
    <mergeCell ref="J776:J777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B1:N342"/>
  <sheetViews>
    <sheetView tabSelected="1" topLeftCell="B314" zoomScale="90" zoomScaleNormal="90" workbookViewId="0">
      <selection activeCell="B322" sqref="B322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66" t="s">
        <v>32</v>
      </c>
      <c r="C1" s="1"/>
      <c r="D1" s="1"/>
      <c r="E1" s="1" t="s">
        <v>37</v>
      </c>
      <c r="F1" s="1"/>
      <c r="G1" s="67"/>
      <c r="H1" s="67"/>
      <c r="I1" s="67"/>
      <c r="J1" s="67"/>
    </row>
    <row r="2" spans="2:12" ht="14.25" thickBot="1" x14ac:dyDescent="0.2">
      <c r="B2" s="2" t="s">
        <v>0</v>
      </c>
      <c r="C2" s="206" t="s">
        <v>33</v>
      </c>
      <c r="D2" s="206"/>
      <c r="E2" s="206"/>
      <c r="F2" s="207"/>
      <c r="G2" s="206" t="s">
        <v>34</v>
      </c>
      <c r="H2" s="206"/>
      <c r="I2" s="206"/>
      <c r="J2" s="207"/>
    </row>
    <row r="3" spans="2:12" ht="14.25" thickBot="1" x14ac:dyDescent="0.2">
      <c r="B3" s="2" t="s">
        <v>1</v>
      </c>
      <c r="C3" s="3" t="s">
        <v>29</v>
      </c>
      <c r="D3" s="2" t="s">
        <v>30</v>
      </c>
      <c r="E3" s="19" t="s">
        <v>31</v>
      </c>
      <c r="F3" s="2" t="s">
        <v>2</v>
      </c>
      <c r="G3" s="3" t="s">
        <v>29</v>
      </c>
      <c r="H3" s="2" t="s">
        <v>30</v>
      </c>
      <c r="I3" s="19" t="s">
        <v>31</v>
      </c>
      <c r="J3" s="2" t="s">
        <v>2</v>
      </c>
    </row>
    <row r="4" spans="2:12" x14ac:dyDescent="0.15">
      <c r="B4" s="6" t="s">
        <v>23</v>
      </c>
      <c r="C4" s="68"/>
      <c r="D4" s="69"/>
      <c r="E4" s="70">
        <v>2</v>
      </c>
      <c r="F4" s="5">
        <f>SUM(C4:E4)</f>
        <v>2</v>
      </c>
      <c r="G4" s="68"/>
      <c r="H4" s="69"/>
      <c r="I4" s="70">
        <v>2</v>
      </c>
      <c r="J4" s="5">
        <f>SUM(G4:I4)</f>
        <v>2</v>
      </c>
      <c r="K4" s="37">
        <v>43921</v>
      </c>
    </row>
    <row r="5" spans="2:12" x14ac:dyDescent="0.15">
      <c r="B5" s="6" t="s">
        <v>3</v>
      </c>
      <c r="C5" s="17">
        <v>1</v>
      </c>
      <c r="D5" s="12"/>
      <c r="E5" s="17"/>
      <c r="F5" s="5">
        <f t="shared" ref="F5:F40" si="0">SUM(C5:E5)</f>
        <v>1</v>
      </c>
      <c r="G5" s="17">
        <v>1</v>
      </c>
      <c r="H5" s="12"/>
      <c r="I5" s="17"/>
      <c r="J5" s="5">
        <f t="shared" ref="J5:J40" si="1">SUM(G5:I5)</f>
        <v>1</v>
      </c>
      <c r="K5" s="32">
        <v>43942</v>
      </c>
    </row>
    <row r="6" spans="2:12" x14ac:dyDescent="0.15">
      <c r="B6" s="6" t="s">
        <v>3</v>
      </c>
      <c r="C6" s="17">
        <v>2</v>
      </c>
      <c r="D6" s="12"/>
      <c r="E6" s="17"/>
      <c r="F6" s="5">
        <f t="shared" si="0"/>
        <v>2</v>
      </c>
      <c r="G6" s="17">
        <v>2</v>
      </c>
      <c r="H6" s="12"/>
      <c r="I6" s="17"/>
      <c r="J6" s="5">
        <f t="shared" si="1"/>
        <v>2</v>
      </c>
      <c r="K6" s="32">
        <v>43964</v>
      </c>
    </row>
    <row r="7" spans="2:12" x14ac:dyDescent="0.15">
      <c r="B7" s="6" t="s">
        <v>3</v>
      </c>
      <c r="C7" s="17"/>
      <c r="D7" s="12"/>
      <c r="E7" s="17"/>
      <c r="F7" s="5">
        <f t="shared" si="0"/>
        <v>0</v>
      </c>
      <c r="G7" s="17"/>
      <c r="H7" s="12">
        <v>1</v>
      </c>
      <c r="I7" s="17"/>
      <c r="J7" s="5">
        <f t="shared" si="1"/>
        <v>1</v>
      </c>
      <c r="K7" s="32">
        <v>44054</v>
      </c>
    </row>
    <row r="8" spans="2:12" x14ac:dyDescent="0.15">
      <c r="B8" s="6" t="s">
        <v>3</v>
      </c>
      <c r="C8" s="17">
        <v>2</v>
      </c>
      <c r="D8" s="12"/>
      <c r="E8" s="17"/>
      <c r="F8" s="5">
        <f t="shared" si="0"/>
        <v>2</v>
      </c>
      <c r="G8" s="17">
        <v>2</v>
      </c>
      <c r="H8" s="12"/>
      <c r="I8" s="17"/>
      <c r="J8" s="5">
        <f t="shared" si="1"/>
        <v>2</v>
      </c>
      <c r="K8" s="32">
        <v>44103</v>
      </c>
    </row>
    <row r="9" spans="2:12" x14ac:dyDescent="0.15">
      <c r="B9" s="6" t="s">
        <v>3</v>
      </c>
      <c r="C9" s="17"/>
      <c r="D9" s="12">
        <v>1</v>
      </c>
      <c r="E9" s="17"/>
      <c r="F9" s="5">
        <f t="shared" si="0"/>
        <v>1</v>
      </c>
      <c r="G9" s="17"/>
      <c r="H9" s="12">
        <v>1</v>
      </c>
      <c r="I9" s="17"/>
      <c r="J9" s="5">
        <f t="shared" si="1"/>
        <v>1</v>
      </c>
      <c r="K9" s="32">
        <v>44156</v>
      </c>
      <c r="L9" s="33"/>
    </row>
    <row r="10" spans="2:12" x14ac:dyDescent="0.15">
      <c r="B10" s="6" t="s">
        <v>3</v>
      </c>
      <c r="C10" s="17">
        <v>2</v>
      </c>
      <c r="D10" s="12"/>
      <c r="E10" s="17"/>
      <c r="F10" s="5">
        <f t="shared" si="0"/>
        <v>2</v>
      </c>
      <c r="G10" s="17"/>
      <c r="H10" s="12"/>
      <c r="I10" s="17"/>
      <c r="J10" s="5">
        <f t="shared" si="1"/>
        <v>0</v>
      </c>
      <c r="K10" s="32">
        <v>44355</v>
      </c>
      <c r="L10" s="33"/>
    </row>
    <row r="11" spans="2:12" x14ac:dyDescent="0.15">
      <c r="B11" s="6" t="s">
        <v>3</v>
      </c>
      <c r="C11" s="11">
        <v>1</v>
      </c>
      <c r="D11" s="10"/>
      <c r="E11" s="11"/>
      <c r="F11" s="5">
        <f t="shared" ref="F11:F13" si="2">SUM(C11:E11)</f>
        <v>1</v>
      </c>
      <c r="G11" s="11">
        <v>1</v>
      </c>
      <c r="H11" s="10"/>
      <c r="I11" s="11"/>
      <c r="J11" s="5">
        <f t="shared" ref="J11:J13" si="3">SUM(G11:I11)</f>
        <v>1</v>
      </c>
      <c r="K11" s="32">
        <v>44448</v>
      </c>
    </row>
    <row r="12" spans="2:12" x14ac:dyDescent="0.15">
      <c r="B12" s="6" t="s">
        <v>3</v>
      </c>
      <c r="C12" s="11">
        <v>1</v>
      </c>
      <c r="D12" s="10"/>
      <c r="E12" s="11"/>
      <c r="F12" s="5">
        <f t="shared" si="2"/>
        <v>1</v>
      </c>
      <c r="G12" s="11">
        <v>1</v>
      </c>
      <c r="H12" s="10"/>
      <c r="I12" s="11"/>
      <c r="J12" s="5">
        <f t="shared" si="3"/>
        <v>1</v>
      </c>
      <c r="K12" s="32">
        <v>44452</v>
      </c>
    </row>
    <row r="13" spans="2:12" x14ac:dyDescent="0.15">
      <c r="B13" s="7" t="s">
        <v>3</v>
      </c>
      <c r="C13" s="14">
        <v>1</v>
      </c>
      <c r="D13" s="13"/>
      <c r="E13" s="14"/>
      <c r="F13" s="20">
        <f t="shared" si="2"/>
        <v>1</v>
      </c>
      <c r="G13" s="14">
        <v>1</v>
      </c>
      <c r="H13" s="13"/>
      <c r="I13" s="14"/>
      <c r="J13" s="8">
        <f t="shared" si="3"/>
        <v>1</v>
      </c>
      <c r="K13" s="32">
        <v>44453</v>
      </c>
    </row>
    <row r="14" spans="2:12" ht="14.25" thickBot="1" x14ac:dyDescent="0.2">
      <c r="B14" s="7" t="s">
        <v>3</v>
      </c>
      <c r="C14" s="14">
        <v>6</v>
      </c>
      <c r="D14" s="13">
        <v>2</v>
      </c>
      <c r="E14" s="14">
        <v>2</v>
      </c>
      <c r="F14" s="20">
        <f t="shared" si="0"/>
        <v>10</v>
      </c>
      <c r="G14" s="14">
        <v>6</v>
      </c>
      <c r="H14" s="13">
        <v>2</v>
      </c>
      <c r="I14" s="14">
        <v>2</v>
      </c>
      <c r="J14" s="20">
        <f t="shared" si="1"/>
        <v>10</v>
      </c>
      <c r="K14" s="32">
        <v>44524</v>
      </c>
    </row>
    <row r="15" spans="2:12" ht="14.25" thickBot="1" x14ac:dyDescent="0.2">
      <c r="B15" s="21" t="s">
        <v>4</v>
      </c>
      <c r="C15" s="22">
        <f>SUM(C4:C14)</f>
        <v>16</v>
      </c>
      <c r="D15" s="22">
        <f>SUM(D4:D14)</f>
        <v>3</v>
      </c>
      <c r="E15" s="23">
        <f>SUM(E4:E14)</f>
        <v>4</v>
      </c>
      <c r="F15" s="24">
        <f t="shared" si="0"/>
        <v>23</v>
      </c>
      <c r="G15" s="22">
        <f>SUM(G4:G14)</f>
        <v>14</v>
      </c>
      <c r="H15" s="22">
        <f>SUM(H4:H14)</f>
        <v>4</v>
      </c>
      <c r="I15" s="23">
        <f>SUM(I4:I14)</f>
        <v>4</v>
      </c>
      <c r="J15" s="24">
        <f t="shared" si="1"/>
        <v>22</v>
      </c>
    </row>
    <row r="16" spans="2:12" x14ac:dyDescent="0.15">
      <c r="B16" s="4" t="s">
        <v>36</v>
      </c>
      <c r="C16" s="9"/>
      <c r="D16" s="10"/>
      <c r="E16" s="11">
        <v>2</v>
      </c>
      <c r="F16" s="5">
        <f t="shared" si="0"/>
        <v>2</v>
      </c>
      <c r="G16" s="9"/>
      <c r="H16" s="10"/>
      <c r="I16" s="11">
        <v>2</v>
      </c>
      <c r="J16" s="5">
        <f t="shared" si="1"/>
        <v>2</v>
      </c>
      <c r="K16" s="37">
        <v>43921</v>
      </c>
    </row>
    <row r="17" spans="2:12" x14ac:dyDescent="0.15">
      <c r="B17" s="4" t="s">
        <v>36</v>
      </c>
      <c r="C17" s="9">
        <v>1</v>
      </c>
      <c r="D17" s="10"/>
      <c r="E17" s="11"/>
      <c r="F17" s="5">
        <f t="shared" si="0"/>
        <v>1</v>
      </c>
      <c r="G17" s="9">
        <v>1</v>
      </c>
      <c r="H17" s="10"/>
      <c r="I17" s="11"/>
      <c r="J17" s="5">
        <f t="shared" si="1"/>
        <v>1</v>
      </c>
      <c r="K17" s="37">
        <v>43942</v>
      </c>
    </row>
    <row r="18" spans="2:12" x14ac:dyDescent="0.15">
      <c r="B18" s="4" t="s">
        <v>36</v>
      </c>
      <c r="C18" s="9">
        <v>2</v>
      </c>
      <c r="D18" s="10"/>
      <c r="E18" s="11"/>
      <c r="F18" s="5">
        <f t="shared" si="0"/>
        <v>2</v>
      </c>
      <c r="G18" s="9">
        <v>2</v>
      </c>
      <c r="H18" s="10"/>
      <c r="I18" s="11"/>
      <c r="J18" s="5">
        <f t="shared" si="1"/>
        <v>2</v>
      </c>
      <c r="K18" s="37">
        <v>43964</v>
      </c>
    </row>
    <row r="19" spans="2:12" x14ac:dyDescent="0.15">
      <c r="B19" s="4" t="s">
        <v>16</v>
      </c>
      <c r="C19" s="9"/>
      <c r="D19" s="10"/>
      <c r="E19" s="11"/>
      <c r="F19" s="5">
        <f t="shared" si="0"/>
        <v>0</v>
      </c>
      <c r="G19" s="9"/>
      <c r="H19" s="10">
        <v>1</v>
      </c>
      <c r="I19" s="11"/>
      <c r="J19" s="5">
        <f t="shared" si="1"/>
        <v>1</v>
      </c>
      <c r="K19" s="37">
        <v>44054</v>
      </c>
    </row>
    <row r="20" spans="2:12" x14ac:dyDescent="0.15">
      <c r="B20" s="4" t="s">
        <v>16</v>
      </c>
      <c r="C20" s="9">
        <v>2</v>
      </c>
      <c r="D20" s="10"/>
      <c r="E20" s="11"/>
      <c r="F20" s="5">
        <f t="shared" si="0"/>
        <v>2</v>
      </c>
      <c r="G20" s="9">
        <v>2</v>
      </c>
      <c r="H20" s="10"/>
      <c r="I20" s="11"/>
      <c r="J20" s="5">
        <f t="shared" si="1"/>
        <v>2</v>
      </c>
      <c r="K20" s="37">
        <v>44103</v>
      </c>
    </row>
    <row r="21" spans="2:12" x14ac:dyDescent="0.15">
      <c r="B21" s="4" t="s">
        <v>16</v>
      </c>
      <c r="C21" s="9"/>
      <c r="D21" s="10">
        <v>1</v>
      </c>
      <c r="E21" s="11"/>
      <c r="F21" s="8">
        <f t="shared" si="0"/>
        <v>1</v>
      </c>
      <c r="G21" s="9"/>
      <c r="H21" s="10">
        <v>1</v>
      </c>
      <c r="I21" s="11"/>
      <c r="J21" s="8">
        <f t="shared" si="1"/>
        <v>1</v>
      </c>
      <c r="K21" s="37">
        <v>44156</v>
      </c>
    </row>
    <row r="22" spans="2:12" x14ac:dyDescent="0.15">
      <c r="B22" s="4" t="s">
        <v>16</v>
      </c>
      <c r="C22" s="9">
        <v>2</v>
      </c>
      <c r="D22" s="10"/>
      <c r="E22" s="11"/>
      <c r="F22" s="8">
        <f t="shared" si="0"/>
        <v>2</v>
      </c>
      <c r="G22" s="9"/>
      <c r="H22" s="10"/>
      <c r="I22" s="11"/>
      <c r="J22" s="8">
        <f t="shared" si="1"/>
        <v>0</v>
      </c>
      <c r="K22" s="37">
        <v>44355</v>
      </c>
    </row>
    <row r="23" spans="2:12" x14ac:dyDescent="0.15">
      <c r="B23" s="4" t="s">
        <v>16</v>
      </c>
      <c r="C23" s="9">
        <v>1</v>
      </c>
      <c r="D23" s="10"/>
      <c r="E23" s="11"/>
      <c r="F23" s="8">
        <f t="shared" si="0"/>
        <v>1</v>
      </c>
      <c r="G23" s="9">
        <v>1</v>
      </c>
      <c r="H23" s="10"/>
      <c r="I23" s="11"/>
      <c r="J23" s="8">
        <f t="shared" si="1"/>
        <v>1</v>
      </c>
      <c r="K23" s="37">
        <v>44448</v>
      </c>
    </row>
    <row r="24" spans="2:12" x14ac:dyDescent="0.15">
      <c r="B24" s="4" t="s">
        <v>16</v>
      </c>
      <c r="C24" s="9">
        <v>2</v>
      </c>
      <c r="D24" s="10"/>
      <c r="E24" s="11"/>
      <c r="F24" s="8">
        <f t="shared" si="0"/>
        <v>2</v>
      </c>
      <c r="G24" s="9">
        <v>2</v>
      </c>
      <c r="H24" s="10"/>
      <c r="I24" s="11"/>
      <c r="J24" s="8">
        <f t="shared" si="1"/>
        <v>2</v>
      </c>
      <c r="K24" s="37">
        <v>44453</v>
      </c>
    </row>
    <row r="25" spans="2:12" x14ac:dyDescent="0.15">
      <c r="B25" s="4" t="s">
        <v>16</v>
      </c>
      <c r="C25" s="9">
        <v>2</v>
      </c>
      <c r="D25" s="10"/>
      <c r="E25" s="11"/>
      <c r="F25" s="8">
        <f t="shared" si="0"/>
        <v>2</v>
      </c>
      <c r="G25" s="9">
        <v>2</v>
      </c>
      <c r="H25" s="10"/>
      <c r="I25" s="11"/>
      <c r="J25" s="8">
        <f t="shared" si="1"/>
        <v>2</v>
      </c>
      <c r="K25" s="37">
        <v>44524</v>
      </c>
    </row>
    <row r="26" spans="2:12" x14ac:dyDescent="0.15">
      <c r="B26" s="4" t="s">
        <v>16</v>
      </c>
      <c r="C26" s="9"/>
      <c r="D26" s="10">
        <v>2</v>
      </c>
      <c r="E26" s="11"/>
      <c r="F26" s="8">
        <f t="shared" si="0"/>
        <v>2</v>
      </c>
      <c r="G26" s="9"/>
      <c r="H26" s="10">
        <v>2</v>
      </c>
      <c r="I26" s="11"/>
      <c r="J26" s="8">
        <f t="shared" si="1"/>
        <v>2</v>
      </c>
      <c r="K26" s="32">
        <v>44576</v>
      </c>
    </row>
    <row r="27" spans="2:12" x14ac:dyDescent="0.15">
      <c r="B27" s="4" t="s">
        <v>59</v>
      </c>
      <c r="C27" s="9"/>
      <c r="D27" s="10">
        <v>-2</v>
      </c>
      <c r="E27" s="11"/>
      <c r="F27" s="8">
        <f t="shared" si="0"/>
        <v>-2</v>
      </c>
      <c r="G27" s="9"/>
      <c r="H27" s="10">
        <v>-2</v>
      </c>
      <c r="I27" s="11"/>
      <c r="J27" s="8">
        <f t="shared" si="1"/>
        <v>-2</v>
      </c>
      <c r="K27" s="32">
        <v>44579</v>
      </c>
      <c r="L27" s="33"/>
    </row>
    <row r="28" spans="2:12" x14ac:dyDescent="0.15">
      <c r="B28" s="4" t="s">
        <v>16</v>
      </c>
      <c r="C28" s="9">
        <v>1</v>
      </c>
      <c r="D28" s="10"/>
      <c r="E28" s="11"/>
      <c r="F28" s="8">
        <f t="shared" si="0"/>
        <v>1</v>
      </c>
      <c r="G28" s="9">
        <v>1</v>
      </c>
      <c r="H28" s="10"/>
      <c r="I28" s="11"/>
      <c r="J28" s="8">
        <f t="shared" si="1"/>
        <v>1</v>
      </c>
      <c r="K28" s="37">
        <v>44608</v>
      </c>
    </row>
    <row r="29" spans="2:12" x14ac:dyDescent="0.15">
      <c r="B29" s="4" t="s">
        <v>16</v>
      </c>
      <c r="C29" s="9"/>
      <c r="D29" s="10">
        <v>1</v>
      </c>
      <c r="E29" s="11"/>
      <c r="F29" s="8">
        <f t="shared" si="0"/>
        <v>1</v>
      </c>
      <c r="G29" s="9"/>
      <c r="H29" s="10">
        <v>1</v>
      </c>
      <c r="I29" s="11"/>
      <c r="J29" s="8">
        <f t="shared" si="1"/>
        <v>1</v>
      </c>
      <c r="K29" s="37">
        <v>44628</v>
      </c>
    </row>
    <row r="30" spans="2:12" x14ac:dyDescent="0.15">
      <c r="B30" s="4" t="s">
        <v>16</v>
      </c>
      <c r="C30" s="9">
        <v>1</v>
      </c>
      <c r="D30" s="10"/>
      <c r="E30" s="11">
        <v>2</v>
      </c>
      <c r="F30" s="8">
        <f t="shared" si="0"/>
        <v>3</v>
      </c>
      <c r="G30" s="9">
        <v>1</v>
      </c>
      <c r="H30" s="10"/>
      <c r="I30" s="11">
        <v>2</v>
      </c>
      <c r="J30" s="8">
        <f t="shared" si="1"/>
        <v>3</v>
      </c>
      <c r="K30" s="37">
        <v>44631</v>
      </c>
    </row>
    <row r="31" spans="2:12" x14ac:dyDescent="0.15">
      <c r="B31" s="4"/>
      <c r="C31" s="9"/>
      <c r="D31" s="10"/>
      <c r="E31" s="11"/>
      <c r="F31" s="8">
        <f t="shared" si="0"/>
        <v>0</v>
      </c>
      <c r="G31" s="9"/>
      <c r="H31" s="10"/>
      <c r="I31" s="11"/>
      <c r="J31" s="8">
        <f t="shared" si="1"/>
        <v>0</v>
      </c>
      <c r="K31" s="37"/>
    </row>
    <row r="32" spans="2:12" x14ac:dyDescent="0.15">
      <c r="B32" s="4"/>
      <c r="C32" s="9"/>
      <c r="D32" s="10"/>
      <c r="E32" s="11"/>
      <c r="F32" s="8">
        <f t="shared" si="0"/>
        <v>0</v>
      </c>
      <c r="G32" s="9"/>
      <c r="H32" s="10"/>
      <c r="I32" s="11"/>
      <c r="J32" s="8">
        <f t="shared" si="1"/>
        <v>0</v>
      </c>
      <c r="K32" s="37"/>
    </row>
    <row r="33" spans="2:11" x14ac:dyDescent="0.15">
      <c r="B33" s="4"/>
      <c r="C33" s="9"/>
      <c r="D33" s="10"/>
      <c r="E33" s="11"/>
      <c r="F33" s="8">
        <f t="shared" si="0"/>
        <v>0</v>
      </c>
      <c r="G33" s="9"/>
      <c r="H33" s="10"/>
      <c r="I33" s="11"/>
      <c r="J33" s="8">
        <f t="shared" si="1"/>
        <v>0</v>
      </c>
    </row>
    <row r="34" spans="2:11" x14ac:dyDescent="0.15">
      <c r="B34" s="71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</row>
    <row r="35" spans="2:11" x14ac:dyDescent="0.15">
      <c r="B35" s="12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</row>
    <row r="36" spans="2:11" x14ac:dyDescent="0.15">
      <c r="B36" s="4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</row>
    <row r="37" spans="2:11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</row>
    <row r="38" spans="2:11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</row>
    <row r="39" spans="2:11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</row>
    <row r="40" spans="2:11" ht="14.25" thickBot="1" x14ac:dyDescent="0.2">
      <c r="B40" s="3" t="s">
        <v>5</v>
      </c>
      <c r="C40" s="15">
        <f>SUM(C16:C39)</f>
        <v>14</v>
      </c>
      <c r="D40" s="15">
        <f>SUM(D16:D39)</f>
        <v>2</v>
      </c>
      <c r="E40" s="15">
        <f>SUM(E16:E39)</f>
        <v>4</v>
      </c>
      <c r="F40" s="16">
        <f t="shared" si="0"/>
        <v>20</v>
      </c>
      <c r="G40" s="15">
        <f>SUM(G16:G39)</f>
        <v>12</v>
      </c>
      <c r="H40" s="15">
        <f>SUM(H16:H39)</f>
        <v>3</v>
      </c>
      <c r="I40" s="15">
        <f>SUM(I16:I39)</f>
        <v>4</v>
      </c>
      <c r="J40" s="16">
        <f t="shared" si="1"/>
        <v>19</v>
      </c>
    </row>
    <row r="41" spans="2:11" ht="14.25" thickBot="1" x14ac:dyDescent="0.2">
      <c r="B41" s="25" t="s">
        <v>6</v>
      </c>
      <c r="C41" s="26">
        <f t="shared" ref="C41:J41" si="4">C15-C40</f>
        <v>2</v>
      </c>
      <c r="D41" s="26">
        <f t="shared" si="4"/>
        <v>1</v>
      </c>
      <c r="E41" s="26">
        <f t="shared" si="4"/>
        <v>0</v>
      </c>
      <c r="F41" s="26">
        <f t="shared" si="4"/>
        <v>3</v>
      </c>
      <c r="G41" s="26">
        <f t="shared" si="4"/>
        <v>2</v>
      </c>
      <c r="H41" s="26">
        <f t="shared" si="4"/>
        <v>1</v>
      </c>
      <c r="I41" s="26">
        <f t="shared" si="4"/>
        <v>0</v>
      </c>
      <c r="J41" s="24">
        <f t="shared" si="4"/>
        <v>3</v>
      </c>
    </row>
    <row r="44" spans="2:11" ht="19.5" thickBot="1" x14ac:dyDescent="0.25">
      <c r="B44" s="66" t="s">
        <v>32</v>
      </c>
      <c r="C44" s="1"/>
      <c r="D44" s="1"/>
      <c r="E44" s="1" t="s">
        <v>37</v>
      </c>
      <c r="F44" s="1"/>
      <c r="G44" s="67"/>
      <c r="H44" s="67"/>
      <c r="I44" s="67"/>
      <c r="J44" s="67"/>
    </row>
    <row r="45" spans="2:11" ht="14.25" thickBot="1" x14ac:dyDescent="0.2">
      <c r="B45" s="2" t="s">
        <v>0</v>
      </c>
      <c r="C45" s="206" t="s">
        <v>35</v>
      </c>
      <c r="D45" s="206"/>
      <c r="E45" s="206"/>
      <c r="F45" s="207"/>
      <c r="G45" s="206" t="s">
        <v>34</v>
      </c>
      <c r="H45" s="206"/>
      <c r="I45" s="206"/>
      <c r="J45" s="207"/>
    </row>
    <row r="46" spans="2:11" ht="14.25" thickBot="1" x14ac:dyDescent="0.2">
      <c r="B46" s="2" t="s">
        <v>1</v>
      </c>
      <c r="C46" s="3" t="s">
        <v>25</v>
      </c>
      <c r="D46" s="2" t="s">
        <v>26</v>
      </c>
      <c r="E46" s="19" t="s">
        <v>27</v>
      </c>
      <c r="F46" s="2" t="s">
        <v>2</v>
      </c>
      <c r="G46" s="3" t="s">
        <v>25</v>
      </c>
      <c r="H46" s="2" t="s">
        <v>26</v>
      </c>
      <c r="I46" s="19" t="s">
        <v>27</v>
      </c>
      <c r="J46" s="2" t="s">
        <v>2</v>
      </c>
    </row>
    <row r="47" spans="2:11" x14ac:dyDescent="0.15">
      <c r="B47" s="27" t="s">
        <v>28</v>
      </c>
      <c r="C47" s="72">
        <f>C41</f>
        <v>2</v>
      </c>
      <c r="D47" s="73">
        <f>D41</f>
        <v>1</v>
      </c>
      <c r="E47" s="74">
        <f>E41</f>
        <v>0</v>
      </c>
      <c r="F47" s="18">
        <f>SUM(C47:E47)</f>
        <v>3</v>
      </c>
      <c r="G47" s="72">
        <f>G41</f>
        <v>2</v>
      </c>
      <c r="H47" s="73">
        <f>H41</f>
        <v>1</v>
      </c>
      <c r="I47" s="74">
        <f>I41</f>
        <v>0</v>
      </c>
      <c r="J47" s="18">
        <f>SUM(G47:I47)</f>
        <v>3</v>
      </c>
    </row>
    <row r="48" spans="2:11" x14ac:dyDescent="0.15">
      <c r="B48" s="6" t="s">
        <v>3</v>
      </c>
      <c r="C48" s="17"/>
      <c r="D48" s="12">
        <v>2</v>
      </c>
      <c r="E48" s="17"/>
      <c r="F48" s="5">
        <f t="shared" ref="F48:F83" si="5">SUM(C48:E48)</f>
        <v>2</v>
      </c>
      <c r="G48" s="17"/>
      <c r="H48" s="12">
        <v>2</v>
      </c>
      <c r="I48" s="17"/>
      <c r="J48" s="5">
        <f t="shared" ref="J48:J83" si="6">SUM(G48:I48)</f>
        <v>2</v>
      </c>
      <c r="K48" s="32">
        <v>44630</v>
      </c>
    </row>
    <row r="49" spans="2:11" x14ac:dyDescent="0.15">
      <c r="B49" s="6" t="s">
        <v>3</v>
      </c>
      <c r="C49" s="17"/>
      <c r="D49" s="12"/>
      <c r="E49" s="17">
        <v>2</v>
      </c>
      <c r="F49" s="5">
        <f t="shared" si="5"/>
        <v>2</v>
      </c>
      <c r="G49" s="17"/>
      <c r="H49" s="12"/>
      <c r="I49" s="17">
        <v>2</v>
      </c>
      <c r="J49" s="5">
        <f t="shared" si="6"/>
        <v>2</v>
      </c>
      <c r="K49" s="32">
        <v>44635</v>
      </c>
    </row>
    <row r="50" spans="2:11" x14ac:dyDescent="0.15">
      <c r="B50" s="6" t="s">
        <v>3</v>
      </c>
      <c r="C50" s="17"/>
      <c r="D50" s="12">
        <v>5</v>
      </c>
      <c r="E50" s="17"/>
      <c r="F50" s="5">
        <f t="shared" si="5"/>
        <v>5</v>
      </c>
      <c r="G50" s="17"/>
      <c r="H50" s="12">
        <v>5</v>
      </c>
      <c r="I50" s="17"/>
      <c r="J50" s="5">
        <f t="shared" si="6"/>
        <v>5</v>
      </c>
      <c r="K50" s="32">
        <v>44706</v>
      </c>
    </row>
    <row r="51" spans="2:11" x14ac:dyDescent="0.15">
      <c r="B51" s="6" t="s">
        <v>3</v>
      </c>
      <c r="C51" s="17">
        <v>2</v>
      </c>
      <c r="D51" s="12"/>
      <c r="E51" s="17"/>
      <c r="F51" s="5">
        <f t="shared" si="5"/>
        <v>2</v>
      </c>
      <c r="G51" s="17">
        <v>2</v>
      </c>
      <c r="H51" s="12"/>
      <c r="I51" s="17"/>
      <c r="J51" s="5">
        <f t="shared" si="6"/>
        <v>2</v>
      </c>
      <c r="K51" s="32">
        <v>44713</v>
      </c>
    </row>
    <row r="52" spans="2:11" x14ac:dyDescent="0.15">
      <c r="B52" s="6" t="s">
        <v>3</v>
      </c>
      <c r="C52" s="17"/>
      <c r="D52" s="12">
        <v>2</v>
      </c>
      <c r="E52" s="17"/>
      <c r="F52" s="5">
        <f t="shared" si="5"/>
        <v>2</v>
      </c>
      <c r="G52" s="17"/>
      <c r="H52" s="12"/>
      <c r="I52" s="17"/>
      <c r="J52" s="5">
        <f t="shared" si="6"/>
        <v>0</v>
      </c>
      <c r="K52" s="32">
        <v>44754</v>
      </c>
    </row>
    <row r="53" spans="2:11" x14ac:dyDescent="0.15">
      <c r="B53" s="27" t="s">
        <v>68</v>
      </c>
      <c r="C53" s="115">
        <v>0</v>
      </c>
      <c r="D53" s="27">
        <v>0</v>
      </c>
      <c r="E53" s="115">
        <v>0</v>
      </c>
      <c r="F53" s="116">
        <f t="shared" si="5"/>
        <v>0</v>
      </c>
      <c r="G53" s="115">
        <v>0</v>
      </c>
      <c r="H53" s="27">
        <v>0</v>
      </c>
      <c r="I53" s="115">
        <v>0</v>
      </c>
      <c r="J53" s="116">
        <f t="shared" si="6"/>
        <v>0</v>
      </c>
      <c r="K53" s="117">
        <v>44796</v>
      </c>
    </row>
    <row r="54" spans="2:11" x14ac:dyDescent="0.15">
      <c r="B54" s="6" t="s">
        <v>3</v>
      </c>
      <c r="C54" s="70"/>
      <c r="D54" s="69"/>
      <c r="E54" s="70">
        <v>2</v>
      </c>
      <c r="F54" s="5">
        <f t="shared" si="5"/>
        <v>2</v>
      </c>
      <c r="G54" s="70"/>
      <c r="H54" s="69">
        <v>2</v>
      </c>
      <c r="I54" s="70"/>
      <c r="J54" s="5">
        <f t="shared" si="6"/>
        <v>2</v>
      </c>
      <c r="K54" s="32">
        <v>44811</v>
      </c>
    </row>
    <row r="55" spans="2:11" x14ac:dyDescent="0.15">
      <c r="B55" s="6" t="s">
        <v>3</v>
      </c>
      <c r="C55" s="11">
        <v>1</v>
      </c>
      <c r="D55" s="10"/>
      <c r="E55" s="11"/>
      <c r="F55" s="5">
        <f t="shared" si="5"/>
        <v>1</v>
      </c>
      <c r="G55" s="11"/>
      <c r="H55" s="10"/>
      <c r="I55" s="11"/>
      <c r="J55" s="5">
        <f t="shared" si="6"/>
        <v>0</v>
      </c>
      <c r="K55" s="32">
        <v>44944</v>
      </c>
    </row>
    <row r="56" spans="2:11" x14ac:dyDescent="0.15">
      <c r="B56" s="6" t="s">
        <v>3</v>
      </c>
      <c r="C56" s="11">
        <v>1</v>
      </c>
      <c r="D56" s="10"/>
      <c r="E56" s="11"/>
      <c r="F56" s="5">
        <f t="shared" si="5"/>
        <v>1</v>
      </c>
      <c r="G56" s="11">
        <v>2</v>
      </c>
      <c r="H56" s="10"/>
      <c r="I56" s="11"/>
      <c r="J56" s="5">
        <f t="shared" si="6"/>
        <v>2</v>
      </c>
      <c r="K56" s="32">
        <v>44958</v>
      </c>
    </row>
    <row r="57" spans="2:11" ht="14.25" thickBot="1" x14ac:dyDescent="0.2">
      <c r="B57" s="7" t="s">
        <v>3</v>
      </c>
      <c r="C57" s="14">
        <v>-1</v>
      </c>
      <c r="D57" s="13"/>
      <c r="E57" s="14"/>
      <c r="F57" s="20">
        <f t="shared" si="5"/>
        <v>-1</v>
      </c>
      <c r="G57" s="14"/>
      <c r="H57" s="13"/>
      <c r="I57" s="14"/>
      <c r="J57" s="20">
        <f t="shared" si="6"/>
        <v>0</v>
      </c>
    </row>
    <row r="58" spans="2:11" ht="14.25" thickBot="1" x14ac:dyDescent="0.2">
      <c r="B58" s="21" t="s">
        <v>4</v>
      </c>
      <c r="C58" s="22">
        <f>SUM(C47:C57)</f>
        <v>5</v>
      </c>
      <c r="D58" s="22">
        <f>SUM(D47:D57)</f>
        <v>10</v>
      </c>
      <c r="E58" s="23">
        <f>SUM(E47:E57)</f>
        <v>4</v>
      </c>
      <c r="F58" s="24">
        <f t="shared" si="5"/>
        <v>19</v>
      </c>
      <c r="G58" s="22">
        <f>SUM(G47:G57)</f>
        <v>6</v>
      </c>
      <c r="H58" s="22">
        <f>SUM(H47:H57)</f>
        <v>10</v>
      </c>
      <c r="I58" s="23">
        <f>SUM(I47:I57)</f>
        <v>2</v>
      </c>
      <c r="J58" s="24">
        <f t="shared" si="6"/>
        <v>18</v>
      </c>
    </row>
    <row r="59" spans="2:11" x14ac:dyDescent="0.15">
      <c r="B59" s="4" t="s">
        <v>16</v>
      </c>
      <c r="C59" s="9"/>
      <c r="D59" s="10">
        <v>1</v>
      </c>
      <c r="E59" s="11"/>
      <c r="F59" s="8">
        <f t="shared" si="5"/>
        <v>1</v>
      </c>
      <c r="G59" s="9"/>
      <c r="H59" s="10">
        <v>1</v>
      </c>
      <c r="I59" s="11"/>
      <c r="J59" s="8">
        <f t="shared" si="6"/>
        <v>1</v>
      </c>
      <c r="K59" s="37">
        <v>44666</v>
      </c>
    </row>
    <row r="60" spans="2:11" x14ac:dyDescent="0.15">
      <c r="B60" s="4" t="s">
        <v>16</v>
      </c>
      <c r="C60" s="9">
        <v>1</v>
      </c>
      <c r="D60" s="10"/>
      <c r="E60" s="11"/>
      <c r="F60" s="8">
        <f t="shared" si="5"/>
        <v>1</v>
      </c>
      <c r="G60" s="9">
        <v>1</v>
      </c>
      <c r="H60" s="10"/>
      <c r="I60" s="11"/>
      <c r="J60" s="8">
        <f t="shared" si="6"/>
        <v>1</v>
      </c>
      <c r="K60" s="37">
        <v>44687</v>
      </c>
    </row>
    <row r="61" spans="2:11" x14ac:dyDescent="0.15">
      <c r="B61" s="4" t="s">
        <v>16</v>
      </c>
      <c r="C61" s="9"/>
      <c r="D61" s="10">
        <v>1</v>
      </c>
      <c r="E61" s="11"/>
      <c r="F61" s="5">
        <f t="shared" si="5"/>
        <v>1</v>
      </c>
      <c r="G61" s="9"/>
      <c r="H61" s="10">
        <v>1</v>
      </c>
      <c r="I61" s="11"/>
      <c r="J61" s="5">
        <f t="shared" si="6"/>
        <v>1</v>
      </c>
      <c r="K61" s="37">
        <v>44692</v>
      </c>
    </row>
    <row r="62" spans="2:11" x14ac:dyDescent="0.15">
      <c r="B62" s="4" t="s">
        <v>16</v>
      </c>
      <c r="C62" s="9"/>
      <c r="D62" s="10">
        <v>4</v>
      </c>
      <c r="E62" s="11"/>
      <c r="F62" s="5">
        <f t="shared" si="5"/>
        <v>4</v>
      </c>
      <c r="G62" s="9"/>
      <c r="H62" s="10">
        <v>4</v>
      </c>
      <c r="I62" s="11"/>
      <c r="J62" s="5">
        <f t="shared" si="6"/>
        <v>4</v>
      </c>
      <c r="K62" s="37">
        <v>44706</v>
      </c>
    </row>
    <row r="63" spans="2:11" x14ac:dyDescent="0.15">
      <c r="B63" s="4" t="s">
        <v>16</v>
      </c>
      <c r="C63" s="9"/>
      <c r="D63" s="10">
        <v>2</v>
      </c>
      <c r="E63" s="11"/>
      <c r="F63" s="5">
        <f t="shared" si="5"/>
        <v>2</v>
      </c>
      <c r="G63" s="9"/>
      <c r="H63" s="10"/>
      <c r="I63" s="11"/>
      <c r="J63" s="5">
        <f t="shared" si="6"/>
        <v>0</v>
      </c>
      <c r="K63" s="37">
        <v>44753</v>
      </c>
    </row>
    <row r="64" spans="2:11" x14ac:dyDescent="0.15">
      <c r="B64" s="4" t="s">
        <v>16</v>
      </c>
      <c r="C64" s="9"/>
      <c r="D64" s="10"/>
      <c r="E64" s="11"/>
      <c r="F64" s="8">
        <f t="shared" si="5"/>
        <v>0</v>
      </c>
      <c r="G64" s="9"/>
      <c r="H64" s="10">
        <v>2</v>
      </c>
      <c r="I64" s="11"/>
      <c r="J64" s="8">
        <f t="shared" si="6"/>
        <v>2</v>
      </c>
      <c r="K64" s="37">
        <v>44762</v>
      </c>
    </row>
    <row r="65" spans="2:14" x14ac:dyDescent="0.15">
      <c r="B65" s="4" t="s">
        <v>16</v>
      </c>
      <c r="C65" s="9"/>
      <c r="D65" s="10"/>
      <c r="E65" s="11">
        <v>2</v>
      </c>
      <c r="F65" s="8">
        <f t="shared" si="5"/>
        <v>2</v>
      </c>
      <c r="G65" s="9"/>
      <c r="H65" s="10"/>
      <c r="I65" s="11"/>
      <c r="J65" s="8">
        <f t="shared" si="6"/>
        <v>0</v>
      </c>
      <c r="K65" s="37">
        <v>44809</v>
      </c>
    </row>
    <row r="66" spans="2:14" x14ac:dyDescent="0.15">
      <c r="B66" s="4" t="s">
        <v>16</v>
      </c>
      <c r="C66" s="9">
        <v>1</v>
      </c>
      <c r="D66" s="10"/>
      <c r="E66" s="11"/>
      <c r="F66" s="8">
        <f t="shared" si="5"/>
        <v>1</v>
      </c>
      <c r="G66" s="9"/>
      <c r="H66" s="10"/>
      <c r="I66" s="11"/>
      <c r="J66" s="8">
        <f t="shared" si="6"/>
        <v>0</v>
      </c>
      <c r="K66" s="37">
        <v>44875</v>
      </c>
    </row>
    <row r="67" spans="2:14" x14ac:dyDescent="0.15">
      <c r="B67" s="4" t="s">
        <v>16</v>
      </c>
      <c r="C67" s="9">
        <v>1</v>
      </c>
      <c r="D67" s="10"/>
      <c r="E67" s="11"/>
      <c r="F67" s="8">
        <f t="shared" si="5"/>
        <v>1</v>
      </c>
      <c r="G67" s="9">
        <v>1</v>
      </c>
      <c r="H67" s="10"/>
      <c r="I67" s="11"/>
      <c r="J67" s="8">
        <f t="shared" si="6"/>
        <v>1</v>
      </c>
      <c r="K67" s="37">
        <v>44936</v>
      </c>
    </row>
    <row r="68" spans="2:14" x14ac:dyDescent="0.15">
      <c r="B68" s="4" t="s">
        <v>16</v>
      </c>
      <c r="C68" s="9"/>
      <c r="D68" s="10"/>
      <c r="E68" s="11"/>
      <c r="F68" s="8">
        <f t="shared" si="5"/>
        <v>0</v>
      </c>
      <c r="G68" s="9">
        <v>2</v>
      </c>
      <c r="H68" s="10"/>
      <c r="I68" s="11"/>
      <c r="J68" s="8">
        <f t="shared" si="6"/>
        <v>2</v>
      </c>
      <c r="K68" s="32">
        <v>44956</v>
      </c>
      <c r="L68" s="33"/>
      <c r="M68" s="33"/>
      <c r="N68" s="33"/>
    </row>
    <row r="69" spans="2:14" x14ac:dyDescent="0.15">
      <c r="B69" s="4" t="s">
        <v>75</v>
      </c>
      <c r="C69" s="9"/>
      <c r="D69" s="10"/>
      <c r="E69" s="11"/>
      <c r="F69" s="8">
        <f t="shared" si="5"/>
        <v>0</v>
      </c>
      <c r="G69" s="9">
        <v>-1</v>
      </c>
      <c r="H69" s="10"/>
      <c r="I69" s="11"/>
      <c r="J69" s="8">
        <f t="shared" si="6"/>
        <v>-1</v>
      </c>
      <c r="K69" s="32">
        <v>44978</v>
      </c>
      <c r="L69" s="33"/>
      <c r="M69" s="33"/>
      <c r="N69" s="33"/>
    </row>
    <row r="70" spans="2:14" x14ac:dyDescent="0.15">
      <c r="B70" s="4" t="s">
        <v>16</v>
      </c>
      <c r="C70" s="9">
        <v>2</v>
      </c>
      <c r="D70" s="10"/>
      <c r="E70" s="11"/>
      <c r="F70" s="8">
        <f t="shared" si="5"/>
        <v>2</v>
      </c>
      <c r="G70" s="9"/>
      <c r="H70" s="10"/>
      <c r="I70" s="11"/>
      <c r="J70" s="8">
        <f t="shared" si="6"/>
        <v>0</v>
      </c>
      <c r="K70" s="37">
        <v>45019</v>
      </c>
    </row>
    <row r="71" spans="2:14" x14ac:dyDescent="0.15">
      <c r="B71" s="4" t="s">
        <v>16</v>
      </c>
      <c r="C71" s="9"/>
      <c r="D71" s="10"/>
      <c r="E71" s="11">
        <v>1</v>
      </c>
      <c r="F71" s="8">
        <f t="shared" si="5"/>
        <v>1</v>
      </c>
      <c r="G71" s="9"/>
      <c r="H71" s="10"/>
      <c r="I71" s="11">
        <v>1</v>
      </c>
      <c r="J71" s="8">
        <f t="shared" si="6"/>
        <v>1</v>
      </c>
      <c r="K71" s="37">
        <v>45047</v>
      </c>
    </row>
    <row r="72" spans="2:14" x14ac:dyDescent="0.15">
      <c r="B72" s="4"/>
      <c r="C72" s="9"/>
      <c r="D72" s="10"/>
      <c r="E72" s="11"/>
      <c r="F72" s="8">
        <f t="shared" si="5"/>
        <v>0</v>
      </c>
      <c r="G72" s="9"/>
      <c r="H72" s="10"/>
      <c r="I72" s="11"/>
      <c r="J72" s="8">
        <f t="shared" si="6"/>
        <v>0</v>
      </c>
    </row>
    <row r="73" spans="2:14" x14ac:dyDescent="0.15">
      <c r="B73" s="4"/>
      <c r="C73" s="9"/>
      <c r="D73" s="10"/>
      <c r="E73" s="11"/>
      <c r="F73" s="8">
        <f t="shared" si="5"/>
        <v>0</v>
      </c>
      <c r="G73" s="9"/>
      <c r="H73" s="10"/>
      <c r="I73" s="11"/>
      <c r="J73" s="8">
        <f t="shared" si="6"/>
        <v>0</v>
      </c>
    </row>
    <row r="74" spans="2:14" x14ac:dyDescent="0.15">
      <c r="B74" s="4"/>
      <c r="C74" s="9"/>
      <c r="D74" s="10"/>
      <c r="E74" s="11"/>
      <c r="F74" s="8">
        <f t="shared" si="5"/>
        <v>0</v>
      </c>
      <c r="G74" s="9"/>
      <c r="H74" s="10"/>
      <c r="I74" s="11"/>
      <c r="J74" s="8">
        <f t="shared" si="6"/>
        <v>0</v>
      </c>
    </row>
    <row r="75" spans="2:14" x14ac:dyDescent="0.15">
      <c r="B75" s="4"/>
      <c r="C75" s="9"/>
      <c r="D75" s="10"/>
      <c r="E75" s="11"/>
      <c r="F75" s="8">
        <f t="shared" si="5"/>
        <v>0</v>
      </c>
      <c r="G75" s="9"/>
      <c r="H75" s="10"/>
      <c r="I75" s="11"/>
      <c r="J75" s="8">
        <f t="shared" si="6"/>
        <v>0</v>
      </c>
    </row>
    <row r="76" spans="2:14" x14ac:dyDescent="0.15">
      <c r="B76" s="4"/>
      <c r="C76" s="9"/>
      <c r="D76" s="10"/>
      <c r="E76" s="11"/>
      <c r="F76" s="8">
        <f t="shared" si="5"/>
        <v>0</v>
      </c>
      <c r="G76" s="9"/>
      <c r="H76" s="10"/>
      <c r="I76" s="11"/>
      <c r="J76" s="8">
        <f t="shared" si="6"/>
        <v>0</v>
      </c>
    </row>
    <row r="77" spans="2:14" x14ac:dyDescent="0.15">
      <c r="B77" s="4"/>
      <c r="C77" s="9"/>
      <c r="D77" s="10"/>
      <c r="E77" s="11"/>
      <c r="F77" s="8">
        <f t="shared" si="5"/>
        <v>0</v>
      </c>
      <c r="G77" s="9"/>
      <c r="H77" s="10"/>
      <c r="I77" s="11"/>
      <c r="J77" s="8">
        <f t="shared" si="6"/>
        <v>0</v>
      </c>
    </row>
    <row r="78" spans="2:14" x14ac:dyDescent="0.15">
      <c r="B78" s="4"/>
      <c r="C78" s="9"/>
      <c r="D78" s="10"/>
      <c r="E78" s="11"/>
      <c r="F78" s="8">
        <f t="shared" si="5"/>
        <v>0</v>
      </c>
      <c r="G78" s="9"/>
      <c r="H78" s="10"/>
      <c r="I78" s="11"/>
      <c r="J78" s="8">
        <f t="shared" si="6"/>
        <v>0</v>
      </c>
    </row>
    <row r="79" spans="2:14" x14ac:dyDescent="0.15">
      <c r="B79" s="4"/>
      <c r="C79" s="9"/>
      <c r="D79" s="10"/>
      <c r="E79" s="11"/>
      <c r="F79" s="8">
        <f t="shared" si="5"/>
        <v>0</v>
      </c>
      <c r="G79" s="9"/>
      <c r="H79" s="10"/>
      <c r="I79" s="11"/>
      <c r="J79" s="8">
        <f t="shared" si="6"/>
        <v>0</v>
      </c>
    </row>
    <row r="80" spans="2:14" x14ac:dyDescent="0.15">
      <c r="B80" s="4"/>
      <c r="C80" s="9"/>
      <c r="D80" s="10"/>
      <c r="E80" s="11"/>
      <c r="F80" s="8">
        <f t="shared" si="5"/>
        <v>0</v>
      </c>
      <c r="G80" s="9"/>
      <c r="H80" s="10"/>
      <c r="I80" s="11"/>
      <c r="J80" s="8">
        <f t="shared" si="6"/>
        <v>0</v>
      </c>
    </row>
    <row r="81" spans="2:12" x14ac:dyDescent="0.15">
      <c r="B81" s="4"/>
      <c r="C81" s="9"/>
      <c r="D81" s="10"/>
      <c r="E81" s="11"/>
      <c r="F81" s="8">
        <f t="shared" si="5"/>
        <v>0</v>
      </c>
      <c r="G81" s="9"/>
      <c r="H81" s="10"/>
      <c r="I81" s="11"/>
      <c r="J81" s="8">
        <f t="shared" si="6"/>
        <v>0</v>
      </c>
    </row>
    <row r="82" spans="2:12" ht="14.25" thickBot="1" x14ac:dyDescent="0.2">
      <c r="B82" s="4"/>
      <c r="C82" s="9"/>
      <c r="D82" s="10"/>
      <c r="E82" s="11"/>
      <c r="F82" s="8">
        <f t="shared" si="5"/>
        <v>0</v>
      </c>
      <c r="G82" s="9"/>
      <c r="H82" s="10"/>
      <c r="I82" s="11"/>
      <c r="J82" s="8">
        <f t="shared" si="6"/>
        <v>0</v>
      </c>
    </row>
    <row r="83" spans="2:12" ht="14.25" thickBot="1" x14ac:dyDescent="0.2">
      <c r="B83" s="3" t="s">
        <v>5</v>
      </c>
      <c r="C83" s="15">
        <f>SUM(C59:C82)</f>
        <v>5</v>
      </c>
      <c r="D83" s="15">
        <f>SUM(D59:D82)</f>
        <v>8</v>
      </c>
      <c r="E83" s="15">
        <f>SUM(E59:E82)</f>
        <v>3</v>
      </c>
      <c r="F83" s="16">
        <f t="shared" si="5"/>
        <v>16</v>
      </c>
      <c r="G83" s="15">
        <f>SUM(G59:G82)</f>
        <v>3</v>
      </c>
      <c r="H83" s="15">
        <f>SUM(H59:H82)</f>
        <v>8</v>
      </c>
      <c r="I83" s="15">
        <f>SUM(I59:I82)</f>
        <v>1</v>
      </c>
      <c r="J83" s="16">
        <f t="shared" si="6"/>
        <v>12</v>
      </c>
    </row>
    <row r="84" spans="2:12" ht="14.25" thickBot="1" x14ac:dyDescent="0.2">
      <c r="B84" s="25" t="s">
        <v>6</v>
      </c>
      <c r="C84" s="26">
        <f t="shared" ref="C84:J84" si="7">C58-C83</f>
        <v>0</v>
      </c>
      <c r="D84" s="26">
        <f t="shared" si="7"/>
        <v>2</v>
      </c>
      <c r="E84" s="26">
        <f t="shared" si="7"/>
        <v>1</v>
      </c>
      <c r="F84" s="26">
        <f t="shared" si="7"/>
        <v>3</v>
      </c>
      <c r="G84" s="26">
        <f t="shared" si="7"/>
        <v>3</v>
      </c>
      <c r="H84" s="26">
        <f t="shared" si="7"/>
        <v>2</v>
      </c>
      <c r="I84" s="26">
        <f t="shared" si="7"/>
        <v>1</v>
      </c>
      <c r="J84" s="24">
        <f t="shared" si="7"/>
        <v>6</v>
      </c>
    </row>
    <row r="87" spans="2:12" ht="19.5" thickBot="1" x14ac:dyDescent="0.25">
      <c r="B87" s="66" t="s">
        <v>32</v>
      </c>
      <c r="C87" s="1"/>
      <c r="D87" s="1"/>
      <c r="E87" s="1" t="s">
        <v>37</v>
      </c>
      <c r="F87" s="1"/>
      <c r="G87" s="67"/>
      <c r="H87" s="67"/>
      <c r="I87" s="67"/>
      <c r="J87" s="67"/>
    </row>
    <row r="88" spans="2:12" ht="14.25" thickBot="1" x14ac:dyDescent="0.2">
      <c r="B88" s="2" t="s">
        <v>0</v>
      </c>
      <c r="C88" s="206" t="s">
        <v>33</v>
      </c>
      <c r="D88" s="206"/>
      <c r="E88" s="206"/>
      <c r="F88" s="207"/>
      <c r="G88" s="206" t="s">
        <v>34</v>
      </c>
      <c r="H88" s="206"/>
      <c r="I88" s="206"/>
      <c r="J88" s="207"/>
    </row>
    <row r="89" spans="2:12" ht="14.25" thickBot="1" x14ac:dyDescent="0.2">
      <c r="B89" s="2" t="s">
        <v>1</v>
      </c>
      <c r="C89" s="3" t="s">
        <v>25</v>
      </c>
      <c r="D89" s="2" t="s">
        <v>26</v>
      </c>
      <c r="E89" s="19" t="s">
        <v>27</v>
      </c>
      <c r="F89" s="2" t="s">
        <v>2</v>
      </c>
      <c r="G89" s="3" t="s">
        <v>25</v>
      </c>
      <c r="H89" s="2" t="s">
        <v>26</v>
      </c>
      <c r="I89" s="19" t="s">
        <v>27</v>
      </c>
      <c r="J89" s="2" t="s">
        <v>2</v>
      </c>
    </row>
    <row r="90" spans="2:12" x14ac:dyDescent="0.15">
      <c r="B90" s="27" t="s">
        <v>28</v>
      </c>
      <c r="C90" s="72">
        <f>C84</f>
        <v>0</v>
      </c>
      <c r="D90" s="73">
        <f>D84</f>
        <v>2</v>
      </c>
      <c r="E90" s="74">
        <f>E84</f>
        <v>1</v>
      </c>
      <c r="F90" s="18">
        <f>SUM(C90:E90)</f>
        <v>3</v>
      </c>
      <c r="G90" s="72">
        <f>G84</f>
        <v>3</v>
      </c>
      <c r="H90" s="73">
        <f>H84</f>
        <v>2</v>
      </c>
      <c r="I90" s="74">
        <f>I84</f>
        <v>1</v>
      </c>
      <c r="J90" s="18">
        <f>SUM(G90:I90)</f>
        <v>6</v>
      </c>
    </row>
    <row r="91" spans="2:12" x14ac:dyDescent="0.15">
      <c r="B91" s="6" t="s">
        <v>3</v>
      </c>
      <c r="C91" s="11">
        <v>2</v>
      </c>
      <c r="D91" s="10"/>
      <c r="E91" s="11"/>
      <c r="F91" s="5">
        <f t="shared" ref="F91:F98" si="8">SUM(C91:E91)</f>
        <v>2</v>
      </c>
      <c r="G91" s="136" t="s">
        <v>79</v>
      </c>
      <c r="H91" s="10"/>
      <c r="I91" s="11"/>
      <c r="J91" s="5">
        <f t="shared" ref="J91:J98" si="9">SUM(G91:I91)</f>
        <v>0</v>
      </c>
      <c r="K91" s="32">
        <v>45027</v>
      </c>
    </row>
    <row r="92" spans="2:12" x14ac:dyDescent="0.15">
      <c r="B92" s="6" t="s">
        <v>3</v>
      </c>
      <c r="C92" s="11"/>
      <c r="D92" s="10"/>
      <c r="E92" s="11"/>
      <c r="F92" s="5">
        <f t="shared" si="8"/>
        <v>0</v>
      </c>
      <c r="G92" s="11">
        <v>1</v>
      </c>
      <c r="H92" s="10"/>
      <c r="I92" s="11"/>
      <c r="J92" s="5">
        <f t="shared" si="9"/>
        <v>1</v>
      </c>
      <c r="K92" s="32">
        <v>45054</v>
      </c>
      <c r="L92" s="33"/>
    </row>
    <row r="93" spans="2:12" x14ac:dyDescent="0.15">
      <c r="B93" s="6" t="s">
        <v>60</v>
      </c>
      <c r="C93" s="11">
        <v>-1</v>
      </c>
      <c r="D93" s="10">
        <v>-1</v>
      </c>
      <c r="E93" s="11"/>
      <c r="F93" s="5">
        <f t="shared" si="8"/>
        <v>-2</v>
      </c>
      <c r="G93" s="11"/>
      <c r="H93" s="10">
        <v>-1</v>
      </c>
      <c r="I93" s="11"/>
      <c r="J93" s="5">
        <f t="shared" si="9"/>
        <v>-1</v>
      </c>
      <c r="K93" s="37">
        <v>45142</v>
      </c>
    </row>
    <row r="94" spans="2:12" x14ac:dyDescent="0.15">
      <c r="B94" s="6" t="s">
        <v>3</v>
      </c>
      <c r="C94" s="11"/>
      <c r="D94" s="10">
        <v>2</v>
      </c>
      <c r="E94" s="11"/>
      <c r="F94" s="5">
        <f t="shared" si="8"/>
        <v>2</v>
      </c>
      <c r="G94" s="11"/>
      <c r="H94" s="10">
        <v>2</v>
      </c>
      <c r="I94" s="11"/>
      <c r="J94" s="5">
        <f t="shared" si="9"/>
        <v>2</v>
      </c>
      <c r="K94" s="32">
        <v>45166</v>
      </c>
    </row>
    <row r="95" spans="2:12" x14ac:dyDescent="0.15">
      <c r="B95" s="6" t="s">
        <v>3</v>
      </c>
      <c r="C95" s="11">
        <v>2</v>
      </c>
      <c r="D95" s="10">
        <v>1</v>
      </c>
      <c r="E95" s="11"/>
      <c r="F95" s="5">
        <f t="shared" si="8"/>
        <v>3</v>
      </c>
      <c r="G95" s="11"/>
      <c r="H95" s="10">
        <v>1</v>
      </c>
      <c r="I95" s="11"/>
      <c r="J95" s="5">
        <f t="shared" si="9"/>
        <v>1</v>
      </c>
      <c r="K95" s="32">
        <v>45175</v>
      </c>
    </row>
    <row r="96" spans="2:12" x14ac:dyDescent="0.15">
      <c r="B96" s="6" t="s">
        <v>3</v>
      </c>
      <c r="C96" s="11"/>
      <c r="D96" s="10"/>
      <c r="E96" s="11">
        <v>4</v>
      </c>
      <c r="F96" s="5">
        <f t="shared" si="8"/>
        <v>4</v>
      </c>
      <c r="G96" s="11"/>
      <c r="H96" s="10"/>
      <c r="I96" s="11">
        <v>2</v>
      </c>
      <c r="J96" s="5">
        <f t="shared" si="9"/>
        <v>2</v>
      </c>
      <c r="K96" s="32">
        <v>45258</v>
      </c>
    </row>
    <row r="97" spans="2:11" x14ac:dyDescent="0.15">
      <c r="B97" s="6" t="s">
        <v>3</v>
      </c>
      <c r="C97" s="11">
        <v>2</v>
      </c>
      <c r="D97" s="10"/>
      <c r="E97" s="11"/>
      <c r="F97" s="5">
        <f t="shared" si="8"/>
        <v>2</v>
      </c>
      <c r="G97" s="11"/>
      <c r="H97" s="10"/>
      <c r="I97" s="11"/>
      <c r="J97" s="5">
        <f t="shared" si="9"/>
        <v>0</v>
      </c>
      <c r="K97" s="32">
        <v>45286</v>
      </c>
    </row>
    <row r="98" spans="2:11" x14ac:dyDescent="0.15">
      <c r="B98" s="6" t="s">
        <v>3</v>
      </c>
      <c r="C98" s="11"/>
      <c r="D98" s="10"/>
      <c r="E98" s="11"/>
      <c r="F98" s="5">
        <f t="shared" si="8"/>
        <v>0</v>
      </c>
      <c r="G98" s="11"/>
      <c r="H98" s="10"/>
      <c r="I98" s="11">
        <v>2</v>
      </c>
      <c r="J98" s="5">
        <f t="shared" si="9"/>
        <v>2</v>
      </c>
      <c r="K98" s="32">
        <v>45301</v>
      </c>
    </row>
    <row r="99" spans="2:11" x14ac:dyDescent="0.15">
      <c r="B99" s="6" t="s">
        <v>3</v>
      </c>
      <c r="C99" s="11"/>
      <c r="D99" s="10"/>
      <c r="E99" s="11"/>
      <c r="F99" s="5">
        <f t="shared" ref="F99:F126" si="10">SUM(C99:E99)</f>
        <v>0</v>
      </c>
      <c r="G99" s="11">
        <v>2</v>
      </c>
      <c r="H99" s="10"/>
      <c r="I99" s="11"/>
      <c r="J99" s="5">
        <f t="shared" ref="J99:J126" si="11">SUM(G99:I99)</f>
        <v>2</v>
      </c>
      <c r="K99" s="32">
        <v>45314</v>
      </c>
    </row>
    <row r="100" spans="2:11" ht="14.25" thickBot="1" x14ac:dyDescent="0.2">
      <c r="B100" s="7" t="s">
        <v>3</v>
      </c>
      <c r="C100" s="14">
        <v>2</v>
      </c>
      <c r="D100" s="13">
        <v>2</v>
      </c>
      <c r="E100" s="14">
        <v>3</v>
      </c>
      <c r="F100" s="20">
        <f t="shared" si="10"/>
        <v>7</v>
      </c>
      <c r="G100" s="14">
        <v>2</v>
      </c>
      <c r="H100" s="13">
        <v>2</v>
      </c>
      <c r="I100" s="14">
        <v>3</v>
      </c>
      <c r="J100" s="20">
        <f t="shared" si="11"/>
        <v>7</v>
      </c>
      <c r="K100" s="32">
        <v>45379</v>
      </c>
    </row>
    <row r="101" spans="2:11" ht="14.25" thickBot="1" x14ac:dyDescent="0.2">
      <c r="B101" s="21" t="s">
        <v>4</v>
      </c>
      <c r="C101" s="22">
        <f>SUM(C90:C100)</f>
        <v>7</v>
      </c>
      <c r="D101" s="22">
        <f>SUM(D90:D100)</f>
        <v>6</v>
      </c>
      <c r="E101" s="23">
        <f>SUM(E90:E100)</f>
        <v>8</v>
      </c>
      <c r="F101" s="24">
        <f t="shared" si="10"/>
        <v>21</v>
      </c>
      <c r="G101" s="22">
        <f>SUM(G90:G100)</f>
        <v>8</v>
      </c>
      <c r="H101" s="22">
        <f>SUM(H90:H100)</f>
        <v>6</v>
      </c>
      <c r="I101" s="23">
        <f>SUM(I90:I100)</f>
        <v>8</v>
      </c>
      <c r="J101" s="24">
        <f t="shared" si="11"/>
        <v>22</v>
      </c>
    </row>
    <row r="102" spans="2:11" x14ac:dyDescent="0.15">
      <c r="B102" s="4" t="s">
        <v>16</v>
      </c>
      <c r="C102" s="9">
        <v>1</v>
      </c>
      <c r="D102" s="10"/>
      <c r="E102" s="11"/>
      <c r="F102" s="8">
        <f t="shared" ref="F102:F113" si="12">SUM(C102:E102)</f>
        <v>1</v>
      </c>
      <c r="G102" s="9"/>
      <c r="H102" s="10"/>
      <c r="I102" s="11"/>
      <c r="J102" s="8">
        <f t="shared" ref="J102:J113" si="13">SUM(G102:I102)</f>
        <v>0</v>
      </c>
      <c r="K102" s="37">
        <v>45107</v>
      </c>
    </row>
    <row r="103" spans="2:11" x14ac:dyDescent="0.15">
      <c r="B103" s="4" t="s">
        <v>16</v>
      </c>
      <c r="C103" s="9"/>
      <c r="D103" s="10">
        <v>1</v>
      </c>
      <c r="E103" s="11"/>
      <c r="F103" s="8">
        <f t="shared" si="12"/>
        <v>1</v>
      </c>
      <c r="G103" s="9"/>
      <c r="H103" s="10">
        <v>1</v>
      </c>
      <c r="I103" s="11"/>
      <c r="J103" s="8">
        <f t="shared" si="13"/>
        <v>1</v>
      </c>
      <c r="K103" s="37">
        <v>45133</v>
      </c>
    </row>
    <row r="104" spans="2:11" x14ac:dyDescent="0.15">
      <c r="B104" s="4" t="s">
        <v>16</v>
      </c>
      <c r="C104" s="9"/>
      <c r="D104" s="10">
        <v>1</v>
      </c>
      <c r="E104" s="11"/>
      <c r="F104" s="8">
        <f t="shared" si="12"/>
        <v>1</v>
      </c>
      <c r="G104" s="9"/>
      <c r="H104" s="10">
        <v>1</v>
      </c>
      <c r="I104" s="11"/>
      <c r="J104" s="8">
        <f t="shared" si="13"/>
        <v>1</v>
      </c>
      <c r="K104" s="37">
        <v>45166</v>
      </c>
    </row>
    <row r="105" spans="2:11" x14ac:dyDescent="0.15">
      <c r="B105" s="4" t="s">
        <v>16</v>
      </c>
      <c r="C105" s="9"/>
      <c r="D105" s="10"/>
      <c r="E105" s="11">
        <v>1</v>
      </c>
      <c r="F105" s="8">
        <f t="shared" si="12"/>
        <v>1</v>
      </c>
      <c r="G105" s="9"/>
      <c r="H105" s="10"/>
      <c r="I105" s="11">
        <v>1</v>
      </c>
      <c r="J105" s="8">
        <f t="shared" si="13"/>
        <v>1</v>
      </c>
      <c r="K105" s="37">
        <v>45254</v>
      </c>
    </row>
    <row r="106" spans="2:11" x14ac:dyDescent="0.15">
      <c r="B106" s="4" t="s">
        <v>16</v>
      </c>
      <c r="C106" s="9"/>
      <c r="D106" s="10"/>
      <c r="E106" s="11">
        <v>2</v>
      </c>
      <c r="F106" s="8">
        <f t="shared" si="12"/>
        <v>2</v>
      </c>
      <c r="G106" s="9"/>
      <c r="H106" s="10"/>
      <c r="I106" s="11"/>
      <c r="J106" s="8">
        <f t="shared" si="13"/>
        <v>0</v>
      </c>
      <c r="K106" s="37">
        <v>45258</v>
      </c>
    </row>
    <row r="107" spans="2:11" x14ac:dyDescent="0.15">
      <c r="B107" s="4" t="s">
        <v>16</v>
      </c>
      <c r="C107" s="9">
        <v>2</v>
      </c>
      <c r="D107" s="10"/>
      <c r="E107" s="11"/>
      <c r="F107" s="8">
        <f t="shared" si="12"/>
        <v>2</v>
      </c>
      <c r="G107" s="9"/>
      <c r="H107" s="10"/>
      <c r="I107" s="11"/>
      <c r="J107" s="8">
        <f t="shared" si="13"/>
        <v>0</v>
      </c>
      <c r="K107" s="37">
        <v>45265</v>
      </c>
    </row>
    <row r="108" spans="2:11" x14ac:dyDescent="0.15">
      <c r="B108" s="4" t="s">
        <v>16</v>
      </c>
      <c r="C108" s="9"/>
      <c r="D108" s="10"/>
      <c r="E108" s="11"/>
      <c r="F108" s="8">
        <f t="shared" si="12"/>
        <v>0</v>
      </c>
      <c r="G108" s="9"/>
      <c r="H108" s="10"/>
      <c r="I108" s="11">
        <v>2</v>
      </c>
      <c r="J108" s="8">
        <f t="shared" si="13"/>
        <v>2</v>
      </c>
      <c r="K108" s="37">
        <v>45278</v>
      </c>
    </row>
    <row r="109" spans="2:11" x14ac:dyDescent="0.15">
      <c r="B109" s="4" t="s">
        <v>16</v>
      </c>
      <c r="C109" s="9"/>
      <c r="D109" s="10"/>
      <c r="E109" s="11"/>
      <c r="F109" s="8">
        <f t="shared" si="12"/>
        <v>0</v>
      </c>
      <c r="G109" s="9">
        <v>4</v>
      </c>
      <c r="H109" s="10"/>
      <c r="I109" s="11"/>
      <c r="J109" s="8">
        <f t="shared" si="13"/>
        <v>4</v>
      </c>
      <c r="K109" s="37">
        <v>45306</v>
      </c>
    </row>
    <row r="110" spans="2:11" x14ac:dyDescent="0.15">
      <c r="B110" s="4" t="s">
        <v>16</v>
      </c>
      <c r="C110" s="9">
        <v>1</v>
      </c>
      <c r="D110" s="10"/>
      <c r="E110" s="11"/>
      <c r="F110" s="8">
        <f t="shared" si="12"/>
        <v>1</v>
      </c>
      <c r="G110" s="9">
        <v>1</v>
      </c>
      <c r="H110" s="10"/>
      <c r="I110" s="11"/>
      <c r="J110" s="8">
        <f t="shared" si="13"/>
        <v>1</v>
      </c>
      <c r="K110" s="37">
        <v>45315</v>
      </c>
    </row>
    <row r="111" spans="2:11" x14ac:dyDescent="0.15">
      <c r="B111" s="4" t="s">
        <v>16</v>
      </c>
      <c r="C111" s="9"/>
      <c r="D111" s="10"/>
      <c r="E111" s="11">
        <v>1</v>
      </c>
      <c r="F111" s="8">
        <f t="shared" si="12"/>
        <v>1</v>
      </c>
      <c r="G111" s="9"/>
      <c r="H111" s="10"/>
      <c r="I111" s="11">
        <v>1</v>
      </c>
      <c r="J111" s="8">
        <f t="shared" si="13"/>
        <v>1</v>
      </c>
      <c r="K111" s="37">
        <v>45320</v>
      </c>
    </row>
    <row r="112" spans="2:11" x14ac:dyDescent="0.15">
      <c r="B112" s="4" t="s">
        <v>16</v>
      </c>
      <c r="C112" s="9"/>
      <c r="D112" s="10">
        <v>1</v>
      </c>
      <c r="E112" s="11"/>
      <c r="F112" s="8">
        <f t="shared" si="12"/>
        <v>1</v>
      </c>
      <c r="G112" s="9"/>
      <c r="H112" s="10">
        <v>1</v>
      </c>
      <c r="I112" s="11"/>
      <c r="J112" s="8">
        <f t="shared" si="13"/>
        <v>1</v>
      </c>
      <c r="K112" s="37">
        <v>45327</v>
      </c>
    </row>
    <row r="113" spans="2:11" x14ac:dyDescent="0.15">
      <c r="B113" s="4" t="s">
        <v>16</v>
      </c>
      <c r="C113" s="9"/>
      <c r="D113" s="10"/>
      <c r="E113" s="11">
        <v>2</v>
      </c>
      <c r="F113" s="8">
        <f t="shared" si="12"/>
        <v>2</v>
      </c>
      <c r="G113" s="9"/>
      <c r="H113" s="10"/>
      <c r="I113" s="11">
        <v>2</v>
      </c>
      <c r="J113" s="8">
        <f t="shared" si="13"/>
        <v>2</v>
      </c>
      <c r="K113" s="37">
        <v>45379</v>
      </c>
    </row>
    <row r="114" spans="2:11" x14ac:dyDescent="0.15">
      <c r="B114" s="4" t="s">
        <v>16</v>
      </c>
      <c r="C114" s="9"/>
      <c r="D114" s="10">
        <v>2</v>
      </c>
      <c r="E114" s="11"/>
      <c r="F114" s="8">
        <f t="shared" si="10"/>
        <v>2</v>
      </c>
      <c r="G114" s="9"/>
      <c r="H114" s="10">
        <v>2</v>
      </c>
      <c r="I114" s="11"/>
      <c r="J114" s="8">
        <f t="shared" si="11"/>
        <v>2</v>
      </c>
      <c r="K114" s="37">
        <v>45392</v>
      </c>
    </row>
    <row r="115" spans="2:11" x14ac:dyDescent="0.15">
      <c r="B115" s="4" t="s">
        <v>16</v>
      </c>
      <c r="C115" s="9"/>
      <c r="D115" s="10">
        <v>1</v>
      </c>
      <c r="E115" s="11"/>
      <c r="F115" s="8">
        <f t="shared" si="10"/>
        <v>1</v>
      </c>
      <c r="G115" s="9"/>
      <c r="H115" s="10">
        <v>1</v>
      </c>
      <c r="I115" s="11"/>
      <c r="J115" s="8">
        <f t="shared" si="11"/>
        <v>1</v>
      </c>
      <c r="K115" s="37">
        <v>45393</v>
      </c>
    </row>
    <row r="116" spans="2:11" x14ac:dyDescent="0.15">
      <c r="B116" s="4" t="s">
        <v>16</v>
      </c>
      <c r="C116" s="9">
        <v>1</v>
      </c>
      <c r="D116" s="10"/>
      <c r="E116" s="11"/>
      <c r="F116" s="8">
        <f t="shared" si="10"/>
        <v>1</v>
      </c>
      <c r="G116" s="9">
        <v>1</v>
      </c>
      <c r="H116" s="10"/>
      <c r="I116" s="11"/>
      <c r="J116" s="8">
        <f t="shared" si="11"/>
        <v>1</v>
      </c>
      <c r="K116" s="37">
        <v>45397</v>
      </c>
    </row>
    <row r="117" spans="2:11" x14ac:dyDescent="0.15">
      <c r="B117" s="4" t="s">
        <v>16</v>
      </c>
      <c r="C117" s="9"/>
      <c r="D117" s="10"/>
      <c r="E117" s="11">
        <v>1</v>
      </c>
      <c r="F117" s="8">
        <f t="shared" si="10"/>
        <v>1</v>
      </c>
      <c r="G117" s="9"/>
      <c r="H117" s="10"/>
      <c r="I117" s="11">
        <v>1</v>
      </c>
      <c r="J117" s="8">
        <f t="shared" si="11"/>
        <v>1</v>
      </c>
      <c r="K117" s="37">
        <v>45400</v>
      </c>
    </row>
    <row r="118" spans="2:11" x14ac:dyDescent="0.15">
      <c r="B118" s="4" t="s">
        <v>16</v>
      </c>
      <c r="C118" s="9">
        <v>2</v>
      </c>
      <c r="D118" s="10"/>
      <c r="E118" s="11"/>
      <c r="F118" s="8">
        <f t="shared" si="10"/>
        <v>2</v>
      </c>
      <c r="G118" s="9">
        <v>2</v>
      </c>
      <c r="H118" s="10"/>
      <c r="I118" s="11"/>
      <c r="J118" s="8">
        <f t="shared" si="11"/>
        <v>2</v>
      </c>
      <c r="K118" s="37">
        <v>45408</v>
      </c>
    </row>
    <row r="119" spans="2:11" x14ac:dyDescent="0.15">
      <c r="B119" s="4" t="s">
        <v>16</v>
      </c>
      <c r="C119" s="9"/>
      <c r="D119" s="10"/>
      <c r="E119" s="11">
        <v>1</v>
      </c>
      <c r="F119" s="8">
        <f t="shared" si="10"/>
        <v>1</v>
      </c>
      <c r="G119" s="9"/>
      <c r="H119" s="10"/>
      <c r="I119" s="11">
        <v>1</v>
      </c>
      <c r="J119" s="8">
        <f t="shared" si="11"/>
        <v>1</v>
      </c>
      <c r="K119" s="37">
        <v>45422</v>
      </c>
    </row>
    <row r="120" spans="2:11" x14ac:dyDescent="0.15">
      <c r="B120" s="4"/>
      <c r="C120" s="9"/>
      <c r="D120" s="10"/>
      <c r="E120" s="11"/>
      <c r="F120" s="8">
        <f t="shared" si="10"/>
        <v>0</v>
      </c>
      <c r="G120" s="9"/>
      <c r="H120" s="10"/>
      <c r="I120" s="11"/>
      <c r="J120" s="8">
        <f t="shared" si="11"/>
        <v>0</v>
      </c>
    </row>
    <row r="121" spans="2:11" x14ac:dyDescent="0.15">
      <c r="B121" s="4"/>
      <c r="C121" s="9"/>
      <c r="D121" s="10"/>
      <c r="E121" s="11"/>
      <c r="F121" s="8">
        <f t="shared" si="10"/>
        <v>0</v>
      </c>
      <c r="G121" s="9"/>
      <c r="H121" s="10"/>
      <c r="I121" s="11"/>
      <c r="J121" s="8">
        <f t="shared" si="11"/>
        <v>0</v>
      </c>
    </row>
    <row r="122" spans="2:11" x14ac:dyDescent="0.15">
      <c r="B122" s="4"/>
      <c r="C122" s="9"/>
      <c r="D122" s="10"/>
      <c r="E122" s="11"/>
      <c r="F122" s="8">
        <f t="shared" si="10"/>
        <v>0</v>
      </c>
      <c r="G122" s="9"/>
      <c r="H122" s="10"/>
      <c r="I122" s="11"/>
      <c r="J122" s="8">
        <f t="shared" si="11"/>
        <v>0</v>
      </c>
    </row>
    <row r="123" spans="2:11" x14ac:dyDescent="0.15">
      <c r="B123" s="4"/>
      <c r="C123" s="9"/>
      <c r="D123" s="10"/>
      <c r="E123" s="11"/>
      <c r="F123" s="8">
        <f t="shared" si="10"/>
        <v>0</v>
      </c>
      <c r="G123" s="9"/>
      <c r="H123" s="10"/>
      <c r="I123" s="11"/>
      <c r="J123" s="8">
        <f t="shared" si="11"/>
        <v>0</v>
      </c>
    </row>
    <row r="124" spans="2:11" x14ac:dyDescent="0.15">
      <c r="B124" s="4"/>
      <c r="C124" s="9"/>
      <c r="D124" s="10"/>
      <c r="E124" s="11"/>
      <c r="F124" s="8">
        <f t="shared" si="10"/>
        <v>0</v>
      </c>
      <c r="G124" s="9"/>
      <c r="H124" s="10"/>
      <c r="I124" s="11"/>
      <c r="J124" s="8">
        <f t="shared" si="11"/>
        <v>0</v>
      </c>
    </row>
    <row r="125" spans="2:11" ht="14.25" thickBot="1" x14ac:dyDescent="0.2">
      <c r="B125" s="4"/>
      <c r="C125" s="9"/>
      <c r="D125" s="10"/>
      <c r="E125" s="11"/>
      <c r="F125" s="8">
        <f t="shared" si="10"/>
        <v>0</v>
      </c>
      <c r="G125" s="9"/>
      <c r="H125" s="10"/>
      <c r="I125" s="11"/>
      <c r="J125" s="8">
        <f t="shared" si="11"/>
        <v>0</v>
      </c>
    </row>
    <row r="126" spans="2:11" ht="14.25" thickBot="1" x14ac:dyDescent="0.2">
      <c r="B126" s="3" t="s">
        <v>5</v>
      </c>
      <c r="C126" s="15">
        <f>SUM(C102:C125)</f>
        <v>7</v>
      </c>
      <c r="D126" s="15">
        <f>SUM(D102:D125)</f>
        <v>6</v>
      </c>
      <c r="E126" s="15">
        <f>SUM(E102:E125)</f>
        <v>8</v>
      </c>
      <c r="F126" s="16">
        <f t="shared" si="10"/>
        <v>21</v>
      </c>
      <c r="G126" s="15">
        <f>SUM(G102:G125)</f>
        <v>8</v>
      </c>
      <c r="H126" s="15">
        <f>SUM(H102:H125)</f>
        <v>6</v>
      </c>
      <c r="I126" s="15">
        <f>SUM(I102:I125)</f>
        <v>8</v>
      </c>
      <c r="J126" s="16">
        <f t="shared" si="11"/>
        <v>22</v>
      </c>
    </row>
    <row r="127" spans="2:11" ht="14.25" thickBot="1" x14ac:dyDescent="0.2">
      <c r="B127" s="25" t="s">
        <v>6</v>
      </c>
      <c r="C127" s="26">
        <f t="shared" ref="C127:J127" si="14">C101-C126</f>
        <v>0</v>
      </c>
      <c r="D127" s="26">
        <f t="shared" si="14"/>
        <v>0</v>
      </c>
      <c r="E127" s="26">
        <f t="shared" si="14"/>
        <v>0</v>
      </c>
      <c r="F127" s="26">
        <f t="shared" si="14"/>
        <v>0</v>
      </c>
      <c r="G127" s="26">
        <f t="shared" si="14"/>
        <v>0</v>
      </c>
      <c r="H127" s="26">
        <f t="shared" si="14"/>
        <v>0</v>
      </c>
      <c r="I127" s="26">
        <f t="shared" si="14"/>
        <v>0</v>
      </c>
      <c r="J127" s="24">
        <f t="shared" si="14"/>
        <v>0</v>
      </c>
    </row>
    <row r="130" spans="2:12" ht="19.5" thickBot="1" x14ac:dyDescent="0.25">
      <c r="B130" s="66" t="s">
        <v>32</v>
      </c>
      <c r="C130" s="1"/>
      <c r="D130" s="1"/>
      <c r="E130" s="1" t="s">
        <v>37</v>
      </c>
      <c r="F130" s="1"/>
      <c r="G130" s="67"/>
      <c r="H130" s="67"/>
      <c r="I130" s="67"/>
      <c r="J130" s="67"/>
    </row>
    <row r="131" spans="2:12" ht="14.25" thickBot="1" x14ac:dyDescent="0.2">
      <c r="B131" s="2" t="s">
        <v>0</v>
      </c>
      <c r="C131" s="222" t="s">
        <v>33</v>
      </c>
      <c r="D131" s="222"/>
      <c r="E131" s="222"/>
      <c r="F131" s="223"/>
      <c r="G131" s="217" t="s">
        <v>34</v>
      </c>
      <c r="H131" s="217"/>
      <c r="I131" s="217"/>
      <c r="J131" s="218"/>
    </row>
    <row r="132" spans="2:12" ht="14.25" thickBot="1" x14ac:dyDescent="0.2">
      <c r="B132" s="2" t="s">
        <v>1</v>
      </c>
      <c r="C132" s="3" t="s">
        <v>25</v>
      </c>
      <c r="D132" s="2" t="s">
        <v>26</v>
      </c>
      <c r="E132" s="19" t="s">
        <v>27</v>
      </c>
      <c r="F132" s="2" t="s">
        <v>2</v>
      </c>
      <c r="G132" s="3" t="s">
        <v>25</v>
      </c>
      <c r="H132" s="2" t="s">
        <v>26</v>
      </c>
      <c r="I132" s="19" t="s">
        <v>27</v>
      </c>
      <c r="J132" s="2" t="s">
        <v>2</v>
      </c>
    </row>
    <row r="133" spans="2:12" x14ac:dyDescent="0.15">
      <c r="B133" s="27" t="s">
        <v>28</v>
      </c>
      <c r="C133" s="72">
        <f>C127</f>
        <v>0</v>
      </c>
      <c r="D133" s="73">
        <f>D127</f>
        <v>0</v>
      </c>
      <c r="E133" s="74">
        <f>E127</f>
        <v>0</v>
      </c>
      <c r="F133" s="18">
        <f>SUM(C133:E133)</f>
        <v>0</v>
      </c>
      <c r="G133" s="72">
        <f>G127</f>
        <v>0</v>
      </c>
      <c r="H133" s="73">
        <f>H127</f>
        <v>0</v>
      </c>
      <c r="I133" s="74">
        <f>I127</f>
        <v>0</v>
      </c>
      <c r="J133" s="18">
        <f>SUM(G133:I133)</f>
        <v>0</v>
      </c>
    </row>
    <row r="134" spans="2:12" x14ac:dyDescent="0.15">
      <c r="B134" s="6" t="s">
        <v>3</v>
      </c>
      <c r="C134" s="11"/>
      <c r="D134" s="10">
        <v>3</v>
      </c>
      <c r="E134" s="11"/>
      <c r="F134" s="5">
        <f t="shared" ref="F134:F141" si="15">SUM(C134:E134)</f>
        <v>3</v>
      </c>
      <c r="G134" s="11"/>
      <c r="H134" s="10"/>
      <c r="I134" s="11"/>
      <c r="J134" s="5">
        <f t="shared" ref="J134:J141" si="16">SUM(G134:I134)</f>
        <v>0</v>
      </c>
      <c r="K134" s="32">
        <v>45394</v>
      </c>
    </row>
    <row r="135" spans="2:12" x14ac:dyDescent="0.15">
      <c r="B135" s="6" t="s">
        <v>3</v>
      </c>
      <c r="C135" s="11">
        <v>2</v>
      </c>
      <c r="D135" s="10"/>
      <c r="E135" s="11">
        <v>2</v>
      </c>
      <c r="F135" s="5">
        <f t="shared" si="15"/>
        <v>4</v>
      </c>
      <c r="G135" s="11">
        <v>2</v>
      </c>
      <c r="H135" s="10">
        <v>2</v>
      </c>
      <c r="I135" s="11">
        <v>4</v>
      </c>
      <c r="J135" s="5">
        <f t="shared" si="16"/>
        <v>8</v>
      </c>
      <c r="K135" s="32">
        <v>45434</v>
      </c>
    </row>
    <row r="136" spans="2:12" x14ac:dyDescent="0.15">
      <c r="B136" s="6" t="s">
        <v>3</v>
      </c>
      <c r="C136" s="11">
        <v>2</v>
      </c>
      <c r="D136" s="10">
        <v>2</v>
      </c>
      <c r="E136" s="11"/>
      <c r="F136" s="5">
        <f t="shared" si="15"/>
        <v>4</v>
      </c>
      <c r="G136" s="11">
        <v>2</v>
      </c>
      <c r="H136" s="10">
        <v>2</v>
      </c>
      <c r="I136" s="11"/>
      <c r="J136" s="5">
        <f t="shared" si="16"/>
        <v>4</v>
      </c>
      <c r="K136" s="32">
        <v>45446</v>
      </c>
    </row>
    <row r="137" spans="2:12" x14ac:dyDescent="0.15">
      <c r="B137" s="6" t="s">
        <v>3</v>
      </c>
      <c r="C137" s="11"/>
      <c r="D137" s="10"/>
      <c r="E137" s="11"/>
      <c r="F137" s="5">
        <f t="shared" si="15"/>
        <v>0</v>
      </c>
      <c r="G137" s="11"/>
      <c r="H137" s="10">
        <v>2</v>
      </c>
      <c r="I137" s="11"/>
      <c r="J137" s="5">
        <f t="shared" si="16"/>
        <v>2</v>
      </c>
      <c r="K137" s="32">
        <v>45458</v>
      </c>
    </row>
    <row r="138" spans="2:12" x14ac:dyDescent="0.15">
      <c r="B138" s="6" t="s">
        <v>3</v>
      </c>
      <c r="C138" s="11"/>
      <c r="D138" s="10">
        <v>2</v>
      </c>
      <c r="E138" s="11">
        <v>2</v>
      </c>
      <c r="F138" s="5">
        <f t="shared" si="15"/>
        <v>4</v>
      </c>
      <c r="G138" s="11">
        <v>2</v>
      </c>
      <c r="H138" s="10"/>
      <c r="I138" s="11">
        <v>2</v>
      </c>
      <c r="J138" s="5">
        <f t="shared" si="16"/>
        <v>4</v>
      </c>
      <c r="K138" s="32">
        <v>45471</v>
      </c>
    </row>
    <row r="139" spans="2:12" x14ac:dyDescent="0.15">
      <c r="B139" s="6" t="s">
        <v>3</v>
      </c>
      <c r="C139" s="11"/>
      <c r="D139" s="10"/>
      <c r="E139" s="11">
        <v>2</v>
      </c>
      <c r="F139" s="5">
        <f t="shared" si="15"/>
        <v>2</v>
      </c>
      <c r="G139" s="11"/>
      <c r="H139" s="10"/>
      <c r="I139" s="11">
        <v>2</v>
      </c>
      <c r="J139" s="5">
        <f t="shared" si="16"/>
        <v>2</v>
      </c>
      <c r="K139" s="32">
        <v>45491</v>
      </c>
      <c r="L139" s="33"/>
    </row>
    <row r="140" spans="2:12" x14ac:dyDescent="0.15">
      <c r="B140" s="6" t="s">
        <v>3</v>
      </c>
      <c r="C140" s="11"/>
      <c r="D140" s="10"/>
      <c r="E140" s="11">
        <v>2</v>
      </c>
      <c r="F140" s="5">
        <f t="shared" si="15"/>
        <v>2</v>
      </c>
      <c r="G140" s="11"/>
      <c r="H140" s="10"/>
      <c r="I140" s="11">
        <v>2</v>
      </c>
      <c r="J140" s="5">
        <f t="shared" si="16"/>
        <v>2</v>
      </c>
      <c r="K140" s="32">
        <v>45496</v>
      </c>
    </row>
    <row r="141" spans="2:12" x14ac:dyDescent="0.15">
      <c r="B141" s="6" t="s">
        <v>3</v>
      </c>
      <c r="C141" s="11"/>
      <c r="D141" s="10">
        <v>3</v>
      </c>
      <c r="E141" s="11">
        <v>2</v>
      </c>
      <c r="F141" s="5">
        <f t="shared" si="15"/>
        <v>5</v>
      </c>
      <c r="G141" s="11">
        <v>2</v>
      </c>
      <c r="H141" s="10">
        <v>2</v>
      </c>
      <c r="I141" s="11">
        <v>2</v>
      </c>
      <c r="J141" s="5">
        <f t="shared" si="16"/>
        <v>6</v>
      </c>
      <c r="K141" s="32">
        <v>45524</v>
      </c>
    </row>
    <row r="142" spans="2:12" x14ac:dyDescent="0.15">
      <c r="B142" s="6" t="s">
        <v>60</v>
      </c>
      <c r="C142" s="11">
        <v>0</v>
      </c>
      <c r="D142" s="10">
        <v>0</v>
      </c>
      <c r="E142" s="11">
        <v>0</v>
      </c>
      <c r="F142" s="5">
        <f t="shared" ref="F142:F169" si="17">SUM(C142:E142)</f>
        <v>0</v>
      </c>
      <c r="G142" s="11">
        <v>0</v>
      </c>
      <c r="H142" s="10">
        <v>0</v>
      </c>
      <c r="I142" s="11">
        <v>0</v>
      </c>
      <c r="J142" s="5">
        <f t="shared" ref="J142:J169" si="18">SUM(G142:I142)</f>
        <v>0</v>
      </c>
      <c r="K142" s="32">
        <v>45531</v>
      </c>
    </row>
    <row r="143" spans="2:12" ht="14.25" thickBot="1" x14ac:dyDescent="0.2">
      <c r="B143" s="7" t="s">
        <v>3</v>
      </c>
      <c r="C143" s="14">
        <v>2</v>
      </c>
      <c r="D143" s="13"/>
      <c r="E143" s="14">
        <v>2</v>
      </c>
      <c r="F143" s="20">
        <f t="shared" si="17"/>
        <v>4</v>
      </c>
      <c r="G143" s="14"/>
      <c r="H143" s="13"/>
      <c r="I143" s="14">
        <v>2</v>
      </c>
      <c r="J143" s="20">
        <f t="shared" si="18"/>
        <v>2</v>
      </c>
      <c r="K143" s="32">
        <v>45538</v>
      </c>
    </row>
    <row r="144" spans="2:12" ht="14.25" thickBot="1" x14ac:dyDescent="0.2">
      <c r="B144" s="21" t="s">
        <v>4</v>
      </c>
      <c r="C144" s="22">
        <f>SUM(C133:C143)</f>
        <v>6</v>
      </c>
      <c r="D144" s="22">
        <f>SUM(D133:D143)</f>
        <v>10</v>
      </c>
      <c r="E144" s="23">
        <f>SUM(E133:E143)</f>
        <v>12</v>
      </c>
      <c r="F144" s="24">
        <f t="shared" si="17"/>
        <v>28</v>
      </c>
      <c r="G144" s="22">
        <f>SUM(G133:G143)</f>
        <v>8</v>
      </c>
      <c r="H144" s="22">
        <f>SUM(H133:H143)</f>
        <v>8</v>
      </c>
      <c r="I144" s="23">
        <f>SUM(I133:I143)</f>
        <v>14</v>
      </c>
      <c r="J144" s="24">
        <f t="shared" si="18"/>
        <v>30</v>
      </c>
    </row>
    <row r="145" spans="2:11" x14ac:dyDescent="0.15">
      <c r="B145" s="4" t="s">
        <v>16</v>
      </c>
      <c r="C145" s="9"/>
      <c r="D145" s="10"/>
      <c r="E145" s="11"/>
      <c r="F145" s="8">
        <f t="shared" ref="F145:F157" si="19">SUM(C145:E145)</f>
        <v>0</v>
      </c>
      <c r="G145" s="9"/>
      <c r="H145" s="10"/>
      <c r="I145" s="11">
        <v>2</v>
      </c>
      <c r="J145" s="8">
        <f t="shared" ref="J145:J157" si="20">SUM(G145:I145)</f>
        <v>2</v>
      </c>
      <c r="K145" s="37">
        <v>45434</v>
      </c>
    </row>
    <row r="146" spans="2:11" x14ac:dyDescent="0.15">
      <c r="B146" s="4" t="s">
        <v>16</v>
      </c>
      <c r="C146" s="9">
        <v>1</v>
      </c>
      <c r="D146" s="10">
        <v>2</v>
      </c>
      <c r="E146" s="11"/>
      <c r="F146" s="8">
        <f t="shared" si="19"/>
        <v>3</v>
      </c>
      <c r="G146" s="9">
        <v>1</v>
      </c>
      <c r="H146" s="10">
        <v>2</v>
      </c>
      <c r="I146" s="11"/>
      <c r="J146" s="8">
        <f t="shared" si="20"/>
        <v>3</v>
      </c>
      <c r="K146" s="37">
        <v>45439</v>
      </c>
    </row>
    <row r="147" spans="2:11" x14ac:dyDescent="0.15">
      <c r="B147" s="4" t="s">
        <v>16</v>
      </c>
      <c r="C147" s="9"/>
      <c r="D147" s="10"/>
      <c r="E147" s="11"/>
      <c r="F147" s="8">
        <f t="shared" si="19"/>
        <v>0</v>
      </c>
      <c r="G147" s="9">
        <v>2</v>
      </c>
      <c r="H147" s="10"/>
      <c r="I147" s="11"/>
      <c r="J147" s="8">
        <f t="shared" si="20"/>
        <v>2</v>
      </c>
      <c r="K147" s="37">
        <v>45453</v>
      </c>
    </row>
    <row r="148" spans="2:11" x14ac:dyDescent="0.15">
      <c r="B148" s="4" t="s">
        <v>16</v>
      </c>
      <c r="C148" s="9"/>
      <c r="D148" s="10"/>
      <c r="E148" s="11">
        <v>1</v>
      </c>
      <c r="F148" s="8">
        <f t="shared" si="19"/>
        <v>1</v>
      </c>
      <c r="G148" s="9"/>
      <c r="H148" s="10"/>
      <c r="I148" s="11">
        <v>1</v>
      </c>
      <c r="J148" s="8">
        <f t="shared" si="20"/>
        <v>1</v>
      </c>
      <c r="K148" s="37">
        <v>45468</v>
      </c>
    </row>
    <row r="149" spans="2:11" x14ac:dyDescent="0.15">
      <c r="B149" s="4" t="s">
        <v>16</v>
      </c>
      <c r="C149" s="9"/>
      <c r="D149" s="10">
        <v>2</v>
      </c>
      <c r="E149" s="11"/>
      <c r="F149" s="8">
        <f t="shared" si="19"/>
        <v>2</v>
      </c>
      <c r="G149" s="9"/>
      <c r="H149" s="10">
        <v>2</v>
      </c>
      <c r="I149" s="11"/>
      <c r="J149" s="8">
        <f t="shared" si="20"/>
        <v>2</v>
      </c>
      <c r="K149" s="37">
        <v>45471</v>
      </c>
    </row>
    <row r="150" spans="2:11" x14ac:dyDescent="0.15">
      <c r="B150" s="4" t="s">
        <v>16</v>
      </c>
      <c r="C150" s="9"/>
      <c r="D150" s="10"/>
      <c r="E150" s="11">
        <v>2</v>
      </c>
      <c r="F150" s="8">
        <f t="shared" si="19"/>
        <v>2</v>
      </c>
      <c r="G150" s="9"/>
      <c r="H150" s="10"/>
      <c r="I150" s="11">
        <v>2</v>
      </c>
      <c r="J150" s="8">
        <f t="shared" si="20"/>
        <v>2</v>
      </c>
      <c r="K150" s="37">
        <v>45483</v>
      </c>
    </row>
    <row r="151" spans="2:11" x14ac:dyDescent="0.15">
      <c r="B151" s="4" t="s">
        <v>16</v>
      </c>
      <c r="C151" s="9"/>
      <c r="D151" s="10"/>
      <c r="E151" s="11">
        <v>1</v>
      </c>
      <c r="F151" s="8">
        <f t="shared" si="19"/>
        <v>1</v>
      </c>
      <c r="G151" s="9"/>
      <c r="H151" s="10"/>
      <c r="I151" s="11">
        <v>1</v>
      </c>
      <c r="J151" s="8">
        <f t="shared" si="20"/>
        <v>1</v>
      </c>
      <c r="K151" s="37">
        <v>45493</v>
      </c>
    </row>
    <row r="152" spans="2:11" x14ac:dyDescent="0.15">
      <c r="B152" s="4" t="s">
        <v>16</v>
      </c>
      <c r="C152" s="9"/>
      <c r="D152" s="10"/>
      <c r="E152" s="11">
        <v>2</v>
      </c>
      <c r="F152" s="8">
        <f t="shared" si="19"/>
        <v>2</v>
      </c>
      <c r="G152" s="9"/>
      <c r="H152" s="10"/>
      <c r="I152" s="11">
        <v>2</v>
      </c>
      <c r="J152" s="8">
        <f t="shared" si="20"/>
        <v>2</v>
      </c>
      <c r="K152" s="37">
        <v>45495</v>
      </c>
    </row>
    <row r="153" spans="2:11" x14ac:dyDescent="0.15">
      <c r="B153" s="4" t="s">
        <v>16</v>
      </c>
      <c r="C153" s="9"/>
      <c r="D153" s="10"/>
      <c r="E153" s="11"/>
      <c r="F153" s="8">
        <f t="shared" si="19"/>
        <v>0</v>
      </c>
      <c r="G153" s="9"/>
      <c r="H153" s="10"/>
      <c r="I153" s="11">
        <v>2</v>
      </c>
      <c r="J153" s="8">
        <f t="shared" si="20"/>
        <v>2</v>
      </c>
      <c r="K153" s="37">
        <v>45509</v>
      </c>
    </row>
    <row r="154" spans="2:11" x14ac:dyDescent="0.15">
      <c r="B154" s="4" t="s">
        <v>16</v>
      </c>
      <c r="C154" s="9"/>
      <c r="D154" s="10">
        <f>2+1</f>
        <v>3</v>
      </c>
      <c r="E154" s="11">
        <v>2</v>
      </c>
      <c r="F154" s="8">
        <f t="shared" si="19"/>
        <v>5</v>
      </c>
      <c r="G154" s="9">
        <v>2</v>
      </c>
      <c r="H154" s="10">
        <v>1</v>
      </c>
      <c r="I154" s="11"/>
      <c r="J154" s="8">
        <f t="shared" si="20"/>
        <v>3</v>
      </c>
      <c r="K154" s="37">
        <v>45520</v>
      </c>
    </row>
    <row r="155" spans="2:11" x14ac:dyDescent="0.15">
      <c r="B155" s="4" t="s">
        <v>16</v>
      </c>
      <c r="C155" s="9">
        <v>2</v>
      </c>
      <c r="D155" s="10"/>
      <c r="E155" s="11"/>
      <c r="F155" s="8">
        <f t="shared" si="19"/>
        <v>2</v>
      </c>
      <c r="G155" s="9"/>
      <c r="H155" s="10"/>
      <c r="I155" s="11"/>
      <c r="J155" s="8">
        <f t="shared" si="20"/>
        <v>0</v>
      </c>
      <c r="K155" s="37">
        <v>45525</v>
      </c>
    </row>
    <row r="156" spans="2:11" x14ac:dyDescent="0.15">
      <c r="B156" s="4" t="s">
        <v>16</v>
      </c>
      <c r="C156" s="9">
        <v>1</v>
      </c>
      <c r="D156" s="10"/>
      <c r="E156" s="11"/>
      <c r="F156" s="8">
        <f t="shared" si="19"/>
        <v>1</v>
      </c>
      <c r="G156" s="9">
        <v>1</v>
      </c>
      <c r="H156" s="10"/>
      <c r="I156" s="11"/>
      <c r="J156" s="8">
        <f t="shared" si="20"/>
        <v>1</v>
      </c>
      <c r="K156" s="37">
        <v>45530</v>
      </c>
    </row>
    <row r="157" spans="2:11" x14ac:dyDescent="0.15">
      <c r="B157" s="4" t="s">
        <v>16</v>
      </c>
      <c r="C157" s="9"/>
      <c r="D157" s="10"/>
      <c r="E157" s="11">
        <v>1</v>
      </c>
      <c r="F157" s="8">
        <f t="shared" si="19"/>
        <v>1</v>
      </c>
      <c r="G157" s="9"/>
      <c r="H157" s="10"/>
      <c r="I157" s="11">
        <v>1</v>
      </c>
      <c r="J157" s="8">
        <f t="shared" si="20"/>
        <v>1</v>
      </c>
      <c r="K157" s="37">
        <v>45532</v>
      </c>
    </row>
    <row r="158" spans="2:11" x14ac:dyDescent="0.15">
      <c r="B158" s="4" t="s">
        <v>16</v>
      </c>
      <c r="C158" s="9"/>
      <c r="D158" s="10"/>
      <c r="E158" s="11">
        <v>1</v>
      </c>
      <c r="F158" s="8">
        <f t="shared" si="17"/>
        <v>1</v>
      </c>
      <c r="G158" s="9"/>
      <c r="H158" s="10"/>
      <c r="I158" s="11">
        <v>1</v>
      </c>
      <c r="J158" s="8">
        <f t="shared" si="18"/>
        <v>1</v>
      </c>
      <c r="K158" s="37">
        <v>45540</v>
      </c>
    </row>
    <row r="159" spans="2:11" x14ac:dyDescent="0.15">
      <c r="B159" s="4" t="s">
        <v>16</v>
      </c>
      <c r="C159" s="9"/>
      <c r="D159" s="10"/>
      <c r="E159" s="11">
        <v>1</v>
      </c>
      <c r="F159" s="8">
        <f t="shared" si="17"/>
        <v>1</v>
      </c>
      <c r="G159" s="9"/>
      <c r="H159" s="10"/>
      <c r="I159" s="11">
        <v>1</v>
      </c>
      <c r="J159" s="8">
        <f t="shared" si="18"/>
        <v>1</v>
      </c>
      <c r="K159" s="37">
        <v>45541</v>
      </c>
    </row>
    <row r="160" spans="2:11" x14ac:dyDescent="0.15">
      <c r="B160" s="4"/>
      <c r="C160" s="9"/>
      <c r="D160" s="10"/>
      <c r="E160" s="11"/>
      <c r="F160" s="8">
        <f t="shared" ref="F160" si="21">SUM(C160:E160)</f>
        <v>0</v>
      </c>
      <c r="G160" s="9"/>
      <c r="H160" s="10"/>
      <c r="I160" s="11"/>
      <c r="J160" s="8">
        <f t="shared" ref="J160" si="22">SUM(G160:I160)</f>
        <v>0</v>
      </c>
    </row>
    <row r="161" spans="2:10" x14ac:dyDescent="0.15">
      <c r="B161" s="4"/>
      <c r="C161" s="9"/>
      <c r="D161" s="10"/>
      <c r="E161" s="11"/>
      <c r="F161" s="8">
        <f t="shared" si="17"/>
        <v>0</v>
      </c>
      <c r="G161" s="9"/>
      <c r="H161" s="10"/>
      <c r="I161" s="11"/>
      <c r="J161" s="8">
        <f t="shared" si="18"/>
        <v>0</v>
      </c>
    </row>
    <row r="162" spans="2:10" x14ac:dyDescent="0.15">
      <c r="B162" s="4"/>
      <c r="C162" s="9"/>
      <c r="D162" s="10"/>
      <c r="E162" s="11"/>
      <c r="F162" s="8">
        <f t="shared" si="17"/>
        <v>0</v>
      </c>
      <c r="G162" s="9"/>
      <c r="H162" s="10"/>
      <c r="I162" s="11"/>
      <c r="J162" s="8">
        <f t="shared" si="18"/>
        <v>0</v>
      </c>
    </row>
    <row r="163" spans="2:10" x14ac:dyDescent="0.15">
      <c r="B163" s="4"/>
      <c r="C163" s="9"/>
      <c r="D163" s="10"/>
      <c r="E163" s="11"/>
      <c r="F163" s="8">
        <f t="shared" si="17"/>
        <v>0</v>
      </c>
      <c r="G163" s="9"/>
      <c r="H163" s="10"/>
      <c r="I163" s="11"/>
      <c r="J163" s="8">
        <f t="shared" si="18"/>
        <v>0</v>
      </c>
    </row>
    <row r="164" spans="2:10" x14ac:dyDescent="0.15">
      <c r="B164" s="4"/>
      <c r="C164" s="9"/>
      <c r="D164" s="10"/>
      <c r="E164" s="11"/>
      <c r="F164" s="8">
        <f t="shared" si="17"/>
        <v>0</v>
      </c>
      <c r="G164" s="9"/>
      <c r="H164" s="10"/>
      <c r="I164" s="11"/>
      <c r="J164" s="8">
        <f t="shared" si="18"/>
        <v>0</v>
      </c>
    </row>
    <row r="165" spans="2:10" x14ac:dyDescent="0.15">
      <c r="B165" s="4"/>
      <c r="C165" s="9"/>
      <c r="D165" s="10"/>
      <c r="E165" s="11"/>
      <c r="F165" s="8">
        <f t="shared" si="17"/>
        <v>0</v>
      </c>
      <c r="G165" s="9"/>
      <c r="H165" s="10"/>
      <c r="I165" s="11"/>
      <c r="J165" s="8">
        <f t="shared" si="18"/>
        <v>0</v>
      </c>
    </row>
    <row r="166" spans="2:10" x14ac:dyDescent="0.15">
      <c r="B166" s="4"/>
      <c r="C166" s="9"/>
      <c r="D166" s="10"/>
      <c r="E166" s="11"/>
      <c r="F166" s="8">
        <f t="shared" si="17"/>
        <v>0</v>
      </c>
      <c r="G166" s="9"/>
      <c r="H166" s="10"/>
      <c r="I166" s="11"/>
      <c r="J166" s="8">
        <f t="shared" si="18"/>
        <v>0</v>
      </c>
    </row>
    <row r="167" spans="2:10" x14ac:dyDescent="0.15">
      <c r="B167" s="4"/>
      <c r="C167" s="9"/>
      <c r="D167" s="10"/>
      <c r="E167" s="11"/>
      <c r="F167" s="8">
        <f t="shared" si="17"/>
        <v>0</v>
      </c>
      <c r="G167" s="9"/>
      <c r="H167" s="10"/>
      <c r="I167" s="11"/>
      <c r="J167" s="8">
        <f t="shared" si="18"/>
        <v>0</v>
      </c>
    </row>
    <row r="168" spans="2:10" ht="14.25" thickBot="1" x14ac:dyDescent="0.2">
      <c r="B168" s="4"/>
      <c r="C168" s="9"/>
      <c r="D168" s="10"/>
      <c r="E168" s="11"/>
      <c r="F168" s="8">
        <f t="shared" si="17"/>
        <v>0</v>
      </c>
      <c r="G168" s="9"/>
      <c r="H168" s="10"/>
      <c r="I168" s="11"/>
      <c r="J168" s="8">
        <f t="shared" si="18"/>
        <v>0</v>
      </c>
    </row>
    <row r="169" spans="2:10" ht="14.25" thickBot="1" x14ac:dyDescent="0.2">
      <c r="B169" s="3" t="s">
        <v>5</v>
      </c>
      <c r="C169" s="15">
        <f>SUM(C145:C168)</f>
        <v>4</v>
      </c>
      <c r="D169" s="15">
        <f>SUM(D145:D168)</f>
        <v>7</v>
      </c>
      <c r="E169" s="15">
        <f>SUM(E145:E168)</f>
        <v>11</v>
      </c>
      <c r="F169" s="16">
        <f t="shared" si="17"/>
        <v>22</v>
      </c>
      <c r="G169" s="15">
        <f>SUM(G145:G168)</f>
        <v>6</v>
      </c>
      <c r="H169" s="15">
        <f>SUM(H145:H168)</f>
        <v>5</v>
      </c>
      <c r="I169" s="15">
        <f>SUM(I145:I168)</f>
        <v>13</v>
      </c>
      <c r="J169" s="16">
        <f t="shared" si="18"/>
        <v>24</v>
      </c>
    </row>
    <row r="170" spans="2:10" ht="14.25" thickBot="1" x14ac:dyDescent="0.2">
      <c r="B170" s="25" t="s">
        <v>6</v>
      </c>
      <c r="C170" s="26">
        <f t="shared" ref="C170:J170" si="23">C144-C169</f>
        <v>2</v>
      </c>
      <c r="D170" s="26">
        <f t="shared" si="23"/>
        <v>3</v>
      </c>
      <c r="E170" s="26">
        <f t="shared" si="23"/>
        <v>1</v>
      </c>
      <c r="F170" s="26">
        <f t="shared" si="23"/>
        <v>6</v>
      </c>
      <c r="G170" s="26">
        <f t="shared" si="23"/>
        <v>2</v>
      </c>
      <c r="H170" s="26">
        <f t="shared" si="23"/>
        <v>3</v>
      </c>
      <c r="I170" s="26">
        <f t="shared" si="23"/>
        <v>1</v>
      </c>
      <c r="J170" s="24">
        <f t="shared" si="23"/>
        <v>6</v>
      </c>
    </row>
    <row r="173" spans="2:10" ht="19.5" thickBot="1" x14ac:dyDescent="0.25">
      <c r="B173" s="66" t="s">
        <v>32</v>
      </c>
      <c r="C173" s="1"/>
      <c r="D173" s="1"/>
      <c r="E173" s="1" t="s">
        <v>37</v>
      </c>
      <c r="F173" s="1"/>
      <c r="G173" s="67"/>
      <c r="H173" s="67"/>
      <c r="I173" s="67"/>
      <c r="J173" s="67"/>
    </row>
    <row r="174" spans="2:10" ht="14.25" thickBot="1" x14ac:dyDescent="0.2">
      <c r="B174" s="2" t="s">
        <v>0</v>
      </c>
      <c r="C174" s="222" t="s">
        <v>33</v>
      </c>
      <c r="D174" s="222"/>
      <c r="E174" s="222"/>
      <c r="F174" s="223"/>
      <c r="G174" s="217" t="s">
        <v>34</v>
      </c>
      <c r="H174" s="217"/>
      <c r="I174" s="217"/>
      <c r="J174" s="218"/>
    </row>
    <row r="175" spans="2:10" ht="14.25" thickBot="1" x14ac:dyDescent="0.2">
      <c r="B175" s="2" t="s">
        <v>1</v>
      </c>
      <c r="C175" s="3" t="s">
        <v>25</v>
      </c>
      <c r="D175" s="2" t="s">
        <v>26</v>
      </c>
      <c r="E175" s="19" t="s">
        <v>27</v>
      </c>
      <c r="F175" s="2" t="s">
        <v>2</v>
      </c>
      <c r="G175" s="3" t="s">
        <v>25</v>
      </c>
      <c r="H175" s="2" t="s">
        <v>26</v>
      </c>
      <c r="I175" s="19" t="s">
        <v>27</v>
      </c>
      <c r="J175" s="2" t="s">
        <v>2</v>
      </c>
    </row>
    <row r="176" spans="2:10" x14ac:dyDescent="0.15">
      <c r="B176" s="27" t="s">
        <v>28</v>
      </c>
      <c r="C176" s="72">
        <f>C170</f>
        <v>2</v>
      </c>
      <c r="D176" s="73">
        <f>D170</f>
        <v>3</v>
      </c>
      <c r="E176" s="74">
        <f>E170</f>
        <v>1</v>
      </c>
      <c r="F176" s="18">
        <f>SUM(C176:E176)</f>
        <v>6</v>
      </c>
      <c r="G176" s="72">
        <f>G170</f>
        <v>2</v>
      </c>
      <c r="H176" s="73">
        <f>H170</f>
        <v>3</v>
      </c>
      <c r="I176" s="74">
        <f>I170</f>
        <v>1</v>
      </c>
      <c r="J176" s="18">
        <f>SUM(G176:I176)</f>
        <v>6</v>
      </c>
    </row>
    <row r="177" spans="2:12" x14ac:dyDescent="0.15">
      <c r="B177" s="6" t="s">
        <v>3</v>
      </c>
      <c r="C177" s="11"/>
      <c r="D177" s="10"/>
      <c r="E177" s="11">
        <v>2</v>
      </c>
      <c r="F177" s="5">
        <f t="shared" ref="F177:F212" si="24">SUM(C177:E177)</f>
        <v>2</v>
      </c>
      <c r="G177" s="11"/>
      <c r="H177" s="10"/>
      <c r="I177" s="11">
        <v>2</v>
      </c>
      <c r="J177" s="5">
        <f t="shared" ref="J177:J212" si="25">SUM(G177:I177)</f>
        <v>2</v>
      </c>
      <c r="K177" s="32">
        <v>45545</v>
      </c>
    </row>
    <row r="178" spans="2:12" x14ac:dyDescent="0.15">
      <c r="B178" s="6" t="s">
        <v>3</v>
      </c>
      <c r="C178" s="11"/>
      <c r="D178" s="10">
        <v>2</v>
      </c>
      <c r="E178" s="11">
        <v>3</v>
      </c>
      <c r="F178" s="5">
        <f t="shared" si="24"/>
        <v>5</v>
      </c>
      <c r="G178" s="11"/>
      <c r="H178" s="10">
        <v>2</v>
      </c>
      <c r="I178" s="11">
        <v>5</v>
      </c>
      <c r="J178" s="5">
        <f t="shared" si="25"/>
        <v>7</v>
      </c>
      <c r="K178" s="32">
        <v>45573</v>
      </c>
      <c r="L178" s="33"/>
    </row>
    <row r="179" spans="2:12" x14ac:dyDescent="0.15">
      <c r="B179" s="6" t="s">
        <v>3</v>
      </c>
      <c r="C179" s="11">
        <v>2</v>
      </c>
      <c r="D179" s="10"/>
      <c r="E179" s="11"/>
      <c r="F179" s="5">
        <f t="shared" si="24"/>
        <v>2</v>
      </c>
      <c r="G179" s="11">
        <v>2</v>
      </c>
      <c r="H179" s="10"/>
      <c r="I179" s="11"/>
      <c r="J179" s="5">
        <f t="shared" si="25"/>
        <v>2</v>
      </c>
      <c r="K179" s="32">
        <v>45576</v>
      </c>
    </row>
    <row r="180" spans="2:12" x14ac:dyDescent="0.15">
      <c r="B180" s="6" t="s">
        <v>60</v>
      </c>
      <c r="C180" s="11"/>
      <c r="D180" s="10"/>
      <c r="E180" s="11"/>
      <c r="F180" s="5">
        <f t="shared" si="24"/>
        <v>0</v>
      </c>
      <c r="G180" s="11">
        <v>-2</v>
      </c>
      <c r="H180" s="10"/>
      <c r="I180" s="11"/>
      <c r="J180" s="5">
        <f t="shared" si="25"/>
        <v>-2</v>
      </c>
      <c r="K180" s="32">
        <v>45649</v>
      </c>
    </row>
    <row r="181" spans="2:12" x14ac:dyDescent="0.15">
      <c r="B181" s="6" t="s">
        <v>3</v>
      </c>
      <c r="C181" s="11">
        <v>3</v>
      </c>
      <c r="D181" s="10">
        <v>3</v>
      </c>
      <c r="E181" s="11"/>
      <c r="F181" s="5">
        <f t="shared" si="24"/>
        <v>6</v>
      </c>
      <c r="G181" s="11">
        <v>5</v>
      </c>
      <c r="H181" s="10">
        <v>3</v>
      </c>
      <c r="I181" s="11"/>
      <c r="J181" s="5">
        <f t="shared" si="25"/>
        <v>8</v>
      </c>
      <c r="K181" s="32">
        <v>45651</v>
      </c>
    </row>
    <row r="182" spans="2:12" x14ac:dyDescent="0.15">
      <c r="B182" s="6" t="s">
        <v>3</v>
      </c>
      <c r="C182" s="11"/>
      <c r="D182" s="10"/>
      <c r="E182" s="11">
        <v>6</v>
      </c>
      <c r="F182" s="5">
        <f t="shared" si="24"/>
        <v>6</v>
      </c>
      <c r="G182" s="11"/>
      <c r="H182" s="10"/>
      <c r="I182" s="11"/>
      <c r="J182" s="5">
        <f t="shared" si="25"/>
        <v>0</v>
      </c>
      <c r="K182" s="32">
        <v>45665</v>
      </c>
    </row>
    <row r="183" spans="2:12" x14ac:dyDescent="0.15">
      <c r="B183" s="6" t="s">
        <v>3</v>
      </c>
      <c r="C183" s="11">
        <v>3</v>
      </c>
      <c r="D183" s="10">
        <v>3</v>
      </c>
      <c r="E183" s="11">
        <v>3</v>
      </c>
      <c r="F183" s="5">
        <f t="shared" si="24"/>
        <v>9</v>
      </c>
      <c r="G183" s="11">
        <v>5</v>
      </c>
      <c r="H183" s="10">
        <v>3</v>
      </c>
      <c r="I183" s="11">
        <v>3</v>
      </c>
      <c r="J183" s="5">
        <f t="shared" si="25"/>
        <v>11</v>
      </c>
      <c r="K183" s="32">
        <v>45673</v>
      </c>
    </row>
    <row r="184" spans="2:12" x14ac:dyDescent="0.15">
      <c r="B184" s="6" t="s">
        <v>3</v>
      </c>
      <c r="C184" s="11">
        <v>3</v>
      </c>
      <c r="D184" s="10"/>
      <c r="E184" s="11"/>
      <c r="F184" s="5">
        <f t="shared" si="24"/>
        <v>3</v>
      </c>
      <c r="G184" s="11">
        <v>3</v>
      </c>
      <c r="H184" s="10"/>
      <c r="I184" s="11"/>
      <c r="J184" s="5">
        <f t="shared" si="25"/>
        <v>3</v>
      </c>
      <c r="K184" s="32">
        <v>45679</v>
      </c>
    </row>
    <row r="185" spans="2:12" x14ac:dyDescent="0.15">
      <c r="B185" s="6" t="s">
        <v>3</v>
      </c>
      <c r="C185" s="11"/>
      <c r="D185" s="10">
        <v>4</v>
      </c>
      <c r="E185" s="11"/>
      <c r="F185" s="5">
        <f t="shared" si="24"/>
        <v>4</v>
      </c>
      <c r="G185" s="11"/>
      <c r="H185" s="10">
        <v>4</v>
      </c>
      <c r="I185" s="11"/>
      <c r="J185" s="5">
        <f t="shared" si="25"/>
        <v>4</v>
      </c>
      <c r="K185" s="32">
        <v>45714</v>
      </c>
    </row>
    <row r="186" spans="2:12" ht="14.25" thickBot="1" x14ac:dyDescent="0.2">
      <c r="B186" s="6" t="s">
        <v>3</v>
      </c>
      <c r="C186" s="14"/>
      <c r="D186" s="13"/>
      <c r="E186" s="14">
        <v>2</v>
      </c>
      <c r="F186" s="20">
        <f t="shared" si="24"/>
        <v>2</v>
      </c>
      <c r="G186" s="14"/>
      <c r="H186" s="13"/>
      <c r="I186" s="14">
        <v>2</v>
      </c>
      <c r="J186" s="20">
        <f t="shared" si="25"/>
        <v>2</v>
      </c>
      <c r="K186" s="32">
        <v>45720</v>
      </c>
    </row>
    <row r="187" spans="2:12" ht="14.25" thickBot="1" x14ac:dyDescent="0.2">
      <c r="B187" s="21" t="s">
        <v>4</v>
      </c>
      <c r="C187" s="22">
        <f>SUM(C176:C186)</f>
        <v>13</v>
      </c>
      <c r="D187" s="22">
        <f>SUM(D176:D186)</f>
        <v>15</v>
      </c>
      <c r="E187" s="23">
        <f>SUM(E176:E186)</f>
        <v>17</v>
      </c>
      <c r="F187" s="24">
        <f t="shared" si="24"/>
        <v>45</v>
      </c>
      <c r="G187" s="22">
        <f>SUM(G176:G186)</f>
        <v>15</v>
      </c>
      <c r="H187" s="22">
        <f>SUM(H176:H186)</f>
        <v>15</v>
      </c>
      <c r="I187" s="23">
        <f>SUM(I176:I186)</f>
        <v>13</v>
      </c>
      <c r="J187" s="24">
        <f t="shared" si="25"/>
        <v>43</v>
      </c>
    </row>
    <row r="188" spans="2:12" x14ac:dyDescent="0.15">
      <c r="B188" s="4" t="s">
        <v>16</v>
      </c>
      <c r="C188" s="9"/>
      <c r="D188" s="10"/>
      <c r="E188" s="11"/>
      <c r="F188" s="8">
        <f t="shared" si="24"/>
        <v>0</v>
      </c>
      <c r="G188" s="9"/>
      <c r="H188" s="10"/>
      <c r="I188" s="11">
        <v>2</v>
      </c>
      <c r="J188" s="8">
        <f t="shared" si="25"/>
        <v>2</v>
      </c>
      <c r="K188" s="37">
        <v>45556</v>
      </c>
    </row>
    <row r="189" spans="2:12" x14ac:dyDescent="0.15">
      <c r="B189" s="4" t="s">
        <v>16</v>
      </c>
      <c r="C189" s="9"/>
      <c r="D189" s="10"/>
      <c r="E189" s="11">
        <v>2</v>
      </c>
      <c r="F189" s="8">
        <f t="shared" si="24"/>
        <v>2</v>
      </c>
      <c r="G189" s="9"/>
      <c r="H189" s="10"/>
      <c r="I189" s="11">
        <v>2</v>
      </c>
      <c r="J189" s="8">
        <f t="shared" si="25"/>
        <v>2</v>
      </c>
      <c r="K189" s="37">
        <v>45573</v>
      </c>
    </row>
    <row r="190" spans="2:12" x14ac:dyDescent="0.15">
      <c r="B190" s="4" t="s">
        <v>16</v>
      </c>
      <c r="C190" s="9"/>
      <c r="D190" s="10">
        <v>2</v>
      </c>
      <c r="E190" s="11"/>
      <c r="F190" s="8">
        <f t="shared" ref="F190:F202" si="26">SUM(C190:E190)</f>
        <v>2</v>
      </c>
      <c r="G190" s="9"/>
      <c r="H190" s="10">
        <v>2</v>
      </c>
      <c r="I190" s="11"/>
      <c r="J190" s="8">
        <f t="shared" ref="J190:J202" si="27">SUM(G190:I190)</f>
        <v>2</v>
      </c>
      <c r="K190" s="37">
        <v>45580</v>
      </c>
    </row>
    <row r="191" spans="2:12" x14ac:dyDescent="0.15">
      <c r="B191" s="4" t="s">
        <v>16</v>
      </c>
      <c r="C191" s="9">
        <v>1</v>
      </c>
      <c r="D191" s="10"/>
      <c r="E191" s="11"/>
      <c r="F191" s="8">
        <f t="shared" si="26"/>
        <v>1</v>
      </c>
      <c r="G191" s="9">
        <v>1</v>
      </c>
      <c r="H191" s="10"/>
      <c r="I191" s="11"/>
      <c r="J191" s="8">
        <f t="shared" si="27"/>
        <v>1</v>
      </c>
      <c r="K191" s="37">
        <v>45621</v>
      </c>
    </row>
    <row r="192" spans="2:12" x14ac:dyDescent="0.15">
      <c r="B192" s="4" t="s">
        <v>16</v>
      </c>
      <c r="C192" s="9"/>
      <c r="D192" s="10">
        <v>1</v>
      </c>
      <c r="E192" s="11"/>
      <c r="F192" s="8">
        <f t="shared" si="26"/>
        <v>1</v>
      </c>
      <c r="G192" s="9"/>
      <c r="H192" s="10">
        <v>1</v>
      </c>
      <c r="I192" s="11"/>
      <c r="J192" s="8">
        <f t="shared" si="27"/>
        <v>1</v>
      </c>
      <c r="K192" s="37">
        <v>45631</v>
      </c>
    </row>
    <row r="193" spans="2:11" x14ac:dyDescent="0.15">
      <c r="B193" s="4" t="s">
        <v>16</v>
      </c>
      <c r="C193" s="9">
        <v>2</v>
      </c>
      <c r="D193" s="10"/>
      <c r="E193" s="11"/>
      <c r="F193" s="8">
        <f t="shared" ref="F193" si="28">SUM(C193:E193)</f>
        <v>2</v>
      </c>
      <c r="G193" s="9">
        <v>2</v>
      </c>
      <c r="H193" s="10"/>
      <c r="I193" s="11"/>
      <c r="J193" s="8">
        <f t="shared" ref="J193" si="29">SUM(G193:I193)</f>
        <v>2</v>
      </c>
      <c r="K193" s="37">
        <v>45651</v>
      </c>
    </row>
    <row r="194" spans="2:11" x14ac:dyDescent="0.15">
      <c r="B194" s="4" t="s">
        <v>16</v>
      </c>
      <c r="C194" s="9"/>
      <c r="D194" s="10"/>
      <c r="E194" s="11">
        <v>6</v>
      </c>
      <c r="F194" s="8">
        <f t="shared" si="26"/>
        <v>6</v>
      </c>
      <c r="G194" s="9"/>
      <c r="H194" s="10"/>
      <c r="I194" s="11"/>
      <c r="J194" s="8">
        <f t="shared" si="27"/>
        <v>0</v>
      </c>
      <c r="K194" s="37">
        <v>45665</v>
      </c>
    </row>
    <row r="195" spans="2:11" x14ac:dyDescent="0.15">
      <c r="B195" s="4" t="s">
        <v>16</v>
      </c>
      <c r="C195" s="9"/>
      <c r="D195" s="10"/>
      <c r="E195" s="11"/>
      <c r="F195" s="8">
        <f t="shared" si="26"/>
        <v>0</v>
      </c>
      <c r="G195" s="9">
        <v>2</v>
      </c>
      <c r="H195" s="10"/>
      <c r="I195" s="11"/>
      <c r="J195" s="8">
        <f t="shared" si="27"/>
        <v>2</v>
      </c>
      <c r="K195" s="37">
        <v>45667</v>
      </c>
    </row>
    <row r="196" spans="2:11" x14ac:dyDescent="0.15">
      <c r="B196" s="4" t="s">
        <v>16</v>
      </c>
      <c r="C196" s="9">
        <v>2</v>
      </c>
      <c r="D196" s="10">
        <v>2</v>
      </c>
      <c r="E196" s="11"/>
      <c r="F196" s="8">
        <f t="shared" si="26"/>
        <v>4</v>
      </c>
      <c r="G196" s="9">
        <v>2</v>
      </c>
      <c r="H196" s="10">
        <v>2</v>
      </c>
      <c r="I196" s="11"/>
      <c r="J196" s="8">
        <f t="shared" si="27"/>
        <v>4</v>
      </c>
      <c r="K196" s="37">
        <v>45671</v>
      </c>
    </row>
    <row r="197" spans="2:11" x14ac:dyDescent="0.15">
      <c r="B197" s="4" t="s">
        <v>16</v>
      </c>
      <c r="C197" s="9"/>
      <c r="D197" s="10">
        <v>1</v>
      </c>
      <c r="E197" s="11"/>
      <c r="F197" s="8">
        <f t="shared" si="26"/>
        <v>1</v>
      </c>
      <c r="G197" s="9"/>
      <c r="H197" s="10">
        <v>1</v>
      </c>
      <c r="I197" s="11"/>
      <c r="J197" s="8">
        <f t="shared" si="27"/>
        <v>1</v>
      </c>
      <c r="K197" s="37">
        <v>45672</v>
      </c>
    </row>
    <row r="198" spans="2:11" x14ac:dyDescent="0.15">
      <c r="B198" s="4" t="s">
        <v>16</v>
      </c>
      <c r="C198" s="9">
        <v>1</v>
      </c>
      <c r="D198" s="10"/>
      <c r="E198" s="11"/>
      <c r="F198" s="8">
        <f t="shared" si="26"/>
        <v>1</v>
      </c>
      <c r="G198" s="9">
        <v>1</v>
      </c>
      <c r="H198" s="10"/>
      <c r="I198" s="11"/>
      <c r="J198" s="8">
        <f t="shared" si="27"/>
        <v>1</v>
      </c>
      <c r="K198" s="37">
        <v>45673</v>
      </c>
    </row>
    <row r="199" spans="2:11" x14ac:dyDescent="0.15">
      <c r="B199" s="4" t="s">
        <v>16</v>
      </c>
      <c r="C199" s="9">
        <v>1</v>
      </c>
      <c r="D199" s="10"/>
      <c r="E199" s="11"/>
      <c r="F199" s="8">
        <f t="shared" si="26"/>
        <v>1</v>
      </c>
      <c r="G199" s="9">
        <v>1</v>
      </c>
      <c r="H199" s="10"/>
      <c r="I199" s="11"/>
      <c r="J199" s="8">
        <f t="shared" si="27"/>
        <v>1</v>
      </c>
      <c r="K199" s="37">
        <v>45677</v>
      </c>
    </row>
    <row r="200" spans="2:11" x14ac:dyDescent="0.15">
      <c r="B200" s="4" t="s">
        <v>16</v>
      </c>
      <c r="C200" s="9"/>
      <c r="D200" s="10">
        <v>1</v>
      </c>
      <c r="E200" s="11"/>
      <c r="F200" s="8">
        <f t="shared" si="26"/>
        <v>1</v>
      </c>
      <c r="G200" s="9"/>
      <c r="H200" s="10">
        <v>1</v>
      </c>
      <c r="I200" s="11"/>
      <c r="J200" s="8">
        <f t="shared" si="27"/>
        <v>1</v>
      </c>
      <c r="K200" s="37">
        <v>45705</v>
      </c>
    </row>
    <row r="201" spans="2:11" x14ac:dyDescent="0.15">
      <c r="B201" s="4" t="s">
        <v>16</v>
      </c>
      <c r="C201" s="9"/>
      <c r="D201" s="10">
        <v>2</v>
      </c>
      <c r="E201" s="11"/>
      <c r="F201" s="8">
        <f t="shared" si="26"/>
        <v>2</v>
      </c>
      <c r="G201" s="9"/>
      <c r="H201" s="10">
        <v>2</v>
      </c>
      <c r="I201" s="11"/>
      <c r="J201" s="8">
        <f t="shared" si="27"/>
        <v>2</v>
      </c>
      <c r="K201" s="37">
        <v>45706</v>
      </c>
    </row>
    <row r="202" spans="2:11" x14ac:dyDescent="0.15">
      <c r="B202" s="4" t="s">
        <v>16</v>
      </c>
      <c r="C202" s="9"/>
      <c r="D202" s="10">
        <v>1</v>
      </c>
      <c r="E202" s="11"/>
      <c r="F202" s="8">
        <f t="shared" si="26"/>
        <v>1</v>
      </c>
      <c r="G202" s="9"/>
      <c r="H202" s="10">
        <v>1</v>
      </c>
      <c r="I202" s="11"/>
      <c r="J202" s="8">
        <f t="shared" si="27"/>
        <v>1</v>
      </c>
      <c r="K202" s="37">
        <v>45708</v>
      </c>
    </row>
    <row r="203" spans="2:11" x14ac:dyDescent="0.15">
      <c r="B203" s="4" t="s">
        <v>16</v>
      </c>
      <c r="C203" s="9"/>
      <c r="D203" s="10"/>
      <c r="E203" s="11">
        <v>2</v>
      </c>
      <c r="F203" s="8">
        <f t="shared" si="24"/>
        <v>2</v>
      </c>
      <c r="G203" s="9"/>
      <c r="H203" s="10"/>
      <c r="I203" s="11">
        <v>2</v>
      </c>
      <c r="J203" s="8">
        <f t="shared" si="25"/>
        <v>2</v>
      </c>
      <c r="K203" s="37">
        <v>45713</v>
      </c>
    </row>
    <row r="204" spans="2:11" x14ac:dyDescent="0.15">
      <c r="B204" s="4" t="s">
        <v>16</v>
      </c>
      <c r="C204" s="9"/>
      <c r="D204" s="10"/>
      <c r="E204" s="11">
        <v>2</v>
      </c>
      <c r="F204" s="8">
        <f t="shared" si="24"/>
        <v>2</v>
      </c>
      <c r="G204" s="9"/>
      <c r="H204" s="10"/>
      <c r="I204" s="11">
        <v>2</v>
      </c>
      <c r="J204" s="8">
        <f t="shared" si="25"/>
        <v>2</v>
      </c>
      <c r="K204" s="37">
        <v>45714</v>
      </c>
    </row>
    <row r="205" spans="2:11" x14ac:dyDescent="0.15">
      <c r="B205" s="4" t="s">
        <v>16</v>
      </c>
      <c r="C205" s="9">
        <v>1</v>
      </c>
      <c r="D205" s="10">
        <v>1</v>
      </c>
      <c r="E205" s="11"/>
      <c r="F205" s="8">
        <f t="shared" si="24"/>
        <v>2</v>
      </c>
      <c r="G205" s="9">
        <v>1</v>
      </c>
      <c r="H205" s="10">
        <v>1</v>
      </c>
      <c r="I205" s="11"/>
      <c r="J205" s="8">
        <f t="shared" si="25"/>
        <v>2</v>
      </c>
      <c r="K205" s="37">
        <v>45723</v>
      </c>
    </row>
    <row r="206" spans="2:11" x14ac:dyDescent="0.15">
      <c r="B206" s="4" t="s">
        <v>16</v>
      </c>
      <c r="C206" s="9"/>
      <c r="D206" s="10">
        <v>1</v>
      </c>
      <c r="E206" s="11"/>
      <c r="F206" s="8">
        <f t="shared" si="24"/>
        <v>1</v>
      </c>
      <c r="G206" s="9"/>
      <c r="H206" s="10">
        <v>1</v>
      </c>
      <c r="I206" s="11"/>
      <c r="J206" s="8">
        <f t="shared" si="25"/>
        <v>1</v>
      </c>
      <c r="K206" s="37">
        <v>45728</v>
      </c>
    </row>
    <row r="207" spans="2:11" x14ac:dyDescent="0.15">
      <c r="B207" s="4" t="s">
        <v>16</v>
      </c>
      <c r="C207" s="9"/>
      <c r="D207" s="10"/>
      <c r="E207" s="11">
        <v>1</v>
      </c>
      <c r="F207" s="8">
        <f t="shared" si="24"/>
        <v>1</v>
      </c>
      <c r="G207" s="9"/>
      <c r="H207" s="10"/>
      <c r="I207" s="11">
        <v>1</v>
      </c>
      <c r="J207" s="8">
        <f t="shared" si="25"/>
        <v>1</v>
      </c>
      <c r="K207" s="37">
        <v>45737</v>
      </c>
    </row>
    <row r="208" spans="2:11" x14ac:dyDescent="0.15">
      <c r="B208" s="4" t="s">
        <v>16</v>
      </c>
      <c r="C208" s="9"/>
      <c r="D208" s="10"/>
      <c r="E208" s="11">
        <v>1</v>
      </c>
      <c r="F208" s="8">
        <f t="shared" si="24"/>
        <v>1</v>
      </c>
      <c r="G208" s="9"/>
      <c r="H208" s="10"/>
      <c r="I208" s="11">
        <v>1</v>
      </c>
      <c r="J208" s="8">
        <f t="shared" si="25"/>
        <v>1</v>
      </c>
      <c r="K208" s="37">
        <v>45750</v>
      </c>
    </row>
    <row r="209" spans="2:12" x14ac:dyDescent="0.15">
      <c r="B209" s="4" t="s">
        <v>16</v>
      </c>
      <c r="C209" s="9"/>
      <c r="D209" s="10">
        <v>2</v>
      </c>
      <c r="E209" s="11"/>
      <c r="F209" s="8">
        <f t="shared" si="24"/>
        <v>2</v>
      </c>
      <c r="G209" s="9"/>
      <c r="H209" s="10">
        <v>2</v>
      </c>
      <c r="I209" s="11"/>
      <c r="J209" s="8">
        <f t="shared" si="25"/>
        <v>2</v>
      </c>
      <c r="K209" s="37">
        <v>45765</v>
      </c>
    </row>
    <row r="210" spans="2:12" x14ac:dyDescent="0.15">
      <c r="B210" s="4" t="s">
        <v>16</v>
      </c>
      <c r="C210" s="9"/>
      <c r="D210" s="10">
        <v>1</v>
      </c>
      <c r="E210" s="11"/>
      <c r="F210" s="8">
        <f t="shared" si="24"/>
        <v>1</v>
      </c>
      <c r="G210" s="9"/>
      <c r="H210" s="10">
        <v>1</v>
      </c>
      <c r="I210" s="11"/>
      <c r="J210" s="8">
        <f t="shared" si="25"/>
        <v>1</v>
      </c>
      <c r="K210" s="37">
        <v>45769</v>
      </c>
    </row>
    <row r="211" spans="2:12" ht="14.25" thickBot="1" x14ac:dyDescent="0.2">
      <c r="B211" s="4" t="s">
        <v>16</v>
      </c>
      <c r="C211" s="9"/>
      <c r="D211" s="10"/>
      <c r="E211" s="11">
        <v>1</v>
      </c>
      <c r="F211" s="8">
        <f t="shared" si="24"/>
        <v>1</v>
      </c>
      <c r="G211" s="9"/>
      <c r="H211" s="10"/>
      <c r="I211" s="11">
        <v>1</v>
      </c>
      <c r="J211" s="8">
        <f t="shared" si="25"/>
        <v>1</v>
      </c>
      <c r="K211" s="37">
        <v>45775</v>
      </c>
    </row>
    <row r="212" spans="2:12" ht="14.25" thickBot="1" x14ac:dyDescent="0.2">
      <c r="B212" s="3" t="s">
        <v>5</v>
      </c>
      <c r="C212" s="15">
        <f>SUM(C188:C211)</f>
        <v>8</v>
      </c>
      <c r="D212" s="15">
        <f>SUM(D188:D211)</f>
        <v>15</v>
      </c>
      <c r="E212" s="15">
        <f>SUM(E188:E211)</f>
        <v>15</v>
      </c>
      <c r="F212" s="16">
        <f t="shared" si="24"/>
        <v>38</v>
      </c>
      <c r="G212" s="15">
        <f>SUM(G188:G211)</f>
        <v>10</v>
      </c>
      <c r="H212" s="15">
        <f>SUM(H188:H211)</f>
        <v>15</v>
      </c>
      <c r="I212" s="15">
        <f>SUM(I188:I211)</f>
        <v>11</v>
      </c>
      <c r="J212" s="16">
        <f t="shared" si="25"/>
        <v>36</v>
      </c>
    </row>
    <row r="213" spans="2:12" ht="14.25" thickBot="1" x14ac:dyDescent="0.2">
      <c r="B213" s="25" t="s">
        <v>6</v>
      </c>
      <c r="C213" s="26">
        <f t="shared" ref="C213:J213" si="30">C187-C212</f>
        <v>5</v>
      </c>
      <c r="D213" s="26">
        <f t="shared" si="30"/>
        <v>0</v>
      </c>
      <c r="E213" s="26">
        <f t="shared" si="30"/>
        <v>2</v>
      </c>
      <c r="F213" s="26">
        <f t="shared" si="30"/>
        <v>7</v>
      </c>
      <c r="G213" s="26">
        <f t="shared" si="30"/>
        <v>5</v>
      </c>
      <c r="H213" s="26">
        <f t="shared" si="30"/>
        <v>0</v>
      </c>
      <c r="I213" s="26">
        <f t="shared" si="30"/>
        <v>2</v>
      </c>
      <c r="J213" s="24">
        <f t="shared" si="30"/>
        <v>7</v>
      </c>
    </row>
    <row r="216" spans="2:12" ht="19.5" thickBot="1" x14ac:dyDescent="0.25">
      <c r="B216" s="66" t="s">
        <v>32</v>
      </c>
      <c r="C216" s="1"/>
      <c r="D216" s="1"/>
      <c r="E216" s="1" t="s">
        <v>37</v>
      </c>
      <c r="F216" s="1"/>
      <c r="G216" s="67"/>
      <c r="H216" s="67"/>
      <c r="I216" s="67"/>
      <c r="J216" s="67"/>
    </row>
    <row r="217" spans="2:12" ht="14.25" thickBot="1" x14ac:dyDescent="0.2">
      <c r="B217" s="2" t="s">
        <v>0</v>
      </c>
      <c r="C217" s="222" t="s">
        <v>33</v>
      </c>
      <c r="D217" s="222"/>
      <c r="E217" s="222"/>
      <c r="F217" s="223"/>
      <c r="G217" s="217" t="s">
        <v>34</v>
      </c>
      <c r="H217" s="217"/>
      <c r="I217" s="217"/>
      <c r="J217" s="218"/>
    </row>
    <row r="218" spans="2:12" ht="14.25" thickBot="1" x14ac:dyDescent="0.2">
      <c r="B218" s="2" t="s">
        <v>1</v>
      </c>
      <c r="C218" s="3" t="s">
        <v>25</v>
      </c>
      <c r="D218" s="2" t="s">
        <v>26</v>
      </c>
      <c r="E218" s="19" t="s">
        <v>27</v>
      </c>
      <c r="F218" s="2" t="s">
        <v>2</v>
      </c>
      <c r="G218" s="3" t="s">
        <v>25</v>
      </c>
      <c r="H218" s="2" t="s">
        <v>26</v>
      </c>
      <c r="I218" s="19" t="s">
        <v>27</v>
      </c>
      <c r="J218" s="2" t="s">
        <v>2</v>
      </c>
    </row>
    <row r="219" spans="2:12" x14ac:dyDescent="0.15">
      <c r="B219" s="27" t="s">
        <v>28</v>
      </c>
      <c r="C219" s="72">
        <f>C213</f>
        <v>5</v>
      </c>
      <c r="D219" s="73">
        <f>D213</f>
        <v>0</v>
      </c>
      <c r="E219" s="74">
        <f>E213</f>
        <v>2</v>
      </c>
      <c r="F219" s="18">
        <f>SUM(C219:E219)</f>
        <v>7</v>
      </c>
      <c r="G219" s="72">
        <f>G213</f>
        <v>5</v>
      </c>
      <c r="H219" s="73">
        <f>H213</f>
        <v>0</v>
      </c>
      <c r="I219" s="74">
        <f>I213</f>
        <v>2</v>
      </c>
      <c r="J219" s="18">
        <f>SUM(G219:I219)</f>
        <v>7</v>
      </c>
    </row>
    <row r="220" spans="2:12" x14ac:dyDescent="0.15">
      <c r="B220" s="6" t="s">
        <v>3</v>
      </c>
      <c r="C220" s="11"/>
      <c r="D220" s="10">
        <v>2</v>
      </c>
      <c r="E220" s="11"/>
      <c r="F220" s="5">
        <f t="shared" ref="F220:F255" si="31">SUM(C220:E220)</f>
        <v>2</v>
      </c>
      <c r="G220" s="11"/>
      <c r="H220" s="10">
        <v>2</v>
      </c>
      <c r="I220" s="11"/>
      <c r="J220" s="5">
        <f t="shared" ref="J220:J255" si="32">SUM(G220:I220)</f>
        <v>2</v>
      </c>
      <c r="K220" s="32">
        <v>45735</v>
      </c>
      <c r="L220" s="33"/>
    </row>
    <row r="221" spans="2:12" x14ac:dyDescent="0.15">
      <c r="B221" s="6" t="s">
        <v>3</v>
      </c>
      <c r="C221" s="11"/>
      <c r="D221" s="10">
        <v>3</v>
      </c>
      <c r="E221" s="11"/>
      <c r="F221" s="5">
        <f t="shared" si="31"/>
        <v>3</v>
      </c>
      <c r="G221" s="11"/>
      <c r="H221" s="10">
        <v>3</v>
      </c>
      <c r="I221" s="11"/>
      <c r="J221" s="5">
        <f t="shared" si="32"/>
        <v>3</v>
      </c>
      <c r="K221" s="32">
        <v>45786</v>
      </c>
      <c r="L221" s="33"/>
    </row>
    <row r="222" spans="2:12" x14ac:dyDescent="0.15">
      <c r="B222" s="27" t="s">
        <v>3</v>
      </c>
      <c r="C222" s="132"/>
      <c r="D222" s="131"/>
      <c r="E222" s="132">
        <v>-1</v>
      </c>
      <c r="F222" s="18">
        <f t="shared" si="31"/>
        <v>-1</v>
      </c>
      <c r="G222" s="132"/>
      <c r="H222" s="131"/>
      <c r="I222" s="132">
        <v>-1</v>
      </c>
      <c r="J222" s="18">
        <f t="shared" si="32"/>
        <v>-1</v>
      </c>
      <c r="K222" s="133">
        <v>45789</v>
      </c>
    </row>
    <row r="223" spans="2:12" x14ac:dyDescent="0.15">
      <c r="B223" s="6" t="s">
        <v>3</v>
      </c>
      <c r="C223" s="11"/>
      <c r="D223" s="10">
        <v>3</v>
      </c>
      <c r="E223" s="11">
        <v>3</v>
      </c>
      <c r="F223" s="5">
        <f t="shared" si="31"/>
        <v>6</v>
      </c>
      <c r="G223" s="11"/>
      <c r="H223" s="10">
        <v>3</v>
      </c>
      <c r="I223" s="11">
        <v>3</v>
      </c>
      <c r="J223" s="5">
        <f t="shared" si="32"/>
        <v>6</v>
      </c>
      <c r="K223" s="32">
        <v>45791</v>
      </c>
      <c r="L223" s="33"/>
    </row>
    <row r="224" spans="2:12" x14ac:dyDescent="0.15">
      <c r="B224" s="6" t="s">
        <v>3</v>
      </c>
      <c r="C224" s="11">
        <v>3</v>
      </c>
      <c r="D224" s="10"/>
      <c r="E224" s="11"/>
      <c r="F224" s="5">
        <f t="shared" si="31"/>
        <v>3</v>
      </c>
      <c r="G224" s="11">
        <v>3</v>
      </c>
      <c r="H224" s="10"/>
      <c r="I224" s="11"/>
      <c r="J224" s="5">
        <f t="shared" si="32"/>
        <v>3</v>
      </c>
      <c r="K224" s="32">
        <v>45827</v>
      </c>
      <c r="L224" s="33"/>
    </row>
    <row r="225" spans="2:12" x14ac:dyDescent="0.15">
      <c r="B225" s="6" t="s">
        <v>3</v>
      </c>
      <c r="C225" s="11"/>
      <c r="D225" s="10"/>
      <c r="E225" s="11">
        <v>3</v>
      </c>
      <c r="F225" s="5">
        <f t="shared" si="31"/>
        <v>3</v>
      </c>
      <c r="G225" s="11"/>
      <c r="H225" s="10"/>
      <c r="I225" s="11">
        <v>3</v>
      </c>
      <c r="J225" s="5">
        <f t="shared" si="32"/>
        <v>3</v>
      </c>
      <c r="K225" s="32">
        <v>45855</v>
      </c>
      <c r="L225" s="33"/>
    </row>
    <row r="226" spans="2:12" x14ac:dyDescent="0.15">
      <c r="B226" s="6" t="s">
        <v>3</v>
      </c>
      <c r="C226" s="11">
        <v>3</v>
      </c>
      <c r="D226" s="10">
        <v>4</v>
      </c>
      <c r="E226" s="11">
        <v>2</v>
      </c>
      <c r="F226" s="5">
        <f t="shared" si="31"/>
        <v>9</v>
      </c>
      <c r="G226" s="11">
        <v>3</v>
      </c>
      <c r="H226" s="10">
        <v>4</v>
      </c>
      <c r="I226" s="11">
        <v>4</v>
      </c>
      <c r="J226" s="5">
        <f t="shared" si="32"/>
        <v>11</v>
      </c>
      <c r="K226" s="32">
        <v>45896</v>
      </c>
      <c r="L226" s="179" t="s">
        <v>103</v>
      </c>
    </row>
    <row r="227" spans="2:12" x14ac:dyDescent="0.15">
      <c r="B227" s="6" t="s">
        <v>3</v>
      </c>
      <c r="C227" s="11">
        <v>3</v>
      </c>
      <c r="D227" s="10">
        <v>7</v>
      </c>
      <c r="E227" s="11"/>
      <c r="F227" s="5">
        <f t="shared" si="31"/>
        <v>10</v>
      </c>
      <c r="G227" s="11">
        <v>3</v>
      </c>
      <c r="H227" s="10">
        <v>7</v>
      </c>
      <c r="I227" s="11"/>
      <c r="J227" s="5">
        <f t="shared" si="32"/>
        <v>10</v>
      </c>
      <c r="K227" s="32">
        <v>45926</v>
      </c>
    </row>
    <row r="228" spans="2:12" x14ac:dyDescent="0.15">
      <c r="B228" s="6" t="s">
        <v>3</v>
      </c>
      <c r="C228" s="11"/>
      <c r="D228" s="10">
        <v>3</v>
      </c>
      <c r="E228" s="11"/>
      <c r="F228" s="5">
        <f t="shared" si="31"/>
        <v>3</v>
      </c>
      <c r="G228" s="11"/>
      <c r="H228" s="10">
        <v>3</v>
      </c>
      <c r="I228" s="11"/>
      <c r="J228" s="5">
        <f t="shared" si="32"/>
        <v>3</v>
      </c>
      <c r="K228" s="32">
        <v>45932</v>
      </c>
    </row>
    <row r="229" spans="2:12" ht="14.25" thickBot="1" x14ac:dyDescent="0.2">
      <c r="B229" s="6" t="s">
        <v>3</v>
      </c>
      <c r="C229" s="14">
        <v>4</v>
      </c>
      <c r="D229" s="13"/>
      <c r="E229" s="14"/>
      <c r="F229" s="20">
        <f t="shared" si="31"/>
        <v>4</v>
      </c>
      <c r="G229" s="14">
        <v>4</v>
      </c>
      <c r="H229" s="13"/>
      <c r="I229" s="14">
        <v>2</v>
      </c>
      <c r="J229" s="20">
        <f t="shared" si="32"/>
        <v>6</v>
      </c>
      <c r="K229" s="32">
        <v>45966</v>
      </c>
    </row>
    <row r="230" spans="2:12" ht="14.25" thickBot="1" x14ac:dyDescent="0.2">
      <c r="B230" s="21" t="s">
        <v>4</v>
      </c>
      <c r="C230" s="22">
        <f>SUM(C219:C229)</f>
        <v>18</v>
      </c>
      <c r="D230" s="22">
        <f>SUM(D219:D229)</f>
        <v>22</v>
      </c>
      <c r="E230" s="23">
        <f>SUM(E219:E229)</f>
        <v>9</v>
      </c>
      <c r="F230" s="24">
        <f t="shared" si="31"/>
        <v>49</v>
      </c>
      <c r="G230" s="22">
        <f>SUM(G219:G229)</f>
        <v>18</v>
      </c>
      <c r="H230" s="22">
        <f>SUM(H219:H229)</f>
        <v>22</v>
      </c>
      <c r="I230" s="23">
        <f>SUM(I219:I229)</f>
        <v>13</v>
      </c>
      <c r="J230" s="24">
        <f t="shared" si="32"/>
        <v>53</v>
      </c>
    </row>
    <row r="231" spans="2:12" x14ac:dyDescent="0.15">
      <c r="B231" s="4" t="s">
        <v>16</v>
      </c>
      <c r="C231" s="9"/>
      <c r="D231" s="10">
        <v>2</v>
      </c>
      <c r="E231" s="11"/>
      <c r="F231" s="8">
        <f t="shared" ref="F231:F249" si="33">SUM(C231:E231)</f>
        <v>2</v>
      </c>
      <c r="G231" s="9"/>
      <c r="H231" s="10">
        <v>2</v>
      </c>
      <c r="I231" s="11"/>
      <c r="J231" s="8">
        <f t="shared" ref="J231:J249" si="34">SUM(G231:I231)</f>
        <v>2</v>
      </c>
      <c r="K231" s="37">
        <v>45778</v>
      </c>
    </row>
    <row r="232" spans="2:12" x14ac:dyDescent="0.15">
      <c r="B232" s="4" t="s">
        <v>16</v>
      </c>
      <c r="C232" s="9"/>
      <c r="D232" s="10"/>
      <c r="E232" s="11">
        <v>2</v>
      </c>
      <c r="F232" s="8">
        <f t="shared" si="33"/>
        <v>2</v>
      </c>
      <c r="G232" s="9"/>
      <c r="H232" s="10"/>
      <c r="I232" s="11">
        <v>2</v>
      </c>
      <c r="J232" s="8">
        <f t="shared" si="34"/>
        <v>2</v>
      </c>
      <c r="K232" s="37">
        <v>45791</v>
      </c>
    </row>
    <row r="233" spans="2:12" x14ac:dyDescent="0.15">
      <c r="B233" s="4" t="s">
        <v>16</v>
      </c>
      <c r="C233" s="9">
        <v>2</v>
      </c>
      <c r="D233" s="10">
        <v>1</v>
      </c>
      <c r="E233" s="11"/>
      <c r="F233" s="8">
        <f t="shared" si="33"/>
        <v>3</v>
      </c>
      <c r="G233" s="9">
        <v>2</v>
      </c>
      <c r="H233" s="10">
        <v>1</v>
      </c>
      <c r="I233" s="11"/>
      <c r="J233" s="8">
        <f t="shared" si="34"/>
        <v>3</v>
      </c>
      <c r="K233" s="37">
        <v>45798</v>
      </c>
    </row>
    <row r="234" spans="2:12" x14ac:dyDescent="0.15">
      <c r="B234" s="4" t="s">
        <v>16</v>
      </c>
      <c r="C234" s="9">
        <v>3</v>
      </c>
      <c r="D234" s="10"/>
      <c r="E234" s="11"/>
      <c r="F234" s="8">
        <f t="shared" si="33"/>
        <v>3</v>
      </c>
      <c r="G234" s="9">
        <v>3</v>
      </c>
      <c r="H234" s="10"/>
      <c r="I234" s="11"/>
      <c r="J234" s="8">
        <f t="shared" si="34"/>
        <v>3</v>
      </c>
      <c r="K234" s="37">
        <v>45826</v>
      </c>
    </row>
    <row r="235" spans="2:12" x14ac:dyDescent="0.15">
      <c r="B235" s="4" t="s">
        <v>16</v>
      </c>
      <c r="C235" s="9"/>
      <c r="D235" s="10"/>
      <c r="E235" s="11">
        <v>2</v>
      </c>
      <c r="F235" s="8">
        <f t="shared" si="33"/>
        <v>2</v>
      </c>
      <c r="G235" s="9"/>
      <c r="H235" s="10"/>
      <c r="I235" s="11">
        <v>2</v>
      </c>
      <c r="J235" s="8">
        <f t="shared" si="34"/>
        <v>2</v>
      </c>
      <c r="K235" s="37">
        <v>45835</v>
      </c>
    </row>
    <row r="236" spans="2:12" x14ac:dyDescent="0.15">
      <c r="B236" s="4" t="s">
        <v>16</v>
      </c>
      <c r="C236" s="9"/>
      <c r="D236" s="10">
        <v>1</v>
      </c>
      <c r="E236" s="11"/>
      <c r="F236" s="8">
        <f t="shared" ref="F236:F240" si="35">SUM(C236:E236)</f>
        <v>1</v>
      </c>
      <c r="G236" s="9"/>
      <c r="H236" s="10">
        <v>1</v>
      </c>
      <c r="I236" s="11"/>
      <c r="J236" s="8">
        <f t="shared" ref="J236:J240" si="36">SUM(G236:I236)</f>
        <v>1</v>
      </c>
      <c r="K236" s="37">
        <v>45860</v>
      </c>
    </row>
    <row r="237" spans="2:12" x14ac:dyDescent="0.15">
      <c r="B237" s="4" t="s">
        <v>16</v>
      </c>
      <c r="C237" s="9">
        <v>2</v>
      </c>
      <c r="D237" s="10"/>
      <c r="E237" s="11"/>
      <c r="F237" s="8">
        <f t="shared" si="35"/>
        <v>2</v>
      </c>
      <c r="G237" s="9">
        <v>2</v>
      </c>
      <c r="H237" s="10"/>
      <c r="I237" s="11"/>
      <c r="J237" s="8">
        <f t="shared" si="36"/>
        <v>2</v>
      </c>
      <c r="K237" s="37">
        <v>45873</v>
      </c>
    </row>
    <row r="238" spans="2:12" x14ac:dyDescent="0.15">
      <c r="B238" s="4" t="s">
        <v>16</v>
      </c>
      <c r="C238" s="9"/>
      <c r="D238" s="10">
        <v>4</v>
      </c>
      <c r="E238" s="11"/>
      <c r="F238" s="8">
        <f t="shared" si="35"/>
        <v>4</v>
      </c>
      <c r="G238" s="9"/>
      <c r="H238" s="10">
        <v>4</v>
      </c>
      <c r="I238" s="11"/>
      <c r="J238" s="8">
        <f t="shared" si="36"/>
        <v>4</v>
      </c>
      <c r="K238" s="37">
        <v>45888</v>
      </c>
    </row>
    <row r="239" spans="2:12" x14ac:dyDescent="0.15">
      <c r="B239" s="4" t="s">
        <v>99</v>
      </c>
      <c r="C239" s="9">
        <v>0</v>
      </c>
      <c r="D239" s="10">
        <v>0</v>
      </c>
      <c r="E239" s="11">
        <v>0</v>
      </c>
      <c r="F239" s="8">
        <f t="shared" si="35"/>
        <v>0</v>
      </c>
      <c r="G239" s="9">
        <v>0</v>
      </c>
      <c r="H239" s="10">
        <v>0</v>
      </c>
      <c r="I239" s="11">
        <v>0</v>
      </c>
      <c r="J239" s="8">
        <f t="shared" si="36"/>
        <v>0</v>
      </c>
      <c r="K239" s="37">
        <v>45890</v>
      </c>
    </row>
    <row r="240" spans="2:12" x14ac:dyDescent="0.15">
      <c r="B240" s="4" t="s">
        <v>16</v>
      </c>
      <c r="C240" s="9"/>
      <c r="D240" s="10"/>
      <c r="E240" s="11">
        <v>1</v>
      </c>
      <c r="F240" s="8">
        <f t="shared" si="35"/>
        <v>1</v>
      </c>
      <c r="G240" s="9"/>
      <c r="H240" s="10"/>
      <c r="I240" s="11">
        <v>1</v>
      </c>
      <c r="J240" s="8">
        <f t="shared" si="36"/>
        <v>1</v>
      </c>
      <c r="K240" s="37">
        <v>45891</v>
      </c>
    </row>
    <row r="241" spans="2:13" x14ac:dyDescent="0.15">
      <c r="B241" s="4" t="s">
        <v>16</v>
      </c>
      <c r="C241" s="9"/>
      <c r="D241" s="10"/>
      <c r="E241" s="11"/>
      <c r="F241" s="8">
        <f t="shared" si="33"/>
        <v>0</v>
      </c>
      <c r="G241" s="9"/>
      <c r="H241" s="10"/>
      <c r="I241" s="11">
        <v>2</v>
      </c>
      <c r="J241" s="8">
        <f t="shared" si="34"/>
        <v>2</v>
      </c>
      <c r="K241" s="37">
        <v>45894</v>
      </c>
    </row>
    <row r="242" spans="2:13" x14ac:dyDescent="0.15">
      <c r="B242" s="4" t="s">
        <v>16</v>
      </c>
      <c r="C242" s="9"/>
      <c r="D242" s="10">
        <v>1</v>
      </c>
      <c r="E242" s="11"/>
      <c r="F242" s="8">
        <f t="shared" si="33"/>
        <v>1</v>
      </c>
      <c r="G242" s="9"/>
      <c r="H242" s="10">
        <v>1</v>
      </c>
      <c r="I242" s="11"/>
      <c r="J242" s="8">
        <f t="shared" si="34"/>
        <v>1</v>
      </c>
      <c r="K242" s="37">
        <v>45905</v>
      </c>
    </row>
    <row r="243" spans="2:13" x14ac:dyDescent="0.15">
      <c r="B243" s="4" t="s">
        <v>16</v>
      </c>
      <c r="C243" s="9">
        <v>1</v>
      </c>
      <c r="D243" s="10"/>
      <c r="E243" s="11"/>
      <c r="F243" s="8">
        <f t="shared" si="33"/>
        <v>1</v>
      </c>
      <c r="G243" s="9">
        <v>1</v>
      </c>
      <c r="H243" s="10"/>
      <c r="I243" s="11"/>
      <c r="J243" s="8">
        <f t="shared" si="34"/>
        <v>1</v>
      </c>
      <c r="K243" s="37">
        <v>45916</v>
      </c>
    </row>
    <row r="244" spans="2:13" x14ac:dyDescent="0.15">
      <c r="B244" s="4" t="s">
        <v>16</v>
      </c>
      <c r="C244" s="9"/>
      <c r="D244" s="10">
        <v>2</v>
      </c>
      <c r="E244" s="11"/>
      <c r="F244" s="8">
        <f t="shared" si="33"/>
        <v>2</v>
      </c>
      <c r="G244" s="9"/>
      <c r="H244" s="10">
        <v>2</v>
      </c>
      <c r="I244" s="11"/>
      <c r="J244" s="8">
        <f t="shared" si="34"/>
        <v>2</v>
      </c>
      <c r="K244" s="37">
        <v>45918</v>
      </c>
    </row>
    <row r="245" spans="2:13" x14ac:dyDescent="0.15">
      <c r="B245" s="4" t="s">
        <v>16</v>
      </c>
      <c r="C245" s="9">
        <v>1</v>
      </c>
      <c r="D245" s="10">
        <v>1</v>
      </c>
      <c r="E245" s="11"/>
      <c r="F245" s="8">
        <f t="shared" si="33"/>
        <v>2</v>
      </c>
      <c r="G245" s="9">
        <v>1</v>
      </c>
      <c r="H245" s="10">
        <v>1</v>
      </c>
      <c r="I245" s="11"/>
      <c r="J245" s="8">
        <f t="shared" si="34"/>
        <v>2</v>
      </c>
      <c r="K245" s="37">
        <v>45922</v>
      </c>
    </row>
    <row r="246" spans="2:13" x14ac:dyDescent="0.15">
      <c r="B246" s="4" t="s">
        <v>16</v>
      </c>
      <c r="C246" s="9"/>
      <c r="D246" s="10">
        <v>2</v>
      </c>
      <c r="E246" s="11"/>
      <c r="F246" s="8">
        <f t="shared" si="33"/>
        <v>2</v>
      </c>
      <c r="G246" s="9"/>
      <c r="H246" s="10">
        <v>2</v>
      </c>
      <c r="I246" s="11"/>
      <c r="J246" s="8">
        <f t="shared" si="34"/>
        <v>2</v>
      </c>
      <c r="K246" s="37">
        <v>45926</v>
      </c>
    </row>
    <row r="247" spans="2:13" x14ac:dyDescent="0.15">
      <c r="B247" s="4" t="s">
        <v>16</v>
      </c>
      <c r="C247" s="9"/>
      <c r="D247" s="10">
        <v>3</v>
      </c>
      <c r="E247" s="11"/>
      <c r="F247" s="8">
        <f t="shared" si="33"/>
        <v>3</v>
      </c>
      <c r="G247" s="9"/>
      <c r="H247" s="10">
        <v>3</v>
      </c>
      <c r="I247" s="11"/>
      <c r="J247" s="8">
        <f t="shared" si="34"/>
        <v>3</v>
      </c>
      <c r="K247" s="37">
        <v>45929</v>
      </c>
    </row>
    <row r="248" spans="2:13" x14ac:dyDescent="0.15">
      <c r="B248" s="4" t="s">
        <v>16</v>
      </c>
      <c r="C248" s="9">
        <v>2</v>
      </c>
      <c r="D248" s="10"/>
      <c r="E248" s="11"/>
      <c r="F248" s="8">
        <f t="shared" si="33"/>
        <v>2</v>
      </c>
      <c r="G248" s="9">
        <v>2</v>
      </c>
      <c r="H248" s="10"/>
      <c r="I248" s="11">
        <v>2</v>
      </c>
      <c r="J248" s="8">
        <f t="shared" si="34"/>
        <v>4</v>
      </c>
      <c r="K248" s="37">
        <v>45936</v>
      </c>
    </row>
    <row r="249" spans="2:13" x14ac:dyDescent="0.15">
      <c r="B249" s="4" t="s">
        <v>16</v>
      </c>
      <c r="C249" s="9"/>
      <c r="D249" s="10">
        <v>1</v>
      </c>
      <c r="E249" s="11"/>
      <c r="F249" s="8">
        <f t="shared" si="33"/>
        <v>1</v>
      </c>
      <c r="G249" s="9"/>
      <c r="H249" s="10">
        <v>1</v>
      </c>
      <c r="I249" s="11"/>
      <c r="J249" s="8">
        <f t="shared" si="34"/>
        <v>1</v>
      </c>
      <c r="K249" s="37">
        <v>45946</v>
      </c>
    </row>
    <row r="250" spans="2:13" x14ac:dyDescent="0.15">
      <c r="B250" s="4" t="s">
        <v>16</v>
      </c>
      <c r="C250" s="9">
        <v>2</v>
      </c>
      <c r="D250" s="10"/>
      <c r="E250" s="11"/>
      <c r="F250" s="8">
        <f t="shared" si="31"/>
        <v>2</v>
      </c>
      <c r="G250" s="9">
        <v>2</v>
      </c>
      <c r="H250" s="10"/>
      <c r="I250" s="11"/>
      <c r="J250" s="8">
        <f t="shared" si="32"/>
        <v>2</v>
      </c>
      <c r="K250" s="37">
        <v>45947</v>
      </c>
    </row>
    <row r="251" spans="2:13" x14ac:dyDescent="0.15">
      <c r="B251" s="4" t="s">
        <v>16</v>
      </c>
      <c r="C251" s="9"/>
      <c r="D251" s="10"/>
      <c r="E251" s="11"/>
      <c r="F251" s="8">
        <f t="shared" si="31"/>
        <v>0</v>
      </c>
      <c r="G251" s="9">
        <v>2</v>
      </c>
      <c r="H251" s="10"/>
      <c r="I251" s="11"/>
      <c r="J251" s="8">
        <f t="shared" si="32"/>
        <v>2</v>
      </c>
      <c r="K251" s="37">
        <v>45966</v>
      </c>
    </row>
    <row r="252" spans="2:13" x14ac:dyDescent="0.15">
      <c r="B252" s="4" t="s">
        <v>16</v>
      </c>
      <c r="C252" s="9"/>
      <c r="D252" s="10">
        <v>2</v>
      </c>
      <c r="E252" s="11"/>
      <c r="F252" s="8">
        <f t="shared" si="31"/>
        <v>2</v>
      </c>
      <c r="G252" s="9"/>
      <c r="H252" s="10">
        <v>2</v>
      </c>
      <c r="I252" s="11"/>
      <c r="J252" s="8">
        <f t="shared" si="32"/>
        <v>2</v>
      </c>
      <c r="K252" s="32">
        <v>45974</v>
      </c>
      <c r="L252" s="33"/>
      <c r="M252" s="33"/>
    </row>
    <row r="253" spans="2:13" x14ac:dyDescent="0.15">
      <c r="B253" s="4" t="s">
        <v>105</v>
      </c>
      <c r="C253" s="9"/>
      <c r="D253" s="10">
        <v>-2</v>
      </c>
      <c r="E253" s="11"/>
      <c r="F253" s="8">
        <f t="shared" si="31"/>
        <v>-2</v>
      </c>
      <c r="G253" s="9">
        <v>-2</v>
      </c>
      <c r="H253" s="10">
        <v>-2</v>
      </c>
      <c r="I253" s="11"/>
      <c r="J253" s="8">
        <f t="shared" si="32"/>
        <v>-4</v>
      </c>
      <c r="K253" s="32">
        <v>45980</v>
      </c>
      <c r="L253" s="33"/>
      <c r="M253" s="33"/>
    </row>
    <row r="254" spans="2:13" ht="14.25" thickBot="1" x14ac:dyDescent="0.2">
      <c r="B254" s="4" t="s">
        <v>16</v>
      </c>
      <c r="C254" s="9">
        <v>1</v>
      </c>
      <c r="D254" s="10"/>
      <c r="E254" s="11"/>
      <c r="F254" s="8">
        <f t="shared" si="31"/>
        <v>1</v>
      </c>
      <c r="G254" s="9">
        <v>1</v>
      </c>
      <c r="H254" s="10"/>
      <c r="I254" s="11"/>
      <c r="J254" s="8">
        <f t="shared" si="32"/>
        <v>1</v>
      </c>
      <c r="K254" s="37">
        <v>45982</v>
      </c>
    </row>
    <row r="255" spans="2:13" ht="14.25" thickBot="1" x14ac:dyDescent="0.2">
      <c r="B255" s="3" t="s">
        <v>5</v>
      </c>
      <c r="C255" s="15">
        <f>SUM(C231:C254)</f>
        <v>14</v>
      </c>
      <c r="D255" s="15">
        <f>SUM(D231:D254)</f>
        <v>18</v>
      </c>
      <c r="E255" s="15">
        <f>SUM(E231:E254)</f>
        <v>5</v>
      </c>
      <c r="F255" s="16">
        <f t="shared" si="31"/>
        <v>37</v>
      </c>
      <c r="G255" s="15">
        <f>SUM(G231:G254)</f>
        <v>14</v>
      </c>
      <c r="H255" s="15">
        <f>SUM(H231:H254)</f>
        <v>18</v>
      </c>
      <c r="I255" s="15">
        <f>SUM(I231:I254)</f>
        <v>9</v>
      </c>
      <c r="J255" s="16">
        <f t="shared" si="32"/>
        <v>41</v>
      </c>
    </row>
    <row r="256" spans="2:13" ht="14.25" thickBot="1" x14ac:dyDescent="0.2">
      <c r="B256" s="25" t="s">
        <v>6</v>
      </c>
      <c r="C256" s="26">
        <f t="shared" ref="C256:J256" si="37">C230-C255</f>
        <v>4</v>
      </c>
      <c r="D256" s="26">
        <f t="shared" si="37"/>
        <v>4</v>
      </c>
      <c r="E256" s="26">
        <f t="shared" si="37"/>
        <v>4</v>
      </c>
      <c r="F256" s="26">
        <f t="shared" si="37"/>
        <v>12</v>
      </c>
      <c r="G256" s="26">
        <f t="shared" si="37"/>
        <v>4</v>
      </c>
      <c r="H256" s="26">
        <f t="shared" si="37"/>
        <v>4</v>
      </c>
      <c r="I256" s="26">
        <f t="shared" si="37"/>
        <v>4</v>
      </c>
      <c r="J256" s="24">
        <f t="shared" si="37"/>
        <v>12</v>
      </c>
    </row>
    <row r="259" spans="2:12" ht="19.5" thickBot="1" x14ac:dyDescent="0.25">
      <c r="B259" s="66" t="s">
        <v>32</v>
      </c>
      <c r="C259" s="1"/>
      <c r="D259" s="1"/>
      <c r="E259" s="1" t="s">
        <v>37</v>
      </c>
      <c r="F259" s="1"/>
      <c r="G259" s="67"/>
      <c r="H259" s="67"/>
      <c r="I259" s="67"/>
      <c r="J259" s="67"/>
    </row>
    <row r="260" spans="2:12" ht="14.25" thickBot="1" x14ac:dyDescent="0.2">
      <c r="B260" s="2" t="s">
        <v>0</v>
      </c>
      <c r="C260" s="222" t="s">
        <v>33</v>
      </c>
      <c r="D260" s="222"/>
      <c r="E260" s="222"/>
      <c r="F260" s="223"/>
      <c r="G260" s="217" t="s">
        <v>34</v>
      </c>
      <c r="H260" s="217"/>
      <c r="I260" s="217"/>
      <c r="J260" s="218"/>
    </row>
    <row r="261" spans="2:12" ht="14.25" thickBot="1" x14ac:dyDescent="0.2">
      <c r="B261" s="2" t="s">
        <v>1</v>
      </c>
      <c r="C261" s="3" t="s">
        <v>25</v>
      </c>
      <c r="D261" s="2" t="s">
        <v>26</v>
      </c>
      <c r="E261" s="19" t="s">
        <v>27</v>
      </c>
      <c r="F261" s="2" t="s">
        <v>2</v>
      </c>
      <c r="G261" s="3" t="s">
        <v>25</v>
      </c>
      <c r="H261" s="2" t="s">
        <v>26</v>
      </c>
      <c r="I261" s="19" t="s">
        <v>27</v>
      </c>
      <c r="J261" s="2" t="s">
        <v>2</v>
      </c>
    </row>
    <row r="262" spans="2:12" x14ac:dyDescent="0.15">
      <c r="B262" s="27" t="s">
        <v>28</v>
      </c>
      <c r="C262" s="72">
        <f>C256</f>
        <v>4</v>
      </c>
      <c r="D262" s="73">
        <f>D256</f>
        <v>4</v>
      </c>
      <c r="E262" s="74">
        <f>E256</f>
        <v>4</v>
      </c>
      <c r="F262" s="18">
        <f>SUM(C262:E262)</f>
        <v>12</v>
      </c>
      <c r="G262" s="72">
        <f>G256</f>
        <v>4</v>
      </c>
      <c r="H262" s="73">
        <f>H256</f>
        <v>4</v>
      </c>
      <c r="I262" s="74">
        <f>I256</f>
        <v>4</v>
      </c>
      <c r="J262" s="18">
        <f>SUM(G262:I262)</f>
        <v>12</v>
      </c>
    </row>
    <row r="263" spans="2:12" x14ac:dyDescent="0.15">
      <c r="B263" s="6" t="s">
        <v>3</v>
      </c>
      <c r="C263" s="11"/>
      <c r="D263" s="10">
        <v>2</v>
      </c>
      <c r="E263" s="11"/>
      <c r="F263" s="5">
        <f t="shared" ref="F263:F298" si="38">SUM(C263:E263)</f>
        <v>2</v>
      </c>
      <c r="G263" s="11"/>
      <c r="H263" s="10"/>
      <c r="I263" s="11"/>
      <c r="J263" s="5">
        <f t="shared" ref="J263:J298" si="39">SUM(G263:I263)</f>
        <v>0</v>
      </c>
      <c r="K263" s="32">
        <v>45993</v>
      </c>
      <c r="L263" s="33"/>
    </row>
    <row r="264" spans="2:12" x14ac:dyDescent="0.15">
      <c r="B264" s="6" t="s">
        <v>3</v>
      </c>
      <c r="C264" s="11">
        <v>2</v>
      </c>
      <c r="D264" s="10">
        <v>2</v>
      </c>
      <c r="E264" s="11"/>
      <c r="F264" s="5">
        <f t="shared" si="38"/>
        <v>4</v>
      </c>
      <c r="G264" s="11">
        <v>2</v>
      </c>
      <c r="H264" s="10">
        <v>2</v>
      </c>
      <c r="I264" s="11"/>
      <c r="J264" s="5">
        <f t="shared" si="39"/>
        <v>4</v>
      </c>
      <c r="K264" s="37">
        <v>46009</v>
      </c>
    </row>
    <row r="265" spans="2:12" x14ac:dyDescent="0.15">
      <c r="B265" s="6" t="s">
        <v>3</v>
      </c>
      <c r="C265" s="11">
        <v>2</v>
      </c>
      <c r="D265" s="10"/>
      <c r="E265" s="11"/>
      <c r="F265" s="5">
        <f t="shared" si="38"/>
        <v>2</v>
      </c>
      <c r="G265" s="11">
        <v>2</v>
      </c>
      <c r="H265" s="10"/>
      <c r="I265" s="11"/>
      <c r="J265" s="5">
        <f t="shared" si="39"/>
        <v>2</v>
      </c>
      <c r="K265" s="32">
        <v>46029</v>
      </c>
      <c r="L265" s="33"/>
    </row>
    <row r="266" spans="2:12" x14ac:dyDescent="0.15">
      <c r="B266" s="6" t="s">
        <v>3</v>
      </c>
      <c r="C266" s="11"/>
      <c r="D266" s="10">
        <v>2</v>
      </c>
      <c r="E266" s="11">
        <v>2</v>
      </c>
      <c r="F266" s="5">
        <f t="shared" si="38"/>
        <v>4</v>
      </c>
      <c r="G266" s="11"/>
      <c r="H266" s="10">
        <v>2</v>
      </c>
      <c r="I266" s="11">
        <v>2</v>
      </c>
      <c r="J266" s="5">
        <f t="shared" si="39"/>
        <v>4</v>
      </c>
      <c r="K266" s="32">
        <v>46038</v>
      </c>
      <c r="L266" s="33"/>
    </row>
    <row r="267" spans="2:12" x14ac:dyDescent="0.15">
      <c r="B267" s="6" t="s">
        <v>3</v>
      </c>
      <c r="C267" s="11"/>
      <c r="D267" s="10"/>
      <c r="E267" s="11"/>
      <c r="F267" s="5">
        <f t="shared" si="38"/>
        <v>0</v>
      </c>
      <c r="G267" s="11">
        <v>2</v>
      </c>
      <c r="H267" s="10"/>
      <c r="I267" s="11">
        <v>2</v>
      </c>
      <c r="J267" s="5">
        <f t="shared" si="39"/>
        <v>4</v>
      </c>
      <c r="K267" s="32">
        <v>46055</v>
      </c>
    </row>
    <row r="268" spans="2:12" x14ac:dyDescent="0.15">
      <c r="B268" s="6" t="s">
        <v>3</v>
      </c>
      <c r="C268" s="11">
        <v>2</v>
      </c>
      <c r="D268" s="10">
        <v>2</v>
      </c>
      <c r="E268" s="11"/>
      <c r="F268" s="5">
        <f t="shared" si="38"/>
        <v>4</v>
      </c>
      <c r="G268" s="11">
        <v>2</v>
      </c>
      <c r="H268" s="10">
        <v>2</v>
      </c>
      <c r="I268" s="11"/>
      <c r="J268" s="5">
        <f t="shared" si="39"/>
        <v>4</v>
      </c>
      <c r="K268" s="32">
        <v>46072</v>
      </c>
    </row>
    <row r="269" spans="2:12" x14ac:dyDescent="0.15">
      <c r="B269" s="6" t="s">
        <v>3</v>
      </c>
      <c r="C269" s="11"/>
      <c r="D269" s="10">
        <v>2</v>
      </c>
      <c r="E269" s="11">
        <v>2</v>
      </c>
      <c r="F269" s="5">
        <f t="shared" si="38"/>
        <v>4</v>
      </c>
      <c r="G269" s="11"/>
      <c r="H269" s="10">
        <v>2</v>
      </c>
      <c r="I269" s="11">
        <v>2</v>
      </c>
      <c r="J269" s="5">
        <f t="shared" si="39"/>
        <v>4</v>
      </c>
      <c r="K269" s="32">
        <v>46080</v>
      </c>
    </row>
    <row r="270" spans="2:12" x14ac:dyDescent="0.15">
      <c r="B270" s="6" t="s">
        <v>60</v>
      </c>
      <c r="C270" s="11">
        <v>0</v>
      </c>
      <c r="D270" s="10">
        <v>0</v>
      </c>
      <c r="E270" s="11">
        <v>0</v>
      </c>
      <c r="F270" s="5">
        <f t="shared" si="38"/>
        <v>0</v>
      </c>
      <c r="G270" s="11">
        <v>0</v>
      </c>
      <c r="H270" s="10">
        <v>0</v>
      </c>
      <c r="I270" s="11">
        <v>0</v>
      </c>
      <c r="J270" s="5">
        <f t="shared" si="39"/>
        <v>0</v>
      </c>
      <c r="K270" s="37">
        <v>46085</v>
      </c>
    </row>
    <row r="271" spans="2:12" x14ac:dyDescent="0.15">
      <c r="B271" s="6" t="s">
        <v>3</v>
      </c>
      <c r="C271" s="11">
        <v>2</v>
      </c>
      <c r="D271" s="10"/>
      <c r="E271" s="11">
        <v>2</v>
      </c>
      <c r="F271" s="5">
        <f t="shared" si="38"/>
        <v>4</v>
      </c>
      <c r="G271" s="11"/>
      <c r="H271" s="10">
        <v>2</v>
      </c>
      <c r="I271" s="11"/>
      <c r="J271" s="5">
        <f t="shared" si="39"/>
        <v>2</v>
      </c>
      <c r="K271" s="32">
        <v>46094</v>
      </c>
    </row>
    <row r="272" spans="2:12" ht="14.25" thickBot="1" x14ac:dyDescent="0.2">
      <c r="B272" s="6" t="s">
        <v>110</v>
      </c>
      <c r="C272" s="14"/>
      <c r="D272" s="13"/>
      <c r="E272" s="14"/>
      <c r="F272" s="20">
        <f t="shared" si="38"/>
        <v>0</v>
      </c>
      <c r="G272" s="14">
        <v>2</v>
      </c>
      <c r="H272" s="13"/>
      <c r="I272" s="14"/>
      <c r="J272" s="20">
        <f t="shared" si="39"/>
        <v>2</v>
      </c>
      <c r="K272" s="32">
        <v>46104</v>
      </c>
    </row>
    <row r="273" spans="2:11" ht="14.25" thickBot="1" x14ac:dyDescent="0.2">
      <c r="B273" s="21" t="s">
        <v>4</v>
      </c>
      <c r="C273" s="22">
        <f>SUM(C262:C272)</f>
        <v>12</v>
      </c>
      <c r="D273" s="22">
        <f>SUM(D262:D272)</f>
        <v>14</v>
      </c>
      <c r="E273" s="23">
        <f>SUM(E262:E272)</f>
        <v>10</v>
      </c>
      <c r="F273" s="24">
        <f t="shared" si="38"/>
        <v>36</v>
      </c>
      <c r="G273" s="22">
        <f>SUM(G262:G272)</f>
        <v>14</v>
      </c>
      <c r="H273" s="22">
        <f>SUM(H262:H272)</f>
        <v>14</v>
      </c>
      <c r="I273" s="23">
        <f>SUM(I262:I272)</f>
        <v>10</v>
      </c>
      <c r="J273" s="24">
        <f t="shared" si="39"/>
        <v>38</v>
      </c>
    </row>
    <row r="274" spans="2:11" x14ac:dyDescent="0.15">
      <c r="B274" s="4" t="s">
        <v>16</v>
      </c>
      <c r="C274" s="9"/>
      <c r="D274" s="10">
        <v>2</v>
      </c>
      <c r="E274" s="11"/>
      <c r="F274" s="8">
        <f t="shared" si="38"/>
        <v>2</v>
      </c>
      <c r="G274" s="9"/>
      <c r="H274" s="10"/>
      <c r="I274" s="11"/>
      <c r="J274" s="8">
        <f t="shared" si="39"/>
        <v>0</v>
      </c>
      <c r="K274" s="37">
        <v>45986</v>
      </c>
    </row>
    <row r="275" spans="2:11" x14ac:dyDescent="0.15">
      <c r="B275" s="4" t="s">
        <v>16</v>
      </c>
      <c r="C275" s="9"/>
      <c r="D275" s="10">
        <v>1</v>
      </c>
      <c r="E275" s="11"/>
      <c r="F275" s="8">
        <f t="shared" si="38"/>
        <v>1</v>
      </c>
      <c r="G275" s="9"/>
      <c r="H275" s="10">
        <v>1</v>
      </c>
      <c r="I275" s="11"/>
      <c r="J275" s="8">
        <f t="shared" si="39"/>
        <v>1</v>
      </c>
      <c r="K275" s="37">
        <v>45990</v>
      </c>
    </row>
    <row r="276" spans="2:11" x14ac:dyDescent="0.15">
      <c r="B276" s="4" t="s">
        <v>16</v>
      </c>
      <c r="C276" s="9">
        <v>1</v>
      </c>
      <c r="D276" s="10"/>
      <c r="E276" s="11"/>
      <c r="F276" s="8">
        <f t="shared" si="38"/>
        <v>1</v>
      </c>
      <c r="G276" s="9">
        <v>1</v>
      </c>
      <c r="H276" s="10"/>
      <c r="I276" s="11"/>
      <c r="J276" s="8">
        <f t="shared" si="39"/>
        <v>1</v>
      </c>
      <c r="K276" s="37">
        <v>45992</v>
      </c>
    </row>
    <row r="277" spans="2:11" x14ac:dyDescent="0.15">
      <c r="B277" s="4" t="s">
        <v>16</v>
      </c>
      <c r="C277" s="9"/>
      <c r="D277" s="10">
        <v>1</v>
      </c>
      <c r="E277" s="11"/>
      <c r="F277" s="8">
        <f t="shared" si="38"/>
        <v>1</v>
      </c>
      <c r="G277" s="9"/>
      <c r="H277" s="10">
        <v>1</v>
      </c>
      <c r="I277" s="11"/>
      <c r="J277" s="8">
        <f t="shared" si="39"/>
        <v>1</v>
      </c>
      <c r="K277" s="37">
        <v>45994</v>
      </c>
    </row>
    <row r="278" spans="2:11" x14ac:dyDescent="0.15">
      <c r="B278" s="4" t="s">
        <v>16</v>
      </c>
      <c r="C278" s="9">
        <v>1</v>
      </c>
      <c r="D278" s="10"/>
      <c r="E278" s="11"/>
      <c r="F278" s="8">
        <f t="shared" si="38"/>
        <v>1</v>
      </c>
      <c r="G278" s="9">
        <v>1</v>
      </c>
      <c r="H278" s="10"/>
      <c r="I278" s="11"/>
      <c r="J278" s="8">
        <f t="shared" si="39"/>
        <v>1</v>
      </c>
      <c r="K278" s="37">
        <v>46002</v>
      </c>
    </row>
    <row r="279" spans="2:11" x14ac:dyDescent="0.15">
      <c r="B279" s="4" t="s">
        <v>16</v>
      </c>
      <c r="C279" s="9"/>
      <c r="D279" s="10"/>
      <c r="E279" s="11">
        <v>1</v>
      </c>
      <c r="F279" s="8">
        <f t="shared" si="38"/>
        <v>1</v>
      </c>
      <c r="G279" s="9"/>
      <c r="H279" s="10"/>
      <c r="I279" s="11">
        <v>1</v>
      </c>
      <c r="J279" s="8">
        <f t="shared" si="39"/>
        <v>1</v>
      </c>
      <c r="K279" s="37">
        <v>46009</v>
      </c>
    </row>
    <row r="280" spans="2:11" x14ac:dyDescent="0.15">
      <c r="B280" s="4" t="s">
        <v>16</v>
      </c>
      <c r="C280" s="9">
        <v>2</v>
      </c>
      <c r="D280" s="10">
        <v>1</v>
      </c>
      <c r="E280" s="11"/>
      <c r="F280" s="8">
        <f t="shared" si="38"/>
        <v>3</v>
      </c>
      <c r="G280" s="9">
        <v>2</v>
      </c>
      <c r="H280" s="10">
        <v>1</v>
      </c>
      <c r="I280" s="11"/>
      <c r="J280" s="8">
        <f t="shared" si="39"/>
        <v>3</v>
      </c>
      <c r="K280" s="37">
        <v>46027</v>
      </c>
    </row>
    <row r="281" spans="2:11" x14ac:dyDescent="0.15">
      <c r="B281" s="4" t="s">
        <v>16</v>
      </c>
      <c r="C281" s="9"/>
      <c r="D281" s="10"/>
      <c r="E281" s="11">
        <v>1</v>
      </c>
      <c r="F281" s="8">
        <f t="shared" si="38"/>
        <v>1</v>
      </c>
      <c r="G281" s="9"/>
      <c r="H281" s="10"/>
      <c r="I281" s="11">
        <v>1</v>
      </c>
      <c r="J281" s="8">
        <f t="shared" si="39"/>
        <v>1</v>
      </c>
      <c r="K281" s="37">
        <v>46030</v>
      </c>
    </row>
    <row r="282" spans="2:11" x14ac:dyDescent="0.15">
      <c r="B282" s="4" t="s">
        <v>16</v>
      </c>
      <c r="C282" s="9"/>
      <c r="D282" s="10"/>
      <c r="E282" s="11">
        <v>1</v>
      </c>
      <c r="F282" s="8">
        <f t="shared" si="38"/>
        <v>1</v>
      </c>
      <c r="G282" s="9"/>
      <c r="H282" s="10"/>
      <c r="I282" s="11">
        <v>1</v>
      </c>
      <c r="J282" s="8">
        <f t="shared" si="39"/>
        <v>1</v>
      </c>
      <c r="K282" s="37">
        <v>46037</v>
      </c>
    </row>
    <row r="283" spans="2:11" x14ac:dyDescent="0.15">
      <c r="B283" s="4" t="s">
        <v>16</v>
      </c>
      <c r="C283" s="9"/>
      <c r="D283" s="10"/>
      <c r="E283" s="11"/>
      <c r="F283" s="8">
        <f t="shared" si="38"/>
        <v>0</v>
      </c>
      <c r="G283" s="9"/>
      <c r="H283" s="10"/>
      <c r="I283" s="11">
        <v>2</v>
      </c>
      <c r="J283" s="8">
        <f t="shared" si="39"/>
        <v>2</v>
      </c>
      <c r="K283" s="37">
        <v>46038</v>
      </c>
    </row>
    <row r="284" spans="2:11" x14ac:dyDescent="0.15">
      <c r="B284" s="4" t="s">
        <v>16</v>
      </c>
      <c r="C284" s="9"/>
      <c r="D284" s="10">
        <v>1</v>
      </c>
      <c r="E284" s="11"/>
      <c r="F284" s="8">
        <f t="shared" si="38"/>
        <v>1</v>
      </c>
      <c r="G284" s="9">
        <v>2</v>
      </c>
      <c r="H284" s="10">
        <v>1</v>
      </c>
      <c r="I284" s="11"/>
      <c r="J284" s="8">
        <f t="shared" si="39"/>
        <v>3</v>
      </c>
      <c r="K284" s="37">
        <v>46042</v>
      </c>
    </row>
    <row r="285" spans="2:11" x14ac:dyDescent="0.15">
      <c r="B285" s="4" t="s">
        <v>16</v>
      </c>
      <c r="C285" s="9"/>
      <c r="D285" s="10">
        <v>1</v>
      </c>
      <c r="E285" s="11"/>
      <c r="F285" s="8">
        <f t="shared" si="38"/>
        <v>1</v>
      </c>
      <c r="G285" s="9"/>
      <c r="H285" s="10">
        <v>1</v>
      </c>
      <c r="I285" s="11"/>
      <c r="J285" s="8">
        <f t="shared" si="39"/>
        <v>1</v>
      </c>
      <c r="K285" s="37">
        <v>46048</v>
      </c>
    </row>
    <row r="286" spans="2:11" x14ac:dyDescent="0.15">
      <c r="B286" s="4" t="s">
        <v>16</v>
      </c>
      <c r="C286" s="9">
        <v>2</v>
      </c>
      <c r="D286" s="10"/>
      <c r="E286" s="11"/>
      <c r="F286" s="8">
        <f t="shared" si="38"/>
        <v>2</v>
      </c>
      <c r="G286" s="9">
        <v>2</v>
      </c>
      <c r="H286" s="10"/>
      <c r="I286" s="11"/>
      <c r="J286" s="8">
        <f t="shared" si="39"/>
        <v>2</v>
      </c>
      <c r="K286" s="37">
        <v>46058</v>
      </c>
    </row>
    <row r="287" spans="2:11" x14ac:dyDescent="0.15">
      <c r="B287" s="4" t="s">
        <v>16</v>
      </c>
      <c r="C287" s="9"/>
      <c r="D287" s="10">
        <v>1</v>
      </c>
      <c r="E287" s="11"/>
      <c r="F287" s="8">
        <f t="shared" si="38"/>
        <v>1</v>
      </c>
      <c r="G287" s="9"/>
      <c r="H287" s="10">
        <v>1</v>
      </c>
      <c r="I287" s="11"/>
      <c r="J287" s="8">
        <f t="shared" si="39"/>
        <v>1</v>
      </c>
      <c r="K287" s="37">
        <v>46059</v>
      </c>
    </row>
    <row r="288" spans="2:11" x14ac:dyDescent="0.15">
      <c r="B288" s="4" t="s">
        <v>16</v>
      </c>
      <c r="C288" s="9"/>
      <c r="D288" s="10">
        <v>2</v>
      </c>
      <c r="E288" s="11"/>
      <c r="F288" s="8">
        <f t="shared" si="38"/>
        <v>2</v>
      </c>
      <c r="G288" s="9"/>
      <c r="H288" s="10">
        <v>2</v>
      </c>
      <c r="I288" s="11"/>
      <c r="J288" s="8">
        <f t="shared" si="39"/>
        <v>2</v>
      </c>
      <c r="K288" s="37">
        <v>46072</v>
      </c>
    </row>
    <row r="289" spans="2:11" x14ac:dyDescent="0.15">
      <c r="B289" s="4" t="s">
        <v>16</v>
      </c>
      <c r="C289" s="9">
        <v>1</v>
      </c>
      <c r="D289" s="10"/>
      <c r="E289" s="11">
        <v>2</v>
      </c>
      <c r="F289" s="8">
        <f t="shared" si="38"/>
        <v>3</v>
      </c>
      <c r="G289" s="9">
        <v>1</v>
      </c>
      <c r="H289" s="10"/>
      <c r="I289" s="11"/>
      <c r="J289" s="8">
        <f t="shared" si="39"/>
        <v>1</v>
      </c>
      <c r="K289" s="37">
        <v>46077</v>
      </c>
    </row>
    <row r="290" spans="2:11" x14ac:dyDescent="0.15">
      <c r="B290" s="4" t="s">
        <v>16</v>
      </c>
      <c r="C290" s="9"/>
      <c r="D290" s="10"/>
      <c r="E290" s="11"/>
      <c r="F290" s="8">
        <f t="shared" si="38"/>
        <v>0</v>
      </c>
      <c r="G290" s="9"/>
      <c r="H290" s="10">
        <v>2</v>
      </c>
      <c r="I290" s="11"/>
      <c r="J290" s="8">
        <f t="shared" si="39"/>
        <v>2</v>
      </c>
      <c r="K290" s="37">
        <v>46090</v>
      </c>
    </row>
    <row r="291" spans="2:11" x14ac:dyDescent="0.15">
      <c r="B291" s="4" t="s">
        <v>16</v>
      </c>
      <c r="C291" s="9"/>
      <c r="D291" s="10"/>
      <c r="E291" s="11">
        <v>2</v>
      </c>
      <c r="F291" s="8">
        <f t="shared" si="38"/>
        <v>2</v>
      </c>
      <c r="G291" s="9"/>
      <c r="H291" s="10"/>
      <c r="I291" s="11">
        <v>2</v>
      </c>
      <c r="J291" s="8">
        <f t="shared" si="39"/>
        <v>2</v>
      </c>
      <c r="K291" s="37">
        <v>46122</v>
      </c>
    </row>
    <row r="292" spans="2:11" x14ac:dyDescent="0.15">
      <c r="B292" s="4" t="s">
        <v>16</v>
      </c>
      <c r="C292" s="9"/>
      <c r="D292" s="10">
        <v>2</v>
      </c>
      <c r="E292" s="11"/>
      <c r="F292" s="8">
        <f t="shared" si="38"/>
        <v>2</v>
      </c>
      <c r="G292" s="9"/>
      <c r="H292" s="10"/>
      <c r="I292" s="11"/>
      <c r="J292" s="8">
        <f t="shared" si="39"/>
        <v>0</v>
      </c>
      <c r="K292" s="37">
        <v>46127</v>
      </c>
    </row>
    <row r="293" spans="2:11" x14ac:dyDescent="0.15">
      <c r="B293" s="4" t="s">
        <v>16</v>
      </c>
      <c r="C293" s="9">
        <v>3</v>
      </c>
      <c r="D293" s="10">
        <v>1</v>
      </c>
      <c r="E293" s="11"/>
      <c r="F293" s="8">
        <f t="shared" si="38"/>
        <v>4</v>
      </c>
      <c r="G293" s="9">
        <v>3</v>
      </c>
      <c r="H293" s="10">
        <v>1</v>
      </c>
      <c r="I293" s="11"/>
      <c r="J293" s="8">
        <f t="shared" si="39"/>
        <v>4</v>
      </c>
      <c r="K293" s="37">
        <v>46128</v>
      </c>
    </row>
    <row r="294" spans="2:11" x14ac:dyDescent="0.15">
      <c r="B294" s="4" t="s">
        <v>16</v>
      </c>
      <c r="C294" s="9"/>
      <c r="D294" s="10"/>
      <c r="E294" s="11"/>
      <c r="F294" s="8">
        <f t="shared" si="38"/>
        <v>0</v>
      </c>
      <c r="G294" s="9"/>
      <c r="H294" s="10">
        <v>2</v>
      </c>
      <c r="I294" s="11"/>
      <c r="J294" s="8">
        <f t="shared" si="39"/>
        <v>2</v>
      </c>
      <c r="K294" s="37">
        <v>46149</v>
      </c>
    </row>
    <row r="295" spans="2:11" x14ac:dyDescent="0.15">
      <c r="B295" s="4"/>
      <c r="C295" s="9"/>
      <c r="D295" s="10"/>
      <c r="E295" s="11"/>
      <c r="F295" s="8">
        <f t="shared" si="38"/>
        <v>0</v>
      </c>
      <c r="G295" s="9"/>
      <c r="H295" s="10"/>
      <c r="I295" s="11"/>
      <c r="J295" s="8">
        <f t="shared" si="39"/>
        <v>0</v>
      </c>
    </row>
    <row r="296" spans="2:11" x14ac:dyDescent="0.15">
      <c r="B296" s="4"/>
      <c r="C296" s="9"/>
      <c r="D296" s="10"/>
      <c r="E296" s="11"/>
      <c r="F296" s="8">
        <f t="shared" si="38"/>
        <v>0</v>
      </c>
      <c r="G296" s="9"/>
      <c r="H296" s="10"/>
      <c r="I296" s="11"/>
      <c r="J296" s="8">
        <f t="shared" si="39"/>
        <v>0</v>
      </c>
    </row>
    <row r="297" spans="2:11" ht="14.25" thickBot="1" x14ac:dyDescent="0.2">
      <c r="B297" s="4"/>
      <c r="C297" s="9"/>
      <c r="D297" s="10"/>
      <c r="E297" s="11"/>
      <c r="F297" s="8">
        <f t="shared" si="38"/>
        <v>0</v>
      </c>
      <c r="G297" s="9"/>
      <c r="H297" s="10"/>
      <c r="I297" s="11"/>
      <c r="J297" s="8">
        <f t="shared" si="39"/>
        <v>0</v>
      </c>
    </row>
    <row r="298" spans="2:11" ht="14.25" thickBot="1" x14ac:dyDescent="0.2">
      <c r="B298" s="3" t="s">
        <v>5</v>
      </c>
      <c r="C298" s="15">
        <f>SUM(C274:C297)</f>
        <v>10</v>
      </c>
      <c r="D298" s="15">
        <f>SUM(D274:D297)</f>
        <v>13</v>
      </c>
      <c r="E298" s="15">
        <f>SUM(E274:E297)</f>
        <v>7</v>
      </c>
      <c r="F298" s="16">
        <f t="shared" si="38"/>
        <v>30</v>
      </c>
      <c r="G298" s="15">
        <f>SUM(G274:G297)</f>
        <v>12</v>
      </c>
      <c r="H298" s="15">
        <f>SUM(H274:H297)</f>
        <v>13</v>
      </c>
      <c r="I298" s="15">
        <f>SUM(I274:I297)</f>
        <v>7</v>
      </c>
      <c r="J298" s="16">
        <f t="shared" si="39"/>
        <v>32</v>
      </c>
    </row>
    <row r="299" spans="2:11" ht="14.25" thickBot="1" x14ac:dyDescent="0.2">
      <c r="B299" s="25" t="s">
        <v>6</v>
      </c>
      <c r="C299" s="26">
        <f t="shared" ref="C299:J299" si="40">C273-C298</f>
        <v>2</v>
      </c>
      <c r="D299" s="26">
        <f t="shared" si="40"/>
        <v>1</v>
      </c>
      <c r="E299" s="26">
        <f t="shared" si="40"/>
        <v>3</v>
      </c>
      <c r="F299" s="26">
        <f t="shared" si="40"/>
        <v>6</v>
      </c>
      <c r="G299" s="26">
        <f t="shared" si="40"/>
        <v>2</v>
      </c>
      <c r="H299" s="26">
        <f t="shared" si="40"/>
        <v>1</v>
      </c>
      <c r="I299" s="26">
        <f t="shared" si="40"/>
        <v>3</v>
      </c>
      <c r="J299" s="24">
        <f t="shared" si="40"/>
        <v>6</v>
      </c>
    </row>
    <row r="302" spans="2:11" ht="19.5" thickBot="1" x14ac:dyDescent="0.25">
      <c r="B302" s="66" t="s">
        <v>32</v>
      </c>
      <c r="C302" s="1"/>
      <c r="D302" s="1"/>
      <c r="E302" s="1" t="s">
        <v>37</v>
      </c>
      <c r="F302" s="1"/>
      <c r="G302" s="67"/>
      <c r="H302" s="67"/>
      <c r="I302" s="67"/>
      <c r="J302" s="67"/>
    </row>
    <row r="303" spans="2:11" ht="14.25" thickBot="1" x14ac:dyDescent="0.2">
      <c r="B303" s="2" t="s">
        <v>0</v>
      </c>
      <c r="C303" s="222" t="s">
        <v>33</v>
      </c>
      <c r="D303" s="222"/>
      <c r="E303" s="222"/>
      <c r="F303" s="223"/>
      <c r="G303" s="217" t="s">
        <v>34</v>
      </c>
      <c r="H303" s="217"/>
      <c r="I303" s="217"/>
      <c r="J303" s="218"/>
    </row>
    <row r="304" spans="2:11" ht="14.25" thickBot="1" x14ac:dyDescent="0.2">
      <c r="B304" s="2" t="s">
        <v>1</v>
      </c>
      <c r="C304" s="3" t="s">
        <v>25</v>
      </c>
      <c r="D304" s="2" t="s">
        <v>26</v>
      </c>
      <c r="E304" s="19" t="s">
        <v>27</v>
      </c>
      <c r="F304" s="2" t="s">
        <v>2</v>
      </c>
      <c r="G304" s="3" t="s">
        <v>25</v>
      </c>
      <c r="H304" s="2" t="s">
        <v>26</v>
      </c>
      <c r="I304" s="19" t="s">
        <v>27</v>
      </c>
      <c r="J304" s="2" t="s">
        <v>2</v>
      </c>
    </row>
    <row r="305" spans="2:12" x14ac:dyDescent="0.15">
      <c r="B305" s="27" t="s">
        <v>28</v>
      </c>
      <c r="C305" s="72">
        <f>C299</f>
        <v>2</v>
      </c>
      <c r="D305" s="73">
        <f>D299</f>
        <v>1</v>
      </c>
      <c r="E305" s="74">
        <f>E299</f>
        <v>3</v>
      </c>
      <c r="F305" s="18">
        <f>SUM(C305:E305)</f>
        <v>6</v>
      </c>
      <c r="G305" s="72">
        <f>G299</f>
        <v>2</v>
      </c>
      <c r="H305" s="73">
        <f>H299</f>
        <v>1</v>
      </c>
      <c r="I305" s="74">
        <f>I299</f>
        <v>3</v>
      </c>
      <c r="J305" s="18">
        <f>SUM(G305:I305)</f>
        <v>6</v>
      </c>
    </row>
    <row r="306" spans="2:12" x14ac:dyDescent="0.15">
      <c r="B306" s="6" t="s">
        <v>3</v>
      </c>
      <c r="C306" s="11">
        <v>3</v>
      </c>
      <c r="D306" s="10">
        <v>5</v>
      </c>
      <c r="E306" s="11"/>
      <c r="F306" s="5">
        <f t="shared" ref="F306:F341" si="41">SUM(C306:E306)</f>
        <v>8</v>
      </c>
      <c r="G306" s="11">
        <v>3</v>
      </c>
      <c r="H306" s="10">
        <v>3</v>
      </c>
      <c r="I306" s="11"/>
      <c r="J306" s="5">
        <f t="shared" ref="J306:J341" si="42">SUM(G306:I306)</f>
        <v>6</v>
      </c>
      <c r="K306" s="32">
        <v>46143</v>
      </c>
      <c r="L306" s="33"/>
    </row>
    <row r="307" spans="2:12" x14ac:dyDescent="0.15">
      <c r="B307" s="6" t="s">
        <v>3</v>
      </c>
      <c r="C307" s="11"/>
      <c r="D307" s="10">
        <v>3</v>
      </c>
      <c r="E307" s="11"/>
      <c r="F307" s="5">
        <f t="shared" si="41"/>
        <v>3</v>
      </c>
      <c r="G307" s="11"/>
      <c r="H307" s="10"/>
      <c r="I307" s="11"/>
      <c r="J307" s="5">
        <f t="shared" si="42"/>
        <v>0</v>
      </c>
      <c r="K307" s="32">
        <v>46155</v>
      </c>
      <c r="L307" s="33"/>
    </row>
    <row r="308" spans="2:12" x14ac:dyDescent="0.15">
      <c r="B308" s="6" t="s">
        <v>3</v>
      </c>
      <c r="C308" s="11"/>
      <c r="D308" s="10"/>
      <c r="E308" s="11">
        <v>4</v>
      </c>
      <c r="F308" s="5">
        <f t="shared" si="41"/>
        <v>4</v>
      </c>
      <c r="G308" s="11"/>
      <c r="H308" s="10"/>
      <c r="I308" s="11">
        <v>4</v>
      </c>
      <c r="J308" s="5">
        <f t="shared" si="42"/>
        <v>4</v>
      </c>
      <c r="K308" s="32">
        <v>46171</v>
      </c>
    </row>
    <row r="309" spans="2:12" x14ac:dyDescent="0.15">
      <c r="B309" s="6" t="s">
        <v>3</v>
      </c>
      <c r="C309" s="11"/>
      <c r="D309" s="10"/>
      <c r="E309" s="11"/>
      <c r="F309" s="5">
        <f t="shared" si="41"/>
        <v>0</v>
      </c>
      <c r="G309" s="11"/>
      <c r="H309" s="10"/>
      <c r="I309" s="11"/>
      <c r="J309" s="5">
        <f t="shared" si="42"/>
        <v>0</v>
      </c>
    </row>
    <row r="310" spans="2:12" x14ac:dyDescent="0.15">
      <c r="B310" s="6" t="s">
        <v>3</v>
      </c>
      <c r="C310" s="11"/>
      <c r="D310" s="10"/>
      <c r="E310" s="11"/>
      <c r="F310" s="5">
        <f t="shared" si="41"/>
        <v>0</v>
      </c>
      <c r="G310" s="11"/>
      <c r="H310" s="10"/>
      <c r="I310" s="11"/>
      <c r="J310" s="5">
        <f t="shared" si="42"/>
        <v>0</v>
      </c>
    </row>
    <row r="311" spans="2:12" x14ac:dyDescent="0.15">
      <c r="B311" s="6" t="s">
        <v>3</v>
      </c>
      <c r="C311" s="11"/>
      <c r="D311" s="10"/>
      <c r="E311" s="11"/>
      <c r="F311" s="5">
        <f t="shared" si="41"/>
        <v>0</v>
      </c>
      <c r="G311" s="11"/>
      <c r="H311" s="10"/>
      <c r="I311" s="11"/>
      <c r="J311" s="5">
        <f t="shared" si="42"/>
        <v>0</v>
      </c>
    </row>
    <row r="312" spans="2:12" x14ac:dyDescent="0.15">
      <c r="B312" s="6" t="s">
        <v>3</v>
      </c>
      <c r="C312" s="11"/>
      <c r="D312" s="10"/>
      <c r="E312" s="11"/>
      <c r="F312" s="5">
        <f t="shared" si="41"/>
        <v>0</v>
      </c>
      <c r="G312" s="11"/>
      <c r="H312" s="10"/>
      <c r="I312" s="11"/>
      <c r="J312" s="5">
        <f t="shared" si="42"/>
        <v>0</v>
      </c>
    </row>
    <row r="313" spans="2:12" x14ac:dyDescent="0.15">
      <c r="B313" s="6" t="s">
        <v>3</v>
      </c>
      <c r="C313" s="11"/>
      <c r="D313" s="10"/>
      <c r="E313" s="11"/>
      <c r="F313" s="5">
        <f t="shared" si="41"/>
        <v>0</v>
      </c>
      <c r="G313" s="11"/>
      <c r="H313" s="10"/>
      <c r="I313" s="11"/>
      <c r="J313" s="5">
        <f t="shared" si="42"/>
        <v>0</v>
      </c>
    </row>
    <row r="314" spans="2:12" x14ac:dyDescent="0.15">
      <c r="B314" s="6" t="s">
        <v>3</v>
      </c>
      <c r="C314" s="11"/>
      <c r="D314" s="10"/>
      <c r="E314" s="11"/>
      <c r="F314" s="5">
        <f t="shared" si="41"/>
        <v>0</v>
      </c>
      <c r="G314" s="11"/>
      <c r="H314" s="10"/>
      <c r="I314" s="11"/>
      <c r="J314" s="5">
        <f t="shared" si="42"/>
        <v>0</v>
      </c>
    </row>
    <row r="315" spans="2:12" ht="14.25" thickBot="1" x14ac:dyDescent="0.2">
      <c r="B315" s="6" t="s">
        <v>3</v>
      </c>
      <c r="C315" s="14"/>
      <c r="D315" s="13"/>
      <c r="E315" s="14"/>
      <c r="F315" s="20">
        <f t="shared" si="41"/>
        <v>0</v>
      </c>
      <c r="G315" s="14"/>
      <c r="H315" s="13"/>
      <c r="I315" s="14"/>
      <c r="J315" s="20">
        <f t="shared" si="42"/>
        <v>0</v>
      </c>
    </row>
    <row r="316" spans="2:12" ht="14.25" thickBot="1" x14ac:dyDescent="0.2">
      <c r="B316" s="21" t="s">
        <v>4</v>
      </c>
      <c r="C316" s="22">
        <f>SUM(C305:C315)</f>
        <v>5</v>
      </c>
      <c r="D316" s="22">
        <f>SUM(D305:D315)</f>
        <v>9</v>
      </c>
      <c r="E316" s="23">
        <f>SUM(E305:E315)</f>
        <v>7</v>
      </c>
      <c r="F316" s="24">
        <f t="shared" si="41"/>
        <v>21</v>
      </c>
      <c r="G316" s="22">
        <f>SUM(G305:G315)</f>
        <v>5</v>
      </c>
      <c r="H316" s="22">
        <f>SUM(H305:H315)</f>
        <v>4</v>
      </c>
      <c r="I316" s="23">
        <f>SUM(I305:I315)</f>
        <v>7</v>
      </c>
      <c r="J316" s="24">
        <f t="shared" si="42"/>
        <v>16</v>
      </c>
    </row>
    <row r="317" spans="2:12" x14ac:dyDescent="0.15">
      <c r="B317" s="4" t="s">
        <v>16</v>
      </c>
      <c r="C317" s="9"/>
      <c r="D317" s="10"/>
      <c r="E317" s="11">
        <v>1</v>
      </c>
      <c r="F317" s="8">
        <f t="shared" si="41"/>
        <v>1</v>
      </c>
      <c r="G317" s="9"/>
      <c r="H317" s="10"/>
      <c r="I317" s="11">
        <v>1</v>
      </c>
      <c r="J317" s="8">
        <f t="shared" si="42"/>
        <v>1</v>
      </c>
      <c r="K317" s="37">
        <v>46153</v>
      </c>
    </row>
    <row r="318" spans="2:12" x14ac:dyDescent="0.15">
      <c r="B318" s="4" t="s">
        <v>16</v>
      </c>
      <c r="C318" s="9"/>
      <c r="D318" s="10"/>
      <c r="E318" s="11">
        <v>1</v>
      </c>
      <c r="F318" s="8">
        <f t="shared" si="41"/>
        <v>1</v>
      </c>
      <c r="G318" s="9"/>
      <c r="H318" s="10"/>
      <c r="I318" s="11">
        <v>1</v>
      </c>
      <c r="J318" s="8">
        <f t="shared" si="42"/>
        <v>1</v>
      </c>
      <c r="K318" s="37">
        <v>46160</v>
      </c>
    </row>
    <row r="319" spans="2:12" x14ac:dyDescent="0.15">
      <c r="B319" s="4" t="s">
        <v>16</v>
      </c>
      <c r="C319" s="9"/>
      <c r="D319" s="10"/>
      <c r="E319" s="11">
        <v>1</v>
      </c>
      <c r="F319" s="8">
        <f t="shared" si="41"/>
        <v>1</v>
      </c>
      <c r="G319" s="9"/>
      <c r="H319" s="10"/>
      <c r="I319" s="11">
        <v>1</v>
      </c>
      <c r="J319" s="8">
        <f t="shared" si="42"/>
        <v>1</v>
      </c>
      <c r="K319" s="37">
        <v>46167</v>
      </c>
    </row>
    <row r="320" spans="2:12" x14ac:dyDescent="0.15">
      <c r="B320" s="4" t="s">
        <v>16</v>
      </c>
      <c r="C320" s="9">
        <v>1</v>
      </c>
      <c r="D320" s="10"/>
      <c r="E320" s="11"/>
      <c r="F320" s="8">
        <f t="shared" si="41"/>
        <v>1</v>
      </c>
      <c r="G320" s="9">
        <v>1</v>
      </c>
      <c r="H320" s="10"/>
      <c r="I320" s="11"/>
      <c r="J320" s="8">
        <f t="shared" si="42"/>
        <v>1</v>
      </c>
      <c r="K320" s="37">
        <v>46181</v>
      </c>
    </row>
    <row r="321" spans="2:11" x14ac:dyDescent="0.15">
      <c r="B321" s="4" t="s">
        <v>16</v>
      </c>
      <c r="C321" s="9">
        <v>1</v>
      </c>
      <c r="D321" s="10"/>
      <c r="E321" s="11"/>
      <c r="F321" s="8">
        <f t="shared" si="41"/>
        <v>1</v>
      </c>
      <c r="G321" s="9">
        <v>1</v>
      </c>
      <c r="H321" s="10"/>
      <c r="I321" s="11"/>
      <c r="J321" s="8">
        <f t="shared" si="42"/>
        <v>1</v>
      </c>
      <c r="K321" s="37">
        <v>46185</v>
      </c>
    </row>
    <row r="322" spans="2:11" x14ac:dyDescent="0.15">
      <c r="B322" s="4" t="s">
        <v>54</v>
      </c>
      <c r="C322" s="9"/>
      <c r="D322" s="10"/>
      <c r="E322" s="11"/>
      <c r="F322" s="8">
        <f t="shared" si="41"/>
        <v>0</v>
      </c>
      <c r="G322" s="9"/>
      <c r="H322" s="10"/>
      <c r="I322" s="11">
        <v>2</v>
      </c>
      <c r="J322" s="8">
        <f t="shared" si="42"/>
        <v>2</v>
      </c>
      <c r="K322" s="37">
        <v>46218</v>
      </c>
    </row>
    <row r="323" spans="2:11" x14ac:dyDescent="0.15">
      <c r="B323" s="4"/>
      <c r="C323" s="9"/>
      <c r="D323" s="10"/>
      <c r="E323" s="11"/>
      <c r="F323" s="8">
        <f t="shared" si="41"/>
        <v>0</v>
      </c>
      <c r="G323" s="9"/>
      <c r="H323" s="10"/>
      <c r="I323" s="11"/>
      <c r="J323" s="8">
        <f t="shared" si="42"/>
        <v>0</v>
      </c>
    </row>
    <row r="324" spans="2:11" x14ac:dyDescent="0.15">
      <c r="B324" s="4"/>
      <c r="C324" s="9"/>
      <c r="D324" s="10"/>
      <c r="E324" s="11"/>
      <c r="F324" s="8">
        <f t="shared" si="41"/>
        <v>0</v>
      </c>
      <c r="G324" s="9"/>
      <c r="H324" s="10"/>
      <c r="I324" s="11"/>
      <c r="J324" s="8">
        <f t="shared" si="42"/>
        <v>0</v>
      </c>
    </row>
    <row r="325" spans="2:11" x14ac:dyDescent="0.15">
      <c r="B325" s="4"/>
      <c r="C325" s="9"/>
      <c r="D325" s="10"/>
      <c r="E325" s="11"/>
      <c r="F325" s="8">
        <f t="shared" si="41"/>
        <v>0</v>
      </c>
      <c r="G325" s="9"/>
      <c r="H325" s="10"/>
      <c r="I325" s="11"/>
      <c r="J325" s="8">
        <f t="shared" si="42"/>
        <v>0</v>
      </c>
    </row>
    <row r="326" spans="2:11" x14ac:dyDescent="0.15">
      <c r="B326" s="4"/>
      <c r="C326" s="9"/>
      <c r="D326" s="10"/>
      <c r="E326" s="11"/>
      <c r="F326" s="8">
        <f t="shared" si="41"/>
        <v>0</v>
      </c>
      <c r="G326" s="9"/>
      <c r="H326" s="10"/>
      <c r="I326" s="11"/>
      <c r="J326" s="8">
        <f t="shared" si="42"/>
        <v>0</v>
      </c>
    </row>
    <row r="327" spans="2:11" x14ac:dyDescent="0.15">
      <c r="B327" s="4"/>
      <c r="C327" s="9"/>
      <c r="D327" s="10"/>
      <c r="E327" s="11"/>
      <c r="F327" s="8">
        <f t="shared" si="41"/>
        <v>0</v>
      </c>
      <c r="G327" s="9"/>
      <c r="H327" s="10"/>
      <c r="I327" s="11"/>
      <c r="J327" s="8">
        <f t="shared" si="42"/>
        <v>0</v>
      </c>
    </row>
    <row r="328" spans="2:11" x14ac:dyDescent="0.15">
      <c r="B328" s="4"/>
      <c r="C328" s="9"/>
      <c r="D328" s="10"/>
      <c r="E328" s="11"/>
      <c r="F328" s="8">
        <f t="shared" si="41"/>
        <v>0</v>
      </c>
      <c r="G328" s="9"/>
      <c r="H328" s="10"/>
      <c r="I328" s="11"/>
      <c r="J328" s="8">
        <f t="shared" si="42"/>
        <v>0</v>
      </c>
    </row>
    <row r="329" spans="2:11" x14ac:dyDescent="0.15">
      <c r="B329" s="4"/>
      <c r="C329" s="9"/>
      <c r="D329" s="10"/>
      <c r="E329" s="11"/>
      <c r="F329" s="8">
        <f t="shared" si="41"/>
        <v>0</v>
      </c>
      <c r="G329" s="9"/>
      <c r="H329" s="10"/>
      <c r="I329" s="11"/>
      <c r="J329" s="8">
        <f t="shared" si="42"/>
        <v>0</v>
      </c>
    </row>
    <row r="330" spans="2:11" x14ac:dyDescent="0.15">
      <c r="B330" s="4"/>
      <c r="C330" s="9"/>
      <c r="D330" s="10"/>
      <c r="E330" s="11"/>
      <c r="F330" s="8">
        <f t="shared" si="41"/>
        <v>0</v>
      </c>
      <c r="G330" s="9"/>
      <c r="H330" s="10"/>
      <c r="I330" s="11"/>
      <c r="J330" s="8">
        <f t="shared" si="42"/>
        <v>0</v>
      </c>
    </row>
    <row r="331" spans="2:11" x14ac:dyDescent="0.15">
      <c r="B331" s="4"/>
      <c r="C331" s="9"/>
      <c r="D331" s="10"/>
      <c r="E331" s="11"/>
      <c r="F331" s="8">
        <f t="shared" si="41"/>
        <v>0</v>
      </c>
      <c r="G331" s="9"/>
      <c r="H331" s="10"/>
      <c r="I331" s="11"/>
      <c r="J331" s="8">
        <f t="shared" si="42"/>
        <v>0</v>
      </c>
    </row>
    <row r="332" spans="2:11" x14ac:dyDescent="0.15">
      <c r="B332" s="4"/>
      <c r="C332" s="9"/>
      <c r="D332" s="10"/>
      <c r="E332" s="11"/>
      <c r="F332" s="8">
        <f t="shared" si="41"/>
        <v>0</v>
      </c>
      <c r="G332" s="9"/>
      <c r="H332" s="10"/>
      <c r="I332" s="11"/>
      <c r="J332" s="8">
        <f t="shared" si="42"/>
        <v>0</v>
      </c>
    </row>
    <row r="333" spans="2:11" x14ac:dyDescent="0.15">
      <c r="B333" s="4"/>
      <c r="C333" s="9"/>
      <c r="D333" s="10"/>
      <c r="E333" s="11"/>
      <c r="F333" s="8">
        <f t="shared" si="41"/>
        <v>0</v>
      </c>
      <c r="G333" s="9"/>
      <c r="H333" s="10"/>
      <c r="I333" s="11"/>
      <c r="J333" s="8">
        <f t="shared" si="42"/>
        <v>0</v>
      </c>
    </row>
    <row r="334" spans="2:11" x14ac:dyDescent="0.15">
      <c r="B334" s="4"/>
      <c r="C334" s="9"/>
      <c r="D334" s="10"/>
      <c r="E334" s="11"/>
      <c r="F334" s="8">
        <f t="shared" si="41"/>
        <v>0</v>
      </c>
      <c r="G334" s="9"/>
      <c r="H334" s="10"/>
      <c r="I334" s="11"/>
      <c r="J334" s="8">
        <f t="shared" si="42"/>
        <v>0</v>
      </c>
    </row>
    <row r="335" spans="2:11" x14ac:dyDescent="0.15">
      <c r="B335" s="4"/>
      <c r="C335" s="9"/>
      <c r="D335" s="10"/>
      <c r="E335" s="11"/>
      <c r="F335" s="8">
        <f t="shared" si="41"/>
        <v>0</v>
      </c>
      <c r="G335" s="9"/>
      <c r="H335" s="10"/>
      <c r="I335" s="11"/>
      <c r="J335" s="8">
        <f t="shared" si="42"/>
        <v>0</v>
      </c>
    </row>
    <row r="336" spans="2:11" x14ac:dyDescent="0.15">
      <c r="B336" s="4"/>
      <c r="C336" s="9"/>
      <c r="D336" s="10"/>
      <c r="E336" s="11"/>
      <c r="F336" s="8">
        <f t="shared" si="41"/>
        <v>0</v>
      </c>
      <c r="G336" s="9"/>
      <c r="H336" s="10"/>
      <c r="I336" s="11"/>
      <c r="J336" s="8">
        <f t="shared" si="42"/>
        <v>0</v>
      </c>
    </row>
    <row r="337" spans="2:10" x14ac:dyDescent="0.15">
      <c r="B337" s="4"/>
      <c r="C337" s="9"/>
      <c r="D337" s="10"/>
      <c r="E337" s="11"/>
      <c r="F337" s="8">
        <f t="shared" si="41"/>
        <v>0</v>
      </c>
      <c r="G337" s="9"/>
      <c r="H337" s="10"/>
      <c r="I337" s="11"/>
      <c r="J337" s="8">
        <f t="shared" si="42"/>
        <v>0</v>
      </c>
    </row>
    <row r="338" spans="2:10" x14ac:dyDescent="0.15">
      <c r="B338" s="4"/>
      <c r="C338" s="9"/>
      <c r="D338" s="10"/>
      <c r="E338" s="11"/>
      <c r="F338" s="8">
        <f t="shared" si="41"/>
        <v>0</v>
      </c>
      <c r="G338" s="9"/>
      <c r="H338" s="10"/>
      <c r="I338" s="11"/>
      <c r="J338" s="8">
        <f t="shared" si="42"/>
        <v>0</v>
      </c>
    </row>
    <row r="339" spans="2:10" x14ac:dyDescent="0.15">
      <c r="B339" s="4"/>
      <c r="C339" s="9"/>
      <c r="D339" s="10"/>
      <c r="E339" s="11"/>
      <c r="F339" s="8">
        <f t="shared" si="41"/>
        <v>0</v>
      </c>
      <c r="G339" s="9"/>
      <c r="H339" s="10"/>
      <c r="I339" s="11"/>
      <c r="J339" s="8">
        <f t="shared" si="42"/>
        <v>0</v>
      </c>
    </row>
    <row r="340" spans="2:10" ht="14.25" thickBot="1" x14ac:dyDescent="0.2">
      <c r="B340" s="4"/>
      <c r="C340" s="9"/>
      <c r="D340" s="10"/>
      <c r="E340" s="11"/>
      <c r="F340" s="8">
        <f t="shared" si="41"/>
        <v>0</v>
      </c>
      <c r="G340" s="9"/>
      <c r="H340" s="10"/>
      <c r="I340" s="11"/>
      <c r="J340" s="8">
        <f t="shared" si="42"/>
        <v>0</v>
      </c>
    </row>
    <row r="341" spans="2:10" ht="14.25" thickBot="1" x14ac:dyDescent="0.2">
      <c r="B341" s="3" t="s">
        <v>5</v>
      </c>
      <c r="C341" s="15">
        <f>SUM(C317:C340)</f>
        <v>2</v>
      </c>
      <c r="D341" s="15">
        <f>SUM(D317:D340)</f>
        <v>0</v>
      </c>
      <c r="E341" s="15">
        <f>SUM(E317:E340)</f>
        <v>3</v>
      </c>
      <c r="F341" s="16">
        <f t="shared" si="41"/>
        <v>5</v>
      </c>
      <c r="G341" s="15">
        <f>SUM(G317:G340)</f>
        <v>2</v>
      </c>
      <c r="H341" s="15">
        <f>SUM(H317:H340)</f>
        <v>0</v>
      </c>
      <c r="I341" s="15">
        <f>SUM(I317:I340)</f>
        <v>5</v>
      </c>
      <c r="J341" s="16">
        <f t="shared" si="42"/>
        <v>7</v>
      </c>
    </row>
    <row r="342" spans="2:10" ht="14.25" thickBot="1" x14ac:dyDescent="0.2">
      <c r="B342" s="25" t="s">
        <v>6</v>
      </c>
      <c r="C342" s="26">
        <f t="shared" ref="C342:J342" si="43">C316-C341</f>
        <v>3</v>
      </c>
      <c r="D342" s="26">
        <f t="shared" si="43"/>
        <v>9</v>
      </c>
      <c r="E342" s="26">
        <f t="shared" si="43"/>
        <v>4</v>
      </c>
      <c r="F342" s="26">
        <f t="shared" si="43"/>
        <v>16</v>
      </c>
      <c r="G342" s="26">
        <f t="shared" si="43"/>
        <v>3</v>
      </c>
      <c r="H342" s="26">
        <f t="shared" si="43"/>
        <v>4</v>
      </c>
      <c r="I342" s="26">
        <f t="shared" si="43"/>
        <v>2</v>
      </c>
      <c r="J342" s="24">
        <f t="shared" si="43"/>
        <v>9</v>
      </c>
    </row>
  </sheetData>
  <mergeCells count="16">
    <mergeCell ref="C303:F303"/>
    <mergeCell ref="G303:J303"/>
    <mergeCell ref="C131:F131"/>
    <mergeCell ref="G131:J131"/>
    <mergeCell ref="C2:F2"/>
    <mergeCell ref="G2:J2"/>
    <mergeCell ref="C45:F45"/>
    <mergeCell ref="G45:J45"/>
    <mergeCell ref="C88:F88"/>
    <mergeCell ref="G88:J88"/>
    <mergeCell ref="C260:F260"/>
    <mergeCell ref="G260:J260"/>
    <mergeCell ref="C217:F217"/>
    <mergeCell ref="G217:J217"/>
    <mergeCell ref="C174:F174"/>
    <mergeCell ref="G174:J174"/>
  </mergeCells>
  <phoneticPr fontId="8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B1:L256"/>
  <sheetViews>
    <sheetView topLeftCell="A218" zoomScale="90" zoomScaleNormal="90" workbookViewId="0">
      <selection activeCell="C238" sqref="C238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66" t="s">
        <v>40</v>
      </c>
      <c r="C1" s="1"/>
      <c r="D1" s="1"/>
      <c r="E1" s="1" t="s">
        <v>42</v>
      </c>
      <c r="F1" s="1"/>
      <c r="G1" s="67"/>
      <c r="H1" s="67"/>
      <c r="I1" s="67"/>
      <c r="J1" s="67"/>
    </row>
    <row r="2" spans="2:12" ht="14.25" thickBot="1" x14ac:dyDescent="0.2">
      <c r="B2" s="2" t="s">
        <v>0</v>
      </c>
      <c r="C2" s="206" t="s">
        <v>41</v>
      </c>
      <c r="D2" s="206"/>
      <c r="E2" s="206"/>
      <c r="F2" s="207"/>
      <c r="G2" s="206" t="s">
        <v>34</v>
      </c>
      <c r="H2" s="206"/>
      <c r="I2" s="206"/>
      <c r="J2" s="207"/>
    </row>
    <row r="3" spans="2:12" ht="14.25" thickBot="1" x14ac:dyDescent="0.2">
      <c r="B3" s="2" t="s">
        <v>1</v>
      </c>
      <c r="C3" s="3" t="s">
        <v>25</v>
      </c>
      <c r="D3" s="2" t="s">
        <v>26</v>
      </c>
      <c r="E3" s="19" t="s">
        <v>27</v>
      </c>
      <c r="F3" s="2" t="s">
        <v>2</v>
      </c>
      <c r="G3" s="3" t="s">
        <v>25</v>
      </c>
      <c r="H3" s="2" t="s">
        <v>26</v>
      </c>
      <c r="I3" s="19" t="s">
        <v>27</v>
      </c>
      <c r="J3" s="2" t="s">
        <v>2</v>
      </c>
    </row>
    <row r="4" spans="2:12" x14ac:dyDescent="0.15">
      <c r="B4" s="6" t="s">
        <v>23</v>
      </c>
      <c r="C4" s="68">
        <v>1</v>
      </c>
      <c r="D4" s="69"/>
      <c r="E4" s="70"/>
      <c r="F4" s="5">
        <f>SUM(C4:E4)</f>
        <v>1</v>
      </c>
      <c r="G4" s="68">
        <v>1</v>
      </c>
      <c r="H4" s="69"/>
      <c r="I4" s="70"/>
      <c r="J4" s="5">
        <f>SUM(G4:I4)</f>
        <v>1</v>
      </c>
      <c r="K4" s="32">
        <v>43959</v>
      </c>
    </row>
    <row r="5" spans="2:12" x14ac:dyDescent="0.15">
      <c r="B5" s="6" t="s">
        <v>3</v>
      </c>
      <c r="C5" s="17">
        <v>1</v>
      </c>
      <c r="D5" s="12"/>
      <c r="E5" s="17"/>
      <c r="F5" s="5">
        <f t="shared" ref="F5:F40" si="0">SUM(C5:E5)</f>
        <v>1</v>
      </c>
      <c r="G5" s="17">
        <v>1</v>
      </c>
      <c r="H5" s="12"/>
      <c r="I5" s="17"/>
      <c r="J5" s="5">
        <f t="shared" ref="J5:J40" si="1">SUM(G5:I5)</f>
        <v>1</v>
      </c>
      <c r="K5" s="32">
        <v>43997</v>
      </c>
      <c r="L5" s="33"/>
    </row>
    <row r="6" spans="2:12" x14ac:dyDescent="0.15">
      <c r="B6" s="6" t="s">
        <v>3</v>
      </c>
      <c r="C6" s="17"/>
      <c r="D6" s="12"/>
      <c r="E6" s="17">
        <v>1</v>
      </c>
      <c r="F6" s="5">
        <f t="shared" si="0"/>
        <v>1</v>
      </c>
      <c r="G6" s="17"/>
      <c r="H6" s="12"/>
      <c r="I6" s="17">
        <v>1</v>
      </c>
      <c r="J6" s="5">
        <f t="shared" si="1"/>
        <v>1</v>
      </c>
      <c r="K6" s="32">
        <v>44012</v>
      </c>
    </row>
    <row r="7" spans="2:12" x14ac:dyDescent="0.15">
      <c r="B7" s="6" t="s">
        <v>3</v>
      </c>
      <c r="C7" s="17"/>
      <c r="D7" s="12"/>
      <c r="E7" s="17">
        <v>2</v>
      </c>
      <c r="F7" s="5">
        <f t="shared" si="0"/>
        <v>2</v>
      </c>
      <c r="G7" s="17"/>
      <c r="H7" s="12"/>
      <c r="I7" s="17">
        <v>2</v>
      </c>
      <c r="J7" s="5">
        <f t="shared" si="1"/>
        <v>2</v>
      </c>
      <c r="K7" s="32">
        <v>44026</v>
      </c>
    </row>
    <row r="8" spans="2:12" x14ac:dyDescent="0.15">
      <c r="B8" s="6" t="s">
        <v>3</v>
      </c>
      <c r="C8" s="17">
        <v>1</v>
      </c>
      <c r="D8" s="12"/>
      <c r="E8" s="17"/>
      <c r="F8" s="5">
        <f t="shared" si="0"/>
        <v>1</v>
      </c>
      <c r="G8" s="17">
        <v>1</v>
      </c>
      <c r="H8" s="12"/>
      <c r="I8" s="17"/>
      <c r="J8" s="5">
        <f t="shared" si="1"/>
        <v>1</v>
      </c>
      <c r="K8" s="32">
        <v>44070</v>
      </c>
      <c r="L8" s="33"/>
    </row>
    <row r="9" spans="2:12" x14ac:dyDescent="0.15">
      <c r="B9" s="6" t="s">
        <v>3</v>
      </c>
      <c r="C9" s="17"/>
      <c r="D9" s="12">
        <v>1</v>
      </c>
      <c r="E9" s="17"/>
      <c r="F9" s="5">
        <f t="shared" si="0"/>
        <v>1</v>
      </c>
      <c r="G9" s="17"/>
      <c r="H9" s="12">
        <v>1</v>
      </c>
      <c r="I9" s="17"/>
      <c r="J9" s="5">
        <f t="shared" si="1"/>
        <v>1</v>
      </c>
      <c r="K9" s="32">
        <v>44088</v>
      </c>
    </row>
    <row r="10" spans="2:12" x14ac:dyDescent="0.15">
      <c r="B10" s="6" t="s">
        <v>3</v>
      </c>
      <c r="C10" s="17">
        <v>1</v>
      </c>
      <c r="D10" s="12"/>
      <c r="E10" s="17"/>
      <c r="F10" s="5">
        <f t="shared" si="0"/>
        <v>1</v>
      </c>
      <c r="G10" s="17"/>
      <c r="H10" s="12"/>
      <c r="I10" s="17"/>
      <c r="J10" s="5">
        <f t="shared" si="1"/>
        <v>0</v>
      </c>
      <c r="K10" s="32">
        <v>44127</v>
      </c>
    </row>
    <row r="11" spans="2:12" x14ac:dyDescent="0.15">
      <c r="B11" s="6" t="s">
        <v>3</v>
      </c>
      <c r="C11" s="11"/>
      <c r="D11" s="10"/>
      <c r="E11" s="11"/>
      <c r="F11" s="5">
        <f t="shared" si="0"/>
        <v>0</v>
      </c>
      <c r="G11" s="11"/>
      <c r="H11" s="10"/>
      <c r="I11" s="11">
        <v>2</v>
      </c>
      <c r="J11" s="5">
        <f t="shared" si="1"/>
        <v>2</v>
      </c>
      <c r="K11" s="32">
        <v>44130</v>
      </c>
    </row>
    <row r="12" spans="2:12" x14ac:dyDescent="0.15">
      <c r="B12" s="6" t="s">
        <v>3</v>
      </c>
      <c r="C12" s="11"/>
      <c r="D12" s="10"/>
      <c r="E12" s="11">
        <v>2</v>
      </c>
      <c r="F12" s="5">
        <f t="shared" si="0"/>
        <v>2</v>
      </c>
      <c r="G12" s="11"/>
      <c r="H12" s="10"/>
      <c r="I12" s="11">
        <v>2</v>
      </c>
      <c r="J12" s="5">
        <f t="shared" si="1"/>
        <v>2</v>
      </c>
      <c r="K12" s="32">
        <v>44131</v>
      </c>
    </row>
    <row r="13" spans="2:12" x14ac:dyDescent="0.15">
      <c r="B13" s="6" t="s">
        <v>3</v>
      </c>
      <c r="C13" s="11">
        <v>1</v>
      </c>
      <c r="D13" s="10"/>
      <c r="E13" s="11"/>
      <c r="F13" s="5">
        <f t="shared" si="0"/>
        <v>1</v>
      </c>
      <c r="G13" s="11">
        <v>1</v>
      </c>
      <c r="H13" s="10"/>
      <c r="I13" s="11"/>
      <c r="J13" s="5">
        <f t="shared" si="1"/>
        <v>1</v>
      </c>
      <c r="K13" s="32">
        <v>44173</v>
      </c>
    </row>
    <row r="14" spans="2:12" ht="14.25" thickBot="1" x14ac:dyDescent="0.2">
      <c r="B14" s="7" t="s">
        <v>3</v>
      </c>
      <c r="C14" s="14"/>
      <c r="D14" s="13"/>
      <c r="E14" s="14">
        <v>1</v>
      </c>
      <c r="F14" s="20">
        <f t="shared" si="0"/>
        <v>1</v>
      </c>
      <c r="G14" s="14"/>
      <c r="H14" s="13"/>
      <c r="I14" s="14">
        <v>1</v>
      </c>
      <c r="J14" s="20">
        <f t="shared" si="1"/>
        <v>1</v>
      </c>
      <c r="K14" s="32">
        <v>44210</v>
      </c>
    </row>
    <row r="15" spans="2:12" ht="14.25" thickBot="1" x14ac:dyDescent="0.2">
      <c r="B15" s="21" t="s">
        <v>4</v>
      </c>
      <c r="C15" s="22">
        <f>SUM(C4:C14)</f>
        <v>5</v>
      </c>
      <c r="D15" s="22">
        <f>SUM(D4:D14)</f>
        <v>1</v>
      </c>
      <c r="E15" s="23">
        <f>SUM(E4:E14)</f>
        <v>6</v>
      </c>
      <c r="F15" s="24">
        <f t="shared" si="0"/>
        <v>12</v>
      </c>
      <c r="G15" s="22">
        <f>SUM(G4:G14)</f>
        <v>4</v>
      </c>
      <c r="H15" s="22">
        <f>SUM(H4:H14)</f>
        <v>1</v>
      </c>
      <c r="I15" s="23">
        <f>SUM(I4:I14)</f>
        <v>8</v>
      </c>
      <c r="J15" s="24">
        <f t="shared" si="1"/>
        <v>13</v>
      </c>
    </row>
    <row r="16" spans="2:12" x14ac:dyDescent="0.15">
      <c r="B16" s="4" t="s">
        <v>43</v>
      </c>
      <c r="C16" s="9">
        <v>1</v>
      </c>
      <c r="D16" s="10"/>
      <c r="E16" s="11"/>
      <c r="F16" s="5">
        <f t="shared" si="0"/>
        <v>1</v>
      </c>
      <c r="G16" s="9">
        <v>1</v>
      </c>
      <c r="H16" s="10"/>
      <c r="I16" s="11"/>
      <c r="J16" s="5">
        <f t="shared" si="1"/>
        <v>1</v>
      </c>
      <c r="K16" s="37">
        <v>43959</v>
      </c>
    </row>
    <row r="17" spans="2:11" x14ac:dyDescent="0.15">
      <c r="B17" s="4" t="s">
        <v>16</v>
      </c>
      <c r="C17" s="9">
        <v>1</v>
      </c>
      <c r="D17" s="10"/>
      <c r="E17" s="11"/>
      <c r="F17" s="5">
        <f t="shared" si="0"/>
        <v>1</v>
      </c>
      <c r="G17" s="9">
        <v>1</v>
      </c>
      <c r="H17" s="10"/>
      <c r="I17" s="11"/>
      <c r="J17" s="5">
        <f t="shared" si="1"/>
        <v>1</v>
      </c>
      <c r="K17" s="37">
        <v>43997</v>
      </c>
    </row>
    <row r="18" spans="2:11" x14ac:dyDescent="0.15">
      <c r="B18" s="4" t="s">
        <v>16</v>
      </c>
      <c r="C18" s="9"/>
      <c r="D18" s="10"/>
      <c r="E18" s="11">
        <v>1</v>
      </c>
      <c r="F18" s="5">
        <f t="shared" si="0"/>
        <v>1</v>
      </c>
      <c r="G18" s="9"/>
      <c r="H18" s="10"/>
      <c r="I18" s="11">
        <v>1</v>
      </c>
      <c r="J18" s="5">
        <f t="shared" si="1"/>
        <v>1</v>
      </c>
      <c r="K18" s="37">
        <v>44012</v>
      </c>
    </row>
    <row r="19" spans="2:11" x14ac:dyDescent="0.15">
      <c r="B19" s="4" t="s">
        <v>16</v>
      </c>
      <c r="C19" s="9"/>
      <c r="D19" s="10"/>
      <c r="E19" s="11">
        <v>2</v>
      </c>
      <c r="F19" s="5">
        <f t="shared" si="0"/>
        <v>2</v>
      </c>
      <c r="G19" s="9"/>
      <c r="H19" s="10"/>
      <c r="I19" s="11">
        <v>2</v>
      </c>
      <c r="J19" s="5">
        <f t="shared" si="1"/>
        <v>2</v>
      </c>
      <c r="K19" s="37">
        <v>44026</v>
      </c>
    </row>
    <row r="20" spans="2:11" x14ac:dyDescent="0.15">
      <c r="B20" s="4" t="s">
        <v>16</v>
      </c>
      <c r="C20" s="9">
        <v>1</v>
      </c>
      <c r="D20" s="10"/>
      <c r="E20" s="11"/>
      <c r="F20" s="5">
        <f t="shared" si="0"/>
        <v>1</v>
      </c>
      <c r="G20" s="9">
        <v>1</v>
      </c>
      <c r="H20" s="10"/>
      <c r="I20" s="11"/>
      <c r="J20" s="5">
        <f t="shared" si="1"/>
        <v>1</v>
      </c>
      <c r="K20" s="37">
        <v>44070</v>
      </c>
    </row>
    <row r="21" spans="2:11" x14ac:dyDescent="0.15">
      <c r="B21" s="4" t="s">
        <v>16</v>
      </c>
      <c r="C21" s="9"/>
      <c r="D21" s="10">
        <v>1</v>
      </c>
      <c r="E21" s="11"/>
      <c r="F21" s="8">
        <f t="shared" si="0"/>
        <v>1</v>
      </c>
      <c r="G21" s="9"/>
      <c r="H21" s="10">
        <v>1</v>
      </c>
      <c r="I21" s="11"/>
      <c r="J21" s="8">
        <f t="shared" si="1"/>
        <v>1</v>
      </c>
      <c r="K21" s="37">
        <v>44088</v>
      </c>
    </row>
    <row r="22" spans="2:11" x14ac:dyDescent="0.15">
      <c r="B22" s="4" t="s">
        <v>16</v>
      </c>
      <c r="C22" s="9">
        <v>1</v>
      </c>
      <c r="D22" s="10"/>
      <c r="E22" s="11"/>
      <c r="F22" s="8">
        <f t="shared" si="0"/>
        <v>1</v>
      </c>
      <c r="G22" s="9"/>
      <c r="H22" s="10"/>
      <c r="I22" s="11"/>
      <c r="J22" s="8">
        <f t="shared" si="1"/>
        <v>0</v>
      </c>
      <c r="K22" s="37">
        <v>44127</v>
      </c>
    </row>
    <row r="23" spans="2:11" x14ac:dyDescent="0.15">
      <c r="B23" s="4" t="s">
        <v>16</v>
      </c>
      <c r="C23" s="9"/>
      <c r="D23" s="10"/>
      <c r="E23" s="11"/>
      <c r="F23" s="8">
        <f t="shared" si="0"/>
        <v>0</v>
      </c>
      <c r="G23" s="9"/>
      <c r="H23" s="10"/>
      <c r="I23" s="11">
        <v>2</v>
      </c>
      <c r="J23" s="8">
        <f t="shared" si="1"/>
        <v>2</v>
      </c>
      <c r="K23" s="37">
        <v>44130</v>
      </c>
    </row>
    <row r="24" spans="2:11" x14ac:dyDescent="0.15">
      <c r="B24" s="4" t="s">
        <v>16</v>
      </c>
      <c r="C24" s="9"/>
      <c r="D24" s="10"/>
      <c r="E24" s="11">
        <v>2</v>
      </c>
      <c r="F24" s="8">
        <f t="shared" si="0"/>
        <v>2</v>
      </c>
      <c r="G24" s="9"/>
      <c r="H24" s="10"/>
      <c r="I24" s="11">
        <v>2</v>
      </c>
      <c r="J24" s="8">
        <f t="shared" si="1"/>
        <v>2</v>
      </c>
      <c r="K24" s="37">
        <v>44131</v>
      </c>
    </row>
    <row r="25" spans="2:11" x14ac:dyDescent="0.15">
      <c r="B25" s="4" t="s">
        <v>16</v>
      </c>
      <c r="C25" s="9"/>
      <c r="D25" s="10"/>
      <c r="E25" s="11">
        <v>1</v>
      </c>
      <c r="F25" s="8">
        <f t="shared" si="0"/>
        <v>1</v>
      </c>
      <c r="G25" s="9"/>
      <c r="H25" s="10"/>
      <c r="I25" s="11">
        <v>1</v>
      </c>
      <c r="J25" s="8">
        <f t="shared" si="1"/>
        <v>1</v>
      </c>
      <c r="K25" s="37">
        <v>44210</v>
      </c>
    </row>
    <row r="26" spans="2:11" x14ac:dyDescent="0.15">
      <c r="B26" s="4" t="s">
        <v>57</v>
      </c>
      <c r="C26" s="9"/>
      <c r="D26" s="10"/>
      <c r="E26" s="11"/>
      <c r="F26" s="8">
        <f t="shared" si="0"/>
        <v>0</v>
      </c>
      <c r="G26" s="9"/>
      <c r="H26" s="10">
        <v>-2</v>
      </c>
      <c r="I26" s="11"/>
      <c r="J26" s="8">
        <f t="shared" si="1"/>
        <v>-2</v>
      </c>
      <c r="K26" s="32">
        <v>44284</v>
      </c>
    </row>
    <row r="27" spans="2:11" x14ac:dyDescent="0.15">
      <c r="B27" s="4" t="s">
        <v>16</v>
      </c>
      <c r="C27" s="9"/>
      <c r="D27" s="10"/>
      <c r="E27" s="11"/>
      <c r="F27" s="8">
        <f t="shared" si="0"/>
        <v>0</v>
      </c>
      <c r="G27" s="9"/>
      <c r="H27" s="10">
        <v>2</v>
      </c>
      <c r="I27" s="11"/>
      <c r="J27" s="8">
        <f t="shared" si="1"/>
        <v>2</v>
      </c>
      <c r="K27" s="37">
        <v>44284</v>
      </c>
    </row>
    <row r="28" spans="2:11" x14ac:dyDescent="0.15">
      <c r="B28" s="4" t="s">
        <v>49</v>
      </c>
      <c r="C28" s="9"/>
      <c r="D28" s="10"/>
      <c r="E28" s="11">
        <v>-2</v>
      </c>
      <c r="F28" s="8">
        <f t="shared" si="0"/>
        <v>-2</v>
      </c>
      <c r="G28" s="9"/>
      <c r="H28" s="10"/>
      <c r="I28" s="11"/>
      <c r="J28" s="8">
        <f t="shared" si="1"/>
        <v>0</v>
      </c>
      <c r="K28" s="32">
        <v>44334</v>
      </c>
    </row>
    <row r="29" spans="2:11" x14ac:dyDescent="0.15">
      <c r="B29" s="4" t="s">
        <v>16</v>
      </c>
      <c r="C29" s="9"/>
      <c r="D29" s="10"/>
      <c r="E29" s="11">
        <v>2</v>
      </c>
      <c r="F29" s="8">
        <f t="shared" si="0"/>
        <v>2</v>
      </c>
      <c r="G29" s="9"/>
      <c r="H29" s="10"/>
      <c r="I29" s="11"/>
      <c r="J29" s="8">
        <f t="shared" si="1"/>
        <v>0</v>
      </c>
      <c r="K29" s="37">
        <v>44334</v>
      </c>
    </row>
    <row r="30" spans="2:11" x14ac:dyDescent="0.15">
      <c r="B30" s="4" t="s">
        <v>16</v>
      </c>
      <c r="C30" s="9">
        <v>1</v>
      </c>
      <c r="D30" s="10"/>
      <c r="E30" s="11"/>
      <c r="F30" s="8">
        <f t="shared" si="0"/>
        <v>1</v>
      </c>
      <c r="G30" s="9">
        <v>1</v>
      </c>
      <c r="H30" s="10"/>
      <c r="I30" s="11"/>
      <c r="J30" s="8">
        <f t="shared" si="1"/>
        <v>1</v>
      </c>
      <c r="K30" s="37">
        <v>44355</v>
      </c>
    </row>
    <row r="31" spans="2:11" x14ac:dyDescent="0.15">
      <c r="B31" s="4"/>
      <c r="C31" s="9"/>
      <c r="D31" s="10"/>
      <c r="E31" s="11"/>
      <c r="F31" s="8">
        <f t="shared" si="0"/>
        <v>0</v>
      </c>
      <c r="G31" s="9"/>
      <c r="H31" s="10"/>
      <c r="I31" s="11"/>
      <c r="J31" s="8">
        <f t="shared" si="1"/>
        <v>0</v>
      </c>
    </row>
    <row r="32" spans="2:11" x14ac:dyDescent="0.15">
      <c r="B32" s="12"/>
      <c r="C32" s="9"/>
      <c r="D32" s="10"/>
      <c r="E32" s="11"/>
      <c r="F32" s="8">
        <f t="shared" si="0"/>
        <v>0</v>
      </c>
      <c r="G32" s="9"/>
      <c r="H32" s="10"/>
      <c r="I32" s="11"/>
      <c r="J32" s="8">
        <f t="shared" si="1"/>
        <v>0</v>
      </c>
    </row>
    <row r="33" spans="2:12" x14ac:dyDescent="0.15">
      <c r="B33" s="4"/>
      <c r="C33" s="9"/>
      <c r="D33" s="10"/>
      <c r="E33" s="11"/>
      <c r="F33" s="8">
        <f t="shared" si="0"/>
        <v>0</v>
      </c>
      <c r="G33" s="9"/>
      <c r="H33" s="10"/>
      <c r="I33" s="11"/>
      <c r="J33" s="8">
        <f t="shared" si="1"/>
        <v>0</v>
      </c>
    </row>
    <row r="34" spans="2:12" x14ac:dyDescent="0.15">
      <c r="B34" s="71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</row>
    <row r="35" spans="2:12" x14ac:dyDescent="0.15">
      <c r="B35" s="12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</row>
    <row r="36" spans="2:12" x14ac:dyDescent="0.15">
      <c r="B36" s="4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</row>
    <row r="37" spans="2:12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</row>
    <row r="38" spans="2:12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</row>
    <row r="39" spans="2:12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</row>
    <row r="40" spans="2:12" ht="14.25" thickBot="1" x14ac:dyDescent="0.2">
      <c r="B40" s="3" t="s">
        <v>5</v>
      </c>
      <c r="C40" s="15">
        <f>SUM(C16:C39)</f>
        <v>5</v>
      </c>
      <c r="D40" s="15">
        <f>SUM(D16:D39)</f>
        <v>1</v>
      </c>
      <c r="E40" s="15">
        <f>SUM(E16:E39)</f>
        <v>6</v>
      </c>
      <c r="F40" s="16">
        <f t="shared" si="0"/>
        <v>12</v>
      </c>
      <c r="G40" s="15">
        <f>SUM(G16:G39)</f>
        <v>4</v>
      </c>
      <c r="H40" s="15">
        <f>SUM(H16:H39)</f>
        <v>1</v>
      </c>
      <c r="I40" s="15">
        <f>SUM(I16:I39)</f>
        <v>8</v>
      </c>
      <c r="J40" s="16">
        <f t="shared" si="1"/>
        <v>13</v>
      </c>
    </row>
    <row r="41" spans="2:12" ht="14.25" thickBot="1" x14ac:dyDescent="0.2">
      <c r="B41" s="25" t="s">
        <v>6</v>
      </c>
      <c r="C41" s="26">
        <f t="shared" ref="C41:J41" si="2">C15-C40</f>
        <v>0</v>
      </c>
      <c r="D41" s="26">
        <f t="shared" si="2"/>
        <v>0</v>
      </c>
      <c r="E41" s="26">
        <f t="shared" si="2"/>
        <v>0</v>
      </c>
      <c r="F41" s="26">
        <f t="shared" si="2"/>
        <v>0</v>
      </c>
      <c r="G41" s="26">
        <f t="shared" si="2"/>
        <v>0</v>
      </c>
      <c r="H41" s="26">
        <f t="shared" si="2"/>
        <v>0</v>
      </c>
      <c r="I41" s="26">
        <f t="shared" si="2"/>
        <v>0</v>
      </c>
      <c r="J41" s="24">
        <f t="shared" si="2"/>
        <v>0</v>
      </c>
    </row>
    <row r="44" spans="2:12" ht="19.5" thickBot="1" x14ac:dyDescent="0.25">
      <c r="B44" s="66" t="s">
        <v>40</v>
      </c>
      <c r="C44" s="1"/>
      <c r="D44" s="1"/>
      <c r="E44" s="1" t="s">
        <v>42</v>
      </c>
      <c r="F44" s="1"/>
      <c r="G44" s="67"/>
      <c r="H44" s="67"/>
      <c r="I44" s="67"/>
      <c r="J44" s="67"/>
    </row>
    <row r="45" spans="2:12" ht="14.25" thickBot="1" x14ac:dyDescent="0.2">
      <c r="B45" s="2" t="s">
        <v>0</v>
      </c>
      <c r="C45" s="206" t="s">
        <v>41</v>
      </c>
      <c r="D45" s="206"/>
      <c r="E45" s="206"/>
      <c r="F45" s="207"/>
      <c r="G45" s="206" t="s">
        <v>34</v>
      </c>
      <c r="H45" s="206"/>
      <c r="I45" s="206"/>
      <c r="J45" s="207"/>
    </row>
    <row r="46" spans="2:12" ht="14.25" thickBot="1" x14ac:dyDescent="0.2">
      <c r="B46" s="2" t="s">
        <v>1</v>
      </c>
      <c r="C46" s="3" t="s">
        <v>25</v>
      </c>
      <c r="D46" s="2" t="s">
        <v>26</v>
      </c>
      <c r="E46" s="19" t="s">
        <v>27</v>
      </c>
      <c r="F46" s="2" t="s">
        <v>2</v>
      </c>
      <c r="G46" s="3" t="s">
        <v>25</v>
      </c>
      <c r="H46" s="2" t="s">
        <v>26</v>
      </c>
      <c r="I46" s="19" t="s">
        <v>27</v>
      </c>
      <c r="J46" s="2" t="s">
        <v>2</v>
      </c>
    </row>
    <row r="47" spans="2:12" x14ac:dyDescent="0.15">
      <c r="B47" s="27" t="s">
        <v>28</v>
      </c>
      <c r="C47" s="72">
        <f>C41</f>
        <v>0</v>
      </c>
      <c r="D47" s="73">
        <f>D41</f>
        <v>0</v>
      </c>
      <c r="E47" s="74">
        <f>E41</f>
        <v>0</v>
      </c>
      <c r="F47" s="18">
        <f>SUM(C47:E47)</f>
        <v>0</v>
      </c>
      <c r="G47" s="72">
        <f>G41</f>
        <v>0</v>
      </c>
      <c r="H47" s="73">
        <f>H41</f>
        <v>0</v>
      </c>
      <c r="I47" s="74">
        <f>I41</f>
        <v>0</v>
      </c>
      <c r="J47" s="18">
        <f>SUM(G47:I47)</f>
        <v>0</v>
      </c>
    </row>
    <row r="48" spans="2:12" x14ac:dyDescent="0.15">
      <c r="B48" s="6" t="s">
        <v>3</v>
      </c>
      <c r="C48" s="17"/>
      <c r="D48" s="12"/>
      <c r="E48" s="17"/>
      <c r="F48" s="5">
        <f t="shared" ref="F48:F83" si="3">SUM(C48:E48)</f>
        <v>0</v>
      </c>
      <c r="G48" s="17"/>
      <c r="H48" s="12"/>
      <c r="I48" s="17"/>
      <c r="J48" s="5">
        <f t="shared" ref="J48:J83" si="4">SUM(G48:I48)</f>
        <v>0</v>
      </c>
      <c r="K48" s="32"/>
      <c r="L48" s="75"/>
    </row>
    <row r="49" spans="2:12" x14ac:dyDescent="0.15">
      <c r="B49" s="6" t="s">
        <v>3</v>
      </c>
      <c r="C49" s="17">
        <v>1</v>
      </c>
      <c r="D49" s="12"/>
      <c r="E49" s="17"/>
      <c r="F49" s="5">
        <f t="shared" si="3"/>
        <v>1</v>
      </c>
      <c r="G49" s="17">
        <v>1</v>
      </c>
      <c r="H49" s="12"/>
      <c r="I49" s="17"/>
      <c r="J49" s="5">
        <f t="shared" si="4"/>
        <v>1</v>
      </c>
      <c r="K49" s="32">
        <v>44356</v>
      </c>
    </row>
    <row r="50" spans="2:12" x14ac:dyDescent="0.15">
      <c r="B50" s="6" t="s">
        <v>3</v>
      </c>
      <c r="C50" s="17"/>
      <c r="D50" s="12">
        <v>1</v>
      </c>
      <c r="E50" s="17">
        <v>1</v>
      </c>
      <c r="F50" s="5">
        <f t="shared" si="3"/>
        <v>2</v>
      </c>
      <c r="G50" s="17"/>
      <c r="H50" s="12">
        <v>1</v>
      </c>
      <c r="I50" s="17">
        <v>1</v>
      </c>
      <c r="J50" s="5">
        <f t="shared" si="4"/>
        <v>2</v>
      </c>
      <c r="K50" s="32">
        <v>44375</v>
      </c>
    </row>
    <row r="51" spans="2:12" x14ac:dyDescent="0.15">
      <c r="B51" s="6" t="s">
        <v>3</v>
      </c>
      <c r="C51" s="17">
        <v>2</v>
      </c>
      <c r="D51" s="12">
        <v>3</v>
      </c>
      <c r="E51" s="17"/>
      <c r="F51" s="5">
        <f t="shared" si="3"/>
        <v>5</v>
      </c>
      <c r="G51" s="17">
        <v>2</v>
      </c>
      <c r="H51" s="12">
        <v>1</v>
      </c>
      <c r="I51" s="17">
        <v>1</v>
      </c>
      <c r="J51" s="5">
        <f t="shared" si="4"/>
        <v>4</v>
      </c>
      <c r="K51" s="32">
        <v>44383</v>
      </c>
    </row>
    <row r="52" spans="2:12" x14ac:dyDescent="0.15">
      <c r="B52" s="6" t="s">
        <v>3</v>
      </c>
      <c r="C52" s="17"/>
      <c r="D52" s="12"/>
      <c r="E52" s="17">
        <v>1</v>
      </c>
      <c r="F52" s="5">
        <f t="shared" si="3"/>
        <v>1</v>
      </c>
      <c r="G52" s="17"/>
      <c r="H52" s="12"/>
      <c r="I52" s="17"/>
      <c r="J52" s="5">
        <f t="shared" si="4"/>
        <v>0</v>
      </c>
      <c r="K52" s="32">
        <v>44433</v>
      </c>
      <c r="L52" s="33"/>
    </row>
    <row r="53" spans="2:12" x14ac:dyDescent="0.15">
      <c r="B53" s="6" t="s">
        <v>3</v>
      </c>
      <c r="C53" s="17">
        <v>2</v>
      </c>
      <c r="D53" s="12"/>
      <c r="E53" s="17"/>
      <c r="F53" s="5">
        <f t="shared" si="3"/>
        <v>2</v>
      </c>
      <c r="G53" s="17">
        <v>2</v>
      </c>
      <c r="H53" s="12"/>
      <c r="I53" s="17"/>
      <c r="J53" s="5">
        <f t="shared" si="4"/>
        <v>2</v>
      </c>
      <c r="K53" s="32">
        <v>44474</v>
      </c>
    </row>
    <row r="54" spans="2:12" x14ac:dyDescent="0.15">
      <c r="B54" s="6" t="s">
        <v>3</v>
      </c>
      <c r="C54" s="70">
        <v>2</v>
      </c>
      <c r="D54" s="69"/>
      <c r="E54" s="70"/>
      <c r="F54" s="5">
        <f t="shared" si="3"/>
        <v>2</v>
      </c>
      <c r="G54" s="70"/>
      <c r="H54" s="69"/>
      <c r="I54" s="70"/>
      <c r="J54" s="5">
        <f t="shared" si="4"/>
        <v>0</v>
      </c>
      <c r="K54" s="32">
        <v>44531</v>
      </c>
    </row>
    <row r="55" spans="2:12" x14ac:dyDescent="0.15">
      <c r="B55" s="6" t="s">
        <v>3</v>
      </c>
      <c r="C55" s="11"/>
      <c r="D55" s="10">
        <v>2</v>
      </c>
      <c r="E55" s="11"/>
      <c r="F55" s="5">
        <f t="shared" si="3"/>
        <v>2</v>
      </c>
      <c r="G55" s="11"/>
      <c r="H55" s="10">
        <v>2</v>
      </c>
      <c r="I55" s="11"/>
      <c r="J55" s="5">
        <f t="shared" si="4"/>
        <v>2</v>
      </c>
      <c r="K55" s="32">
        <v>44534</v>
      </c>
    </row>
    <row r="56" spans="2:12" x14ac:dyDescent="0.15">
      <c r="B56" s="6" t="s">
        <v>3</v>
      </c>
      <c r="C56" s="11">
        <v>3</v>
      </c>
      <c r="D56" s="10">
        <v>2</v>
      </c>
      <c r="E56" s="11"/>
      <c r="F56" s="5">
        <f t="shared" si="3"/>
        <v>5</v>
      </c>
      <c r="G56" s="11">
        <v>3</v>
      </c>
      <c r="H56" s="10">
        <v>2</v>
      </c>
      <c r="I56" s="11"/>
      <c r="J56" s="5">
        <f t="shared" si="4"/>
        <v>5</v>
      </c>
      <c r="K56" s="37">
        <v>44558</v>
      </c>
    </row>
    <row r="57" spans="2:12" ht="14.25" thickBot="1" x14ac:dyDescent="0.2">
      <c r="B57" s="7" t="s">
        <v>3</v>
      </c>
      <c r="C57" s="14"/>
      <c r="D57" s="13"/>
      <c r="E57" s="14">
        <v>3</v>
      </c>
      <c r="F57" s="20">
        <f t="shared" si="3"/>
        <v>3</v>
      </c>
      <c r="G57" s="14"/>
      <c r="H57" s="13"/>
      <c r="I57" s="14"/>
      <c r="J57" s="20">
        <f t="shared" si="4"/>
        <v>0</v>
      </c>
      <c r="K57" s="32">
        <v>44574</v>
      </c>
    </row>
    <row r="58" spans="2:12" ht="14.25" thickBot="1" x14ac:dyDescent="0.2">
      <c r="B58" s="21" t="s">
        <v>4</v>
      </c>
      <c r="C58" s="22">
        <f>SUM(C47:C57)</f>
        <v>10</v>
      </c>
      <c r="D58" s="22">
        <f>SUM(D47:D57)</f>
        <v>8</v>
      </c>
      <c r="E58" s="23">
        <f>SUM(E47:E57)</f>
        <v>5</v>
      </c>
      <c r="F58" s="24">
        <f t="shared" si="3"/>
        <v>23</v>
      </c>
      <c r="G58" s="22">
        <f>SUM(G47:G57)</f>
        <v>8</v>
      </c>
      <c r="H58" s="22">
        <f>SUM(H47:H57)</f>
        <v>6</v>
      </c>
      <c r="I58" s="23">
        <f>SUM(I47:I57)</f>
        <v>2</v>
      </c>
      <c r="J58" s="24">
        <f t="shared" si="4"/>
        <v>16</v>
      </c>
    </row>
    <row r="59" spans="2:12" x14ac:dyDescent="0.15">
      <c r="B59" s="4" t="s">
        <v>16</v>
      </c>
      <c r="C59" s="9">
        <v>1</v>
      </c>
      <c r="D59" s="10"/>
      <c r="E59" s="11"/>
      <c r="F59" s="5">
        <f t="shared" si="3"/>
        <v>1</v>
      </c>
      <c r="G59" s="9">
        <v>1</v>
      </c>
      <c r="H59" s="10"/>
      <c r="I59" s="11"/>
      <c r="J59" s="5">
        <f t="shared" si="4"/>
        <v>1</v>
      </c>
      <c r="K59" s="37">
        <v>44356</v>
      </c>
    </row>
    <row r="60" spans="2:12" x14ac:dyDescent="0.15">
      <c r="B60" s="4" t="s">
        <v>16</v>
      </c>
      <c r="C60" s="9"/>
      <c r="D60" s="10">
        <v>2</v>
      </c>
      <c r="E60" s="11"/>
      <c r="F60" s="5">
        <f t="shared" si="3"/>
        <v>2</v>
      </c>
      <c r="G60" s="9"/>
      <c r="H60" s="10"/>
      <c r="I60" s="11"/>
      <c r="J60" s="5">
        <f t="shared" si="4"/>
        <v>0</v>
      </c>
      <c r="K60" s="32">
        <v>44383</v>
      </c>
    </row>
    <row r="61" spans="2:12" x14ac:dyDescent="0.15">
      <c r="B61" s="4" t="s">
        <v>16</v>
      </c>
      <c r="C61" s="9">
        <v>1</v>
      </c>
      <c r="D61" s="10"/>
      <c r="E61" s="11"/>
      <c r="F61" s="5">
        <f t="shared" si="3"/>
        <v>1</v>
      </c>
      <c r="G61" s="9">
        <v>1</v>
      </c>
      <c r="H61" s="10"/>
      <c r="I61" s="11"/>
      <c r="J61" s="5">
        <f t="shared" si="4"/>
        <v>1</v>
      </c>
      <c r="K61" s="37">
        <v>44460</v>
      </c>
    </row>
    <row r="62" spans="2:12" x14ac:dyDescent="0.15">
      <c r="B62" s="4" t="s">
        <v>16</v>
      </c>
      <c r="C62" s="9">
        <v>2</v>
      </c>
      <c r="D62" s="10"/>
      <c r="E62" s="11"/>
      <c r="F62" s="5">
        <f t="shared" si="3"/>
        <v>2</v>
      </c>
      <c r="G62" s="9"/>
      <c r="H62" s="10"/>
      <c r="I62" s="11"/>
      <c r="J62" s="5">
        <f t="shared" si="4"/>
        <v>0</v>
      </c>
      <c r="K62" s="37">
        <v>44524</v>
      </c>
    </row>
    <row r="63" spans="2:12" x14ac:dyDescent="0.15">
      <c r="B63" s="4" t="s">
        <v>16</v>
      </c>
      <c r="C63" s="9"/>
      <c r="D63" s="10">
        <v>2</v>
      </c>
      <c r="E63" s="11"/>
      <c r="F63" s="5">
        <f t="shared" si="3"/>
        <v>2</v>
      </c>
      <c r="G63" s="9"/>
      <c r="H63" s="10">
        <v>2</v>
      </c>
      <c r="I63" s="11"/>
      <c r="J63" s="5">
        <f t="shared" si="4"/>
        <v>2</v>
      </c>
      <c r="K63" s="37">
        <v>44531</v>
      </c>
    </row>
    <row r="64" spans="2:12" x14ac:dyDescent="0.15">
      <c r="B64" s="4" t="s">
        <v>16</v>
      </c>
      <c r="C64" s="9">
        <v>1</v>
      </c>
      <c r="D64" s="10">
        <v>1</v>
      </c>
      <c r="E64" s="11"/>
      <c r="F64" s="8">
        <f t="shared" si="3"/>
        <v>2</v>
      </c>
      <c r="G64" s="9">
        <v>1</v>
      </c>
      <c r="H64" s="10">
        <v>1</v>
      </c>
      <c r="I64" s="11"/>
      <c r="J64" s="8">
        <f t="shared" si="4"/>
        <v>2</v>
      </c>
      <c r="K64" s="37">
        <v>44536</v>
      </c>
    </row>
    <row r="65" spans="2:11" x14ac:dyDescent="0.15">
      <c r="B65" s="4" t="s">
        <v>16</v>
      </c>
      <c r="C65" s="9">
        <v>2</v>
      </c>
      <c r="D65" s="10"/>
      <c r="E65" s="11"/>
      <c r="F65" s="8">
        <f t="shared" si="3"/>
        <v>2</v>
      </c>
      <c r="G65" s="9">
        <v>2</v>
      </c>
      <c r="H65" s="10"/>
      <c r="I65" s="11"/>
      <c r="J65" s="8">
        <f t="shared" si="4"/>
        <v>2</v>
      </c>
      <c r="K65" s="37">
        <v>44537</v>
      </c>
    </row>
    <row r="66" spans="2:11" x14ac:dyDescent="0.15">
      <c r="B66" s="12" t="s">
        <v>58</v>
      </c>
      <c r="C66" s="9"/>
      <c r="D66" s="10"/>
      <c r="E66" s="11">
        <v>1</v>
      </c>
      <c r="F66" s="8">
        <f t="shared" si="3"/>
        <v>1</v>
      </c>
      <c r="G66" s="9"/>
      <c r="H66" s="10"/>
      <c r="I66" s="11"/>
      <c r="J66" s="8">
        <f t="shared" si="4"/>
        <v>0</v>
      </c>
      <c r="K66" s="37">
        <v>44572</v>
      </c>
    </row>
    <row r="67" spans="2:11" x14ac:dyDescent="0.15">
      <c r="B67" s="4" t="s">
        <v>16</v>
      </c>
      <c r="C67" s="9"/>
      <c r="D67" s="10"/>
      <c r="E67" s="11">
        <v>2</v>
      </c>
      <c r="F67" s="8">
        <f t="shared" si="3"/>
        <v>2</v>
      </c>
      <c r="G67" s="9"/>
      <c r="H67" s="10"/>
      <c r="I67" s="11"/>
      <c r="J67" s="8">
        <f t="shared" si="4"/>
        <v>0</v>
      </c>
      <c r="K67" s="37">
        <v>44574</v>
      </c>
    </row>
    <row r="68" spans="2:11" x14ac:dyDescent="0.15">
      <c r="B68" s="4" t="s">
        <v>16</v>
      </c>
      <c r="C68" s="9">
        <v>1</v>
      </c>
      <c r="D68" s="10"/>
      <c r="E68" s="11"/>
      <c r="F68" s="8">
        <f t="shared" si="3"/>
        <v>1</v>
      </c>
      <c r="G68" s="9">
        <v>1</v>
      </c>
      <c r="H68" s="10"/>
      <c r="I68" s="11"/>
      <c r="J68" s="8">
        <f t="shared" si="4"/>
        <v>1</v>
      </c>
      <c r="K68" s="37">
        <v>44621</v>
      </c>
    </row>
    <row r="69" spans="2:11" x14ac:dyDescent="0.15">
      <c r="B69" s="4" t="s">
        <v>16</v>
      </c>
      <c r="C69" s="9"/>
      <c r="D69" s="10"/>
      <c r="E69" s="11"/>
      <c r="F69" s="8">
        <f t="shared" si="3"/>
        <v>0</v>
      </c>
      <c r="G69" s="9"/>
      <c r="H69" s="10">
        <v>2</v>
      </c>
      <c r="I69" s="11"/>
      <c r="J69" s="8">
        <f t="shared" si="4"/>
        <v>2</v>
      </c>
      <c r="K69" s="37">
        <v>44627</v>
      </c>
    </row>
    <row r="70" spans="2:11" x14ac:dyDescent="0.15">
      <c r="B70" s="4" t="s">
        <v>16</v>
      </c>
      <c r="C70" s="9">
        <v>2</v>
      </c>
      <c r="D70" s="10"/>
      <c r="E70" s="11"/>
      <c r="F70" s="8">
        <f t="shared" si="3"/>
        <v>2</v>
      </c>
      <c r="G70" s="9">
        <v>2</v>
      </c>
      <c r="H70" s="10"/>
      <c r="I70" s="11"/>
      <c r="J70" s="8">
        <f t="shared" si="4"/>
        <v>2</v>
      </c>
      <c r="K70" s="37">
        <v>44642</v>
      </c>
    </row>
    <row r="71" spans="2:11" x14ac:dyDescent="0.15">
      <c r="B71" s="4"/>
      <c r="C71" s="9"/>
      <c r="D71" s="10"/>
      <c r="E71" s="11"/>
      <c r="F71" s="8">
        <f t="shared" si="3"/>
        <v>0</v>
      </c>
      <c r="G71" s="9"/>
      <c r="H71" s="10"/>
      <c r="I71" s="11"/>
      <c r="J71" s="8">
        <f t="shared" si="4"/>
        <v>0</v>
      </c>
    </row>
    <row r="72" spans="2:11" x14ac:dyDescent="0.15">
      <c r="B72" s="4"/>
      <c r="C72" s="9"/>
      <c r="D72" s="10"/>
      <c r="E72" s="11"/>
      <c r="F72" s="8">
        <f t="shared" si="3"/>
        <v>0</v>
      </c>
      <c r="G72" s="9"/>
      <c r="H72" s="10"/>
      <c r="I72" s="11"/>
      <c r="J72" s="8">
        <f t="shared" si="4"/>
        <v>0</v>
      </c>
    </row>
    <row r="73" spans="2:11" x14ac:dyDescent="0.15">
      <c r="B73" s="4"/>
      <c r="C73" s="9"/>
      <c r="D73" s="10"/>
      <c r="E73" s="11"/>
      <c r="F73" s="8">
        <f t="shared" si="3"/>
        <v>0</v>
      </c>
      <c r="G73" s="9"/>
      <c r="H73" s="10"/>
      <c r="I73" s="11"/>
      <c r="J73" s="8">
        <f t="shared" si="4"/>
        <v>0</v>
      </c>
    </row>
    <row r="74" spans="2:11" x14ac:dyDescent="0.15">
      <c r="B74" s="4"/>
      <c r="C74" s="9"/>
      <c r="D74" s="10"/>
      <c r="E74" s="11"/>
      <c r="F74" s="8">
        <f t="shared" si="3"/>
        <v>0</v>
      </c>
      <c r="G74" s="9"/>
      <c r="H74" s="10"/>
      <c r="I74" s="11"/>
      <c r="J74" s="8">
        <f t="shared" si="4"/>
        <v>0</v>
      </c>
    </row>
    <row r="75" spans="2:11" x14ac:dyDescent="0.15">
      <c r="B75" s="4"/>
      <c r="C75" s="9"/>
      <c r="D75" s="10"/>
      <c r="E75" s="11"/>
      <c r="F75" s="8">
        <f t="shared" si="3"/>
        <v>0</v>
      </c>
      <c r="G75" s="9"/>
      <c r="H75" s="10"/>
      <c r="I75" s="11"/>
      <c r="J75" s="8">
        <f t="shared" si="4"/>
        <v>0</v>
      </c>
    </row>
    <row r="76" spans="2:11" x14ac:dyDescent="0.15">
      <c r="B76" s="4"/>
      <c r="C76" s="9"/>
      <c r="D76" s="10"/>
      <c r="E76" s="11"/>
      <c r="F76" s="8">
        <f t="shared" si="3"/>
        <v>0</v>
      </c>
      <c r="G76" s="9"/>
      <c r="H76" s="10"/>
      <c r="I76" s="11"/>
      <c r="J76" s="8">
        <f t="shared" si="4"/>
        <v>0</v>
      </c>
    </row>
    <row r="77" spans="2:11" x14ac:dyDescent="0.15">
      <c r="B77" s="4"/>
      <c r="C77" s="9"/>
      <c r="D77" s="10"/>
      <c r="E77" s="11"/>
      <c r="F77" s="8">
        <f t="shared" si="3"/>
        <v>0</v>
      </c>
      <c r="G77" s="9"/>
      <c r="H77" s="10"/>
      <c r="I77" s="11"/>
      <c r="J77" s="8">
        <f t="shared" si="4"/>
        <v>0</v>
      </c>
    </row>
    <row r="78" spans="2:11" x14ac:dyDescent="0.15">
      <c r="B78" s="4"/>
      <c r="C78" s="9"/>
      <c r="D78" s="10"/>
      <c r="E78" s="11"/>
      <c r="F78" s="8">
        <f t="shared" si="3"/>
        <v>0</v>
      </c>
      <c r="G78" s="9"/>
      <c r="H78" s="10"/>
      <c r="I78" s="11"/>
      <c r="J78" s="8">
        <f t="shared" si="4"/>
        <v>0</v>
      </c>
    </row>
    <row r="79" spans="2:11" x14ac:dyDescent="0.15">
      <c r="B79" s="4"/>
      <c r="C79" s="9"/>
      <c r="D79" s="10"/>
      <c r="E79" s="11"/>
      <c r="F79" s="8">
        <f t="shared" si="3"/>
        <v>0</v>
      </c>
      <c r="G79" s="9"/>
      <c r="H79" s="10"/>
      <c r="I79" s="11"/>
      <c r="J79" s="8">
        <f t="shared" si="4"/>
        <v>0</v>
      </c>
    </row>
    <row r="80" spans="2:11" x14ac:dyDescent="0.15">
      <c r="B80" s="4"/>
      <c r="C80" s="9"/>
      <c r="D80" s="10"/>
      <c r="E80" s="11"/>
      <c r="F80" s="8">
        <f t="shared" si="3"/>
        <v>0</v>
      </c>
      <c r="G80" s="9"/>
      <c r="H80" s="10"/>
      <c r="I80" s="11"/>
      <c r="J80" s="8">
        <f t="shared" si="4"/>
        <v>0</v>
      </c>
    </row>
    <row r="81" spans="2:11" x14ac:dyDescent="0.15">
      <c r="B81" s="4"/>
      <c r="C81" s="9"/>
      <c r="D81" s="10"/>
      <c r="E81" s="11"/>
      <c r="F81" s="8">
        <f t="shared" si="3"/>
        <v>0</v>
      </c>
      <c r="G81" s="9"/>
      <c r="H81" s="10"/>
      <c r="I81" s="11"/>
      <c r="J81" s="8">
        <f t="shared" si="4"/>
        <v>0</v>
      </c>
    </row>
    <row r="82" spans="2:11" ht="14.25" thickBot="1" x14ac:dyDescent="0.2">
      <c r="B82" s="4"/>
      <c r="C82" s="9"/>
      <c r="D82" s="10"/>
      <c r="E82" s="11"/>
      <c r="F82" s="8">
        <f t="shared" si="3"/>
        <v>0</v>
      </c>
      <c r="G82" s="9"/>
      <c r="H82" s="10"/>
      <c r="I82" s="11"/>
      <c r="J82" s="8">
        <f t="shared" si="4"/>
        <v>0</v>
      </c>
    </row>
    <row r="83" spans="2:11" ht="14.25" thickBot="1" x14ac:dyDescent="0.2">
      <c r="B83" s="3" t="s">
        <v>5</v>
      </c>
      <c r="C83" s="15">
        <f>SUM(C59:C82)</f>
        <v>10</v>
      </c>
      <c r="D83" s="15">
        <f>SUM(D59:D82)</f>
        <v>5</v>
      </c>
      <c r="E83" s="15">
        <f>SUM(E59:E82)</f>
        <v>3</v>
      </c>
      <c r="F83" s="16">
        <f t="shared" si="3"/>
        <v>18</v>
      </c>
      <c r="G83" s="15">
        <f>SUM(G59:G82)</f>
        <v>8</v>
      </c>
      <c r="H83" s="15">
        <f>SUM(H59:H82)</f>
        <v>5</v>
      </c>
      <c r="I83" s="15">
        <f>SUM(I59:I82)</f>
        <v>0</v>
      </c>
      <c r="J83" s="16">
        <f t="shared" si="4"/>
        <v>13</v>
      </c>
    </row>
    <row r="84" spans="2:11" ht="14.25" thickBot="1" x14ac:dyDescent="0.2">
      <c r="B84" s="25" t="s">
        <v>6</v>
      </c>
      <c r="C84" s="26">
        <f t="shared" ref="C84:J84" si="5">C58-C83</f>
        <v>0</v>
      </c>
      <c r="D84" s="26">
        <f t="shared" si="5"/>
        <v>3</v>
      </c>
      <c r="E84" s="26">
        <f t="shared" si="5"/>
        <v>2</v>
      </c>
      <c r="F84" s="26">
        <f t="shared" si="5"/>
        <v>5</v>
      </c>
      <c r="G84" s="26">
        <f t="shared" si="5"/>
        <v>0</v>
      </c>
      <c r="H84" s="26">
        <f t="shared" si="5"/>
        <v>1</v>
      </c>
      <c r="I84" s="26">
        <f t="shared" si="5"/>
        <v>2</v>
      </c>
      <c r="J84" s="24">
        <f t="shared" si="5"/>
        <v>3</v>
      </c>
    </row>
    <row r="87" spans="2:11" ht="19.5" thickBot="1" x14ac:dyDescent="0.25">
      <c r="B87" s="66" t="s">
        <v>40</v>
      </c>
      <c r="C87" s="1"/>
      <c r="D87" s="1"/>
      <c r="E87" s="1" t="s">
        <v>42</v>
      </c>
      <c r="F87" s="1"/>
      <c r="G87" s="67"/>
      <c r="H87" s="67"/>
      <c r="I87" s="67"/>
      <c r="J87" s="67"/>
    </row>
    <row r="88" spans="2:11" ht="14.25" thickBot="1" x14ac:dyDescent="0.2">
      <c r="B88" s="2" t="s">
        <v>0</v>
      </c>
      <c r="C88" s="206" t="s">
        <v>41</v>
      </c>
      <c r="D88" s="206"/>
      <c r="E88" s="206"/>
      <c r="F88" s="207"/>
      <c r="G88" s="206" t="s">
        <v>34</v>
      </c>
      <c r="H88" s="206"/>
      <c r="I88" s="206"/>
      <c r="J88" s="207"/>
    </row>
    <row r="89" spans="2:11" ht="14.25" thickBot="1" x14ac:dyDescent="0.2">
      <c r="B89" s="2" t="s">
        <v>1</v>
      </c>
      <c r="C89" s="3" t="s">
        <v>25</v>
      </c>
      <c r="D89" s="2" t="s">
        <v>26</v>
      </c>
      <c r="E89" s="19" t="s">
        <v>27</v>
      </c>
      <c r="F89" s="2" t="s">
        <v>2</v>
      </c>
      <c r="G89" s="3" t="s">
        <v>25</v>
      </c>
      <c r="H89" s="2" t="s">
        <v>26</v>
      </c>
      <c r="I89" s="19" t="s">
        <v>27</v>
      </c>
      <c r="J89" s="2" t="s">
        <v>2</v>
      </c>
    </row>
    <row r="90" spans="2:11" x14ac:dyDescent="0.15">
      <c r="B90" s="27" t="s">
        <v>28</v>
      </c>
      <c r="C90" s="72">
        <f>C84</f>
        <v>0</v>
      </c>
      <c r="D90" s="73">
        <f>D84</f>
        <v>3</v>
      </c>
      <c r="E90" s="74">
        <f>E84</f>
        <v>2</v>
      </c>
      <c r="F90" s="18">
        <f>SUM(C90:E90)</f>
        <v>5</v>
      </c>
      <c r="G90" s="72">
        <f>G84</f>
        <v>0</v>
      </c>
      <c r="H90" s="73">
        <f>H84</f>
        <v>1</v>
      </c>
      <c r="I90" s="74">
        <f>I84</f>
        <v>2</v>
      </c>
      <c r="J90" s="18">
        <f>SUM(G90:I90)</f>
        <v>3</v>
      </c>
    </row>
    <row r="91" spans="2:11" x14ac:dyDescent="0.15">
      <c r="B91" s="6" t="s">
        <v>3</v>
      </c>
      <c r="C91" s="17"/>
      <c r="D91" s="12"/>
      <c r="E91" s="17"/>
      <c r="F91" s="5">
        <f t="shared" ref="F91:F126" si="6">SUM(C91:E91)</f>
        <v>0</v>
      </c>
      <c r="G91" s="17"/>
      <c r="H91" s="12">
        <v>2</v>
      </c>
      <c r="I91" s="17"/>
      <c r="J91" s="5">
        <f t="shared" ref="J91:J126" si="7">SUM(G91:I91)</f>
        <v>2</v>
      </c>
      <c r="K91" s="32">
        <v>44630</v>
      </c>
    </row>
    <row r="92" spans="2:11" x14ac:dyDescent="0.15">
      <c r="B92" s="6" t="s">
        <v>3</v>
      </c>
      <c r="C92" s="17">
        <v>3</v>
      </c>
      <c r="D92" s="12"/>
      <c r="E92" s="17"/>
      <c r="F92" s="5">
        <f t="shared" si="6"/>
        <v>3</v>
      </c>
      <c r="G92" s="17">
        <v>3</v>
      </c>
      <c r="H92" s="12"/>
      <c r="I92" s="17"/>
      <c r="J92" s="5">
        <f t="shared" si="7"/>
        <v>3</v>
      </c>
      <c r="K92" s="32">
        <v>44643</v>
      </c>
    </row>
    <row r="93" spans="2:11" x14ac:dyDescent="0.15">
      <c r="B93" s="6" t="s">
        <v>3</v>
      </c>
      <c r="C93" s="17">
        <v>2</v>
      </c>
      <c r="D93" s="12">
        <v>1</v>
      </c>
      <c r="E93" s="17"/>
      <c r="F93" s="5">
        <f t="shared" si="6"/>
        <v>3</v>
      </c>
      <c r="G93" s="17"/>
      <c r="H93" s="12">
        <v>1</v>
      </c>
      <c r="I93" s="17"/>
      <c r="J93" s="5">
        <f t="shared" si="7"/>
        <v>1</v>
      </c>
      <c r="K93" s="32">
        <v>44713</v>
      </c>
    </row>
    <row r="94" spans="2:11" x14ac:dyDescent="0.15">
      <c r="B94" s="27" t="s">
        <v>68</v>
      </c>
      <c r="C94" s="115">
        <v>0</v>
      </c>
      <c r="D94" s="27">
        <v>0</v>
      </c>
      <c r="E94" s="115">
        <v>0</v>
      </c>
      <c r="F94" s="116">
        <f t="shared" si="6"/>
        <v>0</v>
      </c>
      <c r="G94" s="115">
        <v>0</v>
      </c>
      <c r="H94" s="27">
        <v>0</v>
      </c>
      <c r="I94" s="115">
        <v>0</v>
      </c>
      <c r="J94" s="116">
        <f t="shared" si="7"/>
        <v>0</v>
      </c>
      <c r="K94" s="117">
        <v>44796</v>
      </c>
    </row>
    <row r="95" spans="2:11" x14ac:dyDescent="0.15">
      <c r="B95" s="6" t="s">
        <v>3</v>
      </c>
      <c r="C95" s="17"/>
      <c r="D95" s="12"/>
      <c r="E95" s="17">
        <v>4</v>
      </c>
      <c r="F95" s="5">
        <f t="shared" si="6"/>
        <v>4</v>
      </c>
      <c r="G95" s="17"/>
      <c r="H95" s="12"/>
      <c r="I95" s="17">
        <v>4</v>
      </c>
      <c r="J95" s="5">
        <f t="shared" si="7"/>
        <v>4</v>
      </c>
      <c r="K95" s="32">
        <v>44811</v>
      </c>
    </row>
    <row r="96" spans="2:11" x14ac:dyDescent="0.15">
      <c r="B96" s="6" t="s">
        <v>3</v>
      </c>
      <c r="C96" s="17">
        <v>2</v>
      </c>
      <c r="D96" s="12"/>
      <c r="E96" s="17"/>
      <c r="F96" s="5">
        <f t="shared" si="6"/>
        <v>2</v>
      </c>
      <c r="G96" s="17">
        <v>2</v>
      </c>
      <c r="H96" s="12"/>
      <c r="I96" s="17"/>
      <c r="J96" s="5">
        <f t="shared" si="7"/>
        <v>2</v>
      </c>
      <c r="K96" s="32">
        <v>44818</v>
      </c>
    </row>
    <row r="97" spans="2:11" x14ac:dyDescent="0.15">
      <c r="B97" s="6" t="s">
        <v>3</v>
      </c>
      <c r="C97" s="70"/>
      <c r="D97" s="69"/>
      <c r="E97" s="70"/>
      <c r="F97" s="5">
        <f t="shared" si="6"/>
        <v>0</v>
      </c>
      <c r="G97" s="70"/>
      <c r="H97" s="69"/>
      <c r="I97" s="70">
        <v>2</v>
      </c>
      <c r="J97" s="5">
        <f t="shared" si="7"/>
        <v>2</v>
      </c>
      <c r="K97" s="32">
        <v>44870</v>
      </c>
    </row>
    <row r="98" spans="2:11" x14ac:dyDescent="0.15">
      <c r="B98" s="6" t="s">
        <v>3</v>
      </c>
      <c r="C98" s="11">
        <v>2</v>
      </c>
      <c r="D98" s="10"/>
      <c r="E98" s="11"/>
      <c r="F98" s="5">
        <f t="shared" si="6"/>
        <v>2</v>
      </c>
      <c r="G98" s="11">
        <v>2</v>
      </c>
      <c r="H98" s="10"/>
      <c r="I98" s="11"/>
      <c r="J98" s="5">
        <f t="shared" si="7"/>
        <v>2</v>
      </c>
      <c r="K98" s="32">
        <v>44881</v>
      </c>
    </row>
    <row r="99" spans="2:11" x14ac:dyDescent="0.15">
      <c r="B99" s="6" t="s">
        <v>3</v>
      </c>
      <c r="C99" s="10" t="s">
        <v>72</v>
      </c>
      <c r="D99" s="10" t="s">
        <v>76</v>
      </c>
      <c r="E99" s="11"/>
      <c r="F99" s="5">
        <f t="shared" si="6"/>
        <v>0</v>
      </c>
      <c r="G99" s="11"/>
      <c r="H99" s="10">
        <v>1</v>
      </c>
      <c r="I99" s="11"/>
      <c r="J99" s="5">
        <f t="shared" si="7"/>
        <v>1</v>
      </c>
      <c r="K99" s="32">
        <v>44944</v>
      </c>
    </row>
    <row r="100" spans="2:11" ht="14.25" thickBot="1" x14ac:dyDescent="0.2">
      <c r="B100" s="7" t="s">
        <v>3</v>
      </c>
      <c r="C100" s="14">
        <v>2</v>
      </c>
      <c r="D100" s="135"/>
      <c r="E100" s="14"/>
      <c r="F100" s="20">
        <f t="shared" si="6"/>
        <v>2</v>
      </c>
      <c r="G100" s="14"/>
      <c r="H100" s="13"/>
      <c r="I100" s="14"/>
      <c r="J100" s="20">
        <f t="shared" si="7"/>
        <v>0</v>
      </c>
      <c r="K100" s="32">
        <v>44995</v>
      </c>
    </row>
    <row r="101" spans="2:11" ht="14.25" thickBot="1" x14ac:dyDescent="0.2">
      <c r="B101" s="21" t="s">
        <v>4</v>
      </c>
      <c r="C101" s="22">
        <f>SUM(C90:C100)</f>
        <v>11</v>
      </c>
      <c r="D101" s="22">
        <f>SUM(D90:D100)</f>
        <v>4</v>
      </c>
      <c r="E101" s="23">
        <f>SUM(E90:E100)</f>
        <v>6</v>
      </c>
      <c r="F101" s="24">
        <f t="shared" si="6"/>
        <v>21</v>
      </c>
      <c r="G101" s="22">
        <f>SUM(G90:G100)</f>
        <v>7</v>
      </c>
      <c r="H101" s="22">
        <f>SUM(H90:H100)</f>
        <v>5</v>
      </c>
      <c r="I101" s="23">
        <f>SUM(I90:I100)</f>
        <v>8</v>
      </c>
      <c r="J101" s="24">
        <f t="shared" si="7"/>
        <v>20</v>
      </c>
    </row>
    <row r="102" spans="2:11" x14ac:dyDescent="0.15">
      <c r="B102" s="4" t="s">
        <v>16</v>
      </c>
      <c r="C102" s="9"/>
      <c r="D102" s="10">
        <v>1</v>
      </c>
      <c r="E102" s="11"/>
      <c r="F102" s="5">
        <f t="shared" si="6"/>
        <v>1</v>
      </c>
      <c r="G102" s="9"/>
      <c r="H102" s="10">
        <v>1</v>
      </c>
      <c r="I102" s="11"/>
      <c r="J102" s="5">
        <f t="shared" si="7"/>
        <v>1</v>
      </c>
      <c r="K102" s="37">
        <v>44648</v>
      </c>
    </row>
    <row r="103" spans="2:11" x14ac:dyDescent="0.15">
      <c r="B103" s="4" t="s">
        <v>16</v>
      </c>
      <c r="C103" s="9">
        <v>1</v>
      </c>
      <c r="D103" s="10"/>
      <c r="E103" s="11"/>
      <c r="F103" s="5">
        <f t="shared" si="6"/>
        <v>1</v>
      </c>
      <c r="G103" s="9">
        <v>1</v>
      </c>
      <c r="H103" s="10"/>
      <c r="I103" s="11"/>
      <c r="J103" s="5">
        <f t="shared" si="7"/>
        <v>1</v>
      </c>
      <c r="K103" s="37">
        <v>44665</v>
      </c>
    </row>
    <row r="104" spans="2:11" x14ac:dyDescent="0.15">
      <c r="B104" s="4" t="s">
        <v>16</v>
      </c>
      <c r="C104" s="9"/>
      <c r="D104" s="10">
        <v>1</v>
      </c>
      <c r="E104" s="11"/>
      <c r="F104" s="5">
        <f t="shared" si="6"/>
        <v>1</v>
      </c>
      <c r="G104" s="9"/>
      <c r="H104" s="10">
        <v>1</v>
      </c>
      <c r="I104" s="11"/>
      <c r="J104" s="5">
        <f t="shared" si="7"/>
        <v>1</v>
      </c>
      <c r="K104" s="37">
        <v>44698</v>
      </c>
    </row>
    <row r="105" spans="2:11" x14ac:dyDescent="0.15">
      <c r="B105" s="4" t="s">
        <v>16</v>
      </c>
      <c r="C105" s="9">
        <v>2</v>
      </c>
      <c r="D105" s="10"/>
      <c r="E105" s="11"/>
      <c r="F105" s="5">
        <f t="shared" si="6"/>
        <v>2</v>
      </c>
      <c r="G105" s="9"/>
      <c r="H105" s="10"/>
      <c r="I105" s="11"/>
      <c r="J105" s="5">
        <f t="shared" si="7"/>
        <v>0</v>
      </c>
      <c r="K105" s="37">
        <v>44711</v>
      </c>
    </row>
    <row r="106" spans="2:11" x14ac:dyDescent="0.15">
      <c r="B106" s="4" t="s">
        <v>16</v>
      </c>
      <c r="C106" s="9"/>
      <c r="D106" s="10"/>
      <c r="E106" s="11">
        <v>1</v>
      </c>
      <c r="F106" s="5">
        <f t="shared" si="6"/>
        <v>1</v>
      </c>
      <c r="G106" s="9"/>
      <c r="H106" s="10"/>
      <c r="I106" s="11">
        <v>1</v>
      </c>
      <c r="J106" s="5">
        <f t="shared" si="7"/>
        <v>1</v>
      </c>
      <c r="K106" s="37">
        <v>44762</v>
      </c>
    </row>
    <row r="107" spans="2:11" x14ac:dyDescent="0.15">
      <c r="B107" s="4" t="s">
        <v>16</v>
      </c>
      <c r="C107" s="9"/>
      <c r="D107" s="10"/>
      <c r="E107" s="11">
        <v>2</v>
      </c>
      <c r="F107" s="8">
        <f t="shared" si="6"/>
        <v>2</v>
      </c>
      <c r="G107" s="9"/>
      <c r="H107" s="10"/>
      <c r="I107" s="11">
        <v>2</v>
      </c>
      <c r="J107" s="8">
        <f t="shared" si="7"/>
        <v>2</v>
      </c>
      <c r="K107" s="37">
        <v>44811</v>
      </c>
    </row>
    <row r="108" spans="2:11" x14ac:dyDescent="0.15">
      <c r="B108" s="4" t="s">
        <v>16</v>
      </c>
      <c r="C108" s="9">
        <v>1</v>
      </c>
      <c r="D108" s="10"/>
      <c r="E108" s="11">
        <v>1</v>
      </c>
      <c r="F108" s="8">
        <f t="shared" si="6"/>
        <v>2</v>
      </c>
      <c r="G108" s="9">
        <v>1</v>
      </c>
      <c r="H108" s="10"/>
      <c r="I108" s="11">
        <v>1</v>
      </c>
      <c r="J108" s="8">
        <f t="shared" si="7"/>
        <v>2</v>
      </c>
      <c r="K108" s="37">
        <v>44816</v>
      </c>
    </row>
    <row r="109" spans="2:11" x14ac:dyDescent="0.15">
      <c r="B109" s="4" t="s">
        <v>16</v>
      </c>
      <c r="C109" s="9"/>
      <c r="D109" s="10"/>
      <c r="E109" s="11"/>
      <c r="F109" s="8">
        <f t="shared" si="6"/>
        <v>0</v>
      </c>
      <c r="G109" s="9"/>
      <c r="H109" s="10"/>
      <c r="I109" s="11">
        <v>2</v>
      </c>
      <c r="J109" s="8">
        <f t="shared" si="7"/>
        <v>2</v>
      </c>
      <c r="K109" s="37">
        <v>44837</v>
      </c>
    </row>
    <row r="110" spans="2:11" x14ac:dyDescent="0.15">
      <c r="B110" s="4" t="s">
        <v>16</v>
      </c>
      <c r="C110" s="9">
        <v>2</v>
      </c>
      <c r="D110" s="10"/>
      <c r="E110" s="11"/>
      <c r="F110" s="8">
        <f t="shared" si="6"/>
        <v>2</v>
      </c>
      <c r="G110" s="9">
        <v>2</v>
      </c>
      <c r="H110" s="10"/>
      <c r="I110" s="11"/>
      <c r="J110" s="8">
        <f t="shared" si="7"/>
        <v>2</v>
      </c>
      <c r="K110" s="37">
        <v>44838</v>
      </c>
    </row>
    <row r="111" spans="2:11" x14ac:dyDescent="0.15">
      <c r="B111" s="4" t="s">
        <v>16</v>
      </c>
      <c r="C111" s="9">
        <v>2</v>
      </c>
      <c r="D111" s="10"/>
      <c r="E111" s="11"/>
      <c r="F111" s="8">
        <f t="shared" si="6"/>
        <v>2</v>
      </c>
      <c r="G111" s="9"/>
      <c r="H111" s="10"/>
      <c r="I111" s="11"/>
      <c r="J111" s="8">
        <f t="shared" si="7"/>
        <v>0</v>
      </c>
      <c r="K111" s="37">
        <v>44910</v>
      </c>
    </row>
    <row r="112" spans="2:11" x14ac:dyDescent="0.15">
      <c r="B112" s="4" t="s">
        <v>16</v>
      </c>
      <c r="C112" s="9"/>
      <c r="D112" s="10">
        <v>1</v>
      </c>
      <c r="E112" s="11"/>
      <c r="F112" s="8">
        <f t="shared" si="6"/>
        <v>1</v>
      </c>
      <c r="G112" s="9"/>
      <c r="H112" s="10">
        <v>1</v>
      </c>
      <c r="I112" s="11"/>
      <c r="J112" s="8">
        <f t="shared" si="7"/>
        <v>1</v>
      </c>
      <c r="K112" s="37">
        <v>44931</v>
      </c>
    </row>
    <row r="113" spans="2:11" x14ac:dyDescent="0.15">
      <c r="B113" s="4" t="s">
        <v>16</v>
      </c>
      <c r="C113" s="9"/>
      <c r="D113" s="10">
        <v>1</v>
      </c>
      <c r="E113" s="11"/>
      <c r="F113" s="8">
        <f t="shared" si="6"/>
        <v>1</v>
      </c>
      <c r="G113" s="9"/>
      <c r="H113" s="10">
        <v>1</v>
      </c>
      <c r="I113" s="11"/>
      <c r="J113" s="8">
        <f t="shared" si="7"/>
        <v>1</v>
      </c>
      <c r="K113" s="37">
        <v>45016</v>
      </c>
    </row>
    <row r="114" spans="2:11" x14ac:dyDescent="0.15">
      <c r="B114" s="4" t="s">
        <v>77</v>
      </c>
      <c r="C114" s="9"/>
      <c r="D114" s="137" t="s">
        <v>78</v>
      </c>
      <c r="E114" s="11"/>
      <c r="F114" s="8">
        <f t="shared" si="6"/>
        <v>0</v>
      </c>
      <c r="G114" s="9"/>
      <c r="H114" s="10">
        <v>-1</v>
      </c>
      <c r="I114" s="11"/>
      <c r="J114" s="8">
        <f t="shared" si="7"/>
        <v>-1</v>
      </c>
      <c r="K114" s="32">
        <v>45027</v>
      </c>
    </row>
    <row r="115" spans="2:11" x14ac:dyDescent="0.15">
      <c r="B115" s="4" t="s">
        <v>49</v>
      </c>
      <c r="C115" s="9"/>
      <c r="D115" s="10">
        <v>-2</v>
      </c>
      <c r="E115" s="11"/>
      <c r="F115" s="8">
        <f t="shared" si="6"/>
        <v>-2</v>
      </c>
      <c r="G115" s="9"/>
      <c r="H115" s="10"/>
      <c r="I115" s="11"/>
      <c r="J115" s="8">
        <f t="shared" si="7"/>
        <v>0</v>
      </c>
      <c r="K115" s="32">
        <v>45054</v>
      </c>
    </row>
    <row r="116" spans="2:11" x14ac:dyDescent="0.15">
      <c r="B116" s="4" t="s">
        <v>16</v>
      </c>
      <c r="C116" s="9">
        <v>1</v>
      </c>
      <c r="D116" s="10"/>
      <c r="E116" s="11"/>
      <c r="F116" s="8">
        <f t="shared" si="6"/>
        <v>1</v>
      </c>
      <c r="G116" s="9">
        <v>1</v>
      </c>
      <c r="H116" s="10"/>
      <c r="I116" s="11"/>
      <c r="J116" s="8">
        <f t="shared" si="7"/>
        <v>1</v>
      </c>
      <c r="K116" s="37">
        <v>45083</v>
      </c>
    </row>
    <row r="117" spans="2:11" x14ac:dyDescent="0.15">
      <c r="B117" s="4" t="s">
        <v>81</v>
      </c>
      <c r="C117" s="9">
        <v>1</v>
      </c>
      <c r="D117" s="10"/>
      <c r="E117" s="11"/>
      <c r="F117" s="8">
        <f t="shared" si="6"/>
        <v>1</v>
      </c>
      <c r="G117" s="9">
        <v>1</v>
      </c>
      <c r="H117" s="10"/>
      <c r="I117" s="11"/>
      <c r="J117" s="8">
        <f t="shared" si="7"/>
        <v>1</v>
      </c>
      <c r="K117" s="37">
        <v>45142</v>
      </c>
    </row>
    <row r="118" spans="2:11" x14ac:dyDescent="0.15">
      <c r="B118" s="4"/>
      <c r="C118" s="9"/>
      <c r="D118" s="10"/>
      <c r="E118" s="11"/>
      <c r="F118" s="8">
        <f t="shared" si="6"/>
        <v>0</v>
      </c>
      <c r="G118" s="9"/>
      <c r="H118" s="10"/>
      <c r="I118" s="11"/>
      <c r="J118" s="8">
        <f t="shared" si="7"/>
        <v>0</v>
      </c>
    </row>
    <row r="119" spans="2:11" x14ac:dyDescent="0.15">
      <c r="B119" s="4"/>
      <c r="C119" s="9"/>
      <c r="D119" s="10"/>
      <c r="E119" s="11"/>
      <c r="F119" s="8">
        <f t="shared" si="6"/>
        <v>0</v>
      </c>
      <c r="G119" s="9"/>
      <c r="H119" s="10"/>
      <c r="I119" s="11"/>
      <c r="J119" s="8">
        <f t="shared" si="7"/>
        <v>0</v>
      </c>
    </row>
    <row r="120" spans="2:11" x14ac:dyDescent="0.15">
      <c r="B120" s="4"/>
      <c r="C120" s="9"/>
      <c r="D120" s="10"/>
      <c r="E120" s="11"/>
      <c r="F120" s="8">
        <f t="shared" si="6"/>
        <v>0</v>
      </c>
      <c r="G120" s="9"/>
      <c r="H120" s="10"/>
      <c r="I120" s="11"/>
      <c r="J120" s="8">
        <f t="shared" si="7"/>
        <v>0</v>
      </c>
    </row>
    <row r="121" spans="2:11" x14ac:dyDescent="0.15">
      <c r="B121" s="4"/>
      <c r="C121" s="9"/>
      <c r="D121" s="10"/>
      <c r="E121" s="11"/>
      <c r="F121" s="8">
        <f t="shared" si="6"/>
        <v>0</v>
      </c>
      <c r="G121" s="9"/>
      <c r="H121" s="10"/>
      <c r="I121" s="11"/>
      <c r="J121" s="8">
        <f t="shared" si="7"/>
        <v>0</v>
      </c>
    </row>
    <row r="122" spans="2:11" x14ac:dyDescent="0.15">
      <c r="B122" s="4"/>
      <c r="C122" s="9"/>
      <c r="D122" s="10"/>
      <c r="E122" s="11"/>
      <c r="F122" s="8">
        <f t="shared" si="6"/>
        <v>0</v>
      </c>
      <c r="G122" s="9"/>
      <c r="H122" s="10"/>
      <c r="I122" s="11"/>
      <c r="J122" s="8">
        <f t="shared" si="7"/>
        <v>0</v>
      </c>
    </row>
    <row r="123" spans="2:11" x14ac:dyDescent="0.15">
      <c r="B123" s="4"/>
      <c r="C123" s="9"/>
      <c r="D123" s="10"/>
      <c r="E123" s="11"/>
      <c r="F123" s="8">
        <f t="shared" si="6"/>
        <v>0</v>
      </c>
      <c r="G123" s="9"/>
      <c r="H123" s="10"/>
      <c r="I123" s="11"/>
      <c r="J123" s="8">
        <f t="shared" si="7"/>
        <v>0</v>
      </c>
    </row>
    <row r="124" spans="2:11" x14ac:dyDescent="0.15">
      <c r="B124" s="4"/>
      <c r="C124" s="9"/>
      <c r="D124" s="10"/>
      <c r="E124" s="11"/>
      <c r="F124" s="8">
        <f t="shared" si="6"/>
        <v>0</v>
      </c>
      <c r="G124" s="9"/>
      <c r="H124" s="10"/>
      <c r="I124" s="11"/>
      <c r="J124" s="8">
        <f t="shared" si="7"/>
        <v>0</v>
      </c>
    </row>
    <row r="125" spans="2:11" ht="14.25" thickBot="1" x14ac:dyDescent="0.2">
      <c r="B125" s="4"/>
      <c r="C125" s="9"/>
      <c r="D125" s="10"/>
      <c r="E125" s="11"/>
      <c r="F125" s="8">
        <f t="shared" si="6"/>
        <v>0</v>
      </c>
      <c r="G125" s="9"/>
      <c r="H125" s="10"/>
      <c r="I125" s="11"/>
      <c r="J125" s="8">
        <f t="shared" si="7"/>
        <v>0</v>
      </c>
    </row>
    <row r="126" spans="2:11" ht="14.25" thickBot="1" x14ac:dyDescent="0.2">
      <c r="B126" s="3" t="s">
        <v>5</v>
      </c>
      <c r="C126" s="15">
        <f>SUM(C102:C125)</f>
        <v>10</v>
      </c>
      <c r="D126" s="15">
        <f>SUM(D102:D125)</f>
        <v>2</v>
      </c>
      <c r="E126" s="15">
        <f>SUM(E102:E125)</f>
        <v>4</v>
      </c>
      <c r="F126" s="16">
        <f t="shared" si="6"/>
        <v>16</v>
      </c>
      <c r="G126" s="15">
        <f>SUM(G102:G125)</f>
        <v>6</v>
      </c>
      <c r="H126" s="15">
        <f>SUM(H102:H125)</f>
        <v>3</v>
      </c>
      <c r="I126" s="15">
        <f>SUM(I102:I125)</f>
        <v>6</v>
      </c>
      <c r="J126" s="16">
        <f t="shared" si="7"/>
        <v>15</v>
      </c>
    </row>
    <row r="127" spans="2:11" ht="14.25" thickBot="1" x14ac:dyDescent="0.2">
      <c r="B127" s="25" t="s">
        <v>6</v>
      </c>
      <c r="C127" s="26">
        <f t="shared" ref="C127:J127" si="8">C101-C126</f>
        <v>1</v>
      </c>
      <c r="D127" s="26">
        <f t="shared" si="8"/>
        <v>2</v>
      </c>
      <c r="E127" s="26">
        <f t="shared" si="8"/>
        <v>2</v>
      </c>
      <c r="F127" s="26">
        <f t="shared" si="8"/>
        <v>5</v>
      </c>
      <c r="G127" s="26">
        <f t="shared" si="8"/>
        <v>1</v>
      </c>
      <c r="H127" s="26">
        <f t="shared" si="8"/>
        <v>2</v>
      </c>
      <c r="I127" s="26">
        <f t="shared" si="8"/>
        <v>2</v>
      </c>
      <c r="J127" s="24">
        <f t="shared" si="8"/>
        <v>5</v>
      </c>
    </row>
    <row r="130" spans="2:12" ht="19.5" thickBot="1" x14ac:dyDescent="0.25">
      <c r="B130" s="66" t="s">
        <v>40</v>
      </c>
      <c r="C130" s="1"/>
      <c r="D130" s="1"/>
      <c r="E130" s="1" t="s">
        <v>42</v>
      </c>
      <c r="F130" s="1"/>
      <c r="G130" s="67"/>
      <c r="H130" s="67"/>
      <c r="I130" s="67"/>
      <c r="J130" s="67"/>
    </row>
    <row r="131" spans="2:12" ht="14.25" thickBot="1" x14ac:dyDescent="0.2">
      <c r="B131" s="2" t="s">
        <v>0</v>
      </c>
      <c r="C131" s="206" t="s">
        <v>41</v>
      </c>
      <c r="D131" s="206"/>
      <c r="E131" s="206"/>
      <c r="F131" s="207"/>
      <c r="G131" s="206" t="s">
        <v>34</v>
      </c>
      <c r="H131" s="206"/>
      <c r="I131" s="206"/>
      <c r="J131" s="207"/>
    </row>
    <row r="132" spans="2:12" ht="14.25" thickBot="1" x14ac:dyDescent="0.2">
      <c r="B132" s="2" t="s">
        <v>1</v>
      </c>
      <c r="C132" s="3" t="s">
        <v>25</v>
      </c>
      <c r="D132" s="2" t="s">
        <v>26</v>
      </c>
      <c r="E132" s="19" t="s">
        <v>27</v>
      </c>
      <c r="F132" s="2" t="s">
        <v>2</v>
      </c>
      <c r="G132" s="3" t="s">
        <v>25</v>
      </c>
      <c r="H132" s="2" t="s">
        <v>26</v>
      </c>
      <c r="I132" s="19" t="s">
        <v>27</v>
      </c>
      <c r="J132" s="2" t="s">
        <v>2</v>
      </c>
    </row>
    <row r="133" spans="2:12" x14ac:dyDescent="0.15">
      <c r="B133" s="27" t="s">
        <v>28</v>
      </c>
      <c r="C133" s="72">
        <f>C127</f>
        <v>1</v>
      </c>
      <c r="D133" s="73">
        <f>D127</f>
        <v>2</v>
      </c>
      <c r="E133" s="74">
        <f>E127</f>
        <v>2</v>
      </c>
      <c r="F133" s="18">
        <f>SUM(C133:E133)</f>
        <v>5</v>
      </c>
      <c r="G133" s="72">
        <f>G127</f>
        <v>1</v>
      </c>
      <c r="H133" s="73">
        <f>H127</f>
        <v>2</v>
      </c>
      <c r="I133" s="74">
        <f>I127</f>
        <v>2</v>
      </c>
      <c r="J133" s="18">
        <f>SUM(G133:I133)</f>
        <v>5</v>
      </c>
    </row>
    <row r="134" spans="2:12" x14ac:dyDescent="0.15">
      <c r="B134" s="6" t="s">
        <v>3</v>
      </c>
      <c r="C134" s="10">
        <v>1</v>
      </c>
      <c r="D134" s="10"/>
      <c r="E134" s="11"/>
      <c r="F134" s="5">
        <f t="shared" ref="F134:F141" si="9">SUM(C134:E134)</f>
        <v>1</v>
      </c>
      <c r="G134" s="11">
        <v>1</v>
      </c>
      <c r="H134" s="10"/>
      <c r="I134" s="11"/>
      <c r="J134" s="5">
        <f t="shared" ref="J134:J141" si="10">SUM(G134:I134)</f>
        <v>1</v>
      </c>
      <c r="K134" s="32">
        <v>45175</v>
      </c>
    </row>
    <row r="135" spans="2:12" x14ac:dyDescent="0.15">
      <c r="B135" s="6" t="s">
        <v>3</v>
      </c>
      <c r="C135" s="10"/>
      <c r="D135" s="10"/>
      <c r="E135" s="11"/>
      <c r="F135" s="5">
        <f t="shared" si="9"/>
        <v>0</v>
      </c>
      <c r="G135" s="11">
        <v>2</v>
      </c>
      <c r="H135" s="10"/>
      <c r="I135" s="11"/>
      <c r="J135" s="5">
        <f t="shared" si="10"/>
        <v>2</v>
      </c>
      <c r="K135" s="32">
        <v>45237</v>
      </c>
    </row>
    <row r="136" spans="2:12" x14ac:dyDescent="0.15">
      <c r="B136" s="6" t="s">
        <v>3</v>
      </c>
      <c r="C136" s="10"/>
      <c r="D136" s="10"/>
      <c r="E136" s="11"/>
      <c r="F136" s="5">
        <f t="shared" si="9"/>
        <v>0</v>
      </c>
      <c r="G136" s="11"/>
      <c r="H136" s="10"/>
      <c r="I136" s="11">
        <v>2</v>
      </c>
      <c r="J136" s="5">
        <f t="shared" si="10"/>
        <v>2</v>
      </c>
      <c r="K136" s="32">
        <v>45238</v>
      </c>
    </row>
    <row r="137" spans="2:12" x14ac:dyDescent="0.15">
      <c r="B137" s="6" t="s">
        <v>3</v>
      </c>
      <c r="C137" s="10"/>
      <c r="D137" s="10" t="s">
        <v>86</v>
      </c>
      <c r="E137" s="11">
        <v>2</v>
      </c>
      <c r="F137" s="5">
        <f t="shared" si="9"/>
        <v>2</v>
      </c>
      <c r="G137" s="11"/>
      <c r="H137" s="10">
        <v>2</v>
      </c>
      <c r="I137" s="11">
        <v>2</v>
      </c>
      <c r="J137" s="5">
        <f t="shared" si="10"/>
        <v>4</v>
      </c>
      <c r="K137" s="32">
        <v>45379</v>
      </c>
    </row>
    <row r="138" spans="2:12" x14ac:dyDescent="0.15">
      <c r="B138" s="6" t="s">
        <v>3</v>
      </c>
      <c r="C138" s="10"/>
      <c r="D138" s="10">
        <v>2</v>
      </c>
      <c r="E138" s="11"/>
      <c r="F138" s="5">
        <f t="shared" si="9"/>
        <v>2</v>
      </c>
      <c r="G138" s="11"/>
      <c r="H138" s="10"/>
      <c r="I138" s="11"/>
      <c r="J138" s="5">
        <f t="shared" si="10"/>
        <v>0</v>
      </c>
      <c r="K138" s="32">
        <v>45434</v>
      </c>
    </row>
    <row r="139" spans="2:12" x14ac:dyDescent="0.15">
      <c r="B139" s="6" t="s">
        <v>3</v>
      </c>
      <c r="C139" s="10"/>
      <c r="D139" s="10"/>
      <c r="E139" s="11"/>
      <c r="F139" s="5">
        <f t="shared" si="9"/>
        <v>0</v>
      </c>
      <c r="G139" s="11"/>
      <c r="H139" s="10">
        <v>2</v>
      </c>
      <c r="I139" s="11"/>
      <c r="J139" s="5">
        <f t="shared" si="10"/>
        <v>2</v>
      </c>
      <c r="K139" s="32">
        <v>45458</v>
      </c>
    </row>
    <row r="140" spans="2:12" x14ac:dyDescent="0.15">
      <c r="B140" s="6" t="s">
        <v>3</v>
      </c>
      <c r="C140" s="10"/>
      <c r="D140" s="10">
        <v>4</v>
      </c>
      <c r="E140" s="11"/>
      <c r="F140" s="5">
        <f t="shared" si="9"/>
        <v>4</v>
      </c>
      <c r="G140" s="11">
        <v>2</v>
      </c>
      <c r="H140" s="10">
        <v>2</v>
      </c>
      <c r="I140" s="11"/>
      <c r="J140" s="5">
        <f t="shared" si="10"/>
        <v>4</v>
      </c>
      <c r="K140" s="32">
        <v>45471</v>
      </c>
      <c r="L140" s="33"/>
    </row>
    <row r="141" spans="2:12" x14ac:dyDescent="0.15">
      <c r="B141" s="6" t="s">
        <v>3</v>
      </c>
      <c r="C141" s="10"/>
      <c r="D141" s="10">
        <v>4</v>
      </c>
      <c r="E141" s="11"/>
      <c r="F141" s="5">
        <f t="shared" si="9"/>
        <v>4</v>
      </c>
      <c r="G141" s="11"/>
      <c r="H141" s="10">
        <v>4</v>
      </c>
      <c r="I141" s="11"/>
      <c r="J141" s="5">
        <f t="shared" si="10"/>
        <v>4</v>
      </c>
      <c r="K141" s="32">
        <v>45491</v>
      </c>
    </row>
    <row r="142" spans="2:12" x14ac:dyDescent="0.15">
      <c r="B142" s="6" t="s">
        <v>3</v>
      </c>
      <c r="C142" s="10"/>
      <c r="D142" s="10"/>
      <c r="E142" s="11">
        <v>-2</v>
      </c>
      <c r="F142" s="5">
        <f t="shared" ref="F142:F169" si="11">SUM(C142:E142)</f>
        <v>-2</v>
      </c>
      <c r="G142" s="11"/>
      <c r="H142" s="10"/>
      <c r="I142" s="11"/>
      <c r="J142" s="5">
        <f t="shared" ref="J142:J169" si="12">SUM(G142:I142)</f>
        <v>0</v>
      </c>
      <c r="K142" s="37">
        <v>45520</v>
      </c>
    </row>
    <row r="143" spans="2:12" ht="14.25" thickBot="1" x14ac:dyDescent="0.2">
      <c r="B143" s="7" t="s">
        <v>3</v>
      </c>
      <c r="C143" s="14"/>
      <c r="D143" s="13"/>
      <c r="E143" s="14">
        <v>3</v>
      </c>
      <c r="F143" s="20">
        <f t="shared" si="11"/>
        <v>3</v>
      </c>
      <c r="G143" s="14"/>
      <c r="H143" s="13"/>
      <c r="I143" s="14">
        <v>2</v>
      </c>
      <c r="J143" s="20">
        <f t="shared" si="12"/>
        <v>2</v>
      </c>
      <c r="K143" s="32">
        <v>45524</v>
      </c>
    </row>
    <row r="144" spans="2:12" ht="14.25" thickBot="1" x14ac:dyDescent="0.2">
      <c r="B144" s="21" t="s">
        <v>4</v>
      </c>
      <c r="C144" s="22">
        <f>SUM(C133:C143)</f>
        <v>2</v>
      </c>
      <c r="D144" s="22">
        <f>SUM(D133:D143)</f>
        <v>12</v>
      </c>
      <c r="E144" s="23">
        <f>SUM(E133:E143)</f>
        <v>5</v>
      </c>
      <c r="F144" s="24">
        <f t="shared" si="11"/>
        <v>19</v>
      </c>
      <c r="G144" s="22">
        <f>SUM(G133:G143)</f>
        <v>6</v>
      </c>
      <c r="H144" s="22">
        <f>SUM(H133:H143)</f>
        <v>12</v>
      </c>
      <c r="I144" s="23">
        <f>SUM(I133:I143)</f>
        <v>8</v>
      </c>
      <c r="J144" s="24">
        <f t="shared" si="12"/>
        <v>26</v>
      </c>
    </row>
    <row r="145" spans="2:11" x14ac:dyDescent="0.15">
      <c r="B145" s="4" t="s">
        <v>16</v>
      </c>
      <c r="C145" s="9"/>
      <c r="D145" s="10"/>
      <c r="E145" s="11">
        <v>1</v>
      </c>
      <c r="F145" s="8">
        <f t="shared" ref="F145:F160" si="13">SUM(C145:E145)</f>
        <v>1</v>
      </c>
      <c r="G145" s="9"/>
      <c r="H145" s="10"/>
      <c r="I145" s="11">
        <v>1</v>
      </c>
      <c r="J145" s="8">
        <f t="shared" ref="J145:J160" si="14">SUM(G145:I145)</f>
        <v>1</v>
      </c>
      <c r="K145" s="37">
        <v>45215</v>
      </c>
    </row>
    <row r="146" spans="2:11" x14ac:dyDescent="0.15">
      <c r="B146" s="4" t="s">
        <v>16</v>
      </c>
      <c r="C146" s="9"/>
      <c r="D146" s="10"/>
      <c r="E146" s="11"/>
      <c r="F146" s="8">
        <f t="shared" si="13"/>
        <v>0</v>
      </c>
      <c r="G146" s="9">
        <v>2</v>
      </c>
      <c r="H146" s="10"/>
      <c r="I146" s="11"/>
      <c r="J146" s="8">
        <f t="shared" si="14"/>
        <v>2</v>
      </c>
      <c r="K146" s="37">
        <v>45230</v>
      </c>
    </row>
    <row r="147" spans="2:11" x14ac:dyDescent="0.15">
      <c r="B147" s="4" t="s">
        <v>16</v>
      </c>
      <c r="C147" s="9"/>
      <c r="D147" s="10"/>
      <c r="E147" s="11"/>
      <c r="F147" s="8">
        <f t="shared" si="13"/>
        <v>0</v>
      </c>
      <c r="G147" s="9"/>
      <c r="H147" s="10"/>
      <c r="I147" s="11">
        <v>2</v>
      </c>
      <c r="J147" s="8">
        <f t="shared" si="14"/>
        <v>2</v>
      </c>
      <c r="K147" s="37">
        <v>45238</v>
      </c>
    </row>
    <row r="148" spans="2:11" x14ac:dyDescent="0.15">
      <c r="B148" s="4" t="s">
        <v>16</v>
      </c>
      <c r="C148" s="9"/>
      <c r="D148" s="10">
        <v>1</v>
      </c>
      <c r="E148" s="11"/>
      <c r="F148" s="8">
        <f t="shared" si="13"/>
        <v>1</v>
      </c>
      <c r="G148" s="9"/>
      <c r="H148" s="10">
        <v>1</v>
      </c>
      <c r="I148" s="11"/>
      <c r="J148" s="8">
        <f t="shared" si="14"/>
        <v>1</v>
      </c>
      <c r="K148" s="37">
        <v>45327</v>
      </c>
    </row>
    <row r="149" spans="2:11" x14ac:dyDescent="0.15">
      <c r="B149" s="4" t="s">
        <v>16</v>
      </c>
      <c r="C149" s="9"/>
      <c r="D149" s="10"/>
      <c r="E149" s="11">
        <v>1</v>
      </c>
      <c r="F149" s="8">
        <f t="shared" si="13"/>
        <v>1</v>
      </c>
      <c r="G149" s="9"/>
      <c r="H149" s="10"/>
      <c r="I149" s="11">
        <v>1</v>
      </c>
      <c r="J149" s="8">
        <f t="shared" si="14"/>
        <v>1</v>
      </c>
      <c r="K149" s="37">
        <v>45391</v>
      </c>
    </row>
    <row r="150" spans="2:11" x14ac:dyDescent="0.15">
      <c r="B150" s="4" t="s">
        <v>16</v>
      </c>
      <c r="C150" s="9"/>
      <c r="D150" s="10">
        <v>1</v>
      </c>
      <c r="E150" s="11"/>
      <c r="F150" s="8">
        <f t="shared" si="13"/>
        <v>1</v>
      </c>
      <c r="G150" s="9"/>
      <c r="H150" s="10">
        <v>1</v>
      </c>
      <c r="I150" s="11"/>
      <c r="J150" s="8">
        <f t="shared" si="14"/>
        <v>1</v>
      </c>
      <c r="K150" s="37">
        <v>45439</v>
      </c>
    </row>
    <row r="151" spans="2:11" x14ac:dyDescent="0.15">
      <c r="B151" s="4" t="s">
        <v>16</v>
      </c>
      <c r="C151" s="9"/>
      <c r="D151" s="10"/>
      <c r="E151" s="11"/>
      <c r="F151" s="8">
        <f t="shared" si="13"/>
        <v>0</v>
      </c>
      <c r="G151" s="9"/>
      <c r="H151" s="10">
        <v>2</v>
      </c>
      <c r="I151" s="11"/>
      <c r="J151" s="8">
        <f t="shared" si="14"/>
        <v>2</v>
      </c>
      <c r="K151" s="37">
        <v>45454</v>
      </c>
    </row>
    <row r="152" spans="2:11" x14ac:dyDescent="0.15">
      <c r="B152" s="4" t="s">
        <v>16</v>
      </c>
      <c r="C152" s="9"/>
      <c r="D152" s="10">
        <v>2</v>
      </c>
      <c r="E152" s="11"/>
      <c r="F152" s="8">
        <f t="shared" si="13"/>
        <v>2</v>
      </c>
      <c r="G152" s="9"/>
      <c r="H152" s="10"/>
      <c r="I152" s="11"/>
      <c r="J152" s="8">
        <f t="shared" si="14"/>
        <v>0</v>
      </c>
      <c r="K152" s="37">
        <v>45458</v>
      </c>
    </row>
    <row r="153" spans="2:11" x14ac:dyDescent="0.15">
      <c r="B153" s="4" t="s">
        <v>16</v>
      </c>
      <c r="C153" s="9"/>
      <c r="D153" s="10"/>
      <c r="E153" s="11"/>
      <c r="F153" s="8">
        <f t="shared" si="13"/>
        <v>0</v>
      </c>
      <c r="G153" s="9">
        <v>2</v>
      </c>
      <c r="H153" s="10"/>
      <c r="I153" s="11"/>
      <c r="J153" s="8">
        <f t="shared" si="14"/>
        <v>2</v>
      </c>
      <c r="K153" s="37">
        <v>45467</v>
      </c>
    </row>
    <row r="154" spans="2:11" x14ac:dyDescent="0.15">
      <c r="B154" s="4" t="s">
        <v>16</v>
      </c>
      <c r="C154" s="9"/>
      <c r="D154" s="10">
        <v>1</v>
      </c>
      <c r="E154" s="11"/>
      <c r="F154" s="8">
        <f t="shared" si="13"/>
        <v>1</v>
      </c>
      <c r="G154" s="9"/>
      <c r="H154" s="10">
        <v>1</v>
      </c>
      <c r="I154" s="11"/>
      <c r="J154" s="8">
        <f t="shared" si="14"/>
        <v>1</v>
      </c>
      <c r="K154" s="37">
        <v>45471</v>
      </c>
    </row>
    <row r="155" spans="2:11" x14ac:dyDescent="0.15">
      <c r="B155" s="4" t="s">
        <v>16</v>
      </c>
      <c r="C155" s="9"/>
      <c r="D155" s="10">
        <v>2</v>
      </c>
      <c r="E155" s="11"/>
      <c r="F155" s="8">
        <f t="shared" si="13"/>
        <v>2</v>
      </c>
      <c r="G155" s="9"/>
      <c r="H155" s="10">
        <v>2</v>
      </c>
      <c r="I155" s="11"/>
      <c r="J155" s="8">
        <f t="shared" si="14"/>
        <v>2</v>
      </c>
      <c r="K155" s="37">
        <v>45479</v>
      </c>
    </row>
    <row r="156" spans="2:11" x14ac:dyDescent="0.15">
      <c r="B156" s="4" t="s">
        <v>16</v>
      </c>
      <c r="C156" s="9"/>
      <c r="D156" s="10"/>
      <c r="E156" s="11"/>
      <c r="F156" s="8">
        <f t="shared" si="13"/>
        <v>0</v>
      </c>
      <c r="G156" s="9"/>
      <c r="H156" s="10">
        <v>2</v>
      </c>
      <c r="I156" s="11"/>
      <c r="J156" s="8">
        <f t="shared" si="14"/>
        <v>2</v>
      </c>
      <c r="K156" s="37">
        <v>45499</v>
      </c>
    </row>
    <row r="157" spans="2:11" x14ac:dyDescent="0.15">
      <c r="B157" s="4" t="s">
        <v>16</v>
      </c>
      <c r="C157" s="9"/>
      <c r="D157" s="10"/>
      <c r="E157" s="11">
        <v>1</v>
      </c>
      <c r="F157" s="8">
        <f t="shared" si="13"/>
        <v>1</v>
      </c>
      <c r="G157" s="9"/>
      <c r="H157" s="10"/>
      <c r="I157" s="11">
        <v>1</v>
      </c>
      <c r="J157" s="8">
        <f t="shared" si="14"/>
        <v>1</v>
      </c>
      <c r="K157" s="37">
        <v>45524</v>
      </c>
    </row>
    <row r="158" spans="2:11" x14ac:dyDescent="0.15">
      <c r="B158" s="4" t="s">
        <v>87</v>
      </c>
      <c r="C158" s="9">
        <v>0</v>
      </c>
      <c r="D158" s="10">
        <v>0</v>
      </c>
      <c r="E158" s="11">
        <v>0</v>
      </c>
      <c r="F158" s="8">
        <f t="shared" si="13"/>
        <v>0</v>
      </c>
      <c r="G158" s="9">
        <v>0</v>
      </c>
      <c r="H158" s="10">
        <v>0</v>
      </c>
      <c r="I158" s="11">
        <v>0</v>
      </c>
      <c r="J158" s="8">
        <f t="shared" si="14"/>
        <v>0</v>
      </c>
      <c r="K158" s="37">
        <v>45531</v>
      </c>
    </row>
    <row r="159" spans="2:11" x14ac:dyDescent="0.15">
      <c r="B159" s="4"/>
      <c r="C159" s="9"/>
      <c r="D159" s="10"/>
      <c r="E159" s="11"/>
      <c r="F159" s="8">
        <f t="shared" si="13"/>
        <v>0</v>
      </c>
      <c r="G159" s="9"/>
      <c r="H159" s="10"/>
      <c r="I159" s="11"/>
      <c r="J159" s="8">
        <f t="shared" si="14"/>
        <v>0</v>
      </c>
    </row>
    <row r="160" spans="2:11" x14ac:dyDescent="0.15">
      <c r="B160" s="4"/>
      <c r="C160" s="9"/>
      <c r="D160" s="10"/>
      <c r="E160" s="11"/>
      <c r="F160" s="8">
        <f t="shared" si="13"/>
        <v>0</v>
      </c>
      <c r="G160" s="9"/>
      <c r="H160" s="10"/>
      <c r="I160" s="11"/>
      <c r="J160" s="8">
        <f t="shared" si="14"/>
        <v>0</v>
      </c>
    </row>
    <row r="161" spans="2:10" x14ac:dyDescent="0.15">
      <c r="B161" s="4"/>
      <c r="C161" s="9"/>
      <c r="D161" s="10"/>
      <c r="E161" s="11"/>
      <c r="F161" s="8">
        <f t="shared" si="11"/>
        <v>0</v>
      </c>
      <c r="G161" s="9"/>
      <c r="H161" s="10"/>
      <c r="I161" s="11"/>
      <c r="J161" s="8">
        <f t="shared" si="12"/>
        <v>0</v>
      </c>
    </row>
    <row r="162" spans="2:10" x14ac:dyDescent="0.15">
      <c r="B162" s="4"/>
      <c r="C162" s="9"/>
      <c r="D162" s="10"/>
      <c r="E162" s="11"/>
      <c r="F162" s="8">
        <f t="shared" si="11"/>
        <v>0</v>
      </c>
      <c r="G162" s="9"/>
      <c r="H162" s="10"/>
      <c r="I162" s="11"/>
      <c r="J162" s="8">
        <f t="shared" si="12"/>
        <v>0</v>
      </c>
    </row>
    <row r="163" spans="2:10" x14ac:dyDescent="0.15">
      <c r="B163" s="4"/>
      <c r="C163" s="9"/>
      <c r="D163" s="10"/>
      <c r="E163" s="11"/>
      <c r="F163" s="8">
        <f t="shared" si="11"/>
        <v>0</v>
      </c>
      <c r="G163" s="9"/>
      <c r="H163" s="10"/>
      <c r="I163" s="11"/>
      <c r="J163" s="8">
        <f t="shared" si="12"/>
        <v>0</v>
      </c>
    </row>
    <row r="164" spans="2:10" x14ac:dyDescent="0.15">
      <c r="B164" s="4"/>
      <c r="C164" s="9"/>
      <c r="D164" s="10"/>
      <c r="E164" s="11"/>
      <c r="F164" s="8">
        <f t="shared" si="11"/>
        <v>0</v>
      </c>
      <c r="G164" s="9"/>
      <c r="H164" s="10"/>
      <c r="I164" s="11"/>
      <c r="J164" s="8">
        <f t="shared" si="12"/>
        <v>0</v>
      </c>
    </row>
    <row r="165" spans="2:10" x14ac:dyDescent="0.15">
      <c r="B165" s="4"/>
      <c r="C165" s="9"/>
      <c r="D165" s="10"/>
      <c r="E165" s="11"/>
      <c r="F165" s="8">
        <f t="shared" si="11"/>
        <v>0</v>
      </c>
      <c r="G165" s="9"/>
      <c r="H165" s="10"/>
      <c r="I165" s="11"/>
      <c r="J165" s="8">
        <f t="shared" si="12"/>
        <v>0</v>
      </c>
    </row>
    <row r="166" spans="2:10" x14ac:dyDescent="0.15">
      <c r="B166" s="4"/>
      <c r="C166" s="9"/>
      <c r="D166" s="10"/>
      <c r="E166" s="11"/>
      <c r="F166" s="8">
        <f t="shared" si="11"/>
        <v>0</v>
      </c>
      <c r="G166" s="9"/>
      <c r="H166" s="10"/>
      <c r="I166" s="11"/>
      <c r="J166" s="8">
        <f t="shared" si="12"/>
        <v>0</v>
      </c>
    </row>
    <row r="167" spans="2:10" x14ac:dyDescent="0.15">
      <c r="B167" s="4"/>
      <c r="C167" s="9"/>
      <c r="D167" s="10"/>
      <c r="E167" s="11"/>
      <c r="F167" s="8">
        <f t="shared" si="11"/>
        <v>0</v>
      </c>
      <c r="G167" s="9"/>
      <c r="H167" s="10"/>
      <c r="I167" s="11"/>
      <c r="J167" s="8">
        <f t="shared" si="12"/>
        <v>0</v>
      </c>
    </row>
    <row r="168" spans="2:10" ht="14.25" thickBot="1" x14ac:dyDescent="0.2">
      <c r="B168" s="4"/>
      <c r="C168" s="9"/>
      <c r="D168" s="10"/>
      <c r="E168" s="11"/>
      <c r="F168" s="8">
        <f t="shared" si="11"/>
        <v>0</v>
      </c>
      <c r="G168" s="9"/>
      <c r="H168" s="10"/>
      <c r="I168" s="11"/>
      <c r="J168" s="8">
        <f t="shared" si="12"/>
        <v>0</v>
      </c>
    </row>
    <row r="169" spans="2:10" ht="14.25" thickBot="1" x14ac:dyDescent="0.2">
      <c r="B169" s="3" t="s">
        <v>5</v>
      </c>
      <c r="C169" s="15">
        <f>SUM(C145:C168)</f>
        <v>0</v>
      </c>
      <c r="D169" s="15">
        <f>SUM(D145:D168)</f>
        <v>7</v>
      </c>
      <c r="E169" s="15">
        <f>SUM(E145:E168)</f>
        <v>3</v>
      </c>
      <c r="F169" s="16">
        <f t="shared" si="11"/>
        <v>10</v>
      </c>
      <c r="G169" s="15">
        <f>SUM(G145:G168)</f>
        <v>4</v>
      </c>
      <c r="H169" s="15">
        <f>SUM(H145:H168)</f>
        <v>9</v>
      </c>
      <c r="I169" s="15">
        <f>SUM(I145:I168)</f>
        <v>5</v>
      </c>
      <c r="J169" s="16">
        <f t="shared" si="12"/>
        <v>18</v>
      </c>
    </row>
    <row r="170" spans="2:10" ht="14.25" thickBot="1" x14ac:dyDescent="0.2">
      <c r="B170" s="25" t="s">
        <v>6</v>
      </c>
      <c r="C170" s="26">
        <f t="shared" ref="C170:J170" si="15">C144-C169</f>
        <v>2</v>
      </c>
      <c r="D170" s="26">
        <f t="shared" si="15"/>
        <v>5</v>
      </c>
      <c r="E170" s="26">
        <f t="shared" si="15"/>
        <v>2</v>
      </c>
      <c r="F170" s="26">
        <f t="shared" si="15"/>
        <v>9</v>
      </c>
      <c r="G170" s="26">
        <f t="shared" si="15"/>
        <v>2</v>
      </c>
      <c r="H170" s="26">
        <f t="shared" si="15"/>
        <v>3</v>
      </c>
      <c r="I170" s="26">
        <f t="shared" si="15"/>
        <v>3</v>
      </c>
      <c r="J170" s="24">
        <f t="shared" si="15"/>
        <v>8</v>
      </c>
    </row>
    <row r="173" spans="2:10" ht="19.5" thickBot="1" x14ac:dyDescent="0.25">
      <c r="B173" s="66" t="s">
        <v>40</v>
      </c>
      <c r="C173" s="1"/>
      <c r="D173" s="1"/>
      <c r="E173" s="1" t="s">
        <v>42</v>
      </c>
      <c r="F173" s="1"/>
      <c r="G173" s="67"/>
      <c r="H173" s="67"/>
      <c r="I173" s="67"/>
      <c r="J173" s="67"/>
    </row>
    <row r="174" spans="2:10" ht="14.25" thickBot="1" x14ac:dyDescent="0.2">
      <c r="B174" s="2" t="s">
        <v>0</v>
      </c>
      <c r="C174" s="206" t="s">
        <v>41</v>
      </c>
      <c r="D174" s="206"/>
      <c r="E174" s="206"/>
      <c r="F174" s="207"/>
      <c r="G174" s="206" t="s">
        <v>34</v>
      </c>
      <c r="H174" s="206"/>
      <c r="I174" s="206"/>
      <c r="J174" s="207"/>
    </row>
    <row r="175" spans="2:10" ht="14.25" thickBot="1" x14ac:dyDescent="0.2">
      <c r="B175" s="2" t="s">
        <v>1</v>
      </c>
      <c r="C175" s="3" t="s">
        <v>25</v>
      </c>
      <c r="D175" s="2" t="s">
        <v>26</v>
      </c>
      <c r="E175" s="19" t="s">
        <v>27</v>
      </c>
      <c r="F175" s="2" t="s">
        <v>2</v>
      </c>
      <c r="G175" s="3" t="s">
        <v>25</v>
      </c>
      <c r="H175" s="2" t="s">
        <v>26</v>
      </c>
      <c r="I175" s="19" t="s">
        <v>27</v>
      </c>
      <c r="J175" s="2" t="s">
        <v>2</v>
      </c>
    </row>
    <row r="176" spans="2:10" x14ac:dyDescent="0.15">
      <c r="B176" s="27" t="s">
        <v>28</v>
      </c>
      <c r="C176" s="72">
        <f>C170</f>
        <v>2</v>
      </c>
      <c r="D176" s="73">
        <f>D170</f>
        <v>5</v>
      </c>
      <c r="E176" s="74">
        <f>E170</f>
        <v>2</v>
      </c>
      <c r="F176" s="18">
        <f>SUM(C176:E176)</f>
        <v>9</v>
      </c>
      <c r="G176" s="72">
        <f>G170</f>
        <v>2</v>
      </c>
      <c r="H176" s="73">
        <f>H170</f>
        <v>3</v>
      </c>
      <c r="I176" s="74">
        <f>I170</f>
        <v>3</v>
      </c>
      <c r="J176" s="18">
        <f>SUM(G176:I176)</f>
        <v>8</v>
      </c>
    </row>
    <row r="177" spans="2:11" x14ac:dyDescent="0.15">
      <c r="B177" s="6" t="s">
        <v>3</v>
      </c>
      <c r="C177" s="10">
        <v>2</v>
      </c>
      <c r="D177" s="10"/>
      <c r="E177" s="11"/>
      <c r="F177" s="5">
        <f t="shared" ref="F177:F212" si="16">SUM(C177:E177)</f>
        <v>2</v>
      </c>
      <c r="G177" s="11">
        <v>4</v>
      </c>
      <c r="H177" s="10"/>
      <c r="I177" s="11"/>
      <c r="J177" s="5">
        <f t="shared" ref="J177:J212" si="17">SUM(G177:I177)</f>
        <v>4</v>
      </c>
      <c r="K177" s="32">
        <v>45545</v>
      </c>
    </row>
    <row r="178" spans="2:11" x14ac:dyDescent="0.15">
      <c r="B178" s="6" t="s">
        <v>3</v>
      </c>
      <c r="C178" s="10"/>
      <c r="D178" s="10"/>
      <c r="E178" s="11"/>
      <c r="F178" s="5">
        <f t="shared" si="16"/>
        <v>0</v>
      </c>
      <c r="G178" s="11">
        <v>2</v>
      </c>
      <c r="H178" s="10"/>
      <c r="I178" s="11"/>
      <c r="J178" s="5">
        <f t="shared" si="17"/>
        <v>2</v>
      </c>
      <c r="K178" s="32">
        <v>45589</v>
      </c>
    </row>
    <row r="179" spans="2:11" x14ac:dyDescent="0.15">
      <c r="B179" s="6" t="s">
        <v>3</v>
      </c>
      <c r="C179" s="10">
        <v>2</v>
      </c>
      <c r="D179" s="10"/>
      <c r="E179" s="11"/>
      <c r="F179" s="5">
        <f t="shared" si="16"/>
        <v>2</v>
      </c>
      <c r="G179" s="11">
        <v>2</v>
      </c>
      <c r="H179" s="10"/>
      <c r="I179" s="11"/>
      <c r="J179" s="5">
        <f t="shared" si="17"/>
        <v>2</v>
      </c>
      <c r="K179" s="32">
        <v>45602</v>
      </c>
    </row>
    <row r="180" spans="2:11" x14ac:dyDescent="0.15">
      <c r="B180" s="6" t="s">
        <v>3</v>
      </c>
      <c r="C180" s="10"/>
      <c r="D180" s="10"/>
      <c r="E180" s="11"/>
      <c r="F180" s="5">
        <f t="shared" si="16"/>
        <v>0</v>
      </c>
      <c r="G180" s="11"/>
      <c r="H180" s="10"/>
      <c r="I180" s="11">
        <v>2</v>
      </c>
      <c r="J180" s="5">
        <f t="shared" si="17"/>
        <v>2</v>
      </c>
      <c r="K180" s="32">
        <v>45609</v>
      </c>
    </row>
    <row r="181" spans="2:11" x14ac:dyDescent="0.15">
      <c r="B181" s="6" t="s">
        <v>3</v>
      </c>
      <c r="C181" s="10"/>
      <c r="D181" s="10"/>
      <c r="E181" s="11">
        <v>2</v>
      </c>
      <c r="F181" s="5">
        <f t="shared" si="16"/>
        <v>2</v>
      </c>
      <c r="G181" s="11"/>
      <c r="H181" s="10"/>
      <c r="I181" s="11"/>
      <c r="J181" s="5">
        <f t="shared" si="17"/>
        <v>0</v>
      </c>
      <c r="K181" s="32">
        <v>45622</v>
      </c>
    </row>
    <row r="182" spans="2:11" x14ac:dyDescent="0.15">
      <c r="B182" s="6" t="s">
        <v>3</v>
      </c>
      <c r="C182" s="10"/>
      <c r="D182" s="10"/>
      <c r="E182" s="11"/>
      <c r="F182" s="5">
        <f t="shared" si="16"/>
        <v>0</v>
      </c>
      <c r="G182" s="11"/>
      <c r="H182" s="10">
        <v>2</v>
      </c>
      <c r="I182" s="11"/>
      <c r="J182" s="5">
        <f t="shared" si="17"/>
        <v>2</v>
      </c>
      <c r="K182" s="32">
        <v>45644</v>
      </c>
    </row>
    <row r="183" spans="2:11" x14ac:dyDescent="0.15">
      <c r="B183" s="6" t="s">
        <v>3</v>
      </c>
      <c r="C183" s="10"/>
      <c r="D183" s="10"/>
      <c r="E183" s="11"/>
      <c r="F183" s="5">
        <f t="shared" si="16"/>
        <v>0</v>
      </c>
      <c r="G183" s="11"/>
      <c r="H183" s="10"/>
      <c r="I183" s="11">
        <v>4</v>
      </c>
      <c r="J183" s="5">
        <f t="shared" si="17"/>
        <v>4</v>
      </c>
      <c r="K183" s="32">
        <v>45679</v>
      </c>
    </row>
    <row r="184" spans="2:11" x14ac:dyDescent="0.15">
      <c r="B184" s="6" t="s">
        <v>3</v>
      </c>
      <c r="C184" s="10"/>
      <c r="D184" s="10">
        <v>2</v>
      </c>
      <c r="E184" s="11"/>
      <c r="F184" s="5">
        <f t="shared" si="16"/>
        <v>2</v>
      </c>
      <c r="G184" s="11"/>
      <c r="H184" s="10">
        <v>2</v>
      </c>
      <c r="I184" s="11"/>
      <c r="J184" s="5">
        <f t="shared" si="17"/>
        <v>2</v>
      </c>
      <c r="K184" s="32">
        <v>45692</v>
      </c>
    </row>
    <row r="185" spans="2:11" x14ac:dyDescent="0.15">
      <c r="B185" s="6" t="s">
        <v>3</v>
      </c>
      <c r="C185" s="10"/>
      <c r="D185" s="10"/>
      <c r="E185" s="11"/>
      <c r="F185" s="5">
        <f t="shared" si="16"/>
        <v>0</v>
      </c>
      <c r="G185" s="11"/>
      <c r="H185" s="10">
        <v>2</v>
      </c>
      <c r="I185" s="11"/>
      <c r="J185" s="5">
        <f t="shared" si="17"/>
        <v>2</v>
      </c>
      <c r="K185" s="32">
        <v>45714</v>
      </c>
    </row>
    <row r="186" spans="2:11" ht="14.25" thickBot="1" x14ac:dyDescent="0.2">
      <c r="B186" s="7" t="s">
        <v>3</v>
      </c>
      <c r="C186" s="14"/>
      <c r="D186" s="13">
        <v>4</v>
      </c>
      <c r="E186" s="14"/>
      <c r="F186" s="20">
        <f t="shared" si="16"/>
        <v>4</v>
      </c>
      <c r="G186" s="14"/>
      <c r="H186" s="13"/>
      <c r="I186" s="14"/>
      <c r="J186" s="20">
        <f t="shared" si="17"/>
        <v>0</v>
      </c>
      <c r="K186" s="32">
        <v>45926</v>
      </c>
    </row>
    <row r="187" spans="2:11" ht="14.25" thickBot="1" x14ac:dyDescent="0.2">
      <c r="B187" s="21" t="s">
        <v>4</v>
      </c>
      <c r="C187" s="22">
        <f>SUM(C176:C186)</f>
        <v>6</v>
      </c>
      <c r="D187" s="22">
        <f>SUM(D176:D186)</f>
        <v>11</v>
      </c>
      <c r="E187" s="23">
        <f>SUM(E176:E186)</f>
        <v>4</v>
      </c>
      <c r="F187" s="24">
        <f t="shared" si="16"/>
        <v>21</v>
      </c>
      <c r="G187" s="22">
        <f>SUM(G176:G186)</f>
        <v>10</v>
      </c>
      <c r="H187" s="22">
        <f>SUM(H176:H186)</f>
        <v>9</v>
      </c>
      <c r="I187" s="23">
        <f>SUM(I176:I186)</f>
        <v>9</v>
      </c>
      <c r="J187" s="24">
        <f t="shared" si="17"/>
        <v>28</v>
      </c>
    </row>
    <row r="188" spans="2:11" x14ac:dyDescent="0.15">
      <c r="B188" s="4" t="s">
        <v>16</v>
      </c>
      <c r="C188" s="9"/>
      <c r="D188" s="10">
        <v>1</v>
      </c>
      <c r="E188" s="11"/>
      <c r="F188" s="8">
        <f t="shared" si="16"/>
        <v>1</v>
      </c>
      <c r="G188" s="9"/>
      <c r="H188" s="10">
        <v>1</v>
      </c>
      <c r="I188" s="11"/>
      <c r="J188" s="8">
        <f t="shared" si="17"/>
        <v>1</v>
      </c>
      <c r="K188" s="37">
        <v>45541</v>
      </c>
    </row>
    <row r="189" spans="2:11" x14ac:dyDescent="0.15">
      <c r="B189" s="4" t="s">
        <v>16</v>
      </c>
      <c r="C189" s="9">
        <v>2</v>
      </c>
      <c r="D189" s="10"/>
      <c r="E189" s="11"/>
      <c r="F189" s="8">
        <f t="shared" si="16"/>
        <v>2</v>
      </c>
      <c r="G189" s="9">
        <v>2</v>
      </c>
      <c r="H189" s="10"/>
      <c r="I189" s="11"/>
      <c r="J189" s="8">
        <f t="shared" si="17"/>
        <v>2</v>
      </c>
      <c r="K189" s="37">
        <v>45542</v>
      </c>
    </row>
    <row r="190" spans="2:11" x14ac:dyDescent="0.15">
      <c r="B190" s="4" t="s">
        <v>16</v>
      </c>
      <c r="C190" s="9"/>
      <c r="D190" s="10"/>
      <c r="E190" s="11"/>
      <c r="F190" s="8">
        <f t="shared" si="16"/>
        <v>0</v>
      </c>
      <c r="G190" s="9">
        <v>2</v>
      </c>
      <c r="H190" s="10"/>
      <c r="I190" s="11"/>
      <c r="J190" s="8">
        <f t="shared" si="17"/>
        <v>2</v>
      </c>
      <c r="K190" s="37">
        <v>45545</v>
      </c>
    </row>
    <row r="191" spans="2:11" x14ac:dyDescent="0.15">
      <c r="B191" s="4" t="s">
        <v>16</v>
      </c>
      <c r="C191" s="9"/>
      <c r="D191" s="10"/>
      <c r="E191" s="11"/>
      <c r="F191" s="8">
        <f t="shared" si="16"/>
        <v>0</v>
      </c>
      <c r="G191" s="9">
        <v>2</v>
      </c>
      <c r="H191" s="10"/>
      <c r="I191" s="11"/>
      <c r="J191" s="8">
        <f t="shared" si="17"/>
        <v>2</v>
      </c>
      <c r="K191" s="37">
        <v>45586</v>
      </c>
    </row>
    <row r="192" spans="2:11" x14ac:dyDescent="0.15">
      <c r="B192" s="4" t="s">
        <v>16</v>
      </c>
      <c r="C192" s="9"/>
      <c r="D192" s="10"/>
      <c r="E192" s="11"/>
      <c r="F192" s="8">
        <f t="shared" si="16"/>
        <v>0</v>
      </c>
      <c r="G192" s="9"/>
      <c r="H192" s="10"/>
      <c r="I192" s="11">
        <v>2</v>
      </c>
      <c r="J192" s="8">
        <f t="shared" si="17"/>
        <v>2</v>
      </c>
      <c r="K192" s="37">
        <v>45607</v>
      </c>
    </row>
    <row r="193" spans="2:12" x14ac:dyDescent="0.15">
      <c r="B193" s="4" t="s">
        <v>16</v>
      </c>
      <c r="C193" s="9"/>
      <c r="D193" s="10">
        <v>1</v>
      </c>
      <c r="E193" s="11"/>
      <c r="F193" s="8">
        <f t="shared" si="16"/>
        <v>1</v>
      </c>
      <c r="G193" s="9"/>
      <c r="H193" s="10">
        <v>1</v>
      </c>
      <c r="I193" s="11"/>
      <c r="J193" s="8">
        <f t="shared" si="17"/>
        <v>1</v>
      </c>
      <c r="K193" s="37">
        <v>45631</v>
      </c>
    </row>
    <row r="194" spans="2:12" x14ac:dyDescent="0.15">
      <c r="B194" s="4" t="s">
        <v>16</v>
      </c>
      <c r="C194" s="9"/>
      <c r="D194" s="10"/>
      <c r="E194" s="11"/>
      <c r="F194" s="8">
        <f t="shared" si="16"/>
        <v>0</v>
      </c>
      <c r="G194" s="9"/>
      <c r="H194" s="10"/>
      <c r="I194" s="11">
        <v>4</v>
      </c>
      <c r="J194" s="8">
        <f t="shared" si="17"/>
        <v>4</v>
      </c>
      <c r="K194" s="37">
        <v>45679</v>
      </c>
    </row>
    <row r="195" spans="2:12" x14ac:dyDescent="0.15">
      <c r="B195" s="4" t="s">
        <v>16</v>
      </c>
      <c r="C195" s="9"/>
      <c r="D195" s="10">
        <v>2</v>
      </c>
      <c r="E195" s="11"/>
      <c r="F195" s="8">
        <f t="shared" si="16"/>
        <v>2</v>
      </c>
      <c r="G195" s="9"/>
      <c r="H195" s="10">
        <v>2</v>
      </c>
      <c r="I195" s="11"/>
      <c r="J195" s="8">
        <f t="shared" si="17"/>
        <v>2</v>
      </c>
      <c r="K195" s="37">
        <v>45687</v>
      </c>
    </row>
    <row r="196" spans="2:12" x14ac:dyDescent="0.15">
      <c r="B196" s="4" t="s">
        <v>16</v>
      </c>
      <c r="C196" s="9"/>
      <c r="D196" s="10"/>
      <c r="E196" s="11"/>
      <c r="F196" s="8">
        <f t="shared" si="16"/>
        <v>0</v>
      </c>
      <c r="G196" s="9"/>
      <c r="H196" s="10">
        <v>2</v>
      </c>
      <c r="I196" s="11"/>
      <c r="J196" s="8">
        <f t="shared" si="17"/>
        <v>2</v>
      </c>
      <c r="K196" s="37">
        <v>45698</v>
      </c>
    </row>
    <row r="197" spans="2:12" x14ac:dyDescent="0.15">
      <c r="B197" s="4" t="s">
        <v>99</v>
      </c>
      <c r="C197" s="9">
        <v>0</v>
      </c>
      <c r="D197" s="10">
        <v>0</v>
      </c>
      <c r="E197" s="11">
        <v>0</v>
      </c>
      <c r="F197" s="8">
        <f t="shared" si="16"/>
        <v>0</v>
      </c>
      <c r="G197" s="9">
        <v>0</v>
      </c>
      <c r="H197" s="10">
        <v>0</v>
      </c>
      <c r="I197" s="11">
        <v>0</v>
      </c>
      <c r="J197" s="8">
        <f t="shared" si="17"/>
        <v>0</v>
      </c>
      <c r="K197" s="37">
        <v>45890</v>
      </c>
    </row>
    <row r="198" spans="2:12" x14ac:dyDescent="0.15">
      <c r="B198" s="4" t="s">
        <v>16</v>
      </c>
      <c r="C198" s="9"/>
      <c r="D198" s="10">
        <v>2</v>
      </c>
      <c r="E198" s="11"/>
      <c r="F198" s="8">
        <f t="shared" si="16"/>
        <v>2</v>
      </c>
      <c r="G198" s="9"/>
      <c r="H198" s="10"/>
      <c r="I198" s="11"/>
      <c r="J198" s="8">
        <f t="shared" si="17"/>
        <v>0</v>
      </c>
      <c r="K198" s="37">
        <v>45906</v>
      </c>
    </row>
    <row r="199" spans="2:12" x14ac:dyDescent="0.15">
      <c r="B199" s="4" t="s">
        <v>16</v>
      </c>
      <c r="C199" s="9">
        <v>1</v>
      </c>
      <c r="D199" s="10"/>
      <c r="E199" s="11"/>
      <c r="F199" s="8">
        <f t="shared" si="16"/>
        <v>1</v>
      </c>
      <c r="G199" s="9">
        <v>1</v>
      </c>
      <c r="H199" s="10"/>
      <c r="I199" s="11"/>
      <c r="J199" s="8">
        <f t="shared" si="17"/>
        <v>1</v>
      </c>
      <c r="K199" s="37">
        <v>45936</v>
      </c>
    </row>
    <row r="200" spans="2:12" x14ac:dyDescent="0.15">
      <c r="B200" s="4" t="s">
        <v>16</v>
      </c>
      <c r="C200" s="9"/>
      <c r="D200" s="10"/>
      <c r="E200" s="11"/>
      <c r="F200" s="8">
        <f t="shared" si="16"/>
        <v>0</v>
      </c>
      <c r="G200" s="9">
        <v>2</v>
      </c>
      <c r="H200" s="10"/>
      <c r="I200" s="11"/>
      <c r="J200" s="8">
        <f t="shared" si="17"/>
        <v>2</v>
      </c>
      <c r="K200" s="32">
        <v>45965</v>
      </c>
      <c r="L200" s="33"/>
    </row>
    <row r="201" spans="2:12" x14ac:dyDescent="0.15">
      <c r="B201" s="4" t="s">
        <v>105</v>
      </c>
      <c r="C201" s="9"/>
      <c r="D201" s="10"/>
      <c r="E201" s="11"/>
      <c r="F201" s="8">
        <f t="shared" si="16"/>
        <v>0</v>
      </c>
      <c r="G201" s="9">
        <v>-2</v>
      </c>
      <c r="H201" s="10"/>
      <c r="I201" s="11"/>
      <c r="J201" s="8">
        <f t="shared" si="17"/>
        <v>-2</v>
      </c>
      <c r="K201" s="32">
        <v>45980</v>
      </c>
      <c r="L201" s="33"/>
    </row>
    <row r="202" spans="2:12" x14ac:dyDescent="0.15">
      <c r="B202" s="4" t="s">
        <v>106</v>
      </c>
      <c r="C202" s="9">
        <v>1</v>
      </c>
      <c r="D202" s="10"/>
      <c r="E202" s="11"/>
      <c r="F202" s="8">
        <f t="shared" si="16"/>
        <v>1</v>
      </c>
      <c r="G202" s="9">
        <v>1</v>
      </c>
      <c r="H202" s="10"/>
      <c r="I202" s="11"/>
      <c r="J202" s="8">
        <f t="shared" si="17"/>
        <v>1</v>
      </c>
      <c r="K202" s="33"/>
      <c r="L202" s="33"/>
    </row>
    <row r="203" spans="2:12" x14ac:dyDescent="0.15">
      <c r="B203" s="4" t="s">
        <v>16</v>
      </c>
      <c r="C203" s="9">
        <v>2</v>
      </c>
      <c r="D203" s="10"/>
      <c r="E203" s="11"/>
      <c r="F203" s="8">
        <f t="shared" si="16"/>
        <v>2</v>
      </c>
      <c r="G203" s="9"/>
      <c r="H203" s="10"/>
      <c r="I203" s="11"/>
      <c r="J203" s="8">
        <f t="shared" si="17"/>
        <v>0</v>
      </c>
      <c r="K203" s="32">
        <v>45995</v>
      </c>
      <c r="L203" s="33"/>
    </row>
    <row r="204" spans="2:12" x14ac:dyDescent="0.15">
      <c r="B204" s="4" t="s">
        <v>107</v>
      </c>
      <c r="C204" s="9">
        <v>-2</v>
      </c>
      <c r="D204" s="10"/>
      <c r="E204" s="11"/>
      <c r="F204" s="8">
        <f t="shared" si="16"/>
        <v>-2</v>
      </c>
      <c r="G204" s="9"/>
      <c r="H204" s="10"/>
      <c r="I204" s="11"/>
      <c r="J204" s="8">
        <f t="shared" si="17"/>
        <v>0</v>
      </c>
      <c r="K204" s="32">
        <v>46002</v>
      </c>
      <c r="L204" s="33"/>
    </row>
    <row r="205" spans="2:12" x14ac:dyDescent="0.15">
      <c r="B205" s="4" t="s">
        <v>16</v>
      </c>
      <c r="C205" s="9"/>
      <c r="D205" s="10">
        <v>1</v>
      </c>
      <c r="E205" s="11"/>
      <c r="F205" s="8">
        <f t="shared" si="16"/>
        <v>1</v>
      </c>
      <c r="G205" s="9"/>
      <c r="H205" s="10">
        <v>1</v>
      </c>
      <c r="I205" s="11"/>
      <c r="J205" s="8">
        <f t="shared" si="17"/>
        <v>1</v>
      </c>
      <c r="K205" s="37">
        <v>46002</v>
      </c>
    </row>
    <row r="206" spans="2:12" x14ac:dyDescent="0.15">
      <c r="B206" s="4"/>
      <c r="C206" s="9"/>
      <c r="D206" s="10"/>
      <c r="E206" s="11"/>
      <c r="F206" s="8">
        <f t="shared" si="16"/>
        <v>0</v>
      </c>
      <c r="G206" s="9"/>
      <c r="H206" s="10"/>
      <c r="I206" s="11"/>
      <c r="J206" s="8">
        <f t="shared" si="17"/>
        <v>0</v>
      </c>
    </row>
    <row r="207" spans="2:12" x14ac:dyDescent="0.15">
      <c r="B207" s="4"/>
      <c r="C207" s="9"/>
      <c r="D207" s="10"/>
      <c r="E207" s="11"/>
      <c r="F207" s="8">
        <f t="shared" si="16"/>
        <v>0</v>
      </c>
      <c r="G207" s="9"/>
      <c r="H207" s="10"/>
      <c r="I207" s="11"/>
      <c r="J207" s="8">
        <f t="shared" si="17"/>
        <v>0</v>
      </c>
    </row>
    <row r="208" spans="2:12" x14ac:dyDescent="0.15">
      <c r="B208" s="4"/>
      <c r="C208" s="9"/>
      <c r="D208" s="10"/>
      <c r="E208" s="11"/>
      <c r="F208" s="8">
        <f t="shared" si="16"/>
        <v>0</v>
      </c>
      <c r="G208" s="9"/>
      <c r="H208" s="10"/>
      <c r="I208" s="11"/>
      <c r="J208" s="8">
        <f t="shared" si="17"/>
        <v>0</v>
      </c>
    </row>
    <row r="209" spans="2:12" x14ac:dyDescent="0.15">
      <c r="B209" s="4"/>
      <c r="C209" s="9"/>
      <c r="D209" s="10"/>
      <c r="E209" s="11"/>
      <c r="F209" s="8">
        <f t="shared" si="16"/>
        <v>0</v>
      </c>
      <c r="G209" s="9"/>
      <c r="H209" s="10"/>
      <c r="I209" s="11"/>
      <c r="J209" s="8">
        <f t="shared" si="17"/>
        <v>0</v>
      </c>
    </row>
    <row r="210" spans="2:12" x14ac:dyDescent="0.15">
      <c r="B210" s="4"/>
      <c r="C210" s="9"/>
      <c r="D210" s="10"/>
      <c r="E210" s="11"/>
      <c r="F210" s="8">
        <f t="shared" si="16"/>
        <v>0</v>
      </c>
      <c r="G210" s="9"/>
      <c r="H210" s="10"/>
      <c r="I210" s="11"/>
      <c r="J210" s="8">
        <f t="shared" si="17"/>
        <v>0</v>
      </c>
    </row>
    <row r="211" spans="2:12" ht="14.25" thickBot="1" x14ac:dyDescent="0.2">
      <c r="B211" s="4"/>
      <c r="C211" s="9"/>
      <c r="D211" s="10"/>
      <c r="E211" s="11"/>
      <c r="F211" s="8">
        <f t="shared" si="16"/>
        <v>0</v>
      </c>
      <c r="G211" s="9"/>
      <c r="H211" s="10"/>
      <c r="I211" s="11"/>
      <c r="J211" s="8">
        <f t="shared" si="17"/>
        <v>0</v>
      </c>
    </row>
    <row r="212" spans="2:12" ht="14.25" thickBot="1" x14ac:dyDescent="0.2">
      <c r="B212" s="3" t="s">
        <v>5</v>
      </c>
      <c r="C212" s="15">
        <f>SUM(C188:C211)</f>
        <v>4</v>
      </c>
      <c r="D212" s="15">
        <f>SUM(D188:D211)</f>
        <v>7</v>
      </c>
      <c r="E212" s="15">
        <f>SUM(E188:E211)</f>
        <v>0</v>
      </c>
      <c r="F212" s="16">
        <f t="shared" si="16"/>
        <v>11</v>
      </c>
      <c r="G212" s="15">
        <f>SUM(G188:G211)</f>
        <v>8</v>
      </c>
      <c r="H212" s="15">
        <f>SUM(H188:H211)</f>
        <v>7</v>
      </c>
      <c r="I212" s="15">
        <f>SUM(I188:I211)</f>
        <v>6</v>
      </c>
      <c r="J212" s="16">
        <f t="shared" si="17"/>
        <v>21</v>
      </c>
    </row>
    <row r="213" spans="2:12" ht="14.25" thickBot="1" x14ac:dyDescent="0.2">
      <c r="B213" s="25" t="s">
        <v>6</v>
      </c>
      <c r="C213" s="26">
        <f t="shared" ref="C213:J213" si="18">C187-C212</f>
        <v>2</v>
      </c>
      <c r="D213" s="26">
        <f t="shared" si="18"/>
        <v>4</v>
      </c>
      <c r="E213" s="26">
        <f t="shared" si="18"/>
        <v>4</v>
      </c>
      <c r="F213" s="26">
        <f t="shared" si="18"/>
        <v>10</v>
      </c>
      <c r="G213" s="26">
        <f t="shared" si="18"/>
        <v>2</v>
      </c>
      <c r="H213" s="26">
        <f t="shared" si="18"/>
        <v>2</v>
      </c>
      <c r="I213" s="26">
        <f t="shared" si="18"/>
        <v>3</v>
      </c>
      <c r="J213" s="24">
        <f t="shared" si="18"/>
        <v>7</v>
      </c>
    </row>
    <row r="216" spans="2:12" ht="19.5" thickBot="1" x14ac:dyDescent="0.25">
      <c r="B216" s="66" t="s">
        <v>40</v>
      </c>
      <c r="C216" s="1"/>
      <c r="D216" s="1"/>
      <c r="E216" s="1" t="s">
        <v>42</v>
      </c>
      <c r="F216" s="1"/>
      <c r="G216" s="67"/>
      <c r="H216" s="67"/>
      <c r="I216" s="67"/>
      <c r="J216" s="67"/>
    </row>
    <row r="217" spans="2:12" ht="14.25" thickBot="1" x14ac:dyDescent="0.2">
      <c r="B217" s="2" t="s">
        <v>0</v>
      </c>
      <c r="C217" s="206" t="s">
        <v>41</v>
      </c>
      <c r="D217" s="206"/>
      <c r="E217" s="206"/>
      <c r="F217" s="207"/>
      <c r="G217" s="206" t="s">
        <v>34</v>
      </c>
      <c r="H217" s="206"/>
      <c r="I217" s="206"/>
      <c r="J217" s="207"/>
    </row>
    <row r="218" spans="2:12" ht="14.25" thickBot="1" x14ac:dyDescent="0.2">
      <c r="B218" s="2" t="s">
        <v>1</v>
      </c>
      <c r="C218" s="3" t="s">
        <v>25</v>
      </c>
      <c r="D218" s="2" t="s">
        <v>26</v>
      </c>
      <c r="E218" s="19" t="s">
        <v>27</v>
      </c>
      <c r="F218" s="2" t="s">
        <v>2</v>
      </c>
      <c r="G218" s="3" t="s">
        <v>25</v>
      </c>
      <c r="H218" s="2" t="s">
        <v>26</v>
      </c>
      <c r="I218" s="19" t="s">
        <v>27</v>
      </c>
      <c r="J218" s="2" t="s">
        <v>2</v>
      </c>
    </row>
    <row r="219" spans="2:12" x14ac:dyDescent="0.15">
      <c r="B219" s="27" t="s">
        <v>28</v>
      </c>
      <c r="C219" s="72">
        <f>C213</f>
        <v>2</v>
      </c>
      <c r="D219" s="73">
        <f>D213</f>
        <v>4</v>
      </c>
      <c r="E219" s="74">
        <f>E213</f>
        <v>4</v>
      </c>
      <c r="F219" s="18">
        <f>SUM(C219:E219)</f>
        <v>10</v>
      </c>
      <c r="G219" s="72">
        <f>G213</f>
        <v>2</v>
      </c>
      <c r="H219" s="73">
        <f>H213</f>
        <v>2</v>
      </c>
      <c r="I219" s="74">
        <f>I213</f>
        <v>3</v>
      </c>
      <c r="J219" s="18">
        <f>SUM(G219:I219)</f>
        <v>7</v>
      </c>
    </row>
    <row r="220" spans="2:12" x14ac:dyDescent="0.15">
      <c r="B220" s="6" t="s">
        <v>3</v>
      </c>
      <c r="C220" s="10">
        <v>2</v>
      </c>
      <c r="D220" s="10"/>
      <c r="E220" s="11"/>
      <c r="F220" s="5">
        <f t="shared" ref="F220:F255" si="19">SUM(C220:E220)</f>
        <v>2</v>
      </c>
      <c r="G220" s="11">
        <v>2</v>
      </c>
      <c r="H220" s="10">
        <v>2</v>
      </c>
      <c r="I220" s="11"/>
      <c r="J220" s="5">
        <f t="shared" ref="J220:J255" si="20">SUM(G220:I220)</f>
        <v>4</v>
      </c>
      <c r="K220" s="32">
        <v>46029</v>
      </c>
      <c r="L220" s="33"/>
    </row>
    <row r="221" spans="2:12" x14ac:dyDescent="0.15">
      <c r="B221" s="6" t="s">
        <v>3</v>
      </c>
      <c r="C221" s="10"/>
      <c r="D221" s="10"/>
      <c r="E221" s="11"/>
      <c r="F221" s="5">
        <f t="shared" si="19"/>
        <v>0</v>
      </c>
      <c r="G221" s="11"/>
      <c r="H221" s="10"/>
      <c r="I221" s="11">
        <v>2</v>
      </c>
      <c r="J221" s="5">
        <f t="shared" si="20"/>
        <v>2</v>
      </c>
      <c r="K221" s="32">
        <v>46055</v>
      </c>
    </row>
    <row r="222" spans="2:12" x14ac:dyDescent="0.15">
      <c r="B222" s="6" t="s">
        <v>60</v>
      </c>
      <c r="C222" s="10">
        <v>0</v>
      </c>
      <c r="D222" s="10">
        <v>0</v>
      </c>
      <c r="E222" s="11">
        <v>0</v>
      </c>
      <c r="F222" s="5">
        <f t="shared" si="19"/>
        <v>0</v>
      </c>
      <c r="G222" s="11">
        <v>0</v>
      </c>
      <c r="H222" s="10">
        <v>0</v>
      </c>
      <c r="I222" s="11">
        <v>0</v>
      </c>
      <c r="J222" s="5">
        <f t="shared" si="20"/>
        <v>0</v>
      </c>
      <c r="K222" s="37">
        <v>46085</v>
      </c>
    </row>
    <row r="223" spans="2:12" x14ac:dyDescent="0.15">
      <c r="B223" s="6" t="s">
        <v>3</v>
      </c>
      <c r="C223" s="10"/>
      <c r="D223" s="10"/>
      <c r="E223" s="11">
        <v>2</v>
      </c>
      <c r="F223" s="5">
        <f t="shared" si="19"/>
        <v>2</v>
      </c>
      <c r="G223" s="11"/>
      <c r="H223" s="10"/>
      <c r="I223" s="11">
        <v>2</v>
      </c>
      <c r="J223" s="5">
        <f t="shared" si="20"/>
        <v>2</v>
      </c>
      <c r="K223" s="32">
        <v>46094</v>
      </c>
    </row>
    <row r="224" spans="2:12" x14ac:dyDescent="0.15">
      <c r="B224" s="172" t="s">
        <v>3</v>
      </c>
      <c r="C224" s="191"/>
      <c r="D224" s="191">
        <v>3</v>
      </c>
      <c r="E224" s="190"/>
      <c r="F224" s="194">
        <f t="shared" si="19"/>
        <v>3</v>
      </c>
      <c r="G224" s="190"/>
      <c r="H224" s="191">
        <v>3</v>
      </c>
      <c r="I224" s="190"/>
      <c r="J224" s="194">
        <f t="shared" si="20"/>
        <v>3</v>
      </c>
      <c r="K224" s="176">
        <v>46161</v>
      </c>
    </row>
    <row r="225" spans="2:11" x14ac:dyDescent="0.15">
      <c r="B225" s="6" t="s">
        <v>3</v>
      </c>
      <c r="C225" s="10"/>
      <c r="D225" s="10">
        <v>2</v>
      </c>
      <c r="E225" s="11">
        <v>2</v>
      </c>
      <c r="F225" s="5">
        <f t="shared" si="19"/>
        <v>4</v>
      </c>
      <c r="G225" s="11"/>
      <c r="H225" s="10"/>
      <c r="I225" s="11"/>
      <c r="J225" s="5">
        <f t="shared" si="20"/>
        <v>0</v>
      </c>
      <c r="K225" s="32">
        <v>46177</v>
      </c>
    </row>
    <row r="226" spans="2:11" x14ac:dyDescent="0.15">
      <c r="B226" s="6" t="s">
        <v>3</v>
      </c>
      <c r="C226" s="10"/>
      <c r="D226" s="10"/>
      <c r="E226" s="11"/>
      <c r="F226" s="5">
        <f t="shared" si="19"/>
        <v>0</v>
      </c>
      <c r="G226" s="11"/>
      <c r="H226" s="10"/>
      <c r="I226" s="11"/>
      <c r="J226" s="5">
        <f t="shared" si="20"/>
        <v>0</v>
      </c>
    </row>
    <row r="227" spans="2:11" x14ac:dyDescent="0.15">
      <c r="B227" s="6" t="s">
        <v>3</v>
      </c>
      <c r="C227" s="10"/>
      <c r="D227" s="10"/>
      <c r="E227" s="11"/>
      <c r="F227" s="5">
        <f t="shared" si="19"/>
        <v>0</v>
      </c>
      <c r="G227" s="11"/>
      <c r="H227" s="10"/>
      <c r="I227" s="11"/>
      <c r="J227" s="5">
        <f t="shared" si="20"/>
        <v>0</v>
      </c>
    </row>
    <row r="228" spans="2:11" x14ac:dyDescent="0.15">
      <c r="B228" s="6" t="s">
        <v>3</v>
      </c>
      <c r="C228" s="10"/>
      <c r="D228" s="10"/>
      <c r="E228" s="11"/>
      <c r="F228" s="5">
        <f t="shared" si="19"/>
        <v>0</v>
      </c>
      <c r="G228" s="11"/>
      <c r="H228" s="10"/>
      <c r="I228" s="11"/>
      <c r="J228" s="5">
        <f t="shared" si="20"/>
        <v>0</v>
      </c>
    </row>
    <row r="229" spans="2:11" ht="14.25" thickBot="1" x14ac:dyDescent="0.2">
      <c r="B229" s="7" t="s">
        <v>3</v>
      </c>
      <c r="C229" s="14"/>
      <c r="D229" s="13"/>
      <c r="E229" s="14"/>
      <c r="F229" s="20">
        <f t="shared" si="19"/>
        <v>0</v>
      </c>
      <c r="G229" s="14"/>
      <c r="H229" s="13"/>
      <c r="I229" s="14"/>
      <c r="J229" s="20">
        <f t="shared" si="20"/>
        <v>0</v>
      </c>
    </row>
    <row r="230" spans="2:11" ht="14.25" thickBot="1" x14ac:dyDescent="0.2">
      <c r="B230" s="21" t="s">
        <v>4</v>
      </c>
      <c r="C230" s="22">
        <f>SUM(C219:C229)</f>
        <v>4</v>
      </c>
      <c r="D230" s="22">
        <f>SUM(D219:D229)</f>
        <v>9</v>
      </c>
      <c r="E230" s="23">
        <f>SUM(E219:E229)</f>
        <v>8</v>
      </c>
      <c r="F230" s="24">
        <f t="shared" si="19"/>
        <v>21</v>
      </c>
      <c r="G230" s="22">
        <f>SUM(G219:G229)</f>
        <v>4</v>
      </c>
      <c r="H230" s="22">
        <f>SUM(H219:H229)</f>
        <v>7</v>
      </c>
      <c r="I230" s="23">
        <f>SUM(I219:I229)</f>
        <v>7</v>
      </c>
      <c r="J230" s="24">
        <f t="shared" si="20"/>
        <v>18</v>
      </c>
    </row>
    <row r="231" spans="2:11" x14ac:dyDescent="0.15">
      <c r="B231" s="4" t="s">
        <v>16</v>
      </c>
      <c r="C231" s="9"/>
      <c r="D231" s="10"/>
      <c r="E231" s="11">
        <v>2</v>
      </c>
      <c r="F231" s="8">
        <f t="shared" si="19"/>
        <v>2</v>
      </c>
      <c r="G231" s="9"/>
      <c r="H231" s="10"/>
      <c r="I231" s="11">
        <v>2</v>
      </c>
      <c r="J231" s="8">
        <f t="shared" si="20"/>
        <v>2</v>
      </c>
      <c r="K231" s="37">
        <v>46042</v>
      </c>
    </row>
    <row r="232" spans="2:11" x14ac:dyDescent="0.15">
      <c r="B232" s="4" t="s">
        <v>16</v>
      </c>
      <c r="C232" s="9"/>
      <c r="D232" s="10">
        <v>1</v>
      </c>
      <c r="E232" s="11"/>
      <c r="F232" s="8">
        <f t="shared" si="19"/>
        <v>1</v>
      </c>
      <c r="G232" s="9"/>
      <c r="H232" s="10">
        <v>1</v>
      </c>
      <c r="I232" s="11"/>
      <c r="J232" s="8">
        <f t="shared" si="20"/>
        <v>1</v>
      </c>
      <c r="K232" s="37">
        <v>46105</v>
      </c>
    </row>
    <row r="233" spans="2:11" x14ac:dyDescent="0.15">
      <c r="B233" s="4" t="s">
        <v>16</v>
      </c>
      <c r="C233" s="9"/>
      <c r="D233" s="10"/>
      <c r="E233" s="11">
        <v>1</v>
      </c>
      <c r="F233" s="8">
        <f t="shared" si="19"/>
        <v>1</v>
      </c>
      <c r="G233" s="9"/>
      <c r="H233" s="10"/>
      <c r="I233" s="11">
        <v>1</v>
      </c>
      <c r="J233" s="8">
        <f t="shared" si="20"/>
        <v>1</v>
      </c>
      <c r="K233" s="37">
        <v>46140</v>
      </c>
    </row>
    <row r="234" spans="2:11" x14ac:dyDescent="0.15">
      <c r="B234" s="4" t="s">
        <v>16</v>
      </c>
      <c r="C234" s="9"/>
      <c r="D234" s="10"/>
      <c r="E234" s="11">
        <v>1</v>
      </c>
      <c r="F234" s="8">
        <f t="shared" si="19"/>
        <v>1</v>
      </c>
      <c r="G234" s="9"/>
      <c r="H234" s="10"/>
      <c r="I234" s="11">
        <v>1</v>
      </c>
      <c r="J234" s="8">
        <f t="shared" si="20"/>
        <v>1</v>
      </c>
      <c r="K234" s="37">
        <v>46149</v>
      </c>
    </row>
    <row r="235" spans="2:11" x14ac:dyDescent="0.15">
      <c r="B235" s="4" t="s">
        <v>16</v>
      </c>
      <c r="C235" s="9"/>
      <c r="D235" s="10">
        <v>2</v>
      </c>
      <c r="E235" s="11"/>
      <c r="F235" s="8">
        <f t="shared" si="19"/>
        <v>2</v>
      </c>
      <c r="G235" s="9"/>
      <c r="H235" s="10">
        <v>2</v>
      </c>
      <c r="I235" s="11"/>
      <c r="J235" s="8">
        <f t="shared" si="20"/>
        <v>2</v>
      </c>
      <c r="K235" s="37">
        <v>46150</v>
      </c>
    </row>
    <row r="236" spans="2:11" x14ac:dyDescent="0.15">
      <c r="B236" s="4" t="s">
        <v>16</v>
      </c>
      <c r="C236" s="9"/>
      <c r="D236" s="10">
        <v>2</v>
      </c>
      <c r="E236" s="11"/>
      <c r="F236" s="8">
        <f t="shared" si="19"/>
        <v>2</v>
      </c>
      <c r="G236" s="9"/>
      <c r="H236" s="10"/>
      <c r="I236" s="11"/>
      <c r="J236" s="8">
        <f t="shared" si="20"/>
        <v>0</v>
      </c>
      <c r="K236" s="37">
        <v>46169</v>
      </c>
    </row>
    <row r="237" spans="2:11" x14ac:dyDescent="0.15">
      <c r="B237" s="4" t="s">
        <v>16</v>
      </c>
      <c r="C237" s="9">
        <v>1</v>
      </c>
      <c r="D237" s="10"/>
      <c r="E237" s="11"/>
      <c r="F237" s="8">
        <f t="shared" si="19"/>
        <v>1</v>
      </c>
      <c r="G237" s="9">
        <v>1</v>
      </c>
      <c r="H237" s="10"/>
      <c r="I237" s="11"/>
      <c r="J237" s="8">
        <f t="shared" si="20"/>
        <v>1</v>
      </c>
      <c r="K237" s="37">
        <v>46191</v>
      </c>
    </row>
    <row r="238" spans="2:11" x14ac:dyDescent="0.15">
      <c r="B238" s="4"/>
      <c r="C238" s="9"/>
      <c r="D238" s="10"/>
      <c r="E238" s="11"/>
      <c r="F238" s="8">
        <f t="shared" si="19"/>
        <v>0</v>
      </c>
      <c r="G238" s="9"/>
      <c r="H238" s="10"/>
      <c r="I238" s="11"/>
      <c r="J238" s="8">
        <f t="shared" si="20"/>
        <v>0</v>
      </c>
    </row>
    <row r="239" spans="2:11" x14ac:dyDescent="0.15">
      <c r="B239" s="4"/>
      <c r="C239" s="9"/>
      <c r="D239" s="10"/>
      <c r="E239" s="11"/>
      <c r="F239" s="8">
        <f t="shared" si="19"/>
        <v>0</v>
      </c>
      <c r="G239" s="9"/>
      <c r="H239" s="10"/>
      <c r="I239" s="11"/>
      <c r="J239" s="8">
        <f t="shared" si="20"/>
        <v>0</v>
      </c>
    </row>
    <row r="240" spans="2:11" x14ac:dyDescent="0.15">
      <c r="B240" s="4"/>
      <c r="C240" s="9"/>
      <c r="D240" s="10"/>
      <c r="E240" s="11"/>
      <c r="F240" s="8">
        <f t="shared" si="19"/>
        <v>0</v>
      </c>
      <c r="G240" s="9"/>
      <c r="H240" s="10"/>
      <c r="I240" s="11"/>
      <c r="J240" s="8">
        <f t="shared" si="20"/>
        <v>0</v>
      </c>
    </row>
    <row r="241" spans="2:10" x14ac:dyDescent="0.15">
      <c r="B241" s="4"/>
      <c r="C241" s="9"/>
      <c r="D241" s="10"/>
      <c r="E241" s="11"/>
      <c r="F241" s="8">
        <f t="shared" si="19"/>
        <v>0</v>
      </c>
      <c r="G241" s="9"/>
      <c r="H241" s="10"/>
      <c r="I241" s="11"/>
      <c r="J241" s="8">
        <f t="shared" si="20"/>
        <v>0</v>
      </c>
    </row>
    <row r="242" spans="2:10" x14ac:dyDescent="0.15">
      <c r="B242" s="4"/>
      <c r="C242" s="9"/>
      <c r="D242" s="10"/>
      <c r="E242" s="11"/>
      <c r="F242" s="8">
        <f t="shared" si="19"/>
        <v>0</v>
      </c>
      <c r="G242" s="9"/>
      <c r="H242" s="10"/>
      <c r="I242" s="11"/>
      <c r="J242" s="8">
        <f t="shared" si="20"/>
        <v>0</v>
      </c>
    </row>
    <row r="243" spans="2:10" x14ac:dyDescent="0.15">
      <c r="B243" s="4"/>
      <c r="C243" s="9"/>
      <c r="D243" s="10"/>
      <c r="E243" s="11"/>
      <c r="F243" s="8">
        <f t="shared" si="19"/>
        <v>0</v>
      </c>
      <c r="G243" s="9"/>
      <c r="H243" s="10"/>
      <c r="I243" s="11"/>
      <c r="J243" s="8">
        <f t="shared" si="20"/>
        <v>0</v>
      </c>
    </row>
    <row r="244" spans="2:10" x14ac:dyDescent="0.15">
      <c r="B244" s="4"/>
      <c r="C244" s="9"/>
      <c r="D244" s="10"/>
      <c r="E244" s="11"/>
      <c r="F244" s="8">
        <f t="shared" si="19"/>
        <v>0</v>
      </c>
      <c r="G244" s="9"/>
      <c r="H244" s="10"/>
      <c r="I244" s="11"/>
      <c r="J244" s="8">
        <f t="shared" si="20"/>
        <v>0</v>
      </c>
    </row>
    <row r="245" spans="2:10" x14ac:dyDescent="0.15">
      <c r="B245" s="4"/>
      <c r="C245" s="9"/>
      <c r="D245" s="10"/>
      <c r="E245" s="11"/>
      <c r="F245" s="8">
        <f t="shared" si="19"/>
        <v>0</v>
      </c>
      <c r="G245" s="9"/>
      <c r="H245" s="10"/>
      <c r="I245" s="11"/>
      <c r="J245" s="8">
        <f t="shared" si="20"/>
        <v>0</v>
      </c>
    </row>
    <row r="246" spans="2:10" x14ac:dyDescent="0.15">
      <c r="B246" s="4"/>
      <c r="C246" s="9"/>
      <c r="D246" s="10"/>
      <c r="E246" s="11"/>
      <c r="F246" s="8">
        <f t="shared" si="19"/>
        <v>0</v>
      </c>
      <c r="G246" s="9"/>
      <c r="H246" s="10"/>
      <c r="I246" s="11"/>
      <c r="J246" s="8">
        <f t="shared" si="20"/>
        <v>0</v>
      </c>
    </row>
    <row r="247" spans="2:10" x14ac:dyDescent="0.15">
      <c r="B247" s="4"/>
      <c r="C247" s="9"/>
      <c r="D247" s="10"/>
      <c r="E247" s="11"/>
      <c r="F247" s="8">
        <f t="shared" si="19"/>
        <v>0</v>
      </c>
      <c r="G247" s="9"/>
      <c r="H247" s="10"/>
      <c r="I247" s="11"/>
      <c r="J247" s="8">
        <f t="shared" si="20"/>
        <v>0</v>
      </c>
    </row>
    <row r="248" spans="2:10" x14ac:dyDescent="0.15">
      <c r="B248" s="4"/>
      <c r="C248" s="9"/>
      <c r="D248" s="10"/>
      <c r="E248" s="11"/>
      <c r="F248" s="8">
        <f t="shared" si="19"/>
        <v>0</v>
      </c>
      <c r="G248" s="9"/>
      <c r="H248" s="10"/>
      <c r="I248" s="11"/>
      <c r="J248" s="8">
        <f t="shared" si="20"/>
        <v>0</v>
      </c>
    </row>
    <row r="249" spans="2:10" x14ac:dyDescent="0.15">
      <c r="B249" s="4"/>
      <c r="C249" s="9"/>
      <c r="D249" s="10"/>
      <c r="E249" s="11"/>
      <c r="F249" s="8">
        <f t="shared" si="19"/>
        <v>0</v>
      </c>
      <c r="G249" s="9"/>
      <c r="H249" s="10"/>
      <c r="I249" s="11"/>
      <c r="J249" s="8">
        <f t="shared" si="20"/>
        <v>0</v>
      </c>
    </row>
    <row r="250" spans="2:10" x14ac:dyDescent="0.15">
      <c r="B250" s="4"/>
      <c r="C250" s="9"/>
      <c r="D250" s="10"/>
      <c r="E250" s="11"/>
      <c r="F250" s="8">
        <f t="shared" si="19"/>
        <v>0</v>
      </c>
      <c r="G250" s="9"/>
      <c r="H250" s="10"/>
      <c r="I250" s="11"/>
      <c r="J250" s="8">
        <f t="shared" si="20"/>
        <v>0</v>
      </c>
    </row>
    <row r="251" spans="2:10" x14ac:dyDescent="0.15">
      <c r="B251" s="4"/>
      <c r="C251" s="9"/>
      <c r="D251" s="10"/>
      <c r="E251" s="11"/>
      <c r="F251" s="8">
        <f t="shared" si="19"/>
        <v>0</v>
      </c>
      <c r="G251" s="9"/>
      <c r="H251" s="10"/>
      <c r="I251" s="11"/>
      <c r="J251" s="8">
        <f t="shared" si="20"/>
        <v>0</v>
      </c>
    </row>
    <row r="252" spans="2:10" x14ac:dyDescent="0.15">
      <c r="B252" s="4"/>
      <c r="C252" s="9"/>
      <c r="D252" s="10"/>
      <c r="E252" s="11"/>
      <c r="F252" s="8">
        <f t="shared" si="19"/>
        <v>0</v>
      </c>
      <c r="G252" s="9"/>
      <c r="H252" s="10"/>
      <c r="I252" s="11"/>
      <c r="J252" s="8">
        <f t="shared" si="20"/>
        <v>0</v>
      </c>
    </row>
    <row r="253" spans="2:10" x14ac:dyDescent="0.15">
      <c r="B253" s="4"/>
      <c r="C253" s="9"/>
      <c r="D253" s="10"/>
      <c r="E253" s="11"/>
      <c r="F253" s="8">
        <f t="shared" si="19"/>
        <v>0</v>
      </c>
      <c r="G253" s="9"/>
      <c r="H253" s="10"/>
      <c r="I253" s="11"/>
      <c r="J253" s="8">
        <f t="shared" si="20"/>
        <v>0</v>
      </c>
    </row>
    <row r="254" spans="2:10" ht="14.25" thickBot="1" x14ac:dyDescent="0.2">
      <c r="B254" s="4"/>
      <c r="C254" s="9"/>
      <c r="D254" s="10"/>
      <c r="E254" s="11"/>
      <c r="F254" s="8">
        <f t="shared" si="19"/>
        <v>0</v>
      </c>
      <c r="G254" s="9"/>
      <c r="H254" s="10"/>
      <c r="I254" s="11"/>
      <c r="J254" s="8">
        <f t="shared" si="20"/>
        <v>0</v>
      </c>
    </row>
    <row r="255" spans="2:10" ht="14.25" thickBot="1" x14ac:dyDescent="0.2">
      <c r="B255" s="3" t="s">
        <v>5</v>
      </c>
      <c r="C255" s="15">
        <f>SUM(C231:C254)</f>
        <v>1</v>
      </c>
      <c r="D255" s="15">
        <f>SUM(D231:D254)</f>
        <v>5</v>
      </c>
      <c r="E255" s="15">
        <f>SUM(E231:E254)</f>
        <v>4</v>
      </c>
      <c r="F255" s="16">
        <f t="shared" si="19"/>
        <v>10</v>
      </c>
      <c r="G255" s="15">
        <f>SUM(G231:G254)</f>
        <v>1</v>
      </c>
      <c r="H255" s="15">
        <f>SUM(H231:H254)</f>
        <v>3</v>
      </c>
      <c r="I255" s="15">
        <f>SUM(I231:I254)</f>
        <v>4</v>
      </c>
      <c r="J255" s="16">
        <f t="shared" si="20"/>
        <v>8</v>
      </c>
    </row>
    <row r="256" spans="2:10" ht="14.25" thickBot="1" x14ac:dyDescent="0.2">
      <c r="B256" s="25" t="s">
        <v>6</v>
      </c>
      <c r="C256" s="26">
        <f t="shared" ref="C256:J256" si="21">C230-C255</f>
        <v>3</v>
      </c>
      <c r="D256" s="26">
        <f t="shared" si="21"/>
        <v>4</v>
      </c>
      <c r="E256" s="26">
        <f t="shared" si="21"/>
        <v>4</v>
      </c>
      <c r="F256" s="26">
        <f t="shared" si="21"/>
        <v>11</v>
      </c>
      <c r="G256" s="26">
        <f t="shared" si="21"/>
        <v>3</v>
      </c>
      <c r="H256" s="26">
        <f t="shared" si="21"/>
        <v>4</v>
      </c>
      <c r="I256" s="26">
        <f t="shared" si="21"/>
        <v>3</v>
      </c>
      <c r="J256" s="24">
        <f t="shared" si="21"/>
        <v>10</v>
      </c>
    </row>
  </sheetData>
  <mergeCells count="12">
    <mergeCell ref="C217:F217"/>
    <mergeCell ref="G217:J217"/>
    <mergeCell ref="C174:F174"/>
    <mergeCell ref="G174:J174"/>
    <mergeCell ref="C131:F131"/>
    <mergeCell ref="G131:J131"/>
    <mergeCell ref="C2:F2"/>
    <mergeCell ref="G2:J2"/>
    <mergeCell ref="C45:F45"/>
    <mergeCell ref="G45:J45"/>
    <mergeCell ref="C88:F88"/>
    <mergeCell ref="G88:J88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</sheetPr>
  <dimension ref="B1:M256"/>
  <sheetViews>
    <sheetView topLeftCell="A215" zoomScale="90" zoomScaleNormal="90" workbookViewId="0">
      <selection activeCell="K249" sqref="K249"/>
    </sheetView>
  </sheetViews>
  <sheetFormatPr defaultRowHeight="13.5" x14ac:dyDescent="0.15"/>
  <cols>
    <col min="2" max="2" width="16.5" customWidth="1"/>
    <col min="11" max="11" width="9.25" bestFit="1" customWidth="1"/>
  </cols>
  <sheetData>
    <row r="1" spans="2:12" ht="19.5" thickBot="1" x14ac:dyDescent="0.25">
      <c r="B1" s="66" t="s">
        <v>50</v>
      </c>
      <c r="C1" s="1"/>
      <c r="D1" s="1"/>
      <c r="F1" s="1"/>
      <c r="G1" s="1" t="s">
        <v>51</v>
      </c>
      <c r="H1" s="67"/>
      <c r="I1" s="67"/>
      <c r="J1" s="67"/>
    </row>
    <row r="2" spans="2:12" ht="14.25" thickBot="1" x14ac:dyDescent="0.2">
      <c r="B2" s="2" t="s">
        <v>0</v>
      </c>
      <c r="C2" s="206" t="s">
        <v>56</v>
      </c>
      <c r="D2" s="206"/>
      <c r="E2" s="206"/>
      <c r="F2" s="207"/>
      <c r="G2" s="206" t="s">
        <v>34</v>
      </c>
      <c r="H2" s="206"/>
      <c r="I2" s="206"/>
      <c r="J2" s="207"/>
    </row>
    <row r="3" spans="2:12" ht="14.25" thickBot="1" x14ac:dyDescent="0.2">
      <c r="B3" s="2" t="s">
        <v>1</v>
      </c>
      <c r="C3" s="3" t="s">
        <v>25</v>
      </c>
      <c r="D3" s="2" t="s">
        <v>26</v>
      </c>
      <c r="E3" s="19" t="s">
        <v>27</v>
      </c>
      <c r="F3" s="2" t="s">
        <v>2</v>
      </c>
      <c r="G3" s="3" t="s">
        <v>25</v>
      </c>
      <c r="H3" s="2" t="s">
        <v>26</v>
      </c>
      <c r="I3" s="19" t="s">
        <v>27</v>
      </c>
      <c r="J3" s="2" t="s">
        <v>2</v>
      </c>
    </row>
    <row r="4" spans="2:12" x14ac:dyDescent="0.15">
      <c r="B4" s="6" t="s">
        <v>23</v>
      </c>
      <c r="C4" s="68">
        <v>1</v>
      </c>
      <c r="D4" s="69"/>
      <c r="E4" s="70"/>
      <c r="F4" s="5">
        <f>SUM(C4:E4)</f>
        <v>1</v>
      </c>
      <c r="G4" s="68">
        <v>1</v>
      </c>
      <c r="H4" s="69"/>
      <c r="I4" s="70"/>
      <c r="J4" s="5">
        <f>SUM(G4:I4)</f>
        <v>1</v>
      </c>
      <c r="K4" s="32">
        <v>44147</v>
      </c>
      <c r="L4" s="33"/>
    </row>
    <row r="5" spans="2:12" x14ac:dyDescent="0.15">
      <c r="B5" s="6" t="s">
        <v>3</v>
      </c>
      <c r="C5" s="17"/>
      <c r="D5" s="12"/>
      <c r="E5" s="17"/>
      <c r="F5" s="5">
        <f t="shared" ref="F5:F40" si="0">SUM(C5:E5)</f>
        <v>0</v>
      </c>
      <c r="G5" s="17"/>
      <c r="H5" s="12">
        <v>2</v>
      </c>
      <c r="I5" s="17"/>
      <c r="J5" s="5">
        <f t="shared" ref="J5:J40" si="1">SUM(G5:I5)</f>
        <v>2</v>
      </c>
      <c r="K5" s="32">
        <v>44203</v>
      </c>
    </row>
    <row r="6" spans="2:12" x14ac:dyDescent="0.15">
      <c r="B6" s="6" t="s">
        <v>3</v>
      </c>
      <c r="C6" s="17"/>
      <c r="D6" s="12">
        <v>1</v>
      </c>
      <c r="E6" s="17"/>
      <c r="F6" s="5">
        <f t="shared" si="0"/>
        <v>1</v>
      </c>
      <c r="G6" s="17"/>
      <c r="H6" s="12">
        <v>1</v>
      </c>
      <c r="I6" s="17"/>
      <c r="J6" s="5">
        <f t="shared" si="1"/>
        <v>1</v>
      </c>
      <c r="K6" s="32">
        <v>44209</v>
      </c>
    </row>
    <row r="7" spans="2:12" x14ac:dyDescent="0.15">
      <c r="B7" s="6" t="s">
        <v>3</v>
      </c>
      <c r="C7" s="17">
        <v>2</v>
      </c>
      <c r="D7" s="12"/>
      <c r="E7" s="17"/>
      <c r="F7" s="5">
        <f t="shared" si="0"/>
        <v>2</v>
      </c>
      <c r="G7" s="17"/>
      <c r="H7" s="12"/>
      <c r="I7" s="17"/>
      <c r="J7" s="5">
        <f t="shared" si="1"/>
        <v>0</v>
      </c>
      <c r="K7" s="32">
        <v>44222</v>
      </c>
    </row>
    <row r="8" spans="2:12" x14ac:dyDescent="0.15">
      <c r="B8" s="6" t="s">
        <v>3</v>
      </c>
      <c r="C8" s="17">
        <v>1</v>
      </c>
      <c r="D8" s="12">
        <v>1</v>
      </c>
      <c r="E8" s="17">
        <v>2</v>
      </c>
      <c r="F8" s="5">
        <f t="shared" si="0"/>
        <v>4</v>
      </c>
      <c r="G8" s="17">
        <v>1</v>
      </c>
      <c r="H8" s="12">
        <v>1</v>
      </c>
      <c r="I8" s="17">
        <v>4</v>
      </c>
      <c r="J8" s="5">
        <f t="shared" si="1"/>
        <v>6</v>
      </c>
      <c r="K8" s="32">
        <v>44264</v>
      </c>
    </row>
    <row r="9" spans="2:12" x14ac:dyDescent="0.15">
      <c r="B9" s="6" t="s">
        <v>3</v>
      </c>
      <c r="C9" s="17">
        <v>1</v>
      </c>
      <c r="D9" s="12">
        <v>3</v>
      </c>
      <c r="E9" s="17"/>
      <c r="F9" s="5">
        <f t="shared" si="0"/>
        <v>4</v>
      </c>
      <c r="G9" s="17">
        <v>1</v>
      </c>
      <c r="H9" s="12">
        <v>3</v>
      </c>
      <c r="I9" s="17"/>
      <c r="J9" s="5">
        <f t="shared" si="1"/>
        <v>4</v>
      </c>
      <c r="K9" s="32">
        <v>44309</v>
      </c>
    </row>
    <row r="10" spans="2:12" x14ac:dyDescent="0.15">
      <c r="B10" s="6" t="s">
        <v>3</v>
      </c>
      <c r="C10" s="17">
        <v>2</v>
      </c>
      <c r="D10" s="12"/>
      <c r="E10" s="17"/>
      <c r="F10" s="5">
        <f t="shared" si="0"/>
        <v>2</v>
      </c>
      <c r="G10" s="17">
        <v>2</v>
      </c>
      <c r="H10" s="12"/>
      <c r="I10" s="17"/>
      <c r="J10" s="5">
        <f t="shared" si="1"/>
        <v>2</v>
      </c>
      <c r="K10" s="32">
        <v>44327</v>
      </c>
      <c r="L10" s="33"/>
    </row>
    <row r="11" spans="2:12" x14ac:dyDescent="0.15">
      <c r="B11" s="6" t="s">
        <v>3</v>
      </c>
      <c r="C11" s="11"/>
      <c r="D11" s="10"/>
      <c r="E11" s="11">
        <v>1</v>
      </c>
      <c r="F11" s="5">
        <f t="shared" si="0"/>
        <v>1</v>
      </c>
      <c r="G11" s="11"/>
      <c r="H11" s="10"/>
      <c r="I11" s="11">
        <v>1</v>
      </c>
      <c r="J11" s="5">
        <f t="shared" si="1"/>
        <v>1</v>
      </c>
      <c r="K11" s="32">
        <v>44355</v>
      </c>
      <c r="L11" s="33"/>
    </row>
    <row r="12" spans="2:12" x14ac:dyDescent="0.15">
      <c r="B12" s="6" t="s">
        <v>3</v>
      </c>
      <c r="C12" s="11">
        <v>1</v>
      </c>
      <c r="D12" s="10"/>
      <c r="E12" s="11"/>
      <c r="F12" s="5">
        <f t="shared" si="0"/>
        <v>1</v>
      </c>
      <c r="G12" s="11">
        <v>1</v>
      </c>
      <c r="H12" s="10"/>
      <c r="I12" s="11"/>
      <c r="J12" s="5">
        <f t="shared" si="1"/>
        <v>1</v>
      </c>
      <c r="K12" s="32">
        <v>44361</v>
      </c>
    </row>
    <row r="13" spans="2:12" x14ac:dyDescent="0.15">
      <c r="B13" s="6" t="s">
        <v>3</v>
      </c>
      <c r="C13" s="11"/>
      <c r="D13" s="10"/>
      <c r="E13" s="11">
        <v>2</v>
      </c>
      <c r="F13" s="5">
        <f t="shared" si="0"/>
        <v>2</v>
      </c>
      <c r="G13" s="11"/>
      <c r="H13" s="10"/>
      <c r="I13" s="11">
        <v>2</v>
      </c>
      <c r="J13" s="5">
        <f t="shared" si="1"/>
        <v>2</v>
      </c>
      <c r="K13" s="32">
        <v>44383</v>
      </c>
    </row>
    <row r="14" spans="2:12" ht="14.25" thickBot="1" x14ac:dyDescent="0.2">
      <c r="B14" s="7" t="s">
        <v>3</v>
      </c>
      <c r="C14" s="14">
        <v>4</v>
      </c>
      <c r="D14" s="13"/>
      <c r="E14" s="14"/>
      <c r="F14" s="20">
        <f t="shared" si="0"/>
        <v>4</v>
      </c>
      <c r="G14" s="14">
        <v>4</v>
      </c>
      <c r="H14" s="13"/>
      <c r="I14" s="14"/>
      <c r="J14" s="20">
        <f t="shared" si="1"/>
        <v>4</v>
      </c>
      <c r="K14" s="32">
        <v>44463</v>
      </c>
    </row>
    <row r="15" spans="2:12" ht="14.25" thickBot="1" x14ac:dyDescent="0.2">
      <c r="B15" s="21" t="s">
        <v>4</v>
      </c>
      <c r="C15" s="22">
        <f>SUM(C4:C14)</f>
        <v>12</v>
      </c>
      <c r="D15" s="22">
        <f>SUM(D4:D14)</f>
        <v>5</v>
      </c>
      <c r="E15" s="23">
        <f>SUM(E4:E14)</f>
        <v>5</v>
      </c>
      <c r="F15" s="24">
        <f t="shared" si="0"/>
        <v>22</v>
      </c>
      <c r="G15" s="22">
        <f>SUM(G4:G14)</f>
        <v>10</v>
      </c>
      <c r="H15" s="22">
        <f>SUM(H4:H14)</f>
        <v>7</v>
      </c>
      <c r="I15" s="23">
        <f>SUM(I4:I14)</f>
        <v>7</v>
      </c>
      <c r="J15" s="24">
        <f t="shared" si="1"/>
        <v>24</v>
      </c>
    </row>
    <row r="16" spans="2:12" x14ac:dyDescent="0.15">
      <c r="B16" s="4" t="s">
        <v>52</v>
      </c>
      <c r="C16" s="9">
        <v>1</v>
      </c>
      <c r="D16" s="10"/>
      <c r="E16" s="11"/>
      <c r="F16" s="5">
        <f t="shared" si="0"/>
        <v>1</v>
      </c>
      <c r="G16" s="9">
        <v>1</v>
      </c>
      <c r="H16" s="10"/>
      <c r="I16" s="11"/>
      <c r="J16" s="5">
        <f t="shared" si="1"/>
        <v>1</v>
      </c>
      <c r="K16" s="37">
        <v>44147</v>
      </c>
    </row>
    <row r="17" spans="2:11" x14ac:dyDescent="0.15">
      <c r="B17" s="4" t="s">
        <v>16</v>
      </c>
      <c r="C17" s="9"/>
      <c r="D17" s="10"/>
      <c r="E17" s="11"/>
      <c r="F17" s="5">
        <f t="shared" si="0"/>
        <v>0</v>
      </c>
      <c r="G17" s="9"/>
      <c r="H17" s="10">
        <v>2</v>
      </c>
      <c r="I17" s="11"/>
      <c r="J17" s="5">
        <f t="shared" si="1"/>
        <v>2</v>
      </c>
      <c r="K17" s="37">
        <v>44203</v>
      </c>
    </row>
    <row r="18" spans="2:11" x14ac:dyDescent="0.15">
      <c r="B18" s="4" t="s">
        <v>16</v>
      </c>
      <c r="C18" s="9"/>
      <c r="D18" s="10">
        <v>1</v>
      </c>
      <c r="E18" s="11"/>
      <c r="F18" s="5">
        <f t="shared" si="0"/>
        <v>1</v>
      </c>
      <c r="G18" s="9"/>
      <c r="H18" s="10">
        <v>1</v>
      </c>
      <c r="I18" s="11"/>
      <c r="J18" s="5">
        <f t="shared" si="1"/>
        <v>1</v>
      </c>
      <c r="K18" s="37">
        <v>44209</v>
      </c>
    </row>
    <row r="19" spans="2:11" x14ac:dyDescent="0.15">
      <c r="B19" s="4" t="s">
        <v>16</v>
      </c>
      <c r="C19" s="9">
        <v>2</v>
      </c>
      <c r="D19" s="10"/>
      <c r="E19" s="11"/>
      <c r="F19" s="5">
        <f t="shared" si="0"/>
        <v>2</v>
      </c>
      <c r="G19" s="9"/>
      <c r="H19" s="10"/>
      <c r="I19" s="11"/>
      <c r="J19" s="5">
        <f t="shared" si="1"/>
        <v>0</v>
      </c>
      <c r="K19" s="37">
        <v>44222</v>
      </c>
    </row>
    <row r="20" spans="2:11" x14ac:dyDescent="0.15">
      <c r="B20" s="4" t="s">
        <v>16</v>
      </c>
      <c r="C20" s="9"/>
      <c r="D20" s="10"/>
      <c r="E20" s="11">
        <f>1+1</f>
        <v>2</v>
      </c>
      <c r="F20" s="5">
        <f t="shared" si="0"/>
        <v>2</v>
      </c>
      <c r="G20" s="9"/>
      <c r="H20" s="10"/>
      <c r="I20" s="11">
        <f>1+1+2</f>
        <v>4</v>
      </c>
      <c r="J20" s="5">
        <f t="shared" si="1"/>
        <v>4</v>
      </c>
      <c r="K20" s="37">
        <v>44264</v>
      </c>
    </row>
    <row r="21" spans="2:11" x14ac:dyDescent="0.15">
      <c r="B21" s="4" t="s">
        <v>16</v>
      </c>
      <c r="C21" s="9"/>
      <c r="D21" s="10">
        <v>2</v>
      </c>
      <c r="E21" s="11"/>
      <c r="F21" s="8">
        <f t="shared" si="0"/>
        <v>2</v>
      </c>
      <c r="G21" s="9"/>
      <c r="H21" s="10">
        <v>2</v>
      </c>
      <c r="I21" s="11"/>
      <c r="J21" s="8">
        <f t="shared" si="1"/>
        <v>2</v>
      </c>
      <c r="K21" s="37">
        <v>44309</v>
      </c>
    </row>
    <row r="22" spans="2:11" x14ac:dyDescent="0.15">
      <c r="B22" s="4" t="s">
        <v>16</v>
      </c>
      <c r="C22" s="9">
        <v>2</v>
      </c>
      <c r="D22" s="10"/>
      <c r="E22" s="11"/>
      <c r="F22" s="8">
        <f t="shared" si="0"/>
        <v>2</v>
      </c>
      <c r="G22" s="9">
        <v>2</v>
      </c>
      <c r="H22" s="10"/>
      <c r="I22" s="11"/>
      <c r="J22" s="8">
        <f t="shared" si="1"/>
        <v>2</v>
      </c>
      <c r="K22" s="37">
        <v>44327</v>
      </c>
    </row>
    <row r="23" spans="2:11" x14ac:dyDescent="0.15">
      <c r="B23" s="4" t="s">
        <v>16</v>
      </c>
      <c r="C23" s="9">
        <v>1</v>
      </c>
      <c r="D23" s="10"/>
      <c r="E23" s="11"/>
      <c r="F23" s="8">
        <f t="shared" ref="F23:F24" si="2">SUM(C23:E23)</f>
        <v>1</v>
      </c>
      <c r="G23" s="9">
        <v>1</v>
      </c>
      <c r="H23" s="10"/>
      <c r="I23" s="11"/>
      <c r="J23" s="8">
        <f t="shared" ref="J23:J24" si="3">SUM(G23:I23)</f>
        <v>1</v>
      </c>
      <c r="K23" s="37">
        <v>44354</v>
      </c>
    </row>
    <row r="24" spans="2:11" x14ac:dyDescent="0.15">
      <c r="B24" s="4" t="s">
        <v>16</v>
      </c>
      <c r="C24" s="9"/>
      <c r="D24" s="10"/>
      <c r="E24" s="11">
        <v>1</v>
      </c>
      <c r="F24" s="8">
        <f t="shared" si="2"/>
        <v>1</v>
      </c>
      <c r="G24" s="9"/>
      <c r="H24" s="10"/>
      <c r="I24" s="11">
        <v>1</v>
      </c>
      <c r="J24" s="8">
        <f t="shared" si="3"/>
        <v>1</v>
      </c>
      <c r="K24" s="37">
        <v>44355</v>
      </c>
    </row>
    <row r="25" spans="2:11" x14ac:dyDescent="0.15">
      <c r="B25" s="4" t="s">
        <v>16</v>
      </c>
      <c r="C25" s="9">
        <v>4</v>
      </c>
      <c r="D25" s="10"/>
      <c r="E25" s="11"/>
      <c r="F25" s="8">
        <f t="shared" si="0"/>
        <v>4</v>
      </c>
      <c r="G25" s="9">
        <v>4</v>
      </c>
      <c r="H25" s="10"/>
      <c r="I25" s="11"/>
      <c r="J25" s="8">
        <f t="shared" si="1"/>
        <v>4</v>
      </c>
      <c r="K25" s="37">
        <v>44463</v>
      </c>
    </row>
    <row r="26" spans="2:11" x14ac:dyDescent="0.15">
      <c r="B26" s="4" t="s">
        <v>16</v>
      </c>
      <c r="C26" s="9">
        <v>1</v>
      </c>
      <c r="D26" s="10"/>
      <c r="E26" s="11"/>
      <c r="F26" s="8">
        <f t="shared" si="0"/>
        <v>1</v>
      </c>
      <c r="G26" s="9">
        <v>1</v>
      </c>
      <c r="H26" s="10"/>
      <c r="I26" s="11"/>
      <c r="J26" s="8">
        <f t="shared" si="1"/>
        <v>1</v>
      </c>
      <c r="K26" s="37">
        <v>44466</v>
      </c>
    </row>
    <row r="27" spans="2:11" x14ac:dyDescent="0.15">
      <c r="B27" s="4" t="s">
        <v>16</v>
      </c>
      <c r="C27" s="9"/>
      <c r="D27" s="10">
        <v>2</v>
      </c>
      <c r="E27" s="11"/>
      <c r="F27" s="8">
        <f t="shared" si="0"/>
        <v>2</v>
      </c>
      <c r="G27" s="9"/>
      <c r="H27" s="10">
        <v>2</v>
      </c>
      <c r="I27" s="11"/>
      <c r="J27" s="8">
        <f t="shared" si="1"/>
        <v>2</v>
      </c>
      <c r="K27" s="37">
        <v>44515</v>
      </c>
    </row>
    <row r="28" spans="2:11" x14ac:dyDescent="0.15">
      <c r="B28" s="4"/>
      <c r="C28" s="9"/>
      <c r="D28" s="10"/>
      <c r="E28" s="11"/>
      <c r="F28" s="8">
        <f t="shared" si="0"/>
        <v>0</v>
      </c>
      <c r="G28" s="9"/>
      <c r="H28" s="10"/>
      <c r="I28" s="11"/>
      <c r="J28" s="8">
        <f t="shared" si="1"/>
        <v>0</v>
      </c>
    </row>
    <row r="29" spans="2:11" x14ac:dyDescent="0.15">
      <c r="B29" s="12"/>
      <c r="C29" s="9"/>
      <c r="D29" s="10"/>
      <c r="E29" s="11"/>
      <c r="F29" s="8">
        <f t="shared" si="0"/>
        <v>0</v>
      </c>
      <c r="G29" s="9"/>
      <c r="H29" s="10"/>
      <c r="I29" s="11"/>
      <c r="J29" s="8">
        <f t="shared" si="1"/>
        <v>0</v>
      </c>
    </row>
    <row r="30" spans="2:11" x14ac:dyDescent="0.15">
      <c r="B30" s="4"/>
      <c r="C30" s="9"/>
      <c r="D30" s="10"/>
      <c r="E30" s="11"/>
      <c r="F30" s="8">
        <f t="shared" si="0"/>
        <v>0</v>
      </c>
      <c r="G30" s="9"/>
      <c r="H30" s="10"/>
      <c r="I30" s="11"/>
      <c r="J30" s="8">
        <f t="shared" si="1"/>
        <v>0</v>
      </c>
    </row>
    <row r="31" spans="2:11" x14ac:dyDescent="0.15">
      <c r="B31" s="4"/>
      <c r="C31" s="9"/>
      <c r="D31" s="10"/>
      <c r="E31" s="11"/>
      <c r="F31" s="8">
        <f t="shared" si="0"/>
        <v>0</v>
      </c>
      <c r="G31" s="9"/>
      <c r="H31" s="10"/>
      <c r="I31" s="11"/>
      <c r="J31" s="8">
        <f t="shared" si="1"/>
        <v>0</v>
      </c>
    </row>
    <row r="32" spans="2:11" x14ac:dyDescent="0.15">
      <c r="B32" s="12"/>
      <c r="C32" s="9"/>
      <c r="D32" s="10"/>
      <c r="E32" s="11"/>
      <c r="F32" s="8">
        <f t="shared" si="0"/>
        <v>0</v>
      </c>
      <c r="G32" s="9"/>
      <c r="H32" s="10"/>
      <c r="I32" s="11"/>
      <c r="J32" s="8">
        <f t="shared" si="1"/>
        <v>0</v>
      </c>
    </row>
    <row r="33" spans="2:12" x14ac:dyDescent="0.15">
      <c r="B33" s="4"/>
      <c r="C33" s="9"/>
      <c r="D33" s="10"/>
      <c r="E33" s="11"/>
      <c r="F33" s="8">
        <f t="shared" si="0"/>
        <v>0</v>
      </c>
      <c r="G33" s="9"/>
      <c r="H33" s="10"/>
      <c r="I33" s="11"/>
      <c r="J33" s="8">
        <f t="shared" si="1"/>
        <v>0</v>
      </c>
    </row>
    <row r="34" spans="2:12" x14ac:dyDescent="0.15">
      <c r="B34" s="71"/>
      <c r="C34" s="9"/>
      <c r="D34" s="10"/>
      <c r="E34" s="11"/>
      <c r="F34" s="8">
        <f t="shared" si="0"/>
        <v>0</v>
      </c>
      <c r="G34" s="9"/>
      <c r="H34" s="10"/>
      <c r="I34" s="11"/>
      <c r="J34" s="8">
        <f t="shared" si="1"/>
        <v>0</v>
      </c>
    </row>
    <row r="35" spans="2:12" x14ac:dyDescent="0.15">
      <c r="B35" s="12"/>
      <c r="C35" s="9"/>
      <c r="D35" s="10"/>
      <c r="E35" s="11"/>
      <c r="F35" s="8">
        <f t="shared" si="0"/>
        <v>0</v>
      </c>
      <c r="G35" s="9"/>
      <c r="H35" s="10"/>
      <c r="I35" s="11"/>
      <c r="J35" s="8">
        <f t="shared" si="1"/>
        <v>0</v>
      </c>
    </row>
    <row r="36" spans="2:12" x14ac:dyDescent="0.15">
      <c r="B36" s="4"/>
      <c r="C36" s="9"/>
      <c r="D36" s="10"/>
      <c r="E36" s="11"/>
      <c r="F36" s="8">
        <f t="shared" si="0"/>
        <v>0</v>
      </c>
      <c r="G36" s="9"/>
      <c r="H36" s="10"/>
      <c r="I36" s="11"/>
      <c r="J36" s="8">
        <f t="shared" si="1"/>
        <v>0</v>
      </c>
    </row>
    <row r="37" spans="2:12" x14ac:dyDescent="0.15">
      <c r="B37" s="12"/>
      <c r="C37" s="9"/>
      <c r="D37" s="10"/>
      <c r="E37" s="11"/>
      <c r="F37" s="8">
        <f t="shared" si="0"/>
        <v>0</v>
      </c>
      <c r="G37" s="9"/>
      <c r="H37" s="10"/>
      <c r="I37" s="11"/>
      <c r="J37" s="8">
        <f t="shared" si="1"/>
        <v>0</v>
      </c>
    </row>
    <row r="38" spans="2:12" x14ac:dyDescent="0.15">
      <c r="B38" s="4"/>
      <c r="C38" s="9"/>
      <c r="D38" s="10"/>
      <c r="E38" s="11"/>
      <c r="F38" s="8">
        <f t="shared" si="0"/>
        <v>0</v>
      </c>
      <c r="G38" s="9"/>
      <c r="H38" s="10"/>
      <c r="I38" s="11"/>
      <c r="J38" s="8">
        <f t="shared" si="1"/>
        <v>0</v>
      </c>
    </row>
    <row r="39" spans="2:12" ht="14.25" thickBot="1" x14ac:dyDescent="0.2">
      <c r="B39" s="4"/>
      <c r="C39" s="9"/>
      <c r="D39" s="10"/>
      <c r="E39" s="11"/>
      <c r="F39" s="8">
        <f t="shared" si="0"/>
        <v>0</v>
      </c>
      <c r="G39" s="9"/>
      <c r="H39" s="10"/>
      <c r="I39" s="11"/>
      <c r="J39" s="8">
        <f t="shared" si="1"/>
        <v>0</v>
      </c>
    </row>
    <row r="40" spans="2:12" ht="14.25" thickBot="1" x14ac:dyDescent="0.2">
      <c r="B40" s="3" t="s">
        <v>5</v>
      </c>
      <c r="C40" s="15">
        <f>SUM(C16:C39)</f>
        <v>11</v>
      </c>
      <c r="D40" s="15">
        <f>SUM(D16:D39)</f>
        <v>5</v>
      </c>
      <c r="E40" s="15">
        <f>SUM(E16:E39)</f>
        <v>3</v>
      </c>
      <c r="F40" s="16">
        <f t="shared" si="0"/>
        <v>19</v>
      </c>
      <c r="G40" s="15">
        <f>SUM(G16:G39)</f>
        <v>9</v>
      </c>
      <c r="H40" s="15">
        <f>SUM(H16:H39)</f>
        <v>7</v>
      </c>
      <c r="I40" s="15">
        <f>SUM(I16:I39)</f>
        <v>5</v>
      </c>
      <c r="J40" s="16">
        <f t="shared" si="1"/>
        <v>21</v>
      </c>
    </row>
    <row r="41" spans="2:12" ht="14.25" thickBot="1" x14ac:dyDescent="0.2">
      <c r="B41" s="25" t="s">
        <v>6</v>
      </c>
      <c r="C41" s="26">
        <f t="shared" ref="C41:J41" si="4">C15-C40</f>
        <v>1</v>
      </c>
      <c r="D41" s="26">
        <f t="shared" si="4"/>
        <v>0</v>
      </c>
      <c r="E41" s="26">
        <f t="shared" si="4"/>
        <v>2</v>
      </c>
      <c r="F41" s="26">
        <f t="shared" si="4"/>
        <v>3</v>
      </c>
      <c r="G41" s="26">
        <f t="shared" si="4"/>
        <v>1</v>
      </c>
      <c r="H41" s="26">
        <f t="shared" si="4"/>
        <v>0</v>
      </c>
      <c r="I41" s="26">
        <f t="shared" si="4"/>
        <v>2</v>
      </c>
      <c r="J41" s="24">
        <f t="shared" si="4"/>
        <v>3</v>
      </c>
    </row>
    <row r="44" spans="2:12" ht="19.5" thickBot="1" x14ac:dyDescent="0.25">
      <c r="B44" s="66" t="s">
        <v>50</v>
      </c>
      <c r="C44" s="1"/>
      <c r="D44" s="1"/>
      <c r="E44" s="1"/>
      <c r="F44" s="1"/>
      <c r="G44" s="1" t="s">
        <v>67</v>
      </c>
      <c r="H44" s="67"/>
      <c r="I44" s="67"/>
      <c r="J44" s="67"/>
    </row>
    <row r="45" spans="2:12" ht="14.25" thickBot="1" x14ac:dyDescent="0.2">
      <c r="B45" s="2" t="s">
        <v>0</v>
      </c>
      <c r="C45" s="206" t="s">
        <v>38</v>
      </c>
      <c r="D45" s="206"/>
      <c r="E45" s="206"/>
      <c r="F45" s="207"/>
      <c r="G45" s="206" t="s">
        <v>34</v>
      </c>
      <c r="H45" s="206"/>
      <c r="I45" s="206"/>
      <c r="J45" s="207"/>
    </row>
    <row r="46" spans="2:12" ht="14.25" thickBot="1" x14ac:dyDescent="0.2">
      <c r="B46" s="2" t="s">
        <v>1</v>
      </c>
      <c r="C46" s="3" t="s">
        <v>25</v>
      </c>
      <c r="D46" s="2" t="s">
        <v>26</v>
      </c>
      <c r="E46" s="19" t="s">
        <v>27</v>
      </c>
      <c r="F46" s="2" t="s">
        <v>2</v>
      </c>
      <c r="G46" s="3" t="s">
        <v>25</v>
      </c>
      <c r="H46" s="2" t="s">
        <v>26</v>
      </c>
      <c r="I46" s="19" t="s">
        <v>27</v>
      </c>
      <c r="J46" s="2" t="s">
        <v>2</v>
      </c>
    </row>
    <row r="47" spans="2:12" x14ac:dyDescent="0.15">
      <c r="B47" s="27" t="s">
        <v>28</v>
      </c>
      <c r="C47" s="72">
        <f>C41</f>
        <v>1</v>
      </c>
      <c r="D47" s="73">
        <f>D41</f>
        <v>0</v>
      </c>
      <c r="E47" s="74">
        <f>E41</f>
        <v>2</v>
      </c>
      <c r="F47" s="18">
        <f>SUM(C47:E47)</f>
        <v>3</v>
      </c>
      <c r="G47" s="72">
        <f>G41</f>
        <v>1</v>
      </c>
      <c r="H47" s="73">
        <f>H41</f>
        <v>0</v>
      </c>
      <c r="I47" s="74">
        <f>I41</f>
        <v>2</v>
      </c>
      <c r="J47" s="18">
        <f>SUM(G47:I47)</f>
        <v>3</v>
      </c>
    </row>
    <row r="48" spans="2:12" x14ac:dyDescent="0.15">
      <c r="B48" s="6" t="s">
        <v>3</v>
      </c>
      <c r="C48" s="17">
        <v>2</v>
      </c>
      <c r="D48" s="12"/>
      <c r="E48" s="17"/>
      <c r="F48" s="5">
        <f t="shared" ref="F48:F83" si="5">SUM(C48:E48)</f>
        <v>2</v>
      </c>
      <c r="G48" s="17">
        <v>2</v>
      </c>
      <c r="H48" s="12"/>
      <c r="I48" s="17"/>
      <c r="J48" s="5">
        <f t="shared" ref="J48:J83" si="6">SUM(G48:I48)</f>
        <v>2</v>
      </c>
      <c r="K48" s="32">
        <v>44474</v>
      </c>
      <c r="L48" s="33"/>
    </row>
    <row r="49" spans="2:12" x14ac:dyDescent="0.15">
      <c r="B49" s="6" t="s">
        <v>3</v>
      </c>
      <c r="C49" s="17"/>
      <c r="D49" s="12">
        <v>3</v>
      </c>
      <c r="E49" s="17"/>
      <c r="F49" s="5">
        <f t="shared" si="5"/>
        <v>3</v>
      </c>
      <c r="G49" s="17"/>
      <c r="H49" s="12">
        <v>3</v>
      </c>
      <c r="I49" s="17"/>
      <c r="J49" s="5">
        <f t="shared" si="6"/>
        <v>3</v>
      </c>
      <c r="K49" s="32">
        <v>44520</v>
      </c>
      <c r="L49" s="33"/>
    </row>
    <row r="50" spans="2:12" x14ac:dyDescent="0.15">
      <c r="B50" s="6" t="s">
        <v>3</v>
      </c>
      <c r="C50" s="17">
        <v>2</v>
      </c>
      <c r="D50" s="12"/>
      <c r="E50" s="17"/>
      <c r="F50" s="5">
        <f t="shared" si="5"/>
        <v>2</v>
      </c>
      <c r="G50" s="17">
        <v>2</v>
      </c>
      <c r="H50" s="12"/>
      <c r="I50" s="17"/>
      <c r="J50" s="5">
        <f t="shared" si="6"/>
        <v>2</v>
      </c>
      <c r="K50" s="32">
        <v>44614</v>
      </c>
    </row>
    <row r="51" spans="2:12" x14ac:dyDescent="0.15">
      <c r="B51" s="6" t="s">
        <v>3</v>
      </c>
      <c r="C51" s="17">
        <v>2</v>
      </c>
      <c r="D51" s="12"/>
      <c r="E51" s="17">
        <v>1</v>
      </c>
      <c r="F51" s="5">
        <f t="shared" si="5"/>
        <v>3</v>
      </c>
      <c r="G51" s="17">
        <v>2</v>
      </c>
      <c r="H51" s="12"/>
      <c r="I51" s="17">
        <v>1</v>
      </c>
      <c r="J51" s="5">
        <f t="shared" si="6"/>
        <v>3</v>
      </c>
      <c r="K51" s="32">
        <v>44624</v>
      </c>
    </row>
    <row r="52" spans="2:12" x14ac:dyDescent="0.15">
      <c r="B52" s="6" t="s">
        <v>3</v>
      </c>
      <c r="C52" s="17">
        <v>3</v>
      </c>
      <c r="D52" s="12"/>
      <c r="E52" s="17"/>
      <c r="F52" s="5">
        <f t="shared" si="5"/>
        <v>3</v>
      </c>
      <c r="G52" s="17">
        <v>3</v>
      </c>
      <c r="H52" s="12"/>
      <c r="I52" s="17"/>
      <c r="J52" s="5">
        <f t="shared" si="6"/>
        <v>3</v>
      </c>
      <c r="K52" s="32">
        <v>44754</v>
      </c>
      <c r="L52" s="75"/>
    </row>
    <row r="53" spans="2:12" x14ac:dyDescent="0.15">
      <c r="B53" s="6" t="s">
        <v>3</v>
      </c>
      <c r="C53" s="17"/>
      <c r="D53" s="12">
        <v>2</v>
      </c>
      <c r="E53" s="17"/>
      <c r="F53" s="5">
        <f t="shared" si="5"/>
        <v>2</v>
      </c>
      <c r="G53" s="17"/>
      <c r="H53" s="12">
        <v>2</v>
      </c>
      <c r="I53" s="17"/>
      <c r="J53" s="5">
        <f t="shared" si="6"/>
        <v>2</v>
      </c>
      <c r="K53" s="32">
        <v>44757</v>
      </c>
    </row>
    <row r="54" spans="2:12" x14ac:dyDescent="0.15">
      <c r="B54" s="27" t="s">
        <v>68</v>
      </c>
      <c r="C54" s="122">
        <v>-1</v>
      </c>
      <c r="D54" s="123">
        <v>0</v>
      </c>
      <c r="E54" s="122">
        <v>-2</v>
      </c>
      <c r="F54" s="116">
        <f t="shared" si="5"/>
        <v>-3</v>
      </c>
      <c r="G54" s="122">
        <v>-1</v>
      </c>
      <c r="H54" s="123">
        <v>0</v>
      </c>
      <c r="I54" s="122">
        <v>-2</v>
      </c>
      <c r="J54" s="116">
        <f t="shared" si="6"/>
        <v>-3</v>
      </c>
      <c r="K54" s="117">
        <v>44796</v>
      </c>
    </row>
    <row r="55" spans="2:12" x14ac:dyDescent="0.15">
      <c r="B55" s="6" t="s">
        <v>3</v>
      </c>
      <c r="C55" s="11">
        <v>2</v>
      </c>
      <c r="D55" s="10"/>
      <c r="E55" s="11">
        <v>2</v>
      </c>
      <c r="F55" s="5">
        <f t="shared" si="5"/>
        <v>4</v>
      </c>
      <c r="G55" s="11">
        <v>2</v>
      </c>
      <c r="H55" s="10"/>
      <c r="I55" s="11">
        <v>2</v>
      </c>
      <c r="J55" s="5">
        <f t="shared" si="6"/>
        <v>4</v>
      </c>
      <c r="K55" s="32">
        <v>44818</v>
      </c>
    </row>
    <row r="56" spans="2:12" x14ac:dyDescent="0.15">
      <c r="B56" s="6" t="s">
        <v>3</v>
      </c>
      <c r="C56" s="11"/>
      <c r="D56" s="10">
        <v>2</v>
      </c>
      <c r="E56" s="11"/>
      <c r="F56" s="5">
        <f t="shared" si="5"/>
        <v>2</v>
      </c>
      <c r="G56" s="11"/>
      <c r="H56" s="10">
        <v>2</v>
      </c>
      <c r="I56" s="11"/>
      <c r="J56" s="5">
        <f t="shared" si="6"/>
        <v>2</v>
      </c>
      <c r="K56" s="32">
        <v>44869</v>
      </c>
      <c r="L56" s="33"/>
    </row>
    <row r="57" spans="2:12" ht="14.25" thickBot="1" x14ac:dyDescent="0.2">
      <c r="B57" s="7" t="s">
        <v>3</v>
      </c>
      <c r="C57" s="14">
        <v>-2</v>
      </c>
      <c r="D57" s="13">
        <v>-1</v>
      </c>
      <c r="E57" s="14"/>
      <c r="F57" s="20">
        <f t="shared" si="5"/>
        <v>-3</v>
      </c>
      <c r="G57" s="14">
        <v>-2</v>
      </c>
      <c r="H57" s="13">
        <v>-1</v>
      </c>
      <c r="I57" s="14"/>
      <c r="J57" s="20">
        <f t="shared" si="6"/>
        <v>-3</v>
      </c>
    </row>
    <row r="58" spans="2:12" ht="14.25" thickBot="1" x14ac:dyDescent="0.2">
      <c r="B58" s="21" t="s">
        <v>4</v>
      </c>
      <c r="C58" s="22">
        <f>SUM(C47:C57)</f>
        <v>9</v>
      </c>
      <c r="D58" s="22">
        <f>SUM(D47:D57)</f>
        <v>6</v>
      </c>
      <c r="E58" s="23">
        <f>SUM(E47:E57)</f>
        <v>3</v>
      </c>
      <c r="F58" s="24">
        <f t="shared" si="5"/>
        <v>18</v>
      </c>
      <c r="G58" s="22">
        <f>SUM(G47:G57)</f>
        <v>9</v>
      </c>
      <c r="H58" s="22">
        <f>SUM(H47:H57)</f>
        <v>6</v>
      </c>
      <c r="I58" s="23">
        <f>SUM(I47:I57)</f>
        <v>3</v>
      </c>
      <c r="J58" s="24">
        <f t="shared" si="6"/>
        <v>18</v>
      </c>
    </row>
    <row r="59" spans="2:12" x14ac:dyDescent="0.15">
      <c r="B59" s="4" t="s">
        <v>16</v>
      </c>
      <c r="C59" s="9"/>
      <c r="D59" s="10"/>
      <c r="E59" s="11">
        <v>1</v>
      </c>
      <c r="F59" s="5">
        <f t="shared" si="5"/>
        <v>1</v>
      </c>
      <c r="G59" s="9"/>
      <c r="H59" s="10"/>
      <c r="I59" s="11">
        <v>1</v>
      </c>
      <c r="J59" s="5">
        <f t="shared" si="6"/>
        <v>1</v>
      </c>
      <c r="K59" s="37">
        <v>44536</v>
      </c>
    </row>
    <row r="60" spans="2:12" x14ac:dyDescent="0.15">
      <c r="B60" s="4" t="s">
        <v>16</v>
      </c>
      <c r="C60" s="9"/>
      <c r="D60" s="10">
        <v>1</v>
      </c>
      <c r="E60" s="11"/>
      <c r="F60" s="5">
        <f t="shared" si="5"/>
        <v>1</v>
      </c>
      <c r="G60" s="9"/>
      <c r="H60" s="10">
        <v>1</v>
      </c>
      <c r="I60" s="11"/>
      <c r="J60" s="5">
        <f t="shared" si="6"/>
        <v>1</v>
      </c>
      <c r="K60" s="37">
        <v>44572</v>
      </c>
    </row>
    <row r="61" spans="2:12" x14ac:dyDescent="0.15">
      <c r="B61" s="4" t="s">
        <v>16</v>
      </c>
      <c r="C61" s="9">
        <v>2</v>
      </c>
      <c r="D61" s="10"/>
      <c r="E61" s="11"/>
      <c r="F61" s="5">
        <f t="shared" si="5"/>
        <v>2</v>
      </c>
      <c r="G61" s="9">
        <v>2</v>
      </c>
      <c r="H61" s="10"/>
      <c r="I61" s="11"/>
      <c r="J61" s="5">
        <f t="shared" si="6"/>
        <v>2</v>
      </c>
      <c r="K61" s="37">
        <v>44593</v>
      </c>
    </row>
    <row r="62" spans="2:12" x14ac:dyDescent="0.15">
      <c r="B62" s="4" t="s">
        <v>16</v>
      </c>
      <c r="C62" s="9">
        <v>1</v>
      </c>
      <c r="D62" s="10"/>
      <c r="E62" s="11"/>
      <c r="F62" s="5">
        <f t="shared" si="5"/>
        <v>1</v>
      </c>
      <c r="G62" s="9">
        <v>1</v>
      </c>
      <c r="H62" s="10"/>
      <c r="I62" s="11"/>
      <c r="J62" s="5">
        <f t="shared" si="6"/>
        <v>1</v>
      </c>
      <c r="K62" s="37">
        <v>44594</v>
      </c>
    </row>
    <row r="63" spans="2:12" x14ac:dyDescent="0.15">
      <c r="B63" s="4" t="s">
        <v>16</v>
      </c>
      <c r="C63" s="9">
        <v>1</v>
      </c>
      <c r="D63" s="10"/>
      <c r="E63" s="11"/>
      <c r="F63" s="5">
        <f t="shared" si="5"/>
        <v>1</v>
      </c>
      <c r="G63" s="9">
        <v>1</v>
      </c>
      <c r="H63" s="10"/>
      <c r="I63" s="11"/>
      <c r="J63" s="5">
        <f t="shared" si="6"/>
        <v>1</v>
      </c>
      <c r="K63" s="37">
        <v>44616</v>
      </c>
    </row>
    <row r="64" spans="2:12" x14ac:dyDescent="0.15">
      <c r="B64" s="4" t="s">
        <v>16</v>
      </c>
      <c r="C64" s="9">
        <v>1</v>
      </c>
      <c r="D64" s="10"/>
      <c r="E64" s="11"/>
      <c r="F64" s="8">
        <f t="shared" si="5"/>
        <v>1</v>
      </c>
      <c r="G64" s="9">
        <v>1</v>
      </c>
      <c r="H64" s="10"/>
      <c r="I64" s="11"/>
      <c r="J64" s="8">
        <f t="shared" si="6"/>
        <v>1</v>
      </c>
      <c r="K64" s="37">
        <v>44644</v>
      </c>
    </row>
    <row r="65" spans="2:11" x14ac:dyDescent="0.15">
      <c r="B65" s="4" t="s">
        <v>16</v>
      </c>
      <c r="C65" s="9">
        <v>1</v>
      </c>
      <c r="D65" s="10"/>
      <c r="E65" s="11"/>
      <c r="F65" s="8">
        <f t="shared" si="5"/>
        <v>1</v>
      </c>
      <c r="G65" s="9">
        <v>1</v>
      </c>
      <c r="H65" s="10"/>
      <c r="I65" s="11"/>
      <c r="J65" s="8">
        <f t="shared" si="6"/>
        <v>1</v>
      </c>
      <c r="K65" s="37">
        <v>44705</v>
      </c>
    </row>
    <row r="66" spans="2:11" x14ac:dyDescent="0.15">
      <c r="B66" s="4" t="s">
        <v>16</v>
      </c>
      <c r="C66" s="9"/>
      <c r="D66" s="10">
        <v>1</v>
      </c>
      <c r="E66" s="11"/>
      <c r="F66" s="8">
        <f t="shared" si="5"/>
        <v>1</v>
      </c>
      <c r="G66" s="9"/>
      <c r="H66" s="10">
        <v>1</v>
      </c>
      <c r="I66" s="11"/>
      <c r="J66" s="8">
        <f t="shared" si="6"/>
        <v>1</v>
      </c>
      <c r="K66" s="37">
        <v>44753</v>
      </c>
    </row>
    <row r="67" spans="2:11" x14ac:dyDescent="0.15">
      <c r="B67" s="4" t="s">
        <v>16</v>
      </c>
      <c r="C67" s="9">
        <v>2</v>
      </c>
      <c r="D67" s="10"/>
      <c r="E67" s="11"/>
      <c r="F67" s="8">
        <f t="shared" si="5"/>
        <v>2</v>
      </c>
      <c r="G67" s="9">
        <v>2</v>
      </c>
      <c r="H67" s="10"/>
      <c r="I67" s="11"/>
      <c r="J67" s="8">
        <f t="shared" si="6"/>
        <v>2</v>
      </c>
      <c r="K67" s="37">
        <v>44754</v>
      </c>
    </row>
    <row r="68" spans="2:11" x14ac:dyDescent="0.15">
      <c r="B68" s="4" t="s">
        <v>16</v>
      </c>
      <c r="C68" s="9"/>
      <c r="D68" s="10">
        <v>2</v>
      </c>
      <c r="E68" s="11"/>
      <c r="F68" s="8">
        <f t="shared" si="5"/>
        <v>2</v>
      </c>
      <c r="G68" s="9"/>
      <c r="H68" s="10">
        <v>2</v>
      </c>
      <c r="I68" s="11"/>
      <c r="J68" s="8">
        <f t="shared" si="6"/>
        <v>2</v>
      </c>
      <c r="K68" s="37">
        <v>44845</v>
      </c>
    </row>
    <row r="69" spans="2:11" x14ac:dyDescent="0.15">
      <c r="B69" s="4" t="s">
        <v>16</v>
      </c>
      <c r="C69" s="9">
        <v>1</v>
      </c>
      <c r="D69" s="10"/>
      <c r="E69" s="11"/>
      <c r="F69" s="8">
        <f t="shared" si="5"/>
        <v>1</v>
      </c>
      <c r="G69" s="9">
        <v>1</v>
      </c>
      <c r="H69" s="10"/>
      <c r="I69" s="11"/>
      <c r="J69" s="8">
        <f t="shared" si="6"/>
        <v>1</v>
      </c>
      <c r="K69" s="32">
        <v>44910</v>
      </c>
    </row>
    <row r="70" spans="2:11" x14ac:dyDescent="0.15">
      <c r="B70" s="4"/>
      <c r="C70" s="9"/>
      <c r="D70" s="10"/>
      <c r="E70" s="11"/>
      <c r="F70" s="8">
        <f t="shared" si="5"/>
        <v>0</v>
      </c>
      <c r="G70" s="9"/>
      <c r="H70" s="10"/>
      <c r="I70" s="11"/>
      <c r="J70" s="8">
        <f t="shared" si="6"/>
        <v>0</v>
      </c>
      <c r="K70" s="33"/>
    </row>
    <row r="71" spans="2:11" x14ac:dyDescent="0.15">
      <c r="B71" s="4"/>
      <c r="C71" s="9"/>
      <c r="D71" s="10"/>
      <c r="E71" s="11"/>
      <c r="F71" s="8">
        <f t="shared" si="5"/>
        <v>0</v>
      </c>
      <c r="G71" s="9"/>
      <c r="H71" s="10"/>
      <c r="I71" s="11"/>
      <c r="J71" s="8">
        <f t="shared" si="6"/>
        <v>0</v>
      </c>
    </row>
    <row r="72" spans="2:11" x14ac:dyDescent="0.15">
      <c r="B72" s="4"/>
      <c r="C72" s="9"/>
      <c r="D72" s="10"/>
      <c r="E72" s="11"/>
      <c r="F72" s="8">
        <f t="shared" si="5"/>
        <v>0</v>
      </c>
      <c r="G72" s="9"/>
      <c r="H72" s="10"/>
      <c r="I72" s="11"/>
      <c r="J72" s="8">
        <f t="shared" si="6"/>
        <v>0</v>
      </c>
    </row>
    <row r="73" spans="2:11" x14ac:dyDescent="0.15">
      <c r="B73" s="4"/>
      <c r="C73" s="9"/>
      <c r="D73" s="10"/>
      <c r="E73" s="11"/>
      <c r="F73" s="8">
        <f t="shared" si="5"/>
        <v>0</v>
      </c>
      <c r="G73" s="9"/>
      <c r="H73" s="10"/>
      <c r="I73" s="11"/>
      <c r="J73" s="8">
        <f t="shared" si="6"/>
        <v>0</v>
      </c>
    </row>
    <row r="74" spans="2:11" x14ac:dyDescent="0.15">
      <c r="B74" s="4"/>
      <c r="C74" s="9"/>
      <c r="D74" s="10"/>
      <c r="E74" s="11"/>
      <c r="F74" s="8">
        <f t="shared" si="5"/>
        <v>0</v>
      </c>
      <c r="G74" s="9"/>
      <c r="H74" s="10"/>
      <c r="I74" s="11"/>
      <c r="J74" s="8">
        <f t="shared" si="6"/>
        <v>0</v>
      </c>
    </row>
    <row r="75" spans="2:11" x14ac:dyDescent="0.15">
      <c r="B75" s="4"/>
      <c r="C75" s="9"/>
      <c r="D75" s="10"/>
      <c r="E75" s="11"/>
      <c r="F75" s="8">
        <f t="shared" si="5"/>
        <v>0</v>
      </c>
      <c r="G75" s="9"/>
      <c r="H75" s="10"/>
      <c r="I75" s="11"/>
      <c r="J75" s="8">
        <f t="shared" si="6"/>
        <v>0</v>
      </c>
    </row>
    <row r="76" spans="2:11" x14ac:dyDescent="0.15">
      <c r="B76" s="4"/>
      <c r="C76" s="9"/>
      <c r="D76" s="10"/>
      <c r="E76" s="11"/>
      <c r="F76" s="8">
        <f t="shared" si="5"/>
        <v>0</v>
      </c>
      <c r="G76" s="9"/>
      <c r="H76" s="10"/>
      <c r="I76" s="11"/>
      <c r="J76" s="8">
        <f t="shared" si="6"/>
        <v>0</v>
      </c>
    </row>
    <row r="77" spans="2:11" x14ac:dyDescent="0.15">
      <c r="B77" s="4"/>
      <c r="C77" s="9"/>
      <c r="D77" s="10"/>
      <c r="E77" s="11"/>
      <c r="F77" s="8">
        <f t="shared" si="5"/>
        <v>0</v>
      </c>
      <c r="G77" s="9"/>
      <c r="H77" s="10"/>
      <c r="I77" s="11"/>
      <c r="J77" s="8">
        <f t="shared" si="6"/>
        <v>0</v>
      </c>
    </row>
    <row r="78" spans="2:11" x14ac:dyDescent="0.15">
      <c r="B78" s="4"/>
      <c r="C78" s="9"/>
      <c r="D78" s="10"/>
      <c r="E78" s="11"/>
      <c r="F78" s="8">
        <f t="shared" si="5"/>
        <v>0</v>
      </c>
      <c r="G78" s="9"/>
      <c r="H78" s="10"/>
      <c r="I78" s="11"/>
      <c r="J78" s="8">
        <f t="shared" si="6"/>
        <v>0</v>
      </c>
    </row>
    <row r="79" spans="2:11" x14ac:dyDescent="0.15">
      <c r="B79" s="4"/>
      <c r="C79" s="9"/>
      <c r="D79" s="10"/>
      <c r="E79" s="11"/>
      <c r="F79" s="8">
        <f t="shared" si="5"/>
        <v>0</v>
      </c>
      <c r="G79" s="9"/>
      <c r="H79" s="10"/>
      <c r="I79" s="11"/>
      <c r="J79" s="8">
        <f t="shared" si="6"/>
        <v>0</v>
      </c>
    </row>
    <row r="80" spans="2:11" x14ac:dyDescent="0.15">
      <c r="B80" s="4"/>
      <c r="C80" s="9"/>
      <c r="D80" s="10"/>
      <c r="E80" s="11"/>
      <c r="F80" s="8">
        <f t="shared" si="5"/>
        <v>0</v>
      </c>
      <c r="G80" s="9"/>
      <c r="H80" s="10"/>
      <c r="I80" s="11"/>
      <c r="J80" s="8">
        <f t="shared" si="6"/>
        <v>0</v>
      </c>
    </row>
    <row r="81" spans="2:11" x14ac:dyDescent="0.15">
      <c r="B81" s="4"/>
      <c r="C81" s="9"/>
      <c r="D81" s="10"/>
      <c r="E81" s="11"/>
      <c r="F81" s="8">
        <f t="shared" si="5"/>
        <v>0</v>
      </c>
      <c r="G81" s="9"/>
      <c r="H81" s="10"/>
      <c r="I81" s="11"/>
      <c r="J81" s="8">
        <f t="shared" si="6"/>
        <v>0</v>
      </c>
    </row>
    <row r="82" spans="2:11" ht="14.25" thickBot="1" x14ac:dyDescent="0.2">
      <c r="B82" s="4"/>
      <c r="C82" s="9"/>
      <c r="D82" s="10"/>
      <c r="E82" s="11"/>
      <c r="F82" s="8">
        <f t="shared" si="5"/>
        <v>0</v>
      </c>
      <c r="G82" s="9"/>
      <c r="H82" s="10"/>
      <c r="I82" s="11"/>
      <c r="J82" s="8">
        <f t="shared" si="6"/>
        <v>0</v>
      </c>
    </row>
    <row r="83" spans="2:11" ht="14.25" thickBot="1" x14ac:dyDescent="0.2">
      <c r="B83" s="3" t="s">
        <v>5</v>
      </c>
      <c r="C83" s="15">
        <f>SUM(C59:C82)</f>
        <v>9</v>
      </c>
      <c r="D83" s="15">
        <f>SUM(D59:D82)</f>
        <v>4</v>
      </c>
      <c r="E83" s="15">
        <f>SUM(E59:E82)</f>
        <v>1</v>
      </c>
      <c r="F83" s="16">
        <f t="shared" si="5"/>
        <v>14</v>
      </c>
      <c r="G83" s="15">
        <f>SUM(G59:G82)</f>
        <v>9</v>
      </c>
      <c r="H83" s="15">
        <f>SUM(H59:H82)</f>
        <v>4</v>
      </c>
      <c r="I83" s="15">
        <f>SUM(I59:I82)</f>
        <v>1</v>
      </c>
      <c r="J83" s="16">
        <f t="shared" si="6"/>
        <v>14</v>
      </c>
    </row>
    <row r="84" spans="2:11" ht="14.25" thickBot="1" x14ac:dyDescent="0.2">
      <c r="B84" s="25" t="s">
        <v>6</v>
      </c>
      <c r="C84" s="26">
        <f t="shared" ref="C84:J84" si="7">C58-C83</f>
        <v>0</v>
      </c>
      <c r="D84" s="26">
        <f t="shared" si="7"/>
        <v>2</v>
      </c>
      <c r="E84" s="26">
        <f t="shared" si="7"/>
        <v>2</v>
      </c>
      <c r="F84" s="26">
        <f t="shared" si="7"/>
        <v>4</v>
      </c>
      <c r="G84" s="26">
        <f t="shared" si="7"/>
        <v>0</v>
      </c>
      <c r="H84" s="26">
        <f t="shared" si="7"/>
        <v>2</v>
      </c>
      <c r="I84" s="26">
        <f t="shared" si="7"/>
        <v>2</v>
      </c>
      <c r="J84" s="24">
        <f t="shared" si="7"/>
        <v>4</v>
      </c>
    </row>
    <row r="87" spans="2:11" ht="19.5" thickBot="1" x14ac:dyDescent="0.25">
      <c r="B87" s="66" t="s">
        <v>50</v>
      </c>
      <c r="C87" s="1"/>
      <c r="D87" s="1"/>
      <c r="E87" s="1"/>
      <c r="F87" s="1"/>
      <c r="G87" s="1" t="s">
        <v>67</v>
      </c>
      <c r="H87" s="67"/>
      <c r="I87" s="67"/>
      <c r="J87" s="67"/>
    </row>
    <row r="88" spans="2:11" ht="14.25" thickBot="1" x14ac:dyDescent="0.2">
      <c r="B88" s="2" t="s">
        <v>0</v>
      </c>
      <c r="C88" s="206" t="s">
        <v>38</v>
      </c>
      <c r="D88" s="206"/>
      <c r="E88" s="206"/>
      <c r="F88" s="207"/>
      <c r="G88" s="206" t="s">
        <v>34</v>
      </c>
      <c r="H88" s="206"/>
      <c r="I88" s="206"/>
      <c r="J88" s="207"/>
    </row>
    <row r="89" spans="2:11" ht="14.25" thickBot="1" x14ac:dyDescent="0.2">
      <c r="B89" s="2" t="s">
        <v>1</v>
      </c>
      <c r="C89" s="3" t="s">
        <v>25</v>
      </c>
      <c r="D89" s="2" t="s">
        <v>26</v>
      </c>
      <c r="E89" s="19" t="s">
        <v>27</v>
      </c>
      <c r="F89" s="2" t="s">
        <v>2</v>
      </c>
      <c r="G89" s="3" t="s">
        <v>25</v>
      </c>
      <c r="H89" s="2" t="s">
        <v>26</v>
      </c>
      <c r="I89" s="19" t="s">
        <v>27</v>
      </c>
      <c r="J89" s="2" t="s">
        <v>2</v>
      </c>
    </row>
    <row r="90" spans="2:11" x14ac:dyDescent="0.15">
      <c r="B90" s="27" t="s">
        <v>28</v>
      </c>
      <c r="C90" s="72">
        <f>C84</f>
        <v>0</v>
      </c>
      <c r="D90" s="73">
        <f>D84</f>
        <v>2</v>
      </c>
      <c r="E90" s="74">
        <f>E84</f>
        <v>2</v>
      </c>
      <c r="F90" s="18">
        <f>SUM(C90:E90)</f>
        <v>4</v>
      </c>
      <c r="G90" s="72">
        <f>G84</f>
        <v>0</v>
      </c>
      <c r="H90" s="73">
        <f>H84</f>
        <v>2</v>
      </c>
      <c r="I90" s="74">
        <f>I84</f>
        <v>2</v>
      </c>
      <c r="J90" s="18">
        <f>SUM(G90:I90)</f>
        <v>4</v>
      </c>
    </row>
    <row r="91" spans="2:11" x14ac:dyDescent="0.15">
      <c r="B91" s="6" t="s">
        <v>3</v>
      </c>
      <c r="C91" s="17">
        <v>3</v>
      </c>
      <c r="D91" s="12"/>
      <c r="E91" s="17"/>
      <c r="F91" s="5">
        <f t="shared" ref="F91:F126" si="8">SUM(C91:E91)</f>
        <v>3</v>
      </c>
      <c r="G91" s="17">
        <v>3</v>
      </c>
      <c r="H91" s="12"/>
      <c r="I91" s="17"/>
      <c r="J91" s="5">
        <f t="shared" ref="J91:J126" si="9">SUM(G91:I91)</f>
        <v>3</v>
      </c>
      <c r="K91" s="32">
        <v>44958</v>
      </c>
    </row>
    <row r="92" spans="2:11" x14ac:dyDescent="0.15">
      <c r="B92" s="6" t="s">
        <v>3</v>
      </c>
      <c r="C92" s="17">
        <v>2</v>
      </c>
      <c r="D92" s="12"/>
      <c r="E92" s="17"/>
      <c r="F92" s="5">
        <f t="shared" si="8"/>
        <v>2</v>
      </c>
      <c r="G92" s="138" t="s">
        <v>78</v>
      </c>
      <c r="H92" s="12"/>
      <c r="I92" s="17"/>
      <c r="J92" s="5">
        <f t="shared" si="9"/>
        <v>0</v>
      </c>
      <c r="K92" s="32">
        <v>45027</v>
      </c>
    </row>
    <row r="93" spans="2:11" x14ac:dyDescent="0.15">
      <c r="B93" s="6" t="s">
        <v>3</v>
      </c>
      <c r="C93" s="17"/>
      <c r="D93" s="12"/>
      <c r="E93" s="17"/>
      <c r="F93" s="5">
        <f t="shared" si="8"/>
        <v>0</v>
      </c>
      <c r="G93" s="17">
        <v>2</v>
      </c>
      <c r="H93" s="12"/>
      <c r="I93" s="17"/>
      <c r="J93" s="5">
        <f t="shared" si="9"/>
        <v>2</v>
      </c>
      <c r="K93" s="32">
        <v>45054</v>
      </c>
    </row>
    <row r="94" spans="2:11" x14ac:dyDescent="0.15">
      <c r="B94" s="6" t="s">
        <v>3</v>
      </c>
      <c r="C94" s="17"/>
      <c r="D94" s="12"/>
      <c r="E94" s="17">
        <v>2</v>
      </c>
      <c r="F94" s="5">
        <f t="shared" si="8"/>
        <v>2</v>
      </c>
      <c r="G94" s="17"/>
      <c r="H94" s="12"/>
      <c r="I94" s="17">
        <v>2</v>
      </c>
      <c r="J94" s="5">
        <f t="shared" si="9"/>
        <v>2</v>
      </c>
      <c r="K94" s="32">
        <v>45091</v>
      </c>
    </row>
    <row r="95" spans="2:11" x14ac:dyDescent="0.15">
      <c r="B95" s="6" t="s">
        <v>60</v>
      </c>
      <c r="C95" s="17"/>
      <c r="D95" s="12">
        <v>-1</v>
      </c>
      <c r="E95" s="17"/>
      <c r="F95" s="5">
        <f t="shared" si="8"/>
        <v>-1</v>
      </c>
      <c r="G95" s="17"/>
      <c r="H95" s="12">
        <v>-1</v>
      </c>
      <c r="I95" s="17"/>
      <c r="J95" s="5">
        <f t="shared" si="9"/>
        <v>-1</v>
      </c>
      <c r="K95" s="32">
        <v>45142</v>
      </c>
    </row>
    <row r="96" spans="2:11" x14ac:dyDescent="0.15">
      <c r="B96" s="6" t="s">
        <v>3</v>
      </c>
      <c r="C96" s="17"/>
      <c r="D96" s="12">
        <v>2</v>
      </c>
      <c r="E96" s="17"/>
      <c r="F96" s="5">
        <f t="shared" ref="F96:F98" si="10">SUM(C96:E96)</f>
        <v>2</v>
      </c>
      <c r="G96" s="17"/>
      <c r="H96" s="12">
        <v>2</v>
      </c>
      <c r="I96" s="17"/>
      <c r="J96" s="5">
        <f t="shared" ref="J96:J98" si="11">SUM(G96:I96)</f>
        <v>2</v>
      </c>
      <c r="K96" s="32">
        <v>45210</v>
      </c>
    </row>
    <row r="97" spans="2:13" x14ac:dyDescent="0.15">
      <c r="B97" s="6" t="s">
        <v>3</v>
      </c>
      <c r="C97" s="17"/>
      <c r="D97" s="12">
        <v>1</v>
      </c>
      <c r="E97" s="17"/>
      <c r="F97" s="5">
        <f t="shared" si="10"/>
        <v>1</v>
      </c>
      <c r="G97" s="17"/>
      <c r="H97" s="12">
        <v>1</v>
      </c>
      <c r="I97" s="17"/>
      <c r="J97" s="5">
        <f t="shared" si="11"/>
        <v>1</v>
      </c>
      <c r="K97" s="32">
        <v>45231</v>
      </c>
    </row>
    <row r="98" spans="2:13" x14ac:dyDescent="0.15">
      <c r="B98" s="6" t="s">
        <v>3</v>
      </c>
      <c r="C98" s="17"/>
      <c r="D98" s="12">
        <v>2</v>
      </c>
      <c r="E98" s="17">
        <v>2</v>
      </c>
      <c r="F98" s="5">
        <f t="shared" si="10"/>
        <v>4</v>
      </c>
      <c r="G98" s="17"/>
      <c r="H98" s="12">
        <v>2</v>
      </c>
      <c r="I98" s="17">
        <v>2</v>
      </c>
      <c r="J98" s="5">
        <f t="shared" si="11"/>
        <v>4</v>
      </c>
      <c r="K98" s="32">
        <v>45237</v>
      </c>
    </row>
    <row r="99" spans="2:13" x14ac:dyDescent="0.15">
      <c r="B99" s="6" t="s">
        <v>3</v>
      </c>
      <c r="C99" s="70"/>
      <c r="D99" s="69"/>
      <c r="E99" s="70">
        <v>2</v>
      </c>
      <c r="F99" s="141">
        <f t="shared" si="8"/>
        <v>2</v>
      </c>
      <c r="G99" s="70"/>
      <c r="H99" s="69"/>
      <c r="I99" s="70">
        <v>2</v>
      </c>
      <c r="J99" s="5">
        <f t="shared" si="9"/>
        <v>2</v>
      </c>
      <c r="K99" s="32">
        <v>45301</v>
      </c>
    </row>
    <row r="100" spans="2:13" ht="14.25" thickBot="1" x14ac:dyDescent="0.2">
      <c r="B100" s="7" t="s">
        <v>3</v>
      </c>
      <c r="C100" s="142"/>
      <c r="D100" s="143"/>
      <c r="E100" s="142">
        <v>3</v>
      </c>
      <c r="F100" s="144">
        <f t="shared" si="8"/>
        <v>3</v>
      </c>
      <c r="G100" s="142"/>
      <c r="H100" s="143"/>
      <c r="I100" s="142">
        <v>3</v>
      </c>
      <c r="J100" s="20">
        <f t="shared" si="9"/>
        <v>3</v>
      </c>
      <c r="K100" s="32">
        <v>45307</v>
      </c>
      <c r="L100" s="33"/>
      <c r="M100" s="33"/>
    </row>
    <row r="101" spans="2:13" ht="14.25" thickBot="1" x14ac:dyDescent="0.2">
      <c r="B101" s="21" t="s">
        <v>4</v>
      </c>
      <c r="C101" s="22">
        <f>SUM(C90:C100)</f>
        <v>5</v>
      </c>
      <c r="D101" s="22">
        <f>SUM(D90:D100)</f>
        <v>6</v>
      </c>
      <c r="E101" s="23">
        <f>SUM(E90:E100)</f>
        <v>11</v>
      </c>
      <c r="F101" s="24">
        <f t="shared" si="8"/>
        <v>22</v>
      </c>
      <c r="G101" s="22">
        <f>SUM(G90:G100)</f>
        <v>5</v>
      </c>
      <c r="H101" s="22">
        <f>SUM(H90:H100)</f>
        <v>6</v>
      </c>
      <c r="I101" s="23">
        <f>SUM(I90:I100)</f>
        <v>11</v>
      </c>
      <c r="J101" s="24">
        <f t="shared" si="9"/>
        <v>22</v>
      </c>
    </row>
    <row r="102" spans="2:13" x14ac:dyDescent="0.15">
      <c r="B102" s="4" t="s">
        <v>16</v>
      </c>
      <c r="C102" s="9">
        <v>1</v>
      </c>
      <c r="D102" s="10"/>
      <c r="E102" s="11"/>
      <c r="F102" s="8">
        <f t="shared" ref="F102:F112" si="12">SUM(C102:E102)</f>
        <v>1</v>
      </c>
      <c r="G102" s="9">
        <v>1</v>
      </c>
      <c r="H102" s="10"/>
      <c r="I102" s="11"/>
      <c r="J102" s="8">
        <f t="shared" ref="J102:J112" si="13">SUM(G102:I102)</f>
        <v>1</v>
      </c>
      <c r="K102" s="37">
        <v>44958</v>
      </c>
    </row>
    <row r="103" spans="2:13" x14ac:dyDescent="0.15">
      <c r="B103" s="4" t="s">
        <v>16</v>
      </c>
      <c r="C103" s="9">
        <v>2</v>
      </c>
      <c r="D103" s="10"/>
      <c r="E103" s="11"/>
      <c r="F103" s="8">
        <f t="shared" si="12"/>
        <v>2</v>
      </c>
      <c r="G103" s="9">
        <v>2</v>
      </c>
      <c r="H103" s="10"/>
      <c r="I103" s="11"/>
      <c r="J103" s="8">
        <f t="shared" si="13"/>
        <v>2</v>
      </c>
      <c r="K103" s="37">
        <v>44998</v>
      </c>
    </row>
    <row r="104" spans="2:13" x14ac:dyDescent="0.15">
      <c r="B104" s="4" t="s">
        <v>16</v>
      </c>
      <c r="C104" s="9"/>
      <c r="D104" s="10"/>
      <c r="E104" s="11">
        <v>2</v>
      </c>
      <c r="F104" s="8">
        <f t="shared" si="12"/>
        <v>2</v>
      </c>
      <c r="G104" s="9"/>
      <c r="H104" s="10"/>
      <c r="I104" s="11">
        <v>2</v>
      </c>
      <c r="J104" s="8">
        <f t="shared" si="13"/>
        <v>2</v>
      </c>
      <c r="K104" s="37">
        <v>45071</v>
      </c>
    </row>
    <row r="105" spans="2:13" x14ac:dyDescent="0.15">
      <c r="B105" s="4" t="s">
        <v>16</v>
      </c>
      <c r="C105" s="9"/>
      <c r="D105" s="10">
        <v>1</v>
      </c>
      <c r="E105" s="11"/>
      <c r="F105" s="8">
        <f t="shared" si="12"/>
        <v>1</v>
      </c>
      <c r="G105" s="9"/>
      <c r="H105" s="10">
        <v>1</v>
      </c>
      <c r="I105" s="11"/>
      <c r="J105" s="8">
        <f t="shared" si="13"/>
        <v>1</v>
      </c>
      <c r="K105" s="37">
        <v>45188</v>
      </c>
    </row>
    <row r="106" spans="2:13" x14ac:dyDescent="0.15">
      <c r="B106" s="4" t="s">
        <v>16</v>
      </c>
      <c r="C106" s="9"/>
      <c r="D106" s="10">
        <v>1</v>
      </c>
      <c r="E106" s="11"/>
      <c r="F106" s="8">
        <f t="shared" si="12"/>
        <v>1</v>
      </c>
      <c r="G106" s="9"/>
      <c r="H106" s="10">
        <v>1</v>
      </c>
      <c r="I106" s="11"/>
      <c r="J106" s="8">
        <f t="shared" si="13"/>
        <v>1</v>
      </c>
      <c r="K106" s="37">
        <v>45210</v>
      </c>
    </row>
    <row r="107" spans="2:13" x14ac:dyDescent="0.15">
      <c r="B107" s="4" t="s">
        <v>16</v>
      </c>
      <c r="C107" s="9"/>
      <c r="D107" s="10"/>
      <c r="E107" s="11">
        <v>2</v>
      </c>
      <c r="F107" s="8">
        <f t="shared" si="12"/>
        <v>2</v>
      </c>
      <c r="G107" s="9"/>
      <c r="H107" s="10"/>
      <c r="I107" s="11">
        <v>2</v>
      </c>
      <c r="J107" s="8">
        <f t="shared" si="13"/>
        <v>2</v>
      </c>
      <c r="K107" s="37">
        <v>45229</v>
      </c>
    </row>
    <row r="108" spans="2:13" x14ac:dyDescent="0.15">
      <c r="B108" s="4" t="s">
        <v>16</v>
      </c>
      <c r="C108" s="9"/>
      <c r="D108" s="10">
        <v>1</v>
      </c>
      <c r="E108" s="11"/>
      <c r="F108" s="8">
        <f t="shared" si="12"/>
        <v>1</v>
      </c>
      <c r="G108" s="9"/>
      <c r="H108" s="10">
        <v>1</v>
      </c>
      <c r="I108" s="11"/>
      <c r="J108" s="8">
        <f t="shared" si="13"/>
        <v>1</v>
      </c>
      <c r="K108" s="37">
        <v>45230</v>
      </c>
    </row>
    <row r="109" spans="2:13" x14ac:dyDescent="0.15">
      <c r="B109" s="4" t="s">
        <v>16</v>
      </c>
      <c r="C109" s="9"/>
      <c r="D109" s="10">
        <v>1</v>
      </c>
      <c r="E109" s="11"/>
      <c r="F109" s="8">
        <f t="shared" si="12"/>
        <v>1</v>
      </c>
      <c r="G109" s="9"/>
      <c r="H109" s="10">
        <v>1</v>
      </c>
      <c r="I109" s="11"/>
      <c r="J109" s="8">
        <f t="shared" si="13"/>
        <v>1</v>
      </c>
      <c r="K109" s="37">
        <v>45285</v>
      </c>
    </row>
    <row r="110" spans="2:13" x14ac:dyDescent="0.15">
      <c r="B110" s="4" t="s">
        <v>16</v>
      </c>
      <c r="C110" s="9"/>
      <c r="D110" s="10"/>
      <c r="E110" s="11">
        <v>2</v>
      </c>
      <c r="F110" s="8">
        <f t="shared" si="12"/>
        <v>2</v>
      </c>
      <c r="G110" s="9"/>
      <c r="H110" s="10"/>
      <c r="I110" s="11">
        <v>2</v>
      </c>
      <c r="J110" s="8">
        <f t="shared" si="13"/>
        <v>2</v>
      </c>
      <c r="K110" s="37">
        <v>45296</v>
      </c>
    </row>
    <row r="111" spans="2:13" x14ac:dyDescent="0.15">
      <c r="B111" s="4" t="s">
        <v>16</v>
      </c>
      <c r="C111" s="9"/>
      <c r="D111" s="10"/>
      <c r="E111" s="11">
        <v>1</v>
      </c>
      <c r="F111" s="8">
        <f t="shared" si="12"/>
        <v>1</v>
      </c>
      <c r="G111" s="9"/>
      <c r="H111" s="10"/>
      <c r="I111" s="11">
        <v>1</v>
      </c>
      <c r="J111" s="8">
        <f t="shared" si="13"/>
        <v>1</v>
      </c>
      <c r="K111" s="37">
        <v>45301</v>
      </c>
    </row>
    <row r="112" spans="2:13" x14ac:dyDescent="0.15">
      <c r="B112" s="4"/>
      <c r="C112" s="9"/>
      <c r="D112" s="10"/>
      <c r="E112" s="11"/>
      <c r="F112" s="8">
        <f t="shared" si="12"/>
        <v>0</v>
      </c>
      <c r="G112" s="9"/>
      <c r="H112" s="10"/>
      <c r="I112" s="11"/>
      <c r="J112" s="8">
        <f t="shared" si="13"/>
        <v>0</v>
      </c>
    </row>
    <row r="113" spans="2:10" x14ac:dyDescent="0.15">
      <c r="B113" s="4"/>
      <c r="C113" s="9"/>
      <c r="D113" s="10"/>
      <c r="E113" s="11"/>
      <c r="F113" s="8">
        <f t="shared" si="8"/>
        <v>0</v>
      </c>
      <c r="G113" s="9"/>
      <c r="H113" s="10"/>
      <c r="I113" s="11"/>
      <c r="J113" s="8">
        <f t="shared" si="9"/>
        <v>0</v>
      </c>
    </row>
    <row r="114" spans="2:10" x14ac:dyDescent="0.15">
      <c r="B114" s="4"/>
      <c r="C114" s="9"/>
      <c r="D114" s="10"/>
      <c r="E114" s="11"/>
      <c r="F114" s="8">
        <f t="shared" si="8"/>
        <v>0</v>
      </c>
      <c r="G114" s="9"/>
      <c r="H114" s="10"/>
      <c r="I114" s="11"/>
      <c r="J114" s="8">
        <f t="shared" si="9"/>
        <v>0</v>
      </c>
    </row>
    <row r="115" spans="2:10" x14ac:dyDescent="0.15">
      <c r="B115" s="4"/>
      <c r="C115" s="9"/>
      <c r="D115" s="10"/>
      <c r="E115" s="11"/>
      <c r="F115" s="8">
        <f t="shared" si="8"/>
        <v>0</v>
      </c>
      <c r="G115" s="9"/>
      <c r="H115" s="10"/>
      <c r="I115" s="11"/>
      <c r="J115" s="8">
        <f t="shared" si="9"/>
        <v>0</v>
      </c>
    </row>
    <row r="116" spans="2:10" x14ac:dyDescent="0.15">
      <c r="B116" s="4"/>
      <c r="C116" s="9"/>
      <c r="D116" s="10"/>
      <c r="E116" s="11"/>
      <c r="F116" s="8">
        <f t="shared" si="8"/>
        <v>0</v>
      </c>
      <c r="G116" s="9"/>
      <c r="H116" s="10"/>
      <c r="I116" s="11"/>
      <c r="J116" s="8">
        <f t="shared" si="9"/>
        <v>0</v>
      </c>
    </row>
    <row r="117" spans="2:10" x14ac:dyDescent="0.15">
      <c r="B117" s="4"/>
      <c r="C117" s="9"/>
      <c r="D117" s="10"/>
      <c r="E117" s="11"/>
      <c r="F117" s="8">
        <f t="shared" si="8"/>
        <v>0</v>
      </c>
      <c r="G117" s="9"/>
      <c r="H117" s="10"/>
      <c r="I117" s="11"/>
      <c r="J117" s="8">
        <f t="shared" si="9"/>
        <v>0</v>
      </c>
    </row>
    <row r="118" spans="2:10" x14ac:dyDescent="0.15">
      <c r="B118" s="4"/>
      <c r="C118" s="9"/>
      <c r="D118" s="10"/>
      <c r="E118" s="11"/>
      <c r="F118" s="8">
        <f t="shared" si="8"/>
        <v>0</v>
      </c>
      <c r="G118" s="9"/>
      <c r="H118" s="10"/>
      <c r="I118" s="11"/>
      <c r="J118" s="8">
        <f t="shared" si="9"/>
        <v>0</v>
      </c>
    </row>
    <row r="119" spans="2:10" x14ac:dyDescent="0.15">
      <c r="B119" s="4"/>
      <c r="C119" s="9"/>
      <c r="D119" s="10"/>
      <c r="E119" s="11"/>
      <c r="F119" s="8">
        <f t="shared" si="8"/>
        <v>0</v>
      </c>
      <c r="G119" s="9"/>
      <c r="H119" s="10"/>
      <c r="I119" s="11"/>
      <c r="J119" s="8">
        <f t="shared" si="9"/>
        <v>0</v>
      </c>
    </row>
    <row r="120" spans="2:10" x14ac:dyDescent="0.15">
      <c r="B120" s="4"/>
      <c r="C120" s="9"/>
      <c r="D120" s="10"/>
      <c r="E120" s="11"/>
      <c r="F120" s="8">
        <f t="shared" si="8"/>
        <v>0</v>
      </c>
      <c r="G120" s="9"/>
      <c r="H120" s="10"/>
      <c r="I120" s="11"/>
      <c r="J120" s="8">
        <f t="shared" si="9"/>
        <v>0</v>
      </c>
    </row>
    <row r="121" spans="2:10" x14ac:dyDescent="0.15">
      <c r="B121" s="4"/>
      <c r="C121" s="9"/>
      <c r="D121" s="10"/>
      <c r="E121" s="11"/>
      <c r="F121" s="8">
        <f t="shared" si="8"/>
        <v>0</v>
      </c>
      <c r="G121" s="9"/>
      <c r="H121" s="10"/>
      <c r="I121" s="11"/>
      <c r="J121" s="8">
        <f t="shared" si="9"/>
        <v>0</v>
      </c>
    </row>
    <row r="122" spans="2:10" x14ac:dyDescent="0.15">
      <c r="B122" s="4"/>
      <c r="C122" s="9"/>
      <c r="D122" s="10"/>
      <c r="E122" s="11"/>
      <c r="F122" s="8">
        <f t="shared" si="8"/>
        <v>0</v>
      </c>
      <c r="G122" s="9"/>
      <c r="H122" s="10"/>
      <c r="I122" s="11"/>
      <c r="J122" s="8">
        <f t="shared" si="9"/>
        <v>0</v>
      </c>
    </row>
    <row r="123" spans="2:10" x14ac:dyDescent="0.15">
      <c r="B123" s="4"/>
      <c r="C123" s="9"/>
      <c r="D123" s="10"/>
      <c r="E123" s="11"/>
      <c r="F123" s="8">
        <f t="shared" si="8"/>
        <v>0</v>
      </c>
      <c r="G123" s="9"/>
      <c r="H123" s="10"/>
      <c r="I123" s="11"/>
      <c r="J123" s="8">
        <f t="shared" si="9"/>
        <v>0</v>
      </c>
    </row>
    <row r="124" spans="2:10" x14ac:dyDescent="0.15">
      <c r="B124" s="4"/>
      <c r="C124" s="9"/>
      <c r="D124" s="10"/>
      <c r="E124" s="11"/>
      <c r="F124" s="8">
        <f t="shared" si="8"/>
        <v>0</v>
      </c>
      <c r="G124" s="9"/>
      <c r="H124" s="10"/>
      <c r="I124" s="11"/>
      <c r="J124" s="8">
        <f t="shared" si="9"/>
        <v>0</v>
      </c>
    </row>
    <row r="125" spans="2:10" ht="14.25" thickBot="1" x14ac:dyDescent="0.2">
      <c r="B125" s="4"/>
      <c r="C125" s="9"/>
      <c r="D125" s="10"/>
      <c r="E125" s="11"/>
      <c r="F125" s="8">
        <f t="shared" si="8"/>
        <v>0</v>
      </c>
      <c r="G125" s="9"/>
      <c r="H125" s="10"/>
      <c r="I125" s="11"/>
      <c r="J125" s="8">
        <f t="shared" si="9"/>
        <v>0</v>
      </c>
    </row>
    <row r="126" spans="2:10" ht="14.25" thickBot="1" x14ac:dyDescent="0.2">
      <c r="B126" s="3" t="s">
        <v>5</v>
      </c>
      <c r="C126" s="15">
        <f>SUM(C102:C125)</f>
        <v>3</v>
      </c>
      <c r="D126" s="15">
        <f>SUM(D102:D125)</f>
        <v>4</v>
      </c>
      <c r="E126" s="15">
        <f>SUM(E102:E125)</f>
        <v>7</v>
      </c>
      <c r="F126" s="16">
        <f t="shared" si="8"/>
        <v>14</v>
      </c>
      <c r="G126" s="15">
        <f>SUM(G102:G125)</f>
        <v>3</v>
      </c>
      <c r="H126" s="15">
        <f>SUM(H102:H125)</f>
        <v>4</v>
      </c>
      <c r="I126" s="15">
        <f>SUM(I102:I125)</f>
        <v>7</v>
      </c>
      <c r="J126" s="16">
        <f t="shared" si="9"/>
        <v>14</v>
      </c>
    </row>
    <row r="127" spans="2:10" ht="14.25" thickBot="1" x14ac:dyDescent="0.2">
      <c r="B127" s="25" t="s">
        <v>6</v>
      </c>
      <c r="C127" s="26">
        <f t="shared" ref="C127:J127" si="14">C101-C126</f>
        <v>2</v>
      </c>
      <c r="D127" s="26">
        <f t="shared" si="14"/>
        <v>2</v>
      </c>
      <c r="E127" s="26">
        <f t="shared" si="14"/>
        <v>4</v>
      </c>
      <c r="F127" s="26">
        <f t="shared" si="14"/>
        <v>8</v>
      </c>
      <c r="G127" s="26">
        <f t="shared" si="14"/>
        <v>2</v>
      </c>
      <c r="H127" s="26">
        <f t="shared" si="14"/>
        <v>2</v>
      </c>
      <c r="I127" s="26">
        <f t="shared" si="14"/>
        <v>4</v>
      </c>
      <c r="J127" s="24">
        <f t="shared" si="14"/>
        <v>8</v>
      </c>
    </row>
    <row r="130" spans="2:12" ht="19.5" thickBot="1" x14ac:dyDescent="0.25">
      <c r="B130" s="66" t="s">
        <v>50</v>
      </c>
      <c r="C130" s="1"/>
      <c r="D130" s="1"/>
      <c r="E130" s="1"/>
      <c r="F130" s="1"/>
      <c r="G130" s="1" t="s">
        <v>67</v>
      </c>
      <c r="H130" s="67"/>
      <c r="I130" s="67"/>
      <c r="J130" s="67"/>
    </row>
    <row r="131" spans="2:12" ht="14.25" thickBot="1" x14ac:dyDescent="0.2">
      <c r="B131" s="2" t="s">
        <v>0</v>
      </c>
      <c r="C131" s="206" t="s">
        <v>38</v>
      </c>
      <c r="D131" s="206"/>
      <c r="E131" s="206"/>
      <c r="F131" s="207"/>
      <c r="G131" s="206" t="s">
        <v>34</v>
      </c>
      <c r="H131" s="206"/>
      <c r="I131" s="206"/>
      <c r="J131" s="207"/>
    </row>
    <row r="132" spans="2:12" ht="14.25" thickBot="1" x14ac:dyDescent="0.2">
      <c r="B132" s="2" t="s">
        <v>1</v>
      </c>
      <c r="C132" s="3" t="s">
        <v>25</v>
      </c>
      <c r="D132" s="2" t="s">
        <v>26</v>
      </c>
      <c r="E132" s="19" t="s">
        <v>27</v>
      </c>
      <c r="F132" s="2" t="s">
        <v>2</v>
      </c>
      <c r="G132" s="3" t="s">
        <v>25</v>
      </c>
      <c r="H132" s="2" t="s">
        <v>26</v>
      </c>
      <c r="I132" s="19" t="s">
        <v>27</v>
      </c>
      <c r="J132" s="2" t="s">
        <v>2</v>
      </c>
    </row>
    <row r="133" spans="2:12" x14ac:dyDescent="0.15">
      <c r="B133" s="27" t="s">
        <v>28</v>
      </c>
      <c r="C133" s="72">
        <f>C127</f>
        <v>2</v>
      </c>
      <c r="D133" s="73">
        <f>D127</f>
        <v>2</v>
      </c>
      <c r="E133" s="74">
        <f>E127</f>
        <v>4</v>
      </c>
      <c r="F133" s="18">
        <f>SUM(C133:E133)</f>
        <v>8</v>
      </c>
      <c r="G133" s="72">
        <f>G127</f>
        <v>2</v>
      </c>
      <c r="H133" s="73">
        <f>H127</f>
        <v>2</v>
      </c>
      <c r="I133" s="74">
        <f>I127</f>
        <v>4</v>
      </c>
      <c r="J133" s="18">
        <f>SUM(G133:I133)</f>
        <v>8</v>
      </c>
    </row>
    <row r="134" spans="2:12" x14ac:dyDescent="0.15">
      <c r="B134" s="6" t="s">
        <v>3</v>
      </c>
      <c r="C134" s="17"/>
      <c r="D134" s="12"/>
      <c r="E134" s="17">
        <v>3</v>
      </c>
      <c r="F134" s="5">
        <f t="shared" ref="F134:F169" si="15">SUM(C134:E134)</f>
        <v>3</v>
      </c>
      <c r="G134" s="17"/>
      <c r="H134" s="12"/>
      <c r="I134" s="17">
        <v>3</v>
      </c>
      <c r="J134" s="5">
        <f t="shared" ref="J134:J169" si="16">SUM(G134:I134)</f>
        <v>3</v>
      </c>
      <c r="K134" s="32">
        <v>45308</v>
      </c>
    </row>
    <row r="135" spans="2:12" x14ac:dyDescent="0.15">
      <c r="B135" s="6" t="s">
        <v>3</v>
      </c>
      <c r="C135" s="17"/>
      <c r="D135" s="12"/>
      <c r="E135" s="17">
        <v>3</v>
      </c>
      <c r="F135" s="5">
        <f t="shared" ref="F135:F139" si="17">SUM(C135:E135)</f>
        <v>3</v>
      </c>
      <c r="G135" s="17"/>
      <c r="H135" s="12"/>
      <c r="I135" s="17">
        <v>3</v>
      </c>
      <c r="J135" s="5">
        <f t="shared" ref="J135:J139" si="18">SUM(G135:I135)</f>
        <v>3</v>
      </c>
      <c r="K135" s="32">
        <v>45491</v>
      </c>
    </row>
    <row r="136" spans="2:12" x14ac:dyDescent="0.15">
      <c r="B136" s="6" t="s">
        <v>3</v>
      </c>
      <c r="C136" s="17"/>
      <c r="D136" s="12">
        <v>2</v>
      </c>
      <c r="E136" s="17"/>
      <c r="F136" s="5">
        <f t="shared" si="17"/>
        <v>2</v>
      </c>
      <c r="G136" s="17"/>
      <c r="H136" s="12">
        <v>2</v>
      </c>
      <c r="I136" s="17"/>
      <c r="J136" s="5">
        <f t="shared" si="18"/>
        <v>2</v>
      </c>
      <c r="K136" s="32">
        <v>45496</v>
      </c>
      <c r="L136" s="33"/>
    </row>
    <row r="137" spans="2:12" x14ac:dyDescent="0.15">
      <c r="B137" s="6" t="s">
        <v>60</v>
      </c>
      <c r="C137" s="17">
        <v>0</v>
      </c>
      <c r="D137" s="12">
        <v>0</v>
      </c>
      <c r="E137" s="17">
        <v>0</v>
      </c>
      <c r="F137" s="5">
        <f t="shared" si="17"/>
        <v>0</v>
      </c>
      <c r="G137" s="17">
        <v>0</v>
      </c>
      <c r="H137" s="12">
        <v>0</v>
      </c>
      <c r="I137" s="17">
        <v>0</v>
      </c>
      <c r="J137" s="5">
        <f t="shared" si="18"/>
        <v>0</v>
      </c>
      <c r="K137" s="37">
        <v>45531</v>
      </c>
    </row>
    <row r="138" spans="2:12" x14ac:dyDescent="0.15">
      <c r="B138" s="6" t="s">
        <v>3</v>
      </c>
      <c r="C138" s="17">
        <v>3</v>
      </c>
      <c r="D138" s="12">
        <v>3</v>
      </c>
      <c r="E138" s="17">
        <v>3</v>
      </c>
      <c r="F138" s="5">
        <f t="shared" si="17"/>
        <v>9</v>
      </c>
      <c r="G138" s="17">
        <v>3</v>
      </c>
      <c r="H138" s="12">
        <v>3</v>
      </c>
      <c r="I138" s="17">
        <v>3</v>
      </c>
      <c r="J138" s="5">
        <f t="shared" si="18"/>
        <v>9</v>
      </c>
      <c r="K138" s="32">
        <v>45538</v>
      </c>
    </row>
    <row r="139" spans="2:12" x14ac:dyDescent="0.15">
      <c r="B139" s="6" t="s">
        <v>3</v>
      </c>
      <c r="C139" s="17"/>
      <c r="D139" s="12">
        <v>2</v>
      </c>
      <c r="E139" s="17"/>
      <c r="F139" s="5">
        <f t="shared" si="17"/>
        <v>2</v>
      </c>
      <c r="G139" s="17"/>
      <c r="H139" s="12">
        <v>2</v>
      </c>
      <c r="I139" s="17"/>
      <c r="J139" s="5">
        <f t="shared" si="18"/>
        <v>2</v>
      </c>
      <c r="K139" s="32">
        <v>45576</v>
      </c>
    </row>
    <row r="140" spans="2:12" x14ac:dyDescent="0.15">
      <c r="B140" s="6" t="s">
        <v>3</v>
      </c>
      <c r="C140" s="17"/>
      <c r="D140" s="12"/>
      <c r="E140" s="17">
        <v>2</v>
      </c>
      <c r="F140" s="5">
        <f t="shared" si="15"/>
        <v>2</v>
      </c>
      <c r="G140" s="17"/>
      <c r="H140" s="12"/>
      <c r="I140" s="17">
        <v>2</v>
      </c>
      <c r="J140" s="5">
        <f t="shared" si="16"/>
        <v>2</v>
      </c>
      <c r="K140" s="32">
        <v>45623</v>
      </c>
    </row>
    <row r="141" spans="2:12" x14ac:dyDescent="0.15">
      <c r="B141" s="6" t="s">
        <v>3</v>
      </c>
      <c r="C141" s="17">
        <v>-1</v>
      </c>
      <c r="D141" s="12">
        <v>1</v>
      </c>
      <c r="E141" s="17">
        <v>-1</v>
      </c>
      <c r="F141" s="5">
        <f t="shared" ref="F141:F143" si="19">SUM(C141:E141)</f>
        <v>-1</v>
      </c>
      <c r="G141" s="17">
        <v>-1</v>
      </c>
      <c r="H141" s="12">
        <v>1</v>
      </c>
      <c r="I141" s="17">
        <v>-1</v>
      </c>
      <c r="J141" s="5">
        <f t="shared" ref="J141:J143" si="20">SUM(G141:I141)</f>
        <v>-1</v>
      </c>
      <c r="K141" s="33"/>
    </row>
    <row r="142" spans="2:12" x14ac:dyDescent="0.15">
      <c r="B142" s="6" t="s">
        <v>3</v>
      </c>
      <c r="C142" s="17">
        <v>4</v>
      </c>
      <c r="D142" s="12"/>
      <c r="E142" s="17">
        <v>2</v>
      </c>
      <c r="F142" s="5">
        <f t="shared" si="19"/>
        <v>6</v>
      </c>
      <c r="G142" s="17">
        <v>4</v>
      </c>
      <c r="H142" s="12"/>
      <c r="I142" s="17">
        <v>2</v>
      </c>
      <c r="J142" s="5">
        <f t="shared" si="20"/>
        <v>6</v>
      </c>
      <c r="K142" s="32">
        <v>45692</v>
      </c>
    </row>
    <row r="143" spans="2:12" ht="14.25" thickBot="1" x14ac:dyDescent="0.2">
      <c r="B143" s="6" t="s">
        <v>3</v>
      </c>
      <c r="C143" s="17">
        <v>2</v>
      </c>
      <c r="D143" s="12">
        <v>2</v>
      </c>
      <c r="E143" s="17"/>
      <c r="F143" s="5">
        <f t="shared" si="19"/>
        <v>4</v>
      </c>
      <c r="G143" s="17">
        <v>2</v>
      </c>
      <c r="H143" s="12">
        <v>2</v>
      </c>
      <c r="I143" s="17"/>
      <c r="J143" s="5">
        <f t="shared" si="20"/>
        <v>4</v>
      </c>
      <c r="K143" s="32">
        <v>45735</v>
      </c>
    </row>
    <row r="144" spans="2:12" ht="14.25" thickBot="1" x14ac:dyDescent="0.2">
      <c r="B144" s="21" t="s">
        <v>4</v>
      </c>
      <c r="C144" s="22">
        <f>SUM(C133:C143)</f>
        <v>10</v>
      </c>
      <c r="D144" s="22">
        <f>SUM(D133:D143)</f>
        <v>12</v>
      </c>
      <c r="E144" s="23">
        <f>SUM(E133:E143)</f>
        <v>16</v>
      </c>
      <c r="F144" s="24">
        <f t="shared" si="15"/>
        <v>38</v>
      </c>
      <c r="G144" s="22">
        <f>SUM(G133:G143)</f>
        <v>10</v>
      </c>
      <c r="H144" s="22">
        <f>SUM(H133:H143)</f>
        <v>12</v>
      </c>
      <c r="I144" s="23">
        <f>SUM(I133:I143)</f>
        <v>16</v>
      </c>
      <c r="J144" s="24">
        <f t="shared" si="16"/>
        <v>38</v>
      </c>
    </row>
    <row r="145" spans="2:11" x14ac:dyDescent="0.15">
      <c r="B145" s="4" t="s">
        <v>16</v>
      </c>
      <c r="C145" s="9"/>
      <c r="D145" s="10"/>
      <c r="E145" s="11">
        <v>4</v>
      </c>
      <c r="F145" s="8">
        <f t="shared" ref="F145:F154" si="21">SUM(C145:E145)</f>
        <v>4</v>
      </c>
      <c r="G145" s="9"/>
      <c r="H145" s="10"/>
      <c r="I145" s="11">
        <v>4</v>
      </c>
      <c r="J145" s="8">
        <f t="shared" ref="J145:J154" si="22">SUM(G145:I145)</f>
        <v>4</v>
      </c>
      <c r="K145" s="37">
        <v>45308</v>
      </c>
    </row>
    <row r="146" spans="2:11" x14ac:dyDescent="0.15">
      <c r="B146" s="4" t="s">
        <v>16</v>
      </c>
      <c r="C146" s="9"/>
      <c r="D146" s="10"/>
      <c r="E146" s="11">
        <v>1</v>
      </c>
      <c r="F146" s="8">
        <f t="shared" si="21"/>
        <v>1</v>
      </c>
      <c r="G146" s="9"/>
      <c r="H146" s="10"/>
      <c r="I146" s="11">
        <v>1</v>
      </c>
      <c r="J146" s="8">
        <f t="shared" si="22"/>
        <v>1</v>
      </c>
      <c r="K146" s="37">
        <v>45367</v>
      </c>
    </row>
    <row r="147" spans="2:11" x14ac:dyDescent="0.15">
      <c r="B147" s="4" t="s">
        <v>16</v>
      </c>
      <c r="C147" s="9"/>
      <c r="D147" s="10"/>
      <c r="E147" s="11">
        <v>1</v>
      </c>
      <c r="F147" s="8">
        <f t="shared" si="21"/>
        <v>1</v>
      </c>
      <c r="G147" s="9"/>
      <c r="H147" s="10"/>
      <c r="I147" s="11">
        <v>1</v>
      </c>
      <c r="J147" s="8">
        <f t="shared" si="22"/>
        <v>1</v>
      </c>
      <c r="K147" s="37">
        <v>45383</v>
      </c>
    </row>
    <row r="148" spans="2:11" x14ac:dyDescent="0.15">
      <c r="B148" s="4" t="s">
        <v>16</v>
      </c>
      <c r="C148" s="9"/>
      <c r="D148" s="10">
        <v>1</v>
      </c>
      <c r="E148" s="11"/>
      <c r="F148" s="8">
        <f t="shared" si="21"/>
        <v>1</v>
      </c>
      <c r="G148" s="9"/>
      <c r="H148" s="10">
        <v>1</v>
      </c>
      <c r="I148" s="11"/>
      <c r="J148" s="8">
        <f t="shared" si="22"/>
        <v>1</v>
      </c>
      <c r="K148" s="37">
        <v>45413</v>
      </c>
    </row>
    <row r="149" spans="2:11" x14ac:dyDescent="0.15">
      <c r="B149" s="4" t="s">
        <v>16</v>
      </c>
      <c r="C149" s="9"/>
      <c r="D149" s="10"/>
      <c r="E149" s="11">
        <v>2</v>
      </c>
      <c r="F149" s="8">
        <f t="shared" si="21"/>
        <v>2</v>
      </c>
      <c r="G149" s="9"/>
      <c r="H149" s="10"/>
      <c r="I149" s="11">
        <v>2</v>
      </c>
      <c r="J149" s="8">
        <f t="shared" si="22"/>
        <v>2</v>
      </c>
      <c r="K149" s="37">
        <v>45491</v>
      </c>
    </row>
    <row r="150" spans="2:11" x14ac:dyDescent="0.15">
      <c r="B150" s="4" t="s">
        <v>16</v>
      </c>
      <c r="C150" s="9"/>
      <c r="D150" s="10">
        <v>1</v>
      </c>
      <c r="E150" s="11"/>
      <c r="F150" s="8">
        <f t="shared" si="21"/>
        <v>1</v>
      </c>
      <c r="G150" s="9"/>
      <c r="H150" s="10">
        <v>1</v>
      </c>
      <c r="I150" s="11"/>
      <c r="J150" s="8">
        <f t="shared" si="22"/>
        <v>1</v>
      </c>
      <c r="K150" s="37">
        <v>45496</v>
      </c>
    </row>
    <row r="151" spans="2:11" x14ac:dyDescent="0.15">
      <c r="B151" s="4" t="s">
        <v>16</v>
      </c>
      <c r="C151" s="9">
        <v>1</v>
      </c>
      <c r="D151" s="10"/>
      <c r="E151" s="11">
        <v>2</v>
      </c>
      <c r="F151" s="8">
        <f t="shared" si="21"/>
        <v>3</v>
      </c>
      <c r="G151" s="9">
        <v>1</v>
      </c>
      <c r="H151" s="10"/>
      <c r="I151" s="11">
        <v>2</v>
      </c>
      <c r="J151" s="8">
        <f t="shared" si="22"/>
        <v>3</v>
      </c>
      <c r="K151" s="37">
        <v>45498</v>
      </c>
    </row>
    <row r="152" spans="2:11" x14ac:dyDescent="0.15">
      <c r="B152" s="4" t="s">
        <v>16</v>
      </c>
      <c r="C152" s="9"/>
      <c r="D152" s="10">
        <v>2</v>
      </c>
      <c r="E152" s="11"/>
      <c r="F152" s="8">
        <f t="shared" si="21"/>
        <v>2</v>
      </c>
      <c r="G152" s="9"/>
      <c r="H152" s="10">
        <v>2</v>
      </c>
      <c r="I152" s="11"/>
      <c r="J152" s="8">
        <f t="shared" si="22"/>
        <v>2</v>
      </c>
      <c r="K152" s="37">
        <v>45502</v>
      </c>
    </row>
    <row r="153" spans="2:11" x14ac:dyDescent="0.15">
      <c r="B153" s="4" t="s">
        <v>16</v>
      </c>
      <c r="C153" s="9"/>
      <c r="D153" s="10">
        <v>1</v>
      </c>
      <c r="E153" s="11"/>
      <c r="F153" s="8">
        <f t="shared" si="21"/>
        <v>1</v>
      </c>
      <c r="G153" s="9"/>
      <c r="H153" s="10">
        <v>1</v>
      </c>
      <c r="I153" s="11"/>
      <c r="J153" s="8">
        <f t="shared" si="22"/>
        <v>1</v>
      </c>
      <c r="K153" s="37">
        <v>45554</v>
      </c>
    </row>
    <row r="154" spans="2:11" x14ac:dyDescent="0.15">
      <c r="B154" s="4" t="s">
        <v>16</v>
      </c>
      <c r="C154" s="9">
        <v>1</v>
      </c>
      <c r="D154" s="10">
        <v>1</v>
      </c>
      <c r="E154" s="11"/>
      <c r="F154" s="8">
        <f t="shared" si="21"/>
        <v>2</v>
      </c>
      <c r="G154" s="9">
        <v>1</v>
      </c>
      <c r="H154" s="10">
        <v>1</v>
      </c>
      <c r="I154" s="11"/>
      <c r="J154" s="8">
        <f t="shared" si="22"/>
        <v>2</v>
      </c>
      <c r="K154" s="37">
        <v>45573</v>
      </c>
    </row>
    <row r="155" spans="2:11" x14ac:dyDescent="0.15">
      <c r="B155" s="4" t="s">
        <v>16</v>
      </c>
      <c r="C155" s="9"/>
      <c r="D155" s="10"/>
      <c r="E155" s="11">
        <v>2</v>
      </c>
      <c r="F155" s="8">
        <f t="shared" si="15"/>
        <v>2</v>
      </c>
      <c r="G155" s="9"/>
      <c r="H155" s="10"/>
      <c r="I155" s="11">
        <v>2</v>
      </c>
      <c r="J155" s="8">
        <f t="shared" si="16"/>
        <v>2</v>
      </c>
      <c r="K155" s="37">
        <v>45622</v>
      </c>
    </row>
    <row r="156" spans="2:11" x14ac:dyDescent="0.15">
      <c r="B156" s="4" t="s">
        <v>16</v>
      </c>
      <c r="C156" s="9"/>
      <c r="D156" s="10"/>
      <c r="E156" s="11">
        <v>1</v>
      </c>
      <c r="F156" s="8">
        <f t="shared" si="15"/>
        <v>1</v>
      </c>
      <c r="G156" s="9"/>
      <c r="H156" s="10"/>
      <c r="I156" s="11">
        <v>1</v>
      </c>
      <c r="J156" s="8">
        <f t="shared" si="16"/>
        <v>1</v>
      </c>
      <c r="K156" s="37">
        <v>45632</v>
      </c>
    </row>
    <row r="157" spans="2:11" x14ac:dyDescent="0.15">
      <c r="B157" s="4" t="s">
        <v>16</v>
      </c>
      <c r="C157" s="9"/>
      <c r="D157" s="10">
        <v>1</v>
      </c>
      <c r="E157" s="11"/>
      <c r="F157" s="8">
        <f t="shared" si="15"/>
        <v>1</v>
      </c>
      <c r="G157" s="9"/>
      <c r="H157" s="10">
        <v>1</v>
      </c>
      <c r="I157" s="11"/>
      <c r="J157" s="8">
        <f t="shared" si="16"/>
        <v>1</v>
      </c>
      <c r="K157" s="37">
        <v>45635</v>
      </c>
    </row>
    <row r="158" spans="2:11" x14ac:dyDescent="0.15">
      <c r="B158" s="4" t="s">
        <v>16</v>
      </c>
      <c r="C158" s="9">
        <v>2</v>
      </c>
      <c r="D158" s="10"/>
      <c r="E158" s="11"/>
      <c r="F158" s="8">
        <f t="shared" si="15"/>
        <v>2</v>
      </c>
      <c r="G158" s="9">
        <v>2</v>
      </c>
      <c r="H158" s="10"/>
      <c r="I158" s="11"/>
      <c r="J158" s="8">
        <f t="shared" si="16"/>
        <v>2</v>
      </c>
      <c r="K158" s="37">
        <v>45684</v>
      </c>
    </row>
    <row r="159" spans="2:11" x14ac:dyDescent="0.15">
      <c r="B159" s="4" t="s">
        <v>16</v>
      </c>
      <c r="C159" s="9">
        <v>2</v>
      </c>
      <c r="D159" s="10"/>
      <c r="E159" s="11"/>
      <c r="F159" s="8">
        <f t="shared" si="15"/>
        <v>2</v>
      </c>
      <c r="G159" s="9">
        <v>2</v>
      </c>
      <c r="H159" s="10"/>
      <c r="I159" s="11"/>
      <c r="J159" s="8">
        <f t="shared" si="16"/>
        <v>2</v>
      </c>
      <c r="K159" s="37">
        <v>45692</v>
      </c>
    </row>
    <row r="160" spans="2:11" x14ac:dyDescent="0.15">
      <c r="B160" s="4" t="s">
        <v>16</v>
      </c>
      <c r="C160" s="9">
        <v>1</v>
      </c>
      <c r="D160" s="10"/>
      <c r="E160" s="11"/>
      <c r="F160" s="8">
        <f t="shared" si="15"/>
        <v>1</v>
      </c>
      <c r="G160" s="9">
        <v>1</v>
      </c>
      <c r="H160" s="10"/>
      <c r="I160" s="11"/>
      <c r="J160" s="8">
        <f t="shared" si="16"/>
        <v>1</v>
      </c>
      <c r="K160" s="37">
        <v>45722</v>
      </c>
    </row>
    <row r="161" spans="2:11" x14ac:dyDescent="0.15">
      <c r="B161" s="4" t="s">
        <v>16</v>
      </c>
      <c r="C161" s="9"/>
      <c r="D161" s="10">
        <v>1</v>
      </c>
      <c r="E161" s="11"/>
      <c r="F161" s="8">
        <f t="shared" si="15"/>
        <v>1</v>
      </c>
      <c r="G161" s="9"/>
      <c r="H161" s="10">
        <v>1</v>
      </c>
      <c r="I161" s="11"/>
      <c r="J161" s="8">
        <f t="shared" si="16"/>
        <v>1</v>
      </c>
      <c r="K161" s="37">
        <v>45723</v>
      </c>
    </row>
    <row r="162" spans="2:11" x14ac:dyDescent="0.15">
      <c r="B162" s="4" t="s">
        <v>16</v>
      </c>
      <c r="C162" s="9"/>
      <c r="D162" s="10"/>
      <c r="E162" s="11">
        <v>1</v>
      </c>
      <c r="F162" s="8">
        <f t="shared" si="15"/>
        <v>1</v>
      </c>
      <c r="G162" s="9"/>
      <c r="H162" s="10"/>
      <c r="I162" s="11">
        <v>1</v>
      </c>
      <c r="J162" s="8">
        <f t="shared" si="16"/>
        <v>1</v>
      </c>
      <c r="K162" s="37">
        <v>45733</v>
      </c>
    </row>
    <row r="163" spans="2:11" x14ac:dyDescent="0.15">
      <c r="B163" s="4" t="s">
        <v>16</v>
      </c>
      <c r="C163" s="9"/>
      <c r="D163" s="10">
        <v>1</v>
      </c>
      <c r="E163" s="11"/>
      <c r="F163" s="8">
        <f t="shared" si="15"/>
        <v>1</v>
      </c>
      <c r="G163" s="9"/>
      <c r="H163" s="10">
        <v>1</v>
      </c>
      <c r="I163" s="11"/>
      <c r="J163" s="8">
        <f t="shared" si="16"/>
        <v>1</v>
      </c>
      <c r="K163" s="37">
        <v>45735</v>
      </c>
    </row>
    <row r="164" spans="2:11" x14ac:dyDescent="0.15">
      <c r="B164" s="4" t="s">
        <v>16</v>
      </c>
      <c r="C164" s="9"/>
      <c r="D164" s="10">
        <v>1</v>
      </c>
      <c r="E164" s="11"/>
      <c r="F164" s="8">
        <f t="shared" ref="F164" si="23">SUM(C164:E164)</f>
        <v>1</v>
      </c>
      <c r="G164" s="9"/>
      <c r="H164" s="10">
        <v>1</v>
      </c>
      <c r="I164" s="11"/>
      <c r="J164" s="8">
        <f t="shared" ref="J164" si="24">SUM(G164:I164)</f>
        <v>1</v>
      </c>
      <c r="K164" s="37">
        <v>45768</v>
      </c>
    </row>
    <row r="165" spans="2:11" x14ac:dyDescent="0.15">
      <c r="B165" s="4" t="s">
        <v>16</v>
      </c>
      <c r="C165" s="9"/>
      <c r="D165" s="10">
        <v>2</v>
      </c>
      <c r="E165" s="11"/>
      <c r="F165" s="8">
        <f t="shared" si="15"/>
        <v>2</v>
      </c>
      <c r="G165" s="9"/>
      <c r="H165" s="10">
        <v>2</v>
      </c>
      <c r="I165" s="11"/>
      <c r="J165" s="8">
        <f t="shared" si="16"/>
        <v>2</v>
      </c>
      <c r="K165" s="37">
        <v>45807</v>
      </c>
    </row>
    <row r="166" spans="2:11" x14ac:dyDescent="0.15">
      <c r="B166" s="4"/>
      <c r="C166" s="9"/>
      <c r="D166" s="10"/>
      <c r="E166" s="11"/>
      <c r="F166" s="8">
        <f t="shared" si="15"/>
        <v>0</v>
      </c>
      <c r="G166" s="9"/>
      <c r="H166" s="10"/>
      <c r="I166" s="11"/>
      <c r="J166" s="8">
        <f t="shared" si="16"/>
        <v>0</v>
      </c>
    </row>
    <row r="167" spans="2:11" x14ac:dyDescent="0.15">
      <c r="B167" s="4"/>
      <c r="C167" s="9"/>
      <c r="D167" s="10"/>
      <c r="E167" s="11"/>
      <c r="F167" s="8">
        <f t="shared" si="15"/>
        <v>0</v>
      </c>
      <c r="G167" s="9"/>
      <c r="H167" s="10"/>
      <c r="I167" s="11"/>
      <c r="J167" s="8">
        <f t="shared" si="16"/>
        <v>0</v>
      </c>
    </row>
    <row r="168" spans="2:11" ht="14.25" thickBot="1" x14ac:dyDescent="0.2">
      <c r="B168" s="4"/>
      <c r="C168" s="9"/>
      <c r="D168" s="10"/>
      <c r="E168" s="11"/>
      <c r="F168" s="8">
        <f t="shared" si="15"/>
        <v>0</v>
      </c>
      <c r="G168" s="9"/>
      <c r="H168" s="10"/>
      <c r="I168" s="11"/>
      <c r="J168" s="8">
        <f t="shared" si="16"/>
        <v>0</v>
      </c>
    </row>
    <row r="169" spans="2:11" ht="14.25" thickBot="1" x14ac:dyDescent="0.2">
      <c r="B169" s="3" t="s">
        <v>5</v>
      </c>
      <c r="C169" s="15">
        <f>SUM(C145:C168)</f>
        <v>7</v>
      </c>
      <c r="D169" s="15">
        <f>SUM(D145:D168)</f>
        <v>12</v>
      </c>
      <c r="E169" s="15">
        <f>SUM(E145:E168)</f>
        <v>14</v>
      </c>
      <c r="F169" s="16">
        <f t="shared" si="15"/>
        <v>33</v>
      </c>
      <c r="G169" s="15">
        <f>SUM(G145:G168)</f>
        <v>7</v>
      </c>
      <c r="H169" s="15">
        <f>SUM(H145:H168)</f>
        <v>12</v>
      </c>
      <c r="I169" s="15">
        <f>SUM(I145:I168)</f>
        <v>14</v>
      </c>
      <c r="J169" s="16">
        <f t="shared" si="16"/>
        <v>33</v>
      </c>
    </row>
    <row r="170" spans="2:11" ht="14.25" thickBot="1" x14ac:dyDescent="0.2">
      <c r="B170" s="25" t="s">
        <v>6</v>
      </c>
      <c r="C170" s="26">
        <f t="shared" ref="C170:J170" si="25">C144-C169</f>
        <v>3</v>
      </c>
      <c r="D170" s="26">
        <f t="shared" si="25"/>
        <v>0</v>
      </c>
      <c r="E170" s="26">
        <f t="shared" si="25"/>
        <v>2</v>
      </c>
      <c r="F170" s="26">
        <f t="shared" si="25"/>
        <v>5</v>
      </c>
      <c r="G170" s="26">
        <f t="shared" si="25"/>
        <v>3</v>
      </c>
      <c r="H170" s="26">
        <f t="shared" si="25"/>
        <v>0</v>
      </c>
      <c r="I170" s="26">
        <f t="shared" si="25"/>
        <v>2</v>
      </c>
      <c r="J170" s="24">
        <f t="shared" si="25"/>
        <v>5</v>
      </c>
    </row>
    <row r="173" spans="2:11" ht="19.5" thickBot="1" x14ac:dyDescent="0.25">
      <c r="B173" s="66" t="s">
        <v>50</v>
      </c>
      <c r="C173" s="1"/>
      <c r="D173" s="1"/>
      <c r="E173" s="1"/>
      <c r="F173" s="1"/>
      <c r="G173" s="1" t="s">
        <v>67</v>
      </c>
      <c r="H173" s="67"/>
      <c r="I173" s="67"/>
      <c r="J173" s="67"/>
    </row>
    <row r="174" spans="2:11" ht="14.25" thickBot="1" x14ac:dyDescent="0.2">
      <c r="B174" s="2" t="s">
        <v>0</v>
      </c>
      <c r="C174" s="206" t="s">
        <v>38</v>
      </c>
      <c r="D174" s="206"/>
      <c r="E174" s="206"/>
      <c r="F174" s="207"/>
      <c r="G174" s="206" t="s">
        <v>34</v>
      </c>
      <c r="H174" s="206"/>
      <c r="I174" s="206"/>
      <c r="J174" s="207"/>
    </row>
    <row r="175" spans="2:11" ht="14.25" thickBot="1" x14ac:dyDescent="0.2">
      <c r="B175" s="2" t="s">
        <v>1</v>
      </c>
      <c r="C175" s="3" t="s">
        <v>25</v>
      </c>
      <c r="D175" s="2" t="s">
        <v>26</v>
      </c>
      <c r="E175" s="19" t="s">
        <v>27</v>
      </c>
      <c r="F175" s="2" t="s">
        <v>2</v>
      </c>
      <c r="G175" s="3" t="s">
        <v>25</v>
      </c>
      <c r="H175" s="2" t="s">
        <v>26</v>
      </c>
      <c r="I175" s="19" t="s">
        <v>27</v>
      </c>
      <c r="J175" s="2" t="s">
        <v>2</v>
      </c>
    </row>
    <row r="176" spans="2:11" x14ac:dyDescent="0.15">
      <c r="B176" s="27" t="s">
        <v>28</v>
      </c>
      <c r="C176" s="72">
        <f>C170</f>
        <v>3</v>
      </c>
      <c r="D176" s="73">
        <f>D170</f>
        <v>0</v>
      </c>
      <c r="E176" s="74">
        <f>E170</f>
        <v>2</v>
      </c>
      <c r="F176" s="18">
        <f>SUM(C176:E176)</f>
        <v>5</v>
      </c>
      <c r="G176" s="72">
        <f>G170</f>
        <v>3</v>
      </c>
      <c r="H176" s="73">
        <f>H170</f>
        <v>0</v>
      </c>
      <c r="I176" s="74">
        <f>I170</f>
        <v>2</v>
      </c>
      <c r="J176" s="18">
        <f>SUM(G176:I176)</f>
        <v>5</v>
      </c>
    </row>
    <row r="177" spans="2:12" x14ac:dyDescent="0.15">
      <c r="B177" s="6" t="s">
        <v>3</v>
      </c>
      <c r="C177" s="17"/>
      <c r="D177" s="12">
        <v>2</v>
      </c>
      <c r="E177" s="17">
        <v>2</v>
      </c>
      <c r="F177" s="5">
        <f t="shared" ref="F177:F212" si="26">SUM(C177:E177)</f>
        <v>4</v>
      </c>
      <c r="G177" s="17"/>
      <c r="H177" s="12">
        <v>2</v>
      </c>
      <c r="I177" s="17">
        <v>2</v>
      </c>
      <c r="J177" s="5">
        <f t="shared" ref="J177:J212" si="27">SUM(G177:I177)</f>
        <v>4</v>
      </c>
      <c r="K177" s="37">
        <v>45740</v>
      </c>
    </row>
    <row r="178" spans="2:12" x14ac:dyDescent="0.15">
      <c r="B178" s="6" t="s">
        <v>3</v>
      </c>
      <c r="C178" s="17">
        <v>3</v>
      </c>
      <c r="D178" s="12">
        <v>3</v>
      </c>
      <c r="E178" s="17"/>
      <c r="F178" s="5">
        <f t="shared" ref="F178:F186" si="28">SUM(C178:E178)</f>
        <v>6</v>
      </c>
      <c r="G178" s="17">
        <v>3</v>
      </c>
      <c r="H178" s="12">
        <v>3</v>
      </c>
      <c r="I178" s="17"/>
      <c r="J178" s="5">
        <f t="shared" ref="J178:J186" si="29">SUM(G178:I178)</f>
        <v>6</v>
      </c>
      <c r="K178" s="32">
        <v>45827</v>
      </c>
    </row>
    <row r="179" spans="2:12" x14ac:dyDescent="0.15">
      <c r="B179" s="6" t="s">
        <v>3</v>
      </c>
      <c r="C179" s="17">
        <v>4</v>
      </c>
      <c r="D179" s="12"/>
      <c r="E179" s="17"/>
      <c r="F179" s="5">
        <f t="shared" si="28"/>
        <v>4</v>
      </c>
      <c r="G179" s="17">
        <v>4</v>
      </c>
      <c r="H179" s="12"/>
      <c r="I179" s="17"/>
      <c r="J179" s="5">
        <f t="shared" si="29"/>
        <v>4</v>
      </c>
      <c r="K179" s="32">
        <v>45896</v>
      </c>
      <c r="L179" s="179" t="s">
        <v>103</v>
      </c>
    </row>
    <row r="180" spans="2:12" x14ac:dyDescent="0.15">
      <c r="B180" s="6" t="s">
        <v>3</v>
      </c>
      <c r="C180" s="17">
        <v>2</v>
      </c>
      <c r="D180" s="12"/>
      <c r="E180" s="17"/>
      <c r="F180" s="5">
        <f t="shared" si="28"/>
        <v>2</v>
      </c>
      <c r="G180" s="17">
        <v>2</v>
      </c>
      <c r="H180" s="12"/>
      <c r="I180" s="17"/>
      <c r="J180" s="5">
        <f t="shared" si="29"/>
        <v>2</v>
      </c>
      <c r="K180" s="32">
        <v>45966</v>
      </c>
    </row>
    <row r="181" spans="2:12" x14ac:dyDescent="0.15">
      <c r="B181" s="6" t="s">
        <v>3</v>
      </c>
      <c r="C181" s="17"/>
      <c r="D181" s="12"/>
      <c r="E181" s="17">
        <v>2</v>
      </c>
      <c r="F181" s="5">
        <f t="shared" si="28"/>
        <v>2</v>
      </c>
      <c r="G181" s="17"/>
      <c r="H181" s="12"/>
      <c r="I181" s="17">
        <v>2</v>
      </c>
      <c r="J181" s="5">
        <f t="shared" si="29"/>
        <v>2</v>
      </c>
      <c r="K181" s="32">
        <v>45995</v>
      </c>
    </row>
    <row r="182" spans="2:12" x14ac:dyDescent="0.15">
      <c r="B182" s="6" t="s">
        <v>3</v>
      </c>
      <c r="C182" s="17">
        <v>2</v>
      </c>
      <c r="D182" s="12"/>
      <c r="E182" s="17"/>
      <c r="F182" s="5">
        <f t="shared" si="28"/>
        <v>2</v>
      </c>
      <c r="G182" s="17">
        <v>2</v>
      </c>
      <c r="H182" s="12"/>
      <c r="I182" s="17"/>
      <c r="J182" s="5">
        <f t="shared" si="29"/>
        <v>2</v>
      </c>
      <c r="K182" s="32">
        <v>46002</v>
      </c>
    </row>
    <row r="183" spans="2:12" x14ac:dyDescent="0.15">
      <c r="B183" s="6" t="s">
        <v>3</v>
      </c>
      <c r="C183" s="17">
        <v>3</v>
      </c>
      <c r="D183" s="12"/>
      <c r="E183" s="17"/>
      <c r="F183" s="5">
        <f t="shared" si="28"/>
        <v>3</v>
      </c>
      <c r="G183" s="17">
        <v>3</v>
      </c>
      <c r="H183" s="12"/>
      <c r="I183" s="17"/>
      <c r="J183" s="5">
        <f t="shared" si="29"/>
        <v>3</v>
      </c>
      <c r="K183" s="37">
        <v>46009</v>
      </c>
    </row>
    <row r="184" spans="2:12" x14ac:dyDescent="0.15">
      <c r="B184" s="6" t="s">
        <v>3</v>
      </c>
      <c r="C184" s="17">
        <v>2</v>
      </c>
      <c r="D184" s="12">
        <v>2</v>
      </c>
      <c r="E184" s="17"/>
      <c r="F184" s="5">
        <f t="shared" si="28"/>
        <v>4</v>
      </c>
      <c r="G184" s="17">
        <v>2</v>
      </c>
      <c r="H184" s="12">
        <v>2</v>
      </c>
      <c r="I184" s="17"/>
      <c r="J184" s="5">
        <f t="shared" si="29"/>
        <v>4</v>
      </c>
      <c r="K184" s="32">
        <v>46015</v>
      </c>
    </row>
    <row r="185" spans="2:12" x14ac:dyDescent="0.15">
      <c r="B185" s="6" t="s">
        <v>3</v>
      </c>
      <c r="C185" s="17">
        <v>4</v>
      </c>
      <c r="D185" s="12"/>
      <c r="E185" s="17"/>
      <c r="F185" s="5">
        <f t="shared" si="28"/>
        <v>4</v>
      </c>
      <c r="G185" s="17">
        <v>4</v>
      </c>
      <c r="H185" s="12"/>
      <c r="I185" s="17"/>
      <c r="J185" s="5">
        <f t="shared" si="29"/>
        <v>4</v>
      </c>
      <c r="K185" s="32">
        <v>46038</v>
      </c>
    </row>
    <row r="186" spans="2:12" ht="14.25" thickBot="1" x14ac:dyDescent="0.2">
      <c r="B186" s="6" t="s">
        <v>3</v>
      </c>
      <c r="C186" s="17"/>
      <c r="D186" s="12">
        <v>3</v>
      </c>
      <c r="E186" s="17"/>
      <c r="F186" s="5">
        <f t="shared" si="28"/>
        <v>3</v>
      </c>
      <c r="G186" s="17"/>
      <c r="H186" s="12">
        <v>3</v>
      </c>
      <c r="I186" s="17"/>
      <c r="J186" s="5">
        <f t="shared" si="29"/>
        <v>3</v>
      </c>
      <c r="K186" s="32">
        <v>46055</v>
      </c>
    </row>
    <row r="187" spans="2:12" ht="14.25" thickBot="1" x14ac:dyDescent="0.2">
      <c r="B187" s="21" t="s">
        <v>4</v>
      </c>
      <c r="C187" s="22">
        <f>SUM(C176:C186)</f>
        <v>23</v>
      </c>
      <c r="D187" s="22">
        <f>SUM(D176:D186)</f>
        <v>10</v>
      </c>
      <c r="E187" s="23">
        <f>SUM(E176:E186)</f>
        <v>6</v>
      </c>
      <c r="F187" s="24">
        <f t="shared" si="26"/>
        <v>39</v>
      </c>
      <c r="G187" s="22">
        <f>SUM(G176:G186)</f>
        <v>23</v>
      </c>
      <c r="H187" s="22">
        <f>SUM(H176:H186)</f>
        <v>10</v>
      </c>
      <c r="I187" s="23">
        <f>SUM(I176:I186)</f>
        <v>6</v>
      </c>
      <c r="J187" s="24">
        <f t="shared" si="27"/>
        <v>39</v>
      </c>
    </row>
    <row r="188" spans="2:12" x14ac:dyDescent="0.15">
      <c r="B188" s="4" t="s">
        <v>16</v>
      </c>
      <c r="C188" s="9">
        <v>2</v>
      </c>
      <c r="D188" s="10"/>
      <c r="E188" s="11"/>
      <c r="F188" s="8">
        <f t="shared" ref="F188:F208" si="30">SUM(C188:E188)</f>
        <v>2</v>
      </c>
      <c r="G188" s="9">
        <v>2</v>
      </c>
      <c r="H188" s="10"/>
      <c r="I188" s="11"/>
      <c r="J188" s="8">
        <f t="shared" ref="J188:J208" si="31">SUM(G188:I188)</f>
        <v>2</v>
      </c>
      <c r="K188" s="37">
        <v>45815</v>
      </c>
    </row>
    <row r="189" spans="2:12" x14ac:dyDescent="0.15">
      <c r="B189" s="4" t="s">
        <v>16</v>
      </c>
      <c r="C189" s="9"/>
      <c r="D189" s="10">
        <v>2</v>
      </c>
      <c r="E189" s="11"/>
      <c r="F189" s="8">
        <f t="shared" si="30"/>
        <v>2</v>
      </c>
      <c r="G189" s="9"/>
      <c r="H189" s="10">
        <v>2</v>
      </c>
      <c r="I189" s="11"/>
      <c r="J189" s="8">
        <f t="shared" si="31"/>
        <v>2</v>
      </c>
      <c r="K189" s="37">
        <v>45862</v>
      </c>
    </row>
    <row r="190" spans="2:12" x14ac:dyDescent="0.15">
      <c r="B190" s="4" t="s">
        <v>16</v>
      </c>
      <c r="C190" s="9">
        <v>2</v>
      </c>
      <c r="D190" s="10"/>
      <c r="E190" s="11"/>
      <c r="F190" s="8">
        <f t="shared" si="30"/>
        <v>2</v>
      </c>
      <c r="G190" s="9">
        <v>2</v>
      </c>
      <c r="H190" s="10"/>
      <c r="I190" s="11"/>
      <c r="J190" s="8">
        <f t="shared" si="31"/>
        <v>2</v>
      </c>
      <c r="K190" s="37">
        <v>45873</v>
      </c>
    </row>
    <row r="191" spans="2:12" x14ac:dyDescent="0.15">
      <c r="B191" s="4" t="s">
        <v>100</v>
      </c>
      <c r="C191" s="9">
        <v>2</v>
      </c>
      <c r="D191" s="10">
        <v>-1</v>
      </c>
      <c r="E191" s="11">
        <v>0</v>
      </c>
      <c r="F191" s="8">
        <f t="shared" si="30"/>
        <v>1</v>
      </c>
      <c r="G191" s="9">
        <v>2</v>
      </c>
      <c r="H191" s="10">
        <v>-1</v>
      </c>
      <c r="I191" s="11">
        <v>0</v>
      </c>
      <c r="J191" s="8">
        <f t="shared" si="31"/>
        <v>1</v>
      </c>
      <c r="K191" s="37">
        <v>45891</v>
      </c>
    </row>
    <row r="192" spans="2:12" x14ac:dyDescent="0.15">
      <c r="B192" s="4" t="s">
        <v>16</v>
      </c>
      <c r="C192" s="9"/>
      <c r="D192" s="10">
        <v>1</v>
      </c>
      <c r="E192" s="11"/>
      <c r="F192" s="8">
        <f t="shared" si="30"/>
        <v>1</v>
      </c>
      <c r="G192" s="9"/>
      <c r="H192" s="10">
        <v>1</v>
      </c>
      <c r="I192" s="11"/>
      <c r="J192" s="8">
        <f t="shared" si="31"/>
        <v>1</v>
      </c>
      <c r="K192" s="37">
        <v>45905</v>
      </c>
    </row>
    <row r="193" spans="2:11" x14ac:dyDescent="0.15">
      <c r="B193" s="4" t="s">
        <v>16</v>
      </c>
      <c r="C193" s="9">
        <v>1</v>
      </c>
      <c r="D193" s="10"/>
      <c r="E193" s="11"/>
      <c r="F193" s="8">
        <f t="shared" si="30"/>
        <v>1</v>
      </c>
      <c r="G193" s="9">
        <v>1</v>
      </c>
      <c r="H193" s="10"/>
      <c r="I193" s="11"/>
      <c r="J193" s="8">
        <f t="shared" si="31"/>
        <v>1</v>
      </c>
      <c r="K193" s="37">
        <v>45945</v>
      </c>
    </row>
    <row r="194" spans="2:11" x14ac:dyDescent="0.15">
      <c r="B194" s="4" t="s">
        <v>16</v>
      </c>
      <c r="C194" s="9">
        <v>1</v>
      </c>
      <c r="D194" s="10"/>
      <c r="E194" s="11"/>
      <c r="F194" s="8">
        <f t="shared" si="30"/>
        <v>1</v>
      </c>
      <c r="G194" s="9">
        <v>1</v>
      </c>
      <c r="H194" s="10"/>
      <c r="I194" s="11"/>
      <c r="J194" s="8">
        <f t="shared" si="31"/>
        <v>1</v>
      </c>
      <c r="K194" s="37">
        <v>45957</v>
      </c>
    </row>
    <row r="195" spans="2:11" x14ac:dyDescent="0.15">
      <c r="B195" s="4" t="s">
        <v>16</v>
      </c>
      <c r="C195" s="9"/>
      <c r="D195" s="10"/>
      <c r="E195" s="11">
        <v>1</v>
      </c>
      <c r="F195" s="8">
        <f t="shared" si="30"/>
        <v>1</v>
      </c>
      <c r="G195" s="9"/>
      <c r="H195" s="10"/>
      <c r="I195" s="11">
        <v>1</v>
      </c>
      <c r="J195" s="8">
        <f t="shared" si="31"/>
        <v>1</v>
      </c>
      <c r="K195" s="37">
        <v>45959</v>
      </c>
    </row>
    <row r="196" spans="2:11" x14ac:dyDescent="0.15">
      <c r="B196" s="4" t="s">
        <v>16</v>
      </c>
      <c r="C196" s="9">
        <v>2</v>
      </c>
      <c r="D196" s="10"/>
      <c r="E196" s="11"/>
      <c r="F196" s="8">
        <f t="shared" si="30"/>
        <v>2</v>
      </c>
      <c r="G196" s="9">
        <v>2</v>
      </c>
      <c r="H196" s="10"/>
      <c r="I196" s="11"/>
      <c r="J196" s="8">
        <f t="shared" si="31"/>
        <v>2</v>
      </c>
      <c r="K196" s="37">
        <v>45988</v>
      </c>
    </row>
    <row r="197" spans="2:11" x14ac:dyDescent="0.15">
      <c r="B197" s="4" t="s">
        <v>16</v>
      </c>
      <c r="C197" s="9"/>
      <c r="D197" s="10"/>
      <c r="E197" s="11">
        <v>1</v>
      </c>
      <c r="F197" s="8">
        <f t="shared" si="30"/>
        <v>1</v>
      </c>
      <c r="G197" s="9"/>
      <c r="H197" s="10"/>
      <c r="I197" s="11">
        <v>1</v>
      </c>
      <c r="J197" s="8">
        <f t="shared" si="31"/>
        <v>1</v>
      </c>
      <c r="K197" s="37">
        <v>45992</v>
      </c>
    </row>
    <row r="198" spans="2:11" x14ac:dyDescent="0.15">
      <c r="B198" s="4" t="s">
        <v>16</v>
      </c>
      <c r="C198" s="9">
        <v>1</v>
      </c>
      <c r="D198" s="10"/>
      <c r="E198" s="11"/>
      <c r="F198" s="8">
        <f t="shared" si="30"/>
        <v>1</v>
      </c>
      <c r="G198" s="9">
        <v>1</v>
      </c>
      <c r="H198" s="10"/>
      <c r="I198" s="11"/>
      <c r="J198" s="8">
        <f t="shared" si="31"/>
        <v>1</v>
      </c>
      <c r="K198" s="37">
        <v>45993</v>
      </c>
    </row>
    <row r="199" spans="2:11" x14ac:dyDescent="0.15">
      <c r="B199" s="4" t="s">
        <v>16</v>
      </c>
      <c r="C199" s="9">
        <v>2</v>
      </c>
      <c r="D199" s="10"/>
      <c r="E199" s="11"/>
      <c r="F199" s="8">
        <f t="shared" si="30"/>
        <v>2</v>
      </c>
      <c r="G199" s="9">
        <v>2</v>
      </c>
      <c r="H199" s="10"/>
      <c r="I199" s="11"/>
      <c r="J199" s="8">
        <f t="shared" si="31"/>
        <v>2</v>
      </c>
      <c r="K199" s="37">
        <v>46006</v>
      </c>
    </row>
    <row r="200" spans="2:11" x14ac:dyDescent="0.15">
      <c r="B200" s="4" t="s">
        <v>16</v>
      </c>
      <c r="C200" s="9"/>
      <c r="D200" s="10">
        <v>1</v>
      </c>
      <c r="E200" s="11"/>
      <c r="F200" s="8">
        <f t="shared" si="30"/>
        <v>1</v>
      </c>
      <c r="G200" s="9"/>
      <c r="H200" s="10">
        <v>1</v>
      </c>
      <c r="I200" s="11"/>
      <c r="J200" s="8">
        <f t="shared" si="31"/>
        <v>1</v>
      </c>
      <c r="K200" s="37">
        <v>46010</v>
      </c>
    </row>
    <row r="201" spans="2:11" x14ac:dyDescent="0.15">
      <c r="B201" s="4" t="s">
        <v>16</v>
      </c>
      <c r="C201" s="9">
        <v>2</v>
      </c>
      <c r="D201" s="10"/>
      <c r="E201" s="11"/>
      <c r="F201" s="8">
        <f t="shared" si="30"/>
        <v>2</v>
      </c>
      <c r="G201" s="9">
        <v>2</v>
      </c>
      <c r="H201" s="10"/>
      <c r="I201" s="11"/>
      <c r="J201" s="8">
        <f t="shared" si="31"/>
        <v>2</v>
      </c>
      <c r="K201" s="37">
        <v>46013</v>
      </c>
    </row>
    <row r="202" spans="2:11" x14ac:dyDescent="0.15">
      <c r="B202" s="4" t="s">
        <v>16</v>
      </c>
      <c r="C202" s="9"/>
      <c r="D202" s="10">
        <v>1</v>
      </c>
      <c r="E202" s="11"/>
      <c r="F202" s="8">
        <f t="shared" si="30"/>
        <v>1</v>
      </c>
      <c r="G202" s="9"/>
      <c r="H202" s="10">
        <v>1</v>
      </c>
      <c r="I202" s="11"/>
      <c r="J202" s="8">
        <f t="shared" si="31"/>
        <v>1</v>
      </c>
      <c r="K202" s="37">
        <v>46035</v>
      </c>
    </row>
    <row r="203" spans="2:11" x14ac:dyDescent="0.15">
      <c r="B203" s="4" t="s">
        <v>16</v>
      </c>
      <c r="C203" s="9">
        <v>1</v>
      </c>
      <c r="D203" s="10"/>
      <c r="E203" s="11"/>
      <c r="F203" s="8">
        <f t="shared" si="30"/>
        <v>1</v>
      </c>
      <c r="G203" s="9">
        <v>1</v>
      </c>
      <c r="H203" s="10"/>
      <c r="I203" s="11"/>
      <c r="J203" s="8">
        <f t="shared" si="31"/>
        <v>1</v>
      </c>
      <c r="K203" s="37">
        <v>46044</v>
      </c>
    </row>
    <row r="204" spans="2:11" x14ac:dyDescent="0.15">
      <c r="B204" s="4" t="s">
        <v>16</v>
      </c>
      <c r="C204" s="9"/>
      <c r="D204" s="10">
        <v>2</v>
      </c>
      <c r="E204" s="11"/>
      <c r="F204" s="8">
        <f t="shared" si="30"/>
        <v>2</v>
      </c>
      <c r="G204" s="9"/>
      <c r="H204" s="10">
        <v>2</v>
      </c>
      <c r="I204" s="11"/>
      <c r="J204" s="8">
        <f t="shared" si="31"/>
        <v>2</v>
      </c>
      <c r="K204" s="37">
        <v>46050</v>
      </c>
    </row>
    <row r="205" spans="2:11" x14ac:dyDescent="0.15">
      <c r="B205" s="183" t="s">
        <v>109</v>
      </c>
      <c r="C205" s="184"/>
      <c r="D205" s="131"/>
      <c r="E205" s="132">
        <v>2</v>
      </c>
      <c r="F205" s="170">
        <f t="shared" si="30"/>
        <v>2</v>
      </c>
      <c r="G205" s="184"/>
      <c r="H205" s="131"/>
      <c r="I205" s="132">
        <v>2</v>
      </c>
      <c r="J205" s="170">
        <f t="shared" si="31"/>
        <v>2</v>
      </c>
      <c r="K205" s="133">
        <v>46055</v>
      </c>
    </row>
    <row r="206" spans="2:11" x14ac:dyDescent="0.15">
      <c r="B206" s="4" t="s">
        <v>16</v>
      </c>
      <c r="C206" s="9"/>
      <c r="D206" s="10"/>
      <c r="E206" s="11">
        <v>2</v>
      </c>
      <c r="F206" s="8">
        <f t="shared" si="30"/>
        <v>2</v>
      </c>
      <c r="G206" s="9"/>
      <c r="H206" s="10"/>
      <c r="I206" s="11">
        <v>2</v>
      </c>
      <c r="J206" s="8">
        <f t="shared" si="31"/>
        <v>2</v>
      </c>
      <c r="K206" s="37">
        <v>46055</v>
      </c>
    </row>
    <row r="207" spans="2:11" x14ac:dyDescent="0.15">
      <c r="B207" s="4"/>
      <c r="C207" s="9"/>
      <c r="D207" s="10"/>
      <c r="E207" s="11"/>
      <c r="F207" s="8"/>
      <c r="G207" s="9"/>
      <c r="H207" s="10"/>
      <c r="I207" s="11"/>
      <c r="J207" s="8"/>
      <c r="K207" s="37"/>
    </row>
    <row r="208" spans="2:11" x14ac:dyDescent="0.15">
      <c r="B208" s="4"/>
      <c r="C208" s="9"/>
      <c r="D208" s="10"/>
      <c r="E208" s="11"/>
      <c r="F208" s="8">
        <f t="shared" si="30"/>
        <v>0</v>
      </c>
      <c r="G208" s="9"/>
      <c r="H208" s="10"/>
      <c r="I208" s="11"/>
      <c r="J208" s="8">
        <f t="shared" si="31"/>
        <v>0</v>
      </c>
    </row>
    <row r="209" spans="2:11" x14ac:dyDescent="0.15">
      <c r="B209" s="4"/>
      <c r="C209" s="9"/>
      <c r="D209" s="10"/>
      <c r="E209" s="11"/>
      <c r="F209" s="8">
        <f t="shared" si="26"/>
        <v>0</v>
      </c>
      <c r="G209" s="9"/>
      <c r="H209" s="10"/>
      <c r="I209" s="11"/>
      <c r="J209" s="8">
        <f t="shared" si="27"/>
        <v>0</v>
      </c>
    </row>
    <row r="210" spans="2:11" x14ac:dyDescent="0.15">
      <c r="B210" s="4"/>
      <c r="C210" s="9"/>
      <c r="D210" s="10"/>
      <c r="E210" s="11"/>
      <c r="F210" s="8">
        <f t="shared" si="26"/>
        <v>0</v>
      </c>
      <c r="G210" s="9"/>
      <c r="H210" s="10"/>
      <c r="I210" s="11"/>
      <c r="J210" s="8">
        <f t="shared" si="27"/>
        <v>0</v>
      </c>
    </row>
    <row r="211" spans="2:11" ht="14.25" thickBot="1" x14ac:dyDescent="0.2">
      <c r="B211" s="4"/>
      <c r="C211" s="9"/>
      <c r="D211" s="10"/>
      <c r="E211" s="11"/>
      <c r="F211" s="8">
        <f t="shared" si="26"/>
        <v>0</v>
      </c>
      <c r="G211" s="9"/>
      <c r="H211" s="10"/>
      <c r="I211" s="11"/>
      <c r="J211" s="8">
        <f t="shared" si="27"/>
        <v>0</v>
      </c>
    </row>
    <row r="212" spans="2:11" ht="14.25" thickBot="1" x14ac:dyDescent="0.2">
      <c r="B212" s="3" t="s">
        <v>5</v>
      </c>
      <c r="C212" s="15">
        <f>SUM(C188:C211)</f>
        <v>16</v>
      </c>
      <c r="D212" s="15">
        <f>SUM(D188:D211)</f>
        <v>6</v>
      </c>
      <c r="E212" s="15">
        <f>SUM(E188:E211)</f>
        <v>6</v>
      </c>
      <c r="F212" s="16">
        <f t="shared" si="26"/>
        <v>28</v>
      </c>
      <c r="G212" s="15">
        <f>SUM(G188:G211)</f>
        <v>16</v>
      </c>
      <c r="H212" s="15">
        <f>SUM(H188:H211)</f>
        <v>6</v>
      </c>
      <c r="I212" s="15">
        <f>SUM(I188:I211)</f>
        <v>6</v>
      </c>
      <c r="J212" s="16">
        <f t="shared" si="27"/>
        <v>28</v>
      </c>
    </row>
    <row r="213" spans="2:11" ht="14.25" thickBot="1" x14ac:dyDescent="0.2">
      <c r="B213" s="25" t="s">
        <v>6</v>
      </c>
      <c r="C213" s="26">
        <f t="shared" ref="C213:J213" si="32">C187-C212</f>
        <v>7</v>
      </c>
      <c r="D213" s="26">
        <f t="shared" si="32"/>
        <v>4</v>
      </c>
      <c r="E213" s="26">
        <f t="shared" si="32"/>
        <v>0</v>
      </c>
      <c r="F213" s="26">
        <f t="shared" si="32"/>
        <v>11</v>
      </c>
      <c r="G213" s="26">
        <f t="shared" si="32"/>
        <v>7</v>
      </c>
      <c r="H213" s="26">
        <f t="shared" si="32"/>
        <v>4</v>
      </c>
      <c r="I213" s="26">
        <f t="shared" si="32"/>
        <v>0</v>
      </c>
      <c r="J213" s="24">
        <f t="shared" si="32"/>
        <v>11</v>
      </c>
    </row>
    <row r="216" spans="2:11" ht="19.5" thickBot="1" x14ac:dyDescent="0.25">
      <c r="B216" s="66" t="s">
        <v>50</v>
      </c>
      <c r="C216" s="1"/>
      <c r="D216" s="1"/>
      <c r="E216" s="1"/>
      <c r="F216" s="1"/>
      <c r="G216" s="1" t="s">
        <v>67</v>
      </c>
      <c r="H216" s="67"/>
      <c r="I216" s="67"/>
      <c r="J216" s="67"/>
    </row>
    <row r="217" spans="2:11" ht="14.25" thickBot="1" x14ac:dyDescent="0.2">
      <c r="B217" s="2" t="s">
        <v>0</v>
      </c>
      <c r="C217" s="206" t="s">
        <v>38</v>
      </c>
      <c r="D217" s="206"/>
      <c r="E217" s="206"/>
      <c r="F217" s="207"/>
      <c r="G217" s="206" t="s">
        <v>34</v>
      </c>
      <c r="H217" s="206"/>
      <c r="I217" s="206"/>
      <c r="J217" s="207"/>
    </row>
    <row r="218" spans="2:11" ht="14.25" thickBot="1" x14ac:dyDescent="0.2">
      <c r="B218" s="2" t="s">
        <v>1</v>
      </c>
      <c r="C218" s="3" t="s">
        <v>25</v>
      </c>
      <c r="D218" s="2" t="s">
        <v>26</v>
      </c>
      <c r="E218" s="19" t="s">
        <v>27</v>
      </c>
      <c r="F218" s="2" t="s">
        <v>2</v>
      </c>
      <c r="G218" s="3" t="s">
        <v>25</v>
      </c>
      <c r="H218" s="2" t="s">
        <v>26</v>
      </c>
      <c r="I218" s="19" t="s">
        <v>27</v>
      </c>
      <c r="J218" s="2" t="s">
        <v>2</v>
      </c>
    </row>
    <row r="219" spans="2:11" x14ac:dyDescent="0.15">
      <c r="B219" s="27" t="s">
        <v>28</v>
      </c>
      <c r="C219" s="72">
        <f>C213</f>
        <v>7</v>
      </c>
      <c r="D219" s="73">
        <f>D213</f>
        <v>4</v>
      </c>
      <c r="E219" s="74">
        <f>E213</f>
        <v>0</v>
      </c>
      <c r="F219" s="18">
        <f>SUM(C219:E219)</f>
        <v>11</v>
      </c>
      <c r="G219" s="72">
        <f>G213</f>
        <v>7</v>
      </c>
      <c r="H219" s="73">
        <f>H213</f>
        <v>4</v>
      </c>
      <c r="I219" s="74">
        <f>I213</f>
        <v>0</v>
      </c>
      <c r="J219" s="18">
        <f>SUM(G219:I219)</f>
        <v>11</v>
      </c>
    </row>
    <row r="220" spans="2:11" x14ac:dyDescent="0.15">
      <c r="B220" s="6" t="s">
        <v>3</v>
      </c>
      <c r="C220" s="17"/>
      <c r="D220" s="12"/>
      <c r="E220" s="17">
        <v>5</v>
      </c>
      <c r="F220" s="5">
        <f t="shared" ref="F220:F255" si="33">SUM(C220:E220)</f>
        <v>5</v>
      </c>
      <c r="G220" s="17"/>
      <c r="H220" s="12"/>
      <c r="I220" s="17">
        <v>5</v>
      </c>
      <c r="J220" s="5">
        <f t="shared" ref="J220:J255" si="34">SUM(G220:I220)</f>
        <v>5</v>
      </c>
      <c r="K220" s="32">
        <v>46072</v>
      </c>
    </row>
    <row r="221" spans="2:11" x14ac:dyDescent="0.15">
      <c r="B221" s="6" t="s">
        <v>60</v>
      </c>
      <c r="C221" s="17">
        <v>0</v>
      </c>
      <c r="D221" s="12">
        <v>0</v>
      </c>
      <c r="E221" s="17">
        <v>0</v>
      </c>
      <c r="F221" s="5">
        <f t="shared" si="33"/>
        <v>0</v>
      </c>
      <c r="G221" s="17">
        <v>0</v>
      </c>
      <c r="H221" s="12">
        <v>0</v>
      </c>
      <c r="I221" s="17">
        <v>0</v>
      </c>
      <c r="J221" s="5">
        <f t="shared" si="34"/>
        <v>0</v>
      </c>
      <c r="K221" s="32">
        <v>46085</v>
      </c>
    </row>
    <row r="222" spans="2:11" x14ac:dyDescent="0.15">
      <c r="B222" s="6" t="s">
        <v>3</v>
      </c>
      <c r="C222" s="17"/>
      <c r="D222" s="12">
        <v>3</v>
      </c>
      <c r="E222" s="17"/>
      <c r="F222" s="5">
        <f t="shared" si="33"/>
        <v>3</v>
      </c>
      <c r="G222" s="17"/>
      <c r="H222" s="12">
        <v>3</v>
      </c>
      <c r="I222" s="17"/>
      <c r="J222" s="5">
        <f t="shared" si="34"/>
        <v>3</v>
      </c>
      <c r="K222" s="32">
        <v>46094</v>
      </c>
    </row>
    <row r="223" spans="2:11" x14ac:dyDescent="0.15">
      <c r="B223" s="6" t="s">
        <v>3</v>
      </c>
      <c r="C223" s="17"/>
      <c r="D223" s="12">
        <v>3</v>
      </c>
      <c r="E223" s="17"/>
      <c r="F223" s="5">
        <f t="shared" si="33"/>
        <v>3</v>
      </c>
      <c r="G223" s="17"/>
      <c r="H223" s="12">
        <v>3</v>
      </c>
      <c r="I223" s="17"/>
      <c r="J223" s="5">
        <f t="shared" si="34"/>
        <v>3</v>
      </c>
      <c r="K223" s="32">
        <v>46115</v>
      </c>
    </row>
    <row r="224" spans="2:11" x14ac:dyDescent="0.15">
      <c r="B224" s="172" t="s">
        <v>3</v>
      </c>
      <c r="C224" s="192"/>
      <c r="D224" s="193"/>
      <c r="E224" s="192">
        <v>3</v>
      </c>
      <c r="F224" s="194">
        <f t="shared" si="33"/>
        <v>3</v>
      </c>
      <c r="G224" s="192"/>
      <c r="H224" s="193"/>
      <c r="I224" s="192">
        <v>3</v>
      </c>
      <c r="J224" s="194">
        <f t="shared" si="34"/>
        <v>3</v>
      </c>
      <c r="K224" s="176">
        <v>46155</v>
      </c>
    </row>
    <row r="225" spans="2:12" x14ac:dyDescent="0.15">
      <c r="B225" s="172" t="s">
        <v>3</v>
      </c>
      <c r="C225" s="192">
        <v>2</v>
      </c>
      <c r="D225" s="193">
        <v>3</v>
      </c>
      <c r="E225" s="192">
        <v>2</v>
      </c>
      <c r="F225" s="194">
        <f t="shared" si="33"/>
        <v>7</v>
      </c>
      <c r="G225" s="192">
        <v>2</v>
      </c>
      <c r="H225" s="193">
        <v>3</v>
      </c>
      <c r="I225" s="192">
        <v>2</v>
      </c>
      <c r="J225" s="194">
        <f t="shared" si="34"/>
        <v>7</v>
      </c>
      <c r="K225" s="176">
        <v>46161</v>
      </c>
      <c r="L225" s="134"/>
    </row>
    <row r="226" spans="2:12" x14ac:dyDescent="0.15">
      <c r="B226" s="6" t="s">
        <v>3</v>
      </c>
      <c r="C226" s="17">
        <v>2</v>
      </c>
      <c r="D226" s="12"/>
      <c r="E226" s="17"/>
      <c r="F226" s="5">
        <f t="shared" si="33"/>
        <v>2</v>
      </c>
      <c r="G226" s="17">
        <v>2</v>
      </c>
      <c r="H226" s="12"/>
      <c r="I226" s="17"/>
      <c r="J226" s="5">
        <f t="shared" si="34"/>
        <v>2</v>
      </c>
      <c r="K226" s="32">
        <v>46171</v>
      </c>
    </row>
    <row r="227" spans="2:12" x14ac:dyDescent="0.15">
      <c r="B227" s="6" t="s">
        <v>3</v>
      </c>
      <c r="C227" s="17"/>
      <c r="D227" s="12"/>
      <c r="E227" s="17"/>
      <c r="F227" s="5">
        <f t="shared" si="33"/>
        <v>0</v>
      </c>
      <c r="G227" s="17"/>
      <c r="H227" s="12"/>
      <c r="I227" s="17"/>
      <c r="J227" s="5">
        <f t="shared" si="34"/>
        <v>0</v>
      </c>
    </row>
    <row r="228" spans="2:12" x14ac:dyDescent="0.15">
      <c r="B228" s="6" t="s">
        <v>3</v>
      </c>
      <c r="C228" s="17"/>
      <c r="D228" s="12"/>
      <c r="E228" s="17"/>
      <c r="F228" s="5">
        <f t="shared" si="33"/>
        <v>0</v>
      </c>
      <c r="G228" s="17"/>
      <c r="H228" s="12"/>
      <c r="I228" s="17"/>
      <c r="J228" s="5">
        <f t="shared" si="34"/>
        <v>0</v>
      </c>
    </row>
    <row r="229" spans="2:12" ht="14.25" thickBot="1" x14ac:dyDescent="0.2">
      <c r="B229" s="6" t="s">
        <v>3</v>
      </c>
      <c r="C229" s="17"/>
      <c r="D229" s="12"/>
      <c r="E229" s="17"/>
      <c r="F229" s="5">
        <f t="shared" si="33"/>
        <v>0</v>
      </c>
      <c r="G229" s="17"/>
      <c r="H229" s="12"/>
      <c r="I229" s="17"/>
      <c r="J229" s="5">
        <f t="shared" si="34"/>
        <v>0</v>
      </c>
    </row>
    <row r="230" spans="2:12" ht="14.25" thickBot="1" x14ac:dyDescent="0.2">
      <c r="B230" s="21" t="s">
        <v>4</v>
      </c>
      <c r="C230" s="22">
        <f>SUM(C219:C229)</f>
        <v>11</v>
      </c>
      <c r="D230" s="22">
        <f>SUM(D219:D229)</f>
        <v>13</v>
      </c>
      <c r="E230" s="23">
        <f>SUM(E219:E229)</f>
        <v>10</v>
      </c>
      <c r="F230" s="24">
        <f t="shared" si="33"/>
        <v>34</v>
      </c>
      <c r="G230" s="22">
        <f>SUM(G219:G229)</f>
        <v>11</v>
      </c>
      <c r="H230" s="22">
        <f>SUM(H219:H229)</f>
        <v>13</v>
      </c>
      <c r="I230" s="23">
        <f>SUM(I219:I229)</f>
        <v>10</v>
      </c>
      <c r="J230" s="24">
        <f t="shared" si="34"/>
        <v>34</v>
      </c>
    </row>
    <row r="231" spans="2:12" x14ac:dyDescent="0.15">
      <c r="B231" s="4" t="s">
        <v>16</v>
      </c>
      <c r="C231" s="9"/>
      <c r="D231" s="10"/>
      <c r="E231" s="11">
        <v>1</v>
      </c>
      <c r="F231" s="8">
        <f t="shared" si="33"/>
        <v>1</v>
      </c>
      <c r="G231" s="9"/>
      <c r="H231" s="10"/>
      <c r="I231" s="11">
        <v>1</v>
      </c>
      <c r="J231" s="8">
        <f t="shared" si="34"/>
        <v>1</v>
      </c>
      <c r="K231" s="37">
        <v>46072</v>
      </c>
    </row>
    <row r="232" spans="2:12" x14ac:dyDescent="0.15">
      <c r="B232" s="4" t="s">
        <v>16</v>
      </c>
      <c r="C232" s="9"/>
      <c r="D232" s="10">
        <v>1</v>
      </c>
      <c r="E232" s="11"/>
      <c r="F232" s="8">
        <f t="shared" si="33"/>
        <v>1</v>
      </c>
      <c r="G232" s="9"/>
      <c r="H232" s="10">
        <v>1</v>
      </c>
      <c r="I232" s="11"/>
      <c r="J232" s="8">
        <f t="shared" si="34"/>
        <v>1</v>
      </c>
      <c r="K232" s="37">
        <v>46083</v>
      </c>
    </row>
    <row r="233" spans="2:12" x14ac:dyDescent="0.15">
      <c r="B233" s="4" t="s">
        <v>16</v>
      </c>
      <c r="C233" s="9"/>
      <c r="D233" s="10">
        <v>2</v>
      </c>
      <c r="E233" s="11"/>
      <c r="F233" s="8">
        <f t="shared" si="33"/>
        <v>2</v>
      </c>
      <c r="G233" s="9"/>
      <c r="H233" s="10">
        <v>2</v>
      </c>
      <c r="I233" s="11"/>
      <c r="J233" s="8">
        <f t="shared" si="34"/>
        <v>2</v>
      </c>
      <c r="K233" s="37">
        <v>46091</v>
      </c>
    </row>
    <row r="234" spans="2:12" x14ac:dyDescent="0.15">
      <c r="B234" s="4" t="s">
        <v>16</v>
      </c>
      <c r="C234" s="9"/>
      <c r="D234" s="10">
        <v>2</v>
      </c>
      <c r="E234" s="11"/>
      <c r="F234" s="8">
        <f t="shared" si="33"/>
        <v>2</v>
      </c>
      <c r="G234" s="9"/>
      <c r="H234" s="10">
        <v>2</v>
      </c>
      <c r="I234" s="11"/>
      <c r="J234" s="8">
        <f t="shared" si="34"/>
        <v>2</v>
      </c>
      <c r="K234" s="37">
        <v>46104</v>
      </c>
    </row>
    <row r="235" spans="2:12" x14ac:dyDescent="0.15">
      <c r="B235" s="4" t="s">
        <v>16</v>
      </c>
      <c r="C235" s="9">
        <v>1</v>
      </c>
      <c r="D235" s="10"/>
      <c r="E235" s="11"/>
      <c r="F235" s="8">
        <f t="shared" si="33"/>
        <v>1</v>
      </c>
      <c r="G235" s="9">
        <v>1</v>
      </c>
      <c r="H235" s="10"/>
      <c r="I235" s="11"/>
      <c r="J235" s="8">
        <f t="shared" si="34"/>
        <v>1</v>
      </c>
      <c r="K235" s="37">
        <v>46118</v>
      </c>
    </row>
    <row r="236" spans="2:12" x14ac:dyDescent="0.15">
      <c r="B236" s="4" t="s">
        <v>16</v>
      </c>
      <c r="C236" s="9"/>
      <c r="D236" s="10"/>
      <c r="E236" s="11">
        <v>1</v>
      </c>
      <c r="F236" s="8">
        <f t="shared" si="33"/>
        <v>1</v>
      </c>
      <c r="G236" s="9"/>
      <c r="H236" s="10"/>
      <c r="I236" s="11">
        <v>1</v>
      </c>
      <c r="J236" s="8">
        <f t="shared" si="34"/>
        <v>1</v>
      </c>
      <c r="K236" s="37">
        <v>46127</v>
      </c>
    </row>
    <row r="237" spans="2:12" x14ac:dyDescent="0.15">
      <c r="B237" s="4" t="s">
        <v>16</v>
      </c>
      <c r="C237" s="9">
        <v>1</v>
      </c>
      <c r="D237" s="10"/>
      <c r="E237" s="11"/>
      <c r="F237" s="8">
        <f t="shared" si="33"/>
        <v>1</v>
      </c>
      <c r="G237" s="9">
        <v>1</v>
      </c>
      <c r="H237" s="10"/>
      <c r="I237" s="11"/>
      <c r="J237" s="8">
        <f t="shared" si="34"/>
        <v>1</v>
      </c>
      <c r="K237" s="37">
        <v>46132</v>
      </c>
    </row>
    <row r="238" spans="2:12" x14ac:dyDescent="0.15">
      <c r="B238" s="4" t="s">
        <v>16</v>
      </c>
      <c r="C238" s="9">
        <v>1</v>
      </c>
      <c r="D238" s="10"/>
      <c r="E238" s="11"/>
      <c r="F238" s="8">
        <f t="shared" si="33"/>
        <v>1</v>
      </c>
      <c r="G238" s="9">
        <v>1</v>
      </c>
      <c r="H238" s="10"/>
      <c r="I238" s="11"/>
      <c r="J238" s="8">
        <f t="shared" si="34"/>
        <v>1</v>
      </c>
      <c r="K238" s="37">
        <v>46139</v>
      </c>
    </row>
    <row r="239" spans="2:12" x14ac:dyDescent="0.15">
      <c r="B239" s="4" t="s">
        <v>16</v>
      </c>
      <c r="C239" s="9">
        <v>1</v>
      </c>
      <c r="D239" s="10">
        <v>1</v>
      </c>
      <c r="E239" s="11"/>
      <c r="F239" s="8">
        <f t="shared" si="33"/>
        <v>2</v>
      </c>
      <c r="G239" s="9">
        <v>1</v>
      </c>
      <c r="H239" s="10">
        <v>1</v>
      </c>
      <c r="I239" s="11"/>
      <c r="J239" s="8">
        <f t="shared" si="34"/>
        <v>2</v>
      </c>
      <c r="K239" s="37">
        <v>46142</v>
      </c>
    </row>
    <row r="240" spans="2:12" x14ac:dyDescent="0.15">
      <c r="B240" s="4" t="s">
        <v>16</v>
      </c>
      <c r="C240" s="9"/>
      <c r="D240" s="10"/>
      <c r="E240" s="11">
        <v>2</v>
      </c>
      <c r="F240" s="8">
        <f t="shared" si="33"/>
        <v>2</v>
      </c>
      <c r="G240" s="9"/>
      <c r="H240" s="10"/>
      <c r="I240" s="11">
        <v>2</v>
      </c>
      <c r="J240" s="8">
        <f t="shared" si="34"/>
        <v>2</v>
      </c>
      <c r="K240" s="37">
        <v>46149</v>
      </c>
    </row>
    <row r="241" spans="2:11" x14ac:dyDescent="0.15">
      <c r="B241" s="4" t="s">
        <v>16</v>
      </c>
      <c r="C241" s="9"/>
      <c r="D241" s="10"/>
      <c r="E241" s="11">
        <v>1</v>
      </c>
      <c r="F241" s="8">
        <f t="shared" si="33"/>
        <v>1</v>
      </c>
      <c r="G241" s="9"/>
      <c r="H241" s="10"/>
      <c r="I241" s="11">
        <v>1</v>
      </c>
      <c r="J241" s="8">
        <f t="shared" si="34"/>
        <v>1</v>
      </c>
      <c r="K241" s="37">
        <v>46155</v>
      </c>
    </row>
    <row r="242" spans="2:11" x14ac:dyDescent="0.15">
      <c r="B242" s="4" t="s">
        <v>16</v>
      </c>
      <c r="C242" s="9"/>
      <c r="D242" s="10">
        <v>2</v>
      </c>
      <c r="E242" s="11"/>
      <c r="F242" s="8">
        <f t="shared" si="33"/>
        <v>2</v>
      </c>
      <c r="G242" s="9"/>
      <c r="H242" s="10">
        <v>2</v>
      </c>
      <c r="I242" s="11"/>
      <c r="J242" s="8">
        <f t="shared" si="34"/>
        <v>2</v>
      </c>
      <c r="K242" s="37">
        <v>46157</v>
      </c>
    </row>
    <row r="243" spans="2:11" x14ac:dyDescent="0.15">
      <c r="B243" s="4" t="s">
        <v>16</v>
      </c>
      <c r="C243" s="9">
        <v>2</v>
      </c>
      <c r="D243" s="10"/>
      <c r="E243" s="11"/>
      <c r="F243" s="8">
        <f t="shared" si="33"/>
        <v>2</v>
      </c>
      <c r="G243" s="9">
        <v>2</v>
      </c>
      <c r="H243" s="10"/>
      <c r="I243" s="11"/>
      <c r="J243" s="8">
        <f t="shared" si="34"/>
        <v>2</v>
      </c>
      <c r="K243" s="37">
        <v>46167</v>
      </c>
    </row>
    <row r="244" spans="2:11" x14ac:dyDescent="0.15">
      <c r="B244" s="4" t="s">
        <v>16</v>
      </c>
      <c r="C244" s="9"/>
      <c r="D244" s="10"/>
      <c r="E244" s="11">
        <v>1</v>
      </c>
      <c r="F244" s="8">
        <f t="shared" si="33"/>
        <v>1</v>
      </c>
      <c r="G244" s="9"/>
      <c r="H244" s="10"/>
      <c r="I244" s="11">
        <v>1</v>
      </c>
      <c r="J244" s="8">
        <f t="shared" si="34"/>
        <v>1</v>
      </c>
      <c r="K244" s="37">
        <v>46174</v>
      </c>
    </row>
    <row r="245" spans="2:11" x14ac:dyDescent="0.15">
      <c r="B245" s="4" t="s">
        <v>16</v>
      </c>
      <c r="C245" s="9"/>
      <c r="D245" s="10">
        <v>2</v>
      </c>
      <c r="E245" s="11"/>
      <c r="F245" s="8">
        <f t="shared" si="33"/>
        <v>2</v>
      </c>
      <c r="G245" s="9"/>
      <c r="H245" s="10">
        <v>2</v>
      </c>
      <c r="I245" s="11"/>
      <c r="J245" s="8">
        <f t="shared" si="34"/>
        <v>2</v>
      </c>
      <c r="K245" s="37">
        <v>46189</v>
      </c>
    </row>
    <row r="246" spans="2:11" x14ac:dyDescent="0.15">
      <c r="B246" s="4"/>
      <c r="C246" s="9"/>
      <c r="D246" s="10"/>
      <c r="E246" s="11"/>
      <c r="F246" s="8">
        <f t="shared" si="33"/>
        <v>0</v>
      </c>
      <c r="G246" s="9"/>
      <c r="H246" s="10"/>
      <c r="I246" s="11"/>
      <c r="J246" s="8">
        <f t="shared" si="34"/>
        <v>0</v>
      </c>
    </row>
    <row r="247" spans="2:11" x14ac:dyDescent="0.15">
      <c r="B247" s="4"/>
      <c r="C247" s="9"/>
      <c r="D247" s="10"/>
      <c r="E247" s="11"/>
      <c r="F247" s="8">
        <f t="shared" si="33"/>
        <v>0</v>
      </c>
      <c r="G247" s="9"/>
      <c r="H247" s="10"/>
      <c r="I247" s="11"/>
      <c r="J247" s="8">
        <f t="shared" si="34"/>
        <v>0</v>
      </c>
    </row>
    <row r="248" spans="2:11" x14ac:dyDescent="0.15">
      <c r="B248" s="183"/>
      <c r="C248" s="184"/>
      <c r="D248" s="131"/>
      <c r="E248" s="132"/>
      <c r="F248" s="170">
        <f t="shared" si="33"/>
        <v>0</v>
      </c>
      <c r="G248" s="184"/>
      <c r="H248" s="131"/>
      <c r="I248" s="132"/>
      <c r="J248" s="170">
        <f t="shared" si="34"/>
        <v>0</v>
      </c>
    </row>
    <row r="249" spans="2:11" x14ac:dyDescent="0.15">
      <c r="B249" s="4"/>
      <c r="C249" s="9"/>
      <c r="D249" s="10"/>
      <c r="E249" s="11"/>
      <c r="F249" s="8">
        <f t="shared" si="33"/>
        <v>0</v>
      </c>
      <c r="G249" s="9"/>
      <c r="H249" s="10"/>
      <c r="I249" s="11"/>
      <c r="J249" s="8">
        <f t="shared" si="34"/>
        <v>0</v>
      </c>
    </row>
    <row r="250" spans="2:11" x14ac:dyDescent="0.15">
      <c r="B250" s="4"/>
      <c r="C250" s="9"/>
      <c r="D250" s="10"/>
      <c r="E250" s="11"/>
      <c r="F250" s="8">
        <f t="shared" si="33"/>
        <v>0</v>
      </c>
      <c r="G250" s="9"/>
      <c r="H250" s="10"/>
      <c r="I250" s="11"/>
      <c r="J250" s="8">
        <f t="shared" si="34"/>
        <v>0</v>
      </c>
    </row>
    <row r="251" spans="2:11" x14ac:dyDescent="0.15">
      <c r="B251" s="4"/>
      <c r="C251" s="9"/>
      <c r="D251" s="10"/>
      <c r="E251" s="11"/>
      <c r="F251" s="8">
        <f t="shared" si="33"/>
        <v>0</v>
      </c>
      <c r="G251" s="9"/>
      <c r="H251" s="10"/>
      <c r="I251" s="11"/>
      <c r="J251" s="8">
        <f t="shared" si="34"/>
        <v>0</v>
      </c>
    </row>
    <row r="252" spans="2:11" x14ac:dyDescent="0.15">
      <c r="B252" s="4"/>
      <c r="C252" s="9"/>
      <c r="D252" s="10"/>
      <c r="E252" s="11"/>
      <c r="F252" s="8">
        <f t="shared" si="33"/>
        <v>0</v>
      </c>
      <c r="G252" s="9"/>
      <c r="H252" s="10"/>
      <c r="I252" s="11"/>
      <c r="J252" s="8">
        <f t="shared" si="34"/>
        <v>0</v>
      </c>
    </row>
    <row r="253" spans="2:11" x14ac:dyDescent="0.15">
      <c r="B253" s="4"/>
      <c r="C253" s="9"/>
      <c r="D253" s="10"/>
      <c r="E253" s="11"/>
      <c r="F253" s="8">
        <f t="shared" si="33"/>
        <v>0</v>
      </c>
      <c r="G253" s="9"/>
      <c r="H253" s="10"/>
      <c r="I253" s="11"/>
      <c r="J253" s="8">
        <f t="shared" si="34"/>
        <v>0</v>
      </c>
    </row>
    <row r="254" spans="2:11" ht="14.25" thickBot="1" x14ac:dyDescent="0.2">
      <c r="B254" s="4"/>
      <c r="C254" s="9"/>
      <c r="D254" s="10"/>
      <c r="E254" s="11"/>
      <c r="F254" s="8">
        <f t="shared" si="33"/>
        <v>0</v>
      </c>
      <c r="G254" s="9"/>
      <c r="H254" s="10"/>
      <c r="I254" s="11"/>
      <c r="J254" s="8">
        <f t="shared" si="34"/>
        <v>0</v>
      </c>
    </row>
    <row r="255" spans="2:11" ht="14.25" thickBot="1" x14ac:dyDescent="0.2">
      <c r="B255" s="3" t="s">
        <v>5</v>
      </c>
      <c r="C255" s="15">
        <f>SUM(C231:C254)</f>
        <v>6</v>
      </c>
      <c r="D255" s="15">
        <f>SUM(D231:D254)</f>
        <v>10</v>
      </c>
      <c r="E255" s="15">
        <f>SUM(E231:E254)</f>
        <v>6</v>
      </c>
      <c r="F255" s="16">
        <f t="shared" si="33"/>
        <v>22</v>
      </c>
      <c r="G255" s="15">
        <f>SUM(G231:G254)</f>
        <v>6</v>
      </c>
      <c r="H255" s="15">
        <f>SUM(H231:H254)</f>
        <v>10</v>
      </c>
      <c r="I255" s="15">
        <f>SUM(I231:I254)</f>
        <v>6</v>
      </c>
      <c r="J255" s="16">
        <f t="shared" si="34"/>
        <v>22</v>
      </c>
    </row>
    <row r="256" spans="2:11" ht="14.25" thickBot="1" x14ac:dyDescent="0.2">
      <c r="B256" s="25" t="s">
        <v>6</v>
      </c>
      <c r="C256" s="26">
        <f t="shared" ref="C256:J256" si="35">C230-C255</f>
        <v>5</v>
      </c>
      <c r="D256" s="26">
        <f t="shared" si="35"/>
        <v>3</v>
      </c>
      <c r="E256" s="26">
        <f t="shared" si="35"/>
        <v>4</v>
      </c>
      <c r="F256" s="26">
        <f t="shared" si="35"/>
        <v>12</v>
      </c>
      <c r="G256" s="26">
        <f t="shared" si="35"/>
        <v>5</v>
      </c>
      <c r="H256" s="26">
        <f t="shared" si="35"/>
        <v>3</v>
      </c>
      <c r="I256" s="26">
        <f t="shared" si="35"/>
        <v>4</v>
      </c>
      <c r="J256" s="24">
        <f t="shared" si="35"/>
        <v>12</v>
      </c>
    </row>
  </sheetData>
  <mergeCells count="12">
    <mergeCell ref="C2:F2"/>
    <mergeCell ref="G2:J2"/>
    <mergeCell ref="C45:F45"/>
    <mergeCell ref="G45:J45"/>
    <mergeCell ref="C88:F88"/>
    <mergeCell ref="G88:J88"/>
    <mergeCell ref="C217:F217"/>
    <mergeCell ref="G217:J217"/>
    <mergeCell ref="C174:F174"/>
    <mergeCell ref="G174:J174"/>
    <mergeCell ref="C131:F131"/>
    <mergeCell ref="G131:J13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37A1-E962-42E2-A0C3-A31CA962B55D}">
  <sheetPr>
    <tabColor theme="5" tint="0.79998168889431442"/>
  </sheetPr>
  <dimension ref="B1:J84"/>
  <sheetViews>
    <sheetView topLeftCell="A11" workbookViewId="0">
      <selection activeCell="C29" sqref="C29"/>
    </sheetView>
  </sheetViews>
  <sheetFormatPr defaultRowHeight="13.5" x14ac:dyDescent="0.15"/>
  <cols>
    <col min="1" max="1" width="5.25" customWidth="1"/>
    <col min="2" max="2" width="16.125" customWidth="1"/>
    <col min="3" max="7" width="7.75" customWidth="1"/>
    <col min="8" max="8" width="9.25" bestFit="1" customWidth="1"/>
  </cols>
  <sheetData>
    <row r="1" spans="2:10" ht="18" thickBot="1" x14ac:dyDescent="0.25">
      <c r="B1" s="29" t="s">
        <v>91</v>
      </c>
      <c r="C1" s="1"/>
      <c r="D1" s="1"/>
      <c r="E1" s="1"/>
      <c r="F1" s="1"/>
      <c r="G1" s="1"/>
    </row>
    <row r="2" spans="2:10" ht="14.25" thickBot="1" x14ac:dyDescent="0.2">
      <c r="B2" s="81" t="s">
        <v>0</v>
      </c>
      <c r="C2" s="205" t="s">
        <v>14</v>
      </c>
      <c r="D2" s="206"/>
      <c r="E2" s="206"/>
      <c r="F2" s="207"/>
      <c r="G2" s="82"/>
    </row>
    <row r="3" spans="2:10" ht="14.25" thickBot="1" x14ac:dyDescent="0.2">
      <c r="B3" s="3" t="s">
        <v>1</v>
      </c>
      <c r="C3" s="89" t="s">
        <v>7</v>
      </c>
      <c r="D3" s="158" t="s">
        <v>8</v>
      </c>
      <c r="E3" s="158" t="s">
        <v>9</v>
      </c>
      <c r="F3" s="84" t="s">
        <v>20</v>
      </c>
      <c r="G3" s="2" t="s">
        <v>2</v>
      </c>
    </row>
    <row r="4" spans="2:10" x14ac:dyDescent="0.15">
      <c r="B4" s="62" t="s">
        <v>23</v>
      </c>
      <c r="C4" s="157">
        <v>2</v>
      </c>
      <c r="D4" s="157">
        <v>1</v>
      </c>
      <c r="E4" s="157">
        <v>1</v>
      </c>
      <c r="F4" s="114"/>
      <c r="G4" s="5">
        <f>C4+D4+E4+F4</f>
        <v>4</v>
      </c>
      <c r="H4" s="32">
        <v>45637</v>
      </c>
    </row>
    <row r="5" spans="2:10" x14ac:dyDescent="0.15">
      <c r="B5" s="49" t="s">
        <v>3</v>
      </c>
      <c r="C5" s="155"/>
      <c r="D5" s="155">
        <v>1</v>
      </c>
      <c r="E5" s="155"/>
      <c r="F5" s="85"/>
      <c r="G5" s="8">
        <f>C5+D5+E5+F5</f>
        <v>1</v>
      </c>
      <c r="H5" s="32">
        <v>45735</v>
      </c>
    </row>
    <row r="6" spans="2:10" x14ac:dyDescent="0.15">
      <c r="B6" s="49" t="s">
        <v>3</v>
      </c>
      <c r="C6" s="156"/>
      <c r="D6" s="156">
        <v>1</v>
      </c>
      <c r="E6" s="156"/>
      <c r="F6" s="86"/>
      <c r="G6" s="8">
        <f t="shared" ref="G6:G40" si="0">C6+D6+E6+F6</f>
        <v>1</v>
      </c>
      <c r="H6" s="32">
        <v>45762</v>
      </c>
    </row>
    <row r="7" spans="2:10" x14ac:dyDescent="0.15">
      <c r="B7" s="49" t="s">
        <v>3</v>
      </c>
      <c r="C7" s="156"/>
      <c r="D7" s="156">
        <v>2</v>
      </c>
      <c r="E7" s="156"/>
      <c r="F7" s="86"/>
      <c r="G7" s="8">
        <f t="shared" si="0"/>
        <v>2</v>
      </c>
      <c r="H7" s="32">
        <v>45786</v>
      </c>
      <c r="I7" s="33"/>
    </row>
    <row r="8" spans="2:10" x14ac:dyDescent="0.15">
      <c r="B8" s="49" t="s">
        <v>3</v>
      </c>
      <c r="C8" s="156">
        <v>2</v>
      </c>
      <c r="D8" s="156"/>
      <c r="E8" s="156">
        <v>2</v>
      </c>
      <c r="F8" s="86"/>
      <c r="G8" s="8">
        <f t="shared" si="0"/>
        <v>4</v>
      </c>
      <c r="H8" s="32">
        <v>45896</v>
      </c>
      <c r="I8" s="33" t="s">
        <v>102</v>
      </c>
    </row>
    <row r="9" spans="2:10" x14ac:dyDescent="0.15">
      <c r="B9" s="49" t="s">
        <v>3</v>
      </c>
      <c r="C9" s="156">
        <v>1</v>
      </c>
      <c r="D9" s="156"/>
      <c r="E9" s="156"/>
      <c r="F9" s="86"/>
      <c r="G9" s="8">
        <f t="shared" si="0"/>
        <v>1</v>
      </c>
      <c r="H9" s="32">
        <v>45944</v>
      </c>
      <c r="I9" s="33"/>
    </row>
    <row r="10" spans="2:10" x14ac:dyDescent="0.15">
      <c r="B10" s="49" t="s">
        <v>73</v>
      </c>
      <c r="C10" s="156">
        <v>0</v>
      </c>
      <c r="D10" s="156">
        <v>0</v>
      </c>
      <c r="E10" s="156">
        <v>0</v>
      </c>
      <c r="F10" s="86">
        <v>0</v>
      </c>
      <c r="G10" s="8">
        <f t="shared" si="0"/>
        <v>0</v>
      </c>
      <c r="H10" s="32">
        <v>46085</v>
      </c>
      <c r="I10" s="33"/>
    </row>
    <row r="11" spans="2:10" x14ac:dyDescent="0.15">
      <c r="B11" s="49" t="s">
        <v>3</v>
      </c>
      <c r="C11" s="156"/>
      <c r="D11" s="156">
        <v>2</v>
      </c>
      <c r="E11" s="156"/>
      <c r="F11" s="86"/>
      <c r="G11" s="8">
        <f t="shared" si="0"/>
        <v>2</v>
      </c>
      <c r="H11" s="32">
        <v>46094</v>
      </c>
      <c r="I11" s="33"/>
    </row>
    <row r="12" spans="2:10" x14ac:dyDescent="0.15">
      <c r="B12" s="49" t="s">
        <v>3</v>
      </c>
      <c r="C12" s="156">
        <v>1</v>
      </c>
      <c r="D12" s="156"/>
      <c r="E12" s="156">
        <v>1</v>
      </c>
      <c r="F12" s="86"/>
      <c r="G12" s="8">
        <f t="shared" si="0"/>
        <v>2</v>
      </c>
      <c r="H12" s="32">
        <v>46143</v>
      </c>
      <c r="I12" s="33"/>
      <c r="J12" s="33"/>
    </row>
    <row r="13" spans="2:10" x14ac:dyDescent="0.15">
      <c r="B13" s="49" t="s">
        <v>3</v>
      </c>
      <c r="C13" s="156"/>
      <c r="D13" s="156">
        <v>4</v>
      </c>
      <c r="E13" s="156">
        <v>1</v>
      </c>
      <c r="F13" s="86"/>
      <c r="G13" s="8">
        <f t="shared" si="0"/>
        <v>5</v>
      </c>
      <c r="H13" s="32">
        <v>46183</v>
      </c>
    </row>
    <row r="14" spans="2:10" ht="14.25" thickBot="1" x14ac:dyDescent="0.2">
      <c r="B14" s="50" t="s">
        <v>3</v>
      </c>
      <c r="C14" s="159"/>
      <c r="D14" s="159"/>
      <c r="E14" s="159"/>
      <c r="F14" s="87"/>
      <c r="G14" s="88">
        <f t="shared" si="0"/>
        <v>0</v>
      </c>
      <c r="H14" s="32"/>
    </row>
    <row r="15" spans="2:10" ht="14.25" thickBot="1" x14ac:dyDescent="0.2">
      <c r="B15" s="51" t="s">
        <v>4</v>
      </c>
      <c r="C15" s="161">
        <f>SUM(C4:C14)</f>
        <v>6</v>
      </c>
      <c r="D15" s="161">
        <f>SUM(D4:D14)</f>
        <v>11</v>
      </c>
      <c r="E15" s="161">
        <f>SUM(E4:E14)</f>
        <v>5</v>
      </c>
      <c r="F15" s="161">
        <f>SUM(F4:F14)</f>
        <v>0</v>
      </c>
      <c r="G15" s="16">
        <f t="shared" si="0"/>
        <v>22</v>
      </c>
    </row>
    <row r="16" spans="2:10" x14ac:dyDescent="0.15">
      <c r="B16" s="40" t="s">
        <v>92</v>
      </c>
      <c r="C16" s="160">
        <v>1</v>
      </c>
      <c r="D16" s="160"/>
      <c r="E16" s="160"/>
      <c r="F16" s="94"/>
      <c r="G16" s="5">
        <f t="shared" si="0"/>
        <v>1</v>
      </c>
      <c r="H16" s="32">
        <v>45637</v>
      </c>
      <c r="I16" s="33"/>
    </row>
    <row r="17" spans="2:9" x14ac:dyDescent="0.15">
      <c r="B17" s="40" t="s">
        <v>16</v>
      </c>
      <c r="C17" s="156"/>
      <c r="D17" s="156">
        <v>1</v>
      </c>
      <c r="E17" s="156"/>
      <c r="F17" s="86"/>
      <c r="G17" s="8">
        <f t="shared" si="0"/>
        <v>1</v>
      </c>
      <c r="H17" s="32">
        <v>45726</v>
      </c>
      <c r="I17" s="33"/>
    </row>
    <row r="18" spans="2:9" x14ac:dyDescent="0.15">
      <c r="B18" s="40" t="s">
        <v>16</v>
      </c>
      <c r="C18" s="156"/>
      <c r="D18" s="156">
        <v>1</v>
      </c>
      <c r="E18" s="156"/>
      <c r="F18" s="86"/>
      <c r="G18" s="8">
        <f t="shared" si="0"/>
        <v>1</v>
      </c>
      <c r="H18" s="32">
        <v>45758</v>
      </c>
      <c r="I18" s="33"/>
    </row>
    <row r="19" spans="2:9" x14ac:dyDescent="0.15">
      <c r="B19" s="40" t="s">
        <v>16</v>
      </c>
      <c r="C19" s="156"/>
      <c r="D19" s="156">
        <v>1</v>
      </c>
      <c r="E19" s="156"/>
      <c r="F19" s="86"/>
      <c r="G19" s="8">
        <f t="shared" si="0"/>
        <v>1</v>
      </c>
      <c r="H19" s="32">
        <v>45770</v>
      </c>
      <c r="I19" s="33"/>
    </row>
    <row r="20" spans="2:9" x14ac:dyDescent="0.15">
      <c r="B20" s="40" t="s">
        <v>100</v>
      </c>
      <c r="C20" s="156">
        <v>1</v>
      </c>
      <c r="D20" s="156">
        <v>0</v>
      </c>
      <c r="E20" s="156">
        <v>1</v>
      </c>
      <c r="F20" s="86">
        <v>0</v>
      </c>
      <c r="G20" s="8">
        <f t="shared" si="0"/>
        <v>2</v>
      </c>
      <c r="H20" s="32">
        <v>45891</v>
      </c>
      <c r="I20" s="33"/>
    </row>
    <row r="21" spans="2:9" x14ac:dyDescent="0.15">
      <c r="B21" s="40" t="s">
        <v>16</v>
      </c>
      <c r="C21" s="156">
        <v>1</v>
      </c>
      <c r="D21" s="156"/>
      <c r="E21" s="156"/>
      <c r="F21" s="86"/>
      <c r="G21" s="8">
        <f t="shared" si="0"/>
        <v>1</v>
      </c>
      <c r="H21" s="32">
        <v>45936</v>
      </c>
      <c r="I21" s="33"/>
    </row>
    <row r="22" spans="2:9" x14ac:dyDescent="0.15">
      <c r="B22" s="40" t="s">
        <v>16</v>
      </c>
      <c r="C22" s="156">
        <v>1</v>
      </c>
      <c r="D22" s="156"/>
      <c r="E22" s="156"/>
      <c r="F22" s="86"/>
      <c r="G22" s="8">
        <f t="shared" si="0"/>
        <v>1</v>
      </c>
      <c r="H22" s="32">
        <v>46058</v>
      </c>
      <c r="I22" s="33"/>
    </row>
    <row r="23" spans="2:9" x14ac:dyDescent="0.15">
      <c r="B23" s="40" t="s">
        <v>16</v>
      </c>
      <c r="C23" s="156"/>
      <c r="D23" s="156">
        <v>1</v>
      </c>
      <c r="E23" s="156"/>
      <c r="F23" s="86"/>
      <c r="G23" s="8">
        <f t="shared" si="0"/>
        <v>1</v>
      </c>
      <c r="H23" s="32">
        <v>46062</v>
      </c>
      <c r="I23" s="33"/>
    </row>
    <row r="24" spans="2:9" x14ac:dyDescent="0.15">
      <c r="B24" s="40" t="s">
        <v>16</v>
      </c>
      <c r="C24" s="156"/>
      <c r="D24" s="156"/>
      <c r="E24" s="156">
        <v>1</v>
      </c>
      <c r="F24" s="86"/>
      <c r="G24" s="8">
        <f t="shared" si="0"/>
        <v>1</v>
      </c>
      <c r="H24" s="32">
        <v>46070</v>
      </c>
      <c r="I24" s="33"/>
    </row>
    <row r="25" spans="2:9" x14ac:dyDescent="0.15">
      <c r="B25" s="40" t="s">
        <v>16</v>
      </c>
      <c r="C25" s="156"/>
      <c r="D25" s="156">
        <v>1</v>
      </c>
      <c r="E25" s="156"/>
      <c r="F25" s="86"/>
      <c r="G25" s="8">
        <f t="shared" si="0"/>
        <v>1</v>
      </c>
      <c r="H25" s="32">
        <v>46090</v>
      </c>
      <c r="I25" s="33"/>
    </row>
    <row r="26" spans="2:9" x14ac:dyDescent="0.15">
      <c r="B26" s="40" t="s">
        <v>16</v>
      </c>
      <c r="C26" s="156"/>
      <c r="D26" s="156"/>
      <c r="E26" s="156">
        <v>1</v>
      </c>
      <c r="F26" s="86"/>
      <c r="G26" s="8">
        <f t="shared" si="0"/>
        <v>1</v>
      </c>
      <c r="H26" s="32">
        <v>46181</v>
      </c>
      <c r="I26" s="33"/>
    </row>
    <row r="27" spans="2:9" x14ac:dyDescent="0.15">
      <c r="B27" s="40" t="s">
        <v>16</v>
      </c>
      <c r="C27" s="156"/>
      <c r="D27" s="156">
        <v>4</v>
      </c>
      <c r="E27" s="156"/>
      <c r="F27" s="86"/>
      <c r="G27" s="8">
        <f t="shared" si="0"/>
        <v>4</v>
      </c>
      <c r="H27" s="32">
        <v>46183</v>
      </c>
      <c r="I27" s="33"/>
    </row>
    <row r="28" spans="2:9" x14ac:dyDescent="0.15">
      <c r="B28" s="40" t="s">
        <v>16</v>
      </c>
      <c r="C28" s="156"/>
      <c r="D28" s="156">
        <v>2</v>
      </c>
      <c r="E28" s="156"/>
      <c r="F28" s="86"/>
      <c r="G28" s="8">
        <f t="shared" si="0"/>
        <v>2</v>
      </c>
      <c r="H28" s="32">
        <v>46191</v>
      </c>
      <c r="I28" s="33"/>
    </row>
    <row r="29" spans="2:9" x14ac:dyDescent="0.15">
      <c r="B29" s="39"/>
      <c r="C29" s="156"/>
      <c r="D29" s="156"/>
      <c r="E29" s="156"/>
      <c r="F29" s="86"/>
      <c r="G29" s="8">
        <f t="shared" si="0"/>
        <v>0</v>
      </c>
      <c r="H29" s="32"/>
      <c r="I29" s="33"/>
    </row>
    <row r="30" spans="2:9" x14ac:dyDescent="0.15">
      <c r="B30" s="39"/>
      <c r="C30" s="156"/>
      <c r="D30" s="156"/>
      <c r="E30" s="156"/>
      <c r="F30" s="86"/>
      <c r="G30" s="8">
        <f t="shared" si="0"/>
        <v>0</v>
      </c>
      <c r="H30" s="32"/>
      <c r="I30" s="33"/>
    </row>
    <row r="31" spans="2:9" x14ac:dyDescent="0.15">
      <c r="B31" s="39"/>
      <c r="C31" s="156"/>
      <c r="D31" s="156"/>
      <c r="E31" s="156"/>
      <c r="F31" s="86"/>
      <c r="G31" s="8">
        <f t="shared" si="0"/>
        <v>0</v>
      </c>
      <c r="H31" s="32"/>
      <c r="I31" s="33"/>
    </row>
    <row r="32" spans="2:9" x14ac:dyDescent="0.15">
      <c r="B32" s="39"/>
      <c r="C32" s="156"/>
      <c r="D32" s="156"/>
      <c r="E32" s="156"/>
      <c r="F32" s="86"/>
      <c r="G32" s="8">
        <f t="shared" si="0"/>
        <v>0</v>
      </c>
      <c r="H32" s="32"/>
      <c r="I32" s="33"/>
    </row>
    <row r="33" spans="2:9" x14ac:dyDescent="0.15">
      <c r="B33" s="39"/>
      <c r="C33" s="156"/>
      <c r="D33" s="156"/>
      <c r="E33" s="156"/>
      <c r="F33" s="86"/>
      <c r="G33" s="8">
        <f t="shared" si="0"/>
        <v>0</v>
      </c>
      <c r="H33" s="33"/>
      <c r="I33" s="33"/>
    </row>
    <row r="34" spans="2:9" x14ac:dyDescent="0.15">
      <c r="B34" s="39"/>
      <c r="C34" s="156"/>
      <c r="D34" s="156"/>
      <c r="E34" s="156"/>
      <c r="F34" s="86"/>
      <c r="G34" s="8">
        <f t="shared" si="0"/>
        <v>0</v>
      </c>
      <c r="H34" s="33"/>
      <c r="I34" s="33"/>
    </row>
    <row r="35" spans="2:9" x14ac:dyDescent="0.15">
      <c r="B35" s="39"/>
      <c r="C35" s="156"/>
      <c r="D35" s="156"/>
      <c r="E35" s="156"/>
      <c r="F35" s="86"/>
      <c r="G35" s="8">
        <f t="shared" si="0"/>
        <v>0</v>
      </c>
      <c r="H35" s="33"/>
      <c r="I35" s="33"/>
    </row>
    <row r="36" spans="2:9" x14ac:dyDescent="0.15">
      <c r="B36" s="39"/>
      <c r="C36" s="156"/>
      <c r="D36" s="156"/>
      <c r="E36" s="156"/>
      <c r="F36" s="86"/>
      <c r="G36" s="8">
        <f t="shared" si="0"/>
        <v>0</v>
      </c>
      <c r="H36" s="33"/>
      <c r="I36" s="33"/>
    </row>
    <row r="37" spans="2:9" x14ac:dyDescent="0.15">
      <c r="B37" s="52"/>
      <c r="C37" s="156"/>
      <c r="D37" s="156"/>
      <c r="E37" s="156"/>
      <c r="F37" s="86"/>
      <c r="G37" s="8">
        <f t="shared" si="0"/>
        <v>0</v>
      </c>
      <c r="H37" s="33"/>
      <c r="I37" s="33"/>
    </row>
    <row r="38" spans="2:9" x14ac:dyDescent="0.15">
      <c r="B38" s="39"/>
      <c r="C38" s="156"/>
      <c r="D38" s="156"/>
      <c r="E38" s="156"/>
      <c r="F38" s="86"/>
      <c r="G38" s="8">
        <f t="shared" si="0"/>
        <v>0</v>
      </c>
      <c r="H38" s="33"/>
      <c r="I38" s="33"/>
    </row>
    <row r="39" spans="2:9" ht="14.25" thickBot="1" x14ac:dyDescent="0.2">
      <c r="B39" s="58"/>
      <c r="C39" s="159"/>
      <c r="D39" s="159"/>
      <c r="E39" s="159"/>
      <c r="F39" s="87"/>
      <c r="G39" s="88">
        <f t="shared" si="0"/>
        <v>0</v>
      </c>
      <c r="H39" s="33"/>
      <c r="I39" s="33"/>
    </row>
    <row r="40" spans="2:9" ht="14.25" thickBot="1" x14ac:dyDescent="0.2">
      <c r="B40" s="3" t="s">
        <v>5</v>
      </c>
      <c r="C40" s="104">
        <f>SUM(C16:C39)</f>
        <v>4</v>
      </c>
      <c r="D40" s="162">
        <f>SUM(D16:D39)</f>
        <v>11</v>
      </c>
      <c r="E40" s="162">
        <f>SUM(E16:E39)</f>
        <v>3</v>
      </c>
      <c r="F40" s="162">
        <f>SUM(F16:F39)</f>
        <v>0</v>
      </c>
      <c r="G40" s="16">
        <f t="shared" si="0"/>
        <v>18</v>
      </c>
      <c r="H40" s="33"/>
      <c r="I40" s="33"/>
    </row>
    <row r="41" spans="2:9" ht="14.25" thickBot="1" x14ac:dyDescent="0.2">
      <c r="B41" s="154" t="s">
        <v>6</v>
      </c>
      <c r="C41" s="163">
        <f>C15-C40</f>
        <v>2</v>
      </c>
      <c r="D41" s="164">
        <f t="shared" ref="D41:F41" si="1">D15-D40</f>
        <v>0</v>
      </c>
      <c r="E41" s="164">
        <f t="shared" si="1"/>
        <v>2</v>
      </c>
      <c r="F41" s="164">
        <f t="shared" si="1"/>
        <v>0</v>
      </c>
      <c r="G41" s="24">
        <f>C41+D41+E41+F41</f>
        <v>4</v>
      </c>
    </row>
    <row r="44" spans="2:9" ht="18" thickBot="1" x14ac:dyDescent="0.25">
      <c r="B44" s="29" t="s">
        <v>91</v>
      </c>
      <c r="C44" s="1"/>
      <c r="D44" s="1"/>
      <c r="E44" s="1"/>
      <c r="F44" s="1"/>
      <c r="G44" s="1"/>
    </row>
    <row r="45" spans="2:9" ht="14.25" thickBot="1" x14ac:dyDescent="0.2">
      <c r="B45" s="81" t="s">
        <v>0</v>
      </c>
      <c r="C45" s="205" t="s">
        <v>14</v>
      </c>
      <c r="D45" s="206"/>
      <c r="E45" s="206"/>
      <c r="F45" s="207"/>
      <c r="G45" s="82"/>
    </row>
    <row r="46" spans="2:9" ht="14.25" thickBot="1" x14ac:dyDescent="0.2">
      <c r="B46" s="3" t="s">
        <v>1</v>
      </c>
      <c r="C46" s="89" t="s">
        <v>7</v>
      </c>
      <c r="D46" s="158" t="s">
        <v>8</v>
      </c>
      <c r="E46" s="158" t="s">
        <v>9</v>
      </c>
      <c r="F46" s="84" t="s">
        <v>20</v>
      </c>
      <c r="G46" s="2" t="s">
        <v>2</v>
      </c>
    </row>
    <row r="47" spans="2:9" x14ac:dyDescent="0.15">
      <c r="B47" s="62" t="s">
        <v>6</v>
      </c>
      <c r="C47" s="157">
        <f>C41</f>
        <v>2</v>
      </c>
      <c r="D47" s="157">
        <f>D41</f>
        <v>0</v>
      </c>
      <c r="E47" s="157">
        <f>E41</f>
        <v>2</v>
      </c>
      <c r="F47" s="114">
        <f>F41</f>
        <v>0</v>
      </c>
      <c r="G47" s="5">
        <f>C47+D47+E47+F47</f>
        <v>4</v>
      </c>
    </row>
    <row r="48" spans="2:9" x14ac:dyDescent="0.15">
      <c r="B48" s="49" t="s">
        <v>3</v>
      </c>
      <c r="C48" s="155"/>
      <c r="D48" s="155"/>
      <c r="E48" s="155"/>
      <c r="F48" s="85"/>
      <c r="G48" s="8">
        <f>C48+D48+E48+F48</f>
        <v>0</v>
      </c>
      <c r="H48" s="32"/>
    </row>
    <row r="49" spans="2:9" x14ac:dyDescent="0.15">
      <c r="B49" s="49" t="s">
        <v>3</v>
      </c>
      <c r="C49" s="156"/>
      <c r="D49" s="156"/>
      <c r="E49" s="156"/>
      <c r="F49" s="86"/>
      <c r="G49" s="8">
        <f t="shared" ref="G49:G83" si="2">C49+D49+E49+F49</f>
        <v>0</v>
      </c>
      <c r="H49" s="32"/>
    </row>
    <row r="50" spans="2:9" x14ac:dyDescent="0.15">
      <c r="B50" s="49" t="s">
        <v>3</v>
      </c>
      <c r="C50" s="156"/>
      <c r="D50" s="156"/>
      <c r="E50" s="156"/>
      <c r="F50" s="86"/>
      <c r="G50" s="8">
        <f t="shared" si="2"/>
        <v>0</v>
      </c>
      <c r="H50" s="32"/>
    </row>
    <row r="51" spans="2:9" x14ac:dyDescent="0.15">
      <c r="B51" s="49" t="s">
        <v>3</v>
      </c>
      <c r="C51" s="156"/>
      <c r="D51" s="156"/>
      <c r="E51" s="156"/>
      <c r="F51" s="86"/>
      <c r="G51" s="8">
        <f t="shared" si="2"/>
        <v>0</v>
      </c>
      <c r="H51" s="32"/>
    </row>
    <row r="52" spans="2:9" x14ac:dyDescent="0.15">
      <c r="B52" s="49" t="s">
        <v>3</v>
      </c>
      <c r="C52" s="156"/>
      <c r="D52" s="156"/>
      <c r="E52" s="156"/>
      <c r="F52" s="86"/>
      <c r="G52" s="8">
        <f t="shared" si="2"/>
        <v>0</v>
      </c>
      <c r="H52" s="32"/>
    </row>
    <row r="53" spans="2:9" x14ac:dyDescent="0.15">
      <c r="B53" s="49" t="s">
        <v>3</v>
      </c>
      <c r="C53" s="156"/>
      <c r="D53" s="156"/>
      <c r="E53" s="156"/>
      <c r="F53" s="86"/>
      <c r="G53" s="8">
        <f t="shared" si="2"/>
        <v>0</v>
      </c>
      <c r="H53" s="32"/>
    </row>
    <row r="54" spans="2:9" x14ac:dyDescent="0.15">
      <c r="B54" s="49" t="s">
        <v>3</v>
      </c>
      <c r="C54" s="156"/>
      <c r="D54" s="156"/>
      <c r="E54" s="156"/>
      <c r="F54" s="86"/>
      <c r="G54" s="8">
        <f t="shared" si="2"/>
        <v>0</v>
      </c>
      <c r="H54" s="32"/>
      <c r="I54" s="33"/>
    </row>
    <row r="55" spans="2:9" x14ac:dyDescent="0.15">
      <c r="B55" s="49" t="s">
        <v>3</v>
      </c>
      <c r="C55" s="156"/>
      <c r="D55" s="156"/>
      <c r="E55" s="156"/>
      <c r="F55" s="86"/>
      <c r="G55" s="8">
        <f t="shared" si="2"/>
        <v>0</v>
      </c>
      <c r="H55" s="32"/>
    </row>
    <row r="56" spans="2:9" x14ac:dyDescent="0.15">
      <c r="B56" s="49" t="s">
        <v>3</v>
      </c>
      <c r="C56" s="156"/>
      <c r="D56" s="156"/>
      <c r="E56" s="156"/>
      <c r="F56" s="86"/>
      <c r="G56" s="8">
        <f t="shared" si="2"/>
        <v>0</v>
      </c>
      <c r="H56" s="32"/>
    </row>
    <row r="57" spans="2:9" ht="14.25" thickBot="1" x14ac:dyDescent="0.2">
      <c r="B57" s="50" t="s">
        <v>3</v>
      </c>
      <c r="C57" s="159"/>
      <c r="D57" s="159"/>
      <c r="E57" s="159"/>
      <c r="F57" s="87"/>
      <c r="G57" s="88">
        <f t="shared" si="2"/>
        <v>0</v>
      </c>
      <c r="H57" s="32"/>
    </row>
    <row r="58" spans="2:9" ht="14.25" thickBot="1" x14ac:dyDescent="0.2">
      <c r="B58" s="51" t="s">
        <v>4</v>
      </c>
      <c r="C58" s="161">
        <f>SUM(C47:C57)</f>
        <v>2</v>
      </c>
      <c r="D58" s="161">
        <f>SUM(D47:D57)</f>
        <v>0</v>
      </c>
      <c r="E58" s="161">
        <f>SUM(E47:E57)</f>
        <v>2</v>
      </c>
      <c r="F58" s="161">
        <f>SUM(F47:F57)</f>
        <v>0</v>
      </c>
      <c r="G58" s="16">
        <f t="shared" si="2"/>
        <v>4</v>
      </c>
    </row>
    <row r="59" spans="2:9" x14ac:dyDescent="0.15">
      <c r="B59" s="40"/>
      <c r="C59" s="160"/>
      <c r="D59" s="160"/>
      <c r="E59" s="160"/>
      <c r="F59" s="94"/>
      <c r="G59" s="5">
        <f t="shared" si="2"/>
        <v>0</v>
      </c>
      <c r="H59" s="37"/>
    </row>
    <row r="60" spans="2:9" x14ac:dyDescent="0.15">
      <c r="B60" s="40"/>
      <c r="C60" s="156"/>
      <c r="D60" s="156"/>
      <c r="E60" s="156"/>
      <c r="F60" s="86"/>
      <c r="G60" s="8">
        <f t="shared" si="2"/>
        <v>0</v>
      </c>
      <c r="H60" s="32"/>
    </row>
    <row r="61" spans="2:9" x14ac:dyDescent="0.15">
      <c r="B61" s="40"/>
      <c r="C61" s="156"/>
      <c r="D61" s="156"/>
      <c r="E61" s="156"/>
      <c r="F61" s="86"/>
      <c r="G61" s="8">
        <f t="shared" si="2"/>
        <v>0</v>
      </c>
      <c r="H61" s="37"/>
    </row>
    <row r="62" spans="2:9" x14ac:dyDescent="0.15">
      <c r="B62" s="40"/>
      <c r="C62" s="156"/>
      <c r="D62" s="156"/>
      <c r="E62" s="156"/>
      <c r="F62" s="86"/>
      <c r="G62" s="8">
        <f t="shared" si="2"/>
        <v>0</v>
      </c>
      <c r="H62" s="37"/>
    </row>
    <row r="63" spans="2:9" x14ac:dyDescent="0.15">
      <c r="B63" s="40"/>
      <c r="C63" s="156"/>
      <c r="D63" s="156"/>
      <c r="E63" s="156"/>
      <c r="F63" s="86"/>
      <c r="G63" s="8">
        <f t="shared" si="2"/>
        <v>0</v>
      </c>
      <c r="H63" s="37"/>
    </row>
    <row r="64" spans="2:9" x14ac:dyDescent="0.15">
      <c r="B64" s="40"/>
      <c r="C64" s="156"/>
      <c r="D64" s="156"/>
      <c r="E64" s="156"/>
      <c r="F64" s="86"/>
      <c r="G64" s="8">
        <f t="shared" si="2"/>
        <v>0</v>
      </c>
      <c r="H64" s="37"/>
    </row>
    <row r="65" spans="2:8" x14ac:dyDescent="0.15">
      <c r="B65" s="40"/>
      <c r="C65" s="156"/>
      <c r="D65" s="156"/>
      <c r="E65" s="156"/>
      <c r="F65" s="86"/>
      <c r="G65" s="8">
        <f t="shared" si="2"/>
        <v>0</v>
      </c>
      <c r="H65" s="37"/>
    </row>
    <row r="66" spans="2:8" x14ac:dyDescent="0.15">
      <c r="B66" s="40"/>
      <c r="C66" s="156"/>
      <c r="D66" s="156"/>
      <c r="E66" s="156"/>
      <c r="F66" s="86"/>
      <c r="G66" s="8">
        <f t="shared" si="2"/>
        <v>0</v>
      </c>
      <c r="H66" s="37"/>
    </row>
    <row r="67" spans="2:8" x14ac:dyDescent="0.15">
      <c r="B67" s="40"/>
      <c r="C67" s="156"/>
      <c r="D67" s="156"/>
      <c r="E67" s="156"/>
      <c r="F67" s="86"/>
      <c r="G67" s="8">
        <f t="shared" si="2"/>
        <v>0</v>
      </c>
      <c r="H67" s="37"/>
    </row>
    <row r="68" spans="2:8" x14ac:dyDescent="0.15">
      <c r="B68" s="40"/>
      <c r="C68" s="156"/>
      <c r="D68" s="156"/>
      <c r="E68" s="156"/>
      <c r="F68" s="86"/>
      <c r="G68" s="8">
        <f t="shared" si="2"/>
        <v>0</v>
      </c>
      <c r="H68" s="37"/>
    </row>
    <row r="69" spans="2:8" x14ac:dyDescent="0.15">
      <c r="B69" s="39"/>
      <c r="C69" s="156"/>
      <c r="D69" s="156"/>
      <c r="E69" s="156"/>
      <c r="F69" s="86"/>
      <c r="G69" s="8">
        <f t="shared" si="2"/>
        <v>0</v>
      </c>
    </row>
    <row r="70" spans="2:8" x14ac:dyDescent="0.15">
      <c r="B70" s="39"/>
      <c r="C70" s="156"/>
      <c r="D70" s="156"/>
      <c r="E70" s="156"/>
      <c r="F70" s="86"/>
      <c r="G70" s="8">
        <f t="shared" si="2"/>
        <v>0</v>
      </c>
    </row>
    <row r="71" spans="2:8" x14ac:dyDescent="0.15">
      <c r="B71" s="39"/>
      <c r="C71" s="156"/>
      <c r="D71" s="156"/>
      <c r="E71" s="156"/>
      <c r="F71" s="86"/>
      <c r="G71" s="8">
        <f t="shared" si="2"/>
        <v>0</v>
      </c>
    </row>
    <row r="72" spans="2:8" x14ac:dyDescent="0.15">
      <c r="B72" s="39"/>
      <c r="C72" s="156"/>
      <c r="D72" s="156"/>
      <c r="E72" s="156"/>
      <c r="F72" s="86"/>
      <c r="G72" s="8">
        <f t="shared" si="2"/>
        <v>0</v>
      </c>
    </row>
    <row r="73" spans="2:8" x14ac:dyDescent="0.15">
      <c r="B73" s="39"/>
      <c r="C73" s="156"/>
      <c r="D73" s="156"/>
      <c r="E73" s="156"/>
      <c r="F73" s="86"/>
      <c r="G73" s="8">
        <f t="shared" si="2"/>
        <v>0</v>
      </c>
    </row>
    <row r="74" spans="2:8" x14ac:dyDescent="0.15">
      <c r="B74" s="39"/>
      <c r="C74" s="156"/>
      <c r="D74" s="156"/>
      <c r="E74" s="156"/>
      <c r="F74" s="86"/>
      <c r="G74" s="8">
        <f t="shared" si="2"/>
        <v>0</v>
      </c>
    </row>
    <row r="75" spans="2:8" x14ac:dyDescent="0.15">
      <c r="B75" s="39"/>
      <c r="C75" s="156"/>
      <c r="D75" s="156"/>
      <c r="E75" s="156"/>
      <c r="F75" s="86"/>
      <c r="G75" s="8">
        <f t="shared" si="2"/>
        <v>0</v>
      </c>
    </row>
    <row r="76" spans="2:8" x14ac:dyDescent="0.15">
      <c r="B76" s="39"/>
      <c r="C76" s="156"/>
      <c r="D76" s="156"/>
      <c r="E76" s="156"/>
      <c r="F76" s="86"/>
      <c r="G76" s="8">
        <f t="shared" si="2"/>
        <v>0</v>
      </c>
    </row>
    <row r="77" spans="2:8" x14ac:dyDescent="0.15">
      <c r="B77" s="39"/>
      <c r="C77" s="156"/>
      <c r="D77" s="156"/>
      <c r="E77" s="156"/>
      <c r="F77" s="86"/>
      <c r="G77" s="8">
        <f t="shared" si="2"/>
        <v>0</v>
      </c>
    </row>
    <row r="78" spans="2:8" x14ac:dyDescent="0.15">
      <c r="B78" s="39"/>
      <c r="C78" s="156"/>
      <c r="D78" s="156"/>
      <c r="E78" s="156"/>
      <c r="F78" s="86"/>
      <c r="G78" s="8">
        <f t="shared" si="2"/>
        <v>0</v>
      </c>
    </row>
    <row r="79" spans="2:8" x14ac:dyDescent="0.15">
      <c r="B79" s="39"/>
      <c r="C79" s="156"/>
      <c r="D79" s="156"/>
      <c r="E79" s="156"/>
      <c r="F79" s="86"/>
      <c r="G79" s="8">
        <f t="shared" si="2"/>
        <v>0</v>
      </c>
    </row>
    <row r="80" spans="2:8" x14ac:dyDescent="0.15">
      <c r="B80" s="52"/>
      <c r="C80" s="156"/>
      <c r="D80" s="156"/>
      <c r="E80" s="156"/>
      <c r="F80" s="86"/>
      <c r="G80" s="8">
        <f t="shared" si="2"/>
        <v>0</v>
      </c>
    </row>
    <row r="81" spans="2:7" x14ac:dyDescent="0.15">
      <c r="B81" s="39"/>
      <c r="C81" s="156"/>
      <c r="D81" s="156"/>
      <c r="E81" s="156"/>
      <c r="F81" s="86"/>
      <c r="G81" s="8">
        <f t="shared" si="2"/>
        <v>0</v>
      </c>
    </row>
    <row r="82" spans="2:7" ht="14.25" thickBot="1" x14ac:dyDescent="0.2">
      <c r="B82" s="58"/>
      <c r="C82" s="159"/>
      <c r="D82" s="159"/>
      <c r="E82" s="159"/>
      <c r="F82" s="87"/>
      <c r="G82" s="88">
        <f t="shared" si="2"/>
        <v>0</v>
      </c>
    </row>
    <row r="83" spans="2:7" ht="14.25" thickBot="1" x14ac:dyDescent="0.2">
      <c r="B83" s="3" t="s">
        <v>5</v>
      </c>
      <c r="C83" s="104">
        <f>SUM(C59:C82)</f>
        <v>0</v>
      </c>
      <c r="D83" s="162">
        <f>SUM(D59:D82)</f>
        <v>0</v>
      </c>
      <c r="E83" s="162">
        <f>SUM(E59:E82)</f>
        <v>0</v>
      </c>
      <c r="F83" s="162">
        <f>SUM(F59:F82)</f>
        <v>0</v>
      </c>
      <c r="G83" s="16">
        <f t="shared" si="2"/>
        <v>0</v>
      </c>
    </row>
    <row r="84" spans="2:7" ht="14.25" thickBot="1" x14ac:dyDescent="0.2">
      <c r="B84" s="154" t="s">
        <v>6</v>
      </c>
      <c r="C84" s="163">
        <f>C58-C83</f>
        <v>2</v>
      </c>
      <c r="D84" s="164">
        <f t="shared" ref="D84:F84" si="3">D58-D83</f>
        <v>0</v>
      </c>
      <c r="E84" s="164">
        <f t="shared" si="3"/>
        <v>2</v>
      </c>
      <c r="F84" s="164">
        <f t="shared" si="3"/>
        <v>0</v>
      </c>
      <c r="G84" s="24">
        <f>C84+D84+E84+F84</f>
        <v>4</v>
      </c>
    </row>
  </sheetData>
  <mergeCells count="2">
    <mergeCell ref="C2:F2"/>
    <mergeCell ref="C45:F45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赤失禁</vt:lpstr>
      <vt:lpstr>赤3分長</vt:lpstr>
      <vt:lpstr>赤8分袖 </vt:lpstr>
      <vt:lpstr>赤3分袖</vt:lpstr>
      <vt:lpstr>スキンケアロング</vt:lpstr>
      <vt:lpstr>スキンケア</vt:lpstr>
      <vt:lpstr>水玉50cc</vt:lpstr>
      <vt:lpstr>ワッフル50cc</vt:lpstr>
      <vt:lpstr>ジャガード柄1分丈</vt:lpstr>
      <vt:lpstr>300CC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2015-03-05T02:57:11Z</cp:lastPrinted>
  <dcterms:created xsi:type="dcterms:W3CDTF">2014-05-16T05:12:07Z</dcterms:created>
  <dcterms:modified xsi:type="dcterms:W3CDTF">2026-07-15T05:29:08Z</dcterms:modified>
</cp:coreProperties>
</file>