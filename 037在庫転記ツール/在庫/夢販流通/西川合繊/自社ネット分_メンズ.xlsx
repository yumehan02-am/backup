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5EE28DBA-0BD6-462A-A94A-A9F4D688C095}" xr6:coauthVersionLast="47" xr6:coauthVersionMax="47" xr10:uidLastSave="{00000000-0000-0000-0000-000000000000}"/>
  <bookViews>
    <workbookView xWindow="-120" yWindow="-120" windowWidth="29040" windowHeight="15840" firstSheet="2" activeTab="7" xr2:uid="{00000000-000D-0000-FFFF-FFFF00000000}"/>
  </bookViews>
  <sheets>
    <sheet name="プリント柄_トランクス100cc" sheetId="10" r:id="rId1"/>
    <sheet name="プリント柄_ブリーフ50cc" sheetId="16" r:id="rId2"/>
    <sheet name="ボーダー柄_トランクス100cc" sheetId="11" r:id="rId3"/>
    <sheet name="無地トランクス100cc " sheetId="17" r:id="rId4"/>
    <sheet name="無地ブリーフ50CC" sheetId="20" r:id="rId5"/>
    <sheet name="アニマル柄_トランクス100cc" sheetId="15" r:id="rId6"/>
    <sheet name="300CC" sheetId="18" r:id="rId7"/>
    <sheet name="おねしょパンツ(オーバーパンツ）" sheetId="1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9" i="11" l="1"/>
  <c r="J489" i="11"/>
  <c r="F490" i="11"/>
  <c r="J490" i="11"/>
  <c r="F491" i="11"/>
  <c r="J491" i="11"/>
  <c r="F492" i="11"/>
  <c r="J492" i="11"/>
  <c r="F493" i="11"/>
  <c r="J493" i="11"/>
  <c r="F494" i="11"/>
  <c r="J494" i="11"/>
  <c r="F495" i="11"/>
  <c r="J495" i="11"/>
  <c r="F496" i="11"/>
  <c r="J496" i="11"/>
  <c r="F497" i="11"/>
  <c r="J497" i="11"/>
  <c r="F498" i="11"/>
  <c r="J498" i="11"/>
  <c r="F499" i="11"/>
  <c r="J499" i="11"/>
  <c r="F500" i="11"/>
  <c r="J500" i="11"/>
  <c r="F501" i="11"/>
  <c r="J501" i="11"/>
  <c r="F502" i="11"/>
  <c r="J502" i="11"/>
  <c r="F503" i="11"/>
  <c r="J503" i="11"/>
  <c r="F504" i="11"/>
  <c r="J504" i="11"/>
  <c r="F505" i="11"/>
  <c r="J505" i="11"/>
  <c r="F506" i="11"/>
  <c r="J506" i="11"/>
  <c r="F507" i="11"/>
  <c r="J507" i="11"/>
  <c r="F508" i="11"/>
  <c r="J508" i="11"/>
  <c r="F509" i="11"/>
  <c r="J509" i="11"/>
  <c r="F478" i="11"/>
  <c r="J478" i="11"/>
  <c r="F479" i="11"/>
  <c r="J479" i="11"/>
  <c r="F480" i="11"/>
  <c r="J480" i="11"/>
  <c r="F481" i="11"/>
  <c r="J481" i="11"/>
  <c r="F482" i="11"/>
  <c r="J482" i="11"/>
  <c r="F483" i="11"/>
  <c r="J483" i="11"/>
  <c r="F484" i="11"/>
  <c r="J484" i="11"/>
  <c r="F485" i="11"/>
  <c r="J485" i="11"/>
  <c r="I513" i="11"/>
  <c r="H513" i="11"/>
  <c r="G513" i="11"/>
  <c r="E513" i="11"/>
  <c r="D513" i="11"/>
  <c r="C513" i="11"/>
  <c r="F513" i="11" s="1"/>
  <c r="J512" i="11"/>
  <c r="F512" i="11"/>
  <c r="J511" i="11"/>
  <c r="F511" i="11"/>
  <c r="J510" i="11"/>
  <c r="F510" i="11"/>
  <c r="J487" i="11"/>
  <c r="F487" i="11"/>
  <c r="J486" i="11"/>
  <c r="F486" i="11"/>
  <c r="I477" i="11"/>
  <c r="I488" i="11" s="1"/>
  <c r="I514" i="11" s="1"/>
  <c r="E477" i="11"/>
  <c r="E488" i="11" s="1"/>
  <c r="E514" i="11" s="1"/>
  <c r="F13" i="16"/>
  <c r="J13" i="16"/>
  <c r="F435" i="11"/>
  <c r="J435" i="11"/>
  <c r="F436" i="11"/>
  <c r="J436" i="11"/>
  <c r="F437" i="11"/>
  <c r="J437" i="11"/>
  <c r="F438" i="11"/>
  <c r="J438" i="11"/>
  <c r="F439" i="11"/>
  <c r="J439" i="11"/>
  <c r="I470" i="11"/>
  <c r="H470" i="11"/>
  <c r="G470" i="11"/>
  <c r="E470" i="11"/>
  <c r="D470" i="11"/>
  <c r="C470" i="11"/>
  <c r="J469" i="11"/>
  <c r="F469" i="11"/>
  <c r="J468" i="11"/>
  <c r="F468" i="11"/>
  <c r="J467" i="11"/>
  <c r="F467" i="11"/>
  <c r="J466" i="11"/>
  <c r="F466" i="11"/>
  <c r="J465" i="11"/>
  <c r="F465" i="11"/>
  <c r="J464" i="11"/>
  <c r="F464" i="11"/>
  <c r="J463" i="11"/>
  <c r="F463" i="11"/>
  <c r="J462" i="11"/>
  <c r="F462" i="11"/>
  <c r="J461" i="11"/>
  <c r="F461" i="11"/>
  <c r="J460" i="11"/>
  <c r="F460" i="11"/>
  <c r="J459" i="11"/>
  <c r="F459" i="11"/>
  <c r="J458" i="11"/>
  <c r="F458" i="11"/>
  <c r="J457" i="11"/>
  <c r="F457" i="11"/>
  <c r="J456" i="11"/>
  <c r="F456" i="11"/>
  <c r="J455" i="11"/>
  <c r="F455" i="11"/>
  <c r="J454" i="11"/>
  <c r="F454" i="11"/>
  <c r="J453" i="11"/>
  <c r="F453" i="11"/>
  <c r="J452" i="11"/>
  <c r="F452" i="11"/>
  <c r="J451" i="11"/>
  <c r="F451" i="11"/>
  <c r="J450" i="11"/>
  <c r="F450" i="11"/>
  <c r="J449" i="11"/>
  <c r="F449" i="11"/>
  <c r="J448" i="11"/>
  <c r="F448" i="11"/>
  <c r="J447" i="11"/>
  <c r="F447" i="11"/>
  <c r="J446" i="11"/>
  <c r="F446" i="11"/>
  <c r="J444" i="11"/>
  <c r="F444" i="11"/>
  <c r="J443" i="11"/>
  <c r="F443" i="11"/>
  <c r="J442" i="11"/>
  <c r="F442" i="11"/>
  <c r="J441" i="11"/>
  <c r="F441" i="11"/>
  <c r="J440" i="11"/>
  <c r="F440" i="11"/>
  <c r="H434" i="11"/>
  <c r="H445" i="11" s="1"/>
  <c r="D434" i="11"/>
  <c r="D445" i="11" s="1"/>
  <c r="F23" i="19"/>
  <c r="F22" i="19"/>
  <c r="F21" i="19"/>
  <c r="F20" i="19"/>
  <c r="I341" i="10"/>
  <c r="H341" i="10"/>
  <c r="J341" i="10" s="1"/>
  <c r="G341" i="10"/>
  <c r="E341" i="10"/>
  <c r="D341" i="10"/>
  <c r="C341" i="10"/>
  <c r="J340" i="10"/>
  <c r="F340" i="10"/>
  <c r="J339" i="10"/>
  <c r="F339" i="10"/>
  <c r="J338" i="10"/>
  <c r="F338" i="10"/>
  <c r="J337" i="10"/>
  <c r="F337" i="10"/>
  <c r="J336" i="10"/>
  <c r="F336" i="10"/>
  <c r="J335" i="10"/>
  <c r="F335" i="10"/>
  <c r="J334" i="10"/>
  <c r="F334" i="10"/>
  <c r="J333" i="10"/>
  <c r="F333" i="10"/>
  <c r="J332" i="10"/>
  <c r="F332" i="10"/>
  <c r="J331" i="10"/>
  <c r="F331" i="10"/>
  <c r="J330" i="10"/>
  <c r="F330" i="10"/>
  <c r="J329" i="10"/>
  <c r="F329" i="10"/>
  <c r="J328" i="10"/>
  <c r="F328" i="10"/>
  <c r="J327" i="10"/>
  <c r="F327" i="10"/>
  <c r="J326" i="10"/>
  <c r="F326" i="10"/>
  <c r="J325" i="10"/>
  <c r="F325" i="10"/>
  <c r="J324" i="10"/>
  <c r="F324" i="10"/>
  <c r="J323" i="10"/>
  <c r="F323" i="10"/>
  <c r="J322" i="10"/>
  <c r="F322" i="10"/>
  <c r="J321" i="10"/>
  <c r="F321" i="10"/>
  <c r="J320" i="10"/>
  <c r="F320" i="10"/>
  <c r="J319" i="10"/>
  <c r="F319" i="10"/>
  <c r="J318" i="10"/>
  <c r="F318" i="10"/>
  <c r="J317" i="10"/>
  <c r="F317" i="10"/>
  <c r="J315" i="10"/>
  <c r="F315" i="10"/>
  <c r="J314" i="10"/>
  <c r="F314" i="10"/>
  <c r="J313" i="10"/>
  <c r="F313" i="10"/>
  <c r="J312" i="10"/>
  <c r="F312" i="10"/>
  <c r="J311" i="10"/>
  <c r="F311" i="10"/>
  <c r="J310" i="10"/>
  <c r="F310" i="10"/>
  <c r="J309" i="10"/>
  <c r="F309" i="10"/>
  <c r="J308" i="10"/>
  <c r="F308" i="10"/>
  <c r="J307" i="10"/>
  <c r="F307" i="10"/>
  <c r="J306" i="10"/>
  <c r="F306" i="10"/>
  <c r="F403" i="11"/>
  <c r="J403" i="11"/>
  <c r="F404" i="11"/>
  <c r="J404" i="11"/>
  <c r="F405" i="11"/>
  <c r="J405" i="11"/>
  <c r="F406" i="11"/>
  <c r="J406" i="11"/>
  <c r="F407" i="11"/>
  <c r="J407" i="11"/>
  <c r="F408" i="11"/>
  <c r="J408" i="11"/>
  <c r="F409" i="11"/>
  <c r="J409" i="11"/>
  <c r="F410" i="11"/>
  <c r="J410" i="11"/>
  <c r="F411" i="11"/>
  <c r="J411" i="11"/>
  <c r="F412" i="11"/>
  <c r="J412" i="11"/>
  <c r="F413" i="11"/>
  <c r="J413" i="11"/>
  <c r="F414" i="11"/>
  <c r="J414" i="11"/>
  <c r="F415" i="11"/>
  <c r="J415" i="11"/>
  <c r="F416" i="11"/>
  <c r="J416" i="11"/>
  <c r="F417" i="11"/>
  <c r="J417" i="11"/>
  <c r="F418" i="11"/>
  <c r="J418" i="11"/>
  <c r="F419" i="11"/>
  <c r="J419" i="11"/>
  <c r="F420" i="11"/>
  <c r="J420" i="11"/>
  <c r="F421" i="11"/>
  <c r="J421" i="11"/>
  <c r="F422" i="11"/>
  <c r="J422" i="11"/>
  <c r="F423" i="11"/>
  <c r="J423" i="11"/>
  <c r="F424" i="11"/>
  <c r="J424" i="11"/>
  <c r="I427" i="11"/>
  <c r="G427" i="11"/>
  <c r="E427" i="11"/>
  <c r="C427" i="11"/>
  <c r="J426" i="11"/>
  <c r="F426" i="11"/>
  <c r="J425" i="11"/>
  <c r="F425" i="11"/>
  <c r="D427" i="11"/>
  <c r="H402" i="11"/>
  <c r="E402" i="11"/>
  <c r="J401" i="11"/>
  <c r="F401" i="11"/>
  <c r="J400" i="11"/>
  <c r="F400" i="11"/>
  <c r="J399" i="11"/>
  <c r="F399" i="11"/>
  <c r="J398" i="11"/>
  <c r="F398" i="11"/>
  <c r="J397" i="11"/>
  <c r="F397" i="11"/>
  <c r="J396" i="11"/>
  <c r="F396" i="11"/>
  <c r="J395" i="11"/>
  <c r="F395" i="11"/>
  <c r="J394" i="11"/>
  <c r="F394" i="11"/>
  <c r="J393" i="11"/>
  <c r="F393" i="11"/>
  <c r="J392" i="11"/>
  <c r="F392" i="11"/>
  <c r="I391" i="11"/>
  <c r="I402" i="11" s="1"/>
  <c r="H391" i="11"/>
  <c r="E391" i="11"/>
  <c r="D391" i="11"/>
  <c r="D402" i="11" s="1"/>
  <c r="D288" i="10"/>
  <c r="F16" i="20"/>
  <c r="J16" i="20"/>
  <c r="I83" i="20"/>
  <c r="H83" i="20"/>
  <c r="G83" i="20"/>
  <c r="J83" i="20" s="1"/>
  <c r="E83" i="20"/>
  <c r="D83" i="20"/>
  <c r="C83" i="20"/>
  <c r="F83" i="20" s="1"/>
  <c r="J82" i="20"/>
  <c r="F82" i="20"/>
  <c r="J81" i="20"/>
  <c r="F81" i="20"/>
  <c r="J80" i="20"/>
  <c r="F80" i="20"/>
  <c r="J79" i="20"/>
  <c r="F79" i="20"/>
  <c r="J78" i="20"/>
  <c r="F78" i="20"/>
  <c r="J77" i="20"/>
  <c r="F77" i="20"/>
  <c r="J76" i="20"/>
  <c r="F76" i="20"/>
  <c r="J75" i="20"/>
  <c r="F75" i="20"/>
  <c r="J74" i="20"/>
  <c r="F74" i="20"/>
  <c r="J73" i="20"/>
  <c r="F73" i="20"/>
  <c r="J72" i="20"/>
  <c r="F72" i="20"/>
  <c r="J71" i="20"/>
  <c r="F71" i="20"/>
  <c r="J70" i="20"/>
  <c r="F70" i="20"/>
  <c r="J69" i="20"/>
  <c r="F69" i="20"/>
  <c r="J68" i="20"/>
  <c r="F68" i="20"/>
  <c r="J67" i="20"/>
  <c r="F67" i="20"/>
  <c r="J66" i="20"/>
  <c r="F66" i="20"/>
  <c r="J65" i="20"/>
  <c r="F65" i="20"/>
  <c r="J64" i="20"/>
  <c r="F64" i="20"/>
  <c r="J63" i="20"/>
  <c r="F63" i="20"/>
  <c r="J62" i="20"/>
  <c r="F62" i="20"/>
  <c r="J61" i="20"/>
  <c r="F61" i="20"/>
  <c r="J60" i="20"/>
  <c r="F60" i="20"/>
  <c r="J59" i="20"/>
  <c r="F59" i="20"/>
  <c r="J57" i="20"/>
  <c r="F57" i="20"/>
  <c r="J56" i="20"/>
  <c r="F56" i="20"/>
  <c r="J55" i="20"/>
  <c r="F55" i="20"/>
  <c r="J54" i="20"/>
  <c r="F54" i="20"/>
  <c r="J53" i="20"/>
  <c r="F53" i="20"/>
  <c r="J52" i="20"/>
  <c r="F52" i="20"/>
  <c r="J51" i="20"/>
  <c r="F51" i="20"/>
  <c r="J50" i="20"/>
  <c r="F50" i="20"/>
  <c r="J49" i="20"/>
  <c r="F49" i="20"/>
  <c r="J48" i="20"/>
  <c r="F48" i="20"/>
  <c r="I40" i="20"/>
  <c r="H40" i="20"/>
  <c r="G40" i="20"/>
  <c r="E40" i="20"/>
  <c r="D40" i="20"/>
  <c r="C40" i="20"/>
  <c r="J39" i="20"/>
  <c r="F39" i="20"/>
  <c r="J38" i="20"/>
  <c r="F38" i="20"/>
  <c r="J37" i="20"/>
  <c r="F37" i="20"/>
  <c r="J36" i="20"/>
  <c r="F36" i="20"/>
  <c r="J35" i="20"/>
  <c r="F35" i="20"/>
  <c r="J34" i="20"/>
  <c r="F34" i="20"/>
  <c r="J33" i="20"/>
  <c r="F33" i="20"/>
  <c r="J32" i="20"/>
  <c r="F32" i="20"/>
  <c r="J31" i="20"/>
  <c r="F31" i="20"/>
  <c r="J30" i="20"/>
  <c r="F30" i="20"/>
  <c r="J29" i="20"/>
  <c r="F29" i="20"/>
  <c r="J28" i="20"/>
  <c r="F28" i="20"/>
  <c r="J27" i="20"/>
  <c r="F27" i="20"/>
  <c r="J26" i="20"/>
  <c r="F26" i="20"/>
  <c r="J25" i="20"/>
  <c r="F25" i="20"/>
  <c r="J24" i="20"/>
  <c r="F24" i="20"/>
  <c r="J23" i="20"/>
  <c r="F23" i="20"/>
  <c r="J22" i="20"/>
  <c r="F22" i="20"/>
  <c r="J21" i="20"/>
  <c r="F21" i="20"/>
  <c r="J20" i="20"/>
  <c r="F20" i="20"/>
  <c r="J19" i="20"/>
  <c r="F19" i="20"/>
  <c r="J18" i="20"/>
  <c r="F18" i="20"/>
  <c r="J17" i="20"/>
  <c r="F17" i="20"/>
  <c r="I15" i="20"/>
  <c r="I41" i="20" s="1"/>
  <c r="I47" i="20" s="1"/>
  <c r="I58" i="20" s="1"/>
  <c r="I84" i="20" s="1"/>
  <c r="H15" i="20"/>
  <c r="G15" i="20"/>
  <c r="E15" i="20"/>
  <c r="E41" i="20" s="1"/>
  <c r="E47" i="20" s="1"/>
  <c r="E58" i="20" s="1"/>
  <c r="E84" i="20" s="1"/>
  <c r="D15" i="20"/>
  <c r="D41" i="20" s="1"/>
  <c r="D47" i="20" s="1"/>
  <c r="D58" i="20" s="1"/>
  <c r="D84" i="20" s="1"/>
  <c r="C15" i="20"/>
  <c r="J14" i="20"/>
  <c r="F14" i="20"/>
  <c r="J13" i="20"/>
  <c r="F13" i="20"/>
  <c r="J12" i="20"/>
  <c r="F12" i="20"/>
  <c r="J11" i="20"/>
  <c r="F11" i="20"/>
  <c r="J10" i="20"/>
  <c r="F10" i="20"/>
  <c r="J9" i="20"/>
  <c r="F9" i="20"/>
  <c r="J8" i="20"/>
  <c r="F8" i="20"/>
  <c r="J7" i="20"/>
  <c r="F7" i="20"/>
  <c r="J6" i="20"/>
  <c r="F6" i="20"/>
  <c r="J5" i="20"/>
  <c r="F5" i="20"/>
  <c r="J4" i="20"/>
  <c r="F4" i="20"/>
  <c r="F6" i="17"/>
  <c r="J6" i="17"/>
  <c r="H361" i="11"/>
  <c r="H384" i="11" s="1"/>
  <c r="D361" i="11"/>
  <c r="D384" i="11" s="1"/>
  <c r="E83" i="19"/>
  <c r="D83" i="19"/>
  <c r="C83" i="19"/>
  <c r="F83" i="19" s="1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7" i="19"/>
  <c r="F56" i="19"/>
  <c r="F55" i="19"/>
  <c r="F54" i="19"/>
  <c r="F53" i="19"/>
  <c r="F52" i="19"/>
  <c r="F51" i="19"/>
  <c r="F50" i="19"/>
  <c r="F49" i="19"/>
  <c r="F48" i="19"/>
  <c r="F5" i="19"/>
  <c r="F6" i="19"/>
  <c r="F7" i="19"/>
  <c r="F8" i="19"/>
  <c r="F9" i="19"/>
  <c r="F10" i="19"/>
  <c r="F11" i="19"/>
  <c r="F12" i="19"/>
  <c r="F13" i="19"/>
  <c r="F14" i="19"/>
  <c r="F16" i="19"/>
  <c r="F17" i="19"/>
  <c r="F18" i="19"/>
  <c r="F19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" i="19"/>
  <c r="E40" i="19"/>
  <c r="D40" i="19"/>
  <c r="C40" i="19"/>
  <c r="E15" i="19"/>
  <c r="D15" i="19"/>
  <c r="C15" i="19"/>
  <c r="I384" i="11"/>
  <c r="G384" i="11"/>
  <c r="E384" i="11"/>
  <c r="C384" i="11"/>
  <c r="J383" i="11"/>
  <c r="F383" i="11"/>
  <c r="J382" i="11"/>
  <c r="F382" i="11"/>
  <c r="J381" i="11"/>
  <c r="F381" i="11"/>
  <c r="J380" i="11"/>
  <c r="F380" i="11"/>
  <c r="J379" i="11"/>
  <c r="F379" i="11"/>
  <c r="J378" i="11"/>
  <c r="F378" i="11"/>
  <c r="J377" i="11"/>
  <c r="F377" i="11"/>
  <c r="J376" i="11"/>
  <c r="F376" i="11"/>
  <c r="J375" i="11"/>
  <c r="F375" i="11"/>
  <c r="J374" i="11"/>
  <c r="F374" i="11"/>
  <c r="J373" i="11"/>
  <c r="F373" i="11"/>
  <c r="J372" i="11"/>
  <c r="F372" i="11"/>
  <c r="J371" i="11"/>
  <c r="F371" i="11"/>
  <c r="J370" i="11"/>
  <c r="F370" i="11"/>
  <c r="J369" i="11"/>
  <c r="F369" i="11"/>
  <c r="J368" i="11"/>
  <c r="F368" i="11"/>
  <c r="J367" i="11"/>
  <c r="F367" i="11"/>
  <c r="J366" i="11"/>
  <c r="F366" i="11"/>
  <c r="J365" i="11"/>
  <c r="F365" i="11"/>
  <c r="J364" i="11"/>
  <c r="F364" i="11"/>
  <c r="J363" i="11"/>
  <c r="F363" i="11"/>
  <c r="J362" i="11"/>
  <c r="F362" i="11"/>
  <c r="J361" i="11"/>
  <c r="F361" i="11"/>
  <c r="J360" i="11"/>
  <c r="F360" i="11"/>
  <c r="J358" i="11"/>
  <c r="F358" i="11"/>
  <c r="J357" i="11"/>
  <c r="F357" i="11"/>
  <c r="J356" i="11"/>
  <c r="F356" i="11"/>
  <c r="J355" i="11"/>
  <c r="F355" i="11"/>
  <c r="J354" i="11"/>
  <c r="F354" i="11"/>
  <c r="J353" i="11"/>
  <c r="F353" i="11"/>
  <c r="J352" i="11"/>
  <c r="F352" i="11"/>
  <c r="J351" i="11"/>
  <c r="F351" i="11"/>
  <c r="J350" i="11"/>
  <c r="F350" i="11"/>
  <c r="J349" i="11"/>
  <c r="F349" i="11"/>
  <c r="I348" i="11"/>
  <c r="I359" i="11" s="1"/>
  <c r="G348" i="11"/>
  <c r="C348" i="11"/>
  <c r="F83" i="18"/>
  <c r="E83" i="18"/>
  <c r="D83" i="18"/>
  <c r="C83" i="18"/>
  <c r="G83" i="18" s="1"/>
  <c r="G82" i="18"/>
  <c r="G81" i="18"/>
  <c r="G80" i="18"/>
  <c r="G79" i="18"/>
  <c r="G78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4" i="18"/>
  <c r="G63" i="18"/>
  <c r="G62" i="18"/>
  <c r="G61" i="18"/>
  <c r="G60" i="18"/>
  <c r="G59" i="18"/>
  <c r="G57" i="18"/>
  <c r="G56" i="18"/>
  <c r="G55" i="18"/>
  <c r="G54" i="18"/>
  <c r="G53" i="18"/>
  <c r="G52" i="18"/>
  <c r="G51" i="18"/>
  <c r="G50" i="18"/>
  <c r="G49" i="18"/>
  <c r="G48" i="18"/>
  <c r="G18" i="18"/>
  <c r="G19" i="18"/>
  <c r="G20" i="18"/>
  <c r="G21" i="18"/>
  <c r="G22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16" i="18"/>
  <c r="G6" i="18"/>
  <c r="G7" i="18"/>
  <c r="G8" i="18"/>
  <c r="G9" i="18"/>
  <c r="G10" i="18"/>
  <c r="G11" i="18"/>
  <c r="G12" i="18"/>
  <c r="G13" i="18"/>
  <c r="G14" i="18"/>
  <c r="G5" i="18"/>
  <c r="F15" i="18"/>
  <c r="G4" i="18"/>
  <c r="E40" i="18"/>
  <c r="D40" i="18"/>
  <c r="C40" i="18"/>
  <c r="F40" i="18"/>
  <c r="G17" i="18"/>
  <c r="E15" i="18"/>
  <c r="D15" i="18"/>
  <c r="C15" i="18"/>
  <c r="I83" i="17"/>
  <c r="H83" i="17"/>
  <c r="G83" i="17"/>
  <c r="E83" i="17"/>
  <c r="C83" i="17"/>
  <c r="J82" i="17"/>
  <c r="F82" i="17"/>
  <c r="J81" i="17"/>
  <c r="F81" i="17"/>
  <c r="J80" i="17"/>
  <c r="F80" i="17"/>
  <c r="J79" i="17"/>
  <c r="F79" i="17"/>
  <c r="J78" i="17"/>
  <c r="F78" i="17"/>
  <c r="J77" i="17"/>
  <c r="F77" i="17"/>
  <c r="J76" i="17"/>
  <c r="F76" i="17"/>
  <c r="J75" i="17"/>
  <c r="F75" i="17"/>
  <c r="J74" i="17"/>
  <c r="F74" i="17"/>
  <c r="J73" i="17"/>
  <c r="F73" i="17"/>
  <c r="J72" i="17"/>
  <c r="F72" i="17"/>
  <c r="J71" i="17"/>
  <c r="D83" i="17"/>
  <c r="J70" i="17"/>
  <c r="F70" i="17"/>
  <c r="J69" i="17"/>
  <c r="F69" i="17"/>
  <c r="J68" i="17"/>
  <c r="F68" i="17"/>
  <c r="J67" i="17"/>
  <c r="F67" i="17"/>
  <c r="J66" i="17"/>
  <c r="F66" i="17"/>
  <c r="J65" i="17"/>
  <c r="F65" i="17"/>
  <c r="J64" i="17"/>
  <c r="F64" i="17"/>
  <c r="J63" i="17"/>
  <c r="F63" i="17"/>
  <c r="J62" i="17"/>
  <c r="F62" i="17"/>
  <c r="J61" i="17"/>
  <c r="F61" i="17"/>
  <c r="J60" i="17"/>
  <c r="F60" i="17"/>
  <c r="J59" i="17"/>
  <c r="F59" i="17"/>
  <c r="J57" i="17"/>
  <c r="F57" i="17"/>
  <c r="J56" i="17"/>
  <c r="F56" i="17"/>
  <c r="J55" i="17"/>
  <c r="F55" i="17"/>
  <c r="J54" i="17"/>
  <c r="F54" i="17"/>
  <c r="J53" i="17"/>
  <c r="F53" i="17"/>
  <c r="J52" i="17"/>
  <c r="F52" i="17"/>
  <c r="J51" i="17"/>
  <c r="F51" i="17"/>
  <c r="J50" i="17"/>
  <c r="F50" i="17"/>
  <c r="J49" i="17"/>
  <c r="F49" i="17"/>
  <c r="J48" i="17"/>
  <c r="F48" i="17"/>
  <c r="I40" i="17"/>
  <c r="H40" i="17"/>
  <c r="G40" i="17"/>
  <c r="E40" i="17"/>
  <c r="D40" i="17"/>
  <c r="C40" i="17"/>
  <c r="J39" i="17"/>
  <c r="F39" i="17"/>
  <c r="J38" i="17"/>
  <c r="F38" i="17"/>
  <c r="J37" i="17"/>
  <c r="F37" i="17"/>
  <c r="J36" i="17"/>
  <c r="F36" i="17"/>
  <c r="J35" i="17"/>
  <c r="F35" i="17"/>
  <c r="J34" i="17"/>
  <c r="F34" i="17"/>
  <c r="J33" i="17"/>
  <c r="F33" i="17"/>
  <c r="J32" i="17"/>
  <c r="F32" i="17"/>
  <c r="J31" i="17"/>
  <c r="F31" i="17"/>
  <c r="J30" i="17"/>
  <c r="F30" i="17"/>
  <c r="J29" i="17"/>
  <c r="F29" i="17"/>
  <c r="J28" i="17"/>
  <c r="F28" i="17"/>
  <c r="J27" i="17"/>
  <c r="F27" i="17"/>
  <c r="J26" i="17"/>
  <c r="F26" i="17"/>
  <c r="J25" i="17"/>
  <c r="F25" i="17"/>
  <c r="J24" i="17"/>
  <c r="F24" i="17"/>
  <c r="J23" i="17"/>
  <c r="F23" i="17"/>
  <c r="J22" i="17"/>
  <c r="F22" i="17"/>
  <c r="J21" i="17"/>
  <c r="F21" i="17"/>
  <c r="J20" i="17"/>
  <c r="F20" i="17"/>
  <c r="J19" i="17"/>
  <c r="F19" i="17"/>
  <c r="J18" i="17"/>
  <c r="F18" i="17"/>
  <c r="J17" i="17"/>
  <c r="F17" i="17"/>
  <c r="J16" i="17"/>
  <c r="F16" i="17"/>
  <c r="I15" i="17"/>
  <c r="I41" i="17" s="1"/>
  <c r="I47" i="17" s="1"/>
  <c r="I58" i="17" s="1"/>
  <c r="I84" i="17" s="1"/>
  <c r="H15" i="17"/>
  <c r="H41" i="17" s="1"/>
  <c r="H47" i="17" s="1"/>
  <c r="H58" i="17" s="1"/>
  <c r="G15" i="17"/>
  <c r="G41" i="17" s="1"/>
  <c r="G47" i="17" s="1"/>
  <c r="E15" i="17"/>
  <c r="D15" i="17"/>
  <c r="C15" i="17"/>
  <c r="J14" i="17"/>
  <c r="F14" i="17"/>
  <c r="J13" i="17"/>
  <c r="F13" i="17"/>
  <c r="J12" i="17"/>
  <c r="F12" i="17"/>
  <c r="J11" i="17"/>
  <c r="F11" i="17"/>
  <c r="J10" i="17"/>
  <c r="F10" i="17"/>
  <c r="J9" i="17"/>
  <c r="F9" i="17"/>
  <c r="J8" i="17"/>
  <c r="F8" i="17"/>
  <c r="J7" i="17"/>
  <c r="F7" i="17"/>
  <c r="J5" i="17"/>
  <c r="F5" i="17"/>
  <c r="J4" i="17"/>
  <c r="F4" i="17"/>
  <c r="F263" i="10"/>
  <c r="J263" i="10"/>
  <c r="F274" i="10"/>
  <c r="J274" i="10"/>
  <c r="F275" i="10"/>
  <c r="J275" i="10"/>
  <c r="F276" i="10"/>
  <c r="J276" i="10"/>
  <c r="F277" i="10"/>
  <c r="J277" i="10"/>
  <c r="F278" i="10"/>
  <c r="J278" i="10"/>
  <c r="F279" i="10"/>
  <c r="J279" i="10"/>
  <c r="F280" i="10"/>
  <c r="J280" i="10"/>
  <c r="F281" i="10"/>
  <c r="J281" i="10"/>
  <c r="F282" i="10"/>
  <c r="J282" i="10"/>
  <c r="F283" i="10"/>
  <c r="J283" i="10"/>
  <c r="F284" i="10"/>
  <c r="J284" i="10"/>
  <c r="F285" i="10"/>
  <c r="J285" i="10"/>
  <c r="F286" i="10"/>
  <c r="J286" i="10"/>
  <c r="F287" i="10"/>
  <c r="J287" i="10"/>
  <c r="F288" i="10"/>
  <c r="J288" i="10"/>
  <c r="F289" i="10"/>
  <c r="J289" i="10"/>
  <c r="F290" i="10"/>
  <c r="J290" i="10"/>
  <c r="F291" i="10"/>
  <c r="J291" i="10"/>
  <c r="F292" i="10"/>
  <c r="J292" i="10"/>
  <c r="F293" i="10"/>
  <c r="J293" i="10"/>
  <c r="F294" i="10"/>
  <c r="J294" i="10"/>
  <c r="F295" i="10"/>
  <c r="J295" i="10"/>
  <c r="H298" i="10"/>
  <c r="G298" i="10"/>
  <c r="D298" i="10"/>
  <c r="C298" i="10"/>
  <c r="J297" i="10"/>
  <c r="F297" i="10"/>
  <c r="J296" i="10"/>
  <c r="F296" i="10"/>
  <c r="E298" i="10"/>
  <c r="E273" i="10"/>
  <c r="J272" i="10"/>
  <c r="F272" i="10"/>
  <c r="J271" i="10"/>
  <c r="F271" i="10"/>
  <c r="J270" i="10"/>
  <c r="F270" i="10"/>
  <c r="J269" i="10"/>
  <c r="F269" i="10"/>
  <c r="J268" i="10"/>
  <c r="F268" i="10"/>
  <c r="J267" i="10"/>
  <c r="F267" i="10"/>
  <c r="J266" i="10"/>
  <c r="F266" i="10"/>
  <c r="J265" i="10"/>
  <c r="F265" i="10"/>
  <c r="J264" i="10"/>
  <c r="F264" i="10"/>
  <c r="I262" i="10"/>
  <c r="I273" i="10" s="1"/>
  <c r="G262" i="10"/>
  <c r="G273" i="10" s="1"/>
  <c r="E262" i="10"/>
  <c r="C262" i="10"/>
  <c r="C273" i="10" s="1"/>
  <c r="F306" i="11"/>
  <c r="J306" i="11"/>
  <c r="F307" i="11"/>
  <c r="J307" i="11"/>
  <c r="F308" i="11"/>
  <c r="J308" i="11"/>
  <c r="F309" i="11"/>
  <c r="J309" i="11"/>
  <c r="F310" i="11"/>
  <c r="J310" i="11"/>
  <c r="F311" i="11"/>
  <c r="J311" i="11"/>
  <c r="F312" i="11"/>
  <c r="J312" i="11"/>
  <c r="F317" i="11"/>
  <c r="J317" i="11"/>
  <c r="F318" i="11"/>
  <c r="J318" i="11"/>
  <c r="F319" i="11"/>
  <c r="J319" i="11"/>
  <c r="F320" i="11"/>
  <c r="J320" i="11"/>
  <c r="F321" i="11"/>
  <c r="J321" i="11"/>
  <c r="F322" i="11"/>
  <c r="J322" i="11"/>
  <c r="F323" i="11"/>
  <c r="J323" i="11"/>
  <c r="F324" i="11"/>
  <c r="J324" i="11"/>
  <c r="F325" i="11"/>
  <c r="J325" i="11"/>
  <c r="F326" i="11"/>
  <c r="J326" i="11"/>
  <c r="F327" i="11"/>
  <c r="J327" i="11"/>
  <c r="F328" i="11"/>
  <c r="J328" i="11"/>
  <c r="F329" i="11"/>
  <c r="J329" i="11"/>
  <c r="F330" i="11"/>
  <c r="J330" i="11"/>
  <c r="F331" i="11"/>
  <c r="J331" i="11"/>
  <c r="F332" i="11"/>
  <c r="J332" i="11"/>
  <c r="F333" i="11"/>
  <c r="J333" i="11"/>
  <c r="F334" i="11"/>
  <c r="J334" i="11"/>
  <c r="F335" i="11"/>
  <c r="J335" i="11"/>
  <c r="F336" i="11"/>
  <c r="J336" i="11"/>
  <c r="F337" i="11"/>
  <c r="J337" i="11"/>
  <c r="F338" i="11"/>
  <c r="J338" i="11"/>
  <c r="H341" i="11"/>
  <c r="G341" i="11"/>
  <c r="E341" i="11"/>
  <c r="D341" i="11"/>
  <c r="C341" i="11"/>
  <c r="J340" i="11"/>
  <c r="F340" i="11"/>
  <c r="J339" i="11"/>
  <c r="F339" i="11"/>
  <c r="G316" i="11"/>
  <c r="J315" i="11"/>
  <c r="F315" i="11"/>
  <c r="J314" i="11"/>
  <c r="F314" i="11"/>
  <c r="J313" i="11"/>
  <c r="F313" i="11"/>
  <c r="G305" i="11"/>
  <c r="C305" i="11"/>
  <c r="C316" i="11" s="1"/>
  <c r="I247" i="10"/>
  <c r="E247" i="10"/>
  <c r="F271" i="11"/>
  <c r="J513" i="11" l="1"/>
  <c r="D471" i="11"/>
  <c r="D477" i="11" s="1"/>
  <c r="D488" i="11" s="1"/>
  <c r="D514" i="11" s="1"/>
  <c r="H471" i="11"/>
  <c r="H477" i="11" s="1"/>
  <c r="H488" i="11" s="1"/>
  <c r="H514" i="11" s="1"/>
  <c r="F470" i="11"/>
  <c r="J470" i="11"/>
  <c r="F40" i="20"/>
  <c r="D41" i="17"/>
  <c r="D47" i="17" s="1"/>
  <c r="D58" i="17" s="1"/>
  <c r="D84" i="17" s="1"/>
  <c r="H84" i="17"/>
  <c r="F341" i="10"/>
  <c r="C41" i="17"/>
  <c r="C47" i="17" s="1"/>
  <c r="D428" i="11"/>
  <c r="I428" i="11"/>
  <c r="I434" i="11" s="1"/>
  <c r="I445" i="11" s="1"/>
  <c r="I471" i="11" s="1"/>
  <c r="E428" i="11"/>
  <c r="E434" i="11" s="1"/>
  <c r="E445" i="11" s="1"/>
  <c r="E471" i="11" s="1"/>
  <c r="F427" i="11"/>
  <c r="H427" i="11"/>
  <c r="H428" i="11" s="1"/>
  <c r="F15" i="20"/>
  <c r="F41" i="20" s="1"/>
  <c r="H41" i="20"/>
  <c r="H47" i="20" s="1"/>
  <c r="H58" i="20" s="1"/>
  <c r="H84" i="20" s="1"/>
  <c r="F15" i="19"/>
  <c r="I385" i="11"/>
  <c r="E41" i="17"/>
  <c r="E47" i="17" s="1"/>
  <c r="E58" i="17" s="1"/>
  <c r="E84" i="17" s="1"/>
  <c r="J15" i="20"/>
  <c r="J40" i="20"/>
  <c r="C41" i="20"/>
  <c r="C47" i="20" s="1"/>
  <c r="G41" i="20"/>
  <c r="G47" i="20" s="1"/>
  <c r="D41" i="19"/>
  <c r="D47" i="19" s="1"/>
  <c r="D58" i="19" s="1"/>
  <c r="D84" i="19" s="1"/>
  <c r="F40" i="19"/>
  <c r="F384" i="11"/>
  <c r="C41" i="19"/>
  <c r="C47" i="19" s="1"/>
  <c r="E41" i="19"/>
  <c r="E47" i="19" s="1"/>
  <c r="E58" i="19" s="1"/>
  <c r="E84" i="19" s="1"/>
  <c r="J384" i="11"/>
  <c r="C359" i="11"/>
  <c r="G359" i="11"/>
  <c r="D41" i="18"/>
  <c r="D47" i="18" s="1"/>
  <c r="D58" i="18" s="1"/>
  <c r="D84" i="18" s="1"/>
  <c r="G40" i="18"/>
  <c r="G23" i="18"/>
  <c r="G15" i="18"/>
  <c r="F41" i="18"/>
  <c r="F47" i="18" s="1"/>
  <c r="F58" i="18" s="1"/>
  <c r="F84" i="18" s="1"/>
  <c r="E41" i="18"/>
  <c r="E47" i="18" s="1"/>
  <c r="E58" i="18" s="1"/>
  <c r="E84" i="18" s="1"/>
  <c r="C41" i="18"/>
  <c r="C47" i="18" s="1"/>
  <c r="J40" i="17"/>
  <c r="F40" i="17"/>
  <c r="F71" i="17"/>
  <c r="F83" i="17"/>
  <c r="J83" i="17"/>
  <c r="G58" i="17"/>
  <c r="J47" i="17"/>
  <c r="F15" i="17"/>
  <c r="J15" i="17"/>
  <c r="E299" i="10"/>
  <c r="E305" i="10" s="1"/>
  <c r="E316" i="10" s="1"/>
  <c r="E342" i="10" s="1"/>
  <c r="G299" i="10"/>
  <c r="G305" i="10" s="1"/>
  <c r="C299" i="10"/>
  <c r="C305" i="10" s="1"/>
  <c r="F298" i="10"/>
  <c r="I298" i="10"/>
  <c r="J298" i="10" s="1"/>
  <c r="F341" i="11"/>
  <c r="C342" i="11"/>
  <c r="I341" i="11"/>
  <c r="G342" i="11"/>
  <c r="F59" i="16"/>
  <c r="J59" i="16"/>
  <c r="F60" i="16"/>
  <c r="J60" i="16"/>
  <c r="F61" i="16"/>
  <c r="J61" i="16"/>
  <c r="F62" i="16"/>
  <c r="J62" i="16"/>
  <c r="F63" i="16"/>
  <c r="J63" i="16"/>
  <c r="F64" i="16"/>
  <c r="J64" i="16"/>
  <c r="F65" i="16"/>
  <c r="J65" i="16"/>
  <c r="F66" i="16"/>
  <c r="J66" i="16"/>
  <c r="F67" i="16"/>
  <c r="J67" i="16"/>
  <c r="F68" i="16"/>
  <c r="J68" i="16"/>
  <c r="F69" i="16"/>
  <c r="J69" i="16"/>
  <c r="F70" i="16"/>
  <c r="J70" i="16"/>
  <c r="F71" i="16"/>
  <c r="J71" i="16"/>
  <c r="F72" i="16"/>
  <c r="J72" i="16"/>
  <c r="F73" i="16"/>
  <c r="J73" i="16"/>
  <c r="F74" i="16"/>
  <c r="J74" i="16"/>
  <c r="F75" i="16"/>
  <c r="J75" i="16"/>
  <c r="F76" i="16"/>
  <c r="J76" i="16"/>
  <c r="I83" i="16"/>
  <c r="H83" i="16"/>
  <c r="G83" i="16"/>
  <c r="E83" i="16"/>
  <c r="C83" i="16"/>
  <c r="J82" i="16"/>
  <c r="F82" i="16"/>
  <c r="J81" i="16"/>
  <c r="F81" i="16"/>
  <c r="J80" i="16"/>
  <c r="F80" i="16"/>
  <c r="J79" i="16"/>
  <c r="F79" i="16"/>
  <c r="J78" i="16"/>
  <c r="F78" i="16"/>
  <c r="J77" i="16"/>
  <c r="F77" i="16"/>
  <c r="D83" i="16"/>
  <c r="J57" i="16"/>
  <c r="F57" i="16"/>
  <c r="J56" i="16"/>
  <c r="F56" i="16"/>
  <c r="J55" i="16"/>
  <c r="F55" i="16"/>
  <c r="J54" i="16"/>
  <c r="F54" i="16"/>
  <c r="J53" i="16"/>
  <c r="F53" i="16"/>
  <c r="J52" i="16"/>
  <c r="F52" i="16"/>
  <c r="J51" i="16"/>
  <c r="F51" i="16"/>
  <c r="J50" i="16"/>
  <c r="F50" i="16"/>
  <c r="J49" i="16"/>
  <c r="F49" i="16"/>
  <c r="J48" i="16"/>
  <c r="F48" i="16"/>
  <c r="I40" i="16"/>
  <c r="H40" i="16"/>
  <c r="G40" i="16"/>
  <c r="E40" i="16"/>
  <c r="D40" i="16"/>
  <c r="C40" i="16"/>
  <c r="J39" i="16"/>
  <c r="F39" i="16"/>
  <c r="J38" i="16"/>
  <c r="F38" i="16"/>
  <c r="J37" i="16"/>
  <c r="F37" i="16"/>
  <c r="J36" i="16"/>
  <c r="F36" i="16"/>
  <c r="J35" i="16"/>
  <c r="F35" i="16"/>
  <c r="J34" i="16"/>
  <c r="F34" i="16"/>
  <c r="J33" i="16"/>
  <c r="F33" i="16"/>
  <c r="J32" i="16"/>
  <c r="F32" i="16"/>
  <c r="J31" i="16"/>
  <c r="F31" i="16"/>
  <c r="J30" i="16"/>
  <c r="F30" i="16"/>
  <c r="J29" i="16"/>
  <c r="F29" i="16"/>
  <c r="J28" i="16"/>
  <c r="F28" i="16"/>
  <c r="J27" i="16"/>
  <c r="F27" i="16"/>
  <c r="J26" i="16"/>
  <c r="F26" i="16"/>
  <c r="J25" i="16"/>
  <c r="F25" i="16"/>
  <c r="J24" i="16"/>
  <c r="F24" i="16"/>
  <c r="J23" i="16"/>
  <c r="F23" i="16"/>
  <c r="J22" i="16"/>
  <c r="F22" i="16"/>
  <c r="J21" i="16"/>
  <c r="F21" i="16"/>
  <c r="J20" i="16"/>
  <c r="F20" i="16"/>
  <c r="J19" i="16"/>
  <c r="F19" i="16"/>
  <c r="J18" i="16"/>
  <c r="F18" i="16"/>
  <c r="J17" i="16"/>
  <c r="F17" i="16"/>
  <c r="J16" i="16"/>
  <c r="F16" i="16"/>
  <c r="I15" i="16"/>
  <c r="I41" i="16" s="1"/>
  <c r="I47" i="16" s="1"/>
  <c r="I58" i="16" s="1"/>
  <c r="H15" i="16"/>
  <c r="G15" i="16"/>
  <c r="G41" i="16" s="1"/>
  <c r="G47" i="16" s="1"/>
  <c r="E15" i="16"/>
  <c r="D15" i="16"/>
  <c r="C15" i="16"/>
  <c r="J14" i="16"/>
  <c r="F14" i="16"/>
  <c r="J12" i="16"/>
  <c r="F12" i="16"/>
  <c r="J11" i="16"/>
  <c r="F11" i="16"/>
  <c r="J10" i="16"/>
  <c r="F10" i="16"/>
  <c r="J9" i="16"/>
  <c r="F9" i="16"/>
  <c r="J8" i="16"/>
  <c r="F8" i="16"/>
  <c r="J7" i="16"/>
  <c r="F7" i="16"/>
  <c r="J6" i="16"/>
  <c r="F6" i="16"/>
  <c r="J5" i="16"/>
  <c r="F5" i="16"/>
  <c r="J4" i="16"/>
  <c r="F4" i="16"/>
  <c r="F47" i="17" l="1"/>
  <c r="G316" i="10"/>
  <c r="C316" i="10"/>
  <c r="C58" i="17"/>
  <c r="F58" i="17" s="1"/>
  <c r="F84" i="17" s="1"/>
  <c r="F41" i="17"/>
  <c r="J41" i="17"/>
  <c r="J427" i="11"/>
  <c r="D41" i="16"/>
  <c r="D47" i="16" s="1"/>
  <c r="D58" i="16" s="1"/>
  <c r="D84" i="16" s="1"/>
  <c r="J41" i="20"/>
  <c r="J47" i="20"/>
  <c r="G58" i="20"/>
  <c r="F47" i="20"/>
  <c r="C58" i="20"/>
  <c r="F47" i="19"/>
  <c r="C58" i="19"/>
  <c r="F41" i="19"/>
  <c r="G385" i="11"/>
  <c r="G391" i="11" s="1"/>
  <c r="C385" i="11"/>
  <c r="C391" i="11" s="1"/>
  <c r="G47" i="18"/>
  <c r="C58" i="18"/>
  <c r="G41" i="18"/>
  <c r="G84" i="17"/>
  <c r="J58" i="17"/>
  <c r="J84" i="17" s="1"/>
  <c r="I299" i="10"/>
  <c r="I305" i="10" s="1"/>
  <c r="I316" i="10" s="1"/>
  <c r="I342" i="10" s="1"/>
  <c r="E41" i="16"/>
  <c r="E47" i="16" s="1"/>
  <c r="E58" i="16" s="1"/>
  <c r="E84" i="16" s="1"/>
  <c r="J341" i="11"/>
  <c r="I84" i="16"/>
  <c r="C41" i="16"/>
  <c r="C47" i="16" s="1"/>
  <c r="C58" i="16" s="1"/>
  <c r="H41" i="16"/>
  <c r="H47" i="16" s="1"/>
  <c r="H58" i="16" s="1"/>
  <c r="H84" i="16" s="1"/>
  <c r="J83" i="16"/>
  <c r="J40" i="16"/>
  <c r="F40" i="16"/>
  <c r="F83" i="16"/>
  <c r="G58" i="16"/>
  <c r="F15" i="16"/>
  <c r="J15" i="16"/>
  <c r="F59" i="15"/>
  <c r="J59" i="15"/>
  <c r="F60" i="15"/>
  <c r="J60" i="15"/>
  <c r="F61" i="15"/>
  <c r="J61" i="15"/>
  <c r="F62" i="15"/>
  <c r="J62" i="15"/>
  <c r="F63" i="15"/>
  <c r="J63" i="15"/>
  <c r="F64" i="15"/>
  <c r="J64" i="15"/>
  <c r="F65" i="15"/>
  <c r="J65" i="15"/>
  <c r="F66" i="15"/>
  <c r="J66" i="15"/>
  <c r="F67" i="15"/>
  <c r="J67" i="15"/>
  <c r="F68" i="15"/>
  <c r="J68" i="15"/>
  <c r="F69" i="15"/>
  <c r="J69" i="15"/>
  <c r="F70" i="15"/>
  <c r="J70" i="15"/>
  <c r="F71" i="15"/>
  <c r="J71" i="15"/>
  <c r="F72" i="15"/>
  <c r="J72" i="15"/>
  <c r="F73" i="15"/>
  <c r="J73" i="15"/>
  <c r="F74" i="15"/>
  <c r="J74" i="15"/>
  <c r="F75" i="15"/>
  <c r="J75" i="15"/>
  <c r="F76" i="15"/>
  <c r="J76" i="15"/>
  <c r="I83" i="15"/>
  <c r="H83" i="15"/>
  <c r="G83" i="15"/>
  <c r="E83" i="15"/>
  <c r="C83" i="15"/>
  <c r="J82" i="15"/>
  <c r="F82" i="15"/>
  <c r="J81" i="15"/>
  <c r="F81" i="15"/>
  <c r="J80" i="15"/>
  <c r="F80" i="15"/>
  <c r="J79" i="15"/>
  <c r="F79" i="15"/>
  <c r="J78" i="15"/>
  <c r="F78" i="15"/>
  <c r="J77" i="15"/>
  <c r="F77" i="15"/>
  <c r="D83" i="15"/>
  <c r="J57" i="15"/>
  <c r="F57" i="15"/>
  <c r="J56" i="15"/>
  <c r="F56" i="15"/>
  <c r="J55" i="15"/>
  <c r="F55" i="15"/>
  <c r="J54" i="15"/>
  <c r="F54" i="15"/>
  <c r="J53" i="15"/>
  <c r="F53" i="15"/>
  <c r="J52" i="15"/>
  <c r="F52" i="15"/>
  <c r="J51" i="15"/>
  <c r="F51" i="15"/>
  <c r="J50" i="15"/>
  <c r="F50" i="15"/>
  <c r="J49" i="15"/>
  <c r="F49" i="15"/>
  <c r="J48" i="15"/>
  <c r="F48" i="15"/>
  <c r="I40" i="15"/>
  <c r="H40" i="15"/>
  <c r="G40" i="15"/>
  <c r="E40" i="15"/>
  <c r="D40" i="15"/>
  <c r="C40" i="15"/>
  <c r="J39" i="15"/>
  <c r="F39" i="15"/>
  <c r="J38" i="15"/>
  <c r="F38" i="15"/>
  <c r="J37" i="15"/>
  <c r="F37" i="15"/>
  <c r="J36" i="15"/>
  <c r="F36" i="15"/>
  <c r="J35" i="15"/>
  <c r="F35" i="15"/>
  <c r="J34" i="15"/>
  <c r="F34" i="15"/>
  <c r="J33" i="15"/>
  <c r="F33" i="15"/>
  <c r="J32" i="15"/>
  <c r="F32" i="15"/>
  <c r="J31" i="15"/>
  <c r="F31" i="15"/>
  <c r="J30" i="15"/>
  <c r="F30" i="15"/>
  <c r="J29" i="15"/>
  <c r="F29" i="15"/>
  <c r="J28" i="15"/>
  <c r="F28" i="15"/>
  <c r="J27" i="15"/>
  <c r="F27" i="15"/>
  <c r="J26" i="15"/>
  <c r="F26" i="15"/>
  <c r="J25" i="15"/>
  <c r="F25" i="15"/>
  <c r="J24" i="15"/>
  <c r="F24" i="15"/>
  <c r="J23" i="15"/>
  <c r="F23" i="15"/>
  <c r="J22" i="15"/>
  <c r="F22" i="15"/>
  <c r="J21" i="15"/>
  <c r="F21" i="15"/>
  <c r="J20" i="15"/>
  <c r="F20" i="15"/>
  <c r="J19" i="15"/>
  <c r="F19" i="15"/>
  <c r="J18" i="15"/>
  <c r="F18" i="15"/>
  <c r="J17" i="15"/>
  <c r="F17" i="15"/>
  <c r="J16" i="15"/>
  <c r="F16" i="15"/>
  <c r="I15" i="15"/>
  <c r="H15" i="15"/>
  <c r="G15" i="15"/>
  <c r="G41" i="15" s="1"/>
  <c r="G47" i="15" s="1"/>
  <c r="E15" i="15"/>
  <c r="D15" i="15"/>
  <c r="C15" i="15"/>
  <c r="J14" i="15"/>
  <c r="F14" i="15"/>
  <c r="J13" i="15"/>
  <c r="F13" i="15"/>
  <c r="J12" i="15"/>
  <c r="F12" i="15"/>
  <c r="J11" i="15"/>
  <c r="F11" i="15"/>
  <c r="J10" i="15"/>
  <c r="F10" i="15"/>
  <c r="J9" i="15"/>
  <c r="F9" i="15"/>
  <c r="J8" i="15"/>
  <c r="F8" i="15"/>
  <c r="J7" i="15"/>
  <c r="F7" i="15"/>
  <c r="J6" i="15"/>
  <c r="F6" i="15"/>
  <c r="J5" i="15"/>
  <c r="F5" i="15"/>
  <c r="J4" i="15"/>
  <c r="F4" i="15"/>
  <c r="C41" i="15" l="1"/>
  <c r="C47" i="15" s="1"/>
  <c r="C58" i="15" s="1"/>
  <c r="G342" i="10"/>
  <c r="C342" i="10"/>
  <c r="C84" i="17"/>
  <c r="J391" i="11"/>
  <c r="G402" i="11"/>
  <c r="C402" i="11"/>
  <c r="F391" i="11"/>
  <c r="H41" i="15"/>
  <c r="H47" i="15" s="1"/>
  <c r="H58" i="15" s="1"/>
  <c r="H84" i="15" s="1"/>
  <c r="F58" i="20"/>
  <c r="F84" i="20" s="1"/>
  <c r="C84" i="20"/>
  <c r="J58" i="20"/>
  <c r="J84" i="20" s="1"/>
  <c r="G84" i="20"/>
  <c r="F58" i="19"/>
  <c r="C84" i="19"/>
  <c r="F84" i="19" s="1"/>
  <c r="C84" i="18"/>
  <c r="G58" i="18"/>
  <c r="G84" i="18" s="1"/>
  <c r="F47" i="16"/>
  <c r="F41" i="16"/>
  <c r="D41" i="15"/>
  <c r="D47" i="15" s="1"/>
  <c r="D58" i="15" s="1"/>
  <c r="D84" i="15" s="1"/>
  <c r="I41" i="15"/>
  <c r="I47" i="15" s="1"/>
  <c r="I58" i="15" s="1"/>
  <c r="I84" i="15" s="1"/>
  <c r="E41" i="15"/>
  <c r="E47" i="15" s="1"/>
  <c r="E58" i="15" s="1"/>
  <c r="E84" i="15" s="1"/>
  <c r="J47" i="16"/>
  <c r="J41" i="16"/>
  <c r="C84" i="16"/>
  <c r="F58" i="16"/>
  <c r="F84" i="16" s="1"/>
  <c r="G84" i="16"/>
  <c r="J58" i="16"/>
  <c r="J84" i="16" s="1"/>
  <c r="J83" i="15"/>
  <c r="F40" i="15"/>
  <c r="J40" i="15"/>
  <c r="F83" i="15"/>
  <c r="G58" i="15"/>
  <c r="F15" i="15"/>
  <c r="J15" i="15"/>
  <c r="G428" i="11" l="1"/>
  <c r="G434" i="11" s="1"/>
  <c r="J402" i="11"/>
  <c r="J428" i="11" s="1"/>
  <c r="C428" i="11"/>
  <c r="C434" i="11" s="1"/>
  <c r="F402" i="11"/>
  <c r="F428" i="11" s="1"/>
  <c r="J47" i="15"/>
  <c r="F47" i="15"/>
  <c r="F41" i="15"/>
  <c r="J41" i="15"/>
  <c r="C84" i="15"/>
  <c r="F58" i="15"/>
  <c r="F84" i="15" s="1"/>
  <c r="G84" i="15"/>
  <c r="J58" i="15"/>
  <c r="J84" i="15" s="1"/>
  <c r="I277" i="11"/>
  <c r="I298" i="11" s="1"/>
  <c r="F220" i="10"/>
  <c r="J220" i="10"/>
  <c r="F221" i="10"/>
  <c r="J221" i="10"/>
  <c r="F222" i="10"/>
  <c r="J222" i="10"/>
  <c r="F223" i="10"/>
  <c r="J223" i="10"/>
  <c r="F224" i="10"/>
  <c r="J224" i="10"/>
  <c r="F225" i="10"/>
  <c r="J225" i="10"/>
  <c r="F231" i="10"/>
  <c r="J231" i="10"/>
  <c r="F232" i="10"/>
  <c r="J232" i="10"/>
  <c r="F233" i="10"/>
  <c r="J233" i="10"/>
  <c r="F234" i="10"/>
  <c r="J234" i="10"/>
  <c r="F235" i="10"/>
  <c r="J235" i="10"/>
  <c r="F236" i="10"/>
  <c r="J236" i="10"/>
  <c r="F237" i="10"/>
  <c r="J237" i="10"/>
  <c r="F238" i="10"/>
  <c r="J238" i="10"/>
  <c r="F239" i="10"/>
  <c r="J239" i="10"/>
  <c r="F240" i="10"/>
  <c r="J240" i="10"/>
  <c r="F241" i="10"/>
  <c r="J241" i="10"/>
  <c r="F242" i="10"/>
  <c r="J242" i="10"/>
  <c r="F243" i="10"/>
  <c r="J243" i="10"/>
  <c r="F244" i="10"/>
  <c r="J244" i="10"/>
  <c r="F245" i="10"/>
  <c r="J245" i="10"/>
  <c r="F246" i="10"/>
  <c r="J246" i="10"/>
  <c r="F247" i="10"/>
  <c r="J247" i="10"/>
  <c r="F248" i="10"/>
  <c r="J248" i="10"/>
  <c r="F249" i="10"/>
  <c r="J249" i="10"/>
  <c r="F250" i="10"/>
  <c r="J250" i="10"/>
  <c r="F251" i="10"/>
  <c r="J251" i="10"/>
  <c r="F252" i="10"/>
  <c r="J252" i="10"/>
  <c r="I255" i="10"/>
  <c r="G255" i="10"/>
  <c r="E255" i="10"/>
  <c r="D255" i="10"/>
  <c r="C255" i="10"/>
  <c r="J254" i="10"/>
  <c r="F254" i="10"/>
  <c r="J253" i="10"/>
  <c r="F253" i="10"/>
  <c r="H255" i="10"/>
  <c r="J229" i="10"/>
  <c r="F229" i="10"/>
  <c r="J228" i="10"/>
  <c r="F228" i="10"/>
  <c r="J227" i="10"/>
  <c r="F227" i="10"/>
  <c r="J226" i="10"/>
  <c r="F226" i="10"/>
  <c r="F274" i="11"/>
  <c r="J274" i="11"/>
  <c r="F275" i="11"/>
  <c r="J275" i="11"/>
  <c r="F276" i="11"/>
  <c r="J276" i="11"/>
  <c r="F277" i="11"/>
  <c r="F278" i="11"/>
  <c r="J278" i="11"/>
  <c r="F279" i="11"/>
  <c r="J279" i="11"/>
  <c r="F280" i="11"/>
  <c r="J280" i="11"/>
  <c r="F281" i="11"/>
  <c r="J281" i="11"/>
  <c r="F282" i="11"/>
  <c r="J282" i="11"/>
  <c r="F283" i="11"/>
  <c r="J283" i="11"/>
  <c r="F284" i="11"/>
  <c r="J284" i="11"/>
  <c r="F285" i="11"/>
  <c r="J285" i="11"/>
  <c r="F286" i="11"/>
  <c r="J286" i="11"/>
  <c r="F287" i="11"/>
  <c r="J287" i="11"/>
  <c r="F288" i="11"/>
  <c r="J288" i="11"/>
  <c r="F289" i="11"/>
  <c r="J289" i="11"/>
  <c r="F290" i="11"/>
  <c r="J290" i="11"/>
  <c r="F291" i="11"/>
  <c r="J291" i="11"/>
  <c r="F292" i="11"/>
  <c r="J292" i="11"/>
  <c r="F293" i="11"/>
  <c r="J293" i="11"/>
  <c r="F294" i="11"/>
  <c r="J294" i="11"/>
  <c r="F295" i="11"/>
  <c r="J295" i="11"/>
  <c r="F263" i="11"/>
  <c r="J263" i="11"/>
  <c r="F264" i="11"/>
  <c r="J264" i="11"/>
  <c r="F265" i="11"/>
  <c r="J265" i="11"/>
  <c r="F266" i="11"/>
  <c r="J266" i="11"/>
  <c r="F267" i="11"/>
  <c r="J267" i="11"/>
  <c r="F268" i="11"/>
  <c r="J268" i="11"/>
  <c r="F269" i="11"/>
  <c r="J269" i="11"/>
  <c r="H298" i="11"/>
  <c r="G298" i="11"/>
  <c r="E298" i="11"/>
  <c r="D298" i="11"/>
  <c r="C298" i="11"/>
  <c r="J297" i="11"/>
  <c r="F297" i="11"/>
  <c r="J296" i="11"/>
  <c r="F296" i="11"/>
  <c r="J272" i="11"/>
  <c r="F272" i="11"/>
  <c r="J271" i="11"/>
  <c r="J270" i="11"/>
  <c r="F270" i="11"/>
  <c r="H200" i="10"/>
  <c r="D200" i="10"/>
  <c r="J434" i="11" l="1"/>
  <c r="G445" i="11"/>
  <c r="F434" i="11"/>
  <c r="C445" i="11"/>
  <c r="J277" i="11"/>
  <c r="J255" i="10"/>
  <c r="F255" i="10"/>
  <c r="J298" i="11"/>
  <c r="F298" i="11"/>
  <c r="F222" i="11"/>
  <c r="J222" i="11"/>
  <c r="J221" i="11"/>
  <c r="F221" i="11"/>
  <c r="G471" i="11" l="1"/>
  <c r="G477" i="11" s="1"/>
  <c r="J445" i="11"/>
  <c r="J471" i="11" s="1"/>
  <c r="F445" i="11"/>
  <c r="F471" i="11" s="1"/>
  <c r="C471" i="11"/>
  <c r="C477" i="11" s="1"/>
  <c r="F177" i="10"/>
  <c r="J177" i="10"/>
  <c r="F178" i="10"/>
  <c r="J178" i="10"/>
  <c r="F179" i="10"/>
  <c r="J179" i="10"/>
  <c r="F180" i="10"/>
  <c r="J180" i="10"/>
  <c r="F181" i="10"/>
  <c r="J181" i="10"/>
  <c r="F182" i="10"/>
  <c r="J182" i="10"/>
  <c r="F183" i="10"/>
  <c r="J183" i="10"/>
  <c r="F184" i="10"/>
  <c r="J184" i="10"/>
  <c r="F188" i="10"/>
  <c r="J188" i="10"/>
  <c r="F189" i="10"/>
  <c r="J189" i="10"/>
  <c r="F190" i="10"/>
  <c r="J190" i="10"/>
  <c r="F191" i="10"/>
  <c r="J191" i="10"/>
  <c r="F192" i="10"/>
  <c r="J192" i="10"/>
  <c r="F193" i="10"/>
  <c r="J193" i="10"/>
  <c r="F194" i="10"/>
  <c r="J194" i="10"/>
  <c r="F195" i="10"/>
  <c r="J195" i="10"/>
  <c r="F196" i="10"/>
  <c r="J196" i="10"/>
  <c r="F197" i="10"/>
  <c r="J197" i="10"/>
  <c r="F198" i="10"/>
  <c r="J198" i="10"/>
  <c r="F199" i="10"/>
  <c r="J199" i="10"/>
  <c r="F200" i="10"/>
  <c r="J200" i="10"/>
  <c r="F201" i="10"/>
  <c r="J201" i="10"/>
  <c r="F202" i="10"/>
  <c r="J202" i="10"/>
  <c r="F203" i="10"/>
  <c r="J203" i="10"/>
  <c r="F204" i="10"/>
  <c r="J204" i="10"/>
  <c r="F205" i="10"/>
  <c r="J205" i="10"/>
  <c r="F206" i="10"/>
  <c r="J206" i="10"/>
  <c r="F207" i="10"/>
  <c r="J207" i="10"/>
  <c r="F208" i="10"/>
  <c r="J208" i="10"/>
  <c r="I212" i="10"/>
  <c r="H212" i="10"/>
  <c r="G212" i="10"/>
  <c r="E212" i="10"/>
  <c r="D212" i="10"/>
  <c r="C212" i="10"/>
  <c r="J211" i="10"/>
  <c r="F211" i="10"/>
  <c r="J210" i="10"/>
  <c r="F210" i="10"/>
  <c r="J209" i="10"/>
  <c r="F209" i="10"/>
  <c r="J186" i="10"/>
  <c r="F186" i="10"/>
  <c r="J185" i="10"/>
  <c r="F185" i="10"/>
  <c r="J477" i="11" l="1"/>
  <c r="G488" i="11"/>
  <c r="F477" i="11"/>
  <c r="C488" i="11"/>
  <c r="J212" i="10"/>
  <c r="F212" i="10"/>
  <c r="G514" i="11" l="1"/>
  <c r="J488" i="11"/>
  <c r="J514" i="11" s="1"/>
  <c r="C514" i="11"/>
  <c r="F488" i="11"/>
  <c r="F514" i="11" s="1"/>
  <c r="F220" i="11"/>
  <c r="J220" i="11"/>
  <c r="F223" i="11"/>
  <c r="J223" i="11"/>
  <c r="F224" i="11"/>
  <c r="J224" i="11"/>
  <c r="F225" i="11"/>
  <c r="J225" i="11"/>
  <c r="F226" i="11"/>
  <c r="J226" i="11"/>
  <c r="F227" i="11"/>
  <c r="J227" i="11"/>
  <c r="I255" i="11"/>
  <c r="H255" i="11"/>
  <c r="G255" i="11"/>
  <c r="E255" i="11"/>
  <c r="D255" i="11"/>
  <c r="C255" i="11"/>
  <c r="J254" i="11"/>
  <c r="F254" i="11"/>
  <c r="J253" i="11"/>
  <c r="F253" i="11"/>
  <c r="J252" i="11"/>
  <c r="F252" i="11"/>
  <c r="J251" i="11"/>
  <c r="F251" i="11"/>
  <c r="J250" i="11"/>
  <c r="F250" i="11"/>
  <c r="J249" i="11"/>
  <c r="F249" i="11"/>
  <c r="J248" i="11"/>
  <c r="F248" i="11"/>
  <c r="J247" i="11"/>
  <c r="F247" i="11"/>
  <c r="J246" i="11"/>
  <c r="F246" i="11"/>
  <c r="J245" i="11"/>
  <c r="F245" i="11"/>
  <c r="J244" i="11"/>
  <c r="F244" i="11"/>
  <c r="J243" i="11"/>
  <c r="F243" i="11"/>
  <c r="J242" i="11"/>
  <c r="F242" i="11"/>
  <c r="J241" i="11"/>
  <c r="F241" i="11"/>
  <c r="J240" i="11"/>
  <c r="F240" i="11"/>
  <c r="J239" i="11"/>
  <c r="F239" i="11"/>
  <c r="J238" i="11"/>
  <c r="F238" i="11"/>
  <c r="J237" i="11"/>
  <c r="F237" i="11"/>
  <c r="J236" i="11"/>
  <c r="F236" i="11"/>
  <c r="J235" i="11"/>
  <c r="F235" i="11"/>
  <c r="J234" i="11"/>
  <c r="F234" i="11"/>
  <c r="J233" i="11"/>
  <c r="F233" i="11"/>
  <c r="J232" i="11"/>
  <c r="F232" i="11"/>
  <c r="J231" i="11"/>
  <c r="F231" i="11"/>
  <c r="J229" i="11"/>
  <c r="F229" i="11"/>
  <c r="J228" i="11"/>
  <c r="F228" i="11"/>
  <c r="I210" i="11"/>
  <c r="F255" i="11" l="1"/>
  <c r="J255" i="11"/>
  <c r="J146" i="10"/>
  <c r="J147" i="10"/>
  <c r="J148" i="10"/>
  <c r="J149" i="10"/>
  <c r="J150" i="10"/>
  <c r="I169" i="10" l="1"/>
  <c r="H169" i="10"/>
  <c r="G169" i="10"/>
  <c r="E169" i="10"/>
  <c r="D169" i="10"/>
  <c r="C169" i="10"/>
  <c r="J168" i="10"/>
  <c r="F168" i="10"/>
  <c r="J167" i="10"/>
  <c r="F167" i="10"/>
  <c r="J166" i="10"/>
  <c r="F166" i="10"/>
  <c r="J165" i="10"/>
  <c r="F165" i="10"/>
  <c r="J164" i="10"/>
  <c r="F164" i="10"/>
  <c r="J163" i="10"/>
  <c r="F163" i="10"/>
  <c r="J162" i="10"/>
  <c r="F162" i="10"/>
  <c r="J161" i="10"/>
  <c r="F161" i="10"/>
  <c r="J160" i="10"/>
  <c r="F160" i="10"/>
  <c r="J159" i="10"/>
  <c r="F159" i="10"/>
  <c r="J158" i="10"/>
  <c r="F158" i="10"/>
  <c r="J157" i="10"/>
  <c r="F157" i="10"/>
  <c r="J156" i="10"/>
  <c r="F156" i="10"/>
  <c r="J155" i="10"/>
  <c r="F155" i="10"/>
  <c r="J154" i="10"/>
  <c r="F154" i="10"/>
  <c r="J153" i="10"/>
  <c r="F153" i="10"/>
  <c r="J152" i="10"/>
  <c r="F152" i="10"/>
  <c r="J151" i="10"/>
  <c r="F151" i="10"/>
  <c r="F150" i="10"/>
  <c r="F149" i="10"/>
  <c r="F148" i="10"/>
  <c r="F147" i="10"/>
  <c r="F146" i="10"/>
  <c r="J145" i="10"/>
  <c r="F145" i="10"/>
  <c r="J143" i="10"/>
  <c r="F143" i="10"/>
  <c r="J142" i="10"/>
  <c r="F142" i="10"/>
  <c r="J141" i="10"/>
  <c r="F141" i="10"/>
  <c r="J140" i="10"/>
  <c r="F140" i="10"/>
  <c r="J139" i="10"/>
  <c r="F139" i="10"/>
  <c r="J138" i="10"/>
  <c r="F138" i="10"/>
  <c r="J137" i="10"/>
  <c r="F137" i="10"/>
  <c r="J136" i="10"/>
  <c r="F136" i="10"/>
  <c r="J135" i="10"/>
  <c r="F135" i="10"/>
  <c r="J134" i="10"/>
  <c r="F134" i="10"/>
  <c r="F169" i="10" l="1"/>
  <c r="J169" i="10"/>
  <c r="H212" i="11"/>
  <c r="G212" i="11"/>
  <c r="C212" i="11"/>
  <c r="J211" i="11"/>
  <c r="F211" i="11"/>
  <c r="J210" i="11"/>
  <c r="F210" i="11"/>
  <c r="J209" i="11"/>
  <c r="F209" i="11"/>
  <c r="J208" i="11"/>
  <c r="F208" i="11"/>
  <c r="J207" i="11"/>
  <c r="F207" i="11"/>
  <c r="J206" i="11"/>
  <c r="F206" i="11"/>
  <c r="J205" i="11"/>
  <c r="F205" i="11"/>
  <c r="J204" i="11"/>
  <c r="F204" i="11"/>
  <c r="J203" i="11"/>
  <c r="F203" i="11"/>
  <c r="J202" i="11"/>
  <c r="F202" i="11"/>
  <c r="J201" i="11"/>
  <c r="F201" i="11"/>
  <c r="J200" i="11"/>
  <c r="F200" i="11"/>
  <c r="J199" i="11"/>
  <c r="F199" i="11"/>
  <c r="J198" i="11"/>
  <c r="D212" i="11"/>
  <c r="J197" i="11"/>
  <c r="F197" i="11"/>
  <c r="J196" i="11"/>
  <c r="F196" i="11"/>
  <c r="J195" i="11"/>
  <c r="E212" i="11"/>
  <c r="I212" i="11"/>
  <c r="F194" i="11"/>
  <c r="J193" i="11"/>
  <c r="F193" i="11"/>
  <c r="J192" i="11"/>
  <c r="F192" i="11"/>
  <c r="J191" i="11"/>
  <c r="F191" i="11"/>
  <c r="J190" i="11"/>
  <c r="F190" i="11"/>
  <c r="J189" i="11"/>
  <c r="F189" i="11"/>
  <c r="J188" i="11"/>
  <c r="F188" i="11"/>
  <c r="J186" i="11"/>
  <c r="F186" i="11"/>
  <c r="J185" i="11"/>
  <c r="F185" i="11"/>
  <c r="J184" i="11"/>
  <c r="F184" i="11"/>
  <c r="J183" i="11"/>
  <c r="F183" i="11"/>
  <c r="J182" i="11"/>
  <c r="F182" i="11"/>
  <c r="J181" i="11"/>
  <c r="F181" i="11"/>
  <c r="J180" i="11"/>
  <c r="F180" i="11"/>
  <c r="J179" i="11"/>
  <c r="F179" i="11"/>
  <c r="J178" i="11"/>
  <c r="F178" i="11"/>
  <c r="J177" i="11"/>
  <c r="F177" i="11"/>
  <c r="J212" i="11" l="1"/>
  <c r="F212" i="11"/>
  <c r="J194" i="11"/>
  <c r="F195" i="11"/>
  <c r="F198" i="11"/>
  <c r="D155" i="11"/>
  <c r="I152" i="11"/>
  <c r="E152" i="11"/>
  <c r="I151" i="11" l="1"/>
  <c r="I126" i="10" l="1"/>
  <c r="H126" i="10"/>
  <c r="G126" i="10"/>
  <c r="E126" i="10"/>
  <c r="D126" i="10"/>
  <c r="C126" i="10"/>
  <c r="J125" i="10"/>
  <c r="F125" i="10"/>
  <c r="J124" i="10"/>
  <c r="F124" i="10"/>
  <c r="J123" i="10"/>
  <c r="F123" i="10"/>
  <c r="J122" i="10"/>
  <c r="F122" i="10"/>
  <c r="J121" i="10"/>
  <c r="F121" i="10"/>
  <c r="J120" i="10"/>
  <c r="F120" i="10"/>
  <c r="J119" i="10"/>
  <c r="F119" i="10"/>
  <c r="J118" i="10"/>
  <c r="F118" i="10"/>
  <c r="J117" i="10"/>
  <c r="F117" i="10"/>
  <c r="J116" i="10"/>
  <c r="F116" i="10"/>
  <c r="J115" i="10"/>
  <c r="F115" i="10"/>
  <c r="J114" i="10"/>
  <c r="F114" i="10"/>
  <c r="J113" i="10"/>
  <c r="F113" i="10"/>
  <c r="J112" i="10"/>
  <c r="F112" i="10"/>
  <c r="J111" i="10"/>
  <c r="F111" i="10"/>
  <c r="J110" i="10"/>
  <c r="F110" i="10"/>
  <c r="J109" i="10"/>
  <c r="F109" i="10"/>
  <c r="J108" i="10"/>
  <c r="F108" i="10"/>
  <c r="J107" i="10"/>
  <c r="F107" i="10"/>
  <c r="J106" i="10"/>
  <c r="F106" i="10"/>
  <c r="J105" i="10"/>
  <c r="F105" i="10"/>
  <c r="J104" i="10"/>
  <c r="F104" i="10"/>
  <c r="J103" i="10"/>
  <c r="F103" i="10"/>
  <c r="J102" i="10"/>
  <c r="F102" i="10"/>
  <c r="J100" i="10"/>
  <c r="F100" i="10"/>
  <c r="J99" i="10"/>
  <c r="F99" i="10"/>
  <c r="J98" i="10"/>
  <c r="F98" i="10"/>
  <c r="J97" i="10"/>
  <c r="F97" i="10"/>
  <c r="J96" i="10"/>
  <c r="F96" i="10"/>
  <c r="J95" i="10"/>
  <c r="F95" i="10"/>
  <c r="J94" i="10"/>
  <c r="F94" i="10"/>
  <c r="J93" i="10"/>
  <c r="F93" i="10"/>
  <c r="J92" i="10"/>
  <c r="F92" i="10"/>
  <c r="J91" i="10"/>
  <c r="F91" i="10"/>
  <c r="F126" i="10" l="1"/>
  <c r="J126" i="10"/>
  <c r="I169" i="11" l="1"/>
  <c r="H169" i="11"/>
  <c r="G169" i="11"/>
  <c r="E169" i="11"/>
  <c r="D169" i="11"/>
  <c r="J168" i="11"/>
  <c r="F168" i="11"/>
  <c r="J167" i="11"/>
  <c r="F167" i="11"/>
  <c r="J166" i="11"/>
  <c r="F166" i="11"/>
  <c r="J165" i="11"/>
  <c r="F165" i="11"/>
  <c r="J164" i="11"/>
  <c r="F164" i="11"/>
  <c r="J163" i="11"/>
  <c r="F163" i="11"/>
  <c r="C169" i="11"/>
  <c r="J162" i="11"/>
  <c r="F162" i="11"/>
  <c r="J161" i="11"/>
  <c r="F161" i="11"/>
  <c r="J160" i="11"/>
  <c r="F160" i="11"/>
  <c r="J159" i="11"/>
  <c r="F159" i="11"/>
  <c r="J158" i="11"/>
  <c r="F158" i="11"/>
  <c r="J157" i="11"/>
  <c r="F157" i="11"/>
  <c r="J156" i="11"/>
  <c r="F156" i="11"/>
  <c r="J155" i="11"/>
  <c r="F155" i="11"/>
  <c r="J154" i="11"/>
  <c r="F154" i="11"/>
  <c r="J153" i="11"/>
  <c r="F153" i="11"/>
  <c r="J152" i="11"/>
  <c r="F152" i="11"/>
  <c r="J151" i="11"/>
  <c r="F151" i="11"/>
  <c r="J150" i="11"/>
  <c r="F150" i="11"/>
  <c r="J149" i="11"/>
  <c r="F149" i="11"/>
  <c r="J148" i="11"/>
  <c r="F148" i="11"/>
  <c r="J147" i="11"/>
  <c r="F147" i="11"/>
  <c r="J146" i="11"/>
  <c r="F146" i="11"/>
  <c r="J145" i="11"/>
  <c r="F145" i="11"/>
  <c r="J143" i="11"/>
  <c r="F143" i="11"/>
  <c r="J142" i="11"/>
  <c r="F142" i="11"/>
  <c r="J141" i="11"/>
  <c r="F141" i="11"/>
  <c r="J140" i="11"/>
  <c r="F140" i="11"/>
  <c r="J139" i="11"/>
  <c r="F139" i="11"/>
  <c r="J138" i="11"/>
  <c r="F138" i="11"/>
  <c r="J137" i="11"/>
  <c r="F137" i="11"/>
  <c r="J136" i="11"/>
  <c r="F136" i="11"/>
  <c r="J135" i="11"/>
  <c r="F135" i="11"/>
  <c r="J134" i="11"/>
  <c r="F134" i="11"/>
  <c r="F169" i="11" l="1"/>
  <c r="J169" i="11"/>
  <c r="C120" i="11"/>
  <c r="J97" i="11"/>
  <c r="I126" i="11" l="1"/>
  <c r="H126" i="11"/>
  <c r="G126" i="11"/>
  <c r="E126" i="11"/>
  <c r="C126" i="11"/>
  <c r="J125" i="11"/>
  <c r="F125" i="11"/>
  <c r="J124" i="11"/>
  <c r="F124" i="11"/>
  <c r="J123" i="11"/>
  <c r="F123" i="11"/>
  <c r="J122" i="11"/>
  <c r="F122" i="11"/>
  <c r="J121" i="11"/>
  <c r="F121" i="11"/>
  <c r="J120" i="11"/>
  <c r="F120" i="11"/>
  <c r="J119" i="11"/>
  <c r="F119" i="11"/>
  <c r="J118" i="11"/>
  <c r="F118" i="11"/>
  <c r="J117" i="11"/>
  <c r="F117" i="11"/>
  <c r="J116" i="11"/>
  <c r="F116" i="11"/>
  <c r="J115" i="11"/>
  <c r="F115" i="11"/>
  <c r="J114" i="11"/>
  <c r="D126" i="11"/>
  <c r="J113" i="11"/>
  <c r="F113" i="11"/>
  <c r="J112" i="11"/>
  <c r="F112" i="11"/>
  <c r="J111" i="11"/>
  <c r="F111" i="11"/>
  <c r="J110" i="11"/>
  <c r="F110" i="11"/>
  <c r="J109" i="11"/>
  <c r="F109" i="11"/>
  <c r="J108" i="11"/>
  <c r="F108" i="11"/>
  <c r="J107" i="11"/>
  <c r="F107" i="11"/>
  <c r="J106" i="11"/>
  <c r="F106" i="11"/>
  <c r="J105" i="11"/>
  <c r="F105" i="11"/>
  <c r="J104" i="11"/>
  <c r="F104" i="11"/>
  <c r="J103" i="11"/>
  <c r="F103" i="11"/>
  <c r="J102" i="11"/>
  <c r="F102" i="11"/>
  <c r="J100" i="11"/>
  <c r="F100" i="11"/>
  <c r="J99" i="11"/>
  <c r="F99" i="11"/>
  <c r="J98" i="11"/>
  <c r="F98" i="11"/>
  <c r="F97" i="11"/>
  <c r="J96" i="11"/>
  <c r="F96" i="11"/>
  <c r="J95" i="11"/>
  <c r="F95" i="11"/>
  <c r="J94" i="11"/>
  <c r="F94" i="11"/>
  <c r="J93" i="11"/>
  <c r="F93" i="11"/>
  <c r="J92" i="11"/>
  <c r="F92" i="11"/>
  <c r="J91" i="11"/>
  <c r="F91" i="11"/>
  <c r="F126" i="11" l="1"/>
  <c r="J126" i="11"/>
  <c r="F114" i="11"/>
  <c r="D71" i="11" l="1"/>
  <c r="F28" i="11"/>
  <c r="J28" i="11"/>
  <c r="F29" i="11"/>
  <c r="J29" i="11"/>
  <c r="F30" i="11"/>
  <c r="J30" i="11"/>
  <c r="I83" i="11" l="1"/>
  <c r="H83" i="11"/>
  <c r="G83" i="11"/>
  <c r="E83" i="11"/>
  <c r="D83" i="11"/>
  <c r="C83" i="11"/>
  <c r="J82" i="11"/>
  <c r="F82" i="11"/>
  <c r="J81" i="11"/>
  <c r="F81" i="11"/>
  <c r="J80" i="11"/>
  <c r="F80" i="11"/>
  <c r="J79" i="11"/>
  <c r="F79" i="11"/>
  <c r="J78" i="11"/>
  <c r="F78" i="11"/>
  <c r="J77" i="11"/>
  <c r="F77" i="11"/>
  <c r="J76" i="11"/>
  <c r="F76" i="11"/>
  <c r="J75" i="11"/>
  <c r="F75" i="11"/>
  <c r="J74" i="11"/>
  <c r="F74" i="11"/>
  <c r="J73" i="11"/>
  <c r="F73" i="11"/>
  <c r="J72" i="11"/>
  <c r="F72" i="11"/>
  <c r="J71" i="11"/>
  <c r="F71" i="11"/>
  <c r="J70" i="11"/>
  <c r="F70" i="11"/>
  <c r="J69" i="11"/>
  <c r="F69" i="11"/>
  <c r="J68" i="11"/>
  <c r="F68" i="11"/>
  <c r="J67" i="11"/>
  <c r="F67" i="11"/>
  <c r="J66" i="11"/>
  <c r="F66" i="11"/>
  <c r="J65" i="11"/>
  <c r="F65" i="11"/>
  <c r="J64" i="11"/>
  <c r="F64" i="11"/>
  <c r="J63" i="11"/>
  <c r="F63" i="11"/>
  <c r="J62" i="11"/>
  <c r="F62" i="11"/>
  <c r="J61" i="11"/>
  <c r="F61" i="11"/>
  <c r="J60" i="11"/>
  <c r="F60" i="11"/>
  <c r="J59" i="11"/>
  <c r="F59" i="11"/>
  <c r="J57" i="11"/>
  <c r="F57" i="11"/>
  <c r="J56" i="11"/>
  <c r="F56" i="11"/>
  <c r="J55" i="11"/>
  <c r="F55" i="11"/>
  <c r="J54" i="11"/>
  <c r="F54" i="11"/>
  <c r="J53" i="11"/>
  <c r="F53" i="11"/>
  <c r="J52" i="11"/>
  <c r="F52" i="11"/>
  <c r="J51" i="11"/>
  <c r="F51" i="11"/>
  <c r="J50" i="11"/>
  <c r="F50" i="11"/>
  <c r="J49" i="11"/>
  <c r="F49" i="11"/>
  <c r="J48" i="11"/>
  <c r="F48" i="11"/>
  <c r="I40" i="11"/>
  <c r="H40" i="11"/>
  <c r="G40" i="11"/>
  <c r="E40" i="11"/>
  <c r="D40" i="11"/>
  <c r="C40" i="11"/>
  <c r="J39" i="11"/>
  <c r="F39" i="11"/>
  <c r="J38" i="11"/>
  <c r="F38" i="11"/>
  <c r="J37" i="11"/>
  <c r="F37" i="11"/>
  <c r="J36" i="11"/>
  <c r="F36" i="11"/>
  <c r="J35" i="11"/>
  <c r="F35" i="11"/>
  <c r="J34" i="11"/>
  <c r="F34" i="11"/>
  <c r="J33" i="11"/>
  <c r="F33" i="11"/>
  <c r="J32" i="11"/>
  <c r="F32" i="11"/>
  <c r="J31" i="11"/>
  <c r="F31" i="11"/>
  <c r="J27" i="11"/>
  <c r="F27" i="11"/>
  <c r="J26" i="11"/>
  <c r="F26" i="11"/>
  <c r="J25" i="11"/>
  <c r="F25" i="11"/>
  <c r="J24" i="11"/>
  <c r="F24" i="11"/>
  <c r="J23" i="11"/>
  <c r="F23" i="11"/>
  <c r="J22" i="11"/>
  <c r="F22" i="11"/>
  <c r="J21" i="11"/>
  <c r="F21" i="11"/>
  <c r="J20" i="11"/>
  <c r="F20" i="11"/>
  <c r="J19" i="11"/>
  <c r="F19" i="11"/>
  <c r="J18" i="11"/>
  <c r="F18" i="11"/>
  <c r="J17" i="11"/>
  <c r="F17" i="11"/>
  <c r="J16" i="11"/>
  <c r="F16" i="11"/>
  <c r="I15" i="11"/>
  <c r="I41" i="11" s="1"/>
  <c r="I47" i="11" s="1"/>
  <c r="I58" i="11" s="1"/>
  <c r="H15" i="11"/>
  <c r="H41" i="11" s="1"/>
  <c r="H47" i="11" s="1"/>
  <c r="H58" i="11" s="1"/>
  <c r="G15" i="11"/>
  <c r="G41" i="11" s="1"/>
  <c r="G47" i="11" s="1"/>
  <c r="E15" i="11"/>
  <c r="E41" i="11" s="1"/>
  <c r="E47" i="11" s="1"/>
  <c r="E58" i="11" s="1"/>
  <c r="D15" i="11"/>
  <c r="C15" i="11"/>
  <c r="C41" i="11" s="1"/>
  <c r="C47" i="11" s="1"/>
  <c r="J14" i="11"/>
  <c r="F14" i="11"/>
  <c r="J13" i="11"/>
  <c r="F13" i="11"/>
  <c r="J12" i="11"/>
  <c r="F12" i="11"/>
  <c r="J11" i="11"/>
  <c r="F11" i="11"/>
  <c r="J10" i="11"/>
  <c r="F10" i="11"/>
  <c r="J9" i="11"/>
  <c r="F9" i="11"/>
  <c r="J8" i="11"/>
  <c r="F8" i="11"/>
  <c r="J7" i="11"/>
  <c r="F7" i="11"/>
  <c r="J6" i="11"/>
  <c r="F6" i="11"/>
  <c r="J5" i="11"/>
  <c r="F5" i="11"/>
  <c r="J4" i="11"/>
  <c r="F4" i="11"/>
  <c r="E84" i="11" l="1"/>
  <c r="E90" i="11" s="1"/>
  <c r="E101" i="11" s="1"/>
  <c r="E127" i="11" s="1"/>
  <c r="E133" i="11" s="1"/>
  <c r="E144" i="11" s="1"/>
  <c r="E170" i="11" s="1"/>
  <c r="E176" i="11" s="1"/>
  <c r="E187" i="11" s="1"/>
  <c r="E213" i="11" s="1"/>
  <c r="E219" i="11" s="1"/>
  <c r="E230" i="11" s="1"/>
  <c r="E256" i="11" s="1"/>
  <c r="E262" i="11" s="1"/>
  <c r="E273" i="11" s="1"/>
  <c r="E299" i="11" s="1"/>
  <c r="E305" i="11" s="1"/>
  <c r="E316" i="11" s="1"/>
  <c r="E342" i="11" s="1"/>
  <c r="E348" i="11" s="1"/>
  <c r="J83" i="11"/>
  <c r="F83" i="11"/>
  <c r="H84" i="11"/>
  <c r="H90" i="11" s="1"/>
  <c r="H101" i="11" s="1"/>
  <c r="H127" i="11" s="1"/>
  <c r="H133" i="11" s="1"/>
  <c r="H144" i="11" s="1"/>
  <c r="H170" i="11" s="1"/>
  <c r="H176" i="11" s="1"/>
  <c r="I84" i="11"/>
  <c r="I90" i="11" s="1"/>
  <c r="I101" i="11" s="1"/>
  <c r="I127" i="11" s="1"/>
  <c r="I133" i="11" s="1"/>
  <c r="I144" i="11" s="1"/>
  <c r="I170" i="11" s="1"/>
  <c r="I176" i="11" s="1"/>
  <c r="I187" i="11" s="1"/>
  <c r="I213" i="11" s="1"/>
  <c r="I219" i="11" s="1"/>
  <c r="I230" i="11" s="1"/>
  <c r="I256" i="11" s="1"/>
  <c r="I262" i="11" s="1"/>
  <c r="I273" i="11" s="1"/>
  <c r="I299" i="11" s="1"/>
  <c r="I305" i="11" s="1"/>
  <c r="I316" i="11" s="1"/>
  <c r="I342" i="11" s="1"/>
  <c r="D41" i="11"/>
  <c r="D47" i="11" s="1"/>
  <c r="D58" i="11" s="1"/>
  <c r="D84" i="11" s="1"/>
  <c r="D90" i="11" s="1"/>
  <c r="D101" i="11" s="1"/>
  <c r="D127" i="11" s="1"/>
  <c r="D133" i="11" s="1"/>
  <c r="D144" i="11" s="1"/>
  <c r="D170" i="11" s="1"/>
  <c r="D176" i="11" s="1"/>
  <c r="D187" i="11" s="1"/>
  <c r="D213" i="11" s="1"/>
  <c r="D219" i="11" s="1"/>
  <c r="D230" i="11" s="1"/>
  <c r="D256" i="11" s="1"/>
  <c r="D262" i="11" s="1"/>
  <c r="D273" i="11" s="1"/>
  <c r="D299" i="11" s="1"/>
  <c r="D305" i="11" s="1"/>
  <c r="J40" i="11"/>
  <c r="F40" i="11"/>
  <c r="C58" i="11"/>
  <c r="J47" i="11"/>
  <c r="G58" i="11"/>
  <c r="F15" i="11"/>
  <c r="J15" i="11"/>
  <c r="I83" i="10"/>
  <c r="H83" i="10"/>
  <c r="G83" i="10"/>
  <c r="E83" i="10"/>
  <c r="D83" i="10"/>
  <c r="C83" i="10"/>
  <c r="J82" i="10"/>
  <c r="F82" i="10"/>
  <c r="J81" i="10"/>
  <c r="F81" i="10"/>
  <c r="J80" i="10"/>
  <c r="F80" i="10"/>
  <c r="J79" i="10"/>
  <c r="F79" i="10"/>
  <c r="J78" i="10"/>
  <c r="F78" i="10"/>
  <c r="J77" i="10"/>
  <c r="F77" i="10"/>
  <c r="J76" i="10"/>
  <c r="F76" i="10"/>
  <c r="J75" i="10"/>
  <c r="F75" i="10"/>
  <c r="J74" i="10"/>
  <c r="F74" i="10"/>
  <c r="J73" i="10"/>
  <c r="F73" i="10"/>
  <c r="J72" i="10"/>
  <c r="F72" i="10"/>
  <c r="J71" i="10"/>
  <c r="F71" i="10"/>
  <c r="J70" i="10"/>
  <c r="F70" i="10"/>
  <c r="J69" i="10"/>
  <c r="F69" i="10"/>
  <c r="J68" i="10"/>
  <c r="F68" i="10"/>
  <c r="J67" i="10"/>
  <c r="F67" i="10"/>
  <c r="J66" i="10"/>
  <c r="F66" i="10"/>
  <c r="J65" i="10"/>
  <c r="F65" i="10"/>
  <c r="J64" i="10"/>
  <c r="F64" i="10"/>
  <c r="J63" i="10"/>
  <c r="F63" i="10"/>
  <c r="J62" i="10"/>
  <c r="F62" i="10"/>
  <c r="J61" i="10"/>
  <c r="F61" i="10"/>
  <c r="J60" i="10"/>
  <c r="F60" i="10"/>
  <c r="J59" i="10"/>
  <c r="F59" i="10"/>
  <c r="J57" i="10"/>
  <c r="F57" i="10"/>
  <c r="J56" i="10"/>
  <c r="F56" i="10"/>
  <c r="J55" i="10"/>
  <c r="F55" i="10"/>
  <c r="J54" i="10"/>
  <c r="F54" i="10"/>
  <c r="J53" i="10"/>
  <c r="F53" i="10"/>
  <c r="J52" i="10"/>
  <c r="F52" i="10"/>
  <c r="J51" i="10"/>
  <c r="F51" i="10"/>
  <c r="J50" i="10"/>
  <c r="F50" i="10"/>
  <c r="J49" i="10"/>
  <c r="F49" i="10"/>
  <c r="J48" i="10"/>
  <c r="F48" i="10"/>
  <c r="I40" i="10"/>
  <c r="H40" i="10"/>
  <c r="G40" i="10"/>
  <c r="E40" i="10"/>
  <c r="D40" i="10"/>
  <c r="C40" i="10"/>
  <c r="J39" i="10"/>
  <c r="F39" i="10"/>
  <c r="J38" i="10"/>
  <c r="F38" i="10"/>
  <c r="J37" i="10"/>
  <c r="F37" i="10"/>
  <c r="J36" i="10"/>
  <c r="F36" i="10"/>
  <c r="J35" i="10"/>
  <c r="F35" i="10"/>
  <c r="J34" i="10"/>
  <c r="F34" i="10"/>
  <c r="J33" i="10"/>
  <c r="F33" i="10"/>
  <c r="J32" i="10"/>
  <c r="F32" i="10"/>
  <c r="J31" i="10"/>
  <c r="F31" i="10"/>
  <c r="J30" i="10"/>
  <c r="F30" i="10"/>
  <c r="J29" i="10"/>
  <c r="F29" i="10"/>
  <c r="J28" i="10"/>
  <c r="F28" i="10"/>
  <c r="J27" i="10"/>
  <c r="F27" i="10"/>
  <c r="J26" i="10"/>
  <c r="F26" i="10"/>
  <c r="J25" i="10"/>
  <c r="F25" i="10"/>
  <c r="J24" i="10"/>
  <c r="F24" i="10"/>
  <c r="J23" i="10"/>
  <c r="F23" i="10"/>
  <c r="J22" i="10"/>
  <c r="F22" i="10"/>
  <c r="J21" i="10"/>
  <c r="F21" i="10"/>
  <c r="J20" i="10"/>
  <c r="F20" i="10"/>
  <c r="J19" i="10"/>
  <c r="F19" i="10"/>
  <c r="J18" i="10"/>
  <c r="F18" i="10"/>
  <c r="J17" i="10"/>
  <c r="F17" i="10"/>
  <c r="J16" i="10"/>
  <c r="F16" i="10"/>
  <c r="I15" i="10"/>
  <c r="H15" i="10"/>
  <c r="G15" i="10"/>
  <c r="E15" i="10"/>
  <c r="D15" i="10"/>
  <c r="C15" i="10"/>
  <c r="J14" i="10"/>
  <c r="F14" i="10"/>
  <c r="J13" i="10"/>
  <c r="F13" i="10"/>
  <c r="J12" i="10"/>
  <c r="F12" i="10"/>
  <c r="J11" i="10"/>
  <c r="F11" i="10"/>
  <c r="J10" i="10"/>
  <c r="F10" i="10"/>
  <c r="J9" i="10"/>
  <c r="F9" i="10"/>
  <c r="J8" i="10"/>
  <c r="F8" i="10"/>
  <c r="J7" i="10"/>
  <c r="F7" i="10"/>
  <c r="J6" i="10"/>
  <c r="F6" i="10"/>
  <c r="J5" i="10"/>
  <c r="F5" i="10"/>
  <c r="J4" i="10"/>
  <c r="F4" i="10"/>
  <c r="E359" i="11" l="1"/>
  <c r="D316" i="11"/>
  <c r="F305" i="11"/>
  <c r="H41" i="10"/>
  <c r="H47" i="10" s="1"/>
  <c r="H58" i="10" s="1"/>
  <c r="D41" i="10"/>
  <c r="D47" i="10" s="1"/>
  <c r="D58" i="10" s="1"/>
  <c r="D84" i="10" s="1"/>
  <c r="D90" i="10" s="1"/>
  <c r="D101" i="10" s="1"/>
  <c r="D127" i="10" s="1"/>
  <c r="D133" i="10" s="1"/>
  <c r="D144" i="10" s="1"/>
  <c r="D170" i="10" s="1"/>
  <c r="D176" i="10" s="1"/>
  <c r="D187" i="10" s="1"/>
  <c r="D213" i="10" s="1"/>
  <c r="D219" i="10" s="1"/>
  <c r="D230" i="10" s="1"/>
  <c r="D256" i="10" s="1"/>
  <c r="D262" i="10" s="1"/>
  <c r="I41" i="10"/>
  <c r="I47" i="10" s="1"/>
  <c r="I58" i="10" s="1"/>
  <c r="I84" i="10" s="1"/>
  <c r="I90" i="10" s="1"/>
  <c r="I101" i="10" s="1"/>
  <c r="I127" i="10" s="1"/>
  <c r="I133" i="10" s="1"/>
  <c r="I144" i="10" s="1"/>
  <c r="I170" i="10" s="1"/>
  <c r="I176" i="10" s="1"/>
  <c r="I187" i="10" s="1"/>
  <c r="I213" i="10" s="1"/>
  <c r="I219" i="10" s="1"/>
  <c r="I230" i="10" s="1"/>
  <c r="I256" i="10" s="1"/>
  <c r="H187" i="11"/>
  <c r="E41" i="10"/>
  <c r="E47" i="10" s="1"/>
  <c r="E58" i="10" s="1"/>
  <c r="E84" i="10" s="1"/>
  <c r="E90" i="10" s="1"/>
  <c r="E101" i="10" s="1"/>
  <c r="E127" i="10" s="1"/>
  <c r="E133" i="10" s="1"/>
  <c r="E144" i="10" s="1"/>
  <c r="E170" i="10" s="1"/>
  <c r="E176" i="10" s="1"/>
  <c r="E187" i="10" s="1"/>
  <c r="E213" i="10" s="1"/>
  <c r="E219" i="10" s="1"/>
  <c r="E230" i="10" s="1"/>
  <c r="E256" i="10" s="1"/>
  <c r="H84" i="10"/>
  <c r="H90" i="10" s="1"/>
  <c r="H101" i="10" s="1"/>
  <c r="H127" i="10" s="1"/>
  <c r="H133" i="10" s="1"/>
  <c r="H144" i="10" s="1"/>
  <c r="H170" i="10" s="1"/>
  <c r="H176" i="10" s="1"/>
  <c r="H187" i="10" s="1"/>
  <c r="H213" i="10" s="1"/>
  <c r="H219" i="10" s="1"/>
  <c r="H230" i="10" s="1"/>
  <c r="H256" i="10" s="1"/>
  <c r="H262" i="10" s="1"/>
  <c r="F83" i="10"/>
  <c r="J83" i="10"/>
  <c r="F15" i="10"/>
  <c r="F47" i="11"/>
  <c r="F40" i="10"/>
  <c r="J40" i="10"/>
  <c r="J41" i="11"/>
  <c r="F41" i="11"/>
  <c r="J58" i="11"/>
  <c r="J84" i="11" s="1"/>
  <c r="G84" i="11"/>
  <c r="G90" i="11" s="1"/>
  <c r="F58" i="11"/>
  <c r="F84" i="11" s="1"/>
  <c r="C84" i="11"/>
  <c r="C90" i="11" s="1"/>
  <c r="J15" i="10"/>
  <c r="C41" i="10"/>
  <c r="C47" i="10" s="1"/>
  <c r="G41" i="10"/>
  <c r="G47" i="10" s="1"/>
  <c r="E385" i="11" l="1"/>
  <c r="H273" i="10"/>
  <c r="J262" i="10"/>
  <c r="D273" i="10"/>
  <c r="F262" i="10"/>
  <c r="D342" i="11"/>
  <c r="D348" i="11" s="1"/>
  <c r="F316" i="11"/>
  <c r="F342" i="11" s="1"/>
  <c r="H213" i="11"/>
  <c r="H219" i="11" s="1"/>
  <c r="H230" i="11" s="1"/>
  <c r="H256" i="11" s="1"/>
  <c r="H262" i="11" s="1"/>
  <c r="H273" i="11" s="1"/>
  <c r="H299" i="11" s="1"/>
  <c r="H305" i="11" s="1"/>
  <c r="C101" i="11"/>
  <c r="F90" i="11"/>
  <c r="G101" i="11"/>
  <c r="J90" i="11"/>
  <c r="F41" i="10"/>
  <c r="J41" i="10"/>
  <c r="J47" i="10"/>
  <c r="G58" i="10"/>
  <c r="F47" i="10"/>
  <c r="C58" i="10"/>
  <c r="D359" i="11" l="1"/>
  <c r="F348" i="11"/>
  <c r="H299" i="10"/>
  <c r="H305" i="10" s="1"/>
  <c r="J273" i="10"/>
  <c r="J299" i="10" s="1"/>
  <c r="D299" i="10"/>
  <c r="D305" i="10" s="1"/>
  <c r="F273" i="10"/>
  <c r="F299" i="10" s="1"/>
  <c r="H316" i="11"/>
  <c r="J305" i="11"/>
  <c r="G127" i="11"/>
  <c r="G133" i="11" s="1"/>
  <c r="J101" i="11"/>
  <c r="J127" i="11" s="1"/>
  <c r="C127" i="11"/>
  <c r="C133" i="11" s="1"/>
  <c r="F101" i="11"/>
  <c r="F127" i="11" s="1"/>
  <c r="F58" i="10"/>
  <c r="F84" i="10" s="1"/>
  <c r="C84" i="10"/>
  <c r="C90" i="10" s="1"/>
  <c r="J58" i="10"/>
  <c r="J84" i="10" s="1"/>
  <c r="G84" i="10"/>
  <c r="G90" i="10" s="1"/>
  <c r="H316" i="10" l="1"/>
  <c r="J305" i="10"/>
  <c r="D316" i="10"/>
  <c r="F305" i="10"/>
  <c r="D385" i="11"/>
  <c r="F359" i="11"/>
  <c r="F385" i="11" s="1"/>
  <c r="H342" i="11"/>
  <c r="H348" i="11" s="1"/>
  <c r="J316" i="11"/>
  <c r="J342" i="11" s="1"/>
  <c r="J90" i="10"/>
  <c r="G101" i="10"/>
  <c r="F90" i="10"/>
  <c r="C101" i="10"/>
  <c r="C144" i="11"/>
  <c r="F133" i="11"/>
  <c r="G144" i="11"/>
  <c r="J133" i="11"/>
  <c r="H342" i="10" l="1"/>
  <c r="J316" i="10"/>
  <c r="J342" i="10" s="1"/>
  <c r="D342" i="10"/>
  <c r="F316" i="10"/>
  <c r="F342" i="10" s="1"/>
  <c r="H359" i="11"/>
  <c r="J348" i="11"/>
  <c r="F101" i="10"/>
  <c r="F127" i="10" s="1"/>
  <c r="C127" i="10"/>
  <c r="C133" i="10" s="1"/>
  <c r="J101" i="10"/>
  <c r="J127" i="10" s="1"/>
  <c r="G127" i="10"/>
  <c r="G133" i="10" s="1"/>
  <c r="G170" i="11"/>
  <c r="G176" i="11" s="1"/>
  <c r="J144" i="11"/>
  <c r="J170" i="11" s="1"/>
  <c r="C170" i="11"/>
  <c r="C176" i="11" s="1"/>
  <c r="F144" i="11"/>
  <c r="F170" i="11" s="1"/>
  <c r="H385" i="11" l="1"/>
  <c r="J359" i="11"/>
  <c r="J385" i="11" s="1"/>
  <c r="J133" i="10"/>
  <c r="G144" i="10"/>
  <c r="F133" i="10"/>
  <c r="C144" i="10"/>
  <c r="G187" i="11"/>
  <c r="J176" i="11"/>
  <c r="F176" i="11"/>
  <c r="C187" i="11"/>
  <c r="J144" i="10" l="1"/>
  <c r="J170" i="10" s="1"/>
  <c r="G170" i="10"/>
  <c r="G176" i="10" s="1"/>
  <c r="F144" i="10"/>
  <c r="F170" i="10" s="1"/>
  <c r="C170" i="10"/>
  <c r="C176" i="10" s="1"/>
  <c r="G213" i="11"/>
  <c r="G219" i="11" s="1"/>
  <c r="J187" i="11"/>
  <c r="J213" i="11" s="1"/>
  <c r="C213" i="11"/>
  <c r="C219" i="11" s="1"/>
  <c r="F187" i="11"/>
  <c r="F213" i="11" s="1"/>
  <c r="F176" i="10" l="1"/>
  <c r="C187" i="10"/>
  <c r="J176" i="10"/>
  <c r="G187" i="10"/>
  <c r="C230" i="11"/>
  <c r="F219" i="11"/>
  <c r="G230" i="11"/>
  <c r="J219" i="11"/>
  <c r="G213" i="10" l="1"/>
  <c r="G219" i="10" s="1"/>
  <c r="J187" i="10"/>
  <c r="J213" i="10" s="1"/>
  <c r="C213" i="10"/>
  <c r="C219" i="10" s="1"/>
  <c r="F187" i="10"/>
  <c r="F213" i="10" s="1"/>
  <c r="C256" i="11"/>
  <c r="C262" i="11" s="1"/>
  <c r="F230" i="11"/>
  <c r="F256" i="11" s="1"/>
  <c r="J230" i="11"/>
  <c r="J256" i="11" s="1"/>
  <c r="G256" i="11"/>
  <c r="G262" i="11" s="1"/>
  <c r="J262" i="11" l="1"/>
  <c r="G273" i="11"/>
  <c r="F262" i="11"/>
  <c r="C273" i="11"/>
  <c r="G230" i="10"/>
  <c r="J219" i="10"/>
  <c r="C230" i="10"/>
  <c r="F219" i="10"/>
  <c r="C299" i="11" l="1"/>
  <c r="F273" i="11"/>
  <c r="F299" i="11" s="1"/>
  <c r="J230" i="10"/>
  <c r="J256" i="10" s="1"/>
  <c r="G256" i="10"/>
  <c r="G299" i="11"/>
  <c r="J273" i="11"/>
  <c r="J299" i="11" s="1"/>
  <c r="F230" i="10"/>
  <c r="F256" i="10" s="1"/>
  <c r="C256" i="10"/>
</calcChain>
</file>

<file path=xl/sharedStrings.xml><?xml version="1.0" encoding="utf-8"?>
<sst xmlns="http://schemas.openxmlformats.org/spreadsheetml/2006/main" count="1392" uniqueCount="78">
  <si>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</si>
  <si>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</si>
  <si>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</si>
  <si>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</si>
  <si>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</si>
  <si>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</si>
  <si>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</si>
  <si>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ネット</t>
    <phoneticPr fontId="7"/>
  </si>
  <si>
    <t>初回</t>
    <rPh sb="0" eb="2">
      <t>ショカイ</t>
    </rPh>
    <phoneticPr fontId="3"/>
  </si>
  <si>
    <t>M</t>
    <phoneticPr fontId="3"/>
  </si>
  <si>
    <t>L</t>
    <phoneticPr fontId="3"/>
  </si>
  <si>
    <t>LL</t>
    <phoneticPr fontId="3"/>
  </si>
  <si>
    <t>在庫</t>
    <rPh sb="0" eb="2">
      <t>ザイコ</t>
    </rPh>
    <phoneticPr fontId="3"/>
  </si>
  <si>
    <t>グレー</t>
    <phoneticPr fontId="3"/>
  </si>
  <si>
    <t>＜No.33025　紳士プリント柄100ｃｃトランクス＞</t>
    <rPh sb="10" eb="12">
      <t>シンシ</t>
    </rPh>
    <rPh sb="16" eb="17">
      <t>ガラ</t>
    </rPh>
    <phoneticPr fontId="3"/>
  </si>
  <si>
    <t>ネイビー</t>
    <phoneticPr fontId="3"/>
  </si>
  <si>
    <t>クロ</t>
    <phoneticPr fontId="3"/>
  </si>
  <si>
    <t>M、L、LL　1375</t>
    <phoneticPr fontId="7"/>
  </si>
  <si>
    <t>＜No.33019　紳士ボーダー柄100ｃｃトランクス＞</t>
    <rPh sb="10" eb="12">
      <t>シンシ</t>
    </rPh>
    <rPh sb="16" eb="17">
      <t>ガラ</t>
    </rPh>
    <phoneticPr fontId="3"/>
  </si>
  <si>
    <t>ネット</t>
    <phoneticPr fontId="7"/>
  </si>
  <si>
    <t>ネット</t>
    <phoneticPr fontId="7"/>
  </si>
  <si>
    <t>グレー</t>
    <phoneticPr fontId="3"/>
  </si>
  <si>
    <t>クロ</t>
    <phoneticPr fontId="3"/>
  </si>
  <si>
    <t>追加</t>
    <rPh sb="0" eb="2">
      <t>ツイカ</t>
    </rPh>
    <phoneticPr fontId="7"/>
  </si>
  <si>
    <t>ネット返品</t>
    <rPh sb="3" eb="5">
      <t>ヘンピン</t>
    </rPh>
    <phoneticPr fontId="7"/>
  </si>
  <si>
    <t>ネット</t>
  </si>
  <si>
    <t>追加</t>
    <rPh sb="0" eb="2">
      <t>ツイカ</t>
    </rPh>
    <phoneticPr fontId="7"/>
  </si>
  <si>
    <t>返品</t>
    <rPh sb="0" eb="2">
      <t>ヘンピン</t>
    </rPh>
    <phoneticPr fontId="7"/>
  </si>
  <si>
    <t>在庫確認</t>
    <rPh sb="0" eb="4">
      <t>ザイコカクニン</t>
    </rPh>
    <phoneticPr fontId="3"/>
  </si>
  <si>
    <t>ネット交換</t>
    <rPh sb="3" eb="5">
      <t>コウカン</t>
    </rPh>
    <phoneticPr fontId="7"/>
  </si>
  <si>
    <t>棚卸</t>
    <rPh sb="0" eb="2">
      <t>タナオロシ</t>
    </rPh>
    <phoneticPr fontId="3"/>
  </si>
  <si>
    <t>12/初旬入荷</t>
    <rPh sb="3" eb="5">
      <t>ショジュン</t>
    </rPh>
    <rPh sb="5" eb="7">
      <t>ニュウカ</t>
    </rPh>
    <phoneticPr fontId="7"/>
  </si>
  <si>
    <t>ネット返品</t>
    <rPh sb="3" eb="5">
      <t>ヘンピン</t>
    </rPh>
    <phoneticPr fontId="7"/>
  </si>
  <si>
    <t>客注文（入荷待ち）</t>
    <rPh sb="0" eb="1">
      <t>キャク</t>
    </rPh>
    <rPh sb="1" eb="3">
      <t>チュウモン</t>
    </rPh>
    <rPh sb="4" eb="7">
      <t>ニュウカマ</t>
    </rPh>
    <phoneticPr fontId="7"/>
  </si>
  <si>
    <t>入荷未定</t>
    <rPh sb="0" eb="4">
      <t>ニュウカミテイ</t>
    </rPh>
    <phoneticPr fontId="7"/>
  </si>
  <si>
    <t>4/末頃</t>
    <rPh sb="2" eb="3">
      <t>マツ</t>
    </rPh>
    <rPh sb="3" eb="4">
      <t>ゴロ</t>
    </rPh>
    <phoneticPr fontId="7"/>
  </si>
  <si>
    <t>M、L、LL　1500</t>
    <phoneticPr fontId="7"/>
  </si>
  <si>
    <t>ワイン</t>
    <phoneticPr fontId="3"/>
  </si>
  <si>
    <t>パープル</t>
    <phoneticPr fontId="3"/>
  </si>
  <si>
    <t>＜No.33036　紳士アニマル柄100ｃｃトランクス＞</t>
    <rPh sb="10" eb="12">
      <t>シンシ</t>
    </rPh>
    <rPh sb="16" eb="17">
      <t>ガラ</t>
    </rPh>
    <phoneticPr fontId="3"/>
  </si>
  <si>
    <t>ネット</t>
    <phoneticPr fontId="7"/>
  </si>
  <si>
    <t>ネット返品</t>
    <rPh sb="3" eb="5">
      <t>ヘンピン</t>
    </rPh>
    <phoneticPr fontId="3"/>
  </si>
  <si>
    <t>＜No.33029　紳士プリント柄50ｃｃブリーフ＞</t>
    <rPh sb="10" eb="12">
      <t>シンシ</t>
    </rPh>
    <rPh sb="16" eb="17">
      <t>ガラ</t>
    </rPh>
    <phoneticPr fontId="3"/>
  </si>
  <si>
    <t>M、L、LL</t>
    <phoneticPr fontId="7"/>
  </si>
  <si>
    <t>ネット</t>
    <phoneticPr fontId="7"/>
  </si>
  <si>
    <t>＜No.33045　紳士100ｃｃトランクス＞</t>
    <rPh sb="10" eb="12">
      <t>シンシ</t>
    </rPh>
    <phoneticPr fontId="3"/>
  </si>
  <si>
    <t>M、L、1300LL　1350</t>
    <phoneticPr fontId="7"/>
  </si>
  <si>
    <t>＜No.33018　紳士300ｃｃトランクス＞</t>
    <rPh sb="10" eb="12">
      <t>シンシ</t>
    </rPh>
    <phoneticPr fontId="3"/>
  </si>
  <si>
    <t>3L</t>
    <phoneticPr fontId="7"/>
  </si>
  <si>
    <t>M/L2100　LL2250　3L2600</t>
    <phoneticPr fontId="7"/>
  </si>
  <si>
    <t>ネット</t>
    <phoneticPr fontId="7"/>
  </si>
  <si>
    <t>伝11月</t>
    <rPh sb="0" eb="1">
      <t>デン</t>
    </rPh>
    <rPh sb="3" eb="4">
      <t>ガツ</t>
    </rPh>
    <phoneticPr fontId="7"/>
  </si>
  <si>
    <t>＜No.33026 おねしょパンツ＞</t>
    <phoneticPr fontId="3"/>
  </si>
  <si>
    <t>M/L2300　LL2400</t>
    <phoneticPr fontId="7"/>
  </si>
  <si>
    <t>コン</t>
    <phoneticPr fontId="3"/>
  </si>
  <si>
    <t>ネット</t>
    <phoneticPr fontId="7"/>
  </si>
  <si>
    <t>かりん</t>
    <phoneticPr fontId="7"/>
  </si>
  <si>
    <t>かりん</t>
    <phoneticPr fontId="7"/>
  </si>
  <si>
    <t>かりん</t>
    <phoneticPr fontId="7"/>
  </si>
  <si>
    <t>＜No.33038　紳士50CC　ブリーフ＞</t>
    <rPh sb="10" eb="12">
      <t>シンシ</t>
    </rPh>
    <phoneticPr fontId="3"/>
  </si>
  <si>
    <t>M、L、820LL　870</t>
    <phoneticPr fontId="7"/>
  </si>
  <si>
    <t>西川返品</t>
    <rPh sb="0" eb="2">
      <t>ニシカワ</t>
    </rPh>
    <rPh sb="2" eb="4">
      <t>ヘンピン</t>
    </rPh>
    <phoneticPr fontId="7"/>
  </si>
  <si>
    <t>ネット</t>
    <phoneticPr fontId="7"/>
  </si>
  <si>
    <t>ネット</t>
    <phoneticPr fontId="7"/>
  </si>
  <si>
    <t>在庫確認</t>
    <rPh sb="0" eb="4">
      <t>ザイコカクニン</t>
    </rPh>
    <phoneticPr fontId="7"/>
  </si>
  <si>
    <t>在庫確認</t>
    <rPh sb="0" eb="4">
      <t>ザイコカクニン</t>
    </rPh>
    <phoneticPr fontId="7"/>
  </si>
  <si>
    <t>在庫確認</t>
    <rPh sb="0" eb="4">
      <t>ザイコカクニン</t>
    </rPh>
    <phoneticPr fontId="7"/>
  </si>
  <si>
    <t>在庫確認</t>
    <rPh sb="0" eb="4">
      <t>ザイコカクニン</t>
    </rPh>
    <phoneticPr fontId="7"/>
  </si>
  <si>
    <t>在庫確認</t>
    <rPh sb="0" eb="4">
      <t>ザイコカクニン</t>
    </rPh>
    <phoneticPr fontId="7"/>
  </si>
  <si>
    <t>在庫確認</t>
    <rPh sb="0" eb="4">
      <t>ザイコカクニン</t>
    </rPh>
    <phoneticPr fontId="7"/>
  </si>
  <si>
    <t>9月伝</t>
    <rPh sb="1" eb="3">
      <t>ガツデン</t>
    </rPh>
    <phoneticPr fontId="7"/>
  </si>
  <si>
    <t>9月伝</t>
    <rPh sb="1" eb="3">
      <t>ガツデン</t>
    </rPh>
    <phoneticPr fontId="7"/>
  </si>
  <si>
    <t>9月伝</t>
    <rPh sb="1" eb="3">
      <t>ガツデン</t>
    </rPh>
    <phoneticPr fontId="7"/>
  </si>
  <si>
    <t>かりん</t>
    <phoneticPr fontId="7"/>
  </si>
  <si>
    <t>追加</t>
    <rPh sb="0" eb="2">
      <t>ツイカ</t>
    </rPh>
    <phoneticPr fontId="7"/>
  </si>
  <si>
    <t>ネット交換発送</t>
    <rPh sb="3" eb="5">
      <t>コウカン</t>
    </rPh>
    <rPh sb="5" eb="7">
      <t>ハッソウ</t>
    </rPh>
    <phoneticPr fontId="7"/>
  </si>
  <si>
    <t>追加</t>
    <rPh sb="0" eb="2">
      <t>ツイカ</t>
    </rPh>
    <phoneticPr fontId="7"/>
  </si>
  <si>
    <t>かりん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</si>
</sst>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8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9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6" fillId="2" borderId="4" xfId="2" applyFont="1" applyFill="1" applyBorder="1"/>
    <xf numFmtId="0" fontId="4" fillId="0" borderId="10" xfId="2" applyFont="1" applyBorder="1" applyAlignment="1">
      <alignment horizontal="center" vertical="center"/>
    </xf>
    <xf numFmtId="0" fontId="2" fillId="2" borderId="11" xfId="2" applyFill="1" applyBorder="1"/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0" fontId="5" fillId="0" borderId="5" xfId="2" applyFont="1" applyBorder="1" applyAlignment="1">
      <alignment horizontal="center" vertical="center"/>
    </xf>
    <xf numFmtId="0" fontId="2" fillId="0" borderId="13" xfId="2" applyBorder="1"/>
    <xf numFmtId="56" fontId="9" fillId="0" borderId="0" xfId="0" applyNumberFormat="1" applyFont="1">
      <alignment vertical="center"/>
    </xf>
    <xf numFmtId="0" fontId="9" fillId="0" borderId="0" xfId="0" applyFont="1">
      <alignment vertical="center"/>
    </xf>
    <xf numFmtId="56" fontId="0" fillId="0" borderId="0" xfId="0" applyNumberFormat="1">
      <alignment vertical="center"/>
    </xf>
    <xf numFmtId="0" fontId="10" fillId="0" borderId="0" xfId="2" applyFont="1"/>
    <xf numFmtId="0" fontId="1" fillId="0" borderId="0" xfId="1">
      <alignment vertical="center"/>
    </xf>
    <xf numFmtId="0" fontId="2" fillId="0" borderId="8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11" fillId="0" borderId="5" xfId="2" applyFont="1" applyBorder="1" applyAlignment="1">
      <alignment horizontal="center" vertical="center"/>
    </xf>
    <xf numFmtId="0" fontId="6" fillId="0" borderId="8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2" fillId="2" borderId="4" xfId="2" applyFill="1" applyBorder="1" applyAlignment="1">
      <alignment horizontal="right"/>
    </xf>
    <xf numFmtId="0" fontId="8" fillId="0" borderId="0" xfId="0" applyFont="1">
      <alignment vertical="center"/>
    </xf>
    <xf numFmtId="0" fontId="2" fillId="0" borderId="9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2" borderId="11" xfId="2" applyFill="1" applyBorder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2" borderId="4" xfId="2" applyFont="1" applyFill="1" applyBorder="1"/>
    <xf numFmtId="56" fontId="12" fillId="0" borderId="0" xfId="0" applyNumberFormat="1" applyFont="1">
      <alignment vertical="center"/>
    </xf>
    <xf numFmtId="0" fontId="5" fillId="0" borderId="6" xfId="2" applyFont="1" applyBorder="1"/>
    <xf numFmtId="0" fontId="5" fillId="0" borderId="5" xfId="2" applyFont="1" applyBorder="1"/>
    <xf numFmtId="0" fontId="2" fillId="3" borderId="5" xfId="2" applyFill="1" applyBorder="1" applyAlignment="1">
      <alignment horizontal="center" vertical="center"/>
    </xf>
    <xf numFmtId="0" fontId="2" fillId="0" borderId="6" xfId="2" applyBorder="1" applyAlignment="1">
      <alignment horizontal="center" vertical="center" shrinkToFit="1"/>
    </xf>
    <xf numFmtId="0" fontId="6" fillId="0" borderId="5" xfId="2" applyFont="1" applyBorder="1"/>
    <xf numFmtId="0" fontId="6" fillId="0" borderId="6" xfId="2" applyFont="1" applyBorder="1"/>
    <xf numFmtId="0" fontId="6" fillId="0" borderId="8" xfId="2" applyFont="1" applyBorder="1"/>
    <xf numFmtId="0" fontId="6" fillId="2" borderId="5" xfId="2" applyFont="1" applyFill="1" applyBorder="1"/>
    <xf numFmtId="56" fontId="8" fillId="0" borderId="0" xfId="0" applyNumberFormat="1" applyFont="1">
      <alignment vertical="center"/>
    </xf>
    <xf numFmtId="56" fontId="2" fillId="0" borderId="5" xfId="2" applyNumberFormat="1" applyBorder="1" applyAlignment="1">
      <alignment horizontal="center"/>
    </xf>
    <xf numFmtId="0" fontId="2" fillId="3" borderId="5" xfId="2" applyFill="1" applyBorder="1"/>
    <xf numFmtId="0" fontId="6" fillId="0" borderId="12" xfId="2" applyFont="1" applyBorder="1" applyAlignment="1">
      <alignment horizontal="center"/>
    </xf>
    <xf numFmtId="0" fontId="6" fillId="2" borderId="4" xfId="2" applyFont="1" applyFill="1" applyBorder="1" applyAlignment="1">
      <alignment horizontal="right"/>
    </xf>
    <xf numFmtId="0" fontId="2" fillId="0" borderId="4" xfId="2" applyBorder="1"/>
    <xf numFmtId="0" fontId="2" fillId="0" borderId="4" xfId="2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14" fillId="0" borderId="0" xfId="0" applyFont="1">
      <alignment vertical="center"/>
    </xf>
    <xf numFmtId="0" fontId="4" fillId="0" borderId="11" xfId="2" applyFont="1" applyBorder="1" applyAlignment="1">
      <alignment horizontal="center" vertical="center"/>
    </xf>
    <xf numFmtId="0" fontId="2" fillId="0" borderId="11" xfId="2" applyBorder="1"/>
    <xf numFmtId="0" fontId="15" fillId="0" borderId="4" xfId="2" applyFont="1" applyBorder="1" applyAlignment="1">
      <alignment horizontal="center" vertical="center"/>
    </xf>
    <xf numFmtId="0" fontId="15" fillId="0" borderId="8" xfId="2" applyFont="1" applyBorder="1"/>
    <xf numFmtId="0" fontId="15" fillId="0" borderId="5" xfId="2" applyFont="1" applyBorder="1"/>
    <xf numFmtId="0" fontId="15" fillId="0" borderId="6" xfId="2" applyFont="1" applyBorder="1"/>
    <xf numFmtId="0" fontId="15" fillId="2" borderId="5" xfId="2" applyFont="1" applyFill="1" applyBorder="1"/>
    <xf numFmtId="56" fontId="1" fillId="0" borderId="0" xfId="0" applyNumberFormat="1" applyFont="1">
      <alignment vertical="center"/>
    </xf>
    <xf numFmtId="0" fontId="16" fillId="0" borderId="5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/>
    </xf>
    <xf numFmtId="0" fontId="15" fillId="0" borderId="5" xfId="2" applyFont="1" applyBorder="1" applyAlignment="1">
      <alignment horizontal="center"/>
    </xf>
    <xf numFmtId="0" fontId="15" fillId="2" borderId="4" xfId="2" applyFont="1" applyFill="1" applyBorder="1" applyAlignment="1">
      <alignment horizontal="right"/>
    </xf>
    <xf numFmtId="0" fontId="15" fillId="2" borderId="4" xfId="2" applyFont="1" applyFill="1" applyBorder="1"/>
    <xf numFmtId="0" fontId="4" fillId="3" borderId="10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13" fillId="4" borderId="10" xfId="2" applyFont="1" applyFill="1" applyBorder="1" applyAlignment="1">
      <alignment horizontal="center"/>
    </xf>
    <xf numFmtId="0" fontId="13" fillId="4" borderId="3" xfId="2" applyFont="1" applyFill="1" applyBorder="1" applyAlignment="1">
      <alignment horizontal="center"/>
    </xf>
    <xf numFmtId="0" fontId="4" fillId="0" borderId="10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5" borderId="10" xfId="2" applyFont="1" applyFill="1" applyBorder="1" applyAlignment="1">
      <alignment horizontal="center"/>
    </xf>
    <xf numFmtId="0" fontId="4" fillId="5" borderId="3" xfId="2" applyFont="1" applyFill="1" applyBorder="1" applyAlignment="1">
      <alignment horizontal="center"/>
    </xf>
    <xf numFmtId="0" fontId="4" fillId="8" borderId="10" xfId="2" applyFont="1" applyFill="1" applyBorder="1" applyAlignment="1">
      <alignment horizontal="center"/>
    </xf>
    <xf numFmtId="0" fontId="4" fillId="8" borderId="3" xfId="2" applyFont="1" applyFill="1" applyBorder="1" applyAlignment="1">
      <alignment horizontal="center"/>
    </xf>
    <xf numFmtId="0" fontId="4" fillId="6" borderId="10" xfId="2" applyFont="1" applyFill="1" applyBorder="1" applyAlignment="1">
      <alignment horizontal="center"/>
    </xf>
    <xf numFmtId="0" fontId="4" fillId="6" borderId="3" xfId="2" applyFont="1" applyFill="1" applyBorder="1" applyAlignment="1">
      <alignment horizontal="center"/>
    </xf>
    <xf numFmtId="0" fontId="4" fillId="7" borderId="10" xfId="2" applyFont="1" applyFill="1" applyBorder="1" applyAlignment="1">
      <alignment horizontal="center"/>
    </xf>
    <xf numFmtId="0" fontId="4" fillId="7" borderId="3" xfId="2" applyFont="1" applyFill="1" applyBorder="1" applyAlignment="1">
      <alignment horizont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L342"/>
  <sheetViews>
    <sheetView topLeftCell="A304" zoomScale="90" zoomScaleNormal="90" workbookViewId="0">
      <selection activeCell="B315" sqref="B315:L315"/>
    </sheetView>
  </sheetViews>
  <sheetFormatPr defaultRowHeight="13.5" x14ac:dyDescent="0.15"/>
  <cols>
    <col min="2" max="2" width="16.5" customWidth="1"/>
    <col min="11" max="11" width="9.25" bestFit="1" customWidth="1"/>
  </cols>
  <sheetData>
    <row r="1" spans="2:12" ht="19.5" thickBot="1" x14ac:dyDescent="0.25">
      <c r="B1" s="33" t="s">
        <v>14</v>
      </c>
      <c r="C1" s="1"/>
      <c r="D1" s="1"/>
      <c r="E1" s="1"/>
      <c r="F1" s="1"/>
      <c r="G1" s="34"/>
      <c r="H1" s="34" t="s">
        <v>17</v>
      </c>
      <c r="I1" s="34"/>
      <c r="J1" s="34"/>
    </row>
    <row r="2" spans="2:12" ht="14.25" thickBot="1" x14ac:dyDescent="0.2">
      <c r="B2" s="2" t="s">
        <v>0</v>
      </c>
      <c r="C2" s="84" t="s">
        <v>15</v>
      </c>
      <c r="D2" s="84"/>
      <c r="E2" s="84"/>
      <c r="F2" s="85"/>
      <c r="G2" s="84" t="s">
        <v>16</v>
      </c>
      <c r="H2" s="84"/>
      <c r="I2" s="84"/>
      <c r="J2" s="85"/>
    </row>
    <row r="3" spans="2:12" ht="14.25" thickBot="1" x14ac:dyDescent="0.2">
      <c r="B3" s="2" t="s">
        <v>1</v>
      </c>
      <c r="C3" s="3" t="s">
        <v>9</v>
      </c>
      <c r="D3" s="2" t="s">
        <v>10</v>
      </c>
      <c r="E3" s="19" t="s">
        <v>11</v>
      </c>
      <c r="F3" s="2" t="s">
        <v>2</v>
      </c>
      <c r="G3" s="3" t="s">
        <v>9</v>
      </c>
      <c r="H3" s="2" t="s">
        <v>10</v>
      </c>
      <c r="I3" s="19" t="s">
        <v>11</v>
      </c>
      <c r="J3" s="2" t="s">
        <v>2</v>
      </c>
    </row>
    <row r="4" spans="2:12" x14ac:dyDescent="0.15">
      <c r="B4" s="6" t="s">
        <v>8</v>
      </c>
      <c r="C4" s="35"/>
      <c r="D4" s="36">
        <v>1</v>
      </c>
      <c r="E4" s="37"/>
      <c r="F4" s="5">
        <f>SUM(C4:E4)</f>
        <v>1</v>
      </c>
      <c r="G4" s="35"/>
      <c r="H4" s="36">
        <v>1</v>
      </c>
      <c r="I4" s="37"/>
      <c r="J4" s="5">
        <f>SUM(G4:I4)</f>
        <v>1</v>
      </c>
      <c r="K4" s="30">
        <v>43969</v>
      </c>
    </row>
    <row r="5" spans="2:12" x14ac:dyDescent="0.15">
      <c r="B5" s="6" t="s">
        <v>3</v>
      </c>
      <c r="C5" s="17"/>
      <c r="D5" s="12"/>
      <c r="E5" s="17">
        <v>1</v>
      </c>
      <c r="F5" s="5">
        <f t="shared" ref="F5:F40" si="0">SUM(C5:E5)</f>
        <v>1</v>
      </c>
      <c r="G5" s="17"/>
      <c r="H5" s="12"/>
      <c r="I5" s="17">
        <v>1</v>
      </c>
      <c r="J5" s="5">
        <f t="shared" ref="J5:J40" si="1">SUM(G5:I5)</f>
        <v>1</v>
      </c>
      <c r="K5" s="30">
        <v>44054</v>
      </c>
    </row>
    <row r="6" spans="2:12" x14ac:dyDescent="0.15">
      <c r="B6" s="6" t="s">
        <v>3</v>
      </c>
      <c r="C6" s="17">
        <v>1</v>
      </c>
      <c r="D6" s="12"/>
      <c r="E6" s="17"/>
      <c r="F6" s="5">
        <f t="shared" si="0"/>
        <v>1</v>
      </c>
      <c r="G6" s="17">
        <v>1</v>
      </c>
      <c r="H6" s="12"/>
      <c r="I6" s="17"/>
      <c r="J6" s="5">
        <f t="shared" si="1"/>
        <v>1</v>
      </c>
      <c r="K6" s="30">
        <v>44092</v>
      </c>
    </row>
    <row r="7" spans="2:12" x14ac:dyDescent="0.15">
      <c r="B7" s="6" t="s">
        <v>3</v>
      </c>
      <c r="C7" s="17"/>
      <c r="D7" s="12">
        <v>1</v>
      </c>
      <c r="E7" s="17"/>
      <c r="F7" s="5">
        <f t="shared" si="0"/>
        <v>1</v>
      </c>
      <c r="G7" s="17"/>
      <c r="H7" s="12">
        <v>1</v>
      </c>
      <c r="I7" s="17"/>
      <c r="J7" s="5">
        <f t="shared" si="1"/>
        <v>1</v>
      </c>
      <c r="K7" s="32">
        <v>44103</v>
      </c>
    </row>
    <row r="8" spans="2:12" x14ac:dyDescent="0.15">
      <c r="B8" s="6" t="s">
        <v>3</v>
      </c>
      <c r="C8" s="17"/>
      <c r="D8" s="12"/>
      <c r="E8" s="17">
        <v>2</v>
      </c>
      <c r="F8" s="5">
        <f t="shared" si="0"/>
        <v>2</v>
      </c>
      <c r="G8" s="17"/>
      <c r="H8" s="12"/>
      <c r="I8" s="17"/>
      <c r="J8" s="5">
        <f t="shared" si="1"/>
        <v>0</v>
      </c>
      <c r="K8" s="30">
        <v>44110</v>
      </c>
    </row>
    <row r="9" spans="2:12" x14ac:dyDescent="0.15">
      <c r="B9" s="6" t="s">
        <v>3</v>
      </c>
      <c r="C9" s="17"/>
      <c r="D9" s="12">
        <v>1</v>
      </c>
      <c r="E9" s="17"/>
      <c r="F9" s="5">
        <f t="shared" si="0"/>
        <v>1</v>
      </c>
      <c r="G9" s="17"/>
      <c r="H9" s="12">
        <v>1</v>
      </c>
      <c r="I9" s="17"/>
      <c r="J9" s="5">
        <f t="shared" si="1"/>
        <v>1</v>
      </c>
      <c r="K9" s="30">
        <v>44131</v>
      </c>
      <c r="L9" s="31"/>
    </row>
    <row r="10" spans="2:12" x14ac:dyDescent="0.15">
      <c r="B10" s="6" t="s">
        <v>3</v>
      </c>
      <c r="C10" s="17">
        <v>1</v>
      </c>
      <c r="D10" s="12"/>
      <c r="E10" s="17">
        <v>2</v>
      </c>
      <c r="F10" s="5">
        <f t="shared" si="0"/>
        <v>3</v>
      </c>
      <c r="G10" s="17">
        <v>1</v>
      </c>
      <c r="H10" s="12"/>
      <c r="I10" s="17">
        <v>2</v>
      </c>
      <c r="J10" s="5">
        <f t="shared" si="1"/>
        <v>3</v>
      </c>
      <c r="K10" s="30">
        <v>43837</v>
      </c>
    </row>
    <row r="11" spans="2:12" x14ac:dyDescent="0.15">
      <c r="B11" s="6" t="s">
        <v>3</v>
      </c>
      <c r="C11" s="11"/>
      <c r="D11" s="10">
        <v>1</v>
      </c>
      <c r="E11" s="11"/>
      <c r="F11" s="5">
        <f t="shared" si="0"/>
        <v>1</v>
      </c>
      <c r="G11" s="11"/>
      <c r="H11" s="10">
        <v>1</v>
      </c>
      <c r="I11" s="11"/>
      <c r="J11" s="5">
        <f t="shared" si="1"/>
        <v>1</v>
      </c>
      <c r="K11" s="30">
        <v>44211</v>
      </c>
    </row>
    <row r="12" spans="2:12" x14ac:dyDescent="0.15">
      <c r="B12" s="6" t="s">
        <v>3</v>
      </c>
      <c r="C12" s="11"/>
      <c r="D12" s="10"/>
      <c r="E12" s="11"/>
      <c r="F12" s="5">
        <f t="shared" si="0"/>
        <v>0</v>
      </c>
      <c r="G12" s="11"/>
      <c r="H12" s="10"/>
      <c r="I12" s="11"/>
      <c r="J12" s="5">
        <f t="shared" si="1"/>
        <v>0</v>
      </c>
      <c r="K12" s="31"/>
    </row>
    <row r="13" spans="2:12" x14ac:dyDescent="0.15">
      <c r="B13" s="6" t="s">
        <v>3</v>
      </c>
      <c r="C13" s="11">
        <v>1</v>
      </c>
      <c r="D13" s="10">
        <v>1</v>
      </c>
      <c r="E13" s="11">
        <v>1</v>
      </c>
      <c r="F13" s="5">
        <f t="shared" si="0"/>
        <v>3</v>
      </c>
      <c r="G13" s="11">
        <v>1</v>
      </c>
      <c r="H13" s="10">
        <v>1</v>
      </c>
      <c r="I13" s="11">
        <v>1</v>
      </c>
      <c r="J13" s="5">
        <f t="shared" si="1"/>
        <v>3</v>
      </c>
      <c r="K13" s="30">
        <v>44221</v>
      </c>
    </row>
    <row r="14" spans="2:12" ht="14.25" thickBot="1" x14ac:dyDescent="0.2">
      <c r="B14" s="7" t="s">
        <v>3</v>
      </c>
      <c r="C14" s="14"/>
      <c r="D14" s="13"/>
      <c r="E14" s="14">
        <v>1</v>
      </c>
      <c r="F14" s="20">
        <f t="shared" si="0"/>
        <v>1</v>
      </c>
      <c r="G14" s="14"/>
      <c r="H14" s="13"/>
      <c r="I14" s="14">
        <v>1</v>
      </c>
      <c r="J14" s="20">
        <f t="shared" si="1"/>
        <v>1</v>
      </c>
      <c r="K14" s="30">
        <v>44264</v>
      </c>
    </row>
    <row r="15" spans="2:12" ht="14.25" thickBot="1" x14ac:dyDescent="0.2">
      <c r="B15" s="22" t="s">
        <v>4</v>
      </c>
      <c r="C15" s="23">
        <f>SUM(C4:C14)</f>
        <v>3</v>
      </c>
      <c r="D15" s="23">
        <f>SUM(D4:D14)</f>
        <v>5</v>
      </c>
      <c r="E15" s="24">
        <f>SUM(E4:E14)</f>
        <v>7</v>
      </c>
      <c r="F15" s="25">
        <f t="shared" si="0"/>
        <v>15</v>
      </c>
      <c r="G15" s="23">
        <f>SUM(G4:G14)</f>
        <v>3</v>
      </c>
      <c r="H15" s="23">
        <f>SUM(H4:H14)</f>
        <v>5</v>
      </c>
      <c r="I15" s="24">
        <f>SUM(I4:I14)</f>
        <v>5</v>
      </c>
      <c r="J15" s="25">
        <f t="shared" si="1"/>
        <v>13</v>
      </c>
    </row>
    <row r="16" spans="2:12" x14ac:dyDescent="0.15">
      <c r="B16" s="4" t="s">
        <v>20</v>
      </c>
      <c r="C16" s="9"/>
      <c r="D16" s="10">
        <v>1</v>
      </c>
      <c r="E16" s="11"/>
      <c r="F16" s="5">
        <f t="shared" si="0"/>
        <v>1</v>
      </c>
      <c r="G16" s="9"/>
      <c r="H16" s="10">
        <v>1</v>
      </c>
      <c r="I16" s="11"/>
      <c r="J16" s="5">
        <f t="shared" si="1"/>
        <v>1</v>
      </c>
      <c r="K16" s="32">
        <v>43969</v>
      </c>
    </row>
    <row r="17" spans="2:11" x14ac:dyDescent="0.15">
      <c r="B17" s="4" t="s">
        <v>20</v>
      </c>
      <c r="C17" s="9"/>
      <c r="D17" s="10"/>
      <c r="E17" s="11">
        <v>1</v>
      </c>
      <c r="F17" s="5">
        <f t="shared" si="0"/>
        <v>1</v>
      </c>
      <c r="G17" s="9"/>
      <c r="H17" s="10"/>
      <c r="I17" s="11">
        <v>1</v>
      </c>
      <c r="J17" s="5">
        <f t="shared" si="1"/>
        <v>1</v>
      </c>
      <c r="K17" s="32">
        <v>44054</v>
      </c>
    </row>
    <row r="18" spans="2:11" x14ac:dyDescent="0.15">
      <c r="B18" s="4" t="s">
        <v>7</v>
      </c>
      <c r="C18" s="9">
        <v>1</v>
      </c>
      <c r="D18" s="10"/>
      <c r="E18" s="11"/>
      <c r="F18" s="5">
        <f t="shared" si="0"/>
        <v>1</v>
      </c>
      <c r="G18" s="9">
        <v>1</v>
      </c>
      <c r="H18" s="10"/>
      <c r="I18" s="11"/>
      <c r="J18" s="5">
        <f t="shared" si="1"/>
        <v>1</v>
      </c>
      <c r="K18" s="32">
        <v>44092</v>
      </c>
    </row>
    <row r="19" spans="2:11" x14ac:dyDescent="0.15">
      <c r="B19" s="4" t="s">
        <v>7</v>
      </c>
      <c r="C19" s="9"/>
      <c r="D19" s="10">
        <v>1</v>
      </c>
      <c r="E19" s="11"/>
      <c r="F19" s="5">
        <f t="shared" si="0"/>
        <v>1</v>
      </c>
      <c r="G19" s="9"/>
      <c r="H19" s="10">
        <v>1</v>
      </c>
      <c r="I19" s="11"/>
      <c r="J19" s="5">
        <f t="shared" si="1"/>
        <v>1</v>
      </c>
      <c r="K19" s="32">
        <v>44103</v>
      </c>
    </row>
    <row r="20" spans="2:11" x14ac:dyDescent="0.15">
      <c r="B20" s="4" t="s">
        <v>7</v>
      </c>
      <c r="C20" s="9"/>
      <c r="D20" s="10"/>
      <c r="E20" s="11">
        <v>2</v>
      </c>
      <c r="F20" s="5">
        <f t="shared" si="0"/>
        <v>2</v>
      </c>
      <c r="G20" s="9"/>
      <c r="H20" s="10"/>
      <c r="I20" s="11"/>
      <c r="J20" s="5">
        <f t="shared" si="1"/>
        <v>0</v>
      </c>
      <c r="K20" s="32">
        <v>44110</v>
      </c>
    </row>
    <row r="21" spans="2:11" x14ac:dyDescent="0.15">
      <c r="B21" s="4" t="s">
        <v>7</v>
      </c>
      <c r="C21" s="9"/>
      <c r="D21" s="10">
        <v>1</v>
      </c>
      <c r="E21" s="11"/>
      <c r="F21" s="8">
        <f t="shared" si="0"/>
        <v>1</v>
      </c>
      <c r="G21" s="9"/>
      <c r="H21" s="10">
        <v>1</v>
      </c>
      <c r="I21" s="11"/>
      <c r="J21" s="8">
        <f t="shared" si="1"/>
        <v>1</v>
      </c>
      <c r="K21" s="32">
        <v>44131</v>
      </c>
    </row>
    <row r="22" spans="2:11" x14ac:dyDescent="0.15">
      <c r="B22" s="4" t="s">
        <v>7</v>
      </c>
      <c r="C22" s="9">
        <v>1</v>
      </c>
      <c r="D22" s="10"/>
      <c r="E22" s="11">
        <v>2</v>
      </c>
      <c r="F22" s="8">
        <f t="shared" si="0"/>
        <v>3</v>
      </c>
      <c r="G22" s="9">
        <v>1</v>
      </c>
      <c r="H22" s="10"/>
      <c r="I22" s="11">
        <v>2</v>
      </c>
      <c r="J22" s="8">
        <f t="shared" si="1"/>
        <v>3</v>
      </c>
      <c r="K22" s="32">
        <v>44203</v>
      </c>
    </row>
    <row r="23" spans="2:11" x14ac:dyDescent="0.15">
      <c r="B23" s="4" t="s">
        <v>7</v>
      </c>
      <c r="C23" s="9"/>
      <c r="D23" s="10">
        <v>1</v>
      </c>
      <c r="E23" s="11"/>
      <c r="F23" s="8">
        <f t="shared" si="0"/>
        <v>1</v>
      </c>
      <c r="G23" s="9"/>
      <c r="H23" s="10">
        <v>1</v>
      </c>
      <c r="I23" s="11"/>
      <c r="J23" s="8">
        <f t="shared" si="1"/>
        <v>1</v>
      </c>
      <c r="K23" s="32">
        <v>44211</v>
      </c>
    </row>
    <row r="24" spans="2:11" x14ac:dyDescent="0.15">
      <c r="B24" s="4" t="s">
        <v>7</v>
      </c>
      <c r="C24" s="9"/>
      <c r="D24" s="10"/>
      <c r="E24" s="11">
        <v>1</v>
      </c>
      <c r="F24" s="8">
        <f t="shared" si="0"/>
        <v>1</v>
      </c>
      <c r="G24" s="9"/>
      <c r="H24" s="10"/>
      <c r="I24" s="11">
        <v>1</v>
      </c>
      <c r="J24" s="8">
        <f t="shared" si="1"/>
        <v>1</v>
      </c>
      <c r="K24" s="32">
        <v>44243</v>
      </c>
    </row>
    <row r="25" spans="2:11" x14ac:dyDescent="0.15">
      <c r="B25" s="4" t="s">
        <v>7</v>
      </c>
      <c r="C25" s="9"/>
      <c r="D25" s="10"/>
      <c r="E25" s="11"/>
      <c r="F25" s="8">
        <f t="shared" si="0"/>
        <v>0</v>
      </c>
      <c r="G25" s="9">
        <v>1</v>
      </c>
      <c r="H25" s="10"/>
      <c r="I25" s="11"/>
      <c r="J25" s="8">
        <f t="shared" si="1"/>
        <v>1</v>
      </c>
      <c r="K25" s="32">
        <v>44322</v>
      </c>
    </row>
    <row r="26" spans="2:11" x14ac:dyDescent="0.15">
      <c r="B26" s="4" t="s">
        <v>7</v>
      </c>
      <c r="C26" s="9"/>
      <c r="D26" s="10">
        <v>1</v>
      </c>
      <c r="E26" s="11"/>
      <c r="F26" s="8">
        <f t="shared" si="0"/>
        <v>1</v>
      </c>
      <c r="G26" s="9"/>
      <c r="H26" s="10">
        <v>1</v>
      </c>
      <c r="I26" s="11"/>
      <c r="J26" s="8">
        <f t="shared" si="1"/>
        <v>1</v>
      </c>
      <c r="K26" s="32">
        <v>44340</v>
      </c>
    </row>
    <row r="27" spans="2:11" x14ac:dyDescent="0.15">
      <c r="B27" s="4"/>
      <c r="C27" s="9"/>
      <c r="D27" s="10"/>
      <c r="E27" s="11"/>
      <c r="F27" s="8">
        <f t="shared" si="0"/>
        <v>0</v>
      </c>
      <c r="G27" s="9"/>
      <c r="H27" s="10"/>
      <c r="I27" s="11"/>
      <c r="J27" s="8">
        <f t="shared" si="1"/>
        <v>0</v>
      </c>
    </row>
    <row r="28" spans="2:11" x14ac:dyDescent="0.15">
      <c r="B28" s="4"/>
      <c r="C28" s="9"/>
      <c r="D28" s="10"/>
      <c r="E28" s="11"/>
      <c r="F28" s="8">
        <f t="shared" si="0"/>
        <v>0</v>
      </c>
      <c r="G28" s="9"/>
      <c r="H28" s="10"/>
      <c r="I28" s="11"/>
      <c r="J28" s="8">
        <f t="shared" si="1"/>
        <v>0</v>
      </c>
    </row>
    <row r="29" spans="2:11" x14ac:dyDescent="0.15">
      <c r="B29" s="12"/>
      <c r="C29" s="9"/>
      <c r="D29" s="10"/>
      <c r="E29" s="11"/>
      <c r="F29" s="8">
        <f t="shared" si="0"/>
        <v>0</v>
      </c>
      <c r="G29" s="9"/>
      <c r="H29" s="10"/>
      <c r="I29" s="11"/>
      <c r="J29" s="8">
        <f t="shared" si="1"/>
        <v>0</v>
      </c>
    </row>
    <row r="30" spans="2:11" x14ac:dyDescent="0.15">
      <c r="B30" s="4"/>
      <c r="C30" s="9"/>
      <c r="D30" s="10"/>
      <c r="E30" s="11"/>
      <c r="F30" s="8">
        <f t="shared" si="0"/>
        <v>0</v>
      </c>
      <c r="G30" s="9"/>
      <c r="H30" s="10"/>
      <c r="I30" s="11"/>
      <c r="J30" s="8">
        <f t="shared" si="1"/>
        <v>0</v>
      </c>
    </row>
    <row r="31" spans="2:11" x14ac:dyDescent="0.15">
      <c r="B31" s="4"/>
      <c r="C31" s="9"/>
      <c r="D31" s="10"/>
      <c r="E31" s="11"/>
      <c r="F31" s="8">
        <f t="shared" si="0"/>
        <v>0</v>
      </c>
      <c r="G31" s="9"/>
      <c r="H31" s="10"/>
      <c r="I31" s="11"/>
      <c r="J31" s="8">
        <f t="shared" si="1"/>
        <v>0</v>
      </c>
    </row>
    <row r="32" spans="2:11" x14ac:dyDescent="0.15">
      <c r="B32" s="12"/>
      <c r="C32" s="9"/>
      <c r="D32" s="10"/>
      <c r="E32" s="11"/>
      <c r="F32" s="8">
        <f t="shared" si="0"/>
        <v>0</v>
      </c>
      <c r="G32" s="9"/>
      <c r="H32" s="10"/>
      <c r="I32" s="11"/>
      <c r="J32" s="8">
        <f t="shared" si="1"/>
        <v>0</v>
      </c>
    </row>
    <row r="33" spans="2:11" x14ac:dyDescent="0.15">
      <c r="B33" s="4"/>
      <c r="C33" s="9"/>
      <c r="D33" s="10"/>
      <c r="E33" s="11"/>
      <c r="F33" s="8">
        <f t="shared" si="0"/>
        <v>0</v>
      </c>
      <c r="G33" s="9"/>
      <c r="H33" s="10"/>
      <c r="I33" s="11"/>
      <c r="J33" s="8">
        <f t="shared" si="1"/>
        <v>0</v>
      </c>
    </row>
    <row r="34" spans="2:11" x14ac:dyDescent="0.15">
      <c r="B34" s="38"/>
      <c r="C34" s="9"/>
      <c r="D34" s="10"/>
      <c r="E34" s="11"/>
      <c r="F34" s="8">
        <f t="shared" si="0"/>
        <v>0</v>
      </c>
      <c r="G34" s="9"/>
      <c r="H34" s="10"/>
      <c r="I34" s="11"/>
      <c r="J34" s="8">
        <f t="shared" si="1"/>
        <v>0</v>
      </c>
    </row>
    <row r="35" spans="2:11" x14ac:dyDescent="0.15">
      <c r="B35" s="12"/>
      <c r="C35" s="9"/>
      <c r="D35" s="10"/>
      <c r="E35" s="11"/>
      <c r="F35" s="8">
        <f t="shared" si="0"/>
        <v>0</v>
      </c>
      <c r="G35" s="9"/>
      <c r="H35" s="10"/>
      <c r="I35" s="11"/>
      <c r="J35" s="8">
        <f t="shared" si="1"/>
        <v>0</v>
      </c>
    </row>
    <row r="36" spans="2:11" x14ac:dyDescent="0.15">
      <c r="B36" s="4"/>
      <c r="C36" s="9"/>
      <c r="D36" s="10"/>
      <c r="E36" s="11"/>
      <c r="F36" s="8">
        <f t="shared" si="0"/>
        <v>0</v>
      </c>
      <c r="G36" s="9"/>
      <c r="H36" s="10"/>
      <c r="I36" s="11"/>
      <c r="J36" s="8">
        <f t="shared" si="1"/>
        <v>0</v>
      </c>
    </row>
    <row r="37" spans="2:11" x14ac:dyDescent="0.15">
      <c r="B37" s="12"/>
      <c r="C37" s="9"/>
      <c r="D37" s="10"/>
      <c r="E37" s="11"/>
      <c r="F37" s="8">
        <f t="shared" si="0"/>
        <v>0</v>
      </c>
      <c r="G37" s="9"/>
      <c r="H37" s="10"/>
      <c r="I37" s="11"/>
      <c r="J37" s="8">
        <f t="shared" si="1"/>
        <v>0</v>
      </c>
    </row>
    <row r="38" spans="2:11" x14ac:dyDescent="0.15">
      <c r="B38" s="4"/>
      <c r="C38" s="9"/>
      <c r="D38" s="10"/>
      <c r="E38" s="11"/>
      <c r="F38" s="8">
        <f t="shared" si="0"/>
        <v>0</v>
      </c>
      <c r="G38" s="9"/>
      <c r="H38" s="10"/>
      <c r="I38" s="11"/>
      <c r="J38" s="8">
        <f t="shared" si="1"/>
        <v>0</v>
      </c>
    </row>
    <row r="39" spans="2:11" ht="14.25" thickBot="1" x14ac:dyDescent="0.2">
      <c r="B39" s="4"/>
      <c r="C39" s="9"/>
      <c r="D39" s="10"/>
      <c r="E39" s="11"/>
      <c r="F39" s="8">
        <f t="shared" si="0"/>
        <v>0</v>
      </c>
      <c r="G39" s="9"/>
      <c r="H39" s="10"/>
      <c r="I39" s="11"/>
      <c r="J39" s="8">
        <f t="shared" si="1"/>
        <v>0</v>
      </c>
    </row>
    <row r="40" spans="2:11" ht="14.25" thickBot="1" x14ac:dyDescent="0.2">
      <c r="B40" s="3" t="s">
        <v>5</v>
      </c>
      <c r="C40" s="15">
        <f>SUM(C16:C39)</f>
        <v>2</v>
      </c>
      <c r="D40" s="15">
        <f>SUM(D16:D39)</f>
        <v>5</v>
      </c>
      <c r="E40" s="15">
        <f>SUM(E16:E39)</f>
        <v>6</v>
      </c>
      <c r="F40" s="16">
        <f t="shared" si="0"/>
        <v>13</v>
      </c>
      <c r="G40" s="15">
        <f>SUM(G16:G39)</f>
        <v>3</v>
      </c>
      <c r="H40" s="15">
        <f>SUM(H16:H39)</f>
        <v>5</v>
      </c>
      <c r="I40" s="15">
        <f>SUM(I16:I39)</f>
        <v>4</v>
      </c>
      <c r="J40" s="16">
        <f t="shared" si="1"/>
        <v>12</v>
      </c>
    </row>
    <row r="41" spans="2:11" ht="14.25" thickBot="1" x14ac:dyDescent="0.2">
      <c r="B41" s="26" t="s">
        <v>6</v>
      </c>
      <c r="C41" s="27">
        <f t="shared" ref="C41:J41" si="2">C15-C40</f>
        <v>1</v>
      </c>
      <c r="D41" s="27">
        <f t="shared" si="2"/>
        <v>0</v>
      </c>
      <c r="E41" s="27">
        <f t="shared" si="2"/>
        <v>1</v>
      </c>
      <c r="F41" s="27">
        <f t="shared" si="2"/>
        <v>2</v>
      </c>
      <c r="G41" s="27">
        <f t="shared" si="2"/>
        <v>0</v>
      </c>
      <c r="H41" s="27">
        <f t="shared" si="2"/>
        <v>0</v>
      </c>
      <c r="I41" s="27">
        <f t="shared" si="2"/>
        <v>1</v>
      </c>
      <c r="J41" s="25">
        <f t="shared" si="2"/>
        <v>1</v>
      </c>
    </row>
    <row r="44" spans="2:11" ht="19.5" thickBot="1" x14ac:dyDescent="0.25">
      <c r="B44" s="33" t="s">
        <v>14</v>
      </c>
      <c r="C44" s="1"/>
      <c r="D44" s="1"/>
      <c r="E44" s="1"/>
      <c r="F44" s="1"/>
      <c r="G44" s="34"/>
      <c r="H44" s="34">
        <v>1375</v>
      </c>
      <c r="I44" s="34"/>
      <c r="J44" s="34"/>
    </row>
    <row r="45" spans="2:11" ht="14.25" thickBot="1" x14ac:dyDescent="0.2">
      <c r="B45" s="2" t="s">
        <v>0</v>
      </c>
      <c r="C45" s="84" t="s">
        <v>15</v>
      </c>
      <c r="D45" s="84"/>
      <c r="E45" s="84"/>
      <c r="F45" s="85"/>
      <c r="G45" s="84" t="s">
        <v>16</v>
      </c>
      <c r="H45" s="84"/>
      <c r="I45" s="84"/>
      <c r="J45" s="85"/>
    </row>
    <row r="46" spans="2:11" ht="14.25" thickBot="1" x14ac:dyDescent="0.2">
      <c r="B46" s="2" t="s">
        <v>1</v>
      </c>
      <c r="C46" s="3" t="s">
        <v>9</v>
      </c>
      <c r="D46" s="2" t="s">
        <v>10</v>
      </c>
      <c r="E46" s="19" t="s">
        <v>11</v>
      </c>
      <c r="F46" s="2" t="s">
        <v>2</v>
      </c>
      <c r="G46" s="3" t="s">
        <v>9</v>
      </c>
      <c r="H46" s="2" t="s">
        <v>10</v>
      </c>
      <c r="I46" s="19" t="s">
        <v>11</v>
      </c>
      <c r="J46" s="2" t="s">
        <v>2</v>
      </c>
    </row>
    <row r="47" spans="2:11" x14ac:dyDescent="0.15">
      <c r="B47" s="28" t="s">
        <v>12</v>
      </c>
      <c r="C47" s="39">
        <f>C41</f>
        <v>1</v>
      </c>
      <c r="D47" s="40">
        <f>D41</f>
        <v>0</v>
      </c>
      <c r="E47" s="41">
        <f>E41</f>
        <v>1</v>
      </c>
      <c r="F47" s="18">
        <f>SUM(C47:E47)</f>
        <v>2</v>
      </c>
      <c r="G47" s="39">
        <f>G41</f>
        <v>0</v>
      </c>
      <c r="H47" s="40">
        <f>H41</f>
        <v>0</v>
      </c>
      <c r="I47" s="41">
        <f>I41</f>
        <v>1</v>
      </c>
      <c r="J47" s="18">
        <f>SUM(G47:I47)</f>
        <v>1</v>
      </c>
    </row>
    <row r="48" spans="2:11" x14ac:dyDescent="0.15">
      <c r="B48" s="6" t="s">
        <v>3</v>
      </c>
      <c r="C48" s="17">
        <v>1</v>
      </c>
      <c r="D48" s="12">
        <v>2</v>
      </c>
      <c r="E48" s="17"/>
      <c r="F48" s="5">
        <f t="shared" ref="F48:F83" si="3">SUM(C48:E48)</f>
        <v>3</v>
      </c>
      <c r="G48" s="17">
        <v>1</v>
      </c>
      <c r="H48" s="12">
        <v>2</v>
      </c>
      <c r="I48" s="17"/>
      <c r="J48" s="5">
        <f t="shared" ref="J48:J83" si="4">SUM(G48:I48)</f>
        <v>3</v>
      </c>
      <c r="K48" s="30">
        <v>44355</v>
      </c>
    </row>
    <row r="49" spans="2:11" x14ac:dyDescent="0.15">
      <c r="B49" s="6" t="s">
        <v>3</v>
      </c>
      <c r="C49" s="17">
        <v>1</v>
      </c>
      <c r="D49" s="12">
        <v>2</v>
      </c>
      <c r="E49" s="17">
        <v>1</v>
      </c>
      <c r="F49" s="5">
        <f t="shared" si="3"/>
        <v>4</v>
      </c>
      <c r="G49" s="17"/>
      <c r="H49" s="12">
        <v>2</v>
      </c>
      <c r="I49" s="17">
        <v>1</v>
      </c>
      <c r="J49" s="5">
        <f t="shared" si="4"/>
        <v>3</v>
      </c>
      <c r="K49" s="30">
        <v>44361</v>
      </c>
    </row>
    <row r="50" spans="2:11" x14ac:dyDescent="0.15">
      <c r="B50" s="6" t="s">
        <v>3</v>
      </c>
      <c r="C50" s="17">
        <v>4</v>
      </c>
      <c r="D50" s="12"/>
      <c r="E50" s="17"/>
      <c r="F50" s="5">
        <f t="shared" si="3"/>
        <v>4</v>
      </c>
      <c r="G50" s="17">
        <v>2</v>
      </c>
      <c r="H50" s="12"/>
      <c r="I50" s="17"/>
      <c r="J50" s="5">
        <f t="shared" si="4"/>
        <v>2</v>
      </c>
      <c r="K50" s="30">
        <v>44375</v>
      </c>
    </row>
    <row r="51" spans="2:11" x14ac:dyDescent="0.15">
      <c r="B51" s="6" t="s">
        <v>3</v>
      </c>
      <c r="C51" s="17"/>
      <c r="D51" s="12">
        <v>1</v>
      </c>
      <c r="E51" s="17">
        <v>2</v>
      </c>
      <c r="F51" s="5">
        <f t="shared" si="3"/>
        <v>3</v>
      </c>
      <c r="G51" s="17"/>
      <c r="H51" s="12">
        <v>1</v>
      </c>
      <c r="I51" s="17">
        <v>2</v>
      </c>
      <c r="J51" s="5">
        <f t="shared" si="4"/>
        <v>3</v>
      </c>
      <c r="K51" s="30">
        <v>44425</v>
      </c>
    </row>
    <row r="52" spans="2:11" x14ac:dyDescent="0.15">
      <c r="B52" s="6" t="s">
        <v>3</v>
      </c>
      <c r="C52" s="17"/>
      <c r="D52" s="12">
        <v>1</v>
      </c>
      <c r="E52" s="17"/>
      <c r="F52" s="5">
        <f t="shared" si="3"/>
        <v>1</v>
      </c>
      <c r="G52" s="17"/>
      <c r="H52" s="12">
        <v>1</v>
      </c>
      <c r="I52" s="17"/>
      <c r="J52" s="5">
        <f t="shared" si="4"/>
        <v>1</v>
      </c>
      <c r="K52" s="30">
        <v>44520</v>
      </c>
    </row>
    <row r="53" spans="2:11" x14ac:dyDescent="0.15">
      <c r="B53" s="6" t="s">
        <v>3</v>
      </c>
      <c r="C53" s="17">
        <v>1</v>
      </c>
      <c r="D53" s="12"/>
      <c r="E53" s="17">
        <v>2</v>
      </c>
      <c r="F53" s="5">
        <f t="shared" si="3"/>
        <v>3</v>
      </c>
      <c r="G53" s="17">
        <v>1</v>
      </c>
      <c r="H53" s="12"/>
      <c r="I53" s="17">
        <v>2</v>
      </c>
      <c r="J53" s="5">
        <f t="shared" si="4"/>
        <v>3</v>
      </c>
      <c r="K53" s="30">
        <v>44579</v>
      </c>
    </row>
    <row r="54" spans="2:11" x14ac:dyDescent="0.15">
      <c r="B54" s="6" t="s">
        <v>3</v>
      </c>
      <c r="C54" s="37"/>
      <c r="D54" s="36">
        <v>1</v>
      </c>
      <c r="E54" s="37"/>
      <c r="F54" s="5">
        <f t="shared" si="3"/>
        <v>1</v>
      </c>
      <c r="G54" s="37"/>
      <c r="H54" s="36">
        <v>1</v>
      </c>
      <c r="I54" s="37"/>
      <c r="J54" s="5">
        <f t="shared" si="4"/>
        <v>1</v>
      </c>
      <c r="K54" s="30">
        <v>44581</v>
      </c>
    </row>
    <row r="55" spans="2:11" x14ac:dyDescent="0.15">
      <c r="B55" s="6" t="s">
        <v>3</v>
      </c>
      <c r="C55" s="11"/>
      <c r="D55" s="10"/>
      <c r="E55" s="11">
        <v>1</v>
      </c>
      <c r="F55" s="5">
        <f t="shared" si="3"/>
        <v>1</v>
      </c>
      <c r="G55" s="11"/>
      <c r="H55" s="10"/>
      <c r="I55" s="11">
        <v>1</v>
      </c>
      <c r="J55" s="5">
        <f t="shared" si="4"/>
        <v>1</v>
      </c>
      <c r="K55" s="30">
        <v>44588</v>
      </c>
    </row>
    <row r="56" spans="2:11" x14ac:dyDescent="0.15">
      <c r="B56" s="6" t="s">
        <v>3</v>
      </c>
      <c r="C56" s="11"/>
      <c r="D56" s="10">
        <v>2</v>
      </c>
      <c r="E56" s="11"/>
      <c r="F56" s="5">
        <f t="shared" si="3"/>
        <v>2</v>
      </c>
      <c r="G56" s="11"/>
      <c r="H56" s="10">
        <v>2</v>
      </c>
      <c r="I56" s="11"/>
      <c r="J56" s="5">
        <f t="shared" si="4"/>
        <v>2</v>
      </c>
      <c r="K56" s="30">
        <v>44614</v>
      </c>
    </row>
    <row r="57" spans="2:11" ht="14.25" thickBot="1" x14ac:dyDescent="0.2">
      <c r="B57" s="7" t="s">
        <v>3</v>
      </c>
      <c r="C57" s="14">
        <v>3</v>
      </c>
      <c r="D57" s="13">
        <v>2</v>
      </c>
      <c r="E57" s="14"/>
      <c r="F57" s="20">
        <f t="shared" si="3"/>
        <v>5</v>
      </c>
      <c r="G57" s="14">
        <v>3</v>
      </c>
      <c r="H57" s="13">
        <v>2</v>
      </c>
      <c r="I57" s="14"/>
      <c r="J57" s="20">
        <f t="shared" si="4"/>
        <v>5</v>
      </c>
      <c r="K57" s="30">
        <v>44624</v>
      </c>
    </row>
    <row r="58" spans="2:11" ht="14.25" thickBot="1" x14ac:dyDescent="0.2">
      <c r="B58" s="22" t="s">
        <v>4</v>
      </c>
      <c r="C58" s="23">
        <f>SUM(C47:C57)</f>
        <v>11</v>
      </c>
      <c r="D58" s="23">
        <f>SUM(D47:D57)</f>
        <v>11</v>
      </c>
      <c r="E58" s="24">
        <f>SUM(E47:E57)</f>
        <v>7</v>
      </c>
      <c r="F58" s="25">
        <f t="shared" si="3"/>
        <v>29</v>
      </c>
      <c r="G58" s="23">
        <f>SUM(G47:G57)</f>
        <v>7</v>
      </c>
      <c r="H58" s="23">
        <f>SUM(H47:H57)</f>
        <v>11</v>
      </c>
      <c r="I58" s="24">
        <f>SUM(I47:I57)</f>
        <v>7</v>
      </c>
      <c r="J58" s="25">
        <f t="shared" si="4"/>
        <v>25</v>
      </c>
    </row>
    <row r="59" spans="2:11" x14ac:dyDescent="0.15">
      <c r="B59" s="4" t="s">
        <v>7</v>
      </c>
      <c r="C59" s="9">
        <v>1</v>
      </c>
      <c r="D59" s="10">
        <v>2</v>
      </c>
      <c r="E59" s="11"/>
      <c r="F59" s="5">
        <f t="shared" si="3"/>
        <v>3</v>
      </c>
      <c r="G59" s="9">
        <v>1</v>
      </c>
      <c r="H59" s="10">
        <v>2</v>
      </c>
      <c r="I59" s="11"/>
      <c r="J59" s="5">
        <f t="shared" si="4"/>
        <v>3</v>
      </c>
      <c r="K59" s="32">
        <v>44355</v>
      </c>
    </row>
    <row r="60" spans="2:11" x14ac:dyDescent="0.15">
      <c r="B60" s="4" t="s">
        <v>7</v>
      </c>
      <c r="C60" s="9">
        <v>4</v>
      </c>
      <c r="D60" s="10"/>
      <c r="E60" s="11"/>
      <c r="F60" s="5">
        <f t="shared" si="3"/>
        <v>4</v>
      </c>
      <c r="G60" s="9"/>
      <c r="H60" s="10"/>
      <c r="I60" s="11"/>
      <c r="J60" s="5">
        <f t="shared" si="4"/>
        <v>0</v>
      </c>
      <c r="K60" s="32">
        <v>44375</v>
      </c>
    </row>
    <row r="61" spans="2:11" x14ac:dyDescent="0.15">
      <c r="B61" s="4" t="s">
        <v>7</v>
      </c>
      <c r="C61" s="9"/>
      <c r="D61" s="10"/>
      <c r="E61" s="11">
        <v>2</v>
      </c>
      <c r="F61" s="5">
        <f t="shared" si="3"/>
        <v>2</v>
      </c>
      <c r="G61" s="9"/>
      <c r="H61" s="10"/>
      <c r="I61" s="11">
        <v>2</v>
      </c>
      <c r="J61" s="5">
        <f t="shared" si="4"/>
        <v>2</v>
      </c>
      <c r="K61" s="32">
        <v>44389</v>
      </c>
    </row>
    <row r="62" spans="2:11" x14ac:dyDescent="0.15">
      <c r="B62" s="4" t="s">
        <v>7</v>
      </c>
      <c r="C62" s="9"/>
      <c r="D62" s="10">
        <v>1</v>
      </c>
      <c r="E62" s="11"/>
      <c r="F62" s="5">
        <f t="shared" si="3"/>
        <v>1</v>
      </c>
      <c r="G62" s="9"/>
      <c r="H62" s="10">
        <v>1</v>
      </c>
      <c r="I62" s="11"/>
      <c r="J62" s="5">
        <f t="shared" si="4"/>
        <v>1</v>
      </c>
      <c r="K62" s="32">
        <v>44404</v>
      </c>
    </row>
    <row r="63" spans="2:11" x14ac:dyDescent="0.15">
      <c r="B63" s="4" t="s">
        <v>7</v>
      </c>
      <c r="C63" s="9"/>
      <c r="D63" s="10">
        <v>1</v>
      </c>
      <c r="E63" s="11"/>
      <c r="F63" s="5">
        <f t="shared" si="3"/>
        <v>1</v>
      </c>
      <c r="G63" s="9"/>
      <c r="H63" s="10">
        <v>1</v>
      </c>
      <c r="I63" s="11"/>
      <c r="J63" s="5">
        <f t="shared" si="4"/>
        <v>1</v>
      </c>
      <c r="K63" s="32">
        <v>44519</v>
      </c>
    </row>
    <row r="64" spans="2:11" x14ac:dyDescent="0.15">
      <c r="B64" s="4" t="s">
        <v>7</v>
      </c>
      <c r="C64" s="9"/>
      <c r="D64" s="10"/>
      <c r="E64" s="11">
        <v>1</v>
      </c>
      <c r="F64" s="8">
        <f t="shared" si="3"/>
        <v>1</v>
      </c>
      <c r="G64" s="9"/>
      <c r="H64" s="10"/>
      <c r="I64" s="11">
        <v>1</v>
      </c>
      <c r="J64" s="8">
        <f t="shared" si="4"/>
        <v>1</v>
      </c>
      <c r="K64" s="32">
        <v>44553</v>
      </c>
    </row>
    <row r="65" spans="2:11" x14ac:dyDescent="0.15">
      <c r="B65" s="4" t="s">
        <v>7</v>
      </c>
      <c r="C65" s="9"/>
      <c r="D65" s="10"/>
      <c r="E65" s="11">
        <v>1</v>
      </c>
      <c r="F65" s="8">
        <f t="shared" si="3"/>
        <v>1</v>
      </c>
      <c r="G65" s="9"/>
      <c r="H65" s="10"/>
      <c r="I65" s="11">
        <v>1</v>
      </c>
      <c r="J65" s="8">
        <f t="shared" si="4"/>
        <v>1</v>
      </c>
      <c r="K65" s="32">
        <v>44566</v>
      </c>
    </row>
    <row r="66" spans="2:11" x14ac:dyDescent="0.15">
      <c r="B66" s="4" t="s">
        <v>7</v>
      </c>
      <c r="C66" s="9">
        <v>1</v>
      </c>
      <c r="D66" s="10"/>
      <c r="E66" s="11"/>
      <c r="F66" s="8">
        <f t="shared" si="3"/>
        <v>1</v>
      </c>
      <c r="G66" s="9">
        <v>1</v>
      </c>
      <c r="H66" s="10"/>
      <c r="I66" s="11"/>
      <c r="J66" s="8">
        <f t="shared" si="4"/>
        <v>1</v>
      </c>
      <c r="K66" s="30">
        <v>44576</v>
      </c>
    </row>
    <row r="67" spans="2:11" x14ac:dyDescent="0.15">
      <c r="B67" s="4" t="s">
        <v>7</v>
      </c>
      <c r="C67" s="9"/>
      <c r="D67" s="10">
        <v>1</v>
      </c>
      <c r="E67" s="11">
        <v>1</v>
      </c>
      <c r="F67" s="8">
        <f t="shared" si="3"/>
        <v>2</v>
      </c>
      <c r="G67" s="9"/>
      <c r="H67" s="10">
        <v>1</v>
      </c>
      <c r="I67" s="11">
        <v>1</v>
      </c>
      <c r="J67" s="8">
        <f t="shared" si="4"/>
        <v>2</v>
      </c>
      <c r="K67" s="32">
        <v>44579</v>
      </c>
    </row>
    <row r="68" spans="2:11" x14ac:dyDescent="0.15">
      <c r="B68" s="4" t="s">
        <v>7</v>
      </c>
      <c r="C68" s="9"/>
      <c r="D68" s="10">
        <v>1</v>
      </c>
      <c r="E68" s="11"/>
      <c r="F68" s="8">
        <f t="shared" si="3"/>
        <v>1</v>
      </c>
      <c r="G68" s="9"/>
      <c r="H68" s="10">
        <v>1</v>
      </c>
      <c r="I68" s="11"/>
      <c r="J68" s="8">
        <f t="shared" si="4"/>
        <v>1</v>
      </c>
      <c r="K68" s="32">
        <v>44606</v>
      </c>
    </row>
    <row r="69" spans="2:11" x14ac:dyDescent="0.15">
      <c r="B69" s="4" t="s">
        <v>7</v>
      </c>
      <c r="C69" s="9"/>
      <c r="D69" s="10">
        <v>1</v>
      </c>
      <c r="E69" s="11"/>
      <c r="F69" s="8">
        <f t="shared" si="3"/>
        <v>1</v>
      </c>
      <c r="G69" s="9"/>
      <c r="H69" s="10">
        <v>1</v>
      </c>
      <c r="I69" s="11"/>
      <c r="J69" s="8">
        <f t="shared" si="4"/>
        <v>1</v>
      </c>
      <c r="K69" s="32">
        <v>44614</v>
      </c>
    </row>
    <row r="70" spans="2:11" x14ac:dyDescent="0.15">
      <c r="B70" s="4" t="s">
        <v>7</v>
      </c>
      <c r="C70" s="9">
        <v>1</v>
      </c>
      <c r="D70" s="10"/>
      <c r="E70" s="11"/>
      <c r="F70" s="8">
        <f t="shared" si="3"/>
        <v>1</v>
      </c>
      <c r="G70" s="9">
        <v>1</v>
      </c>
      <c r="H70" s="10"/>
      <c r="I70" s="11"/>
      <c r="J70" s="8">
        <f t="shared" si="4"/>
        <v>1</v>
      </c>
      <c r="K70" s="32">
        <v>44616</v>
      </c>
    </row>
    <row r="71" spans="2:11" x14ac:dyDescent="0.15">
      <c r="B71" s="4" t="s">
        <v>7</v>
      </c>
      <c r="C71" s="9"/>
      <c r="D71" s="10">
        <v>2</v>
      </c>
      <c r="E71" s="11"/>
      <c r="F71" s="8">
        <f t="shared" si="3"/>
        <v>2</v>
      </c>
      <c r="G71" s="9"/>
      <c r="H71" s="10">
        <v>2</v>
      </c>
      <c r="I71" s="11"/>
      <c r="J71" s="8">
        <f t="shared" si="4"/>
        <v>2</v>
      </c>
      <c r="K71" s="32">
        <v>44627</v>
      </c>
    </row>
    <row r="72" spans="2:11" x14ac:dyDescent="0.15">
      <c r="B72" s="4"/>
      <c r="C72" s="9"/>
      <c r="D72" s="10"/>
      <c r="E72" s="11"/>
      <c r="F72" s="8">
        <f t="shared" si="3"/>
        <v>0</v>
      </c>
      <c r="G72" s="9"/>
      <c r="H72" s="10"/>
      <c r="I72" s="11"/>
      <c r="J72" s="8">
        <f t="shared" si="4"/>
        <v>0</v>
      </c>
    </row>
    <row r="73" spans="2:11" x14ac:dyDescent="0.15">
      <c r="B73" s="4"/>
      <c r="C73" s="9"/>
      <c r="D73" s="10"/>
      <c r="E73" s="11"/>
      <c r="F73" s="8">
        <f t="shared" si="3"/>
        <v>0</v>
      </c>
      <c r="G73" s="9"/>
      <c r="H73" s="10"/>
      <c r="I73" s="11"/>
      <c r="J73" s="8">
        <f t="shared" si="4"/>
        <v>0</v>
      </c>
    </row>
    <row r="74" spans="2:11" x14ac:dyDescent="0.15">
      <c r="B74" s="4"/>
      <c r="C74" s="9"/>
      <c r="D74" s="10"/>
      <c r="E74" s="11"/>
      <c r="F74" s="8">
        <f t="shared" si="3"/>
        <v>0</v>
      </c>
      <c r="G74" s="9"/>
      <c r="H74" s="10"/>
      <c r="I74" s="11"/>
      <c r="J74" s="8">
        <f t="shared" si="4"/>
        <v>0</v>
      </c>
    </row>
    <row r="75" spans="2:11" x14ac:dyDescent="0.15">
      <c r="B75" s="4"/>
      <c r="C75" s="9"/>
      <c r="D75" s="10"/>
      <c r="E75" s="11"/>
      <c r="F75" s="8">
        <f t="shared" si="3"/>
        <v>0</v>
      </c>
      <c r="G75" s="9"/>
      <c r="H75" s="10"/>
      <c r="I75" s="11"/>
      <c r="J75" s="8">
        <f t="shared" si="4"/>
        <v>0</v>
      </c>
    </row>
    <row r="76" spans="2:11" x14ac:dyDescent="0.15">
      <c r="B76" s="4"/>
      <c r="C76" s="9"/>
      <c r="D76" s="10"/>
      <c r="E76" s="11"/>
      <c r="F76" s="8">
        <f t="shared" si="3"/>
        <v>0</v>
      </c>
      <c r="G76" s="9"/>
      <c r="H76" s="10"/>
      <c r="I76" s="11"/>
      <c r="J76" s="8">
        <f t="shared" si="4"/>
        <v>0</v>
      </c>
    </row>
    <row r="77" spans="2:11" x14ac:dyDescent="0.15">
      <c r="B77" s="4"/>
      <c r="C77" s="9"/>
      <c r="D77" s="10"/>
      <c r="E77" s="11"/>
      <c r="F77" s="8">
        <f t="shared" si="3"/>
        <v>0</v>
      </c>
      <c r="G77" s="9"/>
      <c r="H77" s="10"/>
      <c r="I77" s="11"/>
      <c r="J77" s="8">
        <f t="shared" si="4"/>
        <v>0</v>
      </c>
    </row>
    <row r="78" spans="2:11" x14ac:dyDescent="0.15">
      <c r="B78" s="4"/>
      <c r="C78" s="9"/>
      <c r="D78" s="10"/>
      <c r="E78" s="11"/>
      <c r="F78" s="8">
        <f t="shared" si="3"/>
        <v>0</v>
      </c>
      <c r="G78" s="9"/>
      <c r="H78" s="10"/>
      <c r="I78" s="11"/>
      <c r="J78" s="8">
        <f t="shared" si="4"/>
        <v>0</v>
      </c>
    </row>
    <row r="79" spans="2:11" x14ac:dyDescent="0.15">
      <c r="B79" s="4"/>
      <c r="C79" s="9"/>
      <c r="D79" s="10"/>
      <c r="E79" s="11"/>
      <c r="F79" s="8">
        <f t="shared" si="3"/>
        <v>0</v>
      </c>
      <c r="G79" s="9"/>
      <c r="H79" s="10"/>
      <c r="I79" s="11"/>
      <c r="J79" s="8">
        <f t="shared" si="4"/>
        <v>0</v>
      </c>
    </row>
    <row r="80" spans="2:11" x14ac:dyDescent="0.15">
      <c r="B80" s="4"/>
      <c r="C80" s="9"/>
      <c r="D80" s="10"/>
      <c r="E80" s="11"/>
      <c r="F80" s="8">
        <f t="shared" si="3"/>
        <v>0</v>
      </c>
      <c r="G80" s="9"/>
      <c r="H80" s="10"/>
      <c r="I80" s="11"/>
      <c r="J80" s="8">
        <f t="shared" si="4"/>
        <v>0</v>
      </c>
    </row>
    <row r="81" spans="2:11" x14ac:dyDescent="0.15">
      <c r="B81" s="4"/>
      <c r="C81" s="9"/>
      <c r="D81" s="10"/>
      <c r="E81" s="11"/>
      <c r="F81" s="8">
        <f t="shared" si="3"/>
        <v>0</v>
      </c>
      <c r="G81" s="9"/>
      <c r="H81" s="10"/>
      <c r="I81" s="11"/>
      <c r="J81" s="8">
        <f t="shared" si="4"/>
        <v>0</v>
      </c>
    </row>
    <row r="82" spans="2:11" ht="14.25" thickBot="1" x14ac:dyDescent="0.2">
      <c r="B82" s="4"/>
      <c r="C82" s="9"/>
      <c r="D82" s="10"/>
      <c r="E82" s="11"/>
      <c r="F82" s="8">
        <f t="shared" si="3"/>
        <v>0</v>
      </c>
      <c r="G82" s="9"/>
      <c r="H82" s="10"/>
      <c r="I82" s="11"/>
      <c r="J82" s="8">
        <f t="shared" si="4"/>
        <v>0</v>
      </c>
    </row>
    <row r="83" spans="2:11" ht="14.25" thickBot="1" x14ac:dyDescent="0.2">
      <c r="B83" s="3" t="s">
        <v>5</v>
      </c>
      <c r="C83" s="15">
        <f>SUM(C59:C82)</f>
        <v>7</v>
      </c>
      <c r="D83" s="15">
        <f>SUM(D59:D82)</f>
        <v>9</v>
      </c>
      <c r="E83" s="15">
        <f>SUM(E59:E82)</f>
        <v>5</v>
      </c>
      <c r="F83" s="16">
        <f t="shared" si="3"/>
        <v>21</v>
      </c>
      <c r="G83" s="15">
        <f>SUM(G59:G82)</f>
        <v>3</v>
      </c>
      <c r="H83" s="15">
        <f>SUM(H59:H82)</f>
        <v>9</v>
      </c>
      <c r="I83" s="15">
        <f>SUM(I59:I82)</f>
        <v>5</v>
      </c>
      <c r="J83" s="16">
        <f t="shared" si="4"/>
        <v>17</v>
      </c>
    </row>
    <row r="84" spans="2:11" ht="14.25" thickBot="1" x14ac:dyDescent="0.2">
      <c r="B84" s="26" t="s">
        <v>6</v>
      </c>
      <c r="C84" s="27">
        <f t="shared" ref="C84:J84" si="5">C58-C83</f>
        <v>4</v>
      </c>
      <c r="D84" s="27">
        <f t="shared" si="5"/>
        <v>2</v>
      </c>
      <c r="E84" s="27">
        <f t="shared" si="5"/>
        <v>2</v>
      </c>
      <c r="F84" s="27">
        <f t="shared" si="5"/>
        <v>8</v>
      </c>
      <c r="G84" s="27">
        <f t="shared" si="5"/>
        <v>4</v>
      </c>
      <c r="H84" s="27">
        <f t="shared" si="5"/>
        <v>2</v>
      </c>
      <c r="I84" s="27">
        <f t="shared" si="5"/>
        <v>2</v>
      </c>
      <c r="J84" s="25">
        <f t="shared" si="5"/>
        <v>8</v>
      </c>
    </row>
    <row r="87" spans="2:11" ht="19.5" thickBot="1" x14ac:dyDescent="0.25">
      <c r="B87" s="33" t="s">
        <v>14</v>
      </c>
      <c r="C87" s="1"/>
      <c r="D87" s="1"/>
      <c r="E87" s="1"/>
      <c r="F87" s="1"/>
      <c r="G87" s="34"/>
      <c r="H87" s="34">
        <v>1425</v>
      </c>
      <c r="I87" s="34"/>
      <c r="J87" s="34"/>
    </row>
    <row r="88" spans="2:11" ht="14.25" thickBot="1" x14ac:dyDescent="0.2">
      <c r="B88" s="2" t="s">
        <v>0</v>
      </c>
      <c r="C88" s="84" t="s">
        <v>15</v>
      </c>
      <c r="D88" s="84"/>
      <c r="E88" s="84"/>
      <c r="F88" s="85"/>
      <c r="G88" s="84" t="s">
        <v>16</v>
      </c>
      <c r="H88" s="84"/>
      <c r="I88" s="84"/>
      <c r="J88" s="85"/>
    </row>
    <row r="89" spans="2:11" ht="14.25" thickBot="1" x14ac:dyDescent="0.2">
      <c r="B89" s="2" t="s">
        <v>1</v>
      </c>
      <c r="C89" s="3" t="s">
        <v>9</v>
      </c>
      <c r="D89" s="2" t="s">
        <v>10</v>
      </c>
      <c r="E89" s="19" t="s">
        <v>11</v>
      </c>
      <c r="F89" s="2" t="s">
        <v>2</v>
      </c>
      <c r="G89" s="3" t="s">
        <v>9</v>
      </c>
      <c r="H89" s="2" t="s">
        <v>10</v>
      </c>
      <c r="I89" s="19" t="s">
        <v>11</v>
      </c>
      <c r="J89" s="2" t="s">
        <v>2</v>
      </c>
    </row>
    <row r="90" spans="2:11" x14ac:dyDescent="0.15">
      <c r="B90" s="28" t="s">
        <v>12</v>
      </c>
      <c r="C90" s="39">
        <f>C84</f>
        <v>4</v>
      </c>
      <c r="D90" s="40">
        <f>D84</f>
        <v>2</v>
      </c>
      <c r="E90" s="41">
        <f>E84</f>
        <v>2</v>
      </c>
      <c r="F90" s="18">
        <f>SUM(C90:E90)</f>
        <v>8</v>
      </c>
      <c r="G90" s="39">
        <f>G84</f>
        <v>4</v>
      </c>
      <c r="H90" s="40">
        <f>H84</f>
        <v>2</v>
      </c>
      <c r="I90" s="41">
        <f>I84</f>
        <v>2</v>
      </c>
      <c r="J90" s="18">
        <f>SUM(G90:I90)</f>
        <v>8</v>
      </c>
    </row>
    <row r="91" spans="2:11" x14ac:dyDescent="0.15">
      <c r="B91" s="6" t="s">
        <v>3</v>
      </c>
      <c r="C91" s="17"/>
      <c r="D91" s="12">
        <v>2</v>
      </c>
      <c r="E91" s="17"/>
      <c r="F91" s="5">
        <f t="shared" ref="F91:F126" si="6">SUM(C91:E91)</f>
        <v>2</v>
      </c>
      <c r="G91" s="17"/>
      <c r="H91" s="12">
        <v>2</v>
      </c>
      <c r="I91" s="17"/>
      <c r="J91" s="5">
        <f t="shared" ref="J91:J126" si="7">SUM(G91:I91)</f>
        <v>2</v>
      </c>
      <c r="K91" s="30">
        <v>44630</v>
      </c>
    </row>
    <row r="92" spans="2:11" x14ac:dyDescent="0.15">
      <c r="B92" s="6" t="s">
        <v>3</v>
      </c>
      <c r="C92" s="17"/>
      <c r="D92" s="12">
        <v>2</v>
      </c>
      <c r="E92" s="17"/>
      <c r="F92" s="5">
        <f t="shared" si="6"/>
        <v>2</v>
      </c>
      <c r="G92" s="17"/>
      <c r="H92" s="12">
        <v>2</v>
      </c>
      <c r="I92" s="17"/>
      <c r="J92" s="5">
        <f t="shared" si="7"/>
        <v>2</v>
      </c>
      <c r="K92" s="30">
        <v>44650</v>
      </c>
    </row>
    <row r="93" spans="2:11" x14ac:dyDescent="0.15">
      <c r="B93" s="6" t="s">
        <v>3</v>
      </c>
      <c r="C93" s="17">
        <v>5</v>
      </c>
      <c r="D93" s="12"/>
      <c r="E93" s="17"/>
      <c r="F93" s="5">
        <f t="shared" si="6"/>
        <v>5</v>
      </c>
      <c r="G93" s="17">
        <v>5</v>
      </c>
      <c r="H93" s="12"/>
      <c r="I93" s="17"/>
      <c r="J93" s="5">
        <f t="shared" si="7"/>
        <v>5</v>
      </c>
      <c r="K93" s="30">
        <v>44670</v>
      </c>
    </row>
    <row r="94" spans="2:11" x14ac:dyDescent="0.15">
      <c r="B94" s="6" t="s">
        <v>3</v>
      </c>
      <c r="C94" s="17">
        <v>2</v>
      </c>
      <c r="D94" s="12"/>
      <c r="E94" s="17"/>
      <c r="F94" s="5">
        <f t="shared" si="6"/>
        <v>2</v>
      </c>
      <c r="G94" s="17">
        <v>2</v>
      </c>
      <c r="H94" s="12"/>
      <c r="I94" s="17"/>
      <c r="J94" s="5">
        <f t="shared" si="7"/>
        <v>2</v>
      </c>
      <c r="K94" s="30">
        <v>44677</v>
      </c>
    </row>
    <row r="95" spans="2:11" x14ac:dyDescent="0.15">
      <c r="B95" s="6" t="s">
        <v>3</v>
      </c>
      <c r="C95" s="17"/>
      <c r="D95" s="12">
        <v>5</v>
      </c>
      <c r="E95" s="17">
        <v>2</v>
      </c>
      <c r="F95" s="5">
        <f t="shared" si="6"/>
        <v>7</v>
      </c>
      <c r="G95" s="17"/>
      <c r="H95" s="12">
        <v>5</v>
      </c>
      <c r="I95" s="17">
        <v>2</v>
      </c>
      <c r="J95" s="5">
        <f t="shared" si="7"/>
        <v>7</v>
      </c>
      <c r="K95" s="30">
        <v>44693</v>
      </c>
    </row>
    <row r="96" spans="2:11" x14ac:dyDescent="0.15">
      <c r="B96" s="6" t="s">
        <v>3</v>
      </c>
      <c r="C96" s="17"/>
      <c r="D96" s="12"/>
      <c r="E96" s="17">
        <v>2</v>
      </c>
      <c r="F96" s="5">
        <f t="shared" si="6"/>
        <v>2</v>
      </c>
      <c r="G96" s="17"/>
      <c r="H96" s="12"/>
      <c r="I96" s="17">
        <v>2</v>
      </c>
      <c r="J96" s="5">
        <f t="shared" si="7"/>
        <v>2</v>
      </c>
      <c r="K96" s="30">
        <v>44720</v>
      </c>
    </row>
    <row r="97" spans="2:11" x14ac:dyDescent="0.15">
      <c r="B97" s="6" t="s">
        <v>3</v>
      </c>
      <c r="C97" s="37"/>
      <c r="D97" s="36"/>
      <c r="E97" s="37"/>
      <c r="F97" s="5">
        <f t="shared" si="6"/>
        <v>0</v>
      </c>
      <c r="G97" s="37">
        <v>3</v>
      </c>
      <c r="H97" s="36">
        <v>3</v>
      </c>
      <c r="I97" s="37"/>
      <c r="J97" s="5">
        <f t="shared" si="7"/>
        <v>6</v>
      </c>
      <c r="K97" s="30">
        <v>44754</v>
      </c>
    </row>
    <row r="98" spans="2:11" x14ac:dyDescent="0.15">
      <c r="B98" s="28" t="s">
        <v>30</v>
      </c>
      <c r="C98" s="50">
        <v>0</v>
      </c>
      <c r="D98" s="51">
        <v>0</v>
      </c>
      <c r="E98" s="50">
        <v>0</v>
      </c>
      <c r="F98" s="48">
        <f t="shared" si="6"/>
        <v>0</v>
      </c>
      <c r="G98" s="50">
        <v>0</v>
      </c>
      <c r="H98" s="51">
        <v>0</v>
      </c>
      <c r="I98" s="50">
        <v>0</v>
      </c>
      <c r="J98" s="48">
        <f t="shared" si="7"/>
        <v>0</v>
      </c>
      <c r="K98" s="49">
        <v>44796</v>
      </c>
    </row>
    <row r="99" spans="2:11" x14ac:dyDescent="0.15">
      <c r="B99" s="6" t="s">
        <v>3</v>
      </c>
      <c r="C99" s="11"/>
      <c r="D99" s="10"/>
      <c r="E99" s="11"/>
      <c r="F99" s="5">
        <f t="shared" si="6"/>
        <v>0</v>
      </c>
      <c r="G99" s="11"/>
      <c r="H99" s="10"/>
      <c r="I99" s="11"/>
      <c r="J99" s="5">
        <f t="shared" si="7"/>
        <v>0</v>
      </c>
    </row>
    <row r="100" spans="2:11" ht="14.25" thickBot="1" x14ac:dyDescent="0.2">
      <c r="B100" s="7" t="s">
        <v>3</v>
      </c>
      <c r="C100" s="14"/>
      <c r="D100" s="13"/>
      <c r="E100" s="14"/>
      <c r="F100" s="20">
        <f t="shared" si="6"/>
        <v>0</v>
      </c>
      <c r="G100" s="14"/>
      <c r="H100" s="13"/>
      <c r="I100" s="14"/>
      <c r="J100" s="20">
        <f t="shared" si="7"/>
        <v>0</v>
      </c>
    </row>
    <row r="101" spans="2:11" ht="14.25" thickBot="1" x14ac:dyDescent="0.2">
      <c r="B101" s="22" t="s">
        <v>4</v>
      </c>
      <c r="C101" s="23">
        <f>SUM(C90:C100)</f>
        <v>11</v>
      </c>
      <c r="D101" s="23">
        <f>SUM(D90:D100)</f>
        <v>11</v>
      </c>
      <c r="E101" s="24">
        <f>SUM(E90:E100)</f>
        <v>6</v>
      </c>
      <c r="F101" s="25">
        <f t="shared" si="6"/>
        <v>28</v>
      </c>
      <c r="G101" s="23">
        <f>SUM(G90:G100)</f>
        <v>14</v>
      </c>
      <c r="H101" s="23">
        <f>SUM(H90:H100)</f>
        <v>14</v>
      </c>
      <c r="I101" s="24">
        <f>SUM(I90:I100)</f>
        <v>6</v>
      </c>
      <c r="J101" s="25">
        <f t="shared" si="7"/>
        <v>34</v>
      </c>
    </row>
    <row r="102" spans="2:11" x14ac:dyDescent="0.15">
      <c r="B102" s="4" t="s">
        <v>7</v>
      </c>
      <c r="C102" s="9"/>
      <c r="D102" s="10">
        <v>1</v>
      </c>
      <c r="E102" s="11"/>
      <c r="F102" s="5">
        <f t="shared" si="6"/>
        <v>1</v>
      </c>
      <c r="G102" s="9"/>
      <c r="H102" s="10">
        <v>1</v>
      </c>
      <c r="I102" s="11"/>
      <c r="J102" s="5">
        <f t="shared" si="7"/>
        <v>1</v>
      </c>
      <c r="K102" s="32">
        <v>44637</v>
      </c>
    </row>
    <row r="103" spans="2:11" x14ac:dyDescent="0.15">
      <c r="B103" s="4" t="s">
        <v>7</v>
      </c>
      <c r="C103" s="9"/>
      <c r="D103" s="10">
        <v>1</v>
      </c>
      <c r="E103" s="11"/>
      <c r="F103" s="5">
        <f t="shared" si="6"/>
        <v>1</v>
      </c>
      <c r="G103" s="9"/>
      <c r="H103" s="10">
        <v>1</v>
      </c>
      <c r="I103" s="11"/>
      <c r="J103" s="5">
        <f t="shared" si="7"/>
        <v>1</v>
      </c>
      <c r="K103" s="32">
        <v>44642</v>
      </c>
    </row>
    <row r="104" spans="2:11" x14ac:dyDescent="0.15">
      <c r="B104" s="4" t="s">
        <v>7</v>
      </c>
      <c r="C104" s="9">
        <v>2</v>
      </c>
      <c r="D104" s="10"/>
      <c r="E104" s="11"/>
      <c r="F104" s="5">
        <f t="shared" si="6"/>
        <v>2</v>
      </c>
      <c r="G104" s="9">
        <v>2</v>
      </c>
      <c r="H104" s="10"/>
      <c r="I104" s="11"/>
      <c r="J104" s="5">
        <f t="shared" si="7"/>
        <v>2</v>
      </c>
      <c r="K104" s="32">
        <v>44653</v>
      </c>
    </row>
    <row r="105" spans="2:11" x14ac:dyDescent="0.15">
      <c r="B105" s="4" t="s">
        <v>7</v>
      </c>
      <c r="C105" s="9">
        <v>1</v>
      </c>
      <c r="D105" s="10"/>
      <c r="E105" s="11"/>
      <c r="F105" s="5">
        <f t="shared" si="6"/>
        <v>1</v>
      </c>
      <c r="G105" s="9">
        <v>1</v>
      </c>
      <c r="H105" s="10"/>
      <c r="I105" s="11"/>
      <c r="J105" s="5">
        <f t="shared" si="7"/>
        <v>1</v>
      </c>
      <c r="K105" s="32">
        <v>44662</v>
      </c>
    </row>
    <row r="106" spans="2:11" x14ac:dyDescent="0.15">
      <c r="B106" s="4" t="s">
        <v>7</v>
      </c>
      <c r="C106" s="9">
        <v>1</v>
      </c>
      <c r="D106" s="10"/>
      <c r="E106" s="11"/>
      <c r="F106" s="5">
        <f t="shared" si="6"/>
        <v>1</v>
      </c>
      <c r="G106" s="9">
        <v>1</v>
      </c>
      <c r="H106" s="10"/>
      <c r="I106" s="11"/>
      <c r="J106" s="5">
        <f t="shared" si="7"/>
        <v>1</v>
      </c>
      <c r="K106" s="32">
        <v>44667</v>
      </c>
    </row>
    <row r="107" spans="2:11" x14ac:dyDescent="0.15">
      <c r="B107" s="4" t="s">
        <v>7</v>
      </c>
      <c r="C107" s="9">
        <v>2</v>
      </c>
      <c r="D107" s="10"/>
      <c r="E107" s="11"/>
      <c r="F107" s="8">
        <f t="shared" si="6"/>
        <v>2</v>
      </c>
      <c r="G107" s="9">
        <v>2</v>
      </c>
      <c r="H107" s="10"/>
      <c r="I107" s="11"/>
      <c r="J107" s="8">
        <f t="shared" si="7"/>
        <v>2</v>
      </c>
      <c r="K107" s="32">
        <v>44676</v>
      </c>
    </row>
    <row r="108" spans="2:11" x14ac:dyDescent="0.15">
      <c r="B108" s="4" t="s">
        <v>7</v>
      </c>
      <c r="C108" s="9"/>
      <c r="D108" s="10">
        <v>1</v>
      </c>
      <c r="E108" s="11"/>
      <c r="F108" s="8">
        <f t="shared" si="6"/>
        <v>1</v>
      </c>
      <c r="G108" s="9"/>
      <c r="H108" s="10">
        <v>1</v>
      </c>
      <c r="I108" s="11"/>
      <c r="J108" s="8">
        <f t="shared" si="7"/>
        <v>1</v>
      </c>
      <c r="K108" s="32">
        <v>44679</v>
      </c>
    </row>
    <row r="109" spans="2:11" x14ac:dyDescent="0.15">
      <c r="B109" s="4" t="s">
        <v>7</v>
      </c>
      <c r="C109" s="9"/>
      <c r="D109" s="10">
        <v>1</v>
      </c>
      <c r="E109" s="11"/>
      <c r="F109" s="8">
        <f t="shared" si="6"/>
        <v>1</v>
      </c>
      <c r="G109" s="9"/>
      <c r="H109" s="10">
        <v>1</v>
      </c>
      <c r="I109" s="11"/>
      <c r="J109" s="8">
        <f t="shared" si="7"/>
        <v>1</v>
      </c>
      <c r="K109" s="32">
        <v>44687</v>
      </c>
    </row>
    <row r="110" spans="2:11" x14ac:dyDescent="0.15">
      <c r="B110" s="4" t="s">
        <v>7</v>
      </c>
      <c r="C110" s="9"/>
      <c r="D110" s="10">
        <v>1</v>
      </c>
      <c r="E110" s="11"/>
      <c r="F110" s="8">
        <f t="shared" si="6"/>
        <v>1</v>
      </c>
      <c r="G110" s="9"/>
      <c r="H110" s="10">
        <v>1</v>
      </c>
      <c r="I110" s="11"/>
      <c r="J110" s="8">
        <f t="shared" si="7"/>
        <v>1</v>
      </c>
      <c r="K110" s="32">
        <v>44688</v>
      </c>
    </row>
    <row r="111" spans="2:11" x14ac:dyDescent="0.15">
      <c r="B111" s="4" t="s">
        <v>7</v>
      </c>
      <c r="C111" s="9"/>
      <c r="D111" s="10">
        <v>1</v>
      </c>
      <c r="E111" s="11"/>
      <c r="F111" s="8">
        <f t="shared" si="6"/>
        <v>1</v>
      </c>
      <c r="G111" s="9"/>
      <c r="H111" s="10">
        <v>1</v>
      </c>
      <c r="I111" s="11"/>
      <c r="J111" s="8">
        <f t="shared" si="7"/>
        <v>1</v>
      </c>
      <c r="K111" s="32">
        <v>44690</v>
      </c>
    </row>
    <row r="112" spans="2:11" x14ac:dyDescent="0.15">
      <c r="B112" s="4" t="s">
        <v>7</v>
      </c>
      <c r="C112" s="9"/>
      <c r="D112" s="10"/>
      <c r="E112" s="11">
        <v>2</v>
      </c>
      <c r="F112" s="8">
        <f t="shared" si="6"/>
        <v>2</v>
      </c>
      <c r="G112" s="9"/>
      <c r="H112" s="10"/>
      <c r="I112" s="11">
        <v>2</v>
      </c>
      <c r="J112" s="8">
        <f t="shared" si="7"/>
        <v>2</v>
      </c>
      <c r="K112" s="32">
        <v>44691</v>
      </c>
    </row>
    <row r="113" spans="2:11" x14ac:dyDescent="0.15">
      <c r="B113" s="4" t="s">
        <v>7</v>
      </c>
      <c r="C113" s="9"/>
      <c r="D113" s="10">
        <v>1</v>
      </c>
      <c r="E113" s="11"/>
      <c r="F113" s="8">
        <f t="shared" si="6"/>
        <v>1</v>
      </c>
      <c r="G113" s="9"/>
      <c r="H113" s="10">
        <v>1</v>
      </c>
      <c r="I113" s="11"/>
      <c r="J113" s="8">
        <f t="shared" si="7"/>
        <v>1</v>
      </c>
      <c r="K113" s="32">
        <v>44697</v>
      </c>
    </row>
    <row r="114" spans="2:11" x14ac:dyDescent="0.15">
      <c r="B114" s="4" t="s">
        <v>7</v>
      </c>
      <c r="C114" s="9"/>
      <c r="D114" s="10"/>
      <c r="E114" s="11">
        <v>1</v>
      </c>
      <c r="F114" s="8">
        <f t="shared" si="6"/>
        <v>1</v>
      </c>
      <c r="G114" s="9"/>
      <c r="H114" s="10"/>
      <c r="I114" s="11">
        <v>1</v>
      </c>
      <c r="J114" s="8">
        <f t="shared" si="7"/>
        <v>1</v>
      </c>
      <c r="K114" s="32">
        <v>44713</v>
      </c>
    </row>
    <row r="115" spans="2:11" x14ac:dyDescent="0.15">
      <c r="B115" s="4" t="s">
        <v>7</v>
      </c>
      <c r="C115" s="9"/>
      <c r="D115" s="10">
        <v>1</v>
      </c>
      <c r="E115" s="11"/>
      <c r="F115" s="8">
        <f t="shared" si="6"/>
        <v>1</v>
      </c>
      <c r="G115" s="9"/>
      <c r="H115" s="10">
        <v>1</v>
      </c>
      <c r="I115" s="11"/>
      <c r="J115" s="8">
        <f t="shared" si="7"/>
        <v>1</v>
      </c>
      <c r="K115" s="32">
        <v>44721</v>
      </c>
    </row>
    <row r="116" spans="2:11" x14ac:dyDescent="0.15">
      <c r="B116" s="4" t="s">
        <v>7</v>
      </c>
      <c r="C116" s="9">
        <v>1</v>
      </c>
      <c r="D116" s="10"/>
      <c r="E116" s="11"/>
      <c r="F116" s="8">
        <f t="shared" si="6"/>
        <v>1</v>
      </c>
      <c r="G116" s="9"/>
      <c r="H116" s="10"/>
      <c r="I116" s="11"/>
      <c r="J116" s="8">
        <f t="shared" si="7"/>
        <v>0</v>
      </c>
      <c r="K116" s="32">
        <v>44725</v>
      </c>
    </row>
    <row r="117" spans="2:11" x14ac:dyDescent="0.15">
      <c r="B117" s="4" t="s">
        <v>7</v>
      </c>
      <c r="C117" s="9"/>
      <c r="D117" s="10"/>
      <c r="E117" s="11">
        <v>1</v>
      </c>
      <c r="F117" s="8">
        <f t="shared" si="6"/>
        <v>1</v>
      </c>
      <c r="G117" s="9"/>
      <c r="H117" s="10"/>
      <c r="I117" s="11">
        <v>1</v>
      </c>
      <c r="J117" s="8">
        <f t="shared" si="7"/>
        <v>1</v>
      </c>
      <c r="K117" s="32">
        <v>44727</v>
      </c>
    </row>
    <row r="118" spans="2:11" x14ac:dyDescent="0.15">
      <c r="B118" s="4" t="s">
        <v>29</v>
      </c>
      <c r="C118" s="9">
        <v>-1</v>
      </c>
      <c r="D118" s="10">
        <v>1</v>
      </c>
      <c r="E118" s="11"/>
      <c r="F118" s="8">
        <f t="shared" si="6"/>
        <v>0</v>
      </c>
      <c r="G118" s="9"/>
      <c r="H118" s="10"/>
      <c r="I118" s="11"/>
      <c r="J118" s="8">
        <f t="shared" si="7"/>
        <v>0</v>
      </c>
      <c r="K118" s="32">
        <v>44729</v>
      </c>
    </row>
    <row r="119" spans="2:11" x14ac:dyDescent="0.15">
      <c r="B119" s="4" t="s">
        <v>7</v>
      </c>
      <c r="C119" s="9">
        <v>1</v>
      </c>
      <c r="D119" s="10"/>
      <c r="E119" s="11"/>
      <c r="F119" s="8">
        <f t="shared" si="6"/>
        <v>1</v>
      </c>
      <c r="G119" s="9">
        <v>1</v>
      </c>
      <c r="H119" s="10"/>
      <c r="I119" s="11"/>
      <c r="J119" s="8">
        <f t="shared" si="7"/>
        <v>1</v>
      </c>
      <c r="K119" s="32">
        <v>44739</v>
      </c>
    </row>
    <row r="120" spans="2:11" x14ac:dyDescent="0.15">
      <c r="B120" s="4" t="s">
        <v>7</v>
      </c>
      <c r="C120" s="9"/>
      <c r="D120" s="10"/>
      <c r="E120" s="11"/>
      <c r="F120" s="8">
        <f t="shared" si="6"/>
        <v>0</v>
      </c>
      <c r="G120" s="9">
        <v>2</v>
      </c>
      <c r="H120" s="10"/>
      <c r="I120" s="11"/>
      <c r="J120" s="8">
        <f t="shared" si="7"/>
        <v>2</v>
      </c>
      <c r="K120" s="32">
        <v>44746</v>
      </c>
    </row>
    <row r="121" spans="2:11" x14ac:dyDescent="0.15">
      <c r="B121" s="4" t="s">
        <v>7</v>
      </c>
      <c r="C121" s="9">
        <v>1</v>
      </c>
      <c r="D121" s="10"/>
      <c r="E121" s="11"/>
      <c r="F121" s="8">
        <f t="shared" si="6"/>
        <v>1</v>
      </c>
      <c r="G121" s="9">
        <v>1</v>
      </c>
      <c r="H121" s="10"/>
      <c r="I121" s="11"/>
      <c r="J121" s="8">
        <f t="shared" si="7"/>
        <v>1</v>
      </c>
      <c r="K121" s="32">
        <v>44774</v>
      </c>
    </row>
    <row r="122" spans="2:11" x14ac:dyDescent="0.15">
      <c r="B122" s="4" t="s">
        <v>7</v>
      </c>
      <c r="C122" s="9"/>
      <c r="D122" s="10"/>
      <c r="E122" s="11">
        <v>1</v>
      </c>
      <c r="F122" s="8">
        <f t="shared" si="6"/>
        <v>1</v>
      </c>
      <c r="G122" s="9"/>
      <c r="H122" s="10"/>
      <c r="I122" s="11">
        <v>1</v>
      </c>
      <c r="J122" s="8">
        <f t="shared" si="7"/>
        <v>1</v>
      </c>
      <c r="K122" s="32">
        <v>44778</v>
      </c>
    </row>
    <row r="123" spans="2:11" x14ac:dyDescent="0.15">
      <c r="B123" s="4" t="s">
        <v>7</v>
      </c>
      <c r="C123" s="9"/>
      <c r="D123" s="10"/>
      <c r="E123" s="11"/>
      <c r="F123" s="8">
        <f t="shared" si="6"/>
        <v>0</v>
      </c>
      <c r="G123" s="9"/>
      <c r="H123" s="10">
        <v>2</v>
      </c>
      <c r="I123" s="11"/>
      <c r="J123" s="8">
        <f t="shared" si="7"/>
        <v>2</v>
      </c>
      <c r="K123" s="32">
        <v>44779</v>
      </c>
    </row>
    <row r="124" spans="2:11" x14ac:dyDescent="0.15">
      <c r="B124" s="4" t="s">
        <v>7</v>
      </c>
      <c r="C124" s="9"/>
      <c r="D124" s="10"/>
      <c r="E124" s="11">
        <v>1</v>
      </c>
      <c r="F124" s="8">
        <f t="shared" si="6"/>
        <v>1</v>
      </c>
      <c r="G124" s="9"/>
      <c r="H124" s="10"/>
      <c r="I124" s="11">
        <v>1</v>
      </c>
      <c r="J124" s="8">
        <f t="shared" si="7"/>
        <v>1</v>
      </c>
      <c r="K124" s="32">
        <v>44790</v>
      </c>
    </row>
    <row r="125" spans="2:11" ht="14.25" thickBot="1" x14ac:dyDescent="0.2">
      <c r="B125" s="4" t="s">
        <v>7</v>
      </c>
      <c r="C125" s="9">
        <v>1</v>
      </c>
      <c r="D125" s="10"/>
      <c r="E125" s="11"/>
      <c r="F125" s="8">
        <f t="shared" si="6"/>
        <v>1</v>
      </c>
      <c r="G125" s="9">
        <v>1</v>
      </c>
      <c r="H125" s="10"/>
      <c r="I125" s="11"/>
      <c r="J125" s="8">
        <f t="shared" si="7"/>
        <v>1</v>
      </c>
      <c r="K125" s="32">
        <v>44793</v>
      </c>
    </row>
    <row r="126" spans="2:11" ht="14.25" thickBot="1" x14ac:dyDescent="0.2">
      <c r="B126" s="3" t="s">
        <v>5</v>
      </c>
      <c r="C126" s="15">
        <f>SUM(C102:C125)</f>
        <v>9</v>
      </c>
      <c r="D126" s="15">
        <f>SUM(D102:D125)</f>
        <v>9</v>
      </c>
      <c r="E126" s="15">
        <f>SUM(E102:E125)</f>
        <v>6</v>
      </c>
      <c r="F126" s="16">
        <f t="shared" si="6"/>
        <v>24</v>
      </c>
      <c r="G126" s="15">
        <f>SUM(G102:G125)</f>
        <v>11</v>
      </c>
      <c r="H126" s="15">
        <f>SUM(H102:H125)</f>
        <v>10</v>
      </c>
      <c r="I126" s="15">
        <f>SUM(I102:I125)</f>
        <v>6</v>
      </c>
      <c r="J126" s="16">
        <f t="shared" si="7"/>
        <v>27</v>
      </c>
    </row>
    <row r="127" spans="2:11" ht="14.25" thickBot="1" x14ac:dyDescent="0.2">
      <c r="B127" s="26" t="s">
        <v>6</v>
      </c>
      <c r="C127" s="27">
        <f t="shared" ref="C127:J127" si="8">C101-C126</f>
        <v>2</v>
      </c>
      <c r="D127" s="27">
        <f t="shared" si="8"/>
        <v>2</v>
      </c>
      <c r="E127" s="27">
        <f t="shared" si="8"/>
        <v>0</v>
      </c>
      <c r="F127" s="27">
        <f t="shared" si="8"/>
        <v>4</v>
      </c>
      <c r="G127" s="27">
        <f t="shared" si="8"/>
        <v>3</v>
      </c>
      <c r="H127" s="27">
        <f t="shared" si="8"/>
        <v>4</v>
      </c>
      <c r="I127" s="27">
        <f t="shared" si="8"/>
        <v>0</v>
      </c>
      <c r="J127" s="25">
        <f t="shared" si="8"/>
        <v>7</v>
      </c>
    </row>
    <row r="130" spans="2:12" ht="19.5" thickBot="1" x14ac:dyDescent="0.25">
      <c r="B130" s="33" t="s">
        <v>14</v>
      </c>
      <c r="C130" s="1"/>
      <c r="D130" s="1"/>
      <c r="E130" s="1"/>
      <c r="F130" s="1"/>
      <c r="G130" s="34"/>
      <c r="H130" s="34">
        <v>1425</v>
      </c>
      <c r="I130" s="34"/>
      <c r="J130" s="34"/>
    </row>
    <row r="131" spans="2:12" ht="14.25" thickBot="1" x14ac:dyDescent="0.2">
      <c r="B131" s="2" t="s">
        <v>0</v>
      </c>
      <c r="C131" s="84" t="s">
        <v>15</v>
      </c>
      <c r="D131" s="84"/>
      <c r="E131" s="84"/>
      <c r="F131" s="85"/>
      <c r="G131" s="84" t="s">
        <v>16</v>
      </c>
      <c r="H131" s="84"/>
      <c r="I131" s="84"/>
      <c r="J131" s="85"/>
    </row>
    <row r="132" spans="2:12" ht="14.25" thickBot="1" x14ac:dyDescent="0.2">
      <c r="B132" s="2" t="s">
        <v>1</v>
      </c>
      <c r="C132" s="3" t="s">
        <v>9</v>
      </c>
      <c r="D132" s="2" t="s">
        <v>10</v>
      </c>
      <c r="E132" s="19" t="s">
        <v>11</v>
      </c>
      <c r="F132" s="2" t="s">
        <v>2</v>
      </c>
      <c r="G132" s="3" t="s">
        <v>9</v>
      </c>
      <c r="H132" s="2" t="s">
        <v>10</v>
      </c>
      <c r="I132" s="19" t="s">
        <v>11</v>
      </c>
      <c r="J132" s="2" t="s">
        <v>2</v>
      </c>
    </row>
    <row r="133" spans="2:12" x14ac:dyDescent="0.15">
      <c r="B133" s="28" t="s">
        <v>12</v>
      </c>
      <c r="C133" s="39">
        <f>C127</f>
        <v>2</v>
      </c>
      <c r="D133" s="40">
        <f>D127</f>
        <v>2</v>
      </c>
      <c r="E133" s="41">
        <f>E127</f>
        <v>0</v>
      </c>
      <c r="F133" s="18">
        <f>SUM(C133:E133)</f>
        <v>4</v>
      </c>
      <c r="G133" s="39">
        <f>G127</f>
        <v>3</v>
      </c>
      <c r="H133" s="40">
        <f>H127</f>
        <v>4</v>
      </c>
      <c r="I133" s="41">
        <f>I127</f>
        <v>0</v>
      </c>
      <c r="J133" s="18">
        <f>SUM(G133:I133)</f>
        <v>7</v>
      </c>
    </row>
    <row r="134" spans="2:12" x14ac:dyDescent="0.15">
      <c r="B134" s="6" t="s">
        <v>3</v>
      </c>
      <c r="C134" s="17">
        <v>3</v>
      </c>
      <c r="D134" s="12">
        <v>3</v>
      </c>
      <c r="E134" s="17">
        <v>3</v>
      </c>
      <c r="F134" s="5">
        <f t="shared" ref="F134:F169" si="9">SUM(C134:E134)</f>
        <v>9</v>
      </c>
      <c r="G134" s="17"/>
      <c r="H134" s="12"/>
      <c r="I134" s="17">
        <v>3</v>
      </c>
      <c r="J134" s="5">
        <f t="shared" ref="J134:J169" si="10">SUM(G134:I134)</f>
        <v>3</v>
      </c>
      <c r="K134" s="30">
        <v>44811</v>
      </c>
    </row>
    <row r="135" spans="2:12" x14ac:dyDescent="0.15">
      <c r="B135" s="6" t="s">
        <v>3</v>
      </c>
      <c r="C135" s="17"/>
      <c r="D135" s="12">
        <v>3</v>
      </c>
      <c r="E135" s="17"/>
      <c r="F135" s="5">
        <f t="shared" si="9"/>
        <v>3</v>
      </c>
      <c r="G135" s="17"/>
      <c r="H135" s="12">
        <v>5</v>
      </c>
      <c r="I135" s="17"/>
      <c r="J135" s="5">
        <f t="shared" si="10"/>
        <v>5</v>
      </c>
      <c r="K135" s="30">
        <v>44818</v>
      </c>
    </row>
    <row r="136" spans="2:12" x14ac:dyDescent="0.15">
      <c r="B136" s="6" t="s">
        <v>3</v>
      </c>
      <c r="C136" s="17">
        <v>2</v>
      </c>
      <c r="D136" s="12"/>
      <c r="E136" s="17">
        <v>3</v>
      </c>
      <c r="F136" s="5">
        <f t="shared" si="9"/>
        <v>5</v>
      </c>
      <c r="G136" s="53" t="s">
        <v>31</v>
      </c>
      <c r="H136" s="12"/>
      <c r="I136" s="17">
        <v>4</v>
      </c>
      <c r="J136" s="5">
        <f t="shared" si="10"/>
        <v>4</v>
      </c>
      <c r="K136" s="30">
        <v>44881</v>
      </c>
    </row>
    <row r="137" spans="2:12" x14ac:dyDescent="0.15">
      <c r="B137" s="6" t="s">
        <v>3</v>
      </c>
      <c r="C137" s="17"/>
      <c r="D137" s="12"/>
      <c r="E137" s="17"/>
      <c r="F137" s="5">
        <f t="shared" si="9"/>
        <v>0</v>
      </c>
      <c r="G137" s="17">
        <v>5</v>
      </c>
      <c r="H137" s="12"/>
      <c r="I137" s="17"/>
      <c r="J137" s="5">
        <f t="shared" si="10"/>
        <v>5</v>
      </c>
      <c r="K137" s="30">
        <v>44890</v>
      </c>
      <c r="L137" s="31"/>
    </row>
    <row r="138" spans="2:12" x14ac:dyDescent="0.15">
      <c r="B138" s="6" t="s">
        <v>3</v>
      </c>
      <c r="C138" s="17"/>
      <c r="D138" s="12"/>
      <c r="E138" s="17">
        <v>2</v>
      </c>
      <c r="F138" s="5">
        <f t="shared" si="9"/>
        <v>2</v>
      </c>
      <c r="G138" s="17"/>
      <c r="H138" s="12"/>
      <c r="I138" s="17">
        <v>2</v>
      </c>
      <c r="J138" s="5">
        <f t="shared" si="10"/>
        <v>2</v>
      </c>
      <c r="K138" s="30">
        <v>44902</v>
      </c>
      <c r="L138" s="31"/>
    </row>
    <row r="139" spans="2:12" x14ac:dyDescent="0.15">
      <c r="B139" s="6" t="s">
        <v>3</v>
      </c>
      <c r="C139" s="17">
        <v>2</v>
      </c>
      <c r="D139" s="12">
        <v>2</v>
      </c>
      <c r="E139" s="17"/>
      <c r="F139" s="5">
        <f t="shared" si="9"/>
        <v>4</v>
      </c>
      <c r="G139" s="17">
        <v>2</v>
      </c>
      <c r="H139" s="12">
        <v>2</v>
      </c>
      <c r="I139" s="17"/>
      <c r="J139" s="5">
        <f t="shared" si="10"/>
        <v>4</v>
      </c>
      <c r="K139" s="30">
        <v>44922</v>
      </c>
    </row>
    <row r="140" spans="2:12" x14ac:dyDescent="0.15">
      <c r="B140" s="6" t="s">
        <v>3</v>
      </c>
      <c r="C140" s="37">
        <v>3</v>
      </c>
      <c r="D140" s="36">
        <v>3</v>
      </c>
      <c r="E140" s="37"/>
      <c r="F140" s="5">
        <f t="shared" si="9"/>
        <v>6</v>
      </c>
      <c r="G140" s="37">
        <v>5</v>
      </c>
      <c r="H140" s="36">
        <v>5</v>
      </c>
      <c r="I140" s="37"/>
      <c r="J140" s="5">
        <f t="shared" si="10"/>
        <v>10</v>
      </c>
      <c r="K140" s="30">
        <v>44944</v>
      </c>
    </row>
    <row r="141" spans="2:12" x14ac:dyDescent="0.15">
      <c r="B141" s="6" t="s">
        <v>3</v>
      </c>
      <c r="C141" s="11">
        <v>2</v>
      </c>
      <c r="D141" s="10">
        <v>2</v>
      </c>
      <c r="E141" s="11"/>
      <c r="F141" s="5">
        <f t="shared" si="9"/>
        <v>4</v>
      </c>
      <c r="G141" s="11">
        <v>2</v>
      </c>
      <c r="H141" s="10">
        <v>2</v>
      </c>
      <c r="I141" s="11"/>
      <c r="J141" s="5">
        <f t="shared" si="10"/>
        <v>4</v>
      </c>
      <c r="K141" s="32">
        <v>44945</v>
      </c>
    </row>
    <row r="142" spans="2:12" x14ac:dyDescent="0.15">
      <c r="B142" s="6" t="s">
        <v>3</v>
      </c>
      <c r="C142" s="11"/>
      <c r="D142" s="10"/>
      <c r="E142" s="11"/>
      <c r="F142" s="5">
        <f t="shared" si="9"/>
        <v>0</v>
      </c>
      <c r="G142" s="11"/>
      <c r="H142" s="10"/>
      <c r="I142" s="11"/>
      <c r="J142" s="5">
        <f t="shared" si="10"/>
        <v>0</v>
      </c>
    </row>
    <row r="143" spans="2:12" ht="14.25" thickBot="1" x14ac:dyDescent="0.2">
      <c r="B143" s="7" t="s">
        <v>3</v>
      </c>
      <c r="C143" s="14"/>
      <c r="D143" s="13"/>
      <c r="E143" s="14"/>
      <c r="F143" s="20">
        <f t="shared" si="9"/>
        <v>0</v>
      </c>
      <c r="G143" s="14"/>
      <c r="H143" s="13"/>
      <c r="I143" s="14"/>
      <c r="J143" s="20">
        <f t="shared" si="10"/>
        <v>0</v>
      </c>
    </row>
    <row r="144" spans="2:12" ht="14.25" thickBot="1" x14ac:dyDescent="0.2">
      <c r="B144" s="22" t="s">
        <v>4</v>
      </c>
      <c r="C144" s="23">
        <f>SUM(C133:C143)</f>
        <v>14</v>
      </c>
      <c r="D144" s="23">
        <f>SUM(D133:D143)</f>
        <v>15</v>
      </c>
      <c r="E144" s="24">
        <f>SUM(E133:E143)</f>
        <v>8</v>
      </c>
      <c r="F144" s="25">
        <f t="shared" si="9"/>
        <v>37</v>
      </c>
      <c r="G144" s="23">
        <f>SUM(G133:G143)</f>
        <v>17</v>
      </c>
      <c r="H144" s="23">
        <f>SUM(H133:H143)</f>
        <v>18</v>
      </c>
      <c r="I144" s="24">
        <f>SUM(I133:I143)</f>
        <v>9</v>
      </c>
      <c r="J144" s="25">
        <f t="shared" si="10"/>
        <v>44</v>
      </c>
    </row>
    <row r="145" spans="2:11" x14ac:dyDescent="0.15">
      <c r="B145" s="4" t="s">
        <v>7</v>
      </c>
      <c r="C145" s="9"/>
      <c r="D145" s="10">
        <v>1</v>
      </c>
      <c r="E145" s="11"/>
      <c r="F145" s="5">
        <f t="shared" si="9"/>
        <v>1</v>
      </c>
      <c r="G145" s="9"/>
      <c r="H145" s="10">
        <v>1</v>
      </c>
      <c r="I145" s="11"/>
      <c r="J145" s="5">
        <f t="shared" si="10"/>
        <v>1</v>
      </c>
      <c r="K145" s="32">
        <v>44809</v>
      </c>
    </row>
    <row r="146" spans="2:11" x14ac:dyDescent="0.15">
      <c r="B146" s="4" t="s">
        <v>7</v>
      </c>
      <c r="C146" s="9">
        <v>1</v>
      </c>
      <c r="D146" s="10"/>
      <c r="E146" s="11"/>
      <c r="F146" s="5">
        <f t="shared" si="9"/>
        <v>1</v>
      </c>
      <c r="G146" s="9">
        <v>1</v>
      </c>
      <c r="H146" s="10"/>
      <c r="I146" s="11"/>
      <c r="J146" s="8">
        <f t="shared" si="10"/>
        <v>1</v>
      </c>
      <c r="K146" s="32">
        <v>44813</v>
      </c>
    </row>
    <row r="147" spans="2:11" x14ac:dyDescent="0.15">
      <c r="B147" s="4" t="s">
        <v>7</v>
      </c>
      <c r="C147" s="9"/>
      <c r="D147" s="10">
        <v>2</v>
      </c>
      <c r="E147" s="11"/>
      <c r="F147" s="5">
        <f t="shared" si="9"/>
        <v>2</v>
      </c>
      <c r="G147" s="9"/>
      <c r="H147" s="10">
        <v>2</v>
      </c>
      <c r="I147" s="11"/>
      <c r="J147" s="8">
        <f t="shared" si="10"/>
        <v>2</v>
      </c>
      <c r="K147" s="32">
        <v>44816</v>
      </c>
    </row>
    <row r="148" spans="2:11" x14ac:dyDescent="0.15">
      <c r="B148" s="4" t="s">
        <v>7</v>
      </c>
      <c r="C148" s="9"/>
      <c r="D148" s="10"/>
      <c r="E148" s="11"/>
      <c r="F148" s="5">
        <f t="shared" si="9"/>
        <v>0</v>
      </c>
      <c r="G148" s="9"/>
      <c r="H148" s="10"/>
      <c r="I148" s="11">
        <v>1</v>
      </c>
      <c r="J148" s="8">
        <f t="shared" si="10"/>
        <v>1</v>
      </c>
      <c r="K148" s="32">
        <v>44831</v>
      </c>
    </row>
    <row r="149" spans="2:11" x14ac:dyDescent="0.15">
      <c r="B149" s="4" t="s">
        <v>7</v>
      </c>
      <c r="C149" s="9"/>
      <c r="D149" s="10"/>
      <c r="E149" s="11">
        <v>1</v>
      </c>
      <c r="F149" s="5">
        <f t="shared" si="9"/>
        <v>1</v>
      </c>
      <c r="G149" s="9"/>
      <c r="H149" s="10"/>
      <c r="I149" s="11">
        <v>1</v>
      </c>
      <c r="J149" s="8">
        <f t="shared" si="10"/>
        <v>1</v>
      </c>
      <c r="K149" s="32">
        <v>44849</v>
      </c>
    </row>
    <row r="150" spans="2:11" x14ac:dyDescent="0.15">
      <c r="B150" s="4" t="s">
        <v>7</v>
      </c>
      <c r="C150" s="9">
        <v>1</v>
      </c>
      <c r="D150" s="10"/>
      <c r="E150" s="11"/>
      <c r="F150" s="8">
        <f t="shared" si="9"/>
        <v>1</v>
      </c>
      <c r="G150" s="9">
        <v>2</v>
      </c>
      <c r="H150" s="10"/>
      <c r="I150" s="11"/>
      <c r="J150" s="8">
        <f t="shared" si="10"/>
        <v>2</v>
      </c>
      <c r="K150" s="32">
        <v>44869</v>
      </c>
    </row>
    <row r="151" spans="2:11" x14ac:dyDescent="0.15">
      <c r="B151" s="4" t="s">
        <v>7</v>
      </c>
      <c r="C151" s="9"/>
      <c r="D151" s="10"/>
      <c r="E151" s="11">
        <v>1</v>
      </c>
      <c r="F151" s="8">
        <f t="shared" si="9"/>
        <v>1</v>
      </c>
      <c r="G151" s="9"/>
      <c r="H151" s="10"/>
      <c r="I151" s="11">
        <v>1</v>
      </c>
      <c r="J151" s="8">
        <f t="shared" si="10"/>
        <v>1</v>
      </c>
      <c r="K151" s="32">
        <v>44879</v>
      </c>
    </row>
    <row r="152" spans="2:11" x14ac:dyDescent="0.15">
      <c r="B152" s="4" t="s">
        <v>7</v>
      </c>
      <c r="C152" s="9"/>
      <c r="D152" s="10"/>
      <c r="E152" s="11">
        <v>1</v>
      </c>
      <c r="F152" s="8">
        <f t="shared" si="9"/>
        <v>1</v>
      </c>
      <c r="G152" s="9"/>
      <c r="H152" s="10"/>
      <c r="I152" s="11">
        <v>1</v>
      </c>
      <c r="J152" s="8">
        <f t="shared" si="10"/>
        <v>1</v>
      </c>
      <c r="K152" s="32">
        <v>44881</v>
      </c>
    </row>
    <row r="153" spans="2:11" x14ac:dyDescent="0.15">
      <c r="B153" s="4" t="s">
        <v>7</v>
      </c>
      <c r="C153" s="9"/>
      <c r="D153" s="10">
        <v>1</v>
      </c>
      <c r="E153" s="11"/>
      <c r="F153" s="8">
        <f t="shared" si="9"/>
        <v>1</v>
      </c>
      <c r="G153" s="9"/>
      <c r="H153" s="10">
        <v>1</v>
      </c>
      <c r="I153" s="11"/>
      <c r="J153" s="8">
        <f t="shared" si="10"/>
        <v>1</v>
      </c>
      <c r="K153" s="32">
        <v>44889</v>
      </c>
    </row>
    <row r="154" spans="2:11" x14ac:dyDescent="0.15">
      <c r="B154" s="4" t="s">
        <v>7</v>
      </c>
      <c r="C154" s="9">
        <v>1</v>
      </c>
      <c r="D154" s="10"/>
      <c r="E154" s="11"/>
      <c r="F154" s="8">
        <f t="shared" si="9"/>
        <v>1</v>
      </c>
      <c r="G154" s="9">
        <v>1</v>
      </c>
      <c r="H154" s="10"/>
      <c r="I154" s="11"/>
      <c r="J154" s="8">
        <f t="shared" si="10"/>
        <v>1</v>
      </c>
      <c r="K154" s="32">
        <v>44904</v>
      </c>
    </row>
    <row r="155" spans="2:11" x14ac:dyDescent="0.15">
      <c r="B155" s="4" t="s">
        <v>7</v>
      </c>
      <c r="C155" s="9"/>
      <c r="D155" s="10">
        <v>1</v>
      </c>
      <c r="E155" s="11"/>
      <c r="F155" s="8">
        <f t="shared" si="9"/>
        <v>1</v>
      </c>
      <c r="G155" s="9"/>
      <c r="H155" s="10">
        <v>1</v>
      </c>
      <c r="I155" s="11"/>
      <c r="J155" s="8">
        <f t="shared" si="10"/>
        <v>1</v>
      </c>
      <c r="K155" s="32">
        <v>44910</v>
      </c>
    </row>
    <row r="156" spans="2:11" x14ac:dyDescent="0.15">
      <c r="B156" s="4" t="s">
        <v>7</v>
      </c>
      <c r="C156" s="9">
        <v>1</v>
      </c>
      <c r="D156" s="10"/>
      <c r="E156" s="11"/>
      <c r="F156" s="8">
        <f t="shared" si="9"/>
        <v>1</v>
      </c>
      <c r="G156" s="9">
        <v>1</v>
      </c>
      <c r="H156" s="10"/>
      <c r="I156" s="11"/>
      <c r="J156" s="8">
        <f t="shared" si="10"/>
        <v>1</v>
      </c>
      <c r="K156" s="32">
        <v>44912</v>
      </c>
    </row>
    <row r="157" spans="2:11" x14ac:dyDescent="0.15">
      <c r="B157" s="4" t="s">
        <v>7</v>
      </c>
      <c r="C157" s="9"/>
      <c r="D157" s="10">
        <v>1</v>
      </c>
      <c r="E157" s="11"/>
      <c r="F157" s="8">
        <f t="shared" si="9"/>
        <v>1</v>
      </c>
      <c r="G157" s="9"/>
      <c r="H157" s="10">
        <v>1</v>
      </c>
      <c r="I157" s="11"/>
      <c r="J157" s="8">
        <f t="shared" si="10"/>
        <v>1</v>
      </c>
      <c r="K157" s="32">
        <v>44914</v>
      </c>
    </row>
    <row r="158" spans="2:11" x14ac:dyDescent="0.15">
      <c r="B158" s="4" t="s">
        <v>7</v>
      </c>
      <c r="C158" s="9"/>
      <c r="D158" s="10">
        <v>1</v>
      </c>
      <c r="E158" s="11"/>
      <c r="F158" s="8">
        <f t="shared" si="9"/>
        <v>1</v>
      </c>
      <c r="G158" s="9"/>
      <c r="H158" s="10">
        <v>1</v>
      </c>
      <c r="I158" s="11"/>
      <c r="J158" s="8">
        <f t="shared" si="10"/>
        <v>1</v>
      </c>
      <c r="K158" s="32">
        <v>44916</v>
      </c>
    </row>
    <row r="159" spans="2:11" x14ac:dyDescent="0.15">
      <c r="B159" s="4" t="s">
        <v>7</v>
      </c>
      <c r="C159" s="9">
        <v>1</v>
      </c>
      <c r="D159" s="10">
        <v>1</v>
      </c>
      <c r="E159" s="11"/>
      <c r="F159" s="8">
        <f t="shared" si="9"/>
        <v>2</v>
      </c>
      <c r="G159" s="9">
        <v>1</v>
      </c>
      <c r="H159" s="10">
        <v>1</v>
      </c>
      <c r="I159" s="11"/>
      <c r="J159" s="8">
        <f t="shared" si="10"/>
        <v>2</v>
      </c>
      <c r="K159" s="32">
        <v>44918</v>
      </c>
    </row>
    <row r="160" spans="2:11" x14ac:dyDescent="0.15">
      <c r="B160" s="4" t="s">
        <v>7</v>
      </c>
      <c r="C160" s="9">
        <v>1</v>
      </c>
      <c r="D160" s="10"/>
      <c r="E160" s="11"/>
      <c r="F160" s="8">
        <f t="shared" si="9"/>
        <v>1</v>
      </c>
      <c r="G160" s="9">
        <v>1</v>
      </c>
      <c r="H160" s="10"/>
      <c r="I160" s="11"/>
      <c r="J160" s="8">
        <f t="shared" si="10"/>
        <v>1</v>
      </c>
      <c r="K160" s="32">
        <v>44921</v>
      </c>
    </row>
    <row r="161" spans="2:11" x14ac:dyDescent="0.15">
      <c r="B161" s="4" t="s">
        <v>7</v>
      </c>
      <c r="C161" s="9"/>
      <c r="D161" s="10"/>
      <c r="E161" s="11"/>
      <c r="F161" s="8">
        <f t="shared" si="9"/>
        <v>0</v>
      </c>
      <c r="G161" s="9"/>
      <c r="H161" s="10">
        <v>2</v>
      </c>
      <c r="I161" s="11"/>
      <c r="J161" s="8">
        <f t="shared" si="10"/>
        <v>2</v>
      </c>
      <c r="K161" s="32">
        <v>44931</v>
      </c>
    </row>
    <row r="162" spans="2:11" x14ac:dyDescent="0.15">
      <c r="B162" s="4" t="s">
        <v>7</v>
      </c>
      <c r="C162" s="9"/>
      <c r="D162" s="10"/>
      <c r="E162" s="11"/>
      <c r="F162" s="8">
        <f t="shared" si="9"/>
        <v>0</v>
      </c>
      <c r="G162" s="9">
        <v>2</v>
      </c>
      <c r="H162" s="10"/>
      <c r="I162" s="11"/>
      <c r="J162" s="8">
        <f t="shared" si="10"/>
        <v>2</v>
      </c>
      <c r="K162" s="32">
        <v>44939</v>
      </c>
    </row>
    <row r="163" spans="2:11" x14ac:dyDescent="0.15">
      <c r="B163" s="4" t="s">
        <v>7</v>
      </c>
      <c r="C163" s="9">
        <v>1</v>
      </c>
      <c r="D163" s="10"/>
      <c r="E163" s="11"/>
      <c r="F163" s="8">
        <f t="shared" si="9"/>
        <v>1</v>
      </c>
      <c r="G163" s="9">
        <v>1</v>
      </c>
      <c r="H163" s="10"/>
      <c r="I163" s="11"/>
      <c r="J163" s="8">
        <f t="shared" si="10"/>
        <v>1</v>
      </c>
      <c r="K163" s="32">
        <v>44942</v>
      </c>
    </row>
    <row r="164" spans="2:11" x14ac:dyDescent="0.15">
      <c r="B164" s="4" t="s">
        <v>7</v>
      </c>
      <c r="C164" s="9"/>
      <c r="D164" s="10">
        <v>2</v>
      </c>
      <c r="E164" s="11"/>
      <c r="F164" s="8">
        <f t="shared" si="9"/>
        <v>2</v>
      </c>
      <c r="G164" s="9"/>
      <c r="H164" s="10"/>
      <c r="I164" s="11"/>
      <c r="J164" s="8">
        <f t="shared" si="10"/>
        <v>0</v>
      </c>
      <c r="K164" s="32">
        <v>44958</v>
      </c>
    </row>
    <row r="165" spans="2:11" x14ac:dyDescent="0.15">
      <c r="B165" s="4" t="s">
        <v>7</v>
      </c>
      <c r="C165" s="9"/>
      <c r="D165" s="10"/>
      <c r="E165" s="11">
        <v>1</v>
      </c>
      <c r="F165" s="8">
        <f t="shared" si="9"/>
        <v>1</v>
      </c>
      <c r="G165" s="9"/>
      <c r="H165" s="10"/>
      <c r="I165" s="11">
        <v>1</v>
      </c>
      <c r="J165" s="8">
        <f t="shared" si="10"/>
        <v>1</v>
      </c>
      <c r="K165" s="32">
        <v>44959</v>
      </c>
    </row>
    <row r="166" spans="2:11" x14ac:dyDescent="0.15">
      <c r="B166" s="4" t="s">
        <v>7</v>
      </c>
      <c r="C166" s="9"/>
      <c r="D166" s="10">
        <v>1</v>
      </c>
      <c r="E166" s="11"/>
      <c r="F166" s="8">
        <f t="shared" si="9"/>
        <v>1</v>
      </c>
      <c r="G166" s="9"/>
      <c r="H166" s="10">
        <v>1</v>
      </c>
      <c r="I166" s="11"/>
      <c r="J166" s="8">
        <f t="shared" si="10"/>
        <v>1</v>
      </c>
      <c r="K166" s="32">
        <v>44963</v>
      </c>
    </row>
    <row r="167" spans="2:11" x14ac:dyDescent="0.15">
      <c r="B167" s="4" t="s">
        <v>7</v>
      </c>
      <c r="C167" s="9">
        <v>1</v>
      </c>
      <c r="D167" s="10"/>
      <c r="E167" s="11"/>
      <c r="F167" s="8">
        <f t="shared" si="9"/>
        <v>1</v>
      </c>
      <c r="G167" s="9">
        <v>1</v>
      </c>
      <c r="H167" s="10"/>
      <c r="I167" s="11"/>
      <c r="J167" s="8">
        <f t="shared" si="10"/>
        <v>1</v>
      </c>
      <c r="K167" s="32">
        <v>44970</v>
      </c>
    </row>
    <row r="168" spans="2:11" ht="14.25" thickBot="1" x14ac:dyDescent="0.2">
      <c r="B168" s="4" t="s">
        <v>7</v>
      </c>
      <c r="C168" s="9"/>
      <c r="D168" s="10">
        <v>1</v>
      </c>
      <c r="E168" s="11"/>
      <c r="F168" s="8">
        <f t="shared" si="9"/>
        <v>1</v>
      </c>
      <c r="G168" s="9"/>
      <c r="H168" s="10">
        <v>1</v>
      </c>
      <c r="I168" s="11"/>
      <c r="J168" s="8">
        <f t="shared" si="10"/>
        <v>1</v>
      </c>
      <c r="K168" s="32">
        <v>44975</v>
      </c>
    </row>
    <row r="169" spans="2:11" ht="14.25" thickBot="1" x14ac:dyDescent="0.2">
      <c r="B169" s="3" t="s">
        <v>5</v>
      </c>
      <c r="C169" s="15">
        <f>SUM(C145:C168)</f>
        <v>8</v>
      </c>
      <c r="D169" s="15">
        <f>SUM(D145:D168)</f>
        <v>12</v>
      </c>
      <c r="E169" s="15">
        <f>SUM(E145:E168)</f>
        <v>4</v>
      </c>
      <c r="F169" s="16">
        <f t="shared" si="9"/>
        <v>24</v>
      </c>
      <c r="G169" s="15">
        <f>SUM(G145:G168)</f>
        <v>11</v>
      </c>
      <c r="H169" s="15">
        <f>SUM(H145:H168)</f>
        <v>12</v>
      </c>
      <c r="I169" s="15">
        <f>SUM(I145:I168)</f>
        <v>5</v>
      </c>
      <c r="J169" s="16">
        <f t="shared" si="10"/>
        <v>28</v>
      </c>
    </row>
    <row r="170" spans="2:11" ht="14.25" thickBot="1" x14ac:dyDescent="0.2">
      <c r="B170" s="26" t="s">
        <v>6</v>
      </c>
      <c r="C170" s="27">
        <f t="shared" ref="C170:J170" si="11">C144-C169</f>
        <v>6</v>
      </c>
      <c r="D170" s="27">
        <f t="shared" si="11"/>
        <v>3</v>
      </c>
      <c r="E170" s="27">
        <f t="shared" si="11"/>
        <v>4</v>
      </c>
      <c r="F170" s="27">
        <f t="shared" si="11"/>
        <v>13</v>
      </c>
      <c r="G170" s="27">
        <f t="shared" si="11"/>
        <v>6</v>
      </c>
      <c r="H170" s="27">
        <f t="shared" si="11"/>
        <v>6</v>
      </c>
      <c r="I170" s="27">
        <f t="shared" si="11"/>
        <v>4</v>
      </c>
      <c r="J170" s="25">
        <f t="shared" si="11"/>
        <v>16</v>
      </c>
    </row>
    <row r="173" spans="2:11" ht="19.5" thickBot="1" x14ac:dyDescent="0.25">
      <c r="B173" s="33" t="s">
        <v>14</v>
      </c>
      <c r="C173" s="1"/>
      <c r="D173" s="1"/>
      <c r="E173" s="1"/>
      <c r="F173" s="1"/>
      <c r="G173" s="34"/>
      <c r="H173" s="34">
        <v>1425</v>
      </c>
      <c r="I173" s="34"/>
      <c r="J173" s="34"/>
    </row>
    <row r="174" spans="2:11" ht="14.25" thickBot="1" x14ac:dyDescent="0.2">
      <c r="B174" s="2" t="s">
        <v>0</v>
      </c>
      <c r="C174" s="84" t="s">
        <v>15</v>
      </c>
      <c r="D174" s="84"/>
      <c r="E174" s="84"/>
      <c r="F174" s="85"/>
      <c r="G174" s="84" t="s">
        <v>16</v>
      </c>
      <c r="H174" s="84"/>
      <c r="I174" s="84"/>
      <c r="J174" s="85"/>
    </row>
    <row r="175" spans="2:11" ht="14.25" thickBot="1" x14ac:dyDescent="0.2">
      <c r="B175" s="2" t="s">
        <v>1</v>
      </c>
      <c r="C175" s="3" t="s">
        <v>9</v>
      </c>
      <c r="D175" s="2" t="s">
        <v>10</v>
      </c>
      <c r="E175" s="19" t="s">
        <v>11</v>
      </c>
      <c r="F175" s="2" t="s">
        <v>2</v>
      </c>
      <c r="G175" s="3" t="s">
        <v>9</v>
      </c>
      <c r="H175" s="2" t="s">
        <v>10</v>
      </c>
      <c r="I175" s="19" t="s">
        <v>11</v>
      </c>
      <c r="J175" s="2" t="s">
        <v>2</v>
      </c>
    </row>
    <row r="176" spans="2:11" x14ac:dyDescent="0.15">
      <c r="B176" s="28" t="s">
        <v>12</v>
      </c>
      <c r="C176" s="39">
        <f>C170</f>
        <v>6</v>
      </c>
      <c r="D176" s="40">
        <f>D170</f>
        <v>3</v>
      </c>
      <c r="E176" s="41">
        <f>E170</f>
        <v>4</v>
      </c>
      <c r="F176" s="18">
        <f>SUM(C176:E176)</f>
        <v>13</v>
      </c>
      <c r="G176" s="39">
        <f>G170</f>
        <v>6</v>
      </c>
      <c r="H176" s="61">
        <f>H170</f>
        <v>6</v>
      </c>
      <c r="I176" s="41">
        <f>I170</f>
        <v>4</v>
      </c>
      <c r="J176" s="18">
        <f>SUM(G176:I176)</f>
        <v>16</v>
      </c>
    </row>
    <row r="177" spans="2:12" x14ac:dyDescent="0.15">
      <c r="B177" s="6" t="s">
        <v>3</v>
      </c>
      <c r="C177" s="11"/>
      <c r="D177" s="10">
        <v>5</v>
      </c>
      <c r="E177" s="11"/>
      <c r="F177" s="5">
        <f t="shared" ref="F177:F184" si="12">SUM(C177:E177)</f>
        <v>5</v>
      </c>
      <c r="G177" s="11"/>
      <c r="H177" s="10"/>
      <c r="I177" s="11"/>
      <c r="J177" s="5">
        <f t="shared" ref="J177:J184" si="13">SUM(G177:I177)</f>
        <v>0</v>
      </c>
      <c r="K177" s="30">
        <v>44992</v>
      </c>
      <c r="L177" s="31"/>
    </row>
    <row r="178" spans="2:12" x14ac:dyDescent="0.15">
      <c r="B178" s="6" t="s">
        <v>3</v>
      </c>
      <c r="C178" s="11">
        <v>5</v>
      </c>
      <c r="D178" s="10">
        <v>5</v>
      </c>
      <c r="E178" s="11"/>
      <c r="F178" s="5">
        <f t="shared" si="12"/>
        <v>10</v>
      </c>
      <c r="G178" s="11">
        <v>5</v>
      </c>
      <c r="H178" s="60" t="s">
        <v>35</v>
      </c>
      <c r="I178" s="11"/>
      <c r="J178" s="5">
        <f t="shared" si="13"/>
        <v>5</v>
      </c>
      <c r="K178" s="30">
        <v>45027</v>
      </c>
    </row>
    <row r="179" spans="2:12" x14ac:dyDescent="0.15">
      <c r="B179" s="6" t="s">
        <v>3</v>
      </c>
      <c r="C179" s="11"/>
      <c r="D179" s="10">
        <v>5</v>
      </c>
      <c r="E179" s="11"/>
      <c r="F179" s="5">
        <f t="shared" si="12"/>
        <v>5</v>
      </c>
      <c r="G179" s="11"/>
      <c r="H179" s="10">
        <v>10</v>
      </c>
      <c r="I179" s="11"/>
      <c r="J179" s="5">
        <f t="shared" si="13"/>
        <v>10</v>
      </c>
      <c r="K179" s="30">
        <v>45054</v>
      </c>
      <c r="L179" s="31"/>
    </row>
    <row r="180" spans="2:12" x14ac:dyDescent="0.15">
      <c r="B180" s="6" t="s">
        <v>3</v>
      </c>
      <c r="C180" s="11">
        <v>3</v>
      </c>
      <c r="D180" s="10">
        <v>3</v>
      </c>
      <c r="E180" s="11"/>
      <c r="F180" s="5">
        <f t="shared" si="12"/>
        <v>6</v>
      </c>
      <c r="G180" s="11"/>
      <c r="H180" s="10"/>
      <c r="I180" s="11"/>
      <c r="J180" s="5">
        <f t="shared" si="13"/>
        <v>0</v>
      </c>
      <c r="K180" s="30">
        <v>45057</v>
      </c>
      <c r="L180" s="31"/>
    </row>
    <row r="181" spans="2:12" x14ac:dyDescent="0.15">
      <c r="B181" s="6" t="s">
        <v>3</v>
      </c>
      <c r="C181" s="11">
        <v>5</v>
      </c>
      <c r="D181" s="10">
        <v>5</v>
      </c>
      <c r="E181" s="11"/>
      <c r="F181" s="5">
        <f t="shared" si="12"/>
        <v>10</v>
      </c>
      <c r="G181" s="11"/>
      <c r="H181" s="10"/>
      <c r="I181" s="11"/>
      <c r="J181" s="5">
        <f t="shared" si="13"/>
        <v>0</v>
      </c>
      <c r="K181" s="30">
        <v>45091</v>
      </c>
    </row>
    <row r="182" spans="2:12" x14ac:dyDescent="0.15">
      <c r="B182" s="6" t="s">
        <v>3</v>
      </c>
      <c r="C182" s="11"/>
      <c r="D182" s="10">
        <v>3</v>
      </c>
      <c r="E182" s="11"/>
      <c r="F182" s="5">
        <f t="shared" si="12"/>
        <v>3</v>
      </c>
      <c r="G182" s="11"/>
      <c r="H182" s="10"/>
      <c r="I182" s="11"/>
      <c r="J182" s="5">
        <f t="shared" si="13"/>
        <v>0</v>
      </c>
      <c r="K182" s="30">
        <v>45104</v>
      </c>
    </row>
    <row r="183" spans="2:12" x14ac:dyDescent="0.15">
      <c r="B183" s="6" t="s">
        <v>3</v>
      </c>
      <c r="C183" s="11"/>
      <c r="D183" s="10"/>
      <c r="E183" s="11"/>
      <c r="F183" s="5">
        <f t="shared" si="12"/>
        <v>0</v>
      </c>
      <c r="G183" s="11"/>
      <c r="H183" s="10"/>
      <c r="I183" s="11"/>
      <c r="J183" s="5">
        <f t="shared" si="13"/>
        <v>0</v>
      </c>
    </row>
    <row r="184" spans="2:12" x14ac:dyDescent="0.15">
      <c r="B184" s="6" t="s">
        <v>3</v>
      </c>
      <c r="C184" s="11"/>
      <c r="D184" s="10"/>
      <c r="E184" s="11"/>
      <c r="F184" s="5">
        <f t="shared" si="12"/>
        <v>0</v>
      </c>
      <c r="G184" s="11"/>
      <c r="H184" s="10"/>
      <c r="I184" s="11"/>
      <c r="J184" s="5">
        <f t="shared" si="13"/>
        <v>0</v>
      </c>
    </row>
    <row r="185" spans="2:12" x14ac:dyDescent="0.15">
      <c r="B185" s="6" t="s">
        <v>3</v>
      </c>
      <c r="C185" s="11"/>
      <c r="D185" s="10"/>
      <c r="E185" s="11"/>
      <c r="F185" s="5">
        <f t="shared" ref="F185:F212" si="14">SUM(C185:E185)</f>
        <v>0</v>
      </c>
      <c r="G185" s="11"/>
      <c r="H185" s="10"/>
      <c r="I185" s="11"/>
      <c r="J185" s="5">
        <f t="shared" ref="J185:J212" si="15">SUM(G185:I185)</f>
        <v>0</v>
      </c>
    </row>
    <row r="186" spans="2:12" ht="14.25" thickBot="1" x14ac:dyDescent="0.2">
      <c r="B186" s="7" t="s">
        <v>3</v>
      </c>
      <c r="C186" s="14"/>
      <c r="D186" s="13"/>
      <c r="E186" s="14"/>
      <c r="F186" s="20">
        <f t="shared" si="14"/>
        <v>0</v>
      </c>
      <c r="G186" s="14"/>
      <c r="H186" s="29"/>
      <c r="I186" s="14"/>
      <c r="J186" s="20">
        <f t="shared" si="15"/>
        <v>0</v>
      </c>
    </row>
    <row r="187" spans="2:12" ht="14.25" thickBot="1" x14ac:dyDescent="0.2">
      <c r="B187" s="22" t="s">
        <v>4</v>
      </c>
      <c r="C187" s="23">
        <f>SUM(C176:C186)</f>
        <v>19</v>
      </c>
      <c r="D187" s="23">
        <f>SUM(D176:D186)</f>
        <v>29</v>
      </c>
      <c r="E187" s="24">
        <f>SUM(E176:E186)</f>
        <v>4</v>
      </c>
      <c r="F187" s="25">
        <f t="shared" si="14"/>
        <v>52</v>
      </c>
      <c r="G187" s="23">
        <f>SUM(G176:G186)</f>
        <v>11</v>
      </c>
      <c r="H187" s="23">
        <f>SUM(H176:H186)</f>
        <v>16</v>
      </c>
      <c r="I187" s="24">
        <f>SUM(I176:I186)</f>
        <v>4</v>
      </c>
      <c r="J187" s="25">
        <f t="shared" si="15"/>
        <v>31</v>
      </c>
    </row>
    <row r="188" spans="2:12" x14ac:dyDescent="0.15">
      <c r="B188" s="4" t="s">
        <v>7</v>
      </c>
      <c r="C188" s="9"/>
      <c r="D188" s="10">
        <v>1</v>
      </c>
      <c r="E188" s="11"/>
      <c r="F188" s="8">
        <f t="shared" ref="F188:F208" si="16">SUM(C188:E188)</f>
        <v>1</v>
      </c>
      <c r="G188" s="9"/>
      <c r="H188" s="10"/>
      <c r="I188" s="11"/>
      <c r="J188" s="8">
        <f t="shared" ref="J188:J208" si="17">SUM(G188:I188)</f>
        <v>0</v>
      </c>
      <c r="K188" s="32">
        <v>44981</v>
      </c>
    </row>
    <row r="189" spans="2:12" x14ac:dyDescent="0.15">
      <c r="B189" s="4" t="s">
        <v>7</v>
      </c>
      <c r="C189" s="9"/>
      <c r="D189" s="10">
        <v>1</v>
      </c>
      <c r="E189" s="11"/>
      <c r="F189" s="8">
        <f t="shared" si="16"/>
        <v>1</v>
      </c>
      <c r="G189" s="9"/>
      <c r="H189" s="10">
        <v>1</v>
      </c>
      <c r="I189" s="11"/>
      <c r="J189" s="8">
        <f t="shared" si="17"/>
        <v>1</v>
      </c>
      <c r="K189" s="32">
        <v>44985</v>
      </c>
    </row>
    <row r="190" spans="2:12" x14ac:dyDescent="0.15">
      <c r="B190" s="4" t="s">
        <v>7</v>
      </c>
      <c r="C190" s="9"/>
      <c r="D190" s="10">
        <v>1</v>
      </c>
      <c r="E190" s="11"/>
      <c r="F190" s="8">
        <f t="shared" si="16"/>
        <v>1</v>
      </c>
      <c r="G190" s="9"/>
      <c r="H190" s="10">
        <v>1</v>
      </c>
      <c r="I190" s="11"/>
      <c r="J190" s="8">
        <f t="shared" si="17"/>
        <v>1</v>
      </c>
      <c r="K190" s="32">
        <v>44987</v>
      </c>
    </row>
    <row r="191" spans="2:12" x14ac:dyDescent="0.15">
      <c r="B191" s="4" t="s">
        <v>7</v>
      </c>
      <c r="C191" s="9"/>
      <c r="D191" s="10">
        <v>1</v>
      </c>
      <c r="E191" s="11"/>
      <c r="F191" s="8">
        <f t="shared" si="16"/>
        <v>1</v>
      </c>
      <c r="G191" s="9"/>
      <c r="H191" s="10"/>
      <c r="I191" s="11"/>
      <c r="J191" s="8">
        <f t="shared" si="17"/>
        <v>0</v>
      </c>
      <c r="K191" s="32">
        <v>44992</v>
      </c>
    </row>
    <row r="192" spans="2:12" x14ac:dyDescent="0.15">
      <c r="B192" s="4" t="s">
        <v>7</v>
      </c>
      <c r="C192" s="9">
        <v>1</v>
      </c>
      <c r="D192" s="10"/>
      <c r="E192" s="11"/>
      <c r="F192" s="8">
        <f t="shared" si="16"/>
        <v>1</v>
      </c>
      <c r="G192" s="9">
        <v>1</v>
      </c>
      <c r="H192" s="10"/>
      <c r="I192" s="11"/>
      <c r="J192" s="8">
        <f t="shared" si="17"/>
        <v>1</v>
      </c>
      <c r="K192" s="32">
        <v>44994</v>
      </c>
    </row>
    <row r="193" spans="2:11" x14ac:dyDescent="0.15">
      <c r="B193" s="4" t="s">
        <v>7</v>
      </c>
      <c r="C193" s="9"/>
      <c r="D193" s="10">
        <v>1</v>
      </c>
      <c r="E193" s="11"/>
      <c r="F193" s="8">
        <f t="shared" si="16"/>
        <v>1</v>
      </c>
      <c r="G193" s="9"/>
      <c r="H193" s="10">
        <v>1</v>
      </c>
      <c r="I193" s="11"/>
      <c r="J193" s="8">
        <f t="shared" si="17"/>
        <v>1</v>
      </c>
      <c r="K193" s="32">
        <v>44995</v>
      </c>
    </row>
    <row r="194" spans="2:11" x14ac:dyDescent="0.15">
      <c r="B194" s="4" t="s">
        <v>7</v>
      </c>
      <c r="C194" s="9"/>
      <c r="D194" s="10">
        <v>1</v>
      </c>
      <c r="E194" s="11"/>
      <c r="F194" s="8">
        <f t="shared" si="16"/>
        <v>1</v>
      </c>
      <c r="G194" s="9"/>
      <c r="H194" s="10">
        <v>1</v>
      </c>
      <c r="I194" s="11"/>
      <c r="J194" s="8">
        <f t="shared" si="17"/>
        <v>1</v>
      </c>
      <c r="K194" s="32">
        <v>45001</v>
      </c>
    </row>
    <row r="195" spans="2:11" x14ac:dyDescent="0.15">
      <c r="B195" s="4" t="s">
        <v>7</v>
      </c>
      <c r="C195" s="9">
        <v>3</v>
      </c>
      <c r="D195" s="10"/>
      <c r="E195" s="11"/>
      <c r="F195" s="8">
        <f t="shared" si="16"/>
        <v>3</v>
      </c>
      <c r="G195" s="9">
        <v>3</v>
      </c>
      <c r="H195" s="10"/>
      <c r="I195" s="11"/>
      <c r="J195" s="8">
        <f t="shared" si="17"/>
        <v>3</v>
      </c>
      <c r="K195" s="32">
        <v>45005</v>
      </c>
    </row>
    <row r="196" spans="2:11" x14ac:dyDescent="0.15">
      <c r="B196" s="4" t="s">
        <v>7</v>
      </c>
      <c r="C196" s="9"/>
      <c r="D196" s="10">
        <v>1</v>
      </c>
      <c r="E196" s="11"/>
      <c r="F196" s="8">
        <f t="shared" si="16"/>
        <v>1</v>
      </c>
      <c r="G196" s="9"/>
      <c r="H196" s="10">
        <v>1</v>
      </c>
      <c r="I196" s="11"/>
      <c r="J196" s="8">
        <f t="shared" si="17"/>
        <v>1</v>
      </c>
      <c r="K196" s="32">
        <v>45008</v>
      </c>
    </row>
    <row r="197" spans="2:11" x14ac:dyDescent="0.15">
      <c r="B197" s="4" t="s">
        <v>7</v>
      </c>
      <c r="C197" s="9">
        <v>1</v>
      </c>
      <c r="D197" s="10"/>
      <c r="E197" s="11"/>
      <c r="F197" s="8">
        <f t="shared" si="16"/>
        <v>1</v>
      </c>
      <c r="G197" s="9">
        <v>1</v>
      </c>
      <c r="H197" s="10"/>
      <c r="I197" s="11"/>
      <c r="J197" s="8">
        <f t="shared" si="17"/>
        <v>1</v>
      </c>
      <c r="K197" s="32">
        <v>45012</v>
      </c>
    </row>
    <row r="198" spans="2:11" x14ac:dyDescent="0.15">
      <c r="B198" s="4" t="s">
        <v>7</v>
      </c>
      <c r="C198" s="9"/>
      <c r="D198" s="10">
        <v>1</v>
      </c>
      <c r="E198" s="11"/>
      <c r="F198" s="8">
        <f t="shared" si="16"/>
        <v>1</v>
      </c>
      <c r="G198" s="9"/>
      <c r="H198" s="10"/>
      <c r="I198" s="11"/>
      <c r="J198" s="8">
        <f t="shared" si="17"/>
        <v>0</v>
      </c>
      <c r="K198" s="32">
        <v>45019</v>
      </c>
    </row>
    <row r="199" spans="2:11" x14ac:dyDescent="0.15">
      <c r="B199" s="4" t="s">
        <v>7</v>
      </c>
      <c r="C199" s="9"/>
      <c r="D199" s="10">
        <v>1</v>
      </c>
      <c r="E199" s="11"/>
      <c r="F199" s="8">
        <f t="shared" si="16"/>
        <v>1</v>
      </c>
      <c r="G199" s="9"/>
      <c r="H199" s="10">
        <v>1</v>
      </c>
      <c r="I199" s="11"/>
      <c r="J199" s="8">
        <f t="shared" si="17"/>
        <v>1</v>
      </c>
      <c r="K199" s="32">
        <v>45027</v>
      </c>
    </row>
    <row r="200" spans="2:11" x14ac:dyDescent="0.15">
      <c r="B200" s="4" t="s">
        <v>7</v>
      </c>
      <c r="C200" s="9"/>
      <c r="D200" s="10">
        <f>1+1</f>
        <v>2</v>
      </c>
      <c r="E200" s="11"/>
      <c r="F200" s="8">
        <f t="shared" si="16"/>
        <v>2</v>
      </c>
      <c r="G200" s="9">
        <v>1</v>
      </c>
      <c r="H200" s="10">
        <f>1+1</f>
        <v>2</v>
      </c>
      <c r="I200" s="11"/>
      <c r="J200" s="8">
        <f t="shared" si="17"/>
        <v>3</v>
      </c>
      <c r="K200" s="32">
        <v>45054</v>
      </c>
    </row>
    <row r="201" spans="2:11" x14ac:dyDescent="0.15">
      <c r="B201" s="4" t="s">
        <v>7</v>
      </c>
      <c r="C201" s="9">
        <v>2</v>
      </c>
      <c r="D201" s="10"/>
      <c r="E201" s="11"/>
      <c r="F201" s="8">
        <f t="shared" si="16"/>
        <v>2</v>
      </c>
      <c r="G201" s="9"/>
      <c r="H201" s="10"/>
      <c r="I201" s="11"/>
      <c r="J201" s="8">
        <f t="shared" si="17"/>
        <v>0</v>
      </c>
      <c r="K201" s="32">
        <v>45055</v>
      </c>
    </row>
    <row r="202" spans="2:11" x14ac:dyDescent="0.15">
      <c r="B202" s="4" t="s">
        <v>7</v>
      </c>
      <c r="C202" s="9"/>
      <c r="D202" s="10">
        <v>1</v>
      </c>
      <c r="E202" s="11"/>
      <c r="F202" s="8">
        <f t="shared" si="16"/>
        <v>1</v>
      </c>
      <c r="G202" s="9"/>
      <c r="H202" s="10"/>
      <c r="I202" s="11"/>
      <c r="J202" s="8">
        <f t="shared" si="17"/>
        <v>0</v>
      </c>
      <c r="K202" s="32">
        <v>45057</v>
      </c>
    </row>
    <row r="203" spans="2:11" x14ac:dyDescent="0.15">
      <c r="B203" s="4" t="s">
        <v>7</v>
      </c>
      <c r="C203" s="9">
        <v>2</v>
      </c>
      <c r="D203" s="10"/>
      <c r="E203" s="11"/>
      <c r="F203" s="8">
        <f t="shared" si="16"/>
        <v>2</v>
      </c>
      <c r="G203" s="9"/>
      <c r="H203" s="10"/>
      <c r="I203" s="11"/>
      <c r="J203" s="8">
        <f t="shared" si="17"/>
        <v>0</v>
      </c>
      <c r="K203" s="32">
        <v>45065</v>
      </c>
    </row>
    <row r="204" spans="2:11" x14ac:dyDescent="0.15">
      <c r="B204" s="4" t="s">
        <v>7</v>
      </c>
      <c r="C204" s="9">
        <v>2</v>
      </c>
      <c r="D204" s="10"/>
      <c r="E204" s="11"/>
      <c r="F204" s="8">
        <f t="shared" si="16"/>
        <v>2</v>
      </c>
      <c r="G204" s="9"/>
      <c r="H204" s="10"/>
      <c r="I204" s="11"/>
      <c r="J204" s="8">
        <f t="shared" si="17"/>
        <v>0</v>
      </c>
      <c r="K204" s="32">
        <v>45070</v>
      </c>
    </row>
    <row r="205" spans="2:11" x14ac:dyDescent="0.15">
      <c r="B205" s="4" t="s">
        <v>7</v>
      </c>
      <c r="C205" s="9">
        <v>1</v>
      </c>
      <c r="D205" s="10"/>
      <c r="E205" s="11"/>
      <c r="F205" s="8">
        <f t="shared" si="16"/>
        <v>1</v>
      </c>
      <c r="G205" s="9">
        <v>1</v>
      </c>
      <c r="H205" s="10"/>
      <c r="I205" s="11"/>
      <c r="J205" s="8">
        <f t="shared" si="17"/>
        <v>1</v>
      </c>
      <c r="K205" s="32">
        <v>45072</v>
      </c>
    </row>
    <row r="206" spans="2:11" x14ac:dyDescent="0.15">
      <c r="B206" s="4" t="s">
        <v>7</v>
      </c>
      <c r="C206" s="9"/>
      <c r="D206" s="10">
        <v>1</v>
      </c>
      <c r="E206" s="11"/>
      <c r="F206" s="8">
        <f t="shared" si="16"/>
        <v>1</v>
      </c>
      <c r="G206" s="9"/>
      <c r="H206" s="10">
        <v>1</v>
      </c>
      <c r="I206" s="11"/>
      <c r="J206" s="8">
        <f t="shared" si="17"/>
        <v>1</v>
      </c>
      <c r="K206" s="32">
        <v>45075</v>
      </c>
    </row>
    <row r="207" spans="2:11" x14ac:dyDescent="0.15">
      <c r="B207" s="4" t="s">
        <v>7</v>
      </c>
      <c r="C207" s="9"/>
      <c r="D207" s="10">
        <v>4</v>
      </c>
      <c r="E207" s="11"/>
      <c r="F207" s="8">
        <f t="shared" si="16"/>
        <v>4</v>
      </c>
      <c r="G207" s="9"/>
      <c r="H207" s="10"/>
      <c r="I207" s="11"/>
      <c r="J207" s="8">
        <f t="shared" si="17"/>
        <v>0</v>
      </c>
      <c r="K207" s="32">
        <v>45077</v>
      </c>
    </row>
    <row r="208" spans="2:11" x14ac:dyDescent="0.15">
      <c r="B208" s="4" t="s">
        <v>7</v>
      </c>
      <c r="C208" s="9"/>
      <c r="D208" s="10"/>
      <c r="E208" s="11">
        <v>1</v>
      </c>
      <c r="F208" s="8">
        <f t="shared" si="16"/>
        <v>1</v>
      </c>
      <c r="G208" s="9"/>
      <c r="H208" s="10"/>
      <c r="I208" s="11">
        <v>1</v>
      </c>
      <c r="J208" s="8">
        <f t="shared" si="17"/>
        <v>1</v>
      </c>
      <c r="K208" s="32">
        <v>45078</v>
      </c>
    </row>
    <row r="209" spans="2:12" x14ac:dyDescent="0.15">
      <c r="B209" s="4" t="s">
        <v>7</v>
      </c>
      <c r="C209" s="9"/>
      <c r="D209" s="10">
        <v>1</v>
      </c>
      <c r="E209" s="11"/>
      <c r="F209" s="8">
        <f t="shared" si="14"/>
        <v>1</v>
      </c>
      <c r="G209" s="9"/>
      <c r="H209" s="10"/>
      <c r="I209" s="11"/>
      <c r="J209" s="8">
        <f t="shared" si="15"/>
        <v>0</v>
      </c>
      <c r="K209" s="32">
        <v>45090</v>
      </c>
    </row>
    <row r="210" spans="2:12" x14ac:dyDescent="0.15">
      <c r="B210" s="4" t="s">
        <v>7</v>
      </c>
      <c r="C210" s="9"/>
      <c r="D210" s="10">
        <v>2</v>
      </c>
      <c r="E210" s="11"/>
      <c r="F210" s="8">
        <f t="shared" si="14"/>
        <v>2</v>
      </c>
      <c r="G210" s="9"/>
      <c r="H210" s="10">
        <v>2</v>
      </c>
      <c r="I210" s="11"/>
      <c r="J210" s="8">
        <f t="shared" si="15"/>
        <v>2</v>
      </c>
      <c r="K210" s="32">
        <v>45097</v>
      </c>
    </row>
    <row r="211" spans="2:12" ht="14.25" thickBot="1" x14ac:dyDescent="0.2">
      <c r="B211" s="4" t="s">
        <v>7</v>
      </c>
      <c r="C211" s="9">
        <v>2</v>
      </c>
      <c r="D211" s="10"/>
      <c r="E211" s="11"/>
      <c r="F211" s="8">
        <f t="shared" si="14"/>
        <v>2</v>
      </c>
      <c r="G211" s="9"/>
      <c r="H211" s="10"/>
      <c r="I211" s="11"/>
      <c r="J211" s="8">
        <f t="shared" si="15"/>
        <v>0</v>
      </c>
      <c r="K211" s="32">
        <v>45111</v>
      </c>
    </row>
    <row r="212" spans="2:12" ht="14.25" thickBot="1" x14ac:dyDescent="0.2">
      <c r="B212" s="3" t="s">
        <v>5</v>
      </c>
      <c r="C212" s="15">
        <f>SUM(C188:C211)</f>
        <v>14</v>
      </c>
      <c r="D212" s="15">
        <f>SUM(D188:D211)</f>
        <v>20</v>
      </c>
      <c r="E212" s="15">
        <f>SUM(E188:E211)</f>
        <v>1</v>
      </c>
      <c r="F212" s="16">
        <f t="shared" si="14"/>
        <v>35</v>
      </c>
      <c r="G212" s="15">
        <f>SUM(G188:G211)</f>
        <v>7</v>
      </c>
      <c r="H212" s="15">
        <f>SUM(H188:H211)</f>
        <v>11</v>
      </c>
      <c r="I212" s="15">
        <f>SUM(I188:I211)</f>
        <v>1</v>
      </c>
      <c r="J212" s="16">
        <f t="shared" si="15"/>
        <v>19</v>
      </c>
    </row>
    <row r="213" spans="2:12" ht="14.25" thickBot="1" x14ac:dyDescent="0.2">
      <c r="B213" s="26" t="s">
        <v>6</v>
      </c>
      <c r="C213" s="27">
        <f t="shared" ref="C213:J213" si="18">C187-C212</f>
        <v>5</v>
      </c>
      <c r="D213" s="27">
        <f t="shared" si="18"/>
        <v>9</v>
      </c>
      <c r="E213" s="27">
        <f t="shared" si="18"/>
        <v>3</v>
      </c>
      <c r="F213" s="27">
        <f t="shared" si="18"/>
        <v>17</v>
      </c>
      <c r="G213" s="27">
        <f t="shared" si="18"/>
        <v>4</v>
      </c>
      <c r="H213" s="27">
        <f t="shared" si="18"/>
        <v>5</v>
      </c>
      <c r="I213" s="27">
        <f t="shared" si="18"/>
        <v>3</v>
      </c>
      <c r="J213" s="25">
        <f t="shared" si="18"/>
        <v>12</v>
      </c>
    </row>
    <row r="216" spans="2:12" ht="19.5" thickBot="1" x14ac:dyDescent="0.25">
      <c r="B216" s="33" t="s">
        <v>14</v>
      </c>
      <c r="C216" s="1"/>
      <c r="D216" s="1"/>
      <c r="E216" s="1"/>
      <c r="F216" s="1"/>
      <c r="G216" s="34"/>
      <c r="H216" s="34">
        <v>1425</v>
      </c>
      <c r="I216" s="34"/>
      <c r="J216" s="34"/>
    </row>
    <row r="217" spans="2:12" ht="14.25" thickBot="1" x14ac:dyDescent="0.2">
      <c r="B217" s="2" t="s">
        <v>0</v>
      </c>
      <c r="C217" s="86" t="s">
        <v>15</v>
      </c>
      <c r="D217" s="86"/>
      <c r="E217" s="86"/>
      <c r="F217" s="87"/>
      <c r="G217" s="82" t="s">
        <v>16</v>
      </c>
      <c r="H217" s="82"/>
      <c r="I217" s="82"/>
      <c r="J217" s="83"/>
    </row>
    <row r="218" spans="2:12" ht="14.25" thickBot="1" x14ac:dyDescent="0.2">
      <c r="B218" s="2" t="s">
        <v>1</v>
      </c>
      <c r="C218" s="3" t="s">
        <v>9</v>
      </c>
      <c r="D218" s="2" t="s">
        <v>10</v>
      </c>
      <c r="E218" s="19" t="s">
        <v>11</v>
      </c>
      <c r="F218" s="2" t="s">
        <v>2</v>
      </c>
      <c r="G218" s="3" t="s">
        <v>9</v>
      </c>
      <c r="H218" s="2" t="s">
        <v>10</v>
      </c>
      <c r="I218" s="19" t="s">
        <v>11</v>
      </c>
      <c r="J218" s="2" t="s">
        <v>2</v>
      </c>
    </row>
    <row r="219" spans="2:12" x14ac:dyDescent="0.15">
      <c r="B219" s="28" t="s">
        <v>12</v>
      </c>
      <c r="C219" s="39">
        <f>C213</f>
        <v>5</v>
      </c>
      <c r="D219" s="40">
        <f>D213</f>
        <v>9</v>
      </c>
      <c r="E219" s="41">
        <f>E213</f>
        <v>3</v>
      </c>
      <c r="F219" s="18">
        <f>SUM(C219:E219)</f>
        <v>17</v>
      </c>
      <c r="G219" s="39">
        <f>G213</f>
        <v>4</v>
      </c>
      <c r="H219" s="61">
        <f>H213</f>
        <v>5</v>
      </c>
      <c r="I219" s="41">
        <f>I213</f>
        <v>3</v>
      </c>
      <c r="J219" s="18">
        <f>SUM(G219:I219)</f>
        <v>12</v>
      </c>
    </row>
    <row r="220" spans="2:12" x14ac:dyDescent="0.15">
      <c r="B220" s="6" t="s">
        <v>28</v>
      </c>
      <c r="C220" s="11"/>
      <c r="D220" s="10"/>
      <c r="E220" s="11">
        <v>-1</v>
      </c>
      <c r="F220" s="5">
        <f t="shared" ref="F220:F225" si="19">SUM(C220:E220)</f>
        <v>-1</v>
      </c>
      <c r="G220" s="11"/>
      <c r="H220" s="10"/>
      <c r="I220" s="11">
        <v>-1</v>
      </c>
      <c r="J220" s="5">
        <f t="shared" ref="J220:J225" si="20">SUM(G220:I220)</f>
        <v>-1</v>
      </c>
      <c r="K220" s="32">
        <v>45142</v>
      </c>
      <c r="L220" s="31"/>
    </row>
    <row r="221" spans="2:12" x14ac:dyDescent="0.15">
      <c r="B221" s="6" t="s">
        <v>3</v>
      </c>
      <c r="C221" s="11"/>
      <c r="D221" s="10"/>
      <c r="E221" s="11">
        <v>2</v>
      </c>
      <c r="F221" s="5">
        <f t="shared" si="19"/>
        <v>2</v>
      </c>
      <c r="G221" s="11"/>
      <c r="H221" s="10"/>
      <c r="I221" s="11">
        <v>2</v>
      </c>
      <c r="J221" s="5">
        <f t="shared" si="20"/>
        <v>2</v>
      </c>
      <c r="K221" s="30">
        <v>45166</v>
      </c>
    </row>
    <row r="222" spans="2:12" x14ac:dyDescent="0.15">
      <c r="B222" s="6" t="s">
        <v>3</v>
      </c>
      <c r="C222" s="11"/>
      <c r="D222" s="10"/>
      <c r="E222" s="11">
        <v>2</v>
      </c>
      <c r="F222" s="5">
        <f t="shared" si="19"/>
        <v>2</v>
      </c>
      <c r="G222" s="11"/>
      <c r="H222" s="10"/>
      <c r="I222" s="11">
        <v>2</v>
      </c>
      <c r="J222" s="5">
        <f t="shared" si="20"/>
        <v>2</v>
      </c>
      <c r="K222" s="30">
        <v>45210</v>
      </c>
      <c r="L222" s="31"/>
    </row>
    <row r="223" spans="2:12" x14ac:dyDescent="0.15">
      <c r="B223" s="6" t="s">
        <v>3</v>
      </c>
      <c r="C223" s="11"/>
      <c r="D223" s="10"/>
      <c r="E223" s="11"/>
      <c r="F223" s="5">
        <f t="shared" si="19"/>
        <v>0</v>
      </c>
      <c r="G223" s="11"/>
      <c r="H223" s="10">
        <v>3</v>
      </c>
      <c r="I223" s="11"/>
      <c r="J223" s="5">
        <f t="shared" si="20"/>
        <v>3</v>
      </c>
      <c r="K223" s="30">
        <v>45231</v>
      </c>
      <c r="L223" s="31"/>
    </row>
    <row r="224" spans="2:12" x14ac:dyDescent="0.15">
      <c r="B224" s="6" t="s">
        <v>3</v>
      </c>
      <c r="C224" s="11"/>
      <c r="D224" s="10">
        <v>2</v>
      </c>
      <c r="E224" s="11"/>
      <c r="F224" s="5">
        <f t="shared" si="19"/>
        <v>2</v>
      </c>
      <c r="G224" s="11"/>
      <c r="H224" s="10">
        <v>2</v>
      </c>
      <c r="I224" s="11"/>
      <c r="J224" s="5">
        <f t="shared" si="20"/>
        <v>2</v>
      </c>
      <c r="K224" s="30">
        <v>45258</v>
      </c>
    </row>
    <row r="225" spans="2:11" x14ac:dyDescent="0.15">
      <c r="B225" s="6" t="s">
        <v>3</v>
      </c>
      <c r="C225" s="11"/>
      <c r="D225" s="10"/>
      <c r="E225" s="11"/>
      <c r="F225" s="5">
        <f t="shared" si="19"/>
        <v>0</v>
      </c>
      <c r="G225" s="11">
        <v>2</v>
      </c>
      <c r="H225" s="10"/>
      <c r="I225" s="11"/>
      <c r="J225" s="5">
        <f t="shared" si="20"/>
        <v>2</v>
      </c>
      <c r="K225" s="30">
        <v>45286</v>
      </c>
    </row>
    <row r="226" spans="2:11" x14ac:dyDescent="0.15">
      <c r="B226" s="6" t="s">
        <v>3</v>
      </c>
      <c r="C226" s="11"/>
      <c r="D226" s="10">
        <v>2</v>
      </c>
      <c r="E226" s="11"/>
      <c r="F226" s="5">
        <f t="shared" ref="F226:F255" si="21">SUM(C226:E226)</f>
        <v>2</v>
      </c>
      <c r="G226" s="11"/>
      <c r="H226" s="10"/>
      <c r="I226" s="11">
        <v>2</v>
      </c>
      <c r="J226" s="5">
        <f t="shared" ref="J226:J255" si="22">SUM(G226:I226)</f>
        <v>2</v>
      </c>
      <c r="K226" s="30">
        <v>45301</v>
      </c>
    </row>
    <row r="227" spans="2:11" x14ac:dyDescent="0.15">
      <c r="B227" s="6" t="s">
        <v>3</v>
      </c>
      <c r="C227" s="11">
        <v>2</v>
      </c>
      <c r="D227" s="10">
        <v>3</v>
      </c>
      <c r="E227" s="11">
        <v>3</v>
      </c>
      <c r="F227" s="5">
        <f t="shared" si="21"/>
        <v>8</v>
      </c>
      <c r="G227" s="11"/>
      <c r="H227" s="10">
        <v>2</v>
      </c>
      <c r="I227" s="11">
        <v>2</v>
      </c>
      <c r="J227" s="5">
        <f t="shared" si="22"/>
        <v>4</v>
      </c>
      <c r="K227" s="30">
        <v>45330</v>
      </c>
    </row>
    <row r="228" spans="2:11" x14ac:dyDescent="0.15">
      <c r="B228" s="6" t="s">
        <v>3</v>
      </c>
      <c r="C228" s="11"/>
      <c r="D228" s="10"/>
      <c r="E228" s="11">
        <v>5</v>
      </c>
      <c r="F228" s="5">
        <f t="shared" si="21"/>
        <v>5</v>
      </c>
      <c r="G228" s="11"/>
      <c r="H228" s="10"/>
      <c r="I228" s="11">
        <v>5</v>
      </c>
      <c r="J228" s="5">
        <f t="shared" si="22"/>
        <v>5</v>
      </c>
      <c r="K228" s="30">
        <v>45370</v>
      </c>
    </row>
    <row r="229" spans="2:11" ht="14.25" thickBot="1" x14ac:dyDescent="0.2">
      <c r="B229" s="7" t="s">
        <v>3</v>
      </c>
      <c r="C229" s="14">
        <v>2</v>
      </c>
      <c r="D229" s="13"/>
      <c r="E229" s="14"/>
      <c r="F229" s="20">
        <f t="shared" si="21"/>
        <v>2</v>
      </c>
      <c r="G229" s="14"/>
      <c r="H229" s="29"/>
      <c r="I229" s="14"/>
      <c r="J229" s="20">
        <f t="shared" si="22"/>
        <v>0</v>
      </c>
      <c r="K229" s="30">
        <v>45379</v>
      </c>
    </row>
    <row r="230" spans="2:11" ht="14.25" thickBot="1" x14ac:dyDescent="0.2">
      <c r="B230" s="22" t="s">
        <v>4</v>
      </c>
      <c r="C230" s="23">
        <f>SUM(C219:C229)</f>
        <v>9</v>
      </c>
      <c r="D230" s="23">
        <f>SUM(D219:D229)</f>
        <v>16</v>
      </c>
      <c r="E230" s="24">
        <f>SUM(E219:E229)</f>
        <v>14</v>
      </c>
      <c r="F230" s="25">
        <f t="shared" si="21"/>
        <v>39</v>
      </c>
      <c r="G230" s="23">
        <f>SUM(G219:G229)</f>
        <v>6</v>
      </c>
      <c r="H230" s="23">
        <f>SUM(H219:H229)</f>
        <v>12</v>
      </c>
      <c r="I230" s="24">
        <f>SUM(I219:I229)</f>
        <v>15</v>
      </c>
      <c r="J230" s="25">
        <f t="shared" si="22"/>
        <v>33</v>
      </c>
    </row>
    <row r="231" spans="2:11" x14ac:dyDescent="0.15">
      <c r="B231" s="4" t="s">
        <v>7</v>
      </c>
      <c r="C231" s="9"/>
      <c r="D231" s="10">
        <v>1</v>
      </c>
      <c r="E231" s="11"/>
      <c r="F231" s="8">
        <f t="shared" ref="F231:F252" si="23">SUM(C231:E231)</f>
        <v>1</v>
      </c>
      <c r="G231" s="9">
        <v>1</v>
      </c>
      <c r="H231" s="10">
        <v>1</v>
      </c>
      <c r="I231" s="11"/>
      <c r="J231" s="8">
        <f t="shared" ref="J231:J252" si="24">SUM(G231:I231)</f>
        <v>2</v>
      </c>
      <c r="K231" s="32">
        <v>45113</v>
      </c>
    </row>
    <row r="232" spans="2:11" x14ac:dyDescent="0.15">
      <c r="B232" s="4" t="s">
        <v>7</v>
      </c>
      <c r="C232" s="9"/>
      <c r="D232" s="10"/>
      <c r="E232" s="11">
        <v>1</v>
      </c>
      <c r="F232" s="8">
        <f t="shared" si="23"/>
        <v>1</v>
      </c>
      <c r="G232" s="9"/>
      <c r="H232" s="10"/>
      <c r="I232" s="11">
        <v>1</v>
      </c>
      <c r="J232" s="8">
        <f t="shared" si="24"/>
        <v>1</v>
      </c>
      <c r="K232" s="32">
        <v>45117</v>
      </c>
    </row>
    <row r="233" spans="2:11" x14ac:dyDescent="0.15">
      <c r="B233" s="4" t="s">
        <v>7</v>
      </c>
      <c r="C233" s="9"/>
      <c r="D233" s="10"/>
      <c r="E233" s="11">
        <v>2</v>
      </c>
      <c r="F233" s="8">
        <f t="shared" si="23"/>
        <v>2</v>
      </c>
      <c r="G233" s="9"/>
      <c r="H233" s="10"/>
      <c r="I233" s="11">
        <v>2</v>
      </c>
      <c r="J233" s="8">
        <f t="shared" si="24"/>
        <v>2</v>
      </c>
      <c r="K233" s="32">
        <v>45194</v>
      </c>
    </row>
    <row r="234" spans="2:11" x14ac:dyDescent="0.15">
      <c r="B234" s="4" t="s">
        <v>7</v>
      </c>
      <c r="C234" s="9">
        <v>1</v>
      </c>
      <c r="D234" s="10"/>
      <c r="E234" s="11"/>
      <c r="F234" s="8">
        <f t="shared" si="23"/>
        <v>1</v>
      </c>
      <c r="G234" s="9"/>
      <c r="H234" s="10"/>
      <c r="I234" s="11"/>
      <c r="J234" s="8">
        <f t="shared" si="24"/>
        <v>0</v>
      </c>
      <c r="K234" s="32">
        <v>45195</v>
      </c>
    </row>
    <row r="235" spans="2:11" x14ac:dyDescent="0.15">
      <c r="B235" s="4" t="s">
        <v>7</v>
      </c>
      <c r="C235" s="9"/>
      <c r="D235" s="10">
        <v>2</v>
      </c>
      <c r="E235" s="11"/>
      <c r="F235" s="8">
        <f t="shared" si="23"/>
        <v>2</v>
      </c>
      <c r="G235" s="9"/>
      <c r="H235" s="10">
        <v>2</v>
      </c>
      <c r="I235" s="11"/>
      <c r="J235" s="8">
        <f t="shared" si="24"/>
        <v>2</v>
      </c>
      <c r="K235" s="32">
        <v>45205</v>
      </c>
    </row>
    <row r="236" spans="2:11" x14ac:dyDescent="0.15">
      <c r="B236" s="4" t="s">
        <v>7</v>
      </c>
      <c r="C236" s="9"/>
      <c r="D236" s="10">
        <v>1</v>
      </c>
      <c r="E236" s="11"/>
      <c r="F236" s="8">
        <f t="shared" si="23"/>
        <v>1</v>
      </c>
      <c r="G236" s="9"/>
      <c r="H236" s="10">
        <v>1</v>
      </c>
      <c r="I236" s="11"/>
      <c r="J236" s="8">
        <f t="shared" si="24"/>
        <v>1</v>
      </c>
      <c r="K236" s="32">
        <v>45224</v>
      </c>
    </row>
    <row r="237" spans="2:11" x14ac:dyDescent="0.15">
      <c r="B237" s="4" t="s">
        <v>7</v>
      </c>
      <c r="C237" s="9"/>
      <c r="D237" s="10">
        <v>1</v>
      </c>
      <c r="E237" s="11"/>
      <c r="F237" s="8">
        <f t="shared" si="23"/>
        <v>1</v>
      </c>
      <c r="G237" s="9"/>
      <c r="H237" s="10"/>
      <c r="I237" s="11"/>
      <c r="J237" s="8">
        <f t="shared" si="24"/>
        <v>0</v>
      </c>
      <c r="K237" s="32">
        <v>45229</v>
      </c>
    </row>
    <row r="238" spans="2:11" x14ac:dyDescent="0.15">
      <c r="B238" s="4" t="s">
        <v>7</v>
      </c>
      <c r="C238" s="9">
        <v>1</v>
      </c>
      <c r="D238" s="10"/>
      <c r="E238" s="11"/>
      <c r="F238" s="8">
        <f t="shared" si="23"/>
        <v>1</v>
      </c>
      <c r="G238" s="9">
        <v>1</v>
      </c>
      <c r="H238" s="10"/>
      <c r="I238" s="11"/>
      <c r="J238" s="8">
        <f t="shared" si="24"/>
        <v>1</v>
      </c>
      <c r="K238" s="32">
        <v>45245</v>
      </c>
    </row>
    <row r="239" spans="2:11" x14ac:dyDescent="0.15">
      <c r="B239" s="4" t="s">
        <v>7</v>
      </c>
      <c r="C239" s="9"/>
      <c r="D239" s="10">
        <v>1</v>
      </c>
      <c r="E239" s="11"/>
      <c r="F239" s="8">
        <f t="shared" si="23"/>
        <v>1</v>
      </c>
      <c r="G239" s="9"/>
      <c r="H239" s="10">
        <v>1</v>
      </c>
      <c r="I239" s="11"/>
      <c r="J239" s="8">
        <f t="shared" si="24"/>
        <v>1</v>
      </c>
      <c r="K239" s="32">
        <v>45252</v>
      </c>
    </row>
    <row r="240" spans="2:11" x14ac:dyDescent="0.15">
      <c r="B240" s="4" t="s">
        <v>7</v>
      </c>
      <c r="C240" s="9"/>
      <c r="D240" s="10">
        <v>1</v>
      </c>
      <c r="E240" s="11"/>
      <c r="F240" s="8">
        <f t="shared" si="23"/>
        <v>1</v>
      </c>
      <c r="G240" s="9"/>
      <c r="H240" s="10">
        <v>1</v>
      </c>
      <c r="I240" s="11"/>
      <c r="J240" s="8">
        <f t="shared" si="24"/>
        <v>1</v>
      </c>
      <c r="K240" s="32">
        <v>45254</v>
      </c>
    </row>
    <row r="241" spans="2:11" x14ac:dyDescent="0.15">
      <c r="B241" s="4" t="s">
        <v>7</v>
      </c>
      <c r="C241" s="9">
        <v>1</v>
      </c>
      <c r="D241" s="10"/>
      <c r="E241" s="11"/>
      <c r="F241" s="8">
        <f t="shared" si="23"/>
        <v>1</v>
      </c>
      <c r="G241" s="9">
        <v>1</v>
      </c>
      <c r="H241" s="10"/>
      <c r="I241" s="11"/>
      <c r="J241" s="8">
        <f t="shared" si="24"/>
        <v>1</v>
      </c>
      <c r="K241" s="32">
        <v>45267</v>
      </c>
    </row>
    <row r="242" spans="2:11" x14ac:dyDescent="0.15">
      <c r="B242" s="4" t="s">
        <v>7</v>
      </c>
      <c r="C242" s="9"/>
      <c r="D242" s="10">
        <v>1</v>
      </c>
      <c r="E242" s="11"/>
      <c r="F242" s="8">
        <f t="shared" si="23"/>
        <v>1</v>
      </c>
      <c r="G242" s="9"/>
      <c r="H242" s="10"/>
      <c r="I242" s="11"/>
      <c r="J242" s="8">
        <f t="shared" si="24"/>
        <v>0</v>
      </c>
      <c r="K242" s="32">
        <v>45272</v>
      </c>
    </row>
    <row r="243" spans="2:11" x14ac:dyDescent="0.15">
      <c r="B243" s="4" t="s">
        <v>24</v>
      </c>
      <c r="C243" s="9">
        <v>-1</v>
      </c>
      <c r="D243" s="10"/>
      <c r="E243" s="11"/>
      <c r="F243" s="8">
        <f t="shared" si="23"/>
        <v>-1</v>
      </c>
      <c r="G243" s="9">
        <v>-1</v>
      </c>
      <c r="H243" s="10"/>
      <c r="I243" s="11"/>
      <c r="J243" s="8">
        <f t="shared" si="24"/>
        <v>-1</v>
      </c>
      <c r="K243" s="32">
        <v>45273</v>
      </c>
    </row>
    <row r="244" spans="2:11" x14ac:dyDescent="0.15">
      <c r="B244" s="4" t="s">
        <v>7</v>
      </c>
      <c r="C244" s="9"/>
      <c r="D244" s="10">
        <v>1</v>
      </c>
      <c r="E244" s="11"/>
      <c r="F244" s="8">
        <f t="shared" si="23"/>
        <v>1</v>
      </c>
      <c r="G244" s="9"/>
      <c r="H244" s="10"/>
      <c r="I244" s="11"/>
      <c r="J244" s="8">
        <f t="shared" si="24"/>
        <v>0</v>
      </c>
      <c r="K244" s="32">
        <v>45278</v>
      </c>
    </row>
    <row r="245" spans="2:11" x14ac:dyDescent="0.15">
      <c r="B245" s="4" t="s">
        <v>7</v>
      </c>
      <c r="C245" s="9"/>
      <c r="D245" s="10"/>
      <c r="E245" s="11"/>
      <c r="F245" s="8">
        <f t="shared" si="23"/>
        <v>0</v>
      </c>
      <c r="G245" s="9"/>
      <c r="H245" s="10"/>
      <c r="I245" s="11">
        <v>1</v>
      </c>
      <c r="J245" s="8">
        <f t="shared" si="24"/>
        <v>1</v>
      </c>
      <c r="K245" s="32">
        <v>45296</v>
      </c>
    </row>
    <row r="246" spans="2:11" x14ac:dyDescent="0.15">
      <c r="B246" s="4" t="s">
        <v>7</v>
      </c>
      <c r="C246" s="9"/>
      <c r="D246" s="10"/>
      <c r="E246" s="11">
        <v>1</v>
      </c>
      <c r="F246" s="8">
        <f t="shared" si="23"/>
        <v>1</v>
      </c>
      <c r="G246" s="9"/>
      <c r="H246" s="10"/>
      <c r="I246" s="11">
        <v>1</v>
      </c>
      <c r="J246" s="8">
        <f t="shared" si="24"/>
        <v>1</v>
      </c>
      <c r="K246" s="32">
        <v>45315</v>
      </c>
    </row>
    <row r="247" spans="2:11" x14ac:dyDescent="0.15">
      <c r="B247" s="4" t="s">
        <v>7</v>
      </c>
      <c r="C247" s="9"/>
      <c r="D247" s="10"/>
      <c r="E247" s="11">
        <f>1+1</f>
        <v>2</v>
      </c>
      <c r="F247" s="8">
        <f t="shared" si="23"/>
        <v>2</v>
      </c>
      <c r="G247" s="9"/>
      <c r="H247" s="10"/>
      <c r="I247" s="11">
        <f>1+1</f>
        <v>2</v>
      </c>
      <c r="J247" s="8">
        <f t="shared" si="24"/>
        <v>2</v>
      </c>
      <c r="K247" s="32">
        <v>45327</v>
      </c>
    </row>
    <row r="248" spans="2:11" x14ac:dyDescent="0.15">
      <c r="B248" s="4" t="s">
        <v>7</v>
      </c>
      <c r="C248" s="9"/>
      <c r="D248" s="10">
        <v>1</v>
      </c>
      <c r="E248" s="11"/>
      <c r="F248" s="8">
        <f t="shared" si="23"/>
        <v>1</v>
      </c>
      <c r="G248" s="9"/>
      <c r="H248" s="10"/>
      <c r="I248" s="11"/>
      <c r="J248" s="8">
        <f t="shared" si="24"/>
        <v>0</v>
      </c>
      <c r="K248" s="32">
        <v>45331</v>
      </c>
    </row>
    <row r="249" spans="2:11" x14ac:dyDescent="0.15">
      <c r="B249" s="4" t="s">
        <v>7</v>
      </c>
      <c r="C249" s="9"/>
      <c r="D249" s="10"/>
      <c r="E249" s="11">
        <v>1</v>
      </c>
      <c r="F249" s="8">
        <f t="shared" si="23"/>
        <v>1</v>
      </c>
      <c r="G249" s="9"/>
      <c r="H249" s="10"/>
      <c r="I249" s="11">
        <v>1</v>
      </c>
      <c r="J249" s="8">
        <f t="shared" si="24"/>
        <v>1</v>
      </c>
      <c r="K249" s="32">
        <v>45352</v>
      </c>
    </row>
    <row r="250" spans="2:11" x14ac:dyDescent="0.15">
      <c r="B250" s="4" t="s">
        <v>7</v>
      </c>
      <c r="C250" s="9">
        <v>2</v>
      </c>
      <c r="D250" s="10"/>
      <c r="E250" s="11"/>
      <c r="F250" s="8">
        <f t="shared" si="23"/>
        <v>2</v>
      </c>
      <c r="G250" s="9"/>
      <c r="H250" s="10"/>
      <c r="I250" s="11"/>
      <c r="J250" s="8">
        <f t="shared" si="24"/>
        <v>0</v>
      </c>
      <c r="K250" s="32">
        <v>45355</v>
      </c>
    </row>
    <row r="251" spans="2:11" x14ac:dyDescent="0.15">
      <c r="B251" s="4" t="s">
        <v>7</v>
      </c>
      <c r="C251" s="9"/>
      <c r="D251" s="10"/>
      <c r="E251" s="11">
        <v>1</v>
      </c>
      <c r="F251" s="8">
        <f t="shared" si="23"/>
        <v>1</v>
      </c>
      <c r="G251" s="9"/>
      <c r="H251" s="10"/>
      <c r="I251" s="11">
        <v>1</v>
      </c>
      <c r="J251" s="8">
        <f t="shared" si="24"/>
        <v>1</v>
      </c>
      <c r="K251" s="32">
        <v>45359</v>
      </c>
    </row>
    <row r="252" spans="2:11" x14ac:dyDescent="0.15">
      <c r="B252" s="4" t="s">
        <v>7</v>
      </c>
      <c r="C252" s="9"/>
      <c r="D252" s="10"/>
      <c r="E252" s="11">
        <v>1</v>
      </c>
      <c r="F252" s="8">
        <f t="shared" si="23"/>
        <v>1</v>
      </c>
      <c r="G252" s="9"/>
      <c r="H252" s="10"/>
      <c r="I252" s="11">
        <v>1</v>
      </c>
      <c r="J252" s="8">
        <f t="shared" si="24"/>
        <v>1</v>
      </c>
      <c r="K252" s="32">
        <v>45366</v>
      </c>
    </row>
    <row r="253" spans="2:11" x14ac:dyDescent="0.15">
      <c r="B253" s="4" t="s">
        <v>7</v>
      </c>
      <c r="C253" s="9"/>
      <c r="D253" s="10"/>
      <c r="E253" s="11"/>
      <c r="F253" s="8">
        <f t="shared" si="21"/>
        <v>0</v>
      </c>
      <c r="G253" s="9"/>
      <c r="H253" s="10">
        <v>1</v>
      </c>
      <c r="I253" s="11"/>
      <c r="J253" s="8">
        <f t="shared" si="22"/>
        <v>1</v>
      </c>
      <c r="K253" s="32">
        <v>45370</v>
      </c>
    </row>
    <row r="254" spans="2:11" ht="14.25" thickBot="1" x14ac:dyDescent="0.2">
      <c r="B254" s="4" t="s">
        <v>7</v>
      </c>
      <c r="C254" s="9"/>
      <c r="D254" s="10">
        <v>1</v>
      </c>
      <c r="E254" s="11"/>
      <c r="F254" s="8">
        <f t="shared" si="21"/>
        <v>1</v>
      </c>
      <c r="G254" s="9"/>
      <c r="H254" s="10">
        <v>1</v>
      </c>
      <c r="I254" s="11"/>
      <c r="J254" s="8">
        <f t="shared" si="22"/>
        <v>1</v>
      </c>
      <c r="K254" s="32">
        <v>45401</v>
      </c>
    </row>
    <row r="255" spans="2:11" ht="14.25" thickBot="1" x14ac:dyDescent="0.2">
      <c r="B255" s="3" t="s">
        <v>5</v>
      </c>
      <c r="C255" s="15">
        <f>SUM(C231:C254)</f>
        <v>4</v>
      </c>
      <c r="D255" s="15">
        <f>SUM(D231:D254)</f>
        <v>11</v>
      </c>
      <c r="E255" s="15">
        <f>SUM(E231:E254)</f>
        <v>9</v>
      </c>
      <c r="F255" s="16">
        <f t="shared" si="21"/>
        <v>24</v>
      </c>
      <c r="G255" s="15">
        <f>SUM(G231:G254)</f>
        <v>2</v>
      </c>
      <c r="H255" s="15">
        <f>SUM(H231:H254)</f>
        <v>8</v>
      </c>
      <c r="I255" s="15">
        <f>SUM(I231:I254)</f>
        <v>10</v>
      </c>
      <c r="J255" s="16">
        <f t="shared" si="22"/>
        <v>20</v>
      </c>
    </row>
    <row r="256" spans="2:11" ht="14.25" thickBot="1" x14ac:dyDescent="0.2">
      <c r="B256" s="26" t="s">
        <v>6</v>
      </c>
      <c r="C256" s="27">
        <f t="shared" ref="C256:J256" si="25">C230-C255</f>
        <v>5</v>
      </c>
      <c r="D256" s="27">
        <f t="shared" si="25"/>
        <v>5</v>
      </c>
      <c r="E256" s="27">
        <f t="shared" si="25"/>
        <v>5</v>
      </c>
      <c r="F256" s="27">
        <f t="shared" si="25"/>
        <v>15</v>
      </c>
      <c r="G256" s="27">
        <f t="shared" si="25"/>
        <v>4</v>
      </c>
      <c r="H256" s="27">
        <f t="shared" si="25"/>
        <v>4</v>
      </c>
      <c r="I256" s="27">
        <f t="shared" si="25"/>
        <v>5</v>
      </c>
      <c r="J256" s="25">
        <f t="shared" si="25"/>
        <v>13</v>
      </c>
    </row>
    <row r="259" spans="2:12" ht="19.5" thickBot="1" x14ac:dyDescent="0.25">
      <c r="B259" s="33" t="s">
        <v>14</v>
      </c>
      <c r="C259" s="1"/>
      <c r="D259" s="1"/>
      <c r="E259" s="1"/>
      <c r="F259" s="1"/>
      <c r="G259" s="34"/>
      <c r="H259" s="34">
        <v>1425</v>
      </c>
      <c r="I259" s="34"/>
      <c r="J259" s="34"/>
    </row>
    <row r="260" spans="2:12" ht="14.25" thickBot="1" x14ac:dyDescent="0.2">
      <c r="B260" s="2" t="s">
        <v>0</v>
      </c>
      <c r="C260" s="86" t="s">
        <v>15</v>
      </c>
      <c r="D260" s="86"/>
      <c r="E260" s="86"/>
      <c r="F260" s="87"/>
      <c r="G260" s="82" t="s">
        <v>16</v>
      </c>
      <c r="H260" s="82"/>
      <c r="I260" s="82"/>
      <c r="J260" s="83"/>
    </row>
    <row r="261" spans="2:12" ht="14.25" thickBot="1" x14ac:dyDescent="0.2">
      <c r="B261" s="2" t="s">
        <v>1</v>
      </c>
      <c r="C261" s="3" t="s">
        <v>9</v>
      </c>
      <c r="D261" s="2" t="s">
        <v>10</v>
      </c>
      <c r="E261" s="19" t="s">
        <v>11</v>
      </c>
      <c r="F261" s="2" t="s">
        <v>2</v>
      </c>
      <c r="G261" s="3" t="s">
        <v>9</v>
      </c>
      <c r="H261" s="2" t="s">
        <v>10</v>
      </c>
      <c r="I261" s="19" t="s">
        <v>11</v>
      </c>
      <c r="J261" s="2" t="s">
        <v>2</v>
      </c>
    </row>
    <row r="262" spans="2:12" x14ac:dyDescent="0.15">
      <c r="B262" s="28" t="s">
        <v>12</v>
      </c>
      <c r="C262" s="39">
        <f>C256</f>
        <v>5</v>
      </c>
      <c r="D262" s="40">
        <f>D256</f>
        <v>5</v>
      </c>
      <c r="E262" s="41">
        <f>E256</f>
        <v>5</v>
      </c>
      <c r="F262" s="18">
        <f>SUM(C262:E262)</f>
        <v>15</v>
      </c>
      <c r="G262" s="39">
        <f>G256</f>
        <v>4</v>
      </c>
      <c r="H262" s="61">
        <f>H256</f>
        <v>4</v>
      </c>
      <c r="I262" s="41">
        <f>I256</f>
        <v>5</v>
      </c>
      <c r="J262" s="18">
        <f>SUM(G262:I262)</f>
        <v>13</v>
      </c>
    </row>
    <row r="263" spans="2:12" x14ac:dyDescent="0.15">
      <c r="B263" s="6" t="s">
        <v>28</v>
      </c>
      <c r="C263" s="11">
        <v>0</v>
      </c>
      <c r="D263" s="10">
        <v>-1</v>
      </c>
      <c r="E263" s="11">
        <v>-2</v>
      </c>
      <c r="F263" s="5">
        <f t="shared" ref="F263" si="26">SUM(C263:E263)</f>
        <v>-3</v>
      </c>
      <c r="G263" s="11">
        <v>0</v>
      </c>
      <c r="H263" s="10">
        <v>0</v>
      </c>
      <c r="I263" s="11">
        <v>0</v>
      </c>
      <c r="J263" s="5">
        <f t="shared" ref="J263" si="27">SUM(G263:I263)</f>
        <v>0</v>
      </c>
      <c r="K263" s="30">
        <v>45530</v>
      </c>
      <c r="L263" s="31"/>
    </row>
    <row r="264" spans="2:12" x14ac:dyDescent="0.15">
      <c r="B264" s="6" t="s">
        <v>3</v>
      </c>
      <c r="C264" s="11"/>
      <c r="D264" s="10"/>
      <c r="E264" s="11">
        <v>2</v>
      </c>
      <c r="F264" s="5">
        <f t="shared" ref="F264:F298" si="28">SUM(C264:E264)</f>
        <v>2</v>
      </c>
      <c r="G264" s="11"/>
      <c r="H264" s="10"/>
      <c r="I264" s="11"/>
      <c r="J264" s="5">
        <f t="shared" ref="J264:J298" si="29">SUM(G264:I264)</f>
        <v>0</v>
      </c>
      <c r="K264" s="30">
        <v>45538</v>
      </c>
    </row>
    <row r="265" spans="2:12" x14ac:dyDescent="0.15">
      <c r="B265" s="6" t="s">
        <v>3</v>
      </c>
      <c r="C265" s="11"/>
      <c r="D265" s="10">
        <v>2</v>
      </c>
      <c r="E265" s="11"/>
      <c r="F265" s="5">
        <f t="shared" si="28"/>
        <v>2</v>
      </c>
      <c r="G265" s="11">
        <v>3</v>
      </c>
      <c r="H265" s="10">
        <v>2</v>
      </c>
      <c r="I265" s="11"/>
      <c r="J265" s="5">
        <f t="shared" si="29"/>
        <v>5</v>
      </c>
      <c r="K265" s="30">
        <v>45598</v>
      </c>
      <c r="L265" s="31"/>
    </row>
    <row r="266" spans="2:12" x14ac:dyDescent="0.15">
      <c r="B266" s="6" t="s">
        <v>3</v>
      </c>
      <c r="C266" s="11"/>
      <c r="D266" s="10">
        <v>2</v>
      </c>
      <c r="E266" s="11"/>
      <c r="F266" s="5">
        <f t="shared" si="28"/>
        <v>2</v>
      </c>
      <c r="G266" s="11"/>
      <c r="H266" s="10">
        <v>2</v>
      </c>
      <c r="I266" s="11"/>
      <c r="J266" s="5">
        <f t="shared" si="29"/>
        <v>2</v>
      </c>
      <c r="K266" s="30">
        <v>45609</v>
      </c>
      <c r="L266" s="31"/>
    </row>
    <row r="267" spans="2:12" x14ac:dyDescent="0.15">
      <c r="B267" s="6" t="s">
        <v>3</v>
      </c>
      <c r="C267" s="11"/>
      <c r="D267" s="10"/>
      <c r="E267" s="11">
        <v>2</v>
      </c>
      <c r="F267" s="5">
        <f t="shared" si="28"/>
        <v>2</v>
      </c>
      <c r="G267" s="11"/>
      <c r="H267" s="10"/>
      <c r="I267" s="11">
        <v>2</v>
      </c>
      <c r="J267" s="5">
        <f t="shared" si="29"/>
        <v>2</v>
      </c>
      <c r="K267" s="30">
        <v>45622</v>
      </c>
    </row>
    <row r="268" spans="2:12" x14ac:dyDescent="0.15">
      <c r="B268" s="6" t="s">
        <v>3</v>
      </c>
      <c r="C268" s="11"/>
      <c r="D268" s="10">
        <v>3</v>
      </c>
      <c r="E268" s="11"/>
      <c r="F268" s="5">
        <f t="shared" si="28"/>
        <v>3</v>
      </c>
      <c r="G268" s="11"/>
      <c r="H268" s="10">
        <v>3</v>
      </c>
      <c r="I268" s="11"/>
      <c r="J268" s="5">
        <f t="shared" si="29"/>
        <v>3</v>
      </c>
      <c r="K268" s="30">
        <v>45679</v>
      </c>
    </row>
    <row r="269" spans="2:12" x14ac:dyDescent="0.15">
      <c r="B269" s="6" t="s">
        <v>3</v>
      </c>
      <c r="C269" s="11"/>
      <c r="D269" s="10">
        <v>1</v>
      </c>
      <c r="E269" s="11"/>
      <c r="F269" s="5">
        <f t="shared" si="28"/>
        <v>1</v>
      </c>
      <c r="G269" s="11"/>
      <c r="H269" s="10">
        <v>1</v>
      </c>
      <c r="I269" s="11"/>
      <c r="J269" s="5">
        <f t="shared" si="29"/>
        <v>1</v>
      </c>
      <c r="K269" s="30">
        <v>45706</v>
      </c>
    </row>
    <row r="270" spans="2:12" x14ac:dyDescent="0.15">
      <c r="B270" s="6" t="s">
        <v>3</v>
      </c>
      <c r="C270" s="11"/>
      <c r="D270" s="10">
        <v>3</v>
      </c>
      <c r="E270" s="11"/>
      <c r="F270" s="5">
        <f t="shared" si="28"/>
        <v>3</v>
      </c>
      <c r="G270" s="11"/>
      <c r="H270" s="10"/>
      <c r="I270" s="11"/>
      <c r="J270" s="5">
        <f t="shared" si="29"/>
        <v>0</v>
      </c>
      <c r="K270" s="30">
        <v>45720</v>
      </c>
    </row>
    <row r="271" spans="2:12" x14ac:dyDescent="0.15">
      <c r="B271" s="6" t="s">
        <v>3</v>
      </c>
      <c r="C271" s="11"/>
      <c r="D271" s="10">
        <v>3</v>
      </c>
      <c r="E271" s="11">
        <v>3</v>
      </c>
      <c r="F271" s="5">
        <f t="shared" si="28"/>
        <v>6</v>
      </c>
      <c r="G271" s="11"/>
      <c r="H271" s="10">
        <v>5</v>
      </c>
      <c r="I271" s="11">
        <v>3</v>
      </c>
      <c r="J271" s="5">
        <f t="shared" si="29"/>
        <v>8</v>
      </c>
      <c r="K271" s="30">
        <v>45740</v>
      </c>
      <c r="L271" s="31"/>
    </row>
    <row r="272" spans="2:12" ht="14.25" thickBot="1" x14ac:dyDescent="0.2">
      <c r="B272" s="7" t="s">
        <v>3</v>
      </c>
      <c r="C272" s="14"/>
      <c r="D272" s="13"/>
      <c r="E272" s="14">
        <v>2</v>
      </c>
      <c r="F272" s="20">
        <f t="shared" si="28"/>
        <v>2</v>
      </c>
      <c r="G272" s="14"/>
      <c r="H272" s="29"/>
      <c r="I272" s="14">
        <v>2</v>
      </c>
      <c r="J272" s="20">
        <f t="shared" si="29"/>
        <v>2</v>
      </c>
      <c r="K272" s="30">
        <v>45855</v>
      </c>
      <c r="L272" s="31"/>
    </row>
    <row r="273" spans="2:11" ht="14.25" thickBot="1" x14ac:dyDescent="0.2">
      <c r="B273" s="22" t="s">
        <v>4</v>
      </c>
      <c r="C273" s="23">
        <f>SUM(C262:C272)</f>
        <v>5</v>
      </c>
      <c r="D273" s="23">
        <f>SUM(D262:D272)</f>
        <v>18</v>
      </c>
      <c r="E273" s="24">
        <f>SUM(E262:E272)</f>
        <v>12</v>
      </c>
      <c r="F273" s="25">
        <f t="shared" si="28"/>
        <v>35</v>
      </c>
      <c r="G273" s="23">
        <f>SUM(G262:G272)</f>
        <v>7</v>
      </c>
      <c r="H273" s="23">
        <f>SUM(H262:H272)</f>
        <v>17</v>
      </c>
      <c r="I273" s="24">
        <f>SUM(I262:I272)</f>
        <v>12</v>
      </c>
      <c r="J273" s="25">
        <f t="shared" si="29"/>
        <v>36</v>
      </c>
    </row>
    <row r="274" spans="2:11" x14ac:dyDescent="0.15">
      <c r="B274" s="4" t="s">
        <v>7</v>
      </c>
      <c r="C274" s="9">
        <v>1</v>
      </c>
      <c r="D274" s="10"/>
      <c r="E274" s="11"/>
      <c r="F274" s="8">
        <f t="shared" ref="F274:F295" si="30">SUM(C274:E274)</f>
        <v>1</v>
      </c>
      <c r="G274" s="9">
        <v>1</v>
      </c>
      <c r="H274" s="10"/>
      <c r="I274" s="11"/>
      <c r="J274" s="8">
        <f t="shared" ref="J274:J295" si="31">SUM(G274:I274)</f>
        <v>1</v>
      </c>
      <c r="K274" s="32">
        <v>45457</v>
      </c>
    </row>
    <row r="275" spans="2:11" x14ac:dyDescent="0.15">
      <c r="B275" s="4" t="s">
        <v>7</v>
      </c>
      <c r="C275" s="9"/>
      <c r="D275" s="10">
        <v>1</v>
      </c>
      <c r="E275" s="11"/>
      <c r="F275" s="8">
        <f t="shared" si="30"/>
        <v>1</v>
      </c>
      <c r="G275" s="9"/>
      <c r="H275" s="10">
        <v>1</v>
      </c>
      <c r="I275" s="11"/>
      <c r="J275" s="8">
        <f t="shared" si="31"/>
        <v>1</v>
      </c>
      <c r="K275" s="32">
        <v>45470</v>
      </c>
    </row>
    <row r="276" spans="2:11" x14ac:dyDescent="0.15">
      <c r="B276" s="4" t="s">
        <v>7</v>
      </c>
      <c r="C276" s="9"/>
      <c r="D276" s="10"/>
      <c r="E276" s="11">
        <v>1</v>
      </c>
      <c r="F276" s="8">
        <f t="shared" si="30"/>
        <v>1</v>
      </c>
      <c r="G276" s="9"/>
      <c r="H276" s="10"/>
      <c r="I276" s="11">
        <v>1</v>
      </c>
      <c r="J276" s="8">
        <f t="shared" si="31"/>
        <v>1</v>
      </c>
      <c r="K276" s="32">
        <v>45484</v>
      </c>
    </row>
    <row r="277" spans="2:11" x14ac:dyDescent="0.15">
      <c r="B277" s="4" t="s">
        <v>7</v>
      </c>
      <c r="C277" s="9"/>
      <c r="D277" s="10"/>
      <c r="E277" s="11">
        <v>1</v>
      </c>
      <c r="F277" s="8">
        <f t="shared" si="30"/>
        <v>1</v>
      </c>
      <c r="G277" s="9"/>
      <c r="H277" s="10"/>
      <c r="I277" s="11">
        <v>1</v>
      </c>
      <c r="J277" s="8">
        <f t="shared" si="31"/>
        <v>1</v>
      </c>
      <c r="K277" s="32">
        <v>45534</v>
      </c>
    </row>
    <row r="278" spans="2:11" x14ac:dyDescent="0.15">
      <c r="B278" s="4" t="s">
        <v>7</v>
      </c>
      <c r="C278" s="9"/>
      <c r="D278" s="10"/>
      <c r="E278" s="11"/>
      <c r="F278" s="8">
        <f t="shared" si="30"/>
        <v>0</v>
      </c>
      <c r="G278" s="9">
        <v>1</v>
      </c>
      <c r="H278" s="10"/>
      <c r="I278" s="11"/>
      <c r="J278" s="8">
        <f t="shared" si="31"/>
        <v>1</v>
      </c>
      <c r="K278" s="32">
        <v>45552</v>
      </c>
    </row>
    <row r="279" spans="2:11" x14ac:dyDescent="0.15">
      <c r="B279" s="4" t="s">
        <v>7</v>
      </c>
      <c r="C279" s="9"/>
      <c r="D279" s="10">
        <v>1</v>
      </c>
      <c r="E279" s="11"/>
      <c r="F279" s="8">
        <f t="shared" si="30"/>
        <v>1</v>
      </c>
      <c r="G279" s="9"/>
      <c r="H279" s="10">
        <v>1</v>
      </c>
      <c r="I279" s="11"/>
      <c r="J279" s="8">
        <f t="shared" si="31"/>
        <v>1</v>
      </c>
      <c r="K279" s="32">
        <v>45593</v>
      </c>
    </row>
    <row r="280" spans="2:11" x14ac:dyDescent="0.15">
      <c r="B280" s="4" t="s">
        <v>7</v>
      </c>
      <c r="C280" s="9"/>
      <c r="D280" s="10"/>
      <c r="E280" s="11"/>
      <c r="F280" s="8">
        <f t="shared" si="30"/>
        <v>0</v>
      </c>
      <c r="G280" s="9">
        <v>1</v>
      </c>
      <c r="H280" s="10"/>
      <c r="I280" s="11"/>
      <c r="J280" s="8">
        <f t="shared" si="31"/>
        <v>1</v>
      </c>
      <c r="K280" s="32">
        <v>45595</v>
      </c>
    </row>
    <row r="281" spans="2:11" x14ac:dyDescent="0.15">
      <c r="B281" s="4" t="s">
        <v>7</v>
      </c>
      <c r="C281" s="9"/>
      <c r="D281" s="10">
        <v>1</v>
      </c>
      <c r="E281" s="11"/>
      <c r="F281" s="8">
        <f t="shared" si="30"/>
        <v>1</v>
      </c>
      <c r="G281" s="9"/>
      <c r="H281" s="10">
        <v>1</v>
      </c>
      <c r="I281" s="11"/>
      <c r="J281" s="8">
        <f t="shared" si="31"/>
        <v>1</v>
      </c>
      <c r="K281" s="32">
        <v>45604</v>
      </c>
    </row>
    <row r="282" spans="2:11" x14ac:dyDescent="0.15">
      <c r="B282" s="4" t="s">
        <v>7</v>
      </c>
      <c r="C282" s="9"/>
      <c r="D282" s="10">
        <v>1</v>
      </c>
      <c r="E282" s="11"/>
      <c r="F282" s="8">
        <f t="shared" si="30"/>
        <v>1</v>
      </c>
      <c r="G282" s="9"/>
      <c r="H282" s="10">
        <v>1</v>
      </c>
      <c r="I282" s="11"/>
      <c r="J282" s="8">
        <f t="shared" si="31"/>
        <v>1</v>
      </c>
      <c r="K282" s="32">
        <v>45608</v>
      </c>
    </row>
    <row r="283" spans="2:11" x14ac:dyDescent="0.15">
      <c r="B283" s="4" t="s">
        <v>7</v>
      </c>
      <c r="C283" s="9"/>
      <c r="D283" s="10"/>
      <c r="E283" s="11">
        <v>1</v>
      </c>
      <c r="F283" s="8">
        <f t="shared" si="30"/>
        <v>1</v>
      </c>
      <c r="G283" s="9"/>
      <c r="H283" s="10"/>
      <c r="I283" s="11">
        <v>1</v>
      </c>
      <c r="J283" s="8">
        <f t="shared" si="31"/>
        <v>1</v>
      </c>
      <c r="K283" s="32">
        <v>45610</v>
      </c>
    </row>
    <row r="284" spans="2:11" x14ac:dyDescent="0.15">
      <c r="B284" s="4" t="s">
        <v>7</v>
      </c>
      <c r="C284" s="9"/>
      <c r="D284" s="10">
        <v>1</v>
      </c>
      <c r="E284" s="11"/>
      <c r="F284" s="8">
        <f t="shared" si="30"/>
        <v>1</v>
      </c>
      <c r="G284" s="9"/>
      <c r="H284" s="10">
        <v>1</v>
      </c>
      <c r="I284" s="11"/>
      <c r="J284" s="8">
        <f t="shared" si="31"/>
        <v>1</v>
      </c>
      <c r="K284" s="32">
        <v>45637</v>
      </c>
    </row>
    <row r="285" spans="2:11" x14ac:dyDescent="0.15">
      <c r="B285" s="4" t="s">
        <v>7</v>
      </c>
      <c r="C285" s="9"/>
      <c r="D285" s="10"/>
      <c r="E285" s="11">
        <v>1</v>
      </c>
      <c r="F285" s="8">
        <f t="shared" si="30"/>
        <v>1</v>
      </c>
      <c r="G285" s="9"/>
      <c r="H285" s="10"/>
      <c r="I285" s="11">
        <v>1</v>
      </c>
      <c r="J285" s="8">
        <f t="shared" si="31"/>
        <v>1</v>
      </c>
      <c r="K285" s="32">
        <v>45663</v>
      </c>
    </row>
    <row r="286" spans="2:11" x14ac:dyDescent="0.15">
      <c r="B286" s="4" t="s">
        <v>7</v>
      </c>
      <c r="C286" s="9"/>
      <c r="D286" s="10">
        <v>1</v>
      </c>
      <c r="E286" s="11"/>
      <c r="F286" s="8">
        <f t="shared" si="30"/>
        <v>1</v>
      </c>
      <c r="G286" s="9"/>
      <c r="H286" s="10">
        <v>1</v>
      </c>
      <c r="I286" s="11"/>
      <c r="J286" s="8">
        <f t="shared" si="31"/>
        <v>1</v>
      </c>
      <c r="K286" s="32">
        <v>45673</v>
      </c>
    </row>
    <row r="287" spans="2:11" x14ac:dyDescent="0.15">
      <c r="B287" s="4" t="s">
        <v>7</v>
      </c>
      <c r="C287" s="9"/>
      <c r="D287" s="10"/>
      <c r="E287" s="11">
        <v>1</v>
      </c>
      <c r="F287" s="8">
        <f t="shared" si="30"/>
        <v>1</v>
      </c>
      <c r="G287" s="9"/>
      <c r="H287" s="10"/>
      <c r="I287" s="11">
        <v>1</v>
      </c>
      <c r="J287" s="8">
        <f t="shared" si="31"/>
        <v>1</v>
      </c>
      <c r="K287" s="32">
        <v>45694</v>
      </c>
    </row>
    <row r="288" spans="2:11" x14ac:dyDescent="0.15">
      <c r="B288" s="4" t="s">
        <v>7</v>
      </c>
      <c r="C288" s="9"/>
      <c r="D288" s="10">
        <f>1+1</f>
        <v>2</v>
      </c>
      <c r="E288" s="11"/>
      <c r="F288" s="8">
        <f t="shared" si="30"/>
        <v>2</v>
      </c>
      <c r="G288" s="9"/>
      <c r="H288" s="10">
        <v>1</v>
      </c>
      <c r="I288" s="11"/>
      <c r="J288" s="8">
        <f t="shared" si="31"/>
        <v>1</v>
      </c>
      <c r="K288" s="32">
        <v>45698</v>
      </c>
    </row>
    <row r="289" spans="2:11" x14ac:dyDescent="0.15">
      <c r="B289" s="4" t="s">
        <v>7</v>
      </c>
      <c r="C289" s="9"/>
      <c r="D289" s="10">
        <v>1</v>
      </c>
      <c r="E289" s="11"/>
      <c r="F289" s="8">
        <f t="shared" si="30"/>
        <v>1</v>
      </c>
      <c r="G289" s="9"/>
      <c r="H289" s="10">
        <v>1</v>
      </c>
      <c r="I289" s="11"/>
      <c r="J289" s="8">
        <f t="shared" si="31"/>
        <v>1</v>
      </c>
      <c r="K289" s="32">
        <v>45700</v>
      </c>
    </row>
    <row r="290" spans="2:11" x14ac:dyDescent="0.15">
      <c r="B290" s="4" t="s">
        <v>7</v>
      </c>
      <c r="C290" s="9"/>
      <c r="D290" s="10">
        <v>1</v>
      </c>
      <c r="E290" s="11"/>
      <c r="F290" s="8">
        <f t="shared" si="30"/>
        <v>1</v>
      </c>
      <c r="G290" s="9"/>
      <c r="H290" s="10"/>
      <c r="I290" s="11"/>
      <c r="J290" s="8">
        <f t="shared" si="31"/>
        <v>0</v>
      </c>
      <c r="K290" s="32">
        <v>45706</v>
      </c>
    </row>
    <row r="291" spans="2:11" x14ac:dyDescent="0.15">
      <c r="B291" s="4" t="s">
        <v>7</v>
      </c>
      <c r="C291" s="9"/>
      <c r="D291" s="10">
        <v>1</v>
      </c>
      <c r="E291" s="11"/>
      <c r="F291" s="8">
        <f t="shared" si="30"/>
        <v>1</v>
      </c>
      <c r="G291" s="9"/>
      <c r="H291" s="10">
        <v>1</v>
      </c>
      <c r="I291" s="11"/>
      <c r="J291" s="8">
        <f t="shared" si="31"/>
        <v>1</v>
      </c>
      <c r="K291" s="32">
        <v>45722</v>
      </c>
    </row>
    <row r="292" spans="2:11" x14ac:dyDescent="0.15">
      <c r="B292" s="4" t="s">
        <v>7</v>
      </c>
      <c r="C292" s="9"/>
      <c r="D292" s="10">
        <v>2</v>
      </c>
      <c r="E292" s="11">
        <v>1</v>
      </c>
      <c r="F292" s="8">
        <f t="shared" si="30"/>
        <v>3</v>
      </c>
      <c r="G292" s="9"/>
      <c r="H292" s="10">
        <v>2</v>
      </c>
      <c r="I292" s="11">
        <v>1</v>
      </c>
      <c r="J292" s="8">
        <f t="shared" si="31"/>
        <v>3</v>
      </c>
      <c r="K292" s="32">
        <v>45733</v>
      </c>
    </row>
    <row r="293" spans="2:11" x14ac:dyDescent="0.15">
      <c r="B293" s="4" t="s">
        <v>7</v>
      </c>
      <c r="C293" s="9"/>
      <c r="D293" s="10"/>
      <c r="E293" s="11">
        <v>1</v>
      </c>
      <c r="F293" s="8">
        <f t="shared" si="30"/>
        <v>1</v>
      </c>
      <c r="G293" s="9"/>
      <c r="H293" s="10"/>
      <c r="I293" s="11">
        <v>1</v>
      </c>
      <c r="J293" s="8">
        <f t="shared" si="31"/>
        <v>1</v>
      </c>
      <c r="K293" s="32">
        <v>45824</v>
      </c>
    </row>
    <row r="294" spans="2:11" x14ac:dyDescent="0.15">
      <c r="B294" s="4" t="s">
        <v>7</v>
      </c>
      <c r="C294" s="9"/>
      <c r="D294" s="10"/>
      <c r="E294" s="11">
        <v>1</v>
      </c>
      <c r="F294" s="8">
        <f t="shared" si="30"/>
        <v>1</v>
      </c>
      <c r="G294" s="9"/>
      <c r="H294" s="10"/>
      <c r="I294" s="11">
        <v>1</v>
      </c>
      <c r="J294" s="8">
        <f t="shared" si="31"/>
        <v>1</v>
      </c>
      <c r="K294" s="32">
        <v>45831</v>
      </c>
    </row>
    <row r="295" spans="2:11" x14ac:dyDescent="0.15">
      <c r="B295" s="4" t="s">
        <v>7</v>
      </c>
      <c r="C295" s="9"/>
      <c r="D295" s="10">
        <v>1</v>
      </c>
      <c r="E295" s="11"/>
      <c r="F295" s="8">
        <f t="shared" si="30"/>
        <v>1</v>
      </c>
      <c r="G295" s="9"/>
      <c r="H295" s="10">
        <v>1</v>
      </c>
      <c r="I295" s="11"/>
      <c r="J295" s="8">
        <f t="shared" si="31"/>
        <v>1</v>
      </c>
      <c r="K295" s="32">
        <v>45877</v>
      </c>
    </row>
    <row r="296" spans="2:11" x14ac:dyDescent="0.15">
      <c r="B296" s="4" t="s">
        <v>7</v>
      </c>
      <c r="C296" s="9"/>
      <c r="D296" s="10">
        <v>1</v>
      </c>
      <c r="E296" s="11">
        <v>1</v>
      </c>
      <c r="F296" s="8">
        <f t="shared" si="28"/>
        <v>2</v>
      </c>
      <c r="G296" s="9"/>
      <c r="H296" s="10">
        <v>1</v>
      </c>
      <c r="I296" s="11">
        <v>1</v>
      </c>
      <c r="J296" s="8">
        <f t="shared" si="29"/>
        <v>2</v>
      </c>
      <c r="K296" s="32">
        <v>45888</v>
      </c>
    </row>
    <row r="297" spans="2:11" ht="14.25" thickBot="1" x14ac:dyDescent="0.2">
      <c r="B297" s="4" t="s">
        <v>64</v>
      </c>
      <c r="C297" s="9">
        <v>0</v>
      </c>
      <c r="D297" s="10">
        <v>0</v>
      </c>
      <c r="E297" s="11">
        <v>0</v>
      </c>
      <c r="F297" s="8">
        <f t="shared" si="28"/>
        <v>0</v>
      </c>
      <c r="G297" s="9">
        <v>0</v>
      </c>
      <c r="H297" s="10">
        <v>0</v>
      </c>
      <c r="I297" s="11">
        <v>0</v>
      </c>
      <c r="J297" s="8">
        <f t="shared" si="29"/>
        <v>0</v>
      </c>
      <c r="K297" s="32">
        <v>45889</v>
      </c>
    </row>
    <row r="298" spans="2:11" ht="14.25" thickBot="1" x14ac:dyDescent="0.2">
      <c r="B298" s="3" t="s">
        <v>5</v>
      </c>
      <c r="C298" s="15">
        <f>SUM(C274:C297)</f>
        <v>1</v>
      </c>
      <c r="D298" s="15">
        <f>SUM(D274:D297)</f>
        <v>15</v>
      </c>
      <c r="E298" s="15">
        <f>SUM(E274:E297)</f>
        <v>9</v>
      </c>
      <c r="F298" s="16">
        <f t="shared" si="28"/>
        <v>25</v>
      </c>
      <c r="G298" s="15">
        <f>SUM(G274:G297)</f>
        <v>3</v>
      </c>
      <c r="H298" s="15">
        <f>SUM(H274:H297)</f>
        <v>13</v>
      </c>
      <c r="I298" s="15">
        <f>SUM(I274:I297)</f>
        <v>9</v>
      </c>
      <c r="J298" s="16">
        <f t="shared" si="29"/>
        <v>25</v>
      </c>
    </row>
    <row r="299" spans="2:11" ht="14.25" thickBot="1" x14ac:dyDescent="0.2">
      <c r="B299" s="26" t="s">
        <v>6</v>
      </c>
      <c r="C299" s="27">
        <f t="shared" ref="C299:J299" si="32">C273-C298</f>
        <v>4</v>
      </c>
      <c r="D299" s="27">
        <f t="shared" si="32"/>
        <v>3</v>
      </c>
      <c r="E299" s="27">
        <f t="shared" si="32"/>
        <v>3</v>
      </c>
      <c r="F299" s="27">
        <f t="shared" si="32"/>
        <v>10</v>
      </c>
      <c r="G299" s="27">
        <f t="shared" si="32"/>
        <v>4</v>
      </c>
      <c r="H299" s="27">
        <f t="shared" si="32"/>
        <v>4</v>
      </c>
      <c r="I299" s="27">
        <f t="shared" si="32"/>
        <v>3</v>
      </c>
      <c r="J299" s="25">
        <f t="shared" si="32"/>
        <v>11</v>
      </c>
    </row>
    <row r="302" spans="2:11" ht="19.5" thickBot="1" x14ac:dyDescent="0.25">
      <c r="B302" s="33" t="s">
        <v>14</v>
      </c>
      <c r="C302" s="1"/>
      <c r="D302" s="1"/>
      <c r="E302" s="1"/>
      <c r="F302" s="1"/>
      <c r="G302" s="34"/>
      <c r="H302" s="34">
        <v>1425</v>
      </c>
      <c r="I302" s="34"/>
      <c r="J302" s="34"/>
    </row>
    <row r="303" spans="2:11" ht="14.25" thickBot="1" x14ac:dyDescent="0.2">
      <c r="B303" s="2" t="s">
        <v>0</v>
      </c>
      <c r="C303" s="86" t="s">
        <v>15</v>
      </c>
      <c r="D303" s="86"/>
      <c r="E303" s="86"/>
      <c r="F303" s="87"/>
      <c r="G303" s="82" t="s">
        <v>16</v>
      </c>
      <c r="H303" s="82"/>
      <c r="I303" s="82"/>
      <c r="J303" s="83"/>
    </row>
    <row r="304" spans="2:11" ht="14.25" thickBot="1" x14ac:dyDescent="0.2">
      <c r="B304" s="2" t="s">
        <v>1</v>
      </c>
      <c r="C304" s="3" t="s">
        <v>9</v>
      </c>
      <c r="D304" s="2" t="s">
        <v>10</v>
      </c>
      <c r="E304" s="19" t="s">
        <v>11</v>
      </c>
      <c r="F304" s="2" t="s">
        <v>2</v>
      </c>
      <c r="G304" s="3" t="s">
        <v>9</v>
      </c>
      <c r="H304" s="2" t="s">
        <v>10</v>
      </c>
      <c r="I304" s="19" t="s">
        <v>11</v>
      </c>
      <c r="J304" s="2" t="s">
        <v>2</v>
      </c>
    </row>
    <row r="305" spans="1:12" x14ac:dyDescent="0.15">
      <c r="B305" s="28" t="s">
        <v>12</v>
      </c>
      <c r="C305" s="39">
        <f>C299</f>
        <v>4</v>
      </c>
      <c r="D305" s="40">
        <f>D299</f>
        <v>3</v>
      </c>
      <c r="E305" s="41">
        <f>E299</f>
        <v>3</v>
      </c>
      <c r="F305" s="18">
        <f>SUM(C305:E305)</f>
        <v>10</v>
      </c>
      <c r="G305" s="39">
        <f>G299</f>
        <v>4</v>
      </c>
      <c r="H305" s="61">
        <f>H299</f>
        <v>4</v>
      </c>
      <c r="I305" s="41">
        <f>I299</f>
        <v>3</v>
      </c>
      <c r="J305" s="18">
        <f>SUM(G305:I305)</f>
        <v>11</v>
      </c>
    </row>
    <row r="306" spans="1:12" x14ac:dyDescent="0.15">
      <c r="B306" s="6" t="s">
        <v>3</v>
      </c>
      <c r="C306" s="11"/>
      <c r="D306" s="10">
        <v>5</v>
      </c>
      <c r="E306" s="11"/>
      <c r="F306" s="5">
        <f t="shared" ref="F306:F341" si="33">SUM(C306:E306)</f>
        <v>5</v>
      </c>
      <c r="G306" s="11"/>
      <c r="H306" s="10">
        <v>5</v>
      </c>
      <c r="I306" s="11"/>
      <c r="J306" s="5">
        <f t="shared" ref="J306:J341" si="34">SUM(G306:I306)</f>
        <v>5</v>
      </c>
      <c r="K306" s="30">
        <v>45898</v>
      </c>
      <c r="L306" s="66" t="s">
        <v>71</v>
      </c>
    </row>
    <row r="307" spans="1:12" x14ac:dyDescent="0.15">
      <c r="A307" s="31"/>
      <c r="B307" s="6" t="s">
        <v>3</v>
      </c>
      <c r="C307" s="11"/>
      <c r="D307" s="10">
        <v>3</v>
      </c>
      <c r="E307" s="11"/>
      <c r="F307" s="5">
        <f t="shared" si="33"/>
        <v>3</v>
      </c>
      <c r="G307" s="11"/>
      <c r="H307" s="10"/>
      <c r="I307" s="11"/>
      <c r="J307" s="5">
        <f t="shared" si="34"/>
        <v>0</v>
      </c>
      <c r="K307" s="30">
        <v>46015</v>
      </c>
      <c r="L307" s="31"/>
    </row>
    <row r="308" spans="1:12" x14ac:dyDescent="0.15">
      <c r="A308" s="31"/>
      <c r="B308" s="6" t="s">
        <v>3</v>
      </c>
      <c r="C308" s="11"/>
      <c r="D308" s="10">
        <v>5</v>
      </c>
      <c r="E308" s="11"/>
      <c r="F308" s="5">
        <f t="shared" si="33"/>
        <v>5</v>
      </c>
      <c r="G308" s="11"/>
      <c r="H308" s="10">
        <v>5</v>
      </c>
      <c r="I308" s="11"/>
      <c r="J308" s="5">
        <f t="shared" si="34"/>
        <v>5</v>
      </c>
      <c r="K308" s="30">
        <v>46037</v>
      </c>
      <c r="L308" s="31"/>
    </row>
    <row r="309" spans="1:12" x14ac:dyDescent="0.15">
      <c r="A309" s="31"/>
      <c r="B309" s="6" t="s">
        <v>3</v>
      </c>
      <c r="C309" s="11"/>
      <c r="D309" s="10">
        <v>2</v>
      </c>
      <c r="E309" s="11"/>
      <c r="F309" s="5">
        <f t="shared" si="33"/>
        <v>2</v>
      </c>
      <c r="G309" s="11"/>
      <c r="H309" s="10">
        <v>4</v>
      </c>
      <c r="I309" s="11"/>
      <c r="J309" s="5">
        <f t="shared" si="34"/>
        <v>4</v>
      </c>
      <c r="K309" s="30">
        <v>46072</v>
      </c>
      <c r="L309" s="31"/>
    </row>
    <row r="310" spans="1:12" x14ac:dyDescent="0.15">
      <c r="A310" s="31"/>
      <c r="B310" s="6" t="s">
        <v>3</v>
      </c>
      <c r="C310" s="11"/>
      <c r="D310" s="10"/>
      <c r="E310" s="11">
        <v>3</v>
      </c>
      <c r="F310" s="5">
        <f t="shared" si="33"/>
        <v>3</v>
      </c>
      <c r="G310" s="11"/>
      <c r="H310" s="10"/>
      <c r="I310" s="11">
        <v>3</v>
      </c>
      <c r="J310" s="5">
        <f t="shared" si="34"/>
        <v>3</v>
      </c>
      <c r="K310" s="30">
        <v>46080</v>
      </c>
    </row>
    <row r="311" spans="1:12" x14ac:dyDescent="0.15">
      <c r="A311" s="31"/>
      <c r="B311" s="6" t="s">
        <v>28</v>
      </c>
      <c r="C311" s="11">
        <v>0</v>
      </c>
      <c r="D311" s="10">
        <v>-1</v>
      </c>
      <c r="E311" s="11">
        <v>0</v>
      </c>
      <c r="F311" s="5">
        <f t="shared" si="33"/>
        <v>-1</v>
      </c>
      <c r="G311" s="11">
        <v>0</v>
      </c>
      <c r="H311" s="10">
        <v>0</v>
      </c>
      <c r="I311" s="11">
        <v>0</v>
      </c>
      <c r="J311" s="5">
        <f t="shared" si="34"/>
        <v>0</v>
      </c>
      <c r="K311" s="30">
        <v>46085</v>
      </c>
      <c r="L311" s="31"/>
    </row>
    <row r="312" spans="1:12" x14ac:dyDescent="0.15">
      <c r="A312" s="31"/>
      <c r="B312" s="6" t="s">
        <v>3</v>
      </c>
      <c r="C312" s="11">
        <v>2</v>
      </c>
      <c r="D312" s="10">
        <v>2</v>
      </c>
      <c r="E312" s="11">
        <v>2</v>
      </c>
      <c r="F312" s="5">
        <f t="shared" si="33"/>
        <v>6</v>
      </c>
      <c r="G312" s="11"/>
      <c r="H312" s="10"/>
      <c r="I312" s="11">
        <v>2</v>
      </c>
      <c r="J312" s="5">
        <f t="shared" si="34"/>
        <v>2</v>
      </c>
      <c r="K312" s="30">
        <v>46094</v>
      </c>
      <c r="L312" s="31"/>
    </row>
    <row r="313" spans="1:12" x14ac:dyDescent="0.15">
      <c r="A313" s="31"/>
      <c r="B313" s="6" t="s">
        <v>3</v>
      </c>
      <c r="C313" s="11"/>
      <c r="D313" s="10"/>
      <c r="E313" s="11">
        <v>3</v>
      </c>
      <c r="F313" s="5">
        <f t="shared" si="33"/>
        <v>3</v>
      </c>
      <c r="G313" s="11"/>
      <c r="H313" s="10"/>
      <c r="I313" s="11">
        <v>3</v>
      </c>
      <c r="J313" s="5">
        <f t="shared" si="34"/>
        <v>3</v>
      </c>
      <c r="K313" s="30">
        <v>46143</v>
      </c>
    </row>
    <row r="314" spans="1:12" x14ac:dyDescent="0.15">
      <c r="B314" s="75" t="s">
        <v>3</v>
      </c>
      <c r="C314" s="72"/>
      <c r="D314" s="71"/>
      <c r="E314" s="72"/>
      <c r="F314" s="79">
        <f t="shared" si="33"/>
        <v>0</v>
      </c>
      <c r="G314" s="72"/>
      <c r="H314" s="71">
        <v>2</v>
      </c>
      <c r="I314" s="72"/>
      <c r="J314" s="79">
        <f t="shared" si="34"/>
        <v>2</v>
      </c>
      <c r="K314" s="74">
        <v>46161</v>
      </c>
    </row>
    <row r="315" spans="1:12" ht="14.25" thickBot="1" x14ac:dyDescent="0.2">
      <c r="B315" s="7" t="s">
        <v>3</v>
      </c>
      <c r="C315" s="14">
        <v>2</v>
      </c>
      <c r="D315" s="13"/>
      <c r="E315" s="14"/>
      <c r="F315" s="20">
        <f t="shared" si="33"/>
        <v>2</v>
      </c>
      <c r="G315" s="14">
        <v>2</v>
      </c>
      <c r="H315" s="29"/>
      <c r="I315" s="14"/>
      <c r="J315" s="20">
        <f t="shared" si="34"/>
        <v>2</v>
      </c>
      <c r="K315" s="30">
        <v>46185</v>
      </c>
      <c r="L315" s="31"/>
    </row>
    <row r="316" spans="1:12" ht="14.25" thickBot="1" x14ac:dyDescent="0.2">
      <c r="B316" s="22" t="s">
        <v>4</v>
      </c>
      <c r="C316" s="23">
        <f>SUM(C305:C315)</f>
        <v>8</v>
      </c>
      <c r="D316" s="23">
        <f>SUM(D305:D315)</f>
        <v>19</v>
      </c>
      <c r="E316" s="24">
        <f>SUM(E305:E315)</f>
        <v>11</v>
      </c>
      <c r="F316" s="25">
        <f t="shared" si="33"/>
        <v>38</v>
      </c>
      <c r="G316" s="23">
        <f>SUM(G305:G315)</f>
        <v>6</v>
      </c>
      <c r="H316" s="23">
        <f>SUM(H305:H315)</f>
        <v>20</v>
      </c>
      <c r="I316" s="24">
        <f>SUM(I305:I315)</f>
        <v>11</v>
      </c>
      <c r="J316" s="25">
        <f t="shared" si="34"/>
        <v>37</v>
      </c>
    </row>
    <row r="317" spans="1:12" x14ac:dyDescent="0.15">
      <c r="B317" s="4" t="s">
        <v>7</v>
      </c>
      <c r="C317" s="9"/>
      <c r="D317" s="10">
        <v>1</v>
      </c>
      <c r="E317" s="11"/>
      <c r="F317" s="8">
        <f t="shared" si="33"/>
        <v>1</v>
      </c>
      <c r="G317" s="9"/>
      <c r="H317" s="10">
        <v>1</v>
      </c>
      <c r="I317" s="11"/>
      <c r="J317" s="8">
        <f t="shared" si="34"/>
        <v>1</v>
      </c>
      <c r="K317" s="32">
        <v>45918</v>
      </c>
    </row>
    <row r="318" spans="1:12" x14ac:dyDescent="0.15">
      <c r="B318" s="4" t="s">
        <v>7</v>
      </c>
      <c r="C318" s="9"/>
      <c r="D318" s="10">
        <v>1</v>
      </c>
      <c r="E318" s="11"/>
      <c r="F318" s="8">
        <f t="shared" si="33"/>
        <v>1</v>
      </c>
      <c r="G318" s="9"/>
      <c r="H318" s="10">
        <v>1</v>
      </c>
      <c r="I318" s="11"/>
      <c r="J318" s="8">
        <f t="shared" si="34"/>
        <v>1</v>
      </c>
      <c r="K318" s="32">
        <v>45931</v>
      </c>
    </row>
    <row r="319" spans="1:12" x14ac:dyDescent="0.15">
      <c r="B319" s="4" t="s">
        <v>7</v>
      </c>
      <c r="C319" s="9"/>
      <c r="D319" s="10">
        <v>1</v>
      </c>
      <c r="E319" s="11"/>
      <c r="F319" s="8">
        <f t="shared" si="33"/>
        <v>1</v>
      </c>
      <c r="G319" s="9"/>
      <c r="H319" s="10">
        <v>1</v>
      </c>
      <c r="I319" s="11"/>
      <c r="J319" s="8">
        <f t="shared" si="34"/>
        <v>1</v>
      </c>
      <c r="K319" s="32">
        <v>45953</v>
      </c>
    </row>
    <row r="320" spans="1:12" x14ac:dyDescent="0.15">
      <c r="B320" s="4" t="s">
        <v>7</v>
      </c>
      <c r="C320" s="9">
        <v>1</v>
      </c>
      <c r="D320" s="10"/>
      <c r="E320" s="11"/>
      <c r="F320" s="8">
        <f t="shared" si="33"/>
        <v>1</v>
      </c>
      <c r="G320" s="9"/>
      <c r="H320" s="10"/>
      <c r="I320" s="11"/>
      <c r="J320" s="8">
        <f t="shared" si="34"/>
        <v>0</v>
      </c>
      <c r="K320" s="32">
        <v>45960</v>
      </c>
    </row>
    <row r="321" spans="2:11" x14ac:dyDescent="0.15">
      <c r="B321" s="4" t="s">
        <v>7</v>
      </c>
      <c r="C321" s="9"/>
      <c r="D321" s="10">
        <v>2</v>
      </c>
      <c r="E321" s="11"/>
      <c r="F321" s="8">
        <f t="shared" si="33"/>
        <v>2</v>
      </c>
      <c r="G321" s="9"/>
      <c r="H321" s="10">
        <v>2</v>
      </c>
      <c r="I321" s="11"/>
      <c r="J321" s="8">
        <f t="shared" si="34"/>
        <v>2</v>
      </c>
      <c r="K321" s="32">
        <v>45973</v>
      </c>
    </row>
    <row r="322" spans="2:11" x14ac:dyDescent="0.15">
      <c r="B322" s="4" t="s">
        <v>7</v>
      </c>
      <c r="C322" s="9"/>
      <c r="D322" s="10">
        <v>2</v>
      </c>
      <c r="E322" s="11"/>
      <c r="F322" s="8">
        <f t="shared" si="33"/>
        <v>2</v>
      </c>
      <c r="G322" s="9"/>
      <c r="H322" s="10"/>
      <c r="I322" s="11"/>
      <c r="J322" s="8">
        <f t="shared" si="34"/>
        <v>0</v>
      </c>
      <c r="K322" s="32">
        <v>46002</v>
      </c>
    </row>
    <row r="323" spans="2:11" x14ac:dyDescent="0.15">
      <c r="B323" s="4" t="s">
        <v>7</v>
      </c>
      <c r="C323" s="9"/>
      <c r="D323" s="10"/>
      <c r="E323" s="11">
        <v>1</v>
      </c>
      <c r="F323" s="8">
        <f t="shared" si="33"/>
        <v>1</v>
      </c>
      <c r="G323" s="9"/>
      <c r="H323" s="10"/>
      <c r="I323" s="11">
        <v>1</v>
      </c>
      <c r="J323" s="8">
        <f t="shared" si="34"/>
        <v>1</v>
      </c>
      <c r="K323" s="32">
        <v>46027</v>
      </c>
    </row>
    <row r="324" spans="2:11" x14ac:dyDescent="0.15">
      <c r="B324" s="4" t="s">
        <v>7</v>
      </c>
      <c r="C324" s="9"/>
      <c r="D324" s="10">
        <v>3</v>
      </c>
      <c r="E324" s="11"/>
      <c r="F324" s="8">
        <f t="shared" si="33"/>
        <v>3</v>
      </c>
      <c r="G324" s="9"/>
      <c r="H324" s="10">
        <v>3</v>
      </c>
      <c r="I324" s="11"/>
      <c r="J324" s="8">
        <f t="shared" si="34"/>
        <v>3</v>
      </c>
      <c r="K324" s="32">
        <v>46035</v>
      </c>
    </row>
    <row r="325" spans="2:11" x14ac:dyDescent="0.15">
      <c r="B325" s="4" t="s">
        <v>7</v>
      </c>
      <c r="C325" s="9"/>
      <c r="D325" s="10">
        <v>1</v>
      </c>
      <c r="E325" s="11"/>
      <c r="F325" s="8">
        <f t="shared" si="33"/>
        <v>1</v>
      </c>
      <c r="G325" s="9"/>
      <c r="H325" s="10">
        <v>1</v>
      </c>
      <c r="I325" s="11"/>
      <c r="J325" s="8">
        <f t="shared" si="34"/>
        <v>1</v>
      </c>
      <c r="K325" s="32">
        <v>46056</v>
      </c>
    </row>
    <row r="326" spans="2:11" x14ac:dyDescent="0.15">
      <c r="B326" s="4" t="s">
        <v>7</v>
      </c>
      <c r="C326" s="9"/>
      <c r="D326" s="10">
        <v>2</v>
      </c>
      <c r="E326" s="11"/>
      <c r="F326" s="8">
        <f t="shared" si="33"/>
        <v>2</v>
      </c>
      <c r="G326" s="9"/>
      <c r="H326" s="10">
        <v>2</v>
      </c>
      <c r="I326" s="11"/>
      <c r="J326" s="8">
        <f t="shared" si="34"/>
        <v>2</v>
      </c>
      <c r="K326" s="32">
        <v>46057</v>
      </c>
    </row>
    <row r="327" spans="2:11" x14ac:dyDescent="0.15">
      <c r="B327" s="4" t="s">
        <v>7</v>
      </c>
      <c r="C327" s="9"/>
      <c r="D327" s="10"/>
      <c r="E327" s="11"/>
      <c r="F327" s="8">
        <f t="shared" si="33"/>
        <v>0</v>
      </c>
      <c r="G327" s="9"/>
      <c r="H327" s="10">
        <v>2</v>
      </c>
      <c r="I327" s="11"/>
      <c r="J327" s="8">
        <f t="shared" si="34"/>
        <v>2</v>
      </c>
      <c r="K327" s="32">
        <v>46062</v>
      </c>
    </row>
    <row r="328" spans="2:11" x14ac:dyDescent="0.15">
      <c r="B328" s="4" t="s">
        <v>7</v>
      </c>
      <c r="C328" s="9"/>
      <c r="D328" s="10"/>
      <c r="E328" s="11">
        <v>2</v>
      </c>
      <c r="F328" s="8">
        <f t="shared" si="33"/>
        <v>2</v>
      </c>
      <c r="G328" s="9"/>
      <c r="H328" s="10"/>
      <c r="I328" s="11">
        <v>2</v>
      </c>
      <c r="J328" s="8">
        <f t="shared" si="34"/>
        <v>2</v>
      </c>
      <c r="K328" s="32">
        <v>46077</v>
      </c>
    </row>
    <row r="329" spans="2:11" x14ac:dyDescent="0.15">
      <c r="B329" s="4" t="s">
        <v>7</v>
      </c>
      <c r="C329" s="9">
        <v>1</v>
      </c>
      <c r="D329" s="10"/>
      <c r="E329" s="11"/>
      <c r="F329" s="8">
        <f t="shared" si="33"/>
        <v>1</v>
      </c>
      <c r="G329" s="9">
        <v>1</v>
      </c>
      <c r="H329" s="10"/>
      <c r="I329" s="11"/>
      <c r="J329" s="8">
        <f t="shared" si="34"/>
        <v>1</v>
      </c>
      <c r="K329" s="32">
        <v>46083</v>
      </c>
    </row>
    <row r="330" spans="2:11" x14ac:dyDescent="0.15">
      <c r="B330" s="4" t="s">
        <v>75</v>
      </c>
      <c r="C330" s="9"/>
      <c r="D330" s="10"/>
      <c r="E330" s="11">
        <v>1</v>
      </c>
      <c r="F330" s="8">
        <f t="shared" si="33"/>
        <v>1</v>
      </c>
      <c r="G330" s="9"/>
      <c r="H330" s="10"/>
      <c r="I330" s="11">
        <v>1</v>
      </c>
      <c r="J330" s="8">
        <f t="shared" si="34"/>
        <v>1</v>
      </c>
      <c r="K330" s="32">
        <v>46090</v>
      </c>
    </row>
    <row r="331" spans="2:11" x14ac:dyDescent="0.15">
      <c r="B331" s="4" t="s">
        <v>7</v>
      </c>
      <c r="C331" s="9"/>
      <c r="D331" s="10"/>
      <c r="E331" s="11">
        <v>1</v>
      </c>
      <c r="F331" s="8">
        <f t="shared" si="33"/>
        <v>1</v>
      </c>
      <c r="G331" s="9"/>
      <c r="H331" s="10"/>
      <c r="I331" s="11">
        <v>1</v>
      </c>
      <c r="J331" s="8">
        <f t="shared" si="34"/>
        <v>1</v>
      </c>
      <c r="K331" s="32">
        <v>46091</v>
      </c>
    </row>
    <row r="332" spans="2:11" x14ac:dyDescent="0.15">
      <c r="B332" s="4" t="s">
        <v>7</v>
      </c>
      <c r="C332" s="9"/>
      <c r="D332" s="10"/>
      <c r="E332" s="11">
        <v>1</v>
      </c>
      <c r="F332" s="8">
        <f t="shared" si="33"/>
        <v>1</v>
      </c>
      <c r="G332" s="9"/>
      <c r="H332" s="10"/>
      <c r="I332" s="11">
        <v>1</v>
      </c>
      <c r="J332" s="8">
        <f t="shared" si="34"/>
        <v>1</v>
      </c>
      <c r="K332" s="32">
        <v>46093</v>
      </c>
    </row>
    <row r="333" spans="2:11" x14ac:dyDescent="0.15">
      <c r="B333" s="4" t="s">
        <v>7</v>
      </c>
      <c r="C333" s="9"/>
      <c r="D333" s="10">
        <v>1</v>
      </c>
      <c r="E333" s="11"/>
      <c r="F333" s="8">
        <f t="shared" si="33"/>
        <v>1</v>
      </c>
      <c r="G333" s="9"/>
      <c r="H333" s="10">
        <v>1</v>
      </c>
      <c r="I333" s="11"/>
      <c r="J333" s="8">
        <f t="shared" si="34"/>
        <v>1</v>
      </c>
      <c r="K333" s="32">
        <v>46107</v>
      </c>
    </row>
    <row r="334" spans="2:11" x14ac:dyDescent="0.15">
      <c r="B334" s="4" t="s">
        <v>7</v>
      </c>
      <c r="C334" s="9"/>
      <c r="D334" s="10">
        <v>1</v>
      </c>
      <c r="E334" s="11"/>
      <c r="F334" s="8">
        <f t="shared" si="33"/>
        <v>1</v>
      </c>
      <c r="G334" s="9"/>
      <c r="H334" s="10">
        <v>1</v>
      </c>
      <c r="I334" s="11"/>
      <c r="J334" s="8">
        <f t="shared" si="34"/>
        <v>1</v>
      </c>
      <c r="K334" s="32">
        <v>46112</v>
      </c>
    </row>
    <row r="335" spans="2:11" x14ac:dyDescent="0.15">
      <c r="B335" s="4" t="s">
        <v>7</v>
      </c>
      <c r="C335" s="9"/>
      <c r="D335" s="10"/>
      <c r="E335" s="11">
        <v>1</v>
      </c>
      <c r="F335" s="8">
        <f t="shared" si="33"/>
        <v>1</v>
      </c>
      <c r="G335" s="9"/>
      <c r="H335" s="10"/>
      <c r="I335" s="11">
        <v>1</v>
      </c>
      <c r="J335" s="8">
        <f t="shared" si="34"/>
        <v>1</v>
      </c>
      <c r="K335" s="32">
        <v>46125</v>
      </c>
    </row>
    <row r="336" spans="2:11" x14ac:dyDescent="0.15">
      <c r="B336" s="4"/>
      <c r="C336" s="9"/>
      <c r="D336" s="10"/>
      <c r="E336" s="11"/>
      <c r="F336" s="8">
        <f t="shared" si="33"/>
        <v>0</v>
      </c>
      <c r="G336" s="9"/>
      <c r="H336" s="10"/>
      <c r="I336" s="11"/>
      <c r="J336" s="8">
        <f t="shared" si="34"/>
        <v>0</v>
      </c>
    </row>
    <row r="337" spans="2:10" x14ac:dyDescent="0.15">
      <c r="B337" s="4"/>
      <c r="C337" s="9"/>
      <c r="D337" s="10"/>
      <c r="E337" s="11"/>
      <c r="F337" s="8">
        <f t="shared" si="33"/>
        <v>0</v>
      </c>
      <c r="G337" s="9"/>
      <c r="H337" s="10"/>
      <c r="I337" s="11"/>
      <c r="J337" s="8">
        <f t="shared" si="34"/>
        <v>0</v>
      </c>
    </row>
    <row r="338" spans="2:10" x14ac:dyDescent="0.15">
      <c r="B338" s="4"/>
      <c r="C338" s="9"/>
      <c r="D338" s="10"/>
      <c r="E338" s="11"/>
      <c r="F338" s="8">
        <f t="shared" si="33"/>
        <v>0</v>
      </c>
      <c r="G338" s="9"/>
      <c r="H338" s="10"/>
      <c r="I338" s="11"/>
      <c r="J338" s="8">
        <f t="shared" si="34"/>
        <v>0</v>
      </c>
    </row>
    <row r="339" spans="2:10" x14ac:dyDescent="0.15">
      <c r="B339" s="4"/>
      <c r="C339" s="9"/>
      <c r="D339" s="10"/>
      <c r="E339" s="11"/>
      <c r="F339" s="8">
        <f t="shared" si="33"/>
        <v>0</v>
      </c>
      <c r="G339" s="9"/>
      <c r="H339" s="10"/>
      <c r="I339" s="11"/>
      <c r="J339" s="8">
        <f t="shared" si="34"/>
        <v>0</v>
      </c>
    </row>
    <row r="340" spans="2:10" ht="14.25" thickBot="1" x14ac:dyDescent="0.2">
      <c r="B340" s="4"/>
      <c r="C340" s="9"/>
      <c r="D340" s="10"/>
      <c r="E340" s="11"/>
      <c r="F340" s="8">
        <f t="shared" si="33"/>
        <v>0</v>
      </c>
      <c r="G340" s="9"/>
      <c r="H340" s="10"/>
      <c r="I340" s="11"/>
      <c r="J340" s="8">
        <f t="shared" si="34"/>
        <v>0</v>
      </c>
    </row>
    <row r="341" spans="2:10" ht="14.25" thickBot="1" x14ac:dyDescent="0.2">
      <c r="B341" s="3" t="s">
        <v>5</v>
      </c>
      <c r="C341" s="15">
        <f>SUM(C317:C340)</f>
        <v>2</v>
      </c>
      <c r="D341" s="15">
        <f>SUM(D317:D340)</f>
        <v>15</v>
      </c>
      <c r="E341" s="15">
        <f>SUM(E317:E340)</f>
        <v>7</v>
      </c>
      <c r="F341" s="16">
        <f t="shared" si="33"/>
        <v>24</v>
      </c>
      <c r="G341" s="15">
        <f>SUM(G317:G340)</f>
        <v>1</v>
      </c>
      <c r="H341" s="15">
        <f>SUM(H317:H340)</f>
        <v>15</v>
      </c>
      <c r="I341" s="15">
        <f>SUM(I317:I340)</f>
        <v>7</v>
      </c>
      <c r="J341" s="16">
        <f t="shared" si="34"/>
        <v>23</v>
      </c>
    </row>
    <row r="342" spans="2:10" ht="14.25" thickBot="1" x14ac:dyDescent="0.2">
      <c r="B342" s="26" t="s">
        <v>6</v>
      </c>
      <c r="C342" s="27">
        <f t="shared" ref="C342:J342" si="35">C316-C341</f>
        <v>6</v>
      </c>
      <c r="D342" s="27">
        <f t="shared" si="35"/>
        <v>4</v>
      </c>
      <c r="E342" s="27">
        <f t="shared" si="35"/>
        <v>4</v>
      </c>
      <c r="F342" s="27">
        <f t="shared" si="35"/>
        <v>14</v>
      </c>
      <c r="G342" s="27">
        <f t="shared" si="35"/>
        <v>5</v>
      </c>
      <c r="H342" s="27">
        <f t="shared" si="35"/>
        <v>5</v>
      </c>
      <c r="I342" s="27">
        <f t="shared" si="35"/>
        <v>4</v>
      </c>
      <c r="J342" s="25">
        <f t="shared" si="35"/>
        <v>14</v>
      </c>
    </row>
  </sheetData>
  <mergeCells count="16">
    <mergeCell ref="C303:F303"/>
    <mergeCell ref="G303:J303"/>
    <mergeCell ref="C131:F131"/>
    <mergeCell ref="G131:J131"/>
    <mergeCell ref="C2:F2"/>
    <mergeCell ref="G2:J2"/>
    <mergeCell ref="C45:F45"/>
    <mergeCell ref="G45:J45"/>
    <mergeCell ref="C88:F88"/>
    <mergeCell ref="G88:J88"/>
    <mergeCell ref="C260:F260"/>
    <mergeCell ref="G260:J260"/>
    <mergeCell ref="C217:F217"/>
    <mergeCell ref="G217:J217"/>
    <mergeCell ref="C174:F174"/>
    <mergeCell ref="G174:J174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L84"/>
  <sheetViews>
    <sheetView topLeftCell="A13" zoomScaleNormal="100" workbookViewId="0">
      <selection activeCell="K35" sqref="K35"/>
    </sheetView>
  </sheetViews>
  <sheetFormatPr defaultRowHeight="13.5" x14ac:dyDescent="0.15"/>
  <cols>
    <col min="2" max="2" width="16.5" customWidth="1"/>
    <col min="11" max="11" width="9.25" bestFit="1" customWidth="1"/>
  </cols>
  <sheetData>
    <row r="1" spans="2:12" ht="19.5" thickBot="1" x14ac:dyDescent="0.25">
      <c r="B1" s="33" t="s">
        <v>42</v>
      </c>
      <c r="C1" s="1"/>
      <c r="D1" s="1"/>
      <c r="E1" s="1"/>
      <c r="F1" s="1"/>
      <c r="G1" s="34"/>
      <c r="H1" s="34" t="s">
        <v>43</v>
      </c>
      <c r="I1" s="34">
        <v>950</v>
      </c>
      <c r="J1" s="34"/>
    </row>
    <row r="2" spans="2:12" ht="14.25" thickBot="1" x14ac:dyDescent="0.2">
      <c r="B2" s="2" t="s">
        <v>0</v>
      </c>
      <c r="C2" s="88" t="s">
        <v>15</v>
      </c>
      <c r="D2" s="88"/>
      <c r="E2" s="88"/>
      <c r="F2" s="89"/>
      <c r="G2" s="82" t="s">
        <v>16</v>
      </c>
      <c r="H2" s="82"/>
      <c r="I2" s="82"/>
      <c r="J2" s="83"/>
    </row>
    <row r="3" spans="2:12" ht="14.25" thickBot="1" x14ac:dyDescent="0.2">
      <c r="B3" s="2" t="s">
        <v>1</v>
      </c>
      <c r="C3" s="3" t="s">
        <v>9</v>
      </c>
      <c r="D3" s="2" t="s">
        <v>10</v>
      </c>
      <c r="E3" s="19" t="s">
        <v>11</v>
      </c>
      <c r="F3" s="2" t="s">
        <v>2</v>
      </c>
      <c r="G3" s="3" t="s">
        <v>9</v>
      </c>
      <c r="H3" s="2" t="s">
        <v>10</v>
      </c>
      <c r="I3" s="19" t="s">
        <v>11</v>
      </c>
      <c r="J3" s="2" t="s">
        <v>2</v>
      </c>
    </row>
    <row r="4" spans="2:12" x14ac:dyDescent="0.15">
      <c r="B4" s="6" t="s">
        <v>8</v>
      </c>
      <c r="C4" s="35">
        <v>3</v>
      </c>
      <c r="D4" s="36">
        <v>2</v>
      </c>
      <c r="E4" s="37">
        <v>2</v>
      </c>
      <c r="F4" s="5">
        <f>SUM(C4:E4)</f>
        <v>7</v>
      </c>
      <c r="G4" s="35">
        <v>3</v>
      </c>
      <c r="H4" s="36">
        <v>2</v>
      </c>
      <c r="I4" s="37">
        <v>2</v>
      </c>
      <c r="J4" s="5">
        <f>SUM(G4:I4)</f>
        <v>7</v>
      </c>
      <c r="K4" s="30">
        <v>45231</v>
      </c>
    </row>
    <row r="5" spans="2:12" x14ac:dyDescent="0.15">
      <c r="B5" s="6" t="s">
        <v>3</v>
      </c>
      <c r="C5" s="17"/>
      <c r="D5" s="12">
        <v>1</v>
      </c>
      <c r="E5" s="17"/>
      <c r="F5" s="5">
        <f t="shared" ref="F5:F40" si="0">SUM(C5:E5)</f>
        <v>1</v>
      </c>
      <c r="G5" s="17"/>
      <c r="H5" s="12">
        <v>1</v>
      </c>
      <c r="I5" s="17"/>
      <c r="J5" s="5">
        <f t="shared" ref="J5:J40" si="1">SUM(G5:I5)</f>
        <v>1</v>
      </c>
      <c r="K5" s="30">
        <v>45286</v>
      </c>
    </row>
    <row r="6" spans="2:12" x14ac:dyDescent="0.15">
      <c r="B6" s="6" t="s">
        <v>3</v>
      </c>
      <c r="C6" s="17">
        <v>3</v>
      </c>
      <c r="D6" s="12"/>
      <c r="E6" s="17"/>
      <c r="F6" s="5">
        <f t="shared" si="0"/>
        <v>3</v>
      </c>
      <c r="G6" s="17">
        <v>3</v>
      </c>
      <c r="H6" s="12"/>
      <c r="I6" s="17"/>
      <c r="J6" s="5">
        <f t="shared" si="1"/>
        <v>3</v>
      </c>
      <c r="K6" s="30">
        <v>45370</v>
      </c>
    </row>
    <row r="7" spans="2:12" x14ac:dyDescent="0.15">
      <c r="B7" s="6" t="s">
        <v>3</v>
      </c>
      <c r="C7" s="17">
        <v>2</v>
      </c>
      <c r="D7" s="12">
        <v>2</v>
      </c>
      <c r="E7" s="17">
        <v>2</v>
      </c>
      <c r="F7" s="5">
        <f t="shared" si="0"/>
        <v>6</v>
      </c>
      <c r="G7" s="17">
        <v>2</v>
      </c>
      <c r="H7" s="12">
        <v>2</v>
      </c>
      <c r="I7" s="17"/>
      <c r="J7" s="5">
        <f t="shared" si="1"/>
        <v>4</v>
      </c>
      <c r="K7" s="30">
        <v>45446</v>
      </c>
      <c r="L7" s="31"/>
    </row>
    <row r="8" spans="2:12" x14ac:dyDescent="0.15">
      <c r="B8" s="6" t="s">
        <v>28</v>
      </c>
      <c r="C8" s="17">
        <v>0</v>
      </c>
      <c r="D8" s="12">
        <v>1</v>
      </c>
      <c r="E8" s="17">
        <v>1</v>
      </c>
      <c r="F8" s="5">
        <f t="shared" si="0"/>
        <v>2</v>
      </c>
      <c r="G8" s="17">
        <v>0</v>
      </c>
      <c r="H8" s="12">
        <v>1</v>
      </c>
      <c r="I8" s="17">
        <v>-1</v>
      </c>
      <c r="J8" s="5">
        <f t="shared" si="1"/>
        <v>0</v>
      </c>
      <c r="K8" s="30">
        <v>45530</v>
      </c>
    </row>
    <row r="9" spans="2:12" x14ac:dyDescent="0.15">
      <c r="B9" s="6" t="s">
        <v>3</v>
      </c>
      <c r="C9" s="17"/>
      <c r="D9" s="12"/>
      <c r="E9" s="17"/>
      <c r="F9" s="5">
        <f t="shared" si="0"/>
        <v>0</v>
      </c>
      <c r="G9" s="17"/>
      <c r="H9" s="12"/>
      <c r="I9" s="17">
        <v>2</v>
      </c>
      <c r="J9" s="5">
        <f t="shared" si="1"/>
        <v>2</v>
      </c>
      <c r="K9" s="30">
        <v>45538</v>
      </c>
      <c r="L9" s="31"/>
    </row>
    <row r="10" spans="2:12" x14ac:dyDescent="0.15">
      <c r="B10" s="6" t="s">
        <v>3</v>
      </c>
      <c r="C10" s="17"/>
      <c r="D10" s="12">
        <v>2</v>
      </c>
      <c r="E10" s="17"/>
      <c r="F10" s="5">
        <f t="shared" si="0"/>
        <v>2</v>
      </c>
      <c r="G10" s="17"/>
      <c r="H10" s="12">
        <v>2</v>
      </c>
      <c r="I10" s="17"/>
      <c r="J10" s="5">
        <f t="shared" si="1"/>
        <v>2</v>
      </c>
      <c r="K10" s="30">
        <v>45623</v>
      </c>
      <c r="L10" s="31"/>
    </row>
    <row r="11" spans="2:12" x14ac:dyDescent="0.15">
      <c r="B11" s="6" t="s">
        <v>3</v>
      </c>
      <c r="C11" s="11"/>
      <c r="D11" s="10">
        <v>4</v>
      </c>
      <c r="E11" s="11"/>
      <c r="F11" s="5">
        <f t="shared" si="0"/>
        <v>4</v>
      </c>
      <c r="G11" s="11"/>
      <c r="H11" s="10">
        <v>4</v>
      </c>
      <c r="I11" s="11"/>
      <c r="J11" s="5">
        <f t="shared" si="1"/>
        <v>4</v>
      </c>
      <c r="K11" s="32">
        <v>45673</v>
      </c>
    </row>
    <row r="12" spans="2:12" x14ac:dyDescent="0.15">
      <c r="B12" s="6" t="s">
        <v>3</v>
      </c>
      <c r="C12" s="11"/>
      <c r="D12" s="10">
        <v>-1</v>
      </c>
      <c r="E12" s="11"/>
      <c r="F12" s="5">
        <f t="shared" si="0"/>
        <v>-1</v>
      </c>
      <c r="G12" s="11"/>
      <c r="H12" s="10">
        <v>-1</v>
      </c>
      <c r="I12" s="11"/>
      <c r="J12" s="5">
        <f t="shared" si="1"/>
        <v>-1</v>
      </c>
      <c r="K12" s="30">
        <v>45706</v>
      </c>
      <c r="L12" s="31"/>
    </row>
    <row r="13" spans="2:12" x14ac:dyDescent="0.15">
      <c r="B13" s="6" t="s">
        <v>3</v>
      </c>
      <c r="C13" s="11"/>
      <c r="D13" s="10"/>
      <c r="E13" s="11"/>
      <c r="F13" s="8">
        <f t="shared" ref="F13" si="2">SUM(C13:E13)</f>
        <v>0</v>
      </c>
      <c r="G13" s="11"/>
      <c r="H13" s="10">
        <v>2</v>
      </c>
      <c r="I13" s="11"/>
      <c r="J13" s="8">
        <f t="shared" ref="J13" si="3">SUM(G13:I13)</f>
        <v>2</v>
      </c>
      <c r="K13" s="30">
        <v>46080</v>
      </c>
    </row>
    <row r="14" spans="2:12" ht="14.25" thickBot="1" x14ac:dyDescent="0.2">
      <c r="B14" s="67" t="s">
        <v>28</v>
      </c>
      <c r="C14" s="1">
        <v>0</v>
      </c>
      <c r="D14" s="68">
        <v>1</v>
      </c>
      <c r="E14" s="1">
        <v>0</v>
      </c>
      <c r="F14" s="20">
        <f t="shared" si="0"/>
        <v>1</v>
      </c>
      <c r="G14" s="1">
        <v>0</v>
      </c>
      <c r="H14" s="68">
        <v>2</v>
      </c>
      <c r="I14" s="1">
        <v>0</v>
      </c>
      <c r="J14" s="20">
        <f t="shared" si="1"/>
        <v>2</v>
      </c>
      <c r="K14" s="30">
        <v>46085</v>
      </c>
    </row>
    <row r="15" spans="2:12" ht="14.25" thickBot="1" x14ac:dyDescent="0.2">
      <c r="B15" s="22" t="s">
        <v>4</v>
      </c>
      <c r="C15" s="23">
        <f>SUM(C4:C14)</f>
        <v>8</v>
      </c>
      <c r="D15" s="23">
        <f>SUM(D4:D14)</f>
        <v>12</v>
      </c>
      <c r="E15" s="24">
        <f>SUM(E4:E14)</f>
        <v>5</v>
      </c>
      <c r="F15" s="25">
        <f t="shared" si="0"/>
        <v>25</v>
      </c>
      <c r="G15" s="23">
        <f>SUM(G4:G14)</f>
        <v>8</v>
      </c>
      <c r="H15" s="23">
        <f>SUM(H4:H14)</f>
        <v>15</v>
      </c>
      <c r="I15" s="24">
        <f>SUM(I4:I14)</f>
        <v>3</v>
      </c>
      <c r="J15" s="25">
        <f t="shared" si="1"/>
        <v>26</v>
      </c>
    </row>
    <row r="16" spans="2:12" x14ac:dyDescent="0.15">
      <c r="B16" s="4" t="s">
        <v>44</v>
      </c>
      <c r="C16" s="9">
        <v>1</v>
      </c>
      <c r="D16" s="10"/>
      <c r="E16" s="11"/>
      <c r="F16" s="5">
        <f t="shared" si="0"/>
        <v>1</v>
      </c>
      <c r="G16" s="9">
        <v>1</v>
      </c>
      <c r="H16" s="10"/>
      <c r="I16" s="11"/>
      <c r="J16" s="5">
        <f t="shared" si="1"/>
        <v>1</v>
      </c>
      <c r="K16" s="32">
        <v>45229</v>
      </c>
    </row>
    <row r="17" spans="2:11" x14ac:dyDescent="0.15">
      <c r="B17" s="4" t="s">
        <v>7</v>
      </c>
      <c r="C17" s="9"/>
      <c r="D17" s="10">
        <v>1</v>
      </c>
      <c r="E17" s="11"/>
      <c r="F17" s="5">
        <f t="shared" si="0"/>
        <v>1</v>
      </c>
      <c r="G17" s="9"/>
      <c r="H17" s="10">
        <v>1</v>
      </c>
      <c r="I17" s="11"/>
      <c r="J17" s="5">
        <f t="shared" si="1"/>
        <v>1</v>
      </c>
      <c r="K17" s="32">
        <v>45282</v>
      </c>
    </row>
    <row r="18" spans="2:11" x14ac:dyDescent="0.15">
      <c r="B18" s="4" t="s">
        <v>7</v>
      </c>
      <c r="C18" s="9">
        <v>3</v>
      </c>
      <c r="D18" s="10"/>
      <c r="E18" s="11"/>
      <c r="F18" s="5">
        <f t="shared" si="0"/>
        <v>3</v>
      </c>
      <c r="G18" s="9">
        <v>3</v>
      </c>
      <c r="H18" s="10"/>
      <c r="I18" s="11"/>
      <c r="J18" s="5">
        <f t="shared" si="1"/>
        <v>3</v>
      </c>
      <c r="K18" s="32">
        <v>45370</v>
      </c>
    </row>
    <row r="19" spans="2:11" x14ac:dyDescent="0.15">
      <c r="B19" s="4" t="s">
        <v>7</v>
      </c>
      <c r="C19" s="9"/>
      <c r="D19" s="10"/>
      <c r="E19" s="11">
        <v>2</v>
      </c>
      <c r="F19" s="5">
        <f t="shared" si="0"/>
        <v>2</v>
      </c>
      <c r="G19" s="9"/>
      <c r="H19" s="10"/>
      <c r="I19" s="11"/>
      <c r="J19" s="5">
        <f t="shared" si="1"/>
        <v>0</v>
      </c>
      <c r="K19" s="32">
        <v>45397</v>
      </c>
    </row>
    <row r="20" spans="2:11" x14ac:dyDescent="0.15">
      <c r="B20" s="4" t="s">
        <v>7</v>
      </c>
      <c r="C20" s="9">
        <v>1</v>
      </c>
      <c r="D20" s="10"/>
      <c r="E20" s="11"/>
      <c r="F20" s="5">
        <f t="shared" si="0"/>
        <v>1</v>
      </c>
      <c r="G20" s="9">
        <v>1</v>
      </c>
      <c r="H20" s="10"/>
      <c r="I20" s="11"/>
      <c r="J20" s="5">
        <f t="shared" si="1"/>
        <v>1</v>
      </c>
      <c r="K20" s="32">
        <v>45430</v>
      </c>
    </row>
    <row r="21" spans="2:11" x14ac:dyDescent="0.15">
      <c r="B21" s="4" t="s">
        <v>7</v>
      </c>
      <c r="C21" s="9"/>
      <c r="D21" s="10">
        <v>1</v>
      </c>
      <c r="E21" s="11"/>
      <c r="F21" s="8">
        <f t="shared" si="0"/>
        <v>1</v>
      </c>
      <c r="G21" s="9"/>
      <c r="H21" s="10">
        <v>1</v>
      </c>
      <c r="I21" s="11"/>
      <c r="J21" s="8">
        <f t="shared" si="1"/>
        <v>1</v>
      </c>
      <c r="K21" s="32">
        <v>45439</v>
      </c>
    </row>
    <row r="22" spans="2:11" x14ac:dyDescent="0.15">
      <c r="B22" s="4" t="s">
        <v>7</v>
      </c>
      <c r="C22" s="9"/>
      <c r="D22" s="10">
        <v>1</v>
      </c>
      <c r="E22" s="11"/>
      <c r="F22" s="8">
        <f t="shared" si="0"/>
        <v>1</v>
      </c>
      <c r="G22" s="9"/>
      <c r="H22" s="10">
        <v>1</v>
      </c>
      <c r="I22" s="11"/>
      <c r="J22" s="8">
        <f t="shared" si="1"/>
        <v>1</v>
      </c>
      <c r="K22" s="32">
        <v>45481</v>
      </c>
    </row>
    <row r="23" spans="2:11" x14ac:dyDescent="0.15">
      <c r="B23" s="4" t="s">
        <v>7</v>
      </c>
      <c r="C23" s="9"/>
      <c r="D23" s="10">
        <v>1</v>
      </c>
      <c r="E23" s="11"/>
      <c r="F23" s="8">
        <f t="shared" si="0"/>
        <v>1</v>
      </c>
      <c r="G23" s="9"/>
      <c r="H23" s="10">
        <v>1</v>
      </c>
      <c r="I23" s="11"/>
      <c r="J23" s="8">
        <f t="shared" si="1"/>
        <v>1</v>
      </c>
      <c r="K23" s="32">
        <v>45621</v>
      </c>
    </row>
    <row r="24" spans="2:11" x14ac:dyDescent="0.15">
      <c r="B24" s="4" t="s">
        <v>61</v>
      </c>
      <c r="C24" s="9"/>
      <c r="D24" s="10">
        <v>4</v>
      </c>
      <c r="E24" s="11"/>
      <c r="F24" s="8">
        <f t="shared" si="0"/>
        <v>4</v>
      </c>
      <c r="G24" s="9"/>
      <c r="H24" s="10">
        <v>4</v>
      </c>
      <c r="I24" s="11"/>
      <c r="J24" s="8">
        <f t="shared" si="1"/>
        <v>4</v>
      </c>
      <c r="K24" s="32">
        <v>45674</v>
      </c>
    </row>
    <row r="25" spans="2:11" x14ac:dyDescent="0.15">
      <c r="B25" s="4" t="s">
        <v>7</v>
      </c>
      <c r="C25" s="9"/>
      <c r="D25" s="10">
        <v>-1</v>
      </c>
      <c r="E25" s="11"/>
      <c r="F25" s="8">
        <f t="shared" si="0"/>
        <v>-1</v>
      </c>
      <c r="G25" s="9"/>
      <c r="H25" s="10"/>
      <c r="I25" s="11"/>
      <c r="J25" s="8">
        <f t="shared" si="1"/>
        <v>0</v>
      </c>
      <c r="K25" s="32">
        <v>45709</v>
      </c>
    </row>
    <row r="26" spans="2:11" x14ac:dyDescent="0.15">
      <c r="B26" s="4" t="s">
        <v>65</v>
      </c>
      <c r="C26" s="9">
        <v>0</v>
      </c>
      <c r="D26" s="10">
        <v>0</v>
      </c>
      <c r="E26" s="11">
        <v>0</v>
      </c>
      <c r="F26" s="8">
        <f t="shared" si="0"/>
        <v>0</v>
      </c>
      <c r="G26" s="9">
        <v>0</v>
      </c>
      <c r="H26" s="10">
        <v>0</v>
      </c>
      <c r="I26" s="11">
        <v>0</v>
      </c>
      <c r="J26" s="8">
        <f t="shared" si="1"/>
        <v>0</v>
      </c>
      <c r="K26" s="32">
        <v>45889</v>
      </c>
    </row>
    <row r="27" spans="2:11" x14ac:dyDescent="0.15">
      <c r="B27" s="4" t="s">
        <v>7</v>
      </c>
      <c r="C27" s="9">
        <v>1</v>
      </c>
      <c r="D27" s="10"/>
      <c r="E27" s="11"/>
      <c r="F27" s="8">
        <f t="shared" si="0"/>
        <v>1</v>
      </c>
      <c r="G27" s="9">
        <v>1</v>
      </c>
      <c r="H27" s="10"/>
      <c r="I27" s="11"/>
      <c r="J27" s="8">
        <f t="shared" si="1"/>
        <v>1</v>
      </c>
      <c r="K27" s="32">
        <v>45958</v>
      </c>
    </row>
    <row r="28" spans="2:11" x14ac:dyDescent="0.15">
      <c r="B28" s="4" t="s">
        <v>7</v>
      </c>
      <c r="C28" s="9"/>
      <c r="D28" s="10">
        <v>1</v>
      </c>
      <c r="E28" s="11"/>
      <c r="F28" s="8">
        <f t="shared" si="0"/>
        <v>1</v>
      </c>
      <c r="G28" s="9"/>
      <c r="H28" s="10">
        <v>2</v>
      </c>
      <c r="I28" s="11"/>
      <c r="J28" s="8">
        <f t="shared" si="1"/>
        <v>2</v>
      </c>
      <c r="K28" s="32">
        <v>46062</v>
      </c>
    </row>
    <row r="29" spans="2:11" x14ac:dyDescent="0.15">
      <c r="B29" s="4"/>
      <c r="C29" s="9"/>
      <c r="D29" s="10"/>
      <c r="E29" s="11"/>
      <c r="F29" s="8">
        <f t="shared" si="0"/>
        <v>0</v>
      </c>
      <c r="G29" s="9"/>
      <c r="H29" s="10"/>
      <c r="I29" s="11"/>
      <c r="J29" s="8">
        <f t="shared" si="1"/>
        <v>0</v>
      </c>
      <c r="K29" s="32"/>
    </row>
    <row r="30" spans="2:11" x14ac:dyDescent="0.15">
      <c r="B30" s="4"/>
      <c r="C30" s="9"/>
      <c r="D30" s="10"/>
      <c r="E30" s="11"/>
      <c r="F30" s="8">
        <f t="shared" si="0"/>
        <v>0</v>
      </c>
      <c r="G30" s="9"/>
      <c r="H30" s="10"/>
      <c r="I30" s="11"/>
      <c r="J30" s="8">
        <f t="shared" si="1"/>
        <v>0</v>
      </c>
      <c r="K30" s="30"/>
    </row>
    <row r="31" spans="2:11" x14ac:dyDescent="0.15">
      <c r="B31" s="4"/>
      <c r="C31" s="9"/>
      <c r="D31" s="10"/>
      <c r="E31" s="11"/>
      <c r="F31" s="8">
        <f t="shared" si="0"/>
        <v>0</v>
      </c>
      <c r="G31" s="9"/>
      <c r="H31" s="10"/>
      <c r="I31" s="11"/>
      <c r="J31" s="8">
        <f t="shared" si="1"/>
        <v>0</v>
      </c>
      <c r="K31" s="32"/>
    </row>
    <row r="32" spans="2:11" x14ac:dyDescent="0.15">
      <c r="B32" s="12"/>
      <c r="C32" s="9"/>
      <c r="D32" s="10"/>
      <c r="E32" s="11"/>
      <c r="F32" s="8">
        <f t="shared" si="0"/>
        <v>0</v>
      </c>
      <c r="G32" s="9"/>
      <c r="H32" s="10"/>
      <c r="I32" s="11"/>
      <c r="J32" s="8">
        <f t="shared" si="1"/>
        <v>0</v>
      </c>
      <c r="K32" s="32"/>
    </row>
    <row r="33" spans="2:11" x14ac:dyDescent="0.15">
      <c r="B33" s="4"/>
      <c r="C33" s="9"/>
      <c r="D33" s="10"/>
      <c r="E33" s="11"/>
      <c r="F33" s="8">
        <f t="shared" si="0"/>
        <v>0</v>
      </c>
      <c r="G33" s="9"/>
      <c r="H33" s="10"/>
      <c r="I33" s="11"/>
      <c r="J33" s="8">
        <f t="shared" si="1"/>
        <v>0</v>
      </c>
      <c r="K33" s="32"/>
    </row>
    <row r="34" spans="2:11" x14ac:dyDescent="0.15">
      <c r="B34" s="12"/>
      <c r="C34" s="9"/>
      <c r="D34" s="10"/>
      <c r="E34" s="11"/>
      <c r="F34" s="8">
        <f t="shared" si="0"/>
        <v>0</v>
      </c>
      <c r="G34" s="9"/>
      <c r="H34" s="10"/>
      <c r="I34" s="11"/>
      <c r="J34" s="8">
        <f t="shared" si="1"/>
        <v>0</v>
      </c>
      <c r="K34" s="30"/>
    </row>
    <row r="35" spans="2:11" x14ac:dyDescent="0.15">
      <c r="B35" s="4"/>
      <c r="C35" s="9"/>
      <c r="D35" s="10"/>
      <c r="E35" s="11"/>
      <c r="F35" s="8">
        <f t="shared" si="0"/>
        <v>0</v>
      </c>
      <c r="G35" s="9"/>
      <c r="H35" s="10"/>
      <c r="I35" s="11"/>
      <c r="J35" s="8">
        <f t="shared" si="1"/>
        <v>0</v>
      </c>
      <c r="K35" s="30"/>
    </row>
    <row r="36" spans="2:11" x14ac:dyDescent="0.15">
      <c r="B36" s="12"/>
      <c r="C36" s="9"/>
      <c r="D36" s="10"/>
      <c r="E36" s="11"/>
      <c r="F36" s="8">
        <f t="shared" si="0"/>
        <v>0</v>
      </c>
      <c r="G36" s="9"/>
      <c r="H36" s="10"/>
      <c r="I36" s="11"/>
      <c r="J36" s="8">
        <f t="shared" si="1"/>
        <v>0</v>
      </c>
      <c r="K36" s="30"/>
    </row>
    <row r="37" spans="2:11" x14ac:dyDescent="0.15">
      <c r="B37" s="12"/>
      <c r="C37" s="9"/>
      <c r="D37" s="10"/>
      <c r="E37" s="11"/>
      <c r="F37" s="8">
        <f t="shared" si="0"/>
        <v>0</v>
      </c>
      <c r="G37" s="9"/>
      <c r="H37" s="10"/>
      <c r="I37" s="11"/>
      <c r="J37" s="8">
        <f t="shared" si="1"/>
        <v>0</v>
      </c>
      <c r="K37" s="30"/>
    </row>
    <row r="38" spans="2:11" x14ac:dyDescent="0.15">
      <c r="B38" s="4"/>
      <c r="C38" s="9"/>
      <c r="D38" s="10"/>
      <c r="E38" s="11"/>
      <c r="F38" s="8">
        <f t="shared" si="0"/>
        <v>0</v>
      </c>
      <c r="G38" s="9"/>
      <c r="H38" s="10"/>
      <c r="I38" s="11"/>
      <c r="J38" s="8">
        <f t="shared" si="1"/>
        <v>0</v>
      </c>
      <c r="K38" s="32"/>
    </row>
    <row r="39" spans="2:11" ht="14.25" thickBot="1" x14ac:dyDescent="0.2">
      <c r="B39" s="4"/>
      <c r="C39" s="9"/>
      <c r="D39" s="10"/>
      <c r="E39" s="11"/>
      <c r="F39" s="8">
        <f t="shared" si="0"/>
        <v>0</v>
      </c>
      <c r="G39" s="9"/>
      <c r="H39" s="10"/>
      <c r="I39" s="11"/>
      <c r="J39" s="8">
        <f t="shared" si="1"/>
        <v>0</v>
      </c>
      <c r="K39" s="32"/>
    </row>
    <row r="40" spans="2:11" ht="14.25" thickBot="1" x14ac:dyDescent="0.2">
      <c r="B40" s="3" t="s">
        <v>5</v>
      </c>
      <c r="C40" s="15">
        <f>SUM(C16:C39)</f>
        <v>6</v>
      </c>
      <c r="D40" s="15">
        <f>SUM(D16:D39)</f>
        <v>8</v>
      </c>
      <c r="E40" s="15">
        <f>SUM(E16:E39)</f>
        <v>2</v>
      </c>
      <c r="F40" s="16">
        <f t="shared" si="0"/>
        <v>16</v>
      </c>
      <c r="G40" s="15">
        <f>SUM(G16:G39)</f>
        <v>6</v>
      </c>
      <c r="H40" s="15">
        <f>SUM(H16:H39)</f>
        <v>10</v>
      </c>
      <c r="I40" s="15">
        <f>SUM(I16:I39)</f>
        <v>0</v>
      </c>
      <c r="J40" s="16">
        <f t="shared" si="1"/>
        <v>16</v>
      </c>
    </row>
    <row r="41" spans="2:11" ht="14.25" thickBot="1" x14ac:dyDescent="0.2">
      <c r="B41" s="26" t="s">
        <v>6</v>
      </c>
      <c r="C41" s="27">
        <f t="shared" ref="C41:J41" si="4">C15-C40</f>
        <v>2</v>
      </c>
      <c r="D41" s="27">
        <f t="shared" si="4"/>
        <v>4</v>
      </c>
      <c r="E41" s="27">
        <f t="shared" si="4"/>
        <v>3</v>
      </c>
      <c r="F41" s="27">
        <f t="shared" si="4"/>
        <v>9</v>
      </c>
      <c r="G41" s="27">
        <f t="shared" si="4"/>
        <v>2</v>
      </c>
      <c r="H41" s="27">
        <f t="shared" si="4"/>
        <v>5</v>
      </c>
      <c r="I41" s="27">
        <f t="shared" si="4"/>
        <v>3</v>
      </c>
      <c r="J41" s="25">
        <f t="shared" si="4"/>
        <v>10</v>
      </c>
    </row>
    <row r="44" spans="2:11" ht="19.5" thickBot="1" x14ac:dyDescent="0.25">
      <c r="B44" s="33" t="s">
        <v>42</v>
      </c>
      <c r="C44" s="1"/>
      <c r="D44" s="1"/>
      <c r="E44" s="1"/>
      <c r="F44" s="1"/>
      <c r="G44" s="34"/>
      <c r="H44" s="34"/>
      <c r="I44" s="34"/>
      <c r="J44" s="34"/>
    </row>
    <row r="45" spans="2:11" ht="14.25" thickBot="1" x14ac:dyDescent="0.2">
      <c r="B45" s="2" t="s">
        <v>0</v>
      </c>
      <c r="C45" s="88" t="s">
        <v>15</v>
      </c>
      <c r="D45" s="88"/>
      <c r="E45" s="88"/>
      <c r="F45" s="89"/>
      <c r="G45" s="82" t="s">
        <v>16</v>
      </c>
      <c r="H45" s="82"/>
      <c r="I45" s="82"/>
      <c r="J45" s="83"/>
    </row>
    <row r="46" spans="2:11" ht="14.25" thickBot="1" x14ac:dyDescent="0.2">
      <c r="B46" s="2" t="s">
        <v>1</v>
      </c>
      <c r="C46" s="3" t="s">
        <v>9</v>
      </c>
      <c r="D46" s="2" t="s">
        <v>10</v>
      </c>
      <c r="E46" s="19" t="s">
        <v>11</v>
      </c>
      <c r="F46" s="2" t="s">
        <v>2</v>
      </c>
      <c r="G46" s="3" t="s">
        <v>9</v>
      </c>
      <c r="H46" s="2" t="s">
        <v>10</v>
      </c>
      <c r="I46" s="19" t="s">
        <v>11</v>
      </c>
      <c r="J46" s="2" t="s">
        <v>2</v>
      </c>
    </row>
    <row r="47" spans="2:11" x14ac:dyDescent="0.15">
      <c r="B47" s="28" t="s">
        <v>12</v>
      </c>
      <c r="C47" s="39">
        <f>C41</f>
        <v>2</v>
      </c>
      <c r="D47" s="40">
        <f>D41</f>
        <v>4</v>
      </c>
      <c r="E47" s="41">
        <f>E41</f>
        <v>3</v>
      </c>
      <c r="F47" s="18">
        <f>SUM(C47:E47)</f>
        <v>9</v>
      </c>
      <c r="G47" s="39">
        <f>G41</f>
        <v>2</v>
      </c>
      <c r="H47" s="40">
        <f>H41</f>
        <v>5</v>
      </c>
      <c r="I47" s="41">
        <f>I41</f>
        <v>3</v>
      </c>
      <c r="J47" s="18">
        <f>SUM(G47:I47)</f>
        <v>10</v>
      </c>
    </row>
    <row r="48" spans="2:11" x14ac:dyDescent="0.15">
      <c r="B48" s="6" t="s">
        <v>3</v>
      </c>
      <c r="C48" s="17"/>
      <c r="D48" s="12"/>
      <c r="E48" s="17"/>
      <c r="F48" s="5">
        <f t="shared" ref="F48:F83" si="5">SUM(C48:E48)</f>
        <v>0</v>
      </c>
      <c r="G48" s="17"/>
      <c r="H48" s="12"/>
      <c r="I48" s="17"/>
      <c r="J48" s="5">
        <f t="shared" ref="J48:J83" si="6">SUM(G48:I48)</f>
        <v>0</v>
      </c>
      <c r="K48" s="30"/>
    </row>
    <row r="49" spans="1:11" x14ac:dyDescent="0.15">
      <c r="B49" s="6" t="s">
        <v>3</v>
      </c>
      <c r="C49" s="17"/>
      <c r="D49" s="12"/>
      <c r="E49" s="17"/>
      <c r="F49" s="5">
        <f t="shared" si="5"/>
        <v>0</v>
      </c>
      <c r="G49" s="17"/>
      <c r="H49" s="12"/>
      <c r="I49" s="17"/>
      <c r="J49" s="5">
        <f t="shared" si="6"/>
        <v>0</v>
      </c>
      <c r="K49" s="30"/>
    </row>
    <row r="50" spans="1:11" x14ac:dyDescent="0.15">
      <c r="B50" s="6" t="s">
        <v>3</v>
      </c>
      <c r="C50" s="17"/>
      <c r="D50" s="12"/>
      <c r="E50" s="17"/>
      <c r="F50" s="5">
        <f t="shared" si="5"/>
        <v>0</v>
      </c>
      <c r="G50" s="17"/>
      <c r="H50" s="12"/>
      <c r="I50" s="17"/>
      <c r="J50" s="5">
        <f t="shared" si="6"/>
        <v>0</v>
      </c>
      <c r="K50" s="32"/>
    </row>
    <row r="51" spans="1:11" x14ac:dyDescent="0.15">
      <c r="B51" s="6" t="s">
        <v>3</v>
      </c>
      <c r="C51" s="17"/>
      <c r="D51" s="12"/>
      <c r="E51" s="17"/>
      <c r="F51" s="5">
        <f t="shared" si="5"/>
        <v>0</v>
      </c>
      <c r="G51" s="17"/>
      <c r="H51" s="12"/>
      <c r="I51" s="17"/>
      <c r="J51" s="5">
        <f t="shared" si="6"/>
        <v>0</v>
      </c>
      <c r="K51" s="30"/>
    </row>
    <row r="52" spans="1:11" x14ac:dyDescent="0.15">
      <c r="B52" s="6" t="s">
        <v>3</v>
      </c>
      <c r="C52" s="17"/>
      <c r="D52" s="12"/>
      <c r="E52" s="17"/>
      <c r="F52" s="5">
        <f t="shared" si="5"/>
        <v>0</v>
      </c>
      <c r="G52" s="17"/>
      <c r="H52" s="12"/>
      <c r="I52" s="17"/>
      <c r="J52" s="5">
        <f t="shared" si="6"/>
        <v>0</v>
      </c>
      <c r="K52" s="30"/>
    </row>
    <row r="53" spans="1:11" x14ac:dyDescent="0.15">
      <c r="B53" s="6" t="s">
        <v>3</v>
      </c>
      <c r="C53" s="17"/>
      <c r="D53" s="12"/>
      <c r="E53" s="17"/>
      <c r="F53" s="5">
        <f t="shared" si="5"/>
        <v>0</v>
      </c>
      <c r="G53" s="17"/>
      <c r="H53" s="12"/>
      <c r="I53" s="17"/>
      <c r="J53" s="5">
        <f t="shared" si="6"/>
        <v>0</v>
      </c>
      <c r="K53" s="30"/>
    </row>
    <row r="54" spans="1:11" x14ac:dyDescent="0.15">
      <c r="A54" s="31"/>
      <c r="B54" s="6" t="s">
        <v>3</v>
      </c>
      <c r="C54" s="37"/>
      <c r="D54" s="36"/>
      <c r="E54" s="37"/>
      <c r="F54" s="5">
        <f t="shared" si="5"/>
        <v>0</v>
      </c>
      <c r="G54" s="37"/>
      <c r="H54" s="36"/>
      <c r="I54" s="37"/>
      <c r="J54" s="5">
        <f t="shared" si="6"/>
        <v>0</v>
      </c>
      <c r="K54" s="30"/>
    </row>
    <row r="55" spans="1:11" x14ac:dyDescent="0.15">
      <c r="B55" s="6" t="s">
        <v>3</v>
      </c>
      <c r="C55" s="37"/>
      <c r="D55" s="36"/>
      <c r="E55" s="37"/>
      <c r="F55" s="42">
        <f t="shared" si="5"/>
        <v>0</v>
      </c>
      <c r="G55" s="37"/>
      <c r="H55" s="36"/>
      <c r="I55" s="37"/>
      <c r="J55" s="5">
        <f t="shared" si="6"/>
        <v>0</v>
      </c>
      <c r="K55" s="30"/>
    </row>
    <row r="56" spans="1:11" x14ac:dyDescent="0.15">
      <c r="B56" s="6" t="s">
        <v>3</v>
      </c>
      <c r="C56" s="37"/>
      <c r="D56" s="36"/>
      <c r="E56" s="37"/>
      <c r="F56" s="42">
        <f t="shared" si="5"/>
        <v>0</v>
      </c>
      <c r="G56" s="37"/>
      <c r="H56" s="36"/>
      <c r="I56" s="37"/>
      <c r="J56" s="5">
        <f t="shared" si="6"/>
        <v>0</v>
      </c>
      <c r="K56" s="30"/>
    </row>
    <row r="57" spans="1:11" ht="14.25" thickBot="1" x14ac:dyDescent="0.2">
      <c r="B57" s="7" t="s">
        <v>3</v>
      </c>
      <c r="C57" s="44"/>
      <c r="D57" s="45"/>
      <c r="E57" s="44"/>
      <c r="F57" s="46">
        <f t="shared" si="5"/>
        <v>0</v>
      </c>
      <c r="G57" s="44"/>
      <c r="H57" s="45"/>
      <c r="I57" s="44"/>
      <c r="J57" s="20">
        <f t="shared" si="6"/>
        <v>0</v>
      </c>
      <c r="K57" s="30"/>
    </row>
    <row r="58" spans="1:11" ht="14.25" thickBot="1" x14ac:dyDescent="0.2">
      <c r="B58" s="22" t="s">
        <v>4</v>
      </c>
      <c r="C58" s="23">
        <f>SUM(C47:C57)</f>
        <v>2</v>
      </c>
      <c r="D58" s="23">
        <f>SUM(D47:D57)</f>
        <v>4</v>
      </c>
      <c r="E58" s="24">
        <f>SUM(E47:E57)</f>
        <v>3</v>
      </c>
      <c r="F58" s="25">
        <f t="shared" si="5"/>
        <v>9</v>
      </c>
      <c r="G58" s="23">
        <f>SUM(G47:G57)</f>
        <v>2</v>
      </c>
      <c r="H58" s="23">
        <f>SUM(H47:H57)</f>
        <v>5</v>
      </c>
      <c r="I58" s="24">
        <f>SUM(I47:I57)</f>
        <v>3</v>
      </c>
      <c r="J58" s="25">
        <f t="shared" si="6"/>
        <v>10</v>
      </c>
    </row>
    <row r="59" spans="1:11" x14ac:dyDescent="0.15">
      <c r="B59" s="4"/>
      <c r="C59" s="9"/>
      <c r="D59" s="10"/>
      <c r="E59" s="11"/>
      <c r="F59" s="8">
        <f t="shared" ref="F59:F76" si="7">SUM(C59:E59)</f>
        <v>0</v>
      </c>
      <c r="G59" s="9"/>
      <c r="H59" s="10"/>
      <c r="I59" s="11"/>
      <c r="J59" s="8">
        <f t="shared" ref="J59:J76" si="8">SUM(G59:I59)</f>
        <v>0</v>
      </c>
    </row>
    <row r="60" spans="1:11" x14ac:dyDescent="0.15">
      <c r="B60" s="4"/>
      <c r="C60" s="9"/>
      <c r="D60" s="10"/>
      <c r="E60" s="11"/>
      <c r="F60" s="8">
        <f t="shared" si="7"/>
        <v>0</v>
      </c>
      <c r="G60" s="9"/>
      <c r="H60" s="10"/>
      <c r="I60" s="11"/>
      <c r="J60" s="8">
        <f t="shared" si="8"/>
        <v>0</v>
      </c>
    </row>
    <row r="61" spans="1:11" x14ac:dyDescent="0.15">
      <c r="B61" s="4"/>
      <c r="C61" s="9"/>
      <c r="D61" s="10"/>
      <c r="E61" s="11"/>
      <c r="F61" s="8">
        <f t="shared" si="7"/>
        <v>0</v>
      </c>
      <c r="G61" s="9"/>
      <c r="H61" s="10"/>
      <c r="I61" s="11"/>
      <c r="J61" s="8">
        <f t="shared" si="8"/>
        <v>0</v>
      </c>
    </row>
    <row r="62" spans="1:11" x14ac:dyDescent="0.15">
      <c r="B62" s="4"/>
      <c r="C62" s="9"/>
      <c r="D62" s="10"/>
      <c r="E62" s="11"/>
      <c r="F62" s="8">
        <f t="shared" si="7"/>
        <v>0</v>
      </c>
      <c r="G62" s="9"/>
      <c r="H62" s="10"/>
      <c r="I62" s="11"/>
      <c r="J62" s="8">
        <f t="shared" si="8"/>
        <v>0</v>
      </c>
    </row>
    <row r="63" spans="1:11" x14ac:dyDescent="0.15">
      <c r="B63" s="4"/>
      <c r="C63" s="9"/>
      <c r="D63" s="10"/>
      <c r="E63" s="11"/>
      <c r="F63" s="8">
        <f t="shared" si="7"/>
        <v>0</v>
      </c>
      <c r="G63" s="9"/>
      <c r="H63" s="10"/>
      <c r="I63" s="11"/>
      <c r="J63" s="8">
        <f t="shared" si="8"/>
        <v>0</v>
      </c>
    </row>
    <row r="64" spans="1:11" x14ac:dyDescent="0.15">
      <c r="B64" s="4"/>
      <c r="C64" s="9"/>
      <c r="D64" s="10"/>
      <c r="E64" s="11"/>
      <c r="F64" s="8">
        <f t="shared" si="7"/>
        <v>0</v>
      </c>
      <c r="G64" s="9"/>
      <c r="H64" s="10"/>
      <c r="I64" s="11"/>
      <c r="J64" s="8">
        <f t="shared" si="8"/>
        <v>0</v>
      </c>
    </row>
    <row r="65" spans="2:10" x14ac:dyDescent="0.15">
      <c r="B65" s="4"/>
      <c r="C65" s="9"/>
      <c r="D65" s="10"/>
      <c r="E65" s="11"/>
      <c r="F65" s="8">
        <f t="shared" si="7"/>
        <v>0</v>
      </c>
      <c r="G65" s="9"/>
      <c r="H65" s="10"/>
      <c r="I65" s="11"/>
      <c r="J65" s="8">
        <f t="shared" si="8"/>
        <v>0</v>
      </c>
    </row>
    <row r="66" spans="2:10" x14ac:dyDescent="0.15">
      <c r="B66" s="4"/>
      <c r="C66" s="9"/>
      <c r="D66" s="10"/>
      <c r="E66" s="11"/>
      <c r="F66" s="8">
        <f t="shared" si="7"/>
        <v>0</v>
      </c>
      <c r="G66" s="9"/>
      <c r="H66" s="10"/>
      <c r="I66" s="11"/>
      <c r="J66" s="8">
        <f t="shared" si="8"/>
        <v>0</v>
      </c>
    </row>
    <row r="67" spans="2:10" x14ac:dyDescent="0.15">
      <c r="B67" s="4"/>
      <c r="C67" s="9"/>
      <c r="D67" s="10"/>
      <c r="E67" s="11"/>
      <c r="F67" s="8">
        <f t="shared" si="7"/>
        <v>0</v>
      </c>
      <c r="G67" s="9"/>
      <c r="H67" s="10"/>
      <c r="I67" s="11"/>
      <c r="J67" s="8">
        <f t="shared" si="8"/>
        <v>0</v>
      </c>
    </row>
    <row r="68" spans="2:10" x14ac:dyDescent="0.15">
      <c r="B68" s="4"/>
      <c r="C68" s="9"/>
      <c r="D68" s="10"/>
      <c r="E68" s="11"/>
      <c r="F68" s="8">
        <f t="shared" si="7"/>
        <v>0</v>
      </c>
      <c r="G68" s="9"/>
      <c r="H68" s="10"/>
      <c r="I68" s="11"/>
      <c r="J68" s="8">
        <f t="shared" si="8"/>
        <v>0</v>
      </c>
    </row>
    <row r="69" spans="2:10" x14ac:dyDescent="0.15">
      <c r="B69" s="4"/>
      <c r="C69" s="9"/>
      <c r="D69" s="10"/>
      <c r="E69" s="11"/>
      <c r="F69" s="8">
        <f t="shared" si="7"/>
        <v>0</v>
      </c>
      <c r="G69" s="9"/>
      <c r="H69" s="10"/>
      <c r="I69" s="11"/>
      <c r="J69" s="8">
        <f t="shared" si="8"/>
        <v>0</v>
      </c>
    </row>
    <row r="70" spans="2:10" x14ac:dyDescent="0.15">
      <c r="B70" s="4"/>
      <c r="C70" s="9"/>
      <c r="D70" s="10"/>
      <c r="E70" s="11"/>
      <c r="F70" s="8">
        <f t="shared" si="7"/>
        <v>0</v>
      </c>
      <c r="G70" s="9"/>
      <c r="H70" s="10"/>
      <c r="I70" s="11"/>
      <c r="J70" s="8">
        <f t="shared" si="8"/>
        <v>0</v>
      </c>
    </row>
    <row r="71" spans="2:10" x14ac:dyDescent="0.15">
      <c r="B71" s="4"/>
      <c r="C71" s="9"/>
      <c r="D71" s="10"/>
      <c r="E71" s="11"/>
      <c r="F71" s="8">
        <f t="shared" si="7"/>
        <v>0</v>
      </c>
      <c r="G71" s="9"/>
      <c r="H71" s="10"/>
      <c r="I71" s="11"/>
      <c r="J71" s="8">
        <f t="shared" si="8"/>
        <v>0</v>
      </c>
    </row>
    <row r="72" spans="2:10" x14ac:dyDescent="0.15">
      <c r="B72" s="4"/>
      <c r="C72" s="9"/>
      <c r="D72" s="10"/>
      <c r="E72" s="11"/>
      <c r="F72" s="8">
        <f t="shared" si="7"/>
        <v>0</v>
      </c>
      <c r="G72" s="9"/>
      <c r="H72" s="10"/>
      <c r="I72" s="11"/>
      <c r="J72" s="8">
        <f t="shared" si="8"/>
        <v>0</v>
      </c>
    </row>
    <row r="73" spans="2:10" x14ac:dyDescent="0.15">
      <c r="B73" s="4"/>
      <c r="C73" s="9"/>
      <c r="D73" s="10"/>
      <c r="E73" s="11"/>
      <c r="F73" s="8">
        <f t="shared" si="7"/>
        <v>0</v>
      </c>
      <c r="G73" s="9"/>
      <c r="H73" s="10"/>
      <c r="I73" s="11"/>
      <c r="J73" s="8">
        <f t="shared" si="8"/>
        <v>0</v>
      </c>
    </row>
    <row r="74" spans="2:10" x14ac:dyDescent="0.15">
      <c r="B74" s="4"/>
      <c r="C74" s="9"/>
      <c r="D74" s="10"/>
      <c r="E74" s="11"/>
      <c r="F74" s="8">
        <f t="shared" si="7"/>
        <v>0</v>
      </c>
      <c r="G74" s="9"/>
      <c r="H74" s="10"/>
      <c r="I74" s="11"/>
      <c r="J74" s="8">
        <f t="shared" si="8"/>
        <v>0</v>
      </c>
    </row>
    <row r="75" spans="2:10" x14ac:dyDescent="0.15">
      <c r="B75" s="4"/>
      <c r="C75" s="9"/>
      <c r="D75" s="10"/>
      <c r="E75" s="11"/>
      <c r="F75" s="8">
        <f t="shared" si="7"/>
        <v>0</v>
      </c>
      <c r="G75" s="9"/>
      <c r="H75" s="10"/>
      <c r="I75" s="11"/>
      <c r="J75" s="8">
        <f t="shared" si="8"/>
        <v>0</v>
      </c>
    </row>
    <row r="76" spans="2:10" x14ac:dyDescent="0.15">
      <c r="B76" s="4"/>
      <c r="C76" s="9"/>
      <c r="D76" s="10"/>
      <c r="E76" s="11"/>
      <c r="F76" s="8">
        <f t="shared" si="7"/>
        <v>0</v>
      </c>
      <c r="G76" s="9"/>
      <c r="H76" s="10"/>
      <c r="I76" s="11"/>
      <c r="J76" s="8">
        <f t="shared" si="8"/>
        <v>0</v>
      </c>
    </row>
    <row r="77" spans="2:10" x14ac:dyDescent="0.15">
      <c r="B77" s="4"/>
      <c r="C77" s="9"/>
      <c r="D77" s="10"/>
      <c r="E77" s="11"/>
      <c r="F77" s="8">
        <f t="shared" si="5"/>
        <v>0</v>
      </c>
      <c r="G77" s="9"/>
      <c r="H77" s="10"/>
      <c r="I77" s="11"/>
      <c r="J77" s="8">
        <f t="shared" si="6"/>
        <v>0</v>
      </c>
    </row>
    <row r="78" spans="2:10" x14ac:dyDescent="0.15">
      <c r="B78" s="4"/>
      <c r="C78" s="9"/>
      <c r="D78" s="10"/>
      <c r="E78" s="11"/>
      <c r="F78" s="8">
        <f t="shared" si="5"/>
        <v>0</v>
      </c>
      <c r="G78" s="9"/>
      <c r="H78" s="10"/>
      <c r="I78" s="11"/>
      <c r="J78" s="8">
        <f t="shared" si="6"/>
        <v>0</v>
      </c>
    </row>
    <row r="79" spans="2:10" x14ac:dyDescent="0.15">
      <c r="B79" s="4"/>
      <c r="C79" s="9"/>
      <c r="D79" s="10"/>
      <c r="E79" s="11"/>
      <c r="F79" s="8">
        <f t="shared" si="5"/>
        <v>0</v>
      </c>
      <c r="G79" s="9"/>
      <c r="H79" s="10"/>
      <c r="I79" s="11"/>
      <c r="J79" s="8">
        <f t="shared" si="6"/>
        <v>0</v>
      </c>
    </row>
    <row r="80" spans="2:10" x14ac:dyDescent="0.15">
      <c r="B80" s="4"/>
      <c r="C80" s="9"/>
      <c r="D80" s="10"/>
      <c r="E80" s="11"/>
      <c r="F80" s="8">
        <f t="shared" si="5"/>
        <v>0</v>
      </c>
      <c r="G80" s="9"/>
      <c r="H80" s="10"/>
      <c r="I80" s="11"/>
      <c r="J80" s="8">
        <f t="shared" si="6"/>
        <v>0</v>
      </c>
    </row>
    <row r="81" spans="2:10" x14ac:dyDescent="0.15">
      <c r="B81" s="4"/>
      <c r="C81" s="9"/>
      <c r="D81" s="10"/>
      <c r="E81" s="11"/>
      <c r="F81" s="8">
        <f t="shared" si="5"/>
        <v>0</v>
      </c>
      <c r="G81" s="9"/>
      <c r="H81" s="10"/>
      <c r="I81" s="11"/>
      <c r="J81" s="8">
        <f t="shared" si="6"/>
        <v>0</v>
      </c>
    </row>
    <row r="82" spans="2:10" ht="14.25" thickBot="1" x14ac:dyDescent="0.2">
      <c r="B82" s="4"/>
      <c r="C82" s="9"/>
      <c r="D82" s="10"/>
      <c r="E82" s="11"/>
      <c r="F82" s="8">
        <f t="shared" si="5"/>
        <v>0</v>
      </c>
      <c r="G82" s="9"/>
      <c r="H82" s="10"/>
      <c r="I82" s="11"/>
      <c r="J82" s="8">
        <f t="shared" si="6"/>
        <v>0</v>
      </c>
    </row>
    <row r="83" spans="2:10" ht="14.25" thickBot="1" x14ac:dyDescent="0.2">
      <c r="B83" s="3" t="s">
        <v>5</v>
      </c>
      <c r="C83" s="15">
        <f>SUM(C59:C82)</f>
        <v>0</v>
      </c>
      <c r="D83" s="15">
        <f>SUM(D59:D82)</f>
        <v>0</v>
      </c>
      <c r="E83" s="15">
        <f>SUM(E59:E82)</f>
        <v>0</v>
      </c>
      <c r="F83" s="16">
        <f t="shared" si="5"/>
        <v>0</v>
      </c>
      <c r="G83" s="15">
        <f>SUM(G59:G82)</f>
        <v>0</v>
      </c>
      <c r="H83" s="15">
        <f>SUM(H59:H82)</f>
        <v>0</v>
      </c>
      <c r="I83" s="15">
        <f>SUM(I59:I82)</f>
        <v>0</v>
      </c>
      <c r="J83" s="16">
        <f t="shared" si="6"/>
        <v>0</v>
      </c>
    </row>
    <row r="84" spans="2:10" ht="14.25" thickBot="1" x14ac:dyDescent="0.2">
      <c r="B84" s="26" t="s">
        <v>6</v>
      </c>
      <c r="C84" s="27">
        <f t="shared" ref="C84:J84" si="9">C58-C83</f>
        <v>2</v>
      </c>
      <c r="D84" s="27">
        <f t="shared" si="9"/>
        <v>4</v>
      </c>
      <c r="E84" s="27">
        <f t="shared" si="9"/>
        <v>3</v>
      </c>
      <c r="F84" s="27">
        <f t="shared" si="9"/>
        <v>9</v>
      </c>
      <c r="G84" s="27">
        <f t="shared" si="9"/>
        <v>2</v>
      </c>
      <c r="H84" s="27">
        <f t="shared" si="9"/>
        <v>5</v>
      </c>
      <c r="I84" s="27">
        <f t="shared" si="9"/>
        <v>3</v>
      </c>
      <c r="J84" s="25">
        <f t="shared" si="9"/>
        <v>10</v>
      </c>
    </row>
  </sheetData>
  <mergeCells count="4">
    <mergeCell ref="C2:F2"/>
    <mergeCell ref="G2:J2"/>
    <mergeCell ref="C45:F45"/>
    <mergeCell ref="G45:J45"/>
  </mergeCells>
  <phoneticPr fontId="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L514"/>
  <sheetViews>
    <sheetView topLeftCell="A476" zoomScaleNormal="100" workbookViewId="0">
      <selection activeCell="B481" sqref="B481:L481"/>
    </sheetView>
  </sheetViews>
  <sheetFormatPr defaultRowHeight="13.5" x14ac:dyDescent="0.15"/>
  <cols>
    <col min="2" max="2" width="16.5" customWidth="1"/>
    <col min="11" max="11" width="9.25" bestFit="1" customWidth="1"/>
  </cols>
  <sheetData>
    <row r="1" spans="2:12" ht="19.5" thickBot="1" x14ac:dyDescent="0.25">
      <c r="B1" s="33" t="s">
        <v>18</v>
      </c>
      <c r="C1" s="1"/>
      <c r="D1" s="1"/>
      <c r="E1" s="1"/>
      <c r="F1" s="1"/>
      <c r="G1" s="34"/>
      <c r="H1" s="34" t="s">
        <v>17</v>
      </c>
      <c r="I1" s="34"/>
      <c r="J1" s="34"/>
    </row>
    <row r="2" spans="2:12" ht="14.25" thickBot="1" x14ac:dyDescent="0.2">
      <c r="B2" s="2" t="s">
        <v>0</v>
      </c>
      <c r="C2" s="84" t="s">
        <v>21</v>
      </c>
      <c r="D2" s="84"/>
      <c r="E2" s="84"/>
      <c r="F2" s="85"/>
      <c r="G2" s="84" t="s">
        <v>16</v>
      </c>
      <c r="H2" s="84"/>
      <c r="I2" s="84"/>
      <c r="J2" s="85"/>
    </row>
    <row r="3" spans="2:12" ht="14.25" thickBot="1" x14ac:dyDescent="0.2">
      <c r="B3" s="2" t="s">
        <v>1</v>
      </c>
      <c r="C3" s="3" t="s">
        <v>9</v>
      </c>
      <c r="D3" s="2" t="s">
        <v>10</v>
      </c>
      <c r="E3" s="19" t="s">
        <v>11</v>
      </c>
      <c r="F3" s="2" t="s">
        <v>2</v>
      </c>
      <c r="G3" s="3" t="s">
        <v>9</v>
      </c>
      <c r="H3" s="2" t="s">
        <v>10</v>
      </c>
      <c r="I3" s="19" t="s">
        <v>11</v>
      </c>
      <c r="J3" s="2" t="s">
        <v>2</v>
      </c>
    </row>
    <row r="4" spans="2:12" x14ac:dyDescent="0.15">
      <c r="B4" s="6" t="s">
        <v>8</v>
      </c>
      <c r="C4" s="35"/>
      <c r="D4" s="36"/>
      <c r="E4" s="37"/>
      <c r="F4" s="5">
        <f>SUM(C4:E4)</f>
        <v>0</v>
      </c>
      <c r="G4" s="35">
        <v>1</v>
      </c>
      <c r="H4" s="36"/>
      <c r="I4" s="37"/>
      <c r="J4" s="5">
        <f>SUM(G4:I4)</f>
        <v>1</v>
      </c>
      <c r="K4" s="30">
        <v>44027</v>
      </c>
    </row>
    <row r="5" spans="2:12" x14ac:dyDescent="0.15">
      <c r="B5" s="6" t="s">
        <v>3</v>
      </c>
      <c r="C5" s="17"/>
      <c r="D5" s="12">
        <v>1</v>
      </c>
      <c r="E5" s="17"/>
      <c r="F5" s="5">
        <f t="shared" ref="F5:F40" si="0">SUM(C5:E5)</f>
        <v>1</v>
      </c>
      <c r="G5" s="17"/>
      <c r="H5" s="12">
        <v>1</v>
      </c>
      <c r="I5" s="17"/>
      <c r="J5" s="5">
        <f t="shared" ref="J5:J40" si="1">SUM(G5:I5)</f>
        <v>1</v>
      </c>
      <c r="K5" s="30">
        <v>44041</v>
      </c>
    </row>
    <row r="6" spans="2:12" x14ac:dyDescent="0.15">
      <c r="B6" s="6" t="s">
        <v>3</v>
      </c>
      <c r="C6" s="17"/>
      <c r="D6" s="12"/>
      <c r="E6" s="17">
        <v>1</v>
      </c>
      <c r="F6" s="5">
        <f t="shared" si="0"/>
        <v>1</v>
      </c>
      <c r="G6" s="17"/>
      <c r="H6" s="12"/>
      <c r="I6" s="17">
        <v>1</v>
      </c>
      <c r="J6" s="5">
        <f t="shared" si="1"/>
        <v>1</v>
      </c>
      <c r="K6" s="30">
        <v>44047</v>
      </c>
    </row>
    <row r="7" spans="2:12" x14ac:dyDescent="0.15">
      <c r="B7" s="6" t="s">
        <v>3</v>
      </c>
      <c r="C7" s="17"/>
      <c r="D7" s="12">
        <v>1</v>
      </c>
      <c r="E7" s="17"/>
      <c r="F7" s="5">
        <f t="shared" si="0"/>
        <v>1</v>
      </c>
      <c r="G7" s="17"/>
      <c r="H7" s="12">
        <v>1</v>
      </c>
      <c r="I7" s="17"/>
      <c r="J7" s="5">
        <f t="shared" si="1"/>
        <v>1</v>
      </c>
      <c r="K7" s="30">
        <v>44048</v>
      </c>
    </row>
    <row r="8" spans="2:12" x14ac:dyDescent="0.15">
      <c r="B8" s="6" t="s">
        <v>3</v>
      </c>
      <c r="C8" s="17">
        <v>1</v>
      </c>
      <c r="D8" s="12"/>
      <c r="E8" s="17"/>
      <c r="F8" s="5">
        <f t="shared" si="0"/>
        <v>1</v>
      </c>
      <c r="G8" s="17">
        <v>1</v>
      </c>
      <c r="H8" s="12"/>
      <c r="I8" s="17"/>
      <c r="J8" s="5">
        <f t="shared" si="1"/>
        <v>1</v>
      </c>
      <c r="K8" s="30">
        <v>44049</v>
      </c>
    </row>
    <row r="9" spans="2:12" x14ac:dyDescent="0.15">
      <c r="B9" s="6" t="s">
        <v>3</v>
      </c>
      <c r="C9" s="17"/>
      <c r="D9" s="12">
        <v>2</v>
      </c>
      <c r="E9" s="17"/>
      <c r="F9" s="5">
        <f t="shared" si="0"/>
        <v>2</v>
      </c>
      <c r="G9" s="17"/>
      <c r="H9" s="12"/>
      <c r="I9" s="17"/>
      <c r="J9" s="5">
        <f t="shared" si="1"/>
        <v>0</v>
      </c>
      <c r="K9" s="30">
        <v>44098</v>
      </c>
      <c r="L9" s="31"/>
    </row>
    <row r="10" spans="2:12" x14ac:dyDescent="0.15">
      <c r="B10" s="6" t="s">
        <v>3</v>
      </c>
      <c r="C10" s="17"/>
      <c r="D10" s="12"/>
      <c r="E10" s="17"/>
      <c r="F10" s="5">
        <f t="shared" si="0"/>
        <v>0</v>
      </c>
      <c r="G10" s="17"/>
      <c r="H10" s="12">
        <v>2</v>
      </c>
      <c r="I10" s="17"/>
      <c r="J10" s="5">
        <f t="shared" si="1"/>
        <v>2</v>
      </c>
      <c r="K10" s="30">
        <v>44117</v>
      </c>
      <c r="L10" s="31"/>
    </row>
    <row r="11" spans="2:12" x14ac:dyDescent="0.15">
      <c r="B11" s="6" t="s">
        <v>3</v>
      </c>
      <c r="C11" s="11">
        <v>1</v>
      </c>
      <c r="D11" s="10"/>
      <c r="E11" s="11"/>
      <c r="F11" s="5">
        <f t="shared" si="0"/>
        <v>1</v>
      </c>
      <c r="G11" s="11">
        <v>1</v>
      </c>
      <c r="H11" s="10"/>
      <c r="I11" s="11"/>
      <c r="J11" s="5">
        <f t="shared" si="1"/>
        <v>1</v>
      </c>
      <c r="K11" s="32">
        <v>44145</v>
      </c>
    </row>
    <row r="12" spans="2:12" x14ac:dyDescent="0.15">
      <c r="B12" s="6" t="s">
        <v>3</v>
      </c>
      <c r="C12" s="11"/>
      <c r="D12" s="10">
        <v>1</v>
      </c>
      <c r="E12" s="11"/>
      <c r="F12" s="5">
        <f t="shared" si="0"/>
        <v>1</v>
      </c>
      <c r="G12" s="11"/>
      <c r="H12" s="10">
        <v>1</v>
      </c>
      <c r="I12" s="11"/>
      <c r="J12" s="5">
        <f t="shared" si="1"/>
        <v>1</v>
      </c>
      <c r="K12" s="30">
        <v>44152</v>
      </c>
      <c r="L12" s="31"/>
    </row>
    <row r="13" spans="2:12" x14ac:dyDescent="0.15">
      <c r="B13" s="6" t="s">
        <v>3</v>
      </c>
      <c r="C13" s="11"/>
      <c r="D13" s="10"/>
      <c r="E13" s="11"/>
      <c r="F13" s="5">
        <f t="shared" si="0"/>
        <v>0</v>
      </c>
      <c r="G13" s="11"/>
      <c r="H13" s="10">
        <v>2</v>
      </c>
      <c r="I13" s="11"/>
      <c r="J13" s="5">
        <f t="shared" si="1"/>
        <v>2</v>
      </c>
      <c r="K13" s="30">
        <v>44162</v>
      </c>
    </row>
    <row r="14" spans="2:12" ht="14.25" thickBot="1" x14ac:dyDescent="0.2">
      <c r="B14" s="7" t="s">
        <v>3</v>
      </c>
      <c r="C14" s="14"/>
      <c r="D14" s="13"/>
      <c r="E14" s="14"/>
      <c r="F14" s="20">
        <f t="shared" si="0"/>
        <v>0</v>
      </c>
      <c r="G14" s="14">
        <v>2</v>
      </c>
      <c r="H14" s="13"/>
      <c r="I14" s="14"/>
      <c r="J14" s="20">
        <f t="shared" si="1"/>
        <v>2</v>
      </c>
      <c r="K14" s="30">
        <v>44166</v>
      </c>
    </row>
    <row r="15" spans="2:12" ht="14.25" thickBot="1" x14ac:dyDescent="0.2">
      <c r="B15" s="22" t="s">
        <v>4</v>
      </c>
      <c r="C15" s="23">
        <f>SUM(C4:C14)</f>
        <v>2</v>
      </c>
      <c r="D15" s="23">
        <f>SUM(D4:D14)</f>
        <v>5</v>
      </c>
      <c r="E15" s="24">
        <f>SUM(E4:E14)</f>
        <v>1</v>
      </c>
      <c r="F15" s="25">
        <f t="shared" si="0"/>
        <v>8</v>
      </c>
      <c r="G15" s="23">
        <f>SUM(G4:G14)</f>
        <v>5</v>
      </c>
      <c r="H15" s="23">
        <f>SUM(H4:H14)</f>
        <v>7</v>
      </c>
      <c r="I15" s="24">
        <f>SUM(I4:I14)</f>
        <v>1</v>
      </c>
      <c r="J15" s="25">
        <f t="shared" si="1"/>
        <v>13</v>
      </c>
    </row>
    <row r="16" spans="2:12" x14ac:dyDescent="0.15">
      <c r="B16" s="4" t="s">
        <v>19</v>
      </c>
      <c r="C16" s="9"/>
      <c r="D16" s="10"/>
      <c r="E16" s="11"/>
      <c r="F16" s="5">
        <f t="shared" si="0"/>
        <v>0</v>
      </c>
      <c r="G16" s="9">
        <v>1</v>
      </c>
      <c r="H16" s="10"/>
      <c r="I16" s="11"/>
      <c r="J16" s="5">
        <f t="shared" si="1"/>
        <v>1</v>
      </c>
      <c r="K16" s="32">
        <v>44027</v>
      </c>
    </row>
    <row r="17" spans="2:11" x14ac:dyDescent="0.15">
      <c r="B17" s="4" t="s">
        <v>7</v>
      </c>
      <c r="C17" s="9"/>
      <c r="D17" s="10">
        <v>1</v>
      </c>
      <c r="E17" s="11"/>
      <c r="F17" s="5">
        <f t="shared" si="0"/>
        <v>1</v>
      </c>
      <c r="G17" s="9"/>
      <c r="H17" s="10">
        <v>1</v>
      </c>
      <c r="I17" s="11"/>
      <c r="J17" s="5">
        <f t="shared" si="1"/>
        <v>1</v>
      </c>
      <c r="K17" s="32">
        <v>44041</v>
      </c>
    </row>
    <row r="18" spans="2:11" x14ac:dyDescent="0.15">
      <c r="B18" s="4" t="s">
        <v>7</v>
      </c>
      <c r="C18" s="9"/>
      <c r="D18" s="10"/>
      <c r="E18" s="11">
        <v>1</v>
      </c>
      <c r="F18" s="5">
        <f t="shared" si="0"/>
        <v>1</v>
      </c>
      <c r="G18" s="9"/>
      <c r="H18" s="10"/>
      <c r="I18" s="11">
        <v>1</v>
      </c>
      <c r="J18" s="5">
        <f t="shared" si="1"/>
        <v>1</v>
      </c>
      <c r="K18" s="32">
        <v>44047</v>
      </c>
    </row>
    <row r="19" spans="2:11" x14ac:dyDescent="0.15">
      <c r="B19" s="4" t="s">
        <v>7</v>
      </c>
      <c r="C19" s="9"/>
      <c r="D19" s="10">
        <v>1</v>
      </c>
      <c r="E19" s="11"/>
      <c r="F19" s="5">
        <f t="shared" si="0"/>
        <v>1</v>
      </c>
      <c r="G19" s="9"/>
      <c r="H19" s="10">
        <v>1</v>
      </c>
      <c r="I19" s="11"/>
      <c r="J19" s="5">
        <f t="shared" si="1"/>
        <v>1</v>
      </c>
      <c r="K19" s="32">
        <v>44048</v>
      </c>
    </row>
    <row r="20" spans="2:11" x14ac:dyDescent="0.15">
      <c r="B20" s="4" t="s">
        <v>7</v>
      </c>
      <c r="C20" s="9">
        <v>1</v>
      </c>
      <c r="D20" s="10"/>
      <c r="E20" s="11"/>
      <c r="F20" s="5">
        <f t="shared" si="0"/>
        <v>1</v>
      </c>
      <c r="G20" s="9">
        <v>1</v>
      </c>
      <c r="H20" s="10"/>
      <c r="I20" s="11"/>
      <c r="J20" s="5">
        <f t="shared" si="1"/>
        <v>1</v>
      </c>
      <c r="K20" s="32">
        <v>44049</v>
      </c>
    </row>
    <row r="21" spans="2:11" x14ac:dyDescent="0.15">
      <c r="B21" s="4" t="s">
        <v>7</v>
      </c>
      <c r="C21" s="9"/>
      <c r="D21" s="10">
        <v>2</v>
      </c>
      <c r="E21" s="11"/>
      <c r="F21" s="8">
        <f t="shared" si="0"/>
        <v>2</v>
      </c>
      <c r="G21" s="9"/>
      <c r="H21" s="10"/>
      <c r="I21" s="11"/>
      <c r="J21" s="8">
        <f t="shared" si="1"/>
        <v>0</v>
      </c>
      <c r="K21" s="32">
        <v>44098</v>
      </c>
    </row>
    <row r="22" spans="2:11" x14ac:dyDescent="0.15">
      <c r="B22" s="4" t="s">
        <v>7</v>
      </c>
      <c r="C22" s="9"/>
      <c r="D22" s="10"/>
      <c r="E22" s="11"/>
      <c r="F22" s="8">
        <f t="shared" si="0"/>
        <v>0</v>
      </c>
      <c r="G22" s="9"/>
      <c r="H22" s="10">
        <v>2</v>
      </c>
      <c r="I22" s="11"/>
      <c r="J22" s="8">
        <f t="shared" si="1"/>
        <v>2</v>
      </c>
      <c r="K22" s="32">
        <v>44117</v>
      </c>
    </row>
    <row r="23" spans="2:11" x14ac:dyDescent="0.15">
      <c r="B23" s="4" t="s">
        <v>7</v>
      </c>
      <c r="C23" s="9">
        <v>1</v>
      </c>
      <c r="D23" s="10"/>
      <c r="E23" s="11"/>
      <c r="F23" s="8">
        <f t="shared" si="0"/>
        <v>1</v>
      </c>
      <c r="G23" s="9">
        <v>1</v>
      </c>
      <c r="H23" s="10"/>
      <c r="I23" s="11"/>
      <c r="J23" s="8">
        <f t="shared" si="1"/>
        <v>1</v>
      </c>
      <c r="K23" s="32">
        <v>44145</v>
      </c>
    </row>
    <row r="24" spans="2:11" x14ac:dyDescent="0.15">
      <c r="B24" s="4" t="s">
        <v>24</v>
      </c>
      <c r="C24" s="9"/>
      <c r="D24" s="10"/>
      <c r="E24" s="11"/>
      <c r="F24" s="8">
        <f t="shared" si="0"/>
        <v>0</v>
      </c>
      <c r="G24" s="9">
        <v>-1</v>
      </c>
      <c r="H24" s="10"/>
      <c r="I24" s="11"/>
      <c r="J24" s="8">
        <f t="shared" si="1"/>
        <v>-1</v>
      </c>
      <c r="K24" s="32">
        <v>44151</v>
      </c>
    </row>
    <row r="25" spans="2:11" x14ac:dyDescent="0.15">
      <c r="B25" s="4" t="s">
        <v>7</v>
      </c>
      <c r="C25" s="9"/>
      <c r="D25" s="10">
        <v>1</v>
      </c>
      <c r="E25" s="11"/>
      <c r="F25" s="8">
        <f t="shared" si="0"/>
        <v>1</v>
      </c>
      <c r="G25" s="9"/>
      <c r="H25" s="10">
        <v>1</v>
      </c>
      <c r="I25" s="11"/>
      <c r="J25" s="8">
        <f t="shared" si="1"/>
        <v>1</v>
      </c>
      <c r="K25" s="32">
        <v>44152</v>
      </c>
    </row>
    <row r="26" spans="2:11" x14ac:dyDescent="0.15">
      <c r="B26" s="4" t="s">
        <v>7</v>
      </c>
      <c r="C26" s="9"/>
      <c r="D26" s="10"/>
      <c r="E26" s="11"/>
      <c r="F26" s="8">
        <f t="shared" si="0"/>
        <v>0</v>
      </c>
      <c r="G26" s="9"/>
      <c r="H26" s="10">
        <v>2</v>
      </c>
      <c r="I26" s="11"/>
      <c r="J26" s="8">
        <f t="shared" si="1"/>
        <v>2</v>
      </c>
      <c r="K26" s="32">
        <v>44162</v>
      </c>
    </row>
    <row r="27" spans="2:11" x14ac:dyDescent="0.15">
      <c r="B27" s="4" t="s">
        <v>7</v>
      </c>
      <c r="C27" s="9"/>
      <c r="D27" s="10"/>
      <c r="E27" s="11"/>
      <c r="F27" s="8">
        <f t="shared" si="0"/>
        <v>0</v>
      </c>
      <c r="G27" s="9">
        <v>2</v>
      </c>
      <c r="H27" s="10"/>
      <c r="I27" s="11"/>
      <c r="J27" s="8">
        <f t="shared" si="1"/>
        <v>2</v>
      </c>
      <c r="K27" s="32">
        <v>44187</v>
      </c>
    </row>
    <row r="28" spans="2:11" x14ac:dyDescent="0.15">
      <c r="B28" s="4" t="s">
        <v>23</v>
      </c>
      <c r="C28" s="9"/>
      <c r="D28" s="10">
        <v>-1</v>
      </c>
      <c r="E28" s="11"/>
      <c r="F28" s="8">
        <f t="shared" ref="F28:F30" si="2">SUM(C28:E28)</f>
        <v>-1</v>
      </c>
      <c r="G28" s="9"/>
      <c r="H28" s="10"/>
      <c r="I28" s="11"/>
      <c r="J28" s="8">
        <f t="shared" ref="J28:J30" si="3">SUM(G28:I28)</f>
        <v>0</v>
      </c>
      <c r="K28" s="32">
        <v>44187</v>
      </c>
    </row>
    <row r="29" spans="2:11" x14ac:dyDescent="0.15">
      <c r="B29" s="4" t="s">
        <v>7</v>
      </c>
      <c r="C29" s="9"/>
      <c r="D29" s="10">
        <v>1</v>
      </c>
      <c r="E29" s="11"/>
      <c r="F29" s="8">
        <f t="shared" si="2"/>
        <v>1</v>
      </c>
      <c r="G29" s="9"/>
      <c r="H29" s="10"/>
      <c r="I29" s="11"/>
      <c r="J29" s="8">
        <f t="shared" si="3"/>
        <v>0</v>
      </c>
      <c r="K29" s="32">
        <v>44187</v>
      </c>
    </row>
    <row r="30" spans="2:11" x14ac:dyDescent="0.15">
      <c r="B30" s="4" t="s">
        <v>23</v>
      </c>
      <c r="C30" s="9">
        <v>-1</v>
      </c>
      <c r="D30" s="10"/>
      <c r="E30" s="11"/>
      <c r="F30" s="8">
        <f t="shared" si="2"/>
        <v>-1</v>
      </c>
      <c r="G30" s="9"/>
      <c r="H30" s="10"/>
      <c r="I30" s="11"/>
      <c r="J30" s="8">
        <f t="shared" si="3"/>
        <v>0</v>
      </c>
      <c r="K30" s="30">
        <v>44193</v>
      </c>
    </row>
    <row r="31" spans="2:11" x14ac:dyDescent="0.15">
      <c r="B31" s="4" t="s">
        <v>7</v>
      </c>
      <c r="C31" s="9">
        <v>1</v>
      </c>
      <c r="D31" s="10"/>
      <c r="E31" s="11"/>
      <c r="F31" s="8">
        <f t="shared" si="0"/>
        <v>1</v>
      </c>
      <c r="G31" s="9">
        <v>1</v>
      </c>
      <c r="H31" s="10"/>
      <c r="I31" s="11"/>
      <c r="J31" s="8">
        <f t="shared" si="1"/>
        <v>1</v>
      </c>
      <c r="K31" s="32">
        <v>44193</v>
      </c>
    </row>
    <row r="32" spans="2:11" x14ac:dyDescent="0.15">
      <c r="B32" s="12" t="s">
        <v>23</v>
      </c>
      <c r="C32" s="9"/>
      <c r="D32" s="10"/>
      <c r="E32" s="11"/>
      <c r="F32" s="8">
        <f t="shared" si="0"/>
        <v>0</v>
      </c>
      <c r="G32" s="9"/>
      <c r="H32" s="10"/>
      <c r="I32" s="11">
        <v>-1</v>
      </c>
      <c r="J32" s="8">
        <f t="shared" si="1"/>
        <v>-1</v>
      </c>
      <c r="K32" s="32">
        <v>44203</v>
      </c>
    </row>
    <row r="33" spans="2:11" x14ac:dyDescent="0.15">
      <c r="B33" s="4" t="s">
        <v>25</v>
      </c>
      <c r="C33" s="9"/>
      <c r="D33" s="10"/>
      <c r="E33" s="11"/>
      <c r="F33" s="8">
        <f t="shared" si="0"/>
        <v>0</v>
      </c>
      <c r="G33" s="9"/>
      <c r="H33" s="10"/>
      <c r="I33" s="11">
        <v>1</v>
      </c>
      <c r="J33" s="8">
        <f t="shared" si="1"/>
        <v>1</v>
      </c>
      <c r="K33" s="32">
        <v>44203</v>
      </c>
    </row>
    <row r="34" spans="2:11" x14ac:dyDescent="0.15">
      <c r="B34" s="12" t="s">
        <v>23</v>
      </c>
      <c r="C34" s="9">
        <v>-1</v>
      </c>
      <c r="D34" s="10"/>
      <c r="E34" s="11"/>
      <c r="F34" s="8">
        <f t="shared" si="0"/>
        <v>-1</v>
      </c>
      <c r="G34" s="9">
        <v>-1</v>
      </c>
      <c r="H34" s="10"/>
      <c r="I34" s="11"/>
      <c r="J34" s="8">
        <f t="shared" si="1"/>
        <v>-1</v>
      </c>
      <c r="K34" s="30">
        <v>44221</v>
      </c>
    </row>
    <row r="35" spans="2:11" x14ac:dyDescent="0.15">
      <c r="B35" s="4" t="s">
        <v>25</v>
      </c>
      <c r="C35" s="9">
        <v>1</v>
      </c>
      <c r="D35" s="10"/>
      <c r="E35" s="11"/>
      <c r="F35" s="8">
        <f t="shared" si="0"/>
        <v>1</v>
      </c>
      <c r="G35" s="9">
        <v>1</v>
      </c>
      <c r="H35" s="10"/>
      <c r="I35" s="11"/>
      <c r="J35" s="8">
        <f t="shared" si="1"/>
        <v>1</v>
      </c>
      <c r="K35" s="30">
        <v>44221</v>
      </c>
    </row>
    <row r="36" spans="2:11" x14ac:dyDescent="0.15">
      <c r="B36" s="12" t="s">
        <v>23</v>
      </c>
      <c r="C36" s="9"/>
      <c r="D36" s="10">
        <v>-1</v>
      </c>
      <c r="E36" s="11"/>
      <c r="F36" s="8">
        <f t="shared" si="0"/>
        <v>-1</v>
      </c>
      <c r="G36" s="9"/>
      <c r="H36" s="10">
        <v>-1</v>
      </c>
      <c r="I36" s="11"/>
      <c r="J36" s="8">
        <f t="shared" si="1"/>
        <v>-1</v>
      </c>
      <c r="K36" s="30">
        <v>44228</v>
      </c>
    </row>
    <row r="37" spans="2:11" x14ac:dyDescent="0.15">
      <c r="B37" s="12" t="s">
        <v>23</v>
      </c>
      <c r="C37" s="9"/>
      <c r="D37" s="10"/>
      <c r="E37" s="11"/>
      <c r="F37" s="8">
        <f t="shared" si="0"/>
        <v>0</v>
      </c>
      <c r="G37" s="9">
        <v>-1</v>
      </c>
      <c r="H37" s="10"/>
      <c r="I37" s="11"/>
      <c r="J37" s="8">
        <f t="shared" si="1"/>
        <v>-1</v>
      </c>
      <c r="K37" s="30">
        <v>44229</v>
      </c>
    </row>
    <row r="38" spans="2:11" x14ac:dyDescent="0.15">
      <c r="B38" s="4" t="s">
        <v>25</v>
      </c>
      <c r="C38" s="9"/>
      <c r="D38" s="10">
        <v>1</v>
      </c>
      <c r="E38" s="11"/>
      <c r="F38" s="8">
        <f t="shared" si="0"/>
        <v>1</v>
      </c>
      <c r="G38" s="9"/>
      <c r="H38" s="10">
        <v>1</v>
      </c>
      <c r="I38" s="11"/>
      <c r="J38" s="8">
        <f t="shared" si="1"/>
        <v>1</v>
      </c>
      <c r="K38" s="32">
        <v>44228</v>
      </c>
    </row>
    <row r="39" spans="2:11" ht="14.25" thickBot="1" x14ac:dyDescent="0.2">
      <c r="B39" s="4" t="s">
        <v>25</v>
      </c>
      <c r="C39" s="9"/>
      <c r="D39" s="10"/>
      <c r="E39" s="11"/>
      <c r="F39" s="8">
        <f t="shared" si="0"/>
        <v>0</v>
      </c>
      <c r="G39" s="9">
        <v>1</v>
      </c>
      <c r="H39" s="10"/>
      <c r="I39" s="11"/>
      <c r="J39" s="8">
        <f t="shared" si="1"/>
        <v>1</v>
      </c>
      <c r="K39" s="32">
        <v>44229</v>
      </c>
    </row>
    <row r="40" spans="2:11" ht="14.25" thickBot="1" x14ac:dyDescent="0.2">
      <c r="B40" s="3" t="s">
        <v>5</v>
      </c>
      <c r="C40" s="15">
        <f>SUM(C16:C39)</f>
        <v>2</v>
      </c>
      <c r="D40" s="15">
        <f>SUM(D16:D39)</f>
        <v>5</v>
      </c>
      <c r="E40" s="15">
        <f>SUM(E16:E39)</f>
        <v>1</v>
      </c>
      <c r="F40" s="16">
        <f t="shared" si="0"/>
        <v>8</v>
      </c>
      <c r="G40" s="15">
        <f>SUM(G16:G39)</f>
        <v>5</v>
      </c>
      <c r="H40" s="15">
        <f>SUM(H16:H39)</f>
        <v>7</v>
      </c>
      <c r="I40" s="15">
        <f>SUM(I16:I39)</f>
        <v>1</v>
      </c>
      <c r="J40" s="16">
        <f t="shared" si="1"/>
        <v>13</v>
      </c>
    </row>
    <row r="41" spans="2:11" ht="14.25" thickBot="1" x14ac:dyDescent="0.2">
      <c r="B41" s="26" t="s">
        <v>6</v>
      </c>
      <c r="C41" s="27">
        <f t="shared" ref="C41:J41" si="4">C15-C40</f>
        <v>0</v>
      </c>
      <c r="D41" s="27">
        <f t="shared" si="4"/>
        <v>0</v>
      </c>
      <c r="E41" s="27">
        <f t="shared" si="4"/>
        <v>0</v>
      </c>
      <c r="F41" s="27">
        <f t="shared" si="4"/>
        <v>0</v>
      </c>
      <c r="G41" s="27">
        <f t="shared" si="4"/>
        <v>0</v>
      </c>
      <c r="H41" s="27">
        <f t="shared" si="4"/>
        <v>0</v>
      </c>
      <c r="I41" s="27">
        <f t="shared" si="4"/>
        <v>0</v>
      </c>
      <c r="J41" s="25">
        <f t="shared" si="4"/>
        <v>0</v>
      </c>
    </row>
    <row r="44" spans="2:11" ht="19.5" thickBot="1" x14ac:dyDescent="0.25">
      <c r="B44" s="33" t="s">
        <v>18</v>
      </c>
      <c r="C44" s="1"/>
      <c r="D44" s="1"/>
      <c r="E44" s="1"/>
      <c r="F44" s="1"/>
      <c r="G44" s="34"/>
      <c r="H44" s="34">
        <v>1375</v>
      </c>
      <c r="I44" s="34"/>
      <c r="J44" s="34"/>
    </row>
    <row r="45" spans="2:11" ht="14.25" thickBot="1" x14ac:dyDescent="0.2">
      <c r="B45" s="2" t="s">
        <v>0</v>
      </c>
      <c r="C45" s="84" t="s">
        <v>13</v>
      </c>
      <c r="D45" s="84"/>
      <c r="E45" s="84"/>
      <c r="F45" s="85"/>
      <c r="G45" s="84" t="s">
        <v>22</v>
      </c>
      <c r="H45" s="84"/>
      <c r="I45" s="84"/>
      <c r="J45" s="85"/>
    </row>
    <row r="46" spans="2:11" ht="14.25" thickBot="1" x14ac:dyDescent="0.2">
      <c r="B46" s="2" t="s">
        <v>1</v>
      </c>
      <c r="C46" s="3" t="s">
        <v>9</v>
      </c>
      <c r="D46" s="2" t="s">
        <v>10</v>
      </c>
      <c r="E46" s="19" t="s">
        <v>11</v>
      </c>
      <c r="F46" s="2" t="s">
        <v>2</v>
      </c>
      <c r="G46" s="3" t="s">
        <v>9</v>
      </c>
      <c r="H46" s="2" t="s">
        <v>10</v>
      </c>
      <c r="I46" s="19" t="s">
        <v>11</v>
      </c>
      <c r="J46" s="2" t="s">
        <v>2</v>
      </c>
    </row>
    <row r="47" spans="2:11" x14ac:dyDescent="0.15">
      <c r="B47" s="28" t="s">
        <v>12</v>
      </c>
      <c r="C47" s="39">
        <f>C41</f>
        <v>0</v>
      </c>
      <c r="D47" s="40">
        <f>D41</f>
        <v>0</v>
      </c>
      <c r="E47" s="41">
        <f>E41</f>
        <v>0</v>
      </c>
      <c r="F47" s="18">
        <f>SUM(C47:E47)</f>
        <v>0</v>
      </c>
      <c r="G47" s="39">
        <f>G41</f>
        <v>0</v>
      </c>
      <c r="H47" s="40">
        <f>H41</f>
        <v>0</v>
      </c>
      <c r="I47" s="41">
        <f>I41</f>
        <v>0</v>
      </c>
      <c r="J47" s="18">
        <f>SUM(G47:I47)</f>
        <v>0</v>
      </c>
    </row>
    <row r="48" spans="2:11" x14ac:dyDescent="0.15">
      <c r="B48" s="6" t="s">
        <v>3</v>
      </c>
      <c r="C48" s="17">
        <v>2</v>
      </c>
      <c r="D48" s="12"/>
      <c r="E48" s="17"/>
      <c r="F48" s="5">
        <f t="shared" ref="F48:F83" si="5">SUM(C48:E48)</f>
        <v>2</v>
      </c>
      <c r="G48" s="17"/>
      <c r="H48" s="12"/>
      <c r="I48" s="17"/>
      <c r="J48" s="5">
        <f t="shared" ref="J48:J83" si="6">SUM(G48:I48)</f>
        <v>0</v>
      </c>
      <c r="K48" s="30">
        <v>44231</v>
      </c>
    </row>
    <row r="49" spans="1:11" x14ac:dyDescent="0.15">
      <c r="B49" s="6" t="s">
        <v>3</v>
      </c>
      <c r="C49" s="17"/>
      <c r="D49" s="12">
        <v>1</v>
      </c>
      <c r="E49" s="17"/>
      <c r="F49" s="5">
        <f t="shared" si="5"/>
        <v>1</v>
      </c>
      <c r="G49" s="17"/>
      <c r="H49" s="12"/>
      <c r="I49" s="17"/>
      <c r="J49" s="5">
        <f t="shared" si="6"/>
        <v>0</v>
      </c>
      <c r="K49" s="30">
        <v>44236</v>
      </c>
    </row>
    <row r="50" spans="1:11" x14ac:dyDescent="0.15">
      <c r="B50" s="6" t="s">
        <v>3</v>
      </c>
      <c r="C50" s="17">
        <v>1</v>
      </c>
      <c r="D50" s="12">
        <v>1</v>
      </c>
      <c r="E50" s="17">
        <v>2</v>
      </c>
      <c r="F50" s="5">
        <f t="shared" si="5"/>
        <v>4</v>
      </c>
      <c r="G50" s="17">
        <v>1</v>
      </c>
      <c r="H50" s="12">
        <v>1</v>
      </c>
      <c r="I50" s="17">
        <v>2</v>
      </c>
      <c r="J50" s="5">
        <f t="shared" si="6"/>
        <v>4</v>
      </c>
      <c r="K50" s="32">
        <v>44242</v>
      </c>
    </row>
    <row r="51" spans="1:11" x14ac:dyDescent="0.15">
      <c r="B51" s="6" t="s">
        <v>3</v>
      </c>
      <c r="C51" s="17"/>
      <c r="D51" s="12"/>
      <c r="E51" s="17">
        <v>2</v>
      </c>
      <c r="F51" s="5">
        <f t="shared" si="5"/>
        <v>2</v>
      </c>
      <c r="G51" s="17"/>
      <c r="H51" s="12"/>
      <c r="I51" s="17">
        <v>2</v>
      </c>
      <c r="J51" s="5">
        <f t="shared" si="6"/>
        <v>2</v>
      </c>
      <c r="K51" s="30">
        <v>44257</v>
      </c>
    </row>
    <row r="52" spans="1:11" x14ac:dyDescent="0.15">
      <c r="B52" s="6" t="s">
        <v>3</v>
      </c>
      <c r="C52" s="17">
        <v>2</v>
      </c>
      <c r="D52" s="12">
        <v>1</v>
      </c>
      <c r="E52" s="17">
        <v>1</v>
      </c>
      <c r="F52" s="5">
        <f t="shared" si="5"/>
        <v>4</v>
      </c>
      <c r="G52" s="17">
        <v>3</v>
      </c>
      <c r="H52" s="12">
        <v>1</v>
      </c>
      <c r="I52" s="17">
        <v>1</v>
      </c>
      <c r="J52" s="5">
        <f t="shared" si="6"/>
        <v>5</v>
      </c>
      <c r="K52" s="30">
        <v>44264</v>
      </c>
    </row>
    <row r="53" spans="1:11" x14ac:dyDescent="0.15">
      <c r="B53" s="6" t="s">
        <v>3</v>
      </c>
      <c r="C53" s="17">
        <v>3</v>
      </c>
      <c r="D53" s="12"/>
      <c r="E53" s="17"/>
      <c r="F53" s="5">
        <f t="shared" si="5"/>
        <v>3</v>
      </c>
      <c r="G53" s="17">
        <v>2</v>
      </c>
      <c r="H53" s="12"/>
      <c r="I53" s="17"/>
      <c r="J53" s="5">
        <f t="shared" si="6"/>
        <v>2</v>
      </c>
      <c r="K53" s="30">
        <v>44286</v>
      </c>
    </row>
    <row r="54" spans="1:11" x14ac:dyDescent="0.15">
      <c r="A54" s="31"/>
      <c r="B54" s="6" t="s">
        <v>3</v>
      </c>
      <c r="C54" s="37">
        <v>2</v>
      </c>
      <c r="D54" s="36">
        <v>4</v>
      </c>
      <c r="E54" s="37"/>
      <c r="F54" s="5">
        <f t="shared" si="5"/>
        <v>6</v>
      </c>
      <c r="G54" s="37">
        <v>1</v>
      </c>
      <c r="H54" s="36">
        <v>2</v>
      </c>
      <c r="I54" s="37"/>
      <c r="J54" s="5">
        <f t="shared" si="6"/>
        <v>3</v>
      </c>
      <c r="K54" s="30">
        <v>44302</v>
      </c>
    </row>
    <row r="55" spans="1:11" x14ac:dyDescent="0.15">
      <c r="B55" s="6" t="s">
        <v>3</v>
      </c>
      <c r="C55" s="37">
        <v>1</v>
      </c>
      <c r="D55" s="36"/>
      <c r="E55" s="37"/>
      <c r="F55" s="42">
        <f t="shared" si="5"/>
        <v>1</v>
      </c>
      <c r="G55" s="37">
        <v>1</v>
      </c>
      <c r="H55" s="36"/>
      <c r="I55" s="37"/>
      <c r="J55" s="5">
        <f t="shared" si="6"/>
        <v>1</v>
      </c>
      <c r="K55" s="30">
        <v>44309</v>
      </c>
    </row>
    <row r="56" spans="1:11" x14ac:dyDescent="0.15">
      <c r="B56" s="6" t="s">
        <v>3</v>
      </c>
      <c r="C56" s="37"/>
      <c r="D56" s="36">
        <v>2</v>
      </c>
      <c r="E56" s="37">
        <v>1</v>
      </c>
      <c r="F56" s="42">
        <f t="shared" si="5"/>
        <v>3</v>
      </c>
      <c r="G56" s="37"/>
      <c r="H56" s="36"/>
      <c r="I56" s="37"/>
      <c r="J56" s="5">
        <f t="shared" si="6"/>
        <v>0</v>
      </c>
      <c r="K56" s="30">
        <v>44361</v>
      </c>
    </row>
    <row r="57" spans="1:11" ht="14.25" thickBot="1" x14ac:dyDescent="0.2">
      <c r="B57" s="7" t="s">
        <v>3</v>
      </c>
      <c r="C57" s="44"/>
      <c r="D57" s="45">
        <v>1</v>
      </c>
      <c r="E57" s="44"/>
      <c r="F57" s="46">
        <f t="shared" si="5"/>
        <v>1</v>
      </c>
      <c r="G57" s="44"/>
      <c r="H57" s="45">
        <v>1</v>
      </c>
      <c r="I57" s="44"/>
      <c r="J57" s="20">
        <f t="shared" si="6"/>
        <v>1</v>
      </c>
      <c r="K57" s="30">
        <v>44375</v>
      </c>
    </row>
    <row r="58" spans="1:11" ht="14.25" thickBot="1" x14ac:dyDescent="0.2">
      <c r="B58" s="22" t="s">
        <v>4</v>
      </c>
      <c r="C58" s="23">
        <f>SUM(C47:C57)</f>
        <v>11</v>
      </c>
      <c r="D58" s="23">
        <f>SUM(D47:D57)</f>
        <v>10</v>
      </c>
      <c r="E58" s="24">
        <f>SUM(E47:E57)</f>
        <v>6</v>
      </c>
      <c r="F58" s="25">
        <f t="shared" si="5"/>
        <v>27</v>
      </c>
      <c r="G58" s="23">
        <f>SUM(G47:G57)</f>
        <v>8</v>
      </c>
      <c r="H58" s="23">
        <f>SUM(H47:H57)</f>
        <v>5</v>
      </c>
      <c r="I58" s="24">
        <f>SUM(I47:I57)</f>
        <v>5</v>
      </c>
      <c r="J58" s="25">
        <f t="shared" si="6"/>
        <v>18</v>
      </c>
    </row>
    <row r="59" spans="1:11" x14ac:dyDescent="0.15">
      <c r="B59" s="4" t="s">
        <v>25</v>
      </c>
      <c r="C59" s="9">
        <v>2</v>
      </c>
      <c r="D59" s="10"/>
      <c r="E59" s="11"/>
      <c r="F59" s="5">
        <f t="shared" si="5"/>
        <v>2</v>
      </c>
      <c r="G59" s="9"/>
      <c r="H59" s="10"/>
      <c r="I59" s="11"/>
      <c r="J59" s="5">
        <f t="shared" si="6"/>
        <v>0</v>
      </c>
      <c r="K59" s="32">
        <v>44231</v>
      </c>
    </row>
    <row r="60" spans="1:11" x14ac:dyDescent="0.15">
      <c r="B60" s="4" t="s">
        <v>25</v>
      </c>
      <c r="C60" s="9"/>
      <c r="D60" s="10">
        <v>1</v>
      </c>
      <c r="E60" s="11"/>
      <c r="F60" s="5">
        <f t="shared" si="5"/>
        <v>1</v>
      </c>
      <c r="G60" s="9"/>
      <c r="H60" s="10"/>
      <c r="I60" s="11"/>
      <c r="J60" s="5">
        <f t="shared" si="6"/>
        <v>0</v>
      </c>
      <c r="K60" s="32">
        <v>44236</v>
      </c>
    </row>
    <row r="61" spans="1:11" x14ac:dyDescent="0.15">
      <c r="B61" s="4" t="s">
        <v>25</v>
      </c>
      <c r="C61" s="9"/>
      <c r="D61" s="10"/>
      <c r="E61" s="11">
        <v>1</v>
      </c>
      <c r="F61" s="5">
        <f t="shared" si="5"/>
        <v>1</v>
      </c>
      <c r="G61" s="9"/>
      <c r="H61" s="10"/>
      <c r="I61" s="11">
        <v>1</v>
      </c>
      <c r="J61" s="5">
        <f t="shared" si="6"/>
        <v>1</v>
      </c>
      <c r="K61" s="32">
        <v>44242</v>
      </c>
    </row>
    <row r="62" spans="1:11" x14ac:dyDescent="0.15">
      <c r="B62" s="4" t="s">
        <v>25</v>
      </c>
      <c r="C62" s="9"/>
      <c r="D62" s="10"/>
      <c r="E62" s="11">
        <v>2</v>
      </c>
      <c r="F62" s="5">
        <f t="shared" si="5"/>
        <v>2</v>
      </c>
      <c r="G62" s="9"/>
      <c r="H62" s="10"/>
      <c r="I62" s="11">
        <v>2</v>
      </c>
      <c r="J62" s="5">
        <f t="shared" si="6"/>
        <v>2</v>
      </c>
      <c r="K62" s="32">
        <v>44257</v>
      </c>
    </row>
    <row r="63" spans="1:11" x14ac:dyDescent="0.15">
      <c r="B63" s="4" t="s">
        <v>25</v>
      </c>
      <c r="C63" s="9">
        <v>2</v>
      </c>
      <c r="D63" s="10"/>
      <c r="E63" s="11"/>
      <c r="F63" s="5">
        <f t="shared" si="5"/>
        <v>2</v>
      </c>
      <c r="G63" s="9">
        <v>2</v>
      </c>
      <c r="H63" s="10"/>
      <c r="I63" s="11"/>
      <c r="J63" s="5">
        <f t="shared" si="6"/>
        <v>2</v>
      </c>
      <c r="K63" s="32">
        <v>44264</v>
      </c>
    </row>
    <row r="64" spans="1:11" x14ac:dyDescent="0.15">
      <c r="B64" s="4" t="s">
        <v>25</v>
      </c>
      <c r="C64" s="9"/>
      <c r="D64" s="10">
        <v>2</v>
      </c>
      <c r="E64" s="11"/>
      <c r="F64" s="8">
        <f t="shared" si="5"/>
        <v>2</v>
      </c>
      <c r="G64" s="9">
        <v>2</v>
      </c>
      <c r="H64" s="10"/>
      <c r="I64" s="11"/>
      <c r="J64" s="8">
        <f t="shared" si="6"/>
        <v>2</v>
      </c>
      <c r="K64" s="32">
        <v>44286</v>
      </c>
    </row>
    <row r="65" spans="2:11" x14ac:dyDescent="0.15">
      <c r="B65" s="4" t="s">
        <v>25</v>
      </c>
      <c r="C65" s="9">
        <v>2</v>
      </c>
      <c r="D65" s="10"/>
      <c r="E65" s="11"/>
      <c r="F65" s="8">
        <f t="shared" si="5"/>
        <v>2</v>
      </c>
      <c r="G65" s="9"/>
      <c r="H65" s="10"/>
      <c r="I65" s="11"/>
      <c r="J65" s="8">
        <f t="shared" si="6"/>
        <v>0</v>
      </c>
      <c r="K65" s="32">
        <v>44292</v>
      </c>
    </row>
    <row r="66" spans="2:11" x14ac:dyDescent="0.15">
      <c r="B66" s="4" t="s">
        <v>25</v>
      </c>
      <c r="C66" s="9">
        <v>1</v>
      </c>
      <c r="D66" s="10"/>
      <c r="E66" s="11"/>
      <c r="F66" s="8">
        <f t="shared" si="5"/>
        <v>1</v>
      </c>
      <c r="G66" s="9"/>
      <c r="H66" s="10"/>
      <c r="I66" s="11"/>
      <c r="J66" s="8">
        <f t="shared" si="6"/>
        <v>0</v>
      </c>
      <c r="K66" s="32">
        <v>44294</v>
      </c>
    </row>
    <row r="67" spans="2:11" x14ac:dyDescent="0.15">
      <c r="B67" s="4" t="s">
        <v>25</v>
      </c>
      <c r="C67" s="9">
        <v>1</v>
      </c>
      <c r="D67" s="10"/>
      <c r="E67" s="11"/>
      <c r="F67" s="8">
        <f t="shared" si="5"/>
        <v>1</v>
      </c>
      <c r="G67" s="9">
        <v>1</v>
      </c>
      <c r="H67" s="10"/>
      <c r="I67" s="11"/>
      <c r="J67" s="8">
        <f t="shared" si="6"/>
        <v>1</v>
      </c>
      <c r="K67" s="32">
        <v>44300</v>
      </c>
    </row>
    <row r="68" spans="2:11" x14ac:dyDescent="0.15">
      <c r="B68" s="4" t="s">
        <v>25</v>
      </c>
      <c r="C68" s="9"/>
      <c r="D68" s="10">
        <v>2</v>
      </c>
      <c r="E68" s="11"/>
      <c r="F68" s="8">
        <f t="shared" si="5"/>
        <v>2</v>
      </c>
      <c r="G68" s="9"/>
      <c r="H68" s="10">
        <v>2</v>
      </c>
      <c r="I68" s="11"/>
      <c r="J68" s="8">
        <f t="shared" si="6"/>
        <v>2</v>
      </c>
      <c r="K68" s="32">
        <v>44302</v>
      </c>
    </row>
    <row r="69" spans="2:11" x14ac:dyDescent="0.15">
      <c r="B69" s="4" t="s">
        <v>25</v>
      </c>
      <c r="C69" s="9">
        <v>1</v>
      </c>
      <c r="D69" s="10"/>
      <c r="E69" s="11"/>
      <c r="F69" s="8">
        <f t="shared" si="5"/>
        <v>1</v>
      </c>
      <c r="G69" s="9">
        <v>1</v>
      </c>
      <c r="H69" s="10"/>
      <c r="I69" s="11"/>
      <c r="J69" s="8">
        <f t="shared" si="6"/>
        <v>1</v>
      </c>
      <c r="K69" s="32">
        <v>44305</v>
      </c>
    </row>
    <row r="70" spans="2:11" x14ac:dyDescent="0.15">
      <c r="B70" s="4" t="s">
        <v>25</v>
      </c>
      <c r="C70" s="9"/>
      <c r="D70" s="10"/>
      <c r="E70" s="11">
        <v>1</v>
      </c>
      <c r="F70" s="8">
        <f t="shared" si="5"/>
        <v>1</v>
      </c>
      <c r="G70" s="9"/>
      <c r="H70" s="10"/>
      <c r="I70" s="11"/>
      <c r="J70" s="8">
        <f t="shared" si="6"/>
        <v>0</v>
      </c>
      <c r="K70" s="32">
        <v>44333</v>
      </c>
    </row>
    <row r="71" spans="2:11" x14ac:dyDescent="0.15">
      <c r="B71" s="4" t="s">
        <v>25</v>
      </c>
      <c r="C71" s="9"/>
      <c r="D71" s="10">
        <f>1+1</f>
        <v>2</v>
      </c>
      <c r="E71" s="11"/>
      <c r="F71" s="8">
        <f t="shared" si="5"/>
        <v>2</v>
      </c>
      <c r="G71" s="9"/>
      <c r="H71" s="10"/>
      <c r="I71" s="11"/>
      <c r="J71" s="8">
        <f t="shared" si="6"/>
        <v>0</v>
      </c>
      <c r="K71" s="32">
        <v>44340</v>
      </c>
    </row>
    <row r="72" spans="2:11" x14ac:dyDescent="0.15">
      <c r="B72" s="4" t="s">
        <v>25</v>
      </c>
      <c r="C72" s="9"/>
      <c r="D72" s="10">
        <v>1</v>
      </c>
      <c r="E72" s="11"/>
      <c r="F72" s="8">
        <f t="shared" si="5"/>
        <v>1</v>
      </c>
      <c r="G72" s="9"/>
      <c r="H72" s="10">
        <v>1</v>
      </c>
      <c r="I72" s="11"/>
      <c r="J72" s="8">
        <f t="shared" si="6"/>
        <v>1</v>
      </c>
      <c r="K72" s="32">
        <v>44370</v>
      </c>
    </row>
    <row r="73" spans="2:11" x14ac:dyDescent="0.15">
      <c r="B73" s="4" t="s">
        <v>25</v>
      </c>
      <c r="C73" s="9"/>
      <c r="D73" s="10"/>
      <c r="E73" s="11">
        <v>1</v>
      </c>
      <c r="F73" s="8">
        <f t="shared" si="5"/>
        <v>1</v>
      </c>
      <c r="G73" s="9"/>
      <c r="H73" s="10"/>
      <c r="I73" s="11">
        <v>1</v>
      </c>
      <c r="J73" s="8">
        <f t="shared" si="6"/>
        <v>1</v>
      </c>
      <c r="K73" s="32">
        <v>44389</v>
      </c>
    </row>
    <row r="74" spans="2:11" x14ac:dyDescent="0.15">
      <c r="B74" s="4" t="s">
        <v>26</v>
      </c>
      <c r="C74" s="9"/>
      <c r="D74" s="10"/>
      <c r="E74" s="11">
        <v>-1</v>
      </c>
      <c r="F74" s="8">
        <f t="shared" si="5"/>
        <v>-1</v>
      </c>
      <c r="G74" s="9"/>
      <c r="H74" s="10"/>
      <c r="I74" s="11">
        <v>-1</v>
      </c>
      <c r="J74" s="8">
        <f t="shared" si="6"/>
        <v>-1</v>
      </c>
      <c r="K74" s="30">
        <v>44425</v>
      </c>
    </row>
    <row r="75" spans="2:11" x14ac:dyDescent="0.15">
      <c r="B75" s="4" t="s">
        <v>25</v>
      </c>
      <c r="C75" s="9"/>
      <c r="D75" s="10"/>
      <c r="E75" s="11">
        <v>1</v>
      </c>
      <c r="F75" s="8">
        <f t="shared" si="5"/>
        <v>1</v>
      </c>
      <c r="G75" s="9"/>
      <c r="H75" s="10"/>
      <c r="I75" s="11">
        <v>1</v>
      </c>
      <c r="J75" s="8">
        <f t="shared" si="6"/>
        <v>1</v>
      </c>
      <c r="K75" s="32">
        <v>44443</v>
      </c>
    </row>
    <row r="76" spans="2:11" x14ac:dyDescent="0.15">
      <c r="B76" s="4" t="s">
        <v>25</v>
      </c>
      <c r="C76" s="9">
        <v>1</v>
      </c>
      <c r="D76" s="10"/>
      <c r="E76" s="11"/>
      <c r="F76" s="8">
        <f t="shared" si="5"/>
        <v>1</v>
      </c>
      <c r="G76" s="9">
        <v>1</v>
      </c>
      <c r="H76" s="10"/>
      <c r="I76" s="11"/>
      <c r="J76" s="8">
        <f t="shared" si="6"/>
        <v>1</v>
      </c>
      <c r="K76" s="32">
        <v>44461</v>
      </c>
    </row>
    <row r="77" spans="2:11" x14ac:dyDescent="0.15">
      <c r="B77" s="4"/>
      <c r="C77" s="9"/>
      <c r="D77" s="10"/>
      <c r="E77" s="11"/>
      <c r="F77" s="8">
        <f t="shared" si="5"/>
        <v>0</v>
      </c>
      <c r="G77" s="9"/>
      <c r="H77" s="10"/>
      <c r="I77" s="11"/>
      <c r="J77" s="8">
        <f t="shared" si="6"/>
        <v>0</v>
      </c>
    </row>
    <row r="78" spans="2:11" x14ac:dyDescent="0.15">
      <c r="B78" s="4"/>
      <c r="C78" s="9"/>
      <c r="D78" s="10"/>
      <c r="E78" s="11"/>
      <c r="F78" s="8">
        <f t="shared" si="5"/>
        <v>0</v>
      </c>
      <c r="G78" s="9"/>
      <c r="H78" s="10"/>
      <c r="I78" s="11"/>
      <c r="J78" s="8">
        <f t="shared" si="6"/>
        <v>0</v>
      </c>
    </row>
    <row r="79" spans="2:11" x14ac:dyDescent="0.15">
      <c r="B79" s="4"/>
      <c r="C79" s="9"/>
      <c r="D79" s="10"/>
      <c r="E79" s="11"/>
      <c r="F79" s="8">
        <f t="shared" si="5"/>
        <v>0</v>
      </c>
      <c r="G79" s="9"/>
      <c r="H79" s="10"/>
      <c r="I79" s="11"/>
      <c r="J79" s="8">
        <f t="shared" si="6"/>
        <v>0</v>
      </c>
    </row>
    <row r="80" spans="2:11" x14ac:dyDescent="0.15">
      <c r="B80" s="4"/>
      <c r="C80" s="9"/>
      <c r="D80" s="10"/>
      <c r="E80" s="11"/>
      <c r="F80" s="8">
        <f t="shared" si="5"/>
        <v>0</v>
      </c>
      <c r="G80" s="9"/>
      <c r="H80" s="10"/>
      <c r="I80" s="11"/>
      <c r="J80" s="8">
        <f t="shared" si="6"/>
        <v>0</v>
      </c>
    </row>
    <row r="81" spans="2:12" x14ac:dyDescent="0.15">
      <c r="B81" s="4"/>
      <c r="C81" s="9"/>
      <c r="D81" s="10"/>
      <c r="E81" s="11"/>
      <c r="F81" s="8">
        <f t="shared" si="5"/>
        <v>0</v>
      </c>
      <c r="G81" s="9"/>
      <c r="H81" s="10"/>
      <c r="I81" s="11"/>
      <c r="J81" s="8">
        <f t="shared" si="6"/>
        <v>0</v>
      </c>
    </row>
    <row r="82" spans="2:12" ht="14.25" thickBot="1" x14ac:dyDescent="0.2">
      <c r="B82" s="4"/>
      <c r="C82" s="9"/>
      <c r="D82" s="10"/>
      <c r="E82" s="11"/>
      <c r="F82" s="8">
        <f t="shared" si="5"/>
        <v>0</v>
      </c>
      <c r="G82" s="9"/>
      <c r="H82" s="10"/>
      <c r="I82" s="11"/>
      <c r="J82" s="8">
        <f t="shared" si="6"/>
        <v>0</v>
      </c>
    </row>
    <row r="83" spans="2:12" ht="14.25" thickBot="1" x14ac:dyDescent="0.2">
      <c r="B83" s="3" t="s">
        <v>5</v>
      </c>
      <c r="C83" s="15">
        <f>SUM(C59:C82)</f>
        <v>10</v>
      </c>
      <c r="D83" s="15">
        <f>SUM(D59:D82)</f>
        <v>8</v>
      </c>
      <c r="E83" s="15">
        <f>SUM(E59:E82)</f>
        <v>5</v>
      </c>
      <c r="F83" s="16">
        <f t="shared" si="5"/>
        <v>23</v>
      </c>
      <c r="G83" s="15">
        <f>SUM(G59:G82)</f>
        <v>7</v>
      </c>
      <c r="H83" s="15">
        <f>SUM(H59:H82)</f>
        <v>3</v>
      </c>
      <c r="I83" s="15">
        <f>SUM(I59:I82)</f>
        <v>4</v>
      </c>
      <c r="J83" s="16">
        <f t="shared" si="6"/>
        <v>14</v>
      </c>
    </row>
    <row r="84" spans="2:12" ht="14.25" thickBot="1" x14ac:dyDescent="0.2">
      <c r="B84" s="26" t="s">
        <v>6</v>
      </c>
      <c r="C84" s="27">
        <f t="shared" ref="C84:J84" si="7">C58-C83</f>
        <v>1</v>
      </c>
      <c r="D84" s="27">
        <f t="shared" si="7"/>
        <v>2</v>
      </c>
      <c r="E84" s="27">
        <f t="shared" si="7"/>
        <v>1</v>
      </c>
      <c r="F84" s="27">
        <f t="shared" si="7"/>
        <v>4</v>
      </c>
      <c r="G84" s="27">
        <f t="shared" si="7"/>
        <v>1</v>
      </c>
      <c r="H84" s="27">
        <f t="shared" si="7"/>
        <v>2</v>
      </c>
      <c r="I84" s="27">
        <f t="shared" si="7"/>
        <v>1</v>
      </c>
      <c r="J84" s="25">
        <f t="shared" si="7"/>
        <v>4</v>
      </c>
    </row>
    <row r="87" spans="2:12" ht="19.5" thickBot="1" x14ac:dyDescent="0.25">
      <c r="B87" s="33" t="s">
        <v>18</v>
      </c>
      <c r="C87" s="1"/>
      <c r="D87" s="1"/>
      <c r="E87" s="1"/>
      <c r="F87" s="1"/>
      <c r="G87" s="34"/>
      <c r="H87" s="34">
        <v>1375</v>
      </c>
      <c r="I87" s="34"/>
      <c r="J87" s="34"/>
    </row>
    <row r="88" spans="2:12" ht="14.25" thickBot="1" x14ac:dyDescent="0.2">
      <c r="B88" s="2" t="s">
        <v>0</v>
      </c>
      <c r="C88" s="84" t="s">
        <v>13</v>
      </c>
      <c r="D88" s="84"/>
      <c r="E88" s="84"/>
      <c r="F88" s="85"/>
      <c r="G88" s="84" t="s">
        <v>16</v>
      </c>
      <c r="H88" s="84"/>
      <c r="I88" s="84"/>
      <c r="J88" s="85"/>
    </row>
    <row r="89" spans="2:12" ht="14.25" thickBot="1" x14ac:dyDescent="0.2">
      <c r="B89" s="2" t="s">
        <v>1</v>
      </c>
      <c r="C89" s="3" t="s">
        <v>9</v>
      </c>
      <c r="D89" s="2" t="s">
        <v>10</v>
      </c>
      <c r="E89" s="19" t="s">
        <v>11</v>
      </c>
      <c r="F89" s="2" t="s">
        <v>2</v>
      </c>
      <c r="G89" s="3" t="s">
        <v>9</v>
      </c>
      <c r="H89" s="2" t="s">
        <v>10</v>
      </c>
      <c r="I89" s="19" t="s">
        <v>11</v>
      </c>
      <c r="J89" s="2" t="s">
        <v>2</v>
      </c>
    </row>
    <row r="90" spans="2:12" x14ac:dyDescent="0.15">
      <c r="B90" s="28" t="s">
        <v>12</v>
      </c>
      <c r="C90" s="39">
        <f>C84</f>
        <v>1</v>
      </c>
      <c r="D90" s="40">
        <f>D84</f>
        <v>2</v>
      </c>
      <c r="E90" s="41">
        <f>E84</f>
        <v>1</v>
      </c>
      <c r="F90" s="18">
        <f>SUM(C90:E90)</f>
        <v>4</v>
      </c>
      <c r="G90" s="39">
        <f>G84</f>
        <v>1</v>
      </c>
      <c r="H90" s="40">
        <f>H84</f>
        <v>2</v>
      </c>
      <c r="I90" s="41">
        <f>I84</f>
        <v>1</v>
      </c>
      <c r="J90" s="18">
        <f>SUM(G90:I90)</f>
        <v>4</v>
      </c>
    </row>
    <row r="91" spans="2:12" x14ac:dyDescent="0.15">
      <c r="B91" s="6" t="s">
        <v>3</v>
      </c>
      <c r="C91" s="17">
        <v>2</v>
      </c>
      <c r="D91" s="12"/>
      <c r="E91" s="17">
        <v>2</v>
      </c>
      <c r="F91" s="5">
        <f t="shared" ref="F91:F126" si="8">SUM(C91:E91)</f>
        <v>4</v>
      </c>
      <c r="G91" s="17">
        <v>2</v>
      </c>
      <c r="H91" s="12"/>
      <c r="I91" s="17">
        <v>2</v>
      </c>
      <c r="J91" s="5">
        <f t="shared" ref="J91:J126" si="9">SUM(G91:I91)</f>
        <v>4</v>
      </c>
      <c r="K91" s="30">
        <v>44474</v>
      </c>
    </row>
    <row r="92" spans="2:12" x14ac:dyDescent="0.15">
      <c r="B92" s="6" t="s">
        <v>3</v>
      </c>
      <c r="C92" s="17"/>
      <c r="D92" s="12">
        <v>4</v>
      </c>
      <c r="E92" s="17"/>
      <c r="F92" s="5">
        <f t="shared" si="8"/>
        <v>4</v>
      </c>
      <c r="G92" s="17"/>
      <c r="H92" s="12">
        <v>4</v>
      </c>
      <c r="I92" s="17"/>
      <c r="J92" s="5">
        <f t="shared" si="9"/>
        <v>4</v>
      </c>
      <c r="K92" s="30">
        <v>44497</v>
      </c>
      <c r="L92" s="31"/>
    </row>
    <row r="93" spans="2:12" x14ac:dyDescent="0.15">
      <c r="B93" s="6" t="s">
        <v>3</v>
      </c>
      <c r="C93" s="17">
        <v>2</v>
      </c>
      <c r="D93" s="12">
        <v>2</v>
      </c>
      <c r="E93" s="17"/>
      <c r="F93" s="5">
        <f t="shared" si="8"/>
        <v>4</v>
      </c>
      <c r="G93" s="17">
        <v>2</v>
      </c>
      <c r="H93" s="12">
        <v>2</v>
      </c>
      <c r="I93" s="17"/>
      <c r="J93" s="5">
        <f t="shared" si="9"/>
        <v>4</v>
      </c>
      <c r="K93" s="32">
        <v>44511</v>
      </c>
    </row>
    <row r="94" spans="2:12" x14ac:dyDescent="0.15">
      <c r="B94" s="6" t="s">
        <v>3</v>
      </c>
      <c r="C94" s="17"/>
      <c r="D94" s="12">
        <v>2</v>
      </c>
      <c r="E94" s="17"/>
      <c r="F94" s="5">
        <f t="shared" si="8"/>
        <v>2</v>
      </c>
      <c r="G94" s="17"/>
      <c r="H94" s="12">
        <v>2</v>
      </c>
      <c r="I94" s="17"/>
      <c r="J94" s="5">
        <f t="shared" si="9"/>
        <v>2</v>
      </c>
      <c r="K94" s="32">
        <v>44520</v>
      </c>
    </row>
    <row r="95" spans="2:12" x14ac:dyDescent="0.15">
      <c r="B95" s="6" t="s">
        <v>3</v>
      </c>
      <c r="C95" s="17">
        <v>5</v>
      </c>
      <c r="D95" s="12"/>
      <c r="E95" s="17"/>
      <c r="F95" s="5">
        <f t="shared" si="8"/>
        <v>5</v>
      </c>
      <c r="G95" s="17">
        <v>5</v>
      </c>
      <c r="H95" s="12"/>
      <c r="I95" s="17"/>
      <c r="J95" s="5">
        <f t="shared" si="9"/>
        <v>5</v>
      </c>
      <c r="K95" s="32">
        <v>44558</v>
      </c>
    </row>
    <row r="96" spans="2:12" x14ac:dyDescent="0.15">
      <c r="B96" s="6" t="s">
        <v>3</v>
      </c>
      <c r="C96" s="17">
        <v>1</v>
      </c>
      <c r="D96" s="12">
        <v>5</v>
      </c>
      <c r="E96" s="17">
        <v>1</v>
      </c>
      <c r="F96" s="5">
        <f t="shared" si="8"/>
        <v>7</v>
      </c>
      <c r="G96" s="17">
        <v>1</v>
      </c>
      <c r="H96" s="12">
        <v>5</v>
      </c>
      <c r="I96" s="17">
        <v>1</v>
      </c>
      <c r="J96" s="5">
        <f t="shared" si="9"/>
        <v>7</v>
      </c>
      <c r="K96" s="30">
        <v>44567</v>
      </c>
    </row>
    <row r="97" spans="1:12" x14ac:dyDescent="0.15">
      <c r="A97" s="31"/>
      <c r="B97" s="6" t="s">
        <v>3</v>
      </c>
      <c r="C97" s="37">
        <v>5</v>
      </c>
      <c r="D97" s="36"/>
      <c r="E97" s="37"/>
      <c r="F97" s="5">
        <f t="shared" si="8"/>
        <v>5</v>
      </c>
      <c r="G97" s="37">
        <v>5</v>
      </c>
      <c r="H97" s="36"/>
      <c r="I97" s="37"/>
      <c r="J97" s="5">
        <f t="shared" si="9"/>
        <v>5</v>
      </c>
      <c r="K97" s="30">
        <v>44579</v>
      </c>
    </row>
    <row r="98" spans="1:12" x14ac:dyDescent="0.15">
      <c r="B98" s="6" t="s">
        <v>3</v>
      </c>
      <c r="C98" s="37"/>
      <c r="D98" s="36"/>
      <c r="E98" s="37">
        <v>1</v>
      </c>
      <c r="F98" s="42">
        <f t="shared" si="8"/>
        <v>1</v>
      </c>
      <c r="G98" s="37"/>
      <c r="H98" s="36"/>
      <c r="I98" s="37">
        <v>1</v>
      </c>
      <c r="J98" s="5">
        <f t="shared" si="9"/>
        <v>1</v>
      </c>
      <c r="K98" s="30">
        <v>44581</v>
      </c>
    </row>
    <row r="99" spans="1:12" x14ac:dyDescent="0.15">
      <c r="B99" s="6" t="s">
        <v>3</v>
      </c>
      <c r="C99" s="37">
        <v>2</v>
      </c>
      <c r="D99" s="36"/>
      <c r="E99" s="37">
        <v>1</v>
      </c>
      <c r="F99" s="42">
        <f t="shared" si="8"/>
        <v>3</v>
      </c>
      <c r="G99" s="37">
        <v>1</v>
      </c>
      <c r="H99" s="36"/>
      <c r="I99" s="37">
        <v>1</v>
      </c>
      <c r="J99" s="5">
        <f t="shared" si="9"/>
        <v>2</v>
      </c>
      <c r="K99" s="30">
        <v>44588</v>
      </c>
      <c r="L99" s="31"/>
    </row>
    <row r="100" spans="1:12" ht="14.25" thickBot="1" x14ac:dyDescent="0.2">
      <c r="B100" s="7" t="s">
        <v>3</v>
      </c>
      <c r="C100" s="44"/>
      <c r="D100" s="45">
        <v>4</v>
      </c>
      <c r="E100" s="44"/>
      <c r="F100" s="46">
        <f t="shared" si="8"/>
        <v>4</v>
      </c>
      <c r="G100" s="44"/>
      <c r="H100" s="45">
        <v>4</v>
      </c>
      <c r="I100" s="44"/>
      <c r="J100" s="20">
        <f t="shared" si="9"/>
        <v>4</v>
      </c>
      <c r="K100" s="30">
        <v>44614</v>
      </c>
    </row>
    <row r="101" spans="1:12" ht="14.25" thickBot="1" x14ac:dyDescent="0.2">
      <c r="B101" s="22" t="s">
        <v>4</v>
      </c>
      <c r="C101" s="23">
        <f>SUM(C90:C100)</f>
        <v>18</v>
      </c>
      <c r="D101" s="23">
        <f>SUM(D90:D100)</f>
        <v>19</v>
      </c>
      <c r="E101" s="24">
        <f>SUM(E90:E100)</f>
        <v>6</v>
      </c>
      <c r="F101" s="25">
        <f t="shared" si="8"/>
        <v>43</v>
      </c>
      <c r="G101" s="23">
        <f>SUM(G90:G100)</f>
        <v>17</v>
      </c>
      <c r="H101" s="23">
        <f>SUM(H90:H100)</f>
        <v>19</v>
      </c>
      <c r="I101" s="24">
        <f>SUM(I90:I100)</f>
        <v>6</v>
      </c>
      <c r="J101" s="25">
        <f t="shared" si="9"/>
        <v>42</v>
      </c>
    </row>
    <row r="102" spans="1:12" x14ac:dyDescent="0.15">
      <c r="B102" s="4" t="s">
        <v>25</v>
      </c>
      <c r="C102" s="9"/>
      <c r="D102" s="10">
        <v>2</v>
      </c>
      <c r="E102" s="11"/>
      <c r="F102" s="5">
        <f t="shared" si="8"/>
        <v>2</v>
      </c>
      <c r="G102" s="9"/>
      <c r="H102" s="10">
        <v>2</v>
      </c>
      <c r="I102" s="11"/>
      <c r="J102" s="5">
        <f t="shared" si="9"/>
        <v>2</v>
      </c>
      <c r="K102" s="32">
        <v>44495</v>
      </c>
    </row>
    <row r="103" spans="1:12" x14ac:dyDescent="0.15">
      <c r="B103" s="4" t="s">
        <v>25</v>
      </c>
      <c r="C103" s="9"/>
      <c r="D103" s="10">
        <v>1</v>
      </c>
      <c r="E103" s="11"/>
      <c r="F103" s="5">
        <f t="shared" si="8"/>
        <v>1</v>
      </c>
      <c r="G103" s="9"/>
      <c r="H103" s="10">
        <v>1</v>
      </c>
      <c r="I103" s="11"/>
      <c r="J103" s="5">
        <f t="shared" si="9"/>
        <v>1</v>
      </c>
      <c r="K103" s="32">
        <v>44497</v>
      </c>
    </row>
    <row r="104" spans="1:12" x14ac:dyDescent="0.15">
      <c r="B104" s="4" t="s">
        <v>25</v>
      </c>
      <c r="C104" s="9"/>
      <c r="D104" s="10">
        <v>2</v>
      </c>
      <c r="E104" s="11"/>
      <c r="F104" s="5">
        <f t="shared" si="8"/>
        <v>2</v>
      </c>
      <c r="G104" s="9"/>
      <c r="H104" s="10">
        <v>2</v>
      </c>
      <c r="I104" s="11"/>
      <c r="J104" s="5">
        <f t="shared" si="9"/>
        <v>2</v>
      </c>
      <c r="K104" s="32">
        <v>44502</v>
      </c>
    </row>
    <row r="105" spans="1:12" x14ac:dyDescent="0.15">
      <c r="B105" s="4" t="s">
        <v>25</v>
      </c>
      <c r="C105" s="9">
        <v>1</v>
      </c>
      <c r="D105" s="10"/>
      <c r="E105" s="11"/>
      <c r="F105" s="5">
        <f t="shared" si="8"/>
        <v>1</v>
      </c>
      <c r="G105" s="9">
        <v>1</v>
      </c>
      <c r="H105" s="10"/>
      <c r="I105" s="11"/>
      <c r="J105" s="5">
        <f t="shared" si="9"/>
        <v>1</v>
      </c>
      <c r="K105" s="32">
        <v>44505</v>
      </c>
    </row>
    <row r="106" spans="1:12" x14ac:dyDescent="0.15">
      <c r="B106" s="4" t="s">
        <v>25</v>
      </c>
      <c r="C106" s="9">
        <v>1</v>
      </c>
      <c r="D106" s="10"/>
      <c r="E106" s="11"/>
      <c r="F106" s="5">
        <f t="shared" si="8"/>
        <v>1</v>
      </c>
      <c r="G106" s="9">
        <v>1</v>
      </c>
      <c r="H106" s="10"/>
      <c r="I106" s="11"/>
      <c r="J106" s="5">
        <f t="shared" si="9"/>
        <v>1</v>
      </c>
      <c r="K106" s="32">
        <v>44508</v>
      </c>
    </row>
    <row r="107" spans="1:12" x14ac:dyDescent="0.15">
      <c r="B107" s="4" t="s">
        <v>25</v>
      </c>
      <c r="C107" s="9"/>
      <c r="D107" s="10">
        <v>1</v>
      </c>
      <c r="E107" s="11"/>
      <c r="F107" s="8">
        <f t="shared" si="8"/>
        <v>1</v>
      </c>
      <c r="G107" s="9"/>
      <c r="H107" s="10">
        <v>1</v>
      </c>
      <c r="I107" s="11"/>
      <c r="J107" s="8">
        <f t="shared" si="9"/>
        <v>1</v>
      </c>
      <c r="K107" s="32">
        <v>44515</v>
      </c>
    </row>
    <row r="108" spans="1:12" x14ac:dyDescent="0.15">
      <c r="B108" s="4" t="s">
        <v>25</v>
      </c>
      <c r="C108" s="9"/>
      <c r="D108" s="10"/>
      <c r="E108" s="11">
        <v>2</v>
      </c>
      <c r="F108" s="8">
        <f t="shared" si="8"/>
        <v>2</v>
      </c>
      <c r="G108" s="9"/>
      <c r="H108" s="10"/>
      <c r="I108" s="11">
        <v>2</v>
      </c>
      <c r="J108" s="8">
        <f t="shared" si="9"/>
        <v>2</v>
      </c>
      <c r="K108" s="32">
        <v>44522</v>
      </c>
    </row>
    <row r="109" spans="1:12" x14ac:dyDescent="0.15">
      <c r="B109" s="4" t="s">
        <v>25</v>
      </c>
      <c r="C109" s="9"/>
      <c r="D109" s="10">
        <v>2</v>
      </c>
      <c r="E109" s="11"/>
      <c r="F109" s="8">
        <f t="shared" si="8"/>
        <v>2</v>
      </c>
      <c r="G109" s="9"/>
      <c r="H109" s="10">
        <v>2</v>
      </c>
      <c r="I109" s="11"/>
      <c r="J109" s="8">
        <f t="shared" si="9"/>
        <v>2</v>
      </c>
      <c r="K109" s="32">
        <v>44543</v>
      </c>
    </row>
    <row r="110" spans="1:12" x14ac:dyDescent="0.15">
      <c r="B110" s="4" t="s">
        <v>25</v>
      </c>
      <c r="C110" s="9">
        <v>1</v>
      </c>
      <c r="D110" s="10"/>
      <c r="E110" s="11"/>
      <c r="F110" s="8">
        <f t="shared" si="8"/>
        <v>1</v>
      </c>
      <c r="G110" s="9">
        <v>1</v>
      </c>
      <c r="H110" s="10"/>
      <c r="I110" s="11"/>
      <c r="J110" s="8">
        <f t="shared" si="9"/>
        <v>1</v>
      </c>
      <c r="K110" s="32">
        <v>44547</v>
      </c>
    </row>
    <row r="111" spans="1:12" x14ac:dyDescent="0.15">
      <c r="B111" s="4" t="s">
        <v>25</v>
      </c>
      <c r="C111" s="9"/>
      <c r="D111" s="10">
        <v>1</v>
      </c>
      <c r="E111" s="11"/>
      <c r="F111" s="8">
        <f t="shared" si="8"/>
        <v>1</v>
      </c>
      <c r="G111" s="9"/>
      <c r="H111" s="10">
        <v>1</v>
      </c>
      <c r="I111" s="11"/>
      <c r="J111" s="8">
        <f t="shared" si="9"/>
        <v>1</v>
      </c>
      <c r="K111" s="32">
        <v>44550</v>
      </c>
    </row>
    <row r="112" spans="1:12" x14ac:dyDescent="0.15">
      <c r="B112" s="4" t="s">
        <v>25</v>
      </c>
      <c r="C112" s="9">
        <v>1</v>
      </c>
      <c r="D112" s="10"/>
      <c r="E112" s="11"/>
      <c r="F112" s="8">
        <f t="shared" si="8"/>
        <v>1</v>
      </c>
      <c r="G112" s="9">
        <v>1</v>
      </c>
      <c r="H112" s="10"/>
      <c r="I112" s="11"/>
      <c r="J112" s="8">
        <f t="shared" si="9"/>
        <v>1</v>
      </c>
      <c r="K112" s="32">
        <v>44551</v>
      </c>
    </row>
    <row r="113" spans="2:11" x14ac:dyDescent="0.15">
      <c r="B113" s="4" t="s">
        <v>25</v>
      </c>
      <c r="C113" s="9">
        <v>4</v>
      </c>
      <c r="D113" s="10"/>
      <c r="E113" s="11"/>
      <c r="F113" s="8">
        <f t="shared" si="8"/>
        <v>4</v>
      </c>
      <c r="G113" s="9">
        <v>4</v>
      </c>
      <c r="H113" s="10"/>
      <c r="I113" s="11"/>
      <c r="J113" s="8">
        <f t="shared" si="9"/>
        <v>4</v>
      </c>
      <c r="K113" s="32">
        <v>44558</v>
      </c>
    </row>
    <row r="114" spans="2:11" x14ac:dyDescent="0.15">
      <c r="B114" s="4" t="s">
        <v>25</v>
      </c>
      <c r="C114" s="9"/>
      <c r="D114" s="10">
        <v>1</v>
      </c>
      <c r="E114" s="11"/>
      <c r="F114" s="8">
        <f t="shared" si="8"/>
        <v>1</v>
      </c>
      <c r="G114" s="9"/>
      <c r="H114" s="10">
        <v>1</v>
      </c>
      <c r="I114" s="11"/>
      <c r="J114" s="8">
        <f t="shared" si="9"/>
        <v>1</v>
      </c>
      <c r="K114" s="32">
        <v>44566</v>
      </c>
    </row>
    <row r="115" spans="2:11" x14ac:dyDescent="0.15">
      <c r="B115" s="4" t="s">
        <v>25</v>
      </c>
      <c r="C115" s="9"/>
      <c r="D115" s="10">
        <v>1</v>
      </c>
      <c r="E115" s="11"/>
      <c r="F115" s="8">
        <f t="shared" si="8"/>
        <v>1</v>
      </c>
      <c r="G115" s="9"/>
      <c r="H115" s="10">
        <v>1</v>
      </c>
      <c r="I115" s="11"/>
      <c r="J115" s="8">
        <f t="shared" si="9"/>
        <v>1</v>
      </c>
      <c r="K115" s="32">
        <v>44568</v>
      </c>
    </row>
    <row r="116" spans="2:11" x14ac:dyDescent="0.15">
      <c r="B116" s="4" t="s">
        <v>25</v>
      </c>
      <c r="C116" s="9">
        <v>1</v>
      </c>
      <c r="D116" s="10"/>
      <c r="E116" s="11"/>
      <c r="F116" s="8">
        <f t="shared" si="8"/>
        <v>1</v>
      </c>
      <c r="G116" s="9">
        <v>1</v>
      </c>
      <c r="H116" s="10"/>
      <c r="I116" s="11"/>
      <c r="J116" s="8">
        <f t="shared" si="9"/>
        <v>1</v>
      </c>
      <c r="K116" s="32">
        <v>44572</v>
      </c>
    </row>
    <row r="117" spans="2:11" x14ac:dyDescent="0.15">
      <c r="B117" s="4" t="s">
        <v>25</v>
      </c>
      <c r="C117" s="9">
        <v>1</v>
      </c>
      <c r="D117" s="10"/>
      <c r="E117" s="11"/>
      <c r="F117" s="8">
        <f t="shared" si="8"/>
        <v>1</v>
      </c>
      <c r="G117" s="9">
        <v>1</v>
      </c>
      <c r="H117" s="10"/>
      <c r="I117" s="11"/>
      <c r="J117" s="8">
        <f t="shared" si="9"/>
        <v>1</v>
      </c>
      <c r="K117" s="30">
        <v>44576</v>
      </c>
    </row>
    <row r="118" spans="2:11" x14ac:dyDescent="0.15">
      <c r="B118" s="4" t="s">
        <v>25</v>
      </c>
      <c r="C118" s="9">
        <v>1</v>
      </c>
      <c r="D118" s="10"/>
      <c r="E118" s="11">
        <v>1</v>
      </c>
      <c r="F118" s="8">
        <f t="shared" si="8"/>
        <v>2</v>
      </c>
      <c r="G118" s="9">
        <v>1</v>
      </c>
      <c r="H118" s="10"/>
      <c r="I118" s="11">
        <v>1</v>
      </c>
      <c r="J118" s="8">
        <f t="shared" si="9"/>
        <v>2</v>
      </c>
      <c r="K118" s="32">
        <v>44578</v>
      </c>
    </row>
    <row r="119" spans="2:11" x14ac:dyDescent="0.15">
      <c r="B119" s="4" t="s">
        <v>27</v>
      </c>
      <c r="C119" s="9"/>
      <c r="D119" s="10">
        <v>-1</v>
      </c>
      <c r="E119" s="11"/>
      <c r="F119" s="8">
        <f t="shared" si="8"/>
        <v>-1</v>
      </c>
      <c r="G119" s="9"/>
      <c r="H119" s="10">
        <v>-1</v>
      </c>
      <c r="I119" s="11"/>
      <c r="J119" s="8">
        <f t="shared" si="9"/>
        <v>-1</v>
      </c>
      <c r="K119" s="32">
        <v>44580</v>
      </c>
    </row>
    <row r="120" spans="2:11" x14ac:dyDescent="0.15">
      <c r="B120" s="4" t="s">
        <v>25</v>
      </c>
      <c r="C120" s="9">
        <f>1+1</f>
        <v>2</v>
      </c>
      <c r="D120" s="10"/>
      <c r="E120" s="11">
        <v>1</v>
      </c>
      <c r="F120" s="8">
        <f t="shared" si="8"/>
        <v>3</v>
      </c>
      <c r="G120" s="9">
        <v>1</v>
      </c>
      <c r="H120" s="10"/>
      <c r="I120" s="11">
        <v>1</v>
      </c>
      <c r="J120" s="8">
        <f t="shared" si="9"/>
        <v>2</v>
      </c>
      <c r="K120" s="32">
        <v>44582</v>
      </c>
    </row>
    <row r="121" spans="2:11" x14ac:dyDescent="0.15">
      <c r="B121" s="4" t="s">
        <v>25</v>
      </c>
      <c r="C121" s="9"/>
      <c r="D121" s="10">
        <v>1</v>
      </c>
      <c r="E121" s="11"/>
      <c r="F121" s="8">
        <f t="shared" si="8"/>
        <v>1</v>
      </c>
      <c r="G121" s="9"/>
      <c r="H121" s="10">
        <v>1</v>
      </c>
      <c r="I121" s="11"/>
      <c r="J121" s="8">
        <f t="shared" si="9"/>
        <v>1</v>
      </c>
      <c r="K121" s="32">
        <v>44607</v>
      </c>
    </row>
    <row r="122" spans="2:11" x14ac:dyDescent="0.15">
      <c r="B122" s="4" t="s">
        <v>25</v>
      </c>
      <c r="C122" s="9"/>
      <c r="D122" s="10">
        <v>1</v>
      </c>
      <c r="E122" s="11"/>
      <c r="F122" s="8">
        <f t="shared" si="8"/>
        <v>1</v>
      </c>
      <c r="G122" s="9"/>
      <c r="H122" s="10">
        <v>1</v>
      </c>
      <c r="I122" s="11"/>
      <c r="J122" s="8">
        <f t="shared" si="9"/>
        <v>1</v>
      </c>
      <c r="K122" s="32">
        <v>44609</v>
      </c>
    </row>
    <row r="123" spans="2:11" x14ac:dyDescent="0.15">
      <c r="B123" s="4" t="s">
        <v>25</v>
      </c>
      <c r="C123" s="9">
        <v>1</v>
      </c>
      <c r="D123" s="10">
        <v>2</v>
      </c>
      <c r="E123" s="11"/>
      <c r="F123" s="8">
        <f t="shared" si="8"/>
        <v>3</v>
      </c>
      <c r="G123" s="9">
        <v>1</v>
      </c>
      <c r="H123" s="10">
        <v>2</v>
      </c>
      <c r="I123" s="11"/>
      <c r="J123" s="8">
        <f t="shared" si="9"/>
        <v>3</v>
      </c>
      <c r="K123" s="32">
        <v>44613</v>
      </c>
    </row>
    <row r="124" spans="2:11" x14ac:dyDescent="0.15">
      <c r="B124" s="4" t="s">
        <v>25</v>
      </c>
      <c r="C124" s="9">
        <v>1</v>
      </c>
      <c r="D124" s="10"/>
      <c r="E124" s="11"/>
      <c r="F124" s="8">
        <f t="shared" si="8"/>
        <v>1</v>
      </c>
      <c r="G124" s="9">
        <v>1</v>
      </c>
      <c r="H124" s="10"/>
      <c r="I124" s="11"/>
      <c r="J124" s="8">
        <f t="shared" si="9"/>
        <v>1</v>
      </c>
      <c r="K124" s="32">
        <v>44616</v>
      </c>
    </row>
    <row r="125" spans="2:11" ht="14.25" thickBot="1" x14ac:dyDescent="0.2">
      <c r="B125" s="4" t="s">
        <v>25</v>
      </c>
      <c r="C125" s="9">
        <v>2</v>
      </c>
      <c r="D125" s="10"/>
      <c r="E125" s="11"/>
      <c r="F125" s="8">
        <f t="shared" si="8"/>
        <v>2</v>
      </c>
      <c r="G125" s="9">
        <v>2</v>
      </c>
      <c r="H125" s="10"/>
      <c r="I125" s="11"/>
      <c r="J125" s="8">
        <f t="shared" si="9"/>
        <v>2</v>
      </c>
      <c r="K125" s="32">
        <v>44623</v>
      </c>
    </row>
    <row r="126" spans="2:11" ht="14.25" thickBot="1" x14ac:dyDescent="0.2">
      <c r="B126" s="3" t="s">
        <v>5</v>
      </c>
      <c r="C126" s="15">
        <f>SUM(C102:C125)</f>
        <v>17</v>
      </c>
      <c r="D126" s="15">
        <f>SUM(D102:D125)</f>
        <v>14</v>
      </c>
      <c r="E126" s="15">
        <f>SUM(E102:E125)</f>
        <v>4</v>
      </c>
      <c r="F126" s="16">
        <f t="shared" si="8"/>
        <v>35</v>
      </c>
      <c r="G126" s="15">
        <f>SUM(G102:G125)</f>
        <v>16</v>
      </c>
      <c r="H126" s="15">
        <f>SUM(H102:H125)</f>
        <v>14</v>
      </c>
      <c r="I126" s="15">
        <f>SUM(I102:I125)</f>
        <v>4</v>
      </c>
      <c r="J126" s="16">
        <f t="shared" si="9"/>
        <v>34</v>
      </c>
    </row>
    <row r="127" spans="2:11" ht="14.25" thickBot="1" x14ac:dyDescent="0.2">
      <c r="B127" s="26" t="s">
        <v>6</v>
      </c>
      <c r="C127" s="27">
        <f t="shared" ref="C127:J127" si="10">C101-C126</f>
        <v>1</v>
      </c>
      <c r="D127" s="27">
        <f t="shared" si="10"/>
        <v>5</v>
      </c>
      <c r="E127" s="27">
        <f t="shared" si="10"/>
        <v>2</v>
      </c>
      <c r="F127" s="27">
        <f t="shared" si="10"/>
        <v>8</v>
      </c>
      <c r="G127" s="27">
        <f t="shared" si="10"/>
        <v>1</v>
      </c>
      <c r="H127" s="27">
        <f t="shared" si="10"/>
        <v>5</v>
      </c>
      <c r="I127" s="27">
        <f t="shared" si="10"/>
        <v>2</v>
      </c>
      <c r="J127" s="25">
        <f t="shared" si="10"/>
        <v>8</v>
      </c>
    </row>
    <row r="130" spans="1:12" ht="19.5" thickBot="1" x14ac:dyDescent="0.25">
      <c r="B130" s="33" t="s">
        <v>18</v>
      </c>
      <c r="C130" s="1"/>
      <c r="D130" s="1"/>
      <c r="E130" s="1"/>
      <c r="F130" s="1"/>
      <c r="G130" s="34"/>
      <c r="H130" s="34">
        <v>1400</v>
      </c>
      <c r="I130" s="34"/>
      <c r="J130" s="34"/>
    </row>
    <row r="131" spans="1:12" ht="14.25" thickBot="1" x14ac:dyDescent="0.2">
      <c r="B131" s="2" t="s">
        <v>0</v>
      </c>
      <c r="C131" s="84" t="s">
        <v>13</v>
      </c>
      <c r="D131" s="84"/>
      <c r="E131" s="84"/>
      <c r="F131" s="85"/>
      <c r="G131" s="84" t="s">
        <v>16</v>
      </c>
      <c r="H131" s="84"/>
      <c r="I131" s="84"/>
      <c r="J131" s="85"/>
    </row>
    <row r="132" spans="1:12" ht="14.25" thickBot="1" x14ac:dyDescent="0.2">
      <c r="B132" s="2" t="s">
        <v>1</v>
      </c>
      <c r="C132" s="3" t="s">
        <v>9</v>
      </c>
      <c r="D132" s="2" t="s">
        <v>10</v>
      </c>
      <c r="E132" s="19" t="s">
        <v>11</v>
      </c>
      <c r="F132" s="2" t="s">
        <v>2</v>
      </c>
      <c r="G132" s="3" t="s">
        <v>9</v>
      </c>
      <c r="H132" s="2" t="s">
        <v>10</v>
      </c>
      <c r="I132" s="19" t="s">
        <v>11</v>
      </c>
      <c r="J132" s="2" t="s">
        <v>2</v>
      </c>
    </row>
    <row r="133" spans="1:12" x14ac:dyDescent="0.15">
      <c r="B133" s="28" t="s">
        <v>12</v>
      </c>
      <c r="C133" s="39">
        <f>C127</f>
        <v>1</v>
      </c>
      <c r="D133" s="40">
        <f>D127</f>
        <v>5</v>
      </c>
      <c r="E133" s="41">
        <f>E127</f>
        <v>2</v>
      </c>
      <c r="F133" s="18">
        <f>SUM(C133:E133)</f>
        <v>8</v>
      </c>
      <c r="G133" s="39">
        <f>G127</f>
        <v>1</v>
      </c>
      <c r="H133" s="40">
        <f>H127</f>
        <v>5</v>
      </c>
      <c r="I133" s="41">
        <f>I127</f>
        <v>2</v>
      </c>
      <c r="J133" s="18">
        <f>SUM(G133:I133)</f>
        <v>8</v>
      </c>
    </row>
    <row r="134" spans="1:12" x14ac:dyDescent="0.15">
      <c r="B134" s="6" t="s">
        <v>3</v>
      </c>
      <c r="C134" s="17">
        <v>4</v>
      </c>
      <c r="D134" s="12"/>
      <c r="E134" s="17"/>
      <c r="F134" s="5">
        <f t="shared" ref="F134:F169" si="11">SUM(C134:E134)</f>
        <v>4</v>
      </c>
      <c r="G134" s="17">
        <v>4</v>
      </c>
      <c r="H134" s="12"/>
      <c r="I134" s="17"/>
      <c r="J134" s="5">
        <f t="shared" ref="J134:J169" si="12">SUM(G134:I134)</f>
        <v>4</v>
      </c>
      <c r="K134" s="30">
        <v>44624</v>
      </c>
    </row>
    <row r="135" spans="1:12" x14ac:dyDescent="0.15">
      <c r="B135" s="6" t="s">
        <v>3</v>
      </c>
      <c r="C135" s="17">
        <v>6</v>
      </c>
      <c r="D135" s="12">
        <v>3</v>
      </c>
      <c r="E135" s="17">
        <v>3</v>
      </c>
      <c r="F135" s="5">
        <f t="shared" si="11"/>
        <v>12</v>
      </c>
      <c r="G135" s="17">
        <v>5</v>
      </c>
      <c r="H135" s="12">
        <v>3</v>
      </c>
      <c r="I135" s="17"/>
      <c r="J135" s="5">
        <f t="shared" si="12"/>
        <v>8</v>
      </c>
      <c r="K135" s="30">
        <v>44635</v>
      </c>
    </row>
    <row r="136" spans="1:12" x14ac:dyDescent="0.15">
      <c r="B136" s="6" t="s">
        <v>3</v>
      </c>
      <c r="C136" s="17"/>
      <c r="D136" s="12"/>
      <c r="E136" s="17">
        <v>1</v>
      </c>
      <c r="F136" s="5">
        <f t="shared" si="11"/>
        <v>1</v>
      </c>
      <c r="G136" s="17"/>
      <c r="H136" s="12"/>
      <c r="I136" s="17">
        <v>2</v>
      </c>
      <c r="J136" s="5">
        <f t="shared" si="12"/>
        <v>2</v>
      </c>
      <c r="K136" s="30">
        <v>44643</v>
      </c>
    </row>
    <row r="137" spans="1:12" x14ac:dyDescent="0.15">
      <c r="B137" s="6" t="s">
        <v>3</v>
      </c>
      <c r="C137" s="17"/>
      <c r="D137" s="12"/>
      <c r="E137" s="17">
        <v>1</v>
      </c>
      <c r="F137" s="5">
        <f t="shared" si="11"/>
        <v>1</v>
      </c>
      <c r="G137" s="17"/>
      <c r="H137" s="12"/>
      <c r="I137" s="17">
        <v>2</v>
      </c>
      <c r="J137" s="5">
        <f t="shared" si="12"/>
        <v>2</v>
      </c>
      <c r="K137" s="30">
        <v>44650</v>
      </c>
    </row>
    <row r="138" spans="1:12" x14ac:dyDescent="0.15">
      <c r="B138" s="6" t="s">
        <v>3</v>
      </c>
      <c r="C138" s="17"/>
      <c r="D138" s="12">
        <v>5</v>
      </c>
      <c r="E138" s="17">
        <v>5</v>
      </c>
      <c r="F138" s="5">
        <f t="shared" si="11"/>
        <v>10</v>
      </c>
      <c r="G138" s="17"/>
      <c r="H138" s="12">
        <v>5</v>
      </c>
      <c r="I138" s="17">
        <v>3</v>
      </c>
      <c r="J138" s="5">
        <f t="shared" si="12"/>
        <v>8</v>
      </c>
      <c r="K138" s="30">
        <v>44670</v>
      </c>
    </row>
    <row r="139" spans="1:12" x14ac:dyDescent="0.15">
      <c r="B139" s="6" t="s">
        <v>3</v>
      </c>
      <c r="C139" s="17"/>
      <c r="D139" s="12">
        <v>2</v>
      </c>
      <c r="E139" s="17">
        <v>4</v>
      </c>
      <c r="F139" s="5">
        <f t="shared" si="11"/>
        <v>6</v>
      </c>
      <c r="G139" s="17"/>
      <c r="H139" s="12"/>
      <c r="I139" s="17">
        <v>2</v>
      </c>
      <c r="J139" s="5">
        <f t="shared" si="12"/>
        <v>2</v>
      </c>
      <c r="K139" s="30">
        <v>44677</v>
      </c>
      <c r="L139" s="31"/>
    </row>
    <row r="140" spans="1:12" x14ac:dyDescent="0.15">
      <c r="A140" s="31"/>
      <c r="B140" s="6" t="s">
        <v>3</v>
      </c>
      <c r="C140" s="37"/>
      <c r="D140" s="36"/>
      <c r="E140" s="37"/>
      <c r="F140" s="5">
        <f t="shared" si="11"/>
        <v>0</v>
      </c>
      <c r="G140" s="37"/>
      <c r="H140" s="36">
        <v>0</v>
      </c>
      <c r="I140" s="37">
        <v>0</v>
      </c>
      <c r="J140" s="5">
        <f t="shared" si="12"/>
        <v>0</v>
      </c>
      <c r="K140" s="30">
        <v>44693</v>
      </c>
    </row>
    <row r="141" spans="1:12" x14ac:dyDescent="0.15">
      <c r="B141" s="6" t="s">
        <v>3</v>
      </c>
      <c r="C141" s="37">
        <v>2</v>
      </c>
      <c r="D141" s="36"/>
      <c r="E141" s="37">
        <v>2</v>
      </c>
      <c r="F141" s="42">
        <f t="shared" si="11"/>
        <v>4</v>
      </c>
      <c r="G141" s="37"/>
      <c r="H141" s="36"/>
      <c r="I141" s="37">
        <v>2</v>
      </c>
      <c r="J141" s="5">
        <f t="shared" si="12"/>
        <v>2</v>
      </c>
      <c r="K141" s="30">
        <v>44706</v>
      </c>
    </row>
    <row r="142" spans="1:12" x14ac:dyDescent="0.15">
      <c r="B142" s="6" t="s">
        <v>3</v>
      </c>
      <c r="C142" s="37"/>
      <c r="D142" s="36"/>
      <c r="E142" s="37"/>
      <c r="F142" s="42">
        <f t="shared" si="11"/>
        <v>0</v>
      </c>
      <c r="G142" s="37"/>
      <c r="H142" s="36"/>
      <c r="I142" s="37"/>
      <c r="J142" s="5">
        <f t="shared" si="12"/>
        <v>0</v>
      </c>
    </row>
    <row r="143" spans="1:12" ht="14.25" thickBot="1" x14ac:dyDescent="0.2">
      <c r="B143" s="7" t="s">
        <v>3</v>
      </c>
      <c r="C143" s="44"/>
      <c r="D143" s="45"/>
      <c r="E143" s="44"/>
      <c r="F143" s="46">
        <f t="shared" si="11"/>
        <v>0</v>
      </c>
      <c r="G143" s="44"/>
      <c r="H143" s="45"/>
      <c r="I143" s="44"/>
      <c r="J143" s="20">
        <f t="shared" si="12"/>
        <v>0</v>
      </c>
    </row>
    <row r="144" spans="1:12" ht="14.25" thickBot="1" x14ac:dyDescent="0.2">
      <c r="B144" s="22" t="s">
        <v>4</v>
      </c>
      <c r="C144" s="23">
        <f>SUM(C133:C143)</f>
        <v>13</v>
      </c>
      <c r="D144" s="23">
        <f>SUM(D133:D143)</f>
        <v>15</v>
      </c>
      <c r="E144" s="24">
        <f>SUM(E133:E143)</f>
        <v>18</v>
      </c>
      <c r="F144" s="25">
        <f t="shared" si="11"/>
        <v>46</v>
      </c>
      <c r="G144" s="23">
        <f>SUM(G133:G143)</f>
        <v>10</v>
      </c>
      <c r="H144" s="23">
        <f>SUM(H133:H143)</f>
        <v>13</v>
      </c>
      <c r="I144" s="24">
        <f>SUM(I133:I143)</f>
        <v>13</v>
      </c>
      <c r="J144" s="25">
        <f t="shared" si="12"/>
        <v>36</v>
      </c>
    </row>
    <row r="145" spans="2:11" x14ac:dyDescent="0.15">
      <c r="B145" s="4" t="s">
        <v>25</v>
      </c>
      <c r="C145" s="9">
        <v>1</v>
      </c>
      <c r="D145" s="10">
        <v>1</v>
      </c>
      <c r="E145" s="11"/>
      <c r="F145" s="5">
        <f t="shared" si="11"/>
        <v>2</v>
      </c>
      <c r="G145" s="9">
        <v>1</v>
      </c>
      <c r="H145" s="10">
        <v>1</v>
      </c>
      <c r="I145" s="11"/>
      <c r="J145" s="5">
        <f t="shared" si="12"/>
        <v>2</v>
      </c>
      <c r="K145" s="32">
        <v>44628</v>
      </c>
    </row>
    <row r="146" spans="2:11" x14ac:dyDescent="0.15">
      <c r="B146" s="4" t="s">
        <v>25</v>
      </c>
      <c r="C146" s="9">
        <v>1</v>
      </c>
      <c r="D146" s="10"/>
      <c r="E146" s="11"/>
      <c r="F146" s="5">
        <f t="shared" si="11"/>
        <v>1</v>
      </c>
      <c r="G146" s="9">
        <v>1</v>
      </c>
      <c r="H146" s="10"/>
      <c r="I146" s="11"/>
      <c r="J146" s="5">
        <f t="shared" si="12"/>
        <v>1</v>
      </c>
      <c r="K146" s="32">
        <v>44629</v>
      </c>
    </row>
    <row r="147" spans="2:11" x14ac:dyDescent="0.15">
      <c r="B147" s="4" t="s">
        <v>25</v>
      </c>
      <c r="C147" s="9"/>
      <c r="D147" s="10"/>
      <c r="E147" s="11">
        <v>2</v>
      </c>
      <c r="F147" s="5">
        <f t="shared" si="11"/>
        <v>2</v>
      </c>
      <c r="G147" s="9"/>
      <c r="H147" s="10"/>
      <c r="I147" s="11"/>
      <c r="J147" s="5">
        <f t="shared" si="12"/>
        <v>0</v>
      </c>
      <c r="K147" s="32">
        <v>44630</v>
      </c>
    </row>
    <row r="148" spans="2:11" x14ac:dyDescent="0.15">
      <c r="B148" s="4" t="s">
        <v>25</v>
      </c>
      <c r="C148" s="9"/>
      <c r="D148" s="10"/>
      <c r="E148" s="11">
        <v>1</v>
      </c>
      <c r="F148" s="5">
        <f t="shared" si="11"/>
        <v>1</v>
      </c>
      <c r="G148" s="9"/>
      <c r="H148" s="10"/>
      <c r="I148" s="11">
        <v>1</v>
      </c>
      <c r="J148" s="5">
        <f t="shared" si="12"/>
        <v>1</v>
      </c>
      <c r="K148" s="32">
        <v>44635</v>
      </c>
    </row>
    <row r="149" spans="2:11" x14ac:dyDescent="0.15">
      <c r="B149" s="4" t="s">
        <v>25</v>
      </c>
      <c r="C149" s="9">
        <v>2</v>
      </c>
      <c r="D149" s="10"/>
      <c r="E149" s="11"/>
      <c r="F149" s="5">
        <f t="shared" si="11"/>
        <v>2</v>
      </c>
      <c r="G149" s="9"/>
      <c r="H149" s="10"/>
      <c r="I149" s="11"/>
      <c r="J149" s="5">
        <f t="shared" si="12"/>
        <v>0</v>
      </c>
      <c r="K149" s="32">
        <v>44639</v>
      </c>
    </row>
    <row r="150" spans="2:11" x14ac:dyDescent="0.15">
      <c r="B150" s="4" t="s">
        <v>25</v>
      </c>
      <c r="C150" s="9"/>
      <c r="D150" s="10"/>
      <c r="E150" s="11">
        <v>1</v>
      </c>
      <c r="F150" s="8">
        <f t="shared" si="11"/>
        <v>1</v>
      </c>
      <c r="G150" s="9"/>
      <c r="H150" s="10"/>
      <c r="I150" s="11">
        <v>1</v>
      </c>
      <c r="J150" s="8">
        <f t="shared" si="12"/>
        <v>1</v>
      </c>
      <c r="K150" s="32">
        <v>44642</v>
      </c>
    </row>
    <row r="151" spans="2:11" x14ac:dyDescent="0.15">
      <c r="B151" s="4" t="s">
        <v>25</v>
      </c>
      <c r="C151" s="9"/>
      <c r="D151" s="10">
        <v>1</v>
      </c>
      <c r="E151" s="11">
        <v>1</v>
      </c>
      <c r="F151" s="8">
        <f t="shared" si="11"/>
        <v>2</v>
      </c>
      <c r="G151" s="9"/>
      <c r="H151" s="10">
        <v>1</v>
      </c>
      <c r="I151" s="11">
        <f>1+1</f>
        <v>2</v>
      </c>
      <c r="J151" s="8">
        <f t="shared" si="12"/>
        <v>3</v>
      </c>
      <c r="K151" s="32">
        <v>44648</v>
      </c>
    </row>
    <row r="152" spans="2:11" x14ac:dyDescent="0.15">
      <c r="B152" s="4" t="s">
        <v>25</v>
      </c>
      <c r="C152" s="9"/>
      <c r="D152" s="10"/>
      <c r="E152" s="11">
        <f>1+1</f>
        <v>2</v>
      </c>
      <c r="F152" s="8">
        <f t="shared" si="11"/>
        <v>2</v>
      </c>
      <c r="G152" s="9"/>
      <c r="H152" s="10"/>
      <c r="I152" s="11">
        <f>1+1</f>
        <v>2</v>
      </c>
      <c r="J152" s="8">
        <f t="shared" si="12"/>
        <v>2</v>
      </c>
      <c r="K152" s="32">
        <v>44650</v>
      </c>
    </row>
    <row r="153" spans="2:11" x14ac:dyDescent="0.15">
      <c r="B153" s="4" t="s">
        <v>25</v>
      </c>
      <c r="C153" s="9"/>
      <c r="D153" s="10">
        <v>1</v>
      </c>
      <c r="E153" s="11"/>
      <c r="F153" s="8">
        <f t="shared" si="11"/>
        <v>1</v>
      </c>
      <c r="G153" s="9"/>
      <c r="H153" s="10">
        <v>1</v>
      </c>
      <c r="I153" s="11"/>
      <c r="J153" s="8">
        <f t="shared" si="12"/>
        <v>1</v>
      </c>
      <c r="K153" s="32">
        <v>44656</v>
      </c>
    </row>
    <row r="154" spans="2:11" x14ac:dyDescent="0.15">
      <c r="B154" s="4" t="s">
        <v>25</v>
      </c>
      <c r="C154" s="9">
        <v>1</v>
      </c>
      <c r="D154" s="10"/>
      <c r="E154" s="11"/>
      <c r="F154" s="8">
        <f t="shared" si="11"/>
        <v>1</v>
      </c>
      <c r="G154" s="9">
        <v>1</v>
      </c>
      <c r="H154" s="10"/>
      <c r="I154" s="11"/>
      <c r="J154" s="8">
        <f t="shared" si="12"/>
        <v>1</v>
      </c>
      <c r="K154" s="32">
        <v>44657</v>
      </c>
    </row>
    <row r="155" spans="2:11" x14ac:dyDescent="0.15">
      <c r="B155" s="4" t="s">
        <v>25</v>
      </c>
      <c r="C155" s="9"/>
      <c r="D155" s="10">
        <f>1+1</f>
        <v>2</v>
      </c>
      <c r="E155" s="11"/>
      <c r="F155" s="8">
        <f t="shared" si="11"/>
        <v>2</v>
      </c>
      <c r="G155" s="9"/>
      <c r="H155" s="10">
        <v>1</v>
      </c>
      <c r="I155" s="11"/>
      <c r="J155" s="8">
        <f t="shared" si="12"/>
        <v>1</v>
      </c>
      <c r="K155" s="32">
        <v>44662</v>
      </c>
    </row>
    <row r="156" spans="2:11" x14ac:dyDescent="0.15">
      <c r="B156" s="4" t="s">
        <v>25</v>
      </c>
      <c r="C156" s="9"/>
      <c r="D156" s="10">
        <v>1</v>
      </c>
      <c r="E156" s="11"/>
      <c r="F156" s="8">
        <f t="shared" si="11"/>
        <v>1</v>
      </c>
      <c r="G156" s="9"/>
      <c r="H156" s="10">
        <v>1</v>
      </c>
      <c r="I156" s="11"/>
      <c r="J156" s="8">
        <f t="shared" si="12"/>
        <v>1</v>
      </c>
      <c r="K156" s="32">
        <v>44663</v>
      </c>
    </row>
    <row r="157" spans="2:11" x14ac:dyDescent="0.15">
      <c r="B157" s="4" t="s">
        <v>25</v>
      </c>
      <c r="C157" s="9"/>
      <c r="D157" s="10"/>
      <c r="E157" s="11"/>
      <c r="F157" s="8">
        <f t="shared" si="11"/>
        <v>0</v>
      </c>
      <c r="G157" s="9"/>
      <c r="H157" s="10">
        <v>2</v>
      </c>
      <c r="I157" s="11"/>
      <c r="J157" s="8">
        <f t="shared" si="12"/>
        <v>2</v>
      </c>
      <c r="K157" s="32">
        <v>44665</v>
      </c>
    </row>
    <row r="158" spans="2:11" x14ac:dyDescent="0.15">
      <c r="B158" s="4" t="s">
        <v>25</v>
      </c>
      <c r="C158" s="9"/>
      <c r="D158" s="10">
        <v>1</v>
      </c>
      <c r="E158" s="11"/>
      <c r="F158" s="8">
        <f t="shared" si="11"/>
        <v>1</v>
      </c>
      <c r="G158" s="9"/>
      <c r="H158" s="10">
        <v>1</v>
      </c>
      <c r="I158" s="11"/>
      <c r="J158" s="8">
        <f t="shared" si="12"/>
        <v>1</v>
      </c>
      <c r="K158" s="32">
        <v>44669</v>
      </c>
    </row>
    <row r="159" spans="2:11" x14ac:dyDescent="0.15">
      <c r="B159" s="4" t="s">
        <v>25</v>
      </c>
      <c r="C159" s="9"/>
      <c r="D159" s="10">
        <v>2</v>
      </c>
      <c r="E159" s="11">
        <v>2</v>
      </c>
      <c r="F159" s="8">
        <f t="shared" si="11"/>
        <v>4</v>
      </c>
      <c r="G159" s="9"/>
      <c r="H159" s="10">
        <v>2</v>
      </c>
      <c r="I159" s="11"/>
      <c r="J159" s="8">
        <f t="shared" si="12"/>
        <v>2</v>
      </c>
      <c r="K159" s="32">
        <v>44670</v>
      </c>
    </row>
    <row r="160" spans="2:11" x14ac:dyDescent="0.15">
      <c r="B160" s="4" t="s">
        <v>25</v>
      </c>
      <c r="C160" s="9"/>
      <c r="D160" s="10"/>
      <c r="E160" s="11">
        <v>1</v>
      </c>
      <c r="F160" s="8">
        <f t="shared" si="11"/>
        <v>1</v>
      </c>
      <c r="G160" s="9"/>
      <c r="H160" s="10"/>
      <c r="I160" s="11">
        <v>1</v>
      </c>
      <c r="J160" s="8">
        <f t="shared" si="12"/>
        <v>1</v>
      </c>
      <c r="K160" s="32">
        <v>44671</v>
      </c>
    </row>
    <row r="161" spans="2:11" x14ac:dyDescent="0.15">
      <c r="B161" s="4" t="s">
        <v>25</v>
      </c>
      <c r="C161" s="9"/>
      <c r="D161" s="10"/>
      <c r="E161" s="11">
        <v>1</v>
      </c>
      <c r="F161" s="8">
        <f t="shared" si="11"/>
        <v>1</v>
      </c>
      <c r="G161" s="9"/>
      <c r="H161" s="10"/>
      <c r="I161" s="11">
        <v>1</v>
      </c>
      <c r="J161" s="8">
        <f t="shared" si="12"/>
        <v>1</v>
      </c>
      <c r="K161" s="32">
        <v>44676</v>
      </c>
    </row>
    <row r="162" spans="2:11" x14ac:dyDescent="0.15">
      <c r="B162" s="4" t="s">
        <v>25</v>
      </c>
      <c r="C162" s="9"/>
      <c r="D162" s="10"/>
      <c r="E162" s="11">
        <v>2</v>
      </c>
      <c r="F162" s="8">
        <f t="shared" si="11"/>
        <v>2</v>
      </c>
      <c r="G162" s="9"/>
      <c r="H162" s="10"/>
      <c r="I162" s="11"/>
      <c r="J162" s="8">
        <f t="shared" si="12"/>
        <v>0</v>
      </c>
      <c r="K162" s="32">
        <v>44677</v>
      </c>
    </row>
    <row r="163" spans="2:11" x14ac:dyDescent="0.15">
      <c r="B163" s="4" t="s">
        <v>25</v>
      </c>
      <c r="C163" s="9"/>
      <c r="D163" s="10">
        <v>1</v>
      </c>
      <c r="E163" s="11"/>
      <c r="F163" s="8">
        <f t="shared" si="11"/>
        <v>1</v>
      </c>
      <c r="G163" s="9"/>
      <c r="H163" s="10">
        <v>1</v>
      </c>
      <c r="I163" s="11"/>
      <c r="J163" s="8">
        <f t="shared" si="12"/>
        <v>1</v>
      </c>
      <c r="K163" s="32">
        <v>44683</v>
      </c>
    </row>
    <row r="164" spans="2:11" x14ac:dyDescent="0.15">
      <c r="B164" s="4" t="s">
        <v>25</v>
      </c>
      <c r="C164" s="9">
        <v>1</v>
      </c>
      <c r="D164" s="10"/>
      <c r="E164" s="11"/>
      <c r="F164" s="8">
        <f t="shared" si="11"/>
        <v>1</v>
      </c>
      <c r="G164" s="9">
        <v>1</v>
      </c>
      <c r="H164" s="10"/>
      <c r="I164" s="11"/>
      <c r="J164" s="8">
        <f t="shared" si="12"/>
        <v>1</v>
      </c>
      <c r="K164" s="32">
        <v>44687</v>
      </c>
    </row>
    <row r="165" spans="2:11" x14ac:dyDescent="0.15">
      <c r="B165" s="4" t="s">
        <v>25</v>
      </c>
      <c r="C165" s="9"/>
      <c r="D165" s="10">
        <v>1</v>
      </c>
      <c r="E165" s="11">
        <v>1</v>
      </c>
      <c r="F165" s="8">
        <f t="shared" si="11"/>
        <v>2</v>
      </c>
      <c r="G165" s="9"/>
      <c r="H165" s="10">
        <v>1</v>
      </c>
      <c r="I165" s="11">
        <v>1</v>
      </c>
      <c r="J165" s="8">
        <f t="shared" si="12"/>
        <v>2</v>
      </c>
      <c r="K165" s="32">
        <v>44694</v>
      </c>
    </row>
    <row r="166" spans="2:11" x14ac:dyDescent="0.15">
      <c r="B166" s="4" t="s">
        <v>25</v>
      </c>
      <c r="C166" s="9">
        <v>1</v>
      </c>
      <c r="D166" s="10"/>
      <c r="E166" s="11"/>
      <c r="F166" s="8">
        <f t="shared" si="11"/>
        <v>1</v>
      </c>
      <c r="G166" s="9">
        <v>1</v>
      </c>
      <c r="H166" s="10"/>
      <c r="I166" s="11"/>
      <c r="J166" s="8">
        <f t="shared" si="12"/>
        <v>1</v>
      </c>
      <c r="K166" s="32">
        <v>44697</v>
      </c>
    </row>
    <row r="167" spans="2:11" x14ac:dyDescent="0.15">
      <c r="B167" s="4" t="s">
        <v>25</v>
      </c>
      <c r="C167" s="9">
        <v>1</v>
      </c>
      <c r="D167" s="10"/>
      <c r="E167" s="11"/>
      <c r="F167" s="8">
        <f t="shared" si="11"/>
        <v>1</v>
      </c>
      <c r="G167" s="9">
        <v>1</v>
      </c>
      <c r="H167" s="10"/>
      <c r="I167" s="11"/>
      <c r="J167" s="8">
        <f t="shared" si="12"/>
        <v>1</v>
      </c>
      <c r="K167" s="32">
        <v>44699</v>
      </c>
    </row>
    <row r="168" spans="2:11" ht="14.25" thickBot="1" x14ac:dyDescent="0.2">
      <c r="B168" s="4" t="s">
        <v>25</v>
      </c>
      <c r="C168" s="9"/>
      <c r="D168" s="10"/>
      <c r="E168" s="11">
        <v>2</v>
      </c>
      <c r="F168" s="8">
        <f t="shared" si="11"/>
        <v>2</v>
      </c>
      <c r="G168" s="9"/>
      <c r="H168" s="10"/>
      <c r="I168" s="11"/>
      <c r="J168" s="8">
        <f t="shared" si="12"/>
        <v>0</v>
      </c>
      <c r="K168" s="32">
        <v>44707</v>
      </c>
    </row>
    <row r="169" spans="2:11" ht="14.25" thickBot="1" x14ac:dyDescent="0.2">
      <c r="B169" s="3" t="s">
        <v>5</v>
      </c>
      <c r="C169" s="15">
        <f>SUM(C145:C168)</f>
        <v>8</v>
      </c>
      <c r="D169" s="15">
        <f>SUM(D145:D168)</f>
        <v>11</v>
      </c>
      <c r="E169" s="15">
        <f>SUM(E145:E168)</f>
        <v>16</v>
      </c>
      <c r="F169" s="16">
        <f t="shared" si="11"/>
        <v>35</v>
      </c>
      <c r="G169" s="15">
        <f>SUM(G145:G168)</f>
        <v>6</v>
      </c>
      <c r="H169" s="15">
        <f>SUM(H145:H168)</f>
        <v>12</v>
      </c>
      <c r="I169" s="15">
        <f>SUM(I145:I168)</f>
        <v>9</v>
      </c>
      <c r="J169" s="16">
        <f t="shared" si="12"/>
        <v>27</v>
      </c>
    </row>
    <row r="170" spans="2:11" ht="14.25" thickBot="1" x14ac:dyDescent="0.2">
      <c r="B170" s="26" t="s">
        <v>6</v>
      </c>
      <c r="C170" s="27">
        <f t="shared" ref="C170:J170" si="13">C144-C169</f>
        <v>5</v>
      </c>
      <c r="D170" s="27">
        <f t="shared" si="13"/>
        <v>4</v>
      </c>
      <c r="E170" s="27">
        <f t="shared" si="13"/>
        <v>2</v>
      </c>
      <c r="F170" s="27">
        <f t="shared" si="13"/>
        <v>11</v>
      </c>
      <c r="G170" s="27">
        <f t="shared" si="13"/>
        <v>4</v>
      </c>
      <c r="H170" s="27">
        <f t="shared" si="13"/>
        <v>1</v>
      </c>
      <c r="I170" s="27">
        <f t="shared" si="13"/>
        <v>4</v>
      </c>
      <c r="J170" s="25">
        <f t="shared" si="13"/>
        <v>9</v>
      </c>
    </row>
    <row r="173" spans="2:11" ht="19.5" thickBot="1" x14ac:dyDescent="0.25">
      <c r="B173" s="33" t="s">
        <v>18</v>
      </c>
      <c r="C173" s="1"/>
      <c r="D173" s="1"/>
      <c r="E173" s="1"/>
      <c r="F173" s="1"/>
      <c r="G173" s="34"/>
      <c r="H173" s="34">
        <v>1400</v>
      </c>
      <c r="I173" s="34"/>
      <c r="J173" s="34"/>
    </row>
    <row r="174" spans="2:11" ht="14.25" thickBot="1" x14ac:dyDescent="0.2">
      <c r="B174" s="2" t="s">
        <v>0</v>
      </c>
      <c r="C174" s="84" t="s">
        <v>13</v>
      </c>
      <c r="D174" s="84"/>
      <c r="E174" s="84"/>
      <c r="F174" s="85"/>
      <c r="G174" s="84" t="s">
        <v>16</v>
      </c>
      <c r="H174" s="84"/>
      <c r="I174" s="84"/>
      <c r="J174" s="85"/>
    </row>
    <row r="175" spans="2:11" ht="14.25" thickBot="1" x14ac:dyDescent="0.2">
      <c r="B175" s="2" t="s">
        <v>1</v>
      </c>
      <c r="C175" s="3" t="s">
        <v>9</v>
      </c>
      <c r="D175" s="2" t="s">
        <v>10</v>
      </c>
      <c r="E175" s="19" t="s">
        <v>11</v>
      </c>
      <c r="F175" s="2" t="s">
        <v>2</v>
      </c>
      <c r="G175" s="3" t="s">
        <v>9</v>
      </c>
      <c r="H175" s="2" t="s">
        <v>10</v>
      </c>
      <c r="I175" s="19" t="s">
        <v>11</v>
      </c>
      <c r="J175" s="2" t="s">
        <v>2</v>
      </c>
    </row>
    <row r="176" spans="2:11" x14ac:dyDescent="0.15">
      <c r="B176" s="28" t="s">
        <v>12</v>
      </c>
      <c r="C176" s="39">
        <f>C170</f>
        <v>5</v>
      </c>
      <c r="D176" s="40">
        <f>D170</f>
        <v>4</v>
      </c>
      <c r="E176" s="41">
        <f>E170</f>
        <v>2</v>
      </c>
      <c r="F176" s="18">
        <f>SUM(C176:E176)</f>
        <v>11</v>
      </c>
      <c r="G176" s="39">
        <f>G170</f>
        <v>4</v>
      </c>
      <c r="H176" s="40">
        <f>H170</f>
        <v>1</v>
      </c>
      <c r="I176" s="41">
        <f>I170</f>
        <v>4</v>
      </c>
      <c r="J176" s="18">
        <f>SUM(G176:I176)</f>
        <v>9</v>
      </c>
    </row>
    <row r="177" spans="1:11" x14ac:dyDescent="0.15">
      <c r="B177" s="6" t="s">
        <v>3</v>
      </c>
      <c r="C177" s="17"/>
      <c r="D177" s="12">
        <v>5</v>
      </c>
      <c r="E177" s="17">
        <v>5</v>
      </c>
      <c r="F177" s="5">
        <f t="shared" ref="F177:F212" si="14">SUM(C177:E177)</f>
        <v>10</v>
      </c>
      <c r="G177" s="17"/>
      <c r="H177" s="12"/>
      <c r="I177" s="17"/>
      <c r="J177" s="5">
        <f t="shared" ref="J177:J212" si="15">SUM(G177:I177)</f>
        <v>0</v>
      </c>
      <c r="K177" s="30">
        <v>44713</v>
      </c>
    </row>
    <row r="178" spans="1:11" x14ac:dyDescent="0.15">
      <c r="B178" s="6" t="s">
        <v>3</v>
      </c>
      <c r="C178" s="17"/>
      <c r="D178" s="12"/>
      <c r="E178" s="17"/>
      <c r="F178" s="5">
        <f t="shared" si="14"/>
        <v>0</v>
      </c>
      <c r="G178" s="17"/>
      <c r="H178" s="12">
        <v>5</v>
      </c>
      <c r="I178" s="17"/>
      <c r="J178" s="5">
        <f t="shared" si="15"/>
        <v>5</v>
      </c>
      <c r="K178" s="30">
        <v>44720</v>
      </c>
    </row>
    <row r="179" spans="1:11" x14ac:dyDescent="0.15">
      <c r="B179" s="6" t="s">
        <v>3</v>
      </c>
      <c r="C179" s="17"/>
      <c r="D179" s="12"/>
      <c r="E179" s="17"/>
      <c r="F179" s="5">
        <f t="shared" si="14"/>
        <v>0</v>
      </c>
      <c r="G179" s="17">
        <v>3</v>
      </c>
      <c r="H179" s="12"/>
      <c r="I179" s="17"/>
      <c r="J179" s="5">
        <f t="shared" si="15"/>
        <v>3</v>
      </c>
      <c r="K179" s="30">
        <v>44729</v>
      </c>
    </row>
    <row r="180" spans="1:11" x14ac:dyDescent="0.15">
      <c r="B180" s="28" t="s">
        <v>30</v>
      </c>
      <c r="C180" s="47"/>
      <c r="D180" s="28"/>
      <c r="E180" s="47"/>
      <c r="F180" s="48">
        <f t="shared" si="14"/>
        <v>0</v>
      </c>
      <c r="G180" s="47">
        <v>2</v>
      </c>
      <c r="H180" s="28"/>
      <c r="I180" s="47">
        <v>1</v>
      </c>
      <c r="J180" s="48">
        <f t="shared" si="15"/>
        <v>3</v>
      </c>
      <c r="K180" s="49">
        <v>44796</v>
      </c>
    </row>
    <row r="181" spans="1:11" x14ac:dyDescent="0.15">
      <c r="B181" s="6" t="s">
        <v>3</v>
      </c>
      <c r="C181" s="17">
        <v>3</v>
      </c>
      <c r="D181" s="52"/>
      <c r="E181" s="17">
        <v>2</v>
      </c>
      <c r="F181" s="5">
        <f t="shared" si="14"/>
        <v>5</v>
      </c>
      <c r="G181" s="17"/>
      <c r="H181" s="52"/>
      <c r="I181" s="17"/>
      <c r="J181" s="5">
        <f t="shared" si="15"/>
        <v>0</v>
      </c>
      <c r="K181" s="30">
        <v>44811</v>
      </c>
    </row>
    <row r="182" spans="1:11" x14ac:dyDescent="0.15">
      <c r="B182" s="6" t="s">
        <v>3</v>
      </c>
      <c r="C182" s="17"/>
      <c r="D182" s="12"/>
      <c r="E182" s="17">
        <v>3</v>
      </c>
      <c r="F182" s="5">
        <f t="shared" si="14"/>
        <v>3</v>
      </c>
      <c r="G182" s="17"/>
      <c r="H182" s="12"/>
      <c r="I182" s="17"/>
      <c r="J182" s="5">
        <f t="shared" si="15"/>
        <v>0</v>
      </c>
      <c r="K182" s="30">
        <v>44818</v>
      </c>
    </row>
    <row r="183" spans="1:11" x14ac:dyDescent="0.15">
      <c r="A183" s="31"/>
      <c r="B183" s="6" t="s">
        <v>3</v>
      </c>
      <c r="C183" s="37"/>
      <c r="D183" s="36">
        <v>2</v>
      </c>
      <c r="E183" s="37"/>
      <c r="F183" s="5">
        <f t="shared" si="14"/>
        <v>2</v>
      </c>
      <c r="G183" s="37"/>
      <c r="H183" s="36">
        <v>2</v>
      </c>
      <c r="I183" s="37"/>
      <c r="J183" s="5">
        <f t="shared" si="15"/>
        <v>2</v>
      </c>
      <c r="K183" s="32">
        <v>44869</v>
      </c>
    </row>
    <row r="184" spans="1:11" x14ac:dyDescent="0.15">
      <c r="B184" s="6" t="s">
        <v>3</v>
      </c>
      <c r="C184" s="37">
        <v>5</v>
      </c>
      <c r="D184" s="36">
        <v>5</v>
      </c>
      <c r="E184" s="37"/>
      <c r="F184" s="42">
        <f t="shared" si="14"/>
        <v>10</v>
      </c>
      <c r="G184" s="37">
        <v>3</v>
      </c>
      <c r="H184" s="36"/>
      <c r="I184" s="37">
        <v>2</v>
      </c>
      <c r="J184" s="5">
        <f t="shared" si="15"/>
        <v>5</v>
      </c>
      <c r="K184" s="30">
        <v>44881</v>
      </c>
    </row>
    <row r="185" spans="1:11" x14ac:dyDescent="0.15">
      <c r="B185" s="6" t="s">
        <v>3</v>
      </c>
      <c r="C185" s="37">
        <v>2</v>
      </c>
      <c r="D185" s="36">
        <v>1</v>
      </c>
      <c r="E185" s="37">
        <v>2</v>
      </c>
      <c r="F185" s="42">
        <f t="shared" si="14"/>
        <v>5</v>
      </c>
      <c r="G185" s="37"/>
      <c r="H185" s="36">
        <v>2</v>
      </c>
      <c r="I185" s="37">
        <v>2</v>
      </c>
      <c r="J185" s="5">
        <f t="shared" si="15"/>
        <v>4</v>
      </c>
      <c r="K185" s="30">
        <v>44902</v>
      </c>
    </row>
    <row r="186" spans="1:11" ht="14.25" thickBot="1" x14ac:dyDescent="0.2">
      <c r="B186" s="7" t="s">
        <v>28</v>
      </c>
      <c r="C186" s="44"/>
      <c r="D186" s="45">
        <v>1</v>
      </c>
      <c r="E186" s="44">
        <v>1</v>
      </c>
      <c r="F186" s="46">
        <f t="shared" si="14"/>
        <v>2</v>
      </c>
      <c r="G186" s="44"/>
      <c r="H186" s="45"/>
      <c r="I186" s="44"/>
      <c r="J186" s="20">
        <f t="shared" si="15"/>
        <v>0</v>
      </c>
    </row>
    <row r="187" spans="1:11" ht="14.25" thickBot="1" x14ac:dyDescent="0.2">
      <c r="B187" s="22" t="s">
        <v>4</v>
      </c>
      <c r="C187" s="23">
        <f>SUM(C176:C186)</f>
        <v>15</v>
      </c>
      <c r="D187" s="23">
        <f>SUM(D176:D186)</f>
        <v>18</v>
      </c>
      <c r="E187" s="24">
        <f>SUM(E176:E186)</f>
        <v>15</v>
      </c>
      <c r="F187" s="25">
        <f t="shared" si="14"/>
        <v>48</v>
      </c>
      <c r="G187" s="23">
        <f>SUM(G176:G186)</f>
        <v>12</v>
      </c>
      <c r="H187" s="23">
        <f>SUM(H176:H186)</f>
        <v>10</v>
      </c>
      <c r="I187" s="24">
        <f>SUM(I176:I186)</f>
        <v>9</v>
      </c>
      <c r="J187" s="25">
        <f t="shared" si="15"/>
        <v>31</v>
      </c>
    </row>
    <row r="188" spans="1:11" x14ac:dyDescent="0.15">
      <c r="B188" s="4" t="s">
        <v>25</v>
      </c>
      <c r="C188" s="9"/>
      <c r="D188" s="10">
        <v>4</v>
      </c>
      <c r="E188" s="11">
        <v>2</v>
      </c>
      <c r="F188" s="5">
        <f t="shared" si="14"/>
        <v>6</v>
      </c>
      <c r="G188" s="9"/>
      <c r="H188" s="10"/>
      <c r="I188" s="11"/>
      <c r="J188" s="5">
        <f t="shared" si="15"/>
        <v>0</v>
      </c>
      <c r="K188" s="32">
        <v>44712</v>
      </c>
    </row>
    <row r="189" spans="1:11" x14ac:dyDescent="0.15">
      <c r="B189" s="4" t="s">
        <v>25</v>
      </c>
      <c r="C189" s="9"/>
      <c r="D189" s="10"/>
      <c r="E189" s="11"/>
      <c r="F189" s="5">
        <f t="shared" si="14"/>
        <v>0</v>
      </c>
      <c r="G189" s="9">
        <v>1</v>
      </c>
      <c r="H189" s="10"/>
      <c r="I189" s="11"/>
      <c r="J189" s="5">
        <f t="shared" si="15"/>
        <v>1</v>
      </c>
      <c r="K189" s="32">
        <v>44725</v>
      </c>
    </row>
    <row r="190" spans="1:11" x14ac:dyDescent="0.15">
      <c r="B190" s="4" t="s">
        <v>25</v>
      </c>
      <c r="C190" s="9"/>
      <c r="D190" s="10">
        <v>1</v>
      </c>
      <c r="E190" s="11">
        <v>2</v>
      </c>
      <c r="F190" s="5">
        <f t="shared" si="14"/>
        <v>3</v>
      </c>
      <c r="G190" s="9"/>
      <c r="H190" s="10">
        <v>1</v>
      </c>
      <c r="I190" s="11"/>
      <c r="J190" s="5">
        <f t="shared" si="15"/>
        <v>1</v>
      </c>
      <c r="K190" s="32">
        <v>44732</v>
      </c>
    </row>
    <row r="191" spans="1:11" x14ac:dyDescent="0.15">
      <c r="B191" s="4" t="s">
        <v>25</v>
      </c>
      <c r="C191" s="9"/>
      <c r="D191" s="10"/>
      <c r="E191" s="11">
        <v>2</v>
      </c>
      <c r="F191" s="5">
        <f t="shared" si="14"/>
        <v>2</v>
      </c>
      <c r="G191" s="9"/>
      <c r="H191" s="10"/>
      <c r="I191" s="11">
        <v>2</v>
      </c>
      <c r="J191" s="5">
        <f t="shared" si="15"/>
        <v>2</v>
      </c>
      <c r="K191" s="32">
        <v>44761</v>
      </c>
    </row>
    <row r="192" spans="1:11" x14ac:dyDescent="0.15">
      <c r="B192" s="4" t="s">
        <v>25</v>
      </c>
      <c r="C192" s="9">
        <v>1</v>
      </c>
      <c r="D192" s="10">
        <v>1</v>
      </c>
      <c r="E192" s="11"/>
      <c r="F192" s="5">
        <f t="shared" si="14"/>
        <v>2</v>
      </c>
      <c r="G192" s="9">
        <v>1</v>
      </c>
      <c r="H192" s="10"/>
      <c r="I192" s="11"/>
      <c r="J192" s="5">
        <f t="shared" si="15"/>
        <v>1</v>
      </c>
      <c r="K192" s="32">
        <v>44762</v>
      </c>
    </row>
    <row r="193" spans="2:11" x14ac:dyDescent="0.15">
      <c r="B193" s="4" t="s">
        <v>25</v>
      </c>
      <c r="C193" s="9">
        <v>1</v>
      </c>
      <c r="D193" s="10"/>
      <c r="E193" s="11"/>
      <c r="F193" s="8">
        <f t="shared" si="14"/>
        <v>1</v>
      </c>
      <c r="G193" s="9">
        <v>1</v>
      </c>
      <c r="H193" s="10"/>
      <c r="I193" s="11"/>
      <c r="J193" s="8">
        <f t="shared" si="15"/>
        <v>1</v>
      </c>
      <c r="K193" s="32">
        <v>44790</v>
      </c>
    </row>
    <row r="194" spans="2:11" x14ac:dyDescent="0.15">
      <c r="B194" s="4" t="s">
        <v>25</v>
      </c>
      <c r="C194" s="9">
        <v>1</v>
      </c>
      <c r="D194" s="10"/>
      <c r="E194" s="11"/>
      <c r="F194" s="8">
        <f t="shared" si="14"/>
        <v>1</v>
      </c>
      <c r="G194" s="9">
        <v>1</v>
      </c>
      <c r="H194" s="10"/>
      <c r="I194" s="11"/>
      <c r="J194" s="8">
        <f t="shared" si="15"/>
        <v>1</v>
      </c>
      <c r="K194" s="32">
        <v>44798</v>
      </c>
    </row>
    <row r="195" spans="2:11" x14ac:dyDescent="0.15">
      <c r="B195" s="4" t="s">
        <v>25</v>
      </c>
      <c r="C195" s="9"/>
      <c r="D195" s="10"/>
      <c r="E195" s="11">
        <v>1</v>
      </c>
      <c r="F195" s="8">
        <f t="shared" si="14"/>
        <v>1</v>
      </c>
      <c r="G195" s="9"/>
      <c r="H195" s="10"/>
      <c r="I195" s="11"/>
      <c r="J195" s="8">
        <f t="shared" si="15"/>
        <v>0</v>
      </c>
      <c r="K195" s="32">
        <v>44811</v>
      </c>
    </row>
    <row r="196" spans="2:11" x14ac:dyDescent="0.15">
      <c r="B196" s="4" t="s">
        <v>25</v>
      </c>
      <c r="C196" s="9">
        <v>2</v>
      </c>
      <c r="D196" s="10"/>
      <c r="E196" s="11"/>
      <c r="F196" s="8">
        <f t="shared" si="14"/>
        <v>2</v>
      </c>
      <c r="G196" s="9"/>
      <c r="H196" s="10"/>
      <c r="I196" s="11"/>
      <c r="J196" s="8">
        <f t="shared" si="15"/>
        <v>0</v>
      </c>
      <c r="K196" s="32">
        <v>44819</v>
      </c>
    </row>
    <row r="197" spans="2:11" x14ac:dyDescent="0.15">
      <c r="B197" s="4" t="s">
        <v>25</v>
      </c>
      <c r="C197" s="9">
        <v>1</v>
      </c>
      <c r="D197" s="10"/>
      <c r="E197" s="11"/>
      <c r="F197" s="8">
        <f t="shared" si="14"/>
        <v>1</v>
      </c>
      <c r="G197" s="9">
        <v>1</v>
      </c>
      <c r="H197" s="10"/>
      <c r="I197" s="11"/>
      <c r="J197" s="8">
        <f t="shared" si="15"/>
        <v>1</v>
      </c>
      <c r="K197" s="32">
        <v>44821</v>
      </c>
    </row>
    <row r="198" spans="2:11" x14ac:dyDescent="0.15">
      <c r="B198" s="4" t="s">
        <v>25</v>
      </c>
      <c r="C198" s="9">
        <v>1</v>
      </c>
      <c r="D198" s="10"/>
      <c r="E198" s="11"/>
      <c r="F198" s="8">
        <f t="shared" si="14"/>
        <v>1</v>
      </c>
      <c r="G198" s="9">
        <v>1</v>
      </c>
      <c r="H198" s="10"/>
      <c r="I198" s="11"/>
      <c r="J198" s="8">
        <f t="shared" si="15"/>
        <v>1</v>
      </c>
      <c r="K198" s="32">
        <v>44830</v>
      </c>
    </row>
    <row r="199" spans="2:11" x14ac:dyDescent="0.15">
      <c r="B199" s="4" t="s">
        <v>25</v>
      </c>
      <c r="C199" s="9"/>
      <c r="D199" s="10">
        <v>1</v>
      </c>
      <c r="E199" s="11">
        <v>1</v>
      </c>
      <c r="F199" s="8">
        <f t="shared" si="14"/>
        <v>2</v>
      </c>
      <c r="G199" s="9"/>
      <c r="H199" s="10"/>
      <c r="I199" s="11">
        <v>1</v>
      </c>
      <c r="J199" s="8">
        <f t="shared" si="15"/>
        <v>1</v>
      </c>
      <c r="K199" s="32">
        <v>44845</v>
      </c>
    </row>
    <row r="200" spans="2:11" x14ac:dyDescent="0.15">
      <c r="B200" s="4" t="s">
        <v>25</v>
      </c>
      <c r="C200" s="9"/>
      <c r="D200" s="10">
        <v>1</v>
      </c>
      <c r="E200" s="11"/>
      <c r="F200" s="8">
        <f t="shared" si="14"/>
        <v>1</v>
      </c>
      <c r="G200" s="9"/>
      <c r="H200" s="10">
        <v>1</v>
      </c>
      <c r="I200" s="11"/>
      <c r="J200" s="8">
        <f t="shared" si="15"/>
        <v>1</v>
      </c>
      <c r="K200" s="32">
        <v>44846</v>
      </c>
    </row>
    <row r="201" spans="2:11" x14ac:dyDescent="0.15">
      <c r="B201" s="4" t="s">
        <v>25</v>
      </c>
      <c r="C201" s="9">
        <v>1</v>
      </c>
      <c r="D201" s="10"/>
      <c r="E201" s="11"/>
      <c r="F201" s="8">
        <f t="shared" si="14"/>
        <v>1</v>
      </c>
      <c r="G201" s="9">
        <v>1</v>
      </c>
      <c r="H201" s="10"/>
      <c r="I201" s="11"/>
      <c r="J201" s="8">
        <f t="shared" si="15"/>
        <v>1</v>
      </c>
      <c r="K201" s="32">
        <v>44865</v>
      </c>
    </row>
    <row r="202" spans="2:11" x14ac:dyDescent="0.15">
      <c r="B202" s="4" t="s">
        <v>25</v>
      </c>
      <c r="C202" s="9"/>
      <c r="D202" s="10">
        <v>1</v>
      </c>
      <c r="E202" s="11"/>
      <c r="F202" s="8">
        <f t="shared" si="14"/>
        <v>1</v>
      </c>
      <c r="G202" s="9"/>
      <c r="H202" s="10">
        <v>1</v>
      </c>
      <c r="I202" s="11"/>
      <c r="J202" s="8">
        <f t="shared" si="15"/>
        <v>1</v>
      </c>
      <c r="K202" s="32">
        <v>44869</v>
      </c>
    </row>
    <row r="203" spans="2:11" x14ac:dyDescent="0.15">
      <c r="B203" s="4" t="s">
        <v>25</v>
      </c>
      <c r="C203" s="9"/>
      <c r="D203" s="10">
        <v>2</v>
      </c>
      <c r="E203" s="11"/>
      <c r="F203" s="8">
        <f t="shared" si="14"/>
        <v>2</v>
      </c>
      <c r="G203" s="9"/>
      <c r="H203" s="10"/>
      <c r="I203" s="11"/>
      <c r="J203" s="8">
        <f t="shared" si="15"/>
        <v>0</v>
      </c>
      <c r="K203" s="32">
        <v>44870</v>
      </c>
    </row>
    <row r="204" spans="2:11" x14ac:dyDescent="0.15">
      <c r="B204" s="4" t="s">
        <v>25</v>
      </c>
      <c r="C204" s="9">
        <v>1</v>
      </c>
      <c r="D204" s="10"/>
      <c r="E204" s="11"/>
      <c r="F204" s="8">
        <f t="shared" si="14"/>
        <v>1</v>
      </c>
      <c r="G204" s="9"/>
      <c r="H204" s="10"/>
      <c r="I204" s="11"/>
      <c r="J204" s="8">
        <f t="shared" si="15"/>
        <v>0</v>
      </c>
      <c r="K204" s="32">
        <v>44881</v>
      </c>
    </row>
    <row r="205" spans="2:11" x14ac:dyDescent="0.15">
      <c r="B205" s="4" t="s">
        <v>25</v>
      </c>
      <c r="C205" s="9"/>
      <c r="D205" s="10"/>
      <c r="E205" s="11">
        <v>1</v>
      </c>
      <c r="F205" s="8">
        <f t="shared" si="14"/>
        <v>1</v>
      </c>
      <c r="G205" s="9"/>
      <c r="H205" s="10"/>
      <c r="I205" s="11">
        <v>1</v>
      </c>
      <c r="J205" s="8">
        <f t="shared" si="15"/>
        <v>1</v>
      </c>
      <c r="K205" s="32">
        <v>44889</v>
      </c>
    </row>
    <row r="206" spans="2:11" x14ac:dyDescent="0.15">
      <c r="B206" s="4" t="s">
        <v>25</v>
      </c>
      <c r="C206" s="9"/>
      <c r="D206" s="10">
        <v>1</v>
      </c>
      <c r="E206" s="11"/>
      <c r="F206" s="8">
        <f t="shared" si="14"/>
        <v>1</v>
      </c>
      <c r="G206" s="9"/>
      <c r="H206" s="10">
        <v>1</v>
      </c>
      <c r="I206" s="11"/>
      <c r="J206" s="8">
        <f t="shared" si="15"/>
        <v>1</v>
      </c>
      <c r="K206" s="32">
        <v>44897</v>
      </c>
    </row>
    <row r="207" spans="2:11" x14ac:dyDescent="0.15">
      <c r="B207" s="4" t="s">
        <v>25</v>
      </c>
      <c r="C207" s="9">
        <v>1</v>
      </c>
      <c r="D207" s="10"/>
      <c r="E207" s="11"/>
      <c r="F207" s="8">
        <f t="shared" si="14"/>
        <v>1</v>
      </c>
      <c r="G207" s="9">
        <v>1</v>
      </c>
      <c r="H207" s="10"/>
      <c r="I207" s="11"/>
      <c r="J207" s="8">
        <f t="shared" si="15"/>
        <v>1</v>
      </c>
      <c r="K207" s="32">
        <v>44902</v>
      </c>
    </row>
    <row r="208" spans="2:11" x14ac:dyDescent="0.15">
      <c r="B208" s="4" t="s">
        <v>25</v>
      </c>
      <c r="C208" s="9">
        <v>1</v>
      </c>
      <c r="D208" s="10"/>
      <c r="E208" s="11"/>
      <c r="F208" s="8">
        <f t="shared" si="14"/>
        <v>1</v>
      </c>
      <c r="G208" s="9">
        <v>1</v>
      </c>
      <c r="H208" s="10"/>
      <c r="I208" s="11"/>
      <c r="J208" s="8">
        <f t="shared" si="15"/>
        <v>1</v>
      </c>
      <c r="K208" s="32">
        <v>44904</v>
      </c>
    </row>
    <row r="209" spans="2:12" x14ac:dyDescent="0.15">
      <c r="B209" s="4" t="s">
        <v>25</v>
      </c>
      <c r="C209" s="9">
        <v>1</v>
      </c>
      <c r="D209" s="10"/>
      <c r="E209" s="11"/>
      <c r="F209" s="8">
        <f t="shared" si="14"/>
        <v>1</v>
      </c>
      <c r="G209" s="9">
        <v>1</v>
      </c>
      <c r="H209" s="10"/>
      <c r="I209" s="11"/>
      <c r="J209" s="8">
        <f t="shared" si="15"/>
        <v>1</v>
      </c>
      <c r="K209" s="32">
        <v>44904</v>
      </c>
    </row>
    <row r="210" spans="2:12" x14ac:dyDescent="0.15">
      <c r="B210" s="4" t="s">
        <v>25</v>
      </c>
      <c r="C210" s="9">
        <v>1</v>
      </c>
      <c r="D210" s="10"/>
      <c r="E210" s="11">
        <v>1</v>
      </c>
      <c r="F210" s="8">
        <f t="shared" si="14"/>
        <v>2</v>
      </c>
      <c r="G210" s="9"/>
      <c r="H210" s="10"/>
      <c r="I210" s="11">
        <f>1+1</f>
        <v>2</v>
      </c>
      <c r="J210" s="8">
        <f t="shared" si="15"/>
        <v>2</v>
      </c>
      <c r="K210" s="32">
        <v>44914</v>
      </c>
    </row>
    <row r="211" spans="2:12" ht="14.25" thickBot="1" x14ac:dyDescent="0.2">
      <c r="B211" s="4" t="s">
        <v>25</v>
      </c>
      <c r="C211" s="9"/>
      <c r="D211" s="10"/>
      <c r="E211" s="11">
        <v>1</v>
      </c>
      <c r="F211" s="8">
        <f t="shared" si="14"/>
        <v>1</v>
      </c>
      <c r="G211" s="9"/>
      <c r="H211" s="10"/>
      <c r="I211" s="11">
        <v>1</v>
      </c>
      <c r="J211" s="8">
        <f t="shared" si="15"/>
        <v>1</v>
      </c>
      <c r="K211" s="32">
        <v>44921</v>
      </c>
    </row>
    <row r="212" spans="2:12" ht="14.25" thickBot="1" x14ac:dyDescent="0.2">
      <c r="B212" s="3" t="s">
        <v>5</v>
      </c>
      <c r="C212" s="15">
        <f>SUM(C188:C211)</f>
        <v>13</v>
      </c>
      <c r="D212" s="15">
        <f>SUM(D188:D211)</f>
        <v>12</v>
      </c>
      <c r="E212" s="15">
        <f>SUM(E188:E211)</f>
        <v>11</v>
      </c>
      <c r="F212" s="16">
        <f t="shared" si="14"/>
        <v>36</v>
      </c>
      <c r="G212" s="15">
        <f>SUM(G188:G211)</f>
        <v>10</v>
      </c>
      <c r="H212" s="15">
        <f>SUM(H188:H211)</f>
        <v>4</v>
      </c>
      <c r="I212" s="15">
        <f>SUM(I188:I211)</f>
        <v>7</v>
      </c>
      <c r="J212" s="16">
        <f t="shared" si="15"/>
        <v>21</v>
      </c>
    </row>
    <row r="213" spans="2:12" ht="14.25" thickBot="1" x14ac:dyDescent="0.2">
      <c r="B213" s="26" t="s">
        <v>6</v>
      </c>
      <c r="C213" s="27">
        <f t="shared" ref="C213:J213" si="16">C187-C212</f>
        <v>2</v>
      </c>
      <c r="D213" s="27">
        <f t="shared" si="16"/>
        <v>6</v>
      </c>
      <c r="E213" s="27">
        <f t="shared" si="16"/>
        <v>4</v>
      </c>
      <c r="F213" s="27">
        <f t="shared" si="16"/>
        <v>12</v>
      </c>
      <c r="G213" s="27">
        <f t="shared" si="16"/>
        <v>2</v>
      </c>
      <c r="H213" s="27">
        <f t="shared" si="16"/>
        <v>6</v>
      </c>
      <c r="I213" s="27">
        <f t="shared" si="16"/>
        <v>2</v>
      </c>
      <c r="J213" s="25">
        <f t="shared" si="16"/>
        <v>10</v>
      </c>
    </row>
    <row r="216" spans="2:12" ht="19.5" thickBot="1" x14ac:dyDescent="0.25">
      <c r="B216" s="33" t="s">
        <v>18</v>
      </c>
      <c r="C216" s="1"/>
      <c r="D216" s="1"/>
      <c r="E216" s="1"/>
      <c r="F216" s="1"/>
      <c r="G216" s="34"/>
      <c r="H216" s="34">
        <v>1400</v>
      </c>
      <c r="I216" s="34"/>
      <c r="J216" s="34"/>
    </row>
    <row r="217" spans="2:12" ht="14.25" thickBot="1" x14ac:dyDescent="0.2">
      <c r="B217" s="2" t="s">
        <v>0</v>
      </c>
      <c r="C217" s="84" t="s">
        <v>13</v>
      </c>
      <c r="D217" s="84"/>
      <c r="E217" s="84"/>
      <c r="F217" s="85"/>
      <c r="G217" s="84" t="s">
        <v>16</v>
      </c>
      <c r="H217" s="84"/>
      <c r="I217" s="84"/>
      <c r="J217" s="85"/>
    </row>
    <row r="218" spans="2:12" ht="14.25" thickBot="1" x14ac:dyDescent="0.2">
      <c r="B218" s="2" t="s">
        <v>1</v>
      </c>
      <c r="C218" s="3" t="s">
        <v>9</v>
      </c>
      <c r="D218" s="2" t="s">
        <v>10</v>
      </c>
      <c r="E218" s="19" t="s">
        <v>11</v>
      </c>
      <c r="F218" s="2" t="s">
        <v>2</v>
      </c>
      <c r="G218" s="3" t="s">
        <v>9</v>
      </c>
      <c r="H218" s="2" t="s">
        <v>10</v>
      </c>
      <c r="I218" s="19" t="s">
        <v>11</v>
      </c>
      <c r="J218" s="2" t="s">
        <v>2</v>
      </c>
    </row>
    <row r="219" spans="2:12" x14ac:dyDescent="0.15">
      <c r="B219" s="28" t="s">
        <v>12</v>
      </c>
      <c r="C219" s="39">
        <f>C213</f>
        <v>2</v>
      </c>
      <c r="D219" s="40">
        <f>D213</f>
        <v>6</v>
      </c>
      <c r="E219" s="41">
        <f>E213</f>
        <v>4</v>
      </c>
      <c r="F219" s="18">
        <f>SUM(C219:E219)</f>
        <v>12</v>
      </c>
      <c r="G219" s="39">
        <f>G213</f>
        <v>2</v>
      </c>
      <c r="H219" s="40">
        <f>H213</f>
        <v>6</v>
      </c>
      <c r="I219" s="41">
        <f>I213</f>
        <v>2</v>
      </c>
      <c r="J219" s="18">
        <f>SUM(G219:I219)</f>
        <v>10</v>
      </c>
    </row>
    <row r="220" spans="2:12" x14ac:dyDescent="0.15">
      <c r="B220" s="6" t="s">
        <v>3</v>
      </c>
      <c r="C220" s="37">
        <v>5</v>
      </c>
      <c r="D220" s="59"/>
      <c r="E220" s="37">
        <v>3</v>
      </c>
      <c r="F220" s="42">
        <f t="shared" ref="F220:F227" si="17">SUM(C220:E220)</f>
        <v>8</v>
      </c>
      <c r="G220" s="37">
        <v>6</v>
      </c>
      <c r="H220" s="59"/>
      <c r="I220" s="37">
        <v>4</v>
      </c>
      <c r="J220" s="5">
        <f t="shared" ref="J220:J227" si="18">SUM(G220:I220)</f>
        <v>10</v>
      </c>
      <c r="K220" s="30">
        <v>44944</v>
      </c>
    </row>
    <row r="221" spans="2:12" x14ac:dyDescent="0.15">
      <c r="B221" s="6" t="s">
        <v>3</v>
      </c>
      <c r="C221" s="37"/>
      <c r="D221" s="36">
        <v>5</v>
      </c>
      <c r="E221" s="37"/>
      <c r="F221" s="42">
        <f t="shared" ref="F221:F222" si="19">SUM(C221:E221)</f>
        <v>5</v>
      </c>
      <c r="G221" s="37"/>
      <c r="H221" s="36"/>
      <c r="I221" s="37"/>
      <c r="J221" s="5">
        <f t="shared" ref="J221:J222" si="20">SUM(G221:I221)</f>
        <v>0</v>
      </c>
      <c r="K221" s="30">
        <v>44992</v>
      </c>
    </row>
    <row r="222" spans="2:12" x14ac:dyDescent="0.15">
      <c r="B222" s="6" t="s">
        <v>3</v>
      </c>
      <c r="C222" s="37"/>
      <c r="D222" s="36">
        <v>2</v>
      </c>
      <c r="E222" s="37">
        <v>2</v>
      </c>
      <c r="F222" s="42">
        <f t="shared" si="19"/>
        <v>4</v>
      </c>
      <c r="G222" s="37" t="s">
        <v>34</v>
      </c>
      <c r="H222" s="36" t="s">
        <v>34</v>
      </c>
      <c r="I222" s="36" t="s">
        <v>34</v>
      </c>
      <c r="J222" s="5">
        <f t="shared" si="20"/>
        <v>0</v>
      </c>
      <c r="K222" s="30">
        <v>44995</v>
      </c>
    </row>
    <row r="223" spans="2:12" x14ac:dyDescent="0.15">
      <c r="B223" s="6" t="s">
        <v>3</v>
      </c>
      <c r="C223" s="37"/>
      <c r="D223" s="36">
        <v>2</v>
      </c>
      <c r="E223" s="37"/>
      <c r="F223" s="42">
        <f t="shared" si="17"/>
        <v>2</v>
      </c>
      <c r="G223" s="37"/>
      <c r="H223" s="36"/>
      <c r="I223" s="37"/>
      <c r="J223" s="5">
        <f t="shared" si="18"/>
        <v>0</v>
      </c>
      <c r="K223" s="30">
        <v>45041</v>
      </c>
    </row>
    <row r="224" spans="2:12" x14ac:dyDescent="0.15">
      <c r="B224" s="6" t="s">
        <v>3</v>
      </c>
      <c r="C224" s="37"/>
      <c r="D224" s="36"/>
      <c r="E224" s="37"/>
      <c r="F224" s="42">
        <f t="shared" si="17"/>
        <v>0</v>
      </c>
      <c r="G224" s="37">
        <v>3</v>
      </c>
      <c r="H224" s="36">
        <v>5</v>
      </c>
      <c r="I224" s="37"/>
      <c r="J224" s="5">
        <f t="shared" si="18"/>
        <v>8</v>
      </c>
      <c r="K224" s="30">
        <v>45057</v>
      </c>
      <c r="L224" s="31"/>
    </row>
    <row r="225" spans="1:12" x14ac:dyDescent="0.15">
      <c r="B225" s="6" t="s">
        <v>3</v>
      </c>
      <c r="C225" s="37">
        <v>3</v>
      </c>
      <c r="D225" s="36">
        <v>3</v>
      </c>
      <c r="E225" s="37"/>
      <c r="F225" s="42">
        <f t="shared" si="17"/>
        <v>6</v>
      </c>
      <c r="G225" s="37"/>
      <c r="H225" s="36">
        <v>3</v>
      </c>
      <c r="I225" s="37"/>
      <c r="J225" s="5">
        <f t="shared" si="18"/>
        <v>3</v>
      </c>
      <c r="K225" s="30">
        <v>45070</v>
      </c>
      <c r="L225" s="31"/>
    </row>
    <row r="226" spans="1:12" x14ac:dyDescent="0.15">
      <c r="A226" s="31"/>
      <c r="B226" s="6" t="s">
        <v>3</v>
      </c>
      <c r="C226" s="37"/>
      <c r="D226" s="36"/>
      <c r="E226" s="37">
        <v>3</v>
      </c>
      <c r="F226" s="42">
        <f t="shared" si="17"/>
        <v>3</v>
      </c>
      <c r="G226" s="37"/>
      <c r="H226" s="36"/>
      <c r="I226" s="37">
        <v>2</v>
      </c>
      <c r="J226" s="5">
        <f t="shared" si="18"/>
        <v>2</v>
      </c>
      <c r="K226" s="30">
        <v>45091</v>
      </c>
      <c r="L226" s="31"/>
    </row>
    <row r="227" spans="1:12" x14ac:dyDescent="0.15">
      <c r="B227" s="6" t="s">
        <v>3</v>
      </c>
      <c r="C227" s="37"/>
      <c r="D227" s="36">
        <v>2</v>
      </c>
      <c r="E227" s="37"/>
      <c r="F227" s="42">
        <f t="shared" si="17"/>
        <v>2</v>
      </c>
      <c r="G227" s="37"/>
      <c r="H227" s="36">
        <v>2</v>
      </c>
      <c r="I227" s="37"/>
      <c r="J227" s="5">
        <f t="shared" si="18"/>
        <v>2</v>
      </c>
      <c r="K227" s="30">
        <v>45104</v>
      </c>
      <c r="L227" s="43"/>
    </row>
    <row r="228" spans="1:12" x14ac:dyDescent="0.15">
      <c r="B228" s="6" t="s">
        <v>3</v>
      </c>
      <c r="C228" s="37"/>
      <c r="D228" s="36"/>
      <c r="E228" s="37"/>
      <c r="F228" s="42">
        <f t="shared" ref="F228:F255" si="21">SUM(C228:E228)</f>
        <v>0</v>
      </c>
      <c r="G228" s="37"/>
      <c r="H228" s="36"/>
      <c r="I228" s="37"/>
      <c r="J228" s="5">
        <f t="shared" ref="J228:J255" si="22">SUM(G228:I228)</f>
        <v>0</v>
      </c>
      <c r="K228" s="30"/>
    </row>
    <row r="229" spans="1:12" ht="14.25" thickBot="1" x14ac:dyDescent="0.2">
      <c r="B229" s="7" t="s">
        <v>3</v>
      </c>
      <c r="C229" s="44"/>
      <c r="D229" s="45"/>
      <c r="E229" s="44"/>
      <c r="F229" s="46">
        <f t="shared" si="21"/>
        <v>0</v>
      </c>
      <c r="G229" s="44"/>
      <c r="H229" s="45"/>
      <c r="I229" s="44"/>
      <c r="J229" s="20">
        <f t="shared" si="22"/>
        <v>0</v>
      </c>
    </row>
    <row r="230" spans="1:12" ht="14.25" thickBot="1" x14ac:dyDescent="0.2">
      <c r="B230" s="22" t="s">
        <v>4</v>
      </c>
      <c r="C230" s="23">
        <f>SUM(C219:C229)</f>
        <v>10</v>
      </c>
      <c r="D230" s="23">
        <f>SUM(D219:D229)</f>
        <v>20</v>
      </c>
      <c r="E230" s="24">
        <f>SUM(E219:E229)</f>
        <v>12</v>
      </c>
      <c r="F230" s="25">
        <f t="shared" si="21"/>
        <v>42</v>
      </c>
      <c r="G230" s="23">
        <f>SUM(G219:G229)</f>
        <v>11</v>
      </c>
      <c r="H230" s="23">
        <f>SUM(H219:H229)</f>
        <v>16</v>
      </c>
      <c r="I230" s="24">
        <f>SUM(I219:I229)</f>
        <v>8</v>
      </c>
      <c r="J230" s="25">
        <f t="shared" si="22"/>
        <v>35</v>
      </c>
    </row>
    <row r="231" spans="1:12" x14ac:dyDescent="0.15">
      <c r="B231" s="4" t="s">
        <v>25</v>
      </c>
      <c r="C231" s="9"/>
      <c r="D231" s="10">
        <v>1</v>
      </c>
      <c r="E231" s="11">
        <v>1</v>
      </c>
      <c r="F231" s="5">
        <f t="shared" si="21"/>
        <v>2</v>
      </c>
      <c r="G231" s="9"/>
      <c r="H231" s="10"/>
      <c r="I231" s="11">
        <v>1</v>
      </c>
      <c r="J231" s="5">
        <f t="shared" si="22"/>
        <v>1</v>
      </c>
      <c r="K231" s="32">
        <v>44931</v>
      </c>
    </row>
    <row r="232" spans="1:12" x14ac:dyDescent="0.15">
      <c r="B232" s="4" t="s">
        <v>25</v>
      </c>
      <c r="C232" s="9">
        <v>1</v>
      </c>
      <c r="D232" s="10">
        <v>2</v>
      </c>
      <c r="E232" s="11"/>
      <c r="F232" s="5">
        <f t="shared" si="21"/>
        <v>3</v>
      </c>
      <c r="G232" s="9">
        <v>1</v>
      </c>
      <c r="H232" s="10">
        <v>2</v>
      </c>
      <c r="I232" s="11"/>
      <c r="J232" s="5">
        <f t="shared" si="22"/>
        <v>3</v>
      </c>
      <c r="K232" s="32">
        <v>44936</v>
      </c>
    </row>
    <row r="233" spans="1:12" x14ac:dyDescent="0.15">
      <c r="B233" s="4" t="s">
        <v>25</v>
      </c>
      <c r="C233" s="9"/>
      <c r="D233" s="10">
        <v>1</v>
      </c>
      <c r="E233" s="11"/>
      <c r="F233" s="5">
        <f t="shared" si="21"/>
        <v>1</v>
      </c>
      <c r="G233" s="9"/>
      <c r="H233" s="10"/>
      <c r="I233" s="11"/>
      <c r="J233" s="5">
        <f t="shared" si="22"/>
        <v>0</v>
      </c>
      <c r="K233" s="32">
        <v>44943</v>
      </c>
    </row>
    <row r="234" spans="1:12" x14ac:dyDescent="0.15">
      <c r="B234" s="4" t="s">
        <v>25</v>
      </c>
      <c r="C234" s="9">
        <v>1</v>
      </c>
      <c r="D234" s="10"/>
      <c r="E234" s="11"/>
      <c r="F234" s="5">
        <f t="shared" si="21"/>
        <v>1</v>
      </c>
      <c r="G234" s="9">
        <v>1</v>
      </c>
      <c r="H234" s="10"/>
      <c r="I234" s="11"/>
      <c r="J234" s="5">
        <f t="shared" si="22"/>
        <v>1</v>
      </c>
      <c r="K234" s="32">
        <v>44944</v>
      </c>
    </row>
    <row r="235" spans="1:12" x14ac:dyDescent="0.15">
      <c r="B235" s="4" t="s">
        <v>25</v>
      </c>
      <c r="C235" s="9"/>
      <c r="D235" s="10">
        <v>1</v>
      </c>
      <c r="E235" s="11"/>
      <c r="F235" s="5">
        <f t="shared" si="21"/>
        <v>1</v>
      </c>
      <c r="G235" s="9"/>
      <c r="H235" s="10"/>
      <c r="I235" s="11"/>
      <c r="J235" s="5">
        <f t="shared" si="22"/>
        <v>0</v>
      </c>
      <c r="K235" s="32">
        <v>44947</v>
      </c>
    </row>
    <row r="236" spans="1:12" x14ac:dyDescent="0.15">
      <c r="B236" s="4" t="s">
        <v>25</v>
      </c>
      <c r="C236" s="9"/>
      <c r="D236" s="10">
        <v>1</v>
      </c>
      <c r="E236" s="11">
        <v>1</v>
      </c>
      <c r="F236" s="8">
        <f t="shared" si="21"/>
        <v>2</v>
      </c>
      <c r="G236" s="9"/>
      <c r="H236" s="10">
        <v>1</v>
      </c>
      <c r="I236" s="11">
        <v>1</v>
      </c>
      <c r="J236" s="8">
        <f t="shared" si="22"/>
        <v>2</v>
      </c>
      <c r="K236" s="32">
        <v>44953</v>
      </c>
    </row>
    <row r="237" spans="1:12" x14ac:dyDescent="0.15">
      <c r="B237" s="4"/>
      <c r="C237" s="56"/>
      <c r="D237" s="54">
        <v>-1</v>
      </c>
      <c r="E237" s="55"/>
      <c r="F237" s="57">
        <f t="shared" si="21"/>
        <v>-1</v>
      </c>
      <c r="G237" s="56"/>
      <c r="H237" s="54">
        <v>1</v>
      </c>
      <c r="I237" s="55"/>
      <c r="J237" s="57">
        <f t="shared" si="22"/>
        <v>1</v>
      </c>
      <c r="K237" s="58"/>
    </row>
    <row r="238" spans="1:12" x14ac:dyDescent="0.15">
      <c r="B238" s="4" t="s">
        <v>32</v>
      </c>
      <c r="C238" s="9">
        <v>-1</v>
      </c>
      <c r="D238" s="10"/>
      <c r="E238" s="11"/>
      <c r="F238" s="8">
        <f t="shared" si="21"/>
        <v>-1</v>
      </c>
      <c r="G238" s="9"/>
      <c r="H238" s="10"/>
      <c r="I238" s="11"/>
      <c r="J238" s="8">
        <f t="shared" si="22"/>
        <v>0</v>
      </c>
      <c r="K238" s="32">
        <v>44956</v>
      </c>
    </row>
    <row r="239" spans="1:12" x14ac:dyDescent="0.15">
      <c r="B239" s="21" t="s">
        <v>33</v>
      </c>
      <c r="C239" s="56"/>
      <c r="D239" s="54">
        <v>2</v>
      </c>
      <c r="E239" s="55"/>
      <c r="F239" s="57">
        <f t="shared" si="21"/>
        <v>2</v>
      </c>
      <c r="G239" s="56"/>
      <c r="H239" s="54"/>
      <c r="I239" s="55"/>
      <c r="J239" s="57">
        <f t="shared" si="22"/>
        <v>0</v>
      </c>
      <c r="K239" s="58"/>
    </row>
    <row r="240" spans="1:12" x14ac:dyDescent="0.15">
      <c r="B240" s="4" t="s">
        <v>25</v>
      </c>
      <c r="C240" s="9"/>
      <c r="D240" s="10"/>
      <c r="E240" s="11"/>
      <c r="F240" s="8">
        <f t="shared" si="21"/>
        <v>0</v>
      </c>
      <c r="G240" s="9">
        <v>1</v>
      </c>
      <c r="H240" s="10">
        <v>1</v>
      </c>
      <c r="I240" s="11"/>
      <c r="J240" s="8">
        <f t="shared" si="22"/>
        <v>2</v>
      </c>
      <c r="K240" s="32">
        <v>44978</v>
      </c>
    </row>
    <row r="241" spans="2:11" x14ac:dyDescent="0.15">
      <c r="B241" s="4" t="s">
        <v>25</v>
      </c>
      <c r="C241" s="9">
        <v>1</v>
      </c>
      <c r="D241" s="10"/>
      <c r="E241" s="11"/>
      <c r="F241" s="8">
        <f t="shared" si="21"/>
        <v>1</v>
      </c>
      <c r="G241" s="9">
        <v>1</v>
      </c>
      <c r="H241" s="10"/>
      <c r="I241" s="11"/>
      <c r="J241" s="8">
        <f t="shared" si="22"/>
        <v>1</v>
      </c>
      <c r="K241" s="32">
        <v>44984</v>
      </c>
    </row>
    <row r="242" spans="2:11" x14ac:dyDescent="0.15">
      <c r="B242" s="4" t="s">
        <v>25</v>
      </c>
      <c r="C242" s="9"/>
      <c r="D242" s="10"/>
      <c r="E242" s="11">
        <v>1</v>
      </c>
      <c r="F242" s="8">
        <f t="shared" si="21"/>
        <v>1</v>
      </c>
      <c r="G242" s="9"/>
      <c r="H242" s="10"/>
      <c r="I242" s="11"/>
      <c r="J242" s="8">
        <f t="shared" si="22"/>
        <v>0</v>
      </c>
      <c r="K242" s="32">
        <v>44991</v>
      </c>
    </row>
    <row r="243" spans="2:11" x14ac:dyDescent="0.15">
      <c r="B243" s="4" t="s">
        <v>25</v>
      </c>
      <c r="C243" s="9"/>
      <c r="D243" s="10">
        <v>1</v>
      </c>
      <c r="E243" s="11">
        <v>1</v>
      </c>
      <c r="F243" s="8">
        <f t="shared" si="21"/>
        <v>2</v>
      </c>
      <c r="G243" s="9"/>
      <c r="H243" s="10"/>
      <c r="I243" s="11"/>
      <c r="J243" s="8">
        <f t="shared" si="22"/>
        <v>0</v>
      </c>
      <c r="K243" s="32">
        <v>44964</v>
      </c>
    </row>
    <row r="244" spans="2:11" x14ac:dyDescent="0.15">
      <c r="B244" s="4" t="s">
        <v>25</v>
      </c>
      <c r="C244" s="9">
        <v>1</v>
      </c>
      <c r="D244" s="10"/>
      <c r="E244" s="11"/>
      <c r="F244" s="8">
        <f t="shared" si="21"/>
        <v>1</v>
      </c>
      <c r="G244" s="9">
        <v>1</v>
      </c>
      <c r="H244" s="10"/>
      <c r="I244" s="11"/>
      <c r="J244" s="8">
        <f t="shared" si="22"/>
        <v>1</v>
      </c>
      <c r="K244" s="32">
        <v>45030</v>
      </c>
    </row>
    <row r="245" spans="2:11" x14ac:dyDescent="0.15">
      <c r="B245" s="4" t="s">
        <v>25</v>
      </c>
      <c r="C245" s="9"/>
      <c r="D245" s="10">
        <v>1</v>
      </c>
      <c r="E245" s="11"/>
      <c r="F245" s="8">
        <f t="shared" si="21"/>
        <v>1</v>
      </c>
      <c r="G245" s="9"/>
      <c r="H245" s="10">
        <v>1</v>
      </c>
      <c r="I245" s="11"/>
      <c r="J245" s="8">
        <f t="shared" si="22"/>
        <v>1</v>
      </c>
      <c r="K245" s="32">
        <v>45036</v>
      </c>
    </row>
    <row r="246" spans="2:11" x14ac:dyDescent="0.15">
      <c r="B246" s="4" t="s">
        <v>25</v>
      </c>
      <c r="C246" s="9"/>
      <c r="D246" s="10"/>
      <c r="E246" s="11">
        <v>1</v>
      </c>
      <c r="F246" s="8">
        <f t="shared" si="21"/>
        <v>1</v>
      </c>
      <c r="G246" s="9"/>
      <c r="H246" s="10"/>
      <c r="I246" s="11">
        <v>1</v>
      </c>
      <c r="J246" s="8">
        <f t="shared" si="22"/>
        <v>1</v>
      </c>
      <c r="K246" s="32">
        <v>45048</v>
      </c>
    </row>
    <row r="247" spans="2:11" x14ac:dyDescent="0.15">
      <c r="B247" s="4" t="s">
        <v>25</v>
      </c>
      <c r="C247" s="9">
        <v>1</v>
      </c>
      <c r="D247" s="10"/>
      <c r="E247" s="11"/>
      <c r="F247" s="8">
        <f t="shared" si="21"/>
        <v>1</v>
      </c>
      <c r="G247" s="9">
        <v>1</v>
      </c>
      <c r="H247" s="10"/>
      <c r="I247" s="11"/>
      <c r="J247" s="8">
        <f t="shared" si="22"/>
        <v>1</v>
      </c>
      <c r="K247" s="32">
        <v>45057</v>
      </c>
    </row>
    <row r="248" spans="2:11" x14ac:dyDescent="0.15">
      <c r="B248" s="4" t="s">
        <v>25</v>
      </c>
      <c r="C248" s="9"/>
      <c r="D248" s="10">
        <v>2</v>
      </c>
      <c r="E248" s="11"/>
      <c r="F248" s="8">
        <f t="shared" si="21"/>
        <v>2</v>
      </c>
      <c r="G248" s="9"/>
      <c r="H248" s="10">
        <v>2</v>
      </c>
      <c r="I248" s="11"/>
      <c r="J248" s="8">
        <f t="shared" si="22"/>
        <v>2</v>
      </c>
      <c r="K248" s="32">
        <v>45061</v>
      </c>
    </row>
    <row r="249" spans="2:11" x14ac:dyDescent="0.15">
      <c r="B249" s="4" t="s">
        <v>25</v>
      </c>
      <c r="C249" s="9"/>
      <c r="D249" s="10"/>
      <c r="E249" s="11">
        <v>2</v>
      </c>
      <c r="F249" s="8">
        <f t="shared" si="21"/>
        <v>2</v>
      </c>
      <c r="G249" s="9"/>
      <c r="H249" s="10"/>
      <c r="I249" s="11">
        <v>2</v>
      </c>
      <c r="J249" s="8">
        <f t="shared" si="22"/>
        <v>2</v>
      </c>
      <c r="K249" s="32">
        <v>45078</v>
      </c>
    </row>
    <row r="250" spans="2:11" x14ac:dyDescent="0.15">
      <c r="B250" s="4" t="s">
        <v>25</v>
      </c>
      <c r="C250" s="9"/>
      <c r="D250" s="10">
        <v>1</v>
      </c>
      <c r="E250" s="11"/>
      <c r="F250" s="8">
        <f t="shared" si="21"/>
        <v>1</v>
      </c>
      <c r="G250" s="9"/>
      <c r="H250" s="10"/>
      <c r="I250" s="11"/>
      <c r="J250" s="8">
        <f t="shared" si="22"/>
        <v>0</v>
      </c>
      <c r="K250" s="32">
        <v>45082</v>
      </c>
    </row>
    <row r="251" spans="2:11" x14ac:dyDescent="0.15">
      <c r="B251" s="4" t="s">
        <v>25</v>
      </c>
      <c r="C251" s="9"/>
      <c r="D251" s="10">
        <v>1</v>
      </c>
      <c r="E251" s="11"/>
      <c r="F251" s="8">
        <f t="shared" si="21"/>
        <v>1</v>
      </c>
      <c r="G251" s="9"/>
      <c r="H251" s="10">
        <v>1</v>
      </c>
      <c r="I251" s="11"/>
      <c r="J251" s="8">
        <f t="shared" si="22"/>
        <v>1</v>
      </c>
      <c r="K251" s="32">
        <v>45083</v>
      </c>
    </row>
    <row r="252" spans="2:11" x14ac:dyDescent="0.15">
      <c r="B252" s="4" t="s">
        <v>25</v>
      </c>
      <c r="C252" s="9"/>
      <c r="D252" s="10"/>
      <c r="E252" s="11">
        <v>2</v>
      </c>
      <c r="F252" s="8">
        <f t="shared" si="21"/>
        <v>2</v>
      </c>
      <c r="G252" s="9"/>
      <c r="H252" s="10"/>
      <c r="I252" s="11"/>
      <c r="J252" s="8">
        <f t="shared" si="22"/>
        <v>0</v>
      </c>
      <c r="K252" s="32">
        <v>45085</v>
      </c>
    </row>
    <row r="253" spans="2:11" x14ac:dyDescent="0.15">
      <c r="B253" s="4" t="s">
        <v>25</v>
      </c>
      <c r="C253" s="9">
        <v>1</v>
      </c>
      <c r="D253" s="10"/>
      <c r="E253" s="11"/>
      <c r="F253" s="8">
        <f t="shared" si="21"/>
        <v>1</v>
      </c>
      <c r="G253" s="9"/>
      <c r="H253" s="10">
        <v>2</v>
      </c>
      <c r="I253" s="11"/>
      <c r="J253" s="8">
        <f t="shared" si="22"/>
        <v>2</v>
      </c>
      <c r="K253" s="32">
        <v>45086</v>
      </c>
    </row>
    <row r="254" spans="2:11" ht="14.25" thickBot="1" x14ac:dyDescent="0.2">
      <c r="B254" s="4" t="s">
        <v>25</v>
      </c>
      <c r="C254" s="9">
        <v>1</v>
      </c>
      <c r="D254" s="10"/>
      <c r="E254" s="11"/>
      <c r="F254" s="8">
        <f t="shared" si="21"/>
        <v>1</v>
      </c>
      <c r="G254" s="9">
        <v>1</v>
      </c>
      <c r="H254" s="10"/>
      <c r="I254" s="11"/>
      <c r="J254" s="8">
        <f t="shared" si="22"/>
        <v>1</v>
      </c>
      <c r="K254" s="32">
        <v>45106</v>
      </c>
    </row>
    <row r="255" spans="2:11" ht="14.25" thickBot="1" x14ac:dyDescent="0.2">
      <c r="B255" s="3" t="s">
        <v>5</v>
      </c>
      <c r="C255" s="15">
        <f>SUM(C231:C254)</f>
        <v>6</v>
      </c>
      <c r="D255" s="15">
        <f>SUM(D231:D254)</f>
        <v>13</v>
      </c>
      <c r="E255" s="15">
        <f>SUM(E231:E254)</f>
        <v>9</v>
      </c>
      <c r="F255" s="16">
        <f t="shared" si="21"/>
        <v>28</v>
      </c>
      <c r="G255" s="15">
        <f>SUM(G231:G254)</f>
        <v>7</v>
      </c>
      <c r="H255" s="15">
        <f>SUM(H231:H254)</f>
        <v>11</v>
      </c>
      <c r="I255" s="15">
        <f>SUM(I231:I254)</f>
        <v>5</v>
      </c>
      <c r="J255" s="16">
        <f t="shared" si="22"/>
        <v>23</v>
      </c>
    </row>
    <row r="256" spans="2:11" ht="14.25" thickBot="1" x14ac:dyDescent="0.2">
      <c r="B256" s="26" t="s">
        <v>6</v>
      </c>
      <c r="C256" s="27">
        <f t="shared" ref="C256:J256" si="23">C230-C255</f>
        <v>4</v>
      </c>
      <c r="D256" s="27">
        <f t="shared" si="23"/>
        <v>7</v>
      </c>
      <c r="E256" s="27">
        <f t="shared" si="23"/>
        <v>3</v>
      </c>
      <c r="F256" s="27">
        <f t="shared" si="23"/>
        <v>14</v>
      </c>
      <c r="G256" s="27">
        <f t="shared" si="23"/>
        <v>4</v>
      </c>
      <c r="H256" s="27">
        <f t="shared" si="23"/>
        <v>5</v>
      </c>
      <c r="I256" s="27">
        <f t="shared" si="23"/>
        <v>3</v>
      </c>
      <c r="J256" s="25">
        <f t="shared" si="23"/>
        <v>12</v>
      </c>
    </row>
    <row r="259" spans="1:12" ht="19.5" thickBot="1" x14ac:dyDescent="0.25">
      <c r="B259" s="33" t="s">
        <v>18</v>
      </c>
      <c r="C259" s="1"/>
      <c r="D259" s="1"/>
      <c r="E259" s="1"/>
      <c r="F259" s="1"/>
      <c r="G259" s="34"/>
      <c r="H259" s="34">
        <v>1400</v>
      </c>
      <c r="I259" s="34"/>
      <c r="J259" s="34"/>
    </row>
    <row r="260" spans="1:12" ht="14.25" thickBot="1" x14ac:dyDescent="0.2">
      <c r="B260" s="2" t="s">
        <v>0</v>
      </c>
      <c r="C260" s="80" t="s">
        <v>13</v>
      </c>
      <c r="D260" s="80"/>
      <c r="E260" s="80"/>
      <c r="F260" s="81"/>
      <c r="G260" s="82" t="s">
        <v>16</v>
      </c>
      <c r="H260" s="82"/>
      <c r="I260" s="82"/>
      <c r="J260" s="83"/>
    </row>
    <row r="261" spans="1:12" ht="14.25" thickBot="1" x14ac:dyDescent="0.2">
      <c r="B261" s="2" t="s">
        <v>1</v>
      </c>
      <c r="C261" s="3" t="s">
        <v>9</v>
      </c>
      <c r="D261" s="2" t="s">
        <v>10</v>
      </c>
      <c r="E261" s="19" t="s">
        <v>11</v>
      </c>
      <c r="F261" s="2" t="s">
        <v>2</v>
      </c>
      <c r="G261" s="3" t="s">
        <v>9</v>
      </c>
      <c r="H261" s="2" t="s">
        <v>10</v>
      </c>
      <c r="I261" s="19" t="s">
        <v>11</v>
      </c>
      <c r="J261" s="2" t="s">
        <v>2</v>
      </c>
    </row>
    <row r="262" spans="1:12" x14ac:dyDescent="0.15">
      <c r="B262" s="28" t="s">
        <v>12</v>
      </c>
      <c r="C262" s="41">
        <f>C256</f>
        <v>4</v>
      </c>
      <c r="D262" s="40">
        <f>D256</f>
        <v>7</v>
      </c>
      <c r="E262" s="41">
        <f>E256</f>
        <v>3</v>
      </c>
      <c r="F262" s="62">
        <f t="shared" ref="F262:F269" si="24">SUM(C262:E262)</f>
        <v>14</v>
      </c>
      <c r="G262" s="41">
        <f>G256</f>
        <v>4</v>
      </c>
      <c r="H262" s="40">
        <f>H256</f>
        <v>5</v>
      </c>
      <c r="I262" s="41">
        <f>I256</f>
        <v>3</v>
      </c>
      <c r="J262" s="18">
        <f t="shared" ref="J262:J269" si="25">SUM(G262:I262)</f>
        <v>12</v>
      </c>
      <c r="K262" s="30"/>
    </row>
    <row r="263" spans="1:12" x14ac:dyDescent="0.15">
      <c r="B263" s="6" t="s">
        <v>3</v>
      </c>
      <c r="C263" s="37">
        <v>5</v>
      </c>
      <c r="D263" s="36"/>
      <c r="E263" s="37"/>
      <c r="F263" s="42">
        <f t="shared" si="24"/>
        <v>5</v>
      </c>
      <c r="G263" s="37">
        <v>5</v>
      </c>
      <c r="H263" s="36"/>
      <c r="I263" s="37"/>
      <c r="J263" s="5">
        <f t="shared" si="25"/>
        <v>5</v>
      </c>
      <c r="K263" s="30">
        <v>45126</v>
      </c>
    </row>
    <row r="264" spans="1:12" x14ac:dyDescent="0.15">
      <c r="B264" s="6" t="s">
        <v>28</v>
      </c>
      <c r="C264" s="37">
        <v>-1</v>
      </c>
      <c r="D264" s="36"/>
      <c r="E264" s="37"/>
      <c r="F264" s="42">
        <f t="shared" si="24"/>
        <v>-1</v>
      </c>
      <c r="G264" s="37">
        <v>-1</v>
      </c>
      <c r="H264" s="36"/>
      <c r="I264" s="37"/>
      <c r="J264" s="5">
        <f t="shared" si="25"/>
        <v>-1</v>
      </c>
      <c r="K264" s="30">
        <v>45142</v>
      </c>
    </row>
    <row r="265" spans="1:12" x14ac:dyDescent="0.15">
      <c r="B265" s="6" t="s">
        <v>3</v>
      </c>
      <c r="C265" s="37"/>
      <c r="D265" s="36"/>
      <c r="E265" s="37">
        <v>2</v>
      </c>
      <c r="F265" s="42">
        <f t="shared" si="24"/>
        <v>2</v>
      </c>
      <c r="G265" s="37"/>
      <c r="H265" s="36"/>
      <c r="I265" s="37">
        <v>2</v>
      </c>
      <c r="J265" s="5">
        <f t="shared" si="25"/>
        <v>2</v>
      </c>
      <c r="K265" s="30">
        <v>45166</v>
      </c>
      <c r="L265" s="31"/>
    </row>
    <row r="266" spans="1:12" x14ac:dyDescent="0.15">
      <c r="B266" s="6" t="s">
        <v>3</v>
      </c>
      <c r="C266" s="37">
        <v>3</v>
      </c>
      <c r="D266" s="36"/>
      <c r="E266" s="37"/>
      <c r="F266" s="42">
        <f t="shared" si="24"/>
        <v>3</v>
      </c>
      <c r="G266" s="37">
        <v>4</v>
      </c>
      <c r="H266" s="36"/>
      <c r="I266" s="37"/>
      <c r="J266" s="5">
        <f t="shared" si="25"/>
        <v>4</v>
      </c>
      <c r="K266" s="30">
        <v>45175</v>
      </c>
    </row>
    <row r="267" spans="1:12" x14ac:dyDescent="0.15">
      <c r="B267" s="6" t="s">
        <v>3</v>
      </c>
      <c r="C267" s="37"/>
      <c r="D267" s="36"/>
      <c r="E267" s="37"/>
      <c r="F267" s="42">
        <f t="shared" si="24"/>
        <v>0</v>
      </c>
      <c r="G267" s="37"/>
      <c r="H267" s="36"/>
      <c r="I267" s="37">
        <v>1</v>
      </c>
      <c r="J267" s="5">
        <f t="shared" si="25"/>
        <v>1</v>
      </c>
      <c r="K267" s="30">
        <v>45176</v>
      </c>
      <c r="L267" s="31"/>
    </row>
    <row r="268" spans="1:12" x14ac:dyDescent="0.15">
      <c r="B268" s="6" t="s">
        <v>41</v>
      </c>
      <c r="C268" s="37"/>
      <c r="D268" s="36"/>
      <c r="E268" s="37">
        <v>1</v>
      </c>
      <c r="F268" s="42">
        <f t="shared" si="24"/>
        <v>1</v>
      </c>
      <c r="G268" s="37"/>
      <c r="H268" s="36"/>
      <c r="I268" s="37">
        <v>1</v>
      </c>
      <c r="J268" s="5">
        <f t="shared" si="25"/>
        <v>1</v>
      </c>
      <c r="K268" s="30">
        <v>45202</v>
      </c>
      <c r="L268" s="31"/>
    </row>
    <row r="269" spans="1:12" x14ac:dyDescent="0.15">
      <c r="A269" s="31"/>
      <c r="B269" s="6" t="s">
        <v>3</v>
      </c>
      <c r="C269" s="37"/>
      <c r="D269" s="36"/>
      <c r="E269" s="37"/>
      <c r="F269" s="42">
        <f t="shared" si="24"/>
        <v>0</v>
      </c>
      <c r="G269" s="37"/>
      <c r="H269" s="36">
        <v>5</v>
      </c>
      <c r="I269" s="37"/>
      <c r="J269" s="5">
        <f t="shared" si="25"/>
        <v>5</v>
      </c>
      <c r="K269" s="30">
        <v>45210</v>
      </c>
      <c r="L269" s="31"/>
    </row>
    <row r="270" spans="1:12" x14ac:dyDescent="0.15">
      <c r="B270" s="6" t="s">
        <v>3</v>
      </c>
      <c r="C270" s="37"/>
      <c r="D270" s="36"/>
      <c r="E270" s="37">
        <v>2</v>
      </c>
      <c r="F270" s="42">
        <f t="shared" ref="F270:F298" si="26">SUM(C270:E270)</f>
        <v>2</v>
      </c>
      <c r="G270" s="37"/>
      <c r="H270" s="36"/>
      <c r="I270" s="37">
        <v>2</v>
      </c>
      <c r="J270" s="5">
        <f t="shared" ref="J270:J298" si="27">SUM(G270:I270)</f>
        <v>2</v>
      </c>
      <c r="K270" s="30">
        <v>45231</v>
      </c>
    </row>
    <row r="271" spans="1:12" x14ac:dyDescent="0.15">
      <c r="B271" s="6" t="s">
        <v>3</v>
      </c>
      <c r="C271" s="37"/>
      <c r="D271" s="36"/>
      <c r="E271" s="37">
        <v>2</v>
      </c>
      <c r="F271" s="42">
        <f t="shared" si="26"/>
        <v>2</v>
      </c>
      <c r="G271" s="37"/>
      <c r="H271" s="36"/>
      <c r="I271" s="37">
        <v>2</v>
      </c>
      <c r="J271" s="5">
        <f t="shared" si="27"/>
        <v>2</v>
      </c>
      <c r="K271" s="30">
        <v>45237</v>
      </c>
    </row>
    <row r="272" spans="1:12" ht="14.25" thickBot="1" x14ac:dyDescent="0.2">
      <c r="B272" s="7" t="s">
        <v>3</v>
      </c>
      <c r="C272" s="44"/>
      <c r="D272" s="45">
        <v>2</v>
      </c>
      <c r="E272" s="44">
        <v>2</v>
      </c>
      <c r="F272" s="46">
        <f t="shared" si="26"/>
        <v>4</v>
      </c>
      <c r="G272" s="44"/>
      <c r="H272" s="45">
        <v>3</v>
      </c>
      <c r="I272" s="44">
        <v>2</v>
      </c>
      <c r="J272" s="20">
        <f t="shared" si="27"/>
        <v>5</v>
      </c>
      <c r="K272" s="30">
        <v>45314</v>
      </c>
    </row>
    <row r="273" spans="2:11" ht="14.25" thickBot="1" x14ac:dyDescent="0.2">
      <c r="B273" s="22" t="s">
        <v>4</v>
      </c>
      <c r="C273" s="23">
        <f>SUM(C262:C272)</f>
        <v>11</v>
      </c>
      <c r="D273" s="23">
        <f>SUM(D262:D272)</f>
        <v>9</v>
      </c>
      <c r="E273" s="24">
        <f>SUM(E262:E272)</f>
        <v>12</v>
      </c>
      <c r="F273" s="25">
        <f t="shared" si="26"/>
        <v>32</v>
      </c>
      <c r="G273" s="23">
        <f>SUM(G262:G272)</f>
        <v>12</v>
      </c>
      <c r="H273" s="23">
        <f>SUM(H262:H272)</f>
        <v>13</v>
      </c>
      <c r="I273" s="24">
        <f>SUM(I262:I272)</f>
        <v>13</v>
      </c>
      <c r="J273" s="25">
        <f t="shared" si="27"/>
        <v>38</v>
      </c>
    </row>
    <row r="274" spans="2:11" x14ac:dyDescent="0.15">
      <c r="B274" s="4" t="s">
        <v>25</v>
      </c>
      <c r="C274" s="9"/>
      <c r="D274" s="10"/>
      <c r="E274" s="11"/>
      <c r="F274" s="8">
        <f t="shared" ref="F274:F295" si="28">SUM(C274:E274)</f>
        <v>0</v>
      </c>
      <c r="G274" s="9"/>
      <c r="H274" s="10">
        <v>1</v>
      </c>
      <c r="I274" s="11"/>
      <c r="J274" s="8">
        <f t="shared" ref="J274:J295" si="29">SUM(G274:I274)</f>
        <v>1</v>
      </c>
      <c r="K274" s="32">
        <v>45110</v>
      </c>
    </row>
    <row r="275" spans="2:11" x14ac:dyDescent="0.15">
      <c r="B275" s="4" t="s">
        <v>25</v>
      </c>
      <c r="C275" s="9"/>
      <c r="D275" s="10">
        <v>1</v>
      </c>
      <c r="E275" s="11"/>
      <c r="F275" s="8">
        <f t="shared" si="28"/>
        <v>1</v>
      </c>
      <c r="G275" s="9"/>
      <c r="H275" s="10">
        <v>1</v>
      </c>
      <c r="I275" s="11"/>
      <c r="J275" s="8">
        <f t="shared" si="29"/>
        <v>1</v>
      </c>
      <c r="K275" s="32">
        <v>45111</v>
      </c>
    </row>
    <row r="276" spans="2:11" x14ac:dyDescent="0.15">
      <c r="B276" s="4" t="s">
        <v>25</v>
      </c>
      <c r="C276" s="9">
        <v>3</v>
      </c>
      <c r="D276" s="10"/>
      <c r="E276" s="11"/>
      <c r="F276" s="8">
        <f t="shared" si="28"/>
        <v>3</v>
      </c>
      <c r="G276" s="9">
        <v>3</v>
      </c>
      <c r="H276" s="10"/>
      <c r="I276" s="11"/>
      <c r="J276" s="8">
        <f t="shared" si="29"/>
        <v>3</v>
      </c>
      <c r="K276" s="32">
        <v>45117</v>
      </c>
    </row>
    <row r="277" spans="2:11" x14ac:dyDescent="0.15">
      <c r="B277" s="4" t="s">
        <v>25</v>
      </c>
      <c r="C277" s="9"/>
      <c r="D277" s="10"/>
      <c r="E277" s="11">
        <v>1</v>
      </c>
      <c r="F277" s="8">
        <f t="shared" si="28"/>
        <v>1</v>
      </c>
      <c r="G277" s="9"/>
      <c r="H277" s="10"/>
      <c r="I277" s="11">
        <f>1+2</f>
        <v>3</v>
      </c>
      <c r="J277" s="8">
        <f t="shared" si="29"/>
        <v>3</v>
      </c>
      <c r="K277" s="32">
        <v>45125</v>
      </c>
    </row>
    <row r="278" spans="2:11" x14ac:dyDescent="0.15">
      <c r="B278" s="4" t="s">
        <v>25</v>
      </c>
      <c r="C278" s="9"/>
      <c r="D278" s="10"/>
      <c r="E278" s="11">
        <v>1</v>
      </c>
      <c r="F278" s="8">
        <f t="shared" si="28"/>
        <v>1</v>
      </c>
      <c r="G278" s="9"/>
      <c r="H278" s="10"/>
      <c r="I278" s="11"/>
      <c r="J278" s="8">
        <f t="shared" si="29"/>
        <v>0</v>
      </c>
      <c r="K278" s="32">
        <v>45131</v>
      </c>
    </row>
    <row r="279" spans="2:11" x14ac:dyDescent="0.15">
      <c r="B279" s="4" t="s">
        <v>25</v>
      </c>
      <c r="C279" s="9">
        <v>1</v>
      </c>
      <c r="D279" s="10"/>
      <c r="E279" s="11"/>
      <c r="F279" s="8">
        <f t="shared" si="28"/>
        <v>1</v>
      </c>
      <c r="G279" s="9">
        <v>1</v>
      </c>
      <c r="H279" s="10"/>
      <c r="I279" s="11"/>
      <c r="J279" s="8">
        <f t="shared" si="29"/>
        <v>1</v>
      </c>
      <c r="K279" s="32">
        <v>45138</v>
      </c>
    </row>
    <row r="280" spans="2:11" x14ac:dyDescent="0.15">
      <c r="B280" s="4" t="s">
        <v>25</v>
      </c>
      <c r="C280" s="9">
        <v>2</v>
      </c>
      <c r="D280" s="10"/>
      <c r="E280" s="11"/>
      <c r="F280" s="8">
        <f t="shared" si="28"/>
        <v>2</v>
      </c>
      <c r="G280" s="9">
        <v>2</v>
      </c>
      <c r="H280" s="10"/>
      <c r="I280" s="11"/>
      <c r="J280" s="8">
        <f t="shared" si="29"/>
        <v>2</v>
      </c>
      <c r="K280" s="32">
        <v>45140</v>
      </c>
    </row>
    <row r="281" spans="2:11" x14ac:dyDescent="0.15">
      <c r="B281" s="4" t="s">
        <v>25</v>
      </c>
      <c r="C281" s="9"/>
      <c r="D281" s="10"/>
      <c r="E281" s="11"/>
      <c r="F281" s="8">
        <f t="shared" si="28"/>
        <v>0</v>
      </c>
      <c r="G281" s="9">
        <v>1</v>
      </c>
      <c r="H281" s="10"/>
      <c r="I281" s="11"/>
      <c r="J281" s="8">
        <f t="shared" si="29"/>
        <v>1</v>
      </c>
      <c r="K281" s="32">
        <v>45166</v>
      </c>
    </row>
    <row r="282" spans="2:11" x14ac:dyDescent="0.15">
      <c r="B282" s="4" t="s">
        <v>25</v>
      </c>
      <c r="C282" s="9"/>
      <c r="D282" s="10"/>
      <c r="E282" s="11"/>
      <c r="F282" s="8">
        <f t="shared" si="28"/>
        <v>0</v>
      </c>
      <c r="G282" s="9"/>
      <c r="H282" s="10">
        <v>1</v>
      </c>
      <c r="I282" s="11"/>
      <c r="J282" s="8">
        <f t="shared" si="29"/>
        <v>1</v>
      </c>
      <c r="K282" s="32">
        <v>45180</v>
      </c>
    </row>
    <row r="283" spans="2:11" x14ac:dyDescent="0.15">
      <c r="B283" s="4" t="s">
        <v>25</v>
      </c>
      <c r="C283" s="9">
        <v>1</v>
      </c>
      <c r="D283" s="10"/>
      <c r="E283" s="11"/>
      <c r="F283" s="8">
        <f t="shared" si="28"/>
        <v>1</v>
      </c>
      <c r="G283" s="9">
        <v>1</v>
      </c>
      <c r="H283" s="10"/>
      <c r="I283" s="11"/>
      <c r="J283" s="8">
        <f t="shared" si="29"/>
        <v>1</v>
      </c>
      <c r="K283" s="32">
        <v>45182</v>
      </c>
    </row>
    <row r="284" spans="2:11" x14ac:dyDescent="0.15">
      <c r="B284" s="4" t="s">
        <v>25</v>
      </c>
      <c r="C284" s="9"/>
      <c r="D284" s="10"/>
      <c r="E284" s="11">
        <v>1</v>
      </c>
      <c r="F284" s="8">
        <f t="shared" si="28"/>
        <v>1</v>
      </c>
      <c r="G284" s="9"/>
      <c r="H284" s="10"/>
      <c r="I284" s="11">
        <v>1</v>
      </c>
      <c r="J284" s="8">
        <f t="shared" si="29"/>
        <v>1</v>
      </c>
      <c r="K284" s="32">
        <v>45194</v>
      </c>
    </row>
    <row r="285" spans="2:11" x14ac:dyDescent="0.15">
      <c r="B285" s="4" t="s">
        <v>25</v>
      </c>
      <c r="C285" s="9"/>
      <c r="D285" s="10"/>
      <c r="E285" s="11"/>
      <c r="F285" s="8">
        <f t="shared" si="28"/>
        <v>0</v>
      </c>
      <c r="G285" s="9"/>
      <c r="H285" s="10">
        <v>1</v>
      </c>
      <c r="I285" s="11"/>
      <c r="J285" s="8">
        <f t="shared" si="29"/>
        <v>1</v>
      </c>
      <c r="K285" s="32">
        <v>45195</v>
      </c>
    </row>
    <row r="286" spans="2:11" x14ac:dyDescent="0.15">
      <c r="B286" s="4" t="s">
        <v>25</v>
      </c>
      <c r="C286" s="9"/>
      <c r="D286" s="10"/>
      <c r="E286" s="11">
        <v>1</v>
      </c>
      <c r="F286" s="8">
        <f t="shared" si="28"/>
        <v>1</v>
      </c>
      <c r="G286" s="9"/>
      <c r="H286" s="10"/>
      <c r="I286" s="11">
        <v>1</v>
      </c>
      <c r="J286" s="8">
        <f t="shared" si="29"/>
        <v>1</v>
      </c>
      <c r="K286" s="32">
        <v>45196</v>
      </c>
    </row>
    <row r="287" spans="2:11" x14ac:dyDescent="0.15">
      <c r="B287" s="4" t="s">
        <v>25</v>
      </c>
      <c r="C287" s="9"/>
      <c r="D287" s="10">
        <v>1</v>
      </c>
      <c r="E287" s="11"/>
      <c r="F287" s="8">
        <f t="shared" si="28"/>
        <v>1</v>
      </c>
      <c r="G287" s="9"/>
      <c r="H287" s="10">
        <v>1</v>
      </c>
      <c r="I287" s="11"/>
      <c r="J287" s="8">
        <f t="shared" si="29"/>
        <v>1</v>
      </c>
      <c r="K287" s="32">
        <v>45199</v>
      </c>
    </row>
    <row r="288" spans="2:11" x14ac:dyDescent="0.15">
      <c r="B288" s="4" t="s">
        <v>25</v>
      </c>
      <c r="C288" s="9"/>
      <c r="D288" s="10"/>
      <c r="E288" s="11"/>
      <c r="F288" s="8">
        <f t="shared" si="28"/>
        <v>0</v>
      </c>
      <c r="G288" s="9"/>
      <c r="H288" s="10">
        <v>1</v>
      </c>
      <c r="I288" s="11"/>
      <c r="J288" s="8">
        <f t="shared" si="29"/>
        <v>1</v>
      </c>
      <c r="K288" s="32">
        <v>45215</v>
      </c>
    </row>
    <row r="289" spans="2:11" x14ac:dyDescent="0.15">
      <c r="B289" s="4" t="s">
        <v>25</v>
      </c>
      <c r="C289" s="9"/>
      <c r="D289" s="10"/>
      <c r="E289" s="11">
        <v>1</v>
      </c>
      <c r="F289" s="8">
        <f t="shared" si="28"/>
        <v>1</v>
      </c>
      <c r="G289" s="9"/>
      <c r="H289" s="10"/>
      <c r="I289" s="11">
        <v>1</v>
      </c>
      <c r="J289" s="8">
        <f t="shared" si="29"/>
        <v>1</v>
      </c>
      <c r="K289" s="32">
        <v>45219</v>
      </c>
    </row>
    <row r="290" spans="2:11" x14ac:dyDescent="0.15">
      <c r="B290" s="4" t="s">
        <v>25</v>
      </c>
      <c r="C290" s="9"/>
      <c r="D290" s="10"/>
      <c r="E290" s="11">
        <v>1</v>
      </c>
      <c r="F290" s="8">
        <f t="shared" si="28"/>
        <v>1</v>
      </c>
      <c r="G290" s="9"/>
      <c r="H290" s="10"/>
      <c r="I290" s="11">
        <v>1</v>
      </c>
      <c r="J290" s="8">
        <f t="shared" si="29"/>
        <v>1</v>
      </c>
      <c r="K290" s="32">
        <v>45230</v>
      </c>
    </row>
    <row r="291" spans="2:11" x14ac:dyDescent="0.15">
      <c r="B291" s="4" t="s">
        <v>25</v>
      </c>
      <c r="C291" s="9"/>
      <c r="D291" s="10">
        <v>1</v>
      </c>
      <c r="E291" s="11"/>
      <c r="F291" s="8">
        <f t="shared" si="28"/>
        <v>1</v>
      </c>
      <c r="G291" s="9"/>
      <c r="H291" s="10">
        <v>1</v>
      </c>
      <c r="I291" s="11"/>
      <c r="J291" s="8">
        <f t="shared" si="29"/>
        <v>1</v>
      </c>
      <c r="K291" s="32">
        <v>45264</v>
      </c>
    </row>
    <row r="292" spans="2:11" x14ac:dyDescent="0.15">
      <c r="B292" s="4" t="s">
        <v>25</v>
      </c>
      <c r="C292" s="9"/>
      <c r="D292" s="10"/>
      <c r="E292" s="11">
        <v>2</v>
      </c>
      <c r="F292" s="8">
        <f t="shared" si="28"/>
        <v>2</v>
      </c>
      <c r="G292" s="9"/>
      <c r="H292" s="10"/>
      <c r="I292" s="11">
        <v>2</v>
      </c>
      <c r="J292" s="8">
        <f t="shared" si="29"/>
        <v>2</v>
      </c>
      <c r="K292" s="32">
        <v>45271</v>
      </c>
    </row>
    <row r="293" spans="2:11" x14ac:dyDescent="0.15">
      <c r="B293" s="4" t="s">
        <v>25</v>
      </c>
      <c r="C293" s="9"/>
      <c r="D293" s="10">
        <v>1</v>
      </c>
      <c r="E293" s="11"/>
      <c r="F293" s="8">
        <f t="shared" si="28"/>
        <v>1</v>
      </c>
      <c r="G293" s="9"/>
      <c r="H293" s="10">
        <v>1</v>
      </c>
      <c r="I293" s="11"/>
      <c r="J293" s="8">
        <f t="shared" si="29"/>
        <v>1</v>
      </c>
      <c r="K293" s="32">
        <v>45306</v>
      </c>
    </row>
    <row r="294" spans="2:11" x14ac:dyDescent="0.15">
      <c r="B294" s="4" t="s">
        <v>25</v>
      </c>
      <c r="C294" s="9"/>
      <c r="D294" s="10">
        <v>1</v>
      </c>
      <c r="E294" s="11"/>
      <c r="F294" s="8">
        <f t="shared" si="28"/>
        <v>1</v>
      </c>
      <c r="G294" s="9"/>
      <c r="H294" s="10">
        <v>1</v>
      </c>
      <c r="I294" s="11"/>
      <c r="J294" s="8">
        <f t="shared" si="29"/>
        <v>1</v>
      </c>
      <c r="K294" s="32">
        <v>45316</v>
      </c>
    </row>
    <row r="295" spans="2:11" x14ac:dyDescent="0.15">
      <c r="B295" s="4" t="s">
        <v>25</v>
      </c>
      <c r="C295" s="9"/>
      <c r="D295" s="10"/>
      <c r="E295" s="11">
        <v>1</v>
      </c>
      <c r="F295" s="8">
        <f t="shared" si="28"/>
        <v>1</v>
      </c>
      <c r="G295" s="9"/>
      <c r="H295" s="10"/>
      <c r="I295" s="11">
        <v>1</v>
      </c>
      <c r="J295" s="8">
        <f t="shared" si="29"/>
        <v>1</v>
      </c>
      <c r="K295" s="32">
        <v>45335</v>
      </c>
    </row>
    <row r="296" spans="2:11" x14ac:dyDescent="0.15">
      <c r="B296" s="4" t="s">
        <v>25</v>
      </c>
      <c r="C296" s="9"/>
      <c r="D296" s="10">
        <v>2</v>
      </c>
      <c r="E296" s="11"/>
      <c r="F296" s="8">
        <f t="shared" si="26"/>
        <v>2</v>
      </c>
      <c r="G296" s="9"/>
      <c r="H296" s="10">
        <v>2</v>
      </c>
      <c r="I296" s="11"/>
      <c r="J296" s="8">
        <f t="shared" si="27"/>
        <v>2</v>
      </c>
      <c r="K296" s="32">
        <v>45336</v>
      </c>
    </row>
    <row r="297" spans="2:11" ht="14.25" thickBot="1" x14ac:dyDescent="0.2">
      <c r="B297" s="4" t="s">
        <v>25</v>
      </c>
      <c r="C297" s="9"/>
      <c r="D297" s="10"/>
      <c r="E297" s="11">
        <v>1</v>
      </c>
      <c r="F297" s="8">
        <f t="shared" si="26"/>
        <v>1</v>
      </c>
      <c r="G297" s="9"/>
      <c r="H297" s="10"/>
      <c r="I297" s="11">
        <v>1</v>
      </c>
      <c r="J297" s="8">
        <f t="shared" si="27"/>
        <v>1</v>
      </c>
      <c r="K297" s="32">
        <v>45342</v>
      </c>
    </row>
    <row r="298" spans="2:11" ht="14.25" thickBot="1" x14ac:dyDescent="0.2">
      <c r="B298" s="3" t="s">
        <v>5</v>
      </c>
      <c r="C298" s="15">
        <f>SUM(C274:C297)</f>
        <v>7</v>
      </c>
      <c r="D298" s="15">
        <f>SUM(D274:D297)</f>
        <v>7</v>
      </c>
      <c r="E298" s="15">
        <f>SUM(E274:E297)</f>
        <v>10</v>
      </c>
      <c r="F298" s="16">
        <f t="shared" si="26"/>
        <v>24</v>
      </c>
      <c r="G298" s="15">
        <f>SUM(G274:G297)</f>
        <v>8</v>
      </c>
      <c r="H298" s="15">
        <f>SUM(H274:H297)</f>
        <v>11</v>
      </c>
      <c r="I298" s="15">
        <f>SUM(I274:I297)</f>
        <v>11</v>
      </c>
      <c r="J298" s="16">
        <f t="shared" si="27"/>
        <v>30</v>
      </c>
    </row>
    <row r="299" spans="2:11" ht="14.25" thickBot="1" x14ac:dyDescent="0.2">
      <c r="B299" s="26" t="s">
        <v>6</v>
      </c>
      <c r="C299" s="27">
        <f t="shared" ref="C299:J299" si="30">C273-C298</f>
        <v>4</v>
      </c>
      <c r="D299" s="27">
        <f t="shared" si="30"/>
        <v>2</v>
      </c>
      <c r="E299" s="27">
        <f t="shared" si="30"/>
        <v>2</v>
      </c>
      <c r="F299" s="27">
        <f t="shared" si="30"/>
        <v>8</v>
      </c>
      <c r="G299" s="27">
        <f t="shared" si="30"/>
        <v>4</v>
      </c>
      <c r="H299" s="27">
        <f t="shared" si="30"/>
        <v>2</v>
      </c>
      <c r="I299" s="27">
        <f t="shared" si="30"/>
        <v>2</v>
      </c>
      <c r="J299" s="25">
        <f t="shared" si="30"/>
        <v>8</v>
      </c>
    </row>
    <row r="302" spans="2:11" ht="19.5" thickBot="1" x14ac:dyDescent="0.25">
      <c r="B302" s="33" t="s">
        <v>18</v>
      </c>
      <c r="C302" s="1"/>
      <c r="D302" s="1"/>
      <c r="E302" s="1"/>
      <c r="F302" s="1"/>
      <c r="G302" s="34"/>
      <c r="H302" s="34">
        <v>1400</v>
      </c>
      <c r="I302" s="34"/>
      <c r="J302" s="34"/>
    </row>
    <row r="303" spans="2:11" ht="14.25" thickBot="1" x14ac:dyDescent="0.2">
      <c r="B303" s="2" t="s">
        <v>0</v>
      </c>
      <c r="C303" s="80" t="s">
        <v>13</v>
      </c>
      <c r="D303" s="80"/>
      <c r="E303" s="80"/>
      <c r="F303" s="81"/>
      <c r="G303" s="82" t="s">
        <v>16</v>
      </c>
      <c r="H303" s="82"/>
      <c r="I303" s="82"/>
      <c r="J303" s="83"/>
    </row>
    <row r="304" spans="2:11" ht="14.25" thickBot="1" x14ac:dyDescent="0.2">
      <c r="B304" s="2" t="s">
        <v>1</v>
      </c>
      <c r="C304" s="3" t="s">
        <v>9</v>
      </c>
      <c r="D304" s="2" t="s">
        <v>10</v>
      </c>
      <c r="E304" s="19" t="s">
        <v>11</v>
      </c>
      <c r="F304" s="2" t="s">
        <v>2</v>
      </c>
      <c r="G304" s="3" t="s">
        <v>9</v>
      </c>
      <c r="H304" s="2" t="s">
        <v>10</v>
      </c>
      <c r="I304" s="19" t="s">
        <v>11</v>
      </c>
      <c r="J304" s="2" t="s">
        <v>2</v>
      </c>
    </row>
    <row r="305" spans="1:12" x14ac:dyDescent="0.15">
      <c r="B305" s="28" t="s">
        <v>12</v>
      </c>
      <c r="C305" s="41">
        <f>C299</f>
        <v>4</v>
      </c>
      <c r="D305" s="40">
        <f>D299</f>
        <v>2</v>
      </c>
      <c r="E305" s="41">
        <f>E299</f>
        <v>2</v>
      </c>
      <c r="F305" s="62">
        <f t="shared" ref="F305:F341" si="31">SUM(C305:E305)</f>
        <v>8</v>
      </c>
      <c r="G305" s="41">
        <f>G299</f>
        <v>4</v>
      </c>
      <c r="H305" s="40">
        <f>H299</f>
        <v>2</v>
      </c>
      <c r="I305" s="41">
        <f>I299</f>
        <v>2</v>
      </c>
      <c r="J305" s="18">
        <f t="shared" ref="J305:J341" si="32">SUM(G305:I305)</f>
        <v>8</v>
      </c>
      <c r="K305" s="30"/>
    </row>
    <row r="306" spans="1:12" x14ac:dyDescent="0.15">
      <c r="B306" s="6" t="s">
        <v>3</v>
      </c>
      <c r="C306" s="37"/>
      <c r="D306" s="36">
        <v>3</v>
      </c>
      <c r="E306" s="37"/>
      <c r="F306" s="42">
        <f t="shared" ref="F306:F312" si="33">SUM(C306:E306)</f>
        <v>3</v>
      </c>
      <c r="G306" s="37"/>
      <c r="H306" s="36">
        <v>3</v>
      </c>
      <c r="I306" s="37"/>
      <c r="J306" s="5">
        <f t="shared" ref="J306:J312" si="34">SUM(G306:I306)</f>
        <v>3</v>
      </c>
      <c r="K306" s="30">
        <v>45353</v>
      </c>
    </row>
    <row r="307" spans="1:12" x14ac:dyDescent="0.15">
      <c r="B307" s="6" t="s">
        <v>3</v>
      </c>
      <c r="C307" s="37"/>
      <c r="D307" s="36"/>
      <c r="E307" s="37">
        <v>4</v>
      </c>
      <c r="F307" s="42">
        <f t="shared" si="33"/>
        <v>4</v>
      </c>
      <c r="G307" s="37"/>
      <c r="H307" s="36"/>
      <c r="I307" s="37">
        <v>4</v>
      </c>
      <c r="J307" s="5">
        <f t="shared" si="34"/>
        <v>4</v>
      </c>
      <c r="K307" s="30">
        <v>45378</v>
      </c>
    </row>
    <row r="308" spans="1:12" x14ac:dyDescent="0.15">
      <c r="B308" s="6" t="s">
        <v>3</v>
      </c>
      <c r="C308" s="37"/>
      <c r="D308" s="36"/>
      <c r="E308" s="37"/>
      <c r="F308" s="42">
        <f t="shared" si="33"/>
        <v>0</v>
      </c>
      <c r="G308" s="37">
        <v>2</v>
      </c>
      <c r="H308" s="36"/>
      <c r="I308" s="37"/>
      <c r="J308" s="5">
        <f t="shared" si="34"/>
        <v>2</v>
      </c>
      <c r="K308" s="30">
        <v>45394</v>
      </c>
      <c r="L308" s="31"/>
    </row>
    <row r="309" spans="1:12" x14ac:dyDescent="0.15">
      <c r="B309" s="6" t="s">
        <v>3</v>
      </c>
      <c r="C309" s="37"/>
      <c r="D309" s="36"/>
      <c r="E309" s="37">
        <v>2</v>
      </c>
      <c r="F309" s="42">
        <f t="shared" si="33"/>
        <v>2</v>
      </c>
      <c r="G309" s="37"/>
      <c r="H309" s="36"/>
      <c r="I309" s="37">
        <v>2</v>
      </c>
      <c r="J309" s="5">
        <f t="shared" si="34"/>
        <v>2</v>
      </c>
      <c r="K309" s="30">
        <v>45434</v>
      </c>
    </row>
    <row r="310" spans="1:12" x14ac:dyDescent="0.15">
      <c r="B310" s="6" t="s">
        <v>3</v>
      </c>
      <c r="C310" s="37"/>
      <c r="D310" s="36">
        <v>3</v>
      </c>
      <c r="E310" s="37"/>
      <c r="F310" s="42">
        <f t="shared" si="33"/>
        <v>3</v>
      </c>
      <c r="G310" s="37"/>
      <c r="H310" s="36">
        <v>3</v>
      </c>
      <c r="I310" s="37"/>
      <c r="J310" s="5">
        <f t="shared" si="34"/>
        <v>3</v>
      </c>
      <c r="K310" s="30">
        <v>45446</v>
      </c>
      <c r="L310" s="31"/>
    </row>
    <row r="311" spans="1:12" x14ac:dyDescent="0.15">
      <c r="B311" s="6" t="s">
        <v>3</v>
      </c>
      <c r="C311" s="37"/>
      <c r="D311" s="36"/>
      <c r="E311" s="37"/>
      <c r="F311" s="42">
        <f t="shared" si="33"/>
        <v>0</v>
      </c>
      <c r="G311" s="37"/>
      <c r="H311" s="36">
        <v>5</v>
      </c>
      <c r="I311" s="37"/>
      <c r="J311" s="5">
        <f t="shared" si="34"/>
        <v>5</v>
      </c>
      <c r="K311" s="30">
        <v>45458</v>
      </c>
      <c r="L311" s="31"/>
    </row>
    <row r="312" spans="1:12" x14ac:dyDescent="0.15">
      <c r="A312" s="31"/>
      <c r="B312" s="6" t="s">
        <v>3</v>
      </c>
      <c r="C312" s="37"/>
      <c r="D312" s="36">
        <v>2</v>
      </c>
      <c r="E312" s="37">
        <v>2</v>
      </c>
      <c r="F312" s="42">
        <f t="shared" si="33"/>
        <v>4</v>
      </c>
      <c r="G312" s="37"/>
      <c r="H312" s="36"/>
      <c r="I312" s="37">
        <v>2</v>
      </c>
      <c r="J312" s="5">
        <f t="shared" si="34"/>
        <v>2</v>
      </c>
      <c r="K312" s="30">
        <v>45491</v>
      </c>
      <c r="L312" s="31"/>
    </row>
    <row r="313" spans="1:12" x14ac:dyDescent="0.15">
      <c r="B313" s="6" t="s">
        <v>28</v>
      </c>
      <c r="C313" s="37">
        <v>-1</v>
      </c>
      <c r="D313" s="36">
        <v>0</v>
      </c>
      <c r="E313" s="37">
        <v>0</v>
      </c>
      <c r="F313" s="42">
        <f t="shared" si="31"/>
        <v>-1</v>
      </c>
      <c r="G313" s="37">
        <v>1</v>
      </c>
      <c r="H313" s="36">
        <v>-1</v>
      </c>
      <c r="I313" s="37">
        <v>0</v>
      </c>
      <c r="J313" s="5">
        <f t="shared" si="32"/>
        <v>0</v>
      </c>
      <c r="K313" s="30">
        <v>45530</v>
      </c>
    </row>
    <row r="314" spans="1:12" x14ac:dyDescent="0.15">
      <c r="B314" s="6" t="s">
        <v>3</v>
      </c>
      <c r="C314" s="37">
        <v>2</v>
      </c>
      <c r="D314" s="36"/>
      <c r="E314" s="37"/>
      <c r="F314" s="42">
        <f t="shared" si="31"/>
        <v>2</v>
      </c>
      <c r="G314" s="37"/>
      <c r="H314" s="36"/>
      <c r="I314" s="37"/>
      <c r="J314" s="5">
        <f t="shared" si="32"/>
        <v>0</v>
      </c>
      <c r="K314" s="30">
        <v>45566</v>
      </c>
      <c r="L314" s="31"/>
    </row>
    <row r="315" spans="1:12" ht="14.25" thickBot="1" x14ac:dyDescent="0.2">
      <c r="B315" s="7" t="s">
        <v>3</v>
      </c>
      <c r="C315" s="44"/>
      <c r="D315" s="45"/>
      <c r="E315" s="44"/>
      <c r="F315" s="46">
        <f t="shared" si="31"/>
        <v>0</v>
      </c>
      <c r="G315" s="44"/>
      <c r="H315" s="45">
        <v>2</v>
      </c>
      <c r="I315" s="44"/>
      <c r="J315" s="20">
        <f t="shared" si="32"/>
        <v>2</v>
      </c>
      <c r="K315" s="30">
        <v>45580</v>
      </c>
      <c r="L315" s="31"/>
    </row>
    <row r="316" spans="1:12" ht="14.25" thickBot="1" x14ac:dyDescent="0.2">
      <c r="B316" s="22" t="s">
        <v>4</v>
      </c>
      <c r="C316" s="23">
        <f>SUM(C305:C315)</f>
        <v>5</v>
      </c>
      <c r="D316" s="23">
        <f>SUM(D305:D315)</f>
        <v>10</v>
      </c>
      <c r="E316" s="24">
        <f>SUM(E305:E315)</f>
        <v>10</v>
      </c>
      <c r="F316" s="25">
        <f t="shared" si="31"/>
        <v>25</v>
      </c>
      <c r="G316" s="23">
        <f>SUM(G305:G315)</f>
        <v>7</v>
      </c>
      <c r="H316" s="23">
        <f>SUM(H305:H315)</f>
        <v>14</v>
      </c>
      <c r="I316" s="24">
        <f>SUM(I305:I315)</f>
        <v>10</v>
      </c>
      <c r="J316" s="25">
        <f t="shared" si="32"/>
        <v>31</v>
      </c>
    </row>
    <row r="317" spans="1:12" x14ac:dyDescent="0.15">
      <c r="B317" s="4" t="s">
        <v>25</v>
      </c>
      <c r="C317" s="9"/>
      <c r="D317" s="10"/>
      <c r="E317" s="11">
        <v>1</v>
      </c>
      <c r="F317" s="8">
        <f t="shared" ref="F317:F338" si="35">SUM(C317:E317)</f>
        <v>1</v>
      </c>
      <c r="G317" s="9"/>
      <c r="H317" s="10"/>
      <c r="I317" s="11">
        <v>1</v>
      </c>
      <c r="J317" s="8">
        <f t="shared" ref="J317:J338" si="36">SUM(G317:I317)</f>
        <v>1</v>
      </c>
      <c r="K317" s="32">
        <v>45373</v>
      </c>
    </row>
    <row r="318" spans="1:12" x14ac:dyDescent="0.15">
      <c r="B318" s="4" t="s">
        <v>25</v>
      </c>
      <c r="C318" s="9"/>
      <c r="D318" s="10"/>
      <c r="E318" s="11">
        <v>2</v>
      </c>
      <c r="F318" s="8">
        <f t="shared" si="35"/>
        <v>2</v>
      </c>
      <c r="G318" s="9">
        <v>1</v>
      </c>
      <c r="H318" s="10"/>
      <c r="I318" s="11">
        <v>2</v>
      </c>
      <c r="J318" s="8">
        <f t="shared" si="36"/>
        <v>3</v>
      </c>
      <c r="K318" s="32">
        <v>45378</v>
      </c>
    </row>
    <row r="319" spans="1:12" x14ac:dyDescent="0.15">
      <c r="B319" s="4" t="s">
        <v>25</v>
      </c>
      <c r="C319" s="9"/>
      <c r="D319" s="10"/>
      <c r="E319" s="11"/>
      <c r="F319" s="8">
        <f t="shared" si="35"/>
        <v>0</v>
      </c>
      <c r="G319" s="9"/>
      <c r="H319" s="10">
        <v>2</v>
      </c>
      <c r="I319" s="11"/>
      <c r="J319" s="8">
        <f t="shared" si="36"/>
        <v>2</v>
      </c>
      <c r="K319" s="32">
        <v>45399</v>
      </c>
    </row>
    <row r="320" spans="1:12" x14ac:dyDescent="0.15">
      <c r="B320" s="4" t="s">
        <v>25</v>
      </c>
      <c r="C320" s="9"/>
      <c r="D320" s="10">
        <v>1</v>
      </c>
      <c r="E320" s="11"/>
      <c r="F320" s="8">
        <f t="shared" si="35"/>
        <v>1</v>
      </c>
      <c r="G320" s="9"/>
      <c r="H320" s="10">
        <v>1</v>
      </c>
      <c r="I320" s="11"/>
      <c r="J320" s="8">
        <f t="shared" si="36"/>
        <v>1</v>
      </c>
      <c r="K320" s="32">
        <v>45400</v>
      </c>
    </row>
    <row r="321" spans="2:11" x14ac:dyDescent="0.15">
      <c r="B321" s="4" t="s">
        <v>25</v>
      </c>
      <c r="C321" s="9"/>
      <c r="D321" s="10"/>
      <c r="E321" s="11">
        <v>1</v>
      </c>
      <c r="F321" s="8">
        <f t="shared" si="35"/>
        <v>1</v>
      </c>
      <c r="G321" s="9"/>
      <c r="H321" s="10"/>
      <c r="I321" s="11">
        <v>1</v>
      </c>
      <c r="J321" s="8">
        <f t="shared" si="36"/>
        <v>1</v>
      </c>
      <c r="K321" s="32">
        <v>45419</v>
      </c>
    </row>
    <row r="322" spans="2:11" x14ac:dyDescent="0.15">
      <c r="B322" s="4" t="s">
        <v>25</v>
      </c>
      <c r="C322" s="9"/>
      <c r="D322" s="10"/>
      <c r="E322" s="11">
        <v>1</v>
      </c>
      <c r="F322" s="8">
        <f t="shared" si="35"/>
        <v>1</v>
      </c>
      <c r="G322" s="9"/>
      <c r="H322" s="10"/>
      <c r="I322" s="11">
        <v>1</v>
      </c>
      <c r="J322" s="8">
        <f t="shared" si="36"/>
        <v>1</v>
      </c>
      <c r="K322" s="32">
        <v>45422</v>
      </c>
    </row>
    <row r="323" spans="2:11" x14ac:dyDescent="0.15">
      <c r="B323" s="4" t="s">
        <v>25</v>
      </c>
      <c r="C323" s="9"/>
      <c r="D323" s="10">
        <v>1</v>
      </c>
      <c r="E323" s="11"/>
      <c r="F323" s="8">
        <f t="shared" si="35"/>
        <v>1</v>
      </c>
      <c r="G323" s="9"/>
      <c r="H323" s="10"/>
      <c r="I323" s="11"/>
      <c r="J323" s="8">
        <f t="shared" si="36"/>
        <v>0</v>
      </c>
      <c r="K323" s="32">
        <v>45425</v>
      </c>
    </row>
    <row r="324" spans="2:11" x14ac:dyDescent="0.15">
      <c r="B324" s="4" t="s">
        <v>25</v>
      </c>
      <c r="C324" s="9">
        <v>1</v>
      </c>
      <c r="D324" s="10"/>
      <c r="E324" s="11"/>
      <c r="F324" s="8">
        <f t="shared" si="35"/>
        <v>1</v>
      </c>
      <c r="G324" s="9">
        <v>1</v>
      </c>
      <c r="H324" s="10"/>
      <c r="I324" s="11"/>
      <c r="J324" s="8">
        <f t="shared" si="36"/>
        <v>1</v>
      </c>
      <c r="K324" s="32">
        <v>45430</v>
      </c>
    </row>
    <row r="325" spans="2:11" x14ac:dyDescent="0.15">
      <c r="B325" s="4" t="s">
        <v>24</v>
      </c>
      <c r="C325" s="9">
        <v>-1</v>
      </c>
      <c r="D325" s="10"/>
      <c r="E325" s="11"/>
      <c r="F325" s="8">
        <f t="shared" si="35"/>
        <v>-1</v>
      </c>
      <c r="G325" s="9"/>
      <c r="H325" s="10"/>
      <c r="I325" s="11"/>
      <c r="J325" s="8">
        <f t="shared" si="36"/>
        <v>0</v>
      </c>
      <c r="K325" s="32">
        <v>45435</v>
      </c>
    </row>
    <row r="326" spans="2:11" x14ac:dyDescent="0.15">
      <c r="B326" s="4" t="s">
        <v>25</v>
      </c>
      <c r="C326" s="9"/>
      <c r="D326" s="10">
        <v>1</v>
      </c>
      <c r="E326" s="11"/>
      <c r="F326" s="8">
        <f t="shared" si="35"/>
        <v>1</v>
      </c>
      <c r="G326" s="9"/>
      <c r="H326" s="10">
        <v>1</v>
      </c>
      <c r="I326" s="11"/>
      <c r="J326" s="8">
        <f t="shared" si="36"/>
        <v>1</v>
      </c>
      <c r="K326" s="32">
        <v>45436</v>
      </c>
    </row>
    <row r="327" spans="2:11" x14ac:dyDescent="0.15">
      <c r="B327" s="4" t="s">
        <v>25</v>
      </c>
      <c r="C327" s="9"/>
      <c r="D327" s="10"/>
      <c r="E327" s="11"/>
      <c r="F327" s="8">
        <f t="shared" si="35"/>
        <v>0</v>
      </c>
      <c r="G327" s="9"/>
      <c r="H327" s="10">
        <v>3</v>
      </c>
      <c r="I327" s="11"/>
      <c r="J327" s="8">
        <f t="shared" si="36"/>
        <v>3</v>
      </c>
      <c r="K327" s="32">
        <v>45456</v>
      </c>
    </row>
    <row r="328" spans="2:11" x14ac:dyDescent="0.15">
      <c r="B328" s="4" t="s">
        <v>25</v>
      </c>
      <c r="C328" s="9"/>
      <c r="D328" s="10"/>
      <c r="E328" s="11">
        <v>1</v>
      </c>
      <c r="F328" s="8">
        <f t="shared" si="35"/>
        <v>1</v>
      </c>
      <c r="G328" s="9"/>
      <c r="H328" s="10"/>
      <c r="I328" s="11">
        <v>1</v>
      </c>
      <c r="J328" s="8">
        <f t="shared" si="36"/>
        <v>1</v>
      </c>
      <c r="K328" s="32">
        <v>45457</v>
      </c>
    </row>
    <row r="329" spans="2:11" x14ac:dyDescent="0.15">
      <c r="B329" s="4" t="s">
        <v>25</v>
      </c>
      <c r="C329" s="9"/>
      <c r="D329" s="10">
        <v>1</v>
      </c>
      <c r="E329" s="11"/>
      <c r="F329" s="8">
        <f t="shared" si="35"/>
        <v>1</v>
      </c>
      <c r="G329" s="9"/>
      <c r="H329" s="10">
        <v>1</v>
      </c>
      <c r="I329" s="11"/>
      <c r="J329" s="8">
        <f t="shared" si="36"/>
        <v>1</v>
      </c>
      <c r="K329" s="32">
        <v>45458</v>
      </c>
    </row>
    <row r="330" spans="2:11" x14ac:dyDescent="0.15">
      <c r="B330" s="4" t="s">
        <v>25</v>
      </c>
      <c r="C330" s="9"/>
      <c r="D330" s="10">
        <v>1</v>
      </c>
      <c r="E330" s="11"/>
      <c r="F330" s="8">
        <f t="shared" si="35"/>
        <v>1</v>
      </c>
      <c r="G330" s="9"/>
      <c r="H330" s="10">
        <v>1</v>
      </c>
      <c r="I330" s="11"/>
      <c r="J330" s="8">
        <f t="shared" si="36"/>
        <v>1</v>
      </c>
      <c r="K330" s="32">
        <v>45470</v>
      </c>
    </row>
    <row r="331" spans="2:11" x14ac:dyDescent="0.15">
      <c r="B331" s="4" t="s">
        <v>25</v>
      </c>
      <c r="C331" s="9"/>
      <c r="D331" s="10"/>
      <c r="E331" s="11">
        <v>1</v>
      </c>
      <c r="F331" s="8">
        <f t="shared" si="35"/>
        <v>1</v>
      </c>
      <c r="G331" s="9"/>
      <c r="H331" s="10"/>
      <c r="I331" s="11">
        <v>1</v>
      </c>
      <c r="J331" s="8">
        <f t="shared" si="36"/>
        <v>1</v>
      </c>
      <c r="K331" s="32">
        <v>45490</v>
      </c>
    </row>
    <row r="332" spans="2:11" x14ac:dyDescent="0.15">
      <c r="B332" s="4" t="s">
        <v>25</v>
      </c>
      <c r="C332" s="9">
        <v>1</v>
      </c>
      <c r="D332" s="10"/>
      <c r="E332" s="11"/>
      <c r="F332" s="8">
        <f t="shared" si="35"/>
        <v>1</v>
      </c>
      <c r="G332" s="9">
        <v>1</v>
      </c>
      <c r="H332" s="10"/>
      <c r="I332" s="11"/>
      <c r="J332" s="8">
        <f t="shared" si="36"/>
        <v>1</v>
      </c>
      <c r="K332" s="32">
        <v>45544</v>
      </c>
    </row>
    <row r="333" spans="2:11" x14ac:dyDescent="0.15">
      <c r="B333" s="4" t="s">
        <v>25</v>
      </c>
      <c r="C333" s="9">
        <v>1</v>
      </c>
      <c r="D333" s="10"/>
      <c r="E333" s="11"/>
      <c r="F333" s="8">
        <f t="shared" si="35"/>
        <v>1</v>
      </c>
      <c r="G333" s="9">
        <v>1</v>
      </c>
      <c r="H333" s="10"/>
      <c r="I333" s="11"/>
      <c r="J333" s="8">
        <f t="shared" si="36"/>
        <v>1</v>
      </c>
      <c r="K333" s="32">
        <v>45553</v>
      </c>
    </row>
    <row r="334" spans="2:11" x14ac:dyDescent="0.15">
      <c r="B334" s="4" t="s">
        <v>25</v>
      </c>
      <c r="C334" s="9">
        <v>1</v>
      </c>
      <c r="D334" s="10"/>
      <c r="E334" s="11"/>
      <c r="F334" s="8">
        <f t="shared" si="35"/>
        <v>1</v>
      </c>
      <c r="G334" s="9">
        <v>1</v>
      </c>
      <c r="H334" s="10"/>
      <c r="I334" s="11"/>
      <c r="J334" s="8">
        <f t="shared" si="36"/>
        <v>1</v>
      </c>
      <c r="K334" s="32">
        <v>45586</v>
      </c>
    </row>
    <row r="335" spans="2:11" x14ac:dyDescent="0.15">
      <c r="B335" s="4" t="s">
        <v>25</v>
      </c>
      <c r="C335" s="9"/>
      <c r="D335" s="10">
        <v>2</v>
      </c>
      <c r="E335" s="11"/>
      <c r="F335" s="8">
        <f t="shared" si="35"/>
        <v>2</v>
      </c>
      <c r="G335" s="9"/>
      <c r="H335" s="10">
        <v>2</v>
      </c>
      <c r="I335" s="11"/>
      <c r="J335" s="8">
        <f t="shared" si="36"/>
        <v>2</v>
      </c>
      <c r="K335" s="32">
        <v>45601</v>
      </c>
    </row>
    <row r="336" spans="2:11" x14ac:dyDescent="0.15">
      <c r="B336" s="4"/>
      <c r="C336" s="9"/>
      <c r="D336" s="10"/>
      <c r="E336" s="11"/>
      <c r="F336" s="8">
        <f t="shared" si="35"/>
        <v>0</v>
      </c>
      <c r="G336" s="9"/>
      <c r="H336" s="10"/>
      <c r="I336" s="11"/>
      <c r="J336" s="8">
        <f t="shared" si="36"/>
        <v>0</v>
      </c>
      <c r="K336" s="32"/>
    </row>
    <row r="337" spans="2:12" x14ac:dyDescent="0.15">
      <c r="B337" s="4"/>
      <c r="C337" s="9"/>
      <c r="D337" s="10"/>
      <c r="E337" s="11"/>
      <c r="F337" s="8">
        <f t="shared" si="35"/>
        <v>0</v>
      </c>
      <c r="G337" s="9"/>
      <c r="H337" s="10"/>
      <c r="I337" s="11"/>
      <c r="J337" s="8">
        <f t="shared" si="36"/>
        <v>0</v>
      </c>
      <c r="K337" s="32"/>
    </row>
    <row r="338" spans="2:12" x14ac:dyDescent="0.15">
      <c r="B338" s="4"/>
      <c r="C338" s="9"/>
      <c r="D338" s="10"/>
      <c r="E338" s="11"/>
      <c r="F338" s="8">
        <f t="shared" si="35"/>
        <v>0</v>
      </c>
      <c r="G338" s="9"/>
      <c r="H338" s="10"/>
      <c r="I338" s="11"/>
      <c r="J338" s="8">
        <f t="shared" si="36"/>
        <v>0</v>
      </c>
      <c r="K338" s="32"/>
    </row>
    <row r="339" spans="2:12" x14ac:dyDescent="0.15">
      <c r="B339" s="4"/>
      <c r="C339" s="9"/>
      <c r="D339" s="10"/>
      <c r="E339" s="11"/>
      <c r="F339" s="8">
        <f t="shared" si="31"/>
        <v>0</v>
      </c>
      <c r="G339" s="9"/>
      <c r="H339" s="10"/>
      <c r="I339" s="11"/>
      <c r="J339" s="8">
        <f t="shared" si="32"/>
        <v>0</v>
      </c>
      <c r="K339" s="32"/>
    </row>
    <row r="340" spans="2:12" ht="14.25" thickBot="1" x14ac:dyDescent="0.2">
      <c r="B340" s="4"/>
      <c r="C340" s="9"/>
      <c r="D340" s="10"/>
      <c r="E340" s="11"/>
      <c r="F340" s="8">
        <f t="shared" si="31"/>
        <v>0</v>
      </c>
      <c r="G340" s="9"/>
      <c r="H340" s="10"/>
      <c r="I340" s="11"/>
      <c r="J340" s="8">
        <f t="shared" si="32"/>
        <v>0</v>
      </c>
      <c r="K340" s="32"/>
    </row>
    <row r="341" spans="2:12" ht="14.25" thickBot="1" x14ac:dyDescent="0.2">
      <c r="B341" s="3" t="s">
        <v>5</v>
      </c>
      <c r="C341" s="15">
        <f>SUM(C317:C340)</f>
        <v>3</v>
      </c>
      <c r="D341" s="15">
        <f>SUM(D317:D340)</f>
        <v>7</v>
      </c>
      <c r="E341" s="15">
        <f>SUM(E317:E340)</f>
        <v>7</v>
      </c>
      <c r="F341" s="16">
        <f t="shared" si="31"/>
        <v>17</v>
      </c>
      <c r="G341" s="15">
        <f>SUM(G317:G340)</f>
        <v>5</v>
      </c>
      <c r="H341" s="15">
        <f>SUM(H317:H340)</f>
        <v>11</v>
      </c>
      <c r="I341" s="15">
        <f>SUM(I317:I340)</f>
        <v>7</v>
      </c>
      <c r="J341" s="16">
        <f t="shared" si="32"/>
        <v>23</v>
      </c>
    </row>
    <row r="342" spans="2:12" ht="14.25" thickBot="1" x14ac:dyDescent="0.2">
      <c r="B342" s="26" t="s">
        <v>6</v>
      </c>
      <c r="C342" s="27">
        <f t="shared" ref="C342:J342" si="37">C316-C341</f>
        <v>2</v>
      </c>
      <c r="D342" s="27">
        <f t="shared" si="37"/>
        <v>3</v>
      </c>
      <c r="E342" s="27">
        <f t="shared" si="37"/>
        <v>3</v>
      </c>
      <c r="F342" s="27">
        <f t="shared" si="37"/>
        <v>8</v>
      </c>
      <c r="G342" s="27">
        <f t="shared" si="37"/>
        <v>2</v>
      </c>
      <c r="H342" s="27">
        <f t="shared" si="37"/>
        <v>3</v>
      </c>
      <c r="I342" s="27">
        <f t="shared" si="37"/>
        <v>3</v>
      </c>
      <c r="J342" s="25">
        <f t="shared" si="37"/>
        <v>8</v>
      </c>
    </row>
    <row r="345" spans="2:12" ht="19.5" thickBot="1" x14ac:dyDescent="0.25">
      <c r="B345" s="33" t="s">
        <v>18</v>
      </c>
      <c r="C345" s="1"/>
      <c r="D345" s="1"/>
      <c r="E345" s="1"/>
      <c r="F345" s="1"/>
      <c r="G345" s="34"/>
      <c r="H345" s="34">
        <v>1400</v>
      </c>
      <c r="I345" s="34"/>
      <c r="J345" s="34"/>
    </row>
    <row r="346" spans="2:12" ht="14.25" thickBot="1" x14ac:dyDescent="0.2">
      <c r="B346" s="2" t="s">
        <v>0</v>
      </c>
      <c r="C346" s="80" t="s">
        <v>13</v>
      </c>
      <c r="D346" s="80"/>
      <c r="E346" s="80"/>
      <c r="F346" s="81"/>
      <c r="G346" s="82" t="s">
        <v>16</v>
      </c>
      <c r="H346" s="82"/>
      <c r="I346" s="82"/>
      <c r="J346" s="83"/>
    </row>
    <row r="347" spans="2:12" ht="14.25" thickBot="1" x14ac:dyDescent="0.2">
      <c r="B347" s="2" t="s">
        <v>1</v>
      </c>
      <c r="C347" s="3" t="s">
        <v>9</v>
      </c>
      <c r="D347" s="2" t="s">
        <v>10</v>
      </c>
      <c r="E347" s="19" t="s">
        <v>11</v>
      </c>
      <c r="F347" s="2" t="s">
        <v>2</v>
      </c>
      <c r="G347" s="3" t="s">
        <v>9</v>
      </c>
      <c r="H347" s="2" t="s">
        <v>10</v>
      </c>
      <c r="I347" s="19" t="s">
        <v>11</v>
      </c>
      <c r="J347" s="2" t="s">
        <v>2</v>
      </c>
    </row>
    <row r="348" spans="2:12" x14ac:dyDescent="0.15">
      <c r="B348" s="28" t="s">
        <v>12</v>
      </c>
      <c r="C348" s="41">
        <f>C342</f>
        <v>2</v>
      </c>
      <c r="D348" s="40">
        <f>D342</f>
        <v>3</v>
      </c>
      <c r="E348" s="41">
        <f>E342</f>
        <v>3</v>
      </c>
      <c r="F348" s="62">
        <f t="shared" ref="F348:F384" si="38">SUM(C348:E348)</f>
        <v>8</v>
      </c>
      <c r="G348" s="41">
        <f>G342</f>
        <v>2</v>
      </c>
      <c r="H348" s="40">
        <f>H342</f>
        <v>3</v>
      </c>
      <c r="I348" s="41">
        <f>I342</f>
        <v>3</v>
      </c>
      <c r="J348" s="18">
        <f t="shared" ref="J348:J384" si="39">SUM(G348:I348)</f>
        <v>8</v>
      </c>
    </row>
    <row r="349" spans="2:12" x14ac:dyDescent="0.15">
      <c r="B349" s="6" t="s">
        <v>3</v>
      </c>
      <c r="C349" s="37">
        <v>3</v>
      </c>
      <c r="D349" s="36"/>
      <c r="E349" s="37"/>
      <c r="F349" s="42">
        <f t="shared" si="38"/>
        <v>3</v>
      </c>
      <c r="G349" s="37">
        <v>3</v>
      </c>
      <c r="H349" s="36"/>
      <c r="I349" s="37"/>
      <c r="J349" s="5">
        <f t="shared" si="39"/>
        <v>3</v>
      </c>
      <c r="K349" s="30">
        <v>45595</v>
      </c>
      <c r="L349" s="31" t="s">
        <v>51</v>
      </c>
    </row>
    <row r="350" spans="2:12" x14ac:dyDescent="0.15">
      <c r="B350" s="6" t="s">
        <v>3</v>
      </c>
      <c r="C350" s="37"/>
      <c r="D350" s="36">
        <v>2</v>
      </c>
      <c r="E350" s="37"/>
      <c r="F350" s="42">
        <f t="shared" si="38"/>
        <v>2</v>
      </c>
      <c r="G350" s="37"/>
      <c r="H350" s="36">
        <v>2</v>
      </c>
      <c r="I350" s="37"/>
      <c r="J350" s="5">
        <f t="shared" si="39"/>
        <v>2</v>
      </c>
      <c r="K350" s="30">
        <v>45602</v>
      </c>
    </row>
    <row r="351" spans="2:12" x14ac:dyDescent="0.15">
      <c r="B351" s="6" t="s">
        <v>3</v>
      </c>
      <c r="C351" s="37"/>
      <c r="D351" s="36"/>
      <c r="E351" s="37">
        <v>2</v>
      </c>
      <c r="F351" s="42">
        <f t="shared" si="38"/>
        <v>2</v>
      </c>
      <c r="G351" s="37"/>
      <c r="H351" s="36"/>
      <c r="I351" s="37">
        <v>2</v>
      </c>
      <c r="J351" s="5">
        <f t="shared" si="39"/>
        <v>2</v>
      </c>
      <c r="K351" s="30">
        <v>45609</v>
      </c>
    </row>
    <row r="352" spans="2:12" x14ac:dyDescent="0.15">
      <c r="B352" s="6" t="s">
        <v>3</v>
      </c>
      <c r="C352" s="37"/>
      <c r="D352" s="36">
        <v>5</v>
      </c>
      <c r="E352" s="37"/>
      <c r="F352" s="42">
        <f t="shared" si="38"/>
        <v>5</v>
      </c>
      <c r="G352" s="37"/>
      <c r="H352" s="36">
        <v>5</v>
      </c>
      <c r="I352" s="37"/>
      <c r="J352" s="5">
        <f t="shared" si="39"/>
        <v>5</v>
      </c>
      <c r="K352" s="30">
        <v>45623</v>
      </c>
    </row>
    <row r="353" spans="1:11" x14ac:dyDescent="0.15">
      <c r="B353" s="6" t="s">
        <v>3</v>
      </c>
      <c r="C353" s="37"/>
      <c r="D353" s="36"/>
      <c r="E353" s="37"/>
      <c r="F353" s="42">
        <f t="shared" si="38"/>
        <v>0</v>
      </c>
      <c r="G353" s="37"/>
      <c r="H353" s="36">
        <v>3</v>
      </c>
      <c r="I353" s="37">
        <v>2</v>
      </c>
      <c r="J353" s="5">
        <f t="shared" si="39"/>
        <v>5</v>
      </c>
      <c r="K353" s="30">
        <v>45679</v>
      </c>
    </row>
    <row r="354" spans="1:11" x14ac:dyDescent="0.15">
      <c r="B354" s="6" t="s">
        <v>3</v>
      </c>
      <c r="C354" s="37"/>
      <c r="D354" s="36"/>
      <c r="E354" s="37">
        <v>2</v>
      </c>
      <c r="F354" s="42">
        <f t="shared" si="38"/>
        <v>2</v>
      </c>
      <c r="G354" s="37"/>
      <c r="H354" s="36"/>
      <c r="I354" s="37">
        <v>2</v>
      </c>
      <c r="J354" s="5">
        <f t="shared" si="39"/>
        <v>2</v>
      </c>
      <c r="K354" s="30">
        <v>45714</v>
      </c>
    </row>
    <row r="355" spans="1:11" x14ac:dyDescent="0.15">
      <c r="A355" s="31"/>
      <c r="B355" s="6" t="s">
        <v>3</v>
      </c>
      <c r="C355" s="37">
        <v>5</v>
      </c>
      <c r="D355" s="36"/>
      <c r="E355" s="37"/>
      <c r="F355" s="42">
        <f t="shared" si="38"/>
        <v>5</v>
      </c>
      <c r="G355" s="37">
        <v>5</v>
      </c>
      <c r="H355" s="36"/>
      <c r="I355" s="37"/>
      <c r="J355" s="5">
        <f t="shared" si="39"/>
        <v>5</v>
      </c>
      <c r="K355" s="30">
        <v>45735</v>
      </c>
    </row>
    <row r="356" spans="1:11" x14ac:dyDescent="0.15">
      <c r="B356" s="6" t="s">
        <v>3</v>
      </c>
      <c r="C356" s="37"/>
      <c r="D356" s="36">
        <v>3</v>
      </c>
      <c r="E356" s="37"/>
      <c r="F356" s="42">
        <f t="shared" si="38"/>
        <v>3</v>
      </c>
      <c r="G356" s="37"/>
      <c r="H356" s="36"/>
      <c r="I356" s="37"/>
      <c r="J356" s="5">
        <f t="shared" si="39"/>
        <v>0</v>
      </c>
      <c r="K356" s="30">
        <v>45740</v>
      </c>
    </row>
    <row r="357" spans="1:11" x14ac:dyDescent="0.15">
      <c r="B357" s="6" t="s">
        <v>3</v>
      </c>
      <c r="C357" s="37">
        <v>3</v>
      </c>
      <c r="D357" s="36"/>
      <c r="E357" s="37">
        <v>3</v>
      </c>
      <c r="F357" s="42">
        <f t="shared" si="38"/>
        <v>6</v>
      </c>
      <c r="G357" s="37">
        <v>3</v>
      </c>
      <c r="H357" s="36"/>
      <c r="I357" s="37">
        <v>5</v>
      </c>
      <c r="J357" s="5">
        <f t="shared" si="39"/>
        <v>8</v>
      </c>
      <c r="K357" s="30">
        <v>45742</v>
      </c>
    </row>
    <row r="358" spans="1:11" ht="14.25" thickBot="1" x14ac:dyDescent="0.2">
      <c r="B358" s="7" t="s">
        <v>3</v>
      </c>
      <c r="C358" s="44"/>
      <c r="D358" s="45"/>
      <c r="E358" s="44">
        <v>2</v>
      </c>
      <c r="F358" s="46">
        <f t="shared" si="38"/>
        <v>2</v>
      </c>
      <c r="G358" s="44"/>
      <c r="H358" s="45">
        <v>5</v>
      </c>
      <c r="I358" s="44"/>
      <c r="J358" s="20">
        <f t="shared" si="39"/>
        <v>5</v>
      </c>
      <c r="K358" s="30">
        <v>45762</v>
      </c>
    </row>
    <row r="359" spans="1:11" ht="14.25" thickBot="1" x14ac:dyDescent="0.2">
      <c r="B359" s="22" t="s">
        <v>4</v>
      </c>
      <c r="C359" s="23">
        <f>SUM(C348:C358)</f>
        <v>13</v>
      </c>
      <c r="D359" s="23">
        <f>SUM(D348:D358)</f>
        <v>13</v>
      </c>
      <c r="E359" s="24">
        <f>SUM(E348:E358)</f>
        <v>12</v>
      </c>
      <c r="F359" s="25">
        <f t="shared" si="38"/>
        <v>38</v>
      </c>
      <c r="G359" s="23">
        <f>SUM(G348:G358)</f>
        <v>13</v>
      </c>
      <c r="H359" s="23">
        <f>SUM(H348:H358)</f>
        <v>18</v>
      </c>
      <c r="I359" s="24">
        <f>SUM(I348:I358)</f>
        <v>14</v>
      </c>
      <c r="J359" s="25">
        <f t="shared" si="39"/>
        <v>45</v>
      </c>
    </row>
    <row r="360" spans="1:11" x14ac:dyDescent="0.15">
      <c r="B360" s="4" t="s">
        <v>25</v>
      </c>
      <c r="C360" s="9"/>
      <c r="D360" s="10">
        <v>1</v>
      </c>
      <c r="E360" s="11"/>
      <c r="F360" s="8">
        <f t="shared" si="38"/>
        <v>1</v>
      </c>
      <c r="G360" s="9"/>
      <c r="H360" s="10">
        <v>1</v>
      </c>
      <c r="I360" s="11"/>
      <c r="J360" s="8">
        <f t="shared" si="39"/>
        <v>1</v>
      </c>
      <c r="K360" s="32">
        <v>45607</v>
      </c>
    </row>
    <row r="361" spans="1:11" x14ac:dyDescent="0.15">
      <c r="B361" s="4" t="s">
        <v>25</v>
      </c>
      <c r="C361" s="9"/>
      <c r="D361" s="10">
        <f>1+2</f>
        <v>3</v>
      </c>
      <c r="E361" s="11"/>
      <c r="F361" s="8">
        <f t="shared" si="38"/>
        <v>3</v>
      </c>
      <c r="G361" s="9"/>
      <c r="H361" s="10">
        <f>1+2</f>
        <v>3</v>
      </c>
      <c r="I361" s="11"/>
      <c r="J361" s="8">
        <f t="shared" si="39"/>
        <v>3</v>
      </c>
      <c r="K361" s="32">
        <v>45621</v>
      </c>
    </row>
    <row r="362" spans="1:11" x14ac:dyDescent="0.15">
      <c r="B362" s="4" t="s">
        <v>25</v>
      </c>
      <c r="C362" s="9"/>
      <c r="D362" s="10">
        <v>1</v>
      </c>
      <c r="E362" s="11"/>
      <c r="F362" s="8">
        <f t="shared" si="38"/>
        <v>1</v>
      </c>
      <c r="G362" s="9"/>
      <c r="H362" s="10"/>
      <c r="I362" s="11"/>
      <c r="J362" s="8">
        <f t="shared" si="39"/>
        <v>0</v>
      </c>
      <c r="K362" s="32">
        <v>45643</v>
      </c>
    </row>
    <row r="363" spans="1:11" x14ac:dyDescent="0.15">
      <c r="B363" s="4" t="s">
        <v>57</v>
      </c>
      <c r="C363" s="9">
        <v>1</v>
      </c>
      <c r="D363" s="10"/>
      <c r="E363" s="11"/>
      <c r="F363" s="8">
        <f t="shared" si="38"/>
        <v>1</v>
      </c>
      <c r="G363" s="9">
        <v>1</v>
      </c>
      <c r="H363" s="10"/>
      <c r="I363" s="11"/>
      <c r="J363" s="8">
        <f t="shared" si="39"/>
        <v>1</v>
      </c>
      <c r="K363" s="30">
        <v>45647</v>
      </c>
    </row>
    <row r="364" spans="1:11" x14ac:dyDescent="0.15">
      <c r="B364" s="4" t="s">
        <v>25</v>
      </c>
      <c r="C364" s="9"/>
      <c r="D364" s="10"/>
      <c r="E364" s="11"/>
      <c r="F364" s="8">
        <f t="shared" si="38"/>
        <v>0</v>
      </c>
      <c r="G364" s="9"/>
      <c r="H364" s="10"/>
      <c r="I364" s="11">
        <v>2</v>
      </c>
      <c r="J364" s="8">
        <f t="shared" si="39"/>
        <v>2</v>
      </c>
      <c r="K364" s="30">
        <v>45651</v>
      </c>
    </row>
    <row r="365" spans="1:11" x14ac:dyDescent="0.15">
      <c r="B365" s="4" t="s">
        <v>25</v>
      </c>
      <c r="C365" s="9"/>
      <c r="D365" s="10"/>
      <c r="E365" s="11"/>
      <c r="F365" s="8">
        <f t="shared" si="38"/>
        <v>0</v>
      </c>
      <c r="G365" s="9"/>
      <c r="H365" s="10">
        <v>2</v>
      </c>
      <c r="I365" s="11"/>
      <c r="J365" s="8">
        <f t="shared" si="39"/>
        <v>2</v>
      </c>
      <c r="K365" s="32">
        <v>45663</v>
      </c>
    </row>
    <row r="366" spans="1:11" x14ac:dyDescent="0.15">
      <c r="B366" s="4" t="s">
        <v>25</v>
      </c>
      <c r="C366" s="9"/>
      <c r="D366" s="10">
        <v>1</v>
      </c>
      <c r="E366" s="11"/>
      <c r="F366" s="8">
        <f t="shared" si="38"/>
        <v>1</v>
      </c>
      <c r="G366" s="9">
        <v>1</v>
      </c>
      <c r="H366" s="10">
        <v>1</v>
      </c>
      <c r="I366" s="11"/>
      <c r="J366" s="8">
        <f t="shared" si="39"/>
        <v>2</v>
      </c>
      <c r="K366" s="32">
        <v>45671</v>
      </c>
    </row>
    <row r="367" spans="1:11" x14ac:dyDescent="0.15">
      <c r="B367" s="4" t="s">
        <v>25</v>
      </c>
      <c r="C367" s="9">
        <v>1</v>
      </c>
      <c r="D367" s="10"/>
      <c r="E367" s="11"/>
      <c r="F367" s="8">
        <f t="shared" si="38"/>
        <v>1</v>
      </c>
      <c r="G367" s="9"/>
      <c r="H367" s="10"/>
      <c r="I367" s="11"/>
      <c r="J367" s="8">
        <f t="shared" si="39"/>
        <v>0</v>
      </c>
      <c r="K367" s="32">
        <v>45673</v>
      </c>
    </row>
    <row r="368" spans="1:11" x14ac:dyDescent="0.15">
      <c r="B368" s="4" t="s">
        <v>25</v>
      </c>
      <c r="C368" s="9"/>
      <c r="D368" s="10"/>
      <c r="E368" s="11">
        <v>1</v>
      </c>
      <c r="F368" s="8">
        <f t="shared" si="38"/>
        <v>1</v>
      </c>
      <c r="G368" s="9"/>
      <c r="H368" s="10"/>
      <c r="I368" s="11">
        <v>1</v>
      </c>
      <c r="J368" s="8">
        <f t="shared" si="39"/>
        <v>1</v>
      </c>
      <c r="K368" s="32">
        <v>45675</v>
      </c>
    </row>
    <row r="369" spans="2:11" x14ac:dyDescent="0.15">
      <c r="B369" s="4" t="s">
        <v>25</v>
      </c>
      <c r="C369" s="9"/>
      <c r="D369" s="10"/>
      <c r="E369" s="11">
        <v>1</v>
      </c>
      <c r="F369" s="8">
        <f t="shared" si="38"/>
        <v>1</v>
      </c>
      <c r="G369" s="9"/>
      <c r="H369" s="10"/>
      <c r="I369" s="11">
        <v>1</v>
      </c>
      <c r="J369" s="8">
        <f t="shared" si="39"/>
        <v>1</v>
      </c>
      <c r="K369" s="32">
        <v>45702</v>
      </c>
    </row>
    <row r="370" spans="2:11" x14ac:dyDescent="0.15">
      <c r="B370" s="4" t="s">
        <v>25</v>
      </c>
      <c r="C370" s="9"/>
      <c r="D370" s="10"/>
      <c r="E370" s="11">
        <v>2</v>
      </c>
      <c r="F370" s="8">
        <f t="shared" si="38"/>
        <v>2</v>
      </c>
      <c r="G370" s="9"/>
      <c r="H370" s="10"/>
      <c r="I370" s="11">
        <v>2</v>
      </c>
      <c r="J370" s="8">
        <f t="shared" si="39"/>
        <v>2</v>
      </c>
      <c r="K370" s="32">
        <v>45705</v>
      </c>
    </row>
    <row r="371" spans="2:11" x14ac:dyDescent="0.15">
      <c r="B371" s="4" t="s">
        <v>25</v>
      </c>
      <c r="C371" s="9">
        <v>1</v>
      </c>
      <c r="D371" s="10"/>
      <c r="E371" s="11"/>
      <c r="F371" s="8">
        <f t="shared" si="38"/>
        <v>1</v>
      </c>
      <c r="G371" s="9">
        <v>1</v>
      </c>
      <c r="H371" s="10"/>
      <c r="I371" s="11"/>
      <c r="J371" s="8">
        <f t="shared" si="39"/>
        <v>1</v>
      </c>
      <c r="K371" s="32">
        <v>45706</v>
      </c>
    </row>
    <row r="372" spans="2:11" x14ac:dyDescent="0.15">
      <c r="B372" s="4" t="s">
        <v>25</v>
      </c>
      <c r="C372" s="9"/>
      <c r="D372" s="10">
        <v>1</v>
      </c>
      <c r="E372" s="11"/>
      <c r="F372" s="8">
        <f t="shared" si="38"/>
        <v>1</v>
      </c>
      <c r="G372" s="9"/>
      <c r="H372" s="10">
        <v>1</v>
      </c>
      <c r="I372" s="11"/>
      <c r="J372" s="8">
        <f t="shared" si="39"/>
        <v>1</v>
      </c>
      <c r="K372" s="32">
        <v>45713</v>
      </c>
    </row>
    <row r="373" spans="2:11" x14ac:dyDescent="0.15">
      <c r="B373" s="4" t="s">
        <v>56</v>
      </c>
      <c r="C373" s="9">
        <v>1</v>
      </c>
      <c r="D373" s="10"/>
      <c r="E373" s="11"/>
      <c r="F373" s="8">
        <f t="shared" si="38"/>
        <v>1</v>
      </c>
      <c r="G373" s="9">
        <v>1</v>
      </c>
      <c r="H373" s="10"/>
      <c r="I373" s="11"/>
      <c r="J373" s="8">
        <f t="shared" si="39"/>
        <v>1</v>
      </c>
      <c r="K373" s="30">
        <v>45727</v>
      </c>
    </row>
    <row r="374" spans="2:11" x14ac:dyDescent="0.15">
      <c r="B374" s="4" t="s">
        <v>56</v>
      </c>
      <c r="C374" s="9"/>
      <c r="D374" s="10"/>
      <c r="E374" s="11">
        <v>1</v>
      </c>
      <c r="F374" s="8">
        <f t="shared" si="38"/>
        <v>1</v>
      </c>
      <c r="G374" s="9"/>
      <c r="H374" s="10"/>
      <c r="I374" s="11">
        <v>1</v>
      </c>
      <c r="J374" s="8">
        <f t="shared" si="39"/>
        <v>1</v>
      </c>
      <c r="K374" s="30">
        <v>45728</v>
      </c>
    </row>
    <row r="375" spans="2:11" x14ac:dyDescent="0.15">
      <c r="B375" s="4" t="s">
        <v>25</v>
      </c>
      <c r="C375" s="9">
        <v>1</v>
      </c>
      <c r="D375" s="10"/>
      <c r="E375" s="11"/>
      <c r="F375" s="8">
        <f t="shared" si="38"/>
        <v>1</v>
      </c>
      <c r="G375" s="9">
        <v>1</v>
      </c>
      <c r="H375" s="10"/>
      <c r="I375" s="11"/>
      <c r="J375" s="8">
        <f t="shared" si="39"/>
        <v>1</v>
      </c>
      <c r="K375" s="30">
        <v>45733</v>
      </c>
    </row>
    <row r="376" spans="2:11" x14ac:dyDescent="0.15">
      <c r="B376" s="4" t="s">
        <v>25</v>
      </c>
      <c r="C376" s="9">
        <v>2</v>
      </c>
      <c r="D376" s="10"/>
      <c r="E376" s="11"/>
      <c r="F376" s="8">
        <f t="shared" si="38"/>
        <v>2</v>
      </c>
      <c r="G376" s="9">
        <v>2</v>
      </c>
      <c r="H376" s="10"/>
      <c r="I376" s="11"/>
      <c r="J376" s="8">
        <f t="shared" si="39"/>
        <v>2</v>
      </c>
      <c r="K376" s="30">
        <v>45735</v>
      </c>
    </row>
    <row r="377" spans="2:11" x14ac:dyDescent="0.15">
      <c r="B377" s="4" t="s">
        <v>25</v>
      </c>
      <c r="C377" s="9"/>
      <c r="D377" s="10"/>
      <c r="E377" s="11"/>
      <c r="F377" s="8">
        <f t="shared" si="38"/>
        <v>0</v>
      </c>
      <c r="G377" s="9"/>
      <c r="H377" s="10"/>
      <c r="I377" s="11">
        <v>2</v>
      </c>
      <c r="J377" s="8">
        <f t="shared" si="39"/>
        <v>2</v>
      </c>
      <c r="K377" s="30">
        <v>45740</v>
      </c>
    </row>
    <row r="378" spans="2:11" x14ac:dyDescent="0.15">
      <c r="B378" s="4" t="s">
        <v>25</v>
      </c>
      <c r="C378" s="9"/>
      <c r="D378" s="10"/>
      <c r="E378" s="11">
        <v>2</v>
      </c>
      <c r="F378" s="8">
        <f t="shared" si="38"/>
        <v>2</v>
      </c>
      <c r="G378" s="9"/>
      <c r="H378" s="10"/>
      <c r="I378" s="11">
        <v>2</v>
      </c>
      <c r="J378" s="8">
        <f t="shared" si="39"/>
        <v>2</v>
      </c>
      <c r="K378" s="32">
        <v>45742</v>
      </c>
    </row>
    <row r="379" spans="2:11" x14ac:dyDescent="0.15">
      <c r="B379" s="4" t="s">
        <v>25</v>
      </c>
      <c r="C379" s="9"/>
      <c r="D379" s="10"/>
      <c r="E379" s="11"/>
      <c r="F379" s="8">
        <f t="shared" si="38"/>
        <v>0</v>
      </c>
      <c r="G379" s="9"/>
      <c r="H379" s="10">
        <v>2</v>
      </c>
      <c r="I379" s="11"/>
      <c r="J379" s="8">
        <f t="shared" si="39"/>
        <v>2</v>
      </c>
      <c r="K379" s="32">
        <v>45754</v>
      </c>
    </row>
    <row r="380" spans="2:11" x14ac:dyDescent="0.15">
      <c r="B380" s="4" t="s">
        <v>25</v>
      </c>
      <c r="C380" s="9"/>
      <c r="D380" s="10">
        <v>1</v>
      </c>
      <c r="E380" s="11"/>
      <c r="F380" s="8">
        <f t="shared" si="38"/>
        <v>1</v>
      </c>
      <c r="G380" s="9"/>
      <c r="H380" s="10">
        <v>1</v>
      </c>
      <c r="I380" s="11"/>
      <c r="J380" s="8">
        <f t="shared" si="39"/>
        <v>1</v>
      </c>
      <c r="K380" s="32">
        <v>45771</v>
      </c>
    </row>
    <row r="381" spans="2:11" x14ac:dyDescent="0.15">
      <c r="B381" s="4" t="s">
        <v>25</v>
      </c>
      <c r="C381" s="9"/>
      <c r="D381" s="10">
        <v>1</v>
      </c>
      <c r="E381" s="11"/>
      <c r="F381" s="8">
        <f t="shared" si="38"/>
        <v>1</v>
      </c>
      <c r="G381" s="9"/>
      <c r="H381" s="10">
        <v>1</v>
      </c>
      <c r="I381" s="11"/>
      <c r="J381" s="8">
        <f t="shared" si="39"/>
        <v>1</v>
      </c>
      <c r="K381" s="32">
        <v>45772</v>
      </c>
    </row>
    <row r="382" spans="2:11" x14ac:dyDescent="0.15">
      <c r="B382" s="4" t="s">
        <v>25</v>
      </c>
      <c r="C382" s="9"/>
      <c r="D382" s="10"/>
      <c r="E382" s="11">
        <v>1</v>
      </c>
      <c r="F382" s="8">
        <f t="shared" si="38"/>
        <v>1</v>
      </c>
      <c r="G382" s="9"/>
      <c r="H382" s="10"/>
      <c r="I382" s="11">
        <v>1</v>
      </c>
      <c r="J382" s="8">
        <f t="shared" si="39"/>
        <v>1</v>
      </c>
      <c r="K382" s="32">
        <v>45775</v>
      </c>
    </row>
    <row r="383" spans="2:11" ht="14.25" thickBot="1" x14ac:dyDescent="0.2">
      <c r="B383" s="4" t="s">
        <v>25</v>
      </c>
      <c r="C383" s="9">
        <v>1</v>
      </c>
      <c r="D383" s="10"/>
      <c r="E383" s="11"/>
      <c r="F383" s="8">
        <f t="shared" si="38"/>
        <v>1</v>
      </c>
      <c r="G383" s="9">
        <v>1</v>
      </c>
      <c r="H383" s="10"/>
      <c r="I383" s="11"/>
      <c r="J383" s="8">
        <f t="shared" si="39"/>
        <v>1</v>
      </c>
      <c r="K383" s="32">
        <v>45784</v>
      </c>
    </row>
    <row r="384" spans="2:11" ht="14.25" thickBot="1" x14ac:dyDescent="0.2">
      <c r="B384" s="3" t="s">
        <v>5</v>
      </c>
      <c r="C384" s="15">
        <f>SUM(C360:C383)</f>
        <v>8</v>
      </c>
      <c r="D384" s="15">
        <f>SUM(D360:D383)</f>
        <v>9</v>
      </c>
      <c r="E384" s="15">
        <f>SUM(E360:E383)</f>
        <v>8</v>
      </c>
      <c r="F384" s="16">
        <f t="shared" si="38"/>
        <v>25</v>
      </c>
      <c r="G384" s="15">
        <f>SUM(G360:G383)</f>
        <v>8</v>
      </c>
      <c r="H384" s="15">
        <f>SUM(H360:H383)</f>
        <v>12</v>
      </c>
      <c r="I384" s="15">
        <f>SUM(I360:I383)</f>
        <v>12</v>
      </c>
      <c r="J384" s="16">
        <f t="shared" si="39"/>
        <v>32</v>
      </c>
    </row>
    <row r="385" spans="1:12" ht="14.25" thickBot="1" x14ac:dyDescent="0.2">
      <c r="B385" s="26" t="s">
        <v>6</v>
      </c>
      <c r="C385" s="27">
        <f t="shared" ref="C385:J385" si="40">C359-C384</f>
        <v>5</v>
      </c>
      <c r="D385" s="27">
        <f t="shared" si="40"/>
        <v>4</v>
      </c>
      <c r="E385" s="27">
        <f t="shared" si="40"/>
        <v>4</v>
      </c>
      <c r="F385" s="27">
        <f t="shared" si="40"/>
        <v>13</v>
      </c>
      <c r="G385" s="27">
        <f t="shared" si="40"/>
        <v>5</v>
      </c>
      <c r="H385" s="27">
        <f t="shared" si="40"/>
        <v>6</v>
      </c>
      <c r="I385" s="27">
        <f t="shared" si="40"/>
        <v>2</v>
      </c>
      <c r="J385" s="25">
        <f t="shared" si="40"/>
        <v>13</v>
      </c>
    </row>
    <row r="388" spans="1:12" ht="19.5" thickBot="1" x14ac:dyDescent="0.25">
      <c r="B388" s="33" t="s">
        <v>18</v>
      </c>
      <c r="C388" s="1"/>
      <c r="D388" s="1"/>
      <c r="E388" s="1"/>
      <c r="F388" s="1"/>
      <c r="G388" s="34"/>
      <c r="H388" s="34">
        <v>1400</v>
      </c>
      <c r="I388" s="34"/>
      <c r="J388" s="34"/>
    </row>
    <row r="389" spans="1:12" ht="14.25" thickBot="1" x14ac:dyDescent="0.2">
      <c r="B389" s="2" t="s">
        <v>0</v>
      </c>
      <c r="C389" s="80" t="s">
        <v>13</v>
      </c>
      <c r="D389" s="80"/>
      <c r="E389" s="80"/>
      <c r="F389" s="81"/>
      <c r="G389" s="82" t="s">
        <v>16</v>
      </c>
      <c r="H389" s="82"/>
      <c r="I389" s="82"/>
      <c r="J389" s="83"/>
    </row>
    <row r="390" spans="1:12" ht="14.25" thickBot="1" x14ac:dyDescent="0.2">
      <c r="B390" s="2" t="s">
        <v>1</v>
      </c>
      <c r="C390" s="3" t="s">
        <v>9</v>
      </c>
      <c r="D390" s="2" t="s">
        <v>10</v>
      </c>
      <c r="E390" s="19" t="s">
        <v>11</v>
      </c>
      <c r="F390" s="2" t="s">
        <v>2</v>
      </c>
      <c r="G390" s="3" t="s">
        <v>9</v>
      </c>
      <c r="H390" s="2" t="s">
        <v>10</v>
      </c>
      <c r="I390" s="19" t="s">
        <v>11</v>
      </c>
      <c r="J390" s="2" t="s">
        <v>2</v>
      </c>
    </row>
    <row r="391" spans="1:12" x14ac:dyDescent="0.15">
      <c r="B391" s="28" t="s">
        <v>12</v>
      </c>
      <c r="C391" s="41">
        <f>C385</f>
        <v>5</v>
      </c>
      <c r="D391" s="40">
        <f>D385</f>
        <v>4</v>
      </c>
      <c r="E391" s="41">
        <f>E385</f>
        <v>4</v>
      </c>
      <c r="F391" s="62">
        <f t="shared" ref="F391:F427" si="41">SUM(C391:E391)</f>
        <v>13</v>
      </c>
      <c r="G391" s="41">
        <f>G385</f>
        <v>5</v>
      </c>
      <c r="H391" s="40">
        <f>H385</f>
        <v>6</v>
      </c>
      <c r="I391" s="41">
        <f>I385</f>
        <v>2</v>
      </c>
      <c r="J391" s="18">
        <f t="shared" ref="J391:J427" si="42">SUM(G391:I391)</f>
        <v>13</v>
      </c>
    </row>
    <row r="392" spans="1:12" x14ac:dyDescent="0.15">
      <c r="B392" s="6" t="s">
        <v>3</v>
      </c>
      <c r="C392" s="37"/>
      <c r="D392" s="36">
        <v>3</v>
      </c>
      <c r="E392" s="37"/>
      <c r="F392" s="42">
        <f t="shared" si="41"/>
        <v>3</v>
      </c>
      <c r="G392" s="37"/>
      <c r="H392" s="36"/>
      <c r="I392" s="37">
        <v>2</v>
      </c>
      <c r="J392" s="5">
        <f t="shared" si="42"/>
        <v>2</v>
      </c>
      <c r="K392" s="30">
        <v>45791</v>
      </c>
      <c r="L392" s="31"/>
    </row>
    <row r="393" spans="1:12" x14ac:dyDescent="0.15">
      <c r="B393" s="6" t="s">
        <v>3</v>
      </c>
      <c r="C393" s="37">
        <v>2</v>
      </c>
      <c r="D393" s="36">
        <v>2</v>
      </c>
      <c r="E393" s="37">
        <v>2</v>
      </c>
      <c r="F393" s="42">
        <f t="shared" si="41"/>
        <v>6</v>
      </c>
      <c r="G393" s="37">
        <v>3</v>
      </c>
      <c r="H393" s="36">
        <v>5</v>
      </c>
      <c r="I393" s="37">
        <v>2</v>
      </c>
      <c r="J393" s="5">
        <f t="shared" si="42"/>
        <v>10</v>
      </c>
      <c r="K393" s="30">
        <v>45827</v>
      </c>
      <c r="L393" s="31"/>
    </row>
    <row r="394" spans="1:12" x14ac:dyDescent="0.15">
      <c r="B394" s="6" t="s">
        <v>3</v>
      </c>
      <c r="C394" s="37"/>
      <c r="D394" s="36">
        <v>5</v>
      </c>
      <c r="E394" s="37"/>
      <c r="F394" s="42">
        <f t="shared" si="41"/>
        <v>5</v>
      </c>
      <c r="G394" s="37"/>
      <c r="H394" s="36">
        <v>3</v>
      </c>
      <c r="I394" s="37">
        <v>2</v>
      </c>
      <c r="J394" s="5">
        <f t="shared" si="42"/>
        <v>5</v>
      </c>
      <c r="K394" s="30">
        <v>45896</v>
      </c>
      <c r="L394" s="66" t="s">
        <v>72</v>
      </c>
    </row>
    <row r="395" spans="1:12" x14ac:dyDescent="0.15">
      <c r="B395" s="6" t="s">
        <v>3</v>
      </c>
      <c r="C395" s="37">
        <v>5</v>
      </c>
      <c r="D395" s="36"/>
      <c r="E395" s="37"/>
      <c r="F395" s="42">
        <f t="shared" si="41"/>
        <v>5</v>
      </c>
      <c r="G395" s="37">
        <v>5</v>
      </c>
      <c r="H395" s="36"/>
      <c r="I395" s="37"/>
      <c r="J395" s="5">
        <f t="shared" si="42"/>
        <v>5</v>
      </c>
      <c r="K395" s="30">
        <v>45980</v>
      </c>
    </row>
    <row r="396" spans="1:12" x14ac:dyDescent="0.15">
      <c r="B396" s="6" t="s">
        <v>3</v>
      </c>
      <c r="C396" s="37"/>
      <c r="D396" s="36">
        <v>5</v>
      </c>
      <c r="E396" s="37"/>
      <c r="F396" s="42">
        <f t="shared" si="41"/>
        <v>5</v>
      </c>
      <c r="G396" s="37"/>
      <c r="H396" s="36">
        <v>5</v>
      </c>
      <c r="I396" s="37"/>
      <c r="J396" s="5">
        <f t="shared" si="42"/>
        <v>5</v>
      </c>
      <c r="K396" s="30">
        <v>45993</v>
      </c>
    </row>
    <row r="397" spans="1:12" x14ac:dyDescent="0.15">
      <c r="B397" s="6" t="s">
        <v>3</v>
      </c>
      <c r="C397" s="37">
        <v>3</v>
      </c>
      <c r="D397" s="36"/>
      <c r="E397" s="37">
        <v>3</v>
      </c>
      <c r="F397" s="42">
        <f t="shared" si="41"/>
        <v>6</v>
      </c>
      <c r="G397" s="37">
        <v>3</v>
      </c>
      <c r="H397" s="36"/>
      <c r="I397" s="37">
        <v>3</v>
      </c>
      <c r="J397" s="5">
        <f t="shared" si="42"/>
        <v>6</v>
      </c>
      <c r="K397" s="30">
        <v>45995</v>
      </c>
    </row>
    <row r="398" spans="1:12" x14ac:dyDescent="0.15">
      <c r="A398" s="31"/>
      <c r="B398" s="6" t="s">
        <v>3</v>
      </c>
      <c r="C398" s="37"/>
      <c r="D398" s="36"/>
      <c r="E398" s="37"/>
      <c r="F398" s="42">
        <f t="shared" si="41"/>
        <v>0</v>
      </c>
      <c r="G398" s="37"/>
      <c r="H398" s="36"/>
      <c r="I398" s="37"/>
      <c r="J398" s="5">
        <f t="shared" si="42"/>
        <v>0</v>
      </c>
      <c r="K398" s="30"/>
    </row>
    <row r="399" spans="1:12" x14ac:dyDescent="0.15">
      <c r="B399" s="6" t="s">
        <v>3</v>
      </c>
      <c r="C399" s="37"/>
      <c r="D399" s="36"/>
      <c r="E399" s="37"/>
      <c r="F399" s="42">
        <f t="shared" si="41"/>
        <v>0</v>
      </c>
      <c r="G399" s="37"/>
      <c r="H399" s="36"/>
      <c r="I399" s="37"/>
      <c r="J399" s="5">
        <f t="shared" si="42"/>
        <v>0</v>
      </c>
      <c r="K399" s="30"/>
    </row>
    <row r="400" spans="1:12" x14ac:dyDescent="0.15">
      <c r="B400" s="6" t="s">
        <v>3</v>
      </c>
      <c r="C400" s="37"/>
      <c r="D400" s="36"/>
      <c r="E400" s="37"/>
      <c r="F400" s="42">
        <f t="shared" si="41"/>
        <v>0</v>
      </c>
      <c r="G400" s="37"/>
      <c r="H400" s="36"/>
      <c r="I400" s="37"/>
      <c r="J400" s="5">
        <f t="shared" si="42"/>
        <v>0</v>
      </c>
      <c r="K400" s="30"/>
    </row>
    <row r="401" spans="2:11" ht="14.25" thickBot="1" x14ac:dyDescent="0.2">
      <c r="B401" s="7" t="s">
        <v>3</v>
      </c>
      <c r="C401" s="44"/>
      <c r="D401" s="45"/>
      <c r="E401" s="44"/>
      <c r="F401" s="46">
        <f t="shared" si="41"/>
        <v>0</v>
      </c>
      <c r="G401" s="44"/>
      <c r="H401" s="45"/>
      <c r="I401" s="44"/>
      <c r="J401" s="20">
        <f t="shared" si="42"/>
        <v>0</v>
      </c>
      <c r="K401" s="30"/>
    </row>
    <row r="402" spans="2:11" ht="14.25" thickBot="1" x14ac:dyDescent="0.2">
      <c r="B402" s="22" t="s">
        <v>4</v>
      </c>
      <c r="C402" s="23">
        <f>SUM(C391:C401)</f>
        <v>15</v>
      </c>
      <c r="D402" s="23">
        <f>SUM(D391:D401)</f>
        <v>19</v>
      </c>
      <c r="E402" s="24">
        <f>SUM(E391:E401)</f>
        <v>9</v>
      </c>
      <c r="F402" s="25">
        <f t="shared" si="41"/>
        <v>43</v>
      </c>
      <c r="G402" s="23">
        <f>SUM(G391:G401)</f>
        <v>16</v>
      </c>
      <c r="H402" s="23">
        <f>SUM(H391:H401)</f>
        <v>19</v>
      </c>
      <c r="I402" s="24">
        <f>SUM(I391:I401)</f>
        <v>11</v>
      </c>
      <c r="J402" s="25">
        <f t="shared" si="42"/>
        <v>46</v>
      </c>
    </row>
    <row r="403" spans="2:11" x14ac:dyDescent="0.15">
      <c r="B403" s="4" t="s">
        <v>25</v>
      </c>
      <c r="C403" s="9"/>
      <c r="D403" s="10">
        <v>2</v>
      </c>
      <c r="E403" s="11">
        <v>1</v>
      </c>
      <c r="F403" s="8">
        <f t="shared" ref="F403:F424" si="43">SUM(C403:E403)</f>
        <v>3</v>
      </c>
      <c r="G403" s="9"/>
      <c r="H403" s="10">
        <v>2</v>
      </c>
      <c r="I403" s="11">
        <v>1</v>
      </c>
      <c r="J403" s="8">
        <f t="shared" ref="J403:J424" si="44">SUM(G403:I403)</f>
        <v>3</v>
      </c>
      <c r="K403" s="32">
        <v>45789</v>
      </c>
    </row>
    <row r="404" spans="2:11" x14ac:dyDescent="0.15">
      <c r="B404" s="4" t="s">
        <v>25</v>
      </c>
      <c r="C404" s="9">
        <v>1</v>
      </c>
      <c r="D404" s="10">
        <v>1</v>
      </c>
      <c r="E404" s="11"/>
      <c r="F404" s="8">
        <f t="shared" si="43"/>
        <v>2</v>
      </c>
      <c r="G404" s="9">
        <v>1</v>
      </c>
      <c r="H404" s="10">
        <v>1</v>
      </c>
      <c r="I404" s="11"/>
      <c r="J404" s="8">
        <f t="shared" si="44"/>
        <v>2</v>
      </c>
      <c r="K404" s="32">
        <v>45804</v>
      </c>
    </row>
    <row r="405" spans="2:11" x14ac:dyDescent="0.15">
      <c r="B405" s="4" t="s">
        <v>25</v>
      </c>
      <c r="C405" s="9"/>
      <c r="D405" s="10"/>
      <c r="E405" s="11"/>
      <c r="F405" s="8">
        <f t="shared" si="43"/>
        <v>0</v>
      </c>
      <c r="G405" s="9">
        <v>1</v>
      </c>
      <c r="H405" s="10"/>
      <c r="I405" s="11"/>
      <c r="J405" s="8">
        <f t="shared" si="44"/>
        <v>1</v>
      </c>
      <c r="K405" s="32">
        <v>45807</v>
      </c>
    </row>
    <row r="406" spans="2:11" x14ac:dyDescent="0.15">
      <c r="B406" s="4" t="s">
        <v>25</v>
      </c>
      <c r="C406" s="9">
        <v>1</v>
      </c>
      <c r="D406" s="10"/>
      <c r="E406" s="11"/>
      <c r="F406" s="8">
        <f t="shared" si="43"/>
        <v>1</v>
      </c>
      <c r="G406" s="9">
        <v>1</v>
      </c>
      <c r="H406" s="10"/>
      <c r="I406" s="11"/>
      <c r="J406" s="8">
        <f t="shared" si="44"/>
        <v>1</v>
      </c>
      <c r="K406" s="32">
        <v>45813</v>
      </c>
    </row>
    <row r="407" spans="2:11" x14ac:dyDescent="0.15">
      <c r="B407" s="4" t="s">
        <v>25</v>
      </c>
      <c r="C407" s="9"/>
      <c r="D407" s="10">
        <v>1</v>
      </c>
      <c r="E407" s="11"/>
      <c r="F407" s="8">
        <f t="shared" si="43"/>
        <v>1</v>
      </c>
      <c r="G407" s="9"/>
      <c r="H407" s="10">
        <v>1</v>
      </c>
      <c r="I407" s="11"/>
      <c r="J407" s="8">
        <f t="shared" si="44"/>
        <v>1</v>
      </c>
      <c r="K407" s="32">
        <v>45817</v>
      </c>
    </row>
    <row r="408" spans="2:11" x14ac:dyDescent="0.15">
      <c r="B408" s="4" t="s">
        <v>25</v>
      </c>
      <c r="C408" s="9"/>
      <c r="D408" s="10"/>
      <c r="E408" s="11"/>
      <c r="F408" s="8">
        <f t="shared" si="43"/>
        <v>0</v>
      </c>
      <c r="G408" s="9"/>
      <c r="H408" s="10">
        <v>2</v>
      </c>
      <c r="I408" s="11"/>
      <c r="J408" s="8">
        <f t="shared" si="44"/>
        <v>2</v>
      </c>
      <c r="K408" s="32">
        <v>45824</v>
      </c>
    </row>
    <row r="409" spans="2:11" x14ac:dyDescent="0.15">
      <c r="B409" s="4" t="s">
        <v>25</v>
      </c>
      <c r="C409" s="9"/>
      <c r="D409" s="10">
        <v>1</v>
      </c>
      <c r="E409" s="11"/>
      <c r="F409" s="8">
        <f t="shared" si="43"/>
        <v>1</v>
      </c>
      <c r="G409" s="9"/>
      <c r="H409" s="10">
        <v>1</v>
      </c>
      <c r="I409" s="11"/>
      <c r="J409" s="8">
        <f t="shared" si="44"/>
        <v>1</v>
      </c>
      <c r="K409" s="32">
        <v>45873</v>
      </c>
    </row>
    <row r="410" spans="2:11" x14ac:dyDescent="0.15">
      <c r="B410" s="4" t="s">
        <v>25</v>
      </c>
      <c r="C410" s="9">
        <v>1</v>
      </c>
      <c r="D410" s="10">
        <v>1</v>
      </c>
      <c r="E410" s="11"/>
      <c r="F410" s="8">
        <f t="shared" si="43"/>
        <v>2</v>
      </c>
      <c r="G410" s="9">
        <v>1</v>
      </c>
      <c r="H410" s="10">
        <v>1</v>
      </c>
      <c r="I410" s="11"/>
      <c r="J410" s="8">
        <f t="shared" si="44"/>
        <v>2</v>
      </c>
      <c r="K410" s="32">
        <v>45888</v>
      </c>
    </row>
    <row r="411" spans="2:11" x14ac:dyDescent="0.15">
      <c r="B411" s="4" t="s">
        <v>66</v>
      </c>
      <c r="C411" s="9">
        <v>0</v>
      </c>
      <c r="D411" s="10">
        <v>1</v>
      </c>
      <c r="E411" s="11">
        <v>0</v>
      </c>
      <c r="F411" s="8">
        <f t="shared" si="43"/>
        <v>1</v>
      </c>
      <c r="G411" s="9"/>
      <c r="H411" s="10">
        <v>-1</v>
      </c>
      <c r="I411" s="11">
        <v>2</v>
      </c>
      <c r="J411" s="8">
        <f t="shared" si="44"/>
        <v>1</v>
      </c>
      <c r="K411" s="32">
        <v>45890</v>
      </c>
    </row>
    <row r="412" spans="2:11" x14ac:dyDescent="0.15">
      <c r="B412" s="4" t="s">
        <v>25</v>
      </c>
      <c r="C412" s="9"/>
      <c r="D412" s="10">
        <v>1</v>
      </c>
      <c r="E412" s="11">
        <v>1</v>
      </c>
      <c r="F412" s="8">
        <f t="shared" si="43"/>
        <v>2</v>
      </c>
      <c r="G412" s="9"/>
      <c r="H412" s="10">
        <v>1</v>
      </c>
      <c r="I412" s="11">
        <v>1</v>
      </c>
      <c r="J412" s="8">
        <f t="shared" si="44"/>
        <v>2</v>
      </c>
      <c r="K412" s="32">
        <v>45894</v>
      </c>
    </row>
    <row r="413" spans="2:11" x14ac:dyDescent="0.15">
      <c r="B413" s="4" t="s">
        <v>25</v>
      </c>
      <c r="C413" s="9"/>
      <c r="D413" s="10"/>
      <c r="E413" s="11"/>
      <c r="F413" s="8">
        <f t="shared" si="43"/>
        <v>0</v>
      </c>
      <c r="G413" s="9"/>
      <c r="H413" s="10">
        <v>1</v>
      </c>
      <c r="I413" s="11"/>
      <c r="J413" s="8">
        <f t="shared" si="44"/>
        <v>1</v>
      </c>
      <c r="K413" s="32">
        <v>45950</v>
      </c>
    </row>
    <row r="414" spans="2:11" x14ac:dyDescent="0.15">
      <c r="B414" s="4" t="s">
        <v>73</v>
      </c>
      <c r="C414" s="9">
        <v>1</v>
      </c>
      <c r="D414" s="10"/>
      <c r="E414" s="11"/>
      <c r="F414" s="8">
        <f t="shared" si="43"/>
        <v>1</v>
      </c>
      <c r="G414" s="9">
        <v>1</v>
      </c>
      <c r="H414" s="10"/>
      <c r="I414" s="11"/>
      <c r="J414" s="8">
        <f t="shared" si="44"/>
        <v>1</v>
      </c>
      <c r="K414" s="30">
        <v>45958</v>
      </c>
    </row>
    <row r="415" spans="2:11" x14ac:dyDescent="0.15">
      <c r="B415" s="4" t="s">
        <v>56</v>
      </c>
      <c r="C415" s="9"/>
      <c r="D415" s="10"/>
      <c r="E415" s="11">
        <v>1</v>
      </c>
      <c r="F415" s="8">
        <f t="shared" si="43"/>
        <v>1</v>
      </c>
      <c r="G415" s="9"/>
      <c r="H415" s="10"/>
      <c r="I415" s="11">
        <v>1</v>
      </c>
      <c r="J415" s="8">
        <f t="shared" si="44"/>
        <v>1</v>
      </c>
      <c r="K415" s="30">
        <v>45960</v>
      </c>
    </row>
    <row r="416" spans="2:11" x14ac:dyDescent="0.15">
      <c r="B416" s="4" t="s">
        <v>56</v>
      </c>
      <c r="C416" s="9">
        <v>1</v>
      </c>
      <c r="D416" s="10"/>
      <c r="E416" s="11"/>
      <c r="F416" s="8">
        <f t="shared" si="43"/>
        <v>1</v>
      </c>
      <c r="G416" s="9">
        <v>1</v>
      </c>
      <c r="H416" s="10"/>
      <c r="I416" s="11"/>
      <c r="J416" s="8">
        <f t="shared" si="44"/>
        <v>1</v>
      </c>
      <c r="K416" s="30">
        <v>45967</v>
      </c>
    </row>
    <row r="417" spans="2:11" x14ac:dyDescent="0.15">
      <c r="B417" s="4" t="s">
        <v>7</v>
      </c>
      <c r="C417" s="9">
        <v>1</v>
      </c>
      <c r="D417" s="10">
        <v>1</v>
      </c>
      <c r="E417" s="11"/>
      <c r="F417" s="8">
        <f t="shared" si="43"/>
        <v>2</v>
      </c>
      <c r="G417" s="9">
        <v>1</v>
      </c>
      <c r="H417" s="10">
        <v>1</v>
      </c>
      <c r="I417" s="11"/>
      <c r="J417" s="8">
        <f t="shared" si="44"/>
        <v>2</v>
      </c>
      <c r="K417" s="30">
        <v>45967</v>
      </c>
    </row>
    <row r="418" spans="2:11" x14ac:dyDescent="0.15">
      <c r="B418" s="4" t="s">
        <v>56</v>
      </c>
      <c r="C418" s="9">
        <v>1</v>
      </c>
      <c r="D418" s="10"/>
      <c r="E418" s="11"/>
      <c r="F418" s="8">
        <f t="shared" si="43"/>
        <v>1</v>
      </c>
      <c r="G418" s="9">
        <v>1</v>
      </c>
      <c r="H418" s="10"/>
      <c r="I418" s="11"/>
      <c r="J418" s="8">
        <f t="shared" si="44"/>
        <v>1</v>
      </c>
      <c r="K418" s="30">
        <v>45972</v>
      </c>
    </row>
    <row r="419" spans="2:11" x14ac:dyDescent="0.15">
      <c r="B419" s="4" t="s">
        <v>7</v>
      </c>
      <c r="C419" s="9"/>
      <c r="D419" s="10">
        <v>2</v>
      </c>
      <c r="E419" s="11"/>
      <c r="F419" s="8">
        <f t="shared" si="43"/>
        <v>2</v>
      </c>
      <c r="G419" s="9"/>
      <c r="H419" s="10">
        <v>1</v>
      </c>
      <c r="I419" s="11"/>
      <c r="J419" s="8">
        <f t="shared" si="44"/>
        <v>1</v>
      </c>
      <c r="K419" s="32">
        <v>45979</v>
      </c>
    </row>
    <row r="420" spans="2:11" x14ac:dyDescent="0.15">
      <c r="B420" s="4" t="s">
        <v>7</v>
      </c>
      <c r="C420" s="9"/>
      <c r="D420" s="10">
        <v>1</v>
      </c>
      <c r="E420" s="11"/>
      <c r="F420" s="8">
        <f t="shared" si="43"/>
        <v>1</v>
      </c>
      <c r="G420" s="9"/>
      <c r="H420" s="10">
        <v>1</v>
      </c>
      <c r="I420" s="11"/>
      <c r="J420" s="8">
        <f t="shared" si="44"/>
        <v>1</v>
      </c>
      <c r="K420" s="32">
        <v>45981</v>
      </c>
    </row>
    <row r="421" spans="2:11" x14ac:dyDescent="0.15">
      <c r="B421" s="4" t="s">
        <v>56</v>
      </c>
      <c r="C421" s="9"/>
      <c r="D421" s="10">
        <v>1</v>
      </c>
      <c r="E421" s="11"/>
      <c r="F421" s="8">
        <f t="shared" si="43"/>
        <v>1</v>
      </c>
      <c r="G421" s="9"/>
      <c r="H421" s="10">
        <v>1</v>
      </c>
      <c r="I421" s="11"/>
      <c r="J421" s="8">
        <f t="shared" si="44"/>
        <v>1</v>
      </c>
      <c r="K421" s="30">
        <v>45987</v>
      </c>
    </row>
    <row r="422" spans="2:11" x14ac:dyDescent="0.15">
      <c r="B422" s="4" t="s">
        <v>7</v>
      </c>
      <c r="C422" s="9"/>
      <c r="D422" s="10"/>
      <c r="E422" s="11">
        <v>1</v>
      </c>
      <c r="F422" s="8">
        <f t="shared" si="43"/>
        <v>1</v>
      </c>
      <c r="G422" s="9"/>
      <c r="H422" s="10"/>
      <c r="I422" s="11">
        <v>1</v>
      </c>
      <c r="J422" s="8">
        <f t="shared" si="44"/>
        <v>1</v>
      </c>
      <c r="K422" s="32">
        <v>45987</v>
      </c>
    </row>
    <row r="423" spans="2:11" x14ac:dyDescent="0.15">
      <c r="B423" s="4" t="s">
        <v>7</v>
      </c>
      <c r="C423" s="9">
        <v>1</v>
      </c>
      <c r="D423" s="10"/>
      <c r="E423" s="11"/>
      <c r="F423" s="8">
        <f t="shared" si="43"/>
        <v>1</v>
      </c>
      <c r="G423" s="9">
        <v>1</v>
      </c>
      <c r="H423" s="10"/>
      <c r="I423" s="11"/>
      <c r="J423" s="8">
        <f t="shared" si="44"/>
        <v>1</v>
      </c>
      <c r="K423" s="32">
        <v>45988</v>
      </c>
    </row>
    <row r="424" spans="2:11" x14ac:dyDescent="0.15">
      <c r="B424" s="4" t="s">
        <v>7</v>
      </c>
      <c r="C424" s="9">
        <v>1</v>
      </c>
      <c r="D424" s="10"/>
      <c r="E424" s="11"/>
      <c r="F424" s="8">
        <f t="shared" si="43"/>
        <v>1</v>
      </c>
      <c r="G424" s="9">
        <v>1</v>
      </c>
      <c r="H424" s="10"/>
      <c r="I424" s="11"/>
      <c r="J424" s="8">
        <f t="shared" si="44"/>
        <v>1</v>
      </c>
      <c r="K424" s="32">
        <v>45992</v>
      </c>
    </row>
    <row r="425" spans="2:11" x14ac:dyDescent="0.15">
      <c r="B425" s="4" t="s">
        <v>56</v>
      </c>
      <c r="C425" s="9">
        <v>1</v>
      </c>
      <c r="D425" s="10"/>
      <c r="E425" s="11">
        <v>1</v>
      </c>
      <c r="F425" s="8">
        <f t="shared" si="41"/>
        <v>2</v>
      </c>
      <c r="G425" s="9">
        <v>1</v>
      </c>
      <c r="H425" s="10"/>
      <c r="I425" s="11">
        <v>1</v>
      </c>
      <c r="J425" s="8">
        <f t="shared" si="42"/>
        <v>2</v>
      </c>
      <c r="K425" s="30">
        <v>45993</v>
      </c>
    </row>
    <row r="426" spans="2:11" ht="14.25" thickBot="1" x14ac:dyDescent="0.2">
      <c r="B426" s="4" t="s">
        <v>7</v>
      </c>
      <c r="C426" s="9"/>
      <c r="D426" s="10"/>
      <c r="E426" s="11"/>
      <c r="F426" s="8">
        <f t="shared" si="41"/>
        <v>0</v>
      </c>
      <c r="G426" s="9">
        <v>2</v>
      </c>
      <c r="H426" s="10"/>
      <c r="I426" s="11"/>
      <c r="J426" s="8">
        <f t="shared" si="42"/>
        <v>2</v>
      </c>
      <c r="K426" s="32">
        <v>45993</v>
      </c>
    </row>
    <row r="427" spans="2:11" ht="14.25" thickBot="1" x14ac:dyDescent="0.2">
      <c r="B427" s="3" t="s">
        <v>5</v>
      </c>
      <c r="C427" s="15">
        <f>SUM(C403:C426)</f>
        <v>10</v>
      </c>
      <c r="D427" s="15">
        <f>SUM(D403:D426)</f>
        <v>13</v>
      </c>
      <c r="E427" s="15">
        <f>SUM(E403:E426)</f>
        <v>5</v>
      </c>
      <c r="F427" s="16">
        <f t="shared" si="41"/>
        <v>28</v>
      </c>
      <c r="G427" s="15">
        <f>SUM(G403:G426)</f>
        <v>13</v>
      </c>
      <c r="H427" s="15">
        <f>SUM(H403:H426)</f>
        <v>13</v>
      </c>
      <c r="I427" s="15">
        <f>SUM(I403:I426)</f>
        <v>7</v>
      </c>
      <c r="J427" s="16">
        <f t="shared" si="42"/>
        <v>33</v>
      </c>
    </row>
    <row r="428" spans="2:11" ht="14.25" thickBot="1" x14ac:dyDescent="0.2">
      <c r="B428" s="26" t="s">
        <v>6</v>
      </c>
      <c r="C428" s="27">
        <f t="shared" ref="C428:J428" si="45">C402-C427</f>
        <v>5</v>
      </c>
      <c r="D428" s="27">
        <f t="shared" si="45"/>
        <v>6</v>
      </c>
      <c r="E428" s="27">
        <f t="shared" si="45"/>
        <v>4</v>
      </c>
      <c r="F428" s="27">
        <f t="shared" si="45"/>
        <v>15</v>
      </c>
      <c r="G428" s="27">
        <f t="shared" si="45"/>
        <v>3</v>
      </c>
      <c r="H428" s="27">
        <f t="shared" si="45"/>
        <v>6</v>
      </c>
      <c r="I428" s="27">
        <f t="shared" si="45"/>
        <v>4</v>
      </c>
      <c r="J428" s="25">
        <f t="shared" si="45"/>
        <v>13</v>
      </c>
    </row>
    <row r="431" spans="2:11" ht="19.5" thickBot="1" x14ac:dyDescent="0.25">
      <c r="B431" s="33" t="s">
        <v>18</v>
      </c>
      <c r="C431" s="1"/>
      <c r="D431" s="1"/>
      <c r="E431" s="1"/>
      <c r="F431" s="1"/>
      <c r="G431" s="34"/>
      <c r="H431" s="34">
        <v>1400</v>
      </c>
      <c r="I431" s="34"/>
      <c r="J431" s="34"/>
    </row>
    <row r="432" spans="2:11" ht="14.25" thickBot="1" x14ac:dyDescent="0.2">
      <c r="B432" s="2" t="s">
        <v>0</v>
      </c>
      <c r="C432" s="80" t="s">
        <v>13</v>
      </c>
      <c r="D432" s="80"/>
      <c r="E432" s="80"/>
      <c r="F432" s="81"/>
      <c r="G432" s="82" t="s">
        <v>16</v>
      </c>
      <c r="H432" s="82"/>
      <c r="I432" s="82"/>
      <c r="J432" s="83"/>
    </row>
    <row r="433" spans="1:12" ht="14.25" thickBot="1" x14ac:dyDescent="0.2">
      <c r="B433" s="2" t="s">
        <v>1</v>
      </c>
      <c r="C433" s="3" t="s">
        <v>9</v>
      </c>
      <c r="D433" s="2" t="s">
        <v>10</v>
      </c>
      <c r="E433" s="19" t="s">
        <v>11</v>
      </c>
      <c r="F433" s="2" t="s">
        <v>2</v>
      </c>
      <c r="G433" s="3" t="s">
        <v>9</v>
      </c>
      <c r="H433" s="2" t="s">
        <v>10</v>
      </c>
      <c r="I433" s="19" t="s">
        <v>11</v>
      </c>
      <c r="J433" s="2" t="s">
        <v>2</v>
      </c>
    </row>
    <row r="434" spans="1:12" x14ac:dyDescent="0.15">
      <c r="B434" s="28" t="s">
        <v>12</v>
      </c>
      <c r="C434" s="41">
        <f>C428</f>
        <v>5</v>
      </c>
      <c r="D434" s="40">
        <f>D428</f>
        <v>6</v>
      </c>
      <c r="E434" s="41">
        <f>E428</f>
        <v>4</v>
      </c>
      <c r="F434" s="62">
        <f t="shared" ref="F434:F470" si="46">SUM(C434:E434)</f>
        <v>15</v>
      </c>
      <c r="G434" s="41">
        <f>G428</f>
        <v>3</v>
      </c>
      <c r="H434" s="40">
        <f>H428</f>
        <v>6</v>
      </c>
      <c r="I434" s="41">
        <f>I428</f>
        <v>4</v>
      </c>
      <c r="J434" s="18">
        <f t="shared" ref="J434:J470" si="47">SUM(G434:I434)</f>
        <v>13</v>
      </c>
    </row>
    <row r="435" spans="1:12" x14ac:dyDescent="0.15">
      <c r="B435" s="6" t="s">
        <v>3</v>
      </c>
      <c r="C435" s="37"/>
      <c r="D435" s="36"/>
      <c r="E435" s="37"/>
      <c r="F435" s="42">
        <f t="shared" ref="F435:F439" si="48">SUM(C435:E435)</f>
        <v>0</v>
      </c>
      <c r="G435" s="37">
        <v>2</v>
      </c>
      <c r="H435" s="36"/>
      <c r="I435" s="37"/>
      <c r="J435" s="5">
        <f t="shared" ref="J435:J439" si="49">SUM(G435:I435)</f>
        <v>2</v>
      </c>
      <c r="K435" s="30">
        <v>46002</v>
      </c>
    </row>
    <row r="436" spans="1:12" x14ac:dyDescent="0.15">
      <c r="B436" s="6" t="s">
        <v>3</v>
      </c>
      <c r="C436" s="37">
        <v>2</v>
      </c>
      <c r="D436" s="36"/>
      <c r="E436" s="37"/>
      <c r="F436" s="42">
        <f t="shared" si="48"/>
        <v>2</v>
      </c>
      <c r="G436" s="37">
        <v>2</v>
      </c>
      <c r="H436" s="36"/>
      <c r="I436" s="37"/>
      <c r="J436" s="5">
        <f t="shared" si="49"/>
        <v>2</v>
      </c>
      <c r="K436" s="30">
        <v>46009</v>
      </c>
    </row>
    <row r="437" spans="1:12" x14ac:dyDescent="0.15">
      <c r="B437" s="6" t="s">
        <v>3</v>
      </c>
      <c r="C437" s="37"/>
      <c r="D437" s="36">
        <v>3</v>
      </c>
      <c r="E437" s="37"/>
      <c r="F437" s="42">
        <f t="shared" si="48"/>
        <v>3</v>
      </c>
      <c r="G437" s="37"/>
      <c r="H437" s="36">
        <v>3</v>
      </c>
      <c r="I437" s="37">
        <v>3</v>
      </c>
      <c r="J437" s="5">
        <f t="shared" si="49"/>
        <v>6</v>
      </c>
      <c r="K437" s="30">
        <v>46029</v>
      </c>
    </row>
    <row r="438" spans="1:12" x14ac:dyDescent="0.15">
      <c r="A438" s="31"/>
      <c r="B438" s="6" t="s">
        <v>3</v>
      </c>
      <c r="C438" s="37"/>
      <c r="D438" s="36"/>
      <c r="E438" s="37"/>
      <c r="F438" s="42">
        <f t="shared" si="48"/>
        <v>0</v>
      </c>
      <c r="G438" s="37"/>
      <c r="H438" s="36">
        <v>3</v>
      </c>
      <c r="I438" s="37"/>
      <c r="J438" s="5">
        <f t="shared" si="49"/>
        <v>3</v>
      </c>
      <c r="K438" s="30">
        <v>46037</v>
      </c>
      <c r="L438" s="31"/>
    </row>
    <row r="439" spans="1:12" x14ac:dyDescent="0.15">
      <c r="A439" s="31"/>
      <c r="B439" s="6" t="s">
        <v>3</v>
      </c>
      <c r="C439" s="37"/>
      <c r="D439" s="36"/>
      <c r="E439" s="37">
        <v>2</v>
      </c>
      <c r="F439" s="42">
        <f t="shared" si="48"/>
        <v>2</v>
      </c>
      <c r="G439" s="37"/>
      <c r="H439" s="36"/>
      <c r="I439" s="37">
        <v>2</v>
      </c>
      <c r="J439" s="5">
        <f t="shared" si="49"/>
        <v>2</v>
      </c>
      <c r="K439" s="30">
        <v>46038</v>
      </c>
      <c r="L439" s="31"/>
    </row>
    <row r="440" spans="1:12" x14ac:dyDescent="0.15">
      <c r="A440" s="31"/>
      <c r="B440" s="6" t="s">
        <v>3</v>
      </c>
      <c r="C440" s="37"/>
      <c r="D440" s="36">
        <v>5</v>
      </c>
      <c r="E440" s="37"/>
      <c r="F440" s="42">
        <f t="shared" si="46"/>
        <v>5</v>
      </c>
      <c r="G440" s="37"/>
      <c r="H440" s="36">
        <v>5</v>
      </c>
      <c r="I440" s="37"/>
      <c r="J440" s="5">
        <f t="shared" si="47"/>
        <v>5</v>
      </c>
      <c r="K440" s="30">
        <v>46072</v>
      </c>
      <c r="L440" s="31"/>
    </row>
    <row r="441" spans="1:12" x14ac:dyDescent="0.15">
      <c r="B441" s="6" t="s">
        <v>28</v>
      </c>
      <c r="C441" s="37">
        <v>0</v>
      </c>
      <c r="D441" s="36">
        <v>0</v>
      </c>
      <c r="E441" s="37">
        <v>0</v>
      </c>
      <c r="F441" s="42">
        <f t="shared" si="46"/>
        <v>0</v>
      </c>
      <c r="G441" s="37">
        <v>0</v>
      </c>
      <c r="H441" s="36">
        <v>0</v>
      </c>
      <c r="I441" s="37">
        <v>0</v>
      </c>
      <c r="J441" s="5">
        <f t="shared" si="47"/>
        <v>0</v>
      </c>
      <c r="K441" s="32">
        <v>46085</v>
      </c>
    </row>
    <row r="442" spans="1:12" x14ac:dyDescent="0.15">
      <c r="B442" s="6" t="s">
        <v>3</v>
      </c>
      <c r="C442" s="37">
        <v>3</v>
      </c>
      <c r="D442" s="36">
        <v>3</v>
      </c>
      <c r="E442" s="37"/>
      <c r="F442" s="42">
        <f t="shared" si="46"/>
        <v>6</v>
      </c>
      <c r="G442" s="37">
        <v>3</v>
      </c>
      <c r="H442" s="36">
        <v>3</v>
      </c>
      <c r="I442" s="37"/>
      <c r="J442" s="5">
        <f t="shared" si="47"/>
        <v>6</v>
      </c>
      <c r="K442" s="30">
        <v>46115</v>
      </c>
    </row>
    <row r="443" spans="1:12" x14ac:dyDescent="0.15">
      <c r="B443" s="6" t="s">
        <v>3</v>
      </c>
      <c r="C443" s="37"/>
      <c r="D443" s="36"/>
      <c r="E443" s="37"/>
      <c r="F443" s="42">
        <f t="shared" si="46"/>
        <v>0</v>
      </c>
      <c r="G443" s="37"/>
      <c r="H443" s="36"/>
      <c r="I443" s="37"/>
      <c r="J443" s="5">
        <f t="shared" si="47"/>
        <v>0</v>
      </c>
    </row>
    <row r="444" spans="1:12" ht="14.25" thickBot="1" x14ac:dyDescent="0.2">
      <c r="B444" s="7" t="s">
        <v>3</v>
      </c>
      <c r="C444" s="44"/>
      <c r="D444" s="45"/>
      <c r="E444" s="44"/>
      <c r="F444" s="46">
        <f t="shared" si="46"/>
        <v>0</v>
      </c>
      <c r="G444" s="44"/>
      <c r="H444" s="45"/>
      <c r="I444" s="44"/>
      <c r="J444" s="20">
        <f t="shared" si="47"/>
        <v>0</v>
      </c>
    </row>
    <row r="445" spans="1:12" ht="14.25" thickBot="1" x14ac:dyDescent="0.2">
      <c r="B445" s="22" t="s">
        <v>4</v>
      </c>
      <c r="C445" s="23">
        <f>SUM(C434:C444)</f>
        <v>10</v>
      </c>
      <c r="D445" s="23">
        <f>SUM(D434:D444)</f>
        <v>17</v>
      </c>
      <c r="E445" s="24">
        <f>SUM(E434:E444)</f>
        <v>6</v>
      </c>
      <c r="F445" s="25">
        <f t="shared" si="46"/>
        <v>33</v>
      </c>
      <c r="G445" s="23">
        <f>SUM(G434:G444)</f>
        <v>10</v>
      </c>
      <c r="H445" s="23">
        <f>SUM(H434:H444)</f>
        <v>20</v>
      </c>
      <c r="I445" s="24">
        <f>SUM(I434:I444)</f>
        <v>9</v>
      </c>
      <c r="J445" s="25">
        <f t="shared" si="47"/>
        <v>39</v>
      </c>
    </row>
    <row r="446" spans="1:12" x14ac:dyDescent="0.15">
      <c r="B446" s="4" t="s">
        <v>56</v>
      </c>
      <c r="C446" s="9">
        <v>1</v>
      </c>
      <c r="D446" s="10"/>
      <c r="E446" s="11"/>
      <c r="F446" s="8">
        <f t="shared" si="46"/>
        <v>1</v>
      </c>
      <c r="G446" s="9">
        <v>1</v>
      </c>
      <c r="H446" s="10"/>
      <c r="I446" s="11"/>
      <c r="J446" s="8">
        <f t="shared" si="47"/>
        <v>1</v>
      </c>
      <c r="K446" s="30">
        <v>46000</v>
      </c>
    </row>
    <row r="447" spans="1:12" x14ac:dyDescent="0.15">
      <c r="B447" s="4" t="s">
        <v>7</v>
      </c>
      <c r="C447" s="9"/>
      <c r="D447" s="10"/>
      <c r="E447" s="11">
        <v>1</v>
      </c>
      <c r="F447" s="8">
        <f t="shared" si="46"/>
        <v>1</v>
      </c>
      <c r="G447" s="9"/>
      <c r="H447" s="10"/>
      <c r="I447" s="11">
        <v>1</v>
      </c>
      <c r="J447" s="8">
        <f t="shared" si="47"/>
        <v>1</v>
      </c>
      <c r="K447" s="30">
        <v>45999</v>
      </c>
    </row>
    <row r="448" spans="1:12" x14ac:dyDescent="0.15">
      <c r="B448" s="4" t="s">
        <v>56</v>
      </c>
      <c r="C448" s="9"/>
      <c r="D448" s="10">
        <v>1</v>
      </c>
      <c r="E448" s="11"/>
      <c r="F448" s="8">
        <f t="shared" si="46"/>
        <v>1</v>
      </c>
      <c r="G448" s="9"/>
      <c r="H448" s="10">
        <v>1</v>
      </c>
      <c r="I448" s="11"/>
      <c r="J448" s="8">
        <f t="shared" si="47"/>
        <v>1</v>
      </c>
      <c r="K448" s="30">
        <v>46003</v>
      </c>
      <c r="L448" s="31"/>
    </row>
    <row r="449" spans="2:11" x14ac:dyDescent="0.15">
      <c r="B449" s="4" t="s">
        <v>7</v>
      </c>
      <c r="C449" s="9">
        <v>1</v>
      </c>
      <c r="D449" s="10"/>
      <c r="E449" s="11"/>
      <c r="F449" s="8">
        <f t="shared" si="46"/>
        <v>1</v>
      </c>
      <c r="G449" s="9">
        <v>1</v>
      </c>
      <c r="H449" s="10"/>
      <c r="I449" s="11"/>
      <c r="J449" s="8">
        <f t="shared" si="47"/>
        <v>1</v>
      </c>
      <c r="K449" s="32">
        <v>46006</v>
      </c>
    </row>
    <row r="450" spans="2:11" x14ac:dyDescent="0.15">
      <c r="B450" s="4" t="s">
        <v>7</v>
      </c>
      <c r="C450" s="9"/>
      <c r="D450" s="10">
        <v>1</v>
      </c>
      <c r="E450" s="11"/>
      <c r="F450" s="8">
        <f t="shared" si="46"/>
        <v>1</v>
      </c>
      <c r="G450" s="9"/>
      <c r="H450" s="10">
        <v>1</v>
      </c>
      <c r="I450" s="11"/>
      <c r="J450" s="8">
        <f t="shared" si="47"/>
        <v>1</v>
      </c>
      <c r="K450" s="32">
        <v>46007</v>
      </c>
    </row>
    <row r="451" spans="2:11" x14ac:dyDescent="0.15">
      <c r="B451" s="4" t="s">
        <v>7</v>
      </c>
      <c r="C451" s="9"/>
      <c r="D451" s="10">
        <v>1</v>
      </c>
      <c r="E451" s="11"/>
      <c r="F451" s="8">
        <f t="shared" si="46"/>
        <v>1</v>
      </c>
      <c r="G451" s="9"/>
      <c r="H451" s="10">
        <v>1</v>
      </c>
      <c r="I451" s="11"/>
      <c r="J451" s="8">
        <f t="shared" si="47"/>
        <v>1</v>
      </c>
      <c r="K451" s="32">
        <v>46027</v>
      </c>
    </row>
    <row r="452" spans="2:11" x14ac:dyDescent="0.15">
      <c r="B452" s="4" t="s">
        <v>7</v>
      </c>
      <c r="C452" s="9"/>
      <c r="D452" s="10"/>
      <c r="E452" s="11">
        <v>1</v>
      </c>
      <c r="F452" s="8">
        <f t="shared" si="46"/>
        <v>1</v>
      </c>
      <c r="G452" s="9"/>
      <c r="H452" s="10"/>
      <c r="I452" s="11">
        <v>3</v>
      </c>
      <c r="J452" s="8">
        <f t="shared" si="47"/>
        <v>3</v>
      </c>
      <c r="K452" s="32">
        <v>46028</v>
      </c>
    </row>
    <row r="453" spans="2:11" x14ac:dyDescent="0.15">
      <c r="B453" s="4" t="s">
        <v>7</v>
      </c>
      <c r="C453" s="9"/>
      <c r="D453" s="10">
        <v>1</v>
      </c>
      <c r="E453" s="11"/>
      <c r="F453" s="8">
        <f t="shared" si="46"/>
        <v>1</v>
      </c>
      <c r="G453" s="9"/>
      <c r="H453" s="10">
        <v>3</v>
      </c>
      <c r="I453" s="11"/>
      <c r="J453" s="8">
        <f t="shared" si="47"/>
        <v>3</v>
      </c>
      <c r="K453" s="32">
        <v>46035</v>
      </c>
    </row>
    <row r="454" spans="2:11" x14ac:dyDescent="0.15">
      <c r="B454" s="4" t="s">
        <v>7</v>
      </c>
      <c r="C454" s="9"/>
      <c r="D454" s="10">
        <v>1</v>
      </c>
      <c r="E454" s="11"/>
      <c r="F454" s="8">
        <f t="shared" si="46"/>
        <v>1</v>
      </c>
      <c r="G454" s="9"/>
      <c r="H454" s="10">
        <v>1</v>
      </c>
      <c r="I454" s="11"/>
      <c r="J454" s="8">
        <f t="shared" si="47"/>
        <v>1</v>
      </c>
      <c r="K454" s="32">
        <v>46037</v>
      </c>
    </row>
    <row r="455" spans="2:11" x14ac:dyDescent="0.15">
      <c r="B455" s="4" t="s">
        <v>7</v>
      </c>
      <c r="C455" s="9"/>
      <c r="D455" s="10">
        <v>1</v>
      </c>
      <c r="E455" s="11"/>
      <c r="F455" s="8">
        <f t="shared" si="46"/>
        <v>1</v>
      </c>
      <c r="G455" s="9"/>
      <c r="H455" s="10">
        <v>1</v>
      </c>
      <c r="I455" s="11"/>
      <c r="J455" s="8">
        <f t="shared" si="47"/>
        <v>1</v>
      </c>
      <c r="K455" s="32">
        <v>46053</v>
      </c>
    </row>
    <row r="456" spans="2:11" x14ac:dyDescent="0.15">
      <c r="B456" s="4" t="s">
        <v>7</v>
      </c>
      <c r="C456" s="9"/>
      <c r="D456" s="10">
        <v>1</v>
      </c>
      <c r="E456" s="11"/>
      <c r="F456" s="8">
        <f t="shared" si="46"/>
        <v>1</v>
      </c>
      <c r="G456" s="9"/>
      <c r="H456" s="10">
        <v>1</v>
      </c>
      <c r="I456" s="11"/>
      <c r="J456" s="8">
        <f t="shared" si="47"/>
        <v>1</v>
      </c>
      <c r="K456" s="32">
        <v>46055</v>
      </c>
    </row>
    <row r="457" spans="2:11" x14ac:dyDescent="0.15">
      <c r="B457" s="4" t="s">
        <v>7</v>
      </c>
      <c r="C457" s="9"/>
      <c r="D457" s="10"/>
      <c r="E457" s="11"/>
      <c r="F457" s="8">
        <f t="shared" si="46"/>
        <v>0</v>
      </c>
      <c r="G457" s="9"/>
      <c r="H457" s="10">
        <v>1</v>
      </c>
      <c r="I457" s="11"/>
      <c r="J457" s="8">
        <f t="shared" si="47"/>
        <v>1</v>
      </c>
      <c r="K457" s="32">
        <v>46062</v>
      </c>
    </row>
    <row r="458" spans="2:11" x14ac:dyDescent="0.15">
      <c r="B458" s="4" t="s">
        <v>7</v>
      </c>
      <c r="C458" s="9"/>
      <c r="D458" s="10">
        <v>1</v>
      </c>
      <c r="E458" s="11"/>
      <c r="F458" s="8">
        <f t="shared" si="46"/>
        <v>1</v>
      </c>
      <c r="G458" s="9"/>
      <c r="H458" s="10">
        <v>1</v>
      </c>
      <c r="I458" s="11"/>
      <c r="J458" s="8">
        <f t="shared" si="47"/>
        <v>1</v>
      </c>
      <c r="K458" s="32">
        <v>46063</v>
      </c>
    </row>
    <row r="459" spans="2:11" x14ac:dyDescent="0.15">
      <c r="B459" s="4" t="s">
        <v>7</v>
      </c>
      <c r="C459" s="9"/>
      <c r="D459" s="10"/>
      <c r="E459" s="11">
        <v>1</v>
      </c>
      <c r="F459" s="8">
        <f t="shared" si="46"/>
        <v>1</v>
      </c>
      <c r="G459" s="9"/>
      <c r="H459" s="10"/>
      <c r="I459" s="11">
        <v>1</v>
      </c>
      <c r="J459" s="8">
        <f t="shared" si="47"/>
        <v>1</v>
      </c>
      <c r="K459" s="32">
        <v>46077</v>
      </c>
    </row>
    <row r="460" spans="2:11" x14ac:dyDescent="0.15">
      <c r="B460" s="4" t="s">
        <v>7</v>
      </c>
      <c r="C460" s="9"/>
      <c r="D460" s="10">
        <v>1</v>
      </c>
      <c r="E460" s="11"/>
      <c r="F460" s="8">
        <f t="shared" si="46"/>
        <v>1</v>
      </c>
      <c r="G460" s="9"/>
      <c r="H460" s="10">
        <v>1</v>
      </c>
      <c r="I460" s="11"/>
      <c r="J460" s="8">
        <f t="shared" si="47"/>
        <v>1</v>
      </c>
      <c r="K460" s="32">
        <v>46084</v>
      </c>
    </row>
    <row r="461" spans="2:11" x14ac:dyDescent="0.15">
      <c r="B461" s="4" t="s">
        <v>7</v>
      </c>
      <c r="C461" s="9"/>
      <c r="D461" s="10">
        <v>1</v>
      </c>
      <c r="E461" s="11"/>
      <c r="F461" s="8">
        <f t="shared" si="46"/>
        <v>1</v>
      </c>
      <c r="G461" s="9"/>
      <c r="H461" s="10">
        <v>1</v>
      </c>
      <c r="I461" s="11"/>
      <c r="J461" s="8">
        <f t="shared" si="47"/>
        <v>1</v>
      </c>
      <c r="K461" s="32">
        <v>46087</v>
      </c>
    </row>
    <row r="462" spans="2:11" x14ac:dyDescent="0.15">
      <c r="B462" s="4" t="s">
        <v>7</v>
      </c>
      <c r="C462" s="9">
        <v>1</v>
      </c>
      <c r="D462" s="10"/>
      <c r="E462" s="11"/>
      <c r="F462" s="8">
        <f t="shared" si="46"/>
        <v>1</v>
      </c>
      <c r="G462" s="9">
        <v>1</v>
      </c>
      <c r="H462" s="10"/>
      <c r="I462" s="11"/>
      <c r="J462" s="8">
        <f t="shared" si="47"/>
        <v>1</v>
      </c>
      <c r="K462" s="32">
        <v>46090</v>
      </c>
    </row>
    <row r="463" spans="2:11" x14ac:dyDescent="0.15">
      <c r="B463" s="4" t="s">
        <v>7</v>
      </c>
      <c r="C463" s="9">
        <v>1</v>
      </c>
      <c r="D463" s="10"/>
      <c r="E463" s="11"/>
      <c r="F463" s="8">
        <f t="shared" si="46"/>
        <v>1</v>
      </c>
      <c r="G463" s="9">
        <v>1</v>
      </c>
      <c r="H463" s="10"/>
      <c r="I463" s="11"/>
      <c r="J463" s="8">
        <f t="shared" si="47"/>
        <v>1</v>
      </c>
      <c r="K463" s="32">
        <v>46093</v>
      </c>
    </row>
    <row r="464" spans="2:11" x14ac:dyDescent="0.15">
      <c r="B464" s="4" t="s">
        <v>7</v>
      </c>
      <c r="C464" s="9">
        <v>1</v>
      </c>
      <c r="D464" s="10"/>
      <c r="E464" s="11"/>
      <c r="F464" s="8">
        <f t="shared" si="46"/>
        <v>1</v>
      </c>
      <c r="G464" s="9">
        <v>1</v>
      </c>
      <c r="H464" s="10"/>
      <c r="I464" s="11"/>
      <c r="J464" s="8">
        <f t="shared" si="47"/>
        <v>1</v>
      </c>
      <c r="K464" s="30">
        <v>46105</v>
      </c>
    </row>
    <row r="465" spans="2:11" x14ac:dyDescent="0.15">
      <c r="B465" s="4" t="s">
        <v>56</v>
      </c>
      <c r="C465" s="9">
        <v>1</v>
      </c>
      <c r="D465" s="10"/>
      <c r="E465" s="11"/>
      <c r="F465" s="8">
        <f t="shared" si="46"/>
        <v>1</v>
      </c>
      <c r="G465" s="9">
        <v>1</v>
      </c>
      <c r="H465" s="10"/>
      <c r="I465" s="11"/>
      <c r="J465" s="8">
        <f t="shared" si="47"/>
        <v>1</v>
      </c>
      <c r="K465" s="30">
        <v>46112</v>
      </c>
    </row>
    <row r="466" spans="2:11" x14ac:dyDescent="0.15">
      <c r="B466" s="4" t="s">
        <v>7</v>
      </c>
      <c r="C466" s="9"/>
      <c r="D466" s="10">
        <v>1</v>
      </c>
      <c r="E466" s="11"/>
      <c r="F466" s="8">
        <f t="shared" si="46"/>
        <v>1</v>
      </c>
      <c r="G466" s="9"/>
      <c r="H466" s="10">
        <v>1</v>
      </c>
      <c r="I466" s="11"/>
      <c r="J466" s="8">
        <f t="shared" si="47"/>
        <v>1</v>
      </c>
      <c r="K466" s="32">
        <v>46112</v>
      </c>
    </row>
    <row r="467" spans="2:11" x14ac:dyDescent="0.15">
      <c r="B467" s="4" t="s">
        <v>7</v>
      </c>
      <c r="C467" s="9"/>
      <c r="D467" s="10">
        <v>1</v>
      </c>
      <c r="E467" s="11"/>
      <c r="F467" s="8">
        <f t="shared" si="46"/>
        <v>1</v>
      </c>
      <c r="G467" s="9"/>
      <c r="H467" s="10">
        <v>1</v>
      </c>
      <c r="I467" s="11"/>
      <c r="J467" s="8">
        <f t="shared" si="47"/>
        <v>1</v>
      </c>
      <c r="K467" s="32">
        <v>46139</v>
      </c>
    </row>
    <row r="468" spans="2:11" x14ac:dyDescent="0.15">
      <c r="B468" s="4" t="s">
        <v>7</v>
      </c>
      <c r="C468" s="9"/>
      <c r="D468" s="10"/>
      <c r="E468" s="11"/>
      <c r="F468" s="8">
        <f t="shared" si="46"/>
        <v>0</v>
      </c>
      <c r="G468" s="9"/>
      <c r="H468" s="10">
        <v>1</v>
      </c>
      <c r="I468" s="11"/>
      <c r="J468" s="8">
        <f t="shared" si="47"/>
        <v>1</v>
      </c>
      <c r="K468" s="32">
        <v>46140</v>
      </c>
    </row>
    <row r="469" spans="2:11" ht="14.25" thickBot="1" x14ac:dyDescent="0.2">
      <c r="B469" s="4" t="s">
        <v>7</v>
      </c>
      <c r="C469" s="9">
        <v>1</v>
      </c>
      <c r="D469" s="10"/>
      <c r="E469" s="11"/>
      <c r="F469" s="8">
        <f t="shared" si="46"/>
        <v>1</v>
      </c>
      <c r="G469" s="9">
        <v>1</v>
      </c>
      <c r="H469" s="10"/>
      <c r="I469" s="11"/>
      <c r="J469" s="8">
        <f t="shared" si="47"/>
        <v>1</v>
      </c>
      <c r="K469" s="32">
        <v>46149</v>
      </c>
    </row>
    <row r="470" spans="2:11" ht="14.25" thickBot="1" x14ac:dyDescent="0.2">
      <c r="B470" s="3" t="s">
        <v>5</v>
      </c>
      <c r="C470" s="15">
        <f>SUM(C446:C469)</f>
        <v>7</v>
      </c>
      <c r="D470" s="15">
        <f>SUM(D446:D469)</f>
        <v>12</v>
      </c>
      <c r="E470" s="15">
        <f>SUM(E446:E469)</f>
        <v>3</v>
      </c>
      <c r="F470" s="16">
        <f t="shared" si="46"/>
        <v>22</v>
      </c>
      <c r="G470" s="15">
        <f>SUM(G446:G469)</f>
        <v>7</v>
      </c>
      <c r="H470" s="15">
        <f>SUM(H446:H469)</f>
        <v>16</v>
      </c>
      <c r="I470" s="15">
        <f>SUM(I446:I469)</f>
        <v>5</v>
      </c>
      <c r="J470" s="16">
        <f t="shared" si="47"/>
        <v>28</v>
      </c>
    </row>
    <row r="471" spans="2:11" ht="14.25" thickBot="1" x14ac:dyDescent="0.2">
      <c r="B471" s="26" t="s">
        <v>6</v>
      </c>
      <c r="C471" s="27">
        <f t="shared" ref="C471:J471" si="50">C445-C470</f>
        <v>3</v>
      </c>
      <c r="D471" s="27">
        <f t="shared" si="50"/>
        <v>5</v>
      </c>
      <c r="E471" s="27">
        <f t="shared" si="50"/>
        <v>3</v>
      </c>
      <c r="F471" s="27">
        <f t="shared" si="50"/>
        <v>11</v>
      </c>
      <c r="G471" s="27">
        <f t="shared" si="50"/>
        <v>3</v>
      </c>
      <c r="H471" s="27">
        <f t="shared" si="50"/>
        <v>4</v>
      </c>
      <c r="I471" s="27">
        <f t="shared" si="50"/>
        <v>4</v>
      </c>
      <c r="J471" s="25">
        <f t="shared" si="50"/>
        <v>11</v>
      </c>
    </row>
    <row r="474" spans="2:11" ht="19.5" thickBot="1" x14ac:dyDescent="0.25">
      <c r="B474" s="33" t="s">
        <v>18</v>
      </c>
      <c r="C474" s="1"/>
      <c r="D474" s="1"/>
      <c r="E474" s="1"/>
      <c r="F474" s="1"/>
      <c r="G474" s="34"/>
      <c r="H474" s="34">
        <v>1400</v>
      </c>
      <c r="I474" s="34"/>
      <c r="J474" s="34"/>
    </row>
    <row r="475" spans="2:11" ht="14.25" thickBot="1" x14ac:dyDescent="0.2">
      <c r="B475" s="2" t="s">
        <v>0</v>
      </c>
      <c r="C475" s="80" t="s">
        <v>13</v>
      </c>
      <c r="D475" s="80"/>
      <c r="E475" s="80"/>
      <c r="F475" s="81"/>
      <c r="G475" s="82" t="s">
        <v>16</v>
      </c>
      <c r="H475" s="82"/>
      <c r="I475" s="82"/>
      <c r="J475" s="83"/>
    </row>
    <row r="476" spans="2:11" ht="14.25" thickBot="1" x14ac:dyDescent="0.2">
      <c r="B476" s="2" t="s">
        <v>1</v>
      </c>
      <c r="C476" s="3" t="s">
        <v>9</v>
      </c>
      <c r="D476" s="2" t="s">
        <v>10</v>
      </c>
      <c r="E476" s="19" t="s">
        <v>11</v>
      </c>
      <c r="F476" s="2" t="s">
        <v>2</v>
      </c>
      <c r="G476" s="3" t="s">
        <v>9</v>
      </c>
      <c r="H476" s="2" t="s">
        <v>10</v>
      </c>
      <c r="I476" s="19" t="s">
        <v>11</v>
      </c>
      <c r="J476" s="2" t="s">
        <v>2</v>
      </c>
    </row>
    <row r="477" spans="2:11" x14ac:dyDescent="0.15">
      <c r="B477" s="28" t="s">
        <v>12</v>
      </c>
      <c r="C477" s="41">
        <f>C471</f>
        <v>3</v>
      </c>
      <c r="D477" s="40">
        <f>D471</f>
        <v>5</v>
      </c>
      <c r="E477" s="41">
        <f>E471</f>
        <v>3</v>
      </c>
      <c r="F477" s="62">
        <f t="shared" ref="F477:F513" si="51">SUM(C477:E477)</f>
        <v>11</v>
      </c>
      <c r="G477" s="41">
        <f>G471</f>
        <v>3</v>
      </c>
      <c r="H477" s="40">
        <f>H471</f>
        <v>4</v>
      </c>
      <c r="I477" s="41">
        <f>I471</f>
        <v>4</v>
      </c>
      <c r="J477" s="18">
        <f t="shared" ref="J477:J513" si="52">SUM(G477:I477)</f>
        <v>11</v>
      </c>
    </row>
    <row r="478" spans="2:11" x14ac:dyDescent="0.15">
      <c r="B478" s="75" t="s">
        <v>3</v>
      </c>
      <c r="C478" s="76">
        <v>2</v>
      </c>
      <c r="D478" s="77"/>
      <c r="E478" s="76"/>
      <c r="F478" s="78">
        <f t="shared" ref="F478:F485" si="53">SUM(C478:E478)</f>
        <v>2</v>
      </c>
      <c r="G478" s="76">
        <v>2</v>
      </c>
      <c r="H478" s="77"/>
      <c r="I478" s="76"/>
      <c r="J478" s="79">
        <f t="shared" ref="J478:J485" si="54">SUM(G478:I478)</f>
        <v>2</v>
      </c>
      <c r="K478" s="74">
        <v>46155</v>
      </c>
    </row>
    <row r="479" spans="2:11" x14ac:dyDescent="0.15">
      <c r="B479" s="6" t="s">
        <v>3</v>
      </c>
      <c r="C479" s="37"/>
      <c r="D479" s="36">
        <v>2</v>
      </c>
      <c r="E479" s="37"/>
      <c r="F479" s="42">
        <f t="shared" si="53"/>
        <v>2</v>
      </c>
      <c r="G479" s="37"/>
      <c r="H479" s="36">
        <v>2</v>
      </c>
      <c r="I479" s="37"/>
      <c r="J479" s="5">
        <f t="shared" si="54"/>
        <v>2</v>
      </c>
      <c r="K479" s="30">
        <v>46171</v>
      </c>
    </row>
    <row r="480" spans="2:11" x14ac:dyDescent="0.15">
      <c r="B480" s="6" t="s">
        <v>3</v>
      </c>
      <c r="C480" s="37">
        <v>2</v>
      </c>
      <c r="D480" s="36"/>
      <c r="E480" s="37"/>
      <c r="F480" s="42">
        <f t="shared" si="53"/>
        <v>2</v>
      </c>
      <c r="G480" s="37">
        <v>2</v>
      </c>
      <c r="H480" s="36"/>
      <c r="I480" s="37"/>
      <c r="J480" s="5">
        <f t="shared" si="54"/>
        <v>2</v>
      </c>
      <c r="K480" s="30">
        <v>46183</v>
      </c>
    </row>
    <row r="481" spans="1:12" x14ac:dyDescent="0.15">
      <c r="A481" s="31"/>
      <c r="B481" s="6" t="s">
        <v>3</v>
      </c>
      <c r="C481" s="37"/>
      <c r="D481" s="36"/>
      <c r="E481" s="37"/>
      <c r="F481" s="42">
        <f t="shared" si="53"/>
        <v>0</v>
      </c>
      <c r="G481" s="37"/>
      <c r="H481" s="36">
        <v>2</v>
      </c>
      <c r="I481" s="37"/>
      <c r="J481" s="5">
        <f t="shared" si="54"/>
        <v>2</v>
      </c>
      <c r="K481" s="30">
        <v>46185</v>
      </c>
      <c r="L481" s="31"/>
    </row>
    <row r="482" spans="1:12" x14ac:dyDescent="0.15">
      <c r="A482" s="31"/>
      <c r="B482" s="6" t="s">
        <v>3</v>
      </c>
      <c r="C482" s="37"/>
      <c r="D482" s="36"/>
      <c r="E482" s="37"/>
      <c r="F482" s="42">
        <f t="shared" si="53"/>
        <v>0</v>
      </c>
      <c r="G482" s="37"/>
      <c r="H482" s="36"/>
      <c r="I482" s="37"/>
      <c r="J482" s="5">
        <f t="shared" si="54"/>
        <v>0</v>
      </c>
    </row>
    <row r="483" spans="1:12" x14ac:dyDescent="0.15">
      <c r="A483" s="31"/>
      <c r="B483" s="6" t="s">
        <v>3</v>
      </c>
      <c r="C483" s="37"/>
      <c r="D483" s="36"/>
      <c r="E483" s="37"/>
      <c r="F483" s="42">
        <f t="shared" si="53"/>
        <v>0</v>
      </c>
      <c r="G483" s="37"/>
      <c r="H483" s="36"/>
      <c r="I483" s="37"/>
      <c r="J483" s="5">
        <f t="shared" si="54"/>
        <v>0</v>
      </c>
    </row>
    <row r="484" spans="1:12" x14ac:dyDescent="0.15">
      <c r="B484" s="6" t="s">
        <v>3</v>
      </c>
      <c r="C484" s="37"/>
      <c r="D484" s="36"/>
      <c r="E484" s="37"/>
      <c r="F484" s="42">
        <f t="shared" si="53"/>
        <v>0</v>
      </c>
      <c r="G484" s="37"/>
      <c r="H484" s="36"/>
      <c r="I484" s="37"/>
      <c r="J484" s="5">
        <f t="shared" si="54"/>
        <v>0</v>
      </c>
    </row>
    <row r="485" spans="1:12" x14ac:dyDescent="0.15">
      <c r="B485" s="6" t="s">
        <v>3</v>
      </c>
      <c r="C485" s="37"/>
      <c r="D485" s="36"/>
      <c r="E485" s="37"/>
      <c r="F485" s="42">
        <f t="shared" si="53"/>
        <v>0</v>
      </c>
      <c r="G485" s="37"/>
      <c r="H485" s="36"/>
      <c r="I485" s="37"/>
      <c r="J485" s="5">
        <f t="shared" si="54"/>
        <v>0</v>
      </c>
    </row>
    <row r="486" spans="1:12" x14ac:dyDescent="0.15">
      <c r="B486" s="6" t="s">
        <v>3</v>
      </c>
      <c r="C486" s="37"/>
      <c r="D486" s="36"/>
      <c r="E486" s="37"/>
      <c r="F486" s="42">
        <f t="shared" si="51"/>
        <v>0</v>
      </c>
      <c r="G486" s="37"/>
      <c r="H486" s="36"/>
      <c r="I486" s="37"/>
      <c r="J486" s="5">
        <f t="shared" si="52"/>
        <v>0</v>
      </c>
    </row>
    <row r="487" spans="1:12" ht="14.25" thickBot="1" x14ac:dyDescent="0.2">
      <c r="B487" s="7" t="s">
        <v>3</v>
      </c>
      <c r="C487" s="44"/>
      <c r="D487" s="45"/>
      <c r="E487" s="44"/>
      <c r="F487" s="46">
        <f t="shared" si="51"/>
        <v>0</v>
      </c>
      <c r="G487" s="44"/>
      <c r="H487" s="45"/>
      <c r="I487" s="44"/>
      <c r="J487" s="20">
        <f t="shared" si="52"/>
        <v>0</v>
      </c>
    </row>
    <row r="488" spans="1:12" ht="14.25" thickBot="1" x14ac:dyDescent="0.2">
      <c r="B488" s="22" t="s">
        <v>4</v>
      </c>
      <c r="C488" s="23">
        <f>SUM(C477:C487)</f>
        <v>7</v>
      </c>
      <c r="D488" s="23">
        <f>SUM(D477:D487)</f>
        <v>7</v>
      </c>
      <c r="E488" s="24">
        <f>SUM(E477:E487)</f>
        <v>3</v>
      </c>
      <c r="F488" s="25">
        <f t="shared" si="51"/>
        <v>17</v>
      </c>
      <c r="G488" s="23">
        <f>SUM(G477:G487)</f>
        <v>7</v>
      </c>
      <c r="H488" s="23">
        <f>SUM(H477:H487)</f>
        <v>8</v>
      </c>
      <c r="I488" s="24">
        <f>SUM(I477:I487)</f>
        <v>4</v>
      </c>
      <c r="J488" s="25">
        <f t="shared" si="52"/>
        <v>19</v>
      </c>
    </row>
    <row r="489" spans="1:12" x14ac:dyDescent="0.15">
      <c r="B489" s="4" t="s">
        <v>7</v>
      </c>
      <c r="C489" s="9">
        <v>1</v>
      </c>
      <c r="D489" s="10"/>
      <c r="E489" s="11"/>
      <c r="F489" s="8">
        <f t="shared" ref="F489:F509" si="55">SUM(C489:E489)</f>
        <v>1</v>
      </c>
      <c r="G489" s="9">
        <v>1</v>
      </c>
      <c r="H489" s="10"/>
      <c r="I489" s="11"/>
      <c r="J489" s="8">
        <f t="shared" ref="J489:J509" si="56">SUM(G489:I489)</f>
        <v>1</v>
      </c>
      <c r="K489" s="32">
        <v>46150</v>
      </c>
    </row>
    <row r="490" spans="1:12" x14ac:dyDescent="0.15">
      <c r="B490" s="4" t="s">
        <v>77</v>
      </c>
      <c r="C490" s="9">
        <v>1</v>
      </c>
      <c r="D490" s="10"/>
      <c r="E490" s="11"/>
      <c r="F490" s="8">
        <f t="shared" si="55"/>
        <v>1</v>
      </c>
      <c r="G490" s="9">
        <v>1</v>
      </c>
      <c r="H490" s="10"/>
      <c r="I490" s="11"/>
      <c r="J490" s="8">
        <f t="shared" si="56"/>
        <v>1</v>
      </c>
      <c r="K490" s="30">
        <v>46161</v>
      </c>
    </row>
    <row r="491" spans="1:12" x14ac:dyDescent="0.15">
      <c r="B491" s="4" t="s">
        <v>7</v>
      </c>
      <c r="C491" s="9"/>
      <c r="D491" s="10">
        <v>1</v>
      </c>
      <c r="E491" s="11"/>
      <c r="F491" s="8">
        <f t="shared" si="55"/>
        <v>1</v>
      </c>
      <c r="G491" s="9"/>
      <c r="H491" s="10">
        <v>1</v>
      </c>
      <c r="I491" s="11"/>
      <c r="J491" s="8">
        <f t="shared" si="56"/>
        <v>1</v>
      </c>
      <c r="K491" s="30">
        <v>46157</v>
      </c>
    </row>
    <row r="492" spans="1:12" x14ac:dyDescent="0.15">
      <c r="B492" s="4" t="s">
        <v>7</v>
      </c>
      <c r="C492" s="9"/>
      <c r="D492" s="10">
        <v>1</v>
      </c>
      <c r="E492" s="11"/>
      <c r="F492" s="8">
        <f t="shared" si="55"/>
        <v>1</v>
      </c>
      <c r="G492" s="9"/>
      <c r="H492" s="10">
        <v>1</v>
      </c>
      <c r="I492" s="11"/>
      <c r="J492" s="8">
        <f t="shared" si="56"/>
        <v>1</v>
      </c>
      <c r="K492" s="30">
        <v>46167</v>
      </c>
    </row>
    <row r="493" spans="1:12" x14ac:dyDescent="0.15">
      <c r="B493" s="4" t="s">
        <v>7</v>
      </c>
      <c r="C493" s="9"/>
      <c r="D493" s="10">
        <v>1</v>
      </c>
      <c r="E493" s="11"/>
      <c r="F493" s="8">
        <f t="shared" si="55"/>
        <v>1</v>
      </c>
      <c r="G493" s="9"/>
      <c r="H493" s="10">
        <v>1</v>
      </c>
      <c r="I493" s="11"/>
      <c r="J493" s="8">
        <f t="shared" si="56"/>
        <v>1</v>
      </c>
      <c r="K493" s="32">
        <v>46182</v>
      </c>
    </row>
    <row r="494" spans="1:12" x14ac:dyDescent="0.15">
      <c r="B494" s="4" t="s">
        <v>7</v>
      </c>
      <c r="C494" s="9">
        <v>1</v>
      </c>
      <c r="D494" s="10"/>
      <c r="E494" s="11"/>
      <c r="F494" s="8">
        <f t="shared" si="55"/>
        <v>1</v>
      </c>
      <c r="G494" s="9">
        <v>1</v>
      </c>
      <c r="H494" s="10"/>
      <c r="I494" s="11"/>
      <c r="J494" s="8">
        <f t="shared" si="56"/>
        <v>1</v>
      </c>
      <c r="K494" s="32">
        <v>46183</v>
      </c>
    </row>
    <row r="495" spans="1:12" x14ac:dyDescent="0.15">
      <c r="B495" s="4" t="s">
        <v>7</v>
      </c>
      <c r="C495" s="9"/>
      <c r="D495" s="10"/>
      <c r="E495" s="11">
        <v>1</v>
      </c>
      <c r="F495" s="8">
        <f t="shared" si="55"/>
        <v>1</v>
      </c>
      <c r="G495" s="9"/>
      <c r="H495" s="10"/>
      <c r="I495" s="11">
        <v>1</v>
      </c>
      <c r="J495" s="8">
        <f t="shared" si="56"/>
        <v>1</v>
      </c>
      <c r="K495" s="32">
        <v>46184</v>
      </c>
    </row>
    <row r="496" spans="1:12" x14ac:dyDescent="0.15">
      <c r="B496" s="4"/>
      <c r="C496" s="9"/>
      <c r="D496" s="10"/>
      <c r="E496" s="11"/>
      <c r="F496" s="8">
        <f t="shared" si="55"/>
        <v>0</v>
      </c>
      <c r="G496" s="9"/>
      <c r="H496" s="10"/>
      <c r="I496" s="11"/>
      <c r="J496" s="8">
        <f t="shared" si="56"/>
        <v>0</v>
      </c>
    </row>
    <row r="497" spans="2:10" x14ac:dyDescent="0.15">
      <c r="B497" s="4"/>
      <c r="C497" s="9"/>
      <c r="D497" s="10"/>
      <c r="E497" s="11"/>
      <c r="F497" s="8">
        <f t="shared" si="55"/>
        <v>0</v>
      </c>
      <c r="G497" s="9"/>
      <c r="H497" s="10"/>
      <c r="I497" s="11"/>
      <c r="J497" s="8">
        <f t="shared" si="56"/>
        <v>0</v>
      </c>
    </row>
    <row r="498" spans="2:10" x14ac:dyDescent="0.15">
      <c r="B498" s="4"/>
      <c r="C498" s="9"/>
      <c r="D498" s="10"/>
      <c r="E498" s="11"/>
      <c r="F498" s="8">
        <f t="shared" si="55"/>
        <v>0</v>
      </c>
      <c r="G498" s="9"/>
      <c r="H498" s="10"/>
      <c r="I498" s="11"/>
      <c r="J498" s="8">
        <f t="shared" si="56"/>
        <v>0</v>
      </c>
    </row>
    <row r="499" spans="2:10" x14ac:dyDescent="0.15">
      <c r="B499" s="4"/>
      <c r="C499" s="9"/>
      <c r="D499" s="10"/>
      <c r="E499" s="11"/>
      <c r="F499" s="8">
        <f t="shared" si="55"/>
        <v>0</v>
      </c>
      <c r="G499" s="9"/>
      <c r="H499" s="10"/>
      <c r="I499" s="11"/>
      <c r="J499" s="8">
        <f t="shared" si="56"/>
        <v>0</v>
      </c>
    </row>
    <row r="500" spans="2:10" x14ac:dyDescent="0.15">
      <c r="B500" s="4"/>
      <c r="C500" s="9"/>
      <c r="D500" s="10"/>
      <c r="E500" s="11"/>
      <c r="F500" s="8">
        <f t="shared" si="55"/>
        <v>0</v>
      </c>
      <c r="G500" s="9"/>
      <c r="H500" s="10"/>
      <c r="I500" s="11"/>
      <c r="J500" s="8">
        <f t="shared" si="56"/>
        <v>0</v>
      </c>
    </row>
    <row r="501" spans="2:10" x14ac:dyDescent="0.15">
      <c r="B501" s="4"/>
      <c r="C501" s="9"/>
      <c r="D501" s="10"/>
      <c r="E501" s="11"/>
      <c r="F501" s="8">
        <f t="shared" si="55"/>
        <v>0</v>
      </c>
      <c r="G501" s="9"/>
      <c r="H501" s="10"/>
      <c r="I501" s="11"/>
      <c r="J501" s="8">
        <f t="shared" si="56"/>
        <v>0</v>
      </c>
    </row>
    <row r="502" spans="2:10" x14ac:dyDescent="0.15">
      <c r="B502" s="4"/>
      <c r="C502" s="9"/>
      <c r="D502" s="10"/>
      <c r="E502" s="11"/>
      <c r="F502" s="8">
        <f t="shared" si="55"/>
        <v>0</v>
      </c>
      <c r="G502" s="9"/>
      <c r="H502" s="10"/>
      <c r="I502" s="11"/>
      <c r="J502" s="8">
        <f t="shared" si="56"/>
        <v>0</v>
      </c>
    </row>
    <row r="503" spans="2:10" x14ac:dyDescent="0.15">
      <c r="B503" s="4"/>
      <c r="C503" s="9"/>
      <c r="D503" s="10"/>
      <c r="E503" s="11"/>
      <c r="F503" s="8">
        <f t="shared" si="55"/>
        <v>0</v>
      </c>
      <c r="G503" s="9"/>
      <c r="H503" s="10"/>
      <c r="I503" s="11"/>
      <c r="J503" s="8">
        <f t="shared" si="56"/>
        <v>0</v>
      </c>
    </row>
    <row r="504" spans="2:10" x14ac:dyDescent="0.15">
      <c r="B504" s="4"/>
      <c r="C504" s="9"/>
      <c r="D504" s="10"/>
      <c r="E504" s="11"/>
      <c r="F504" s="8">
        <f t="shared" si="55"/>
        <v>0</v>
      </c>
      <c r="G504" s="9"/>
      <c r="H504" s="10"/>
      <c r="I504" s="11"/>
      <c r="J504" s="8">
        <f t="shared" si="56"/>
        <v>0</v>
      </c>
    </row>
    <row r="505" spans="2:10" x14ac:dyDescent="0.15">
      <c r="B505" s="4"/>
      <c r="C505" s="9"/>
      <c r="D505" s="10"/>
      <c r="E505" s="11"/>
      <c r="F505" s="8">
        <f t="shared" si="55"/>
        <v>0</v>
      </c>
      <c r="G505" s="9"/>
      <c r="H505" s="10"/>
      <c r="I505" s="11"/>
      <c r="J505" s="8">
        <f t="shared" si="56"/>
        <v>0</v>
      </c>
    </row>
    <row r="506" spans="2:10" x14ac:dyDescent="0.15">
      <c r="B506" s="4"/>
      <c r="C506" s="9"/>
      <c r="D506" s="10"/>
      <c r="E506" s="11"/>
      <c r="F506" s="8">
        <f t="shared" si="55"/>
        <v>0</v>
      </c>
      <c r="G506" s="9"/>
      <c r="H506" s="10"/>
      <c r="I506" s="11"/>
      <c r="J506" s="8">
        <f t="shared" si="56"/>
        <v>0</v>
      </c>
    </row>
    <row r="507" spans="2:10" x14ac:dyDescent="0.15">
      <c r="B507" s="4"/>
      <c r="C507" s="9"/>
      <c r="D507" s="10"/>
      <c r="E507" s="11"/>
      <c r="F507" s="8">
        <f t="shared" si="55"/>
        <v>0</v>
      </c>
      <c r="G507" s="9"/>
      <c r="H507" s="10"/>
      <c r="I507" s="11"/>
      <c r="J507" s="8">
        <f t="shared" si="56"/>
        <v>0</v>
      </c>
    </row>
    <row r="508" spans="2:10" x14ac:dyDescent="0.15">
      <c r="B508" s="4"/>
      <c r="C508" s="9"/>
      <c r="D508" s="10"/>
      <c r="E508" s="11"/>
      <c r="F508" s="8">
        <f t="shared" si="55"/>
        <v>0</v>
      </c>
      <c r="G508" s="9"/>
      <c r="H508" s="10"/>
      <c r="I508" s="11"/>
      <c r="J508" s="8">
        <f t="shared" si="56"/>
        <v>0</v>
      </c>
    </row>
    <row r="509" spans="2:10" x14ac:dyDescent="0.15">
      <c r="B509" s="4"/>
      <c r="C509" s="9"/>
      <c r="D509" s="10"/>
      <c r="E509" s="11"/>
      <c r="F509" s="8">
        <f t="shared" si="55"/>
        <v>0</v>
      </c>
      <c r="G509" s="9"/>
      <c r="H509" s="10"/>
      <c r="I509" s="11"/>
      <c r="J509" s="8">
        <f t="shared" si="56"/>
        <v>0</v>
      </c>
    </row>
    <row r="510" spans="2:10" x14ac:dyDescent="0.15">
      <c r="B510" s="4"/>
      <c r="C510" s="9"/>
      <c r="D510" s="10"/>
      <c r="E510" s="11"/>
      <c r="F510" s="8">
        <f t="shared" si="51"/>
        <v>0</v>
      </c>
      <c r="G510" s="9"/>
      <c r="H510" s="10"/>
      <c r="I510" s="11"/>
      <c r="J510" s="8">
        <f t="shared" si="52"/>
        <v>0</v>
      </c>
    </row>
    <row r="511" spans="2:10" x14ac:dyDescent="0.15">
      <c r="B511" s="4"/>
      <c r="C511" s="9"/>
      <c r="D511" s="10"/>
      <c r="E511" s="11"/>
      <c r="F511" s="8">
        <f t="shared" si="51"/>
        <v>0</v>
      </c>
      <c r="G511" s="9"/>
      <c r="H511" s="10"/>
      <c r="I511" s="11"/>
      <c r="J511" s="8">
        <f t="shared" si="52"/>
        <v>0</v>
      </c>
    </row>
    <row r="512" spans="2:10" ht="14.25" thickBot="1" x14ac:dyDescent="0.2">
      <c r="B512" s="4"/>
      <c r="C512" s="9"/>
      <c r="D512" s="10"/>
      <c r="E512" s="11"/>
      <c r="F512" s="8">
        <f t="shared" si="51"/>
        <v>0</v>
      </c>
      <c r="G512" s="9"/>
      <c r="H512" s="10"/>
      <c r="I512" s="11"/>
      <c r="J512" s="8">
        <f t="shared" si="52"/>
        <v>0</v>
      </c>
    </row>
    <row r="513" spans="2:10" ht="14.25" thickBot="1" x14ac:dyDescent="0.2">
      <c r="B513" s="3" t="s">
        <v>5</v>
      </c>
      <c r="C513" s="15">
        <f>SUM(C489:C512)</f>
        <v>3</v>
      </c>
      <c r="D513" s="15">
        <f>SUM(D489:D512)</f>
        <v>3</v>
      </c>
      <c r="E513" s="15">
        <f>SUM(E489:E512)</f>
        <v>1</v>
      </c>
      <c r="F513" s="16">
        <f t="shared" si="51"/>
        <v>7</v>
      </c>
      <c r="G513" s="15">
        <f>SUM(G489:G512)</f>
        <v>3</v>
      </c>
      <c r="H513" s="15">
        <f>SUM(H489:H512)</f>
        <v>3</v>
      </c>
      <c r="I513" s="15">
        <f>SUM(I489:I512)</f>
        <v>1</v>
      </c>
      <c r="J513" s="16">
        <f t="shared" si="52"/>
        <v>7</v>
      </c>
    </row>
    <row r="514" spans="2:10" ht="14.25" thickBot="1" x14ac:dyDescent="0.2">
      <c r="B514" s="26" t="s">
        <v>6</v>
      </c>
      <c r="C514" s="27">
        <f t="shared" ref="C514:J514" si="57">C488-C513</f>
        <v>4</v>
      </c>
      <c r="D514" s="27">
        <f t="shared" si="57"/>
        <v>4</v>
      </c>
      <c r="E514" s="27">
        <f t="shared" si="57"/>
        <v>2</v>
      </c>
      <c r="F514" s="27">
        <f t="shared" si="57"/>
        <v>10</v>
      </c>
      <c r="G514" s="27">
        <f t="shared" si="57"/>
        <v>4</v>
      </c>
      <c r="H514" s="27">
        <f t="shared" si="57"/>
        <v>5</v>
      </c>
      <c r="I514" s="27">
        <f t="shared" si="57"/>
        <v>3</v>
      </c>
      <c r="J514" s="25">
        <f t="shared" si="57"/>
        <v>12</v>
      </c>
    </row>
  </sheetData>
  <mergeCells count="24">
    <mergeCell ref="C131:F131"/>
    <mergeCell ref="G131:J131"/>
    <mergeCell ref="C260:F260"/>
    <mergeCell ref="G260:J260"/>
    <mergeCell ref="C217:F217"/>
    <mergeCell ref="G217:J217"/>
    <mergeCell ref="C174:F174"/>
    <mergeCell ref="G174:J174"/>
    <mergeCell ref="C2:F2"/>
    <mergeCell ref="G2:J2"/>
    <mergeCell ref="C45:F45"/>
    <mergeCell ref="G45:J45"/>
    <mergeCell ref="C88:F88"/>
    <mergeCell ref="G88:J88"/>
    <mergeCell ref="C303:F303"/>
    <mergeCell ref="G303:J303"/>
    <mergeCell ref="C432:F432"/>
    <mergeCell ref="G432:J432"/>
    <mergeCell ref="C475:F475"/>
    <mergeCell ref="G475:J475"/>
    <mergeCell ref="C389:F389"/>
    <mergeCell ref="G389:J389"/>
    <mergeCell ref="C346:F346"/>
    <mergeCell ref="G346:J346"/>
  </mergeCells>
  <phoneticPr fontId="7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9EF4-38C0-45D3-9C5D-ED1EE9873ADE}">
  <sheetPr>
    <tabColor theme="0"/>
  </sheetPr>
  <dimension ref="A1:N84"/>
  <sheetViews>
    <sheetView zoomScaleNormal="100" workbookViewId="0">
      <selection activeCell="B33" sqref="B33:K33"/>
    </sheetView>
  </sheetViews>
  <sheetFormatPr defaultRowHeight="13.5" x14ac:dyDescent="0.15"/>
  <cols>
    <col min="2" max="2" width="16.5" customWidth="1"/>
    <col min="11" max="11" width="9.25" bestFit="1" customWidth="1"/>
  </cols>
  <sheetData>
    <row r="1" spans="2:14" ht="19.5" thickBot="1" x14ac:dyDescent="0.25">
      <c r="B1" s="33" t="s">
        <v>45</v>
      </c>
      <c r="C1" s="1"/>
      <c r="D1" s="1"/>
      <c r="E1" s="1"/>
      <c r="F1" s="1"/>
      <c r="G1" s="34"/>
      <c r="H1" s="34" t="s">
        <v>46</v>
      </c>
      <c r="I1" s="34"/>
      <c r="J1" s="34"/>
    </row>
    <row r="2" spans="2:14" ht="14.25" thickBot="1" x14ac:dyDescent="0.2">
      <c r="B2" s="2" t="s">
        <v>0</v>
      </c>
      <c r="C2" s="84" t="s">
        <v>16</v>
      </c>
      <c r="D2" s="84"/>
      <c r="E2" s="84"/>
      <c r="F2" s="85"/>
      <c r="G2" s="84" t="s">
        <v>15</v>
      </c>
      <c r="H2" s="84"/>
      <c r="I2" s="84"/>
      <c r="J2" s="85"/>
    </row>
    <row r="3" spans="2:14" ht="14.25" thickBot="1" x14ac:dyDescent="0.2">
      <c r="B3" s="2" t="s">
        <v>1</v>
      </c>
      <c r="C3" s="3" t="s">
        <v>9</v>
      </c>
      <c r="D3" s="2" t="s">
        <v>10</v>
      </c>
      <c r="E3" s="19" t="s">
        <v>11</v>
      </c>
      <c r="F3" s="2" t="s">
        <v>2</v>
      </c>
      <c r="G3" s="3" t="s">
        <v>9</v>
      </c>
      <c r="H3" s="2" t="s">
        <v>10</v>
      </c>
      <c r="I3" s="19" t="s">
        <v>11</v>
      </c>
      <c r="J3" s="2" t="s">
        <v>2</v>
      </c>
    </row>
    <row r="4" spans="2:14" x14ac:dyDescent="0.15">
      <c r="B4" s="6" t="s">
        <v>8</v>
      </c>
      <c r="C4" s="35">
        <v>2</v>
      </c>
      <c r="D4" s="36">
        <v>2</v>
      </c>
      <c r="E4" s="37">
        <v>2</v>
      </c>
      <c r="F4" s="5">
        <f>SUM(C4:E4)</f>
        <v>6</v>
      </c>
      <c r="G4" s="35">
        <v>2</v>
      </c>
      <c r="H4" s="36">
        <v>2</v>
      </c>
      <c r="I4" s="37">
        <v>2</v>
      </c>
      <c r="J4" s="5">
        <f>SUM(G4:I4)</f>
        <v>6</v>
      </c>
      <c r="K4" s="30">
        <v>45538</v>
      </c>
    </row>
    <row r="5" spans="2:14" x14ac:dyDescent="0.15">
      <c r="B5" s="6" t="s">
        <v>3</v>
      </c>
      <c r="C5" s="17"/>
      <c r="D5" s="12"/>
      <c r="E5" s="17">
        <v>2</v>
      </c>
      <c r="F5" s="5">
        <f t="shared" ref="F5:F40" si="0">SUM(C5:E5)</f>
        <v>2</v>
      </c>
      <c r="G5" s="17"/>
      <c r="H5" s="12"/>
      <c r="I5" s="17"/>
      <c r="J5" s="5">
        <f t="shared" ref="J5:J40" si="1">SUM(G5:I5)</f>
        <v>0</v>
      </c>
      <c r="K5" s="30">
        <v>45647</v>
      </c>
    </row>
    <row r="6" spans="2:14" x14ac:dyDescent="0.15">
      <c r="B6" s="6" t="s">
        <v>3</v>
      </c>
      <c r="C6" s="17"/>
      <c r="D6" s="12"/>
      <c r="E6" s="17">
        <v>2</v>
      </c>
      <c r="F6" s="5">
        <f t="shared" ref="F6" si="2">SUM(C6:E6)</f>
        <v>2</v>
      </c>
      <c r="G6" s="17"/>
      <c r="H6" s="12"/>
      <c r="I6" s="17"/>
      <c r="J6" s="5">
        <f t="shared" ref="J6" si="3">SUM(G6:I6)</f>
        <v>0</v>
      </c>
      <c r="K6" s="30">
        <v>45692</v>
      </c>
    </row>
    <row r="7" spans="2:14" x14ac:dyDescent="0.15">
      <c r="B7" s="6" t="s">
        <v>3</v>
      </c>
      <c r="C7" s="17"/>
      <c r="D7" s="12"/>
      <c r="E7" s="17"/>
      <c r="F7" s="5">
        <f t="shared" si="0"/>
        <v>0</v>
      </c>
      <c r="G7" s="17"/>
      <c r="H7" s="12"/>
      <c r="I7" s="17">
        <v>2</v>
      </c>
      <c r="J7" s="5">
        <f t="shared" si="1"/>
        <v>2</v>
      </c>
      <c r="K7" s="30">
        <v>45791</v>
      </c>
    </row>
    <row r="8" spans="2:14" x14ac:dyDescent="0.15">
      <c r="B8" s="6" t="s">
        <v>3</v>
      </c>
      <c r="C8" s="17"/>
      <c r="D8" s="12"/>
      <c r="E8" s="17"/>
      <c r="F8" s="5">
        <f t="shared" si="0"/>
        <v>0</v>
      </c>
      <c r="G8" s="17"/>
      <c r="H8" s="12">
        <v>2</v>
      </c>
      <c r="I8" s="17"/>
      <c r="J8" s="5">
        <f t="shared" si="1"/>
        <v>2</v>
      </c>
      <c r="K8" s="30">
        <v>45827</v>
      </c>
    </row>
    <row r="9" spans="2:14" x14ac:dyDescent="0.15">
      <c r="B9" s="6" t="s">
        <v>3</v>
      </c>
      <c r="C9" s="17"/>
      <c r="D9" s="12"/>
      <c r="E9" s="17">
        <v>2</v>
      </c>
      <c r="F9" s="5">
        <f t="shared" si="0"/>
        <v>2</v>
      </c>
      <c r="G9" s="17"/>
      <c r="H9" s="12"/>
      <c r="I9" s="17"/>
      <c r="J9" s="5">
        <f t="shared" si="1"/>
        <v>0</v>
      </c>
      <c r="K9" s="30">
        <v>45855</v>
      </c>
      <c r="L9" s="31"/>
    </row>
    <row r="10" spans="2:14" x14ac:dyDescent="0.15">
      <c r="B10" s="6" t="s">
        <v>3</v>
      </c>
      <c r="C10" s="17">
        <v>2</v>
      </c>
      <c r="D10" s="12"/>
      <c r="E10" s="17"/>
      <c r="F10" s="5">
        <f t="shared" si="0"/>
        <v>2</v>
      </c>
      <c r="G10" s="17"/>
      <c r="H10" s="12"/>
      <c r="I10" s="17"/>
      <c r="J10" s="5">
        <f t="shared" si="1"/>
        <v>0</v>
      </c>
      <c r="K10" s="30">
        <v>45862</v>
      </c>
      <c r="L10" s="31"/>
    </row>
    <row r="11" spans="2:14" x14ac:dyDescent="0.15">
      <c r="B11" s="6" t="s">
        <v>3</v>
      </c>
      <c r="C11" s="11"/>
      <c r="D11" s="10">
        <v>2</v>
      </c>
      <c r="E11" s="11"/>
      <c r="F11" s="5">
        <f t="shared" si="0"/>
        <v>2</v>
      </c>
      <c r="G11" s="11"/>
      <c r="H11" s="10"/>
      <c r="I11" s="11"/>
      <c r="J11" s="5">
        <f t="shared" si="1"/>
        <v>0</v>
      </c>
      <c r="K11" s="30">
        <v>45896</v>
      </c>
      <c r="L11" s="66" t="s">
        <v>72</v>
      </c>
    </row>
    <row r="12" spans="2:14" x14ac:dyDescent="0.15">
      <c r="B12" s="6" t="s">
        <v>3</v>
      </c>
      <c r="C12" s="11">
        <v>2</v>
      </c>
      <c r="D12" s="10"/>
      <c r="E12" s="11"/>
      <c r="F12" s="5">
        <f t="shared" si="0"/>
        <v>2</v>
      </c>
      <c r="G12" s="11"/>
      <c r="H12" s="10">
        <v>3</v>
      </c>
      <c r="I12" s="11"/>
      <c r="J12" s="5">
        <f t="shared" si="1"/>
        <v>3</v>
      </c>
      <c r="K12" s="30">
        <v>46009</v>
      </c>
      <c r="L12" s="31"/>
    </row>
    <row r="13" spans="2:14" x14ac:dyDescent="0.15">
      <c r="B13" s="6" t="s">
        <v>28</v>
      </c>
      <c r="C13" s="11">
        <v>0</v>
      </c>
      <c r="D13" s="10">
        <v>-2</v>
      </c>
      <c r="E13" s="11">
        <v>0</v>
      </c>
      <c r="F13" s="5">
        <f t="shared" si="0"/>
        <v>-2</v>
      </c>
      <c r="G13" s="11">
        <v>0</v>
      </c>
      <c r="H13" s="10">
        <v>0</v>
      </c>
      <c r="I13" s="11">
        <v>0</v>
      </c>
      <c r="J13" s="5">
        <f t="shared" si="1"/>
        <v>0</v>
      </c>
      <c r="K13" s="30">
        <v>46085</v>
      </c>
      <c r="L13" s="31"/>
      <c r="M13" s="31"/>
      <c r="N13" s="31"/>
    </row>
    <row r="14" spans="2:14" ht="14.25" thickBot="1" x14ac:dyDescent="0.2">
      <c r="B14" s="7" t="s">
        <v>3</v>
      </c>
      <c r="C14" s="14">
        <v>3</v>
      </c>
      <c r="D14" s="13">
        <v>3</v>
      </c>
      <c r="E14" s="14"/>
      <c r="F14" s="20">
        <f t="shared" si="0"/>
        <v>6</v>
      </c>
      <c r="G14" s="14"/>
      <c r="H14" s="13"/>
      <c r="I14" s="14"/>
      <c r="J14" s="20">
        <f t="shared" si="1"/>
        <v>0</v>
      </c>
      <c r="K14" s="30">
        <v>46094</v>
      </c>
      <c r="L14" s="31"/>
      <c r="M14" s="31"/>
      <c r="N14" s="31"/>
    </row>
    <row r="15" spans="2:14" ht="14.25" thickBot="1" x14ac:dyDescent="0.2">
      <c r="B15" s="22" t="s">
        <v>4</v>
      </c>
      <c r="C15" s="23">
        <f>SUM(C4:C14)</f>
        <v>9</v>
      </c>
      <c r="D15" s="23">
        <f>SUM(D4:D14)</f>
        <v>5</v>
      </c>
      <c r="E15" s="24">
        <f>SUM(E4:E14)</f>
        <v>8</v>
      </c>
      <c r="F15" s="25">
        <f t="shared" si="0"/>
        <v>22</v>
      </c>
      <c r="G15" s="23">
        <f>SUM(G4:G14)</f>
        <v>2</v>
      </c>
      <c r="H15" s="23">
        <f>SUM(H4:H14)</f>
        <v>7</v>
      </c>
      <c r="I15" s="24">
        <f>SUM(I4:I14)</f>
        <v>4</v>
      </c>
      <c r="J15" s="25">
        <f t="shared" si="1"/>
        <v>13</v>
      </c>
    </row>
    <row r="16" spans="2:14" x14ac:dyDescent="0.15">
      <c r="B16" s="4" t="s">
        <v>56</v>
      </c>
      <c r="C16" s="9"/>
      <c r="D16" s="10"/>
      <c r="E16" s="11">
        <v>2</v>
      </c>
      <c r="F16" s="5">
        <f t="shared" si="0"/>
        <v>2</v>
      </c>
      <c r="G16" s="9"/>
      <c r="H16" s="10"/>
      <c r="I16" s="11"/>
      <c r="J16" s="5">
        <f t="shared" si="1"/>
        <v>0</v>
      </c>
      <c r="K16" s="30">
        <v>45624</v>
      </c>
      <c r="L16" s="31"/>
    </row>
    <row r="17" spans="2:12" x14ac:dyDescent="0.15">
      <c r="B17" s="4" t="s">
        <v>62</v>
      </c>
      <c r="C17" s="9"/>
      <c r="D17" s="10"/>
      <c r="E17" s="11">
        <v>2</v>
      </c>
      <c r="F17" s="5">
        <f t="shared" si="0"/>
        <v>2</v>
      </c>
      <c r="G17" s="9"/>
      <c r="H17" s="10"/>
      <c r="I17" s="11"/>
      <c r="J17" s="5">
        <f t="shared" si="1"/>
        <v>0</v>
      </c>
      <c r="K17" s="30">
        <v>45689</v>
      </c>
      <c r="L17" s="31"/>
    </row>
    <row r="18" spans="2:12" x14ac:dyDescent="0.15">
      <c r="B18" s="4" t="s">
        <v>7</v>
      </c>
      <c r="C18" s="9"/>
      <c r="D18" s="10"/>
      <c r="E18" s="11"/>
      <c r="F18" s="5">
        <f t="shared" si="0"/>
        <v>0</v>
      </c>
      <c r="G18" s="9"/>
      <c r="H18" s="10"/>
      <c r="I18" s="11">
        <v>2</v>
      </c>
      <c r="J18" s="5">
        <f t="shared" si="1"/>
        <v>2</v>
      </c>
      <c r="K18" s="32">
        <v>45784</v>
      </c>
    </row>
    <row r="19" spans="2:12" x14ac:dyDescent="0.15">
      <c r="B19" s="4" t="s">
        <v>56</v>
      </c>
      <c r="C19" s="9"/>
      <c r="D19" s="10"/>
      <c r="E19" s="11"/>
      <c r="F19" s="5">
        <f t="shared" si="0"/>
        <v>0</v>
      </c>
      <c r="G19" s="9"/>
      <c r="H19" s="10">
        <v>2</v>
      </c>
      <c r="I19" s="11"/>
      <c r="J19" s="5">
        <f t="shared" si="1"/>
        <v>2</v>
      </c>
      <c r="K19" s="30">
        <v>45821</v>
      </c>
    </row>
    <row r="20" spans="2:12" x14ac:dyDescent="0.15">
      <c r="B20" s="4" t="s">
        <v>7</v>
      </c>
      <c r="C20" s="9"/>
      <c r="D20" s="10"/>
      <c r="E20" s="11">
        <v>2</v>
      </c>
      <c r="F20" s="5">
        <f t="shared" si="0"/>
        <v>2</v>
      </c>
      <c r="G20" s="9"/>
      <c r="H20" s="10"/>
      <c r="I20" s="11"/>
      <c r="J20" s="5">
        <f t="shared" si="1"/>
        <v>0</v>
      </c>
      <c r="K20" s="32">
        <v>45845</v>
      </c>
    </row>
    <row r="21" spans="2:12" x14ac:dyDescent="0.15">
      <c r="B21" s="4" t="s">
        <v>7</v>
      </c>
      <c r="C21" s="9">
        <v>2</v>
      </c>
      <c r="D21" s="10"/>
      <c r="E21" s="11"/>
      <c r="F21" s="8">
        <f t="shared" si="0"/>
        <v>2</v>
      </c>
      <c r="G21" s="9"/>
      <c r="H21" s="10"/>
      <c r="I21" s="11"/>
      <c r="J21" s="8">
        <f t="shared" si="1"/>
        <v>0</v>
      </c>
      <c r="K21" s="32">
        <v>45860</v>
      </c>
    </row>
    <row r="22" spans="2:12" x14ac:dyDescent="0.15">
      <c r="B22" s="4" t="s">
        <v>66</v>
      </c>
      <c r="C22" s="9">
        <v>0</v>
      </c>
      <c r="D22" s="10">
        <v>0</v>
      </c>
      <c r="E22" s="11">
        <v>0</v>
      </c>
      <c r="F22" s="8">
        <f t="shared" si="0"/>
        <v>0</v>
      </c>
      <c r="G22" s="9">
        <v>0</v>
      </c>
      <c r="H22" s="10">
        <v>-2</v>
      </c>
      <c r="I22" s="11">
        <v>0</v>
      </c>
      <c r="J22" s="8">
        <f t="shared" si="1"/>
        <v>-2</v>
      </c>
      <c r="K22" s="32">
        <v>45890</v>
      </c>
    </row>
    <row r="23" spans="2:12" x14ac:dyDescent="0.15">
      <c r="B23" s="4" t="s">
        <v>7</v>
      </c>
      <c r="C23" s="9"/>
      <c r="D23" s="10">
        <v>2</v>
      </c>
      <c r="E23" s="11"/>
      <c r="F23" s="8">
        <f t="shared" si="0"/>
        <v>2</v>
      </c>
      <c r="G23" s="9"/>
      <c r="H23" s="10"/>
      <c r="I23" s="11"/>
      <c r="J23" s="8">
        <f t="shared" si="1"/>
        <v>0</v>
      </c>
      <c r="K23" s="30">
        <v>45894</v>
      </c>
    </row>
    <row r="24" spans="2:12" x14ac:dyDescent="0.15">
      <c r="B24" s="4" t="s">
        <v>56</v>
      </c>
      <c r="C24" s="9"/>
      <c r="D24" s="10"/>
      <c r="E24" s="11"/>
      <c r="F24" s="8">
        <f t="shared" si="0"/>
        <v>0</v>
      </c>
      <c r="G24" s="9"/>
      <c r="H24" s="10">
        <v>2</v>
      </c>
      <c r="I24" s="11"/>
      <c r="J24" s="8">
        <f t="shared" si="1"/>
        <v>2</v>
      </c>
      <c r="K24" s="30">
        <v>45937</v>
      </c>
    </row>
    <row r="25" spans="2:12" x14ac:dyDescent="0.15">
      <c r="B25" s="4" t="s">
        <v>7</v>
      </c>
      <c r="C25" s="9">
        <v>2</v>
      </c>
      <c r="D25" s="10"/>
      <c r="E25" s="11"/>
      <c r="F25" s="8">
        <f t="shared" si="0"/>
        <v>2</v>
      </c>
      <c r="G25" s="9"/>
      <c r="H25" s="10"/>
      <c r="I25" s="11"/>
      <c r="J25" s="8">
        <f t="shared" si="1"/>
        <v>0</v>
      </c>
      <c r="K25" s="32">
        <v>46007</v>
      </c>
    </row>
    <row r="26" spans="2:12" x14ac:dyDescent="0.15">
      <c r="B26" s="4" t="s">
        <v>7</v>
      </c>
      <c r="C26" s="9">
        <v>2</v>
      </c>
      <c r="D26" s="10"/>
      <c r="E26" s="11"/>
      <c r="F26" s="8">
        <f t="shared" si="0"/>
        <v>2</v>
      </c>
      <c r="G26" s="9"/>
      <c r="H26" s="10"/>
      <c r="I26" s="11"/>
      <c r="J26" s="8">
        <f t="shared" si="1"/>
        <v>0</v>
      </c>
      <c r="K26" s="32">
        <v>46090</v>
      </c>
    </row>
    <row r="27" spans="2:12" x14ac:dyDescent="0.15">
      <c r="B27" s="4" t="s">
        <v>7</v>
      </c>
      <c r="C27" s="9"/>
      <c r="D27" s="10">
        <v>2</v>
      </c>
      <c r="E27" s="11"/>
      <c r="F27" s="8">
        <f t="shared" si="0"/>
        <v>2</v>
      </c>
      <c r="G27" s="9"/>
      <c r="H27" s="10"/>
      <c r="I27" s="11"/>
      <c r="J27" s="8">
        <f t="shared" si="1"/>
        <v>0</v>
      </c>
      <c r="K27" s="32">
        <v>46122</v>
      </c>
    </row>
    <row r="28" spans="2:12" x14ac:dyDescent="0.15">
      <c r="B28" s="4" t="s">
        <v>76</v>
      </c>
      <c r="C28" s="9"/>
      <c r="D28" s="10">
        <v>-3</v>
      </c>
      <c r="E28" s="11"/>
      <c r="F28" s="8">
        <f t="shared" si="0"/>
        <v>-3</v>
      </c>
      <c r="G28" s="9"/>
      <c r="H28" s="10"/>
      <c r="I28" s="11"/>
      <c r="J28" s="8">
        <f t="shared" si="1"/>
        <v>0</v>
      </c>
      <c r="K28" s="30">
        <v>46143</v>
      </c>
    </row>
    <row r="29" spans="2:12" x14ac:dyDescent="0.15">
      <c r="B29" s="4" t="s">
        <v>7</v>
      </c>
      <c r="C29" s="9"/>
      <c r="D29" s="10">
        <v>2</v>
      </c>
      <c r="E29" s="11"/>
      <c r="F29" s="8">
        <f t="shared" si="0"/>
        <v>2</v>
      </c>
      <c r="G29" s="9"/>
      <c r="H29" s="10"/>
      <c r="I29" s="11"/>
      <c r="J29" s="8">
        <f t="shared" si="1"/>
        <v>0</v>
      </c>
      <c r="K29" s="32">
        <v>46143</v>
      </c>
    </row>
    <row r="30" spans="2:12" x14ac:dyDescent="0.15">
      <c r="B30" s="4" t="s">
        <v>7</v>
      </c>
      <c r="C30" s="9">
        <v>2</v>
      </c>
      <c r="D30" s="10"/>
      <c r="E30" s="11"/>
      <c r="F30" s="8">
        <f t="shared" si="0"/>
        <v>2</v>
      </c>
      <c r="G30" s="9"/>
      <c r="H30" s="10"/>
      <c r="I30" s="11"/>
      <c r="J30" s="8">
        <f t="shared" si="1"/>
        <v>0</v>
      </c>
      <c r="K30" s="30">
        <v>46150</v>
      </c>
    </row>
    <row r="31" spans="2:12" x14ac:dyDescent="0.15">
      <c r="B31" s="69" t="s">
        <v>23</v>
      </c>
      <c r="C31" s="70"/>
      <c r="D31" s="71">
        <v>-2</v>
      </c>
      <c r="E31" s="72"/>
      <c r="F31" s="73">
        <f t="shared" si="0"/>
        <v>-2</v>
      </c>
      <c r="G31" s="70"/>
      <c r="H31" s="71"/>
      <c r="I31" s="72"/>
      <c r="J31" s="73">
        <f t="shared" si="1"/>
        <v>0</v>
      </c>
      <c r="K31" s="74">
        <v>46155</v>
      </c>
    </row>
    <row r="32" spans="2:12" x14ac:dyDescent="0.15">
      <c r="B32" s="12" t="s">
        <v>7</v>
      </c>
      <c r="C32" s="9">
        <v>1</v>
      </c>
      <c r="D32" s="10"/>
      <c r="E32" s="11"/>
      <c r="F32" s="8">
        <f t="shared" si="0"/>
        <v>1</v>
      </c>
      <c r="G32" s="9">
        <v>1</v>
      </c>
      <c r="H32" s="10"/>
      <c r="I32" s="11"/>
      <c r="J32" s="8">
        <f t="shared" si="1"/>
        <v>1</v>
      </c>
      <c r="K32" s="32">
        <v>46155</v>
      </c>
    </row>
    <row r="33" spans="2:11" x14ac:dyDescent="0.15">
      <c r="B33" s="69" t="s">
        <v>3</v>
      </c>
      <c r="C33" s="70">
        <v>-3</v>
      </c>
      <c r="D33" s="71"/>
      <c r="E33" s="72"/>
      <c r="F33" s="73">
        <f t="shared" si="0"/>
        <v>-3</v>
      </c>
      <c r="G33" s="70">
        <v>-3</v>
      </c>
      <c r="H33" s="71"/>
      <c r="I33" s="72"/>
      <c r="J33" s="73">
        <f t="shared" si="1"/>
        <v>-3</v>
      </c>
      <c r="K33" s="74">
        <v>46161</v>
      </c>
    </row>
    <row r="34" spans="2:11" x14ac:dyDescent="0.15">
      <c r="B34" s="12"/>
      <c r="C34" s="9"/>
      <c r="D34" s="10"/>
      <c r="E34" s="11"/>
      <c r="F34" s="8">
        <f t="shared" si="0"/>
        <v>0</v>
      </c>
      <c r="G34" s="9"/>
      <c r="H34" s="10"/>
      <c r="I34" s="11"/>
      <c r="J34" s="8">
        <f t="shared" si="1"/>
        <v>0</v>
      </c>
      <c r="K34" s="30"/>
    </row>
    <row r="35" spans="2:11" x14ac:dyDescent="0.15">
      <c r="B35" s="4"/>
      <c r="C35" s="9"/>
      <c r="D35" s="10"/>
      <c r="E35" s="11"/>
      <c r="F35" s="8">
        <f t="shared" si="0"/>
        <v>0</v>
      </c>
      <c r="G35" s="9"/>
      <c r="H35" s="10"/>
      <c r="I35" s="11"/>
      <c r="J35" s="8">
        <f t="shared" si="1"/>
        <v>0</v>
      </c>
      <c r="K35" s="30"/>
    </row>
    <row r="36" spans="2:11" x14ac:dyDescent="0.15">
      <c r="B36" s="12"/>
      <c r="C36" s="9"/>
      <c r="D36" s="10"/>
      <c r="E36" s="11"/>
      <c r="F36" s="8">
        <f t="shared" si="0"/>
        <v>0</v>
      </c>
      <c r="G36" s="9"/>
      <c r="H36" s="10"/>
      <c r="I36" s="11"/>
      <c r="J36" s="8">
        <f t="shared" si="1"/>
        <v>0</v>
      </c>
      <c r="K36" s="30"/>
    </row>
    <row r="37" spans="2:11" x14ac:dyDescent="0.15">
      <c r="B37" s="12"/>
      <c r="C37" s="9"/>
      <c r="D37" s="10"/>
      <c r="E37" s="11"/>
      <c r="F37" s="8">
        <f t="shared" si="0"/>
        <v>0</v>
      </c>
      <c r="G37" s="9"/>
      <c r="H37" s="10"/>
      <c r="I37" s="11"/>
      <c r="J37" s="8">
        <f t="shared" si="1"/>
        <v>0</v>
      </c>
      <c r="K37" s="30"/>
    </row>
    <row r="38" spans="2:11" x14ac:dyDescent="0.15">
      <c r="B38" s="4"/>
      <c r="C38" s="9"/>
      <c r="D38" s="10"/>
      <c r="E38" s="11"/>
      <c r="F38" s="8">
        <f t="shared" si="0"/>
        <v>0</v>
      </c>
      <c r="G38" s="9"/>
      <c r="H38" s="10"/>
      <c r="I38" s="11"/>
      <c r="J38" s="8">
        <f t="shared" si="1"/>
        <v>0</v>
      </c>
      <c r="K38" s="32"/>
    </row>
    <row r="39" spans="2:11" ht="14.25" thickBot="1" x14ac:dyDescent="0.2">
      <c r="B39" s="4"/>
      <c r="C39" s="9"/>
      <c r="D39" s="10"/>
      <c r="E39" s="11"/>
      <c r="F39" s="8">
        <f t="shared" si="0"/>
        <v>0</v>
      </c>
      <c r="G39" s="9"/>
      <c r="H39" s="10"/>
      <c r="I39" s="11"/>
      <c r="J39" s="8">
        <f t="shared" si="1"/>
        <v>0</v>
      </c>
      <c r="K39" s="32"/>
    </row>
    <row r="40" spans="2:11" ht="14.25" thickBot="1" x14ac:dyDescent="0.2">
      <c r="B40" s="3" t="s">
        <v>5</v>
      </c>
      <c r="C40" s="15">
        <f>SUM(C16:C39)</f>
        <v>6</v>
      </c>
      <c r="D40" s="15">
        <f>SUM(D16:D39)</f>
        <v>1</v>
      </c>
      <c r="E40" s="15">
        <f>SUM(E16:E39)</f>
        <v>6</v>
      </c>
      <c r="F40" s="16">
        <f t="shared" si="0"/>
        <v>13</v>
      </c>
      <c r="G40" s="15">
        <f>SUM(G16:G39)</f>
        <v>-2</v>
      </c>
      <c r="H40" s="15">
        <f>SUM(H16:H39)</f>
        <v>2</v>
      </c>
      <c r="I40" s="15">
        <f>SUM(I16:I39)</f>
        <v>2</v>
      </c>
      <c r="J40" s="16">
        <f t="shared" si="1"/>
        <v>2</v>
      </c>
    </row>
    <row r="41" spans="2:11" ht="14.25" thickBot="1" x14ac:dyDescent="0.2">
      <c r="B41" s="26" t="s">
        <v>6</v>
      </c>
      <c r="C41" s="27">
        <f t="shared" ref="C41:J41" si="4">C15-C40</f>
        <v>3</v>
      </c>
      <c r="D41" s="27">
        <f t="shared" si="4"/>
        <v>4</v>
      </c>
      <c r="E41" s="27">
        <f t="shared" si="4"/>
        <v>2</v>
      </c>
      <c r="F41" s="27">
        <f t="shared" si="4"/>
        <v>9</v>
      </c>
      <c r="G41" s="27">
        <f t="shared" si="4"/>
        <v>4</v>
      </c>
      <c r="H41" s="27">
        <f t="shared" si="4"/>
        <v>5</v>
      </c>
      <c r="I41" s="27">
        <f t="shared" si="4"/>
        <v>2</v>
      </c>
      <c r="J41" s="25">
        <f t="shared" si="4"/>
        <v>11</v>
      </c>
    </row>
    <row r="44" spans="2:11" ht="19.5" thickBot="1" x14ac:dyDescent="0.25">
      <c r="B44" s="33" t="s">
        <v>45</v>
      </c>
      <c r="C44" s="1"/>
      <c r="D44" s="1"/>
      <c r="E44" s="1"/>
      <c r="F44" s="1"/>
      <c r="G44" s="34"/>
      <c r="H44" s="34" t="s">
        <v>46</v>
      </c>
      <c r="I44" s="34"/>
      <c r="J44" s="34"/>
    </row>
    <row r="45" spans="2:11" ht="14.25" thickBot="1" x14ac:dyDescent="0.2">
      <c r="B45" s="2" t="s">
        <v>0</v>
      </c>
      <c r="C45" s="84" t="s">
        <v>16</v>
      </c>
      <c r="D45" s="84"/>
      <c r="E45" s="84"/>
      <c r="F45" s="85"/>
      <c r="G45" s="84" t="s">
        <v>15</v>
      </c>
      <c r="H45" s="84"/>
      <c r="I45" s="84"/>
      <c r="J45" s="85"/>
    </row>
    <row r="46" spans="2:11" ht="14.25" thickBot="1" x14ac:dyDescent="0.2">
      <c r="B46" s="2" t="s">
        <v>1</v>
      </c>
      <c r="C46" s="3" t="s">
        <v>9</v>
      </c>
      <c r="D46" s="2" t="s">
        <v>10</v>
      </c>
      <c r="E46" s="19" t="s">
        <v>11</v>
      </c>
      <c r="F46" s="2" t="s">
        <v>2</v>
      </c>
      <c r="G46" s="3" t="s">
        <v>9</v>
      </c>
      <c r="H46" s="2" t="s">
        <v>10</v>
      </c>
      <c r="I46" s="19" t="s">
        <v>11</v>
      </c>
      <c r="J46" s="2" t="s">
        <v>2</v>
      </c>
    </row>
    <row r="47" spans="2:11" x14ac:dyDescent="0.15">
      <c r="B47" s="28" t="s">
        <v>12</v>
      </c>
      <c r="C47" s="39">
        <f>C41</f>
        <v>3</v>
      </c>
      <c r="D47" s="40">
        <f>D41</f>
        <v>4</v>
      </c>
      <c r="E47" s="41">
        <f>E41</f>
        <v>2</v>
      </c>
      <c r="F47" s="18">
        <f>SUM(C47:E47)</f>
        <v>9</v>
      </c>
      <c r="G47" s="39">
        <f>G41</f>
        <v>4</v>
      </c>
      <c r="H47" s="40">
        <f>H41</f>
        <v>5</v>
      </c>
      <c r="I47" s="41">
        <f>I41</f>
        <v>2</v>
      </c>
      <c r="J47" s="18">
        <f>SUM(G47:I47)</f>
        <v>11</v>
      </c>
    </row>
    <row r="48" spans="2:11" x14ac:dyDescent="0.15">
      <c r="B48" s="6" t="s">
        <v>3</v>
      </c>
      <c r="C48" s="17"/>
      <c r="D48" s="12"/>
      <c r="E48" s="17"/>
      <c r="F48" s="5">
        <f t="shared" ref="F48:F83" si="5">SUM(C48:E48)</f>
        <v>0</v>
      </c>
      <c r="G48" s="17"/>
      <c r="H48" s="12"/>
      <c r="I48" s="17"/>
      <c r="J48" s="5">
        <f t="shared" ref="J48:J83" si="6">SUM(G48:I48)</f>
        <v>0</v>
      </c>
      <c r="K48" s="30"/>
    </row>
    <row r="49" spans="1:11" x14ac:dyDescent="0.15">
      <c r="B49" s="6" t="s">
        <v>3</v>
      </c>
      <c r="C49" s="17"/>
      <c r="D49" s="12"/>
      <c r="E49" s="17"/>
      <c r="F49" s="5">
        <f t="shared" si="5"/>
        <v>0</v>
      </c>
      <c r="G49" s="17"/>
      <c r="H49" s="12"/>
      <c r="I49" s="17"/>
      <c r="J49" s="5">
        <f t="shared" si="6"/>
        <v>0</v>
      </c>
      <c r="K49" s="30"/>
    </row>
    <row r="50" spans="1:11" x14ac:dyDescent="0.15">
      <c r="B50" s="6" t="s">
        <v>3</v>
      </c>
      <c r="C50" s="17"/>
      <c r="D50" s="12"/>
      <c r="E50" s="17"/>
      <c r="F50" s="5">
        <f t="shared" si="5"/>
        <v>0</v>
      </c>
      <c r="G50" s="17"/>
      <c r="H50" s="12"/>
      <c r="I50" s="17"/>
      <c r="J50" s="5">
        <f t="shared" si="6"/>
        <v>0</v>
      </c>
      <c r="K50" s="32"/>
    </row>
    <row r="51" spans="1:11" x14ac:dyDescent="0.15">
      <c r="B51" s="6" t="s">
        <v>3</v>
      </c>
      <c r="C51" s="17"/>
      <c r="D51" s="12"/>
      <c r="E51" s="17"/>
      <c r="F51" s="5">
        <f t="shared" si="5"/>
        <v>0</v>
      </c>
      <c r="G51" s="17"/>
      <c r="H51" s="12"/>
      <c r="I51" s="17"/>
      <c r="J51" s="5">
        <f t="shared" si="6"/>
        <v>0</v>
      </c>
      <c r="K51" s="30"/>
    </row>
    <row r="52" spans="1:11" x14ac:dyDescent="0.15">
      <c r="B52" s="6" t="s">
        <v>3</v>
      </c>
      <c r="C52" s="17"/>
      <c r="D52" s="12"/>
      <c r="E52" s="17"/>
      <c r="F52" s="5">
        <f t="shared" si="5"/>
        <v>0</v>
      </c>
      <c r="G52" s="17"/>
      <c r="H52" s="12"/>
      <c r="I52" s="17"/>
      <c r="J52" s="5">
        <f t="shared" si="6"/>
        <v>0</v>
      </c>
      <c r="K52" s="30"/>
    </row>
    <row r="53" spans="1:11" x14ac:dyDescent="0.15">
      <c r="B53" s="6" t="s">
        <v>3</v>
      </c>
      <c r="C53" s="17"/>
      <c r="D53" s="12"/>
      <c r="E53" s="17"/>
      <c r="F53" s="5">
        <f t="shared" si="5"/>
        <v>0</v>
      </c>
      <c r="G53" s="17"/>
      <c r="H53" s="12"/>
      <c r="I53" s="17"/>
      <c r="J53" s="5">
        <f t="shared" si="6"/>
        <v>0</v>
      </c>
      <c r="K53" s="30"/>
    </row>
    <row r="54" spans="1:11" x14ac:dyDescent="0.15">
      <c r="A54" s="31"/>
      <c r="B54" s="6" t="s">
        <v>3</v>
      </c>
      <c r="C54" s="37"/>
      <c r="D54" s="36"/>
      <c r="E54" s="37"/>
      <c r="F54" s="5">
        <f t="shared" si="5"/>
        <v>0</v>
      </c>
      <c r="G54" s="37"/>
      <c r="H54" s="36"/>
      <c r="I54" s="37"/>
      <c r="J54" s="5">
        <f t="shared" si="6"/>
        <v>0</v>
      </c>
      <c r="K54" s="30"/>
    </row>
    <row r="55" spans="1:11" x14ac:dyDescent="0.15">
      <c r="B55" s="6" t="s">
        <v>3</v>
      </c>
      <c r="C55" s="37"/>
      <c r="D55" s="36"/>
      <c r="E55" s="37"/>
      <c r="F55" s="42">
        <f t="shared" si="5"/>
        <v>0</v>
      </c>
      <c r="G55" s="37"/>
      <c r="H55" s="36"/>
      <c r="I55" s="37"/>
      <c r="J55" s="5">
        <f t="shared" si="6"/>
        <v>0</v>
      </c>
      <c r="K55" s="30"/>
    </row>
    <row r="56" spans="1:11" x14ac:dyDescent="0.15">
      <c r="B56" s="6" t="s">
        <v>3</v>
      </c>
      <c r="C56" s="37"/>
      <c r="D56" s="36"/>
      <c r="E56" s="37"/>
      <c r="F56" s="42">
        <f t="shared" si="5"/>
        <v>0</v>
      </c>
      <c r="G56" s="37"/>
      <c r="H56" s="36"/>
      <c r="I56" s="37"/>
      <c r="J56" s="5">
        <f t="shared" si="6"/>
        <v>0</v>
      </c>
      <c r="K56" s="30"/>
    </row>
    <row r="57" spans="1:11" ht="14.25" thickBot="1" x14ac:dyDescent="0.2">
      <c r="B57" s="7" t="s">
        <v>3</v>
      </c>
      <c r="C57" s="44"/>
      <c r="D57" s="45"/>
      <c r="E57" s="44"/>
      <c r="F57" s="46">
        <f t="shared" si="5"/>
        <v>0</v>
      </c>
      <c r="G57" s="44"/>
      <c r="H57" s="45"/>
      <c r="I57" s="44"/>
      <c r="J57" s="20">
        <f t="shared" si="6"/>
        <v>0</v>
      </c>
      <c r="K57" s="30"/>
    </row>
    <row r="58" spans="1:11" ht="14.25" thickBot="1" x14ac:dyDescent="0.2">
      <c r="B58" s="22" t="s">
        <v>4</v>
      </c>
      <c r="C58" s="23">
        <f>SUM(C47:C57)</f>
        <v>3</v>
      </c>
      <c r="D58" s="23">
        <f>SUM(D47:D57)</f>
        <v>4</v>
      </c>
      <c r="E58" s="24">
        <f>SUM(E47:E57)</f>
        <v>2</v>
      </c>
      <c r="F58" s="25">
        <f t="shared" si="5"/>
        <v>9</v>
      </c>
      <c r="G58" s="23">
        <f>SUM(G47:G57)</f>
        <v>4</v>
      </c>
      <c r="H58" s="23">
        <f>SUM(H47:H57)</f>
        <v>5</v>
      </c>
      <c r="I58" s="24">
        <f>SUM(I47:I57)</f>
        <v>2</v>
      </c>
      <c r="J58" s="25">
        <f t="shared" si="6"/>
        <v>11</v>
      </c>
    </row>
    <row r="59" spans="1:11" x14ac:dyDescent="0.15">
      <c r="B59" s="4"/>
      <c r="C59" s="9"/>
      <c r="D59" s="10"/>
      <c r="E59" s="11"/>
      <c r="F59" s="5">
        <f t="shared" si="5"/>
        <v>0</v>
      </c>
      <c r="G59" s="9"/>
      <c r="H59" s="10"/>
      <c r="I59" s="11"/>
      <c r="J59" s="5">
        <f t="shared" si="6"/>
        <v>0</v>
      </c>
      <c r="K59" s="32"/>
    </row>
    <row r="60" spans="1:11" x14ac:dyDescent="0.15">
      <c r="B60" s="4"/>
      <c r="C60" s="9"/>
      <c r="D60" s="10"/>
      <c r="E60" s="11"/>
      <c r="F60" s="5">
        <f t="shared" si="5"/>
        <v>0</v>
      </c>
      <c r="G60" s="9"/>
      <c r="H60" s="10"/>
      <c r="I60" s="11"/>
      <c r="J60" s="5">
        <f t="shared" si="6"/>
        <v>0</v>
      </c>
      <c r="K60" s="32"/>
    </row>
    <row r="61" spans="1:11" x14ac:dyDescent="0.15">
      <c r="B61" s="4"/>
      <c r="C61" s="9"/>
      <c r="D61" s="10"/>
      <c r="E61" s="11"/>
      <c r="F61" s="5">
        <f t="shared" si="5"/>
        <v>0</v>
      </c>
      <c r="G61" s="9"/>
      <c r="H61" s="10"/>
      <c r="I61" s="11"/>
      <c r="J61" s="5">
        <f t="shared" si="6"/>
        <v>0</v>
      </c>
      <c r="K61" s="32"/>
    </row>
    <row r="62" spans="1:11" x14ac:dyDescent="0.15">
      <c r="B62" s="4"/>
      <c r="C62" s="9"/>
      <c r="D62" s="10"/>
      <c r="E62" s="11"/>
      <c r="F62" s="5">
        <f t="shared" si="5"/>
        <v>0</v>
      </c>
      <c r="G62" s="9"/>
      <c r="H62" s="10"/>
      <c r="I62" s="11"/>
      <c r="J62" s="5">
        <f t="shared" si="6"/>
        <v>0</v>
      </c>
      <c r="K62" s="32"/>
    </row>
    <row r="63" spans="1:11" x14ac:dyDescent="0.15">
      <c r="B63" s="4"/>
      <c r="C63" s="9"/>
      <c r="D63" s="10"/>
      <c r="E63" s="11"/>
      <c r="F63" s="5">
        <f t="shared" si="5"/>
        <v>0</v>
      </c>
      <c r="G63" s="9"/>
      <c r="H63" s="10"/>
      <c r="I63" s="11"/>
      <c r="J63" s="5">
        <f t="shared" si="6"/>
        <v>0</v>
      </c>
      <c r="K63" s="32"/>
    </row>
    <row r="64" spans="1:11" x14ac:dyDescent="0.15">
      <c r="B64" s="4"/>
      <c r="C64" s="9"/>
      <c r="D64" s="10"/>
      <c r="E64" s="11"/>
      <c r="F64" s="8">
        <f t="shared" si="5"/>
        <v>0</v>
      </c>
      <c r="G64" s="9"/>
      <c r="H64" s="10"/>
      <c r="I64" s="11"/>
      <c r="J64" s="8">
        <f t="shared" si="6"/>
        <v>0</v>
      </c>
      <c r="K64" s="32"/>
    </row>
    <row r="65" spans="2:11" x14ac:dyDescent="0.15">
      <c r="B65" s="4"/>
      <c r="C65" s="9"/>
      <c r="D65" s="10"/>
      <c r="E65" s="11"/>
      <c r="F65" s="8">
        <f t="shared" si="5"/>
        <v>0</v>
      </c>
      <c r="G65" s="9"/>
      <c r="H65" s="10"/>
      <c r="I65" s="11"/>
      <c r="J65" s="8">
        <f t="shared" si="6"/>
        <v>0</v>
      </c>
      <c r="K65" s="32"/>
    </row>
    <row r="66" spans="2:11" x14ac:dyDescent="0.15">
      <c r="B66" s="4"/>
      <c r="C66" s="9"/>
      <c r="D66" s="10"/>
      <c r="E66" s="11"/>
      <c r="F66" s="8">
        <f t="shared" si="5"/>
        <v>0</v>
      </c>
      <c r="G66" s="9"/>
      <c r="H66" s="10"/>
      <c r="I66" s="11"/>
      <c r="J66" s="8">
        <f t="shared" si="6"/>
        <v>0</v>
      </c>
      <c r="K66" s="32"/>
    </row>
    <row r="67" spans="2:11" x14ac:dyDescent="0.15">
      <c r="B67" s="4"/>
      <c r="C67" s="9"/>
      <c r="D67" s="10"/>
      <c r="E67" s="11"/>
      <c r="F67" s="8">
        <f t="shared" si="5"/>
        <v>0</v>
      </c>
      <c r="G67" s="9"/>
      <c r="H67" s="10"/>
      <c r="I67" s="11"/>
      <c r="J67" s="8">
        <f t="shared" si="6"/>
        <v>0</v>
      </c>
      <c r="K67" s="32"/>
    </row>
    <row r="68" spans="2:11" x14ac:dyDescent="0.15">
      <c r="B68" s="4"/>
      <c r="C68" s="9"/>
      <c r="D68" s="10"/>
      <c r="E68" s="11"/>
      <c r="F68" s="8">
        <f t="shared" si="5"/>
        <v>0</v>
      </c>
      <c r="G68" s="9"/>
      <c r="H68" s="10"/>
      <c r="I68" s="11"/>
      <c r="J68" s="8">
        <f t="shared" si="6"/>
        <v>0</v>
      </c>
      <c r="K68" s="32"/>
    </row>
    <row r="69" spans="2:11" x14ac:dyDescent="0.15">
      <c r="B69" s="4"/>
      <c r="C69" s="9"/>
      <c r="D69" s="10"/>
      <c r="E69" s="11"/>
      <c r="F69" s="8">
        <f t="shared" si="5"/>
        <v>0</v>
      </c>
      <c r="G69" s="9"/>
      <c r="H69" s="10"/>
      <c r="I69" s="11"/>
      <c r="J69" s="8">
        <f t="shared" si="6"/>
        <v>0</v>
      </c>
      <c r="K69" s="32"/>
    </row>
    <row r="70" spans="2:11" x14ac:dyDescent="0.15">
      <c r="B70" s="4"/>
      <c r="C70" s="9"/>
      <c r="D70" s="10"/>
      <c r="E70" s="11"/>
      <c r="F70" s="8">
        <f t="shared" si="5"/>
        <v>0</v>
      </c>
      <c r="G70" s="9"/>
      <c r="H70" s="10"/>
      <c r="I70" s="11"/>
      <c r="J70" s="8">
        <f t="shared" si="6"/>
        <v>0</v>
      </c>
      <c r="K70" s="32"/>
    </row>
    <row r="71" spans="2:11" x14ac:dyDescent="0.15">
      <c r="B71" s="4"/>
      <c r="C71" s="9"/>
      <c r="D71" s="10"/>
      <c r="E71" s="11"/>
      <c r="F71" s="8">
        <f t="shared" si="5"/>
        <v>0</v>
      </c>
      <c r="G71" s="9"/>
      <c r="H71" s="10"/>
      <c r="I71" s="11"/>
      <c r="J71" s="8">
        <f t="shared" si="6"/>
        <v>0</v>
      </c>
      <c r="K71" s="32"/>
    </row>
    <row r="72" spans="2:11" x14ac:dyDescent="0.15">
      <c r="B72" s="4"/>
      <c r="C72" s="9"/>
      <c r="D72" s="10"/>
      <c r="E72" s="11"/>
      <c r="F72" s="8">
        <f t="shared" si="5"/>
        <v>0</v>
      </c>
      <c r="G72" s="9"/>
      <c r="H72" s="10"/>
      <c r="I72" s="11"/>
      <c r="J72" s="8">
        <f t="shared" si="6"/>
        <v>0</v>
      </c>
      <c r="K72" s="32"/>
    </row>
    <row r="73" spans="2:11" x14ac:dyDescent="0.15">
      <c r="B73" s="4"/>
      <c r="C73" s="9"/>
      <c r="D73" s="10"/>
      <c r="E73" s="11"/>
      <c r="F73" s="8">
        <f t="shared" si="5"/>
        <v>0</v>
      </c>
      <c r="G73" s="9"/>
      <c r="H73" s="10"/>
      <c r="I73" s="11"/>
      <c r="J73" s="8">
        <f t="shared" si="6"/>
        <v>0</v>
      </c>
      <c r="K73" s="32"/>
    </row>
    <row r="74" spans="2:11" x14ac:dyDescent="0.15">
      <c r="B74" s="4"/>
      <c r="C74" s="9"/>
      <c r="D74" s="10"/>
      <c r="E74" s="11"/>
      <c r="F74" s="8">
        <f t="shared" si="5"/>
        <v>0</v>
      </c>
      <c r="G74" s="9"/>
      <c r="H74" s="10"/>
      <c r="I74" s="11"/>
      <c r="J74" s="8">
        <f t="shared" si="6"/>
        <v>0</v>
      </c>
      <c r="K74" s="30"/>
    </row>
    <row r="75" spans="2:11" x14ac:dyDescent="0.15">
      <c r="B75" s="4"/>
      <c r="C75" s="9"/>
      <c r="D75" s="10"/>
      <c r="E75" s="11"/>
      <c r="F75" s="8">
        <f t="shared" si="5"/>
        <v>0</v>
      </c>
      <c r="G75" s="9"/>
      <c r="H75" s="10"/>
      <c r="I75" s="11"/>
      <c r="J75" s="8">
        <f t="shared" si="6"/>
        <v>0</v>
      </c>
      <c r="K75" s="32"/>
    </row>
    <row r="76" spans="2:11" x14ac:dyDescent="0.15">
      <c r="B76" s="4"/>
      <c r="C76" s="9"/>
      <c r="D76" s="10"/>
      <c r="E76" s="11"/>
      <c r="F76" s="8">
        <f t="shared" si="5"/>
        <v>0</v>
      </c>
      <c r="G76" s="9"/>
      <c r="H76" s="10"/>
      <c r="I76" s="11"/>
      <c r="J76" s="8">
        <f t="shared" si="6"/>
        <v>0</v>
      </c>
      <c r="K76" s="32"/>
    </row>
    <row r="77" spans="2:11" x14ac:dyDescent="0.15">
      <c r="B77" s="4"/>
      <c r="C77" s="9"/>
      <c r="D77" s="10"/>
      <c r="E77" s="11"/>
      <c r="F77" s="8">
        <f t="shared" si="5"/>
        <v>0</v>
      </c>
      <c r="G77" s="9"/>
      <c r="H77" s="10"/>
      <c r="I77" s="11"/>
      <c r="J77" s="8">
        <f t="shared" si="6"/>
        <v>0</v>
      </c>
    </row>
    <row r="78" spans="2:11" x14ac:dyDescent="0.15">
      <c r="B78" s="4"/>
      <c r="C78" s="9"/>
      <c r="D78" s="10"/>
      <c r="E78" s="11"/>
      <c r="F78" s="8">
        <f t="shared" si="5"/>
        <v>0</v>
      </c>
      <c r="G78" s="9"/>
      <c r="H78" s="10"/>
      <c r="I78" s="11"/>
      <c r="J78" s="8">
        <f t="shared" si="6"/>
        <v>0</v>
      </c>
    </row>
    <row r="79" spans="2:11" x14ac:dyDescent="0.15">
      <c r="B79" s="4"/>
      <c r="C79" s="9"/>
      <c r="D79" s="10"/>
      <c r="E79" s="11"/>
      <c r="F79" s="8">
        <f t="shared" si="5"/>
        <v>0</v>
      </c>
      <c r="G79" s="9"/>
      <c r="H79" s="10"/>
      <c r="I79" s="11"/>
      <c r="J79" s="8">
        <f t="shared" si="6"/>
        <v>0</v>
      </c>
    </row>
    <row r="80" spans="2:11" x14ac:dyDescent="0.15">
      <c r="B80" s="4"/>
      <c r="C80" s="9"/>
      <c r="D80" s="10"/>
      <c r="E80" s="11"/>
      <c r="F80" s="8">
        <f t="shared" si="5"/>
        <v>0</v>
      </c>
      <c r="G80" s="9"/>
      <c r="H80" s="10"/>
      <c r="I80" s="11"/>
      <c r="J80" s="8">
        <f t="shared" si="6"/>
        <v>0</v>
      </c>
    </row>
    <row r="81" spans="2:10" x14ac:dyDescent="0.15">
      <c r="B81" s="4"/>
      <c r="C81" s="9"/>
      <c r="D81" s="10"/>
      <c r="E81" s="11"/>
      <c r="F81" s="8">
        <f t="shared" si="5"/>
        <v>0</v>
      </c>
      <c r="G81" s="9"/>
      <c r="H81" s="10"/>
      <c r="I81" s="11"/>
      <c r="J81" s="8">
        <f t="shared" si="6"/>
        <v>0</v>
      </c>
    </row>
    <row r="82" spans="2:10" ht="14.25" thickBot="1" x14ac:dyDescent="0.2">
      <c r="B82" s="4"/>
      <c r="C82" s="9"/>
      <c r="D82" s="10"/>
      <c r="E82" s="11"/>
      <c r="F82" s="8">
        <f t="shared" si="5"/>
        <v>0</v>
      </c>
      <c r="G82" s="9"/>
      <c r="H82" s="10"/>
      <c r="I82" s="11"/>
      <c r="J82" s="8">
        <f t="shared" si="6"/>
        <v>0</v>
      </c>
    </row>
    <row r="83" spans="2:10" ht="14.25" thickBot="1" x14ac:dyDescent="0.2">
      <c r="B83" s="3" t="s">
        <v>5</v>
      </c>
      <c r="C83" s="15">
        <f>SUM(C59:C82)</f>
        <v>0</v>
      </c>
      <c r="D83" s="15">
        <f>SUM(D59:D82)</f>
        <v>0</v>
      </c>
      <c r="E83" s="15">
        <f>SUM(E59:E82)</f>
        <v>0</v>
      </c>
      <c r="F83" s="16">
        <f t="shared" si="5"/>
        <v>0</v>
      </c>
      <c r="G83" s="15">
        <f>SUM(G59:G82)</f>
        <v>0</v>
      </c>
      <c r="H83" s="15">
        <f>SUM(H59:H82)</f>
        <v>0</v>
      </c>
      <c r="I83" s="15">
        <f>SUM(I59:I82)</f>
        <v>0</v>
      </c>
      <c r="J83" s="16">
        <f t="shared" si="6"/>
        <v>0</v>
      </c>
    </row>
    <row r="84" spans="2:10" ht="14.25" thickBot="1" x14ac:dyDescent="0.2">
      <c r="B84" s="26" t="s">
        <v>6</v>
      </c>
      <c r="C84" s="27">
        <f t="shared" ref="C84:J84" si="7">C58-C83</f>
        <v>3</v>
      </c>
      <c r="D84" s="27">
        <f t="shared" si="7"/>
        <v>4</v>
      </c>
      <c r="E84" s="27">
        <f t="shared" si="7"/>
        <v>2</v>
      </c>
      <c r="F84" s="27">
        <f t="shared" si="7"/>
        <v>9</v>
      </c>
      <c r="G84" s="27">
        <f t="shared" si="7"/>
        <v>4</v>
      </c>
      <c r="H84" s="27">
        <f t="shared" si="7"/>
        <v>5</v>
      </c>
      <c r="I84" s="27">
        <f t="shared" si="7"/>
        <v>2</v>
      </c>
      <c r="J84" s="25">
        <f t="shared" si="7"/>
        <v>11</v>
      </c>
    </row>
  </sheetData>
  <mergeCells count="4">
    <mergeCell ref="C2:F2"/>
    <mergeCell ref="G2:J2"/>
    <mergeCell ref="C45:F45"/>
    <mergeCell ref="G45:J45"/>
  </mergeCells>
  <phoneticPr fontId="7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7405-172E-49F8-8D44-6A7F790A7BA1}">
  <sheetPr>
    <tabColor theme="0"/>
  </sheetPr>
  <dimension ref="A1:M84"/>
  <sheetViews>
    <sheetView topLeftCell="A40" zoomScale="90" zoomScaleNormal="90" workbookViewId="0">
      <selection activeCell="L60" sqref="L60"/>
    </sheetView>
  </sheetViews>
  <sheetFormatPr defaultRowHeight="13.5" x14ac:dyDescent="0.15"/>
  <cols>
    <col min="2" max="2" width="16.5" customWidth="1"/>
    <col min="11" max="11" width="9.25" bestFit="1" customWidth="1"/>
  </cols>
  <sheetData>
    <row r="1" spans="2:13" ht="19.5" thickBot="1" x14ac:dyDescent="0.25">
      <c r="B1" s="33" t="s">
        <v>59</v>
      </c>
      <c r="C1" s="1"/>
      <c r="D1" s="1"/>
      <c r="E1" s="1"/>
      <c r="F1" s="1"/>
      <c r="G1" s="34"/>
      <c r="H1" s="34" t="s">
        <v>60</v>
      </c>
      <c r="I1" s="34"/>
      <c r="J1" s="34"/>
    </row>
    <row r="2" spans="2:13" ht="14.25" thickBot="1" x14ac:dyDescent="0.2">
      <c r="B2" s="2" t="s">
        <v>0</v>
      </c>
      <c r="C2" s="84" t="s">
        <v>16</v>
      </c>
      <c r="D2" s="84"/>
      <c r="E2" s="84"/>
      <c r="F2" s="85"/>
      <c r="G2" s="84" t="s">
        <v>15</v>
      </c>
      <c r="H2" s="84"/>
      <c r="I2" s="84"/>
      <c r="J2" s="85"/>
    </row>
    <row r="3" spans="2:13" ht="14.25" thickBot="1" x14ac:dyDescent="0.2">
      <c r="B3" s="2" t="s">
        <v>1</v>
      </c>
      <c r="C3" s="3" t="s">
        <v>9</v>
      </c>
      <c r="D3" s="2" t="s">
        <v>10</v>
      </c>
      <c r="E3" s="19" t="s">
        <v>11</v>
      </c>
      <c r="F3" s="2" t="s">
        <v>2</v>
      </c>
      <c r="G3" s="3" t="s">
        <v>9</v>
      </c>
      <c r="H3" s="2" t="s">
        <v>10</v>
      </c>
      <c r="I3" s="19" t="s">
        <v>11</v>
      </c>
      <c r="J3" s="2" t="s">
        <v>2</v>
      </c>
    </row>
    <row r="4" spans="2:13" x14ac:dyDescent="0.15">
      <c r="B4" s="6" t="s">
        <v>8</v>
      </c>
      <c r="C4" s="35"/>
      <c r="D4" s="36">
        <v>4</v>
      </c>
      <c r="E4" s="37"/>
      <c r="F4" s="5">
        <f>SUM(C4:E4)</f>
        <v>4</v>
      </c>
      <c r="G4" s="35"/>
      <c r="H4" s="36">
        <v>4</v>
      </c>
      <c r="I4" s="37"/>
      <c r="J4" s="5">
        <f>SUM(G4:I4)</f>
        <v>4</v>
      </c>
      <c r="K4" s="30">
        <v>45674</v>
      </c>
      <c r="L4" s="43"/>
    </row>
    <row r="5" spans="2:13" x14ac:dyDescent="0.15">
      <c r="B5" s="6" t="s">
        <v>3</v>
      </c>
      <c r="C5" s="17">
        <v>2</v>
      </c>
      <c r="D5" s="12"/>
      <c r="E5" s="17"/>
      <c r="F5" s="5">
        <f t="shared" ref="F5:F40" si="0">SUM(C5:E5)</f>
        <v>2</v>
      </c>
      <c r="G5" s="17"/>
      <c r="H5" s="12"/>
      <c r="I5" s="17"/>
      <c r="J5" s="5">
        <f t="shared" ref="J5:J40" si="1">SUM(G5:I5)</f>
        <v>0</v>
      </c>
      <c r="K5" s="30">
        <v>45726</v>
      </c>
    </row>
    <row r="6" spans="2:13" x14ac:dyDescent="0.15">
      <c r="B6" s="6" t="s">
        <v>3</v>
      </c>
      <c r="C6" s="17"/>
      <c r="D6" s="12">
        <v>2</v>
      </c>
      <c r="E6" s="17">
        <v>2</v>
      </c>
      <c r="F6" s="5">
        <f t="shared" si="0"/>
        <v>4</v>
      </c>
      <c r="G6" s="17">
        <v>2</v>
      </c>
      <c r="H6" s="12">
        <v>4</v>
      </c>
      <c r="I6" s="17">
        <v>2</v>
      </c>
      <c r="J6" s="5">
        <f t="shared" si="1"/>
        <v>8</v>
      </c>
      <c r="K6" s="30">
        <v>45740</v>
      </c>
    </row>
    <row r="7" spans="2:13" x14ac:dyDescent="0.15">
      <c r="B7" s="6" t="s">
        <v>3</v>
      </c>
      <c r="C7" s="17"/>
      <c r="D7" s="12">
        <v>2</v>
      </c>
      <c r="E7" s="17"/>
      <c r="F7" s="5">
        <f t="shared" si="0"/>
        <v>2</v>
      </c>
      <c r="G7" s="17">
        <v>2</v>
      </c>
      <c r="H7" s="12"/>
      <c r="I7" s="17"/>
      <c r="J7" s="5">
        <f t="shared" si="1"/>
        <v>2</v>
      </c>
      <c r="K7" s="30">
        <v>45786</v>
      </c>
      <c r="L7" s="31"/>
    </row>
    <row r="8" spans="2:13" x14ac:dyDescent="0.15">
      <c r="B8" s="6" t="s">
        <v>3</v>
      </c>
      <c r="C8" s="17">
        <v>4</v>
      </c>
      <c r="D8" s="12">
        <v>2</v>
      </c>
      <c r="E8" s="17"/>
      <c r="F8" s="5">
        <f t="shared" si="0"/>
        <v>6</v>
      </c>
      <c r="G8" s="17">
        <v>2</v>
      </c>
      <c r="H8" s="12"/>
      <c r="I8" s="17"/>
      <c r="J8" s="5">
        <f t="shared" si="1"/>
        <v>2</v>
      </c>
      <c r="K8" s="30">
        <v>45896</v>
      </c>
      <c r="L8" s="66" t="s">
        <v>72</v>
      </c>
    </row>
    <row r="9" spans="2:13" x14ac:dyDescent="0.15">
      <c r="B9" s="6" t="s">
        <v>3</v>
      </c>
      <c r="C9" s="17"/>
      <c r="D9" s="12">
        <v>4</v>
      </c>
      <c r="E9" s="17"/>
      <c r="F9" s="5">
        <f t="shared" si="0"/>
        <v>4</v>
      </c>
      <c r="G9" s="17"/>
      <c r="H9" s="12"/>
      <c r="I9" s="17"/>
      <c r="J9" s="5">
        <f t="shared" si="1"/>
        <v>0</v>
      </c>
      <c r="K9" s="30">
        <v>45932</v>
      </c>
      <c r="L9" s="31"/>
    </row>
    <row r="10" spans="2:13" x14ac:dyDescent="0.15">
      <c r="B10" s="6" t="s">
        <v>3</v>
      </c>
      <c r="C10" s="17">
        <v>4</v>
      </c>
      <c r="D10" s="12"/>
      <c r="E10" s="17"/>
      <c r="F10" s="5">
        <f t="shared" si="0"/>
        <v>4</v>
      </c>
      <c r="G10" s="17">
        <v>4</v>
      </c>
      <c r="H10" s="12"/>
      <c r="I10" s="17"/>
      <c r="J10" s="5">
        <f t="shared" si="1"/>
        <v>4</v>
      </c>
      <c r="K10" s="30">
        <v>45944</v>
      </c>
      <c r="L10" s="31"/>
    </row>
    <row r="11" spans="2:13" x14ac:dyDescent="0.15">
      <c r="B11" s="6" t="s">
        <v>3</v>
      </c>
      <c r="C11" s="11">
        <v>2</v>
      </c>
      <c r="D11" s="10"/>
      <c r="E11" s="11"/>
      <c r="F11" s="5">
        <f t="shared" si="0"/>
        <v>2</v>
      </c>
      <c r="G11" s="11">
        <v>2</v>
      </c>
      <c r="H11" s="10"/>
      <c r="I11" s="11"/>
      <c r="J11" s="5">
        <f t="shared" si="1"/>
        <v>2</v>
      </c>
      <c r="K11" s="32">
        <v>45993</v>
      </c>
    </row>
    <row r="12" spans="2:13" x14ac:dyDescent="0.15">
      <c r="B12" s="6" t="s">
        <v>3</v>
      </c>
      <c r="C12" s="11"/>
      <c r="D12" s="10"/>
      <c r="E12" s="11">
        <v>4</v>
      </c>
      <c r="F12" s="5">
        <f t="shared" si="0"/>
        <v>4</v>
      </c>
      <c r="G12" s="11"/>
      <c r="H12" s="10">
        <v>2</v>
      </c>
      <c r="I12" s="11">
        <v>2</v>
      </c>
      <c r="J12" s="5">
        <f t="shared" si="1"/>
        <v>4</v>
      </c>
      <c r="K12" s="30">
        <v>45995</v>
      </c>
      <c r="L12" s="31"/>
    </row>
    <row r="13" spans="2:13" x14ac:dyDescent="0.15">
      <c r="B13" s="6" t="s">
        <v>3</v>
      </c>
      <c r="C13" s="11"/>
      <c r="D13" s="10"/>
      <c r="E13" s="11">
        <v>4</v>
      </c>
      <c r="F13" s="5">
        <f t="shared" si="0"/>
        <v>4</v>
      </c>
      <c r="G13" s="11"/>
      <c r="H13" s="10"/>
      <c r="I13" s="11">
        <v>2</v>
      </c>
      <c r="J13" s="5">
        <f t="shared" si="1"/>
        <v>2</v>
      </c>
      <c r="K13" s="30">
        <v>46002</v>
      </c>
    </row>
    <row r="14" spans="2:13" ht="14.25" thickBot="1" x14ac:dyDescent="0.2">
      <c r="B14" s="7" t="s">
        <v>3</v>
      </c>
      <c r="C14" s="14"/>
      <c r="D14" s="13">
        <v>2</v>
      </c>
      <c r="E14" s="14"/>
      <c r="F14" s="20">
        <f t="shared" si="0"/>
        <v>2</v>
      </c>
      <c r="G14" s="14"/>
      <c r="H14" s="13"/>
      <c r="I14" s="14"/>
      <c r="J14" s="20">
        <f t="shared" si="1"/>
        <v>0</v>
      </c>
      <c r="K14" s="30">
        <v>46037</v>
      </c>
    </row>
    <row r="15" spans="2:13" ht="14.25" thickBot="1" x14ac:dyDescent="0.2">
      <c r="B15" s="22" t="s">
        <v>4</v>
      </c>
      <c r="C15" s="23">
        <f>SUM(C4:C14)</f>
        <v>12</v>
      </c>
      <c r="D15" s="23">
        <f>SUM(D4:D14)</f>
        <v>16</v>
      </c>
      <c r="E15" s="24">
        <f>SUM(E4:E14)</f>
        <v>10</v>
      </c>
      <c r="F15" s="25">
        <f t="shared" si="0"/>
        <v>38</v>
      </c>
      <c r="G15" s="23">
        <f>SUM(G4:G14)</f>
        <v>12</v>
      </c>
      <c r="H15" s="23">
        <f>SUM(H4:H14)</f>
        <v>10</v>
      </c>
      <c r="I15" s="24">
        <f>SUM(I4:I14)</f>
        <v>6</v>
      </c>
      <c r="J15" s="25">
        <f t="shared" si="1"/>
        <v>28</v>
      </c>
    </row>
    <row r="16" spans="2:13" x14ac:dyDescent="0.15">
      <c r="B16" s="4" t="s">
        <v>58</v>
      </c>
      <c r="C16" s="9"/>
      <c r="D16" s="10">
        <v>4</v>
      </c>
      <c r="E16" s="11"/>
      <c r="F16" s="5">
        <f t="shared" ref="F16" si="2">SUM(C16:E16)</f>
        <v>4</v>
      </c>
      <c r="G16" s="9"/>
      <c r="H16" s="10">
        <v>4</v>
      </c>
      <c r="I16" s="11"/>
      <c r="J16" s="5">
        <f t="shared" ref="J16" si="3">SUM(G16:I16)</f>
        <v>4</v>
      </c>
      <c r="K16" s="30">
        <v>45675</v>
      </c>
      <c r="L16" s="31"/>
      <c r="M16" s="31"/>
    </row>
    <row r="17" spans="1:13" x14ac:dyDescent="0.15">
      <c r="B17" s="4" t="s">
        <v>63</v>
      </c>
      <c r="C17" s="9"/>
      <c r="D17" s="10"/>
      <c r="E17" s="11"/>
      <c r="F17" s="5">
        <f t="shared" si="0"/>
        <v>0</v>
      </c>
      <c r="G17" s="9"/>
      <c r="H17" s="10">
        <v>2</v>
      </c>
      <c r="I17" s="11"/>
      <c r="J17" s="5">
        <f t="shared" si="1"/>
        <v>2</v>
      </c>
      <c r="K17" s="30">
        <v>45740</v>
      </c>
      <c r="L17" s="31"/>
      <c r="M17" s="31"/>
    </row>
    <row r="18" spans="1:13" x14ac:dyDescent="0.15">
      <c r="A18" s="31"/>
      <c r="B18" s="4" t="s">
        <v>56</v>
      </c>
      <c r="C18" s="9"/>
      <c r="D18" s="10"/>
      <c r="E18" s="11"/>
      <c r="F18" s="5">
        <f t="shared" si="0"/>
        <v>0</v>
      </c>
      <c r="G18" s="9">
        <v>2</v>
      </c>
      <c r="H18" s="10"/>
      <c r="I18" s="11"/>
      <c r="J18" s="5">
        <f t="shared" si="1"/>
        <v>2</v>
      </c>
      <c r="K18" s="30">
        <v>45770</v>
      </c>
      <c r="L18" s="31"/>
      <c r="M18" s="31"/>
    </row>
    <row r="19" spans="1:13" x14ac:dyDescent="0.15">
      <c r="A19" s="31"/>
      <c r="B19" s="4" t="s">
        <v>56</v>
      </c>
      <c r="C19" s="9"/>
      <c r="D19" s="10">
        <v>2</v>
      </c>
      <c r="E19" s="11"/>
      <c r="F19" s="5">
        <f t="shared" si="0"/>
        <v>2</v>
      </c>
      <c r="G19" s="9"/>
      <c r="H19" s="10"/>
      <c r="I19" s="11"/>
      <c r="J19" s="5">
        <f t="shared" si="1"/>
        <v>0</v>
      </c>
      <c r="K19" s="30">
        <v>45785</v>
      </c>
    </row>
    <row r="20" spans="1:13" x14ac:dyDescent="0.15">
      <c r="A20" s="31"/>
      <c r="B20" s="4" t="s">
        <v>56</v>
      </c>
      <c r="C20" s="9"/>
      <c r="D20" s="10"/>
      <c r="E20" s="11"/>
      <c r="F20" s="5">
        <f t="shared" si="0"/>
        <v>0</v>
      </c>
      <c r="G20" s="9">
        <v>2</v>
      </c>
      <c r="H20" s="10"/>
      <c r="I20" s="11"/>
      <c r="J20" s="5">
        <f t="shared" si="1"/>
        <v>2</v>
      </c>
      <c r="K20" s="30">
        <v>45869</v>
      </c>
    </row>
    <row r="21" spans="1:13" x14ac:dyDescent="0.15">
      <c r="A21" s="31"/>
      <c r="B21" s="4" t="s">
        <v>56</v>
      </c>
      <c r="C21" s="9"/>
      <c r="D21" s="10">
        <v>2</v>
      </c>
      <c r="E21" s="11"/>
      <c r="F21" s="8">
        <f t="shared" si="0"/>
        <v>2</v>
      </c>
      <c r="G21" s="9"/>
      <c r="H21" s="10"/>
      <c r="I21" s="11"/>
      <c r="J21" s="8">
        <f t="shared" si="1"/>
        <v>0</v>
      </c>
      <c r="K21" s="30">
        <v>45891</v>
      </c>
    </row>
    <row r="22" spans="1:13" x14ac:dyDescent="0.15">
      <c r="A22" s="31"/>
      <c r="B22" s="4" t="s">
        <v>67</v>
      </c>
      <c r="C22" s="9">
        <v>2</v>
      </c>
      <c r="D22" s="10">
        <v>0</v>
      </c>
      <c r="E22" s="11">
        <v>0</v>
      </c>
      <c r="F22" s="8">
        <f t="shared" si="0"/>
        <v>2</v>
      </c>
      <c r="G22" s="9">
        <v>0</v>
      </c>
      <c r="H22" s="10">
        <v>0</v>
      </c>
      <c r="I22" s="11">
        <v>0</v>
      </c>
      <c r="J22" s="8">
        <f t="shared" si="1"/>
        <v>0</v>
      </c>
      <c r="K22" s="30">
        <v>45890</v>
      </c>
    </row>
    <row r="23" spans="1:13" x14ac:dyDescent="0.15">
      <c r="A23" s="31"/>
      <c r="B23" s="4" t="s">
        <v>7</v>
      </c>
      <c r="C23" s="9">
        <v>2</v>
      </c>
      <c r="D23" s="10"/>
      <c r="E23" s="11"/>
      <c r="F23" s="8">
        <f t="shared" si="0"/>
        <v>2</v>
      </c>
      <c r="G23" s="9"/>
      <c r="H23" s="10"/>
      <c r="I23" s="11"/>
      <c r="J23" s="8">
        <f t="shared" si="1"/>
        <v>0</v>
      </c>
      <c r="K23" s="30">
        <v>45896</v>
      </c>
    </row>
    <row r="24" spans="1:13" x14ac:dyDescent="0.15">
      <c r="A24" s="31"/>
      <c r="B24" s="4" t="s">
        <v>56</v>
      </c>
      <c r="C24" s="9"/>
      <c r="D24" s="10">
        <v>2</v>
      </c>
      <c r="E24" s="11"/>
      <c r="F24" s="8">
        <f t="shared" si="0"/>
        <v>2</v>
      </c>
      <c r="G24" s="9"/>
      <c r="H24" s="10"/>
      <c r="I24" s="11"/>
      <c r="J24" s="8">
        <f t="shared" si="1"/>
        <v>0</v>
      </c>
      <c r="K24" s="30">
        <v>45931</v>
      </c>
    </row>
    <row r="25" spans="1:13" x14ac:dyDescent="0.15">
      <c r="A25" s="31"/>
      <c r="B25" s="4" t="s">
        <v>7</v>
      </c>
      <c r="C25" s="9">
        <v>2</v>
      </c>
      <c r="D25" s="10"/>
      <c r="E25" s="11"/>
      <c r="F25" s="8">
        <f t="shared" si="0"/>
        <v>2</v>
      </c>
      <c r="G25" s="9">
        <v>2</v>
      </c>
      <c r="H25" s="10"/>
      <c r="I25" s="11"/>
      <c r="J25" s="8">
        <f t="shared" si="1"/>
        <v>2</v>
      </c>
      <c r="K25" s="30">
        <v>45936</v>
      </c>
    </row>
    <row r="26" spans="1:13" x14ac:dyDescent="0.15">
      <c r="B26" s="4" t="s">
        <v>56</v>
      </c>
      <c r="C26" s="9"/>
      <c r="D26" s="10"/>
      <c r="E26" s="11">
        <v>2</v>
      </c>
      <c r="F26" s="8">
        <f t="shared" si="0"/>
        <v>2</v>
      </c>
      <c r="G26" s="9"/>
      <c r="H26" s="10"/>
      <c r="I26" s="11"/>
      <c r="J26" s="8">
        <f t="shared" si="1"/>
        <v>0</v>
      </c>
      <c r="K26" s="30">
        <v>45996</v>
      </c>
    </row>
    <row r="27" spans="1:13" x14ac:dyDescent="0.15">
      <c r="B27" s="4" t="s">
        <v>7</v>
      </c>
      <c r="C27" s="9"/>
      <c r="D27" s="10"/>
      <c r="E27" s="11">
        <v>4</v>
      </c>
      <c r="F27" s="8">
        <f t="shared" si="0"/>
        <v>4</v>
      </c>
      <c r="G27" s="9"/>
      <c r="H27" s="10"/>
      <c r="I27" s="11">
        <v>2</v>
      </c>
      <c r="J27" s="8">
        <f t="shared" si="1"/>
        <v>2</v>
      </c>
      <c r="K27" s="32">
        <v>45995</v>
      </c>
    </row>
    <row r="28" spans="1:13" x14ac:dyDescent="0.15">
      <c r="B28" s="4" t="s">
        <v>7</v>
      </c>
      <c r="C28" s="9"/>
      <c r="D28" s="10">
        <v>2</v>
      </c>
      <c r="E28" s="11"/>
      <c r="F28" s="8">
        <f t="shared" si="0"/>
        <v>2</v>
      </c>
      <c r="G28" s="9"/>
      <c r="H28" s="10"/>
      <c r="I28" s="11"/>
      <c r="J28" s="8">
        <f t="shared" si="1"/>
        <v>0</v>
      </c>
      <c r="K28" s="32">
        <v>46032</v>
      </c>
    </row>
    <row r="29" spans="1:13" x14ac:dyDescent="0.15">
      <c r="B29" s="4" t="s">
        <v>74</v>
      </c>
      <c r="C29" s="9"/>
      <c r="D29" s="10">
        <v>-2</v>
      </c>
      <c r="E29" s="11"/>
      <c r="F29" s="8">
        <f t="shared" si="0"/>
        <v>-2</v>
      </c>
      <c r="G29" s="9"/>
      <c r="H29" s="10">
        <v>-2</v>
      </c>
      <c r="I29" s="11"/>
      <c r="J29" s="8">
        <f t="shared" si="1"/>
        <v>-2</v>
      </c>
      <c r="K29" s="30">
        <v>46038</v>
      </c>
      <c r="L29" s="31"/>
    </row>
    <row r="30" spans="1:13" x14ac:dyDescent="0.15">
      <c r="B30" s="4" t="s">
        <v>7</v>
      </c>
      <c r="C30" s="9"/>
      <c r="D30" s="10">
        <v>1</v>
      </c>
      <c r="E30" s="11"/>
      <c r="F30" s="8">
        <f t="shared" si="0"/>
        <v>1</v>
      </c>
      <c r="G30" s="9"/>
      <c r="H30" s="10">
        <v>1</v>
      </c>
      <c r="I30" s="11"/>
      <c r="J30" s="8">
        <f t="shared" si="1"/>
        <v>1</v>
      </c>
      <c r="K30" s="30">
        <v>46048</v>
      </c>
    </row>
    <row r="31" spans="1:13" x14ac:dyDescent="0.15">
      <c r="B31" s="4" t="s">
        <v>23</v>
      </c>
      <c r="C31" s="9"/>
      <c r="D31" s="10">
        <v>-2</v>
      </c>
      <c r="E31" s="11"/>
      <c r="F31" s="8">
        <f t="shared" si="0"/>
        <v>-2</v>
      </c>
      <c r="G31" s="9"/>
      <c r="H31" s="10"/>
      <c r="I31" s="11"/>
      <c r="J31" s="8">
        <f t="shared" si="1"/>
        <v>0</v>
      </c>
      <c r="K31" s="32">
        <v>46071</v>
      </c>
    </row>
    <row r="32" spans="1:13" x14ac:dyDescent="0.15">
      <c r="B32" s="12" t="s">
        <v>7</v>
      </c>
      <c r="C32" s="9">
        <v>1</v>
      </c>
      <c r="D32" s="10"/>
      <c r="E32" s="11"/>
      <c r="F32" s="8">
        <f t="shared" si="0"/>
        <v>1</v>
      </c>
      <c r="G32" s="9">
        <v>1</v>
      </c>
      <c r="H32" s="10"/>
      <c r="I32" s="11"/>
      <c r="J32" s="8">
        <f t="shared" si="1"/>
        <v>1</v>
      </c>
      <c r="K32" s="32">
        <v>46077</v>
      </c>
    </row>
    <row r="33" spans="2:12" x14ac:dyDescent="0.15">
      <c r="B33" s="4" t="s">
        <v>64</v>
      </c>
      <c r="C33" s="9">
        <v>0</v>
      </c>
      <c r="D33" s="10">
        <v>0</v>
      </c>
      <c r="E33" s="11">
        <v>0</v>
      </c>
      <c r="F33" s="8">
        <f t="shared" si="0"/>
        <v>0</v>
      </c>
      <c r="G33" s="9">
        <v>0</v>
      </c>
      <c r="H33" s="10">
        <v>0</v>
      </c>
      <c r="I33" s="11">
        <v>0</v>
      </c>
      <c r="J33" s="8">
        <f t="shared" si="1"/>
        <v>0</v>
      </c>
      <c r="K33" s="32">
        <v>46085</v>
      </c>
    </row>
    <row r="34" spans="2:12" x14ac:dyDescent="0.15">
      <c r="B34" s="12" t="s">
        <v>7</v>
      </c>
      <c r="C34" s="9"/>
      <c r="D34" s="10"/>
      <c r="E34" s="11"/>
      <c r="F34" s="8">
        <f t="shared" si="0"/>
        <v>0</v>
      </c>
      <c r="G34" s="9"/>
      <c r="H34" s="10"/>
      <c r="I34" s="11">
        <v>2</v>
      </c>
      <c r="J34" s="8">
        <f t="shared" si="1"/>
        <v>2</v>
      </c>
      <c r="K34" s="30">
        <v>46133</v>
      </c>
    </row>
    <row r="35" spans="2:12" x14ac:dyDescent="0.15">
      <c r="B35" s="12" t="s">
        <v>7</v>
      </c>
      <c r="C35" s="9"/>
      <c r="D35" s="10"/>
      <c r="E35" s="11">
        <v>2</v>
      </c>
      <c r="F35" s="8">
        <f t="shared" si="0"/>
        <v>2</v>
      </c>
      <c r="G35" s="9"/>
      <c r="H35" s="10"/>
      <c r="I35" s="11"/>
      <c r="J35" s="8">
        <f t="shared" si="1"/>
        <v>0</v>
      </c>
      <c r="K35" s="30">
        <v>46139</v>
      </c>
    </row>
    <row r="36" spans="2:12" x14ac:dyDescent="0.15">
      <c r="B36" s="12" t="s">
        <v>56</v>
      </c>
      <c r="C36" s="9"/>
      <c r="D36" s="10"/>
      <c r="E36" s="11"/>
      <c r="F36" s="8">
        <f t="shared" si="0"/>
        <v>0</v>
      </c>
      <c r="G36" s="9">
        <v>1</v>
      </c>
      <c r="H36" s="10"/>
      <c r="I36" s="11"/>
      <c r="J36" s="8">
        <f t="shared" si="1"/>
        <v>1</v>
      </c>
      <c r="K36" s="30">
        <v>46144</v>
      </c>
    </row>
    <row r="37" spans="2:12" x14ac:dyDescent="0.15">
      <c r="B37" s="12" t="s">
        <v>7</v>
      </c>
      <c r="C37" s="9">
        <v>2</v>
      </c>
      <c r="D37" s="10"/>
      <c r="E37" s="11"/>
      <c r="F37" s="8">
        <f t="shared" si="0"/>
        <v>2</v>
      </c>
      <c r="G37" s="9"/>
      <c r="H37" s="10"/>
      <c r="I37" s="11"/>
      <c r="J37" s="8">
        <f t="shared" si="1"/>
        <v>0</v>
      </c>
      <c r="K37" s="30">
        <v>46167</v>
      </c>
    </row>
    <row r="38" spans="2:12" x14ac:dyDescent="0.15">
      <c r="B38" s="4"/>
      <c r="C38" s="9"/>
      <c r="D38" s="10"/>
      <c r="E38" s="11"/>
      <c r="F38" s="8">
        <f t="shared" si="0"/>
        <v>0</v>
      </c>
      <c r="G38" s="9"/>
      <c r="H38" s="10"/>
      <c r="I38" s="11"/>
      <c r="J38" s="8">
        <f t="shared" si="1"/>
        <v>0</v>
      </c>
      <c r="K38" s="32"/>
    </row>
    <row r="39" spans="2:12" ht="14.25" thickBot="1" x14ac:dyDescent="0.2">
      <c r="B39" s="4"/>
      <c r="C39" s="9"/>
      <c r="D39" s="10"/>
      <c r="E39" s="11"/>
      <c r="F39" s="8">
        <f t="shared" si="0"/>
        <v>0</v>
      </c>
      <c r="G39" s="9"/>
      <c r="H39" s="10"/>
      <c r="I39" s="11"/>
      <c r="J39" s="8">
        <f t="shared" si="1"/>
        <v>0</v>
      </c>
      <c r="K39" s="32"/>
    </row>
    <row r="40" spans="2:12" ht="14.25" thickBot="1" x14ac:dyDescent="0.2">
      <c r="B40" s="3" t="s">
        <v>5</v>
      </c>
      <c r="C40" s="15">
        <f>SUM(C16:C39)</f>
        <v>9</v>
      </c>
      <c r="D40" s="15">
        <f>SUM(D16:D39)</f>
        <v>9</v>
      </c>
      <c r="E40" s="15">
        <f>SUM(E16:E39)</f>
        <v>8</v>
      </c>
      <c r="F40" s="16">
        <f t="shared" si="0"/>
        <v>26</v>
      </c>
      <c r="G40" s="15">
        <f>SUM(G16:G39)</f>
        <v>8</v>
      </c>
      <c r="H40" s="15">
        <f>SUM(H16:H39)</f>
        <v>5</v>
      </c>
      <c r="I40" s="15">
        <f>SUM(I16:I39)</f>
        <v>4</v>
      </c>
      <c r="J40" s="16">
        <f t="shared" si="1"/>
        <v>17</v>
      </c>
    </row>
    <row r="41" spans="2:12" ht="14.25" thickBot="1" x14ac:dyDescent="0.2">
      <c r="B41" s="26" t="s">
        <v>6</v>
      </c>
      <c r="C41" s="27">
        <f t="shared" ref="C41:J41" si="4">C15-C40</f>
        <v>3</v>
      </c>
      <c r="D41" s="27">
        <f t="shared" si="4"/>
        <v>7</v>
      </c>
      <c r="E41" s="27">
        <f t="shared" si="4"/>
        <v>2</v>
      </c>
      <c r="F41" s="27">
        <f t="shared" si="4"/>
        <v>12</v>
      </c>
      <c r="G41" s="27">
        <f t="shared" si="4"/>
        <v>4</v>
      </c>
      <c r="H41" s="27">
        <f t="shared" si="4"/>
        <v>5</v>
      </c>
      <c r="I41" s="27">
        <f t="shared" si="4"/>
        <v>2</v>
      </c>
      <c r="J41" s="25">
        <f t="shared" si="4"/>
        <v>11</v>
      </c>
    </row>
    <row r="44" spans="2:12" ht="19.5" thickBot="1" x14ac:dyDescent="0.25">
      <c r="B44" s="33" t="s">
        <v>59</v>
      </c>
      <c r="C44" s="1"/>
      <c r="D44" s="1"/>
      <c r="E44" s="1"/>
      <c r="F44" s="1"/>
      <c r="G44" s="34"/>
      <c r="H44" s="34" t="s">
        <v>60</v>
      </c>
      <c r="I44" s="34"/>
      <c r="J44" s="34"/>
    </row>
    <row r="45" spans="2:12" ht="14.25" thickBot="1" x14ac:dyDescent="0.2">
      <c r="B45" s="2" t="s">
        <v>0</v>
      </c>
      <c r="C45" s="84" t="s">
        <v>16</v>
      </c>
      <c r="D45" s="84"/>
      <c r="E45" s="84"/>
      <c r="F45" s="85"/>
      <c r="G45" s="84" t="s">
        <v>15</v>
      </c>
      <c r="H45" s="84"/>
      <c r="I45" s="84"/>
      <c r="J45" s="85"/>
    </row>
    <row r="46" spans="2:12" ht="14.25" thickBot="1" x14ac:dyDescent="0.2">
      <c r="B46" s="2" t="s">
        <v>1</v>
      </c>
      <c r="C46" s="3" t="s">
        <v>9</v>
      </c>
      <c r="D46" s="2" t="s">
        <v>10</v>
      </c>
      <c r="E46" s="19" t="s">
        <v>11</v>
      </c>
      <c r="F46" s="2" t="s">
        <v>2</v>
      </c>
      <c r="G46" s="3" t="s">
        <v>9</v>
      </c>
      <c r="H46" s="2" t="s">
        <v>10</v>
      </c>
      <c r="I46" s="19" t="s">
        <v>11</v>
      </c>
      <c r="J46" s="2" t="s">
        <v>2</v>
      </c>
    </row>
    <row r="47" spans="2:12" x14ac:dyDescent="0.15">
      <c r="B47" s="28" t="s">
        <v>12</v>
      </c>
      <c r="C47" s="39">
        <f>C41</f>
        <v>3</v>
      </c>
      <c r="D47" s="40">
        <f>D41</f>
        <v>7</v>
      </c>
      <c r="E47" s="41">
        <f>E41</f>
        <v>2</v>
      </c>
      <c r="F47" s="18">
        <f>SUM(C47:E47)</f>
        <v>12</v>
      </c>
      <c r="G47" s="39">
        <f>G41</f>
        <v>4</v>
      </c>
      <c r="H47" s="40">
        <f>H41</f>
        <v>5</v>
      </c>
      <c r="I47" s="41">
        <f>I41</f>
        <v>2</v>
      </c>
      <c r="J47" s="18">
        <f>SUM(G47:I47)</f>
        <v>11</v>
      </c>
    </row>
    <row r="48" spans="2:12" x14ac:dyDescent="0.15">
      <c r="B48" s="6" t="s">
        <v>3</v>
      </c>
      <c r="C48" s="17">
        <v>2</v>
      </c>
      <c r="D48" s="12"/>
      <c r="E48" s="17"/>
      <c r="F48" s="5">
        <f t="shared" ref="F48:F83" si="5">SUM(C48:E48)</f>
        <v>2</v>
      </c>
      <c r="G48" s="17">
        <v>2</v>
      </c>
      <c r="H48" s="12"/>
      <c r="I48" s="17"/>
      <c r="J48" s="5">
        <f t="shared" ref="J48:J83" si="6">SUM(G48:I48)</f>
        <v>2</v>
      </c>
      <c r="K48" s="30">
        <v>46171</v>
      </c>
      <c r="L48" s="31"/>
    </row>
    <row r="49" spans="1:11" x14ac:dyDescent="0.15">
      <c r="B49" s="6" t="s">
        <v>3</v>
      </c>
      <c r="C49" s="17"/>
      <c r="D49" s="12"/>
      <c r="E49" s="17"/>
      <c r="F49" s="5">
        <f t="shared" si="5"/>
        <v>0</v>
      </c>
      <c r="G49" s="17"/>
      <c r="H49" s="12"/>
      <c r="I49" s="17"/>
      <c r="J49" s="5">
        <f t="shared" si="6"/>
        <v>0</v>
      </c>
      <c r="K49" s="30"/>
    </row>
    <row r="50" spans="1:11" x14ac:dyDescent="0.15">
      <c r="B50" s="6" t="s">
        <v>3</v>
      </c>
      <c r="C50" s="17"/>
      <c r="D50" s="12"/>
      <c r="E50" s="17"/>
      <c r="F50" s="5">
        <f t="shared" si="5"/>
        <v>0</v>
      </c>
      <c r="G50" s="17"/>
      <c r="H50" s="12"/>
      <c r="I50" s="17"/>
      <c r="J50" s="5">
        <f t="shared" si="6"/>
        <v>0</v>
      </c>
      <c r="K50" s="32"/>
    </row>
    <row r="51" spans="1:11" x14ac:dyDescent="0.15">
      <c r="B51" s="6" t="s">
        <v>3</v>
      </c>
      <c r="C51" s="17"/>
      <c r="D51" s="12"/>
      <c r="E51" s="17"/>
      <c r="F51" s="5">
        <f t="shared" si="5"/>
        <v>0</v>
      </c>
      <c r="G51" s="17"/>
      <c r="H51" s="12"/>
      <c r="I51" s="17"/>
      <c r="J51" s="5">
        <f t="shared" si="6"/>
        <v>0</v>
      </c>
      <c r="K51" s="30"/>
    </row>
    <row r="52" spans="1:11" x14ac:dyDescent="0.15">
      <c r="B52" s="6" t="s">
        <v>3</v>
      </c>
      <c r="C52" s="17"/>
      <c r="D52" s="12"/>
      <c r="E52" s="17"/>
      <c r="F52" s="5">
        <f t="shared" si="5"/>
        <v>0</v>
      </c>
      <c r="G52" s="17"/>
      <c r="H52" s="12"/>
      <c r="I52" s="17"/>
      <c r="J52" s="5">
        <f t="shared" si="6"/>
        <v>0</v>
      </c>
      <c r="K52" s="30"/>
    </row>
    <row r="53" spans="1:11" x14ac:dyDescent="0.15">
      <c r="B53" s="6" t="s">
        <v>3</v>
      </c>
      <c r="C53" s="17"/>
      <c r="D53" s="12"/>
      <c r="E53" s="17"/>
      <c r="F53" s="5">
        <f t="shared" si="5"/>
        <v>0</v>
      </c>
      <c r="G53" s="17"/>
      <c r="H53" s="12"/>
      <c r="I53" s="17"/>
      <c r="J53" s="5">
        <f t="shared" si="6"/>
        <v>0</v>
      </c>
      <c r="K53" s="30"/>
    </row>
    <row r="54" spans="1:11" x14ac:dyDescent="0.15">
      <c r="A54" s="31"/>
      <c r="B54" s="6" t="s">
        <v>3</v>
      </c>
      <c r="C54" s="37"/>
      <c r="D54" s="36"/>
      <c r="E54" s="37"/>
      <c r="F54" s="5">
        <f t="shared" si="5"/>
        <v>0</v>
      </c>
      <c r="G54" s="37"/>
      <c r="H54" s="36"/>
      <c r="I54" s="37"/>
      <c r="J54" s="5">
        <f t="shared" si="6"/>
        <v>0</v>
      </c>
      <c r="K54" s="30"/>
    </row>
    <row r="55" spans="1:11" x14ac:dyDescent="0.15">
      <c r="B55" s="6" t="s">
        <v>3</v>
      </c>
      <c r="C55" s="37"/>
      <c r="D55" s="36"/>
      <c r="E55" s="37"/>
      <c r="F55" s="42">
        <f t="shared" si="5"/>
        <v>0</v>
      </c>
      <c r="G55" s="37"/>
      <c r="H55" s="36"/>
      <c r="I55" s="37"/>
      <c r="J55" s="5">
        <f t="shared" si="6"/>
        <v>0</v>
      </c>
      <c r="K55" s="30"/>
    </row>
    <row r="56" spans="1:11" x14ac:dyDescent="0.15">
      <c r="B56" s="6" t="s">
        <v>3</v>
      </c>
      <c r="C56" s="37"/>
      <c r="D56" s="36"/>
      <c r="E56" s="37"/>
      <c r="F56" s="42">
        <f t="shared" si="5"/>
        <v>0</v>
      </c>
      <c r="G56" s="37"/>
      <c r="H56" s="36"/>
      <c r="I56" s="37"/>
      <c r="J56" s="5">
        <f t="shared" si="6"/>
        <v>0</v>
      </c>
      <c r="K56" s="30"/>
    </row>
    <row r="57" spans="1:11" ht="14.25" thickBot="1" x14ac:dyDescent="0.2">
      <c r="B57" s="7" t="s">
        <v>3</v>
      </c>
      <c r="C57" s="44"/>
      <c r="D57" s="45"/>
      <c r="E57" s="44"/>
      <c r="F57" s="46">
        <f t="shared" si="5"/>
        <v>0</v>
      </c>
      <c r="G57" s="44"/>
      <c r="H57" s="45"/>
      <c r="I57" s="44"/>
      <c r="J57" s="20">
        <f t="shared" si="6"/>
        <v>0</v>
      </c>
      <c r="K57" s="30"/>
    </row>
    <row r="58" spans="1:11" ht="14.25" thickBot="1" x14ac:dyDescent="0.2">
      <c r="B58" s="22" t="s">
        <v>4</v>
      </c>
      <c r="C58" s="23">
        <f>SUM(C47:C57)</f>
        <v>5</v>
      </c>
      <c r="D58" s="23">
        <f>SUM(D47:D57)</f>
        <v>7</v>
      </c>
      <c r="E58" s="24">
        <f>SUM(E47:E57)</f>
        <v>2</v>
      </c>
      <c r="F58" s="25">
        <f t="shared" si="5"/>
        <v>14</v>
      </c>
      <c r="G58" s="23">
        <f>SUM(G47:G57)</f>
        <v>6</v>
      </c>
      <c r="H58" s="23">
        <f>SUM(H47:H57)</f>
        <v>5</v>
      </c>
      <c r="I58" s="24">
        <f>SUM(I47:I57)</f>
        <v>2</v>
      </c>
      <c r="J58" s="25">
        <f t="shared" si="6"/>
        <v>13</v>
      </c>
    </row>
    <row r="59" spans="1:11" x14ac:dyDescent="0.15">
      <c r="B59" s="4"/>
      <c r="C59" s="9"/>
      <c r="D59" s="10"/>
      <c r="E59" s="11"/>
      <c r="F59" s="5">
        <f t="shared" si="5"/>
        <v>0</v>
      </c>
      <c r="G59" s="9"/>
      <c r="H59" s="10"/>
      <c r="I59" s="11"/>
      <c r="J59" s="5">
        <f t="shared" si="6"/>
        <v>0</v>
      </c>
      <c r="K59" s="32"/>
    </row>
    <row r="60" spans="1:11" x14ac:dyDescent="0.15">
      <c r="B60" s="4"/>
      <c r="C60" s="9"/>
      <c r="D60" s="10"/>
      <c r="E60" s="11"/>
      <c r="F60" s="5">
        <f t="shared" si="5"/>
        <v>0</v>
      </c>
      <c r="G60" s="9"/>
      <c r="H60" s="10"/>
      <c r="I60" s="11"/>
      <c r="J60" s="5">
        <f t="shared" si="6"/>
        <v>0</v>
      </c>
      <c r="K60" s="32"/>
    </row>
    <row r="61" spans="1:11" x14ac:dyDescent="0.15">
      <c r="B61" s="4"/>
      <c r="C61" s="9"/>
      <c r="D61" s="10"/>
      <c r="E61" s="11"/>
      <c r="F61" s="5">
        <f t="shared" si="5"/>
        <v>0</v>
      </c>
      <c r="G61" s="9"/>
      <c r="H61" s="10"/>
      <c r="I61" s="11"/>
      <c r="J61" s="5">
        <f t="shared" si="6"/>
        <v>0</v>
      </c>
      <c r="K61" s="32"/>
    </row>
    <row r="62" spans="1:11" x14ac:dyDescent="0.15">
      <c r="B62" s="4"/>
      <c r="C62" s="9"/>
      <c r="D62" s="10"/>
      <c r="E62" s="11"/>
      <c r="F62" s="5">
        <f t="shared" si="5"/>
        <v>0</v>
      </c>
      <c r="G62" s="9"/>
      <c r="H62" s="10"/>
      <c r="I62" s="11"/>
      <c r="J62" s="5">
        <f t="shared" si="6"/>
        <v>0</v>
      </c>
      <c r="K62" s="32"/>
    </row>
    <row r="63" spans="1:11" x14ac:dyDescent="0.15">
      <c r="B63" s="4"/>
      <c r="C63" s="9"/>
      <c r="D63" s="10"/>
      <c r="E63" s="11"/>
      <c r="F63" s="5">
        <f t="shared" si="5"/>
        <v>0</v>
      </c>
      <c r="G63" s="9"/>
      <c r="H63" s="10"/>
      <c r="I63" s="11"/>
      <c r="J63" s="5">
        <f t="shared" si="6"/>
        <v>0</v>
      </c>
      <c r="K63" s="32"/>
    </row>
    <row r="64" spans="1:11" x14ac:dyDescent="0.15">
      <c r="B64" s="4"/>
      <c r="C64" s="9"/>
      <c r="D64" s="10"/>
      <c r="E64" s="11"/>
      <c r="F64" s="8">
        <f t="shared" si="5"/>
        <v>0</v>
      </c>
      <c r="G64" s="9"/>
      <c r="H64" s="10"/>
      <c r="I64" s="11"/>
      <c r="J64" s="8">
        <f t="shared" si="6"/>
        <v>0</v>
      </c>
      <c r="K64" s="32"/>
    </row>
    <row r="65" spans="2:11" x14ac:dyDescent="0.15">
      <c r="B65" s="4"/>
      <c r="C65" s="9"/>
      <c r="D65" s="10"/>
      <c r="E65" s="11"/>
      <c r="F65" s="8">
        <f t="shared" si="5"/>
        <v>0</v>
      </c>
      <c r="G65" s="9"/>
      <c r="H65" s="10"/>
      <c r="I65" s="11"/>
      <c r="J65" s="8">
        <f t="shared" si="6"/>
        <v>0</v>
      </c>
      <c r="K65" s="32"/>
    </row>
    <row r="66" spans="2:11" x14ac:dyDescent="0.15">
      <c r="B66" s="4"/>
      <c r="C66" s="9"/>
      <c r="D66" s="10"/>
      <c r="E66" s="11"/>
      <c r="F66" s="8">
        <f t="shared" si="5"/>
        <v>0</v>
      </c>
      <c r="G66" s="9"/>
      <c r="H66" s="10"/>
      <c r="I66" s="11"/>
      <c r="J66" s="8">
        <f t="shared" si="6"/>
        <v>0</v>
      </c>
      <c r="K66" s="32"/>
    </row>
    <row r="67" spans="2:11" x14ac:dyDescent="0.15">
      <c r="B67" s="4"/>
      <c r="C67" s="9"/>
      <c r="D67" s="10"/>
      <c r="E67" s="11"/>
      <c r="F67" s="8">
        <f t="shared" si="5"/>
        <v>0</v>
      </c>
      <c r="G67" s="9"/>
      <c r="H67" s="10"/>
      <c r="I67" s="11"/>
      <c r="J67" s="8">
        <f t="shared" si="6"/>
        <v>0</v>
      </c>
      <c r="K67" s="32"/>
    </row>
    <row r="68" spans="2:11" x14ac:dyDescent="0.15">
      <c r="B68" s="4"/>
      <c r="C68" s="9"/>
      <c r="D68" s="10"/>
      <c r="E68" s="11"/>
      <c r="F68" s="8">
        <f t="shared" si="5"/>
        <v>0</v>
      </c>
      <c r="G68" s="9"/>
      <c r="H68" s="10"/>
      <c r="I68" s="11"/>
      <c r="J68" s="8">
        <f t="shared" si="6"/>
        <v>0</v>
      </c>
      <c r="K68" s="32"/>
    </row>
    <row r="69" spans="2:11" x14ac:dyDescent="0.15">
      <c r="B69" s="4"/>
      <c r="C69" s="9"/>
      <c r="D69" s="10"/>
      <c r="E69" s="11"/>
      <c r="F69" s="8">
        <f t="shared" si="5"/>
        <v>0</v>
      </c>
      <c r="G69" s="9"/>
      <c r="H69" s="10"/>
      <c r="I69" s="11"/>
      <c r="J69" s="8">
        <f t="shared" si="6"/>
        <v>0</v>
      </c>
      <c r="K69" s="32"/>
    </row>
    <row r="70" spans="2:11" x14ac:dyDescent="0.15">
      <c r="B70" s="4"/>
      <c r="C70" s="9"/>
      <c r="D70" s="10"/>
      <c r="E70" s="11"/>
      <c r="F70" s="8">
        <f t="shared" si="5"/>
        <v>0</v>
      </c>
      <c r="G70" s="9"/>
      <c r="H70" s="10"/>
      <c r="I70" s="11"/>
      <c r="J70" s="8">
        <f t="shared" si="6"/>
        <v>0</v>
      </c>
      <c r="K70" s="32"/>
    </row>
    <row r="71" spans="2:11" x14ac:dyDescent="0.15">
      <c r="B71" s="4"/>
      <c r="C71" s="9"/>
      <c r="D71" s="10"/>
      <c r="E71" s="11"/>
      <c r="F71" s="8">
        <f t="shared" si="5"/>
        <v>0</v>
      </c>
      <c r="G71" s="9"/>
      <c r="H71" s="10"/>
      <c r="I71" s="11"/>
      <c r="J71" s="8">
        <f t="shared" si="6"/>
        <v>0</v>
      </c>
      <c r="K71" s="32"/>
    </row>
    <row r="72" spans="2:11" x14ac:dyDescent="0.15">
      <c r="B72" s="4"/>
      <c r="C72" s="9"/>
      <c r="D72" s="10"/>
      <c r="E72" s="11"/>
      <c r="F72" s="8">
        <f t="shared" si="5"/>
        <v>0</v>
      </c>
      <c r="G72" s="9"/>
      <c r="H72" s="10"/>
      <c r="I72" s="11"/>
      <c r="J72" s="8">
        <f t="shared" si="6"/>
        <v>0</v>
      </c>
      <c r="K72" s="32"/>
    </row>
    <row r="73" spans="2:11" x14ac:dyDescent="0.15">
      <c r="B73" s="4"/>
      <c r="C73" s="9"/>
      <c r="D73" s="10"/>
      <c r="E73" s="11"/>
      <c r="F73" s="8">
        <f t="shared" si="5"/>
        <v>0</v>
      </c>
      <c r="G73" s="9"/>
      <c r="H73" s="10"/>
      <c r="I73" s="11"/>
      <c r="J73" s="8">
        <f t="shared" si="6"/>
        <v>0</v>
      </c>
      <c r="K73" s="32"/>
    </row>
    <row r="74" spans="2:11" x14ac:dyDescent="0.15">
      <c r="B74" s="4"/>
      <c r="C74" s="9"/>
      <c r="D74" s="10"/>
      <c r="E74" s="11"/>
      <c r="F74" s="8">
        <f t="shared" si="5"/>
        <v>0</v>
      </c>
      <c r="G74" s="9"/>
      <c r="H74" s="10"/>
      <c r="I74" s="11"/>
      <c r="J74" s="8">
        <f t="shared" si="6"/>
        <v>0</v>
      </c>
      <c r="K74" s="30"/>
    </row>
    <row r="75" spans="2:11" x14ac:dyDescent="0.15">
      <c r="B75" s="4"/>
      <c r="C75" s="9"/>
      <c r="D75" s="10"/>
      <c r="E75" s="11"/>
      <c r="F75" s="8">
        <f t="shared" si="5"/>
        <v>0</v>
      </c>
      <c r="G75" s="9"/>
      <c r="H75" s="10"/>
      <c r="I75" s="11"/>
      <c r="J75" s="8">
        <f t="shared" si="6"/>
        <v>0</v>
      </c>
      <c r="K75" s="32"/>
    </row>
    <row r="76" spans="2:11" x14ac:dyDescent="0.15">
      <c r="B76" s="4"/>
      <c r="C76" s="9"/>
      <c r="D76" s="10"/>
      <c r="E76" s="11"/>
      <c r="F76" s="8">
        <f t="shared" si="5"/>
        <v>0</v>
      </c>
      <c r="G76" s="9"/>
      <c r="H76" s="10"/>
      <c r="I76" s="11"/>
      <c r="J76" s="8">
        <f t="shared" si="6"/>
        <v>0</v>
      </c>
      <c r="K76" s="32"/>
    </row>
    <row r="77" spans="2:11" x14ac:dyDescent="0.15">
      <c r="B77" s="4"/>
      <c r="C77" s="9"/>
      <c r="D77" s="10"/>
      <c r="E77" s="11"/>
      <c r="F77" s="8">
        <f t="shared" si="5"/>
        <v>0</v>
      </c>
      <c r="G77" s="9"/>
      <c r="H77" s="10"/>
      <c r="I77" s="11"/>
      <c r="J77" s="8">
        <f t="shared" si="6"/>
        <v>0</v>
      </c>
    </row>
    <row r="78" spans="2:11" x14ac:dyDescent="0.15">
      <c r="B78" s="4"/>
      <c r="C78" s="9"/>
      <c r="D78" s="10"/>
      <c r="E78" s="11"/>
      <c r="F78" s="8">
        <f t="shared" si="5"/>
        <v>0</v>
      </c>
      <c r="G78" s="9"/>
      <c r="H78" s="10"/>
      <c r="I78" s="11"/>
      <c r="J78" s="8">
        <f t="shared" si="6"/>
        <v>0</v>
      </c>
    </row>
    <row r="79" spans="2:11" x14ac:dyDescent="0.15">
      <c r="B79" s="4"/>
      <c r="C79" s="9"/>
      <c r="D79" s="10"/>
      <c r="E79" s="11"/>
      <c r="F79" s="8">
        <f t="shared" si="5"/>
        <v>0</v>
      </c>
      <c r="G79" s="9"/>
      <c r="H79" s="10"/>
      <c r="I79" s="11"/>
      <c r="J79" s="8">
        <f t="shared" si="6"/>
        <v>0</v>
      </c>
    </row>
    <row r="80" spans="2:11" x14ac:dyDescent="0.15">
      <c r="B80" s="4"/>
      <c r="C80" s="9"/>
      <c r="D80" s="10"/>
      <c r="E80" s="11"/>
      <c r="F80" s="8">
        <f t="shared" si="5"/>
        <v>0</v>
      </c>
      <c r="G80" s="9"/>
      <c r="H80" s="10"/>
      <c r="I80" s="11"/>
      <c r="J80" s="8">
        <f t="shared" si="6"/>
        <v>0</v>
      </c>
    </row>
    <row r="81" spans="2:10" x14ac:dyDescent="0.15">
      <c r="B81" s="4"/>
      <c r="C81" s="9"/>
      <c r="D81" s="10"/>
      <c r="E81" s="11"/>
      <c r="F81" s="8">
        <f t="shared" si="5"/>
        <v>0</v>
      </c>
      <c r="G81" s="9"/>
      <c r="H81" s="10"/>
      <c r="I81" s="11"/>
      <c r="J81" s="8">
        <f t="shared" si="6"/>
        <v>0</v>
      </c>
    </row>
    <row r="82" spans="2:10" ht="14.25" thickBot="1" x14ac:dyDescent="0.2">
      <c r="B82" s="4"/>
      <c r="C82" s="9"/>
      <c r="D82" s="10"/>
      <c r="E82" s="11"/>
      <c r="F82" s="8">
        <f t="shared" si="5"/>
        <v>0</v>
      </c>
      <c r="G82" s="9"/>
      <c r="H82" s="10"/>
      <c r="I82" s="11"/>
      <c r="J82" s="8">
        <f t="shared" si="6"/>
        <v>0</v>
      </c>
    </row>
    <row r="83" spans="2:10" ht="14.25" thickBot="1" x14ac:dyDescent="0.2">
      <c r="B83" s="3" t="s">
        <v>5</v>
      </c>
      <c r="C83" s="15">
        <f>SUM(C59:C82)</f>
        <v>0</v>
      </c>
      <c r="D83" s="15">
        <f>SUM(D59:D82)</f>
        <v>0</v>
      </c>
      <c r="E83" s="15">
        <f>SUM(E59:E82)</f>
        <v>0</v>
      </c>
      <c r="F83" s="16">
        <f t="shared" si="5"/>
        <v>0</v>
      </c>
      <c r="G83" s="15">
        <f>SUM(G59:G82)</f>
        <v>0</v>
      </c>
      <c r="H83" s="15">
        <f>SUM(H59:H82)</f>
        <v>0</v>
      </c>
      <c r="I83" s="15">
        <f>SUM(I59:I82)</f>
        <v>0</v>
      </c>
      <c r="J83" s="16">
        <f t="shared" si="6"/>
        <v>0</v>
      </c>
    </row>
    <row r="84" spans="2:10" ht="14.25" thickBot="1" x14ac:dyDescent="0.2">
      <c r="B84" s="26" t="s">
        <v>6</v>
      </c>
      <c r="C84" s="27">
        <f t="shared" ref="C84:J84" si="7">C58-C83</f>
        <v>5</v>
      </c>
      <c r="D84" s="27">
        <f t="shared" si="7"/>
        <v>7</v>
      </c>
      <c r="E84" s="27">
        <f t="shared" si="7"/>
        <v>2</v>
      </c>
      <c r="F84" s="27">
        <f t="shared" si="7"/>
        <v>14</v>
      </c>
      <c r="G84" s="27">
        <f t="shared" si="7"/>
        <v>6</v>
      </c>
      <c r="H84" s="27">
        <f t="shared" si="7"/>
        <v>5</v>
      </c>
      <c r="I84" s="27">
        <f t="shared" si="7"/>
        <v>2</v>
      </c>
      <c r="J84" s="25">
        <f t="shared" si="7"/>
        <v>13</v>
      </c>
    </row>
  </sheetData>
  <mergeCells count="4">
    <mergeCell ref="C2:F2"/>
    <mergeCell ref="G2:J2"/>
    <mergeCell ref="C45:F45"/>
    <mergeCell ref="G45:J45"/>
  </mergeCells>
  <phoneticPr fontId="7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L84"/>
  <sheetViews>
    <sheetView topLeftCell="A4" zoomScaleNormal="100" workbookViewId="0">
      <selection activeCell="O29" sqref="O29"/>
    </sheetView>
  </sheetViews>
  <sheetFormatPr defaultRowHeight="13.5" x14ac:dyDescent="0.15"/>
  <cols>
    <col min="2" max="2" width="16.5" customWidth="1"/>
    <col min="11" max="11" width="9.25" bestFit="1" customWidth="1"/>
  </cols>
  <sheetData>
    <row r="1" spans="2:12" ht="19.5" thickBot="1" x14ac:dyDescent="0.25">
      <c r="B1" s="33" t="s">
        <v>39</v>
      </c>
      <c r="C1" s="1"/>
      <c r="D1" s="1"/>
      <c r="E1" s="1"/>
      <c r="F1" s="1"/>
      <c r="G1" s="34"/>
      <c r="H1" s="34" t="s">
        <v>36</v>
      </c>
      <c r="I1" s="34"/>
      <c r="J1" s="34"/>
    </row>
    <row r="2" spans="2:12" ht="14.25" thickBot="1" x14ac:dyDescent="0.2">
      <c r="B2" s="2" t="s">
        <v>0</v>
      </c>
      <c r="C2" s="90" t="s">
        <v>37</v>
      </c>
      <c r="D2" s="90"/>
      <c r="E2" s="90"/>
      <c r="F2" s="91"/>
      <c r="G2" s="92" t="s">
        <v>38</v>
      </c>
      <c r="H2" s="92"/>
      <c r="I2" s="92"/>
      <c r="J2" s="93"/>
    </row>
    <row r="3" spans="2:12" ht="14.25" thickBot="1" x14ac:dyDescent="0.2">
      <c r="B3" s="2" t="s">
        <v>1</v>
      </c>
      <c r="C3" s="3" t="s">
        <v>9</v>
      </c>
      <c r="D3" s="2" t="s">
        <v>10</v>
      </c>
      <c r="E3" s="19" t="s">
        <v>11</v>
      </c>
      <c r="F3" s="2" t="s">
        <v>2</v>
      </c>
      <c r="G3" s="3" t="s">
        <v>9</v>
      </c>
      <c r="H3" s="2" t="s">
        <v>10</v>
      </c>
      <c r="I3" s="19" t="s">
        <v>11</v>
      </c>
      <c r="J3" s="2" t="s">
        <v>2</v>
      </c>
    </row>
    <row r="4" spans="2:12" x14ac:dyDescent="0.15">
      <c r="B4" s="6" t="s">
        <v>8</v>
      </c>
      <c r="C4" s="35">
        <v>2</v>
      </c>
      <c r="D4" s="36">
        <v>2</v>
      </c>
      <c r="E4" s="37">
        <v>1</v>
      </c>
      <c r="F4" s="5">
        <f>SUM(C4:E4)</f>
        <v>5</v>
      </c>
      <c r="G4" s="35">
        <v>2</v>
      </c>
      <c r="H4" s="36">
        <v>2</v>
      </c>
      <c r="I4" s="37">
        <v>1</v>
      </c>
      <c r="J4" s="5">
        <f>SUM(G4:I4)</f>
        <v>5</v>
      </c>
      <c r="K4" s="30">
        <v>45188</v>
      </c>
    </row>
    <row r="5" spans="2:12" x14ac:dyDescent="0.15">
      <c r="B5" s="6" t="s">
        <v>3</v>
      </c>
      <c r="C5" s="17">
        <v>2</v>
      </c>
      <c r="D5" s="12"/>
      <c r="E5" s="17">
        <v>3</v>
      </c>
      <c r="F5" s="5">
        <f t="shared" ref="F5:F40" si="0">SUM(C5:E5)</f>
        <v>5</v>
      </c>
      <c r="G5" s="17">
        <v>2</v>
      </c>
      <c r="H5" s="12">
        <v>2</v>
      </c>
      <c r="I5" s="17">
        <v>2</v>
      </c>
      <c r="J5" s="5">
        <f t="shared" ref="J5:J40" si="1">SUM(G5:I5)</f>
        <v>6</v>
      </c>
      <c r="K5" s="30">
        <v>45279</v>
      </c>
    </row>
    <row r="6" spans="2:12" x14ac:dyDescent="0.15">
      <c r="B6" s="6" t="s">
        <v>3</v>
      </c>
      <c r="C6" s="17"/>
      <c r="D6" s="12"/>
      <c r="E6" s="17"/>
      <c r="F6" s="5">
        <f t="shared" si="0"/>
        <v>0</v>
      </c>
      <c r="G6" s="17"/>
      <c r="H6" s="12">
        <v>1</v>
      </c>
      <c r="I6" s="17"/>
      <c r="J6" s="5">
        <f t="shared" si="1"/>
        <v>1</v>
      </c>
      <c r="K6" s="30">
        <v>45330</v>
      </c>
    </row>
    <row r="7" spans="2:12" x14ac:dyDescent="0.15">
      <c r="B7" s="6" t="s">
        <v>28</v>
      </c>
      <c r="C7" s="17">
        <v>0</v>
      </c>
      <c r="D7" s="12">
        <v>0</v>
      </c>
      <c r="E7" s="17">
        <v>0</v>
      </c>
      <c r="F7" s="5">
        <f t="shared" si="0"/>
        <v>0</v>
      </c>
      <c r="G7" s="17">
        <v>0</v>
      </c>
      <c r="H7" s="12">
        <v>0</v>
      </c>
      <c r="I7" s="17">
        <v>0</v>
      </c>
      <c r="J7" s="5">
        <f t="shared" si="1"/>
        <v>0</v>
      </c>
      <c r="K7" s="30">
        <v>45530</v>
      </c>
    </row>
    <row r="8" spans="2:12" x14ac:dyDescent="0.15">
      <c r="B8" s="6" t="s">
        <v>3</v>
      </c>
      <c r="C8" s="17"/>
      <c r="D8" s="12">
        <v>2</v>
      </c>
      <c r="E8" s="17"/>
      <c r="F8" s="5">
        <f t="shared" si="0"/>
        <v>2</v>
      </c>
      <c r="G8" s="17"/>
      <c r="H8" s="12">
        <v>2</v>
      </c>
      <c r="I8" s="17"/>
      <c r="J8" s="5">
        <f t="shared" si="1"/>
        <v>2</v>
      </c>
      <c r="K8" s="30">
        <v>45714</v>
      </c>
    </row>
    <row r="9" spans="2:12" x14ac:dyDescent="0.15">
      <c r="B9" s="6" t="s">
        <v>3</v>
      </c>
      <c r="C9" s="17"/>
      <c r="D9" s="12">
        <v>1</v>
      </c>
      <c r="E9" s="17">
        <v>1</v>
      </c>
      <c r="F9" s="5">
        <f t="shared" si="0"/>
        <v>2</v>
      </c>
      <c r="G9" s="17"/>
      <c r="H9" s="12">
        <v>2</v>
      </c>
      <c r="I9" s="17">
        <v>1</v>
      </c>
      <c r="J9" s="5">
        <f t="shared" si="1"/>
        <v>3</v>
      </c>
      <c r="K9" s="30">
        <v>45762</v>
      </c>
      <c r="L9" s="31"/>
    </row>
    <row r="10" spans="2:12" x14ac:dyDescent="0.15">
      <c r="B10" s="6" t="s">
        <v>3</v>
      </c>
      <c r="C10" s="17">
        <v>2</v>
      </c>
      <c r="D10" s="12"/>
      <c r="E10" s="17"/>
      <c r="F10" s="5">
        <f t="shared" si="0"/>
        <v>2</v>
      </c>
      <c r="G10" s="17"/>
      <c r="H10" s="12"/>
      <c r="I10" s="17"/>
      <c r="J10" s="5">
        <f t="shared" si="1"/>
        <v>0</v>
      </c>
      <c r="K10" s="30">
        <v>45926</v>
      </c>
      <c r="L10" s="31"/>
    </row>
    <row r="11" spans="2:12" x14ac:dyDescent="0.15">
      <c r="B11" s="6" t="s">
        <v>3</v>
      </c>
      <c r="C11" s="11"/>
      <c r="D11" s="10"/>
      <c r="E11" s="11">
        <v>2</v>
      </c>
      <c r="F11" s="5">
        <f t="shared" si="0"/>
        <v>2</v>
      </c>
      <c r="G11" s="11"/>
      <c r="H11" s="10"/>
      <c r="I11" s="11">
        <v>2</v>
      </c>
      <c r="J11" s="5">
        <f t="shared" si="1"/>
        <v>2</v>
      </c>
      <c r="K11" s="30">
        <v>46080</v>
      </c>
    </row>
    <row r="12" spans="2:12" x14ac:dyDescent="0.15">
      <c r="B12" s="6" t="s">
        <v>3</v>
      </c>
      <c r="C12" s="11"/>
      <c r="D12" s="10">
        <v>2</v>
      </c>
      <c r="E12" s="11"/>
      <c r="F12" s="5">
        <f t="shared" si="0"/>
        <v>2</v>
      </c>
      <c r="G12" s="11"/>
      <c r="H12" s="10">
        <v>2</v>
      </c>
      <c r="I12" s="11"/>
      <c r="J12" s="5">
        <f t="shared" si="1"/>
        <v>2</v>
      </c>
      <c r="K12" s="30">
        <v>46115</v>
      </c>
      <c r="L12" s="31"/>
    </row>
    <row r="13" spans="2:12" x14ac:dyDescent="0.15">
      <c r="B13" s="6" t="s">
        <v>3</v>
      </c>
      <c r="C13" s="11"/>
      <c r="D13" s="10"/>
      <c r="E13" s="11"/>
      <c r="F13" s="5">
        <f t="shared" si="0"/>
        <v>0</v>
      </c>
      <c r="G13" s="11"/>
      <c r="H13" s="10"/>
      <c r="I13" s="11"/>
      <c r="J13" s="5">
        <f t="shared" si="1"/>
        <v>0</v>
      </c>
      <c r="K13" s="30"/>
    </row>
    <row r="14" spans="2:12" ht="14.25" thickBot="1" x14ac:dyDescent="0.2">
      <c r="B14" s="7" t="s">
        <v>3</v>
      </c>
      <c r="C14" s="14"/>
      <c r="D14" s="13"/>
      <c r="E14" s="14"/>
      <c r="F14" s="20">
        <f t="shared" si="0"/>
        <v>0</v>
      </c>
      <c r="G14" s="14"/>
      <c r="H14" s="13"/>
      <c r="I14" s="14"/>
      <c r="J14" s="20">
        <f t="shared" si="1"/>
        <v>0</v>
      </c>
      <c r="K14" s="30"/>
    </row>
    <row r="15" spans="2:12" ht="14.25" thickBot="1" x14ac:dyDescent="0.2">
      <c r="B15" s="22" t="s">
        <v>4</v>
      </c>
      <c r="C15" s="23">
        <f>SUM(C4:C14)</f>
        <v>6</v>
      </c>
      <c r="D15" s="23">
        <f>SUM(D4:D14)</f>
        <v>7</v>
      </c>
      <c r="E15" s="24">
        <f>SUM(E4:E14)</f>
        <v>7</v>
      </c>
      <c r="F15" s="25">
        <f t="shared" si="0"/>
        <v>20</v>
      </c>
      <c r="G15" s="23">
        <f>SUM(G4:G14)</f>
        <v>4</v>
      </c>
      <c r="H15" s="23">
        <f>SUM(H4:H14)</f>
        <v>11</v>
      </c>
      <c r="I15" s="24">
        <f>SUM(I4:I14)</f>
        <v>6</v>
      </c>
      <c r="J15" s="25">
        <f t="shared" si="1"/>
        <v>21</v>
      </c>
    </row>
    <row r="16" spans="2:12" x14ac:dyDescent="0.15">
      <c r="B16" s="4" t="s">
        <v>40</v>
      </c>
      <c r="C16" s="9">
        <v>1</v>
      </c>
      <c r="D16" s="10"/>
      <c r="E16" s="11"/>
      <c r="F16" s="5">
        <f t="shared" si="0"/>
        <v>1</v>
      </c>
      <c r="G16" s="9">
        <v>1</v>
      </c>
      <c r="H16" s="10"/>
      <c r="I16" s="11"/>
      <c r="J16" s="5">
        <f t="shared" si="1"/>
        <v>1</v>
      </c>
      <c r="K16" s="32">
        <v>45188</v>
      </c>
    </row>
    <row r="17" spans="2:11" x14ac:dyDescent="0.15">
      <c r="B17" s="4" t="s">
        <v>7</v>
      </c>
      <c r="C17" s="9"/>
      <c r="D17" s="10"/>
      <c r="E17" s="11"/>
      <c r="F17" s="5">
        <f t="shared" si="0"/>
        <v>0</v>
      </c>
      <c r="G17" s="9"/>
      <c r="H17" s="10">
        <v>1</v>
      </c>
      <c r="I17" s="11"/>
      <c r="J17" s="5">
        <f t="shared" si="1"/>
        <v>1</v>
      </c>
      <c r="K17" s="32">
        <v>45229</v>
      </c>
    </row>
    <row r="18" spans="2:11" x14ac:dyDescent="0.15">
      <c r="B18" s="4" t="s">
        <v>7</v>
      </c>
      <c r="C18" s="9">
        <v>1</v>
      </c>
      <c r="D18" s="10"/>
      <c r="E18" s="11">
        <v>1</v>
      </c>
      <c r="F18" s="5">
        <f t="shared" si="0"/>
        <v>2</v>
      </c>
      <c r="G18" s="9">
        <v>1</v>
      </c>
      <c r="H18" s="10"/>
      <c r="I18" s="11">
        <v>1</v>
      </c>
      <c r="J18" s="5">
        <f t="shared" si="1"/>
        <v>2</v>
      </c>
      <c r="K18" s="32">
        <v>45254</v>
      </c>
    </row>
    <row r="19" spans="2:11" x14ac:dyDescent="0.15">
      <c r="B19" s="4" t="s">
        <v>7</v>
      </c>
      <c r="C19" s="9"/>
      <c r="D19" s="10"/>
      <c r="E19" s="11"/>
      <c r="F19" s="5">
        <f t="shared" si="0"/>
        <v>0</v>
      </c>
      <c r="G19" s="9"/>
      <c r="H19" s="10">
        <v>1</v>
      </c>
      <c r="I19" s="11"/>
      <c r="J19" s="5">
        <f t="shared" si="1"/>
        <v>1</v>
      </c>
      <c r="K19" s="32">
        <v>45273</v>
      </c>
    </row>
    <row r="20" spans="2:11" x14ac:dyDescent="0.15">
      <c r="B20" s="4" t="s">
        <v>7</v>
      </c>
      <c r="C20" s="9"/>
      <c r="D20" s="10"/>
      <c r="E20" s="11">
        <v>1</v>
      </c>
      <c r="F20" s="5">
        <f t="shared" si="0"/>
        <v>1</v>
      </c>
      <c r="G20" s="9"/>
      <c r="H20" s="10"/>
      <c r="I20" s="11"/>
      <c r="J20" s="5">
        <f t="shared" si="1"/>
        <v>0</v>
      </c>
      <c r="K20" s="32">
        <v>45279</v>
      </c>
    </row>
    <row r="21" spans="2:11" x14ac:dyDescent="0.15">
      <c r="B21" s="4" t="s">
        <v>7</v>
      </c>
      <c r="C21" s="9"/>
      <c r="D21" s="10"/>
      <c r="E21" s="11"/>
      <c r="F21" s="8">
        <f t="shared" si="0"/>
        <v>0</v>
      </c>
      <c r="G21" s="9"/>
      <c r="H21" s="10">
        <v>1</v>
      </c>
      <c r="I21" s="11"/>
      <c r="J21" s="8">
        <f t="shared" si="1"/>
        <v>1</v>
      </c>
      <c r="K21" s="32">
        <v>45316</v>
      </c>
    </row>
    <row r="22" spans="2:11" x14ac:dyDescent="0.15">
      <c r="B22" s="4" t="s">
        <v>7</v>
      </c>
      <c r="C22" s="9"/>
      <c r="D22" s="10"/>
      <c r="E22" s="11">
        <v>1</v>
      </c>
      <c r="F22" s="8">
        <f t="shared" si="0"/>
        <v>1</v>
      </c>
      <c r="G22" s="9"/>
      <c r="H22" s="10"/>
      <c r="I22" s="11">
        <v>1</v>
      </c>
      <c r="J22" s="8">
        <f t="shared" si="1"/>
        <v>1</v>
      </c>
      <c r="K22" s="32">
        <v>45419</v>
      </c>
    </row>
    <row r="23" spans="2:11" x14ac:dyDescent="0.15">
      <c r="B23" s="4" t="s">
        <v>7</v>
      </c>
      <c r="C23" s="9"/>
      <c r="D23" s="10">
        <v>1</v>
      </c>
      <c r="E23" s="11"/>
      <c r="F23" s="8">
        <f t="shared" si="0"/>
        <v>1</v>
      </c>
      <c r="G23" s="9"/>
      <c r="H23" s="10">
        <v>1</v>
      </c>
      <c r="I23" s="11"/>
      <c r="J23" s="8">
        <f t="shared" si="1"/>
        <v>1</v>
      </c>
      <c r="K23" s="32">
        <v>45700</v>
      </c>
    </row>
    <row r="24" spans="2:11" x14ac:dyDescent="0.15">
      <c r="B24" s="4" t="s">
        <v>7</v>
      </c>
      <c r="C24" s="9"/>
      <c r="D24" s="10">
        <v>2</v>
      </c>
      <c r="E24" s="11"/>
      <c r="F24" s="8">
        <f t="shared" si="0"/>
        <v>2</v>
      </c>
      <c r="G24" s="9"/>
      <c r="H24" s="10">
        <v>2</v>
      </c>
      <c r="I24" s="11"/>
      <c r="J24" s="8">
        <f t="shared" si="1"/>
        <v>2</v>
      </c>
      <c r="K24" s="32">
        <v>45714</v>
      </c>
    </row>
    <row r="25" spans="2:11" x14ac:dyDescent="0.15">
      <c r="B25" s="4" t="s">
        <v>7</v>
      </c>
      <c r="C25" s="9"/>
      <c r="D25" s="10"/>
      <c r="E25" s="11"/>
      <c r="F25" s="8">
        <f t="shared" si="0"/>
        <v>0</v>
      </c>
      <c r="G25" s="9"/>
      <c r="H25" s="10">
        <v>1</v>
      </c>
      <c r="I25" s="11"/>
      <c r="J25" s="8">
        <f t="shared" si="1"/>
        <v>1</v>
      </c>
      <c r="K25" s="32">
        <v>45750</v>
      </c>
    </row>
    <row r="26" spans="2:11" x14ac:dyDescent="0.15">
      <c r="B26" s="4" t="s">
        <v>7</v>
      </c>
      <c r="C26" s="9"/>
      <c r="D26" s="10"/>
      <c r="E26" s="11">
        <v>1</v>
      </c>
      <c r="F26" s="8">
        <f t="shared" si="0"/>
        <v>1</v>
      </c>
      <c r="G26" s="9"/>
      <c r="H26" s="10"/>
      <c r="I26" s="11">
        <v>1</v>
      </c>
      <c r="J26" s="8">
        <f t="shared" si="1"/>
        <v>1</v>
      </c>
      <c r="K26" s="32">
        <v>45887</v>
      </c>
    </row>
    <row r="27" spans="2:11" x14ac:dyDescent="0.15">
      <c r="B27" s="4" t="s">
        <v>68</v>
      </c>
      <c r="C27" s="9">
        <v>0</v>
      </c>
      <c r="D27" s="10">
        <v>0</v>
      </c>
      <c r="E27" s="11">
        <v>0</v>
      </c>
      <c r="F27" s="8">
        <f t="shared" si="0"/>
        <v>0</v>
      </c>
      <c r="G27" s="9">
        <v>0</v>
      </c>
      <c r="H27" s="10">
        <v>0</v>
      </c>
      <c r="I27" s="11">
        <v>0</v>
      </c>
      <c r="J27" s="8">
        <f t="shared" si="1"/>
        <v>0</v>
      </c>
      <c r="K27" s="32">
        <v>45890</v>
      </c>
    </row>
    <row r="28" spans="2:11" x14ac:dyDescent="0.15">
      <c r="B28" s="4" t="s">
        <v>7</v>
      </c>
      <c r="C28" s="9">
        <v>2</v>
      </c>
      <c r="D28" s="10"/>
      <c r="E28" s="11"/>
      <c r="F28" s="8">
        <f t="shared" si="0"/>
        <v>2</v>
      </c>
      <c r="G28" s="9"/>
      <c r="H28" s="10"/>
      <c r="I28" s="11"/>
      <c r="J28" s="8">
        <f t="shared" si="1"/>
        <v>0</v>
      </c>
      <c r="K28" s="32">
        <v>45922</v>
      </c>
    </row>
    <row r="29" spans="2:11" x14ac:dyDescent="0.15">
      <c r="B29" s="4" t="s">
        <v>7</v>
      </c>
      <c r="C29" s="9"/>
      <c r="D29" s="10"/>
      <c r="E29" s="11">
        <v>1</v>
      </c>
      <c r="F29" s="8">
        <f t="shared" si="0"/>
        <v>1</v>
      </c>
      <c r="G29" s="9"/>
      <c r="H29" s="10"/>
      <c r="I29" s="11">
        <v>1</v>
      </c>
      <c r="J29" s="8">
        <f t="shared" si="1"/>
        <v>1</v>
      </c>
      <c r="K29" s="32">
        <v>46077</v>
      </c>
    </row>
    <row r="30" spans="2:11" x14ac:dyDescent="0.15">
      <c r="B30" s="4" t="s">
        <v>64</v>
      </c>
      <c r="C30" s="9">
        <v>0</v>
      </c>
      <c r="D30" s="10">
        <v>0</v>
      </c>
      <c r="E30" s="11">
        <v>0</v>
      </c>
      <c r="F30" s="8">
        <f t="shared" si="0"/>
        <v>0</v>
      </c>
      <c r="G30" s="9">
        <v>0</v>
      </c>
      <c r="H30" s="10">
        <v>0</v>
      </c>
      <c r="I30" s="11">
        <v>0</v>
      </c>
      <c r="J30" s="8">
        <f t="shared" si="1"/>
        <v>0</v>
      </c>
      <c r="K30" s="30">
        <v>46085</v>
      </c>
    </row>
    <row r="31" spans="2:11" x14ac:dyDescent="0.15">
      <c r="B31" s="4" t="s">
        <v>7</v>
      </c>
      <c r="C31" s="9"/>
      <c r="D31" s="10">
        <v>1</v>
      </c>
      <c r="E31" s="11"/>
      <c r="F31" s="8">
        <f t="shared" si="0"/>
        <v>1</v>
      </c>
      <c r="G31" s="9"/>
      <c r="H31" s="10">
        <v>1</v>
      </c>
      <c r="I31" s="11"/>
      <c r="J31" s="8">
        <f t="shared" si="1"/>
        <v>1</v>
      </c>
      <c r="K31" s="32">
        <v>46112</v>
      </c>
    </row>
    <row r="32" spans="2:11" x14ac:dyDescent="0.15">
      <c r="B32" s="4" t="s">
        <v>7</v>
      </c>
      <c r="C32" s="9"/>
      <c r="D32" s="10">
        <v>2</v>
      </c>
      <c r="E32" s="11"/>
      <c r="F32" s="8">
        <f t="shared" si="0"/>
        <v>2</v>
      </c>
      <c r="G32" s="9"/>
      <c r="H32" s="10"/>
      <c r="I32" s="11"/>
      <c r="J32" s="8">
        <f t="shared" si="1"/>
        <v>0</v>
      </c>
      <c r="K32" s="32">
        <v>46178</v>
      </c>
    </row>
    <row r="33" spans="2:11" x14ac:dyDescent="0.15">
      <c r="B33" s="4"/>
      <c r="C33" s="9"/>
      <c r="D33" s="10"/>
      <c r="E33" s="11"/>
      <c r="F33" s="8">
        <f t="shared" si="0"/>
        <v>0</v>
      </c>
      <c r="G33" s="9"/>
      <c r="H33" s="10"/>
      <c r="I33" s="11"/>
      <c r="J33" s="8">
        <f t="shared" si="1"/>
        <v>0</v>
      </c>
      <c r="K33" s="32"/>
    </row>
    <row r="34" spans="2:11" x14ac:dyDescent="0.15">
      <c r="B34" s="12"/>
      <c r="C34" s="9"/>
      <c r="D34" s="10"/>
      <c r="E34" s="11"/>
      <c r="F34" s="8">
        <f t="shared" si="0"/>
        <v>0</v>
      </c>
      <c r="G34" s="9"/>
      <c r="H34" s="10"/>
      <c r="I34" s="11"/>
      <c r="J34" s="8">
        <f t="shared" si="1"/>
        <v>0</v>
      </c>
      <c r="K34" s="30"/>
    </row>
    <row r="35" spans="2:11" x14ac:dyDescent="0.15">
      <c r="B35" s="4"/>
      <c r="C35" s="9"/>
      <c r="D35" s="10"/>
      <c r="E35" s="11"/>
      <c r="F35" s="8">
        <f t="shared" si="0"/>
        <v>0</v>
      </c>
      <c r="G35" s="9"/>
      <c r="H35" s="10"/>
      <c r="I35" s="11"/>
      <c r="J35" s="8">
        <f t="shared" si="1"/>
        <v>0</v>
      </c>
      <c r="K35" s="30"/>
    </row>
    <row r="36" spans="2:11" x14ac:dyDescent="0.15">
      <c r="B36" s="12"/>
      <c r="C36" s="9"/>
      <c r="D36" s="10"/>
      <c r="E36" s="11"/>
      <c r="F36" s="8">
        <f t="shared" si="0"/>
        <v>0</v>
      </c>
      <c r="G36" s="9"/>
      <c r="H36" s="10"/>
      <c r="I36" s="11"/>
      <c r="J36" s="8">
        <f t="shared" si="1"/>
        <v>0</v>
      </c>
      <c r="K36" s="30"/>
    </row>
    <row r="37" spans="2:11" x14ac:dyDescent="0.15">
      <c r="B37" s="12"/>
      <c r="C37" s="9"/>
      <c r="D37" s="10"/>
      <c r="E37" s="11"/>
      <c r="F37" s="8">
        <f t="shared" si="0"/>
        <v>0</v>
      </c>
      <c r="G37" s="9"/>
      <c r="H37" s="10"/>
      <c r="I37" s="11"/>
      <c r="J37" s="8">
        <f t="shared" si="1"/>
        <v>0</v>
      </c>
      <c r="K37" s="30"/>
    </row>
    <row r="38" spans="2:11" x14ac:dyDescent="0.15">
      <c r="B38" s="4"/>
      <c r="C38" s="9"/>
      <c r="D38" s="10"/>
      <c r="E38" s="11"/>
      <c r="F38" s="8">
        <f t="shared" si="0"/>
        <v>0</v>
      </c>
      <c r="G38" s="9"/>
      <c r="H38" s="10"/>
      <c r="I38" s="11"/>
      <c r="J38" s="8">
        <f t="shared" si="1"/>
        <v>0</v>
      </c>
      <c r="K38" s="32"/>
    </row>
    <row r="39" spans="2:11" ht="14.25" thickBot="1" x14ac:dyDescent="0.2">
      <c r="B39" s="4"/>
      <c r="C39" s="9"/>
      <c r="D39" s="10"/>
      <c r="E39" s="11"/>
      <c r="F39" s="8">
        <f t="shared" si="0"/>
        <v>0</v>
      </c>
      <c r="G39" s="9"/>
      <c r="H39" s="10"/>
      <c r="I39" s="11"/>
      <c r="J39" s="8">
        <f t="shared" si="1"/>
        <v>0</v>
      </c>
      <c r="K39" s="32"/>
    </row>
    <row r="40" spans="2:11" ht="14.25" thickBot="1" x14ac:dyDescent="0.2">
      <c r="B40" s="3" t="s">
        <v>5</v>
      </c>
      <c r="C40" s="15">
        <f>SUM(C16:C39)</f>
        <v>4</v>
      </c>
      <c r="D40" s="15">
        <f>SUM(D16:D39)</f>
        <v>6</v>
      </c>
      <c r="E40" s="15">
        <f>SUM(E16:E39)</f>
        <v>5</v>
      </c>
      <c r="F40" s="16">
        <f t="shared" si="0"/>
        <v>15</v>
      </c>
      <c r="G40" s="15">
        <f>SUM(G16:G39)</f>
        <v>2</v>
      </c>
      <c r="H40" s="15">
        <f>SUM(H16:H39)</f>
        <v>8</v>
      </c>
      <c r="I40" s="15">
        <f>SUM(I16:I39)</f>
        <v>4</v>
      </c>
      <c r="J40" s="16">
        <f t="shared" si="1"/>
        <v>14</v>
      </c>
    </row>
    <row r="41" spans="2:11" ht="14.25" thickBot="1" x14ac:dyDescent="0.2">
      <c r="B41" s="26" t="s">
        <v>6</v>
      </c>
      <c r="C41" s="27">
        <f t="shared" ref="C41:J41" si="2">C15-C40</f>
        <v>2</v>
      </c>
      <c r="D41" s="27">
        <f t="shared" si="2"/>
        <v>1</v>
      </c>
      <c r="E41" s="27">
        <f t="shared" si="2"/>
        <v>2</v>
      </c>
      <c r="F41" s="27">
        <f t="shared" si="2"/>
        <v>5</v>
      </c>
      <c r="G41" s="27">
        <f t="shared" si="2"/>
        <v>2</v>
      </c>
      <c r="H41" s="27">
        <f t="shared" si="2"/>
        <v>3</v>
      </c>
      <c r="I41" s="27">
        <f t="shared" si="2"/>
        <v>2</v>
      </c>
      <c r="J41" s="25">
        <f t="shared" si="2"/>
        <v>7</v>
      </c>
    </row>
    <row r="44" spans="2:11" ht="19.5" thickBot="1" x14ac:dyDescent="0.25">
      <c r="B44" s="33" t="s">
        <v>39</v>
      </c>
      <c r="C44" s="1"/>
      <c r="D44" s="1"/>
      <c r="E44" s="1"/>
      <c r="F44" s="1"/>
      <c r="G44" s="34"/>
      <c r="H44" s="34">
        <v>1500</v>
      </c>
      <c r="I44" s="34"/>
      <c r="J44" s="34"/>
    </row>
    <row r="45" spans="2:11" ht="14.25" thickBot="1" x14ac:dyDescent="0.2">
      <c r="B45" s="2" t="s">
        <v>0</v>
      </c>
      <c r="C45" s="90" t="s">
        <v>37</v>
      </c>
      <c r="D45" s="90"/>
      <c r="E45" s="90"/>
      <c r="F45" s="91"/>
      <c r="G45" s="92" t="s">
        <v>38</v>
      </c>
      <c r="H45" s="92"/>
      <c r="I45" s="92"/>
      <c r="J45" s="93"/>
    </row>
    <row r="46" spans="2:11" ht="14.25" thickBot="1" x14ac:dyDescent="0.2">
      <c r="B46" s="2" t="s">
        <v>1</v>
      </c>
      <c r="C46" s="3" t="s">
        <v>9</v>
      </c>
      <c r="D46" s="2" t="s">
        <v>10</v>
      </c>
      <c r="E46" s="19" t="s">
        <v>11</v>
      </c>
      <c r="F46" s="2" t="s">
        <v>2</v>
      </c>
      <c r="G46" s="3" t="s">
        <v>9</v>
      </c>
      <c r="H46" s="2" t="s">
        <v>10</v>
      </c>
      <c r="I46" s="19" t="s">
        <v>11</v>
      </c>
      <c r="J46" s="2" t="s">
        <v>2</v>
      </c>
    </row>
    <row r="47" spans="2:11" x14ac:dyDescent="0.15">
      <c r="B47" s="28" t="s">
        <v>12</v>
      </c>
      <c r="C47" s="39">
        <f>C41</f>
        <v>2</v>
      </c>
      <c r="D47" s="40">
        <f>D41</f>
        <v>1</v>
      </c>
      <c r="E47" s="41">
        <f>E41</f>
        <v>2</v>
      </c>
      <c r="F47" s="18">
        <f>SUM(C47:E47)</f>
        <v>5</v>
      </c>
      <c r="G47" s="39">
        <f>G41</f>
        <v>2</v>
      </c>
      <c r="H47" s="40">
        <f>H41</f>
        <v>3</v>
      </c>
      <c r="I47" s="41">
        <f>I41</f>
        <v>2</v>
      </c>
      <c r="J47" s="18">
        <f>SUM(G47:I47)</f>
        <v>7</v>
      </c>
    </row>
    <row r="48" spans="2:11" x14ac:dyDescent="0.15">
      <c r="B48" s="6" t="s">
        <v>3</v>
      </c>
      <c r="C48" s="17"/>
      <c r="D48" s="12"/>
      <c r="E48" s="17"/>
      <c r="F48" s="5">
        <f t="shared" ref="F48:F83" si="3">SUM(C48:E48)</f>
        <v>0</v>
      </c>
      <c r="G48" s="17"/>
      <c r="H48" s="12"/>
      <c r="I48" s="17"/>
      <c r="J48" s="5">
        <f t="shared" ref="J48:J83" si="4">SUM(G48:I48)</f>
        <v>0</v>
      </c>
      <c r="K48" s="30"/>
    </row>
    <row r="49" spans="1:11" x14ac:dyDescent="0.15">
      <c r="B49" s="6" t="s">
        <v>3</v>
      </c>
      <c r="C49" s="17"/>
      <c r="D49" s="12"/>
      <c r="E49" s="17"/>
      <c r="F49" s="5">
        <f t="shared" si="3"/>
        <v>0</v>
      </c>
      <c r="G49" s="17"/>
      <c r="H49" s="12"/>
      <c r="I49" s="17"/>
      <c r="J49" s="5">
        <f t="shared" si="4"/>
        <v>0</v>
      </c>
      <c r="K49" s="30"/>
    </row>
    <row r="50" spans="1:11" x14ac:dyDescent="0.15">
      <c r="B50" s="6" t="s">
        <v>3</v>
      </c>
      <c r="C50" s="17"/>
      <c r="D50" s="12"/>
      <c r="E50" s="17"/>
      <c r="F50" s="5">
        <f t="shared" si="3"/>
        <v>0</v>
      </c>
      <c r="G50" s="17"/>
      <c r="H50" s="12"/>
      <c r="I50" s="17"/>
      <c r="J50" s="5">
        <f t="shared" si="4"/>
        <v>0</v>
      </c>
      <c r="K50" s="32"/>
    </row>
    <row r="51" spans="1:11" x14ac:dyDescent="0.15">
      <c r="B51" s="6" t="s">
        <v>3</v>
      </c>
      <c r="C51" s="17"/>
      <c r="D51" s="12"/>
      <c r="E51" s="17"/>
      <c r="F51" s="5">
        <f t="shared" si="3"/>
        <v>0</v>
      </c>
      <c r="G51" s="17"/>
      <c r="H51" s="12"/>
      <c r="I51" s="17"/>
      <c r="J51" s="5">
        <f t="shared" si="4"/>
        <v>0</v>
      </c>
      <c r="K51" s="30"/>
    </row>
    <row r="52" spans="1:11" x14ac:dyDescent="0.15">
      <c r="B52" s="6" t="s">
        <v>3</v>
      </c>
      <c r="C52" s="17"/>
      <c r="D52" s="12"/>
      <c r="E52" s="17"/>
      <c r="F52" s="5">
        <f t="shared" si="3"/>
        <v>0</v>
      </c>
      <c r="G52" s="17"/>
      <c r="H52" s="12"/>
      <c r="I52" s="17"/>
      <c r="J52" s="5">
        <f t="shared" si="4"/>
        <v>0</v>
      </c>
      <c r="K52" s="30"/>
    </row>
    <row r="53" spans="1:11" x14ac:dyDescent="0.15">
      <c r="B53" s="6" t="s">
        <v>3</v>
      </c>
      <c r="C53" s="17"/>
      <c r="D53" s="12"/>
      <c r="E53" s="17"/>
      <c r="F53" s="5">
        <f t="shared" si="3"/>
        <v>0</v>
      </c>
      <c r="G53" s="17"/>
      <c r="H53" s="12"/>
      <c r="I53" s="17"/>
      <c r="J53" s="5">
        <f t="shared" si="4"/>
        <v>0</v>
      </c>
      <c r="K53" s="30"/>
    </row>
    <row r="54" spans="1:11" x14ac:dyDescent="0.15">
      <c r="A54" s="31"/>
      <c r="B54" s="6" t="s">
        <v>3</v>
      </c>
      <c r="C54" s="37"/>
      <c r="D54" s="36"/>
      <c r="E54" s="37"/>
      <c r="F54" s="5">
        <f t="shared" si="3"/>
        <v>0</v>
      </c>
      <c r="G54" s="37"/>
      <c r="H54" s="36"/>
      <c r="I54" s="37"/>
      <c r="J54" s="5">
        <f t="shared" si="4"/>
        <v>0</v>
      </c>
      <c r="K54" s="30"/>
    </row>
    <row r="55" spans="1:11" x14ac:dyDescent="0.15">
      <c r="B55" s="6" t="s">
        <v>3</v>
      </c>
      <c r="C55" s="37"/>
      <c r="D55" s="36"/>
      <c r="E55" s="37"/>
      <c r="F55" s="42">
        <f t="shared" si="3"/>
        <v>0</v>
      </c>
      <c r="G55" s="37"/>
      <c r="H55" s="36"/>
      <c r="I55" s="37"/>
      <c r="J55" s="5">
        <f t="shared" si="4"/>
        <v>0</v>
      </c>
      <c r="K55" s="30"/>
    </row>
    <row r="56" spans="1:11" x14ac:dyDescent="0.15">
      <c r="B56" s="6" t="s">
        <v>3</v>
      </c>
      <c r="C56" s="37"/>
      <c r="D56" s="36"/>
      <c r="E56" s="37"/>
      <c r="F56" s="42">
        <f t="shared" si="3"/>
        <v>0</v>
      </c>
      <c r="G56" s="37"/>
      <c r="H56" s="36"/>
      <c r="I56" s="37"/>
      <c r="J56" s="5">
        <f t="shared" si="4"/>
        <v>0</v>
      </c>
      <c r="K56" s="30"/>
    </row>
    <row r="57" spans="1:11" ht="14.25" thickBot="1" x14ac:dyDescent="0.2">
      <c r="B57" s="7" t="s">
        <v>3</v>
      </c>
      <c r="C57" s="44"/>
      <c r="D57" s="45"/>
      <c r="E57" s="44"/>
      <c r="F57" s="46">
        <f t="shared" si="3"/>
        <v>0</v>
      </c>
      <c r="G57" s="44"/>
      <c r="H57" s="45"/>
      <c r="I57" s="44"/>
      <c r="J57" s="20">
        <f t="shared" si="4"/>
        <v>0</v>
      </c>
      <c r="K57" s="30"/>
    </row>
    <row r="58" spans="1:11" ht="14.25" thickBot="1" x14ac:dyDescent="0.2">
      <c r="B58" s="22" t="s">
        <v>4</v>
      </c>
      <c r="C58" s="23">
        <f>SUM(C47:C57)</f>
        <v>2</v>
      </c>
      <c r="D58" s="23">
        <f>SUM(D47:D57)</f>
        <v>1</v>
      </c>
      <c r="E58" s="24">
        <f>SUM(E47:E57)</f>
        <v>2</v>
      </c>
      <c r="F58" s="25">
        <f t="shared" si="3"/>
        <v>5</v>
      </c>
      <c r="G58" s="23">
        <f>SUM(G47:G57)</f>
        <v>2</v>
      </c>
      <c r="H58" s="23">
        <f>SUM(H47:H57)</f>
        <v>3</v>
      </c>
      <c r="I58" s="24">
        <f>SUM(I47:I57)</f>
        <v>2</v>
      </c>
      <c r="J58" s="25">
        <f t="shared" si="4"/>
        <v>7</v>
      </c>
    </row>
    <row r="59" spans="1:11" x14ac:dyDescent="0.15">
      <c r="B59" s="4"/>
      <c r="C59" s="9"/>
      <c r="D59" s="10"/>
      <c r="E59" s="11"/>
      <c r="F59" s="8">
        <f t="shared" ref="F59:F76" si="5">SUM(C59:E59)</f>
        <v>0</v>
      </c>
      <c r="G59" s="9"/>
      <c r="H59" s="10"/>
      <c r="I59" s="11"/>
      <c r="J59" s="8">
        <f t="shared" ref="J59:J76" si="6">SUM(G59:I59)</f>
        <v>0</v>
      </c>
    </row>
    <row r="60" spans="1:11" x14ac:dyDescent="0.15">
      <c r="B60" s="4"/>
      <c r="C60" s="9"/>
      <c r="D60" s="10"/>
      <c r="E60" s="11"/>
      <c r="F60" s="8">
        <f t="shared" si="5"/>
        <v>0</v>
      </c>
      <c r="G60" s="9"/>
      <c r="H60" s="10"/>
      <c r="I60" s="11"/>
      <c r="J60" s="8">
        <f t="shared" si="6"/>
        <v>0</v>
      </c>
    </row>
    <row r="61" spans="1:11" x14ac:dyDescent="0.15">
      <c r="B61" s="4"/>
      <c r="C61" s="9"/>
      <c r="D61" s="10"/>
      <c r="E61" s="11"/>
      <c r="F61" s="8">
        <f t="shared" si="5"/>
        <v>0</v>
      </c>
      <c r="G61" s="9"/>
      <c r="H61" s="10"/>
      <c r="I61" s="11"/>
      <c r="J61" s="8">
        <f t="shared" si="6"/>
        <v>0</v>
      </c>
    </row>
    <row r="62" spans="1:11" x14ac:dyDescent="0.15">
      <c r="B62" s="4"/>
      <c r="C62" s="9"/>
      <c r="D62" s="10"/>
      <c r="E62" s="11"/>
      <c r="F62" s="8">
        <f t="shared" si="5"/>
        <v>0</v>
      </c>
      <c r="G62" s="9"/>
      <c r="H62" s="10"/>
      <c r="I62" s="11"/>
      <c r="J62" s="8">
        <f t="shared" si="6"/>
        <v>0</v>
      </c>
    </row>
    <row r="63" spans="1:11" x14ac:dyDescent="0.15">
      <c r="B63" s="4"/>
      <c r="C63" s="9"/>
      <c r="D63" s="10"/>
      <c r="E63" s="11"/>
      <c r="F63" s="8">
        <f t="shared" si="5"/>
        <v>0</v>
      </c>
      <c r="G63" s="9"/>
      <c r="H63" s="10"/>
      <c r="I63" s="11"/>
      <c r="J63" s="8">
        <f t="shared" si="6"/>
        <v>0</v>
      </c>
    </row>
    <row r="64" spans="1:11" x14ac:dyDescent="0.15">
      <c r="B64" s="4"/>
      <c r="C64" s="9"/>
      <c r="D64" s="10"/>
      <c r="E64" s="11"/>
      <c r="F64" s="8">
        <f t="shared" si="5"/>
        <v>0</v>
      </c>
      <c r="G64" s="9"/>
      <c r="H64" s="10"/>
      <c r="I64" s="11"/>
      <c r="J64" s="8">
        <f t="shared" si="6"/>
        <v>0</v>
      </c>
    </row>
    <row r="65" spans="2:10" x14ac:dyDescent="0.15">
      <c r="B65" s="4"/>
      <c r="C65" s="9"/>
      <c r="D65" s="10"/>
      <c r="E65" s="11"/>
      <c r="F65" s="8">
        <f t="shared" si="5"/>
        <v>0</v>
      </c>
      <c r="G65" s="9"/>
      <c r="H65" s="10"/>
      <c r="I65" s="11"/>
      <c r="J65" s="8">
        <f t="shared" si="6"/>
        <v>0</v>
      </c>
    </row>
    <row r="66" spans="2:10" x14ac:dyDescent="0.15">
      <c r="B66" s="4"/>
      <c r="C66" s="9"/>
      <c r="D66" s="10"/>
      <c r="E66" s="11"/>
      <c r="F66" s="8">
        <f t="shared" si="5"/>
        <v>0</v>
      </c>
      <c r="G66" s="9"/>
      <c r="H66" s="10"/>
      <c r="I66" s="11"/>
      <c r="J66" s="8">
        <f t="shared" si="6"/>
        <v>0</v>
      </c>
    </row>
    <row r="67" spans="2:10" x14ac:dyDescent="0.15">
      <c r="B67" s="4"/>
      <c r="C67" s="9"/>
      <c r="D67" s="10"/>
      <c r="E67" s="11"/>
      <c r="F67" s="8">
        <f t="shared" si="5"/>
        <v>0</v>
      </c>
      <c r="G67" s="9"/>
      <c r="H67" s="10"/>
      <c r="I67" s="11"/>
      <c r="J67" s="8">
        <f t="shared" si="6"/>
        <v>0</v>
      </c>
    </row>
    <row r="68" spans="2:10" x14ac:dyDescent="0.15">
      <c r="B68" s="4"/>
      <c r="C68" s="9"/>
      <c r="D68" s="10"/>
      <c r="E68" s="11"/>
      <c r="F68" s="8">
        <f t="shared" si="5"/>
        <v>0</v>
      </c>
      <c r="G68" s="9"/>
      <c r="H68" s="10"/>
      <c r="I68" s="11"/>
      <c r="J68" s="8">
        <f t="shared" si="6"/>
        <v>0</v>
      </c>
    </row>
    <row r="69" spans="2:10" x14ac:dyDescent="0.15">
      <c r="B69" s="4"/>
      <c r="C69" s="9"/>
      <c r="D69" s="10"/>
      <c r="E69" s="11"/>
      <c r="F69" s="8">
        <f t="shared" si="5"/>
        <v>0</v>
      </c>
      <c r="G69" s="9"/>
      <c r="H69" s="10"/>
      <c r="I69" s="11"/>
      <c r="J69" s="8">
        <f t="shared" si="6"/>
        <v>0</v>
      </c>
    </row>
    <row r="70" spans="2:10" x14ac:dyDescent="0.15">
      <c r="B70" s="4"/>
      <c r="C70" s="9"/>
      <c r="D70" s="10"/>
      <c r="E70" s="11"/>
      <c r="F70" s="8">
        <f t="shared" si="5"/>
        <v>0</v>
      </c>
      <c r="G70" s="9"/>
      <c r="H70" s="10"/>
      <c r="I70" s="11"/>
      <c r="J70" s="8">
        <f t="shared" si="6"/>
        <v>0</v>
      </c>
    </row>
    <row r="71" spans="2:10" x14ac:dyDescent="0.15">
      <c r="B71" s="4"/>
      <c r="C71" s="9"/>
      <c r="D71" s="10"/>
      <c r="E71" s="11"/>
      <c r="F71" s="8">
        <f t="shared" si="5"/>
        <v>0</v>
      </c>
      <c r="G71" s="9"/>
      <c r="H71" s="10"/>
      <c r="I71" s="11"/>
      <c r="J71" s="8">
        <f t="shared" si="6"/>
        <v>0</v>
      </c>
    </row>
    <row r="72" spans="2:10" x14ac:dyDescent="0.15">
      <c r="B72" s="4"/>
      <c r="C72" s="9"/>
      <c r="D72" s="10"/>
      <c r="E72" s="11"/>
      <c r="F72" s="8">
        <f t="shared" si="5"/>
        <v>0</v>
      </c>
      <c r="G72" s="9"/>
      <c r="H72" s="10"/>
      <c r="I72" s="11"/>
      <c r="J72" s="8">
        <f t="shared" si="6"/>
        <v>0</v>
      </c>
    </row>
    <row r="73" spans="2:10" x14ac:dyDescent="0.15">
      <c r="B73" s="4"/>
      <c r="C73" s="9"/>
      <c r="D73" s="10"/>
      <c r="E73" s="11"/>
      <c r="F73" s="8">
        <f t="shared" si="5"/>
        <v>0</v>
      </c>
      <c r="G73" s="9"/>
      <c r="H73" s="10"/>
      <c r="I73" s="11"/>
      <c r="J73" s="8">
        <f t="shared" si="6"/>
        <v>0</v>
      </c>
    </row>
    <row r="74" spans="2:10" x14ac:dyDescent="0.15">
      <c r="B74" s="4"/>
      <c r="C74" s="9"/>
      <c r="D74" s="10"/>
      <c r="E74" s="11"/>
      <c r="F74" s="8">
        <f t="shared" si="5"/>
        <v>0</v>
      </c>
      <c r="G74" s="9"/>
      <c r="H74" s="10"/>
      <c r="I74" s="11"/>
      <c r="J74" s="8">
        <f t="shared" si="6"/>
        <v>0</v>
      </c>
    </row>
    <row r="75" spans="2:10" x14ac:dyDescent="0.15">
      <c r="B75" s="4"/>
      <c r="C75" s="9"/>
      <c r="D75" s="10"/>
      <c r="E75" s="11"/>
      <c r="F75" s="8">
        <f t="shared" si="5"/>
        <v>0</v>
      </c>
      <c r="G75" s="9"/>
      <c r="H75" s="10"/>
      <c r="I75" s="11"/>
      <c r="J75" s="8">
        <f t="shared" si="6"/>
        <v>0</v>
      </c>
    </row>
    <row r="76" spans="2:10" x14ac:dyDescent="0.15">
      <c r="B76" s="4"/>
      <c r="C76" s="9"/>
      <c r="D76" s="10"/>
      <c r="E76" s="11"/>
      <c r="F76" s="8">
        <f t="shared" si="5"/>
        <v>0</v>
      </c>
      <c r="G76" s="9"/>
      <c r="H76" s="10"/>
      <c r="I76" s="11"/>
      <c r="J76" s="8">
        <f t="shared" si="6"/>
        <v>0</v>
      </c>
    </row>
    <row r="77" spans="2:10" x14ac:dyDescent="0.15">
      <c r="B77" s="4"/>
      <c r="C77" s="9"/>
      <c r="D77" s="10"/>
      <c r="E77" s="11"/>
      <c r="F77" s="8">
        <f t="shared" si="3"/>
        <v>0</v>
      </c>
      <c r="G77" s="9"/>
      <c r="H77" s="10"/>
      <c r="I77" s="11"/>
      <c r="J77" s="8">
        <f t="shared" si="4"/>
        <v>0</v>
      </c>
    </row>
    <row r="78" spans="2:10" x14ac:dyDescent="0.15">
      <c r="B78" s="4"/>
      <c r="C78" s="9"/>
      <c r="D78" s="10"/>
      <c r="E78" s="11"/>
      <c r="F78" s="8">
        <f t="shared" si="3"/>
        <v>0</v>
      </c>
      <c r="G78" s="9"/>
      <c r="H78" s="10"/>
      <c r="I78" s="11"/>
      <c r="J78" s="8">
        <f t="shared" si="4"/>
        <v>0</v>
      </c>
    </row>
    <row r="79" spans="2:10" x14ac:dyDescent="0.15">
      <c r="B79" s="4"/>
      <c r="C79" s="9"/>
      <c r="D79" s="10"/>
      <c r="E79" s="11"/>
      <c r="F79" s="8">
        <f t="shared" si="3"/>
        <v>0</v>
      </c>
      <c r="G79" s="9"/>
      <c r="H79" s="10"/>
      <c r="I79" s="11"/>
      <c r="J79" s="8">
        <f t="shared" si="4"/>
        <v>0</v>
      </c>
    </row>
    <row r="80" spans="2:10" x14ac:dyDescent="0.15">
      <c r="B80" s="4"/>
      <c r="C80" s="9"/>
      <c r="D80" s="10"/>
      <c r="E80" s="11"/>
      <c r="F80" s="8">
        <f t="shared" si="3"/>
        <v>0</v>
      </c>
      <c r="G80" s="9"/>
      <c r="H80" s="10"/>
      <c r="I80" s="11"/>
      <c r="J80" s="8">
        <f t="shared" si="4"/>
        <v>0</v>
      </c>
    </row>
    <row r="81" spans="2:10" x14ac:dyDescent="0.15">
      <c r="B81" s="4"/>
      <c r="C81" s="9"/>
      <c r="D81" s="10"/>
      <c r="E81" s="11"/>
      <c r="F81" s="8">
        <f t="shared" si="3"/>
        <v>0</v>
      </c>
      <c r="G81" s="9"/>
      <c r="H81" s="10"/>
      <c r="I81" s="11"/>
      <c r="J81" s="8">
        <f t="shared" si="4"/>
        <v>0</v>
      </c>
    </row>
    <row r="82" spans="2:10" ht="14.25" thickBot="1" x14ac:dyDescent="0.2">
      <c r="B82" s="4"/>
      <c r="C82" s="9"/>
      <c r="D82" s="10"/>
      <c r="E82" s="11"/>
      <c r="F82" s="8">
        <f t="shared" si="3"/>
        <v>0</v>
      </c>
      <c r="G82" s="9"/>
      <c r="H82" s="10"/>
      <c r="I82" s="11"/>
      <c r="J82" s="8">
        <f t="shared" si="4"/>
        <v>0</v>
      </c>
    </row>
    <row r="83" spans="2:10" ht="14.25" thickBot="1" x14ac:dyDescent="0.2">
      <c r="B83" s="3" t="s">
        <v>5</v>
      </c>
      <c r="C83" s="15">
        <f>SUM(C59:C82)</f>
        <v>0</v>
      </c>
      <c r="D83" s="15">
        <f>SUM(D59:D82)</f>
        <v>0</v>
      </c>
      <c r="E83" s="15">
        <f>SUM(E59:E82)</f>
        <v>0</v>
      </c>
      <c r="F83" s="16">
        <f t="shared" si="3"/>
        <v>0</v>
      </c>
      <c r="G83" s="15">
        <f>SUM(G59:G82)</f>
        <v>0</v>
      </c>
      <c r="H83" s="15">
        <f>SUM(H59:H82)</f>
        <v>0</v>
      </c>
      <c r="I83" s="15">
        <f>SUM(I59:I82)</f>
        <v>0</v>
      </c>
      <c r="J83" s="16">
        <f t="shared" si="4"/>
        <v>0</v>
      </c>
    </row>
    <row r="84" spans="2:10" ht="14.25" thickBot="1" x14ac:dyDescent="0.2">
      <c r="B84" s="26" t="s">
        <v>6</v>
      </c>
      <c r="C84" s="27">
        <f t="shared" ref="C84:J84" si="7">C58-C83</f>
        <v>2</v>
      </c>
      <c r="D84" s="27">
        <f t="shared" si="7"/>
        <v>1</v>
      </c>
      <c r="E84" s="27">
        <f t="shared" si="7"/>
        <v>2</v>
      </c>
      <c r="F84" s="27">
        <f t="shared" si="7"/>
        <v>5</v>
      </c>
      <c r="G84" s="27">
        <f t="shared" si="7"/>
        <v>2</v>
      </c>
      <c r="H84" s="27">
        <f t="shared" si="7"/>
        <v>3</v>
      </c>
      <c r="I84" s="27">
        <f t="shared" si="7"/>
        <v>2</v>
      </c>
      <c r="J84" s="25">
        <f t="shared" si="7"/>
        <v>7</v>
      </c>
    </row>
  </sheetData>
  <mergeCells count="4">
    <mergeCell ref="C2:F2"/>
    <mergeCell ref="G2:J2"/>
    <mergeCell ref="C45:F45"/>
    <mergeCell ref="G45:J45"/>
  </mergeCells>
  <phoneticPr fontId="7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4635-F604-4ECF-8A26-017D62DF05D7}">
  <sheetPr>
    <tabColor theme="0" tint="-0.14999847407452621"/>
  </sheetPr>
  <dimension ref="B1:I84"/>
  <sheetViews>
    <sheetView zoomScaleNormal="100" workbookViewId="0">
      <selection activeCell="H23" sqref="H23"/>
    </sheetView>
  </sheetViews>
  <sheetFormatPr defaultRowHeight="13.5" x14ac:dyDescent="0.15"/>
  <cols>
    <col min="2" max="2" width="16.5" customWidth="1"/>
    <col min="8" max="8" width="9.25" bestFit="1" customWidth="1"/>
  </cols>
  <sheetData>
    <row r="1" spans="2:9" ht="19.5" thickBot="1" x14ac:dyDescent="0.25">
      <c r="B1" s="33" t="s">
        <v>47</v>
      </c>
      <c r="C1" s="1"/>
      <c r="D1" s="1"/>
      <c r="E1" s="1"/>
      <c r="F1" s="1"/>
      <c r="G1" s="1"/>
    </row>
    <row r="2" spans="2:9" ht="14.25" thickBot="1" x14ac:dyDescent="0.2">
      <c r="B2" s="2" t="s">
        <v>0</v>
      </c>
      <c r="C2" s="84" t="s">
        <v>13</v>
      </c>
      <c r="D2" s="84"/>
      <c r="E2" s="84"/>
      <c r="F2" s="85"/>
      <c r="G2" t="s">
        <v>49</v>
      </c>
    </row>
    <row r="3" spans="2:9" ht="14.25" thickBot="1" x14ac:dyDescent="0.2">
      <c r="B3" s="2" t="s">
        <v>1</v>
      </c>
      <c r="C3" s="3" t="s">
        <v>9</v>
      </c>
      <c r="D3" s="2" t="s">
        <v>10</v>
      </c>
      <c r="E3" s="19" t="s">
        <v>11</v>
      </c>
      <c r="F3" s="2" t="s">
        <v>48</v>
      </c>
      <c r="G3" s="2" t="s">
        <v>2</v>
      </c>
    </row>
    <row r="4" spans="2:9" x14ac:dyDescent="0.15">
      <c r="B4" s="6" t="s">
        <v>8</v>
      </c>
      <c r="C4" s="35"/>
      <c r="D4" s="36">
        <v>2</v>
      </c>
      <c r="E4" s="37"/>
      <c r="F4" s="63"/>
      <c r="G4" s="5">
        <f>C4+D4+E4+F4</f>
        <v>2</v>
      </c>
      <c r="H4" s="30">
        <v>45589</v>
      </c>
      <c r="I4" s="31"/>
    </row>
    <row r="5" spans="2:9" x14ac:dyDescent="0.15">
      <c r="B5" s="6" t="s">
        <v>3</v>
      </c>
      <c r="C5" s="17">
        <v>1</v>
      </c>
      <c r="D5" s="12"/>
      <c r="E5" s="17">
        <v>1</v>
      </c>
      <c r="F5" s="63"/>
      <c r="G5" s="5">
        <f>C5+D5+E5+F5</f>
        <v>2</v>
      </c>
      <c r="H5" s="30">
        <v>45595</v>
      </c>
      <c r="I5" s="31" t="s">
        <v>51</v>
      </c>
    </row>
    <row r="6" spans="2:9" x14ac:dyDescent="0.15">
      <c r="B6" s="6" t="s">
        <v>3</v>
      </c>
      <c r="C6" s="17"/>
      <c r="D6" s="12">
        <v>3</v>
      </c>
      <c r="E6" s="17"/>
      <c r="F6" s="63"/>
      <c r="G6" s="5">
        <f t="shared" ref="G6:G40" si="0">C6+D6+E6+F6</f>
        <v>3</v>
      </c>
      <c r="H6" s="30">
        <v>45898</v>
      </c>
      <c r="I6" s="66" t="s">
        <v>70</v>
      </c>
    </row>
    <row r="7" spans="2:9" x14ac:dyDescent="0.15">
      <c r="B7" s="6" t="s">
        <v>28</v>
      </c>
      <c r="C7" s="17">
        <v>1</v>
      </c>
      <c r="D7" s="12">
        <v>1</v>
      </c>
      <c r="E7" s="17">
        <v>1</v>
      </c>
      <c r="F7" s="63"/>
      <c r="G7" s="5">
        <f t="shared" si="0"/>
        <v>3</v>
      </c>
      <c r="H7" s="32">
        <v>46071</v>
      </c>
    </row>
    <row r="8" spans="2:9" x14ac:dyDescent="0.15">
      <c r="B8" s="6" t="s">
        <v>28</v>
      </c>
      <c r="C8" s="17">
        <v>-1</v>
      </c>
      <c r="D8" s="12">
        <v>-1</v>
      </c>
      <c r="E8" s="17">
        <v>-1</v>
      </c>
      <c r="F8" s="63"/>
      <c r="G8" s="5">
        <f t="shared" si="0"/>
        <v>-3</v>
      </c>
      <c r="H8" s="32">
        <v>46085</v>
      </c>
    </row>
    <row r="9" spans="2:9" x14ac:dyDescent="0.15">
      <c r="B9" s="6" t="s">
        <v>3</v>
      </c>
      <c r="C9" s="17"/>
      <c r="D9" s="12">
        <v>2</v>
      </c>
      <c r="E9" s="17"/>
      <c r="F9" s="63"/>
      <c r="G9" s="5">
        <f t="shared" si="0"/>
        <v>2</v>
      </c>
      <c r="H9" s="30">
        <v>46115</v>
      </c>
    </row>
    <row r="10" spans="2:9" x14ac:dyDescent="0.15">
      <c r="B10" s="6" t="s">
        <v>3</v>
      </c>
      <c r="C10" s="17">
        <v>1</v>
      </c>
      <c r="D10" s="12"/>
      <c r="E10" s="17">
        <v>2</v>
      </c>
      <c r="F10" s="63"/>
      <c r="G10" s="5">
        <f t="shared" si="0"/>
        <v>3</v>
      </c>
      <c r="H10" s="30">
        <v>46143</v>
      </c>
      <c r="I10" s="31"/>
    </row>
    <row r="11" spans="2:9" x14ac:dyDescent="0.15">
      <c r="B11" s="6" t="s">
        <v>3</v>
      </c>
      <c r="C11" s="11">
        <v>1</v>
      </c>
      <c r="D11" s="10"/>
      <c r="E11" s="11">
        <v>2</v>
      </c>
      <c r="F11" s="63"/>
      <c r="G11" s="5">
        <f t="shared" si="0"/>
        <v>3</v>
      </c>
      <c r="H11" s="30">
        <v>46143</v>
      </c>
      <c r="I11" s="31"/>
    </row>
    <row r="12" spans="2:9" x14ac:dyDescent="0.15">
      <c r="B12" s="6" t="s">
        <v>3</v>
      </c>
      <c r="C12" s="11"/>
      <c r="D12" s="10"/>
      <c r="E12" s="11"/>
      <c r="F12" s="63"/>
      <c r="G12" s="5">
        <f t="shared" si="0"/>
        <v>0</v>
      </c>
      <c r="H12" s="31"/>
      <c r="I12" s="31"/>
    </row>
    <row r="13" spans="2:9" x14ac:dyDescent="0.15">
      <c r="B13" s="6" t="s">
        <v>3</v>
      </c>
      <c r="C13" s="11"/>
      <c r="D13" s="10"/>
      <c r="E13" s="11"/>
      <c r="F13" s="63"/>
      <c r="G13" s="5">
        <f t="shared" si="0"/>
        <v>0</v>
      </c>
    </row>
    <row r="14" spans="2:9" ht="14.25" thickBot="1" x14ac:dyDescent="0.2">
      <c r="B14" s="7" t="s">
        <v>3</v>
      </c>
      <c r="C14" s="14"/>
      <c r="D14" s="13"/>
      <c r="E14" s="14"/>
      <c r="F14" s="63"/>
      <c r="G14" s="5">
        <f t="shared" si="0"/>
        <v>0</v>
      </c>
    </row>
    <row r="15" spans="2:9" ht="14.25" thickBot="1" x14ac:dyDescent="0.2">
      <c r="B15" s="22" t="s">
        <v>4</v>
      </c>
      <c r="C15" s="23">
        <f>SUM(C4:C14)</f>
        <v>3</v>
      </c>
      <c r="D15" s="23">
        <f>SUM(D4:D14)</f>
        <v>7</v>
      </c>
      <c r="E15" s="24">
        <f>SUM(E4:E14)</f>
        <v>5</v>
      </c>
      <c r="F15" s="24">
        <f>SUM(F4:F14)</f>
        <v>0</v>
      </c>
      <c r="G15" s="25">
        <f t="shared" si="0"/>
        <v>15</v>
      </c>
    </row>
    <row r="16" spans="2:9" x14ac:dyDescent="0.15">
      <c r="B16" s="4" t="s">
        <v>50</v>
      </c>
      <c r="C16" s="9"/>
      <c r="D16" s="10">
        <v>1</v>
      </c>
      <c r="E16" s="11"/>
      <c r="F16" s="63"/>
      <c r="G16" s="5">
        <f t="shared" si="0"/>
        <v>1</v>
      </c>
      <c r="H16" s="32">
        <v>45589</v>
      </c>
    </row>
    <row r="17" spans="2:8" x14ac:dyDescent="0.15">
      <c r="B17" s="4" t="s">
        <v>68</v>
      </c>
      <c r="C17" s="9">
        <v>0</v>
      </c>
      <c r="D17" s="10">
        <v>0</v>
      </c>
      <c r="E17" s="11">
        <v>0</v>
      </c>
      <c r="F17" s="63"/>
      <c r="G17" s="5">
        <f t="shared" si="0"/>
        <v>0</v>
      </c>
      <c r="H17" s="32">
        <v>45890</v>
      </c>
    </row>
    <row r="18" spans="2:8" x14ac:dyDescent="0.15">
      <c r="B18" s="4" t="s">
        <v>7</v>
      </c>
      <c r="C18" s="9"/>
      <c r="D18" s="10">
        <v>2</v>
      </c>
      <c r="E18" s="11"/>
      <c r="F18" s="63"/>
      <c r="G18" s="5">
        <f t="shared" si="0"/>
        <v>2</v>
      </c>
      <c r="H18" s="32">
        <v>45898</v>
      </c>
    </row>
    <row r="19" spans="2:8" x14ac:dyDescent="0.15">
      <c r="B19" s="4" t="s">
        <v>7</v>
      </c>
      <c r="C19" s="9"/>
      <c r="D19" s="10">
        <v>1</v>
      </c>
      <c r="E19" s="11"/>
      <c r="F19" s="63"/>
      <c r="G19" s="5">
        <f t="shared" si="0"/>
        <v>1</v>
      </c>
    </row>
    <row r="20" spans="2:8" x14ac:dyDescent="0.15">
      <c r="B20" s="4" t="s">
        <v>7</v>
      </c>
      <c r="C20" s="9"/>
      <c r="D20" s="10">
        <v>1</v>
      </c>
      <c r="E20" s="11"/>
      <c r="F20" s="63"/>
      <c r="G20" s="5">
        <f t="shared" si="0"/>
        <v>1</v>
      </c>
      <c r="H20" s="32">
        <v>46105</v>
      </c>
    </row>
    <row r="21" spans="2:8" x14ac:dyDescent="0.15">
      <c r="B21" s="4" t="s">
        <v>7</v>
      </c>
      <c r="C21" s="9"/>
      <c r="D21" s="10"/>
      <c r="E21" s="11">
        <v>1</v>
      </c>
      <c r="F21" s="10"/>
      <c r="G21" s="5">
        <f t="shared" si="0"/>
        <v>1</v>
      </c>
      <c r="H21" s="32">
        <v>46132</v>
      </c>
    </row>
    <row r="22" spans="2:8" x14ac:dyDescent="0.15">
      <c r="B22" s="4" t="s">
        <v>7</v>
      </c>
      <c r="C22" s="9">
        <v>1</v>
      </c>
      <c r="D22" s="10"/>
      <c r="E22" s="11"/>
      <c r="F22" s="10"/>
      <c r="G22" s="5">
        <f t="shared" si="0"/>
        <v>1</v>
      </c>
      <c r="H22" s="32">
        <v>46157</v>
      </c>
    </row>
    <row r="23" spans="2:8" x14ac:dyDescent="0.15">
      <c r="B23" s="4"/>
      <c r="C23" s="9"/>
      <c r="D23" s="10"/>
      <c r="E23" s="11"/>
      <c r="F23" s="10"/>
      <c r="G23" s="5">
        <f t="shared" si="0"/>
        <v>0</v>
      </c>
      <c r="H23" s="32"/>
    </row>
    <row r="24" spans="2:8" x14ac:dyDescent="0.15">
      <c r="B24" s="4"/>
      <c r="C24" s="9"/>
      <c r="D24" s="10"/>
      <c r="E24" s="11"/>
      <c r="F24" s="10"/>
      <c r="G24" s="5">
        <f t="shared" si="0"/>
        <v>0</v>
      </c>
    </row>
    <row r="25" spans="2:8" x14ac:dyDescent="0.15">
      <c r="B25" s="4"/>
      <c r="C25" s="9"/>
      <c r="D25" s="10"/>
      <c r="E25" s="11"/>
      <c r="F25" s="10"/>
      <c r="G25" s="5">
        <f t="shared" si="0"/>
        <v>0</v>
      </c>
    </row>
    <row r="26" spans="2:8" x14ac:dyDescent="0.15">
      <c r="B26" s="4"/>
      <c r="C26" s="9"/>
      <c r="D26" s="10"/>
      <c r="E26" s="11"/>
      <c r="F26" s="10"/>
      <c r="G26" s="5">
        <f t="shared" si="0"/>
        <v>0</v>
      </c>
    </row>
    <row r="27" spans="2:8" x14ac:dyDescent="0.15">
      <c r="B27" s="4"/>
      <c r="C27" s="9"/>
      <c r="D27" s="10"/>
      <c r="E27" s="11"/>
      <c r="F27" s="10"/>
      <c r="G27" s="5">
        <f t="shared" si="0"/>
        <v>0</v>
      </c>
    </row>
    <row r="28" spans="2:8" x14ac:dyDescent="0.15">
      <c r="B28" s="4"/>
      <c r="C28" s="9"/>
      <c r="D28" s="10"/>
      <c r="E28" s="11"/>
      <c r="F28" s="10"/>
      <c r="G28" s="5">
        <f t="shared" si="0"/>
        <v>0</v>
      </c>
    </row>
    <row r="29" spans="2:8" x14ac:dyDescent="0.15">
      <c r="B29" s="4"/>
      <c r="C29" s="9"/>
      <c r="D29" s="10"/>
      <c r="E29" s="11"/>
      <c r="F29" s="10"/>
      <c r="G29" s="5">
        <f t="shared" si="0"/>
        <v>0</v>
      </c>
    </row>
    <row r="30" spans="2:8" x14ac:dyDescent="0.15">
      <c r="B30" s="4"/>
      <c r="C30" s="9"/>
      <c r="D30" s="10"/>
      <c r="E30" s="11"/>
      <c r="F30" s="10"/>
      <c r="G30" s="5">
        <f t="shared" si="0"/>
        <v>0</v>
      </c>
    </row>
    <row r="31" spans="2:8" x14ac:dyDescent="0.15">
      <c r="B31" s="4"/>
      <c r="C31" s="9"/>
      <c r="D31" s="10"/>
      <c r="E31" s="11"/>
      <c r="F31" s="10"/>
      <c r="G31" s="5">
        <f t="shared" si="0"/>
        <v>0</v>
      </c>
    </row>
    <row r="32" spans="2:8" x14ac:dyDescent="0.15">
      <c r="B32" s="12"/>
      <c r="C32" s="9"/>
      <c r="D32" s="10"/>
      <c r="E32" s="11"/>
      <c r="F32" s="10"/>
      <c r="G32" s="5">
        <f t="shared" si="0"/>
        <v>0</v>
      </c>
    </row>
    <row r="33" spans="2:7" x14ac:dyDescent="0.15">
      <c r="B33" s="4"/>
      <c r="C33" s="9"/>
      <c r="D33" s="10"/>
      <c r="E33" s="11"/>
      <c r="F33" s="10"/>
      <c r="G33" s="5">
        <f t="shared" si="0"/>
        <v>0</v>
      </c>
    </row>
    <row r="34" spans="2:7" x14ac:dyDescent="0.15">
      <c r="B34" s="12"/>
      <c r="C34" s="9"/>
      <c r="D34" s="10"/>
      <c r="E34" s="11"/>
      <c r="F34" s="10"/>
      <c r="G34" s="5">
        <f t="shared" si="0"/>
        <v>0</v>
      </c>
    </row>
    <row r="35" spans="2:7" x14ac:dyDescent="0.15">
      <c r="B35" s="4"/>
      <c r="C35" s="9"/>
      <c r="D35" s="10"/>
      <c r="E35" s="11"/>
      <c r="F35" s="10"/>
      <c r="G35" s="5">
        <f t="shared" si="0"/>
        <v>0</v>
      </c>
    </row>
    <row r="36" spans="2:7" x14ac:dyDescent="0.15">
      <c r="B36" s="12"/>
      <c r="C36" s="9"/>
      <c r="D36" s="10"/>
      <c r="E36" s="11"/>
      <c r="F36" s="10"/>
      <c r="G36" s="5">
        <f t="shared" si="0"/>
        <v>0</v>
      </c>
    </row>
    <row r="37" spans="2:7" x14ac:dyDescent="0.15">
      <c r="B37" s="12"/>
      <c r="C37" s="9"/>
      <c r="D37" s="10"/>
      <c r="E37" s="11"/>
      <c r="F37" s="10"/>
      <c r="G37" s="5">
        <f t="shared" si="0"/>
        <v>0</v>
      </c>
    </row>
    <row r="38" spans="2:7" x14ac:dyDescent="0.15">
      <c r="B38" s="4"/>
      <c r="C38" s="9"/>
      <c r="D38" s="10"/>
      <c r="E38" s="11"/>
      <c r="F38" s="10"/>
      <c r="G38" s="5">
        <f t="shared" si="0"/>
        <v>0</v>
      </c>
    </row>
    <row r="39" spans="2:7" ht="14.25" thickBot="1" x14ac:dyDescent="0.2">
      <c r="B39" s="4"/>
      <c r="C39" s="9"/>
      <c r="D39" s="10"/>
      <c r="E39" s="11"/>
      <c r="F39" s="10"/>
      <c r="G39" s="5">
        <f t="shared" si="0"/>
        <v>0</v>
      </c>
    </row>
    <row r="40" spans="2:7" ht="14.25" thickBot="1" x14ac:dyDescent="0.2">
      <c r="B40" s="3" t="s">
        <v>5</v>
      </c>
      <c r="C40" s="15">
        <f>SUM(C16:C39)</f>
        <v>1</v>
      </c>
      <c r="D40" s="15">
        <f>SUM(D16:D39)</f>
        <v>5</v>
      </c>
      <c r="E40" s="15">
        <f>SUM(E16:E39)</f>
        <v>1</v>
      </c>
      <c r="F40" s="16">
        <f>SUM(F16:F39)</f>
        <v>0</v>
      </c>
      <c r="G40" s="16">
        <f t="shared" si="0"/>
        <v>7</v>
      </c>
    </row>
    <row r="41" spans="2:7" ht="14.25" thickBot="1" x14ac:dyDescent="0.2">
      <c r="B41" s="26" t="s">
        <v>6</v>
      </c>
      <c r="C41" s="27">
        <f t="shared" ref="C41:F41" si="1">C15-C40</f>
        <v>2</v>
      </c>
      <c r="D41" s="27">
        <f t="shared" si="1"/>
        <v>2</v>
      </c>
      <c r="E41" s="27">
        <f t="shared" si="1"/>
        <v>4</v>
      </c>
      <c r="F41" s="27">
        <f t="shared" si="1"/>
        <v>0</v>
      </c>
      <c r="G41" s="25">
        <f t="shared" ref="G41" si="2">G15-G40</f>
        <v>8</v>
      </c>
    </row>
    <row r="44" spans="2:7" ht="19.5" thickBot="1" x14ac:dyDescent="0.25">
      <c r="B44" s="33" t="s">
        <v>47</v>
      </c>
      <c r="C44" s="1"/>
      <c r="D44" s="1"/>
      <c r="E44" s="1"/>
      <c r="F44" s="1"/>
      <c r="G44" s="1"/>
    </row>
    <row r="45" spans="2:7" ht="14.25" thickBot="1" x14ac:dyDescent="0.2">
      <c r="B45" s="2" t="s">
        <v>0</v>
      </c>
      <c r="C45" s="84" t="s">
        <v>13</v>
      </c>
      <c r="D45" s="84"/>
      <c r="E45" s="84"/>
      <c r="F45" s="85"/>
    </row>
    <row r="46" spans="2:7" ht="14.25" thickBot="1" x14ac:dyDescent="0.2">
      <c r="B46" s="2" t="s">
        <v>1</v>
      </c>
      <c r="C46" s="3" t="s">
        <v>9</v>
      </c>
      <c r="D46" s="2" t="s">
        <v>10</v>
      </c>
      <c r="E46" s="19" t="s">
        <v>11</v>
      </c>
      <c r="F46" s="2" t="s">
        <v>48</v>
      </c>
      <c r="G46" s="2" t="s">
        <v>2</v>
      </c>
    </row>
    <row r="47" spans="2:7" x14ac:dyDescent="0.15">
      <c r="B47" s="28" t="s">
        <v>6</v>
      </c>
      <c r="C47" s="39">
        <f>C41</f>
        <v>2</v>
      </c>
      <c r="D47" s="40">
        <f>D41</f>
        <v>2</v>
      </c>
      <c r="E47" s="41">
        <f>E41</f>
        <v>4</v>
      </c>
      <c r="F47" s="65">
        <f>F41</f>
        <v>0</v>
      </c>
      <c r="G47" s="18">
        <f>C47+D47+E47+F47</f>
        <v>8</v>
      </c>
    </row>
    <row r="48" spans="2:7" x14ac:dyDescent="0.15">
      <c r="B48" s="6" t="s">
        <v>3</v>
      </c>
      <c r="C48" s="17"/>
      <c r="D48" s="12"/>
      <c r="E48" s="17"/>
      <c r="F48" s="64"/>
      <c r="G48" s="5">
        <f>C48+D48+E48+F48</f>
        <v>0</v>
      </c>
    </row>
    <row r="49" spans="2:7" x14ac:dyDescent="0.15">
      <c r="B49" s="6" t="s">
        <v>3</v>
      </c>
      <c r="C49" s="17"/>
      <c r="D49" s="12"/>
      <c r="E49" s="17"/>
      <c r="F49" s="64"/>
      <c r="G49" s="5">
        <f t="shared" ref="G49:G83" si="3">C49+D49+E49+F49</f>
        <v>0</v>
      </c>
    </row>
    <row r="50" spans="2:7" x14ac:dyDescent="0.15">
      <c r="B50" s="6" t="s">
        <v>3</v>
      </c>
      <c r="C50" s="17"/>
      <c r="D50" s="12"/>
      <c r="E50" s="17"/>
      <c r="F50" s="64"/>
      <c r="G50" s="5">
        <f t="shared" si="3"/>
        <v>0</v>
      </c>
    </row>
    <row r="51" spans="2:7" x14ac:dyDescent="0.15">
      <c r="B51" s="6" t="s">
        <v>3</v>
      </c>
      <c r="C51" s="17"/>
      <c r="D51" s="12"/>
      <c r="E51" s="17"/>
      <c r="F51" s="64"/>
      <c r="G51" s="5">
        <f t="shared" si="3"/>
        <v>0</v>
      </c>
    </row>
    <row r="52" spans="2:7" x14ac:dyDescent="0.15">
      <c r="B52" s="6" t="s">
        <v>3</v>
      </c>
      <c r="C52" s="17"/>
      <c r="D52" s="12"/>
      <c r="E52" s="17"/>
      <c r="F52" s="64"/>
      <c r="G52" s="5">
        <f t="shared" si="3"/>
        <v>0</v>
      </c>
    </row>
    <row r="53" spans="2:7" x14ac:dyDescent="0.15">
      <c r="B53" s="6" t="s">
        <v>3</v>
      </c>
      <c r="C53" s="17"/>
      <c r="D53" s="12"/>
      <c r="E53" s="17"/>
      <c r="F53" s="64"/>
      <c r="G53" s="5">
        <f t="shared" si="3"/>
        <v>0</v>
      </c>
    </row>
    <row r="54" spans="2:7" x14ac:dyDescent="0.15">
      <c r="B54" s="6" t="s">
        <v>3</v>
      </c>
      <c r="C54" s="11"/>
      <c r="D54" s="10"/>
      <c r="E54" s="11"/>
      <c r="F54" s="64"/>
      <c r="G54" s="5">
        <f t="shared" si="3"/>
        <v>0</v>
      </c>
    </row>
    <row r="55" spans="2:7" x14ac:dyDescent="0.15">
      <c r="B55" s="6" t="s">
        <v>3</v>
      </c>
      <c r="C55" s="11"/>
      <c r="D55" s="10"/>
      <c r="E55" s="11"/>
      <c r="F55" s="64"/>
      <c r="G55" s="5">
        <f t="shared" si="3"/>
        <v>0</v>
      </c>
    </row>
    <row r="56" spans="2:7" x14ac:dyDescent="0.15">
      <c r="B56" s="6" t="s">
        <v>3</v>
      </c>
      <c r="C56" s="11"/>
      <c r="D56" s="10"/>
      <c r="E56" s="11"/>
      <c r="F56" s="64"/>
      <c r="G56" s="5">
        <f t="shared" si="3"/>
        <v>0</v>
      </c>
    </row>
    <row r="57" spans="2:7" ht="14.25" thickBot="1" x14ac:dyDescent="0.2">
      <c r="B57" s="7" t="s">
        <v>3</v>
      </c>
      <c r="C57" s="14"/>
      <c r="D57" s="13"/>
      <c r="E57" s="14"/>
      <c r="F57" s="64"/>
      <c r="G57" s="5">
        <f t="shared" si="3"/>
        <v>0</v>
      </c>
    </row>
    <row r="58" spans="2:7" ht="14.25" thickBot="1" x14ac:dyDescent="0.2">
      <c r="B58" s="22" t="s">
        <v>4</v>
      </c>
      <c r="C58" s="23">
        <f>SUM(C47:C57)</f>
        <v>2</v>
      </c>
      <c r="D58" s="23">
        <f>SUM(D47:D57)</f>
        <v>2</v>
      </c>
      <c r="E58" s="24">
        <f>SUM(E47:E57)</f>
        <v>4</v>
      </c>
      <c r="F58" s="24">
        <f>SUM(F47:F57)</f>
        <v>0</v>
      </c>
      <c r="G58" s="25">
        <f t="shared" si="3"/>
        <v>8</v>
      </c>
    </row>
    <row r="59" spans="2:7" x14ac:dyDescent="0.15">
      <c r="B59" s="4"/>
      <c r="C59" s="9"/>
      <c r="D59" s="10"/>
      <c r="E59" s="11"/>
      <c r="F59" s="63"/>
      <c r="G59" s="5">
        <f t="shared" si="3"/>
        <v>0</v>
      </c>
    </row>
    <row r="60" spans="2:7" x14ac:dyDescent="0.15">
      <c r="B60" s="4"/>
      <c r="C60" s="9"/>
      <c r="D60" s="10"/>
      <c r="E60" s="11"/>
      <c r="F60" s="63"/>
      <c r="G60" s="5">
        <f t="shared" si="3"/>
        <v>0</v>
      </c>
    </row>
    <row r="61" spans="2:7" x14ac:dyDescent="0.15">
      <c r="B61" s="4"/>
      <c r="C61" s="9"/>
      <c r="D61" s="10"/>
      <c r="E61" s="11"/>
      <c r="F61" s="63"/>
      <c r="G61" s="5">
        <f t="shared" si="3"/>
        <v>0</v>
      </c>
    </row>
    <row r="62" spans="2:7" x14ac:dyDescent="0.15">
      <c r="B62" s="4"/>
      <c r="C62" s="9"/>
      <c r="D62" s="10"/>
      <c r="E62" s="11"/>
      <c r="F62" s="63"/>
      <c r="G62" s="5">
        <f t="shared" si="3"/>
        <v>0</v>
      </c>
    </row>
    <row r="63" spans="2:7" x14ac:dyDescent="0.15">
      <c r="B63" s="4"/>
      <c r="C63" s="9"/>
      <c r="D63" s="10"/>
      <c r="E63" s="11"/>
      <c r="F63" s="63"/>
      <c r="G63" s="5">
        <f t="shared" si="3"/>
        <v>0</v>
      </c>
    </row>
    <row r="64" spans="2:7" x14ac:dyDescent="0.15">
      <c r="B64" s="4"/>
      <c r="C64" s="9"/>
      <c r="D64" s="10"/>
      <c r="E64" s="11"/>
      <c r="F64" s="10"/>
      <c r="G64" s="5">
        <f t="shared" si="3"/>
        <v>0</v>
      </c>
    </row>
    <row r="65" spans="2:7" x14ac:dyDescent="0.15">
      <c r="B65" s="4"/>
      <c r="C65" s="9"/>
      <c r="D65" s="10"/>
      <c r="E65" s="11"/>
      <c r="F65" s="10"/>
      <c r="G65" s="5">
        <f t="shared" si="3"/>
        <v>0</v>
      </c>
    </row>
    <row r="66" spans="2:7" x14ac:dyDescent="0.15">
      <c r="B66" s="4"/>
      <c r="C66" s="9"/>
      <c r="D66" s="10"/>
      <c r="E66" s="11"/>
      <c r="F66" s="10"/>
      <c r="G66" s="5">
        <f t="shared" si="3"/>
        <v>0</v>
      </c>
    </row>
    <row r="67" spans="2:7" x14ac:dyDescent="0.15">
      <c r="B67" s="4"/>
      <c r="C67" s="9"/>
      <c r="D67" s="10"/>
      <c r="E67" s="11"/>
      <c r="F67" s="10"/>
      <c r="G67" s="5">
        <f t="shared" si="3"/>
        <v>0</v>
      </c>
    </row>
    <row r="68" spans="2:7" x14ac:dyDescent="0.15">
      <c r="B68" s="4"/>
      <c r="C68" s="9"/>
      <c r="D68" s="10"/>
      <c r="E68" s="11"/>
      <c r="F68" s="10"/>
      <c r="G68" s="5">
        <f t="shared" si="3"/>
        <v>0</v>
      </c>
    </row>
    <row r="69" spans="2:7" x14ac:dyDescent="0.15">
      <c r="B69" s="4"/>
      <c r="C69" s="9"/>
      <c r="D69" s="10"/>
      <c r="E69" s="11"/>
      <c r="F69" s="10"/>
      <c r="G69" s="5">
        <f t="shared" si="3"/>
        <v>0</v>
      </c>
    </row>
    <row r="70" spans="2:7" x14ac:dyDescent="0.15">
      <c r="B70" s="4"/>
      <c r="C70" s="9"/>
      <c r="D70" s="10"/>
      <c r="E70" s="11"/>
      <c r="F70" s="10"/>
      <c r="G70" s="5">
        <f t="shared" si="3"/>
        <v>0</v>
      </c>
    </row>
    <row r="71" spans="2:7" x14ac:dyDescent="0.15">
      <c r="B71" s="4"/>
      <c r="C71" s="9"/>
      <c r="D71" s="10"/>
      <c r="E71" s="11"/>
      <c r="F71" s="10"/>
      <c r="G71" s="5">
        <f t="shared" si="3"/>
        <v>0</v>
      </c>
    </row>
    <row r="72" spans="2:7" x14ac:dyDescent="0.15">
      <c r="B72" s="4"/>
      <c r="C72" s="9"/>
      <c r="D72" s="10"/>
      <c r="E72" s="11"/>
      <c r="F72" s="10"/>
      <c r="G72" s="5">
        <f t="shared" si="3"/>
        <v>0</v>
      </c>
    </row>
    <row r="73" spans="2:7" x14ac:dyDescent="0.15">
      <c r="B73" s="4"/>
      <c r="C73" s="9"/>
      <c r="D73" s="10"/>
      <c r="E73" s="11"/>
      <c r="F73" s="10"/>
      <c r="G73" s="5">
        <f t="shared" si="3"/>
        <v>0</v>
      </c>
    </row>
    <row r="74" spans="2:7" x14ac:dyDescent="0.15">
      <c r="B74" s="4"/>
      <c r="C74" s="9"/>
      <c r="D74" s="10"/>
      <c r="E74" s="11"/>
      <c r="F74" s="10"/>
      <c r="G74" s="5">
        <f t="shared" si="3"/>
        <v>0</v>
      </c>
    </row>
    <row r="75" spans="2:7" x14ac:dyDescent="0.15">
      <c r="B75" s="12"/>
      <c r="C75" s="9"/>
      <c r="D75" s="10"/>
      <c r="E75" s="11"/>
      <c r="F75" s="10"/>
      <c r="G75" s="5">
        <f t="shared" si="3"/>
        <v>0</v>
      </c>
    </row>
    <row r="76" spans="2:7" x14ac:dyDescent="0.15">
      <c r="B76" s="4"/>
      <c r="C76" s="9"/>
      <c r="D76" s="10"/>
      <c r="E76" s="11"/>
      <c r="F76" s="10"/>
      <c r="G76" s="5">
        <f t="shared" si="3"/>
        <v>0</v>
      </c>
    </row>
    <row r="77" spans="2:7" x14ac:dyDescent="0.15">
      <c r="B77" s="12"/>
      <c r="C77" s="9"/>
      <c r="D77" s="10"/>
      <c r="E77" s="11"/>
      <c r="F77" s="10"/>
      <c r="G77" s="5">
        <f t="shared" si="3"/>
        <v>0</v>
      </c>
    </row>
    <row r="78" spans="2:7" x14ac:dyDescent="0.15">
      <c r="B78" s="4"/>
      <c r="C78" s="9"/>
      <c r="D78" s="10"/>
      <c r="E78" s="11"/>
      <c r="F78" s="10"/>
      <c r="G78" s="5">
        <f t="shared" si="3"/>
        <v>0</v>
      </c>
    </row>
    <row r="79" spans="2:7" x14ac:dyDescent="0.15">
      <c r="B79" s="12"/>
      <c r="C79" s="9"/>
      <c r="D79" s="10"/>
      <c r="E79" s="11"/>
      <c r="F79" s="10"/>
      <c r="G79" s="5">
        <f t="shared" si="3"/>
        <v>0</v>
      </c>
    </row>
    <row r="80" spans="2:7" x14ac:dyDescent="0.15">
      <c r="B80" s="12"/>
      <c r="C80" s="9"/>
      <c r="D80" s="10"/>
      <c r="E80" s="11"/>
      <c r="F80" s="10"/>
      <c r="G80" s="5">
        <f t="shared" si="3"/>
        <v>0</v>
      </c>
    </row>
    <row r="81" spans="2:7" x14ac:dyDescent="0.15">
      <c r="B81" s="4"/>
      <c r="C81" s="9"/>
      <c r="D81" s="10"/>
      <c r="E81" s="11"/>
      <c r="F81" s="10"/>
      <c r="G81" s="5">
        <f t="shared" si="3"/>
        <v>0</v>
      </c>
    </row>
    <row r="82" spans="2:7" ht="14.25" thickBot="1" x14ac:dyDescent="0.2">
      <c r="B82" s="4"/>
      <c r="C82" s="9"/>
      <c r="D82" s="10"/>
      <c r="E82" s="11"/>
      <c r="F82" s="10"/>
      <c r="G82" s="5">
        <f t="shared" si="3"/>
        <v>0</v>
      </c>
    </row>
    <row r="83" spans="2:7" ht="14.25" thickBot="1" x14ac:dyDescent="0.2">
      <c r="B83" s="3" t="s">
        <v>5</v>
      </c>
      <c r="C83" s="15">
        <f>SUM(C59:C82)</f>
        <v>0</v>
      </c>
      <c r="D83" s="15">
        <f>SUM(D59:D82)</f>
        <v>0</v>
      </c>
      <c r="E83" s="15">
        <f>SUM(E59:E82)</f>
        <v>0</v>
      </c>
      <c r="F83" s="16">
        <f>SUM(F59:F82)</f>
        <v>0</v>
      </c>
      <c r="G83" s="16">
        <f t="shared" si="3"/>
        <v>0</v>
      </c>
    </row>
    <row r="84" spans="2:7" ht="14.25" thickBot="1" x14ac:dyDescent="0.2">
      <c r="B84" s="26" t="s">
        <v>6</v>
      </c>
      <c r="C84" s="27">
        <f t="shared" ref="C84:G84" si="4">C58-C83</f>
        <v>2</v>
      </c>
      <c r="D84" s="27">
        <f t="shared" si="4"/>
        <v>2</v>
      </c>
      <c r="E84" s="27">
        <f t="shared" si="4"/>
        <v>4</v>
      </c>
      <c r="F84" s="27">
        <f t="shared" si="4"/>
        <v>0</v>
      </c>
      <c r="G84" s="25">
        <f t="shared" si="4"/>
        <v>8</v>
      </c>
    </row>
  </sheetData>
  <mergeCells count="2">
    <mergeCell ref="C2:F2"/>
    <mergeCell ref="C45:F45"/>
  </mergeCells>
  <phoneticPr fontId="7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0CDE-C903-4213-905E-CE9B8ADD4FFD}">
  <sheetPr>
    <tabColor theme="0" tint="-0.14999847407452621"/>
  </sheetPr>
  <dimension ref="B1:H84"/>
  <sheetViews>
    <sheetView tabSelected="1" topLeftCell="A24" zoomScaleNormal="100" workbookViewId="0">
      <selection activeCell="N39" sqref="N33:N39"/>
    </sheetView>
  </sheetViews>
  <sheetFormatPr defaultRowHeight="13.5" x14ac:dyDescent="0.15"/>
  <cols>
    <col min="2" max="2" width="16.5" customWidth="1"/>
    <col min="7" max="7" width="9.25" bestFit="1" customWidth="1"/>
  </cols>
  <sheetData>
    <row r="1" spans="2:8" ht="19.5" thickBot="1" x14ac:dyDescent="0.25">
      <c r="B1" s="33" t="s">
        <v>52</v>
      </c>
      <c r="C1" s="1"/>
      <c r="D1" s="1"/>
      <c r="E1" s="1"/>
      <c r="F1" s="1"/>
    </row>
    <row r="2" spans="2:8" ht="14.25" thickBot="1" x14ac:dyDescent="0.2">
      <c r="B2" s="2" t="s">
        <v>0</v>
      </c>
      <c r="C2" s="84" t="s">
        <v>54</v>
      </c>
      <c r="D2" s="84"/>
      <c r="E2" s="84"/>
      <c r="F2" t="s">
        <v>53</v>
      </c>
    </row>
    <row r="3" spans="2:8" ht="14.25" thickBot="1" x14ac:dyDescent="0.2">
      <c r="B3" s="2" t="s">
        <v>1</v>
      </c>
      <c r="C3" s="3" t="s">
        <v>9</v>
      </c>
      <c r="D3" s="2" t="s">
        <v>10</v>
      </c>
      <c r="E3" s="19" t="s">
        <v>11</v>
      </c>
      <c r="F3" s="2" t="s">
        <v>2</v>
      </c>
    </row>
    <row r="4" spans="2:8" x14ac:dyDescent="0.15">
      <c r="B4" s="6" t="s">
        <v>8</v>
      </c>
      <c r="C4" s="35">
        <v>3</v>
      </c>
      <c r="D4" s="36">
        <v>2</v>
      </c>
      <c r="E4" s="37">
        <v>2</v>
      </c>
      <c r="F4" s="5">
        <f>C4+D4+E4</f>
        <v>7</v>
      </c>
      <c r="G4" s="30">
        <v>45598</v>
      </c>
      <c r="H4" s="31"/>
    </row>
    <row r="5" spans="2:8" x14ac:dyDescent="0.15">
      <c r="B5" s="6" t="s">
        <v>3</v>
      </c>
      <c r="C5" s="17">
        <v>1</v>
      </c>
      <c r="D5" s="12">
        <v>1</v>
      </c>
      <c r="E5" s="17"/>
      <c r="F5" s="5">
        <f t="shared" ref="F5:F41" si="0">C5+D5+E5</f>
        <v>2</v>
      </c>
      <c r="G5" s="30">
        <v>45647</v>
      </c>
      <c r="H5" s="43"/>
    </row>
    <row r="6" spans="2:8" x14ac:dyDescent="0.15">
      <c r="B6" s="6" t="s">
        <v>3</v>
      </c>
      <c r="C6" s="17">
        <v>2</v>
      </c>
      <c r="D6" s="12">
        <v>1</v>
      </c>
      <c r="E6" s="17"/>
      <c r="F6" s="5">
        <f t="shared" si="0"/>
        <v>3</v>
      </c>
      <c r="G6" s="30">
        <v>45722</v>
      </c>
    </row>
    <row r="7" spans="2:8" x14ac:dyDescent="0.15">
      <c r="B7" s="6" t="s">
        <v>3</v>
      </c>
      <c r="C7" s="17">
        <v>1</v>
      </c>
      <c r="D7" s="12">
        <v>2</v>
      </c>
      <c r="E7" s="17">
        <v>1</v>
      </c>
      <c r="F7" s="5">
        <f t="shared" si="0"/>
        <v>4</v>
      </c>
      <c r="G7" s="30">
        <v>45762</v>
      </c>
      <c r="H7" s="31"/>
    </row>
    <row r="8" spans="2:8" x14ac:dyDescent="0.15">
      <c r="B8" s="6" t="s">
        <v>3</v>
      </c>
      <c r="C8" s="17"/>
      <c r="D8" s="12"/>
      <c r="E8" s="17">
        <v>3</v>
      </c>
      <c r="F8" s="5">
        <f t="shared" si="0"/>
        <v>3</v>
      </c>
      <c r="G8" s="30">
        <v>46080</v>
      </c>
      <c r="H8" s="31"/>
    </row>
    <row r="9" spans="2:8" x14ac:dyDescent="0.15">
      <c r="B9" s="6" t="s">
        <v>64</v>
      </c>
      <c r="C9" s="17">
        <v>0</v>
      </c>
      <c r="D9" s="12">
        <v>0</v>
      </c>
      <c r="E9" s="17">
        <v>0</v>
      </c>
      <c r="F9" s="5">
        <f t="shared" si="0"/>
        <v>0</v>
      </c>
      <c r="G9" s="30">
        <v>46085</v>
      </c>
    </row>
    <row r="10" spans="2:8" x14ac:dyDescent="0.15">
      <c r="B10" s="6" t="s">
        <v>3</v>
      </c>
      <c r="C10" s="17"/>
      <c r="D10" s="12">
        <v>2</v>
      </c>
      <c r="E10" s="17">
        <v>2</v>
      </c>
      <c r="F10" s="5">
        <f t="shared" si="0"/>
        <v>4</v>
      </c>
      <c r="G10" s="30">
        <v>46115</v>
      </c>
    </row>
    <row r="11" spans="2:8" x14ac:dyDescent="0.15">
      <c r="B11" s="6" t="s">
        <v>3</v>
      </c>
      <c r="C11" s="11"/>
      <c r="D11" s="10"/>
      <c r="E11" s="11">
        <v>1</v>
      </c>
      <c r="F11" s="5">
        <f t="shared" si="0"/>
        <v>1</v>
      </c>
      <c r="G11" s="30">
        <v>46143</v>
      </c>
    </row>
    <row r="12" spans="2:8" x14ac:dyDescent="0.15">
      <c r="B12" s="6" t="s">
        <v>3</v>
      </c>
      <c r="C12" s="11">
        <v>1</v>
      </c>
      <c r="D12" s="10">
        <v>1</v>
      </c>
      <c r="E12" s="11"/>
      <c r="F12" s="5">
        <f t="shared" si="0"/>
        <v>2</v>
      </c>
      <c r="G12" s="30">
        <v>46143</v>
      </c>
    </row>
    <row r="13" spans="2:8" x14ac:dyDescent="0.15">
      <c r="B13" s="6" t="s">
        <v>3</v>
      </c>
      <c r="C13" s="11"/>
      <c r="D13" s="10">
        <v>1</v>
      </c>
      <c r="E13" s="11">
        <v>2</v>
      </c>
      <c r="F13" s="5">
        <f t="shared" si="0"/>
        <v>3</v>
      </c>
      <c r="G13" s="30">
        <v>46171</v>
      </c>
      <c r="H13" s="31"/>
    </row>
    <row r="14" spans="2:8" ht="14.25" thickBot="1" x14ac:dyDescent="0.2">
      <c r="B14" s="7" t="s">
        <v>3</v>
      </c>
      <c r="C14" s="14"/>
      <c r="D14" s="13">
        <v>2</v>
      </c>
      <c r="E14" s="14"/>
      <c r="F14" s="20">
        <f t="shared" si="0"/>
        <v>2</v>
      </c>
      <c r="G14" s="30">
        <v>46177</v>
      </c>
      <c r="H14" s="31"/>
    </row>
    <row r="15" spans="2:8" ht="14.25" thickBot="1" x14ac:dyDescent="0.2">
      <c r="B15" s="22" t="s">
        <v>4</v>
      </c>
      <c r="C15" s="23">
        <f>SUM(C4:C14)</f>
        <v>8</v>
      </c>
      <c r="D15" s="23">
        <f>SUM(D4:D14)</f>
        <v>12</v>
      </c>
      <c r="E15" s="24">
        <f>SUM(E4:E14)</f>
        <v>11</v>
      </c>
      <c r="F15" s="16">
        <f t="shared" si="0"/>
        <v>31</v>
      </c>
    </row>
    <row r="16" spans="2:8" x14ac:dyDescent="0.15">
      <c r="B16" s="4" t="s">
        <v>55</v>
      </c>
      <c r="C16" s="9">
        <v>2</v>
      </c>
      <c r="D16" s="10"/>
      <c r="E16" s="11"/>
      <c r="F16" s="5">
        <f t="shared" si="0"/>
        <v>2</v>
      </c>
      <c r="G16" s="32">
        <v>45597</v>
      </c>
    </row>
    <row r="17" spans="2:7" x14ac:dyDescent="0.15">
      <c r="B17" s="4" t="s">
        <v>7</v>
      </c>
      <c r="C17" s="9"/>
      <c r="D17" s="10">
        <v>1</v>
      </c>
      <c r="E17" s="11"/>
      <c r="F17" s="5">
        <f t="shared" si="0"/>
        <v>1</v>
      </c>
      <c r="G17" s="32">
        <v>45642</v>
      </c>
    </row>
    <row r="18" spans="2:7" x14ac:dyDescent="0.15">
      <c r="B18" s="4" t="s">
        <v>7</v>
      </c>
      <c r="C18" s="9"/>
      <c r="D18" s="10"/>
      <c r="E18" s="11">
        <v>1</v>
      </c>
      <c r="F18" s="5">
        <f t="shared" si="0"/>
        <v>1</v>
      </c>
      <c r="G18" s="32">
        <v>45649</v>
      </c>
    </row>
    <row r="19" spans="2:7" x14ac:dyDescent="0.15">
      <c r="B19" s="4" t="s">
        <v>7</v>
      </c>
      <c r="C19" s="9">
        <v>1</v>
      </c>
      <c r="D19" s="10"/>
      <c r="E19" s="11"/>
      <c r="F19" s="5">
        <f t="shared" si="0"/>
        <v>1</v>
      </c>
      <c r="G19" s="32">
        <v>45707</v>
      </c>
    </row>
    <row r="20" spans="2:7" x14ac:dyDescent="0.15">
      <c r="B20" s="4" t="s">
        <v>7</v>
      </c>
      <c r="C20" s="9">
        <v>1</v>
      </c>
      <c r="D20" s="10"/>
      <c r="E20" s="11"/>
      <c r="F20" s="5">
        <f t="shared" ref="F20:F23" si="1">C20+D20+E20</f>
        <v>1</v>
      </c>
      <c r="G20" s="32">
        <v>45722</v>
      </c>
    </row>
    <row r="21" spans="2:7" x14ac:dyDescent="0.15">
      <c r="B21" s="4" t="s">
        <v>7</v>
      </c>
      <c r="C21" s="9"/>
      <c r="D21" s="10">
        <v>1</v>
      </c>
      <c r="E21" s="11"/>
      <c r="F21" s="5">
        <f t="shared" si="1"/>
        <v>1</v>
      </c>
      <c r="G21" s="32">
        <v>45750</v>
      </c>
    </row>
    <row r="22" spans="2:7" x14ac:dyDescent="0.15">
      <c r="B22" s="4" t="s">
        <v>7</v>
      </c>
      <c r="C22" s="9"/>
      <c r="D22" s="10">
        <v>1</v>
      </c>
      <c r="E22" s="11"/>
      <c r="F22" s="5">
        <f t="shared" si="1"/>
        <v>1</v>
      </c>
      <c r="G22" s="32">
        <v>45761</v>
      </c>
    </row>
    <row r="23" spans="2:7" x14ac:dyDescent="0.15">
      <c r="B23" s="4" t="s">
        <v>69</v>
      </c>
      <c r="C23" s="9">
        <v>0</v>
      </c>
      <c r="D23" s="10">
        <v>0</v>
      </c>
      <c r="E23" s="11">
        <v>0</v>
      </c>
      <c r="F23" s="5">
        <f t="shared" si="1"/>
        <v>0</v>
      </c>
      <c r="G23" s="32">
        <v>45890</v>
      </c>
    </row>
    <row r="24" spans="2:7" x14ac:dyDescent="0.15">
      <c r="B24" s="4" t="s">
        <v>7</v>
      </c>
      <c r="C24" s="9">
        <v>1</v>
      </c>
      <c r="D24" s="10"/>
      <c r="E24" s="11"/>
      <c r="F24" s="5">
        <f t="shared" si="0"/>
        <v>1</v>
      </c>
      <c r="G24" s="32">
        <v>45916</v>
      </c>
    </row>
    <row r="25" spans="2:7" x14ac:dyDescent="0.15">
      <c r="B25" s="4" t="s">
        <v>7</v>
      </c>
      <c r="C25" s="9"/>
      <c r="D25" s="10"/>
      <c r="E25" s="11">
        <v>2</v>
      </c>
      <c r="F25" s="5">
        <f t="shared" si="0"/>
        <v>2</v>
      </c>
      <c r="G25" s="32">
        <v>46077</v>
      </c>
    </row>
    <row r="26" spans="2:7" x14ac:dyDescent="0.15">
      <c r="B26" s="4" t="s">
        <v>7</v>
      </c>
      <c r="C26" s="9"/>
      <c r="D26" s="10"/>
      <c r="E26" s="11">
        <v>1</v>
      </c>
      <c r="F26" s="5">
        <f t="shared" si="0"/>
        <v>1</v>
      </c>
      <c r="G26" s="32">
        <v>46080</v>
      </c>
    </row>
    <row r="27" spans="2:7" x14ac:dyDescent="0.15">
      <c r="B27" s="4" t="s">
        <v>7</v>
      </c>
      <c r="C27" s="9"/>
      <c r="D27" s="10">
        <v>1</v>
      </c>
      <c r="E27" s="11"/>
      <c r="F27" s="5">
        <f t="shared" si="0"/>
        <v>1</v>
      </c>
      <c r="G27" s="32">
        <v>46090</v>
      </c>
    </row>
    <row r="28" spans="2:7" x14ac:dyDescent="0.15">
      <c r="B28" s="4" t="s">
        <v>7</v>
      </c>
      <c r="C28" s="9"/>
      <c r="D28" s="10">
        <v>1</v>
      </c>
      <c r="E28" s="11">
        <v>1</v>
      </c>
      <c r="F28" s="5">
        <f t="shared" si="0"/>
        <v>2</v>
      </c>
      <c r="G28" s="32">
        <v>46104</v>
      </c>
    </row>
    <row r="29" spans="2:7" x14ac:dyDescent="0.15">
      <c r="B29" s="4" t="s">
        <v>7</v>
      </c>
      <c r="C29" s="9"/>
      <c r="D29" s="10"/>
      <c r="E29" s="11">
        <v>1</v>
      </c>
      <c r="F29" s="5">
        <f t="shared" si="0"/>
        <v>1</v>
      </c>
      <c r="G29" s="32">
        <v>46108</v>
      </c>
    </row>
    <row r="30" spans="2:7" x14ac:dyDescent="0.15">
      <c r="B30" s="4" t="s">
        <v>7</v>
      </c>
      <c r="C30" s="9"/>
      <c r="D30" s="10">
        <v>1</v>
      </c>
      <c r="E30" s="11"/>
      <c r="F30" s="5">
        <f t="shared" si="0"/>
        <v>1</v>
      </c>
      <c r="G30" s="32">
        <v>46118</v>
      </c>
    </row>
    <row r="31" spans="2:7" x14ac:dyDescent="0.15">
      <c r="B31" s="4" t="s">
        <v>7</v>
      </c>
      <c r="C31" s="9"/>
      <c r="D31" s="10"/>
      <c r="E31" s="11">
        <v>1</v>
      </c>
      <c r="F31" s="5">
        <f t="shared" si="0"/>
        <v>1</v>
      </c>
      <c r="G31" s="32">
        <v>46132</v>
      </c>
    </row>
    <row r="32" spans="2:7" x14ac:dyDescent="0.15">
      <c r="B32" s="4" t="s">
        <v>7</v>
      </c>
      <c r="C32" s="9"/>
      <c r="D32" s="10">
        <v>1</v>
      </c>
      <c r="E32" s="11"/>
      <c r="F32" s="5">
        <f t="shared" si="0"/>
        <v>1</v>
      </c>
      <c r="G32" s="32">
        <v>46135</v>
      </c>
    </row>
    <row r="33" spans="2:8" x14ac:dyDescent="0.15">
      <c r="B33" s="4" t="s">
        <v>7</v>
      </c>
      <c r="C33" s="9">
        <v>1</v>
      </c>
      <c r="D33" s="10"/>
      <c r="E33" s="11"/>
      <c r="F33" s="5">
        <f t="shared" si="0"/>
        <v>1</v>
      </c>
      <c r="G33" s="32">
        <v>46136</v>
      </c>
    </row>
    <row r="34" spans="2:8" x14ac:dyDescent="0.15">
      <c r="B34" s="4" t="s">
        <v>7</v>
      </c>
      <c r="C34" s="9"/>
      <c r="D34" s="10"/>
      <c r="E34" s="11">
        <v>1</v>
      </c>
      <c r="F34" s="5">
        <f t="shared" si="0"/>
        <v>1</v>
      </c>
      <c r="G34" s="32">
        <v>46163</v>
      </c>
    </row>
    <row r="35" spans="2:8" x14ac:dyDescent="0.15">
      <c r="B35" s="4" t="s">
        <v>7</v>
      </c>
      <c r="C35" s="9"/>
      <c r="D35" s="10"/>
      <c r="E35" s="11">
        <v>1</v>
      </c>
      <c r="F35" s="5">
        <f t="shared" si="0"/>
        <v>1</v>
      </c>
      <c r="G35" s="32">
        <v>46164</v>
      </c>
    </row>
    <row r="36" spans="2:8" x14ac:dyDescent="0.15">
      <c r="B36" s="4" t="s">
        <v>7</v>
      </c>
      <c r="C36" s="9"/>
      <c r="D36" s="10">
        <v>1</v>
      </c>
      <c r="E36" s="11"/>
      <c r="F36" s="5">
        <f t="shared" si="0"/>
        <v>1</v>
      </c>
      <c r="G36" s="32">
        <v>46167</v>
      </c>
    </row>
    <row r="37" spans="2:8" x14ac:dyDescent="0.15">
      <c r="B37" s="4" t="s">
        <v>7</v>
      </c>
      <c r="C37" s="9"/>
      <c r="D37" s="10">
        <v>1</v>
      </c>
      <c r="E37" s="11"/>
      <c r="F37" s="5">
        <f t="shared" si="0"/>
        <v>1</v>
      </c>
      <c r="G37" s="32">
        <v>46171</v>
      </c>
    </row>
    <row r="38" spans="2:8" x14ac:dyDescent="0.15">
      <c r="B38" s="4" t="s">
        <v>7</v>
      </c>
      <c r="C38" s="9">
        <v>1</v>
      </c>
      <c r="D38" s="10"/>
      <c r="E38" s="11"/>
      <c r="F38" s="5">
        <f t="shared" si="0"/>
        <v>1</v>
      </c>
      <c r="G38" s="32">
        <v>46182</v>
      </c>
    </row>
    <row r="39" spans="2:8" ht="14.25" thickBot="1" x14ac:dyDescent="0.2">
      <c r="B39" s="4" t="s">
        <v>7</v>
      </c>
      <c r="C39" s="9">
        <v>1</v>
      </c>
      <c r="D39" s="10"/>
      <c r="E39" s="11"/>
      <c r="F39" s="20">
        <f t="shared" si="0"/>
        <v>1</v>
      </c>
      <c r="G39" s="32">
        <v>46185</v>
      </c>
    </row>
    <row r="40" spans="2:8" ht="14.25" thickBot="1" x14ac:dyDescent="0.2">
      <c r="B40" s="3" t="s">
        <v>5</v>
      </c>
      <c r="C40" s="15">
        <f>SUM(C16:C39)</f>
        <v>8</v>
      </c>
      <c r="D40" s="15">
        <f>SUM(D16:D39)</f>
        <v>9</v>
      </c>
      <c r="E40" s="15">
        <f>SUM(E16:E39)</f>
        <v>9</v>
      </c>
      <c r="F40" s="16">
        <f t="shared" si="0"/>
        <v>26</v>
      </c>
    </row>
    <row r="41" spans="2:8" ht="14.25" thickBot="1" x14ac:dyDescent="0.2">
      <c r="B41" s="26" t="s">
        <v>6</v>
      </c>
      <c r="C41" s="27">
        <f t="shared" ref="C41:E41" si="2">C15-C40</f>
        <v>0</v>
      </c>
      <c r="D41" s="27">
        <f t="shared" si="2"/>
        <v>3</v>
      </c>
      <c r="E41" s="27">
        <f t="shared" si="2"/>
        <v>2</v>
      </c>
      <c r="F41" s="16">
        <f t="shared" si="0"/>
        <v>5</v>
      </c>
    </row>
    <row r="44" spans="2:8" ht="19.5" thickBot="1" x14ac:dyDescent="0.25">
      <c r="B44" s="33" t="s">
        <v>52</v>
      </c>
      <c r="C44" s="1"/>
      <c r="D44" s="1"/>
      <c r="E44" s="1"/>
      <c r="F44" s="1"/>
    </row>
    <row r="45" spans="2:8" ht="14.25" thickBot="1" x14ac:dyDescent="0.2">
      <c r="B45" s="2" t="s">
        <v>0</v>
      </c>
      <c r="C45" s="84" t="s">
        <v>54</v>
      </c>
      <c r="D45" s="84"/>
      <c r="E45" s="84"/>
      <c r="F45" t="s">
        <v>53</v>
      </c>
    </row>
    <row r="46" spans="2:8" ht="14.25" thickBot="1" x14ac:dyDescent="0.2">
      <c r="B46" s="2" t="s">
        <v>1</v>
      </c>
      <c r="C46" s="3" t="s">
        <v>9</v>
      </c>
      <c r="D46" s="2" t="s">
        <v>10</v>
      </c>
      <c r="E46" s="19" t="s">
        <v>11</v>
      </c>
      <c r="F46" s="2" t="s">
        <v>2</v>
      </c>
    </row>
    <row r="47" spans="2:8" x14ac:dyDescent="0.15">
      <c r="B47" s="6" t="s">
        <v>6</v>
      </c>
      <c r="C47" s="35">
        <f>C41</f>
        <v>0</v>
      </c>
      <c r="D47" s="36">
        <f>D41</f>
        <v>3</v>
      </c>
      <c r="E47" s="37">
        <f>E41</f>
        <v>2</v>
      </c>
      <c r="F47" s="5">
        <f>C47+D47+E47</f>
        <v>5</v>
      </c>
    </row>
    <row r="48" spans="2:8" x14ac:dyDescent="0.15">
      <c r="B48" s="6" t="s">
        <v>3</v>
      </c>
      <c r="C48" s="17">
        <v>4</v>
      </c>
      <c r="D48" s="12"/>
      <c r="E48" s="17"/>
      <c r="F48" s="5">
        <f t="shared" ref="F48:F84" si="3">C48+D48+E48</f>
        <v>4</v>
      </c>
      <c r="G48" s="30">
        <v>46185</v>
      </c>
      <c r="H48" s="31"/>
    </row>
    <row r="49" spans="2:6" x14ac:dyDescent="0.15">
      <c r="B49" s="6" t="s">
        <v>3</v>
      </c>
      <c r="C49" s="17"/>
      <c r="D49" s="12"/>
      <c r="E49" s="17"/>
      <c r="F49" s="5">
        <f t="shared" si="3"/>
        <v>0</v>
      </c>
    </row>
    <row r="50" spans="2:6" x14ac:dyDescent="0.15">
      <c r="B50" s="6" t="s">
        <v>3</v>
      </c>
      <c r="C50" s="17"/>
      <c r="D50" s="12"/>
      <c r="E50" s="17"/>
      <c r="F50" s="5">
        <f t="shared" si="3"/>
        <v>0</v>
      </c>
    </row>
    <row r="51" spans="2:6" x14ac:dyDescent="0.15">
      <c r="B51" s="6" t="s">
        <v>3</v>
      </c>
      <c r="C51" s="17"/>
      <c r="D51" s="12"/>
      <c r="E51" s="17"/>
      <c r="F51" s="5">
        <f t="shared" si="3"/>
        <v>0</v>
      </c>
    </row>
    <row r="52" spans="2:6" x14ac:dyDescent="0.15">
      <c r="B52" s="6" t="s">
        <v>3</v>
      </c>
      <c r="C52" s="17"/>
      <c r="D52" s="12"/>
      <c r="E52" s="17"/>
      <c r="F52" s="5">
        <f t="shared" si="3"/>
        <v>0</v>
      </c>
    </row>
    <row r="53" spans="2:6" x14ac:dyDescent="0.15">
      <c r="B53" s="6" t="s">
        <v>3</v>
      </c>
      <c r="C53" s="17"/>
      <c r="D53" s="12"/>
      <c r="E53" s="17"/>
      <c r="F53" s="5">
        <f t="shared" si="3"/>
        <v>0</v>
      </c>
    </row>
    <row r="54" spans="2:6" x14ac:dyDescent="0.15">
      <c r="B54" s="6" t="s">
        <v>3</v>
      </c>
      <c r="C54" s="11"/>
      <c r="D54" s="10"/>
      <c r="E54" s="11"/>
      <c r="F54" s="5">
        <f t="shared" si="3"/>
        <v>0</v>
      </c>
    </row>
    <row r="55" spans="2:6" x14ac:dyDescent="0.15">
      <c r="B55" s="6" t="s">
        <v>3</v>
      </c>
      <c r="C55" s="11"/>
      <c r="D55" s="10"/>
      <c r="E55" s="11"/>
      <c r="F55" s="5">
        <f t="shared" si="3"/>
        <v>0</v>
      </c>
    </row>
    <row r="56" spans="2:6" x14ac:dyDescent="0.15">
      <c r="B56" s="6" t="s">
        <v>3</v>
      </c>
      <c r="C56" s="11"/>
      <c r="D56" s="10"/>
      <c r="E56" s="11"/>
      <c r="F56" s="5">
        <f t="shared" si="3"/>
        <v>0</v>
      </c>
    </row>
    <row r="57" spans="2:6" ht="14.25" thickBot="1" x14ac:dyDescent="0.2">
      <c r="B57" s="7" t="s">
        <v>3</v>
      </c>
      <c r="C57" s="14"/>
      <c r="D57" s="13"/>
      <c r="E57" s="14"/>
      <c r="F57" s="20">
        <f t="shared" si="3"/>
        <v>0</v>
      </c>
    </row>
    <row r="58" spans="2:6" ht="14.25" thickBot="1" x14ac:dyDescent="0.2">
      <c r="B58" s="22" t="s">
        <v>4</v>
      </c>
      <c r="C58" s="23">
        <f>SUM(C47:C57)</f>
        <v>4</v>
      </c>
      <c r="D58" s="23">
        <f>SUM(D47:D57)</f>
        <v>3</v>
      </c>
      <c r="E58" s="24">
        <f>SUM(E47:E57)</f>
        <v>2</v>
      </c>
      <c r="F58" s="16">
        <f t="shared" si="3"/>
        <v>9</v>
      </c>
    </row>
    <row r="59" spans="2:6" x14ac:dyDescent="0.15">
      <c r="B59" s="4"/>
      <c r="C59" s="9"/>
      <c r="D59" s="10"/>
      <c r="E59" s="11"/>
      <c r="F59" s="5">
        <f t="shared" si="3"/>
        <v>0</v>
      </c>
    </row>
    <row r="60" spans="2:6" x14ac:dyDescent="0.15">
      <c r="B60" s="4"/>
      <c r="C60" s="9"/>
      <c r="D60" s="10"/>
      <c r="E60" s="11"/>
      <c r="F60" s="5">
        <f t="shared" si="3"/>
        <v>0</v>
      </c>
    </row>
    <row r="61" spans="2:6" x14ac:dyDescent="0.15">
      <c r="B61" s="4"/>
      <c r="C61" s="9"/>
      <c r="D61" s="10"/>
      <c r="E61" s="11"/>
      <c r="F61" s="5">
        <f t="shared" si="3"/>
        <v>0</v>
      </c>
    </row>
    <row r="62" spans="2:6" x14ac:dyDescent="0.15">
      <c r="B62" s="4"/>
      <c r="C62" s="9"/>
      <c r="D62" s="10"/>
      <c r="E62" s="11"/>
      <c r="F62" s="5">
        <f t="shared" si="3"/>
        <v>0</v>
      </c>
    </row>
    <row r="63" spans="2:6" x14ac:dyDescent="0.15">
      <c r="B63" s="4"/>
      <c r="C63" s="9"/>
      <c r="D63" s="10"/>
      <c r="E63" s="11"/>
      <c r="F63" s="5">
        <f t="shared" si="3"/>
        <v>0</v>
      </c>
    </row>
    <row r="64" spans="2:6" x14ac:dyDescent="0.15">
      <c r="B64" s="4"/>
      <c r="C64" s="9"/>
      <c r="D64" s="10"/>
      <c r="E64" s="11"/>
      <c r="F64" s="5">
        <f t="shared" si="3"/>
        <v>0</v>
      </c>
    </row>
    <row r="65" spans="2:6" x14ac:dyDescent="0.15">
      <c r="B65" s="4"/>
      <c r="C65" s="9"/>
      <c r="D65" s="10"/>
      <c r="E65" s="11"/>
      <c r="F65" s="5">
        <f t="shared" si="3"/>
        <v>0</v>
      </c>
    </row>
    <row r="66" spans="2:6" x14ac:dyDescent="0.15">
      <c r="B66" s="4"/>
      <c r="C66" s="9"/>
      <c r="D66" s="10"/>
      <c r="E66" s="11"/>
      <c r="F66" s="5">
        <f t="shared" si="3"/>
        <v>0</v>
      </c>
    </row>
    <row r="67" spans="2:6" x14ac:dyDescent="0.15">
      <c r="B67" s="4"/>
      <c r="C67" s="9"/>
      <c r="D67" s="10"/>
      <c r="E67" s="11"/>
      <c r="F67" s="5">
        <f t="shared" si="3"/>
        <v>0</v>
      </c>
    </row>
    <row r="68" spans="2:6" x14ac:dyDescent="0.15">
      <c r="B68" s="4"/>
      <c r="C68" s="9"/>
      <c r="D68" s="10"/>
      <c r="E68" s="11"/>
      <c r="F68" s="5">
        <f t="shared" si="3"/>
        <v>0</v>
      </c>
    </row>
    <row r="69" spans="2:6" x14ac:dyDescent="0.15">
      <c r="B69" s="4"/>
      <c r="C69" s="9"/>
      <c r="D69" s="10"/>
      <c r="E69" s="11"/>
      <c r="F69" s="5">
        <f t="shared" si="3"/>
        <v>0</v>
      </c>
    </row>
    <row r="70" spans="2:6" x14ac:dyDescent="0.15">
      <c r="B70" s="4"/>
      <c r="C70" s="9"/>
      <c r="D70" s="10"/>
      <c r="E70" s="11"/>
      <c r="F70" s="5">
        <f t="shared" si="3"/>
        <v>0</v>
      </c>
    </row>
    <row r="71" spans="2:6" x14ac:dyDescent="0.15">
      <c r="B71" s="4"/>
      <c r="C71" s="9"/>
      <c r="D71" s="10"/>
      <c r="E71" s="11"/>
      <c r="F71" s="5">
        <f t="shared" si="3"/>
        <v>0</v>
      </c>
    </row>
    <row r="72" spans="2:6" x14ac:dyDescent="0.15">
      <c r="B72" s="4"/>
      <c r="C72" s="9"/>
      <c r="D72" s="10"/>
      <c r="E72" s="11"/>
      <c r="F72" s="5">
        <f t="shared" si="3"/>
        <v>0</v>
      </c>
    </row>
    <row r="73" spans="2:6" x14ac:dyDescent="0.15">
      <c r="B73" s="4"/>
      <c r="C73" s="9"/>
      <c r="D73" s="10"/>
      <c r="E73" s="11"/>
      <c r="F73" s="5">
        <f t="shared" si="3"/>
        <v>0</v>
      </c>
    </row>
    <row r="74" spans="2:6" x14ac:dyDescent="0.15">
      <c r="B74" s="4"/>
      <c r="C74" s="9"/>
      <c r="D74" s="10"/>
      <c r="E74" s="11"/>
      <c r="F74" s="5">
        <f t="shared" si="3"/>
        <v>0</v>
      </c>
    </row>
    <row r="75" spans="2:6" x14ac:dyDescent="0.15">
      <c r="B75" s="12"/>
      <c r="C75" s="9"/>
      <c r="D75" s="10"/>
      <c r="E75" s="11"/>
      <c r="F75" s="5">
        <f t="shared" si="3"/>
        <v>0</v>
      </c>
    </row>
    <row r="76" spans="2:6" x14ac:dyDescent="0.15">
      <c r="B76" s="4"/>
      <c r="C76" s="9"/>
      <c r="D76" s="10"/>
      <c r="E76" s="11"/>
      <c r="F76" s="5">
        <f t="shared" si="3"/>
        <v>0</v>
      </c>
    </row>
    <row r="77" spans="2:6" x14ac:dyDescent="0.15">
      <c r="B77" s="12"/>
      <c r="C77" s="9"/>
      <c r="D77" s="10"/>
      <c r="E77" s="11"/>
      <c r="F77" s="5">
        <f t="shared" si="3"/>
        <v>0</v>
      </c>
    </row>
    <row r="78" spans="2:6" x14ac:dyDescent="0.15">
      <c r="B78" s="4"/>
      <c r="C78" s="9"/>
      <c r="D78" s="10"/>
      <c r="E78" s="11"/>
      <c r="F78" s="5">
        <f t="shared" si="3"/>
        <v>0</v>
      </c>
    </row>
    <row r="79" spans="2:6" x14ac:dyDescent="0.15">
      <c r="B79" s="12"/>
      <c r="C79" s="9"/>
      <c r="D79" s="10"/>
      <c r="E79" s="11"/>
      <c r="F79" s="5">
        <f t="shared" si="3"/>
        <v>0</v>
      </c>
    </row>
    <row r="80" spans="2:6" x14ac:dyDescent="0.15">
      <c r="B80" s="12"/>
      <c r="C80" s="9"/>
      <c r="D80" s="10"/>
      <c r="E80" s="11"/>
      <c r="F80" s="5">
        <f t="shared" si="3"/>
        <v>0</v>
      </c>
    </row>
    <row r="81" spans="2:6" x14ac:dyDescent="0.15">
      <c r="B81" s="4"/>
      <c r="C81" s="9"/>
      <c r="D81" s="10"/>
      <c r="E81" s="11"/>
      <c r="F81" s="5">
        <f t="shared" si="3"/>
        <v>0</v>
      </c>
    </row>
    <row r="82" spans="2:6" ht="14.25" thickBot="1" x14ac:dyDescent="0.2">
      <c r="B82" s="4"/>
      <c r="C82" s="9"/>
      <c r="D82" s="10"/>
      <c r="E82" s="11"/>
      <c r="F82" s="20">
        <f t="shared" si="3"/>
        <v>0</v>
      </c>
    </row>
    <row r="83" spans="2:6" ht="14.25" thickBot="1" x14ac:dyDescent="0.2">
      <c r="B83" s="3" t="s">
        <v>5</v>
      </c>
      <c r="C83" s="15">
        <f>SUM(C59:C82)</f>
        <v>0</v>
      </c>
      <c r="D83" s="15">
        <f>SUM(D59:D82)</f>
        <v>0</v>
      </c>
      <c r="E83" s="15">
        <f>SUM(E59:E82)</f>
        <v>0</v>
      </c>
      <c r="F83" s="16">
        <f t="shared" si="3"/>
        <v>0</v>
      </c>
    </row>
    <row r="84" spans="2:6" ht="14.25" thickBot="1" x14ac:dyDescent="0.2">
      <c r="B84" s="26" t="s">
        <v>6</v>
      </c>
      <c r="C84" s="27">
        <f t="shared" ref="C84:E84" si="4">C58-C83</f>
        <v>4</v>
      </c>
      <c r="D84" s="27">
        <f t="shared" si="4"/>
        <v>3</v>
      </c>
      <c r="E84" s="27">
        <f t="shared" si="4"/>
        <v>2</v>
      </c>
      <c r="F84" s="16">
        <f t="shared" si="3"/>
        <v>9</v>
      </c>
    </row>
  </sheetData>
  <mergeCells count="2">
    <mergeCell ref="C2:E2"/>
    <mergeCell ref="C45:E45"/>
  </mergeCells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プリント柄_トランクス100cc</vt:lpstr>
      <vt:lpstr>プリント柄_ブリーフ50cc</vt:lpstr>
      <vt:lpstr>ボーダー柄_トランクス100cc</vt:lpstr>
      <vt:lpstr>無地トランクス100cc </vt:lpstr>
      <vt:lpstr>無地ブリーフ50CC</vt:lpstr>
      <vt:lpstr>アニマル柄_トランクス100cc</vt:lpstr>
      <vt:lpstr>300CC</vt:lpstr>
      <vt:lpstr>おねしょパンツ(オーバーパンツ）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2026-06-12T05:04:19Z</dcterms:modified>
</cp:coreProperties>
</file>